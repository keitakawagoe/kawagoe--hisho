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EFC3B8C8-33AD-4862-AC4D-ACD929263D43}" xr6:coauthVersionLast="47" xr6:coauthVersionMax="47" xr10:uidLastSave="{00000000-0000-0000-0000-000000000000}"/>
  <bookViews>
    <workbookView xWindow="-108" yWindow="-108" windowWidth="30936" windowHeight="16776" tabRatio="728" activeTab="6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'工事費一覧表(現場経費)'!$A$1:$AF$14</definedName>
    <definedName name="_xlnm.Print_Area" localSheetId="6">'工事費一覧表(直接工事費)'!$A$1:$AF$291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K207" i="29"/>
  <c r="L207" i="29"/>
  <c r="K208" i="29"/>
  <c r="L208" i="29"/>
  <c r="K209" i="29"/>
  <c r="L209" i="29"/>
  <c r="K210" i="29"/>
  <c r="L210" i="29"/>
  <c r="K211" i="29"/>
  <c r="L211" i="29"/>
  <c r="K212" i="29"/>
  <c r="L212" i="29"/>
  <c r="K213" i="29"/>
  <c r="L213" i="29"/>
  <c r="K214" i="29"/>
  <c r="L214" i="29"/>
  <c r="K215" i="29"/>
  <c r="L215" i="29"/>
  <c r="K216" i="29"/>
  <c r="L216" i="29"/>
  <c r="K217" i="29"/>
  <c r="L217" i="29"/>
  <c r="K218" i="29"/>
  <c r="L218" i="29"/>
  <c r="K219" i="29"/>
  <c r="L219" i="29"/>
  <c r="K220" i="29"/>
  <c r="L220" i="29"/>
  <c r="K221" i="29"/>
  <c r="L221" i="29"/>
  <c r="K222" i="29"/>
  <c r="L222" i="29"/>
  <c r="K223" i="29"/>
  <c r="L223" i="29"/>
  <c r="K224" i="29"/>
  <c r="L224" i="29"/>
  <c r="K225" i="29"/>
  <c r="L225" i="29"/>
  <c r="K226" i="29"/>
  <c r="L226" i="29"/>
  <c r="K227" i="29"/>
  <c r="L227" i="29"/>
  <c r="K228" i="29"/>
  <c r="L228" i="29"/>
  <c r="K229" i="29"/>
  <c r="L229" i="29"/>
  <c r="K230" i="29"/>
  <c r="L230" i="29"/>
  <c r="K231" i="29"/>
  <c r="L231" i="29"/>
  <c r="K232" i="29"/>
  <c r="L232" i="29"/>
  <c r="K233" i="29"/>
  <c r="L233" i="29"/>
  <c r="K234" i="29"/>
  <c r="L234" i="29"/>
  <c r="K235" i="29"/>
  <c r="L235" i="29"/>
  <c r="K236" i="29"/>
  <c r="L236" i="29"/>
  <c r="K237" i="29"/>
  <c r="L237" i="29"/>
  <c r="K238" i="29"/>
  <c r="L238" i="29"/>
  <c r="K239" i="29"/>
  <c r="L239" i="29"/>
  <c r="K240" i="29"/>
  <c r="L240" i="29"/>
  <c r="K241" i="29"/>
  <c r="L241" i="29"/>
  <c r="K242" i="29"/>
  <c r="L242" i="29"/>
  <c r="K243" i="29"/>
  <c r="L243" i="29"/>
  <c r="K244" i="29"/>
  <c r="L244" i="29"/>
  <c r="K245" i="29"/>
  <c r="L245" i="29"/>
  <c r="K246" i="29"/>
  <c r="L246" i="29"/>
  <c r="K247" i="29"/>
  <c r="L247" i="29"/>
  <c r="K248" i="29"/>
  <c r="L248" i="29"/>
  <c r="K249" i="29"/>
  <c r="L249" i="29"/>
  <c r="K250" i="29"/>
  <c r="L250" i="29"/>
  <c r="K251" i="29"/>
  <c r="L251" i="29"/>
  <c r="K252" i="29"/>
  <c r="L252" i="29"/>
  <c r="K253" i="29"/>
  <c r="L253" i="29"/>
  <c r="K254" i="29"/>
  <c r="L254" i="29"/>
  <c r="K255" i="29"/>
  <c r="L255" i="29"/>
  <c r="K256" i="29"/>
  <c r="L256" i="29"/>
  <c r="K257" i="29"/>
  <c r="L257" i="29"/>
  <c r="K258" i="29"/>
  <c r="L258" i="29"/>
  <c r="K259" i="29"/>
  <c r="L259" i="29"/>
  <c r="K260" i="29"/>
  <c r="L260" i="29"/>
  <c r="K261" i="29"/>
  <c r="L261" i="29"/>
  <c r="K262" i="29"/>
  <c r="L262" i="29"/>
  <c r="K263" i="29"/>
  <c r="L263" i="29"/>
  <c r="K264" i="29"/>
  <c r="L264" i="29"/>
  <c r="K265" i="29"/>
  <c r="L265" i="29"/>
  <c r="K266" i="29"/>
  <c r="L266" i="29"/>
  <c r="K267" i="29"/>
  <c r="L267" i="29"/>
  <c r="K268" i="29"/>
  <c r="L268" i="29"/>
  <c r="K269" i="29"/>
  <c r="L269" i="29"/>
  <c r="K270" i="29"/>
  <c r="L270" i="29"/>
  <c r="K271" i="29"/>
  <c r="L271" i="29"/>
  <c r="K272" i="29"/>
  <c r="L272" i="29"/>
  <c r="K273" i="29"/>
  <c r="L273" i="29"/>
  <c r="K274" i="29"/>
  <c r="L274" i="29"/>
  <c r="K275" i="29"/>
  <c r="L275" i="29"/>
  <c r="K276" i="29"/>
  <c r="L276" i="29"/>
  <c r="K277" i="29"/>
  <c r="L277" i="29"/>
  <c r="K278" i="29"/>
  <c r="L278" i="29"/>
  <c r="K279" i="29"/>
  <c r="L279" i="29"/>
  <c r="K280" i="29"/>
  <c r="L280" i="29"/>
  <c r="K281" i="29"/>
  <c r="L281" i="29"/>
  <c r="K282" i="29"/>
  <c r="L282" i="29"/>
  <c r="K283" i="29"/>
  <c r="L283" i="29"/>
  <c r="K284" i="29"/>
  <c r="L284" i="29"/>
  <c r="K285" i="29"/>
  <c r="L285" i="29"/>
  <c r="K286" i="29"/>
  <c r="L286" i="29"/>
  <c r="K287" i="29"/>
  <c r="L287" i="29"/>
  <c r="K288" i="29"/>
  <c r="L288" i="29"/>
  <c r="K289" i="29"/>
  <c r="L289" i="29"/>
  <c r="K290" i="29"/>
  <c r="L290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<sst xmlns="http://schemas.openxmlformats.org/spreadsheetml/2006/main" count="2987" uniqueCount="676">
  <si>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</si>
  <si>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</si>
  <si>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</si>
  <si>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</si>
  <si>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</si>
  <si>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</si>
  <si>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</si>
  <si>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</si>
  <si>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</si>
  <si>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</si>
  <si>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</si>
  <si>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</si>
  <si>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</si>
  <si>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</si>
  <si>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</si>
  <si>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</si>
  <si>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</si>
  <si>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</si>
  <si>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</si>
  <si>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</si>
  <si>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</si>
  <si>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</si>
  <si>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</si>
  <si>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</si>
  <si>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</si>
  <si>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</si>
  <si>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</si>
  <si>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</si>
  <si>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</si>
  <si>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</si>
  <si>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</si>
  <si>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</si>
  <si>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</si>
  <si>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</si>
  <si>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</si>
  <si>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</si>
  <si>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</si>
  <si>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</si>
  <si>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</si>
  <si>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</si>
  <si>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</si>
  <si>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</si>
  <si>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</si>
  <si>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</si>
  <si>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</si>
  <si>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</si>
  <si>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</si>
  <si>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</si>
  <si>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</si>
  <si>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</si>
  <si>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</si>
  <si>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</si>
  <si>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</si>
  <si>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</si>
  <si>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</si>
  <si>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</si>
  <si>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</si>
  <si>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</si>
  <si>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</si>
  <si>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</si>
  <si>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</si>
  <si>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</si>
  <si>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</si>
  <si>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</si>
  <si>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</si>
  <si>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</si>
  <si>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</si>
  <si>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</si>
  <si>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</si>
  <si>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</si>
  <si>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</si>
  <si>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</si>
  <si>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</si>
  <si>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</si>
  <si>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</si>
  <si>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</si>
  <si>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</si>
  <si>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</si>
  <si>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</si>
  <si>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</si>
  <si>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</si>
  <si>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</si>
  <si>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</si>
  <si>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</si>
  <si>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</si>
  <si>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</si>
  <si>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</si>
  <si>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</si>
  <si>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</si>
  <si>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</si>
  <si>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</si>
  <si>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</si>
  <si>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</si>
  <si>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</si>
  <si>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</si>
  <si>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</si>
  <si>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</si>
  <si>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</si>
  <si>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</si>
  <si>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</si>
  <si>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</si>
  <si>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</si>
  <si>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</si>
  <si>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</si>
  <si>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</si>
  <si>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</si>
  <si>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</si>
  <si>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</si>
  <si>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</si>
  <si>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</si>
  <si>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</si>
  <si>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</si>
  <si>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</si>
  <si>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</si>
  <si>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</si>
  <si>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</si>
  <si>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</si>
  <si>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</si>
  <si>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</si>
  <si>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</si>
  <si>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</si>
  <si>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</si>
  <si>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</si>
  <si>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</si>
  <si>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</si>
  <si>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</si>
  <si>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</si>
  <si>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</si>
  <si>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</si>
  <si>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</si>
  <si>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</si>
  <si>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</si>
  <si>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</si>
  <si>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</si>
  <si>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</si>
  <si>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</si>
  <si>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</si>
  <si>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</si>
  <si>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</si>
  <si>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</si>
  <si>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</si>
  <si>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</si>
  <si>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</si>
  <si>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</si>
  <si>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</si>
  <si>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（当　初）</t>
  </si>
  <si>
    <t>山口武志</t>
  </si>
  <si>
    <t>実行予算講習会</t>
  </si>
  <si>
    <t>排水管　φ150　DP800</t>
  </si>
  <si>
    <t>排水管　φ200　DP800</t>
  </si>
  <si>
    <t>排水桝　φ900　H2500　INV</t>
  </si>
  <si>
    <t>基礎砕石　RC-40</t>
  </si>
  <si>
    <t>捨てｺﾝｸﾘｰﾄ打設　ﾎﾟﾝﾌﾟ車　10㎥</t>
  </si>
  <si>
    <t>躯体ｺﾝｸﾘｰﾄ打設　ﾎﾟﾝﾌﾟ車 20㎥</t>
  </si>
  <si>
    <t>透水マット設置　W300</t>
  </si>
  <si>
    <t>止水ｺﾝｸﾘｰﾄ打設　W300*50</t>
  </si>
  <si>
    <t>擁壁用　水抜き</t>
  </si>
  <si>
    <t>重機運搬費</t>
  </si>
  <si>
    <t>準備費</t>
  </si>
  <si>
    <t>地代家賃</t>
  </si>
  <si>
    <t>仮設費</t>
  </si>
  <si>
    <t>安全費</t>
  </si>
  <si>
    <t>技術管理費</t>
  </si>
  <si>
    <t>山留なし　代価</t>
  </si>
  <si>
    <t>ｍ</t>
  </si>
  <si>
    <t>山留 代価</t>
  </si>
  <si>
    <t>個所</t>
  </si>
  <si>
    <t>m3</t>
  </si>
  <si>
    <t>m2</t>
  </si>
  <si>
    <t>式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</si>
  <si>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</si>
  <si>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</si>
  <si>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</si>
  <si>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</si>
  <si>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</si>
  <si>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</si>
  <si>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</si>
  <si>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</si>
  <si>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</si>
  <si>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</si>
  <si>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</si>
  <si>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</si>
  <si>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</si>
  <si>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関東支社</t>
  </si>
  <si>
    <t>東亜道路工業実行予算講習</t>
  </si>
  <si>
    <t>単独</t>
  </si>
  <si>
    <t xml:space="preserve">              ～ </t>
  </si>
  <si>
    <t>直接工事費</t>
  </si>
  <si>
    <t xml:space="preserve">  講習会</t>
  </si>
  <si>
    <t xml:space="preserve">  </t>
  </si>
  <si>
    <t>15号</t>
  </si>
  <si>
    <t>内訳書</t>
  </si>
  <si>
    <t xml:space="preserve">∞     </t>
  </si>
  <si>
    <t>直接工事費　計</t>
  </si>
  <si>
    <t>間接費</t>
  </si>
  <si>
    <t xml:space="preserve">  共通仮設費</t>
  </si>
  <si>
    <t xml:space="preserve">  現場経費</t>
  </si>
  <si>
    <t>工事原価</t>
  </si>
  <si>
    <t>粗利益</t>
  </si>
  <si>
    <t>講習会</t>
  </si>
  <si>
    <t>計</t>
  </si>
  <si>
    <t>実行予算講習会</t>
    <phoneticPr fontId="4"/>
  </si>
  <si>
    <t>総括</t>
  </si>
  <si>
    <t>集計行</t>
  </si>
  <si>
    <t>｜直接工事費</t>
  </si>
  <si>
    <t>｜｜講習会</t>
  </si>
  <si>
    <t>15号内訳書</t>
  </si>
  <si>
    <t>内訳代価</t>
  </si>
  <si>
    <t>｜｜｜排水管　φ150　DP800　山留なし</t>
  </si>
  <si>
    <t>16号内訳書</t>
  </si>
  <si>
    <t>代価表</t>
  </si>
  <si>
    <t>｜｜｜｜排水管　φ150　DP800</t>
  </si>
  <si>
    <t>38号代価表</t>
  </si>
  <si>
    <t>｜｜｜｜｜"根切り 小規模土工	バックホウ山積み0.13m3	m3</t>
  </si>
  <si>
    <t>39号代価表</t>
  </si>
  <si>
    <t xml:space="preserve">{数量=10*0.6*1.05*1.1} </t>
  </si>
  <si>
    <t>｜｜｜｜｜｜小型バックホウ(排対2次)	クローラ型・山積0.13m3(平積0.10m3)</t>
  </si>
  <si>
    <t>/日</t>
  </si>
  <si>
    <t>40号代価表</t>
  </si>
  <si>
    <t>｜｜｜｜｜｜｜運転手(特殊)</t>
  </si>
  <si>
    <t>人</t>
  </si>
  <si>
    <t>｜｜｜｜｜｜｜軽油</t>
  </si>
  <si>
    <t>小型ローリー・パトロール給油 2~4KL積載車</t>
  </si>
  <si>
    <t>L</t>
  </si>
  <si>
    <t>｜｜｜｜｜｜｜小型バックホウ[排出ガス対策型(第2次基準値)]</t>
  </si>
  <si>
    <t>クローラ型・山積0.13 m3(平積0.10m3)</t>
  </si>
  <si>
    <t>供用日</t>
  </si>
  <si>
    <t>｜｜｜｜｜｜｜諸経費</t>
  </si>
  <si>
    <t>｜｜｜｜｜｜普通作業員</t>
  </si>
  <si>
    <t>｜｜｜｜｜｜諸経費</t>
  </si>
  <si>
    <t>｜｜｜｜｜床付け</t>
  </si>
  <si>
    <t>41号代価表</t>
  </si>
  <si>
    <t xml:space="preserve">{数量=10*0.6*1.1} </t>
  </si>
  <si>
    <t>｜｜｜｜｜砂基礎　小規模　RC砂　10㎥</t>
  </si>
  <si>
    <t>42号代価表</t>
  </si>
  <si>
    <t xml:space="preserve">{数量=10*0.6*0.35*1.1} </t>
  </si>
  <si>
    <t>｜｜｜｜｜｜雑材</t>
  </si>
  <si>
    <t xml:space="preserve">s20718001 </t>
  </si>
  <si>
    <t>｜｜｜｜｜｜RC-10</t>
  </si>
  <si>
    <t xml:space="preserve">s20718118 </t>
  </si>
  <si>
    <t>｜｜｜｜｜｜世話役</t>
  </si>
  <si>
    <t>8H</t>
  </si>
  <si>
    <t>｜｜｜｜｜｜技工</t>
  </si>
  <si>
    <t>｜｜｜｜｜｜BH0.15クレーン</t>
  </si>
  <si>
    <t>低騒音・超小</t>
  </si>
  <si>
    <t>日台</t>
  </si>
  <si>
    <t xml:space="preserve">k20718014 </t>
  </si>
  <si>
    <t>｜｜｜｜｜｜小物機械   ﾊﾟｰﾄﾅ・丸ﾉｺ</t>
  </si>
  <si>
    <t>ｸﾞﾗｲﾝﾀﾞ-・ｺｱ抜きﾄﾞﾘﾙ・ﾌﾞﾛｱ　等</t>
  </si>
  <si>
    <t>台</t>
  </si>
  <si>
    <t xml:space="preserve">k20718001 </t>
  </si>
  <si>
    <t>｜｜｜｜｜｜3tダンプ</t>
  </si>
  <si>
    <t>燃料込</t>
  </si>
  <si>
    <t xml:space="preserve">u20718006 </t>
  </si>
  <si>
    <t>｜｜｜｜｜硬質塩化ビニル管布設</t>
  </si>
  <si>
    <t>150165*5.1*4 ゴム輪受口管</t>
  </si>
  <si>
    <t>43号代価表</t>
  </si>
  <si>
    <t>[R7赤本PⅤ-1-③-4] 施工期間 0日（日当り施工量 36 ｍ）[WB610370]</t>
  </si>
  <si>
    <t>｜｜｜｜｜｜特殊作業員</t>
  </si>
  <si>
    <t>[R7.3] [RA000100X00]</t>
  </si>
  <si>
    <t>[R7.3] [RA000200X00]</t>
  </si>
  <si>
    <t>｜｜｜｜｜｜滑剤</t>
  </si>
  <si>
    <t>塩ビ管用</t>
  </si>
  <si>
    <t>ｋｇ</t>
  </si>
  <si>
    <t>[R08.01] [TF217700X01]</t>
  </si>
  <si>
    <t>｜｜｜｜｜｜塩ビ管　VU150</t>
  </si>
  <si>
    <t>片受直管</t>
  </si>
  <si>
    <t>本</t>
  </si>
  <si>
    <t xml:space="preserve">s20718563 </t>
  </si>
  <si>
    <t xml:space="preserve">[建設物価R08.02.P688：関東地区,積算資料R08.02.P814：東京 [(6,350+6,170)/2：上位3桁捨+小数1位捨+1未満なし]] </t>
  </si>
  <si>
    <t>｜｜｜｜｜｜諸雑費</t>
  </si>
  <si>
    <t>｜｜｜｜｜埋戻し 小規模土工</t>
  </si>
  <si>
    <t>バックホウ山積み0.13m3</t>
  </si>
  <si>
    <t>44号代価表</t>
  </si>
  <si>
    <t xml:space="preserve">{数量=10*0.6*0.7*1.1}[R7公共建築工事積算研究会参考歩掛RA8 / R7建築白本P547] </t>
  </si>
  <si>
    <t>単価表</t>
  </si>
  <si>
    <t>｜｜｜｜｜｜小型バックホウ(排対2次)</t>
  </si>
  <si>
    <t>クローラ型・山積0.13m3(平積0.10m3)</t>
  </si>
  <si>
    <t>日</t>
  </si>
  <si>
    <t>1号単価表</t>
  </si>
  <si>
    <t xml:space="preserve">[R7黄本P5 / R7赤本PⅠ-6] </t>
  </si>
  <si>
    <t xml:space="preserve">[R7.3] </t>
  </si>
  <si>
    <t xml:space="preserve">[建設物価R08.01.P788：東京23区] </t>
  </si>
  <si>
    <t>[R7建設機械等損料表] [0201-113-010-001(供用1日当り換算値損料(15欄))]</t>
  </si>
  <si>
    <t>｜｜｜｜｜｜｜その他</t>
  </si>
  <si>
    <t>％</t>
  </si>
  <si>
    <t>諸雑費</t>
  </si>
  <si>
    <t xml:space="preserve">その他(労+雑) </t>
  </si>
  <si>
    <t>｜｜｜｜｜｜｜諸雑費</t>
  </si>
  <si>
    <t>｜｜｜｜｜｜締固め(タンパ)</t>
  </si>
  <si>
    <t>タンパ60~80kg</t>
  </si>
  <si>
    <t>45号代価表</t>
  </si>
  <si>
    <t xml:space="preserve">[R7公共建築工事積算研究会参考歩掛RA10 / R7建築白本P549] </t>
  </si>
  <si>
    <t>｜｜｜｜｜｜｜タンパ及びランマ</t>
  </si>
  <si>
    <t>質量60~80kg</t>
  </si>
  <si>
    <t>2号単価表</t>
  </si>
  <si>
    <t>｜｜｜｜｜｜｜｜特殊作業員</t>
  </si>
  <si>
    <t>｜｜｜｜｜｜｜｜レギュラーガソリン</t>
  </si>
  <si>
    <t>スタンド</t>
  </si>
  <si>
    <t>｜｜｜｜｜｜｜｜ランマ</t>
  </si>
  <si>
    <t>[R7建設機械等損料表] [0861-017-080-001(供用1日当り換算値損料(15欄))]</t>
  </si>
  <si>
    <t>｜｜｜｜｜｜｜｜その他</t>
  </si>
  <si>
    <t>｜｜｜｜｜｜｜｜諸雑費</t>
  </si>
  <si>
    <t>｜｜｜｜｜｜｜普通作業員</t>
  </si>
  <si>
    <t xml:space="preserve">(労+雑) </t>
  </si>
  <si>
    <t>｜｜｜｜｜｜その他</t>
  </si>
  <si>
    <t>｜｜｜｜｜雑材</t>
  </si>
  <si>
    <t>｜｜｜排水管　φ200　DP800　山留なし</t>
  </si>
  <si>
    <t>17号内訳書</t>
  </si>
  <si>
    <t>｜｜｜｜排水管　φ200　DP800</t>
  </si>
  <si>
    <t>46号代価表</t>
  </si>
  <si>
    <t>47号代価表</t>
  </si>
  <si>
    <t xml:space="preserve">{数量=10*0.65*1.1*1.1} </t>
  </si>
  <si>
    <t>48号代価表</t>
  </si>
  <si>
    <t>49号代価表</t>
  </si>
  <si>
    <t xml:space="preserve">{数量=10*0.65*1.1} </t>
  </si>
  <si>
    <t>50号代価表</t>
  </si>
  <si>
    <t xml:space="preserve">{数量=10*0.65*0.4*1.1} </t>
  </si>
  <si>
    <t>200216*6.5*4 ゴム輪受口管</t>
  </si>
  <si>
    <t>51号代価表</t>
  </si>
  <si>
    <t>[R7赤本PⅤ-1-③-4] 施工期間 0日（日当り施工量 32 ｍ）[WB610370]</t>
  </si>
  <si>
    <t>｜｜｜｜｜｜塩ビ管　VU200</t>
  </si>
  <si>
    <t xml:space="preserve">s20718564 </t>
  </si>
  <si>
    <t xml:space="preserve">[建設物価R08.02.P688：関東地区,積算資料R08.02.P814：東京 [(8,640+9,250)/2：上位3桁捨+小数1位捨+1未満なし]] </t>
  </si>
  <si>
    <t>52号代価表</t>
  </si>
  <si>
    <t xml:space="preserve">{数量=10*0.65*0.65*1.1}[R7公共建築工事積算研究会参考歩掛RA8 / R7建築白本P547] </t>
  </si>
  <si>
    <t>3号単価表</t>
  </si>
  <si>
    <t>53号代価表</t>
  </si>
  <si>
    <t>4号単価表</t>
  </si>
  <si>
    <t>｜｜｜雨水人孔　φ900　H2500　山留あり　ｲﾝﾊﾞｰﾄ</t>
  </si>
  <si>
    <t>躯体のみ　蓋別</t>
  </si>
  <si>
    <t>19号内訳書</t>
  </si>
  <si>
    <t>｜｜｜｜排水桝　φ900　H2500　INV</t>
  </si>
  <si>
    <t>62号代価表</t>
  </si>
  <si>
    <t>｜｜｜｜｜根切り 小規模土工</t>
  </si>
  <si>
    <t>バックホウ山積み0.28m3</t>
  </si>
  <si>
    <t>63号代価表</t>
  </si>
  <si>
    <t xml:space="preserve">{数量=2.1*2.1*2.75*1.1}[R7公共建築工事積算研究会参考歩掛RA6 / R7建築白本P545] </t>
  </si>
  <si>
    <t>｜｜｜｜｜｜バックホウ(排対2次)</t>
  </si>
  <si>
    <t>クローラ型・山積0.28m3(平積0.2m3)</t>
  </si>
  <si>
    <t>7号単価表</t>
  </si>
  <si>
    <t>｜｜｜｜｜｜｜バックホウ[排出ガス対策型(第2次基準値)]</t>
  </si>
  <si>
    <t>クローラ型・山積0.28m3(平積0.2 m3)</t>
  </si>
  <si>
    <t>[R7建設機械等損料表] [0202-113-020-001(供用1日当り換算値損料(15欄))]</t>
  </si>
  <si>
    <t>｜｜｜｜｜山留設置</t>
  </si>
  <si>
    <t>20㎡</t>
  </si>
  <si>
    <t>64号代価表</t>
  </si>
  <si>
    <t>｜｜｜｜｜｜BH0.25クレーン</t>
  </si>
  <si>
    <t xml:space="preserve">k20718018 </t>
  </si>
  <si>
    <t>｜｜｜｜｜｜軽量鋼矢板損料</t>
  </si>
  <si>
    <t>25㎏/m</t>
  </si>
  <si>
    <t>t・日</t>
  </si>
  <si>
    <t xml:space="preserve">k20718135 </t>
  </si>
  <si>
    <t>65号代価表</t>
  </si>
  <si>
    <t xml:space="preserve">{数量=2.1*2.1*1.1} </t>
  </si>
  <si>
    <t>｜｜｜｜｜基礎砕石　RC-40</t>
  </si>
  <si>
    <t>66号代価表</t>
  </si>
  <si>
    <t xml:space="preserve">{数量=2.1*2.1*0.2*1.35*1.1} </t>
  </si>
  <si>
    <t>｜｜｜｜｜｜RC-40(ｔ)　町田環境ﾘｻｲｸﾙ産</t>
  </si>
  <si>
    <t>10ｔﾀﾞﾝﾌﾟ配達　20ｷﾛ圏内</t>
  </si>
  <si>
    <t>｜｜｜｜｜１号人孔人孔据付　0.25BH　5箇所/日</t>
  </si>
  <si>
    <t>材料別</t>
  </si>
  <si>
    <t>67号代価表</t>
  </si>
  <si>
    <t>｜｜｜｜｜1号人孔　底版</t>
  </si>
  <si>
    <t>φ900</t>
  </si>
  <si>
    <t>個</t>
  </si>
  <si>
    <t xml:space="preserve">s20718490 </t>
  </si>
  <si>
    <t>｜｜｜｜｜1号人孔　躯体</t>
  </si>
  <si>
    <t>H=1200</t>
  </si>
  <si>
    <t xml:space="preserve">s20718492 </t>
  </si>
  <si>
    <t>｜｜｜｜｜1号人孔　直壁</t>
  </si>
  <si>
    <t>H=900</t>
  </si>
  <si>
    <t xml:space="preserve">s20718499 </t>
  </si>
  <si>
    <t>H=300</t>
  </si>
  <si>
    <t xml:space="preserve">s20718495 </t>
  </si>
  <si>
    <t>｜｜｜｜｜1号人孔　斜壁</t>
  </si>
  <si>
    <t>H=450</t>
  </si>
  <si>
    <t xml:space="preserve">s20718502 </t>
  </si>
  <si>
    <t>｜｜｜｜｜埋め戻し　小規模　発生土　20㎥</t>
  </si>
  <si>
    <t>0.25BH</t>
  </si>
  <si>
    <t>68号代価表</t>
  </si>
  <si>
    <t>｜｜｜｜｜インバート</t>
  </si>
  <si>
    <t>｜｜｜川崎市　逆L型擁壁　H1.89　</t>
  </si>
  <si>
    <t>35号内訳書</t>
  </si>
  <si>
    <t>｜｜｜｜構造物掘削工事　小規模0.25BH　45㎥</t>
  </si>
  <si>
    <t>69号代価表</t>
  </si>
  <si>
    <t xml:space="preserve">{数量=10*1.25*3.5*1.1} </t>
  </si>
  <si>
    <t>｜｜｜｜｜燃料　軽油</t>
  </si>
  <si>
    <t xml:space="preserve">s20718002 </t>
  </si>
  <si>
    <t>｜｜｜｜｜世話役</t>
  </si>
  <si>
    <t>｜｜｜｜｜技工</t>
  </si>
  <si>
    <t>｜｜｜｜｜BH0.25</t>
  </si>
  <si>
    <t xml:space="preserve">k20718006 </t>
  </si>
  <si>
    <t>｜｜｜｜｜小物機械   ﾊﾟｰﾄﾅ・丸ﾉｺ</t>
  </si>
  <si>
    <t>｜｜｜｜｜3tダンプ</t>
  </si>
  <si>
    <t>｜｜｜｜床付け 人力</t>
  </si>
  <si>
    <t>70号代価表</t>
  </si>
  <si>
    <t xml:space="preserve">{数量=10*3.5*1.1} </t>
  </si>
  <si>
    <t>｜｜｜｜基礎砕石　RC-40</t>
  </si>
  <si>
    <t>71号代価表</t>
  </si>
  <si>
    <t xml:space="preserve">{数量=38.5*0.2*1.35*1.1} </t>
  </si>
  <si>
    <t>｜｜｜｜｜RC-40(ｔ)　町田環境ﾘｻｲｸﾙ産</t>
  </si>
  <si>
    <t>｜｜｜｜｜BH0.15クレーン</t>
  </si>
  <si>
    <t>｜｜｜｜｜ｲﾝﾀｰﾛｯｷﾝｸﾞ平板　ｺﾚｸｼｮﾝG　□300*60</t>
  </si>
  <si>
    <t>法定福利費込み</t>
  </si>
  <si>
    <t>｜｜｜｜捨てｺﾝｸﾘｰﾄ型枠設置</t>
  </si>
  <si>
    <t>両側　H50</t>
  </si>
  <si>
    <t>72号代価表</t>
  </si>
  <si>
    <t xml:space="preserve">{数量=38.5*0.05*1.1} </t>
  </si>
  <si>
    <t>｜｜｜｜｜桟木</t>
  </si>
  <si>
    <t>｜｜｜｜捨てｺﾝｸﾘｰﾄ打設　ﾎﾟﾝﾌﾟ車　10㎥</t>
  </si>
  <si>
    <t>73号代価表</t>
  </si>
  <si>
    <t>｜｜｜｜｜生コン　18-8～18</t>
  </si>
  <si>
    <t>ﾐｷｻ-車4ｔ・8ｔ共通</t>
  </si>
  <si>
    <t xml:space="preserve">s20718143 </t>
  </si>
  <si>
    <t>｜｜｜｜｜生コンポンプ車</t>
  </si>
  <si>
    <t>小型</t>
  </si>
  <si>
    <t xml:space="preserve">k20718118 </t>
  </si>
  <si>
    <t>｜｜｜｜普通型枠</t>
  </si>
  <si>
    <t xml:space="preserve">g20718024 </t>
  </si>
  <si>
    <t xml:space="preserve">{数量=2.55*10*2*1.1} </t>
  </si>
  <si>
    <t>｜｜｜｜躯体ｺﾝｸﾘｰﾄ打設　ﾎﾟﾝﾌﾟ車 20㎥</t>
  </si>
  <si>
    <t>74号代価表</t>
  </si>
  <si>
    <t>｜｜｜｜｜生コン　21-8～18</t>
  </si>
  <si>
    <t>｜｜｜｜｜左官工</t>
  </si>
  <si>
    <t xml:space="preserve">r20718013 </t>
  </si>
  <si>
    <t xml:space="preserve">{数量=4/8*1} </t>
  </si>
  <si>
    <t>｜｜｜｜鉄筋　材料加工　組み立て</t>
  </si>
  <si>
    <t>㎏</t>
  </si>
  <si>
    <t xml:space="preserve">{数量=14.44*110*1.1} </t>
  </si>
  <si>
    <t>｜｜｜｜透水マット設置　W300</t>
  </si>
  <si>
    <t>75号代価表</t>
  </si>
  <si>
    <t>｜｜｜｜｜カルドレーン　W300</t>
  </si>
  <si>
    <t>擁壁用</t>
  </si>
  <si>
    <t xml:space="preserve">s20718622 </t>
  </si>
  <si>
    <t>｜｜｜｜止水ｺﾝｸﾘｰﾄ打設　W300*50</t>
  </si>
  <si>
    <t>76号代価表</t>
  </si>
  <si>
    <t xml:space="preserve">s20718144 </t>
  </si>
  <si>
    <t xml:space="preserve">{数量=1/8*1} </t>
  </si>
  <si>
    <t xml:space="preserve">{数量=3/8*1} </t>
  </si>
  <si>
    <t>｜｜｜｜擁壁用　水抜き</t>
  </si>
  <si>
    <t>77号代価表</t>
  </si>
  <si>
    <t>｜｜｜｜｜塩ビ管　VP75</t>
  </si>
  <si>
    <t>直管</t>
  </si>
  <si>
    <t xml:space="preserve">s20718551 </t>
  </si>
  <si>
    <t xml:space="preserve">{数量=2/8} </t>
  </si>
  <si>
    <t>｜｜｜｜構造物埋め戻し　小規模　発生土　20㎥</t>
  </si>
  <si>
    <t>78号代価表</t>
  </si>
  <si>
    <t xml:space="preserve">{数量=10*1.5*2.5*1.1} </t>
  </si>
  <si>
    <t>｜｜｜｜雑材</t>
  </si>
  <si>
    <t>｜｜｜以下　参考代価（Gaiaより）</t>
  </si>
  <si>
    <t>36号内訳書</t>
  </si>
  <si>
    <t>｜｜｜根切り 小規模土工	バックホウ山積み0.13m3	m3</t>
  </si>
  <si>
    <t>20号内訳書</t>
  </si>
  <si>
    <t>｜｜｜｜"根切り 小規模土工	バックホウ山積み0.13m3	m3</t>
  </si>
  <si>
    <t>27号代価表</t>
  </si>
  <si>
    <t>｜｜｜｜｜小型バックホウ(排対2次)	クローラ型・山積0.13m3(平積0.10m3)</t>
  </si>
  <si>
    <t>26号代価表</t>
  </si>
  <si>
    <t>｜｜｜｜｜｜運転手(特殊)</t>
  </si>
  <si>
    <t>｜｜｜｜｜｜軽油</t>
  </si>
  <si>
    <t>｜｜｜｜｜｜小型バックホウ[排出ガス対策型(第2次基準値)]</t>
  </si>
  <si>
    <t>｜｜｜｜｜普通作業員</t>
  </si>
  <si>
    <t>｜｜｜｜｜諸経費</t>
  </si>
  <si>
    <t>｜｜｜床付け</t>
  </si>
  <si>
    <t>21号内訳書</t>
  </si>
  <si>
    <t>｜｜｜｜床付け</t>
  </si>
  <si>
    <t>28号代価表</t>
  </si>
  <si>
    <t>｜｜｜掘削　小規模</t>
  </si>
  <si>
    <t>22号内訳書</t>
  </si>
  <si>
    <t>｜｜｜｜掘削　小規模　0.13BH</t>
  </si>
  <si>
    <t>29号代価表</t>
  </si>
  <si>
    <t>｜｜｜｜｜小型バックホウ[排出ガス対策型(第2次基準値)]</t>
  </si>
  <si>
    <t>｜｜｜｜｜運転手(特殊)</t>
  </si>
  <si>
    <t>[R7.3] [RA001500X00]</t>
  </si>
  <si>
    <t>｜｜｜｜｜軽油</t>
  </si>
  <si>
    <t>パトロール給油</t>
  </si>
  <si>
    <t>[R08.01] [TL500200X14]</t>
  </si>
  <si>
    <t>｜｜｜｜｜諸雑費</t>
  </si>
  <si>
    <t>｜｜｜基礎砕石</t>
  </si>
  <si>
    <t>23号内訳書</t>
  </si>
  <si>
    <t>30号代価表</t>
  </si>
  <si>
    <t>｜｜｜｜｜バックホウ賃料</t>
  </si>
  <si>
    <t>油圧式クローラ型0.6m3級</t>
  </si>
  <si>
    <t>[R08.01] [TMM11320X08]</t>
  </si>
  <si>
    <t>｜｜｜｜｜特殊作業員</t>
  </si>
  <si>
    <t>｜｜｜｜｜土木一般世話役</t>
  </si>
  <si>
    <t>[R7.3] [RA002400X00]</t>
  </si>
  <si>
    <t>[R08.01] [TB102900X08]</t>
  </si>
  <si>
    <t>｜｜｜裏込め砕石　C-40</t>
  </si>
  <si>
    <t>24号内訳書</t>
  </si>
  <si>
    <t>｜｜｜｜裏込め砕石　C-40</t>
  </si>
  <si>
    <t>31号代価表</t>
  </si>
  <si>
    <t>｜｜｜｜｜C-40　立川商店系列</t>
  </si>
  <si>
    <t xml:space="preserve">s20718098 </t>
  </si>
  <si>
    <t>[R08.01] [TB101700X08]</t>
  </si>
  <si>
    <t>｜｜｜ｺﾝｸﾘｰﾄ打設　0.7BH打設</t>
  </si>
  <si>
    <t>25号内訳書</t>
  </si>
  <si>
    <t>｜｜｜｜ｺﾝｸﾘｰﾄ打設　0.7BH打設</t>
  </si>
  <si>
    <t>32号代価表</t>
  </si>
  <si>
    <t>0.6m3級 (クレーン機能付 吊能力2.9t)</t>
  </si>
  <si>
    <t>[R08.01] [TMM11420X08]</t>
  </si>
  <si>
    <t>｜｜｜｜｜生コンクリート</t>
  </si>
  <si>
    <t>24-12-25(20)(普通) 生コンクリート小型車割増有</t>
  </si>
  <si>
    <t>33号代価表</t>
  </si>
  <si>
    <t>｜｜｜｜｜｜生コンクリート</t>
  </si>
  <si>
    <t>【24-12-20N】</t>
  </si>
  <si>
    <t>[R08.01] [TD126100X08]</t>
  </si>
  <si>
    <t>｜｜｜｜｜｜小型車割増費</t>
  </si>
  <si>
    <t>[TD124100X08]</t>
  </si>
  <si>
    <t>｜｜｜排水管　布設　φ150</t>
  </si>
  <si>
    <t>26号内訳書</t>
  </si>
  <si>
    <t>｜｜｜｜硬質塩化ビニル管布設</t>
  </si>
  <si>
    <t>37号代価表</t>
  </si>
  <si>
    <t>｜｜｜｜｜滑剤</t>
  </si>
  <si>
    <t>｜｜｜｜｜塩ビ管　VU150</t>
  </si>
  <si>
    <t>｜｜｜排水管　布設　φ200</t>
  </si>
  <si>
    <t>28号内訳書</t>
  </si>
  <si>
    <t>36号代価表</t>
  </si>
  <si>
    <t>｜｜｜｜｜塩ビ管　VU200</t>
  </si>
  <si>
    <t>予算</t>
    <phoneticPr fontId="6"/>
  </si>
  <si>
    <t>社員給料</t>
  </si>
  <si>
    <t>事務用品費</t>
  </si>
  <si>
    <t>電力用水光熱費</t>
  </si>
  <si>
    <t>通信費</t>
  </si>
  <si>
    <t>旅費交通費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</si>
  <si>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</si>
  <si>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</si>
  <si>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</si>
  <si>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</si>
  <si>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</si>
  <si>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</si>
  <si>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</si>
  <si>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</si>
  <si>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</si>
  <si>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</si>
  <si>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</si>
  <si>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</si>
  <si>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</si>
  <si>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</si>
  <si>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</si>
  <si>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</si>
  <si>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</si>
  <si>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(コピー機、トナー、文具、コピー用紙、その他)</t>
  </si>
  <si>
    <t>8号</t>
  </si>
  <si>
    <t>9号</t>
  </si>
  <si>
    <t>(携帯通話料、ネット回線契約、電話回線契約　等)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</si>
  <si>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</si>
  <si>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</si>
  <si>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</si>
  <si>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</si>
  <si>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</si>
  <si>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</si>
  <si>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</si>
  <si>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</si>
  <si>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</si>
  <si>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｜現場経費</t>
  </si>
  <si>
    <t>｜｜社員給料</t>
  </si>
  <si>
    <t>7号内訳書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</si>
  <si>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</si>
  <si>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</si>
  <si>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</si>
  <si>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</si>
  <si>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</si>
  <si>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</si>
  <si>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</si>
  <si>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</si>
  <si>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</si>
  <si>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</si>
  <si>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</si>
  <si>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</si>
  <si>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</si>
  <si>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</si>
  <si>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</si>
  <si>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実行予算講習会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</si>
  <si>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</si>
  <si>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</si>
  <si>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</si>
  <si>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</si>
  <si>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</si>
  <si>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</si>
  <si>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1号人孔　躯体</t>
    <phoneticPr fontId="6"/>
  </si>
  <si>
    <t>個</t>
    <phoneticPr fontId="6"/>
  </si>
  <si>
    <t>H=1200</t>
    <phoneticPr fontId="6"/>
  </si>
  <si>
    <t>材料費</t>
    <phoneticPr fontId="6"/>
  </si>
  <si>
    <t>1号人孔　斜壁</t>
    <phoneticPr fontId="6"/>
  </si>
  <si>
    <t>H=450</t>
    <phoneticPr fontId="6"/>
  </si>
  <si>
    <t>1号人孔　直壁</t>
    <phoneticPr fontId="6"/>
  </si>
  <si>
    <t>H=300</t>
    <phoneticPr fontId="6"/>
  </si>
  <si>
    <t>H=900</t>
    <phoneticPr fontId="6"/>
  </si>
  <si>
    <t>1号人孔　底版</t>
    <phoneticPr fontId="6"/>
  </si>
  <si>
    <t>φ900</t>
    <phoneticPr fontId="6"/>
  </si>
  <si>
    <t>C-40　立川商店系列</t>
    <phoneticPr fontId="6"/>
  </si>
  <si>
    <t>m3</t>
    <phoneticPr fontId="6"/>
  </si>
  <si>
    <t>RC-10</t>
    <phoneticPr fontId="6"/>
  </si>
  <si>
    <t>RC-40(ｔ)　町田環境ﾘｻｲｸﾙ産</t>
    <phoneticPr fontId="6"/>
  </si>
  <si>
    <t>10ｔﾀﾞﾝﾌﾟ配達　20ｷﾛ圏内</t>
    <phoneticPr fontId="6"/>
  </si>
  <si>
    <t>カルドレーン　W300</t>
    <phoneticPr fontId="6"/>
  </si>
  <si>
    <t>ｍ</t>
    <phoneticPr fontId="6"/>
  </si>
  <si>
    <t>擁壁用</t>
    <phoneticPr fontId="6"/>
  </si>
  <si>
    <t>バックホウ[排出ガス対策型(第2次基準値)]</t>
    <phoneticPr fontId="6"/>
  </si>
  <si>
    <t>供用日</t>
    <phoneticPr fontId="6"/>
  </si>
  <si>
    <t>クローラ型・山積0.28m3(平積0.2 m3)</t>
    <phoneticPr fontId="6"/>
  </si>
  <si>
    <t>バックホウ賃料</t>
    <phoneticPr fontId="6"/>
  </si>
  <si>
    <t>日</t>
    <phoneticPr fontId="6"/>
  </si>
  <si>
    <t>0.6m3級 (クレーン機能付 吊能力2.9t)</t>
    <phoneticPr fontId="6"/>
  </si>
  <si>
    <t>油圧式クローラ型0.6m3級</t>
    <phoneticPr fontId="6"/>
  </si>
  <si>
    <t>ランマ</t>
    <phoneticPr fontId="6"/>
  </si>
  <si>
    <t>質量60~80kg</t>
    <phoneticPr fontId="6"/>
  </si>
  <si>
    <t>レギュラーガソリン</t>
    <phoneticPr fontId="6"/>
  </si>
  <si>
    <t>L</t>
    <phoneticPr fontId="6"/>
  </si>
  <si>
    <t>スタンド</t>
    <phoneticPr fontId="6"/>
  </si>
  <si>
    <t>塩ビ管　VP75</t>
    <phoneticPr fontId="6"/>
  </si>
  <si>
    <t>本</t>
    <phoneticPr fontId="6"/>
  </si>
  <si>
    <t>直管</t>
    <phoneticPr fontId="6"/>
  </si>
  <si>
    <t>塩ビ管　VU150</t>
    <phoneticPr fontId="6"/>
  </si>
  <si>
    <t>片受直管</t>
    <phoneticPr fontId="6"/>
  </si>
  <si>
    <t>塩ビ管　VU200</t>
    <phoneticPr fontId="6"/>
  </si>
  <si>
    <t>滑剤</t>
    <phoneticPr fontId="6"/>
  </si>
  <si>
    <t>ｋｇ</t>
    <phoneticPr fontId="6"/>
  </si>
  <si>
    <t>塩ビ管用</t>
    <phoneticPr fontId="6"/>
  </si>
  <si>
    <t>材料調書</t>
    <phoneticPr fontId="6"/>
  </si>
  <si>
    <t>軽油</t>
    <phoneticPr fontId="6"/>
  </si>
  <si>
    <t>パトロール給油</t>
    <phoneticPr fontId="6"/>
  </si>
  <si>
    <t>小型ローリー・パトロール給油 2~4KL積載車</t>
    <phoneticPr fontId="6"/>
  </si>
  <si>
    <t>雑材</t>
    <phoneticPr fontId="6"/>
  </si>
  <si>
    <t>式</t>
    <phoneticPr fontId="6"/>
  </si>
  <si>
    <t>桟木</t>
    <phoneticPr fontId="6"/>
  </si>
  <si>
    <t>諸雑費</t>
    <phoneticPr fontId="6"/>
  </si>
  <si>
    <t>小型バックホウ[排出ガス対策型(第2次基準値)]</t>
    <phoneticPr fontId="6"/>
  </si>
  <si>
    <t>クローラ型・山積0.13 m3(平積0.10m3)</t>
    <phoneticPr fontId="6"/>
  </si>
  <si>
    <t>小型車割増費</t>
    <phoneticPr fontId="6"/>
  </si>
  <si>
    <t>生コン　18-8～18</t>
    <phoneticPr fontId="6"/>
  </si>
  <si>
    <t>ﾐｷｻ-車4ｔ・8ｔ共通</t>
    <phoneticPr fontId="6"/>
  </si>
  <si>
    <t>生コン　21-8～18</t>
    <phoneticPr fontId="6"/>
  </si>
  <si>
    <t>生コンクリート</t>
    <phoneticPr fontId="6"/>
  </si>
  <si>
    <t>【24-12-20N】</t>
    <phoneticPr fontId="6"/>
  </si>
  <si>
    <t>燃料　軽油</t>
    <phoneticPr fontId="6"/>
  </si>
  <si>
    <t>計</t>
    <phoneticPr fontId="6"/>
  </si>
  <si>
    <t>運転手(特殊)</t>
    <phoneticPr fontId="6"/>
  </si>
  <si>
    <t>人</t>
    <phoneticPr fontId="6"/>
  </si>
  <si>
    <t>労務費</t>
    <phoneticPr fontId="6"/>
  </si>
  <si>
    <t>技工</t>
    <phoneticPr fontId="6"/>
  </si>
  <si>
    <t>8H</t>
    <phoneticPr fontId="6"/>
  </si>
  <si>
    <t>左官工</t>
    <phoneticPr fontId="6"/>
  </si>
  <si>
    <t>世話役</t>
    <phoneticPr fontId="6"/>
  </si>
  <si>
    <t>土木一般世話役</t>
    <phoneticPr fontId="6"/>
  </si>
  <si>
    <t>特殊作業員</t>
    <phoneticPr fontId="6"/>
  </si>
  <si>
    <t>労務調書</t>
    <phoneticPr fontId="6"/>
  </si>
  <si>
    <t>普通作業員</t>
    <phoneticPr fontId="6"/>
  </si>
  <si>
    <t>ｲﾝﾀｰﾛｯｷﾝｸﾞ平板　ｺﾚｸｼｮﾝG　□300*60</t>
    <phoneticPr fontId="6"/>
  </si>
  <si>
    <t>m2</t>
    <phoneticPr fontId="6"/>
  </si>
  <si>
    <t>法定福利費込み</t>
    <phoneticPr fontId="6"/>
  </si>
  <si>
    <t>外注費</t>
    <phoneticPr fontId="6"/>
  </si>
  <si>
    <t>インバート</t>
    <phoneticPr fontId="6"/>
  </si>
  <si>
    <t>個所</t>
    <phoneticPr fontId="6"/>
  </si>
  <si>
    <t>鉄筋　材料加工　組み立て</t>
    <phoneticPr fontId="6"/>
  </si>
  <si>
    <t>㎏</t>
    <phoneticPr fontId="6"/>
  </si>
  <si>
    <t>普通型枠</t>
    <phoneticPr fontId="6"/>
  </si>
  <si>
    <t>BH0.15クレーン</t>
    <phoneticPr fontId="6"/>
  </si>
  <si>
    <t>日台</t>
    <phoneticPr fontId="6"/>
  </si>
  <si>
    <t>低騒音・超小</t>
    <phoneticPr fontId="6"/>
  </si>
  <si>
    <t>機械費</t>
    <phoneticPr fontId="6"/>
  </si>
  <si>
    <t>BH0.25</t>
    <phoneticPr fontId="6"/>
  </si>
  <si>
    <t>BH0.25クレーン</t>
    <phoneticPr fontId="6"/>
  </si>
  <si>
    <t>軽量鋼矢板損料</t>
    <phoneticPr fontId="6"/>
  </si>
  <si>
    <t>t・日</t>
    <phoneticPr fontId="6"/>
  </si>
  <si>
    <t>25㎏/m</t>
    <phoneticPr fontId="6"/>
  </si>
  <si>
    <t>小物機械   ﾊﾟｰﾄﾅ・丸ﾉｺ</t>
    <phoneticPr fontId="6"/>
  </si>
  <si>
    <t>台</t>
    <phoneticPr fontId="6"/>
  </si>
  <si>
    <t>ｸﾞﾗｲﾝﾀﾞ-・ｺｱ抜きﾄﾞﾘﾙ・ﾌﾞﾛｱ　等</t>
    <phoneticPr fontId="6"/>
  </si>
  <si>
    <t>機械調書</t>
    <phoneticPr fontId="6"/>
  </si>
  <si>
    <t>生コンポンプ車</t>
    <phoneticPr fontId="6"/>
  </si>
  <si>
    <t>小型</t>
    <phoneticPr fontId="6"/>
  </si>
  <si>
    <t>3tダンプ</t>
    <phoneticPr fontId="6"/>
  </si>
  <si>
    <t>燃料込</t>
    <phoneticPr fontId="6"/>
  </si>
  <si>
    <t>運搬費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</si>
</sst>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23</xdr:row>
          <xdr:rowOff>121920</xdr:rowOff>
        </xdr:from>
        <xdr:to>
          <xdr:col>1</xdr:col>
          <xdr:colOff>1150620</xdr:colOff>
          <xdr:row>25</xdr:row>
          <xdr:rowOff>7620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25</xdr:row>
          <xdr:rowOff>45720</xdr:rowOff>
        </xdr:from>
        <xdr:to>
          <xdr:col>1</xdr:col>
          <xdr:colOff>1150620</xdr:colOff>
          <xdr:row>26</xdr:row>
          <xdr:rowOff>99060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26</xdr:row>
          <xdr:rowOff>144780</xdr:rowOff>
        </xdr:from>
        <xdr:to>
          <xdr:col>1</xdr:col>
          <xdr:colOff>1150620</xdr:colOff>
          <xdr:row>27</xdr:row>
          <xdr:rowOff>182880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zoomScaleNormal="100" workbookViewId="0"/>
  </sheetViews>
  <sheetFormatPr defaultColWidth="8.09765625" defaultRowHeight="13.2"/>
  <cols>
    <col min="1" max="4" width="3.09765625" style="1" customWidth="1"/>
    <col min="5" max="8" width="4" style="1" customWidth="1"/>
    <col min="9" max="38" width="3.09765625" style="1" customWidth="1"/>
    <col min="39" max="39" width="1.59765625" style="1" customWidth="1"/>
    <col min="40" max="40" width="4.09765625" style="1" customWidth="1"/>
    <col min="41" max="42" width="3.09765625" style="1" customWidth="1"/>
    <col min="43" max="48" width="6" style="1" customWidth="1"/>
    <col min="49" max="16384" width="8.09765625" style="1"/>
  </cols>
  <sheetData>
    <row r="1" spans="1:42" ht="18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6.8" thickBot="1">
      <c r="A3" s="5"/>
      <c r="B3" s="257"/>
      <c r="C3" s="439" t="s">
        <v>2</v>
      </c>
      <c r="D3" s="440"/>
      <c r="E3" s="440"/>
      <c r="F3" s="440"/>
      <c r="G3" s="441"/>
      <c r="H3" s="442"/>
      <c r="I3" s="442"/>
      <c r="J3" s="442"/>
      <c r="K3" s="443"/>
      <c r="L3" s="257"/>
      <c r="M3" s="257"/>
      <c r="N3" s="257"/>
      <c r="O3" s="444" t="s">
        <v>145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146</v>
      </c>
      <c r="AI3" s="233"/>
      <c r="AJ3" s="233"/>
      <c r="AK3" s="233"/>
      <c r="AL3" s="233"/>
      <c r="AM3" s="6"/>
    </row>
    <row r="4" spans="1:42" ht="16.2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4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147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4">
      <c r="A12" s="5"/>
      <c r="B12" s="257"/>
      <c r="C12" s="257"/>
      <c r="D12" s="257"/>
      <c r="E12" s="417" t="s">
        <v>136</v>
      </c>
      <c r="F12" s="417"/>
      <c r="G12" s="417"/>
      <c r="H12" s="417"/>
      <c r="I12" s="422"/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12201950</v>
      </c>
      <c r="J16" s="420"/>
      <c r="K16" s="420"/>
      <c r="L16" s="420"/>
      <c r="M16" s="420"/>
      <c r="N16" s="420"/>
      <c r="O16" s="420"/>
      <c r="P16" s="420"/>
      <c r="Q16" s="416">
        <v>0</v>
      </c>
      <c r="R16" s="416"/>
      <c r="S16" s="416"/>
      <c r="U16" s="417" t="s">
        <v>16</v>
      </c>
      <c r="V16" s="418"/>
      <c r="W16" s="418"/>
      <c r="X16" s="418"/>
      <c r="Y16" s="419">
        <v>-12201950</v>
      </c>
      <c r="Z16" s="420"/>
      <c r="AA16" s="420"/>
      <c r="AB16" s="420"/>
      <c r="AC16" s="420"/>
      <c r="AD16" s="420"/>
      <c r="AE16" s="420"/>
      <c r="AF16" s="420"/>
      <c r="AG16" s="416">
        <v>0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/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/>
      <c r="G28" s="407"/>
      <c r="H28" s="407"/>
      <c r="I28" s="407"/>
      <c r="J28" s="407"/>
      <c r="K28" s="407"/>
      <c r="L28" s="387" t="s">
        <v>138</v>
      </c>
      <c r="M28" s="387"/>
      <c r="N28" s="388"/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/>
      <c r="Z28" s="407"/>
      <c r="AA28" s="407"/>
      <c r="AB28" s="407"/>
      <c r="AC28" s="407"/>
      <c r="AD28" s="407"/>
      <c r="AE28" s="387" t="s">
        <v>138</v>
      </c>
      <c r="AF28" s="387"/>
      <c r="AG28" s="388"/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09765625" defaultRowHeight="24.75" customHeight="1"/>
  <cols>
    <col min="1" max="1" width="1.19921875" style="36" customWidth="1"/>
    <col min="2" max="2" width="18.09765625" style="36" customWidth="1"/>
    <col min="3" max="3" width="11.59765625" style="36" customWidth="1"/>
    <col min="4" max="4" width="6.3984375" style="68" customWidth="1"/>
    <col min="5" max="18" width="7.09765625" style="36" customWidth="1"/>
    <col min="19" max="19" width="5.69921875" style="36" customWidth="1"/>
    <col min="20" max="16384" width="7.097656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147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/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/>
      <c r="D3" s="458"/>
      <c r="E3" s="272" t="s">
        <v>139</v>
      </c>
      <c r="F3" s="459"/>
      <c r="G3" s="459"/>
      <c r="H3" s="459"/>
      <c r="I3" s="273"/>
      <c r="J3" s="273"/>
      <c r="K3" s="460" t="s">
        <v>30</v>
      </c>
      <c r="L3" s="461"/>
      <c r="M3" s="462"/>
      <c r="N3" s="449">
        <v>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148</v>
      </c>
      <c r="C5" s="276">
        <v>1160000</v>
      </c>
      <c r="D5" s="335">
        <f>IF(C5&lt;&gt;"",C5/$C$20,"")</f>
        <v>0.10882873078492722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149</v>
      </c>
      <c r="C6" s="277">
        <v>1370000</v>
      </c>
      <c r="D6" s="336">
        <f t="shared" ref="D6:D17" si="0">IF(C6&lt;&gt;"",C6/$C$20,"")</f>
        <v>0.12853048377185369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150</v>
      </c>
      <c r="C7" s="277">
        <v>7300000</v>
      </c>
      <c r="D7" s="336">
        <f t="shared" si="0"/>
        <v>0.68487046097411097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151</v>
      </c>
      <c r="C8" s="277">
        <v>120353</v>
      </c>
      <c r="D8" s="336">
        <f t="shared" si="0"/>
        <v>1.1291262272550298E-2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152</v>
      </c>
      <c r="C9" s="277">
        <v>73373</v>
      </c>
      <c r="D9" s="336">
        <f t="shared" si="0"/>
        <v>6.8836986757607457E-3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153</v>
      </c>
      <c r="C10" s="277">
        <v>566770</v>
      </c>
      <c r="D10" s="336">
        <f t="shared" si="0"/>
        <v>5.317315495428724E-2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154</v>
      </c>
      <c r="C11" s="277">
        <v>51484</v>
      </c>
      <c r="D11" s="336">
        <f t="shared" si="0"/>
        <v>4.8301192894234426E-3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155</v>
      </c>
      <c r="C12" s="277">
        <v>4220</v>
      </c>
      <c r="D12" s="336">
        <f t="shared" si="0"/>
        <v>3.9591141716585593E-4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156</v>
      </c>
      <c r="C13" s="277">
        <v>12750</v>
      </c>
      <c r="D13" s="336">
        <f t="shared" si="0"/>
        <v>1.1961778599205363E-3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157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158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159</v>
      </c>
      <c r="C16" s="277">
        <v>0</v>
      </c>
      <c r="D16" s="336">
        <f t="shared" si="0"/>
        <v>0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160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161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162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10658950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83820</xdr:colOff>
                <xdr:row>23</xdr:row>
                <xdr:rowOff>121920</xdr:rowOff>
              </from>
              <to>
                <xdr:col>1</xdr:col>
                <xdr:colOff>1150620</xdr:colOff>
                <xdr:row>25</xdr:row>
                <xdr:rowOff>7620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83820</xdr:colOff>
                <xdr:row>25</xdr:row>
                <xdr:rowOff>45720</xdr:rowOff>
              </from>
              <to>
                <xdr:col>1</xdr:col>
                <xdr:colOff>1150620</xdr:colOff>
                <xdr:row>26</xdr:row>
                <xdr:rowOff>99060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83820</xdr:colOff>
                <xdr:row>26</xdr:row>
                <xdr:rowOff>144780</xdr:rowOff>
              </from>
              <to>
                <xdr:col>1</xdr:col>
                <xdr:colOff>1150620</xdr:colOff>
                <xdr:row>27</xdr:row>
                <xdr:rowOff>182880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19921875" defaultRowHeight="13.2"/>
  <cols>
    <col min="1" max="1" width="1.5" style="73" customWidth="1"/>
    <col min="2" max="2" width="15.19921875" style="73" customWidth="1"/>
    <col min="3" max="3" width="9.19921875" style="73" customWidth="1"/>
    <col min="4" max="4" width="5.59765625" style="73" customWidth="1"/>
    <col min="5" max="5" width="11.3984375" style="73" customWidth="1"/>
    <col min="6" max="6" width="15.19921875" style="73" customWidth="1"/>
    <col min="7" max="7" width="9.19921875" style="73" customWidth="1"/>
    <col min="8" max="8" width="5.59765625" style="73" customWidth="1"/>
    <col min="9" max="9" width="11.3984375" style="73" customWidth="1"/>
    <col min="10" max="10" width="15.19921875" style="73" customWidth="1"/>
    <col min="11" max="11" width="10.69921875" style="73" customWidth="1"/>
    <col min="12" max="12" width="5.59765625" style="73" customWidth="1"/>
    <col min="13" max="13" width="11.3984375" style="73" customWidth="1"/>
    <col min="14" max="14" width="2.09765625" style="73" customWidth="1"/>
    <col min="15" max="15" width="9.19921875" style="73" customWidth="1"/>
    <col min="16" max="16" width="13.19921875" style="73" customWidth="1"/>
    <col min="17" max="17" width="11.59765625" style="73" customWidth="1"/>
    <col min="18" max="18" width="9.5" style="73" customWidth="1"/>
    <col min="19" max="16384" width="8.1992187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148</v>
      </c>
      <c r="K5" s="282" t="s">
        <v>163</v>
      </c>
      <c r="L5" s="283" t="s">
        <v>164</v>
      </c>
      <c r="M5" s="284">
        <v>100</v>
      </c>
      <c r="N5" s="69"/>
      <c r="O5" s="285"/>
      <c r="P5" s="286"/>
      <c r="Q5" s="287"/>
      <c r="R5" s="288"/>
    </row>
    <row r="6" spans="1:18" ht="24.9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149</v>
      </c>
      <c r="K6" s="289" t="s">
        <v>163</v>
      </c>
      <c r="L6" s="290" t="s">
        <v>164</v>
      </c>
      <c r="M6" s="291">
        <v>100</v>
      </c>
      <c r="N6" s="69"/>
      <c r="O6" s="285"/>
      <c r="P6" s="286"/>
      <c r="Q6" s="287"/>
      <c r="R6" s="288"/>
    </row>
    <row r="7" spans="1:18" ht="24.9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150</v>
      </c>
      <c r="K7" s="289" t="s">
        <v>165</v>
      </c>
      <c r="L7" s="290" t="s">
        <v>166</v>
      </c>
      <c r="M7" s="291">
        <v>20</v>
      </c>
      <c r="N7" s="69"/>
      <c r="O7" s="285"/>
      <c r="P7" s="286"/>
      <c r="Q7" s="287"/>
      <c r="R7" s="288"/>
    </row>
    <row r="8" spans="1:18" ht="24.9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151</v>
      </c>
      <c r="K8" s="289"/>
      <c r="L8" s="290" t="s">
        <v>167</v>
      </c>
      <c r="M8" s="291">
        <v>11.435</v>
      </c>
      <c r="N8" s="69"/>
      <c r="O8" s="285"/>
      <c r="P8" s="286"/>
      <c r="Q8" s="287"/>
      <c r="R8" s="288"/>
    </row>
    <row r="9" spans="1:18" ht="24.9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152</v>
      </c>
      <c r="K9" s="289"/>
      <c r="L9" s="290" t="s">
        <v>167</v>
      </c>
      <c r="M9" s="291">
        <v>2.1179999999999999</v>
      </c>
      <c r="N9" s="69"/>
      <c r="O9" s="285"/>
      <c r="P9" s="286"/>
      <c r="Q9" s="287"/>
      <c r="R9" s="288"/>
    </row>
    <row r="10" spans="1:18" ht="24.9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153</v>
      </c>
      <c r="K10" s="289"/>
      <c r="L10" s="290" t="s">
        <v>167</v>
      </c>
      <c r="M10" s="291">
        <v>14.44</v>
      </c>
      <c r="N10" s="69"/>
      <c r="O10" s="285"/>
      <c r="P10" s="286"/>
      <c r="Q10" s="287"/>
      <c r="R10" s="288"/>
    </row>
    <row r="11" spans="1:18" ht="24.9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154</v>
      </c>
      <c r="K11" s="289"/>
      <c r="L11" s="290" t="s">
        <v>168</v>
      </c>
      <c r="M11" s="291">
        <v>15.3</v>
      </c>
      <c r="N11" s="69"/>
      <c r="O11" s="285"/>
      <c r="P11" s="286"/>
      <c r="Q11" s="287"/>
      <c r="R11" s="288"/>
    </row>
    <row r="12" spans="1:18" ht="24.9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155</v>
      </c>
      <c r="K12" s="289"/>
      <c r="L12" s="290" t="s">
        <v>164</v>
      </c>
      <c r="M12" s="291">
        <v>10</v>
      </c>
      <c r="N12" s="69"/>
      <c r="O12" s="285"/>
      <c r="P12" s="286"/>
      <c r="Q12" s="287"/>
      <c r="R12" s="288"/>
    </row>
    <row r="13" spans="1:18" ht="24.9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156</v>
      </c>
      <c r="K13" s="289"/>
      <c r="L13" s="290" t="s">
        <v>166</v>
      </c>
      <c r="M13" s="291">
        <v>10</v>
      </c>
      <c r="N13" s="69"/>
      <c r="O13" s="285"/>
      <c r="P13" s="286"/>
      <c r="Q13" s="287"/>
      <c r="R13" s="288"/>
    </row>
    <row r="14" spans="1:18" ht="24.9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157</v>
      </c>
      <c r="K14" s="289"/>
      <c r="L14" s="290" t="s">
        <v>169</v>
      </c>
      <c r="M14" s="291">
        <v>1</v>
      </c>
      <c r="N14" s="69"/>
      <c r="O14" s="69"/>
    </row>
    <row r="15" spans="1:18" ht="24.9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158</v>
      </c>
      <c r="K15" s="289" t="s">
        <v>170</v>
      </c>
      <c r="L15" s="290" t="s">
        <v>169</v>
      </c>
      <c r="M15" s="291">
        <v>1</v>
      </c>
      <c r="N15" s="69"/>
      <c r="O15" s="69"/>
    </row>
    <row r="16" spans="1:18" ht="24.9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159</v>
      </c>
      <c r="K16" s="289" t="s">
        <v>171</v>
      </c>
      <c r="L16" s="290" t="s">
        <v>169</v>
      </c>
      <c r="M16" s="291">
        <v>1</v>
      </c>
      <c r="N16" s="69"/>
      <c r="O16" s="69"/>
    </row>
    <row r="17" spans="1:23" ht="24.9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160</v>
      </c>
      <c r="K17" s="289" t="s">
        <v>172</v>
      </c>
      <c r="L17" s="290" t="s">
        <v>169</v>
      </c>
      <c r="M17" s="291">
        <v>1</v>
      </c>
      <c r="N17" s="69"/>
      <c r="O17" s="69"/>
    </row>
    <row r="18" spans="1:23" ht="24.9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161</v>
      </c>
      <c r="K18" s="289" t="s">
        <v>173</v>
      </c>
      <c r="L18" s="290" t="s">
        <v>169</v>
      </c>
      <c r="M18" s="291">
        <v>1</v>
      </c>
      <c r="N18" s="69"/>
      <c r="O18" s="69"/>
    </row>
    <row r="19" spans="1:23" ht="24.9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162</v>
      </c>
      <c r="K19" s="295" t="s">
        <v>174</v>
      </c>
      <c r="L19" s="296" t="s">
        <v>169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19921875" defaultRowHeight="13.2"/>
  <cols>
    <col min="1" max="1" width="3.3984375" style="73" customWidth="1"/>
    <col min="2" max="2" width="10.59765625" style="73" customWidth="1"/>
    <col min="3" max="3" width="2.3984375" style="73" customWidth="1"/>
    <col min="4" max="4" width="26.19921875" style="73" customWidth="1"/>
    <col min="5" max="5" width="18.69921875" style="73" customWidth="1"/>
    <col min="6" max="6" width="12" style="73" customWidth="1"/>
    <col min="7" max="7" width="6.5" style="73" customWidth="1"/>
    <col min="8" max="15" width="11.59765625" style="73" customWidth="1"/>
    <col min="16" max="16" width="3.3984375" style="73" customWidth="1"/>
    <col min="17" max="17" width="11.19921875" style="73" customWidth="1"/>
    <col min="18" max="18" width="8.19921875" style="73"/>
    <col min="19" max="19" width="6.59765625" style="73" customWidth="1"/>
    <col min="20" max="16384" width="8.1992187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147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147</v>
      </c>
      <c r="D5" s="512"/>
      <c r="E5" s="246" t="s">
        <v>133</v>
      </c>
      <c r="F5" s="513" t="s">
        <v>183</v>
      </c>
      <c r="G5" s="514"/>
      <c r="H5" s="246" t="s">
        <v>134</v>
      </c>
      <c r="I5" s="491"/>
      <c r="J5" s="515"/>
      <c r="K5" s="493"/>
      <c r="L5" s="106" t="s">
        <v>118</v>
      </c>
      <c r="M5" s="491" t="s">
        <v>184</v>
      </c>
      <c r="N5" s="515"/>
      <c r="O5" s="516"/>
      <c r="P5" s="69"/>
    </row>
    <row r="6" spans="1:17" ht="30" customHeight="1">
      <c r="A6" s="69"/>
      <c r="B6" s="107" t="s">
        <v>53</v>
      </c>
      <c r="C6" s="491"/>
      <c r="D6" s="493"/>
      <c r="E6" s="106"/>
      <c r="F6" s="108" t="s">
        <v>54</v>
      </c>
      <c r="G6" s="108" t="s">
        <v>55</v>
      </c>
      <c r="H6" s="109" t="s">
        <v>175</v>
      </c>
      <c r="I6" s="110" t="s">
        <v>176</v>
      </c>
      <c r="J6" s="110" t="s">
        <v>177</v>
      </c>
      <c r="K6" s="110" t="s">
        <v>178</v>
      </c>
      <c r="L6" s="110" t="s">
        <v>179</v>
      </c>
      <c r="M6" s="111" t="s">
        <v>180</v>
      </c>
      <c r="N6" s="110" t="s">
        <v>181</v>
      </c>
      <c r="O6" s="112" t="s">
        <v>182</v>
      </c>
      <c r="P6" s="247"/>
      <c r="Q6" s="248"/>
    </row>
    <row r="7" spans="1:17" ht="30" customHeight="1">
      <c r="A7" s="69"/>
      <c r="B7" s="107" t="s">
        <v>56</v>
      </c>
      <c r="C7" s="491"/>
      <c r="D7" s="493"/>
      <c r="E7" s="113" t="s">
        <v>57</v>
      </c>
      <c r="F7" s="249"/>
      <c r="G7" s="334"/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12201950</v>
      </c>
      <c r="G8" s="334"/>
      <c r="H8" s="250">
        <v>4968637</v>
      </c>
      <c r="I8" s="251">
        <v>4460621</v>
      </c>
      <c r="J8" s="251">
        <v>1538220</v>
      </c>
      <c r="K8" s="251">
        <v>961027</v>
      </c>
      <c r="L8" s="252">
        <v>175911</v>
      </c>
      <c r="M8" s="252">
        <v>97272</v>
      </c>
      <c r="N8" s="253"/>
      <c r="O8" s="254"/>
      <c r="P8" s="255"/>
      <c r="Q8" s="235"/>
    </row>
    <row r="9" spans="1:17" ht="30" customHeight="1">
      <c r="A9" s="69"/>
      <c r="B9" s="107" t="s">
        <v>21</v>
      </c>
      <c r="C9" s="491"/>
      <c r="D9" s="493"/>
      <c r="E9" s="114" t="s">
        <v>60</v>
      </c>
      <c r="F9" s="249">
        <v>12201950</v>
      </c>
      <c r="G9" s="334"/>
      <c r="H9" s="250">
        <v>4968637</v>
      </c>
      <c r="I9" s="251">
        <v>4460621</v>
      </c>
      <c r="J9" s="251">
        <v>1538220</v>
      </c>
      <c r="K9" s="251">
        <v>961027</v>
      </c>
      <c r="L9" s="252">
        <v>175911</v>
      </c>
      <c r="M9" s="252">
        <v>97272</v>
      </c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146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/>
      <c r="G11" s="334"/>
      <c r="H11" s="250"/>
      <c r="I11" s="253"/>
      <c r="J11" s="253"/>
      <c r="K11" s="253"/>
      <c r="L11" s="251"/>
      <c r="M11" s="252"/>
      <c r="N11" s="253"/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185</v>
      </c>
      <c r="D12" s="492"/>
      <c r="E12" s="113" t="s">
        <v>66</v>
      </c>
      <c r="F12" s="249">
        <v>-12201950</v>
      </c>
      <c r="G12" s="334"/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/>
      <c r="D13" s="492"/>
      <c r="E13" s="169" t="s">
        <v>110</v>
      </c>
      <c r="F13" s="249"/>
      <c r="G13" s="334"/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/>
      <c r="D14" s="493"/>
      <c r="E14" s="114" t="s">
        <v>111</v>
      </c>
      <c r="F14" s="249"/>
      <c r="G14" s="334"/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186</v>
      </c>
      <c r="D15" s="495"/>
      <c r="E15" s="114" t="s">
        <v>112</v>
      </c>
      <c r="F15" s="249"/>
      <c r="G15" s="334"/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186</v>
      </c>
      <c r="D16" s="493"/>
      <c r="E16" s="113" t="s">
        <v>113</v>
      </c>
      <c r="F16" s="249">
        <v>-12201950</v>
      </c>
      <c r="G16" s="334"/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/>
      <c r="G17" s="334"/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-12201950</v>
      </c>
      <c r="G18" s="334"/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37"/>
  <sheetViews>
    <sheetView zoomScaleNormal="100" zoomScaleSheetLayoutView="100" workbookViewId="0"/>
  </sheetViews>
  <sheetFormatPr defaultColWidth="9" defaultRowHeight="13.2"/>
  <cols>
    <col min="1" max="1" width="2.5" style="73" customWidth="1"/>
    <col min="2" max="2" width="15.59765625" style="73" customWidth="1"/>
    <col min="3" max="3" width="33.3984375" style="73" customWidth="1"/>
    <col min="4" max="4" width="6.69921875" style="73" customWidth="1"/>
    <col min="5" max="5" width="12.8984375" style="73" customWidth="1"/>
    <col min="6" max="6" width="15.5" style="73" customWidth="1"/>
    <col min="7" max="7" width="17.5" style="73" customWidth="1"/>
    <col min="8" max="8" width="8.09765625" style="73" customWidth="1"/>
    <col min="9" max="9" width="12.59765625" style="73" customWidth="1"/>
    <col min="10" max="10" width="20.59765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" customHeight="1">
      <c r="A3" s="144"/>
      <c r="B3" s="298" t="s">
        <v>89</v>
      </c>
      <c r="C3" s="219" t="s">
        <v>147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399999999999999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187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188</v>
      </c>
      <c r="C8" s="166"/>
      <c r="D8" s="517" t="s">
        <v>169</v>
      </c>
      <c r="E8" s="519">
        <v>1</v>
      </c>
      <c r="F8" s="521">
        <v>12201950</v>
      </c>
      <c r="G8" s="523">
        <v>12201950</v>
      </c>
      <c r="H8" s="351" t="s">
        <v>190</v>
      </c>
      <c r="I8" s="525" t="s">
        <v>192</v>
      </c>
      <c r="J8" s="227"/>
      <c r="K8" s="69" t="s">
        <v>96</v>
      </c>
    </row>
    <row r="9" spans="1:11" ht="15.6" customHeight="1">
      <c r="A9" s="69"/>
      <c r="B9" s="224" t="s">
        <v>189</v>
      </c>
      <c r="C9" s="225"/>
      <c r="D9" s="518"/>
      <c r="E9" s="520"/>
      <c r="F9" s="522"/>
      <c r="G9" s="524"/>
      <c r="H9" s="352" t="s">
        <v>191</v>
      </c>
      <c r="I9" s="526"/>
      <c r="J9" s="227"/>
      <c r="K9" s="69" t="s">
        <v>96</v>
      </c>
    </row>
    <row r="10" spans="1:11" ht="15.6" customHeight="1">
      <c r="A10" s="69"/>
      <c r="B10" s="222" t="s">
        <v>193</v>
      </c>
      <c r="C10" s="166"/>
      <c r="D10" s="517"/>
      <c r="E10" s="519"/>
      <c r="F10" s="521"/>
      <c r="G10" s="523">
        <v>12201950</v>
      </c>
      <c r="H10" s="351"/>
      <c r="I10" s="525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/>
      <c r="I11" s="526"/>
      <c r="J11" s="226"/>
      <c r="K11" s="69" t="s">
        <v>96</v>
      </c>
    </row>
    <row r="12" spans="1:11" ht="15.6" customHeight="1">
      <c r="A12" s="69"/>
      <c r="B12" s="222"/>
      <c r="C12" s="166"/>
      <c r="D12" s="517"/>
      <c r="E12" s="519"/>
      <c r="F12" s="521"/>
      <c r="G12" s="523"/>
      <c r="H12" s="351"/>
      <c r="I12" s="525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526"/>
      <c r="J13" s="226"/>
      <c r="K13" s="69" t="s">
        <v>96</v>
      </c>
    </row>
    <row r="14" spans="1:11" ht="15.6" customHeight="1">
      <c r="A14" s="69"/>
      <c r="B14" s="222" t="s">
        <v>194</v>
      </c>
      <c r="C14" s="166"/>
      <c r="D14" s="517"/>
      <c r="E14" s="519"/>
      <c r="F14" s="521"/>
      <c r="G14" s="523"/>
      <c r="H14" s="351"/>
      <c r="I14" s="525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526"/>
      <c r="J15" s="226"/>
      <c r="K15" s="69" t="s">
        <v>96</v>
      </c>
    </row>
    <row r="16" spans="1:11" ht="15.6" customHeight="1">
      <c r="A16" s="69"/>
      <c r="B16" s="222" t="s">
        <v>195</v>
      </c>
      <c r="C16" s="166"/>
      <c r="D16" s="517"/>
      <c r="E16" s="519"/>
      <c r="F16" s="521"/>
      <c r="G16" s="523"/>
      <c r="H16" s="351"/>
      <c r="I16" s="525"/>
      <c r="J16" s="223"/>
      <c r="K16" s="69" t="s">
        <v>96</v>
      </c>
    </row>
    <row r="17" spans="1:11" ht="15.6" customHeight="1">
      <c r="A17" s="69"/>
      <c r="B17" s="224" t="s">
        <v>189</v>
      </c>
      <c r="C17" s="225"/>
      <c r="D17" s="518"/>
      <c r="E17" s="520"/>
      <c r="F17" s="522"/>
      <c r="G17" s="524"/>
      <c r="H17" s="352"/>
      <c r="I17" s="526"/>
      <c r="J17" s="226"/>
      <c r="K17" s="69" t="s">
        <v>96</v>
      </c>
    </row>
    <row r="18" spans="1:11" ht="15.6" customHeight="1">
      <c r="A18" s="69"/>
      <c r="B18" s="222" t="s">
        <v>196</v>
      </c>
      <c r="C18" s="166"/>
      <c r="D18" s="517"/>
      <c r="E18" s="519"/>
      <c r="F18" s="521"/>
      <c r="G18" s="523"/>
      <c r="H18" s="351"/>
      <c r="I18" s="525"/>
      <c r="J18" s="223"/>
      <c r="K18" s="69" t="s">
        <v>96</v>
      </c>
    </row>
    <row r="19" spans="1:11" ht="15.6" customHeight="1">
      <c r="A19" s="69"/>
      <c r="B19" s="224" t="s">
        <v>189</v>
      </c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525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 t="s">
        <v>197</v>
      </c>
      <c r="C22" s="166"/>
      <c r="D22" s="517"/>
      <c r="E22" s="519"/>
      <c r="F22" s="521"/>
      <c r="G22" s="523">
        <v>12201950</v>
      </c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198</v>
      </c>
      <c r="C26" s="166"/>
      <c r="D26" s="517"/>
      <c r="E26" s="519"/>
      <c r="F26" s="521"/>
      <c r="G26" s="523">
        <v>-12201950</v>
      </c>
      <c r="H26" s="351"/>
      <c r="I26" s="525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131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525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</sheetData>
  <mergeCells count="82"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A8B5-AFF2-441B-BE93-A2437E57EE9C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2"/>
  <cols>
    <col min="1" max="1" width="2.5" style="73" customWidth="1"/>
    <col min="2" max="2" width="15.59765625" style="73" customWidth="1"/>
    <col min="3" max="3" width="33.3984375" style="73" customWidth="1"/>
    <col min="4" max="4" width="6.69921875" style="73" customWidth="1"/>
    <col min="5" max="5" width="12.8984375" style="73" customWidth="1"/>
    <col min="6" max="6" width="15.5" style="73" customWidth="1"/>
    <col min="7" max="7" width="17.5" style="73" customWidth="1"/>
    <col min="8" max="8" width="8.09765625" style="73" customWidth="1"/>
    <col min="9" max="9" width="12.59765625" style="73" customWidth="1"/>
    <col min="10" max="10" width="20.59765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" customHeight="1">
      <c r="A3" s="144"/>
      <c r="B3" s="298" t="s">
        <v>89</v>
      </c>
      <c r="C3" s="219" t="s">
        <v>201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399999999999999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199</v>
      </c>
      <c r="C6" s="166"/>
      <c r="D6" s="517" t="s">
        <v>169</v>
      </c>
      <c r="E6" s="519">
        <v>1</v>
      </c>
      <c r="F6" s="521">
        <v>12201950</v>
      </c>
      <c r="G6" s="523">
        <v>12201950</v>
      </c>
      <c r="H6" s="351" t="s">
        <v>190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191</v>
      </c>
      <c r="I7" s="352"/>
      <c r="J7" s="226"/>
      <c r="K7" s="69" t="s">
        <v>96</v>
      </c>
    </row>
    <row r="8" spans="1:11" ht="15.6" customHeight="1">
      <c r="A8" s="69"/>
      <c r="B8" s="222"/>
      <c r="C8" s="166"/>
      <c r="D8" s="517"/>
      <c r="E8" s="519"/>
      <c r="F8" s="521"/>
      <c r="G8" s="523"/>
      <c r="H8" s="351"/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/>
      <c r="I9" s="352"/>
      <c r="J9" s="227"/>
      <c r="K9" s="69" t="s">
        <v>96</v>
      </c>
    </row>
    <row r="10" spans="1:11" ht="15.6" customHeight="1">
      <c r="A10" s="69"/>
      <c r="B10" s="222" t="s">
        <v>200</v>
      </c>
      <c r="C10" s="166"/>
      <c r="D10" s="517"/>
      <c r="E10" s="519"/>
      <c r="F10" s="521"/>
      <c r="G10" s="523">
        <v>12201950</v>
      </c>
      <c r="H10" s="351"/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/>
      <c r="I11" s="352"/>
      <c r="J11" s="226"/>
      <c r="K11" s="69" t="s">
        <v>96</v>
      </c>
    </row>
    <row r="12" spans="1:11" ht="15.6" customHeight="1">
      <c r="A12" s="69"/>
      <c r="B12" s="222"/>
      <c r="C12" s="166"/>
      <c r="D12" s="517"/>
      <c r="E12" s="519"/>
      <c r="F12" s="521"/>
      <c r="G12" s="523"/>
      <c r="H12" s="351"/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/>
      <c r="I13" s="352"/>
      <c r="J13" s="226"/>
      <c r="K13" s="69" t="s">
        <v>96</v>
      </c>
    </row>
    <row r="14" spans="1:11" ht="15.6" customHeight="1">
      <c r="A14" s="69"/>
      <c r="B14" s="222"/>
      <c r="C14" s="166"/>
      <c r="D14" s="517"/>
      <c r="E14" s="519"/>
      <c r="F14" s="521"/>
      <c r="G14" s="523"/>
      <c r="H14" s="351"/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/>
      <c r="I15" s="352"/>
      <c r="J15" s="226"/>
      <c r="K15" s="69" t="s">
        <v>96</v>
      </c>
    </row>
    <row r="16" spans="1:11" ht="15.6" customHeight="1">
      <c r="A16" s="69"/>
      <c r="B16" s="222"/>
      <c r="C16" s="166"/>
      <c r="D16" s="517"/>
      <c r="E16" s="519"/>
      <c r="F16" s="521"/>
      <c r="G16" s="523"/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/>
      <c r="C20" s="166"/>
      <c r="D20" s="517"/>
      <c r="E20" s="519"/>
      <c r="F20" s="521"/>
      <c r="G20" s="523"/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91"/>
  <sheetViews>
    <sheetView tabSelected="1" zoomScaleNormal="100" zoomScaleSheetLayoutView="85" workbookViewId="0">
      <pane xSplit="4" ySplit="4" topLeftCell="E5" activePane="bottomRight" state="frozen"/>
      <selection pane="topRight"/>
      <selection pane="bottomLeft"/>
      <selection pane="bottomRight" activeCell="AF253" sqref="AF253"/>
    </sheetView>
  </sheetViews>
  <sheetFormatPr defaultColWidth="8.19921875" defaultRowHeight="13.2"/>
  <cols>
    <col min="1" max="1" width="3.59765625" style="216" customWidth="1"/>
    <col min="2" max="2" width="11.59765625" style="216" customWidth="1"/>
    <col min="3" max="3" width="6.3984375" style="305" customWidth="1"/>
    <col min="4" max="4" width="32.59765625" style="216" customWidth="1"/>
    <col min="5" max="5" width="22.3984375" style="216" customWidth="1"/>
    <col min="6" max="6" width="4.8984375" style="189" customWidth="1"/>
    <col min="7" max="7" width="7.8984375" style="216" customWidth="1"/>
    <col min="8" max="8" width="10.3984375" style="216" customWidth="1"/>
    <col min="9" max="9" width="11.3984375" style="216" customWidth="1"/>
    <col min="10" max="10" width="6.5" style="216" customWidth="1"/>
    <col min="11" max="11" width="1.59765625" style="189" customWidth="1"/>
    <col min="12" max="14" width="6.5" style="216" customWidth="1"/>
    <col min="15" max="15" width="7.8984375" style="216" hidden="1" customWidth="1"/>
    <col min="16" max="16" width="10.3984375" style="216" hidden="1" customWidth="1"/>
    <col min="17" max="17" width="11.3984375" style="216" hidden="1" customWidth="1"/>
    <col min="18" max="18" width="6.5" style="216" hidden="1" customWidth="1"/>
    <col min="19" max="19" width="1.59765625" style="189" hidden="1" customWidth="1"/>
    <col min="20" max="22" width="6.5" style="216" hidden="1" customWidth="1"/>
    <col min="23" max="23" width="7.8984375" style="216" hidden="1" customWidth="1"/>
    <col min="24" max="24" width="10.3984375" style="216" hidden="1" customWidth="1"/>
    <col min="25" max="25" width="11.3984375" style="216" hidden="1" customWidth="1"/>
    <col min="26" max="26" width="6.5" style="216" hidden="1" customWidth="1"/>
    <col min="27" max="27" width="1.59765625" style="189" hidden="1" customWidth="1"/>
    <col min="28" max="30" width="6.5" style="216" hidden="1" customWidth="1"/>
    <col min="31" max="31" width="5.19921875" style="216" customWidth="1"/>
    <col min="32" max="32" width="28.69921875" style="314" customWidth="1"/>
    <col min="33" max="33" width="1.8984375" style="216" customWidth="1"/>
    <col min="34" max="16384" width="8.19921875" style="216"/>
  </cols>
  <sheetData>
    <row r="1" spans="1:32" ht="22.5" customHeight="1" thickBot="1">
      <c r="A1" s="303"/>
      <c r="B1" s="304"/>
      <c r="D1" s="350" t="str">
        <f>IF(実行予算書鑑!I10="","",実行予算書鑑!I10)</f>
        <v>実行予算講習会</v>
      </c>
      <c r="G1" s="306"/>
      <c r="H1" s="190" t="s">
        <v>140</v>
      </c>
      <c r="I1" s="333">
        <v>0</v>
      </c>
      <c r="J1" s="339" t="e">
        <f>I4/I$1</f>
        <v>#DIV/0!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147</v>
      </c>
      <c r="E4" s="342"/>
      <c r="F4" s="345" t="s">
        <v>169</v>
      </c>
      <c r="G4" s="308">
        <v>1</v>
      </c>
      <c r="H4" s="309">
        <v>12201950</v>
      </c>
      <c r="I4" s="309">
        <v>12201950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203</v>
      </c>
      <c r="D5" s="340" t="s">
        <v>204</v>
      </c>
      <c r="E5" s="342"/>
      <c r="F5" s="345" t="s">
        <v>169</v>
      </c>
      <c r="G5" s="308">
        <v>1</v>
      </c>
      <c r="H5" s="309">
        <v>12201950</v>
      </c>
      <c r="I5" s="309">
        <v>12201950</v>
      </c>
      <c r="J5" s="211"/>
      <c r="K5" s="212" t="str">
        <f>IF(OR(J5="",G5=J5),"","*")</f>
        <v/>
      </c>
      <c r="L5" s="338">
        <f>IF($A5&lt;=L$1,I5/I$4,"")</f>
        <v>1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191</v>
      </c>
      <c r="D6" s="340" t="s">
        <v>205</v>
      </c>
      <c r="E6" s="342"/>
      <c r="F6" s="345" t="s">
        <v>169</v>
      </c>
      <c r="G6" s="308">
        <v>1</v>
      </c>
      <c r="H6" s="309">
        <v>12201950</v>
      </c>
      <c r="I6" s="309">
        <v>12201950</v>
      </c>
      <c r="J6" s="211">
        <v>1</v>
      </c>
      <c r="K6" s="212" t="str">
        <f>IF(OR(J6="",G6=J6),"","*")</f>
        <v/>
      </c>
      <c r="L6" s="338">
        <f>IF($A6&lt;=L$1,I6/I$4,"")</f>
        <v>1</v>
      </c>
      <c r="M6" s="343"/>
      <c r="N6" s="344" t="s">
        <v>206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207</v>
      </c>
      <c r="D7" s="340" t="s">
        <v>208</v>
      </c>
      <c r="E7" s="342"/>
      <c r="F7" s="345" t="s">
        <v>164</v>
      </c>
      <c r="G7" s="308">
        <v>100</v>
      </c>
      <c r="H7" s="309">
        <v>11600</v>
      </c>
      <c r="I7" s="309">
        <v>1160000</v>
      </c>
      <c r="J7" s="211">
        <v>10</v>
      </c>
      <c r="K7" s="212" t="str">
        <f>IF(OR(J7="",G7=J7),"","*")</f>
        <v>*</v>
      </c>
      <c r="L7" s="338">
        <f>IF($A7&lt;=L$1,I7/I$4,"")</f>
        <v>9.5066772114293208E-2</v>
      </c>
      <c r="M7" s="343"/>
      <c r="N7" s="344" t="s">
        <v>209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210</v>
      </c>
      <c r="D8" s="340" t="s">
        <v>211</v>
      </c>
      <c r="E8" s="342" t="s">
        <v>163</v>
      </c>
      <c r="F8" s="345" t="s">
        <v>164</v>
      </c>
      <c r="G8" s="308">
        <v>10</v>
      </c>
      <c r="H8" s="309">
        <v>11600</v>
      </c>
      <c r="I8" s="309">
        <v>116000</v>
      </c>
      <c r="J8" s="211">
        <v>10</v>
      </c>
      <c r="K8" s="212" t="str">
        <f>IF(OR(J8="",G8=J8),"","*")</f>
        <v/>
      </c>
      <c r="L8" s="338" t="str">
        <f>IF($A8&lt;=L$1,I8/I$4,"")</f>
        <v/>
      </c>
      <c r="M8" s="343"/>
      <c r="N8" s="344" t="s">
        <v>212</v>
      </c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5</v>
      </c>
      <c r="B9" s="342"/>
      <c r="C9" s="342" t="s">
        <v>210</v>
      </c>
      <c r="D9" s="340" t="s">
        <v>213</v>
      </c>
      <c r="E9" s="342"/>
      <c r="F9" s="345" t="s">
        <v>167</v>
      </c>
      <c r="G9" s="308">
        <v>6.93</v>
      </c>
      <c r="H9" s="309">
        <v>3500</v>
      </c>
      <c r="I9" s="309">
        <v>24255</v>
      </c>
      <c r="J9" s="211">
        <v>100</v>
      </c>
      <c r="K9" s="212" t="str">
        <f>IF(OR(J9="",G9=J9),"","*")</f>
        <v>*</v>
      </c>
      <c r="L9" s="338" t="str">
        <f>IF($A9&lt;=L$1,I9/I$4,"")</f>
        <v/>
      </c>
      <c r="M9" s="343"/>
      <c r="N9" s="344" t="s">
        <v>214</v>
      </c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 t="s">
        <v>215</v>
      </c>
    </row>
    <row r="10" spans="1:32">
      <c r="A10" s="307">
        <v>6</v>
      </c>
      <c r="B10" s="342"/>
      <c r="C10" s="342" t="s">
        <v>210</v>
      </c>
      <c r="D10" s="340" t="s">
        <v>216</v>
      </c>
      <c r="E10" s="342"/>
      <c r="F10" s="345" t="s">
        <v>217</v>
      </c>
      <c r="G10" s="308">
        <v>5</v>
      </c>
      <c r="H10" s="309">
        <v>50808</v>
      </c>
      <c r="I10" s="309">
        <v>254040</v>
      </c>
      <c r="J10" s="211">
        <v>1</v>
      </c>
      <c r="K10" s="212" t="str">
        <f>IF(OR(J10="",G10=J10),"","*")</f>
        <v>*</v>
      </c>
      <c r="L10" s="338" t="str">
        <f>IF($A10&lt;=L$1,I10/I$4,"")</f>
        <v/>
      </c>
      <c r="M10" s="343"/>
      <c r="N10" s="344" t="s">
        <v>218</v>
      </c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7</v>
      </c>
      <c r="B11" s="342"/>
      <c r="C11" s="342" t="s">
        <v>176</v>
      </c>
      <c r="D11" s="340" t="s">
        <v>219</v>
      </c>
      <c r="E11" s="342"/>
      <c r="F11" s="345" t="s">
        <v>220</v>
      </c>
      <c r="G11" s="308">
        <v>1</v>
      </c>
      <c r="H11" s="309">
        <v>30500</v>
      </c>
      <c r="I11" s="309">
        <v>30500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7</v>
      </c>
      <c r="B12" s="342"/>
      <c r="C12" s="342" t="s">
        <v>175</v>
      </c>
      <c r="D12" s="340" t="s">
        <v>221</v>
      </c>
      <c r="E12" s="342" t="s">
        <v>222</v>
      </c>
      <c r="F12" s="345" t="s">
        <v>223</v>
      </c>
      <c r="G12" s="308">
        <v>22.4</v>
      </c>
      <c r="H12" s="309">
        <v>126</v>
      </c>
      <c r="I12" s="309">
        <v>2822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7</v>
      </c>
      <c r="B13" s="342"/>
      <c r="C13" s="342" t="s">
        <v>178</v>
      </c>
      <c r="D13" s="340" t="s">
        <v>224</v>
      </c>
      <c r="E13" s="342" t="s">
        <v>225</v>
      </c>
      <c r="F13" s="345" t="s">
        <v>226</v>
      </c>
      <c r="G13" s="308">
        <v>1.78</v>
      </c>
      <c r="H13" s="309">
        <v>6080</v>
      </c>
      <c r="I13" s="309">
        <v>10822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7</v>
      </c>
      <c r="B14" s="342"/>
      <c r="C14" s="342" t="s">
        <v>180</v>
      </c>
      <c r="D14" s="340" t="s">
        <v>227</v>
      </c>
      <c r="E14" s="342"/>
      <c r="F14" s="345" t="s">
        <v>169</v>
      </c>
      <c r="G14" s="308">
        <v>1</v>
      </c>
      <c r="H14" s="309">
        <v>6664</v>
      </c>
      <c r="I14" s="309">
        <v>6664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6</v>
      </c>
      <c r="B15" s="342"/>
      <c r="C15" s="342" t="s">
        <v>176</v>
      </c>
      <c r="D15" s="340" t="s">
        <v>228</v>
      </c>
      <c r="E15" s="342"/>
      <c r="F15" s="345" t="s">
        <v>220</v>
      </c>
      <c r="G15" s="308">
        <v>3</v>
      </c>
      <c r="H15" s="309">
        <v>26800</v>
      </c>
      <c r="I15" s="309">
        <v>80400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6</v>
      </c>
      <c r="B16" s="342"/>
      <c r="C16" s="342" t="s">
        <v>180</v>
      </c>
      <c r="D16" s="340" t="s">
        <v>229</v>
      </c>
      <c r="E16" s="342"/>
      <c r="F16" s="345" t="s">
        <v>169</v>
      </c>
      <c r="G16" s="308">
        <v>1</v>
      </c>
      <c r="H16" s="309">
        <v>15560</v>
      </c>
      <c r="I16" s="309">
        <v>15560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5</v>
      </c>
      <c r="B17" s="342"/>
      <c r="C17" s="342" t="s">
        <v>210</v>
      </c>
      <c r="D17" s="340" t="s">
        <v>230</v>
      </c>
      <c r="E17" s="342"/>
      <c r="F17" s="345" t="s">
        <v>168</v>
      </c>
      <c r="G17" s="308">
        <v>6.6</v>
      </c>
      <c r="H17" s="309">
        <v>640</v>
      </c>
      <c r="I17" s="309">
        <v>4224</v>
      </c>
      <c r="J17" s="211">
        <v>100</v>
      </c>
      <c r="K17" s="212" t="str">
        <f>IF(OR(J17="",G17=J17),"","*")</f>
        <v>*</v>
      </c>
      <c r="L17" s="338" t="str">
        <f>IF($A17&lt;=L$1,I17/I$4,"")</f>
        <v/>
      </c>
      <c r="M17" s="343"/>
      <c r="N17" s="344" t="s">
        <v>231</v>
      </c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/>
      <c r="AF17" s="341" t="s">
        <v>232</v>
      </c>
    </row>
    <row r="18" spans="1:32">
      <c r="A18" s="307">
        <v>6</v>
      </c>
      <c r="B18" s="342"/>
      <c r="C18" s="342" t="s">
        <v>176</v>
      </c>
      <c r="D18" s="340" t="s">
        <v>228</v>
      </c>
      <c r="E18" s="342"/>
      <c r="F18" s="345" t="s">
        <v>220</v>
      </c>
      <c r="G18" s="308">
        <v>2</v>
      </c>
      <c r="H18" s="309">
        <v>26800</v>
      </c>
      <c r="I18" s="309">
        <v>53600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6</v>
      </c>
      <c r="B19" s="342"/>
      <c r="C19" s="342" t="s">
        <v>180</v>
      </c>
      <c r="D19" s="340" t="s">
        <v>229</v>
      </c>
      <c r="E19" s="342"/>
      <c r="F19" s="345" t="s">
        <v>169</v>
      </c>
      <c r="G19" s="308">
        <v>1</v>
      </c>
      <c r="H19" s="309">
        <v>10400</v>
      </c>
      <c r="I19" s="309">
        <v>10400</v>
      </c>
      <c r="J19" s="211"/>
      <c r="K19" s="212" t="str">
        <f>IF(OR(J19="",G19=J19),"","*")</f>
        <v/>
      </c>
      <c r="L19" s="338" t="str">
        <f>IF($A19&lt;=L$1,I19/I$4,"")</f>
        <v/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5</v>
      </c>
      <c r="B20" s="342"/>
      <c r="C20" s="342" t="s">
        <v>210</v>
      </c>
      <c r="D20" s="340" t="s">
        <v>233</v>
      </c>
      <c r="E20" s="342"/>
      <c r="F20" s="345" t="s">
        <v>167</v>
      </c>
      <c r="G20" s="308">
        <v>2.31</v>
      </c>
      <c r="H20" s="309">
        <v>10400</v>
      </c>
      <c r="I20" s="309">
        <v>24024</v>
      </c>
      <c r="J20" s="211">
        <v>10</v>
      </c>
      <c r="K20" s="212" t="str">
        <f>IF(OR(J20="",G20=J20),"","*")</f>
        <v>*</v>
      </c>
      <c r="L20" s="338" t="str">
        <f>IF($A20&lt;=L$1,I20/I$4,"")</f>
        <v/>
      </c>
      <c r="M20" s="343"/>
      <c r="N20" s="344" t="s">
        <v>234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 t="s">
        <v>235</v>
      </c>
    </row>
    <row r="21" spans="1:32">
      <c r="A21" s="307">
        <v>6</v>
      </c>
      <c r="B21" s="342"/>
      <c r="C21" s="342" t="s">
        <v>175</v>
      </c>
      <c r="D21" s="340" t="s">
        <v>236</v>
      </c>
      <c r="E21" s="342"/>
      <c r="F21" s="345" t="s">
        <v>169</v>
      </c>
      <c r="G21" s="308">
        <v>1</v>
      </c>
      <c r="H21" s="309">
        <v>5000</v>
      </c>
      <c r="I21" s="309">
        <v>5000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237</v>
      </c>
      <c r="AF21" s="341"/>
    </row>
    <row r="22" spans="1:32">
      <c r="A22" s="307">
        <v>6</v>
      </c>
      <c r="B22" s="342"/>
      <c r="C22" s="342" t="s">
        <v>175</v>
      </c>
      <c r="D22" s="340" t="s">
        <v>238</v>
      </c>
      <c r="E22" s="342"/>
      <c r="F22" s="345" t="s">
        <v>167</v>
      </c>
      <c r="G22" s="308">
        <v>10</v>
      </c>
      <c r="H22" s="309">
        <v>1700</v>
      </c>
      <c r="I22" s="309">
        <v>17000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239</v>
      </c>
      <c r="AF22" s="341"/>
    </row>
    <row r="23" spans="1:32">
      <c r="A23" s="307">
        <v>6</v>
      </c>
      <c r="B23" s="342"/>
      <c r="C23" s="342" t="s">
        <v>176</v>
      </c>
      <c r="D23" s="340" t="s">
        <v>240</v>
      </c>
      <c r="E23" s="342" t="s">
        <v>241</v>
      </c>
      <c r="F23" s="345" t="s">
        <v>220</v>
      </c>
      <c r="G23" s="308">
        <v>1</v>
      </c>
      <c r="H23" s="309">
        <v>35000</v>
      </c>
      <c r="I23" s="309">
        <v>35000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6</v>
      </c>
      <c r="B24" s="342"/>
      <c r="C24" s="342" t="s">
        <v>176</v>
      </c>
      <c r="D24" s="340" t="s">
        <v>242</v>
      </c>
      <c r="E24" s="342" t="s">
        <v>241</v>
      </c>
      <c r="F24" s="345" t="s">
        <v>220</v>
      </c>
      <c r="G24" s="308">
        <v>1</v>
      </c>
      <c r="H24" s="309">
        <v>30000</v>
      </c>
      <c r="I24" s="309">
        <v>30000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/>
      <c r="AF24" s="341"/>
    </row>
    <row r="25" spans="1:32">
      <c r="A25" s="307">
        <v>6</v>
      </c>
      <c r="B25" s="342"/>
      <c r="C25" s="342" t="s">
        <v>178</v>
      </c>
      <c r="D25" s="340" t="s">
        <v>243</v>
      </c>
      <c r="E25" s="342" t="s">
        <v>244</v>
      </c>
      <c r="F25" s="345" t="s">
        <v>245</v>
      </c>
      <c r="G25" s="308">
        <v>1</v>
      </c>
      <c r="H25" s="309">
        <v>8000</v>
      </c>
      <c r="I25" s="309">
        <v>8000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246</v>
      </c>
      <c r="AF25" s="341"/>
    </row>
    <row r="26" spans="1:32">
      <c r="A26" s="307">
        <v>6</v>
      </c>
      <c r="B26" s="342"/>
      <c r="C26" s="342" t="s">
        <v>178</v>
      </c>
      <c r="D26" s="340" t="s">
        <v>247</v>
      </c>
      <c r="E26" s="342" t="s">
        <v>248</v>
      </c>
      <c r="F26" s="345" t="s">
        <v>249</v>
      </c>
      <c r="G26" s="308">
        <v>1</v>
      </c>
      <c r="H26" s="309">
        <v>3000</v>
      </c>
      <c r="I26" s="309">
        <v>3000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250</v>
      </c>
      <c r="AF26" s="341"/>
    </row>
    <row r="27" spans="1:32">
      <c r="A27" s="307">
        <v>6</v>
      </c>
      <c r="B27" s="342"/>
      <c r="C27" s="342" t="s">
        <v>179</v>
      </c>
      <c r="D27" s="340" t="s">
        <v>251</v>
      </c>
      <c r="E27" s="342" t="s">
        <v>252</v>
      </c>
      <c r="F27" s="345" t="s">
        <v>249</v>
      </c>
      <c r="G27" s="308">
        <v>1</v>
      </c>
      <c r="H27" s="309">
        <v>6000</v>
      </c>
      <c r="I27" s="309">
        <v>6000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253</v>
      </c>
      <c r="AF27" s="341"/>
    </row>
    <row r="28" spans="1:32">
      <c r="A28" s="307">
        <v>5</v>
      </c>
      <c r="B28" s="342"/>
      <c r="C28" s="342" t="s">
        <v>210</v>
      </c>
      <c r="D28" s="340" t="s">
        <v>254</v>
      </c>
      <c r="E28" s="342" t="s">
        <v>255</v>
      </c>
      <c r="F28" s="345" t="s">
        <v>164</v>
      </c>
      <c r="G28" s="308">
        <v>10</v>
      </c>
      <c r="H28" s="309">
        <v>3623</v>
      </c>
      <c r="I28" s="309">
        <v>36230</v>
      </c>
      <c r="J28" s="211">
        <v>36</v>
      </c>
      <c r="K28" s="212" t="str">
        <f>IF(OR(J28="",G28=J28),"","*")</f>
        <v>*</v>
      </c>
      <c r="L28" s="338" t="str">
        <f>IF($A28&lt;=L$1,I28/I$4,"")</f>
        <v/>
      </c>
      <c r="M28" s="343"/>
      <c r="N28" s="344" t="s">
        <v>256</v>
      </c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/>
      <c r="AF28" s="341" t="s">
        <v>257</v>
      </c>
    </row>
    <row r="29" spans="1:32">
      <c r="A29" s="307">
        <v>6</v>
      </c>
      <c r="B29" s="342"/>
      <c r="C29" s="342" t="s">
        <v>176</v>
      </c>
      <c r="D29" s="340" t="s">
        <v>258</v>
      </c>
      <c r="E29" s="342"/>
      <c r="F29" s="345" t="s">
        <v>220</v>
      </c>
      <c r="G29" s="308">
        <v>1.008</v>
      </c>
      <c r="H29" s="309">
        <v>29900</v>
      </c>
      <c r="I29" s="309">
        <v>30139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 t="s">
        <v>259</v>
      </c>
    </row>
    <row r="30" spans="1:32">
      <c r="A30" s="307">
        <v>6</v>
      </c>
      <c r="B30" s="342"/>
      <c r="C30" s="342" t="s">
        <v>176</v>
      </c>
      <c r="D30" s="340" t="s">
        <v>228</v>
      </c>
      <c r="E30" s="342"/>
      <c r="F30" s="345" t="s">
        <v>220</v>
      </c>
      <c r="G30" s="308">
        <v>1.8360000000000001</v>
      </c>
      <c r="H30" s="309">
        <v>26800</v>
      </c>
      <c r="I30" s="309">
        <v>49204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 t="s">
        <v>260</v>
      </c>
    </row>
    <row r="31" spans="1:32">
      <c r="A31" s="307">
        <v>6</v>
      </c>
      <c r="B31" s="342"/>
      <c r="C31" s="342" t="s">
        <v>175</v>
      </c>
      <c r="D31" s="340" t="s">
        <v>261</v>
      </c>
      <c r="E31" s="342" t="s">
        <v>262</v>
      </c>
      <c r="F31" s="345" t="s">
        <v>263</v>
      </c>
      <c r="G31" s="308">
        <v>0.18</v>
      </c>
      <c r="H31" s="309">
        <v>1200</v>
      </c>
      <c r="I31" s="309">
        <v>216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 t="s">
        <v>264</v>
      </c>
    </row>
    <row r="32" spans="1:32">
      <c r="A32" s="307">
        <v>6</v>
      </c>
      <c r="B32" s="342"/>
      <c r="C32" s="342" t="s">
        <v>175</v>
      </c>
      <c r="D32" s="340" t="s">
        <v>265</v>
      </c>
      <c r="E32" s="342" t="s">
        <v>266</v>
      </c>
      <c r="F32" s="345" t="s">
        <v>267</v>
      </c>
      <c r="G32" s="308">
        <v>9.09</v>
      </c>
      <c r="H32" s="309">
        <v>5600</v>
      </c>
      <c r="I32" s="309">
        <v>50904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268</v>
      </c>
      <c r="AF32" s="341" t="s">
        <v>269</v>
      </c>
    </row>
    <row r="33" spans="1:32">
      <c r="A33" s="307">
        <v>6</v>
      </c>
      <c r="B33" s="342"/>
      <c r="C33" s="342"/>
      <c r="D33" s="340" t="s">
        <v>270</v>
      </c>
      <c r="E33" s="342"/>
      <c r="F33" s="345" t="s">
        <v>169</v>
      </c>
      <c r="G33" s="308">
        <v>0.36</v>
      </c>
      <c r="H33" s="309">
        <v>-65</v>
      </c>
      <c r="I33" s="309">
        <v>-23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5</v>
      </c>
      <c r="B34" s="342"/>
      <c r="C34" s="342" t="s">
        <v>210</v>
      </c>
      <c r="D34" s="340" t="s">
        <v>271</v>
      </c>
      <c r="E34" s="342" t="s">
        <v>272</v>
      </c>
      <c r="F34" s="345" t="s">
        <v>167</v>
      </c>
      <c r="G34" s="308">
        <v>4.62</v>
      </c>
      <c r="H34" s="309">
        <v>5090</v>
      </c>
      <c r="I34" s="309">
        <v>23515</v>
      </c>
      <c r="J34" s="211">
        <v>100</v>
      </c>
      <c r="K34" s="212" t="str">
        <f>IF(OR(J34="",G34=J34),"","*")</f>
        <v>*</v>
      </c>
      <c r="L34" s="338" t="str">
        <f>IF($A34&lt;=L$1,I34/I$4,"")</f>
        <v/>
      </c>
      <c r="M34" s="343"/>
      <c r="N34" s="344" t="s">
        <v>273</v>
      </c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/>
      <c r="AF34" s="341" t="s">
        <v>274</v>
      </c>
    </row>
    <row r="35" spans="1:32">
      <c r="A35" s="307">
        <v>6</v>
      </c>
      <c r="B35" s="342"/>
      <c r="C35" s="342" t="s">
        <v>275</v>
      </c>
      <c r="D35" s="340" t="s">
        <v>276</v>
      </c>
      <c r="E35" s="342" t="s">
        <v>277</v>
      </c>
      <c r="F35" s="345" t="s">
        <v>278</v>
      </c>
      <c r="G35" s="308">
        <v>3.3</v>
      </c>
      <c r="H35" s="309">
        <v>50800</v>
      </c>
      <c r="I35" s="309">
        <v>167640</v>
      </c>
      <c r="J35" s="211">
        <v>1</v>
      </c>
      <c r="K35" s="212" t="str">
        <f>IF(OR(J35="",G35=J35),"","*")</f>
        <v>*</v>
      </c>
      <c r="L35" s="338" t="str">
        <f>IF($A35&lt;=L$1,I35/I$4,"")</f>
        <v/>
      </c>
      <c r="M35" s="343"/>
      <c r="N35" s="344" t="s">
        <v>279</v>
      </c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/>
      <c r="AF35" s="341" t="s">
        <v>280</v>
      </c>
    </row>
    <row r="36" spans="1:32">
      <c r="A36" s="307">
        <v>7</v>
      </c>
      <c r="B36" s="342"/>
      <c r="C36" s="342" t="s">
        <v>176</v>
      </c>
      <c r="D36" s="340" t="s">
        <v>219</v>
      </c>
      <c r="E36" s="342"/>
      <c r="F36" s="345" t="s">
        <v>220</v>
      </c>
      <c r="G36" s="308">
        <v>1</v>
      </c>
      <c r="H36" s="309">
        <v>30500</v>
      </c>
      <c r="I36" s="309">
        <v>30500</v>
      </c>
      <c r="J36" s="211"/>
      <c r="K36" s="212" t="str">
        <f>IF(OR(J36="",G36=J36),"","*")</f>
        <v/>
      </c>
      <c r="L36" s="338" t="str">
        <f>IF($A36&lt;=L$1,I36/I$4,"")</f>
        <v/>
      </c>
      <c r="M36" s="343"/>
      <c r="N36" s="344"/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 t="s">
        <v>281</v>
      </c>
    </row>
    <row r="37" spans="1:32">
      <c r="A37" s="307">
        <v>7</v>
      </c>
      <c r="B37" s="342"/>
      <c r="C37" s="342" t="s">
        <v>175</v>
      </c>
      <c r="D37" s="340" t="s">
        <v>221</v>
      </c>
      <c r="E37" s="342" t="s">
        <v>222</v>
      </c>
      <c r="F37" s="345" t="s">
        <v>223</v>
      </c>
      <c r="G37" s="308">
        <v>22.4</v>
      </c>
      <c r="H37" s="309">
        <v>126</v>
      </c>
      <c r="I37" s="309">
        <v>2822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 t="s">
        <v>282</v>
      </c>
    </row>
    <row r="38" spans="1:32">
      <c r="A38" s="307">
        <v>7</v>
      </c>
      <c r="B38" s="342"/>
      <c r="C38" s="342" t="s">
        <v>175</v>
      </c>
      <c r="D38" s="340" t="s">
        <v>224</v>
      </c>
      <c r="E38" s="342" t="s">
        <v>225</v>
      </c>
      <c r="F38" s="345" t="s">
        <v>226</v>
      </c>
      <c r="G38" s="308">
        <v>1.78</v>
      </c>
      <c r="H38" s="309">
        <v>6080</v>
      </c>
      <c r="I38" s="309">
        <v>10822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 t="s">
        <v>283</v>
      </c>
    </row>
    <row r="39" spans="1:32">
      <c r="A39" s="307">
        <v>7</v>
      </c>
      <c r="B39" s="342"/>
      <c r="C39" s="342" t="s">
        <v>175</v>
      </c>
      <c r="D39" s="340" t="s">
        <v>284</v>
      </c>
      <c r="E39" s="342"/>
      <c r="F39" s="345" t="s">
        <v>285</v>
      </c>
      <c r="G39" s="308">
        <v>20</v>
      </c>
      <c r="H39" s="309">
        <v>0</v>
      </c>
      <c r="I39" s="309">
        <v>6664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 t="s">
        <v>286</v>
      </c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/>
      <c r="AF39" s="341" t="s">
        <v>287</v>
      </c>
    </row>
    <row r="40" spans="1:32">
      <c r="A40" s="307">
        <v>7</v>
      </c>
      <c r="B40" s="342"/>
      <c r="C40" s="342"/>
      <c r="D40" s="340" t="s">
        <v>288</v>
      </c>
      <c r="E40" s="342"/>
      <c r="F40" s="345" t="s">
        <v>169</v>
      </c>
      <c r="G40" s="308">
        <v>1</v>
      </c>
      <c r="H40" s="309">
        <v>-8</v>
      </c>
      <c r="I40" s="309">
        <v>-8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6</v>
      </c>
      <c r="B41" s="342"/>
      <c r="C41" s="342" t="s">
        <v>210</v>
      </c>
      <c r="D41" s="340" t="s">
        <v>289</v>
      </c>
      <c r="E41" s="342" t="s">
        <v>290</v>
      </c>
      <c r="F41" s="345" t="s">
        <v>167</v>
      </c>
      <c r="G41" s="308">
        <v>100</v>
      </c>
      <c r="H41" s="309">
        <v>2130</v>
      </c>
      <c r="I41" s="309">
        <v>213000</v>
      </c>
      <c r="J41" s="211">
        <v>100</v>
      </c>
      <c r="K41" s="212" t="str">
        <f>IF(OR(J41="",G41=J41),"","*")</f>
        <v/>
      </c>
      <c r="L41" s="338" t="str">
        <f>IF($A41&lt;=L$1,I41/I$4,"")</f>
        <v/>
      </c>
      <c r="M41" s="343"/>
      <c r="N41" s="344" t="s">
        <v>291</v>
      </c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/>
      <c r="AF41" s="341" t="s">
        <v>292</v>
      </c>
    </row>
    <row r="42" spans="1:32">
      <c r="A42" s="307">
        <v>7</v>
      </c>
      <c r="B42" s="342"/>
      <c r="C42" s="342" t="s">
        <v>275</v>
      </c>
      <c r="D42" s="340" t="s">
        <v>293</v>
      </c>
      <c r="E42" s="342" t="s">
        <v>294</v>
      </c>
      <c r="F42" s="345" t="s">
        <v>278</v>
      </c>
      <c r="G42" s="308">
        <v>3.1</v>
      </c>
      <c r="H42" s="309">
        <v>37500</v>
      </c>
      <c r="I42" s="309">
        <v>116250</v>
      </c>
      <c r="J42" s="211">
        <v>1</v>
      </c>
      <c r="K42" s="212" t="str">
        <f>IF(OR(J42="",G42=J42),"","*")</f>
        <v>*</v>
      </c>
      <c r="L42" s="338" t="str">
        <f>IF($A42&lt;=L$1,I42/I$4,"")</f>
        <v/>
      </c>
      <c r="M42" s="343"/>
      <c r="N42" s="344" t="s">
        <v>295</v>
      </c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/>
      <c r="AF42" s="341" t="s">
        <v>280</v>
      </c>
    </row>
    <row r="43" spans="1:32">
      <c r="A43" s="307">
        <v>8</v>
      </c>
      <c r="B43" s="342"/>
      <c r="C43" s="342" t="s">
        <v>176</v>
      </c>
      <c r="D43" s="340" t="s">
        <v>296</v>
      </c>
      <c r="E43" s="342"/>
      <c r="F43" s="345" t="s">
        <v>220</v>
      </c>
      <c r="G43" s="308">
        <v>1</v>
      </c>
      <c r="H43" s="309">
        <v>29900</v>
      </c>
      <c r="I43" s="309">
        <v>29900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/>
      <c r="AF43" s="341" t="s">
        <v>281</v>
      </c>
    </row>
    <row r="44" spans="1:32">
      <c r="A44" s="307">
        <v>8</v>
      </c>
      <c r="B44" s="342"/>
      <c r="C44" s="342" t="s">
        <v>175</v>
      </c>
      <c r="D44" s="340" t="s">
        <v>297</v>
      </c>
      <c r="E44" s="342" t="s">
        <v>298</v>
      </c>
      <c r="F44" s="345" t="s">
        <v>223</v>
      </c>
      <c r="G44" s="308">
        <v>5</v>
      </c>
      <c r="H44" s="309">
        <v>152</v>
      </c>
      <c r="I44" s="309">
        <v>760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/>
      <c r="AF44" s="341" t="s">
        <v>282</v>
      </c>
    </row>
    <row r="45" spans="1:32">
      <c r="A45" s="307">
        <v>8</v>
      </c>
      <c r="B45" s="342"/>
      <c r="C45" s="342" t="s">
        <v>175</v>
      </c>
      <c r="D45" s="340" t="s">
        <v>299</v>
      </c>
      <c r="E45" s="342" t="s">
        <v>294</v>
      </c>
      <c r="F45" s="345" t="s">
        <v>226</v>
      </c>
      <c r="G45" s="308">
        <v>1.33</v>
      </c>
      <c r="H45" s="309">
        <v>535</v>
      </c>
      <c r="I45" s="309">
        <v>711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/>
      <c r="AF45" s="341" t="s">
        <v>300</v>
      </c>
    </row>
    <row r="46" spans="1:32">
      <c r="A46" s="307">
        <v>8</v>
      </c>
      <c r="B46" s="342"/>
      <c r="C46" s="342" t="s">
        <v>175</v>
      </c>
      <c r="D46" s="340" t="s">
        <v>301</v>
      </c>
      <c r="E46" s="342"/>
      <c r="F46" s="345" t="s">
        <v>285</v>
      </c>
      <c r="G46" s="308">
        <v>20</v>
      </c>
      <c r="H46" s="309">
        <v>0</v>
      </c>
      <c r="I46" s="309">
        <v>6132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 t="s">
        <v>286</v>
      </c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/>
      <c r="AF46" s="341" t="s">
        <v>287</v>
      </c>
    </row>
    <row r="47" spans="1:32">
      <c r="A47" s="307">
        <v>8</v>
      </c>
      <c r="B47" s="342"/>
      <c r="C47" s="342"/>
      <c r="D47" s="340" t="s">
        <v>302</v>
      </c>
      <c r="E47" s="342"/>
      <c r="F47" s="345" t="s">
        <v>169</v>
      </c>
      <c r="G47" s="308">
        <v>1</v>
      </c>
      <c r="H47" s="309">
        <v>-3</v>
      </c>
      <c r="I47" s="309">
        <v>-3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/>
      <c r="AF47" s="341"/>
    </row>
    <row r="48" spans="1:32">
      <c r="A48" s="307">
        <v>7</v>
      </c>
      <c r="B48" s="342"/>
      <c r="C48" s="342" t="s">
        <v>176</v>
      </c>
      <c r="D48" s="340" t="s">
        <v>303</v>
      </c>
      <c r="E48" s="342"/>
      <c r="F48" s="345" t="s">
        <v>220</v>
      </c>
      <c r="G48" s="308">
        <v>3</v>
      </c>
      <c r="H48" s="309">
        <v>26800</v>
      </c>
      <c r="I48" s="309">
        <v>80400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/>
      <c r="AF48" s="341" t="s">
        <v>281</v>
      </c>
    </row>
    <row r="49" spans="1:32">
      <c r="A49" s="307">
        <v>7</v>
      </c>
      <c r="B49" s="342"/>
      <c r="C49" s="342" t="s">
        <v>175</v>
      </c>
      <c r="D49" s="340" t="s">
        <v>284</v>
      </c>
      <c r="E49" s="342"/>
      <c r="F49" s="345" t="s">
        <v>285</v>
      </c>
      <c r="G49" s="308">
        <v>20</v>
      </c>
      <c r="H49" s="309">
        <v>0</v>
      </c>
      <c r="I49" s="309">
        <v>16080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 t="s">
        <v>286</v>
      </c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/>
      <c r="AF49" s="341" t="s">
        <v>304</v>
      </c>
    </row>
    <row r="50" spans="1:32">
      <c r="A50" s="307">
        <v>7</v>
      </c>
      <c r="B50" s="342"/>
      <c r="C50" s="342"/>
      <c r="D50" s="340" t="s">
        <v>288</v>
      </c>
      <c r="E50" s="342"/>
      <c r="F50" s="345" t="s">
        <v>169</v>
      </c>
      <c r="G50" s="308">
        <v>1</v>
      </c>
      <c r="H50" s="309">
        <v>270</v>
      </c>
      <c r="I50" s="309">
        <v>270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/>
      <c r="AF50" s="341"/>
    </row>
    <row r="51" spans="1:32">
      <c r="A51" s="307">
        <v>6</v>
      </c>
      <c r="B51" s="342"/>
      <c r="C51" s="342" t="s">
        <v>176</v>
      </c>
      <c r="D51" s="340" t="s">
        <v>228</v>
      </c>
      <c r="E51" s="342"/>
      <c r="F51" s="345" t="s">
        <v>220</v>
      </c>
      <c r="G51" s="308">
        <v>4</v>
      </c>
      <c r="H51" s="309">
        <v>26800</v>
      </c>
      <c r="I51" s="309">
        <v>107200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/>
      <c r="AF51" s="341" t="s">
        <v>281</v>
      </c>
    </row>
    <row r="52" spans="1:32">
      <c r="A52" s="307">
        <v>6</v>
      </c>
      <c r="B52" s="342"/>
      <c r="C52" s="342" t="s">
        <v>175</v>
      </c>
      <c r="D52" s="340" t="s">
        <v>305</v>
      </c>
      <c r="E52" s="342"/>
      <c r="F52" s="345" t="s">
        <v>285</v>
      </c>
      <c r="G52" s="308">
        <v>20</v>
      </c>
      <c r="H52" s="309">
        <v>0</v>
      </c>
      <c r="I52" s="309">
        <v>21440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 t="s">
        <v>286</v>
      </c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/>
      <c r="AF52" s="341" t="s">
        <v>304</v>
      </c>
    </row>
    <row r="53" spans="1:32">
      <c r="A53" s="307">
        <v>6</v>
      </c>
      <c r="B53" s="342"/>
      <c r="C53" s="342"/>
      <c r="D53" s="340" t="s">
        <v>270</v>
      </c>
      <c r="E53" s="342"/>
      <c r="F53" s="345" t="s">
        <v>169</v>
      </c>
      <c r="G53" s="308">
        <v>1</v>
      </c>
      <c r="H53" s="309">
        <v>-280</v>
      </c>
      <c r="I53" s="309">
        <v>-280</v>
      </c>
      <c r="J53" s="211"/>
      <c r="K53" s="212" t="str">
        <f>IF(OR(J53="",G53=J53),"","*")</f>
        <v/>
      </c>
      <c r="L53" s="338" t="str">
        <f>IF($A53&lt;=L$1,I53/I$4,"")</f>
        <v/>
      </c>
      <c r="M53" s="343"/>
      <c r="N53" s="344"/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5</v>
      </c>
      <c r="B54" s="342"/>
      <c r="C54" s="342" t="s">
        <v>175</v>
      </c>
      <c r="D54" s="340" t="s">
        <v>306</v>
      </c>
      <c r="E54" s="342"/>
      <c r="F54" s="345" t="s">
        <v>169</v>
      </c>
      <c r="G54" s="308">
        <v>1</v>
      </c>
      <c r="H54" s="309">
        <v>3752</v>
      </c>
      <c r="I54" s="309">
        <v>3752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 t="s">
        <v>237</v>
      </c>
      <c r="AF54" s="341"/>
    </row>
    <row r="55" spans="1:32">
      <c r="A55" s="307">
        <v>3</v>
      </c>
      <c r="B55" s="342"/>
      <c r="C55" s="342" t="s">
        <v>207</v>
      </c>
      <c r="D55" s="340" t="s">
        <v>307</v>
      </c>
      <c r="E55" s="342"/>
      <c r="F55" s="345" t="s">
        <v>164</v>
      </c>
      <c r="G55" s="308">
        <v>100</v>
      </c>
      <c r="H55" s="309">
        <v>13700</v>
      </c>
      <c r="I55" s="309">
        <v>1370000</v>
      </c>
      <c r="J55" s="211">
        <v>10</v>
      </c>
      <c r="K55" s="212" t="str">
        <f>IF(OR(J55="",G55=J55),"","*")</f>
        <v>*</v>
      </c>
      <c r="L55" s="338">
        <f>IF($A55&lt;=L$1,I55/I$4,"")</f>
        <v>0.11227713603153594</v>
      </c>
      <c r="M55" s="343"/>
      <c r="N55" s="344" t="s">
        <v>308</v>
      </c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210</v>
      </c>
      <c r="D56" s="340" t="s">
        <v>309</v>
      </c>
      <c r="E56" s="342" t="s">
        <v>163</v>
      </c>
      <c r="F56" s="345" t="s">
        <v>164</v>
      </c>
      <c r="G56" s="308">
        <v>10</v>
      </c>
      <c r="H56" s="309">
        <v>13700</v>
      </c>
      <c r="I56" s="309">
        <v>137000</v>
      </c>
      <c r="J56" s="211">
        <v>10</v>
      </c>
      <c r="K56" s="212" t="str">
        <f>IF(OR(J56="",G56=J56),"","*")</f>
        <v/>
      </c>
      <c r="L56" s="338" t="str">
        <f>IF($A56&lt;=L$1,I56/I$4,"")</f>
        <v/>
      </c>
      <c r="M56" s="343"/>
      <c r="N56" s="344" t="s">
        <v>310</v>
      </c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5</v>
      </c>
      <c r="B57" s="342"/>
      <c r="C57" s="342" t="s">
        <v>210</v>
      </c>
      <c r="D57" s="340" t="s">
        <v>213</v>
      </c>
      <c r="E57" s="342"/>
      <c r="F57" s="345" t="s">
        <v>167</v>
      </c>
      <c r="G57" s="308">
        <v>7.8650000000000002</v>
      </c>
      <c r="H57" s="309">
        <v>3500</v>
      </c>
      <c r="I57" s="309">
        <v>27527</v>
      </c>
      <c r="J57" s="211">
        <v>100</v>
      </c>
      <c r="K57" s="212" t="str">
        <f>IF(OR(J57="",G57=J57),"","*")</f>
        <v>*</v>
      </c>
      <c r="L57" s="338" t="str">
        <f>IF($A57&lt;=L$1,I57/I$4,"")</f>
        <v/>
      </c>
      <c r="M57" s="343"/>
      <c r="N57" s="344" t="s">
        <v>311</v>
      </c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/>
      <c r="AF57" s="341" t="s">
        <v>312</v>
      </c>
    </row>
    <row r="58" spans="1:32">
      <c r="A58" s="307">
        <v>6</v>
      </c>
      <c r="B58" s="342"/>
      <c r="C58" s="342" t="s">
        <v>210</v>
      </c>
      <c r="D58" s="340" t="s">
        <v>216</v>
      </c>
      <c r="E58" s="342"/>
      <c r="F58" s="345" t="s">
        <v>217</v>
      </c>
      <c r="G58" s="308">
        <v>5</v>
      </c>
      <c r="H58" s="309">
        <v>50808</v>
      </c>
      <c r="I58" s="309">
        <v>254040</v>
      </c>
      <c r="J58" s="211">
        <v>1</v>
      </c>
      <c r="K58" s="212" t="str">
        <f>IF(OR(J58="",G58=J58),"","*")</f>
        <v>*</v>
      </c>
      <c r="L58" s="338" t="str">
        <f>IF($A58&lt;=L$1,I58/I$4,"")</f>
        <v/>
      </c>
      <c r="M58" s="343"/>
      <c r="N58" s="344" t="s">
        <v>313</v>
      </c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/>
      <c r="AF58" s="341"/>
    </row>
    <row r="59" spans="1:32">
      <c r="A59" s="307">
        <v>7</v>
      </c>
      <c r="B59" s="342"/>
      <c r="C59" s="342" t="s">
        <v>176</v>
      </c>
      <c r="D59" s="340" t="s">
        <v>219</v>
      </c>
      <c r="E59" s="342"/>
      <c r="F59" s="345" t="s">
        <v>220</v>
      </c>
      <c r="G59" s="308">
        <v>1</v>
      </c>
      <c r="H59" s="309">
        <v>30500</v>
      </c>
      <c r="I59" s="309">
        <v>30500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/>
      <c r="AF59" s="341"/>
    </row>
    <row r="60" spans="1:32">
      <c r="A60" s="307">
        <v>7</v>
      </c>
      <c r="B60" s="342"/>
      <c r="C60" s="342" t="s">
        <v>175</v>
      </c>
      <c r="D60" s="340" t="s">
        <v>221</v>
      </c>
      <c r="E60" s="342" t="s">
        <v>222</v>
      </c>
      <c r="F60" s="345" t="s">
        <v>223</v>
      </c>
      <c r="G60" s="308">
        <v>22.4</v>
      </c>
      <c r="H60" s="309">
        <v>126</v>
      </c>
      <c r="I60" s="309">
        <v>2822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/>
      <c r="AF60" s="341"/>
    </row>
    <row r="61" spans="1:32">
      <c r="A61" s="307">
        <v>7</v>
      </c>
      <c r="B61" s="342"/>
      <c r="C61" s="342" t="s">
        <v>178</v>
      </c>
      <c r="D61" s="340" t="s">
        <v>224</v>
      </c>
      <c r="E61" s="342" t="s">
        <v>225</v>
      </c>
      <c r="F61" s="345" t="s">
        <v>226</v>
      </c>
      <c r="G61" s="308">
        <v>1.78</v>
      </c>
      <c r="H61" s="309">
        <v>6080</v>
      </c>
      <c r="I61" s="309">
        <v>10822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/>
      <c r="AF61" s="341"/>
    </row>
    <row r="62" spans="1:32">
      <c r="A62" s="307">
        <v>7</v>
      </c>
      <c r="B62" s="342"/>
      <c r="C62" s="342" t="s">
        <v>180</v>
      </c>
      <c r="D62" s="340" t="s">
        <v>227</v>
      </c>
      <c r="E62" s="342"/>
      <c r="F62" s="345" t="s">
        <v>169</v>
      </c>
      <c r="G62" s="308">
        <v>1</v>
      </c>
      <c r="H62" s="309">
        <v>6664</v>
      </c>
      <c r="I62" s="309">
        <v>6664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/>
      <c r="AF62" s="341"/>
    </row>
    <row r="63" spans="1:32">
      <c r="A63" s="307">
        <v>6</v>
      </c>
      <c r="B63" s="342"/>
      <c r="C63" s="342" t="s">
        <v>176</v>
      </c>
      <c r="D63" s="340" t="s">
        <v>228</v>
      </c>
      <c r="E63" s="342"/>
      <c r="F63" s="345" t="s">
        <v>220</v>
      </c>
      <c r="G63" s="308">
        <v>3</v>
      </c>
      <c r="H63" s="309">
        <v>26800</v>
      </c>
      <c r="I63" s="309">
        <v>80400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/>
      <c r="AF63" s="341"/>
    </row>
    <row r="64" spans="1:32">
      <c r="A64" s="307">
        <v>6</v>
      </c>
      <c r="B64" s="342"/>
      <c r="C64" s="342" t="s">
        <v>180</v>
      </c>
      <c r="D64" s="340" t="s">
        <v>229</v>
      </c>
      <c r="E64" s="342"/>
      <c r="F64" s="345" t="s">
        <v>169</v>
      </c>
      <c r="G64" s="308">
        <v>1</v>
      </c>
      <c r="H64" s="309">
        <v>15560</v>
      </c>
      <c r="I64" s="309">
        <v>15560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/>
      <c r="AF64" s="341"/>
    </row>
    <row r="65" spans="1:32">
      <c r="A65" s="307">
        <v>5</v>
      </c>
      <c r="B65" s="342"/>
      <c r="C65" s="342" t="s">
        <v>210</v>
      </c>
      <c r="D65" s="340" t="s">
        <v>230</v>
      </c>
      <c r="E65" s="342"/>
      <c r="F65" s="345" t="s">
        <v>168</v>
      </c>
      <c r="G65" s="308">
        <v>7.15</v>
      </c>
      <c r="H65" s="309">
        <v>640</v>
      </c>
      <c r="I65" s="309">
        <v>4576</v>
      </c>
      <c r="J65" s="211">
        <v>100</v>
      </c>
      <c r="K65" s="212" t="str">
        <f>IF(OR(J65="",G65=J65),"","*")</f>
        <v>*</v>
      </c>
      <c r="L65" s="338" t="str">
        <f>IF($A65&lt;=L$1,I65/I$4,"")</f>
        <v/>
      </c>
      <c r="M65" s="343"/>
      <c r="N65" s="344" t="s">
        <v>314</v>
      </c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/>
      <c r="AF65" s="341" t="s">
        <v>315</v>
      </c>
    </row>
    <row r="66" spans="1:32">
      <c r="A66" s="307">
        <v>6</v>
      </c>
      <c r="B66" s="342"/>
      <c r="C66" s="342" t="s">
        <v>176</v>
      </c>
      <c r="D66" s="340" t="s">
        <v>228</v>
      </c>
      <c r="E66" s="342"/>
      <c r="F66" s="345" t="s">
        <v>220</v>
      </c>
      <c r="G66" s="308">
        <v>2</v>
      </c>
      <c r="H66" s="309">
        <v>26800</v>
      </c>
      <c r="I66" s="309">
        <v>53600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/>
      <c r="AF66" s="341"/>
    </row>
    <row r="67" spans="1:32">
      <c r="A67" s="307">
        <v>6</v>
      </c>
      <c r="B67" s="342"/>
      <c r="C67" s="342" t="s">
        <v>180</v>
      </c>
      <c r="D67" s="340" t="s">
        <v>229</v>
      </c>
      <c r="E67" s="342"/>
      <c r="F67" s="345" t="s">
        <v>169</v>
      </c>
      <c r="G67" s="308">
        <v>1</v>
      </c>
      <c r="H67" s="309">
        <v>10400</v>
      </c>
      <c r="I67" s="309">
        <v>10400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/>
      <c r="AF67" s="341"/>
    </row>
    <row r="68" spans="1:32">
      <c r="A68" s="307">
        <v>5</v>
      </c>
      <c r="B68" s="342"/>
      <c r="C68" s="342" t="s">
        <v>210</v>
      </c>
      <c r="D68" s="340" t="s">
        <v>233</v>
      </c>
      <c r="E68" s="342"/>
      <c r="F68" s="345" t="s">
        <v>167</v>
      </c>
      <c r="G68" s="308">
        <v>2.86</v>
      </c>
      <c r="H68" s="309">
        <v>10400</v>
      </c>
      <c r="I68" s="309">
        <v>29744</v>
      </c>
      <c r="J68" s="211">
        <v>10</v>
      </c>
      <c r="K68" s="212" t="str">
        <f>IF(OR(J68="",G68=J68),"","*")</f>
        <v>*</v>
      </c>
      <c r="L68" s="338" t="str">
        <f>IF($A68&lt;=L$1,I68/I$4,"")</f>
        <v/>
      </c>
      <c r="M68" s="343"/>
      <c r="N68" s="344" t="s">
        <v>316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 t="s">
        <v>317</v>
      </c>
    </row>
    <row r="69" spans="1:32">
      <c r="A69" s="307">
        <v>6</v>
      </c>
      <c r="B69" s="342"/>
      <c r="C69" s="342" t="s">
        <v>175</v>
      </c>
      <c r="D69" s="340" t="s">
        <v>236</v>
      </c>
      <c r="E69" s="342"/>
      <c r="F69" s="345" t="s">
        <v>169</v>
      </c>
      <c r="G69" s="308">
        <v>1</v>
      </c>
      <c r="H69" s="309">
        <v>5000</v>
      </c>
      <c r="I69" s="309">
        <v>5000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 t="s">
        <v>237</v>
      </c>
      <c r="AF69" s="341"/>
    </row>
    <row r="70" spans="1:32">
      <c r="A70" s="307">
        <v>6</v>
      </c>
      <c r="B70" s="342"/>
      <c r="C70" s="342" t="s">
        <v>175</v>
      </c>
      <c r="D70" s="340" t="s">
        <v>238</v>
      </c>
      <c r="E70" s="342"/>
      <c r="F70" s="345" t="s">
        <v>167</v>
      </c>
      <c r="G70" s="308">
        <v>10</v>
      </c>
      <c r="H70" s="309">
        <v>1700</v>
      </c>
      <c r="I70" s="309">
        <v>17000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239</v>
      </c>
      <c r="AF70" s="341"/>
    </row>
    <row r="71" spans="1:32">
      <c r="A71" s="307">
        <v>6</v>
      </c>
      <c r="B71" s="342"/>
      <c r="C71" s="342" t="s">
        <v>176</v>
      </c>
      <c r="D71" s="340" t="s">
        <v>240</v>
      </c>
      <c r="E71" s="342" t="s">
        <v>241</v>
      </c>
      <c r="F71" s="345" t="s">
        <v>220</v>
      </c>
      <c r="G71" s="308">
        <v>1</v>
      </c>
      <c r="H71" s="309">
        <v>35000</v>
      </c>
      <c r="I71" s="309">
        <v>35000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/>
      <c r="AF71" s="341"/>
    </row>
    <row r="72" spans="1:32">
      <c r="A72" s="307">
        <v>6</v>
      </c>
      <c r="B72" s="342"/>
      <c r="C72" s="342" t="s">
        <v>176</v>
      </c>
      <c r="D72" s="340" t="s">
        <v>242</v>
      </c>
      <c r="E72" s="342" t="s">
        <v>241</v>
      </c>
      <c r="F72" s="345" t="s">
        <v>220</v>
      </c>
      <c r="G72" s="308">
        <v>1</v>
      </c>
      <c r="H72" s="309">
        <v>30000</v>
      </c>
      <c r="I72" s="309">
        <v>30000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/>
      <c r="AF72" s="341"/>
    </row>
    <row r="73" spans="1:32">
      <c r="A73" s="307">
        <v>6</v>
      </c>
      <c r="B73" s="342"/>
      <c r="C73" s="342" t="s">
        <v>178</v>
      </c>
      <c r="D73" s="340" t="s">
        <v>243</v>
      </c>
      <c r="E73" s="342" t="s">
        <v>244</v>
      </c>
      <c r="F73" s="345" t="s">
        <v>245</v>
      </c>
      <c r="G73" s="308">
        <v>1</v>
      </c>
      <c r="H73" s="309">
        <v>8000</v>
      </c>
      <c r="I73" s="309">
        <v>8000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246</v>
      </c>
      <c r="AF73" s="341"/>
    </row>
    <row r="74" spans="1:32">
      <c r="A74" s="307">
        <v>6</v>
      </c>
      <c r="B74" s="342"/>
      <c r="C74" s="342" t="s">
        <v>178</v>
      </c>
      <c r="D74" s="340" t="s">
        <v>247</v>
      </c>
      <c r="E74" s="342" t="s">
        <v>248</v>
      </c>
      <c r="F74" s="345" t="s">
        <v>249</v>
      </c>
      <c r="G74" s="308">
        <v>1</v>
      </c>
      <c r="H74" s="309">
        <v>3000</v>
      </c>
      <c r="I74" s="309">
        <v>3000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250</v>
      </c>
      <c r="AF74" s="341"/>
    </row>
    <row r="75" spans="1:32">
      <c r="A75" s="307">
        <v>6</v>
      </c>
      <c r="B75" s="342"/>
      <c r="C75" s="342" t="s">
        <v>179</v>
      </c>
      <c r="D75" s="340" t="s">
        <v>251</v>
      </c>
      <c r="E75" s="342" t="s">
        <v>252</v>
      </c>
      <c r="F75" s="345" t="s">
        <v>249</v>
      </c>
      <c r="G75" s="308">
        <v>1</v>
      </c>
      <c r="H75" s="309">
        <v>6000</v>
      </c>
      <c r="I75" s="309">
        <v>6000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253</v>
      </c>
      <c r="AF75" s="341"/>
    </row>
    <row r="76" spans="1:32">
      <c r="A76" s="307">
        <v>5</v>
      </c>
      <c r="B76" s="342"/>
      <c r="C76" s="342" t="s">
        <v>210</v>
      </c>
      <c r="D76" s="340" t="s">
        <v>254</v>
      </c>
      <c r="E76" s="342" t="s">
        <v>318</v>
      </c>
      <c r="F76" s="345" t="s">
        <v>164</v>
      </c>
      <c r="G76" s="308">
        <v>10</v>
      </c>
      <c r="H76" s="309">
        <v>4767</v>
      </c>
      <c r="I76" s="309">
        <v>47670</v>
      </c>
      <c r="J76" s="211">
        <v>32</v>
      </c>
      <c r="K76" s="212" t="str">
        <f>IF(OR(J76="",G76=J76),"","*")</f>
        <v>*</v>
      </c>
      <c r="L76" s="338" t="str">
        <f>IF($A76&lt;=L$1,I76/I$4,"")</f>
        <v/>
      </c>
      <c r="M76" s="343"/>
      <c r="N76" s="344" t="s">
        <v>319</v>
      </c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/>
      <c r="AF76" s="341" t="s">
        <v>320</v>
      </c>
    </row>
    <row r="77" spans="1:32">
      <c r="A77" s="307">
        <v>6</v>
      </c>
      <c r="B77" s="342"/>
      <c r="C77" s="342" t="s">
        <v>176</v>
      </c>
      <c r="D77" s="340" t="s">
        <v>258</v>
      </c>
      <c r="E77" s="342"/>
      <c r="F77" s="345" t="s">
        <v>220</v>
      </c>
      <c r="G77" s="308">
        <v>0.99199999999999999</v>
      </c>
      <c r="H77" s="309">
        <v>29900</v>
      </c>
      <c r="I77" s="309">
        <v>29660</v>
      </c>
      <c r="J77" s="211"/>
      <c r="K77" s="212" t="str">
        <f>IF(OR(J77="",G77=J77),"","*")</f>
        <v/>
      </c>
      <c r="L77" s="338" t="str">
        <f>IF($A77&lt;=L$1,I77/I$4,"")</f>
        <v/>
      </c>
      <c r="M77" s="343"/>
      <c r="N77" s="344"/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 t="s">
        <v>259</v>
      </c>
    </row>
    <row r="78" spans="1:32">
      <c r="A78" s="307">
        <v>6</v>
      </c>
      <c r="B78" s="342"/>
      <c r="C78" s="342" t="s">
        <v>176</v>
      </c>
      <c r="D78" s="340" t="s">
        <v>228</v>
      </c>
      <c r="E78" s="342"/>
      <c r="F78" s="345" t="s">
        <v>220</v>
      </c>
      <c r="G78" s="308">
        <v>2.016</v>
      </c>
      <c r="H78" s="309">
        <v>26800</v>
      </c>
      <c r="I78" s="309">
        <v>54028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 t="s">
        <v>260</v>
      </c>
    </row>
    <row r="79" spans="1:32">
      <c r="A79" s="307">
        <v>6</v>
      </c>
      <c r="B79" s="342"/>
      <c r="C79" s="342" t="s">
        <v>175</v>
      </c>
      <c r="D79" s="340" t="s">
        <v>261</v>
      </c>
      <c r="E79" s="342" t="s">
        <v>262</v>
      </c>
      <c r="F79" s="345" t="s">
        <v>263</v>
      </c>
      <c r="G79" s="308">
        <v>0.192</v>
      </c>
      <c r="H79" s="309">
        <v>1200</v>
      </c>
      <c r="I79" s="309">
        <v>230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 t="s">
        <v>264</v>
      </c>
    </row>
    <row r="80" spans="1:32">
      <c r="A80" s="307">
        <v>6</v>
      </c>
      <c r="B80" s="342"/>
      <c r="C80" s="342" t="s">
        <v>175</v>
      </c>
      <c r="D80" s="340" t="s">
        <v>321</v>
      </c>
      <c r="E80" s="342" t="s">
        <v>266</v>
      </c>
      <c r="F80" s="345" t="s">
        <v>267</v>
      </c>
      <c r="G80" s="308">
        <v>8.08</v>
      </c>
      <c r="H80" s="309">
        <v>8500</v>
      </c>
      <c r="I80" s="309">
        <v>68680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 t="s">
        <v>322</v>
      </c>
      <c r="AF80" s="341" t="s">
        <v>323</v>
      </c>
    </row>
    <row r="81" spans="1:32">
      <c r="A81" s="307">
        <v>6</v>
      </c>
      <c r="B81" s="342"/>
      <c r="C81" s="342"/>
      <c r="D81" s="340" t="s">
        <v>270</v>
      </c>
      <c r="E81" s="342"/>
      <c r="F81" s="345" t="s">
        <v>169</v>
      </c>
      <c r="G81" s="308">
        <v>0.32</v>
      </c>
      <c r="H81" s="309">
        <v>-85</v>
      </c>
      <c r="I81" s="309">
        <v>-27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/>
    </row>
    <row r="82" spans="1:32">
      <c r="A82" s="307">
        <v>5</v>
      </c>
      <c r="B82" s="342"/>
      <c r="C82" s="342" t="s">
        <v>210</v>
      </c>
      <c r="D82" s="340" t="s">
        <v>271</v>
      </c>
      <c r="E82" s="342" t="s">
        <v>272</v>
      </c>
      <c r="F82" s="345" t="s">
        <v>167</v>
      </c>
      <c r="G82" s="308">
        <v>4.6479999999999997</v>
      </c>
      <c r="H82" s="309">
        <v>5090</v>
      </c>
      <c r="I82" s="309">
        <v>23658</v>
      </c>
      <c r="J82" s="211">
        <v>100</v>
      </c>
      <c r="K82" s="212" t="str">
        <f>IF(OR(J82="",G82=J82),"","*")</f>
        <v>*</v>
      </c>
      <c r="L82" s="338" t="str">
        <f>IF($A82&lt;=L$1,I82/I$4,"")</f>
        <v/>
      </c>
      <c r="M82" s="343"/>
      <c r="N82" s="344" t="s">
        <v>324</v>
      </c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 t="s">
        <v>325</v>
      </c>
    </row>
    <row r="83" spans="1:32">
      <c r="A83" s="307">
        <v>6</v>
      </c>
      <c r="B83" s="342"/>
      <c r="C83" s="342" t="s">
        <v>275</v>
      </c>
      <c r="D83" s="340" t="s">
        <v>276</v>
      </c>
      <c r="E83" s="342" t="s">
        <v>277</v>
      </c>
      <c r="F83" s="345" t="s">
        <v>278</v>
      </c>
      <c r="G83" s="308">
        <v>3.3</v>
      </c>
      <c r="H83" s="309">
        <v>50800</v>
      </c>
      <c r="I83" s="309">
        <v>167640</v>
      </c>
      <c r="J83" s="211">
        <v>1</v>
      </c>
      <c r="K83" s="212" t="str">
        <f>IF(OR(J83="",G83=J83),"","*")</f>
        <v>*</v>
      </c>
      <c r="L83" s="338" t="str">
        <f>IF($A83&lt;=L$1,I83/I$4,"")</f>
        <v/>
      </c>
      <c r="M83" s="343"/>
      <c r="N83" s="344" t="s">
        <v>326</v>
      </c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 t="s">
        <v>280</v>
      </c>
    </row>
    <row r="84" spans="1:32">
      <c r="A84" s="307">
        <v>7</v>
      </c>
      <c r="B84" s="342"/>
      <c r="C84" s="342" t="s">
        <v>176</v>
      </c>
      <c r="D84" s="340" t="s">
        <v>219</v>
      </c>
      <c r="E84" s="342"/>
      <c r="F84" s="345" t="s">
        <v>220</v>
      </c>
      <c r="G84" s="308">
        <v>1</v>
      </c>
      <c r="H84" s="309">
        <v>30500</v>
      </c>
      <c r="I84" s="309">
        <v>30500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 t="s">
        <v>281</v>
      </c>
    </row>
    <row r="85" spans="1:32">
      <c r="A85" s="307">
        <v>7</v>
      </c>
      <c r="B85" s="342"/>
      <c r="C85" s="342" t="s">
        <v>175</v>
      </c>
      <c r="D85" s="340" t="s">
        <v>221</v>
      </c>
      <c r="E85" s="342" t="s">
        <v>222</v>
      </c>
      <c r="F85" s="345" t="s">
        <v>223</v>
      </c>
      <c r="G85" s="308">
        <v>22.4</v>
      </c>
      <c r="H85" s="309">
        <v>126</v>
      </c>
      <c r="I85" s="309">
        <v>2822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 t="s">
        <v>282</v>
      </c>
    </row>
    <row r="86" spans="1:32">
      <c r="A86" s="307">
        <v>7</v>
      </c>
      <c r="B86" s="342"/>
      <c r="C86" s="342" t="s">
        <v>175</v>
      </c>
      <c r="D86" s="340" t="s">
        <v>224</v>
      </c>
      <c r="E86" s="342" t="s">
        <v>225</v>
      </c>
      <c r="F86" s="345" t="s">
        <v>226</v>
      </c>
      <c r="G86" s="308">
        <v>1.78</v>
      </c>
      <c r="H86" s="309">
        <v>6080</v>
      </c>
      <c r="I86" s="309">
        <v>10822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/>
      <c r="AF86" s="341" t="s">
        <v>283</v>
      </c>
    </row>
    <row r="87" spans="1:32">
      <c r="A87" s="307">
        <v>7</v>
      </c>
      <c r="B87" s="342"/>
      <c r="C87" s="342" t="s">
        <v>175</v>
      </c>
      <c r="D87" s="340" t="s">
        <v>284</v>
      </c>
      <c r="E87" s="342"/>
      <c r="F87" s="345" t="s">
        <v>285</v>
      </c>
      <c r="G87" s="308">
        <v>20</v>
      </c>
      <c r="H87" s="309">
        <v>0</v>
      </c>
      <c r="I87" s="309">
        <v>6664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 t="s">
        <v>286</v>
      </c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/>
      <c r="AF87" s="341" t="s">
        <v>287</v>
      </c>
    </row>
    <row r="88" spans="1:32">
      <c r="A88" s="307">
        <v>7</v>
      </c>
      <c r="B88" s="342"/>
      <c r="C88" s="342"/>
      <c r="D88" s="340" t="s">
        <v>288</v>
      </c>
      <c r="E88" s="342"/>
      <c r="F88" s="345" t="s">
        <v>169</v>
      </c>
      <c r="G88" s="308">
        <v>1</v>
      </c>
      <c r="H88" s="309">
        <v>-8</v>
      </c>
      <c r="I88" s="309">
        <v>-8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/>
      <c r="AF88" s="341"/>
    </row>
    <row r="89" spans="1:32">
      <c r="A89" s="307">
        <v>6</v>
      </c>
      <c r="B89" s="342"/>
      <c r="C89" s="342" t="s">
        <v>210</v>
      </c>
      <c r="D89" s="340" t="s">
        <v>289</v>
      </c>
      <c r="E89" s="342" t="s">
        <v>290</v>
      </c>
      <c r="F89" s="345" t="s">
        <v>167</v>
      </c>
      <c r="G89" s="308">
        <v>100</v>
      </c>
      <c r="H89" s="309">
        <v>2130</v>
      </c>
      <c r="I89" s="309">
        <v>213000</v>
      </c>
      <c r="J89" s="211">
        <v>100</v>
      </c>
      <c r="K89" s="212" t="str">
        <f>IF(OR(J89="",G89=J89),"","*")</f>
        <v/>
      </c>
      <c r="L89" s="338" t="str">
        <f>IF($A89&lt;=L$1,I89/I$4,"")</f>
        <v/>
      </c>
      <c r="M89" s="343"/>
      <c r="N89" s="344" t="s">
        <v>327</v>
      </c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/>
      <c r="AF89" s="341" t="s">
        <v>292</v>
      </c>
    </row>
    <row r="90" spans="1:32">
      <c r="A90" s="307">
        <v>7</v>
      </c>
      <c r="B90" s="342"/>
      <c r="C90" s="342" t="s">
        <v>275</v>
      </c>
      <c r="D90" s="340" t="s">
        <v>293</v>
      </c>
      <c r="E90" s="342" t="s">
        <v>294</v>
      </c>
      <c r="F90" s="345" t="s">
        <v>278</v>
      </c>
      <c r="G90" s="308">
        <v>3.1</v>
      </c>
      <c r="H90" s="309">
        <v>37500</v>
      </c>
      <c r="I90" s="309">
        <v>116250</v>
      </c>
      <c r="J90" s="211">
        <v>1</v>
      </c>
      <c r="K90" s="212" t="str">
        <f>IF(OR(J90="",G90=J90),"","*")</f>
        <v>*</v>
      </c>
      <c r="L90" s="338" t="str">
        <f>IF($A90&lt;=L$1,I90/I$4,"")</f>
        <v/>
      </c>
      <c r="M90" s="343"/>
      <c r="N90" s="344" t="s">
        <v>328</v>
      </c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/>
      <c r="AF90" s="341" t="s">
        <v>280</v>
      </c>
    </row>
    <row r="91" spans="1:32">
      <c r="A91" s="307">
        <v>8</v>
      </c>
      <c r="B91" s="342"/>
      <c r="C91" s="342" t="s">
        <v>176</v>
      </c>
      <c r="D91" s="340" t="s">
        <v>296</v>
      </c>
      <c r="E91" s="342"/>
      <c r="F91" s="345" t="s">
        <v>220</v>
      </c>
      <c r="G91" s="308">
        <v>1</v>
      </c>
      <c r="H91" s="309">
        <v>29900</v>
      </c>
      <c r="I91" s="309">
        <v>29900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/>
      <c r="AF91" s="341" t="s">
        <v>281</v>
      </c>
    </row>
    <row r="92" spans="1:32">
      <c r="A92" s="307">
        <v>8</v>
      </c>
      <c r="B92" s="342"/>
      <c r="C92" s="342" t="s">
        <v>175</v>
      </c>
      <c r="D92" s="340" t="s">
        <v>297</v>
      </c>
      <c r="E92" s="342" t="s">
        <v>298</v>
      </c>
      <c r="F92" s="345" t="s">
        <v>223</v>
      </c>
      <c r="G92" s="308">
        <v>5</v>
      </c>
      <c r="H92" s="309">
        <v>152</v>
      </c>
      <c r="I92" s="309">
        <v>760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/>
      <c r="AF92" s="341" t="s">
        <v>282</v>
      </c>
    </row>
    <row r="93" spans="1:32">
      <c r="A93" s="307">
        <v>8</v>
      </c>
      <c r="B93" s="342"/>
      <c r="C93" s="342" t="s">
        <v>175</v>
      </c>
      <c r="D93" s="340" t="s">
        <v>299</v>
      </c>
      <c r="E93" s="342" t="s">
        <v>294</v>
      </c>
      <c r="F93" s="345" t="s">
        <v>226</v>
      </c>
      <c r="G93" s="308">
        <v>1.33</v>
      </c>
      <c r="H93" s="309">
        <v>535</v>
      </c>
      <c r="I93" s="309">
        <v>711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/>
      <c r="AF93" s="341" t="s">
        <v>300</v>
      </c>
    </row>
    <row r="94" spans="1:32">
      <c r="A94" s="307">
        <v>8</v>
      </c>
      <c r="B94" s="342"/>
      <c r="C94" s="342" t="s">
        <v>175</v>
      </c>
      <c r="D94" s="340" t="s">
        <v>301</v>
      </c>
      <c r="E94" s="342"/>
      <c r="F94" s="345" t="s">
        <v>285</v>
      </c>
      <c r="G94" s="308">
        <v>20</v>
      </c>
      <c r="H94" s="309">
        <v>0</v>
      </c>
      <c r="I94" s="309">
        <v>6132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 t="s">
        <v>286</v>
      </c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/>
      <c r="AF94" s="341" t="s">
        <v>287</v>
      </c>
    </row>
    <row r="95" spans="1:32">
      <c r="A95" s="307">
        <v>8</v>
      </c>
      <c r="B95" s="342"/>
      <c r="C95" s="342"/>
      <c r="D95" s="340" t="s">
        <v>302</v>
      </c>
      <c r="E95" s="342"/>
      <c r="F95" s="345" t="s">
        <v>169</v>
      </c>
      <c r="G95" s="308">
        <v>1</v>
      </c>
      <c r="H95" s="309">
        <v>-3</v>
      </c>
      <c r="I95" s="309">
        <v>-3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/>
      <c r="AF95" s="341"/>
    </row>
    <row r="96" spans="1:32">
      <c r="A96" s="307">
        <v>7</v>
      </c>
      <c r="B96" s="342"/>
      <c r="C96" s="342" t="s">
        <v>176</v>
      </c>
      <c r="D96" s="340" t="s">
        <v>303</v>
      </c>
      <c r="E96" s="342"/>
      <c r="F96" s="345" t="s">
        <v>220</v>
      </c>
      <c r="G96" s="308">
        <v>3</v>
      </c>
      <c r="H96" s="309">
        <v>26800</v>
      </c>
      <c r="I96" s="309">
        <v>80400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/>
      <c r="AF96" s="341" t="s">
        <v>281</v>
      </c>
    </row>
    <row r="97" spans="1:32">
      <c r="A97" s="307">
        <v>7</v>
      </c>
      <c r="B97" s="342"/>
      <c r="C97" s="342" t="s">
        <v>175</v>
      </c>
      <c r="D97" s="340" t="s">
        <v>284</v>
      </c>
      <c r="E97" s="342"/>
      <c r="F97" s="345" t="s">
        <v>285</v>
      </c>
      <c r="G97" s="308">
        <v>20</v>
      </c>
      <c r="H97" s="309">
        <v>0</v>
      </c>
      <c r="I97" s="309">
        <v>16080</v>
      </c>
      <c r="J97" s="211"/>
      <c r="K97" s="212" t="str">
        <f>IF(OR(J97="",G97=J97),"","*")</f>
        <v/>
      </c>
      <c r="L97" s="338" t="str">
        <f>IF($A97&lt;=L$1,I97/I$4,"")</f>
        <v/>
      </c>
      <c r="M97" s="343"/>
      <c r="N97" s="344" t="s">
        <v>286</v>
      </c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 t="s">
        <v>304</v>
      </c>
    </row>
    <row r="98" spans="1:32">
      <c r="A98" s="307">
        <v>7</v>
      </c>
      <c r="B98" s="342"/>
      <c r="C98" s="342"/>
      <c r="D98" s="340" t="s">
        <v>288</v>
      </c>
      <c r="E98" s="342"/>
      <c r="F98" s="345" t="s">
        <v>169</v>
      </c>
      <c r="G98" s="308">
        <v>1</v>
      </c>
      <c r="H98" s="309">
        <v>270</v>
      </c>
      <c r="I98" s="309">
        <v>270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/>
      <c r="AF98" s="341"/>
    </row>
    <row r="99" spans="1:32">
      <c r="A99" s="307">
        <v>6</v>
      </c>
      <c r="B99" s="342"/>
      <c r="C99" s="342" t="s">
        <v>176</v>
      </c>
      <c r="D99" s="340" t="s">
        <v>228</v>
      </c>
      <c r="E99" s="342"/>
      <c r="F99" s="345" t="s">
        <v>220</v>
      </c>
      <c r="G99" s="308">
        <v>4</v>
      </c>
      <c r="H99" s="309">
        <v>26800</v>
      </c>
      <c r="I99" s="309">
        <v>107200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/>
      <c r="AF99" s="341" t="s">
        <v>281</v>
      </c>
    </row>
    <row r="100" spans="1:32">
      <c r="A100" s="307">
        <v>6</v>
      </c>
      <c r="B100" s="342"/>
      <c r="C100" s="342" t="s">
        <v>175</v>
      </c>
      <c r="D100" s="340" t="s">
        <v>305</v>
      </c>
      <c r="E100" s="342"/>
      <c r="F100" s="345" t="s">
        <v>285</v>
      </c>
      <c r="G100" s="308">
        <v>20</v>
      </c>
      <c r="H100" s="309">
        <v>0</v>
      </c>
      <c r="I100" s="309">
        <v>21440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 t="s">
        <v>286</v>
      </c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/>
      <c r="AF100" s="341" t="s">
        <v>304</v>
      </c>
    </row>
    <row r="101" spans="1:32">
      <c r="A101" s="307">
        <v>6</v>
      </c>
      <c r="B101" s="342"/>
      <c r="C101" s="342"/>
      <c r="D101" s="340" t="s">
        <v>270</v>
      </c>
      <c r="E101" s="342"/>
      <c r="F101" s="345" t="s">
        <v>169</v>
      </c>
      <c r="G101" s="308">
        <v>1</v>
      </c>
      <c r="H101" s="309">
        <v>-280</v>
      </c>
      <c r="I101" s="309">
        <v>-280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/>
      <c r="AF101" s="341"/>
    </row>
    <row r="102" spans="1:32">
      <c r="A102" s="307">
        <v>5</v>
      </c>
      <c r="B102" s="342"/>
      <c r="C102" s="342" t="s">
        <v>175</v>
      </c>
      <c r="D102" s="340" t="s">
        <v>306</v>
      </c>
      <c r="E102" s="342"/>
      <c r="F102" s="345" t="s">
        <v>169</v>
      </c>
      <c r="G102" s="308">
        <v>1</v>
      </c>
      <c r="H102" s="309">
        <v>3825</v>
      </c>
      <c r="I102" s="309">
        <v>3825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237</v>
      </c>
      <c r="AF102" s="341"/>
    </row>
    <row r="103" spans="1:32">
      <c r="A103" s="307">
        <v>3</v>
      </c>
      <c r="B103" s="342"/>
      <c r="C103" s="342" t="s">
        <v>207</v>
      </c>
      <c r="D103" s="340" t="s">
        <v>329</v>
      </c>
      <c r="E103" s="342" t="s">
        <v>330</v>
      </c>
      <c r="F103" s="345" t="s">
        <v>166</v>
      </c>
      <c r="G103" s="308">
        <v>20</v>
      </c>
      <c r="H103" s="309">
        <v>365000</v>
      </c>
      <c r="I103" s="309">
        <v>7300000</v>
      </c>
      <c r="J103" s="211">
        <v>1</v>
      </c>
      <c r="K103" s="212" t="str">
        <f>IF(OR(J103="",G103=J103),"","*")</f>
        <v>*</v>
      </c>
      <c r="L103" s="338">
        <f>IF($A103&lt;=L$1,I103/I$4,"")</f>
        <v>0.59826503140891418</v>
      </c>
      <c r="M103" s="343"/>
      <c r="N103" s="344" t="s">
        <v>331</v>
      </c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/>
      <c r="AF103" s="341"/>
    </row>
    <row r="104" spans="1:32">
      <c r="A104" s="307">
        <v>4</v>
      </c>
      <c r="B104" s="342"/>
      <c r="C104" s="342" t="s">
        <v>210</v>
      </c>
      <c r="D104" s="340" t="s">
        <v>332</v>
      </c>
      <c r="E104" s="342" t="s">
        <v>165</v>
      </c>
      <c r="F104" s="345" t="s">
        <v>166</v>
      </c>
      <c r="G104" s="308">
        <v>1</v>
      </c>
      <c r="H104" s="309">
        <v>365000</v>
      </c>
      <c r="I104" s="309">
        <v>365000</v>
      </c>
      <c r="J104" s="211">
        <v>1</v>
      </c>
      <c r="K104" s="212" t="str">
        <f>IF(OR(J104="",G104=J104),"","*")</f>
        <v/>
      </c>
      <c r="L104" s="338" t="str">
        <f>IF($A104&lt;=L$1,I104/I$4,"")</f>
        <v/>
      </c>
      <c r="M104" s="343"/>
      <c r="N104" s="344" t="s">
        <v>333</v>
      </c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/>
      <c r="AF104" s="341"/>
    </row>
    <row r="105" spans="1:32">
      <c r="A105" s="307">
        <v>5</v>
      </c>
      <c r="B105" s="342"/>
      <c r="C105" s="342" t="s">
        <v>210</v>
      </c>
      <c r="D105" s="340" t="s">
        <v>334</v>
      </c>
      <c r="E105" s="342" t="s">
        <v>335</v>
      </c>
      <c r="F105" s="345" t="s">
        <v>167</v>
      </c>
      <c r="G105" s="308">
        <v>13.34</v>
      </c>
      <c r="H105" s="309">
        <v>2290</v>
      </c>
      <c r="I105" s="309">
        <v>30548</v>
      </c>
      <c r="J105" s="211">
        <v>100</v>
      </c>
      <c r="K105" s="212" t="str">
        <f>IF(OR(J105="",G105=J105),"","*")</f>
        <v>*</v>
      </c>
      <c r="L105" s="338" t="str">
        <f>IF($A105&lt;=L$1,I105/I$4,"")</f>
        <v/>
      </c>
      <c r="M105" s="343"/>
      <c r="N105" s="344" t="s">
        <v>336</v>
      </c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/>
      <c r="AF105" s="341" t="s">
        <v>337</v>
      </c>
    </row>
    <row r="106" spans="1:32">
      <c r="A106" s="307">
        <v>6</v>
      </c>
      <c r="B106" s="342"/>
      <c r="C106" s="342" t="s">
        <v>275</v>
      </c>
      <c r="D106" s="340" t="s">
        <v>338</v>
      </c>
      <c r="E106" s="342" t="s">
        <v>339</v>
      </c>
      <c r="F106" s="345" t="s">
        <v>278</v>
      </c>
      <c r="G106" s="308">
        <v>2.5</v>
      </c>
      <c r="H106" s="309">
        <v>53100</v>
      </c>
      <c r="I106" s="309">
        <v>132750</v>
      </c>
      <c r="J106" s="211">
        <v>1</v>
      </c>
      <c r="K106" s="212" t="str">
        <f>IF(OR(J106="",G106=J106),"","*")</f>
        <v>*</v>
      </c>
      <c r="L106" s="338" t="str">
        <f>IF($A106&lt;=L$1,I106/I$4,"")</f>
        <v/>
      </c>
      <c r="M106" s="343"/>
      <c r="N106" s="344" t="s">
        <v>340</v>
      </c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/>
      <c r="AF106" s="341" t="s">
        <v>280</v>
      </c>
    </row>
    <row r="107" spans="1:32">
      <c r="A107" s="307">
        <v>7</v>
      </c>
      <c r="B107" s="342"/>
      <c r="C107" s="342" t="s">
        <v>176</v>
      </c>
      <c r="D107" s="340" t="s">
        <v>219</v>
      </c>
      <c r="E107" s="342"/>
      <c r="F107" s="345" t="s">
        <v>220</v>
      </c>
      <c r="G107" s="308">
        <v>1</v>
      </c>
      <c r="H107" s="309">
        <v>30500</v>
      </c>
      <c r="I107" s="309">
        <v>30500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/>
      <c r="AF107" s="341" t="s">
        <v>281</v>
      </c>
    </row>
    <row r="108" spans="1:32">
      <c r="A108" s="307">
        <v>7</v>
      </c>
      <c r="B108" s="342"/>
      <c r="C108" s="342" t="s">
        <v>175</v>
      </c>
      <c r="D108" s="340" t="s">
        <v>221</v>
      </c>
      <c r="E108" s="342" t="s">
        <v>222</v>
      </c>
      <c r="F108" s="345" t="s">
        <v>223</v>
      </c>
      <c r="G108" s="308">
        <v>34.4</v>
      </c>
      <c r="H108" s="309">
        <v>126</v>
      </c>
      <c r="I108" s="309">
        <v>4334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/>
      <c r="AF108" s="341" t="s">
        <v>282</v>
      </c>
    </row>
    <row r="109" spans="1:32">
      <c r="A109" s="307">
        <v>7</v>
      </c>
      <c r="B109" s="342"/>
      <c r="C109" s="342" t="s">
        <v>175</v>
      </c>
      <c r="D109" s="340" t="s">
        <v>341</v>
      </c>
      <c r="E109" s="342" t="s">
        <v>342</v>
      </c>
      <c r="F109" s="345" t="s">
        <v>226</v>
      </c>
      <c r="G109" s="308">
        <v>1.5</v>
      </c>
      <c r="H109" s="309">
        <v>7520</v>
      </c>
      <c r="I109" s="309">
        <v>11280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/>
      <c r="AF109" s="341" t="s">
        <v>343</v>
      </c>
    </row>
    <row r="110" spans="1:32">
      <c r="A110" s="307">
        <v>7</v>
      </c>
      <c r="B110" s="342"/>
      <c r="C110" s="342" t="s">
        <v>175</v>
      </c>
      <c r="D110" s="340" t="s">
        <v>284</v>
      </c>
      <c r="E110" s="342"/>
      <c r="F110" s="345" t="s">
        <v>285</v>
      </c>
      <c r="G110" s="308">
        <v>20</v>
      </c>
      <c r="H110" s="309">
        <v>0</v>
      </c>
      <c r="I110" s="309">
        <v>6966</v>
      </c>
      <c r="J110" s="211"/>
      <c r="K110" s="212" t="str">
        <f>IF(OR(J110="",G110=J110),"","*")</f>
        <v/>
      </c>
      <c r="L110" s="338" t="str">
        <f>IF($A110&lt;=L$1,I110/I$4,"")</f>
        <v/>
      </c>
      <c r="M110" s="343"/>
      <c r="N110" s="344" t="s">
        <v>286</v>
      </c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 t="s">
        <v>287</v>
      </c>
    </row>
    <row r="111" spans="1:32">
      <c r="A111" s="307">
        <v>7</v>
      </c>
      <c r="B111" s="342"/>
      <c r="C111" s="342"/>
      <c r="D111" s="340" t="s">
        <v>288</v>
      </c>
      <c r="E111" s="342"/>
      <c r="F111" s="345" t="s">
        <v>169</v>
      </c>
      <c r="G111" s="308">
        <v>1</v>
      </c>
      <c r="H111" s="309">
        <v>20</v>
      </c>
      <c r="I111" s="309">
        <v>20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6</v>
      </c>
      <c r="B112" s="342"/>
      <c r="C112" s="342" t="s">
        <v>176</v>
      </c>
      <c r="D112" s="340" t="s">
        <v>228</v>
      </c>
      <c r="E112" s="342"/>
      <c r="F112" s="345" t="s">
        <v>220</v>
      </c>
      <c r="G112" s="308">
        <v>3</v>
      </c>
      <c r="H112" s="309">
        <v>26800</v>
      </c>
      <c r="I112" s="309">
        <v>80400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/>
      <c r="AF112" s="341" t="s">
        <v>281</v>
      </c>
    </row>
    <row r="113" spans="1:32">
      <c r="A113" s="307">
        <v>6</v>
      </c>
      <c r="B113" s="342"/>
      <c r="C113" s="342" t="s">
        <v>175</v>
      </c>
      <c r="D113" s="340" t="s">
        <v>305</v>
      </c>
      <c r="E113" s="342"/>
      <c r="F113" s="345" t="s">
        <v>285</v>
      </c>
      <c r="G113" s="308">
        <v>20</v>
      </c>
      <c r="H113" s="309">
        <v>0</v>
      </c>
      <c r="I113" s="309">
        <v>16080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 t="s">
        <v>286</v>
      </c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/>
      <c r="AF113" s="341" t="s">
        <v>304</v>
      </c>
    </row>
    <row r="114" spans="1:32">
      <c r="A114" s="307">
        <v>6</v>
      </c>
      <c r="B114" s="342"/>
      <c r="C114" s="342"/>
      <c r="D114" s="340" t="s">
        <v>270</v>
      </c>
      <c r="E114" s="342"/>
      <c r="F114" s="345" t="s">
        <v>169</v>
      </c>
      <c r="G114" s="308">
        <v>1</v>
      </c>
      <c r="H114" s="309">
        <v>-230</v>
      </c>
      <c r="I114" s="309">
        <v>-230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/>
      <c r="AF114" s="341"/>
    </row>
    <row r="115" spans="1:32">
      <c r="A115" s="307">
        <v>5</v>
      </c>
      <c r="B115" s="342"/>
      <c r="C115" s="342" t="s">
        <v>210</v>
      </c>
      <c r="D115" s="340" t="s">
        <v>344</v>
      </c>
      <c r="E115" s="342" t="s">
        <v>345</v>
      </c>
      <c r="F115" s="345" t="s">
        <v>168</v>
      </c>
      <c r="G115" s="308">
        <v>20</v>
      </c>
      <c r="H115" s="309">
        <v>3010</v>
      </c>
      <c r="I115" s="309">
        <v>60200</v>
      </c>
      <c r="J115" s="211">
        <v>20</v>
      </c>
      <c r="K115" s="212" t="str">
        <f>IF(OR(J115="",G115=J115),"","*")</f>
        <v/>
      </c>
      <c r="L115" s="338" t="str">
        <f>IF($A115&lt;=L$1,I115/I$4,"")</f>
        <v/>
      </c>
      <c r="M115" s="343"/>
      <c r="N115" s="344" t="s">
        <v>346</v>
      </c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/>
      <c r="AF115" s="341"/>
    </row>
    <row r="116" spans="1:32">
      <c r="A116" s="307">
        <v>6</v>
      </c>
      <c r="B116" s="342"/>
      <c r="C116" s="342" t="s">
        <v>176</v>
      </c>
      <c r="D116" s="340" t="s">
        <v>240</v>
      </c>
      <c r="E116" s="342" t="s">
        <v>241</v>
      </c>
      <c r="F116" s="345" t="s">
        <v>220</v>
      </c>
      <c r="G116" s="308">
        <v>0.2</v>
      </c>
      <c r="H116" s="309">
        <v>35000</v>
      </c>
      <c r="I116" s="309">
        <v>7000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/>
      <c r="AF116" s="341"/>
    </row>
    <row r="117" spans="1:32">
      <c r="A117" s="307">
        <v>6</v>
      </c>
      <c r="B117" s="342"/>
      <c r="C117" s="342" t="s">
        <v>176</v>
      </c>
      <c r="D117" s="340" t="s">
        <v>242</v>
      </c>
      <c r="E117" s="342" t="s">
        <v>241</v>
      </c>
      <c r="F117" s="345" t="s">
        <v>220</v>
      </c>
      <c r="G117" s="308">
        <v>0.8</v>
      </c>
      <c r="H117" s="309">
        <v>30000</v>
      </c>
      <c r="I117" s="309">
        <v>24000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/>
      <c r="AF117" s="341"/>
    </row>
    <row r="118" spans="1:32">
      <c r="A118" s="307">
        <v>6</v>
      </c>
      <c r="B118" s="342"/>
      <c r="C118" s="342" t="s">
        <v>178</v>
      </c>
      <c r="D118" s="340" t="s">
        <v>347</v>
      </c>
      <c r="E118" s="342" t="s">
        <v>244</v>
      </c>
      <c r="F118" s="345" t="s">
        <v>245</v>
      </c>
      <c r="G118" s="308">
        <v>0.2</v>
      </c>
      <c r="H118" s="309">
        <v>12000</v>
      </c>
      <c r="I118" s="309">
        <v>2400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348</v>
      </c>
      <c r="AF118" s="341"/>
    </row>
    <row r="119" spans="1:32">
      <c r="A119" s="307">
        <v>6</v>
      </c>
      <c r="B119" s="342"/>
      <c r="C119" s="342" t="s">
        <v>178</v>
      </c>
      <c r="D119" s="340" t="s">
        <v>247</v>
      </c>
      <c r="E119" s="342" t="s">
        <v>248</v>
      </c>
      <c r="F119" s="345" t="s">
        <v>249</v>
      </c>
      <c r="G119" s="308">
        <v>0.2</v>
      </c>
      <c r="H119" s="309">
        <v>3000</v>
      </c>
      <c r="I119" s="309">
        <v>600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/>
      <c r="AF119" s="341"/>
    </row>
    <row r="120" spans="1:32">
      <c r="A120" s="307">
        <v>6</v>
      </c>
      <c r="B120" s="342"/>
      <c r="C120" s="342" t="s">
        <v>179</v>
      </c>
      <c r="D120" s="340" t="s">
        <v>251</v>
      </c>
      <c r="E120" s="342" t="s">
        <v>252</v>
      </c>
      <c r="F120" s="345" t="s">
        <v>249</v>
      </c>
      <c r="G120" s="308">
        <v>0.2</v>
      </c>
      <c r="H120" s="309">
        <v>6000</v>
      </c>
      <c r="I120" s="309">
        <v>1200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/>
      <c r="AF120" s="341"/>
    </row>
    <row r="121" spans="1:32">
      <c r="A121" s="307">
        <v>6</v>
      </c>
      <c r="B121" s="342"/>
      <c r="C121" s="342" t="s">
        <v>178</v>
      </c>
      <c r="D121" s="340" t="s">
        <v>349</v>
      </c>
      <c r="E121" s="342" t="s">
        <v>350</v>
      </c>
      <c r="F121" s="345" t="s">
        <v>351</v>
      </c>
      <c r="G121" s="308">
        <v>1</v>
      </c>
      <c r="H121" s="309">
        <v>25000</v>
      </c>
      <c r="I121" s="309">
        <v>25000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352</v>
      </c>
      <c r="AF121" s="341"/>
    </row>
    <row r="122" spans="1:32">
      <c r="A122" s="307">
        <v>5</v>
      </c>
      <c r="B122" s="342"/>
      <c r="C122" s="342" t="s">
        <v>210</v>
      </c>
      <c r="D122" s="340" t="s">
        <v>230</v>
      </c>
      <c r="E122" s="342"/>
      <c r="F122" s="345" t="s">
        <v>168</v>
      </c>
      <c r="G122" s="308">
        <v>4.851</v>
      </c>
      <c r="H122" s="309">
        <v>640</v>
      </c>
      <c r="I122" s="309">
        <v>3104</v>
      </c>
      <c r="J122" s="211">
        <v>100</v>
      </c>
      <c r="K122" s="212" t="str">
        <f>IF(OR(J122="",G122=J122),"","*")</f>
        <v>*</v>
      </c>
      <c r="L122" s="338" t="str">
        <f>IF($A122&lt;=L$1,I122/I$4,"")</f>
        <v/>
      </c>
      <c r="M122" s="343"/>
      <c r="N122" s="344" t="s">
        <v>353</v>
      </c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/>
      <c r="AF122" s="341" t="s">
        <v>354</v>
      </c>
    </row>
    <row r="123" spans="1:32">
      <c r="A123" s="307">
        <v>6</v>
      </c>
      <c r="B123" s="342"/>
      <c r="C123" s="342" t="s">
        <v>176</v>
      </c>
      <c r="D123" s="340" t="s">
        <v>228</v>
      </c>
      <c r="E123" s="342"/>
      <c r="F123" s="345" t="s">
        <v>220</v>
      </c>
      <c r="G123" s="308">
        <v>2</v>
      </c>
      <c r="H123" s="309">
        <v>26800</v>
      </c>
      <c r="I123" s="309">
        <v>53600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/>
      <c r="AF123" s="341"/>
    </row>
    <row r="124" spans="1:32">
      <c r="A124" s="307">
        <v>6</v>
      </c>
      <c r="B124" s="342"/>
      <c r="C124" s="342" t="s">
        <v>180</v>
      </c>
      <c r="D124" s="340" t="s">
        <v>229</v>
      </c>
      <c r="E124" s="342"/>
      <c r="F124" s="345" t="s">
        <v>169</v>
      </c>
      <c r="G124" s="308">
        <v>1</v>
      </c>
      <c r="H124" s="309">
        <v>10400</v>
      </c>
      <c r="I124" s="309">
        <v>10400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/>
      <c r="AF124" s="341"/>
    </row>
    <row r="125" spans="1:32">
      <c r="A125" s="307">
        <v>5</v>
      </c>
      <c r="B125" s="342"/>
      <c r="C125" s="342" t="s">
        <v>210</v>
      </c>
      <c r="D125" s="340" t="s">
        <v>355</v>
      </c>
      <c r="E125" s="342"/>
      <c r="F125" s="345" t="s">
        <v>167</v>
      </c>
      <c r="G125" s="308">
        <v>1.31</v>
      </c>
      <c r="H125" s="309">
        <v>9725</v>
      </c>
      <c r="I125" s="309">
        <v>12739</v>
      </c>
      <c r="J125" s="211">
        <v>10</v>
      </c>
      <c r="K125" s="212" t="str">
        <f>IF(OR(J125="",G125=J125),"","*")</f>
        <v>*</v>
      </c>
      <c r="L125" s="338" t="str">
        <f>IF($A125&lt;=L$1,I125/I$4,"")</f>
        <v/>
      </c>
      <c r="M125" s="343"/>
      <c r="N125" s="344" t="s">
        <v>356</v>
      </c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/>
      <c r="AF125" s="341" t="s">
        <v>357</v>
      </c>
    </row>
    <row r="126" spans="1:32">
      <c r="A126" s="307">
        <v>6</v>
      </c>
      <c r="B126" s="342"/>
      <c r="C126" s="342" t="s">
        <v>175</v>
      </c>
      <c r="D126" s="340" t="s">
        <v>358</v>
      </c>
      <c r="E126" s="342" t="s">
        <v>359</v>
      </c>
      <c r="F126" s="345" t="s">
        <v>167</v>
      </c>
      <c r="G126" s="308">
        <v>10</v>
      </c>
      <c r="H126" s="309">
        <v>1500</v>
      </c>
      <c r="I126" s="309">
        <v>15000</v>
      </c>
      <c r="J126" s="211"/>
      <c r="K126" s="212" t="str">
        <f>IF(OR(J126="",G126=J126),"","*")</f>
        <v/>
      </c>
      <c r="L126" s="338" t="str">
        <f>IF($A126&lt;=L$1,I126/I$4,"")</f>
        <v/>
      </c>
      <c r="M126" s="343"/>
      <c r="N126" s="344"/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6</v>
      </c>
      <c r="B127" s="342"/>
      <c r="C127" s="342" t="s">
        <v>175</v>
      </c>
      <c r="D127" s="340" t="s">
        <v>236</v>
      </c>
      <c r="E127" s="342"/>
      <c r="F127" s="345" t="s">
        <v>169</v>
      </c>
      <c r="G127" s="308">
        <v>1</v>
      </c>
      <c r="H127" s="309">
        <v>2750</v>
      </c>
      <c r="I127" s="309">
        <v>2750</v>
      </c>
      <c r="J127" s="211"/>
      <c r="K127" s="212" t="str">
        <f>IF(OR(J127="",G127=J127),"","*")</f>
        <v/>
      </c>
      <c r="L127" s="338" t="str">
        <f>IF($A127&lt;=L$1,I127/I$4,"")</f>
        <v/>
      </c>
      <c r="M127" s="343"/>
      <c r="N127" s="344"/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/>
      <c r="AF127" s="341"/>
    </row>
    <row r="128" spans="1:32">
      <c r="A128" s="307">
        <v>6</v>
      </c>
      <c r="B128" s="342"/>
      <c r="C128" s="342" t="s">
        <v>176</v>
      </c>
      <c r="D128" s="340" t="s">
        <v>240</v>
      </c>
      <c r="E128" s="342" t="s">
        <v>241</v>
      </c>
      <c r="F128" s="345" t="s">
        <v>220</v>
      </c>
      <c r="G128" s="308">
        <v>0.5</v>
      </c>
      <c r="H128" s="309">
        <v>35000</v>
      </c>
      <c r="I128" s="309">
        <v>17500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/>
      <c r="AF128" s="341"/>
    </row>
    <row r="129" spans="1:32">
      <c r="A129" s="307">
        <v>6</v>
      </c>
      <c r="B129" s="342"/>
      <c r="C129" s="342" t="s">
        <v>176</v>
      </c>
      <c r="D129" s="340" t="s">
        <v>242</v>
      </c>
      <c r="E129" s="342" t="s">
        <v>241</v>
      </c>
      <c r="F129" s="345" t="s">
        <v>220</v>
      </c>
      <c r="G129" s="308">
        <v>1.5</v>
      </c>
      <c r="H129" s="309">
        <v>30000</v>
      </c>
      <c r="I129" s="309">
        <v>45000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/>
      <c r="AF129" s="341"/>
    </row>
    <row r="130" spans="1:32">
      <c r="A130" s="307">
        <v>6</v>
      </c>
      <c r="B130" s="342"/>
      <c r="C130" s="342" t="s">
        <v>178</v>
      </c>
      <c r="D130" s="340" t="s">
        <v>243</v>
      </c>
      <c r="E130" s="342" t="s">
        <v>244</v>
      </c>
      <c r="F130" s="345" t="s">
        <v>245</v>
      </c>
      <c r="G130" s="308">
        <v>1</v>
      </c>
      <c r="H130" s="309">
        <v>8000</v>
      </c>
      <c r="I130" s="309">
        <v>8000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/>
      <c r="AF130" s="341"/>
    </row>
    <row r="131" spans="1:32">
      <c r="A131" s="307">
        <v>6</v>
      </c>
      <c r="B131" s="342"/>
      <c r="C131" s="342" t="s">
        <v>178</v>
      </c>
      <c r="D131" s="340" t="s">
        <v>247</v>
      </c>
      <c r="E131" s="342" t="s">
        <v>248</v>
      </c>
      <c r="F131" s="345" t="s">
        <v>249</v>
      </c>
      <c r="G131" s="308">
        <v>1</v>
      </c>
      <c r="H131" s="309">
        <v>3000</v>
      </c>
      <c r="I131" s="309">
        <v>3000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/>
      <c r="AF131" s="341"/>
    </row>
    <row r="132" spans="1:32">
      <c r="A132" s="307">
        <v>6</v>
      </c>
      <c r="B132" s="342"/>
      <c r="C132" s="342" t="s">
        <v>179</v>
      </c>
      <c r="D132" s="340" t="s">
        <v>251</v>
      </c>
      <c r="E132" s="342" t="s">
        <v>252</v>
      </c>
      <c r="F132" s="345" t="s">
        <v>249</v>
      </c>
      <c r="G132" s="308">
        <v>1</v>
      </c>
      <c r="H132" s="309">
        <v>6000</v>
      </c>
      <c r="I132" s="309">
        <v>6000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/>
      <c r="AF132" s="341"/>
    </row>
    <row r="133" spans="1:32">
      <c r="A133" s="307">
        <v>5</v>
      </c>
      <c r="B133" s="342"/>
      <c r="C133" s="342" t="s">
        <v>210</v>
      </c>
      <c r="D133" s="340" t="s">
        <v>360</v>
      </c>
      <c r="E133" s="342" t="s">
        <v>361</v>
      </c>
      <c r="F133" s="345" t="s">
        <v>166</v>
      </c>
      <c r="G133" s="308">
        <v>1</v>
      </c>
      <c r="H133" s="309">
        <v>28100</v>
      </c>
      <c r="I133" s="309">
        <v>28100</v>
      </c>
      <c r="J133" s="211">
        <v>5</v>
      </c>
      <c r="K133" s="212" t="str">
        <f>IF(OR(J133="",G133=J133),"","*")</f>
        <v>*</v>
      </c>
      <c r="L133" s="338" t="str">
        <f>IF($A133&lt;=L$1,I133/I$4,"")</f>
        <v/>
      </c>
      <c r="M133" s="343"/>
      <c r="N133" s="344" t="s">
        <v>362</v>
      </c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/>
      <c r="AF133" s="341"/>
    </row>
    <row r="134" spans="1:32">
      <c r="A134" s="307">
        <v>6</v>
      </c>
      <c r="B134" s="342"/>
      <c r="C134" s="342" t="s">
        <v>175</v>
      </c>
      <c r="D134" s="340" t="s">
        <v>236</v>
      </c>
      <c r="E134" s="342"/>
      <c r="F134" s="345" t="s">
        <v>169</v>
      </c>
      <c r="G134" s="308">
        <v>1</v>
      </c>
      <c r="H134" s="309">
        <v>9500</v>
      </c>
      <c r="I134" s="309">
        <v>9500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/>
      <c r="AF134" s="341"/>
    </row>
    <row r="135" spans="1:32">
      <c r="A135" s="307">
        <v>6</v>
      </c>
      <c r="B135" s="342"/>
      <c r="C135" s="342" t="s">
        <v>176</v>
      </c>
      <c r="D135" s="340" t="s">
        <v>240</v>
      </c>
      <c r="E135" s="342" t="s">
        <v>241</v>
      </c>
      <c r="F135" s="345" t="s">
        <v>220</v>
      </c>
      <c r="G135" s="308">
        <v>1</v>
      </c>
      <c r="H135" s="309">
        <v>33000</v>
      </c>
      <c r="I135" s="309">
        <v>33000</v>
      </c>
      <c r="J135" s="211"/>
      <c r="K135" s="212" t="str">
        <f>IF(OR(J135="",G135=J135),"","*")</f>
        <v/>
      </c>
      <c r="L135" s="338" t="str">
        <f>IF($A135&lt;=L$1,I135/I$4,"")</f>
        <v/>
      </c>
      <c r="M135" s="343"/>
      <c r="N135" s="344"/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6</v>
      </c>
      <c r="B136" s="342"/>
      <c r="C136" s="342" t="s">
        <v>176</v>
      </c>
      <c r="D136" s="340" t="s">
        <v>242</v>
      </c>
      <c r="E136" s="342" t="s">
        <v>241</v>
      </c>
      <c r="F136" s="345" t="s">
        <v>220</v>
      </c>
      <c r="G136" s="308">
        <v>3</v>
      </c>
      <c r="H136" s="309">
        <v>27000</v>
      </c>
      <c r="I136" s="309">
        <v>81000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/>
    </row>
    <row r="137" spans="1:32">
      <c r="A137" s="307">
        <v>6</v>
      </c>
      <c r="B137" s="342"/>
      <c r="C137" s="342" t="s">
        <v>178</v>
      </c>
      <c r="D137" s="340" t="s">
        <v>347</v>
      </c>
      <c r="E137" s="342" t="s">
        <v>244</v>
      </c>
      <c r="F137" s="345" t="s">
        <v>245</v>
      </c>
      <c r="G137" s="308">
        <v>1</v>
      </c>
      <c r="H137" s="309">
        <v>8000</v>
      </c>
      <c r="I137" s="309">
        <v>8000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348</v>
      </c>
      <c r="AF137" s="341"/>
    </row>
    <row r="138" spans="1:32">
      <c r="A138" s="307">
        <v>6</v>
      </c>
      <c r="B138" s="342"/>
      <c r="C138" s="342" t="s">
        <v>178</v>
      </c>
      <c r="D138" s="340" t="s">
        <v>247</v>
      </c>
      <c r="E138" s="342" t="s">
        <v>248</v>
      </c>
      <c r="F138" s="345" t="s">
        <v>249</v>
      </c>
      <c r="G138" s="308">
        <v>1</v>
      </c>
      <c r="H138" s="309">
        <v>3000</v>
      </c>
      <c r="I138" s="309">
        <v>3000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/>
      <c r="AF138" s="341"/>
    </row>
    <row r="139" spans="1:32">
      <c r="A139" s="307">
        <v>6</v>
      </c>
      <c r="B139" s="342"/>
      <c r="C139" s="342" t="s">
        <v>179</v>
      </c>
      <c r="D139" s="340" t="s">
        <v>251</v>
      </c>
      <c r="E139" s="342" t="s">
        <v>252</v>
      </c>
      <c r="F139" s="345" t="s">
        <v>249</v>
      </c>
      <c r="G139" s="308">
        <v>1</v>
      </c>
      <c r="H139" s="309">
        <v>6000</v>
      </c>
      <c r="I139" s="309">
        <v>6000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/>
      <c r="AF139" s="341"/>
    </row>
    <row r="140" spans="1:32">
      <c r="A140" s="307">
        <v>5</v>
      </c>
      <c r="B140" s="342"/>
      <c r="C140" s="342" t="s">
        <v>175</v>
      </c>
      <c r="D140" s="340" t="s">
        <v>363</v>
      </c>
      <c r="E140" s="342" t="s">
        <v>364</v>
      </c>
      <c r="F140" s="345" t="s">
        <v>365</v>
      </c>
      <c r="G140" s="308">
        <v>1</v>
      </c>
      <c r="H140" s="309">
        <v>20950</v>
      </c>
      <c r="I140" s="309">
        <v>20950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366</v>
      </c>
      <c r="AF140" s="341"/>
    </row>
    <row r="141" spans="1:32">
      <c r="A141" s="307">
        <v>5</v>
      </c>
      <c r="B141" s="342"/>
      <c r="C141" s="342" t="s">
        <v>175</v>
      </c>
      <c r="D141" s="340" t="s">
        <v>367</v>
      </c>
      <c r="E141" s="342" t="s">
        <v>368</v>
      </c>
      <c r="F141" s="345" t="s">
        <v>365</v>
      </c>
      <c r="G141" s="308">
        <v>1</v>
      </c>
      <c r="H141" s="309">
        <v>51410</v>
      </c>
      <c r="I141" s="309">
        <v>51410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369</v>
      </c>
      <c r="AF141" s="341"/>
    </row>
    <row r="142" spans="1:32">
      <c r="A142" s="307">
        <v>5</v>
      </c>
      <c r="B142" s="342"/>
      <c r="C142" s="342" t="s">
        <v>175</v>
      </c>
      <c r="D142" s="340" t="s">
        <v>370</v>
      </c>
      <c r="E142" s="342" t="s">
        <v>371</v>
      </c>
      <c r="F142" s="345" t="s">
        <v>365</v>
      </c>
      <c r="G142" s="308">
        <v>1</v>
      </c>
      <c r="H142" s="309">
        <v>38610</v>
      </c>
      <c r="I142" s="309">
        <v>38610</v>
      </c>
      <c r="J142" s="211"/>
      <c r="K142" s="212" t="str">
        <f>IF(OR(J142="",G142=J142),"","*")</f>
        <v/>
      </c>
      <c r="L142" s="338" t="str">
        <f>IF($A142&lt;=L$1,I142/I$4,"")</f>
        <v/>
      </c>
      <c r="M142" s="343"/>
      <c r="N142" s="344"/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 t="s">
        <v>372</v>
      </c>
      <c r="AF142" s="341"/>
    </row>
    <row r="143" spans="1:32">
      <c r="A143" s="307">
        <v>5</v>
      </c>
      <c r="B143" s="342"/>
      <c r="C143" s="342" t="s">
        <v>175</v>
      </c>
      <c r="D143" s="340" t="s">
        <v>370</v>
      </c>
      <c r="E143" s="342" t="s">
        <v>373</v>
      </c>
      <c r="F143" s="345" t="s">
        <v>365</v>
      </c>
      <c r="G143" s="308">
        <v>1</v>
      </c>
      <c r="H143" s="309">
        <v>15880</v>
      </c>
      <c r="I143" s="309">
        <v>15880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 t="s">
        <v>374</v>
      </c>
      <c r="AF143" s="341"/>
    </row>
    <row r="144" spans="1:32">
      <c r="A144" s="307">
        <v>5</v>
      </c>
      <c r="B144" s="342"/>
      <c r="C144" s="342" t="s">
        <v>175</v>
      </c>
      <c r="D144" s="340" t="s">
        <v>375</v>
      </c>
      <c r="E144" s="342" t="s">
        <v>376</v>
      </c>
      <c r="F144" s="345" t="s">
        <v>365</v>
      </c>
      <c r="G144" s="308">
        <v>1</v>
      </c>
      <c r="H144" s="309">
        <v>26510</v>
      </c>
      <c r="I144" s="309">
        <v>26510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 t="s">
        <v>377</v>
      </c>
      <c r="AF144" s="341"/>
    </row>
    <row r="145" spans="1:32">
      <c r="A145" s="307">
        <v>5</v>
      </c>
      <c r="B145" s="342"/>
      <c r="C145" s="342" t="s">
        <v>210</v>
      </c>
      <c r="D145" s="340" t="s">
        <v>378</v>
      </c>
      <c r="E145" s="342" t="s">
        <v>379</v>
      </c>
      <c r="F145" s="345" t="s">
        <v>167</v>
      </c>
      <c r="G145" s="308">
        <v>9.36</v>
      </c>
      <c r="H145" s="309">
        <v>4350</v>
      </c>
      <c r="I145" s="309">
        <v>40716</v>
      </c>
      <c r="J145" s="211">
        <v>20</v>
      </c>
      <c r="K145" s="212" t="str">
        <f>IF(OR(J145="",G145=J145),"","*")</f>
        <v>*</v>
      </c>
      <c r="L145" s="338" t="str">
        <f>IF($A145&lt;=L$1,I145/I$4,"")</f>
        <v/>
      </c>
      <c r="M145" s="343"/>
      <c r="N145" s="344" t="s">
        <v>380</v>
      </c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6</v>
      </c>
      <c r="B146" s="342"/>
      <c r="C146" s="342" t="s">
        <v>175</v>
      </c>
      <c r="D146" s="340" t="s">
        <v>236</v>
      </c>
      <c r="E146" s="342"/>
      <c r="F146" s="345" t="s">
        <v>169</v>
      </c>
      <c r="G146" s="308">
        <v>1</v>
      </c>
      <c r="H146" s="309">
        <v>5000</v>
      </c>
      <c r="I146" s="309">
        <v>5000</v>
      </c>
      <c r="J146" s="211"/>
      <c r="K146" s="212" t="str">
        <f>IF(OR(J146="",G146=J146),"","*")</f>
        <v/>
      </c>
      <c r="L146" s="338" t="str">
        <f>IF($A146&lt;=L$1,I146/I$4,"")</f>
        <v/>
      </c>
      <c r="M146" s="343"/>
      <c r="N146" s="344"/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 t="s">
        <v>237</v>
      </c>
      <c r="AF146" s="341"/>
    </row>
    <row r="147" spans="1:32">
      <c r="A147" s="307">
        <v>6</v>
      </c>
      <c r="B147" s="342"/>
      <c r="C147" s="342" t="s">
        <v>176</v>
      </c>
      <c r="D147" s="340" t="s">
        <v>240</v>
      </c>
      <c r="E147" s="342" t="s">
        <v>241</v>
      </c>
      <c r="F147" s="345" t="s">
        <v>220</v>
      </c>
      <c r="G147" s="308">
        <v>1</v>
      </c>
      <c r="H147" s="309">
        <v>35000</v>
      </c>
      <c r="I147" s="309">
        <v>35000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6</v>
      </c>
      <c r="B148" s="342"/>
      <c r="C148" s="342" t="s">
        <v>176</v>
      </c>
      <c r="D148" s="340" t="s">
        <v>242</v>
      </c>
      <c r="E148" s="342" t="s">
        <v>241</v>
      </c>
      <c r="F148" s="345" t="s">
        <v>220</v>
      </c>
      <c r="G148" s="308">
        <v>1</v>
      </c>
      <c r="H148" s="309">
        <v>30000</v>
      </c>
      <c r="I148" s="309">
        <v>30000</v>
      </c>
      <c r="J148" s="211"/>
      <c r="K148" s="212" t="str">
        <f>IF(OR(J148="",G148=J148),"","*")</f>
        <v/>
      </c>
      <c r="L148" s="338" t="str">
        <f>IF($A148&lt;=L$1,I148/I$4,"")</f>
        <v/>
      </c>
      <c r="M148" s="343"/>
      <c r="N148" s="344"/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6</v>
      </c>
      <c r="B149" s="342"/>
      <c r="C149" s="342" t="s">
        <v>178</v>
      </c>
      <c r="D149" s="340" t="s">
        <v>243</v>
      </c>
      <c r="E149" s="342" t="s">
        <v>244</v>
      </c>
      <c r="F149" s="345" t="s">
        <v>245</v>
      </c>
      <c r="G149" s="308">
        <v>1</v>
      </c>
      <c r="H149" s="309">
        <v>8000</v>
      </c>
      <c r="I149" s="309">
        <v>8000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246</v>
      </c>
      <c r="AF149" s="341"/>
    </row>
    <row r="150" spans="1:32">
      <c r="A150" s="307">
        <v>6</v>
      </c>
      <c r="B150" s="342"/>
      <c r="C150" s="342" t="s">
        <v>178</v>
      </c>
      <c r="D150" s="340" t="s">
        <v>247</v>
      </c>
      <c r="E150" s="342" t="s">
        <v>248</v>
      </c>
      <c r="F150" s="345" t="s">
        <v>249</v>
      </c>
      <c r="G150" s="308">
        <v>1</v>
      </c>
      <c r="H150" s="309">
        <v>3000</v>
      </c>
      <c r="I150" s="309">
        <v>3000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250</v>
      </c>
      <c r="AF150" s="341"/>
    </row>
    <row r="151" spans="1:32">
      <c r="A151" s="307">
        <v>6</v>
      </c>
      <c r="B151" s="342"/>
      <c r="C151" s="342" t="s">
        <v>179</v>
      </c>
      <c r="D151" s="340" t="s">
        <v>251</v>
      </c>
      <c r="E151" s="342" t="s">
        <v>252</v>
      </c>
      <c r="F151" s="345" t="s">
        <v>249</v>
      </c>
      <c r="G151" s="308">
        <v>1</v>
      </c>
      <c r="H151" s="309">
        <v>6000</v>
      </c>
      <c r="I151" s="309">
        <v>6000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253</v>
      </c>
      <c r="AF151" s="341"/>
    </row>
    <row r="152" spans="1:32">
      <c r="A152" s="307">
        <v>5</v>
      </c>
      <c r="B152" s="342"/>
      <c r="C152" s="342" t="s">
        <v>177</v>
      </c>
      <c r="D152" s="340" t="s">
        <v>381</v>
      </c>
      <c r="E152" s="342"/>
      <c r="F152" s="345" t="s">
        <v>166</v>
      </c>
      <c r="G152" s="308">
        <v>1</v>
      </c>
      <c r="H152" s="309">
        <v>25000</v>
      </c>
      <c r="I152" s="309">
        <v>25000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/>
      <c r="AF152" s="341"/>
    </row>
    <row r="153" spans="1:32">
      <c r="A153" s="307">
        <v>5</v>
      </c>
      <c r="B153" s="342"/>
      <c r="C153" s="342" t="s">
        <v>175</v>
      </c>
      <c r="D153" s="340" t="s">
        <v>306</v>
      </c>
      <c r="E153" s="342"/>
      <c r="F153" s="345" t="s">
        <v>169</v>
      </c>
      <c r="G153" s="308">
        <v>1</v>
      </c>
      <c r="H153" s="309">
        <v>11233</v>
      </c>
      <c r="I153" s="309">
        <v>11233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237</v>
      </c>
      <c r="AF153" s="341"/>
    </row>
    <row r="154" spans="1:32">
      <c r="A154" s="307">
        <v>3</v>
      </c>
      <c r="B154" s="342"/>
      <c r="C154" s="342" t="s">
        <v>207</v>
      </c>
      <c r="D154" s="340" t="s">
        <v>382</v>
      </c>
      <c r="E154" s="342"/>
      <c r="F154" s="345" t="s">
        <v>164</v>
      </c>
      <c r="G154" s="308">
        <v>10</v>
      </c>
      <c r="H154" s="309">
        <v>230000</v>
      </c>
      <c r="I154" s="309">
        <v>2300000</v>
      </c>
      <c r="J154" s="211">
        <v>10</v>
      </c>
      <c r="K154" s="212" t="str">
        <f>IF(OR(J154="",G154=J154),"","*")</f>
        <v/>
      </c>
      <c r="L154" s="338">
        <f>IF($A154&lt;=L$1,I154/I$4,"")</f>
        <v>0.18849446195075378</v>
      </c>
      <c r="M154" s="343"/>
      <c r="N154" s="344" t="s">
        <v>383</v>
      </c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/>
      <c r="AF154" s="341"/>
    </row>
    <row r="155" spans="1:32">
      <c r="A155" s="307">
        <v>4</v>
      </c>
      <c r="B155" s="342"/>
      <c r="C155" s="342" t="s">
        <v>210</v>
      </c>
      <c r="D155" s="340" t="s">
        <v>384</v>
      </c>
      <c r="E155" s="342"/>
      <c r="F155" s="345" t="s">
        <v>167</v>
      </c>
      <c r="G155" s="308">
        <v>48.125</v>
      </c>
      <c r="H155" s="309">
        <v>2430</v>
      </c>
      <c r="I155" s="309">
        <v>116943</v>
      </c>
      <c r="J155" s="211">
        <v>50</v>
      </c>
      <c r="K155" s="212" t="str">
        <f>IF(OR(J155="",G155=J155),"","*")</f>
        <v>*</v>
      </c>
      <c r="L155" s="338" t="str">
        <f>IF($A155&lt;=L$1,I155/I$4,"")</f>
        <v/>
      </c>
      <c r="M155" s="343"/>
      <c r="N155" s="344" t="s">
        <v>385</v>
      </c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/>
      <c r="AF155" s="341" t="s">
        <v>386</v>
      </c>
    </row>
    <row r="156" spans="1:32">
      <c r="A156" s="307">
        <v>5</v>
      </c>
      <c r="B156" s="342"/>
      <c r="C156" s="342" t="s">
        <v>175</v>
      </c>
      <c r="D156" s="340" t="s">
        <v>387</v>
      </c>
      <c r="E156" s="342"/>
      <c r="F156" s="345" t="s">
        <v>223</v>
      </c>
      <c r="G156" s="308">
        <v>50</v>
      </c>
      <c r="H156" s="309">
        <v>130</v>
      </c>
      <c r="I156" s="309">
        <v>6500</v>
      </c>
      <c r="J156" s="211"/>
      <c r="K156" s="212" t="str">
        <f>IF(OR(J156="",G156=J156),"","*")</f>
        <v/>
      </c>
      <c r="L156" s="338" t="str">
        <f>IF($A156&lt;=L$1,I156/I$4,"")</f>
        <v/>
      </c>
      <c r="M156" s="343"/>
      <c r="N156" s="344"/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 t="s">
        <v>388</v>
      </c>
      <c r="AF156" s="341"/>
    </row>
    <row r="157" spans="1:32">
      <c r="A157" s="307">
        <v>5</v>
      </c>
      <c r="B157" s="342"/>
      <c r="C157" s="342" t="s">
        <v>175</v>
      </c>
      <c r="D157" s="340" t="s">
        <v>306</v>
      </c>
      <c r="E157" s="342"/>
      <c r="F157" s="345" t="s">
        <v>169</v>
      </c>
      <c r="G157" s="308">
        <v>1</v>
      </c>
      <c r="H157" s="309">
        <v>3000</v>
      </c>
      <c r="I157" s="309">
        <v>3000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 t="s">
        <v>237</v>
      </c>
      <c r="AF157" s="341"/>
    </row>
    <row r="158" spans="1:32">
      <c r="A158" s="307">
        <v>5</v>
      </c>
      <c r="B158" s="342"/>
      <c r="C158" s="342" t="s">
        <v>176</v>
      </c>
      <c r="D158" s="340" t="s">
        <v>389</v>
      </c>
      <c r="E158" s="342" t="s">
        <v>241</v>
      </c>
      <c r="F158" s="345" t="s">
        <v>220</v>
      </c>
      <c r="G158" s="308">
        <v>1</v>
      </c>
      <c r="H158" s="309">
        <v>35000</v>
      </c>
      <c r="I158" s="309">
        <v>35000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/>
      <c r="AF158" s="341"/>
    </row>
    <row r="159" spans="1:32">
      <c r="A159" s="307">
        <v>5</v>
      </c>
      <c r="B159" s="342"/>
      <c r="C159" s="342" t="s">
        <v>176</v>
      </c>
      <c r="D159" s="340" t="s">
        <v>390</v>
      </c>
      <c r="E159" s="342" t="s">
        <v>241</v>
      </c>
      <c r="F159" s="345" t="s">
        <v>220</v>
      </c>
      <c r="G159" s="308">
        <v>2</v>
      </c>
      <c r="H159" s="309">
        <v>30000</v>
      </c>
      <c r="I159" s="309">
        <v>60000</v>
      </c>
      <c r="J159" s="211"/>
      <c r="K159" s="212" t="str">
        <f>IF(OR(J159="",G159=J159),"","*")</f>
        <v/>
      </c>
      <c r="L159" s="338" t="str">
        <f>IF($A159&lt;=L$1,I159/I$4,"")</f>
        <v/>
      </c>
      <c r="M159" s="343"/>
      <c r="N159" s="344"/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/>
      <c r="AF159" s="341"/>
    </row>
    <row r="160" spans="1:32">
      <c r="A160" s="307">
        <v>5</v>
      </c>
      <c r="B160" s="342"/>
      <c r="C160" s="342" t="s">
        <v>178</v>
      </c>
      <c r="D160" s="340" t="s">
        <v>391</v>
      </c>
      <c r="E160" s="342" t="s">
        <v>244</v>
      </c>
      <c r="F160" s="345" t="s">
        <v>245</v>
      </c>
      <c r="G160" s="308">
        <v>1</v>
      </c>
      <c r="H160" s="309">
        <v>8000</v>
      </c>
      <c r="I160" s="309">
        <v>8000</v>
      </c>
      <c r="J160" s="211"/>
      <c r="K160" s="212" t="str">
        <f>IF(OR(J160="",G160=J160),"","*")</f>
        <v/>
      </c>
      <c r="L160" s="338" t="str">
        <f>IF($A160&lt;=L$1,I160/I$4,"")</f>
        <v/>
      </c>
      <c r="M160" s="343"/>
      <c r="N160" s="344"/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 t="s">
        <v>392</v>
      </c>
      <c r="AF160" s="341"/>
    </row>
    <row r="161" spans="1:32">
      <c r="A161" s="307">
        <v>5</v>
      </c>
      <c r="B161" s="342"/>
      <c r="C161" s="342" t="s">
        <v>178</v>
      </c>
      <c r="D161" s="340" t="s">
        <v>393</v>
      </c>
      <c r="E161" s="342" t="s">
        <v>248</v>
      </c>
      <c r="F161" s="345" t="s">
        <v>249</v>
      </c>
      <c r="G161" s="308">
        <v>1</v>
      </c>
      <c r="H161" s="309">
        <v>3000</v>
      </c>
      <c r="I161" s="309">
        <v>3000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 t="s">
        <v>250</v>
      </c>
      <c r="AF161" s="341"/>
    </row>
    <row r="162" spans="1:32">
      <c r="A162" s="307">
        <v>5</v>
      </c>
      <c r="B162" s="342"/>
      <c r="C162" s="342" t="s">
        <v>179</v>
      </c>
      <c r="D162" s="340" t="s">
        <v>394</v>
      </c>
      <c r="E162" s="342" t="s">
        <v>252</v>
      </c>
      <c r="F162" s="345" t="s">
        <v>249</v>
      </c>
      <c r="G162" s="308">
        <v>1</v>
      </c>
      <c r="H162" s="309">
        <v>6000</v>
      </c>
      <c r="I162" s="309">
        <v>6000</v>
      </c>
      <c r="J162" s="211"/>
      <c r="K162" s="212" t="str">
        <f>IF(OR(J162="",G162=J162),"","*")</f>
        <v/>
      </c>
      <c r="L162" s="338" t="str">
        <f>IF($A162&lt;=L$1,I162/I$4,"")</f>
        <v/>
      </c>
      <c r="M162" s="343"/>
      <c r="N162" s="344"/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 t="s">
        <v>253</v>
      </c>
      <c r="AF162" s="341"/>
    </row>
    <row r="163" spans="1:32">
      <c r="A163" s="307">
        <v>4</v>
      </c>
      <c r="B163" s="342"/>
      <c r="C163" s="342" t="s">
        <v>210</v>
      </c>
      <c r="D163" s="340" t="s">
        <v>395</v>
      </c>
      <c r="E163" s="342"/>
      <c r="F163" s="345" t="s">
        <v>168</v>
      </c>
      <c r="G163" s="308">
        <v>38.5</v>
      </c>
      <c r="H163" s="309">
        <v>355</v>
      </c>
      <c r="I163" s="309">
        <v>13667</v>
      </c>
      <c r="J163" s="211">
        <v>100</v>
      </c>
      <c r="K163" s="212" t="str">
        <f>IF(OR(J163="",G163=J163),"","*")</f>
        <v>*</v>
      </c>
      <c r="L163" s="338" t="str">
        <f>IF($A163&lt;=L$1,I163/I$4,"")</f>
        <v/>
      </c>
      <c r="M163" s="343"/>
      <c r="N163" s="344" t="s">
        <v>396</v>
      </c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 t="s">
        <v>397</v>
      </c>
    </row>
    <row r="164" spans="1:32">
      <c r="A164" s="307">
        <v>5</v>
      </c>
      <c r="B164" s="342"/>
      <c r="C164" s="342" t="s">
        <v>175</v>
      </c>
      <c r="D164" s="340" t="s">
        <v>306</v>
      </c>
      <c r="E164" s="342"/>
      <c r="F164" s="345" t="s">
        <v>169</v>
      </c>
      <c r="G164" s="308">
        <v>1</v>
      </c>
      <c r="H164" s="309">
        <v>2500</v>
      </c>
      <c r="I164" s="309">
        <v>2500</v>
      </c>
      <c r="J164" s="211"/>
      <c r="K164" s="212" t="str">
        <f>IF(OR(J164="",G164=J164),"","*")</f>
        <v/>
      </c>
      <c r="L164" s="338" t="str">
        <f>IF($A164&lt;=L$1,I164/I$4,"")</f>
        <v/>
      </c>
      <c r="M164" s="343"/>
      <c r="N164" s="344"/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 t="s">
        <v>237</v>
      </c>
      <c r="AF164" s="341"/>
    </row>
    <row r="165" spans="1:32">
      <c r="A165" s="307">
        <v>5</v>
      </c>
      <c r="B165" s="342"/>
      <c r="C165" s="342" t="s">
        <v>176</v>
      </c>
      <c r="D165" s="340" t="s">
        <v>390</v>
      </c>
      <c r="E165" s="342" t="s">
        <v>241</v>
      </c>
      <c r="F165" s="345" t="s">
        <v>220</v>
      </c>
      <c r="G165" s="308">
        <v>1</v>
      </c>
      <c r="H165" s="309">
        <v>30000</v>
      </c>
      <c r="I165" s="309">
        <v>30000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/>
      <c r="AF165" s="341"/>
    </row>
    <row r="166" spans="1:32">
      <c r="A166" s="307">
        <v>5</v>
      </c>
      <c r="B166" s="342"/>
      <c r="C166" s="342" t="s">
        <v>178</v>
      </c>
      <c r="D166" s="340" t="s">
        <v>393</v>
      </c>
      <c r="E166" s="342" t="s">
        <v>248</v>
      </c>
      <c r="F166" s="345" t="s">
        <v>249</v>
      </c>
      <c r="G166" s="308">
        <v>1</v>
      </c>
      <c r="H166" s="309">
        <v>3000</v>
      </c>
      <c r="I166" s="309">
        <v>3000</v>
      </c>
      <c r="J166" s="211"/>
      <c r="K166" s="212" t="str">
        <f>IF(OR(J166="",G166=J166),"","*")</f>
        <v/>
      </c>
      <c r="L166" s="338" t="str">
        <f>IF($A166&lt;=L$1,I166/I$4,"")</f>
        <v/>
      </c>
      <c r="M166" s="343"/>
      <c r="N166" s="344"/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 t="s">
        <v>250</v>
      </c>
      <c r="AF166" s="341"/>
    </row>
    <row r="167" spans="1:32">
      <c r="A167" s="307">
        <v>4</v>
      </c>
      <c r="B167" s="342"/>
      <c r="C167" s="342" t="s">
        <v>210</v>
      </c>
      <c r="D167" s="340" t="s">
        <v>398</v>
      </c>
      <c r="E167" s="342"/>
      <c r="F167" s="345" t="s">
        <v>167</v>
      </c>
      <c r="G167" s="308">
        <v>11.435</v>
      </c>
      <c r="H167" s="309">
        <v>10525</v>
      </c>
      <c r="I167" s="309">
        <v>120353</v>
      </c>
      <c r="J167" s="211">
        <v>10</v>
      </c>
      <c r="K167" s="212" t="str">
        <f>IF(OR(J167="",G167=J167),"","*")</f>
        <v>*</v>
      </c>
      <c r="L167" s="338" t="str">
        <f>IF($A167&lt;=L$1,I167/I$4,"")</f>
        <v/>
      </c>
      <c r="M167" s="343"/>
      <c r="N167" s="344" t="s">
        <v>399</v>
      </c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/>
      <c r="AF167" s="341" t="s">
        <v>400</v>
      </c>
    </row>
    <row r="168" spans="1:32">
      <c r="A168" s="307">
        <v>5</v>
      </c>
      <c r="B168" s="342"/>
      <c r="C168" s="342" t="s">
        <v>175</v>
      </c>
      <c r="D168" s="340" t="s">
        <v>401</v>
      </c>
      <c r="E168" s="342" t="s">
        <v>359</v>
      </c>
      <c r="F168" s="345" t="s">
        <v>167</v>
      </c>
      <c r="G168" s="308">
        <v>10</v>
      </c>
      <c r="H168" s="309">
        <v>1500</v>
      </c>
      <c r="I168" s="309">
        <v>15000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/>
      <c r="AF168" s="341"/>
    </row>
    <row r="169" spans="1:32">
      <c r="A169" s="307">
        <v>5</v>
      </c>
      <c r="B169" s="342"/>
      <c r="C169" s="342" t="s">
        <v>175</v>
      </c>
      <c r="D169" s="340" t="s">
        <v>306</v>
      </c>
      <c r="E169" s="342"/>
      <c r="F169" s="345" t="s">
        <v>169</v>
      </c>
      <c r="G169" s="308">
        <v>1</v>
      </c>
      <c r="H169" s="309">
        <v>2750</v>
      </c>
      <c r="I169" s="309">
        <v>2750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/>
      <c r="AF169" s="341"/>
    </row>
    <row r="170" spans="1:32">
      <c r="A170" s="307">
        <v>5</v>
      </c>
      <c r="B170" s="342"/>
      <c r="C170" s="342" t="s">
        <v>176</v>
      </c>
      <c r="D170" s="340" t="s">
        <v>389</v>
      </c>
      <c r="E170" s="342" t="s">
        <v>241</v>
      </c>
      <c r="F170" s="345" t="s">
        <v>220</v>
      </c>
      <c r="G170" s="308">
        <v>0.5</v>
      </c>
      <c r="H170" s="309">
        <v>35000</v>
      </c>
      <c r="I170" s="309">
        <v>17500</v>
      </c>
      <c r="J170" s="211"/>
      <c r="K170" s="212" t="str">
        <f>IF(OR(J170="",G170=J170),"","*")</f>
        <v/>
      </c>
      <c r="L170" s="338" t="str">
        <f>IF($A170&lt;=L$1,I170/I$4,"")</f>
        <v/>
      </c>
      <c r="M170" s="343"/>
      <c r="N170" s="344"/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/>
      <c r="AF170" s="341"/>
    </row>
    <row r="171" spans="1:32">
      <c r="A171" s="307">
        <v>5</v>
      </c>
      <c r="B171" s="342"/>
      <c r="C171" s="342" t="s">
        <v>176</v>
      </c>
      <c r="D171" s="340" t="s">
        <v>390</v>
      </c>
      <c r="E171" s="342" t="s">
        <v>241</v>
      </c>
      <c r="F171" s="345" t="s">
        <v>220</v>
      </c>
      <c r="G171" s="308">
        <v>1.5</v>
      </c>
      <c r="H171" s="309">
        <v>30000</v>
      </c>
      <c r="I171" s="309">
        <v>45000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/>
      <c r="AF171" s="341"/>
    </row>
    <row r="172" spans="1:32">
      <c r="A172" s="307">
        <v>5</v>
      </c>
      <c r="B172" s="342"/>
      <c r="C172" s="342" t="s">
        <v>178</v>
      </c>
      <c r="D172" s="340" t="s">
        <v>402</v>
      </c>
      <c r="E172" s="342" t="s">
        <v>244</v>
      </c>
      <c r="F172" s="345" t="s">
        <v>245</v>
      </c>
      <c r="G172" s="308">
        <v>1</v>
      </c>
      <c r="H172" s="309">
        <v>8000</v>
      </c>
      <c r="I172" s="309">
        <v>8000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/>
      <c r="AF172" s="341"/>
    </row>
    <row r="173" spans="1:32">
      <c r="A173" s="307">
        <v>5</v>
      </c>
      <c r="B173" s="342"/>
      <c r="C173" s="342" t="s">
        <v>178</v>
      </c>
      <c r="D173" s="340" t="s">
        <v>393</v>
      </c>
      <c r="E173" s="342" t="s">
        <v>248</v>
      </c>
      <c r="F173" s="345" t="s">
        <v>249</v>
      </c>
      <c r="G173" s="308">
        <v>1</v>
      </c>
      <c r="H173" s="309">
        <v>3000</v>
      </c>
      <c r="I173" s="309">
        <v>3000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/>
      <c r="AF173" s="341"/>
    </row>
    <row r="174" spans="1:32">
      <c r="A174" s="307">
        <v>5</v>
      </c>
      <c r="B174" s="342"/>
      <c r="C174" s="342" t="s">
        <v>179</v>
      </c>
      <c r="D174" s="340" t="s">
        <v>394</v>
      </c>
      <c r="E174" s="342" t="s">
        <v>252</v>
      </c>
      <c r="F174" s="345" t="s">
        <v>249</v>
      </c>
      <c r="G174" s="308">
        <v>1</v>
      </c>
      <c r="H174" s="309">
        <v>6000</v>
      </c>
      <c r="I174" s="309">
        <v>6000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/>
      <c r="AF174" s="341"/>
    </row>
    <row r="175" spans="1:32">
      <c r="A175" s="307">
        <v>5</v>
      </c>
      <c r="B175" s="342"/>
      <c r="C175" s="342" t="s">
        <v>177</v>
      </c>
      <c r="D175" s="340" t="s">
        <v>403</v>
      </c>
      <c r="E175" s="342" t="s">
        <v>404</v>
      </c>
      <c r="F175" s="345" t="s">
        <v>168</v>
      </c>
      <c r="G175" s="308">
        <v>1</v>
      </c>
      <c r="H175" s="309">
        <v>8000</v>
      </c>
      <c r="I175" s="309">
        <v>8000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/>
      <c r="AF175" s="341"/>
    </row>
    <row r="176" spans="1:32">
      <c r="A176" s="307">
        <v>4</v>
      </c>
      <c r="B176" s="342"/>
      <c r="C176" s="342" t="s">
        <v>210</v>
      </c>
      <c r="D176" s="340" t="s">
        <v>405</v>
      </c>
      <c r="E176" s="342" t="s">
        <v>406</v>
      </c>
      <c r="F176" s="345" t="s">
        <v>164</v>
      </c>
      <c r="G176" s="308">
        <v>20</v>
      </c>
      <c r="H176" s="309">
        <v>370</v>
      </c>
      <c r="I176" s="309">
        <v>7400</v>
      </c>
      <c r="J176" s="211">
        <v>250</v>
      </c>
      <c r="K176" s="212" t="str">
        <f>IF(OR(J176="",G176=J176),"","*")</f>
        <v>*</v>
      </c>
      <c r="L176" s="338" t="str">
        <f>IF($A176&lt;=L$1,I176/I$4,"")</f>
        <v/>
      </c>
      <c r="M176" s="343"/>
      <c r="N176" s="344" t="s">
        <v>407</v>
      </c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/>
      <c r="AF176" s="341" t="s">
        <v>408</v>
      </c>
    </row>
    <row r="177" spans="1:32">
      <c r="A177" s="307">
        <v>5</v>
      </c>
      <c r="B177" s="342"/>
      <c r="C177" s="342" t="s">
        <v>175</v>
      </c>
      <c r="D177" s="340" t="s">
        <v>306</v>
      </c>
      <c r="E177" s="342"/>
      <c r="F177" s="345" t="s">
        <v>169</v>
      </c>
      <c r="G177" s="308">
        <v>1</v>
      </c>
      <c r="H177" s="309">
        <v>3500</v>
      </c>
      <c r="I177" s="309">
        <v>3500</v>
      </c>
      <c r="J177" s="211"/>
      <c r="K177" s="212" t="str">
        <f>IF(OR(J177="",G177=J177),"","*")</f>
        <v/>
      </c>
      <c r="L177" s="338" t="str">
        <f>IF($A177&lt;=L$1,I177/I$4,"")</f>
        <v/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 t="s">
        <v>237</v>
      </c>
      <c r="AF177" s="341"/>
    </row>
    <row r="178" spans="1:32">
      <c r="A178" s="307">
        <v>5</v>
      </c>
      <c r="B178" s="342"/>
      <c r="C178" s="342" t="s">
        <v>176</v>
      </c>
      <c r="D178" s="340" t="s">
        <v>390</v>
      </c>
      <c r="E178" s="342" t="s">
        <v>241</v>
      </c>
      <c r="F178" s="345" t="s">
        <v>220</v>
      </c>
      <c r="G178" s="308">
        <v>1</v>
      </c>
      <c r="H178" s="309">
        <v>30000</v>
      </c>
      <c r="I178" s="309">
        <v>30000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/>
      <c r="AF178" s="341"/>
    </row>
    <row r="179" spans="1:32">
      <c r="A179" s="307">
        <v>5</v>
      </c>
      <c r="B179" s="342"/>
      <c r="C179" s="342" t="s">
        <v>178</v>
      </c>
      <c r="D179" s="340" t="s">
        <v>393</v>
      </c>
      <c r="E179" s="342" t="s">
        <v>248</v>
      </c>
      <c r="F179" s="345" t="s">
        <v>249</v>
      </c>
      <c r="G179" s="308">
        <v>1</v>
      </c>
      <c r="H179" s="309">
        <v>3000</v>
      </c>
      <c r="I179" s="309">
        <v>3000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 t="s">
        <v>250</v>
      </c>
      <c r="AF179" s="341"/>
    </row>
    <row r="180" spans="1:32">
      <c r="A180" s="307">
        <v>5</v>
      </c>
      <c r="B180" s="342"/>
      <c r="C180" s="342" t="s">
        <v>175</v>
      </c>
      <c r="D180" s="340" t="s">
        <v>409</v>
      </c>
      <c r="E180" s="342"/>
      <c r="F180" s="345" t="s">
        <v>267</v>
      </c>
      <c r="G180" s="308">
        <v>70</v>
      </c>
      <c r="H180" s="309">
        <v>800</v>
      </c>
      <c r="I180" s="309">
        <v>56000</v>
      </c>
      <c r="J180" s="211"/>
      <c r="K180" s="212" t="str">
        <f>IF(OR(J180="",G180=J180),"","*")</f>
        <v/>
      </c>
      <c r="L180" s="338" t="str">
        <f>IF($A180&lt;=L$1,I180/I$4,"")</f>
        <v/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/>
      <c r="AF180" s="341"/>
    </row>
    <row r="181" spans="1:32">
      <c r="A181" s="307">
        <v>4</v>
      </c>
      <c r="B181" s="342"/>
      <c r="C181" s="342" t="s">
        <v>210</v>
      </c>
      <c r="D181" s="340" t="s">
        <v>410</v>
      </c>
      <c r="E181" s="342"/>
      <c r="F181" s="345" t="s">
        <v>167</v>
      </c>
      <c r="G181" s="308">
        <v>2.1179999999999999</v>
      </c>
      <c r="H181" s="309">
        <v>34643</v>
      </c>
      <c r="I181" s="309">
        <v>73373</v>
      </c>
      <c r="J181" s="211">
        <v>10</v>
      </c>
      <c r="K181" s="212" t="str">
        <f>IF(OR(J181="",G181=J181),"","*")</f>
        <v>*</v>
      </c>
      <c r="L181" s="338" t="str">
        <f>IF($A181&lt;=L$1,I181/I$4,"")</f>
        <v/>
      </c>
      <c r="M181" s="343"/>
      <c r="N181" s="344" t="s">
        <v>411</v>
      </c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/>
      <c r="AF181" s="341" t="s">
        <v>408</v>
      </c>
    </row>
    <row r="182" spans="1:32">
      <c r="A182" s="307">
        <v>5</v>
      </c>
      <c r="B182" s="342"/>
      <c r="C182" s="342" t="s">
        <v>175</v>
      </c>
      <c r="D182" s="340" t="s">
        <v>412</v>
      </c>
      <c r="E182" s="342" t="s">
        <v>413</v>
      </c>
      <c r="F182" s="345" t="s">
        <v>167</v>
      </c>
      <c r="G182" s="308">
        <v>10</v>
      </c>
      <c r="H182" s="309">
        <v>25000</v>
      </c>
      <c r="I182" s="309">
        <v>250000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 t="s">
        <v>414</v>
      </c>
      <c r="AF182" s="341"/>
    </row>
    <row r="183" spans="1:32">
      <c r="A183" s="307">
        <v>5</v>
      </c>
      <c r="B183" s="342"/>
      <c r="C183" s="342" t="s">
        <v>175</v>
      </c>
      <c r="D183" s="340" t="s">
        <v>306</v>
      </c>
      <c r="E183" s="342"/>
      <c r="F183" s="345" t="s">
        <v>169</v>
      </c>
      <c r="G183" s="308">
        <v>1</v>
      </c>
      <c r="H183" s="309">
        <v>9188</v>
      </c>
      <c r="I183" s="309">
        <v>9188</v>
      </c>
      <c r="J183" s="211"/>
      <c r="K183" s="212" t="str">
        <f>IF(OR(J183="",G183=J183),"","*")</f>
        <v/>
      </c>
      <c r="L183" s="338" t="str">
        <f>IF($A183&lt;=L$1,I183/I$4,"")</f>
        <v/>
      </c>
      <c r="M183" s="343"/>
      <c r="N183" s="344"/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/>
      <c r="AF183" s="341"/>
    </row>
    <row r="184" spans="1:32">
      <c r="A184" s="307">
        <v>5</v>
      </c>
      <c r="B184" s="342"/>
      <c r="C184" s="342" t="s">
        <v>176</v>
      </c>
      <c r="D184" s="340" t="s">
        <v>389</v>
      </c>
      <c r="E184" s="342" t="s">
        <v>241</v>
      </c>
      <c r="F184" s="345" t="s">
        <v>220</v>
      </c>
      <c r="G184" s="308">
        <v>0.25</v>
      </c>
      <c r="H184" s="309">
        <v>35000</v>
      </c>
      <c r="I184" s="309">
        <v>8750</v>
      </c>
      <c r="J184" s="211"/>
      <c r="K184" s="212" t="str">
        <f>IF(OR(J184="",G184=J184),"","*")</f>
        <v/>
      </c>
      <c r="L184" s="338" t="str">
        <f>IF($A184&lt;=L$1,I184/I$4,"")</f>
        <v/>
      </c>
      <c r="M184" s="343"/>
      <c r="N184" s="344"/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/>
    </row>
    <row r="185" spans="1:32">
      <c r="A185" s="307">
        <v>5</v>
      </c>
      <c r="B185" s="342"/>
      <c r="C185" s="342" t="s">
        <v>176</v>
      </c>
      <c r="D185" s="340" t="s">
        <v>390</v>
      </c>
      <c r="E185" s="342" t="s">
        <v>241</v>
      </c>
      <c r="F185" s="345" t="s">
        <v>220</v>
      </c>
      <c r="G185" s="308">
        <v>1.125</v>
      </c>
      <c r="H185" s="309">
        <v>30000</v>
      </c>
      <c r="I185" s="309">
        <v>33750</v>
      </c>
      <c r="J185" s="211"/>
      <c r="K185" s="212" t="str">
        <f>IF(OR(J185="",G185=J185),"","*")</f>
        <v/>
      </c>
      <c r="L185" s="338" t="str">
        <f>IF($A185&lt;=L$1,I185/I$4,"")</f>
        <v/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/>
      <c r="AF185" s="341"/>
    </row>
    <row r="186" spans="1:32">
      <c r="A186" s="307">
        <v>5</v>
      </c>
      <c r="B186" s="342"/>
      <c r="C186" s="342" t="s">
        <v>178</v>
      </c>
      <c r="D186" s="340" t="s">
        <v>415</v>
      </c>
      <c r="E186" s="342" t="s">
        <v>416</v>
      </c>
      <c r="F186" s="345" t="s">
        <v>245</v>
      </c>
      <c r="G186" s="308">
        <v>1</v>
      </c>
      <c r="H186" s="309">
        <v>44000</v>
      </c>
      <c r="I186" s="309">
        <v>44000</v>
      </c>
      <c r="J186" s="211"/>
      <c r="K186" s="212" t="str">
        <f>IF(OR(J186="",G186=J186),"","*")</f>
        <v/>
      </c>
      <c r="L186" s="338" t="str">
        <f>IF($A186&lt;=L$1,I186/I$4,"")</f>
        <v/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 t="s">
        <v>417</v>
      </c>
      <c r="AF186" s="341"/>
    </row>
    <row r="187" spans="1:32">
      <c r="A187" s="307">
        <v>5</v>
      </c>
      <c r="B187" s="342"/>
      <c r="C187" s="342" t="s">
        <v>178</v>
      </c>
      <c r="D187" s="340" t="s">
        <v>393</v>
      </c>
      <c r="E187" s="342" t="s">
        <v>248</v>
      </c>
      <c r="F187" s="345" t="s">
        <v>249</v>
      </c>
      <c r="G187" s="308">
        <v>0.25</v>
      </c>
      <c r="H187" s="309">
        <v>3000</v>
      </c>
      <c r="I187" s="309">
        <v>750</v>
      </c>
      <c r="J187" s="211"/>
      <c r="K187" s="212" t="str">
        <f>IF(OR(J187="",G187=J187),"","*")</f>
        <v/>
      </c>
      <c r="L187" s="338" t="str">
        <f>IF($A187&lt;=L$1,I187/I$4,"")</f>
        <v/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/>
    </row>
    <row r="188" spans="1:32">
      <c r="A188" s="307">
        <v>4</v>
      </c>
      <c r="B188" s="342"/>
      <c r="C188" s="342" t="s">
        <v>177</v>
      </c>
      <c r="D188" s="340" t="s">
        <v>418</v>
      </c>
      <c r="E188" s="342"/>
      <c r="F188" s="345" t="s">
        <v>168</v>
      </c>
      <c r="G188" s="308">
        <v>56.1</v>
      </c>
      <c r="H188" s="309">
        <v>9000</v>
      </c>
      <c r="I188" s="309">
        <v>504900</v>
      </c>
      <c r="J188" s="211"/>
      <c r="K188" s="212" t="str">
        <f>IF(OR(J188="",G188=J188),"","*")</f>
        <v/>
      </c>
      <c r="L188" s="338" t="str">
        <f>IF($A188&lt;=L$1,I188/I$4,"")</f>
        <v/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 t="s">
        <v>419</v>
      </c>
      <c r="AF188" s="341" t="s">
        <v>420</v>
      </c>
    </row>
    <row r="189" spans="1:32">
      <c r="A189" s="307">
        <v>4</v>
      </c>
      <c r="B189" s="342"/>
      <c r="C189" s="342" t="s">
        <v>210</v>
      </c>
      <c r="D189" s="340" t="s">
        <v>421</v>
      </c>
      <c r="E189" s="342"/>
      <c r="F189" s="345" t="s">
        <v>167</v>
      </c>
      <c r="G189" s="308">
        <v>14.44</v>
      </c>
      <c r="H189" s="309">
        <v>39250</v>
      </c>
      <c r="I189" s="309">
        <v>566770</v>
      </c>
      <c r="J189" s="211">
        <v>20</v>
      </c>
      <c r="K189" s="212" t="str">
        <f>IF(OR(J189="",G189=J189),"","*")</f>
        <v>*</v>
      </c>
      <c r="L189" s="338" t="str">
        <f>IF($A189&lt;=L$1,I189/I$4,"")</f>
        <v/>
      </c>
      <c r="M189" s="343"/>
      <c r="N189" s="344" t="s">
        <v>422</v>
      </c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/>
    </row>
    <row r="190" spans="1:32">
      <c r="A190" s="307">
        <v>5</v>
      </c>
      <c r="B190" s="342"/>
      <c r="C190" s="342" t="s">
        <v>175</v>
      </c>
      <c r="D190" s="340" t="s">
        <v>423</v>
      </c>
      <c r="E190" s="342" t="s">
        <v>413</v>
      </c>
      <c r="F190" s="345" t="s">
        <v>167</v>
      </c>
      <c r="G190" s="308">
        <v>20</v>
      </c>
      <c r="H190" s="309">
        <v>28000</v>
      </c>
      <c r="I190" s="309">
        <v>560000</v>
      </c>
      <c r="J190" s="211"/>
      <c r="K190" s="212" t="str">
        <f>IF(OR(J190="",G190=J190),"","*")</f>
        <v/>
      </c>
      <c r="L190" s="338" t="str">
        <f>IF($A190&lt;=L$1,I190/I$4,"")</f>
        <v/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 t="s">
        <v>414</v>
      </c>
      <c r="AF190" s="341"/>
    </row>
    <row r="191" spans="1:32">
      <c r="A191" s="307">
        <v>5</v>
      </c>
      <c r="B191" s="342"/>
      <c r="C191" s="342" t="s">
        <v>175</v>
      </c>
      <c r="D191" s="340" t="s">
        <v>306</v>
      </c>
      <c r="E191" s="342"/>
      <c r="F191" s="345" t="s">
        <v>169</v>
      </c>
      <c r="G191" s="308">
        <v>1</v>
      </c>
      <c r="H191" s="309">
        <v>20000</v>
      </c>
      <c r="I191" s="309">
        <v>20000</v>
      </c>
      <c r="J191" s="211"/>
      <c r="K191" s="212" t="str">
        <f>IF(OR(J191="",G191=J191),"","*")</f>
        <v/>
      </c>
      <c r="L191" s="338" t="str">
        <f>IF($A191&lt;=L$1,I191/I$4,"")</f>
        <v/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/>
      <c r="AF191" s="341"/>
    </row>
    <row r="192" spans="1:32">
      <c r="A192" s="307">
        <v>5</v>
      </c>
      <c r="B192" s="342"/>
      <c r="C192" s="342" t="s">
        <v>176</v>
      </c>
      <c r="D192" s="340" t="s">
        <v>389</v>
      </c>
      <c r="E192" s="342" t="s">
        <v>241</v>
      </c>
      <c r="F192" s="345" t="s">
        <v>220</v>
      </c>
      <c r="G192" s="308">
        <v>1</v>
      </c>
      <c r="H192" s="309">
        <v>35000</v>
      </c>
      <c r="I192" s="309">
        <v>35000</v>
      </c>
      <c r="J192" s="211"/>
      <c r="K192" s="212" t="str">
        <f>IF(OR(J192="",G192=J192),"","*")</f>
        <v/>
      </c>
      <c r="L192" s="338" t="str">
        <f>IF($A192&lt;=L$1,I192/I$4,"")</f>
        <v/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/>
      <c r="AF192" s="341"/>
    </row>
    <row r="193" spans="1:32">
      <c r="A193" s="307">
        <v>5</v>
      </c>
      <c r="B193" s="342"/>
      <c r="C193" s="342" t="s">
        <v>176</v>
      </c>
      <c r="D193" s="340" t="s">
        <v>390</v>
      </c>
      <c r="E193" s="342" t="s">
        <v>241</v>
      </c>
      <c r="F193" s="345" t="s">
        <v>220</v>
      </c>
      <c r="G193" s="308">
        <v>3</v>
      </c>
      <c r="H193" s="309">
        <v>30000</v>
      </c>
      <c r="I193" s="309">
        <v>90000</v>
      </c>
      <c r="J193" s="211"/>
      <c r="K193" s="212" t="str">
        <f>IF(OR(J193="",G193=J193),"","*")</f>
        <v/>
      </c>
      <c r="L193" s="338" t="str">
        <f>IF($A193&lt;=L$1,I193/I$4,"")</f>
        <v/>
      </c>
      <c r="M193" s="343"/>
      <c r="N193" s="344"/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/>
      <c r="AF193" s="341"/>
    </row>
    <row r="194" spans="1:32">
      <c r="A194" s="307">
        <v>5</v>
      </c>
      <c r="B194" s="342"/>
      <c r="C194" s="342" t="s">
        <v>176</v>
      </c>
      <c r="D194" s="340" t="s">
        <v>424</v>
      </c>
      <c r="E194" s="342"/>
      <c r="F194" s="345" t="s">
        <v>220</v>
      </c>
      <c r="G194" s="308">
        <v>1</v>
      </c>
      <c r="H194" s="309">
        <v>33000</v>
      </c>
      <c r="I194" s="309">
        <v>33000</v>
      </c>
      <c r="J194" s="211"/>
      <c r="K194" s="212" t="str">
        <f>IF(OR(J194="",G194=J194),"","*")</f>
        <v/>
      </c>
      <c r="L194" s="338" t="str">
        <f>IF($A194&lt;=L$1,I194/I$4,"")</f>
        <v/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 t="s">
        <v>425</v>
      </c>
      <c r="AF194" s="341" t="s">
        <v>426</v>
      </c>
    </row>
    <row r="195" spans="1:32">
      <c r="A195" s="307">
        <v>5</v>
      </c>
      <c r="B195" s="342"/>
      <c r="C195" s="342" t="s">
        <v>178</v>
      </c>
      <c r="D195" s="340" t="s">
        <v>415</v>
      </c>
      <c r="E195" s="342" t="s">
        <v>416</v>
      </c>
      <c r="F195" s="345" t="s">
        <v>245</v>
      </c>
      <c r="G195" s="308">
        <v>1</v>
      </c>
      <c r="H195" s="309">
        <v>44000</v>
      </c>
      <c r="I195" s="309">
        <v>44000</v>
      </c>
      <c r="J195" s="211"/>
      <c r="K195" s="212" t="str">
        <f>IF(OR(J195="",G195=J195),"","*")</f>
        <v/>
      </c>
      <c r="L195" s="338" t="str">
        <f>IF($A195&lt;=L$1,I195/I$4,"")</f>
        <v/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 t="s">
        <v>417</v>
      </c>
      <c r="AF195" s="341"/>
    </row>
    <row r="196" spans="1:32">
      <c r="A196" s="307">
        <v>5</v>
      </c>
      <c r="B196" s="342"/>
      <c r="C196" s="342" t="s">
        <v>178</v>
      </c>
      <c r="D196" s="340" t="s">
        <v>393</v>
      </c>
      <c r="E196" s="342" t="s">
        <v>248</v>
      </c>
      <c r="F196" s="345" t="s">
        <v>249</v>
      </c>
      <c r="G196" s="308">
        <v>1</v>
      </c>
      <c r="H196" s="309">
        <v>3000</v>
      </c>
      <c r="I196" s="309">
        <v>3000</v>
      </c>
      <c r="J196" s="211"/>
      <c r="K196" s="212" t="str">
        <f>IF(OR(J196="",G196=J196),"","*")</f>
        <v/>
      </c>
      <c r="L196" s="338" t="str">
        <f>IF($A196&lt;=L$1,I196/I$4,"")</f>
        <v/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/>
      <c r="AF196" s="341"/>
    </row>
    <row r="197" spans="1:32">
      <c r="A197" s="307">
        <v>4</v>
      </c>
      <c r="B197" s="342"/>
      <c r="C197" s="342" t="s">
        <v>177</v>
      </c>
      <c r="D197" s="340" t="s">
        <v>427</v>
      </c>
      <c r="E197" s="342"/>
      <c r="F197" s="345" t="s">
        <v>428</v>
      </c>
      <c r="G197" s="308">
        <v>1747.24</v>
      </c>
      <c r="H197" s="309">
        <v>300</v>
      </c>
      <c r="I197" s="309">
        <v>524172</v>
      </c>
      <c r="J197" s="211"/>
      <c r="K197" s="212" t="str">
        <f>IF(OR(J197="",G197=J197),"","*")</f>
        <v/>
      </c>
      <c r="L197" s="338" t="str">
        <f>IF($A197&lt;=L$1,I197/I$4,"")</f>
        <v/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/>
      <c r="T197" s="213" t="e">
        <v>#DIV/0!</v>
      </c>
      <c r="U197" s="214"/>
      <c r="V197" s="215"/>
      <c r="W197" s="310">
        <v>0</v>
      </c>
      <c r="X197" s="311">
        <v>0</v>
      </c>
      <c r="Y197" s="311">
        <v>0</v>
      </c>
      <c r="Z197" s="211">
        <v>0</v>
      </c>
      <c r="AA197" s="212"/>
      <c r="AB197" s="213" t="e">
        <v>#DIV/0!</v>
      </c>
      <c r="AC197" s="214"/>
      <c r="AD197" s="215"/>
      <c r="AE197" s="342"/>
      <c r="AF197" s="341" t="s">
        <v>429</v>
      </c>
    </row>
    <row r="198" spans="1:32">
      <c r="A198" s="307">
        <v>4</v>
      </c>
      <c r="B198" s="342"/>
      <c r="C198" s="342" t="s">
        <v>210</v>
      </c>
      <c r="D198" s="340" t="s">
        <v>430</v>
      </c>
      <c r="E198" s="342"/>
      <c r="F198" s="345" t="s">
        <v>168</v>
      </c>
      <c r="G198" s="308">
        <v>15.3</v>
      </c>
      <c r="H198" s="309">
        <v>3365</v>
      </c>
      <c r="I198" s="309">
        <v>51484</v>
      </c>
      <c r="J198" s="211">
        <v>100</v>
      </c>
      <c r="K198" s="212" t="str">
        <f>IF(OR(J198="",G198=J198),"","*")</f>
        <v>*</v>
      </c>
      <c r="L198" s="338" t="str">
        <f>IF($A198&lt;=L$1,I198/I$4,"")</f>
        <v/>
      </c>
      <c r="M198" s="343"/>
      <c r="N198" s="344" t="s">
        <v>431</v>
      </c>
      <c r="O198" s="310">
        <v>0</v>
      </c>
      <c r="P198" s="311">
        <v>0</v>
      </c>
      <c r="Q198" s="311">
        <v>0</v>
      </c>
      <c r="R198" s="211">
        <v>0</v>
      </c>
      <c r="S198" s="212"/>
      <c r="T198" s="213" t="e">
        <v>#DIV/0!</v>
      </c>
      <c r="U198" s="214"/>
      <c r="V198" s="215"/>
      <c r="W198" s="310">
        <v>0</v>
      </c>
      <c r="X198" s="311">
        <v>0</v>
      </c>
      <c r="Y198" s="311">
        <v>0</v>
      </c>
      <c r="Z198" s="211">
        <v>0</v>
      </c>
      <c r="AA198" s="212"/>
      <c r="AB198" s="213" t="e">
        <v>#DIV/0!</v>
      </c>
      <c r="AC198" s="214"/>
      <c r="AD198" s="215"/>
      <c r="AE198" s="342"/>
      <c r="AF198" s="341"/>
    </row>
    <row r="199" spans="1:32">
      <c r="A199" s="307">
        <v>5</v>
      </c>
      <c r="B199" s="342"/>
      <c r="C199" s="342" t="s">
        <v>175</v>
      </c>
      <c r="D199" s="340" t="s">
        <v>432</v>
      </c>
      <c r="E199" s="342" t="s">
        <v>433</v>
      </c>
      <c r="F199" s="345" t="s">
        <v>164</v>
      </c>
      <c r="G199" s="308">
        <v>333</v>
      </c>
      <c r="H199" s="309">
        <v>600</v>
      </c>
      <c r="I199" s="309">
        <v>199800</v>
      </c>
      <c r="J199" s="211"/>
      <c r="K199" s="212" t="str">
        <f>IF(OR(J199="",G199=J199),"","*")</f>
        <v/>
      </c>
      <c r="L199" s="338" t="str">
        <f>IF($A199&lt;=L$1,I199/I$4,"")</f>
        <v/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/>
      <c r="T199" s="213" t="e">
        <v>#DIV/0!</v>
      </c>
      <c r="U199" s="214"/>
      <c r="V199" s="215"/>
      <c r="W199" s="310">
        <v>0</v>
      </c>
      <c r="X199" s="311">
        <v>0</v>
      </c>
      <c r="Y199" s="311">
        <v>0</v>
      </c>
      <c r="Z199" s="211">
        <v>0</v>
      </c>
      <c r="AA199" s="212"/>
      <c r="AB199" s="213" t="e">
        <v>#DIV/0!</v>
      </c>
      <c r="AC199" s="214"/>
      <c r="AD199" s="215"/>
      <c r="AE199" s="342" t="s">
        <v>434</v>
      </c>
      <c r="AF199" s="341"/>
    </row>
    <row r="200" spans="1:32">
      <c r="A200" s="307">
        <v>5</v>
      </c>
      <c r="B200" s="342"/>
      <c r="C200" s="342" t="s">
        <v>175</v>
      </c>
      <c r="D200" s="340" t="s">
        <v>306</v>
      </c>
      <c r="E200" s="342"/>
      <c r="F200" s="345" t="s">
        <v>169</v>
      </c>
      <c r="G200" s="308">
        <v>1</v>
      </c>
      <c r="H200" s="309">
        <v>8700</v>
      </c>
      <c r="I200" s="309">
        <v>8700</v>
      </c>
      <c r="J200" s="211"/>
      <c r="K200" s="212" t="str">
        <f>IF(OR(J200="",G200=J200),"","*")</f>
        <v/>
      </c>
      <c r="L200" s="338" t="str">
        <f>IF($A200&lt;=L$1,I200/I$4,"")</f>
        <v/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/>
      <c r="T200" s="213" t="e">
        <v>#DIV/0!</v>
      </c>
      <c r="U200" s="214"/>
      <c r="V200" s="215"/>
      <c r="W200" s="310">
        <v>0</v>
      </c>
      <c r="X200" s="311">
        <v>0</v>
      </c>
      <c r="Y200" s="311">
        <v>0</v>
      </c>
      <c r="Z200" s="211">
        <v>0</v>
      </c>
      <c r="AA200" s="212"/>
      <c r="AB200" s="213" t="e">
        <v>#DIV/0!</v>
      </c>
      <c r="AC200" s="214"/>
      <c r="AD200" s="215"/>
      <c r="AE200" s="342" t="s">
        <v>237</v>
      </c>
      <c r="AF200" s="341"/>
    </row>
    <row r="201" spans="1:32">
      <c r="A201" s="307">
        <v>5</v>
      </c>
      <c r="B201" s="342"/>
      <c r="C201" s="342" t="s">
        <v>176</v>
      </c>
      <c r="D201" s="340" t="s">
        <v>389</v>
      </c>
      <c r="E201" s="342" t="s">
        <v>241</v>
      </c>
      <c r="F201" s="345" t="s">
        <v>220</v>
      </c>
      <c r="G201" s="308">
        <v>1</v>
      </c>
      <c r="H201" s="309">
        <v>35000</v>
      </c>
      <c r="I201" s="309">
        <v>35000</v>
      </c>
      <c r="J201" s="211"/>
      <c r="K201" s="212" t="str">
        <f>IF(OR(J201="",G201=J201),"","*")</f>
        <v/>
      </c>
      <c r="L201" s="338" t="str">
        <f>IF($A201&lt;=L$1,I201/I$4,"")</f>
        <v/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/>
      <c r="T201" s="213" t="e">
        <v>#DIV/0!</v>
      </c>
      <c r="U201" s="214"/>
      <c r="V201" s="215"/>
      <c r="W201" s="310">
        <v>0</v>
      </c>
      <c r="X201" s="311">
        <v>0</v>
      </c>
      <c r="Y201" s="311">
        <v>0</v>
      </c>
      <c r="Z201" s="211">
        <v>0</v>
      </c>
      <c r="AA201" s="212"/>
      <c r="AB201" s="213" t="e">
        <v>#DIV/0!</v>
      </c>
      <c r="AC201" s="214"/>
      <c r="AD201" s="215"/>
      <c r="AE201" s="342"/>
      <c r="AF201" s="341"/>
    </row>
    <row r="202" spans="1:32">
      <c r="A202" s="307">
        <v>5</v>
      </c>
      <c r="B202" s="342"/>
      <c r="C202" s="342" t="s">
        <v>176</v>
      </c>
      <c r="D202" s="340" t="s">
        <v>390</v>
      </c>
      <c r="E202" s="342" t="s">
        <v>241</v>
      </c>
      <c r="F202" s="345" t="s">
        <v>220</v>
      </c>
      <c r="G202" s="308">
        <v>3</v>
      </c>
      <c r="H202" s="309">
        <v>30000</v>
      </c>
      <c r="I202" s="309">
        <v>90000</v>
      </c>
      <c r="J202" s="211"/>
      <c r="K202" s="212" t="str">
        <f>IF(OR(J202="",G202=J202),"","*")</f>
        <v/>
      </c>
      <c r="L202" s="338" t="str">
        <f>IF($A202&lt;=L$1,I202/I$4,"")</f>
        <v/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/>
      <c r="T202" s="213" t="e">
        <v>#DIV/0!</v>
      </c>
      <c r="U202" s="214"/>
      <c r="V202" s="215"/>
      <c r="W202" s="310">
        <v>0</v>
      </c>
      <c r="X202" s="311">
        <v>0</v>
      </c>
      <c r="Y202" s="311">
        <v>0</v>
      </c>
      <c r="Z202" s="211">
        <v>0</v>
      </c>
      <c r="AA202" s="212"/>
      <c r="AB202" s="213" t="e">
        <v>#DIV/0!</v>
      </c>
      <c r="AC202" s="214"/>
      <c r="AD202" s="215"/>
      <c r="AE202" s="342"/>
      <c r="AF202" s="341"/>
    </row>
    <row r="203" spans="1:32">
      <c r="A203" s="307">
        <v>5</v>
      </c>
      <c r="B203" s="342"/>
      <c r="C203" s="342" t="s">
        <v>178</v>
      </c>
      <c r="D203" s="340" t="s">
        <v>393</v>
      </c>
      <c r="E203" s="342" t="s">
        <v>248</v>
      </c>
      <c r="F203" s="345" t="s">
        <v>249</v>
      </c>
      <c r="G203" s="308">
        <v>1</v>
      </c>
      <c r="H203" s="309">
        <v>3000</v>
      </c>
      <c r="I203" s="309">
        <v>3000</v>
      </c>
      <c r="J203" s="211"/>
      <c r="K203" s="212" t="str">
        <f>IF(OR(J203="",G203=J203),"","*")</f>
        <v/>
      </c>
      <c r="L203" s="338" t="str">
        <f>IF($A203&lt;=L$1,I203/I$4,"")</f>
        <v/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/>
      <c r="T203" s="213" t="e">
        <v>#DIV/0!</v>
      </c>
      <c r="U203" s="214"/>
      <c r="V203" s="215"/>
      <c r="W203" s="310">
        <v>0</v>
      </c>
      <c r="X203" s="311">
        <v>0</v>
      </c>
      <c r="Y203" s="311">
        <v>0</v>
      </c>
      <c r="Z203" s="211">
        <v>0</v>
      </c>
      <c r="AA203" s="212"/>
      <c r="AB203" s="213" t="e">
        <v>#DIV/0!</v>
      </c>
      <c r="AC203" s="214"/>
      <c r="AD203" s="215"/>
      <c r="AE203" s="342"/>
      <c r="AF203" s="341"/>
    </row>
    <row r="204" spans="1:32">
      <c r="A204" s="307">
        <v>4</v>
      </c>
      <c r="B204" s="342"/>
      <c r="C204" s="342" t="s">
        <v>210</v>
      </c>
      <c r="D204" s="340" t="s">
        <v>435</v>
      </c>
      <c r="E204" s="342"/>
      <c r="F204" s="345" t="s">
        <v>164</v>
      </c>
      <c r="G204" s="308">
        <v>10</v>
      </c>
      <c r="H204" s="309">
        <v>422</v>
      </c>
      <c r="I204" s="309">
        <v>4220</v>
      </c>
      <c r="J204" s="211">
        <v>70</v>
      </c>
      <c r="K204" s="212" t="str">
        <f>IF(OR(J204="",G204=J204),"","*")</f>
        <v>*</v>
      </c>
      <c r="L204" s="338" t="str">
        <f>IF($A204&lt;=L$1,I204/I$4,"")</f>
        <v/>
      </c>
      <c r="M204" s="343"/>
      <c r="N204" s="344" t="s">
        <v>436</v>
      </c>
      <c r="O204" s="310">
        <v>0</v>
      </c>
      <c r="P204" s="311">
        <v>0</v>
      </c>
      <c r="Q204" s="311">
        <v>0</v>
      </c>
      <c r="R204" s="211">
        <v>0</v>
      </c>
      <c r="S204" s="212"/>
      <c r="T204" s="213" t="e">
        <v>#DIV/0!</v>
      </c>
      <c r="U204" s="214"/>
      <c r="V204" s="215"/>
      <c r="W204" s="310">
        <v>0</v>
      </c>
      <c r="X204" s="311">
        <v>0</v>
      </c>
      <c r="Y204" s="311">
        <v>0</v>
      </c>
      <c r="Z204" s="211">
        <v>0</v>
      </c>
      <c r="AA204" s="212"/>
      <c r="AB204" s="213" t="e">
        <v>#DIV/0!</v>
      </c>
      <c r="AC204" s="214"/>
      <c r="AD204" s="215"/>
      <c r="AE204" s="342"/>
      <c r="AF204" s="341"/>
    </row>
    <row r="205" spans="1:32">
      <c r="A205" s="307">
        <v>5</v>
      </c>
      <c r="B205" s="342"/>
      <c r="C205" s="342" t="s">
        <v>175</v>
      </c>
      <c r="D205" s="340" t="s">
        <v>423</v>
      </c>
      <c r="E205" s="342" t="s">
        <v>413</v>
      </c>
      <c r="F205" s="345" t="s">
        <v>167</v>
      </c>
      <c r="G205" s="308">
        <v>0.38500000000000001</v>
      </c>
      <c r="H205" s="309">
        <v>25000</v>
      </c>
      <c r="I205" s="309">
        <v>9625</v>
      </c>
      <c r="J205" s="211"/>
      <c r="K205" s="212" t="str">
        <f>IF(OR(J205="",G205=J205),"","*")</f>
        <v/>
      </c>
      <c r="L205" s="338" t="str">
        <f>IF($A205&lt;=L$1,I205/I$4,"")</f>
        <v/>
      </c>
      <c r="M205" s="343"/>
      <c r="N205" s="344"/>
      <c r="O205" s="310">
        <v>0</v>
      </c>
      <c r="P205" s="311">
        <v>0</v>
      </c>
      <c r="Q205" s="311">
        <v>0</v>
      </c>
      <c r="R205" s="211">
        <v>0</v>
      </c>
      <c r="S205" s="212"/>
      <c r="T205" s="213" t="e">
        <v>#DIV/0!</v>
      </c>
      <c r="U205" s="214"/>
      <c r="V205" s="215"/>
      <c r="W205" s="310">
        <v>0</v>
      </c>
      <c r="X205" s="311">
        <v>0</v>
      </c>
      <c r="Y205" s="311">
        <v>0</v>
      </c>
      <c r="Z205" s="211">
        <v>0</v>
      </c>
      <c r="AA205" s="212"/>
      <c r="AB205" s="213" t="e">
        <v>#DIV/0!</v>
      </c>
      <c r="AC205" s="214"/>
      <c r="AD205" s="215"/>
      <c r="AE205" s="342" t="s">
        <v>437</v>
      </c>
      <c r="AF205" s="341"/>
    </row>
    <row r="206" spans="1:32">
      <c r="A206" s="307">
        <v>5</v>
      </c>
      <c r="B206" s="342"/>
      <c r="C206" s="342" t="s">
        <v>175</v>
      </c>
      <c r="D206" s="340" t="s">
        <v>306</v>
      </c>
      <c r="E206" s="342"/>
      <c r="F206" s="345" t="s">
        <v>169</v>
      </c>
      <c r="G206" s="308">
        <v>1</v>
      </c>
      <c r="H206" s="309">
        <v>1172</v>
      </c>
      <c r="I206" s="309">
        <v>1172</v>
      </c>
      <c r="J206" s="211"/>
      <c r="K206" s="212" t="str">
        <f>IF(OR(J206="",G206=J206),"","*")</f>
        <v/>
      </c>
      <c r="L206" s="338" t="str">
        <f>IF($A206&lt;=L$1,I206/I$4,"")</f>
        <v/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/>
      <c r="T206" s="213" t="e">
        <v>#DIV/0!</v>
      </c>
      <c r="U206" s="214"/>
      <c r="V206" s="215"/>
      <c r="W206" s="310">
        <v>0</v>
      </c>
      <c r="X206" s="311">
        <v>0</v>
      </c>
      <c r="Y206" s="311">
        <v>0</v>
      </c>
      <c r="Z206" s="211">
        <v>0</v>
      </c>
      <c r="AA206" s="212"/>
      <c r="AB206" s="213" t="e">
        <v>#DIV/0!</v>
      </c>
      <c r="AC206" s="214"/>
      <c r="AD206" s="215"/>
      <c r="AE206" s="342"/>
      <c r="AF206" s="341"/>
    </row>
    <row r="207" spans="1:32">
      <c r="A207" s="307">
        <v>5</v>
      </c>
      <c r="B207" s="342"/>
      <c r="C207" s="342" t="s">
        <v>176</v>
      </c>
      <c r="D207" s="340" t="s">
        <v>389</v>
      </c>
      <c r="E207" s="342" t="s">
        <v>241</v>
      </c>
      <c r="F207" s="345" t="s">
        <v>220</v>
      </c>
      <c r="G207" s="308">
        <v>0.125</v>
      </c>
      <c r="H207" s="309">
        <v>33000</v>
      </c>
      <c r="I207" s="309">
        <v>4125</v>
      </c>
      <c r="J207" s="211"/>
      <c r="K207" s="212" t="str">
        <f>IF(OR(J207="",G207=J207),"","*")</f>
        <v/>
      </c>
      <c r="L207" s="338" t="str">
        <f>IF($A207&lt;=L$1,I207/I$4,"")</f>
        <v/>
      </c>
      <c r="M207" s="343"/>
      <c r="N207" s="344"/>
      <c r="O207" s="310">
        <v>0</v>
      </c>
      <c r="P207" s="311">
        <v>0</v>
      </c>
      <c r="Q207" s="311">
        <v>0</v>
      </c>
      <c r="R207" s="211">
        <v>0</v>
      </c>
      <c r="S207" s="212"/>
      <c r="T207" s="213" t="e">
        <v>#DIV/0!</v>
      </c>
      <c r="U207" s="214"/>
      <c r="V207" s="215"/>
      <c r="W207" s="310">
        <v>0</v>
      </c>
      <c r="X207" s="311">
        <v>0</v>
      </c>
      <c r="Y207" s="311">
        <v>0</v>
      </c>
      <c r="Z207" s="211">
        <v>0</v>
      </c>
      <c r="AA207" s="212"/>
      <c r="AB207" s="213" t="e">
        <v>#DIV/0!</v>
      </c>
      <c r="AC207" s="214"/>
      <c r="AD207" s="215"/>
      <c r="AE207" s="342"/>
      <c r="AF207" s="341" t="s">
        <v>438</v>
      </c>
    </row>
    <row r="208" spans="1:32">
      <c r="A208" s="307">
        <v>5</v>
      </c>
      <c r="B208" s="342"/>
      <c r="C208" s="342" t="s">
        <v>176</v>
      </c>
      <c r="D208" s="340" t="s">
        <v>390</v>
      </c>
      <c r="E208" s="342" t="s">
        <v>241</v>
      </c>
      <c r="F208" s="345" t="s">
        <v>220</v>
      </c>
      <c r="G208" s="308">
        <v>0.375</v>
      </c>
      <c r="H208" s="309">
        <v>27000</v>
      </c>
      <c r="I208" s="309">
        <v>10125</v>
      </c>
      <c r="J208" s="211"/>
      <c r="K208" s="212" t="str">
        <f>IF(OR(J208="",G208=J208),"","*")</f>
        <v/>
      </c>
      <c r="L208" s="338" t="str">
        <f>IF($A208&lt;=L$1,I208/I$4,"")</f>
        <v/>
      </c>
      <c r="M208" s="343"/>
      <c r="N208" s="344"/>
      <c r="O208" s="310">
        <v>0</v>
      </c>
      <c r="P208" s="311">
        <v>0</v>
      </c>
      <c r="Q208" s="311">
        <v>0</v>
      </c>
      <c r="R208" s="211">
        <v>0</v>
      </c>
      <c r="S208" s="212"/>
      <c r="T208" s="213" t="e">
        <v>#DIV/0!</v>
      </c>
      <c r="U208" s="214"/>
      <c r="V208" s="215"/>
      <c r="W208" s="310">
        <v>0</v>
      </c>
      <c r="X208" s="311">
        <v>0</v>
      </c>
      <c r="Y208" s="311">
        <v>0</v>
      </c>
      <c r="Z208" s="211">
        <v>0</v>
      </c>
      <c r="AA208" s="212"/>
      <c r="AB208" s="213" t="e">
        <v>#DIV/0!</v>
      </c>
      <c r="AC208" s="214"/>
      <c r="AD208" s="215"/>
      <c r="AE208" s="342"/>
      <c r="AF208" s="341" t="s">
        <v>439</v>
      </c>
    </row>
    <row r="209" spans="1:32">
      <c r="A209" s="307">
        <v>5</v>
      </c>
      <c r="B209" s="342"/>
      <c r="C209" s="342" t="s">
        <v>176</v>
      </c>
      <c r="D209" s="340" t="s">
        <v>424</v>
      </c>
      <c r="E209" s="342"/>
      <c r="F209" s="345" t="s">
        <v>220</v>
      </c>
      <c r="G209" s="308">
        <v>0.125</v>
      </c>
      <c r="H209" s="309">
        <v>33000</v>
      </c>
      <c r="I209" s="309">
        <v>4125</v>
      </c>
      <c r="J209" s="211"/>
      <c r="K209" s="212" t="str">
        <f>IF(OR(J209="",G209=J209),"","*")</f>
        <v/>
      </c>
      <c r="L209" s="338" t="str">
        <f>IF($A209&lt;=L$1,I209/I$4,"")</f>
        <v/>
      </c>
      <c r="M209" s="343"/>
      <c r="N209" s="344"/>
      <c r="O209" s="310">
        <v>0</v>
      </c>
      <c r="P209" s="311">
        <v>0</v>
      </c>
      <c r="Q209" s="311">
        <v>0</v>
      </c>
      <c r="R209" s="211">
        <v>0</v>
      </c>
      <c r="S209" s="212"/>
      <c r="T209" s="213" t="e">
        <v>#DIV/0!</v>
      </c>
      <c r="U209" s="214"/>
      <c r="V209" s="215"/>
      <c r="W209" s="310">
        <v>0</v>
      </c>
      <c r="X209" s="311">
        <v>0</v>
      </c>
      <c r="Y209" s="311">
        <v>0</v>
      </c>
      <c r="Z209" s="211">
        <v>0</v>
      </c>
      <c r="AA209" s="212"/>
      <c r="AB209" s="213" t="e">
        <v>#DIV/0!</v>
      </c>
      <c r="AC209" s="214"/>
      <c r="AD209" s="215"/>
      <c r="AE209" s="342" t="s">
        <v>425</v>
      </c>
      <c r="AF209" s="341"/>
    </row>
    <row r="210" spans="1:32">
      <c r="A210" s="307">
        <v>5</v>
      </c>
      <c r="B210" s="342"/>
      <c r="C210" s="342" t="s">
        <v>178</v>
      </c>
      <c r="D210" s="340" t="s">
        <v>393</v>
      </c>
      <c r="E210" s="342" t="s">
        <v>248</v>
      </c>
      <c r="F210" s="345" t="s">
        <v>249</v>
      </c>
      <c r="G210" s="308">
        <v>0.125</v>
      </c>
      <c r="H210" s="309">
        <v>3000</v>
      </c>
      <c r="I210" s="309">
        <v>375</v>
      </c>
      <c r="J210" s="211"/>
      <c r="K210" s="212" t="str">
        <f>IF(OR(J210="",G210=J210),"","*")</f>
        <v/>
      </c>
      <c r="L210" s="338" t="str">
        <f>IF($A210&lt;=L$1,I210/I$4,"")</f>
        <v/>
      </c>
      <c r="M210" s="343"/>
      <c r="N210" s="344"/>
      <c r="O210" s="310">
        <v>0</v>
      </c>
      <c r="P210" s="311">
        <v>0</v>
      </c>
      <c r="Q210" s="311">
        <v>0</v>
      </c>
      <c r="R210" s="211">
        <v>0</v>
      </c>
      <c r="S210" s="212"/>
      <c r="T210" s="213" t="e">
        <v>#DIV/0!</v>
      </c>
      <c r="U210" s="214"/>
      <c r="V210" s="215"/>
      <c r="W210" s="310">
        <v>0</v>
      </c>
      <c r="X210" s="311">
        <v>0</v>
      </c>
      <c r="Y210" s="311">
        <v>0</v>
      </c>
      <c r="Z210" s="211">
        <v>0</v>
      </c>
      <c r="AA210" s="212"/>
      <c r="AB210" s="213" t="e">
        <v>#DIV/0!</v>
      </c>
      <c r="AC210" s="214"/>
      <c r="AD210" s="215"/>
      <c r="AE210" s="342"/>
      <c r="AF210" s="341"/>
    </row>
    <row r="211" spans="1:32">
      <c r="A211" s="307">
        <v>4</v>
      </c>
      <c r="B211" s="342"/>
      <c r="C211" s="342" t="s">
        <v>210</v>
      </c>
      <c r="D211" s="340" t="s">
        <v>440</v>
      </c>
      <c r="E211" s="342"/>
      <c r="F211" s="345" t="s">
        <v>166</v>
      </c>
      <c r="G211" s="308">
        <v>10</v>
      </c>
      <c r="H211" s="309">
        <v>1275</v>
      </c>
      <c r="I211" s="309">
        <v>12750</v>
      </c>
      <c r="J211" s="211">
        <v>10</v>
      </c>
      <c r="K211" s="212" t="str">
        <f>IF(OR(J211="",G211=J211),"","*")</f>
        <v/>
      </c>
      <c r="L211" s="338" t="str">
        <f>IF($A211&lt;=L$1,I211/I$4,"")</f>
        <v/>
      </c>
      <c r="M211" s="343"/>
      <c r="N211" s="344" t="s">
        <v>441</v>
      </c>
      <c r="O211" s="310">
        <v>0</v>
      </c>
      <c r="P211" s="311">
        <v>0</v>
      </c>
      <c r="Q211" s="311">
        <v>0</v>
      </c>
      <c r="R211" s="211">
        <v>0</v>
      </c>
      <c r="S211" s="212"/>
      <c r="T211" s="213" t="e">
        <v>#DIV/0!</v>
      </c>
      <c r="U211" s="214"/>
      <c r="V211" s="215"/>
      <c r="W211" s="310">
        <v>0</v>
      </c>
      <c r="X211" s="311">
        <v>0</v>
      </c>
      <c r="Y211" s="311">
        <v>0</v>
      </c>
      <c r="Z211" s="211">
        <v>0</v>
      </c>
      <c r="AA211" s="212"/>
      <c r="AB211" s="213" t="e">
        <v>#DIV/0!</v>
      </c>
      <c r="AC211" s="214"/>
      <c r="AD211" s="215"/>
      <c r="AE211" s="342"/>
      <c r="AF211" s="341"/>
    </row>
    <row r="212" spans="1:32">
      <c r="A212" s="307">
        <v>5</v>
      </c>
      <c r="B212" s="342"/>
      <c r="C212" s="342" t="s">
        <v>175</v>
      </c>
      <c r="D212" s="340" t="s">
        <v>442</v>
      </c>
      <c r="E212" s="342" t="s">
        <v>443</v>
      </c>
      <c r="F212" s="345" t="s">
        <v>267</v>
      </c>
      <c r="G212" s="308">
        <v>1</v>
      </c>
      <c r="H212" s="309">
        <v>3400</v>
      </c>
      <c r="I212" s="309">
        <v>3400</v>
      </c>
      <c r="J212" s="211"/>
      <c r="K212" s="212" t="str">
        <f>IF(OR(J212="",G212=J212),"","*")</f>
        <v/>
      </c>
      <c r="L212" s="338" t="str">
        <f>IF($A212&lt;=L$1,I212/I$4,"")</f>
        <v/>
      </c>
      <c r="M212" s="343"/>
      <c r="N212" s="344"/>
      <c r="O212" s="310">
        <v>0</v>
      </c>
      <c r="P212" s="311">
        <v>0</v>
      </c>
      <c r="Q212" s="311">
        <v>0</v>
      </c>
      <c r="R212" s="211">
        <v>0</v>
      </c>
      <c r="S212" s="212"/>
      <c r="T212" s="213" t="e">
        <v>#DIV/0!</v>
      </c>
      <c r="U212" s="214"/>
      <c r="V212" s="215"/>
      <c r="W212" s="310">
        <v>0</v>
      </c>
      <c r="X212" s="311">
        <v>0</v>
      </c>
      <c r="Y212" s="311">
        <v>0</v>
      </c>
      <c r="Z212" s="211">
        <v>0</v>
      </c>
      <c r="AA212" s="212"/>
      <c r="AB212" s="213" t="e">
        <v>#DIV/0!</v>
      </c>
      <c r="AC212" s="214"/>
      <c r="AD212" s="215"/>
      <c r="AE212" s="342" t="s">
        <v>444</v>
      </c>
      <c r="AF212" s="341"/>
    </row>
    <row r="213" spans="1:32">
      <c r="A213" s="307">
        <v>5</v>
      </c>
      <c r="B213" s="342"/>
      <c r="C213" s="342" t="s">
        <v>175</v>
      </c>
      <c r="D213" s="340" t="s">
        <v>306</v>
      </c>
      <c r="E213" s="342"/>
      <c r="F213" s="345" t="s">
        <v>169</v>
      </c>
      <c r="G213" s="308">
        <v>1</v>
      </c>
      <c r="H213" s="309">
        <v>1100</v>
      </c>
      <c r="I213" s="309">
        <v>1100</v>
      </c>
      <c r="J213" s="211"/>
      <c r="K213" s="212" t="str">
        <f>IF(OR(J213="",G213=J213),"","*")</f>
        <v/>
      </c>
      <c r="L213" s="338" t="str">
        <f>IF($A213&lt;=L$1,I213/I$4,"")</f>
        <v/>
      </c>
      <c r="M213" s="343"/>
      <c r="N213" s="344"/>
      <c r="O213" s="310">
        <v>0</v>
      </c>
      <c r="P213" s="311">
        <v>0</v>
      </c>
      <c r="Q213" s="311">
        <v>0</v>
      </c>
      <c r="R213" s="211">
        <v>0</v>
      </c>
      <c r="S213" s="212"/>
      <c r="T213" s="213" t="e">
        <v>#DIV/0!</v>
      </c>
      <c r="U213" s="214"/>
      <c r="V213" s="215"/>
      <c r="W213" s="310">
        <v>0</v>
      </c>
      <c r="X213" s="311">
        <v>0</v>
      </c>
      <c r="Y213" s="311">
        <v>0</v>
      </c>
      <c r="Z213" s="211">
        <v>0</v>
      </c>
      <c r="AA213" s="212"/>
      <c r="AB213" s="213" t="e">
        <v>#DIV/0!</v>
      </c>
      <c r="AC213" s="214"/>
      <c r="AD213" s="215"/>
      <c r="AE213" s="342" t="s">
        <v>237</v>
      </c>
      <c r="AF213" s="341"/>
    </row>
    <row r="214" spans="1:32">
      <c r="A214" s="307">
        <v>5</v>
      </c>
      <c r="B214" s="342"/>
      <c r="C214" s="342" t="s">
        <v>176</v>
      </c>
      <c r="D214" s="340" t="s">
        <v>390</v>
      </c>
      <c r="E214" s="342" t="s">
        <v>241</v>
      </c>
      <c r="F214" s="345" t="s">
        <v>220</v>
      </c>
      <c r="G214" s="308">
        <v>0.25</v>
      </c>
      <c r="H214" s="309">
        <v>30000</v>
      </c>
      <c r="I214" s="309">
        <v>7500</v>
      </c>
      <c r="J214" s="211"/>
      <c r="K214" s="212" t="str">
        <f>IF(OR(J214="",G214=J214),"","*")</f>
        <v/>
      </c>
      <c r="L214" s="338" t="str">
        <f>IF($A214&lt;=L$1,I214/I$4,"")</f>
        <v/>
      </c>
      <c r="M214" s="343"/>
      <c r="N214" s="344"/>
      <c r="O214" s="310">
        <v>0</v>
      </c>
      <c r="P214" s="311">
        <v>0</v>
      </c>
      <c r="Q214" s="311">
        <v>0</v>
      </c>
      <c r="R214" s="211">
        <v>0</v>
      </c>
      <c r="S214" s="212"/>
      <c r="T214" s="213" t="e">
        <v>#DIV/0!</v>
      </c>
      <c r="U214" s="214"/>
      <c r="V214" s="215"/>
      <c r="W214" s="310">
        <v>0</v>
      </c>
      <c r="X214" s="311">
        <v>0</v>
      </c>
      <c r="Y214" s="311">
        <v>0</v>
      </c>
      <c r="Z214" s="211">
        <v>0</v>
      </c>
      <c r="AA214" s="212"/>
      <c r="AB214" s="213" t="e">
        <v>#DIV/0!</v>
      </c>
      <c r="AC214" s="214"/>
      <c r="AD214" s="215"/>
      <c r="AE214" s="342"/>
      <c r="AF214" s="341"/>
    </row>
    <row r="215" spans="1:32">
      <c r="A215" s="307">
        <v>5</v>
      </c>
      <c r="B215" s="342"/>
      <c r="C215" s="342" t="s">
        <v>178</v>
      </c>
      <c r="D215" s="340" t="s">
        <v>393</v>
      </c>
      <c r="E215" s="342" t="s">
        <v>248</v>
      </c>
      <c r="F215" s="345" t="s">
        <v>249</v>
      </c>
      <c r="G215" s="308">
        <v>0.25</v>
      </c>
      <c r="H215" s="309">
        <v>3000</v>
      </c>
      <c r="I215" s="309">
        <v>750</v>
      </c>
      <c r="J215" s="211"/>
      <c r="K215" s="212" t="str">
        <f>IF(OR(J215="",G215=J215),"","*")</f>
        <v/>
      </c>
      <c r="L215" s="338" t="str">
        <f>IF($A215&lt;=L$1,I215/I$4,"")</f>
        <v/>
      </c>
      <c r="M215" s="343"/>
      <c r="N215" s="344"/>
      <c r="O215" s="310">
        <v>0</v>
      </c>
      <c r="P215" s="311">
        <v>0</v>
      </c>
      <c r="Q215" s="311">
        <v>0</v>
      </c>
      <c r="R215" s="211">
        <v>0</v>
      </c>
      <c r="S215" s="212"/>
      <c r="T215" s="213" t="e">
        <v>#DIV/0!</v>
      </c>
      <c r="U215" s="214"/>
      <c r="V215" s="215"/>
      <c r="W215" s="310">
        <v>0</v>
      </c>
      <c r="X215" s="311">
        <v>0</v>
      </c>
      <c r="Y215" s="311">
        <v>0</v>
      </c>
      <c r="Z215" s="211">
        <v>0</v>
      </c>
      <c r="AA215" s="212"/>
      <c r="AB215" s="213" t="e">
        <v>#DIV/0!</v>
      </c>
      <c r="AC215" s="214"/>
      <c r="AD215" s="215"/>
      <c r="AE215" s="342" t="s">
        <v>250</v>
      </c>
      <c r="AF215" s="341" t="s">
        <v>445</v>
      </c>
    </row>
    <row r="216" spans="1:32">
      <c r="A216" s="307">
        <v>4</v>
      </c>
      <c r="B216" s="342"/>
      <c r="C216" s="342" t="s">
        <v>210</v>
      </c>
      <c r="D216" s="340" t="s">
        <v>446</v>
      </c>
      <c r="E216" s="342"/>
      <c r="F216" s="345" t="s">
        <v>167</v>
      </c>
      <c r="G216" s="308">
        <v>41.25</v>
      </c>
      <c r="H216" s="309">
        <v>5780</v>
      </c>
      <c r="I216" s="309">
        <v>238425</v>
      </c>
      <c r="J216" s="211">
        <v>20</v>
      </c>
      <c r="K216" s="212" t="str">
        <f>IF(OR(J216="",G216=J216),"","*")</f>
        <v>*</v>
      </c>
      <c r="L216" s="338" t="str">
        <f>IF($A216&lt;=L$1,I216/I$4,"")</f>
        <v/>
      </c>
      <c r="M216" s="343"/>
      <c r="N216" s="344" t="s">
        <v>447</v>
      </c>
      <c r="O216" s="310">
        <v>0</v>
      </c>
      <c r="P216" s="311">
        <v>0</v>
      </c>
      <c r="Q216" s="311">
        <v>0</v>
      </c>
      <c r="R216" s="211">
        <v>0</v>
      </c>
      <c r="S216" s="212"/>
      <c r="T216" s="213" t="e">
        <v>#DIV/0!</v>
      </c>
      <c r="U216" s="214"/>
      <c r="V216" s="215"/>
      <c r="W216" s="310">
        <v>0</v>
      </c>
      <c r="X216" s="311">
        <v>0</v>
      </c>
      <c r="Y216" s="311">
        <v>0</v>
      </c>
      <c r="Z216" s="211">
        <v>0</v>
      </c>
      <c r="AA216" s="212"/>
      <c r="AB216" s="213" t="e">
        <v>#DIV/0!</v>
      </c>
      <c r="AC216" s="214"/>
      <c r="AD216" s="215"/>
      <c r="AE216" s="342"/>
      <c r="AF216" s="341" t="s">
        <v>448</v>
      </c>
    </row>
    <row r="217" spans="1:32">
      <c r="A217" s="307">
        <v>5</v>
      </c>
      <c r="B217" s="342"/>
      <c r="C217" s="342" t="s">
        <v>175</v>
      </c>
      <c r="D217" s="340" t="s">
        <v>387</v>
      </c>
      <c r="E217" s="342"/>
      <c r="F217" s="345" t="s">
        <v>223</v>
      </c>
      <c r="G217" s="308">
        <v>20</v>
      </c>
      <c r="H217" s="309">
        <v>130</v>
      </c>
      <c r="I217" s="309">
        <v>2600</v>
      </c>
      <c r="J217" s="211"/>
      <c r="K217" s="212" t="str">
        <f>IF(OR(J217="",G217=J217),"","*")</f>
        <v/>
      </c>
      <c r="L217" s="338" t="str">
        <f>IF($A217&lt;=L$1,I217/I$4,"")</f>
        <v/>
      </c>
      <c r="M217" s="343"/>
      <c r="N217" s="344"/>
      <c r="O217" s="310">
        <v>0</v>
      </c>
      <c r="P217" s="311">
        <v>0</v>
      </c>
      <c r="Q217" s="311">
        <v>0</v>
      </c>
      <c r="R217" s="211">
        <v>0</v>
      </c>
      <c r="S217" s="212"/>
      <c r="T217" s="213" t="e">
        <v>#DIV/0!</v>
      </c>
      <c r="U217" s="214"/>
      <c r="V217" s="215"/>
      <c r="W217" s="310">
        <v>0</v>
      </c>
      <c r="X217" s="311">
        <v>0</v>
      </c>
      <c r="Y217" s="311">
        <v>0</v>
      </c>
      <c r="Z217" s="211">
        <v>0</v>
      </c>
      <c r="AA217" s="212"/>
      <c r="AB217" s="213" t="e">
        <v>#DIV/0!</v>
      </c>
      <c r="AC217" s="214"/>
      <c r="AD217" s="215"/>
      <c r="AE217" s="342" t="s">
        <v>388</v>
      </c>
      <c r="AF217" s="341"/>
    </row>
    <row r="218" spans="1:32">
      <c r="A218" s="307">
        <v>5</v>
      </c>
      <c r="B218" s="342"/>
      <c r="C218" s="342" t="s">
        <v>175</v>
      </c>
      <c r="D218" s="340" t="s">
        <v>306</v>
      </c>
      <c r="E218" s="342"/>
      <c r="F218" s="345" t="s">
        <v>169</v>
      </c>
      <c r="G218" s="308">
        <v>1</v>
      </c>
      <c r="H218" s="309">
        <v>3000</v>
      </c>
      <c r="I218" s="309">
        <v>3000</v>
      </c>
      <c r="J218" s="211"/>
      <c r="K218" s="212" t="str">
        <f>IF(OR(J218="",G218=J218),"","*")</f>
        <v/>
      </c>
      <c r="L218" s="338" t="str">
        <f>IF($A218&lt;=L$1,I218/I$4,"")</f>
        <v/>
      </c>
      <c r="M218" s="343"/>
      <c r="N218" s="344"/>
      <c r="O218" s="310">
        <v>0</v>
      </c>
      <c r="P218" s="311">
        <v>0</v>
      </c>
      <c r="Q218" s="311">
        <v>0</v>
      </c>
      <c r="R218" s="211">
        <v>0</v>
      </c>
      <c r="S218" s="212"/>
      <c r="T218" s="213" t="e">
        <v>#DIV/0!</v>
      </c>
      <c r="U218" s="214"/>
      <c r="V218" s="215"/>
      <c r="W218" s="310">
        <v>0</v>
      </c>
      <c r="X218" s="311">
        <v>0</v>
      </c>
      <c r="Y218" s="311">
        <v>0</v>
      </c>
      <c r="Z218" s="211">
        <v>0</v>
      </c>
      <c r="AA218" s="212"/>
      <c r="AB218" s="213" t="e">
        <v>#DIV/0!</v>
      </c>
      <c r="AC218" s="214"/>
      <c r="AD218" s="215"/>
      <c r="AE218" s="342" t="s">
        <v>237</v>
      </c>
      <c r="AF218" s="341"/>
    </row>
    <row r="219" spans="1:32">
      <c r="A219" s="307">
        <v>5</v>
      </c>
      <c r="B219" s="342"/>
      <c r="C219" s="342" t="s">
        <v>176</v>
      </c>
      <c r="D219" s="340" t="s">
        <v>389</v>
      </c>
      <c r="E219" s="342" t="s">
        <v>241</v>
      </c>
      <c r="F219" s="345" t="s">
        <v>220</v>
      </c>
      <c r="G219" s="308">
        <v>1</v>
      </c>
      <c r="H219" s="309">
        <v>35000</v>
      </c>
      <c r="I219" s="309">
        <v>35000</v>
      </c>
      <c r="J219" s="211"/>
      <c r="K219" s="212" t="str">
        <f>IF(OR(J219="",G219=J219),"","*")</f>
        <v/>
      </c>
      <c r="L219" s="338" t="str">
        <f>IF($A219&lt;=L$1,I219/I$4,"")</f>
        <v/>
      </c>
      <c r="M219" s="343"/>
      <c r="N219" s="344"/>
      <c r="O219" s="310">
        <v>0</v>
      </c>
      <c r="P219" s="311">
        <v>0</v>
      </c>
      <c r="Q219" s="311">
        <v>0</v>
      </c>
      <c r="R219" s="211">
        <v>0</v>
      </c>
      <c r="S219" s="212"/>
      <c r="T219" s="213" t="e">
        <v>#DIV/0!</v>
      </c>
      <c r="U219" s="214"/>
      <c r="V219" s="215"/>
      <c r="W219" s="310">
        <v>0</v>
      </c>
      <c r="X219" s="311">
        <v>0</v>
      </c>
      <c r="Y219" s="311">
        <v>0</v>
      </c>
      <c r="Z219" s="211">
        <v>0</v>
      </c>
      <c r="AA219" s="212"/>
      <c r="AB219" s="213" t="e">
        <v>#DIV/0!</v>
      </c>
      <c r="AC219" s="214"/>
      <c r="AD219" s="215"/>
      <c r="AE219" s="342"/>
      <c r="AF219" s="341"/>
    </row>
    <row r="220" spans="1:32">
      <c r="A220" s="307">
        <v>5</v>
      </c>
      <c r="B220" s="342"/>
      <c r="C220" s="342" t="s">
        <v>176</v>
      </c>
      <c r="D220" s="340" t="s">
        <v>390</v>
      </c>
      <c r="E220" s="342" t="s">
        <v>241</v>
      </c>
      <c r="F220" s="345" t="s">
        <v>220</v>
      </c>
      <c r="G220" s="308">
        <v>2</v>
      </c>
      <c r="H220" s="309">
        <v>30000</v>
      </c>
      <c r="I220" s="309">
        <v>60000</v>
      </c>
      <c r="J220" s="211"/>
      <c r="K220" s="212" t="str">
        <f>IF(OR(J220="",G220=J220),"","*")</f>
        <v/>
      </c>
      <c r="L220" s="338" t="str">
        <f>IF($A220&lt;=L$1,I220/I$4,"")</f>
        <v/>
      </c>
      <c r="M220" s="343"/>
      <c r="N220" s="344"/>
      <c r="O220" s="310">
        <v>0</v>
      </c>
      <c r="P220" s="311">
        <v>0</v>
      </c>
      <c r="Q220" s="311">
        <v>0</v>
      </c>
      <c r="R220" s="211">
        <v>0</v>
      </c>
      <c r="S220" s="212"/>
      <c r="T220" s="213" t="e">
        <v>#DIV/0!</v>
      </c>
      <c r="U220" s="214"/>
      <c r="V220" s="215"/>
      <c r="W220" s="310">
        <v>0</v>
      </c>
      <c r="X220" s="311">
        <v>0</v>
      </c>
      <c r="Y220" s="311">
        <v>0</v>
      </c>
      <c r="Z220" s="211">
        <v>0</v>
      </c>
      <c r="AA220" s="212"/>
      <c r="AB220" s="213" t="e">
        <v>#DIV/0!</v>
      </c>
      <c r="AC220" s="214"/>
      <c r="AD220" s="215"/>
      <c r="AE220" s="342"/>
      <c r="AF220" s="341"/>
    </row>
    <row r="221" spans="1:32">
      <c r="A221" s="307">
        <v>5</v>
      </c>
      <c r="B221" s="342"/>
      <c r="C221" s="342" t="s">
        <v>178</v>
      </c>
      <c r="D221" s="340" t="s">
        <v>402</v>
      </c>
      <c r="E221" s="342" t="s">
        <v>244</v>
      </c>
      <c r="F221" s="345" t="s">
        <v>245</v>
      </c>
      <c r="G221" s="308">
        <v>1</v>
      </c>
      <c r="H221" s="309">
        <v>6000</v>
      </c>
      <c r="I221" s="309">
        <v>6000</v>
      </c>
      <c r="J221" s="211"/>
      <c r="K221" s="212" t="str">
        <f>IF(OR(J221="",G221=J221),"","*")</f>
        <v/>
      </c>
      <c r="L221" s="338" t="str">
        <f>IF($A221&lt;=L$1,I221/I$4,"")</f>
        <v/>
      </c>
      <c r="M221" s="343"/>
      <c r="N221" s="344"/>
      <c r="O221" s="310">
        <v>0</v>
      </c>
      <c r="P221" s="311">
        <v>0</v>
      </c>
      <c r="Q221" s="311">
        <v>0</v>
      </c>
      <c r="R221" s="211">
        <v>0</v>
      </c>
      <c r="S221" s="212"/>
      <c r="T221" s="213" t="e">
        <v>#DIV/0!</v>
      </c>
      <c r="U221" s="214"/>
      <c r="V221" s="215"/>
      <c r="W221" s="310">
        <v>0</v>
      </c>
      <c r="X221" s="311">
        <v>0</v>
      </c>
      <c r="Y221" s="311">
        <v>0</v>
      </c>
      <c r="Z221" s="211">
        <v>0</v>
      </c>
      <c r="AA221" s="212"/>
      <c r="AB221" s="213" t="e">
        <v>#DIV/0!</v>
      </c>
      <c r="AC221" s="214"/>
      <c r="AD221" s="215"/>
      <c r="AE221" s="342" t="s">
        <v>246</v>
      </c>
      <c r="AF221" s="341"/>
    </row>
    <row r="222" spans="1:32">
      <c r="A222" s="307">
        <v>5</v>
      </c>
      <c r="B222" s="342"/>
      <c r="C222" s="342" t="s">
        <v>178</v>
      </c>
      <c r="D222" s="340" t="s">
        <v>393</v>
      </c>
      <c r="E222" s="342" t="s">
        <v>248</v>
      </c>
      <c r="F222" s="345" t="s">
        <v>249</v>
      </c>
      <c r="G222" s="308">
        <v>1</v>
      </c>
      <c r="H222" s="309">
        <v>3000</v>
      </c>
      <c r="I222" s="309">
        <v>3000</v>
      </c>
      <c r="J222" s="211"/>
      <c r="K222" s="212" t="str">
        <f>IF(OR(J222="",G222=J222),"","*")</f>
        <v/>
      </c>
      <c r="L222" s="338" t="str">
        <f>IF($A222&lt;=L$1,I222/I$4,"")</f>
        <v/>
      </c>
      <c r="M222" s="343"/>
      <c r="N222" s="344"/>
      <c r="O222" s="310">
        <v>0</v>
      </c>
      <c r="P222" s="311">
        <v>0</v>
      </c>
      <c r="Q222" s="311">
        <v>0</v>
      </c>
      <c r="R222" s="211">
        <v>0</v>
      </c>
      <c r="S222" s="212"/>
      <c r="T222" s="213" t="e">
        <v>#DIV/0!</v>
      </c>
      <c r="U222" s="214"/>
      <c r="V222" s="215"/>
      <c r="W222" s="310">
        <v>0</v>
      </c>
      <c r="X222" s="311">
        <v>0</v>
      </c>
      <c r="Y222" s="311">
        <v>0</v>
      </c>
      <c r="Z222" s="211">
        <v>0</v>
      </c>
      <c r="AA222" s="212"/>
      <c r="AB222" s="213" t="e">
        <v>#DIV/0!</v>
      </c>
      <c r="AC222" s="214"/>
      <c r="AD222" s="215"/>
      <c r="AE222" s="342" t="s">
        <v>250</v>
      </c>
      <c r="AF222" s="341"/>
    </row>
    <row r="223" spans="1:32">
      <c r="A223" s="307">
        <v>5</v>
      </c>
      <c r="B223" s="342"/>
      <c r="C223" s="342" t="s">
        <v>179</v>
      </c>
      <c r="D223" s="340" t="s">
        <v>394</v>
      </c>
      <c r="E223" s="342" t="s">
        <v>252</v>
      </c>
      <c r="F223" s="345" t="s">
        <v>249</v>
      </c>
      <c r="G223" s="308">
        <v>1</v>
      </c>
      <c r="H223" s="309">
        <v>6000</v>
      </c>
      <c r="I223" s="309">
        <v>6000</v>
      </c>
      <c r="J223" s="211"/>
      <c r="K223" s="212" t="str">
        <f>IF(OR(J223="",G223=J223),"","*")</f>
        <v/>
      </c>
      <c r="L223" s="338" t="str">
        <f>IF($A223&lt;=L$1,I223/I$4,"")</f>
        <v/>
      </c>
      <c r="M223" s="343"/>
      <c r="N223" s="344"/>
      <c r="O223" s="310">
        <v>0</v>
      </c>
      <c r="P223" s="311">
        <v>0</v>
      </c>
      <c r="Q223" s="311">
        <v>0</v>
      </c>
      <c r="R223" s="211">
        <v>0</v>
      </c>
      <c r="S223" s="212"/>
      <c r="T223" s="213" t="e">
        <v>#DIV/0!</v>
      </c>
      <c r="U223" s="214"/>
      <c r="V223" s="215"/>
      <c r="W223" s="310">
        <v>0</v>
      </c>
      <c r="X223" s="311">
        <v>0</v>
      </c>
      <c r="Y223" s="311">
        <v>0</v>
      </c>
      <c r="Z223" s="211">
        <v>0</v>
      </c>
      <c r="AA223" s="212"/>
      <c r="AB223" s="213" t="e">
        <v>#DIV/0!</v>
      </c>
      <c r="AC223" s="214"/>
      <c r="AD223" s="215"/>
      <c r="AE223" s="342" t="s">
        <v>253</v>
      </c>
      <c r="AF223" s="341"/>
    </row>
    <row r="224" spans="1:32">
      <c r="A224" s="307">
        <v>4</v>
      </c>
      <c r="B224" s="342"/>
      <c r="C224" s="342" t="s">
        <v>175</v>
      </c>
      <c r="D224" s="340" t="s">
        <v>449</v>
      </c>
      <c r="E224" s="342"/>
      <c r="F224" s="345" t="s">
        <v>169</v>
      </c>
      <c r="G224" s="308">
        <v>1</v>
      </c>
      <c r="H224" s="309">
        <v>65543</v>
      </c>
      <c r="I224" s="309">
        <v>65543</v>
      </c>
      <c r="J224" s="211"/>
      <c r="K224" s="212" t="str">
        <f>IF(OR(J224="",G224=J224),"","*")</f>
        <v/>
      </c>
      <c r="L224" s="338" t="str">
        <f>IF($A224&lt;=L$1,I224/I$4,"")</f>
        <v/>
      </c>
      <c r="M224" s="343"/>
      <c r="N224" s="344"/>
      <c r="O224" s="310">
        <v>0</v>
      </c>
      <c r="P224" s="311">
        <v>0</v>
      </c>
      <c r="Q224" s="311">
        <v>0</v>
      </c>
      <c r="R224" s="211">
        <v>0</v>
      </c>
      <c r="S224" s="212"/>
      <c r="T224" s="213" t="e">
        <v>#DIV/0!</v>
      </c>
      <c r="U224" s="214"/>
      <c r="V224" s="215"/>
      <c r="W224" s="310">
        <v>0</v>
      </c>
      <c r="X224" s="311">
        <v>0</v>
      </c>
      <c r="Y224" s="311">
        <v>0</v>
      </c>
      <c r="Z224" s="211">
        <v>0</v>
      </c>
      <c r="AA224" s="212"/>
      <c r="AB224" s="213" t="e">
        <v>#DIV/0!</v>
      </c>
      <c r="AC224" s="214"/>
      <c r="AD224" s="215"/>
      <c r="AE224" s="342" t="s">
        <v>237</v>
      </c>
      <c r="AF224" s="341"/>
    </row>
    <row r="225" spans="1:32">
      <c r="A225" s="307">
        <v>3</v>
      </c>
      <c r="B225" s="342"/>
      <c r="C225" s="342" t="s">
        <v>207</v>
      </c>
      <c r="D225" s="340" t="s">
        <v>450</v>
      </c>
      <c r="E225" s="342"/>
      <c r="F225" s="345"/>
      <c r="G225" s="308">
        <v>0</v>
      </c>
      <c r="H225" s="309">
        <v>0</v>
      </c>
      <c r="I225" s="309">
        <v>0</v>
      </c>
      <c r="J225" s="211">
        <v>0</v>
      </c>
      <c r="K225" s="212" t="str">
        <f>IF(OR(J225="",G225=J225),"","*")</f>
        <v/>
      </c>
      <c r="L225" s="338">
        <f>IF($A225&lt;=L$1,I225/I$4,"")</f>
        <v>0</v>
      </c>
      <c r="M225" s="343"/>
      <c r="N225" s="344" t="s">
        <v>451</v>
      </c>
      <c r="O225" s="310">
        <v>0</v>
      </c>
      <c r="P225" s="311">
        <v>0</v>
      </c>
      <c r="Q225" s="311">
        <v>0</v>
      </c>
      <c r="R225" s="211">
        <v>0</v>
      </c>
      <c r="S225" s="212"/>
      <c r="T225" s="213" t="e">
        <v>#DIV/0!</v>
      </c>
      <c r="U225" s="214"/>
      <c r="V225" s="215"/>
      <c r="W225" s="310">
        <v>0</v>
      </c>
      <c r="X225" s="311">
        <v>0</v>
      </c>
      <c r="Y225" s="311">
        <v>0</v>
      </c>
      <c r="Z225" s="211">
        <v>0</v>
      </c>
      <c r="AA225" s="212"/>
      <c r="AB225" s="213" t="e">
        <v>#DIV/0!</v>
      </c>
      <c r="AC225" s="214"/>
      <c r="AD225" s="215"/>
      <c r="AE225" s="342"/>
      <c r="AF225" s="341"/>
    </row>
    <row r="226" spans="1:32">
      <c r="A226" s="307">
        <v>3</v>
      </c>
      <c r="B226" s="342"/>
      <c r="C226" s="342" t="s">
        <v>207</v>
      </c>
      <c r="D226" s="340" t="s">
        <v>452</v>
      </c>
      <c r="E226" s="342"/>
      <c r="F226" s="345" t="s">
        <v>167</v>
      </c>
      <c r="G226" s="308">
        <v>1</v>
      </c>
      <c r="H226" s="309">
        <v>3500</v>
      </c>
      <c r="I226" s="309">
        <v>3500</v>
      </c>
      <c r="J226" s="211">
        <v>100</v>
      </c>
      <c r="K226" s="212" t="str">
        <f>IF(OR(J226="",G226=J226),"","*")</f>
        <v>*</v>
      </c>
      <c r="L226" s="338">
        <f>IF($A226&lt;=L$1,I226/I$4,"")</f>
        <v>2.8683939862071228E-4</v>
      </c>
      <c r="M226" s="343"/>
      <c r="N226" s="344" t="s">
        <v>453</v>
      </c>
      <c r="O226" s="310">
        <v>0</v>
      </c>
      <c r="P226" s="311">
        <v>0</v>
      </c>
      <c r="Q226" s="311">
        <v>0</v>
      </c>
      <c r="R226" s="211">
        <v>0</v>
      </c>
      <c r="S226" s="212"/>
      <c r="T226" s="213" t="e">
        <v>#DIV/0!</v>
      </c>
      <c r="U226" s="214"/>
      <c r="V226" s="215"/>
      <c r="W226" s="310">
        <v>0</v>
      </c>
      <c r="X226" s="311">
        <v>0</v>
      </c>
      <c r="Y226" s="311">
        <v>0</v>
      </c>
      <c r="Z226" s="211">
        <v>0</v>
      </c>
      <c r="AA226" s="212"/>
      <c r="AB226" s="213" t="e">
        <v>#DIV/0!</v>
      </c>
      <c r="AC226" s="214"/>
      <c r="AD226" s="215"/>
      <c r="AE226" s="342"/>
      <c r="AF226" s="341"/>
    </row>
    <row r="227" spans="1:32">
      <c r="A227" s="307">
        <v>4</v>
      </c>
      <c r="B227" s="342"/>
      <c r="C227" s="342" t="s">
        <v>210</v>
      </c>
      <c r="D227" s="340" t="s">
        <v>454</v>
      </c>
      <c r="E227" s="342"/>
      <c r="F227" s="345" t="s">
        <v>167</v>
      </c>
      <c r="G227" s="308">
        <v>100</v>
      </c>
      <c r="H227" s="309">
        <v>3500</v>
      </c>
      <c r="I227" s="309">
        <v>350000</v>
      </c>
      <c r="J227" s="211">
        <v>100</v>
      </c>
      <c r="K227" s="212" t="str">
        <f>IF(OR(J227="",G227=J227),"","*")</f>
        <v/>
      </c>
      <c r="L227" s="338" t="str">
        <f>IF($A227&lt;=L$1,I227/I$4,"")</f>
        <v/>
      </c>
      <c r="M227" s="343"/>
      <c r="N227" s="344" t="s">
        <v>455</v>
      </c>
      <c r="O227" s="310">
        <v>0</v>
      </c>
      <c r="P227" s="311">
        <v>0</v>
      </c>
      <c r="Q227" s="311">
        <v>0</v>
      </c>
      <c r="R227" s="211">
        <v>0</v>
      </c>
      <c r="S227" s="212"/>
      <c r="T227" s="213" t="e">
        <v>#DIV/0!</v>
      </c>
      <c r="U227" s="214"/>
      <c r="V227" s="215"/>
      <c r="W227" s="310">
        <v>0</v>
      </c>
      <c r="X227" s="311">
        <v>0</v>
      </c>
      <c r="Y227" s="311">
        <v>0</v>
      </c>
      <c r="Z227" s="211">
        <v>0</v>
      </c>
      <c r="AA227" s="212"/>
      <c r="AB227" s="213" t="e">
        <v>#DIV/0!</v>
      </c>
      <c r="AC227" s="214"/>
      <c r="AD227" s="215"/>
      <c r="AE227" s="342"/>
      <c r="AF227" s="341"/>
    </row>
    <row r="228" spans="1:32">
      <c r="A228" s="307">
        <v>5</v>
      </c>
      <c r="B228" s="342"/>
      <c r="C228" s="342" t="s">
        <v>210</v>
      </c>
      <c r="D228" s="340" t="s">
        <v>456</v>
      </c>
      <c r="E228" s="342"/>
      <c r="F228" s="345" t="s">
        <v>217</v>
      </c>
      <c r="G228" s="308">
        <v>5</v>
      </c>
      <c r="H228" s="309">
        <v>50808</v>
      </c>
      <c r="I228" s="309">
        <v>254040</v>
      </c>
      <c r="J228" s="211">
        <v>1</v>
      </c>
      <c r="K228" s="212" t="str">
        <f>IF(OR(J228="",G228=J228),"","*")</f>
        <v>*</v>
      </c>
      <c r="L228" s="338" t="str">
        <f>IF($A228&lt;=L$1,I228/I$4,"")</f>
        <v/>
      </c>
      <c r="M228" s="343"/>
      <c r="N228" s="344" t="s">
        <v>457</v>
      </c>
      <c r="O228" s="310">
        <v>0</v>
      </c>
      <c r="P228" s="311">
        <v>0</v>
      </c>
      <c r="Q228" s="311">
        <v>0</v>
      </c>
      <c r="R228" s="211">
        <v>0</v>
      </c>
      <c r="S228" s="212"/>
      <c r="T228" s="213" t="e">
        <v>#DIV/0!</v>
      </c>
      <c r="U228" s="214"/>
      <c r="V228" s="215"/>
      <c r="W228" s="310">
        <v>0</v>
      </c>
      <c r="X228" s="311">
        <v>0</v>
      </c>
      <c r="Y228" s="311">
        <v>0</v>
      </c>
      <c r="Z228" s="211">
        <v>0</v>
      </c>
      <c r="AA228" s="212"/>
      <c r="AB228" s="213" t="e">
        <v>#DIV/0!</v>
      </c>
      <c r="AC228" s="214"/>
      <c r="AD228" s="215"/>
      <c r="AE228" s="342"/>
      <c r="AF228" s="341"/>
    </row>
    <row r="229" spans="1:32">
      <c r="A229" s="307">
        <v>6</v>
      </c>
      <c r="B229" s="342"/>
      <c r="C229" s="342" t="s">
        <v>176</v>
      </c>
      <c r="D229" s="340" t="s">
        <v>458</v>
      </c>
      <c r="E229" s="342"/>
      <c r="F229" s="345" t="s">
        <v>220</v>
      </c>
      <c r="G229" s="308">
        <v>1</v>
      </c>
      <c r="H229" s="309">
        <v>30500</v>
      </c>
      <c r="I229" s="309">
        <v>30500</v>
      </c>
      <c r="J229" s="211"/>
      <c r="K229" s="212" t="str">
        <f>IF(OR(J229="",G229=J229),"","*")</f>
        <v/>
      </c>
      <c r="L229" s="338" t="str">
        <f>IF($A229&lt;=L$1,I229/I$4,"")</f>
        <v/>
      </c>
      <c r="M229" s="343"/>
      <c r="N229" s="344"/>
      <c r="O229" s="310">
        <v>0</v>
      </c>
      <c r="P229" s="311">
        <v>0</v>
      </c>
      <c r="Q229" s="311">
        <v>0</v>
      </c>
      <c r="R229" s="211">
        <v>0</v>
      </c>
      <c r="S229" s="212"/>
      <c r="T229" s="213" t="e">
        <v>#DIV/0!</v>
      </c>
      <c r="U229" s="214"/>
      <c r="V229" s="215"/>
      <c r="W229" s="310">
        <v>0</v>
      </c>
      <c r="X229" s="311">
        <v>0</v>
      </c>
      <c r="Y229" s="311">
        <v>0</v>
      </c>
      <c r="Z229" s="211">
        <v>0</v>
      </c>
      <c r="AA229" s="212"/>
      <c r="AB229" s="213" t="e">
        <v>#DIV/0!</v>
      </c>
      <c r="AC229" s="214"/>
      <c r="AD229" s="215"/>
      <c r="AE229" s="342"/>
      <c r="AF229" s="341"/>
    </row>
    <row r="230" spans="1:32">
      <c r="A230" s="307">
        <v>6</v>
      </c>
      <c r="B230" s="342"/>
      <c r="C230" s="342" t="s">
        <v>175</v>
      </c>
      <c r="D230" s="340" t="s">
        <v>459</v>
      </c>
      <c r="E230" s="342" t="s">
        <v>222</v>
      </c>
      <c r="F230" s="345" t="s">
        <v>223</v>
      </c>
      <c r="G230" s="308">
        <v>22.4</v>
      </c>
      <c r="H230" s="309">
        <v>126</v>
      </c>
      <c r="I230" s="309">
        <v>2822</v>
      </c>
      <c r="J230" s="211"/>
      <c r="K230" s="212" t="str">
        <f>IF(OR(J230="",G230=J230),"","*")</f>
        <v/>
      </c>
      <c r="L230" s="338" t="str">
        <f>IF($A230&lt;=L$1,I230/I$4,"")</f>
        <v/>
      </c>
      <c r="M230" s="343"/>
      <c r="N230" s="344"/>
      <c r="O230" s="310">
        <v>0</v>
      </c>
      <c r="P230" s="311">
        <v>0</v>
      </c>
      <c r="Q230" s="311">
        <v>0</v>
      </c>
      <c r="R230" s="211">
        <v>0</v>
      </c>
      <c r="S230" s="212"/>
      <c r="T230" s="213" t="e">
        <v>#DIV/0!</v>
      </c>
      <c r="U230" s="214"/>
      <c r="V230" s="215"/>
      <c r="W230" s="310">
        <v>0</v>
      </c>
      <c r="X230" s="311">
        <v>0</v>
      </c>
      <c r="Y230" s="311">
        <v>0</v>
      </c>
      <c r="Z230" s="211">
        <v>0</v>
      </c>
      <c r="AA230" s="212"/>
      <c r="AB230" s="213" t="e">
        <v>#DIV/0!</v>
      </c>
      <c r="AC230" s="214"/>
      <c r="AD230" s="215"/>
      <c r="AE230" s="342"/>
      <c r="AF230" s="341"/>
    </row>
    <row r="231" spans="1:32">
      <c r="A231" s="307">
        <v>6</v>
      </c>
      <c r="B231" s="342"/>
      <c r="C231" s="342" t="s">
        <v>178</v>
      </c>
      <c r="D231" s="340" t="s">
        <v>460</v>
      </c>
      <c r="E231" s="342" t="s">
        <v>225</v>
      </c>
      <c r="F231" s="345" t="s">
        <v>226</v>
      </c>
      <c r="G231" s="308">
        <v>1.78</v>
      </c>
      <c r="H231" s="309">
        <v>6080</v>
      </c>
      <c r="I231" s="309">
        <v>10822</v>
      </c>
      <c r="J231" s="211"/>
      <c r="K231" s="212" t="str">
        <f>IF(OR(J231="",G231=J231),"","*")</f>
        <v/>
      </c>
      <c r="L231" s="338" t="str">
        <f>IF($A231&lt;=L$1,I231/I$4,"")</f>
        <v/>
      </c>
      <c r="M231" s="343"/>
      <c r="N231" s="344"/>
      <c r="O231" s="310">
        <v>0</v>
      </c>
      <c r="P231" s="311">
        <v>0</v>
      </c>
      <c r="Q231" s="311">
        <v>0</v>
      </c>
      <c r="R231" s="211">
        <v>0</v>
      </c>
      <c r="S231" s="212"/>
      <c r="T231" s="213" t="e">
        <v>#DIV/0!</v>
      </c>
      <c r="U231" s="214"/>
      <c r="V231" s="215"/>
      <c r="W231" s="310">
        <v>0</v>
      </c>
      <c r="X231" s="311">
        <v>0</v>
      </c>
      <c r="Y231" s="311">
        <v>0</v>
      </c>
      <c r="Z231" s="211">
        <v>0</v>
      </c>
      <c r="AA231" s="212"/>
      <c r="AB231" s="213" t="e">
        <v>#DIV/0!</v>
      </c>
      <c r="AC231" s="214"/>
      <c r="AD231" s="215"/>
      <c r="AE231" s="342"/>
      <c r="AF231" s="341"/>
    </row>
    <row r="232" spans="1:32">
      <c r="A232" s="307">
        <v>6</v>
      </c>
      <c r="B232" s="342"/>
      <c r="C232" s="342" t="s">
        <v>180</v>
      </c>
      <c r="D232" s="340" t="s">
        <v>229</v>
      </c>
      <c r="E232" s="342"/>
      <c r="F232" s="345" t="s">
        <v>169</v>
      </c>
      <c r="G232" s="308">
        <v>1</v>
      </c>
      <c r="H232" s="309">
        <v>6664</v>
      </c>
      <c r="I232" s="309">
        <v>6664</v>
      </c>
      <c r="J232" s="211"/>
      <c r="K232" s="212" t="str">
        <f>IF(OR(J232="",G232=J232),"","*")</f>
        <v/>
      </c>
      <c r="L232" s="338" t="str">
        <f>IF($A232&lt;=L$1,I232/I$4,"")</f>
        <v/>
      </c>
      <c r="M232" s="343"/>
      <c r="N232" s="344"/>
      <c r="O232" s="310">
        <v>0</v>
      </c>
      <c r="P232" s="311">
        <v>0</v>
      </c>
      <c r="Q232" s="311">
        <v>0</v>
      </c>
      <c r="R232" s="211">
        <v>0</v>
      </c>
      <c r="S232" s="212"/>
      <c r="T232" s="213" t="e">
        <v>#DIV/0!</v>
      </c>
      <c r="U232" s="214"/>
      <c r="V232" s="215"/>
      <c r="W232" s="310">
        <v>0</v>
      </c>
      <c r="X232" s="311">
        <v>0</v>
      </c>
      <c r="Y232" s="311">
        <v>0</v>
      </c>
      <c r="Z232" s="211">
        <v>0</v>
      </c>
      <c r="AA232" s="212"/>
      <c r="AB232" s="213" t="e">
        <v>#DIV/0!</v>
      </c>
      <c r="AC232" s="214"/>
      <c r="AD232" s="215"/>
      <c r="AE232" s="342"/>
      <c r="AF232" s="341"/>
    </row>
    <row r="233" spans="1:32">
      <c r="A233" s="307">
        <v>5</v>
      </c>
      <c r="B233" s="342"/>
      <c r="C233" s="342" t="s">
        <v>176</v>
      </c>
      <c r="D233" s="340" t="s">
        <v>461</v>
      </c>
      <c r="E233" s="342"/>
      <c r="F233" s="345" t="s">
        <v>220</v>
      </c>
      <c r="G233" s="308">
        <v>3</v>
      </c>
      <c r="H233" s="309">
        <v>26800</v>
      </c>
      <c r="I233" s="309">
        <v>80400</v>
      </c>
      <c r="J233" s="211"/>
      <c r="K233" s="212" t="str">
        <f>IF(OR(J233="",G233=J233),"","*")</f>
        <v/>
      </c>
      <c r="L233" s="338" t="str">
        <f>IF($A233&lt;=L$1,I233/I$4,"")</f>
        <v/>
      </c>
      <c r="M233" s="343"/>
      <c r="N233" s="344"/>
      <c r="O233" s="310">
        <v>0</v>
      </c>
      <c r="P233" s="311">
        <v>0</v>
      </c>
      <c r="Q233" s="311">
        <v>0</v>
      </c>
      <c r="R233" s="211">
        <v>0</v>
      </c>
      <c r="S233" s="212"/>
      <c r="T233" s="213" t="e">
        <v>#DIV/0!</v>
      </c>
      <c r="U233" s="214"/>
      <c r="V233" s="215"/>
      <c r="W233" s="310">
        <v>0</v>
      </c>
      <c r="X233" s="311">
        <v>0</v>
      </c>
      <c r="Y233" s="311">
        <v>0</v>
      </c>
      <c r="Z233" s="211">
        <v>0</v>
      </c>
      <c r="AA233" s="212"/>
      <c r="AB233" s="213" t="e">
        <v>#DIV/0!</v>
      </c>
      <c r="AC233" s="214"/>
      <c r="AD233" s="215"/>
      <c r="AE233" s="342"/>
      <c r="AF233" s="341"/>
    </row>
    <row r="234" spans="1:32">
      <c r="A234" s="307">
        <v>5</v>
      </c>
      <c r="B234" s="342"/>
      <c r="C234" s="342" t="s">
        <v>180</v>
      </c>
      <c r="D234" s="340" t="s">
        <v>462</v>
      </c>
      <c r="E234" s="342"/>
      <c r="F234" s="345" t="s">
        <v>169</v>
      </c>
      <c r="G234" s="308">
        <v>1</v>
      </c>
      <c r="H234" s="309">
        <v>15560</v>
      </c>
      <c r="I234" s="309">
        <v>15560</v>
      </c>
      <c r="J234" s="211"/>
      <c r="K234" s="212" t="str">
        <f>IF(OR(J234="",G234=J234),"","*")</f>
        <v/>
      </c>
      <c r="L234" s="338" t="str">
        <f>IF($A234&lt;=L$1,I234/I$4,"")</f>
        <v/>
      </c>
      <c r="M234" s="343"/>
      <c r="N234" s="344"/>
      <c r="O234" s="310">
        <v>0</v>
      </c>
      <c r="P234" s="311">
        <v>0</v>
      </c>
      <c r="Q234" s="311">
        <v>0</v>
      </c>
      <c r="R234" s="211">
        <v>0</v>
      </c>
      <c r="S234" s="212"/>
      <c r="T234" s="213" t="e">
        <v>#DIV/0!</v>
      </c>
      <c r="U234" s="214"/>
      <c r="V234" s="215"/>
      <c r="W234" s="310">
        <v>0</v>
      </c>
      <c r="X234" s="311">
        <v>0</v>
      </c>
      <c r="Y234" s="311">
        <v>0</v>
      </c>
      <c r="Z234" s="211">
        <v>0</v>
      </c>
      <c r="AA234" s="212"/>
      <c r="AB234" s="213" t="e">
        <v>#DIV/0!</v>
      </c>
      <c r="AC234" s="214"/>
      <c r="AD234" s="215"/>
      <c r="AE234" s="342"/>
      <c r="AF234" s="341"/>
    </row>
    <row r="235" spans="1:32">
      <c r="A235" s="307">
        <v>3</v>
      </c>
      <c r="B235" s="342"/>
      <c r="C235" s="342" t="s">
        <v>207</v>
      </c>
      <c r="D235" s="340" t="s">
        <v>463</v>
      </c>
      <c r="E235" s="342"/>
      <c r="F235" s="345" t="s">
        <v>168</v>
      </c>
      <c r="G235" s="308">
        <v>1</v>
      </c>
      <c r="H235" s="309">
        <v>640</v>
      </c>
      <c r="I235" s="309">
        <v>640</v>
      </c>
      <c r="J235" s="211">
        <v>100</v>
      </c>
      <c r="K235" s="212" t="str">
        <f>IF(OR(J235="",G235=J235),"","*")</f>
        <v>*</v>
      </c>
      <c r="L235" s="338">
        <f>IF($A235&lt;=L$1,I235/I$4,"")</f>
        <v>5.2450632890644529E-5</v>
      </c>
      <c r="M235" s="343"/>
      <c r="N235" s="344" t="s">
        <v>464</v>
      </c>
      <c r="O235" s="310">
        <v>0</v>
      </c>
      <c r="P235" s="311">
        <v>0</v>
      </c>
      <c r="Q235" s="311">
        <v>0</v>
      </c>
      <c r="R235" s="211">
        <v>0</v>
      </c>
      <c r="S235" s="212"/>
      <c r="T235" s="213" t="e">
        <v>#DIV/0!</v>
      </c>
      <c r="U235" s="214"/>
      <c r="V235" s="215"/>
      <c r="W235" s="310">
        <v>0</v>
      </c>
      <c r="X235" s="311">
        <v>0</v>
      </c>
      <c r="Y235" s="311">
        <v>0</v>
      </c>
      <c r="Z235" s="211">
        <v>0</v>
      </c>
      <c r="AA235" s="212"/>
      <c r="AB235" s="213" t="e">
        <v>#DIV/0!</v>
      </c>
      <c r="AC235" s="214"/>
      <c r="AD235" s="215"/>
      <c r="AE235" s="342"/>
      <c r="AF235" s="341"/>
    </row>
    <row r="236" spans="1:32">
      <c r="A236" s="307">
        <v>4</v>
      </c>
      <c r="B236" s="342"/>
      <c r="C236" s="342" t="s">
        <v>210</v>
      </c>
      <c r="D236" s="340" t="s">
        <v>465</v>
      </c>
      <c r="E236" s="342"/>
      <c r="F236" s="345" t="s">
        <v>168</v>
      </c>
      <c r="G236" s="308">
        <v>100</v>
      </c>
      <c r="H236" s="309">
        <v>640</v>
      </c>
      <c r="I236" s="309">
        <v>64000</v>
      </c>
      <c r="J236" s="211">
        <v>100</v>
      </c>
      <c r="K236" s="212" t="str">
        <f>IF(OR(J236="",G236=J236),"","*")</f>
        <v/>
      </c>
      <c r="L236" s="338" t="str">
        <f>IF($A236&lt;=L$1,I236/I$4,"")</f>
        <v/>
      </c>
      <c r="M236" s="343"/>
      <c r="N236" s="344" t="s">
        <v>466</v>
      </c>
      <c r="O236" s="310">
        <v>0</v>
      </c>
      <c r="P236" s="311">
        <v>0</v>
      </c>
      <c r="Q236" s="311">
        <v>0</v>
      </c>
      <c r="R236" s="211">
        <v>0</v>
      </c>
      <c r="S236" s="212"/>
      <c r="T236" s="213" t="e">
        <v>#DIV/0!</v>
      </c>
      <c r="U236" s="214"/>
      <c r="V236" s="215"/>
      <c r="W236" s="310">
        <v>0</v>
      </c>
      <c r="X236" s="311">
        <v>0</v>
      </c>
      <c r="Y236" s="311">
        <v>0</v>
      </c>
      <c r="Z236" s="211">
        <v>0</v>
      </c>
      <c r="AA236" s="212"/>
      <c r="AB236" s="213" t="e">
        <v>#DIV/0!</v>
      </c>
      <c r="AC236" s="214"/>
      <c r="AD236" s="215"/>
      <c r="AE236" s="342"/>
      <c r="AF236" s="341"/>
    </row>
    <row r="237" spans="1:32">
      <c r="A237" s="307">
        <v>5</v>
      </c>
      <c r="B237" s="342"/>
      <c r="C237" s="342" t="s">
        <v>176</v>
      </c>
      <c r="D237" s="340" t="s">
        <v>461</v>
      </c>
      <c r="E237" s="342"/>
      <c r="F237" s="345" t="s">
        <v>220</v>
      </c>
      <c r="G237" s="308">
        <v>2</v>
      </c>
      <c r="H237" s="309">
        <v>26800</v>
      </c>
      <c r="I237" s="309">
        <v>53600</v>
      </c>
      <c r="J237" s="211"/>
      <c r="K237" s="212" t="str">
        <f>IF(OR(J237="",G237=J237),"","*")</f>
        <v/>
      </c>
      <c r="L237" s="338" t="str">
        <f>IF($A237&lt;=L$1,I237/I$4,"")</f>
        <v/>
      </c>
      <c r="M237" s="343"/>
      <c r="N237" s="344"/>
      <c r="O237" s="310">
        <v>0</v>
      </c>
      <c r="P237" s="311">
        <v>0</v>
      </c>
      <c r="Q237" s="311">
        <v>0</v>
      </c>
      <c r="R237" s="211">
        <v>0</v>
      </c>
      <c r="S237" s="212"/>
      <c r="T237" s="213" t="e">
        <v>#DIV/0!</v>
      </c>
      <c r="U237" s="214"/>
      <c r="V237" s="215"/>
      <c r="W237" s="310">
        <v>0</v>
      </c>
      <c r="X237" s="311">
        <v>0</v>
      </c>
      <c r="Y237" s="311">
        <v>0</v>
      </c>
      <c r="Z237" s="211">
        <v>0</v>
      </c>
      <c r="AA237" s="212"/>
      <c r="AB237" s="213" t="e">
        <v>#DIV/0!</v>
      </c>
      <c r="AC237" s="214"/>
      <c r="AD237" s="215"/>
      <c r="AE237" s="342"/>
      <c r="AF237" s="341"/>
    </row>
    <row r="238" spans="1:32">
      <c r="A238" s="307">
        <v>5</v>
      </c>
      <c r="B238" s="342"/>
      <c r="C238" s="342" t="s">
        <v>180</v>
      </c>
      <c r="D238" s="340" t="s">
        <v>462</v>
      </c>
      <c r="E238" s="342"/>
      <c r="F238" s="345" t="s">
        <v>169</v>
      </c>
      <c r="G238" s="308">
        <v>1</v>
      </c>
      <c r="H238" s="309">
        <v>10400</v>
      </c>
      <c r="I238" s="309">
        <v>10400</v>
      </c>
      <c r="J238" s="211"/>
      <c r="K238" s="212" t="str">
        <f>IF(OR(J238="",G238=J238),"","*")</f>
        <v/>
      </c>
      <c r="L238" s="338" t="str">
        <f>IF($A238&lt;=L$1,I238/I$4,"")</f>
        <v/>
      </c>
      <c r="M238" s="343"/>
      <c r="N238" s="344"/>
      <c r="O238" s="310">
        <v>0</v>
      </c>
      <c r="P238" s="311">
        <v>0</v>
      </c>
      <c r="Q238" s="311">
        <v>0</v>
      </c>
      <c r="R238" s="211">
        <v>0</v>
      </c>
      <c r="S238" s="212"/>
      <c r="T238" s="213" t="e">
        <v>#DIV/0!</v>
      </c>
      <c r="U238" s="214"/>
      <c r="V238" s="215"/>
      <c r="W238" s="310">
        <v>0</v>
      </c>
      <c r="X238" s="311">
        <v>0</v>
      </c>
      <c r="Y238" s="311">
        <v>0</v>
      </c>
      <c r="Z238" s="211">
        <v>0</v>
      </c>
      <c r="AA238" s="212"/>
      <c r="AB238" s="213" t="e">
        <v>#DIV/0!</v>
      </c>
      <c r="AC238" s="214"/>
      <c r="AD238" s="215"/>
      <c r="AE238" s="342"/>
      <c r="AF238" s="341"/>
    </row>
    <row r="239" spans="1:32">
      <c r="A239" s="307">
        <v>3</v>
      </c>
      <c r="B239" s="342"/>
      <c r="C239" s="342" t="s">
        <v>207</v>
      </c>
      <c r="D239" s="340" t="s">
        <v>467</v>
      </c>
      <c r="E239" s="342"/>
      <c r="F239" s="345" t="s">
        <v>167</v>
      </c>
      <c r="G239" s="308">
        <v>1</v>
      </c>
      <c r="H239" s="309">
        <v>2787</v>
      </c>
      <c r="I239" s="309">
        <v>2787</v>
      </c>
      <c r="J239" s="211">
        <v>15</v>
      </c>
      <c r="K239" s="212" t="str">
        <f>IF(OR(J239="",G239=J239),"","*")</f>
        <v>*</v>
      </c>
      <c r="L239" s="338">
        <f>IF($A239&lt;=L$1,I239/I$4,"")</f>
        <v>2.2840611541597859E-4</v>
      </c>
      <c r="M239" s="343"/>
      <c r="N239" s="344" t="s">
        <v>468</v>
      </c>
      <c r="O239" s="310">
        <v>0</v>
      </c>
      <c r="P239" s="311">
        <v>0</v>
      </c>
      <c r="Q239" s="311">
        <v>0</v>
      </c>
      <c r="R239" s="211">
        <v>0</v>
      </c>
      <c r="S239" s="212"/>
      <c r="T239" s="213" t="e">
        <v>#DIV/0!</v>
      </c>
      <c r="U239" s="214"/>
      <c r="V239" s="215"/>
      <c r="W239" s="310">
        <v>0</v>
      </c>
      <c r="X239" s="311">
        <v>0</v>
      </c>
      <c r="Y239" s="311">
        <v>0</v>
      </c>
      <c r="Z239" s="211">
        <v>0</v>
      </c>
      <c r="AA239" s="212"/>
      <c r="AB239" s="213" t="e">
        <v>#DIV/0!</v>
      </c>
      <c r="AC239" s="214"/>
      <c r="AD239" s="215"/>
      <c r="AE239" s="342"/>
      <c r="AF239" s="341"/>
    </row>
    <row r="240" spans="1:32">
      <c r="A240" s="307">
        <v>4</v>
      </c>
      <c r="B240" s="342"/>
      <c r="C240" s="342" t="s">
        <v>210</v>
      </c>
      <c r="D240" s="340" t="s">
        <v>469</v>
      </c>
      <c r="E240" s="342"/>
      <c r="F240" s="345" t="s">
        <v>167</v>
      </c>
      <c r="G240" s="308">
        <v>15</v>
      </c>
      <c r="H240" s="309">
        <v>2787</v>
      </c>
      <c r="I240" s="309">
        <v>41805</v>
      </c>
      <c r="J240" s="211">
        <v>15</v>
      </c>
      <c r="K240" s="212" t="str">
        <f>IF(OR(J240="",G240=J240),"","*")</f>
        <v/>
      </c>
      <c r="L240" s="338" t="str">
        <f>IF($A240&lt;=L$1,I240/I$4,"")</f>
        <v/>
      </c>
      <c r="M240" s="343"/>
      <c r="N240" s="344" t="s">
        <v>470</v>
      </c>
      <c r="O240" s="310">
        <v>0</v>
      </c>
      <c r="P240" s="311">
        <v>0</v>
      </c>
      <c r="Q240" s="311">
        <v>0</v>
      </c>
      <c r="R240" s="211">
        <v>0</v>
      </c>
      <c r="S240" s="212"/>
      <c r="T240" s="213" t="e">
        <v>#DIV/0!</v>
      </c>
      <c r="U240" s="214"/>
      <c r="V240" s="215"/>
      <c r="W240" s="310">
        <v>0</v>
      </c>
      <c r="X240" s="311">
        <v>0</v>
      </c>
      <c r="Y240" s="311">
        <v>0</v>
      </c>
      <c r="Z240" s="211">
        <v>0</v>
      </c>
      <c r="AA240" s="212"/>
      <c r="AB240" s="213" t="e">
        <v>#DIV/0!</v>
      </c>
      <c r="AC240" s="214"/>
      <c r="AD240" s="215"/>
      <c r="AE240" s="342"/>
      <c r="AF240" s="341"/>
    </row>
    <row r="241" spans="1:32">
      <c r="A241" s="307">
        <v>5</v>
      </c>
      <c r="B241" s="342"/>
      <c r="C241" s="342" t="s">
        <v>175</v>
      </c>
      <c r="D241" s="340" t="s">
        <v>471</v>
      </c>
      <c r="E241" s="342" t="s">
        <v>225</v>
      </c>
      <c r="F241" s="345" t="s">
        <v>226</v>
      </c>
      <c r="G241" s="308">
        <v>1.331</v>
      </c>
      <c r="H241" s="309">
        <v>6080</v>
      </c>
      <c r="I241" s="309">
        <v>8092</v>
      </c>
      <c r="J241" s="211"/>
      <c r="K241" s="212" t="str">
        <f>IF(OR(J241="",G241=J241),"","*")</f>
        <v/>
      </c>
      <c r="L241" s="338" t="str">
        <f>IF($A241&lt;=L$1,I241/I$4,"")</f>
        <v/>
      </c>
      <c r="M241" s="343"/>
      <c r="N241" s="344"/>
      <c r="O241" s="310">
        <v>0</v>
      </c>
      <c r="P241" s="311">
        <v>0</v>
      </c>
      <c r="Q241" s="311">
        <v>0</v>
      </c>
      <c r="R241" s="211">
        <v>0</v>
      </c>
      <c r="S241" s="212"/>
      <c r="T241" s="213" t="e">
        <v>#DIV/0!</v>
      </c>
      <c r="U241" s="214"/>
      <c r="V241" s="215"/>
      <c r="W241" s="310">
        <v>0</v>
      </c>
      <c r="X241" s="311">
        <v>0</v>
      </c>
      <c r="Y241" s="311">
        <v>0</v>
      </c>
      <c r="Z241" s="211">
        <v>0</v>
      </c>
      <c r="AA241" s="212"/>
      <c r="AB241" s="213" t="e">
        <v>#DIV/0!</v>
      </c>
      <c r="AC241" s="214"/>
      <c r="AD241" s="215"/>
      <c r="AE241" s="342"/>
      <c r="AF241" s="341" t="s">
        <v>283</v>
      </c>
    </row>
    <row r="242" spans="1:32">
      <c r="A242" s="307">
        <v>5</v>
      </c>
      <c r="B242" s="342"/>
      <c r="C242" s="342" t="s">
        <v>176</v>
      </c>
      <c r="D242" s="340" t="s">
        <v>472</v>
      </c>
      <c r="E242" s="342"/>
      <c r="F242" s="345" t="s">
        <v>220</v>
      </c>
      <c r="G242" s="308">
        <v>1.0009999999999999</v>
      </c>
      <c r="H242" s="309">
        <v>30500</v>
      </c>
      <c r="I242" s="309">
        <v>30530</v>
      </c>
      <c r="J242" s="211"/>
      <c r="K242" s="212" t="str">
        <f>IF(OR(J242="",G242=J242),"","*")</f>
        <v/>
      </c>
      <c r="L242" s="338" t="str">
        <f>IF($A242&lt;=L$1,I242/I$4,"")</f>
        <v/>
      </c>
      <c r="M242" s="343"/>
      <c r="N242" s="344"/>
      <c r="O242" s="310">
        <v>0</v>
      </c>
      <c r="P242" s="311">
        <v>0</v>
      </c>
      <c r="Q242" s="311">
        <v>0</v>
      </c>
      <c r="R242" s="211">
        <v>0</v>
      </c>
      <c r="S242" s="212"/>
      <c r="T242" s="213" t="e">
        <v>#DIV/0!</v>
      </c>
      <c r="U242" s="214"/>
      <c r="V242" s="215"/>
      <c r="W242" s="310">
        <v>0</v>
      </c>
      <c r="X242" s="311">
        <v>0</v>
      </c>
      <c r="Y242" s="311">
        <v>0</v>
      </c>
      <c r="Z242" s="211">
        <v>0</v>
      </c>
      <c r="AA242" s="212"/>
      <c r="AB242" s="213" t="e">
        <v>#DIV/0!</v>
      </c>
      <c r="AC242" s="214"/>
      <c r="AD242" s="215"/>
      <c r="AE242" s="342"/>
      <c r="AF242" s="341" t="s">
        <v>473</v>
      </c>
    </row>
    <row r="243" spans="1:32">
      <c r="A243" s="307">
        <v>5</v>
      </c>
      <c r="B243" s="342"/>
      <c r="C243" s="342" t="s">
        <v>175</v>
      </c>
      <c r="D243" s="340" t="s">
        <v>474</v>
      </c>
      <c r="E243" s="342" t="s">
        <v>475</v>
      </c>
      <c r="F243" s="345" t="s">
        <v>223</v>
      </c>
      <c r="G243" s="308">
        <v>22.95</v>
      </c>
      <c r="H243" s="309">
        <v>139</v>
      </c>
      <c r="I243" s="309">
        <v>3190</v>
      </c>
      <c r="J243" s="211"/>
      <c r="K243" s="212" t="str">
        <f>IF(OR(J243="",G243=J243),"","*")</f>
        <v/>
      </c>
      <c r="L243" s="338" t="str">
        <f>IF($A243&lt;=L$1,I243/I$4,"")</f>
        <v/>
      </c>
      <c r="M243" s="343"/>
      <c r="N243" s="344"/>
      <c r="O243" s="310">
        <v>0</v>
      </c>
      <c r="P243" s="311">
        <v>0</v>
      </c>
      <c r="Q243" s="311">
        <v>0</v>
      </c>
      <c r="R243" s="211">
        <v>0</v>
      </c>
      <c r="S243" s="212"/>
      <c r="T243" s="213" t="e">
        <v>#DIV/0!</v>
      </c>
      <c r="U243" s="214"/>
      <c r="V243" s="215"/>
      <c r="W243" s="310">
        <v>0</v>
      </c>
      <c r="X243" s="311">
        <v>0</v>
      </c>
      <c r="Y243" s="311">
        <v>0</v>
      </c>
      <c r="Z243" s="211">
        <v>0</v>
      </c>
      <c r="AA243" s="212"/>
      <c r="AB243" s="213" t="e">
        <v>#DIV/0!</v>
      </c>
      <c r="AC243" s="214"/>
      <c r="AD243" s="215"/>
      <c r="AE243" s="342"/>
      <c r="AF243" s="341" t="s">
        <v>476</v>
      </c>
    </row>
    <row r="244" spans="1:32">
      <c r="A244" s="307">
        <v>5</v>
      </c>
      <c r="B244" s="342"/>
      <c r="C244" s="342"/>
      <c r="D244" s="340" t="s">
        <v>477</v>
      </c>
      <c r="E244" s="342"/>
      <c r="F244" s="345" t="s">
        <v>169</v>
      </c>
      <c r="G244" s="308">
        <v>1.4999999999999999E-2</v>
      </c>
      <c r="H244" s="309">
        <v>-316</v>
      </c>
      <c r="I244" s="309">
        <v>-4</v>
      </c>
      <c r="J244" s="211"/>
      <c r="K244" s="212" t="str">
        <f>IF(OR(J244="",G244=J244),"","*")</f>
        <v/>
      </c>
      <c r="L244" s="338" t="str">
        <f>IF($A244&lt;=L$1,I244/I$4,"")</f>
        <v/>
      </c>
      <c r="M244" s="343"/>
      <c r="N244" s="344"/>
      <c r="O244" s="310">
        <v>0</v>
      </c>
      <c r="P244" s="311">
        <v>0</v>
      </c>
      <c r="Q244" s="311">
        <v>0</v>
      </c>
      <c r="R244" s="211">
        <v>0</v>
      </c>
      <c r="S244" s="212"/>
      <c r="T244" s="213" t="e">
        <v>#DIV/0!</v>
      </c>
      <c r="U244" s="214"/>
      <c r="V244" s="215"/>
      <c r="W244" s="310">
        <v>0</v>
      </c>
      <c r="X244" s="311">
        <v>0</v>
      </c>
      <c r="Y244" s="311">
        <v>0</v>
      </c>
      <c r="Z244" s="211">
        <v>0</v>
      </c>
      <c r="AA244" s="212"/>
      <c r="AB244" s="213" t="e">
        <v>#DIV/0!</v>
      </c>
      <c r="AC244" s="214"/>
      <c r="AD244" s="215"/>
      <c r="AE244" s="342"/>
      <c r="AF244" s="341"/>
    </row>
    <row r="245" spans="1:32">
      <c r="A245" s="307">
        <v>3</v>
      </c>
      <c r="B245" s="342"/>
      <c r="C245" s="342" t="s">
        <v>207</v>
      </c>
      <c r="D245" s="340" t="s">
        <v>478</v>
      </c>
      <c r="E245" s="342"/>
      <c r="F245" s="345" t="s">
        <v>168</v>
      </c>
      <c r="G245" s="308">
        <v>1</v>
      </c>
      <c r="H245" s="309">
        <v>1444</v>
      </c>
      <c r="I245" s="309">
        <v>1444</v>
      </c>
      <c r="J245" s="211">
        <v>155</v>
      </c>
      <c r="K245" s="212" t="str">
        <f>IF(OR(J245="",G245=J245),"","*")</f>
        <v>*</v>
      </c>
      <c r="L245" s="338">
        <f>IF($A245&lt;=L$1,I245/I$4,"")</f>
        <v>1.1834174045951671E-4</v>
      </c>
      <c r="M245" s="343"/>
      <c r="N245" s="344" t="s">
        <v>479</v>
      </c>
      <c r="O245" s="310">
        <v>0</v>
      </c>
      <c r="P245" s="311">
        <v>0</v>
      </c>
      <c r="Q245" s="311">
        <v>0</v>
      </c>
      <c r="R245" s="211">
        <v>0</v>
      </c>
      <c r="S245" s="212"/>
      <c r="T245" s="213" t="e">
        <v>#DIV/0!</v>
      </c>
      <c r="U245" s="214"/>
      <c r="V245" s="215"/>
      <c r="W245" s="310">
        <v>0</v>
      </c>
      <c r="X245" s="311">
        <v>0</v>
      </c>
      <c r="Y245" s="311">
        <v>0</v>
      </c>
      <c r="Z245" s="211">
        <v>0</v>
      </c>
      <c r="AA245" s="212"/>
      <c r="AB245" s="213" t="e">
        <v>#DIV/0!</v>
      </c>
      <c r="AC245" s="214"/>
      <c r="AD245" s="215"/>
      <c r="AE245" s="342"/>
      <c r="AF245" s="341"/>
    </row>
    <row r="246" spans="1:32">
      <c r="A246" s="307">
        <v>4</v>
      </c>
      <c r="B246" s="342"/>
      <c r="C246" s="342" t="s">
        <v>210</v>
      </c>
      <c r="D246" s="340" t="s">
        <v>398</v>
      </c>
      <c r="E246" s="342"/>
      <c r="F246" s="345" t="s">
        <v>168</v>
      </c>
      <c r="G246" s="308">
        <v>155</v>
      </c>
      <c r="H246" s="309">
        <v>1444</v>
      </c>
      <c r="I246" s="309">
        <v>223820</v>
      </c>
      <c r="J246" s="211">
        <v>155</v>
      </c>
      <c r="K246" s="212" t="str">
        <f>IF(OR(J246="",G246=J246),"","*")</f>
        <v/>
      </c>
      <c r="L246" s="338" t="str">
        <f>IF($A246&lt;=L$1,I246/I$4,"")</f>
        <v/>
      </c>
      <c r="M246" s="343"/>
      <c r="N246" s="344" t="s">
        <v>480</v>
      </c>
      <c r="O246" s="310">
        <v>0</v>
      </c>
      <c r="P246" s="311">
        <v>0</v>
      </c>
      <c r="Q246" s="311">
        <v>0</v>
      </c>
      <c r="R246" s="211">
        <v>0</v>
      </c>
      <c r="S246" s="212"/>
      <c r="T246" s="213" t="e">
        <v>#DIV/0!</v>
      </c>
      <c r="U246" s="214"/>
      <c r="V246" s="215"/>
      <c r="W246" s="310">
        <v>0</v>
      </c>
      <c r="X246" s="311">
        <v>0</v>
      </c>
      <c r="Y246" s="311">
        <v>0</v>
      </c>
      <c r="Z246" s="211">
        <v>0</v>
      </c>
      <c r="AA246" s="212"/>
      <c r="AB246" s="213" t="e">
        <v>#DIV/0!</v>
      </c>
      <c r="AC246" s="214"/>
      <c r="AD246" s="215"/>
      <c r="AE246" s="342"/>
      <c r="AF246" s="341"/>
    </row>
    <row r="247" spans="1:32">
      <c r="A247" s="307">
        <v>5</v>
      </c>
      <c r="B247" s="342"/>
      <c r="C247" s="342" t="s">
        <v>175</v>
      </c>
      <c r="D247" s="340" t="s">
        <v>481</v>
      </c>
      <c r="E247" s="342" t="s">
        <v>482</v>
      </c>
      <c r="F247" s="345" t="s">
        <v>278</v>
      </c>
      <c r="G247" s="308">
        <v>1.1779999999999999</v>
      </c>
      <c r="H247" s="309">
        <v>9000</v>
      </c>
      <c r="I247" s="309">
        <v>10602</v>
      </c>
      <c r="J247" s="211"/>
      <c r="K247" s="212" t="str">
        <f>IF(OR(J247="",G247=J247),"","*")</f>
        <v/>
      </c>
      <c r="L247" s="338" t="str">
        <f>IF($A247&lt;=L$1,I247/I$4,"")</f>
        <v/>
      </c>
      <c r="M247" s="343"/>
      <c r="N247" s="344"/>
      <c r="O247" s="310">
        <v>0</v>
      </c>
      <c r="P247" s="311">
        <v>0</v>
      </c>
      <c r="Q247" s="311">
        <v>0</v>
      </c>
      <c r="R247" s="211">
        <v>0</v>
      </c>
      <c r="S247" s="212"/>
      <c r="T247" s="213" t="e">
        <v>#DIV/0!</v>
      </c>
      <c r="U247" s="214"/>
      <c r="V247" s="215"/>
      <c r="W247" s="310">
        <v>0</v>
      </c>
      <c r="X247" s="311">
        <v>0</v>
      </c>
      <c r="Y247" s="311">
        <v>0</v>
      </c>
      <c r="Z247" s="211">
        <v>0</v>
      </c>
      <c r="AA247" s="212"/>
      <c r="AB247" s="213" t="e">
        <v>#DIV/0!</v>
      </c>
      <c r="AC247" s="214"/>
      <c r="AD247" s="215"/>
      <c r="AE247" s="342"/>
      <c r="AF247" s="341" t="s">
        <v>483</v>
      </c>
    </row>
    <row r="248" spans="1:32">
      <c r="A248" s="307">
        <v>5</v>
      </c>
      <c r="B248" s="342"/>
      <c r="C248" s="342" t="s">
        <v>176</v>
      </c>
      <c r="D248" s="340" t="s">
        <v>461</v>
      </c>
      <c r="E248" s="342"/>
      <c r="F248" s="345" t="s">
        <v>220</v>
      </c>
      <c r="G248" s="308">
        <v>2.899</v>
      </c>
      <c r="H248" s="309">
        <v>26800</v>
      </c>
      <c r="I248" s="309">
        <v>77693</v>
      </c>
      <c r="J248" s="211"/>
      <c r="K248" s="212" t="str">
        <f>IF(OR(J248="",G248=J248),"","*")</f>
        <v/>
      </c>
      <c r="L248" s="338" t="str">
        <f>IF($A248&lt;=L$1,I248/I$4,"")</f>
        <v/>
      </c>
      <c r="M248" s="343"/>
      <c r="N248" s="344"/>
      <c r="O248" s="310">
        <v>0</v>
      </c>
      <c r="P248" s="311">
        <v>0</v>
      </c>
      <c r="Q248" s="311">
        <v>0</v>
      </c>
      <c r="R248" s="211">
        <v>0</v>
      </c>
      <c r="S248" s="212"/>
      <c r="T248" s="213" t="e">
        <v>#DIV/0!</v>
      </c>
      <c r="U248" s="214"/>
      <c r="V248" s="215"/>
      <c r="W248" s="310">
        <v>0</v>
      </c>
      <c r="X248" s="311">
        <v>0</v>
      </c>
      <c r="Y248" s="311">
        <v>0</v>
      </c>
      <c r="Z248" s="211">
        <v>0</v>
      </c>
      <c r="AA248" s="212"/>
      <c r="AB248" s="213" t="e">
        <v>#DIV/0!</v>
      </c>
      <c r="AC248" s="214"/>
      <c r="AD248" s="215"/>
      <c r="AE248" s="342"/>
      <c r="AF248" s="341" t="s">
        <v>260</v>
      </c>
    </row>
    <row r="249" spans="1:32">
      <c r="A249" s="307">
        <v>5</v>
      </c>
      <c r="B249" s="342"/>
      <c r="C249" s="342" t="s">
        <v>176</v>
      </c>
      <c r="D249" s="340" t="s">
        <v>484</v>
      </c>
      <c r="E249" s="342"/>
      <c r="F249" s="345" t="s">
        <v>220</v>
      </c>
      <c r="G249" s="308">
        <v>1.101</v>
      </c>
      <c r="H249" s="309">
        <v>29900</v>
      </c>
      <c r="I249" s="309">
        <v>32919</v>
      </c>
      <c r="J249" s="211"/>
      <c r="K249" s="212" t="str">
        <f>IF(OR(J249="",G249=J249),"","*")</f>
        <v/>
      </c>
      <c r="L249" s="338" t="str">
        <f>IF($A249&lt;=L$1,I249/I$4,"")</f>
        <v/>
      </c>
      <c r="M249" s="343"/>
      <c r="N249" s="344"/>
      <c r="O249" s="310">
        <v>0</v>
      </c>
      <c r="P249" s="311">
        <v>0</v>
      </c>
      <c r="Q249" s="311">
        <v>0</v>
      </c>
      <c r="R249" s="211">
        <v>0</v>
      </c>
      <c r="S249" s="212"/>
      <c r="T249" s="213" t="e">
        <v>#DIV/0!</v>
      </c>
      <c r="U249" s="214"/>
      <c r="V249" s="215"/>
      <c r="W249" s="310">
        <v>0</v>
      </c>
      <c r="X249" s="311">
        <v>0</v>
      </c>
      <c r="Y249" s="311">
        <v>0</v>
      </c>
      <c r="Z249" s="211">
        <v>0</v>
      </c>
      <c r="AA249" s="212"/>
      <c r="AB249" s="213" t="e">
        <v>#DIV/0!</v>
      </c>
      <c r="AC249" s="214"/>
      <c r="AD249" s="215"/>
      <c r="AE249" s="342"/>
      <c r="AF249" s="341" t="s">
        <v>259</v>
      </c>
    </row>
    <row r="250" spans="1:32">
      <c r="A250" s="307">
        <v>5</v>
      </c>
      <c r="B250" s="342"/>
      <c r="C250" s="342" t="s">
        <v>176</v>
      </c>
      <c r="D250" s="340" t="s">
        <v>472</v>
      </c>
      <c r="E250" s="342"/>
      <c r="F250" s="345" t="s">
        <v>220</v>
      </c>
      <c r="G250" s="308">
        <v>1</v>
      </c>
      <c r="H250" s="309">
        <v>30500</v>
      </c>
      <c r="I250" s="309">
        <v>30500</v>
      </c>
      <c r="J250" s="211"/>
      <c r="K250" s="212" t="str">
        <f>IF(OR(J250="",G250=J250),"","*")</f>
        <v/>
      </c>
      <c r="L250" s="338" t="str">
        <f>IF($A250&lt;=L$1,I250/I$4,"")</f>
        <v/>
      </c>
      <c r="M250" s="343"/>
      <c r="N250" s="344"/>
      <c r="O250" s="310">
        <v>0</v>
      </c>
      <c r="P250" s="311">
        <v>0</v>
      </c>
      <c r="Q250" s="311">
        <v>0</v>
      </c>
      <c r="R250" s="211">
        <v>0</v>
      </c>
      <c r="S250" s="212"/>
      <c r="T250" s="213" t="e">
        <v>#DIV/0!</v>
      </c>
      <c r="U250" s="214"/>
      <c r="V250" s="215"/>
      <c r="W250" s="310">
        <v>0</v>
      </c>
      <c r="X250" s="311">
        <v>0</v>
      </c>
      <c r="Y250" s="311">
        <v>0</v>
      </c>
      <c r="Z250" s="211">
        <v>0</v>
      </c>
      <c r="AA250" s="212"/>
      <c r="AB250" s="213" t="e">
        <v>#DIV/0!</v>
      </c>
      <c r="AC250" s="214"/>
      <c r="AD250" s="215"/>
      <c r="AE250" s="342"/>
      <c r="AF250" s="341" t="s">
        <v>473</v>
      </c>
    </row>
    <row r="251" spans="1:32">
      <c r="A251" s="307">
        <v>5</v>
      </c>
      <c r="B251" s="342"/>
      <c r="C251" s="342" t="s">
        <v>176</v>
      </c>
      <c r="D251" s="340" t="s">
        <v>485</v>
      </c>
      <c r="E251" s="342"/>
      <c r="F251" s="345" t="s">
        <v>220</v>
      </c>
      <c r="G251" s="308">
        <v>0.6</v>
      </c>
      <c r="H251" s="309">
        <v>32400</v>
      </c>
      <c r="I251" s="309">
        <v>19440</v>
      </c>
      <c r="J251" s="211"/>
      <c r="K251" s="212" t="str">
        <f>IF(OR(J251="",G251=J251),"","*")</f>
        <v/>
      </c>
      <c r="L251" s="338" t="str">
        <f>IF($A251&lt;=L$1,I251/I$4,"")</f>
        <v/>
      </c>
      <c r="M251" s="343"/>
      <c r="N251" s="344"/>
      <c r="O251" s="310">
        <v>0</v>
      </c>
      <c r="P251" s="311">
        <v>0</v>
      </c>
      <c r="Q251" s="311">
        <v>0</v>
      </c>
      <c r="R251" s="211">
        <v>0</v>
      </c>
      <c r="S251" s="212"/>
      <c r="T251" s="213" t="e">
        <v>#DIV/0!</v>
      </c>
      <c r="U251" s="214"/>
      <c r="V251" s="215"/>
      <c r="W251" s="310">
        <v>0</v>
      </c>
      <c r="X251" s="311">
        <v>0</v>
      </c>
      <c r="Y251" s="311">
        <v>0</v>
      </c>
      <c r="Z251" s="211">
        <v>0</v>
      </c>
      <c r="AA251" s="212"/>
      <c r="AB251" s="213" t="e">
        <v>#DIV/0!</v>
      </c>
      <c r="AC251" s="214"/>
      <c r="AD251" s="215"/>
      <c r="AE251" s="342"/>
      <c r="AF251" s="341" t="s">
        <v>486</v>
      </c>
    </row>
    <row r="252" spans="1:32">
      <c r="A252" s="307">
        <v>5</v>
      </c>
      <c r="B252" s="342"/>
      <c r="C252" s="342" t="s">
        <v>175</v>
      </c>
      <c r="D252" s="340" t="s">
        <v>401</v>
      </c>
      <c r="E252" s="342" t="s">
        <v>359</v>
      </c>
      <c r="F252" s="345" t="s">
        <v>167</v>
      </c>
      <c r="G252" s="308">
        <v>27.9</v>
      </c>
      <c r="H252" s="309">
        <v>1500</v>
      </c>
      <c r="I252" s="309">
        <v>41850</v>
      </c>
      <c r="J252" s="211"/>
      <c r="K252" s="212" t="str">
        <f>IF(OR(J252="",G252=J252),"","*")</f>
        <v/>
      </c>
      <c r="L252" s="338" t="str">
        <f>IF($A252&lt;=L$1,I252/I$4,"")</f>
        <v/>
      </c>
      <c r="M252" s="343"/>
      <c r="N252" s="344"/>
      <c r="O252" s="310">
        <v>0</v>
      </c>
      <c r="P252" s="311">
        <v>0</v>
      </c>
      <c r="Q252" s="311">
        <v>0</v>
      </c>
      <c r="R252" s="211">
        <v>0</v>
      </c>
      <c r="S252" s="212"/>
      <c r="T252" s="213" t="e">
        <v>#DIV/0!</v>
      </c>
      <c r="U252" s="214"/>
      <c r="V252" s="215"/>
      <c r="W252" s="310">
        <v>0</v>
      </c>
      <c r="X252" s="311">
        <v>0</v>
      </c>
      <c r="Y252" s="311">
        <v>0</v>
      </c>
      <c r="Z252" s="211">
        <v>0</v>
      </c>
      <c r="AA252" s="212"/>
      <c r="AB252" s="213" t="e">
        <v>#DIV/0!</v>
      </c>
      <c r="AC252" s="214"/>
      <c r="AD252" s="215"/>
      <c r="AE252" s="342"/>
      <c r="AF252" s="341" t="s">
        <v>487</v>
      </c>
    </row>
    <row r="253" spans="1:32">
      <c r="A253" s="307">
        <v>5</v>
      </c>
      <c r="B253" s="342"/>
      <c r="C253" s="342" t="s">
        <v>175</v>
      </c>
      <c r="D253" s="340" t="s">
        <v>474</v>
      </c>
      <c r="E253" s="342" t="s">
        <v>475</v>
      </c>
      <c r="F253" s="345" t="s">
        <v>223</v>
      </c>
      <c r="G253" s="308">
        <v>69.905000000000001</v>
      </c>
      <c r="H253" s="309">
        <v>139</v>
      </c>
      <c r="I253" s="309">
        <v>9716</v>
      </c>
      <c r="J253" s="211"/>
      <c r="K253" s="212" t="str">
        <f>IF(OR(J253="",G253=J253),"","*")</f>
        <v/>
      </c>
      <c r="L253" s="338" t="str">
        <f>IF($A253&lt;=L$1,I253/I$4,"")</f>
        <v/>
      </c>
      <c r="M253" s="343"/>
      <c r="N253" s="344"/>
      <c r="O253" s="310">
        <v>0</v>
      </c>
      <c r="P253" s="311">
        <v>0</v>
      </c>
      <c r="Q253" s="311">
        <v>0</v>
      </c>
      <c r="R253" s="211">
        <v>0</v>
      </c>
      <c r="S253" s="212"/>
      <c r="T253" s="213" t="e">
        <v>#DIV/0!</v>
      </c>
      <c r="U253" s="214"/>
      <c r="V253" s="215"/>
      <c r="W253" s="310">
        <v>0</v>
      </c>
      <c r="X253" s="311">
        <v>0</v>
      </c>
      <c r="Y253" s="311">
        <v>0</v>
      </c>
      <c r="Z253" s="211">
        <v>0</v>
      </c>
      <c r="AA253" s="212"/>
      <c r="AB253" s="213" t="e">
        <v>#DIV/0!</v>
      </c>
      <c r="AC253" s="214"/>
      <c r="AD253" s="215"/>
      <c r="AE253" s="342"/>
      <c r="AF253" s="341" t="s">
        <v>476</v>
      </c>
    </row>
    <row r="254" spans="1:32">
      <c r="A254" s="307">
        <v>5</v>
      </c>
      <c r="B254" s="342"/>
      <c r="C254" s="342"/>
      <c r="D254" s="340" t="s">
        <v>477</v>
      </c>
      <c r="E254" s="342"/>
      <c r="F254" s="345" t="s">
        <v>169</v>
      </c>
      <c r="G254" s="308">
        <v>0.155</v>
      </c>
      <c r="H254" s="309">
        <v>7748</v>
      </c>
      <c r="I254" s="309">
        <v>1200</v>
      </c>
      <c r="J254" s="211"/>
      <c r="K254" s="212" t="str">
        <f>IF(OR(J254="",G254=J254),"","*")</f>
        <v/>
      </c>
      <c r="L254" s="338" t="str">
        <f>IF($A254&lt;=L$1,I254/I$4,"")</f>
        <v/>
      </c>
      <c r="M254" s="343"/>
      <c r="N254" s="344"/>
      <c r="O254" s="310">
        <v>0</v>
      </c>
      <c r="P254" s="311">
        <v>0</v>
      </c>
      <c r="Q254" s="311">
        <v>0</v>
      </c>
      <c r="R254" s="211">
        <v>0</v>
      </c>
      <c r="S254" s="212"/>
      <c r="T254" s="213" t="e">
        <v>#DIV/0!</v>
      </c>
      <c r="U254" s="214"/>
      <c r="V254" s="215"/>
      <c r="W254" s="310">
        <v>0</v>
      </c>
      <c r="X254" s="311">
        <v>0</v>
      </c>
      <c r="Y254" s="311">
        <v>0</v>
      </c>
      <c r="Z254" s="211">
        <v>0</v>
      </c>
      <c r="AA254" s="212"/>
      <c r="AB254" s="213" t="e">
        <v>#DIV/0!</v>
      </c>
      <c r="AC254" s="214"/>
      <c r="AD254" s="215"/>
      <c r="AE254" s="342"/>
      <c r="AF254" s="341"/>
    </row>
    <row r="255" spans="1:32">
      <c r="A255" s="307">
        <v>3</v>
      </c>
      <c r="B255" s="342"/>
      <c r="C255" s="342" t="s">
        <v>207</v>
      </c>
      <c r="D255" s="340" t="s">
        <v>488</v>
      </c>
      <c r="E255" s="342"/>
      <c r="F255" s="345" t="s">
        <v>167</v>
      </c>
      <c r="G255" s="308">
        <v>1</v>
      </c>
      <c r="H255" s="309">
        <v>14841</v>
      </c>
      <c r="I255" s="309">
        <v>14841</v>
      </c>
      <c r="J255" s="211">
        <v>1</v>
      </c>
      <c r="K255" s="212" t="str">
        <f>IF(OR(J255="",G255=J255),"","*")</f>
        <v/>
      </c>
      <c r="L255" s="338">
        <f>IF($A255&lt;=L$1,I255/I$4,"")</f>
        <v>1.2162810042657115E-3</v>
      </c>
      <c r="M255" s="343"/>
      <c r="N255" s="344" t="s">
        <v>489</v>
      </c>
      <c r="O255" s="310">
        <v>0</v>
      </c>
      <c r="P255" s="311">
        <v>0</v>
      </c>
      <c r="Q255" s="311">
        <v>0</v>
      </c>
      <c r="R255" s="211">
        <v>0</v>
      </c>
      <c r="S255" s="212"/>
      <c r="T255" s="213" t="e">
        <v>#DIV/0!</v>
      </c>
      <c r="U255" s="214"/>
      <c r="V255" s="215"/>
      <c r="W255" s="310">
        <v>0</v>
      </c>
      <c r="X255" s="311">
        <v>0</v>
      </c>
      <c r="Y255" s="311">
        <v>0</v>
      </c>
      <c r="Z255" s="211">
        <v>0</v>
      </c>
      <c r="AA255" s="212"/>
      <c r="AB255" s="213" t="e">
        <v>#DIV/0!</v>
      </c>
      <c r="AC255" s="214"/>
      <c r="AD255" s="215"/>
      <c r="AE255" s="342"/>
      <c r="AF255" s="341"/>
    </row>
    <row r="256" spans="1:32">
      <c r="A256" s="307">
        <v>4</v>
      </c>
      <c r="B256" s="342"/>
      <c r="C256" s="342" t="s">
        <v>210</v>
      </c>
      <c r="D256" s="340" t="s">
        <v>490</v>
      </c>
      <c r="E256" s="342"/>
      <c r="F256" s="345" t="s">
        <v>167</v>
      </c>
      <c r="G256" s="308">
        <v>1</v>
      </c>
      <c r="H256" s="309">
        <v>14841</v>
      </c>
      <c r="I256" s="309">
        <v>14841</v>
      </c>
      <c r="J256" s="211">
        <v>38</v>
      </c>
      <c r="K256" s="212" t="str">
        <f>IF(OR(J256="",G256=J256),"","*")</f>
        <v>*</v>
      </c>
      <c r="L256" s="338" t="str">
        <f>IF($A256&lt;=L$1,I256/I$4,"")</f>
        <v/>
      </c>
      <c r="M256" s="343"/>
      <c r="N256" s="344" t="s">
        <v>491</v>
      </c>
      <c r="O256" s="310">
        <v>0</v>
      </c>
      <c r="P256" s="311">
        <v>0</v>
      </c>
      <c r="Q256" s="311">
        <v>0</v>
      </c>
      <c r="R256" s="211">
        <v>0</v>
      </c>
      <c r="S256" s="212"/>
      <c r="T256" s="213" t="e">
        <v>#DIV/0!</v>
      </c>
      <c r="U256" s="214"/>
      <c r="V256" s="215"/>
      <c r="W256" s="310">
        <v>0</v>
      </c>
      <c r="X256" s="311">
        <v>0</v>
      </c>
      <c r="Y256" s="311">
        <v>0</v>
      </c>
      <c r="Z256" s="211">
        <v>0</v>
      </c>
      <c r="AA256" s="212"/>
      <c r="AB256" s="213" t="e">
        <v>#DIV/0!</v>
      </c>
      <c r="AC256" s="214"/>
      <c r="AD256" s="215"/>
      <c r="AE256" s="342"/>
      <c r="AF256" s="341"/>
    </row>
    <row r="257" spans="1:32">
      <c r="A257" s="307">
        <v>5</v>
      </c>
      <c r="B257" s="342"/>
      <c r="C257" s="342" t="s">
        <v>175</v>
      </c>
      <c r="D257" s="340" t="s">
        <v>481</v>
      </c>
      <c r="E257" s="342" t="s">
        <v>482</v>
      </c>
      <c r="F257" s="345" t="s">
        <v>278</v>
      </c>
      <c r="G257" s="308">
        <v>1.1859999999999999</v>
      </c>
      <c r="H257" s="309">
        <v>9000</v>
      </c>
      <c r="I257" s="309">
        <v>10674</v>
      </c>
      <c r="J257" s="211"/>
      <c r="K257" s="212" t="str">
        <f>IF(OR(J257="",G257=J257),"","*")</f>
        <v/>
      </c>
      <c r="L257" s="338" t="str">
        <f>IF($A257&lt;=L$1,I257/I$4,"")</f>
        <v/>
      </c>
      <c r="M257" s="343"/>
      <c r="N257" s="344"/>
      <c r="O257" s="310">
        <v>0</v>
      </c>
      <c r="P257" s="311">
        <v>0</v>
      </c>
      <c r="Q257" s="311">
        <v>0</v>
      </c>
      <c r="R257" s="211">
        <v>0</v>
      </c>
      <c r="S257" s="212"/>
      <c r="T257" s="213" t="e">
        <v>#DIV/0!</v>
      </c>
      <c r="U257" s="214"/>
      <c r="V257" s="215"/>
      <c r="W257" s="310">
        <v>0</v>
      </c>
      <c r="X257" s="311">
        <v>0</v>
      </c>
      <c r="Y257" s="311">
        <v>0</v>
      </c>
      <c r="Z257" s="211">
        <v>0</v>
      </c>
      <c r="AA257" s="212"/>
      <c r="AB257" s="213" t="e">
        <v>#DIV/0!</v>
      </c>
      <c r="AC257" s="214"/>
      <c r="AD257" s="215"/>
      <c r="AE257" s="342"/>
      <c r="AF257" s="341" t="s">
        <v>483</v>
      </c>
    </row>
    <row r="258" spans="1:32">
      <c r="A258" s="307">
        <v>5</v>
      </c>
      <c r="B258" s="342"/>
      <c r="C258" s="342" t="s">
        <v>176</v>
      </c>
      <c r="D258" s="340" t="s">
        <v>461</v>
      </c>
      <c r="E258" s="342"/>
      <c r="F258" s="345" t="s">
        <v>220</v>
      </c>
      <c r="G258" s="308">
        <v>3.302</v>
      </c>
      <c r="H258" s="309">
        <v>26800</v>
      </c>
      <c r="I258" s="309">
        <v>88493</v>
      </c>
      <c r="J258" s="211"/>
      <c r="K258" s="212" t="str">
        <f>IF(OR(J258="",G258=J258),"","*")</f>
        <v/>
      </c>
      <c r="L258" s="338" t="str">
        <f>IF($A258&lt;=L$1,I258/I$4,"")</f>
        <v/>
      </c>
      <c r="M258" s="343"/>
      <c r="N258" s="344"/>
      <c r="O258" s="310">
        <v>0</v>
      </c>
      <c r="P258" s="311">
        <v>0</v>
      </c>
      <c r="Q258" s="311">
        <v>0</v>
      </c>
      <c r="R258" s="211">
        <v>0</v>
      </c>
      <c r="S258" s="212"/>
      <c r="T258" s="213" t="e">
        <v>#DIV/0!</v>
      </c>
      <c r="U258" s="214"/>
      <c r="V258" s="215"/>
      <c r="W258" s="310">
        <v>0</v>
      </c>
      <c r="X258" s="311">
        <v>0</v>
      </c>
      <c r="Y258" s="311">
        <v>0</v>
      </c>
      <c r="Z258" s="211">
        <v>0</v>
      </c>
      <c r="AA258" s="212"/>
      <c r="AB258" s="213" t="e">
        <v>#DIV/0!</v>
      </c>
      <c r="AC258" s="214"/>
      <c r="AD258" s="215"/>
      <c r="AE258" s="342"/>
      <c r="AF258" s="341" t="s">
        <v>260</v>
      </c>
    </row>
    <row r="259" spans="1:32">
      <c r="A259" s="307">
        <v>5</v>
      </c>
      <c r="B259" s="342"/>
      <c r="C259" s="342" t="s">
        <v>176</v>
      </c>
      <c r="D259" s="340" t="s">
        <v>484</v>
      </c>
      <c r="E259" s="342"/>
      <c r="F259" s="345" t="s">
        <v>220</v>
      </c>
      <c r="G259" s="308">
        <v>1.3</v>
      </c>
      <c r="H259" s="309">
        <v>29900</v>
      </c>
      <c r="I259" s="309">
        <v>38870</v>
      </c>
      <c r="J259" s="211"/>
      <c r="K259" s="212" t="str">
        <f>IF(OR(J259="",G259=J259),"","*")</f>
        <v/>
      </c>
      <c r="L259" s="338" t="str">
        <f>IF($A259&lt;=L$1,I259/I$4,"")</f>
        <v/>
      </c>
      <c r="M259" s="343"/>
      <c r="N259" s="344"/>
      <c r="O259" s="310">
        <v>0</v>
      </c>
      <c r="P259" s="311">
        <v>0</v>
      </c>
      <c r="Q259" s="311">
        <v>0</v>
      </c>
      <c r="R259" s="211">
        <v>0</v>
      </c>
      <c r="S259" s="212"/>
      <c r="T259" s="213" t="e">
        <v>#DIV/0!</v>
      </c>
      <c r="U259" s="214"/>
      <c r="V259" s="215"/>
      <c r="W259" s="310">
        <v>0</v>
      </c>
      <c r="X259" s="311">
        <v>0</v>
      </c>
      <c r="Y259" s="311">
        <v>0</v>
      </c>
      <c r="Z259" s="211">
        <v>0</v>
      </c>
      <c r="AA259" s="212"/>
      <c r="AB259" s="213" t="e">
        <v>#DIV/0!</v>
      </c>
      <c r="AC259" s="214"/>
      <c r="AD259" s="215"/>
      <c r="AE259" s="342"/>
      <c r="AF259" s="341" t="s">
        <v>259</v>
      </c>
    </row>
    <row r="260" spans="1:32">
      <c r="A260" s="307">
        <v>5</v>
      </c>
      <c r="B260" s="342"/>
      <c r="C260" s="342" t="s">
        <v>176</v>
      </c>
      <c r="D260" s="340" t="s">
        <v>472</v>
      </c>
      <c r="E260" s="342"/>
      <c r="F260" s="345" t="s">
        <v>220</v>
      </c>
      <c r="G260" s="308">
        <v>0.999</v>
      </c>
      <c r="H260" s="309">
        <v>30500</v>
      </c>
      <c r="I260" s="309">
        <v>30469</v>
      </c>
      <c r="J260" s="211"/>
      <c r="K260" s="212" t="str">
        <f>IF(OR(J260="",G260=J260),"","*")</f>
        <v/>
      </c>
      <c r="L260" s="338" t="str">
        <f>IF($A260&lt;=L$1,I260/I$4,"")</f>
        <v/>
      </c>
      <c r="M260" s="343"/>
      <c r="N260" s="344"/>
      <c r="O260" s="310">
        <v>0</v>
      </c>
      <c r="P260" s="311">
        <v>0</v>
      </c>
      <c r="Q260" s="311">
        <v>0</v>
      </c>
      <c r="R260" s="211">
        <v>0</v>
      </c>
      <c r="S260" s="212"/>
      <c r="T260" s="213" t="e">
        <v>#DIV/0!</v>
      </c>
      <c r="U260" s="214"/>
      <c r="V260" s="215"/>
      <c r="W260" s="310">
        <v>0</v>
      </c>
      <c r="X260" s="311">
        <v>0</v>
      </c>
      <c r="Y260" s="311">
        <v>0</v>
      </c>
      <c r="Z260" s="211">
        <v>0</v>
      </c>
      <c r="AA260" s="212"/>
      <c r="AB260" s="213" t="e">
        <v>#DIV/0!</v>
      </c>
      <c r="AC260" s="214"/>
      <c r="AD260" s="215"/>
      <c r="AE260" s="342"/>
      <c r="AF260" s="341" t="s">
        <v>473</v>
      </c>
    </row>
    <row r="261" spans="1:32">
      <c r="A261" s="307">
        <v>5</v>
      </c>
      <c r="B261" s="342"/>
      <c r="C261" s="342" t="s">
        <v>176</v>
      </c>
      <c r="D261" s="340" t="s">
        <v>485</v>
      </c>
      <c r="E261" s="342"/>
      <c r="F261" s="345" t="s">
        <v>220</v>
      </c>
      <c r="G261" s="308">
        <v>0.69899999999999995</v>
      </c>
      <c r="H261" s="309">
        <v>32400</v>
      </c>
      <c r="I261" s="309">
        <v>22647</v>
      </c>
      <c r="J261" s="211"/>
      <c r="K261" s="212" t="str">
        <f>IF(OR(J261="",G261=J261),"","*")</f>
        <v/>
      </c>
      <c r="L261" s="338" t="str">
        <f>IF($A261&lt;=L$1,I261/I$4,"")</f>
        <v/>
      </c>
      <c r="M261" s="343"/>
      <c r="N261" s="344"/>
      <c r="O261" s="310">
        <v>0</v>
      </c>
      <c r="P261" s="311">
        <v>0</v>
      </c>
      <c r="Q261" s="311">
        <v>0</v>
      </c>
      <c r="R261" s="211">
        <v>0</v>
      </c>
      <c r="S261" s="212"/>
      <c r="T261" s="213" t="e">
        <v>#DIV/0!</v>
      </c>
      <c r="U261" s="214"/>
      <c r="V261" s="215"/>
      <c r="W261" s="310">
        <v>0</v>
      </c>
      <c r="X261" s="311">
        <v>0</v>
      </c>
      <c r="Y261" s="311">
        <v>0</v>
      </c>
      <c r="Z261" s="211">
        <v>0</v>
      </c>
      <c r="AA261" s="212"/>
      <c r="AB261" s="213" t="e">
        <v>#DIV/0!</v>
      </c>
      <c r="AC261" s="214"/>
      <c r="AD261" s="215"/>
      <c r="AE261" s="342"/>
      <c r="AF261" s="341" t="s">
        <v>486</v>
      </c>
    </row>
    <row r="262" spans="1:32">
      <c r="A262" s="307">
        <v>5</v>
      </c>
      <c r="B262" s="342"/>
      <c r="C262" s="342" t="s">
        <v>175</v>
      </c>
      <c r="D262" s="340" t="s">
        <v>492</v>
      </c>
      <c r="E262" s="342"/>
      <c r="F262" s="345" t="s">
        <v>167</v>
      </c>
      <c r="G262" s="308">
        <v>45.6</v>
      </c>
      <c r="H262" s="309">
        <v>7900</v>
      </c>
      <c r="I262" s="309">
        <v>360240</v>
      </c>
      <c r="J262" s="211"/>
      <c r="K262" s="212" t="str">
        <f>IF(OR(J262="",G262=J262),"","*")</f>
        <v/>
      </c>
      <c r="L262" s="338" t="str">
        <f>IF($A262&lt;=L$1,I262/I$4,"")</f>
        <v/>
      </c>
      <c r="M262" s="343"/>
      <c r="N262" s="344"/>
      <c r="O262" s="310">
        <v>0</v>
      </c>
      <c r="P262" s="311">
        <v>0</v>
      </c>
      <c r="Q262" s="311">
        <v>0</v>
      </c>
      <c r="R262" s="211">
        <v>0</v>
      </c>
      <c r="S262" s="212"/>
      <c r="T262" s="213" t="e">
        <v>#DIV/0!</v>
      </c>
      <c r="U262" s="214"/>
      <c r="V262" s="215"/>
      <c r="W262" s="310">
        <v>0</v>
      </c>
      <c r="X262" s="311">
        <v>0</v>
      </c>
      <c r="Y262" s="311">
        <v>0</v>
      </c>
      <c r="Z262" s="211">
        <v>0</v>
      </c>
      <c r="AA262" s="212"/>
      <c r="AB262" s="213" t="e">
        <v>#DIV/0!</v>
      </c>
      <c r="AC262" s="214"/>
      <c r="AD262" s="215"/>
      <c r="AE262" s="342" t="s">
        <v>493</v>
      </c>
      <c r="AF262" s="341" t="s">
        <v>494</v>
      </c>
    </row>
    <row r="263" spans="1:32">
      <c r="A263" s="307">
        <v>5</v>
      </c>
      <c r="B263" s="342"/>
      <c r="C263" s="342" t="s">
        <v>175</v>
      </c>
      <c r="D263" s="340" t="s">
        <v>474</v>
      </c>
      <c r="E263" s="342" t="s">
        <v>475</v>
      </c>
      <c r="F263" s="345" t="s">
        <v>223</v>
      </c>
      <c r="G263" s="308">
        <v>81.7</v>
      </c>
      <c r="H263" s="309">
        <v>139</v>
      </c>
      <c r="I263" s="309">
        <v>11356</v>
      </c>
      <c r="J263" s="211"/>
      <c r="K263" s="212" t="str">
        <f>IF(OR(J263="",G263=J263),"","*")</f>
        <v/>
      </c>
      <c r="L263" s="338" t="str">
        <f>IF($A263&lt;=L$1,I263/I$4,"")</f>
        <v/>
      </c>
      <c r="M263" s="343"/>
      <c r="N263" s="344"/>
      <c r="O263" s="310">
        <v>0</v>
      </c>
      <c r="P263" s="311">
        <v>0</v>
      </c>
      <c r="Q263" s="311">
        <v>0</v>
      </c>
      <c r="R263" s="211">
        <v>0</v>
      </c>
      <c r="S263" s="212"/>
      <c r="T263" s="213" t="e">
        <v>#DIV/0!</v>
      </c>
      <c r="U263" s="214"/>
      <c r="V263" s="215"/>
      <c r="W263" s="310">
        <v>0</v>
      </c>
      <c r="X263" s="311">
        <v>0</v>
      </c>
      <c r="Y263" s="311">
        <v>0</v>
      </c>
      <c r="Z263" s="211">
        <v>0</v>
      </c>
      <c r="AA263" s="212"/>
      <c r="AB263" s="213" t="e">
        <v>#DIV/0!</v>
      </c>
      <c r="AC263" s="214"/>
      <c r="AD263" s="215"/>
      <c r="AE263" s="342"/>
      <c r="AF263" s="341" t="s">
        <v>476</v>
      </c>
    </row>
    <row r="264" spans="1:32">
      <c r="A264" s="307">
        <v>5</v>
      </c>
      <c r="B264" s="342"/>
      <c r="C264" s="342"/>
      <c r="D264" s="340" t="s">
        <v>477</v>
      </c>
      <c r="E264" s="342"/>
      <c r="F264" s="345" t="s">
        <v>169</v>
      </c>
      <c r="G264" s="308">
        <v>3.7999999999999999E-2</v>
      </c>
      <c r="H264" s="309">
        <v>32540</v>
      </c>
      <c r="I264" s="309">
        <v>1236</v>
      </c>
      <c r="J264" s="211"/>
      <c r="K264" s="212" t="str">
        <f>IF(OR(J264="",G264=J264),"","*")</f>
        <v/>
      </c>
      <c r="L264" s="338" t="str">
        <f>IF($A264&lt;=L$1,I264/I$4,"")</f>
        <v/>
      </c>
      <c r="M264" s="343"/>
      <c r="N264" s="344"/>
      <c r="O264" s="310">
        <v>0</v>
      </c>
      <c r="P264" s="311">
        <v>0</v>
      </c>
      <c r="Q264" s="311">
        <v>0</v>
      </c>
      <c r="R264" s="211">
        <v>0</v>
      </c>
      <c r="S264" s="212"/>
      <c r="T264" s="213" t="e">
        <v>#DIV/0!</v>
      </c>
      <c r="U264" s="214"/>
      <c r="V264" s="215"/>
      <c r="W264" s="310">
        <v>0</v>
      </c>
      <c r="X264" s="311">
        <v>0</v>
      </c>
      <c r="Y264" s="311">
        <v>0</v>
      </c>
      <c r="Z264" s="211">
        <v>0</v>
      </c>
      <c r="AA264" s="212"/>
      <c r="AB264" s="213" t="e">
        <v>#DIV/0!</v>
      </c>
      <c r="AC264" s="214"/>
      <c r="AD264" s="215"/>
      <c r="AE264" s="342"/>
      <c r="AF264" s="341"/>
    </row>
    <row r="265" spans="1:32">
      <c r="A265" s="307">
        <v>3</v>
      </c>
      <c r="B265" s="342"/>
      <c r="C265" s="342" t="s">
        <v>207</v>
      </c>
      <c r="D265" s="340" t="s">
        <v>495</v>
      </c>
      <c r="E265" s="342"/>
      <c r="F265" s="345" t="s">
        <v>167</v>
      </c>
      <c r="G265" s="308">
        <v>1</v>
      </c>
      <c r="H265" s="309">
        <v>40348</v>
      </c>
      <c r="I265" s="309">
        <v>40348</v>
      </c>
      <c r="J265" s="211">
        <v>8</v>
      </c>
      <c r="K265" s="212" t="str">
        <f>IF(OR(J265="",G265=J265),"","*")</f>
        <v>*</v>
      </c>
      <c r="L265" s="338">
        <f>IF($A265&lt;=L$1,I265/I$4,"")</f>
        <v>3.3066845872995708E-3</v>
      </c>
      <c r="M265" s="343"/>
      <c r="N265" s="344" t="s">
        <v>496</v>
      </c>
      <c r="O265" s="310">
        <v>0</v>
      </c>
      <c r="P265" s="311">
        <v>0</v>
      </c>
      <c r="Q265" s="311">
        <v>0</v>
      </c>
      <c r="R265" s="211">
        <v>0</v>
      </c>
      <c r="S265" s="212"/>
      <c r="T265" s="213" t="e">
        <v>#DIV/0!</v>
      </c>
      <c r="U265" s="214"/>
      <c r="V265" s="215"/>
      <c r="W265" s="310">
        <v>0</v>
      </c>
      <c r="X265" s="311">
        <v>0</v>
      </c>
      <c r="Y265" s="311">
        <v>0</v>
      </c>
      <c r="Z265" s="211">
        <v>0</v>
      </c>
      <c r="AA265" s="212"/>
      <c r="AB265" s="213" t="e">
        <v>#DIV/0!</v>
      </c>
      <c r="AC265" s="214"/>
      <c r="AD265" s="215"/>
      <c r="AE265" s="342"/>
      <c r="AF265" s="341"/>
    </row>
    <row r="266" spans="1:32">
      <c r="A266" s="307">
        <v>4</v>
      </c>
      <c r="B266" s="342"/>
      <c r="C266" s="342" t="s">
        <v>210</v>
      </c>
      <c r="D266" s="340" t="s">
        <v>497</v>
      </c>
      <c r="E266" s="342"/>
      <c r="F266" s="345" t="s">
        <v>167</v>
      </c>
      <c r="G266" s="308">
        <v>8</v>
      </c>
      <c r="H266" s="309">
        <v>40348</v>
      </c>
      <c r="I266" s="309">
        <v>322784</v>
      </c>
      <c r="J266" s="211">
        <v>8</v>
      </c>
      <c r="K266" s="212" t="str">
        <f>IF(OR(J266="",G266=J266),"","*")</f>
        <v/>
      </c>
      <c r="L266" s="338" t="str">
        <f>IF($A266&lt;=L$1,I266/I$4,"")</f>
        <v/>
      </c>
      <c r="M266" s="343"/>
      <c r="N266" s="344" t="s">
        <v>498</v>
      </c>
      <c r="O266" s="310">
        <v>0</v>
      </c>
      <c r="P266" s="311">
        <v>0</v>
      </c>
      <c r="Q266" s="311">
        <v>0</v>
      </c>
      <c r="R266" s="211">
        <v>0</v>
      </c>
      <c r="S266" s="212"/>
      <c r="T266" s="213" t="e">
        <v>#DIV/0!</v>
      </c>
      <c r="U266" s="214"/>
      <c r="V266" s="215"/>
      <c r="W266" s="310">
        <v>0</v>
      </c>
      <c r="X266" s="311">
        <v>0</v>
      </c>
      <c r="Y266" s="311">
        <v>0</v>
      </c>
      <c r="Z266" s="211">
        <v>0</v>
      </c>
      <c r="AA266" s="212"/>
      <c r="AB266" s="213" t="e">
        <v>#DIV/0!</v>
      </c>
      <c r="AC266" s="214"/>
      <c r="AD266" s="215"/>
      <c r="AE266" s="342"/>
      <c r="AF266" s="341"/>
    </row>
    <row r="267" spans="1:32">
      <c r="A267" s="307">
        <v>5</v>
      </c>
      <c r="B267" s="342"/>
      <c r="C267" s="342" t="s">
        <v>175</v>
      </c>
      <c r="D267" s="340" t="s">
        <v>481</v>
      </c>
      <c r="E267" s="342" t="s">
        <v>499</v>
      </c>
      <c r="F267" s="345" t="s">
        <v>278</v>
      </c>
      <c r="G267" s="308">
        <v>0.98399999999999999</v>
      </c>
      <c r="H267" s="309">
        <v>10000</v>
      </c>
      <c r="I267" s="309">
        <v>9840</v>
      </c>
      <c r="J267" s="211"/>
      <c r="K267" s="212" t="str">
        <f>IF(OR(J267="",G267=J267),"","*")</f>
        <v/>
      </c>
      <c r="L267" s="338" t="str">
        <f>IF($A267&lt;=L$1,I267/I$4,"")</f>
        <v/>
      </c>
      <c r="M267" s="343"/>
      <c r="N267" s="344"/>
      <c r="O267" s="310">
        <v>0</v>
      </c>
      <c r="P267" s="311">
        <v>0</v>
      </c>
      <c r="Q267" s="311">
        <v>0</v>
      </c>
      <c r="R267" s="211">
        <v>0</v>
      </c>
      <c r="S267" s="212"/>
      <c r="T267" s="213" t="e">
        <v>#DIV/0!</v>
      </c>
      <c r="U267" s="214"/>
      <c r="V267" s="215"/>
      <c r="W267" s="310">
        <v>0</v>
      </c>
      <c r="X267" s="311">
        <v>0</v>
      </c>
      <c r="Y267" s="311">
        <v>0</v>
      </c>
      <c r="Z267" s="211">
        <v>0</v>
      </c>
      <c r="AA267" s="212"/>
      <c r="AB267" s="213" t="e">
        <v>#DIV/0!</v>
      </c>
      <c r="AC267" s="214"/>
      <c r="AD267" s="215"/>
      <c r="AE267" s="342"/>
      <c r="AF267" s="341" t="s">
        <v>500</v>
      </c>
    </row>
    <row r="268" spans="1:32">
      <c r="A268" s="307">
        <v>5</v>
      </c>
      <c r="B268" s="342"/>
      <c r="C268" s="342" t="s">
        <v>176</v>
      </c>
      <c r="D268" s="340" t="s">
        <v>484</v>
      </c>
      <c r="E268" s="342"/>
      <c r="F268" s="345" t="s">
        <v>220</v>
      </c>
      <c r="G268" s="308">
        <v>1.04</v>
      </c>
      <c r="H268" s="309">
        <v>29900</v>
      </c>
      <c r="I268" s="309">
        <v>31096</v>
      </c>
      <c r="J268" s="211"/>
      <c r="K268" s="212" t="str">
        <f>IF(OR(J268="",G268=J268),"","*")</f>
        <v/>
      </c>
      <c r="L268" s="338" t="str">
        <f>IF($A268&lt;=L$1,I268/I$4,"")</f>
        <v/>
      </c>
      <c r="M268" s="343"/>
      <c r="N268" s="344"/>
      <c r="O268" s="310">
        <v>0</v>
      </c>
      <c r="P268" s="311">
        <v>0</v>
      </c>
      <c r="Q268" s="311">
        <v>0</v>
      </c>
      <c r="R268" s="211">
        <v>0</v>
      </c>
      <c r="S268" s="212"/>
      <c r="T268" s="213" t="e">
        <v>#DIV/0!</v>
      </c>
      <c r="U268" s="214"/>
      <c r="V268" s="215"/>
      <c r="W268" s="310">
        <v>0</v>
      </c>
      <c r="X268" s="311">
        <v>0</v>
      </c>
      <c r="Y268" s="311">
        <v>0</v>
      </c>
      <c r="Z268" s="211">
        <v>0</v>
      </c>
      <c r="AA268" s="212"/>
      <c r="AB268" s="213" t="e">
        <v>#DIV/0!</v>
      </c>
      <c r="AC268" s="214"/>
      <c r="AD268" s="215"/>
      <c r="AE268" s="342"/>
      <c r="AF268" s="341" t="s">
        <v>259</v>
      </c>
    </row>
    <row r="269" spans="1:32">
      <c r="A269" s="307">
        <v>5</v>
      </c>
      <c r="B269" s="342"/>
      <c r="C269" s="342" t="s">
        <v>176</v>
      </c>
      <c r="D269" s="340" t="s">
        <v>461</v>
      </c>
      <c r="E269" s="342"/>
      <c r="F269" s="345" t="s">
        <v>220</v>
      </c>
      <c r="G269" s="308">
        <v>1.08</v>
      </c>
      <c r="H269" s="309">
        <v>26800</v>
      </c>
      <c r="I269" s="309">
        <v>28944</v>
      </c>
      <c r="J269" s="211"/>
      <c r="K269" s="212" t="str">
        <f>IF(OR(J269="",G269=J269),"","*")</f>
        <v/>
      </c>
      <c r="L269" s="338" t="str">
        <f>IF($A269&lt;=L$1,I269/I$4,"")</f>
        <v/>
      </c>
      <c r="M269" s="343"/>
      <c r="N269" s="344"/>
      <c r="O269" s="310">
        <v>0</v>
      </c>
      <c r="P269" s="311">
        <v>0</v>
      </c>
      <c r="Q269" s="311">
        <v>0</v>
      </c>
      <c r="R269" s="211">
        <v>0</v>
      </c>
      <c r="S269" s="212"/>
      <c r="T269" s="213" t="e">
        <v>#DIV/0!</v>
      </c>
      <c r="U269" s="214"/>
      <c r="V269" s="215"/>
      <c r="W269" s="310">
        <v>0</v>
      </c>
      <c r="X269" s="311">
        <v>0</v>
      </c>
      <c r="Y269" s="311">
        <v>0</v>
      </c>
      <c r="Z269" s="211">
        <v>0</v>
      </c>
      <c r="AA269" s="212"/>
      <c r="AB269" s="213" t="e">
        <v>#DIV/0!</v>
      </c>
      <c r="AC269" s="214"/>
      <c r="AD269" s="215"/>
      <c r="AE269" s="342"/>
      <c r="AF269" s="341" t="s">
        <v>260</v>
      </c>
    </row>
    <row r="270" spans="1:32">
      <c r="A270" s="307">
        <v>5</v>
      </c>
      <c r="B270" s="342"/>
      <c r="C270" s="342" t="s">
        <v>176</v>
      </c>
      <c r="D270" s="340" t="s">
        <v>485</v>
      </c>
      <c r="E270" s="342"/>
      <c r="F270" s="345" t="s">
        <v>220</v>
      </c>
      <c r="G270" s="308">
        <v>0.66400000000000003</v>
      </c>
      <c r="H270" s="309">
        <v>32400</v>
      </c>
      <c r="I270" s="309">
        <v>21513</v>
      </c>
      <c r="J270" s="211"/>
      <c r="K270" s="212" t="str">
        <f>IF(OR(J270="",G270=J270),"","*")</f>
        <v/>
      </c>
      <c r="L270" s="338" t="str">
        <f>IF($A270&lt;=L$1,I270/I$4,"")</f>
        <v/>
      </c>
      <c r="M270" s="343"/>
      <c r="N270" s="344"/>
      <c r="O270" s="310">
        <v>0</v>
      </c>
      <c r="P270" s="311">
        <v>0</v>
      </c>
      <c r="Q270" s="311">
        <v>0</v>
      </c>
      <c r="R270" s="211">
        <v>0</v>
      </c>
      <c r="S270" s="212"/>
      <c r="T270" s="213" t="e">
        <v>#DIV/0!</v>
      </c>
      <c r="U270" s="214"/>
      <c r="V270" s="215"/>
      <c r="W270" s="310">
        <v>0</v>
      </c>
      <c r="X270" s="311">
        <v>0</v>
      </c>
      <c r="Y270" s="311">
        <v>0</v>
      </c>
      <c r="Z270" s="211">
        <v>0</v>
      </c>
      <c r="AA270" s="212"/>
      <c r="AB270" s="213" t="e">
        <v>#DIV/0!</v>
      </c>
      <c r="AC270" s="214"/>
      <c r="AD270" s="215"/>
      <c r="AE270" s="342"/>
      <c r="AF270" s="341" t="s">
        <v>486</v>
      </c>
    </row>
    <row r="271" spans="1:32">
      <c r="A271" s="307">
        <v>5</v>
      </c>
      <c r="B271" s="342"/>
      <c r="C271" s="342" t="s">
        <v>176</v>
      </c>
      <c r="D271" s="340" t="s">
        <v>472</v>
      </c>
      <c r="E271" s="342"/>
      <c r="F271" s="345" t="s">
        <v>220</v>
      </c>
      <c r="G271" s="308">
        <v>0.64700000000000002</v>
      </c>
      <c r="H271" s="309">
        <v>30500</v>
      </c>
      <c r="I271" s="309">
        <v>19733</v>
      </c>
      <c r="J271" s="211"/>
      <c r="K271" s="212" t="str">
        <f>IF(OR(J271="",G271=J271),"","*")</f>
        <v/>
      </c>
      <c r="L271" s="338" t="str">
        <f>IF($A271&lt;=L$1,I271/I$4,"")</f>
        <v/>
      </c>
      <c r="M271" s="343"/>
      <c r="N271" s="344"/>
      <c r="O271" s="310">
        <v>0</v>
      </c>
      <c r="P271" s="311">
        <v>0</v>
      </c>
      <c r="Q271" s="311">
        <v>0</v>
      </c>
      <c r="R271" s="211">
        <v>0</v>
      </c>
      <c r="S271" s="212"/>
      <c r="T271" s="213" t="e">
        <v>#DIV/0!</v>
      </c>
      <c r="U271" s="214"/>
      <c r="V271" s="215"/>
      <c r="W271" s="310">
        <v>0</v>
      </c>
      <c r="X271" s="311">
        <v>0</v>
      </c>
      <c r="Y271" s="311">
        <v>0</v>
      </c>
      <c r="Z271" s="211">
        <v>0</v>
      </c>
      <c r="AA271" s="212"/>
      <c r="AB271" s="213" t="e">
        <v>#DIV/0!</v>
      </c>
      <c r="AC271" s="214"/>
      <c r="AD271" s="215"/>
      <c r="AE271" s="342"/>
      <c r="AF271" s="341" t="s">
        <v>473</v>
      </c>
    </row>
    <row r="272" spans="1:32">
      <c r="A272" s="307">
        <v>5</v>
      </c>
      <c r="B272" s="342"/>
      <c r="C272" s="342" t="s">
        <v>210</v>
      </c>
      <c r="D272" s="340" t="s">
        <v>501</v>
      </c>
      <c r="E272" s="342" t="s">
        <v>502</v>
      </c>
      <c r="F272" s="345" t="s">
        <v>167</v>
      </c>
      <c r="G272" s="308">
        <v>8.56</v>
      </c>
      <c r="H272" s="309">
        <v>23300</v>
      </c>
      <c r="I272" s="309">
        <v>199448</v>
      </c>
      <c r="J272" s="211">
        <v>1</v>
      </c>
      <c r="K272" s="212" t="str">
        <f>IF(OR(J272="",G272=J272),"","*")</f>
        <v>*</v>
      </c>
      <c r="L272" s="338" t="str">
        <f>IF($A272&lt;=L$1,I272/I$4,"")</f>
        <v/>
      </c>
      <c r="M272" s="343"/>
      <c r="N272" s="344" t="s">
        <v>503</v>
      </c>
      <c r="O272" s="310">
        <v>0</v>
      </c>
      <c r="P272" s="311">
        <v>0</v>
      </c>
      <c r="Q272" s="311">
        <v>0</v>
      </c>
      <c r="R272" s="211">
        <v>0</v>
      </c>
      <c r="S272" s="212"/>
      <c r="T272" s="213" t="e">
        <v>#DIV/0!</v>
      </c>
      <c r="U272" s="214"/>
      <c r="V272" s="215"/>
      <c r="W272" s="310">
        <v>0</v>
      </c>
      <c r="X272" s="311">
        <v>0</v>
      </c>
      <c r="Y272" s="311">
        <v>0</v>
      </c>
      <c r="Z272" s="211">
        <v>0</v>
      </c>
      <c r="AA272" s="212"/>
      <c r="AB272" s="213" t="e">
        <v>#DIV/0!</v>
      </c>
      <c r="AC272" s="214"/>
      <c r="AD272" s="215"/>
      <c r="AE272" s="342"/>
      <c r="AF272" s="341"/>
    </row>
    <row r="273" spans="1:32">
      <c r="A273" s="307">
        <v>6</v>
      </c>
      <c r="B273" s="342"/>
      <c r="C273" s="342" t="s">
        <v>175</v>
      </c>
      <c r="D273" s="340" t="s">
        <v>504</v>
      </c>
      <c r="E273" s="342" t="s">
        <v>505</v>
      </c>
      <c r="F273" s="345" t="s">
        <v>167</v>
      </c>
      <c r="G273" s="308">
        <v>1</v>
      </c>
      <c r="H273" s="309">
        <v>23300</v>
      </c>
      <c r="I273" s="309">
        <v>23300</v>
      </c>
      <c r="J273" s="211"/>
      <c r="K273" s="212" t="str">
        <f>IF(OR(J273="",G273=J273),"","*")</f>
        <v/>
      </c>
      <c r="L273" s="338" t="str">
        <f>IF($A273&lt;=L$1,I273/I$4,"")</f>
        <v/>
      </c>
      <c r="M273" s="343"/>
      <c r="N273" s="344"/>
      <c r="O273" s="310">
        <v>0</v>
      </c>
      <c r="P273" s="311">
        <v>0</v>
      </c>
      <c r="Q273" s="311">
        <v>0</v>
      </c>
      <c r="R273" s="211">
        <v>0</v>
      </c>
      <c r="S273" s="212"/>
      <c r="T273" s="213" t="e">
        <v>#DIV/0!</v>
      </c>
      <c r="U273" s="214"/>
      <c r="V273" s="215"/>
      <c r="W273" s="310">
        <v>0</v>
      </c>
      <c r="X273" s="311">
        <v>0</v>
      </c>
      <c r="Y273" s="311">
        <v>0</v>
      </c>
      <c r="Z273" s="211">
        <v>0</v>
      </c>
      <c r="AA273" s="212"/>
      <c r="AB273" s="213" t="e">
        <v>#DIV/0!</v>
      </c>
      <c r="AC273" s="214"/>
      <c r="AD273" s="215"/>
      <c r="AE273" s="342"/>
      <c r="AF273" s="341" t="s">
        <v>506</v>
      </c>
    </row>
    <row r="274" spans="1:32">
      <c r="A274" s="307">
        <v>6</v>
      </c>
      <c r="B274" s="342"/>
      <c r="C274" s="342" t="s">
        <v>175</v>
      </c>
      <c r="D274" s="340" t="s">
        <v>507</v>
      </c>
      <c r="E274" s="342"/>
      <c r="F274" s="345" t="s">
        <v>167</v>
      </c>
      <c r="G274" s="308">
        <v>1</v>
      </c>
      <c r="H274" s="309">
        <v>0</v>
      </c>
      <c r="I274" s="309">
        <v>0</v>
      </c>
      <c r="J274" s="211"/>
      <c r="K274" s="212" t="str">
        <f>IF(OR(J274="",G274=J274),"","*")</f>
        <v/>
      </c>
      <c r="L274" s="338" t="str">
        <f>IF($A274&lt;=L$1,I274/I$4,"")</f>
        <v/>
      </c>
      <c r="M274" s="343"/>
      <c r="N274" s="344"/>
      <c r="O274" s="310">
        <v>0</v>
      </c>
      <c r="P274" s="311">
        <v>0</v>
      </c>
      <c r="Q274" s="311">
        <v>0</v>
      </c>
      <c r="R274" s="211">
        <v>0</v>
      </c>
      <c r="S274" s="212"/>
      <c r="T274" s="213" t="e">
        <v>#DIV/0!</v>
      </c>
      <c r="U274" s="214"/>
      <c r="V274" s="215"/>
      <c r="W274" s="310">
        <v>0</v>
      </c>
      <c r="X274" s="311">
        <v>0</v>
      </c>
      <c r="Y274" s="311">
        <v>0</v>
      </c>
      <c r="Z274" s="211">
        <v>0</v>
      </c>
      <c r="AA274" s="212"/>
      <c r="AB274" s="213" t="e">
        <v>#DIV/0!</v>
      </c>
      <c r="AC274" s="214"/>
      <c r="AD274" s="215"/>
      <c r="AE274" s="342"/>
      <c r="AF274" s="341" t="s">
        <v>508</v>
      </c>
    </row>
    <row r="275" spans="1:32">
      <c r="A275" s="307">
        <v>5</v>
      </c>
      <c r="B275" s="342"/>
      <c r="C275" s="342" t="s">
        <v>175</v>
      </c>
      <c r="D275" s="340" t="s">
        <v>474</v>
      </c>
      <c r="E275" s="342" t="s">
        <v>475</v>
      </c>
      <c r="F275" s="345" t="s">
        <v>223</v>
      </c>
      <c r="G275" s="308">
        <v>34.96</v>
      </c>
      <c r="H275" s="309">
        <v>139</v>
      </c>
      <c r="I275" s="309">
        <v>4859</v>
      </c>
      <c r="J275" s="211"/>
      <c r="K275" s="212" t="str">
        <f>IF(OR(J275="",G275=J275),"","*")</f>
        <v/>
      </c>
      <c r="L275" s="338" t="str">
        <f>IF($A275&lt;=L$1,I275/I$4,"")</f>
        <v/>
      </c>
      <c r="M275" s="343"/>
      <c r="N275" s="344"/>
      <c r="O275" s="310">
        <v>0</v>
      </c>
      <c r="P275" s="311">
        <v>0</v>
      </c>
      <c r="Q275" s="311">
        <v>0</v>
      </c>
      <c r="R275" s="211">
        <v>0</v>
      </c>
      <c r="S275" s="212"/>
      <c r="T275" s="213" t="e">
        <v>#DIV/0!</v>
      </c>
      <c r="U275" s="214"/>
      <c r="V275" s="215"/>
      <c r="W275" s="310">
        <v>0</v>
      </c>
      <c r="X275" s="311">
        <v>0</v>
      </c>
      <c r="Y275" s="311">
        <v>0</v>
      </c>
      <c r="Z275" s="211">
        <v>0</v>
      </c>
      <c r="AA275" s="212"/>
      <c r="AB275" s="213" t="e">
        <v>#DIV/0!</v>
      </c>
      <c r="AC275" s="214"/>
      <c r="AD275" s="215"/>
      <c r="AE275" s="342"/>
      <c r="AF275" s="341" t="s">
        <v>476</v>
      </c>
    </row>
    <row r="276" spans="1:32">
      <c r="A276" s="307">
        <v>5</v>
      </c>
      <c r="B276" s="342"/>
      <c r="C276" s="342"/>
      <c r="D276" s="340" t="s">
        <v>477</v>
      </c>
      <c r="E276" s="342"/>
      <c r="F276" s="345" t="s">
        <v>169</v>
      </c>
      <c r="G276" s="308">
        <v>8.0000000000000002E-3</v>
      </c>
      <c r="H276" s="309">
        <v>918920</v>
      </c>
      <c r="I276" s="309">
        <v>7351</v>
      </c>
      <c r="J276" s="211"/>
      <c r="K276" s="212" t="str">
        <f>IF(OR(J276="",G276=J276),"","*")</f>
        <v/>
      </c>
      <c r="L276" s="338" t="str">
        <f>IF($A276&lt;=L$1,I276/I$4,"")</f>
        <v/>
      </c>
      <c r="M276" s="343"/>
      <c r="N276" s="344"/>
      <c r="O276" s="310">
        <v>0</v>
      </c>
      <c r="P276" s="311">
        <v>0</v>
      </c>
      <c r="Q276" s="311">
        <v>0</v>
      </c>
      <c r="R276" s="211">
        <v>0</v>
      </c>
      <c r="S276" s="212"/>
      <c r="T276" s="213" t="e">
        <v>#DIV/0!</v>
      </c>
      <c r="U276" s="214"/>
      <c r="V276" s="215"/>
      <c r="W276" s="310">
        <v>0</v>
      </c>
      <c r="X276" s="311">
        <v>0</v>
      </c>
      <c r="Y276" s="311">
        <v>0</v>
      </c>
      <c r="Z276" s="211">
        <v>0</v>
      </c>
      <c r="AA276" s="212"/>
      <c r="AB276" s="213" t="e">
        <v>#DIV/0!</v>
      </c>
      <c r="AC276" s="214"/>
      <c r="AD276" s="215"/>
      <c r="AE276" s="342"/>
      <c r="AF276" s="341"/>
    </row>
    <row r="277" spans="1:32">
      <c r="A277" s="307">
        <v>3</v>
      </c>
      <c r="B277" s="342"/>
      <c r="C277" s="342" t="s">
        <v>207</v>
      </c>
      <c r="D277" s="340" t="s">
        <v>509</v>
      </c>
      <c r="E277" s="342"/>
      <c r="F277" s="345" t="s">
        <v>164</v>
      </c>
      <c r="G277" s="308">
        <v>1</v>
      </c>
      <c r="H277" s="309">
        <v>3623</v>
      </c>
      <c r="I277" s="309">
        <v>3623</v>
      </c>
      <c r="J277" s="211">
        <v>1</v>
      </c>
      <c r="K277" s="212" t="str">
        <f>IF(OR(J277="",G277=J277),"","*")</f>
        <v/>
      </c>
      <c r="L277" s="338">
        <f>IF($A277&lt;=L$1,I277/I$4,"")</f>
        <v>2.96919754629383E-4</v>
      </c>
      <c r="M277" s="343"/>
      <c r="N277" s="344" t="s">
        <v>510</v>
      </c>
      <c r="O277" s="310">
        <v>0</v>
      </c>
      <c r="P277" s="311">
        <v>0</v>
      </c>
      <c r="Q277" s="311">
        <v>0</v>
      </c>
      <c r="R277" s="211">
        <v>0</v>
      </c>
      <c r="S277" s="212"/>
      <c r="T277" s="213" t="e">
        <v>#DIV/0!</v>
      </c>
      <c r="U277" s="214"/>
      <c r="V277" s="215"/>
      <c r="W277" s="310">
        <v>0</v>
      </c>
      <c r="X277" s="311">
        <v>0</v>
      </c>
      <c r="Y277" s="311">
        <v>0</v>
      </c>
      <c r="Z277" s="211">
        <v>0</v>
      </c>
      <c r="AA277" s="212"/>
      <c r="AB277" s="213" t="e">
        <v>#DIV/0!</v>
      </c>
      <c r="AC277" s="214"/>
      <c r="AD277" s="215"/>
      <c r="AE277" s="342"/>
      <c r="AF277" s="341"/>
    </row>
    <row r="278" spans="1:32">
      <c r="A278" s="307">
        <v>4</v>
      </c>
      <c r="B278" s="342"/>
      <c r="C278" s="342" t="s">
        <v>210</v>
      </c>
      <c r="D278" s="340" t="s">
        <v>511</v>
      </c>
      <c r="E278" s="342" t="s">
        <v>255</v>
      </c>
      <c r="F278" s="345" t="s">
        <v>164</v>
      </c>
      <c r="G278" s="308">
        <v>1</v>
      </c>
      <c r="H278" s="309">
        <v>3623</v>
      </c>
      <c r="I278" s="309">
        <v>3623</v>
      </c>
      <c r="J278" s="211">
        <v>36</v>
      </c>
      <c r="K278" s="212" t="str">
        <f>IF(OR(J278="",G278=J278),"","*")</f>
        <v>*</v>
      </c>
      <c r="L278" s="338" t="str">
        <f>IF($A278&lt;=L$1,I278/I$4,"")</f>
        <v/>
      </c>
      <c r="M278" s="343"/>
      <c r="N278" s="344" t="s">
        <v>512</v>
      </c>
      <c r="O278" s="310">
        <v>0</v>
      </c>
      <c r="P278" s="311">
        <v>0</v>
      </c>
      <c r="Q278" s="311">
        <v>0</v>
      </c>
      <c r="R278" s="211">
        <v>0</v>
      </c>
      <c r="S278" s="212"/>
      <c r="T278" s="213" t="e">
        <v>#DIV/0!</v>
      </c>
      <c r="U278" s="214"/>
      <c r="V278" s="215"/>
      <c r="W278" s="310">
        <v>0</v>
      </c>
      <c r="X278" s="311">
        <v>0</v>
      </c>
      <c r="Y278" s="311">
        <v>0</v>
      </c>
      <c r="Z278" s="211">
        <v>0</v>
      </c>
      <c r="AA278" s="212"/>
      <c r="AB278" s="213" t="e">
        <v>#DIV/0!</v>
      </c>
      <c r="AC278" s="214"/>
      <c r="AD278" s="215"/>
      <c r="AE278" s="342"/>
      <c r="AF278" s="341" t="s">
        <v>257</v>
      </c>
    </row>
    <row r="279" spans="1:32">
      <c r="A279" s="307">
        <v>5</v>
      </c>
      <c r="B279" s="342"/>
      <c r="C279" s="342" t="s">
        <v>176</v>
      </c>
      <c r="D279" s="340" t="s">
        <v>484</v>
      </c>
      <c r="E279" s="342"/>
      <c r="F279" s="345" t="s">
        <v>220</v>
      </c>
      <c r="G279" s="308">
        <v>1.008</v>
      </c>
      <c r="H279" s="309">
        <v>29900</v>
      </c>
      <c r="I279" s="309">
        <v>30139</v>
      </c>
      <c r="J279" s="211"/>
      <c r="K279" s="212" t="str">
        <f>IF(OR(J279="",G279=J279),"","*")</f>
        <v/>
      </c>
      <c r="L279" s="338" t="str">
        <f>IF($A279&lt;=L$1,I279/I$4,"")</f>
        <v/>
      </c>
      <c r="M279" s="343"/>
      <c r="N279" s="344"/>
      <c r="O279" s="310">
        <v>0</v>
      </c>
      <c r="P279" s="311">
        <v>0</v>
      </c>
      <c r="Q279" s="311">
        <v>0</v>
      </c>
      <c r="R279" s="211">
        <v>0</v>
      </c>
      <c r="S279" s="212"/>
      <c r="T279" s="213" t="e">
        <v>#DIV/0!</v>
      </c>
      <c r="U279" s="214"/>
      <c r="V279" s="215"/>
      <c r="W279" s="310">
        <v>0</v>
      </c>
      <c r="X279" s="311">
        <v>0</v>
      </c>
      <c r="Y279" s="311">
        <v>0</v>
      </c>
      <c r="Z279" s="211">
        <v>0</v>
      </c>
      <c r="AA279" s="212"/>
      <c r="AB279" s="213" t="e">
        <v>#DIV/0!</v>
      </c>
      <c r="AC279" s="214"/>
      <c r="AD279" s="215"/>
      <c r="AE279" s="342"/>
      <c r="AF279" s="341" t="s">
        <v>259</v>
      </c>
    </row>
    <row r="280" spans="1:32">
      <c r="A280" s="307">
        <v>5</v>
      </c>
      <c r="B280" s="342"/>
      <c r="C280" s="342" t="s">
        <v>176</v>
      </c>
      <c r="D280" s="340" t="s">
        <v>461</v>
      </c>
      <c r="E280" s="342"/>
      <c r="F280" s="345" t="s">
        <v>220</v>
      </c>
      <c r="G280" s="308">
        <v>1.8360000000000001</v>
      </c>
      <c r="H280" s="309">
        <v>26800</v>
      </c>
      <c r="I280" s="309">
        <v>49204</v>
      </c>
      <c r="J280" s="211"/>
      <c r="K280" s="212" t="str">
        <f>IF(OR(J280="",G280=J280),"","*")</f>
        <v/>
      </c>
      <c r="L280" s="338" t="str">
        <f>IF($A280&lt;=L$1,I280/I$4,"")</f>
        <v/>
      </c>
      <c r="M280" s="343"/>
      <c r="N280" s="344"/>
      <c r="O280" s="310">
        <v>0</v>
      </c>
      <c r="P280" s="311">
        <v>0</v>
      </c>
      <c r="Q280" s="311">
        <v>0</v>
      </c>
      <c r="R280" s="211">
        <v>0</v>
      </c>
      <c r="S280" s="212"/>
      <c r="T280" s="213" t="e">
        <v>#DIV/0!</v>
      </c>
      <c r="U280" s="214"/>
      <c r="V280" s="215"/>
      <c r="W280" s="310">
        <v>0</v>
      </c>
      <c r="X280" s="311">
        <v>0</v>
      </c>
      <c r="Y280" s="311">
        <v>0</v>
      </c>
      <c r="Z280" s="211">
        <v>0</v>
      </c>
      <c r="AA280" s="212"/>
      <c r="AB280" s="213" t="e">
        <v>#DIV/0!</v>
      </c>
      <c r="AC280" s="214"/>
      <c r="AD280" s="215"/>
      <c r="AE280" s="342"/>
      <c r="AF280" s="341" t="s">
        <v>260</v>
      </c>
    </row>
    <row r="281" spans="1:32">
      <c r="A281" s="307">
        <v>5</v>
      </c>
      <c r="B281" s="342"/>
      <c r="C281" s="342" t="s">
        <v>175</v>
      </c>
      <c r="D281" s="340" t="s">
        <v>513</v>
      </c>
      <c r="E281" s="342" t="s">
        <v>262</v>
      </c>
      <c r="F281" s="345" t="s">
        <v>263</v>
      </c>
      <c r="G281" s="308">
        <v>0.18</v>
      </c>
      <c r="H281" s="309">
        <v>1200</v>
      </c>
      <c r="I281" s="309">
        <v>216</v>
      </c>
      <c r="J281" s="211"/>
      <c r="K281" s="212" t="str">
        <f>IF(OR(J281="",G281=J281),"","*")</f>
        <v/>
      </c>
      <c r="L281" s="338" t="str">
        <f>IF($A281&lt;=L$1,I281/I$4,"")</f>
        <v/>
      </c>
      <c r="M281" s="343"/>
      <c r="N281" s="344"/>
      <c r="O281" s="310">
        <v>0</v>
      </c>
      <c r="P281" s="311">
        <v>0</v>
      </c>
      <c r="Q281" s="311">
        <v>0</v>
      </c>
      <c r="R281" s="211">
        <v>0</v>
      </c>
      <c r="S281" s="212"/>
      <c r="T281" s="213" t="e">
        <v>#DIV/0!</v>
      </c>
      <c r="U281" s="214"/>
      <c r="V281" s="215"/>
      <c r="W281" s="310">
        <v>0</v>
      </c>
      <c r="X281" s="311">
        <v>0</v>
      </c>
      <c r="Y281" s="311">
        <v>0</v>
      </c>
      <c r="Z281" s="211">
        <v>0</v>
      </c>
      <c r="AA281" s="212"/>
      <c r="AB281" s="213" t="e">
        <v>#DIV/0!</v>
      </c>
      <c r="AC281" s="214"/>
      <c r="AD281" s="215"/>
      <c r="AE281" s="342"/>
      <c r="AF281" s="341" t="s">
        <v>264</v>
      </c>
    </row>
    <row r="282" spans="1:32">
      <c r="A282" s="307">
        <v>5</v>
      </c>
      <c r="B282" s="342"/>
      <c r="C282" s="342" t="s">
        <v>175</v>
      </c>
      <c r="D282" s="340" t="s">
        <v>514</v>
      </c>
      <c r="E282" s="342" t="s">
        <v>266</v>
      </c>
      <c r="F282" s="345" t="s">
        <v>267</v>
      </c>
      <c r="G282" s="308">
        <v>9.09</v>
      </c>
      <c r="H282" s="309">
        <v>5600</v>
      </c>
      <c r="I282" s="309">
        <v>50904</v>
      </c>
      <c r="J282" s="211"/>
      <c r="K282" s="212" t="str">
        <f>IF(OR(J282="",G282=J282),"","*")</f>
        <v/>
      </c>
      <c r="L282" s="338" t="str">
        <f>IF($A282&lt;=L$1,I282/I$4,"")</f>
        <v/>
      </c>
      <c r="M282" s="343"/>
      <c r="N282" s="344"/>
      <c r="O282" s="310">
        <v>0</v>
      </c>
      <c r="P282" s="311">
        <v>0</v>
      </c>
      <c r="Q282" s="311">
        <v>0</v>
      </c>
      <c r="R282" s="211">
        <v>0</v>
      </c>
      <c r="S282" s="212"/>
      <c r="T282" s="213" t="e">
        <v>#DIV/0!</v>
      </c>
      <c r="U282" s="214"/>
      <c r="V282" s="215"/>
      <c r="W282" s="310">
        <v>0</v>
      </c>
      <c r="X282" s="311">
        <v>0</v>
      </c>
      <c r="Y282" s="311">
        <v>0</v>
      </c>
      <c r="Z282" s="211">
        <v>0</v>
      </c>
      <c r="AA282" s="212"/>
      <c r="AB282" s="213" t="e">
        <v>#DIV/0!</v>
      </c>
      <c r="AC282" s="214"/>
      <c r="AD282" s="215"/>
      <c r="AE282" s="342" t="s">
        <v>268</v>
      </c>
      <c r="AF282" s="341" t="s">
        <v>269</v>
      </c>
    </row>
    <row r="283" spans="1:32">
      <c r="A283" s="307">
        <v>5</v>
      </c>
      <c r="B283" s="342"/>
      <c r="C283" s="342"/>
      <c r="D283" s="340" t="s">
        <v>477</v>
      </c>
      <c r="E283" s="342"/>
      <c r="F283" s="345" t="s">
        <v>169</v>
      </c>
      <c r="G283" s="308">
        <v>0.36</v>
      </c>
      <c r="H283" s="309">
        <v>-65</v>
      </c>
      <c r="I283" s="309">
        <v>-23</v>
      </c>
      <c r="J283" s="211"/>
      <c r="K283" s="212" t="str">
        <f>IF(OR(J283="",G283=J283),"","*")</f>
        <v/>
      </c>
      <c r="L283" s="338" t="str">
        <f>IF($A283&lt;=L$1,I283/I$4,"")</f>
        <v/>
      </c>
      <c r="M283" s="343"/>
      <c r="N283" s="344"/>
      <c r="O283" s="310">
        <v>0</v>
      </c>
      <c r="P283" s="311">
        <v>0</v>
      </c>
      <c r="Q283" s="311">
        <v>0</v>
      </c>
      <c r="R283" s="211">
        <v>0</v>
      </c>
      <c r="S283" s="212"/>
      <c r="T283" s="213" t="e">
        <v>#DIV/0!</v>
      </c>
      <c r="U283" s="214"/>
      <c r="V283" s="215"/>
      <c r="W283" s="310">
        <v>0</v>
      </c>
      <c r="X283" s="311">
        <v>0</v>
      </c>
      <c r="Y283" s="311">
        <v>0</v>
      </c>
      <c r="Z283" s="211">
        <v>0</v>
      </c>
      <c r="AA283" s="212"/>
      <c r="AB283" s="213" t="e">
        <v>#DIV/0!</v>
      </c>
      <c r="AC283" s="214"/>
      <c r="AD283" s="215"/>
      <c r="AE283" s="342"/>
      <c r="AF283" s="341"/>
    </row>
    <row r="284" spans="1:32">
      <c r="A284" s="307">
        <v>3</v>
      </c>
      <c r="B284" s="342"/>
      <c r="C284" s="342" t="s">
        <v>207</v>
      </c>
      <c r="D284" s="340" t="s">
        <v>515</v>
      </c>
      <c r="E284" s="342"/>
      <c r="F284" s="345" t="s">
        <v>164</v>
      </c>
      <c r="G284" s="308">
        <v>1</v>
      </c>
      <c r="H284" s="309">
        <v>4767</v>
      </c>
      <c r="I284" s="309">
        <v>4767</v>
      </c>
      <c r="J284" s="211">
        <v>1</v>
      </c>
      <c r="K284" s="212" t="str">
        <f>IF(OR(J284="",G284=J284),"","*")</f>
        <v/>
      </c>
      <c r="L284" s="338">
        <f>IF($A284&lt;=L$1,I284/I$4,"")</f>
        <v>3.9067526092141012E-4</v>
      </c>
      <c r="M284" s="343"/>
      <c r="N284" s="344" t="s">
        <v>516</v>
      </c>
      <c r="O284" s="310">
        <v>0</v>
      </c>
      <c r="P284" s="311">
        <v>0</v>
      </c>
      <c r="Q284" s="311">
        <v>0</v>
      </c>
      <c r="R284" s="211">
        <v>0</v>
      </c>
      <c r="S284" s="212"/>
      <c r="T284" s="213" t="e">
        <v>#DIV/0!</v>
      </c>
      <c r="U284" s="214"/>
      <c r="V284" s="215"/>
      <c r="W284" s="310">
        <v>0</v>
      </c>
      <c r="X284" s="311">
        <v>0</v>
      </c>
      <c r="Y284" s="311">
        <v>0</v>
      </c>
      <c r="Z284" s="211">
        <v>0</v>
      </c>
      <c r="AA284" s="212"/>
      <c r="AB284" s="213" t="e">
        <v>#DIV/0!</v>
      </c>
      <c r="AC284" s="214"/>
      <c r="AD284" s="215"/>
      <c r="AE284" s="342"/>
      <c r="AF284" s="341"/>
    </row>
    <row r="285" spans="1:32">
      <c r="A285" s="307">
        <v>4</v>
      </c>
      <c r="B285" s="342"/>
      <c r="C285" s="342" t="s">
        <v>210</v>
      </c>
      <c r="D285" s="340" t="s">
        <v>511</v>
      </c>
      <c r="E285" s="342" t="s">
        <v>318</v>
      </c>
      <c r="F285" s="345" t="s">
        <v>164</v>
      </c>
      <c r="G285" s="308">
        <v>1</v>
      </c>
      <c r="H285" s="309">
        <v>4767</v>
      </c>
      <c r="I285" s="309">
        <v>4767</v>
      </c>
      <c r="J285" s="211">
        <v>32</v>
      </c>
      <c r="K285" s="212" t="str">
        <f>IF(OR(J285="",G285=J285),"","*")</f>
        <v>*</v>
      </c>
      <c r="L285" s="338" t="str">
        <f>IF($A285&lt;=L$1,I285/I$4,"")</f>
        <v/>
      </c>
      <c r="M285" s="343"/>
      <c r="N285" s="344" t="s">
        <v>517</v>
      </c>
      <c r="O285" s="310">
        <v>0</v>
      </c>
      <c r="P285" s="311">
        <v>0</v>
      </c>
      <c r="Q285" s="311">
        <v>0</v>
      </c>
      <c r="R285" s="211">
        <v>0</v>
      </c>
      <c r="S285" s="212"/>
      <c r="T285" s="213" t="e">
        <v>#DIV/0!</v>
      </c>
      <c r="U285" s="214"/>
      <c r="V285" s="215"/>
      <c r="W285" s="310">
        <v>0</v>
      </c>
      <c r="X285" s="311">
        <v>0</v>
      </c>
      <c r="Y285" s="311">
        <v>0</v>
      </c>
      <c r="Z285" s="211">
        <v>0</v>
      </c>
      <c r="AA285" s="212"/>
      <c r="AB285" s="213" t="e">
        <v>#DIV/0!</v>
      </c>
      <c r="AC285" s="214"/>
      <c r="AD285" s="215"/>
      <c r="AE285" s="342"/>
      <c r="AF285" s="341" t="s">
        <v>320</v>
      </c>
    </row>
    <row r="286" spans="1:32">
      <c r="A286" s="307">
        <v>5</v>
      </c>
      <c r="B286" s="342"/>
      <c r="C286" s="342" t="s">
        <v>176</v>
      </c>
      <c r="D286" s="340" t="s">
        <v>484</v>
      </c>
      <c r="E286" s="342"/>
      <c r="F286" s="345" t="s">
        <v>220</v>
      </c>
      <c r="G286" s="308">
        <v>0.99199999999999999</v>
      </c>
      <c r="H286" s="309">
        <v>29900</v>
      </c>
      <c r="I286" s="309">
        <v>29660</v>
      </c>
      <c r="J286" s="211"/>
      <c r="K286" s="212" t="str">
        <f>IF(OR(J286="",G286=J286),"","*")</f>
        <v/>
      </c>
      <c r="L286" s="338" t="str">
        <f>IF($A286&lt;=L$1,I286/I$4,"")</f>
        <v/>
      </c>
      <c r="M286" s="343"/>
      <c r="N286" s="344"/>
      <c r="O286" s="310">
        <v>0</v>
      </c>
      <c r="P286" s="311">
        <v>0</v>
      </c>
      <c r="Q286" s="311">
        <v>0</v>
      </c>
      <c r="R286" s="211">
        <v>0</v>
      </c>
      <c r="S286" s="212"/>
      <c r="T286" s="213" t="e">
        <v>#DIV/0!</v>
      </c>
      <c r="U286" s="214"/>
      <c r="V286" s="215"/>
      <c r="W286" s="310">
        <v>0</v>
      </c>
      <c r="X286" s="311">
        <v>0</v>
      </c>
      <c r="Y286" s="311">
        <v>0</v>
      </c>
      <c r="Z286" s="211">
        <v>0</v>
      </c>
      <c r="AA286" s="212"/>
      <c r="AB286" s="213" t="e">
        <v>#DIV/0!</v>
      </c>
      <c r="AC286" s="214"/>
      <c r="AD286" s="215"/>
      <c r="AE286" s="342"/>
      <c r="AF286" s="341" t="s">
        <v>259</v>
      </c>
    </row>
    <row r="287" spans="1:32">
      <c r="A287" s="307">
        <v>5</v>
      </c>
      <c r="B287" s="342"/>
      <c r="C287" s="342" t="s">
        <v>176</v>
      </c>
      <c r="D287" s="340" t="s">
        <v>461</v>
      </c>
      <c r="E287" s="342"/>
      <c r="F287" s="345" t="s">
        <v>220</v>
      </c>
      <c r="G287" s="308">
        <v>2.016</v>
      </c>
      <c r="H287" s="309">
        <v>26800</v>
      </c>
      <c r="I287" s="309">
        <v>54028</v>
      </c>
      <c r="J287" s="211"/>
      <c r="K287" s="212" t="str">
        <f>IF(OR(J287="",G287=J287),"","*")</f>
        <v/>
      </c>
      <c r="L287" s="338" t="str">
        <f>IF($A287&lt;=L$1,I287/I$4,"")</f>
        <v/>
      </c>
      <c r="M287" s="343"/>
      <c r="N287" s="344"/>
      <c r="O287" s="310">
        <v>0</v>
      </c>
      <c r="P287" s="311">
        <v>0</v>
      </c>
      <c r="Q287" s="311">
        <v>0</v>
      </c>
      <c r="R287" s="211">
        <v>0</v>
      </c>
      <c r="S287" s="212"/>
      <c r="T287" s="213" t="e">
        <v>#DIV/0!</v>
      </c>
      <c r="U287" s="214"/>
      <c r="V287" s="215"/>
      <c r="W287" s="310">
        <v>0</v>
      </c>
      <c r="X287" s="311">
        <v>0</v>
      </c>
      <c r="Y287" s="311">
        <v>0</v>
      </c>
      <c r="Z287" s="211">
        <v>0</v>
      </c>
      <c r="AA287" s="212"/>
      <c r="AB287" s="213" t="e">
        <v>#DIV/0!</v>
      </c>
      <c r="AC287" s="214"/>
      <c r="AD287" s="215"/>
      <c r="AE287" s="342"/>
      <c r="AF287" s="341" t="s">
        <v>260</v>
      </c>
    </row>
    <row r="288" spans="1:32">
      <c r="A288" s="307">
        <v>5</v>
      </c>
      <c r="B288" s="342"/>
      <c r="C288" s="342" t="s">
        <v>175</v>
      </c>
      <c r="D288" s="340" t="s">
        <v>513</v>
      </c>
      <c r="E288" s="342" t="s">
        <v>262</v>
      </c>
      <c r="F288" s="345" t="s">
        <v>263</v>
      </c>
      <c r="G288" s="308">
        <v>0.192</v>
      </c>
      <c r="H288" s="309">
        <v>1200</v>
      </c>
      <c r="I288" s="309">
        <v>230</v>
      </c>
      <c r="J288" s="211"/>
      <c r="K288" s="212" t="str">
        <f>IF(OR(J288="",G288=J288),"","*")</f>
        <v/>
      </c>
      <c r="L288" s="338" t="str">
        <f>IF($A288&lt;=L$1,I288/I$4,"")</f>
        <v/>
      </c>
      <c r="M288" s="343"/>
      <c r="N288" s="344"/>
      <c r="O288" s="310">
        <v>0</v>
      </c>
      <c r="P288" s="311">
        <v>0</v>
      </c>
      <c r="Q288" s="311">
        <v>0</v>
      </c>
      <c r="R288" s="211">
        <v>0</v>
      </c>
      <c r="S288" s="212"/>
      <c r="T288" s="213" t="e">
        <v>#DIV/0!</v>
      </c>
      <c r="U288" s="214"/>
      <c r="V288" s="215"/>
      <c r="W288" s="310">
        <v>0</v>
      </c>
      <c r="X288" s="311">
        <v>0</v>
      </c>
      <c r="Y288" s="311">
        <v>0</v>
      </c>
      <c r="Z288" s="211">
        <v>0</v>
      </c>
      <c r="AA288" s="212"/>
      <c r="AB288" s="213" t="e">
        <v>#DIV/0!</v>
      </c>
      <c r="AC288" s="214"/>
      <c r="AD288" s="215"/>
      <c r="AE288" s="342"/>
      <c r="AF288" s="341" t="s">
        <v>264</v>
      </c>
    </row>
    <row r="289" spans="1:32">
      <c r="A289" s="307">
        <v>5</v>
      </c>
      <c r="B289" s="342"/>
      <c r="C289" s="342" t="s">
        <v>175</v>
      </c>
      <c r="D289" s="340" t="s">
        <v>518</v>
      </c>
      <c r="E289" s="342" t="s">
        <v>266</v>
      </c>
      <c r="F289" s="345" t="s">
        <v>267</v>
      </c>
      <c r="G289" s="308">
        <v>8.08</v>
      </c>
      <c r="H289" s="309">
        <v>8500</v>
      </c>
      <c r="I289" s="309">
        <v>68680</v>
      </c>
      <c r="J289" s="211"/>
      <c r="K289" s="212" t="str">
        <f>IF(OR(J289="",G289=J289),"","*")</f>
        <v/>
      </c>
      <c r="L289" s="338" t="str">
        <f>IF($A289&lt;=L$1,I289/I$4,"")</f>
        <v/>
      </c>
      <c r="M289" s="343"/>
      <c r="N289" s="344"/>
      <c r="O289" s="310">
        <v>0</v>
      </c>
      <c r="P289" s="311">
        <v>0</v>
      </c>
      <c r="Q289" s="311">
        <v>0</v>
      </c>
      <c r="R289" s="211">
        <v>0</v>
      </c>
      <c r="S289" s="212"/>
      <c r="T289" s="213" t="e">
        <v>#DIV/0!</v>
      </c>
      <c r="U289" s="214"/>
      <c r="V289" s="215"/>
      <c r="W289" s="310">
        <v>0</v>
      </c>
      <c r="X289" s="311">
        <v>0</v>
      </c>
      <c r="Y289" s="311">
        <v>0</v>
      </c>
      <c r="Z289" s="211">
        <v>0</v>
      </c>
      <c r="AA289" s="212"/>
      <c r="AB289" s="213" t="e">
        <v>#DIV/0!</v>
      </c>
      <c r="AC289" s="214"/>
      <c r="AD289" s="215"/>
      <c r="AE289" s="342" t="s">
        <v>322</v>
      </c>
      <c r="AF289" s="341" t="s">
        <v>323</v>
      </c>
    </row>
    <row r="290" spans="1:32">
      <c r="A290" s="307">
        <v>5</v>
      </c>
      <c r="B290" s="342"/>
      <c r="C290" s="342"/>
      <c r="D290" s="340" t="s">
        <v>477</v>
      </c>
      <c r="E290" s="342"/>
      <c r="F290" s="345" t="s">
        <v>169</v>
      </c>
      <c r="G290" s="308">
        <v>0.32</v>
      </c>
      <c r="H290" s="309">
        <v>-85</v>
      </c>
      <c r="I290" s="309">
        <v>-27</v>
      </c>
      <c r="J290" s="211"/>
      <c r="K290" s="212" t="str">
        <f>IF(OR(J290="",G290=J290),"","*")</f>
        <v/>
      </c>
      <c r="L290" s="338" t="str">
        <f>IF($A290&lt;=L$1,I290/I$4,"")</f>
        <v/>
      </c>
      <c r="M290" s="343"/>
      <c r="N290" s="344"/>
      <c r="O290" s="310">
        <v>0</v>
      </c>
      <c r="P290" s="311">
        <v>0</v>
      </c>
      <c r="Q290" s="311">
        <v>0</v>
      </c>
      <c r="R290" s="211">
        <v>0</v>
      </c>
      <c r="S290" s="212"/>
      <c r="T290" s="213" t="e">
        <v>#DIV/0!</v>
      </c>
      <c r="U290" s="214"/>
      <c r="V290" s="215"/>
      <c r="W290" s="310">
        <v>0</v>
      </c>
      <c r="X290" s="311">
        <v>0</v>
      </c>
      <c r="Y290" s="311">
        <v>0</v>
      </c>
      <c r="Z290" s="211">
        <v>0</v>
      </c>
      <c r="AA290" s="212"/>
      <c r="AB290" s="213" t="e">
        <v>#DIV/0!</v>
      </c>
      <c r="AC290" s="214"/>
      <c r="AD290" s="215"/>
      <c r="AE290" s="342"/>
      <c r="AF290" s="341"/>
    </row>
    <row r="291" spans="1:32">
      <c r="A291" s="217"/>
      <c r="B291" s="217"/>
      <c r="C291" s="312"/>
      <c r="D291" s="217"/>
      <c r="E291" s="217"/>
      <c r="F291" s="218"/>
      <c r="G291" s="217"/>
      <c r="H291" s="217"/>
      <c r="I291" s="217"/>
      <c r="J291" s="217"/>
      <c r="K291" s="218"/>
      <c r="L291" s="217"/>
      <c r="M291" s="217"/>
      <c r="N291" s="217"/>
      <c r="O291" s="217"/>
      <c r="P291" s="217"/>
      <c r="Q291" s="217"/>
      <c r="R291" s="217"/>
      <c r="S291" s="218"/>
      <c r="T291" s="217"/>
      <c r="U291" s="217"/>
      <c r="V291" s="217"/>
      <c r="W291" s="217"/>
      <c r="X291" s="217"/>
      <c r="Y291" s="217"/>
      <c r="Z291" s="217"/>
      <c r="AA291" s="218"/>
      <c r="AB291" s="217"/>
      <c r="AC291" s="217"/>
      <c r="AD291" s="217"/>
      <c r="AE291" s="217"/>
      <c r="AF291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90 AF4:AF290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90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19921875" defaultRowHeight="13.2"/>
  <cols>
    <col min="1" max="1" width="3.3984375" style="73" customWidth="1"/>
    <col min="2" max="2" width="0.8984375" style="73" customWidth="1"/>
    <col min="3" max="3" width="41.8984375" style="73" customWidth="1"/>
    <col min="4" max="4" width="18.8984375" style="73" customWidth="1"/>
    <col min="5" max="5" width="0.8984375" style="73" customWidth="1"/>
    <col min="6" max="6" width="41.8984375" style="73" customWidth="1"/>
    <col min="7" max="7" width="18.8984375" style="73" customWidth="1"/>
    <col min="8" max="8" width="3.3984375" style="73" customWidth="1"/>
    <col min="9" max="16384" width="8.1992187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157</v>
      </c>
      <c r="D4" s="315"/>
      <c r="E4" s="120"/>
      <c r="F4" s="119" t="s">
        <v>520</v>
      </c>
      <c r="G4" s="316"/>
      <c r="H4" s="69"/>
    </row>
    <row r="5" spans="1:8" ht="27" customHeight="1">
      <c r="A5" s="69"/>
      <c r="B5" s="118"/>
      <c r="C5" s="119" t="s">
        <v>158</v>
      </c>
      <c r="D5" s="315"/>
      <c r="E5" s="120"/>
      <c r="F5" s="119" t="s">
        <v>521</v>
      </c>
      <c r="G5" s="316"/>
      <c r="H5" s="69"/>
    </row>
    <row r="6" spans="1:8" ht="27" customHeight="1">
      <c r="A6" s="69"/>
      <c r="B6" s="118"/>
      <c r="C6" s="119" t="s">
        <v>159</v>
      </c>
      <c r="D6" s="315"/>
      <c r="E6" s="120"/>
      <c r="F6" s="119" t="s">
        <v>522</v>
      </c>
      <c r="G6" s="316"/>
      <c r="H6" s="69"/>
    </row>
    <row r="7" spans="1:8" ht="27" customHeight="1">
      <c r="A7" s="69"/>
      <c r="B7" s="118"/>
      <c r="C7" s="119" t="s">
        <v>160</v>
      </c>
      <c r="D7" s="315"/>
      <c r="E7" s="120"/>
      <c r="F7" s="119" t="s">
        <v>523</v>
      </c>
      <c r="G7" s="316"/>
      <c r="H7" s="69"/>
    </row>
    <row r="8" spans="1:8" ht="27" customHeight="1">
      <c r="A8" s="69"/>
      <c r="B8" s="118"/>
      <c r="C8" s="119" t="s">
        <v>161</v>
      </c>
      <c r="D8" s="315"/>
      <c r="E8" s="120"/>
      <c r="F8" s="119" t="s">
        <v>524</v>
      </c>
      <c r="G8" s="316"/>
      <c r="H8" s="69"/>
    </row>
    <row r="9" spans="1:8" ht="27" customHeight="1">
      <c r="A9" s="69"/>
      <c r="B9" s="118"/>
      <c r="C9" s="119" t="s">
        <v>162</v>
      </c>
      <c r="D9" s="315"/>
      <c r="E9" s="120"/>
      <c r="F9" s="119" t="s">
        <v>525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526</v>
      </c>
      <c r="G10" s="316"/>
      <c r="H10" s="69"/>
    </row>
    <row r="11" spans="1:8" ht="27" customHeight="1">
      <c r="A11" s="69"/>
      <c r="B11" s="118"/>
      <c r="C11" s="119" t="s">
        <v>200</v>
      </c>
      <c r="D11" s="315"/>
      <c r="E11" s="120"/>
      <c r="F11" s="119" t="s">
        <v>527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200</v>
      </c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2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19921875" defaultRowHeight="13.2"/>
  <cols>
    <col min="1" max="1" width="2.09765625" style="73" customWidth="1"/>
    <col min="2" max="2" width="31.59765625" style="73" customWidth="1"/>
    <col min="3" max="3" width="5.8984375" style="73" customWidth="1"/>
    <col min="4" max="4" width="10.59765625" style="73" customWidth="1"/>
    <col min="5" max="5" width="12.59765625" style="73" customWidth="1"/>
    <col min="6" max="6" width="15.09765625" style="135" customWidth="1"/>
    <col min="7" max="14" width="10" style="135" customWidth="1"/>
    <col min="15" max="15" width="2.09765625" style="73" customWidth="1"/>
    <col min="16" max="16384" width="8.1992187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175</v>
      </c>
      <c r="H3" s="128" t="s">
        <v>176</v>
      </c>
      <c r="I3" s="128" t="s">
        <v>177</v>
      </c>
      <c r="J3" s="128" t="s">
        <v>178</v>
      </c>
      <c r="K3" s="128" t="s">
        <v>179</v>
      </c>
      <c r="L3" s="128" t="s">
        <v>180</v>
      </c>
      <c r="M3" s="128" t="s">
        <v>181</v>
      </c>
      <c r="N3" s="129" t="s">
        <v>182</v>
      </c>
      <c r="O3" s="69"/>
    </row>
    <row r="4" spans="1:15" ht="30" customHeight="1">
      <c r="A4" s="69"/>
      <c r="B4" s="130" t="s">
        <v>157</v>
      </c>
      <c r="C4" s="131" t="s">
        <v>169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158</v>
      </c>
      <c r="C5" s="131" t="s">
        <v>169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159</v>
      </c>
      <c r="C6" s="131" t="s">
        <v>169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160</v>
      </c>
      <c r="C7" s="131" t="s">
        <v>169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161</v>
      </c>
      <c r="C8" s="131" t="s">
        <v>169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162</v>
      </c>
      <c r="C9" s="131" t="s">
        <v>169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200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19921875" defaultRowHeight="13.2"/>
  <cols>
    <col min="1" max="1" width="3.59765625" style="216" customWidth="1"/>
    <col min="2" max="2" width="11.59765625" style="216" customWidth="1"/>
    <col min="3" max="3" width="6.3984375" style="305" customWidth="1"/>
    <col min="4" max="4" width="32.59765625" style="216" customWidth="1"/>
    <col min="5" max="5" width="22.3984375" style="216" customWidth="1"/>
    <col min="6" max="6" width="4.8984375" style="189" customWidth="1"/>
    <col min="7" max="7" width="7.8984375" style="216" customWidth="1"/>
    <col min="8" max="8" width="10.3984375" style="216" customWidth="1"/>
    <col min="9" max="9" width="11.3984375" style="216" customWidth="1"/>
    <col min="10" max="10" width="6.5" style="216" customWidth="1"/>
    <col min="11" max="11" width="1.59765625" style="189" customWidth="1"/>
    <col min="12" max="14" width="6.5" style="216" customWidth="1"/>
    <col min="15" max="15" width="7.8984375" style="216" hidden="1" customWidth="1"/>
    <col min="16" max="16" width="10.3984375" style="216" hidden="1" customWidth="1"/>
    <col min="17" max="17" width="11.3984375" style="216" hidden="1" customWidth="1"/>
    <col min="18" max="18" width="6.5" style="216" hidden="1" customWidth="1"/>
    <col min="19" max="19" width="1.59765625" style="189" hidden="1" customWidth="1"/>
    <col min="20" max="22" width="6.5" style="216" hidden="1" customWidth="1"/>
    <col min="23" max="23" width="7.8984375" style="216" hidden="1" customWidth="1"/>
    <col min="24" max="24" width="10.3984375" style="216" hidden="1" customWidth="1"/>
    <col min="25" max="25" width="11.3984375" style="216" hidden="1" customWidth="1"/>
    <col min="26" max="26" width="6.5" style="216" hidden="1" customWidth="1"/>
    <col min="27" max="27" width="1.59765625" style="189" hidden="1" customWidth="1"/>
    <col min="28" max="30" width="6.5" style="216" hidden="1" customWidth="1"/>
    <col min="31" max="31" width="5.19921875" style="216" customWidth="1"/>
    <col min="32" max="32" width="28.69921875" style="314" customWidth="1"/>
    <col min="33" max="33" width="1.8984375" style="216" customWidth="1"/>
    <col min="34" max="16384" width="8.19921875" style="216"/>
  </cols>
  <sheetData>
    <row r="1" spans="1:32" ht="22.5" customHeight="1" thickBot="1">
      <c r="A1" s="303"/>
      <c r="B1" s="304"/>
      <c r="D1" s="350" t="str">
        <f>IF(実行予算書鑑!I10="","",実行予算書鑑!I10)</f>
        <v>実行予算講習会</v>
      </c>
      <c r="G1" s="306"/>
      <c r="H1" s="190" t="s">
        <v>131</v>
      </c>
      <c r="I1" s="333">
        <v>0</v>
      </c>
      <c r="J1" s="339" t="e">
        <f>I4/I$1</f>
        <v>#DIV/0!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147</v>
      </c>
      <c r="E4" s="342"/>
      <c r="F4" s="345" t="s">
        <v>169</v>
      </c>
      <c r="G4" s="308">
        <v>1</v>
      </c>
      <c r="H4" s="309">
        <v>12201950</v>
      </c>
      <c r="I4" s="309">
        <v>12201950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203</v>
      </c>
      <c r="D5" s="340" t="s">
        <v>528</v>
      </c>
      <c r="E5" s="342"/>
      <c r="F5" s="345" t="s">
        <v>169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207</v>
      </c>
      <c r="D6" s="340" t="s">
        <v>529</v>
      </c>
      <c r="E6" s="342"/>
      <c r="F6" s="345" t="s">
        <v>169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530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207</v>
      </c>
      <c r="D7" s="340" t="s">
        <v>531</v>
      </c>
      <c r="E7" s="342" t="s">
        <v>170</v>
      </c>
      <c r="F7" s="345" t="s">
        <v>169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532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207</v>
      </c>
      <c r="D8" s="340" t="s">
        <v>533</v>
      </c>
      <c r="E8" s="342" t="s">
        <v>171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534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207</v>
      </c>
      <c r="D9" s="340" t="s">
        <v>535</v>
      </c>
      <c r="E9" s="342" t="s">
        <v>172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536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207</v>
      </c>
      <c r="D10" s="340" t="s">
        <v>537</v>
      </c>
      <c r="E10" s="342" t="s">
        <v>173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538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207</v>
      </c>
      <c r="D11" s="340" t="s">
        <v>539</v>
      </c>
      <c r="E11" s="342" t="s">
        <v>174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540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19921875" defaultRowHeight="13.2"/>
  <cols>
    <col min="1" max="1" width="2.3984375" style="73" customWidth="1"/>
    <col min="2" max="2" width="32.59765625" style="73" customWidth="1"/>
    <col min="3" max="3" width="30.59765625" style="73" customWidth="1"/>
    <col min="4" max="4" width="5.8984375" style="73" customWidth="1"/>
    <col min="5" max="5" width="10.59765625" style="73" customWidth="1"/>
    <col min="6" max="6" width="12.59765625" style="141" customWidth="1"/>
    <col min="7" max="7" width="15.09765625" style="73" customWidth="1"/>
    <col min="8" max="8" width="14.3984375" style="73" customWidth="1"/>
    <col min="9" max="9" width="2.09765625" style="73" customWidth="1"/>
    <col min="10" max="16384" width="8.1992187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520</v>
      </c>
      <c r="C3" s="561"/>
      <c r="D3" s="563" t="s">
        <v>169</v>
      </c>
      <c r="E3" s="565">
        <v>1</v>
      </c>
      <c r="F3" s="521"/>
      <c r="G3" s="557"/>
      <c r="H3" s="138" t="s">
        <v>541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191</v>
      </c>
      <c r="I4" s="69"/>
    </row>
    <row r="5" spans="1:9" ht="15.75" customHeight="1">
      <c r="A5" s="69"/>
      <c r="B5" s="559" t="s">
        <v>521</v>
      </c>
      <c r="C5" s="561" t="s">
        <v>542</v>
      </c>
      <c r="D5" s="563" t="s">
        <v>169</v>
      </c>
      <c r="E5" s="565">
        <v>1</v>
      </c>
      <c r="F5" s="521"/>
      <c r="G5" s="557"/>
      <c r="H5" s="138" t="s">
        <v>543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191</v>
      </c>
      <c r="I6" s="69"/>
    </row>
    <row r="7" spans="1:9" ht="15.75" customHeight="1">
      <c r="A7" s="69"/>
      <c r="B7" s="559" t="s">
        <v>522</v>
      </c>
      <c r="C7" s="561"/>
      <c r="D7" s="563" t="s">
        <v>169</v>
      </c>
      <c r="E7" s="565">
        <v>1</v>
      </c>
      <c r="F7" s="521"/>
      <c r="G7" s="557"/>
      <c r="H7" s="138" t="s">
        <v>544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191</v>
      </c>
      <c r="I8" s="69"/>
    </row>
    <row r="9" spans="1:9" ht="15.75" customHeight="1">
      <c r="A9" s="69"/>
      <c r="B9" s="559" t="s">
        <v>523</v>
      </c>
      <c r="C9" s="561" t="s">
        <v>545</v>
      </c>
      <c r="D9" s="563" t="s">
        <v>169</v>
      </c>
      <c r="E9" s="565">
        <v>1</v>
      </c>
      <c r="F9" s="521"/>
      <c r="G9" s="557"/>
      <c r="H9" s="138" t="s">
        <v>546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191</v>
      </c>
      <c r="I10" s="69"/>
    </row>
    <row r="11" spans="1:9" ht="15.75" customHeight="1">
      <c r="A11" s="69"/>
      <c r="B11" s="559" t="s">
        <v>524</v>
      </c>
      <c r="C11" s="561" t="s">
        <v>547</v>
      </c>
      <c r="D11" s="563" t="s">
        <v>169</v>
      </c>
      <c r="E11" s="565">
        <v>1</v>
      </c>
      <c r="F11" s="521"/>
      <c r="G11" s="557"/>
      <c r="H11" s="138" t="s">
        <v>548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191</v>
      </c>
      <c r="I12" s="69"/>
    </row>
    <row r="13" spans="1:9" ht="15.75" customHeight="1">
      <c r="A13" s="69"/>
      <c r="B13" s="559" t="s">
        <v>525</v>
      </c>
      <c r="C13" s="561" t="s">
        <v>549</v>
      </c>
      <c r="D13" s="563" t="s">
        <v>169</v>
      </c>
      <c r="E13" s="565">
        <v>1</v>
      </c>
      <c r="F13" s="521"/>
      <c r="G13" s="557"/>
      <c r="H13" s="138" t="s">
        <v>550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191</v>
      </c>
      <c r="I14" s="69"/>
    </row>
    <row r="15" spans="1:9" ht="15.75" customHeight="1">
      <c r="A15" s="69"/>
      <c r="B15" s="559" t="s">
        <v>526</v>
      </c>
      <c r="C15" s="561" t="s">
        <v>551</v>
      </c>
      <c r="D15" s="563" t="s">
        <v>169</v>
      </c>
      <c r="E15" s="565">
        <v>1</v>
      </c>
      <c r="F15" s="521"/>
      <c r="G15" s="557"/>
      <c r="H15" s="138" t="s">
        <v>552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191</v>
      </c>
      <c r="I16" s="69"/>
    </row>
    <row r="17" spans="1:9" ht="15.75" customHeight="1">
      <c r="A17" s="69"/>
      <c r="B17" s="559" t="s">
        <v>527</v>
      </c>
      <c r="C17" s="561" t="s">
        <v>553</v>
      </c>
      <c r="D17" s="563" t="s">
        <v>169</v>
      </c>
      <c r="E17" s="565">
        <v>1</v>
      </c>
      <c r="F17" s="521"/>
      <c r="G17" s="557"/>
      <c r="H17" s="138" t="s">
        <v>554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191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200</v>
      </c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4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19921875" defaultRowHeight="13.2"/>
  <cols>
    <col min="1" max="1" width="3.59765625" style="216" customWidth="1"/>
    <col min="2" max="2" width="11.59765625" style="216" customWidth="1"/>
    <col min="3" max="3" width="6.3984375" style="305" customWidth="1"/>
    <col min="4" max="4" width="32.59765625" style="216" customWidth="1"/>
    <col min="5" max="5" width="22.3984375" style="216" customWidth="1"/>
    <col min="6" max="6" width="4.8984375" style="189" customWidth="1"/>
    <col min="7" max="7" width="7.8984375" style="216" customWidth="1"/>
    <col min="8" max="8" width="10.3984375" style="216" customWidth="1"/>
    <col min="9" max="9" width="11.3984375" style="216" customWidth="1"/>
    <col min="10" max="10" width="6.5" style="216" customWidth="1"/>
    <col min="11" max="11" width="1.59765625" style="189" customWidth="1"/>
    <col min="12" max="14" width="6.5" style="216" customWidth="1"/>
    <col min="15" max="15" width="7.8984375" style="216" hidden="1" customWidth="1"/>
    <col min="16" max="16" width="10.3984375" style="216" hidden="1" customWidth="1"/>
    <col min="17" max="17" width="11.3984375" style="216" hidden="1" customWidth="1"/>
    <col min="18" max="18" width="6.5" style="216" hidden="1" customWidth="1"/>
    <col min="19" max="19" width="1.59765625" style="189" hidden="1" customWidth="1"/>
    <col min="20" max="22" width="6.5" style="216" hidden="1" customWidth="1"/>
    <col min="23" max="23" width="7.8984375" style="216" hidden="1" customWidth="1"/>
    <col min="24" max="24" width="10.3984375" style="216" hidden="1" customWidth="1"/>
    <col min="25" max="25" width="11.3984375" style="216" hidden="1" customWidth="1"/>
    <col min="26" max="26" width="6.5" style="216" hidden="1" customWidth="1"/>
    <col min="27" max="27" width="1.59765625" style="189" hidden="1" customWidth="1"/>
    <col min="28" max="30" width="6.5" style="216" hidden="1" customWidth="1"/>
    <col min="31" max="31" width="5.19921875" style="216" customWidth="1"/>
    <col min="32" max="32" width="28.69921875" style="314" customWidth="1"/>
    <col min="33" max="33" width="1.8984375" style="216" customWidth="1"/>
    <col min="34" max="16384" width="8.19921875" style="216"/>
  </cols>
  <sheetData>
    <row r="1" spans="1:32" ht="22.5" customHeight="1" thickBot="1">
      <c r="A1" s="303"/>
      <c r="B1" s="304"/>
      <c r="D1" s="350" t="str">
        <f>IF(実行予算書鑑!I10="","",実行予算書鑑!I10)</f>
        <v>実行予算講習会</v>
      </c>
      <c r="G1" s="306"/>
      <c r="H1" s="190" t="s">
        <v>131</v>
      </c>
      <c r="I1" s="333">
        <v>0</v>
      </c>
      <c r="J1" s="339" t="e">
        <f>I4/I$1</f>
        <v>#DIV/0!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519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202</v>
      </c>
      <c r="D4" s="340" t="s">
        <v>147</v>
      </c>
      <c r="E4" s="342"/>
      <c r="F4" s="345" t="s">
        <v>169</v>
      </c>
      <c r="G4" s="308">
        <v>1</v>
      </c>
      <c r="H4" s="309">
        <v>12201950</v>
      </c>
      <c r="I4" s="309">
        <v>12201950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203</v>
      </c>
      <c r="D5" s="340" t="s">
        <v>555</v>
      </c>
      <c r="E5" s="342"/>
      <c r="F5" s="345" t="s">
        <v>169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207</v>
      </c>
      <c r="D6" s="340" t="s">
        <v>556</v>
      </c>
      <c r="E6" s="342"/>
      <c r="F6" s="345" t="s">
        <v>169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557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207</v>
      </c>
      <c r="D7" s="340" t="s">
        <v>558</v>
      </c>
      <c r="E7" s="342" t="s">
        <v>542</v>
      </c>
      <c r="F7" s="345" t="s">
        <v>169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559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207</v>
      </c>
      <c r="D8" s="340" t="s">
        <v>560</v>
      </c>
      <c r="E8" s="342"/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561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207</v>
      </c>
      <c r="D9" s="340" t="s">
        <v>562</v>
      </c>
      <c r="E9" s="342" t="s">
        <v>545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563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207</v>
      </c>
      <c r="D10" s="340" t="s">
        <v>564</v>
      </c>
      <c r="E10" s="342" t="s">
        <v>547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565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207</v>
      </c>
      <c r="D11" s="340" t="s">
        <v>566</v>
      </c>
      <c r="E11" s="342" t="s">
        <v>549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567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307">
        <v>2</v>
      </c>
      <c r="B12" s="342"/>
      <c r="C12" s="342" t="s">
        <v>207</v>
      </c>
      <c r="D12" s="340" t="s">
        <v>568</v>
      </c>
      <c r="E12" s="342" t="s">
        <v>551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569</v>
      </c>
      <c r="O12" s="346">
        <v>0</v>
      </c>
      <c r="P12" s="347">
        <v>0</v>
      </c>
      <c r="Q12" s="347">
        <v>0</v>
      </c>
      <c r="R12" s="348">
        <v>0</v>
      </c>
      <c r="S12" s="349" t="s">
        <v>117</v>
      </c>
      <c r="T12" s="343" t="e">
        <v>#DIV/0!</v>
      </c>
      <c r="U12" s="343" t="s">
        <v>117</v>
      </c>
      <c r="V12" s="344" t="s">
        <v>117</v>
      </c>
      <c r="W12" s="346">
        <v>0</v>
      </c>
      <c r="X12" s="347">
        <v>0</v>
      </c>
      <c r="Y12" s="347">
        <v>0</v>
      </c>
      <c r="Z12" s="348">
        <v>0</v>
      </c>
      <c r="AA12" s="349" t="s">
        <v>117</v>
      </c>
      <c r="AB12" s="343" t="e">
        <v>#DIV/0!</v>
      </c>
      <c r="AC12" s="343" t="s">
        <v>117</v>
      </c>
      <c r="AD12" s="344" t="s">
        <v>117</v>
      </c>
      <c r="AE12" s="342"/>
      <c r="AF12" s="341" t="s">
        <v>117</v>
      </c>
    </row>
    <row r="13" spans="1:32">
      <c r="A13" s="307">
        <v>2</v>
      </c>
      <c r="B13" s="342"/>
      <c r="C13" s="342" t="s">
        <v>207</v>
      </c>
      <c r="D13" s="340" t="s">
        <v>570</v>
      </c>
      <c r="E13" s="342" t="s">
        <v>553</v>
      </c>
      <c r="F13" s="345" t="s">
        <v>169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571</v>
      </c>
      <c r="O13" s="346">
        <v>0</v>
      </c>
      <c r="P13" s="347">
        <v>0</v>
      </c>
      <c r="Q13" s="347">
        <v>0</v>
      </c>
      <c r="R13" s="348">
        <v>0</v>
      </c>
      <c r="S13" s="349" t="s">
        <v>117</v>
      </c>
      <c r="T13" s="343" t="e">
        <v>#DIV/0!</v>
      </c>
      <c r="U13" s="343" t="s">
        <v>117</v>
      </c>
      <c r="V13" s="344" t="s">
        <v>117</v>
      </c>
      <c r="W13" s="346">
        <v>0</v>
      </c>
      <c r="X13" s="347">
        <v>0</v>
      </c>
      <c r="Y13" s="347">
        <v>0</v>
      </c>
      <c r="Z13" s="348">
        <v>0</v>
      </c>
      <c r="AA13" s="349" t="s">
        <v>117</v>
      </c>
      <c r="AB13" s="343" t="e">
        <v>#DIV/0!</v>
      </c>
      <c r="AC13" s="343" t="s">
        <v>117</v>
      </c>
      <c r="AD13" s="344" t="s">
        <v>117</v>
      </c>
      <c r="AE13" s="342"/>
      <c r="AF13" s="341" t="s">
        <v>117</v>
      </c>
    </row>
    <row r="14" spans="1:32">
      <c r="A14" s="217"/>
      <c r="B14" s="217"/>
      <c r="C14" s="312"/>
      <c r="D14" s="217"/>
      <c r="E14" s="217"/>
      <c r="F14" s="218"/>
      <c r="G14" s="217"/>
      <c r="H14" s="217"/>
      <c r="I14" s="217"/>
      <c r="J14" s="217"/>
      <c r="K14" s="218"/>
      <c r="L14" s="217"/>
      <c r="M14" s="217"/>
      <c r="N14" s="217"/>
      <c r="O14" s="217"/>
      <c r="P14" s="217"/>
      <c r="Q14" s="217"/>
      <c r="R14" s="217"/>
      <c r="S14" s="218"/>
      <c r="T14" s="217"/>
      <c r="U14" s="217"/>
      <c r="V14" s="217"/>
      <c r="W14" s="217"/>
      <c r="X14" s="217"/>
      <c r="Y14" s="217"/>
      <c r="Z14" s="217"/>
      <c r="AA14" s="218"/>
      <c r="AB14" s="217"/>
      <c r="AC14" s="217"/>
      <c r="AD14" s="217"/>
      <c r="AE14" s="217"/>
      <c r="AF14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3 AF4:AF13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3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196"/>
  <sheetViews>
    <sheetView zoomScaleNormal="100" zoomScaleSheetLayoutView="85" workbookViewId="0"/>
  </sheetViews>
  <sheetFormatPr defaultColWidth="8.19921875" defaultRowHeight="13.2"/>
  <cols>
    <col min="1" max="1" width="2.19921875" style="73" customWidth="1"/>
    <col min="2" max="2" width="14.3984375" style="73" customWidth="1"/>
    <col min="3" max="3" width="35.59765625" style="73" customWidth="1"/>
    <col min="4" max="4" width="6.09765625" style="73" customWidth="1"/>
    <col min="5" max="5" width="10.59765625" style="73" customWidth="1"/>
    <col min="6" max="6" width="12.59765625" style="73" customWidth="1"/>
    <col min="7" max="7" width="14.3984375" style="73" customWidth="1"/>
    <col min="8" max="8" width="7.3984375" style="73" customWidth="1"/>
    <col min="9" max="9" width="11.59765625" style="73" customWidth="1"/>
    <col min="10" max="10" width="18.8984375" style="73" customWidth="1"/>
    <col min="11" max="11" width="2.19921875" style="73" customWidth="1"/>
    <col min="12" max="16384" width="8.1992187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572</v>
      </c>
      <c r="C3" s="146" t="s">
        <v>573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74" t="s">
        <v>574</v>
      </c>
      <c r="C5" s="575"/>
      <c r="D5" s="153" t="s">
        <v>85</v>
      </c>
      <c r="E5" s="153" t="s">
        <v>575</v>
      </c>
      <c r="F5" s="153" t="s">
        <v>576</v>
      </c>
      <c r="G5" s="153" t="s">
        <v>577</v>
      </c>
      <c r="H5" s="154" t="s">
        <v>578</v>
      </c>
      <c r="I5" s="153" t="s">
        <v>579</v>
      </c>
      <c r="J5" s="155" t="s">
        <v>95</v>
      </c>
      <c r="K5" s="69"/>
    </row>
    <row r="6" spans="1:11" ht="10.5" customHeight="1">
      <c r="A6" s="69"/>
      <c r="B6" s="156" t="s">
        <v>580</v>
      </c>
      <c r="C6" s="157"/>
      <c r="D6" s="576" t="s">
        <v>581</v>
      </c>
      <c r="E6" s="578">
        <v>20</v>
      </c>
      <c r="F6" s="580">
        <v>51410</v>
      </c>
      <c r="G6" s="582">
        <v>1028200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582</v>
      </c>
      <c r="C7" s="160"/>
      <c r="D7" s="577"/>
      <c r="E7" s="579"/>
      <c r="F7" s="581"/>
      <c r="G7" s="583"/>
      <c r="H7" s="356"/>
      <c r="I7" s="356" t="s">
        <v>583</v>
      </c>
      <c r="J7" s="161"/>
      <c r="K7" s="69" t="s">
        <v>96</v>
      </c>
    </row>
    <row r="8" spans="1:11" ht="10.5" customHeight="1">
      <c r="A8" s="69"/>
      <c r="B8" s="156" t="s">
        <v>584</v>
      </c>
      <c r="C8" s="157"/>
      <c r="D8" s="576" t="s">
        <v>581</v>
      </c>
      <c r="E8" s="578">
        <v>20</v>
      </c>
      <c r="F8" s="580">
        <v>26510</v>
      </c>
      <c r="G8" s="582">
        <v>530200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585</v>
      </c>
      <c r="C9" s="160"/>
      <c r="D9" s="577"/>
      <c r="E9" s="579"/>
      <c r="F9" s="581"/>
      <c r="G9" s="583"/>
      <c r="H9" s="356"/>
      <c r="I9" s="356" t="s">
        <v>583</v>
      </c>
      <c r="J9" s="162"/>
      <c r="K9" s="69" t="s">
        <v>96</v>
      </c>
    </row>
    <row r="10" spans="1:11" ht="10.5" customHeight="1">
      <c r="A10" s="69"/>
      <c r="B10" s="156" t="s">
        <v>586</v>
      </c>
      <c r="C10" s="157"/>
      <c r="D10" s="576" t="s">
        <v>581</v>
      </c>
      <c r="E10" s="578">
        <v>20</v>
      </c>
      <c r="F10" s="580">
        <v>15880</v>
      </c>
      <c r="G10" s="582">
        <v>317600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587</v>
      </c>
      <c r="C11" s="160"/>
      <c r="D11" s="577"/>
      <c r="E11" s="579"/>
      <c r="F11" s="581"/>
      <c r="G11" s="583"/>
      <c r="H11" s="356"/>
      <c r="I11" s="356" t="s">
        <v>583</v>
      </c>
      <c r="J11" s="161"/>
      <c r="K11" s="69" t="s">
        <v>96</v>
      </c>
    </row>
    <row r="12" spans="1:11" ht="10.5" customHeight="1">
      <c r="A12" s="69"/>
      <c r="B12" s="156" t="s">
        <v>586</v>
      </c>
      <c r="C12" s="157"/>
      <c r="D12" s="576" t="s">
        <v>581</v>
      </c>
      <c r="E12" s="584">
        <v>20</v>
      </c>
      <c r="F12" s="580">
        <v>38610</v>
      </c>
      <c r="G12" s="582">
        <v>772200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588</v>
      </c>
      <c r="C13" s="160"/>
      <c r="D13" s="577"/>
      <c r="E13" s="585"/>
      <c r="F13" s="581"/>
      <c r="G13" s="583"/>
      <c r="H13" s="356"/>
      <c r="I13" s="356" t="s">
        <v>583</v>
      </c>
      <c r="J13" s="161"/>
      <c r="K13" s="69" t="s">
        <v>96</v>
      </c>
    </row>
    <row r="14" spans="1:11" ht="10.5" customHeight="1">
      <c r="A14" s="69"/>
      <c r="B14" s="156" t="s">
        <v>589</v>
      </c>
      <c r="C14" s="157"/>
      <c r="D14" s="576" t="s">
        <v>581</v>
      </c>
      <c r="E14" s="584">
        <v>20</v>
      </c>
      <c r="F14" s="580">
        <v>20950</v>
      </c>
      <c r="G14" s="582">
        <v>419000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590</v>
      </c>
      <c r="C15" s="160"/>
      <c r="D15" s="577"/>
      <c r="E15" s="585"/>
      <c r="F15" s="581"/>
      <c r="G15" s="583"/>
      <c r="H15" s="356"/>
      <c r="I15" s="356" t="s">
        <v>583</v>
      </c>
      <c r="J15" s="161"/>
      <c r="K15" s="69" t="s">
        <v>96</v>
      </c>
    </row>
    <row r="16" spans="1:11" ht="10.5" customHeight="1">
      <c r="A16" s="69"/>
      <c r="B16" s="156" t="s">
        <v>591</v>
      </c>
      <c r="C16" s="157"/>
      <c r="D16" s="576" t="s">
        <v>592</v>
      </c>
      <c r="E16" s="584">
        <v>1.2</v>
      </c>
      <c r="F16" s="580">
        <v>7900</v>
      </c>
      <c r="G16" s="582">
        <v>9480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583</v>
      </c>
      <c r="J17" s="161"/>
      <c r="K17" s="69" t="s">
        <v>96</v>
      </c>
    </row>
    <row r="18" spans="1:11" ht="10.5" customHeight="1">
      <c r="A18" s="69"/>
      <c r="B18" s="156" t="s">
        <v>593</v>
      </c>
      <c r="C18" s="157"/>
      <c r="D18" s="576" t="s">
        <v>592</v>
      </c>
      <c r="E18" s="584">
        <v>51.7</v>
      </c>
      <c r="F18" s="580">
        <v>1700</v>
      </c>
      <c r="G18" s="582">
        <v>87890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583</v>
      </c>
      <c r="J19" s="161"/>
      <c r="K19" s="69" t="s">
        <v>96</v>
      </c>
    </row>
    <row r="20" spans="1:11" ht="10.5" customHeight="1">
      <c r="A20" s="69"/>
      <c r="B20" s="156" t="s">
        <v>594</v>
      </c>
      <c r="C20" s="157"/>
      <c r="D20" s="576" t="s">
        <v>592</v>
      </c>
      <c r="E20" s="584">
        <v>37.814999999999998</v>
      </c>
      <c r="F20" s="580">
        <v>1500</v>
      </c>
      <c r="G20" s="582">
        <v>56722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595</v>
      </c>
      <c r="C21" s="160"/>
      <c r="D21" s="577"/>
      <c r="E21" s="585"/>
      <c r="F21" s="581"/>
      <c r="G21" s="583"/>
      <c r="H21" s="356"/>
      <c r="I21" s="356" t="s">
        <v>583</v>
      </c>
      <c r="J21" s="161"/>
      <c r="K21" s="69" t="s">
        <v>96</v>
      </c>
    </row>
    <row r="22" spans="1:11" ht="10.5" customHeight="1">
      <c r="A22" s="69"/>
      <c r="B22" s="156" t="s">
        <v>596</v>
      </c>
      <c r="C22" s="157"/>
      <c r="D22" s="576" t="s">
        <v>597</v>
      </c>
      <c r="E22" s="584">
        <v>50.948999999999998</v>
      </c>
      <c r="F22" s="580">
        <v>600</v>
      </c>
      <c r="G22" s="582">
        <v>30569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598</v>
      </c>
      <c r="C23" s="160"/>
      <c r="D23" s="577"/>
      <c r="E23" s="585"/>
      <c r="F23" s="581"/>
      <c r="G23" s="583"/>
      <c r="H23" s="356"/>
      <c r="I23" s="356" t="s">
        <v>583</v>
      </c>
      <c r="J23" s="161"/>
      <c r="K23" s="69" t="s">
        <v>96</v>
      </c>
    </row>
    <row r="24" spans="1:11" ht="10.5" customHeight="1">
      <c r="A24" s="69"/>
      <c r="B24" s="156" t="s">
        <v>599</v>
      </c>
      <c r="C24" s="157"/>
      <c r="D24" s="576" t="s">
        <v>600</v>
      </c>
      <c r="E24" s="578">
        <v>10.005000000000001</v>
      </c>
      <c r="F24" s="580">
        <v>7520</v>
      </c>
      <c r="G24" s="582">
        <v>75237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601</v>
      </c>
      <c r="C25" s="160"/>
      <c r="D25" s="577"/>
      <c r="E25" s="579"/>
      <c r="F25" s="581"/>
      <c r="G25" s="583"/>
      <c r="H25" s="356"/>
      <c r="I25" s="356" t="s">
        <v>583</v>
      </c>
      <c r="J25" s="161"/>
      <c r="K25" s="69" t="s">
        <v>96</v>
      </c>
    </row>
    <row r="26" spans="1:11" ht="10.5" customHeight="1">
      <c r="A26" s="69"/>
      <c r="B26" s="156" t="s">
        <v>602</v>
      </c>
      <c r="C26" s="157"/>
      <c r="D26" s="576" t="s">
        <v>603</v>
      </c>
      <c r="E26" s="584">
        <v>0.123</v>
      </c>
      <c r="F26" s="580">
        <v>10000</v>
      </c>
      <c r="G26" s="582">
        <v>1230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604</v>
      </c>
      <c r="C27" s="160"/>
      <c r="D27" s="577"/>
      <c r="E27" s="585"/>
      <c r="F27" s="581"/>
      <c r="G27" s="583"/>
      <c r="H27" s="356"/>
      <c r="I27" s="356" t="s">
        <v>583</v>
      </c>
      <c r="J27" s="161"/>
      <c r="K27" s="69" t="s">
        <v>96</v>
      </c>
    </row>
    <row r="28" spans="1:11" ht="10.5" customHeight="1">
      <c r="A28" s="69"/>
      <c r="B28" s="156" t="s">
        <v>602</v>
      </c>
      <c r="C28" s="157"/>
      <c r="D28" s="576" t="s">
        <v>603</v>
      </c>
      <c r="E28" s="584">
        <v>3.1199999999999999E-2</v>
      </c>
      <c r="F28" s="580">
        <v>9000</v>
      </c>
      <c r="G28" s="582">
        <v>280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605</v>
      </c>
      <c r="C29" s="160"/>
      <c r="D29" s="577"/>
      <c r="E29" s="585"/>
      <c r="F29" s="581"/>
      <c r="G29" s="583"/>
      <c r="H29" s="356"/>
      <c r="I29" s="356" t="s">
        <v>583</v>
      </c>
      <c r="J29" s="161"/>
      <c r="K29" s="69" t="s">
        <v>96</v>
      </c>
    </row>
    <row r="30" spans="1:11" ht="10.5" customHeight="1">
      <c r="A30" s="69"/>
      <c r="B30" s="156" t="s">
        <v>602</v>
      </c>
      <c r="C30" s="157"/>
      <c r="D30" s="576" t="s">
        <v>603</v>
      </c>
      <c r="E30" s="584">
        <v>7.6E-3</v>
      </c>
      <c r="F30" s="580">
        <v>9000</v>
      </c>
      <c r="G30" s="582">
        <v>68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605</v>
      </c>
      <c r="C31" s="160"/>
      <c r="D31" s="577"/>
      <c r="E31" s="585"/>
      <c r="F31" s="581"/>
      <c r="G31" s="583"/>
      <c r="H31" s="356"/>
      <c r="I31" s="356" t="s">
        <v>583</v>
      </c>
      <c r="J31" s="161"/>
      <c r="K31" s="69" t="s">
        <v>96</v>
      </c>
    </row>
    <row r="32" spans="1:11" ht="10.5" customHeight="1">
      <c r="A32" s="69"/>
      <c r="B32" s="156" t="s">
        <v>606</v>
      </c>
      <c r="C32" s="157"/>
      <c r="D32" s="576" t="s">
        <v>600</v>
      </c>
      <c r="E32" s="584">
        <v>1.9162999999999999</v>
      </c>
      <c r="F32" s="580">
        <v>535</v>
      </c>
      <c r="G32" s="582">
        <v>1025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607</v>
      </c>
      <c r="C33" s="160"/>
      <c r="D33" s="577"/>
      <c r="E33" s="585"/>
      <c r="F33" s="581"/>
      <c r="G33" s="583"/>
      <c r="H33" s="356"/>
      <c r="I33" s="356" t="s">
        <v>583</v>
      </c>
      <c r="J33" s="161"/>
      <c r="K33" s="69" t="s">
        <v>96</v>
      </c>
    </row>
    <row r="34" spans="1:11" ht="10.5" customHeight="1">
      <c r="A34" s="69"/>
      <c r="B34" s="156" t="s">
        <v>606</v>
      </c>
      <c r="C34" s="157"/>
      <c r="D34" s="576" t="s">
        <v>600</v>
      </c>
      <c r="E34" s="584">
        <v>1.9048</v>
      </c>
      <c r="F34" s="580">
        <v>535</v>
      </c>
      <c r="G34" s="582">
        <v>1019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607</v>
      </c>
      <c r="C35" s="160"/>
      <c r="D35" s="577"/>
      <c r="E35" s="585"/>
      <c r="F35" s="581"/>
      <c r="G35" s="583"/>
      <c r="H35" s="356"/>
      <c r="I35" s="356" t="s">
        <v>583</v>
      </c>
      <c r="J35" s="161"/>
      <c r="K35" s="69" t="s">
        <v>96</v>
      </c>
    </row>
    <row r="36" spans="1:11" ht="10.5" customHeight="1">
      <c r="A36" s="69"/>
      <c r="B36" s="156" t="s">
        <v>608</v>
      </c>
      <c r="C36" s="157"/>
      <c r="D36" s="576" t="s">
        <v>609</v>
      </c>
      <c r="E36" s="584">
        <v>7.2043999999999997</v>
      </c>
      <c r="F36" s="580">
        <v>152</v>
      </c>
      <c r="G36" s="582">
        <v>1095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610</v>
      </c>
      <c r="C37" s="160"/>
      <c r="D37" s="577"/>
      <c r="E37" s="585"/>
      <c r="F37" s="581"/>
      <c r="G37" s="583"/>
      <c r="H37" s="356"/>
      <c r="I37" s="356" t="s">
        <v>583</v>
      </c>
      <c r="J37" s="161"/>
      <c r="K37" s="69" t="s">
        <v>96</v>
      </c>
    </row>
    <row r="38" spans="1:11" ht="10.5" customHeight="1">
      <c r="A38" s="69"/>
      <c r="B38" s="156" t="s">
        <v>608</v>
      </c>
      <c r="C38" s="157"/>
      <c r="D38" s="576" t="s">
        <v>609</v>
      </c>
      <c r="E38" s="584">
        <v>7.1609999999999996</v>
      </c>
      <c r="F38" s="580">
        <v>152</v>
      </c>
      <c r="G38" s="582">
        <v>1088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610</v>
      </c>
      <c r="C39" s="160"/>
      <c r="D39" s="577"/>
      <c r="E39" s="585"/>
      <c r="F39" s="581"/>
      <c r="G39" s="583"/>
      <c r="H39" s="356"/>
      <c r="I39" s="356" t="s">
        <v>583</v>
      </c>
      <c r="J39" s="161"/>
      <c r="K39" s="69" t="s">
        <v>96</v>
      </c>
    </row>
    <row r="40" spans="1:11" ht="10.5" customHeight="1">
      <c r="A40" s="69"/>
      <c r="B40" s="156" t="s">
        <v>611</v>
      </c>
      <c r="C40" s="157"/>
      <c r="D40" s="576" t="s">
        <v>612</v>
      </c>
      <c r="E40" s="584">
        <v>1</v>
      </c>
      <c r="F40" s="580">
        <v>3400</v>
      </c>
      <c r="G40" s="582">
        <v>3400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613</v>
      </c>
      <c r="C41" s="160"/>
      <c r="D41" s="577"/>
      <c r="E41" s="585"/>
      <c r="F41" s="581"/>
      <c r="G41" s="583"/>
      <c r="H41" s="356"/>
      <c r="I41" s="356" t="s">
        <v>583</v>
      </c>
      <c r="J41" s="161"/>
      <c r="K41" s="69" t="s">
        <v>96</v>
      </c>
    </row>
    <row r="42" spans="1:11" ht="10.5" customHeight="1">
      <c r="A42" s="69"/>
      <c r="B42" s="156" t="s">
        <v>614</v>
      </c>
      <c r="C42" s="157"/>
      <c r="D42" s="576" t="s">
        <v>612</v>
      </c>
      <c r="E42" s="584">
        <v>25.502500000000001</v>
      </c>
      <c r="F42" s="580">
        <v>5600</v>
      </c>
      <c r="G42" s="582">
        <v>142814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615</v>
      </c>
      <c r="C43" s="160"/>
      <c r="D43" s="577"/>
      <c r="E43" s="585"/>
      <c r="F43" s="581"/>
      <c r="G43" s="583"/>
      <c r="H43" s="356"/>
      <c r="I43" s="356" t="s">
        <v>583</v>
      </c>
      <c r="J43" s="161"/>
      <c r="K43" s="69" t="s">
        <v>96</v>
      </c>
    </row>
    <row r="44" spans="1:11" ht="10.5" customHeight="1">
      <c r="A44" s="69"/>
      <c r="B44" s="156" t="s">
        <v>616</v>
      </c>
      <c r="C44" s="157"/>
      <c r="D44" s="576" t="s">
        <v>612</v>
      </c>
      <c r="E44" s="584">
        <v>25.502500000000001</v>
      </c>
      <c r="F44" s="580">
        <v>8500</v>
      </c>
      <c r="G44" s="582">
        <v>216771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615</v>
      </c>
      <c r="C45" s="160"/>
      <c r="D45" s="577"/>
      <c r="E45" s="585"/>
      <c r="F45" s="581"/>
      <c r="G45" s="583"/>
      <c r="H45" s="356"/>
      <c r="I45" s="356" t="s">
        <v>583</v>
      </c>
      <c r="J45" s="161"/>
      <c r="K45" s="69" t="s">
        <v>96</v>
      </c>
    </row>
    <row r="46" spans="1:11" ht="10.5" customHeight="1">
      <c r="A46" s="69"/>
      <c r="B46" s="156" t="s">
        <v>617</v>
      </c>
      <c r="C46" s="157"/>
      <c r="D46" s="586" t="s">
        <v>618</v>
      </c>
      <c r="E46" s="588">
        <v>0.6</v>
      </c>
      <c r="F46" s="590">
        <v>1200</v>
      </c>
      <c r="G46" s="592">
        <v>720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619</v>
      </c>
      <c r="C47" s="164"/>
      <c r="D47" s="587"/>
      <c r="E47" s="589"/>
      <c r="F47" s="591"/>
      <c r="G47" s="593"/>
      <c r="H47" s="357"/>
      <c r="I47" s="357" t="s">
        <v>583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620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572</v>
      </c>
      <c r="C52" s="146" t="s">
        <v>573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74" t="s">
        <v>574</v>
      </c>
      <c r="C54" s="575"/>
      <c r="D54" s="153" t="s">
        <v>85</v>
      </c>
      <c r="E54" s="153" t="s">
        <v>575</v>
      </c>
      <c r="F54" s="153" t="s">
        <v>576</v>
      </c>
      <c r="G54" s="153" t="s">
        <v>577</v>
      </c>
      <c r="H54" s="154" t="s">
        <v>578</v>
      </c>
      <c r="I54" s="153" t="s">
        <v>579</v>
      </c>
      <c r="J54" s="155" t="s">
        <v>95</v>
      </c>
      <c r="K54" s="69"/>
    </row>
    <row r="55" spans="1:11" ht="10.5" customHeight="1">
      <c r="A55" s="69"/>
      <c r="B55" s="156" t="s">
        <v>617</v>
      </c>
      <c r="C55" s="157"/>
      <c r="D55" s="576" t="s">
        <v>618</v>
      </c>
      <c r="E55" s="578">
        <v>0.5</v>
      </c>
      <c r="F55" s="580">
        <v>1200</v>
      </c>
      <c r="G55" s="582">
        <v>600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619</v>
      </c>
      <c r="C56" s="160"/>
      <c r="D56" s="577"/>
      <c r="E56" s="579"/>
      <c r="F56" s="581"/>
      <c r="G56" s="583"/>
      <c r="H56" s="356"/>
      <c r="I56" s="356" t="s">
        <v>583</v>
      </c>
      <c r="J56" s="161"/>
      <c r="K56" s="69" t="s">
        <v>96</v>
      </c>
    </row>
    <row r="57" spans="1:11" ht="10.5" customHeight="1">
      <c r="A57" s="69"/>
      <c r="B57" s="156" t="s">
        <v>617</v>
      </c>
      <c r="C57" s="157"/>
      <c r="D57" s="576" t="s">
        <v>618</v>
      </c>
      <c r="E57" s="578">
        <v>6.0000000000000001E-3</v>
      </c>
      <c r="F57" s="580">
        <v>1200</v>
      </c>
      <c r="G57" s="582">
        <v>7</v>
      </c>
      <c r="H57" s="355"/>
      <c r="I57" s="355"/>
      <c r="J57" s="162"/>
      <c r="K57" s="69" t="s">
        <v>96</v>
      </c>
    </row>
    <row r="58" spans="1:11" ht="10.5" customHeight="1">
      <c r="A58" s="69"/>
      <c r="B58" s="159" t="s">
        <v>619</v>
      </c>
      <c r="C58" s="160"/>
      <c r="D58" s="577"/>
      <c r="E58" s="579"/>
      <c r="F58" s="581"/>
      <c r="G58" s="583"/>
      <c r="H58" s="356"/>
      <c r="I58" s="356" t="s">
        <v>583</v>
      </c>
      <c r="J58" s="162"/>
      <c r="K58" s="69" t="s">
        <v>96</v>
      </c>
    </row>
    <row r="59" spans="1:11" ht="10.5" customHeight="1">
      <c r="A59" s="69"/>
      <c r="B59" s="156" t="s">
        <v>617</v>
      </c>
      <c r="C59" s="157"/>
      <c r="D59" s="576" t="s">
        <v>618</v>
      </c>
      <c r="E59" s="578">
        <v>5.0000000000000001E-3</v>
      </c>
      <c r="F59" s="580">
        <v>1200</v>
      </c>
      <c r="G59" s="582">
        <v>6</v>
      </c>
      <c r="H59" s="355"/>
      <c r="I59" s="355"/>
      <c r="J59" s="158"/>
      <c r="K59" s="69" t="s">
        <v>96</v>
      </c>
    </row>
    <row r="60" spans="1:11" ht="10.5" customHeight="1">
      <c r="A60" s="69"/>
      <c r="B60" s="159" t="s">
        <v>619</v>
      </c>
      <c r="C60" s="160"/>
      <c r="D60" s="577"/>
      <c r="E60" s="579"/>
      <c r="F60" s="581"/>
      <c r="G60" s="583"/>
      <c r="H60" s="356"/>
      <c r="I60" s="356" t="s">
        <v>583</v>
      </c>
      <c r="J60" s="161"/>
      <c r="K60" s="69" t="s">
        <v>96</v>
      </c>
    </row>
    <row r="61" spans="1:11" ht="10.5" customHeight="1">
      <c r="A61" s="69"/>
      <c r="B61" s="156" t="s">
        <v>621</v>
      </c>
      <c r="C61" s="157"/>
      <c r="D61" s="576" t="s">
        <v>609</v>
      </c>
      <c r="E61" s="584">
        <v>4.37</v>
      </c>
      <c r="F61" s="580">
        <v>139</v>
      </c>
      <c r="G61" s="582">
        <v>607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622</v>
      </c>
      <c r="C62" s="160"/>
      <c r="D62" s="577"/>
      <c r="E62" s="585"/>
      <c r="F62" s="581"/>
      <c r="G62" s="583"/>
      <c r="H62" s="356"/>
      <c r="I62" s="356" t="s">
        <v>583</v>
      </c>
      <c r="J62" s="161"/>
      <c r="K62" s="69" t="s">
        <v>96</v>
      </c>
    </row>
    <row r="63" spans="1:11" ht="10.5" customHeight="1">
      <c r="A63" s="69"/>
      <c r="B63" s="156" t="s">
        <v>621</v>
      </c>
      <c r="C63" s="157"/>
      <c r="D63" s="576" t="s">
        <v>609</v>
      </c>
      <c r="E63" s="584">
        <v>2.15</v>
      </c>
      <c r="F63" s="580">
        <v>139</v>
      </c>
      <c r="G63" s="582">
        <v>298</v>
      </c>
      <c r="H63" s="355"/>
      <c r="I63" s="355"/>
      <c r="J63" s="158"/>
      <c r="K63" s="69" t="s">
        <v>96</v>
      </c>
    </row>
    <row r="64" spans="1:11" ht="10.5" customHeight="1">
      <c r="A64" s="69"/>
      <c r="B64" s="159" t="s">
        <v>622</v>
      </c>
      <c r="C64" s="160"/>
      <c r="D64" s="577"/>
      <c r="E64" s="585"/>
      <c r="F64" s="581"/>
      <c r="G64" s="583"/>
      <c r="H64" s="356"/>
      <c r="I64" s="356" t="s">
        <v>583</v>
      </c>
      <c r="J64" s="161"/>
      <c r="K64" s="69" t="s">
        <v>96</v>
      </c>
    </row>
    <row r="65" spans="1:11" ht="10.5" customHeight="1">
      <c r="A65" s="69"/>
      <c r="B65" s="156" t="s">
        <v>621</v>
      </c>
      <c r="C65" s="157"/>
      <c r="D65" s="576" t="s">
        <v>609</v>
      </c>
      <c r="E65" s="584">
        <v>1.53</v>
      </c>
      <c r="F65" s="580">
        <v>139</v>
      </c>
      <c r="G65" s="582">
        <v>212</v>
      </c>
      <c r="H65" s="355"/>
      <c r="I65" s="355"/>
      <c r="J65" s="158"/>
      <c r="K65" s="69" t="s">
        <v>96</v>
      </c>
    </row>
    <row r="66" spans="1:11" ht="10.5" customHeight="1">
      <c r="A66" s="69"/>
      <c r="B66" s="159" t="s">
        <v>622</v>
      </c>
      <c r="C66" s="160"/>
      <c r="D66" s="577"/>
      <c r="E66" s="585"/>
      <c r="F66" s="581"/>
      <c r="G66" s="583"/>
      <c r="H66" s="356"/>
      <c r="I66" s="356" t="s">
        <v>583</v>
      </c>
      <c r="J66" s="161"/>
      <c r="K66" s="69" t="s">
        <v>96</v>
      </c>
    </row>
    <row r="67" spans="1:11" ht="10.5" customHeight="1">
      <c r="A67" s="69"/>
      <c r="B67" s="156" t="s">
        <v>621</v>
      </c>
      <c r="C67" s="157"/>
      <c r="D67" s="576" t="s">
        <v>609</v>
      </c>
      <c r="E67" s="584">
        <v>0.45100000000000001</v>
      </c>
      <c r="F67" s="580">
        <v>139</v>
      </c>
      <c r="G67" s="582">
        <v>62</v>
      </c>
      <c r="H67" s="355"/>
      <c r="I67" s="355"/>
      <c r="J67" s="158"/>
      <c r="K67" s="69" t="s">
        <v>96</v>
      </c>
    </row>
    <row r="68" spans="1:11" ht="10.5" customHeight="1">
      <c r="A68" s="69"/>
      <c r="B68" s="159" t="s">
        <v>622</v>
      </c>
      <c r="C68" s="160"/>
      <c r="D68" s="577"/>
      <c r="E68" s="585"/>
      <c r="F68" s="581"/>
      <c r="G68" s="583"/>
      <c r="H68" s="356"/>
      <c r="I68" s="356" t="s">
        <v>583</v>
      </c>
      <c r="J68" s="161"/>
      <c r="K68" s="69" t="s">
        <v>96</v>
      </c>
    </row>
    <row r="69" spans="1:11" ht="10.5" customHeight="1">
      <c r="A69" s="69"/>
      <c r="B69" s="156" t="s">
        <v>621</v>
      </c>
      <c r="C69" s="157"/>
      <c r="D69" s="576" t="s">
        <v>609</v>
      </c>
      <c r="E69" s="584">
        <v>229.44800000000001</v>
      </c>
      <c r="F69" s="580">
        <v>126</v>
      </c>
      <c r="G69" s="582">
        <v>28910</v>
      </c>
      <c r="H69" s="355"/>
      <c r="I69" s="355"/>
      <c r="J69" s="158"/>
      <c r="K69" s="69" t="s">
        <v>96</v>
      </c>
    </row>
    <row r="70" spans="1:11" ht="10.5" customHeight="1">
      <c r="A70" s="69"/>
      <c r="B70" s="159" t="s">
        <v>623</v>
      </c>
      <c r="C70" s="160"/>
      <c r="D70" s="577"/>
      <c r="E70" s="585"/>
      <c r="F70" s="581"/>
      <c r="G70" s="583"/>
      <c r="H70" s="356"/>
      <c r="I70" s="356" t="s">
        <v>583</v>
      </c>
      <c r="J70" s="161"/>
      <c r="K70" s="69" t="s">
        <v>96</v>
      </c>
    </row>
    <row r="71" spans="1:11" ht="10.5" customHeight="1">
      <c r="A71" s="69"/>
      <c r="B71" s="156" t="s">
        <v>621</v>
      </c>
      <c r="C71" s="157"/>
      <c r="D71" s="576" t="s">
        <v>609</v>
      </c>
      <c r="E71" s="584">
        <v>88.087999999999994</v>
      </c>
      <c r="F71" s="580">
        <v>126</v>
      </c>
      <c r="G71" s="582">
        <v>11099</v>
      </c>
      <c r="H71" s="355"/>
      <c r="I71" s="355"/>
      <c r="J71" s="158"/>
      <c r="K71" s="69" t="s">
        <v>96</v>
      </c>
    </row>
    <row r="72" spans="1:11" ht="10.5" customHeight="1">
      <c r="A72" s="69"/>
      <c r="B72" s="159" t="s">
        <v>623</v>
      </c>
      <c r="C72" s="160"/>
      <c r="D72" s="577"/>
      <c r="E72" s="585"/>
      <c r="F72" s="581"/>
      <c r="G72" s="583"/>
      <c r="H72" s="356"/>
      <c r="I72" s="356" t="s">
        <v>583</v>
      </c>
      <c r="J72" s="161"/>
      <c r="K72" s="69" t="s">
        <v>96</v>
      </c>
    </row>
    <row r="73" spans="1:11" ht="10.5" customHeight="1">
      <c r="A73" s="69"/>
      <c r="B73" s="156" t="s">
        <v>621</v>
      </c>
      <c r="C73" s="157"/>
      <c r="D73" s="576" t="s">
        <v>609</v>
      </c>
      <c r="E73" s="578">
        <v>77.616</v>
      </c>
      <c r="F73" s="580">
        <v>126</v>
      </c>
      <c r="G73" s="582">
        <v>9779</v>
      </c>
      <c r="H73" s="355"/>
      <c r="I73" s="355"/>
      <c r="J73" s="158"/>
      <c r="K73" s="69" t="s">
        <v>96</v>
      </c>
    </row>
    <row r="74" spans="1:11" ht="10.5" customHeight="1">
      <c r="A74" s="69"/>
      <c r="B74" s="159" t="s">
        <v>623</v>
      </c>
      <c r="C74" s="160"/>
      <c r="D74" s="577"/>
      <c r="E74" s="579"/>
      <c r="F74" s="581"/>
      <c r="G74" s="583"/>
      <c r="H74" s="356"/>
      <c r="I74" s="356" t="s">
        <v>583</v>
      </c>
      <c r="J74" s="161"/>
      <c r="K74" s="69" t="s">
        <v>96</v>
      </c>
    </row>
    <row r="75" spans="1:11" ht="10.5" customHeight="1">
      <c r="A75" s="69"/>
      <c r="B75" s="156" t="s">
        <v>621</v>
      </c>
      <c r="C75" s="157"/>
      <c r="D75" s="576" t="s">
        <v>609</v>
      </c>
      <c r="E75" s="584">
        <v>34.357999999999997</v>
      </c>
      <c r="F75" s="580">
        <v>126</v>
      </c>
      <c r="G75" s="582">
        <v>4329</v>
      </c>
      <c r="H75" s="355"/>
      <c r="I75" s="355"/>
      <c r="J75" s="158"/>
      <c r="K75" s="69" t="s">
        <v>96</v>
      </c>
    </row>
    <row r="76" spans="1:11" ht="10.5" customHeight="1">
      <c r="A76" s="69"/>
      <c r="B76" s="159" t="s">
        <v>623</v>
      </c>
      <c r="C76" s="160"/>
      <c r="D76" s="577"/>
      <c r="E76" s="585"/>
      <c r="F76" s="581"/>
      <c r="G76" s="583"/>
      <c r="H76" s="356"/>
      <c r="I76" s="356" t="s">
        <v>583</v>
      </c>
      <c r="J76" s="161"/>
      <c r="K76" s="69" t="s">
        <v>96</v>
      </c>
    </row>
    <row r="77" spans="1:11" ht="10.5" customHeight="1">
      <c r="A77" s="69"/>
      <c r="B77" s="156" t="s">
        <v>621</v>
      </c>
      <c r="C77" s="157"/>
      <c r="D77" s="576" t="s">
        <v>609</v>
      </c>
      <c r="E77" s="584">
        <v>34.151000000000003</v>
      </c>
      <c r="F77" s="580">
        <v>126</v>
      </c>
      <c r="G77" s="582">
        <v>4303</v>
      </c>
      <c r="H77" s="355"/>
      <c r="I77" s="355"/>
      <c r="J77" s="158"/>
      <c r="K77" s="69" t="s">
        <v>96</v>
      </c>
    </row>
    <row r="78" spans="1:11" ht="10.5" customHeight="1">
      <c r="A78" s="69"/>
      <c r="B78" s="159" t="s">
        <v>623</v>
      </c>
      <c r="C78" s="160"/>
      <c r="D78" s="577"/>
      <c r="E78" s="585"/>
      <c r="F78" s="581"/>
      <c r="G78" s="583"/>
      <c r="H78" s="356"/>
      <c r="I78" s="356" t="s">
        <v>583</v>
      </c>
      <c r="J78" s="161"/>
      <c r="K78" s="69" t="s">
        <v>96</v>
      </c>
    </row>
    <row r="79" spans="1:11" ht="10.5" customHeight="1">
      <c r="A79" s="69"/>
      <c r="B79" s="156" t="s">
        <v>621</v>
      </c>
      <c r="C79" s="157"/>
      <c r="D79" s="576" t="s">
        <v>609</v>
      </c>
      <c r="E79" s="584">
        <v>1.1200000000000001</v>
      </c>
      <c r="F79" s="580">
        <v>126</v>
      </c>
      <c r="G79" s="582">
        <v>141</v>
      </c>
      <c r="H79" s="355"/>
      <c r="I79" s="355"/>
      <c r="J79" s="158"/>
      <c r="K79" s="69" t="s">
        <v>96</v>
      </c>
    </row>
    <row r="80" spans="1:11" ht="10.5" customHeight="1">
      <c r="A80" s="69"/>
      <c r="B80" s="159" t="s">
        <v>623</v>
      </c>
      <c r="C80" s="160"/>
      <c r="D80" s="577"/>
      <c r="E80" s="585"/>
      <c r="F80" s="581"/>
      <c r="G80" s="583"/>
      <c r="H80" s="356"/>
      <c r="I80" s="356" t="s">
        <v>583</v>
      </c>
      <c r="J80" s="161"/>
      <c r="K80" s="69" t="s">
        <v>96</v>
      </c>
    </row>
    <row r="81" spans="1:11" ht="10.5" customHeight="1">
      <c r="A81" s="69"/>
      <c r="B81" s="156" t="s">
        <v>624</v>
      </c>
      <c r="C81" s="157"/>
      <c r="D81" s="576" t="s">
        <v>625</v>
      </c>
      <c r="E81" s="584">
        <v>20</v>
      </c>
      <c r="F81" s="580">
        <v>11233</v>
      </c>
      <c r="G81" s="582">
        <v>224660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583</v>
      </c>
      <c r="J82" s="161"/>
      <c r="K82" s="69" t="s">
        <v>96</v>
      </c>
    </row>
    <row r="83" spans="1:11" ht="10.5" customHeight="1">
      <c r="A83" s="69"/>
      <c r="B83" s="156" t="s">
        <v>624</v>
      </c>
      <c r="C83" s="157"/>
      <c r="D83" s="576" t="s">
        <v>625</v>
      </c>
      <c r="E83" s="584">
        <v>1</v>
      </c>
      <c r="F83" s="580">
        <v>65543</v>
      </c>
      <c r="G83" s="582">
        <v>65543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583</v>
      </c>
      <c r="J84" s="161"/>
      <c r="K84" s="69" t="s">
        <v>96</v>
      </c>
    </row>
    <row r="85" spans="1:11" ht="10.5" customHeight="1">
      <c r="A85" s="69"/>
      <c r="B85" s="156" t="s">
        <v>624</v>
      </c>
      <c r="C85" s="157"/>
      <c r="D85" s="576" t="s">
        <v>625</v>
      </c>
      <c r="E85" s="584">
        <v>9.36</v>
      </c>
      <c r="F85" s="580">
        <v>5000</v>
      </c>
      <c r="G85" s="582">
        <v>46800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583</v>
      </c>
      <c r="J86" s="161"/>
      <c r="K86" s="69" t="s">
        <v>96</v>
      </c>
    </row>
    <row r="87" spans="1:11" ht="10.5" customHeight="1">
      <c r="A87" s="69"/>
      <c r="B87" s="156" t="s">
        <v>624</v>
      </c>
      <c r="C87" s="157"/>
      <c r="D87" s="576" t="s">
        <v>625</v>
      </c>
      <c r="E87" s="584">
        <v>10</v>
      </c>
      <c r="F87" s="580">
        <v>3825</v>
      </c>
      <c r="G87" s="582">
        <v>38250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583</v>
      </c>
      <c r="J88" s="161"/>
      <c r="K88" s="69" t="s">
        <v>96</v>
      </c>
    </row>
    <row r="89" spans="1:11" ht="10.5" customHeight="1">
      <c r="A89" s="69"/>
      <c r="B89" s="156" t="s">
        <v>624</v>
      </c>
      <c r="C89" s="157"/>
      <c r="D89" s="576" t="s">
        <v>625</v>
      </c>
      <c r="E89" s="584">
        <v>4</v>
      </c>
      <c r="F89" s="580">
        <v>9500</v>
      </c>
      <c r="G89" s="582">
        <v>38000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583</v>
      </c>
      <c r="J90" s="161"/>
      <c r="K90" s="69" t="s">
        <v>96</v>
      </c>
    </row>
    <row r="91" spans="1:11" ht="10.5" customHeight="1">
      <c r="A91" s="69"/>
      <c r="B91" s="156" t="s">
        <v>624</v>
      </c>
      <c r="C91" s="157"/>
      <c r="D91" s="576" t="s">
        <v>625</v>
      </c>
      <c r="E91" s="584">
        <v>10</v>
      </c>
      <c r="F91" s="580">
        <v>3752</v>
      </c>
      <c r="G91" s="582">
        <v>37520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583</v>
      </c>
      <c r="J92" s="161"/>
      <c r="K92" s="69" t="s">
        <v>96</v>
      </c>
    </row>
    <row r="93" spans="1:11" ht="10.5" customHeight="1">
      <c r="A93" s="69"/>
      <c r="B93" s="156" t="s">
        <v>624</v>
      </c>
      <c r="C93" s="157"/>
      <c r="D93" s="576" t="s">
        <v>625</v>
      </c>
      <c r="E93" s="584">
        <v>0.72199999999999998</v>
      </c>
      <c r="F93" s="580">
        <v>20000</v>
      </c>
      <c r="G93" s="582">
        <v>14440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583</v>
      </c>
      <c r="J94" s="161"/>
      <c r="K94" s="69" t="s">
        <v>96</v>
      </c>
    </row>
    <row r="95" spans="1:11" ht="10.5" customHeight="1">
      <c r="A95" s="69"/>
      <c r="B95" s="156" t="s">
        <v>624</v>
      </c>
      <c r="C95" s="157"/>
      <c r="D95" s="586" t="s">
        <v>625</v>
      </c>
      <c r="E95" s="588">
        <v>2.86</v>
      </c>
      <c r="F95" s="590">
        <v>5000</v>
      </c>
      <c r="G95" s="592">
        <v>14300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583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620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572</v>
      </c>
      <c r="C101" s="146" t="s">
        <v>573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/>
      <c r="K102" s="69"/>
    </row>
    <row r="103" spans="1:11" ht="18" customHeight="1">
      <c r="A103" s="69"/>
      <c r="B103" s="574" t="s">
        <v>574</v>
      </c>
      <c r="C103" s="575"/>
      <c r="D103" s="153" t="s">
        <v>85</v>
      </c>
      <c r="E103" s="153" t="s">
        <v>575</v>
      </c>
      <c r="F103" s="153" t="s">
        <v>576</v>
      </c>
      <c r="G103" s="153" t="s">
        <v>577</v>
      </c>
      <c r="H103" s="154" t="s">
        <v>578</v>
      </c>
      <c r="I103" s="153" t="s">
        <v>579</v>
      </c>
      <c r="J103" s="155" t="s">
        <v>95</v>
      </c>
      <c r="K103" s="69"/>
    </row>
    <row r="104" spans="1:11" ht="10.5" customHeight="1">
      <c r="A104" s="69"/>
      <c r="B104" s="156" t="s">
        <v>624</v>
      </c>
      <c r="C104" s="157"/>
      <c r="D104" s="576" t="s">
        <v>625</v>
      </c>
      <c r="E104" s="578">
        <v>2.31</v>
      </c>
      <c r="F104" s="580">
        <v>5000</v>
      </c>
      <c r="G104" s="582">
        <v>11550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583</v>
      </c>
      <c r="J105" s="161"/>
      <c r="K105" s="69" t="s">
        <v>96</v>
      </c>
    </row>
    <row r="106" spans="1:11" ht="10.5" customHeight="1">
      <c r="A106" s="69"/>
      <c r="B106" s="156" t="s">
        <v>624</v>
      </c>
      <c r="C106" s="157"/>
      <c r="D106" s="576" t="s">
        <v>625</v>
      </c>
      <c r="E106" s="578">
        <v>2.62</v>
      </c>
      <c r="F106" s="580">
        <v>2750</v>
      </c>
      <c r="G106" s="582">
        <v>7205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583</v>
      </c>
      <c r="J107" s="162"/>
      <c r="K107" s="69" t="s">
        <v>96</v>
      </c>
    </row>
    <row r="108" spans="1:11" ht="10.5" customHeight="1">
      <c r="A108" s="69"/>
      <c r="B108" s="156" t="s">
        <v>624</v>
      </c>
      <c r="C108" s="157"/>
      <c r="D108" s="576" t="s">
        <v>625</v>
      </c>
      <c r="E108" s="578">
        <v>2.0625</v>
      </c>
      <c r="F108" s="580">
        <v>3000</v>
      </c>
      <c r="G108" s="582">
        <v>6187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583</v>
      </c>
      <c r="J109" s="161"/>
      <c r="K109" s="69" t="s">
        <v>96</v>
      </c>
    </row>
    <row r="110" spans="1:11" ht="10.5" customHeight="1">
      <c r="A110" s="69"/>
      <c r="B110" s="156" t="s">
        <v>624</v>
      </c>
      <c r="C110" s="157"/>
      <c r="D110" s="576" t="s">
        <v>625</v>
      </c>
      <c r="E110" s="584">
        <v>1.1435</v>
      </c>
      <c r="F110" s="580">
        <v>2750</v>
      </c>
      <c r="G110" s="582">
        <v>3144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583</v>
      </c>
      <c r="J111" s="161"/>
      <c r="K111" s="69" t="s">
        <v>96</v>
      </c>
    </row>
    <row r="112" spans="1:11" ht="10.5" customHeight="1">
      <c r="A112" s="69"/>
      <c r="B112" s="156" t="s">
        <v>624</v>
      </c>
      <c r="C112" s="157"/>
      <c r="D112" s="576" t="s">
        <v>625</v>
      </c>
      <c r="E112" s="584">
        <v>0.96250000000000002</v>
      </c>
      <c r="F112" s="580">
        <v>3000</v>
      </c>
      <c r="G112" s="582">
        <v>2887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 t="s">
        <v>583</v>
      </c>
      <c r="J113" s="161"/>
      <c r="K113" s="69" t="s">
        <v>96</v>
      </c>
    </row>
    <row r="114" spans="1:11" ht="10.5" customHeight="1">
      <c r="A114" s="69"/>
      <c r="B114" s="156" t="s">
        <v>624</v>
      </c>
      <c r="C114" s="157"/>
      <c r="D114" s="576" t="s">
        <v>625</v>
      </c>
      <c r="E114" s="584">
        <v>0.21179999999999999</v>
      </c>
      <c r="F114" s="580">
        <v>9188</v>
      </c>
      <c r="G114" s="582">
        <v>1946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 t="s">
        <v>583</v>
      </c>
      <c r="J115" s="161"/>
      <c r="K115" s="69" t="s">
        <v>96</v>
      </c>
    </row>
    <row r="116" spans="1:11" ht="10.5" customHeight="1">
      <c r="A116" s="69"/>
      <c r="B116" s="156" t="s">
        <v>624</v>
      </c>
      <c r="C116" s="157"/>
      <c r="D116" s="576" t="s">
        <v>625</v>
      </c>
      <c r="E116" s="584">
        <v>0.153</v>
      </c>
      <c r="F116" s="580">
        <v>8700</v>
      </c>
      <c r="G116" s="582">
        <v>1331</v>
      </c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 t="s">
        <v>583</v>
      </c>
      <c r="J117" s="161"/>
      <c r="K117" s="69" t="s">
        <v>96</v>
      </c>
    </row>
    <row r="118" spans="1:11" ht="10.5" customHeight="1">
      <c r="A118" s="69"/>
      <c r="B118" s="156" t="s">
        <v>624</v>
      </c>
      <c r="C118" s="157"/>
      <c r="D118" s="576" t="s">
        <v>625</v>
      </c>
      <c r="E118" s="584">
        <v>1</v>
      </c>
      <c r="F118" s="580">
        <v>1100</v>
      </c>
      <c r="G118" s="582">
        <v>1100</v>
      </c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 t="s">
        <v>583</v>
      </c>
      <c r="J119" s="161"/>
      <c r="K119" s="69" t="s">
        <v>96</v>
      </c>
    </row>
    <row r="120" spans="1:11" ht="10.5" customHeight="1">
      <c r="A120" s="69"/>
      <c r="B120" s="156" t="s">
        <v>624</v>
      </c>
      <c r="C120" s="157"/>
      <c r="D120" s="576" t="s">
        <v>625</v>
      </c>
      <c r="E120" s="584">
        <v>0.38500000000000001</v>
      </c>
      <c r="F120" s="580">
        <v>2500</v>
      </c>
      <c r="G120" s="582">
        <v>962</v>
      </c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 t="s">
        <v>583</v>
      </c>
      <c r="J121" s="161"/>
      <c r="K121" s="69" t="s">
        <v>96</v>
      </c>
    </row>
    <row r="122" spans="1:11" ht="10.5" customHeight="1">
      <c r="A122" s="69"/>
      <c r="B122" s="156" t="s">
        <v>624</v>
      </c>
      <c r="C122" s="157"/>
      <c r="D122" s="576" t="s">
        <v>625</v>
      </c>
      <c r="E122" s="578">
        <v>0.08</v>
      </c>
      <c r="F122" s="580">
        <v>3500</v>
      </c>
      <c r="G122" s="582">
        <v>280</v>
      </c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 t="s">
        <v>583</v>
      </c>
      <c r="J123" s="161"/>
      <c r="K123" s="69" t="s">
        <v>96</v>
      </c>
    </row>
    <row r="124" spans="1:11" ht="10.5" customHeight="1">
      <c r="A124" s="69"/>
      <c r="B124" s="156" t="s">
        <v>624</v>
      </c>
      <c r="C124" s="157"/>
      <c r="D124" s="576" t="s">
        <v>625</v>
      </c>
      <c r="E124" s="584">
        <v>0.14280000000000001</v>
      </c>
      <c r="F124" s="580">
        <v>1172</v>
      </c>
      <c r="G124" s="582">
        <v>167</v>
      </c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 t="s">
        <v>583</v>
      </c>
      <c r="J125" s="161"/>
      <c r="K125" s="69" t="s">
        <v>96</v>
      </c>
    </row>
    <row r="126" spans="1:11" ht="10.5" customHeight="1">
      <c r="A126" s="69"/>
      <c r="B126" s="156" t="s">
        <v>626</v>
      </c>
      <c r="C126" s="157"/>
      <c r="D126" s="576" t="s">
        <v>612</v>
      </c>
      <c r="E126" s="584">
        <v>5.6</v>
      </c>
      <c r="F126" s="580">
        <v>800</v>
      </c>
      <c r="G126" s="582">
        <v>4480</v>
      </c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 t="s">
        <v>583</v>
      </c>
      <c r="J127" s="161"/>
      <c r="K127" s="69" t="s">
        <v>96</v>
      </c>
    </row>
    <row r="128" spans="1:11" ht="10.5" customHeight="1">
      <c r="A128" s="69"/>
      <c r="B128" s="156" t="s">
        <v>627</v>
      </c>
      <c r="C128" s="157"/>
      <c r="D128" s="576" t="s">
        <v>625</v>
      </c>
      <c r="E128" s="584">
        <v>1</v>
      </c>
      <c r="F128" s="580"/>
      <c r="G128" s="582">
        <v>162136</v>
      </c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 t="s">
        <v>583</v>
      </c>
      <c r="J129" s="161"/>
      <c r="K129" s="69" t="s">
        <v>96</v>
      </c>
    </row>
    <row r="130" spans="1:11" ht="10.5" customHeight="1">
      <c r="A130" s="69"/>
      <c r="B130" s="156" t="s">
        <v>628</v>
      </c>
      <c r="C130" s="157"/>
      <c r="D130" s="576" t="s">
        <v>600</v>
      </c>
      <c r="E130" s="584">
        <v>2.7302</v>
      </c>
      <c r="F130" s="580">
        <v>6080</v>
      </c>
      <c r="G130" s="582">
        <v>16599</v>
      </c>
      <c r="H130" s="355"/>
      <c r="I130" s="355"/>
      <c r="J130" s="158"/>
      <c r="K130" s="69" t="s">
        <v>96</v>
      </c>
    </row>
    <row r="131" spans="1:11" ht="10.5" customHeight="1">
      <c r="A131" s="69"/>
      <c r="B131" s="159" t="s">
        <v>629</v>
      </c>
      <c r="C131" s="160"/>
      <c r="D131" s="577"/>
      <c r="E131" s="585"/>
      <c r="F131" s="581"/>
      <c r="G131" s="583"/>
      <c r="H131" s="356"/>
      <c r="I131" s="356" t="s">
        <v>583</v>
      </c>
      <c r="J131" s="161"/>
      <c r="K131" s="69" t="s">
        <v>96</v>
      </c>
    </row>
    <row r="132" spans="1:11" ht="10.5" customHeight="1">
      <c r="A132" s="69"/>
      <c r="B132" s="156" t="s">
        <v>628</v>
      </c>
      <c r="C132" s="157"/>
      <c r="D132" s="576" t="s">
        <v>600</v>
      </c>
      <c r="E132" s="584">
        <v>2.7136999999999998</v>
      </c>
      <c r="F132" s="580">
        <v>6080</v>
      </c>
      <c r="G132" s="582">
        <v>16499</v>
      </c>
      <c r="H132" s="355"/>
      <c r="I132" s="355"/>
      <c r="J132" s="158"/>
      <c r="K132" s="69" t="s">
        <v>96</v>
      </c>
    </row>
    <row r="133" spans="1:11" ht="10.5" customHeight="1">
      <c r="A133" s="69"/>
      <c r="B133" s="159" t="s">
        <v>629</v>
      </c>
      <c r="C133" s="160"/>
      <c r="D133" s="577"/>
      <c r="E133" s="585"/>
      <c r="F133" s="581"/>
      <c r="G133" s="583"/>
      <c r="H133" s="356"/>
      <c r="I133" s="356" t="s">
        <v>583</v>
      </c>
      <c r="J133" s="161"/>
      <c r="K133" s="69" t="s">
        <v>96</v>
      </c>
    </row>
    <row r="134" spans="1:11" ht="10.5" customHeight="1">
      <c r="A134" s="69"/>
      <c r="B134" s="156" t="s">
        <v>628</v>
      </c>
      <c r="C134" s="157"/>
      <c r="D134" s="576" t="s">
        <v>600</v>
      </c>
      <c r="E134" s="584">
        <v>8.8700000000000001E-2</v>
      </c>
      <c r="F134" s="580">
        <v>6080</v>
      </c>
      <c r="G134" s="582">
        <v>539</v>
      </c>
      <c r="H134" s="355"/>
      <c r="I134" s="355"/>
      <c r="J134" s="158"/>
      <c r="K134" s="69" t="s">
        <v>96</v>
      </c>
    </row>
    <row r="135" spans="1:11" ht="10.5" customHeight="1">
      <c r="A135" s="69"/>
      <c r="B135" s="159" t="s">
        <v>629</v>
      </c>
      <c r="C135" s="160"/>
      <c r="D135" s="577"/>
      <c r="E135" s="585"/>
      <c r="F135" s="581"/>
      <c r="G135" s="583"/>
      <c r="H135" s="356"/>
      <c r="I135" s="356" t="s">
        <v>583</v>
      </c>
      <c r="J135" s="161"/>
      <c r="K135" s="69" t="s">
        <v>96</v>
      </c>
    </row>
    <row r="136" spans="1:11" ht="10.5" customHeight="1">
      <c r="A136" s="69"/>
      <c r="B136" s="156" t="s">
        <v>630</v>
      </c>
      <c r="C136" s="157"/>
      <c r="D136" s="576" t="s">
        <v>592</v>
      </c>
      <c r="E136" s="584">
        <v>1.07</v>
      </c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 t="s">
        <v>583</v>
      </c>
      <c r="J137" s="161"/>
      <c r="K137" s="69" t="s">
        <v>96</v>
      </c>
    </row>
    <row r="138" spans="1:11" ht="10.5" customHeight="1">
      <c r="A138" s="69"/>
      <c r="B138" s="156" t="s">
        <v>631</v>
      </c>
      <c r="C138" s="157"/>
      <c r="D138" s="576" t="s">
        <v>592</v>
      </c>
      <c r="E138" s="584">
        <v>2.1179999999999999</v>
      </c>
      <c r="F138" s="580">
        <v>25000</v>
      </c>
      <c r="G138" s="582">
        <v>52950</v>
      </c>
      <c r="H138" s="355"/>
      <c r="I138" s="355"/>
      <c r="J138" s="158"/>
      <c r="K138" s="69" t="s">
        <v>96</v>
      </c>
    </row>
    <row r="139" spans="1:11" ht="10.5" customHeight="1">
      <c r="A139" s="69"/>
      <c r="B139" s="159" t="s">
        <v>632</v>
      </c>
      <c r="C139" s="160"/>
      <c r="D139" s="577"/>
      <c r="E139" s="585"/>
      <c r="F139" s="581"/>
      <c r="G139" s="583"/>
      <c r="H139" s="356"/>
      <c r="I139" s="356" t="s">
        <v>583</v>
      </c>
      <c r="J139" s="161"/>
      <c r="K139" s="69" t="s">
        <v>96</v>
      </c>
    </row>
    <row r="140" spans="1:11" ht="10.5" customHeight="1">
      <c r="A140" s="69"/>
      <c r="B140" s="156" t="s">
        <v>633</v>
      </c>
      <c r="C140" s="157"/>
      <c r="D140" s="576" t="s">
        <v>592</v>
      </c>
      <c r="E140" s="584">
        <v>14.44</v>
      </c>
      <c r="F140" s="580">
        <v>28000</v>
      </c>
      <c r="G140" s="582">
        <v>404320</v>
      </c>
      <c r="H140" s="355"/>
      <c r="I140" s="355"/>
      <c r="J140" s="158"/>
      <c r="K140" s="69" t="s">
        <v>96</v>
      </c>
    </row>
    <row r="141" spans="1:11" ht="10.5" customHeight="1">
      <c r="A141" s="69"/>
      <c r="B141" s="159" t="s">
        <v>632</v>
      </c>
      <c r="C141" s="160"/>
      <c r="D141" s="577"/>
      <c r="E141" s="585"/>
      <c r="F141" s="581"/>
      <c r="G141" s="583"/>
      <c r="H141" s="356"/>
      <c r="I141" s="356" t="s">
        <v>583</v>
      </c>
      <c r="J141" s="161"/>
      <c r="K141" s="69" t="s">
        <v>96</v>
      </c>
    </row>
    <row r="142" spans="1:11" ht="10.5" customHeight="1">
      <c r="A142" s="69"/>
      <c r="B142" s="156" t="s">
        <v>633</v>
      </c>
      <c r="C142" s="157"/>
      <c r="D142" s="576" t="s">
        <v>592</v>
      </c>
      <c r="E142" s="584">
        <v>5.5E-2</v>
      </c>
      <c r="F142" s="580">
        <v>25000</v>
      </c>
      <c r="G142" s="582">
        <v>1375</v>
      </c>
      <c r="H142" s="355"/>
      <c r="I142" s="355"/>
      <c r="J142" s="158"/>
      <c r="K142" s="69" t="s">
        <v>96</v>
      </c>
    </row>
    <row r="143" spans="1:11" ht="10.5" customHeight="1">
      <c r="A143" s="69"/>
      <c r="B143" s="159" t="s">
        <v>632</v>
      </c>
      <c r="C143" s="160"/>
      <c r="D143" s="577"/>
      <c r="E143" s="585"/>
      <c r="F143" s="581"/>
      <c r="G143" s="583"/>
      <c r="H143" s="356"/>
      <c r="I143" s="356" t="s">
        <v>583</v>
      </c>
      <c r="J143" s="161"/>
      <c r="K143" s="69" t="s">
        <v>96</v>
      </c>
    </row>
    <row r="144" spans="1:11" ht="10.5" customHeight="1">
      <c r="A144" s="69"/>
      <c r="B144" s="156" t="s">
        <v>634</v>
      </c>
      <c r="C144" s="157"/>
      <c r="D144" s="586" t="s">
        <v>592</v>
      </c>
      <c r="E144" s="588">
        <v>1.07</v>
      </c>
      <c r="F144" s="590">
        <v>23300</v>
      </c>
      <c r="G144" s="592">
        <v>24931</v>
      </c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 t="s">
        <v>635</v>
      </c>
      <c r="C145" s="164"/>
      <c r="D145" s="587"/>
      <c r="E145" s="589"/>
      <c r="F145" s="591"/>
      <c r="G145" s="593"/>
      <c r="H145" s="357"/>
      <c r="I145" s="357" t="s">
        <v>583</v>
      </c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  <row r="148" spans="1:11" ht="26.1" customHeight="1" thickBot="1">
      <c r="B148" s="142"/>
      <c r="C148" s="142"/>
      <c r="D148" s="533" t="s">
        <v>620</v>
      </c>
      <c r="E148" s="533"/>
      <c r="F148" s="533"/>
      <c r="G148" s="533"/>
      <c r="H148" s="69"/>
      <c r="I148" s="69"/>
      <c r="J148" s="69"/>
      <c r="K148" s="69"/>
    </row>
    <row r="149" spans="1:11" ht="13.5" customHeight="1">
      <c r="A149" s="143"/>
      <c r="B149" s="143"/>
      <c r="C149" s="143"/>
      <c r="D149" s="143"/>
      <c r="E149" s="143"/>
      <c r="F149" s="143"/>
      <c r="G149" s="143"/>
      <c r="H149" s="143"/>
      <c r="I149" s="143"/>
      <c r="J149" s="143"/>
      <c r="K149" s="143"/>
    </row>
    <row r="150" spans="1:11" ht="21" customHeight="1">
      <c r="A150" s="144"/>
      <c r="B150" s="145" t="s">
        <v>572</v>
      </c>
      <c r="C150" s="146" t="s">
        <v>573</v>
      </c>
      <c r="D150" s="147"/>
      <c r="E150" s="148"/>
      <c r="F150" s="149"/>
      <c r="G150" s="149"/>
      <c r="H150" s="149"/>
      <c r="I150" s="149"/>
      <c r="J150" s="150"/>
      <c r="K150" s="144"/>
    </row>
    <row r="151" spans="1:11" ht="12.75" customHeight="1" thickBot="1">
      <c r="A151" s="69"/>
      <c r="B151" s="151"/>
      <c r="C151" s="151"/>
      <c r="D151" s="151"/>
      <c r="E151" s="151"/>
      <c r="F151" s="151"/>
      <c r="G151" s="151"/>
      <c r="H151" s="151"/>
      <c r="I151" s="151"/>
      <c r="J151" s="152"/>
      <c r="K151" s="69"/>
    </row>
    <row r="152" spans="1:11" ht="18" customHeight="1">
      <c r="A152" s="69"/>
      <c r="B152" s="574" t="s">
        <v>574</v>
      </c>
      <c r="C152" s="575"/>
      <c r="D152" s="153" t="s">
        <v>85</v>
      </c>
      <c r="E152" s="153" t="s">
        <v>575</v>
      </c>
      <c r="F152" s="153" t="s">
        <v>576</v>
      </c>
      <c r="G152" s="153" t="s">
        <v>577</v>
      </c>
      <c r="H152" s="154" t="s">
        <v>578</v>
      </c>
      <c r="I152" s="153" t="s">
        <v>579</v>
      </c>
      <c r="J152" s="155" t="s">
        <v>95</v>
      </c>
      <c r="K152" s="69"/>
    </row>
    <row r="153" spans="1:11" ht="10.5" customHeight="1">
      <c r="A153" s="69"/>
      <c r="B153" s="156" t="s">
        <v>636</v>
      </c>
      <c r="C153" s="157"/>
      <c r="D153" s="576" t="s">
        <v>609</v>
      </c>
      <c r="E153" s="578">
        <v>89.375</v>
      </c>
      <c r="F153" s="580">
        <v>130</v>
      </c>
      <c r="G153" s="582">
        <v>11618</v>
      </c>
      <c r="H153" s="355"/>
      <c r="I153" s="355"/>
      <c r="J153" s="158"/>
      <c r="K153" s="69" t="s">
        <v>96</v>
      </c>
    </row>
    <row r="154" spans="1:11" ht="10.5" customHeight="1">
      <c r="A154" s="69"/>
      <c r="B154" s="159"/>
      <c r="C154" s="160"/>
      <c r="D154" s="577"/>
      <c r="E154" s="579"/>
      <c r="F154" s="581"/>
      <c r="G154" s="583"/>
      <c r="H154" s="356"/>
      <c r="I154" s="356" t="s">
        <v>583</v>
      </c>
      <c r="J154" s="161"/>
      <c r="K154" s="69" t="s">
        <v>96</v>
      </c>
    </row>
    <row r="155" spans="1:11" ht="10.5" customHeight="1">
      <c r="A155" s="69"/>
      <c r="B155" s="156"/>
      <c r="C155" s="157"/>
      <c r="D155" s="576"/>
      <c r="E155" s="578"/>
      <c r="F155" s="580"/>
      <c r="G155" s="582"/>
      <c r="H155" s="355"/>
      <c r="I155" s="355"/>
      <c r="J155" s="162"/>
      <c r="K155" s="69" t="s">
        <v>96</v>
      </c>
    </row>
    <row r="156" spans="1:11" ht="10.5" customHeight="1">
      <c r="A156" s="69"/>
      <c r="B156" s="159"/>
      <c r="C156" s="160"/>
      <c r="D156" s="577"/>
      <c r="E156" s="579"/>
      <c r="F156" s="581"/>
      <c r="G156" s="583"/>
      <c r="H156" s="356"/>
      <c r="I156" s="356"/>
      <c r="J156" s="162"/>
      <c r="K156" s="69" t="s">
        <v>96</v>
      </c>
    </row>
    <row r="157" spans="1:11" ht="10.5" customHeight="1">
      <c r="A157" s="69"/>
      <c r="B157" s="156" t="s">
        <v>637</v>
      </c>
      <c r="C157" s="157"/>
      <c r="D157" s="576"/>
      <c r="E157" s="578"/>
      <c r="F157" s="580"/>
      <c r="G157" s="582">
        <v>4968680</v>
      </c>
      <c r="H157" s="355"/>
      <c r="I157" s="355"/>
      <c r="J157" s="158"/>
      <c r="K157" s="69" t="s">
        <v>96</v>
      </c>
    </row>
    <row r="158" spans="1:11" ht="10.5" customHeight="1">
      <c r="A158" s="69"/>
      <c r="B158" s="159"/>
      <c r="C158" s="160"/>
      <c r="D158" s="577"/>
      <c r="E158" s="579"/>
      <c r="F158" s="581"/>
      <c r="G158" s="583"/>
      <c r="H158" s="356"/>
      <c r="I158" s="356"/>
      <c r="J158" s="161"/>
      <c r="K158" s="69" t="s">
        <v>96</v>
      </c>
    </row>
    <row r="159" spans="1:11" ht="10.5" customHeight="1">
      <c r="A159" s="69"/>
      <c r="B159" s="156"/>
      <c r="C159" s="157"/>
      <c r="D159" s="576"/>
      <c r="E159" s="584"/>
      <c r="F159" s="580"/>
      <c r="G159" s="582"/>
      <c r="H159" s="355"/>
      <c r="I159" s="355"/>
      <c r="J159" s="158"/>
      <c r="K159" s="69" t="s">
        <v>96</v>
      </c>
    </row>
    <row r="160" spans="1:11" ht="10.5" customHeight="1">
      <c r="A160" s="69"/>
      <c r="B160" s="159"/>
      <c r="C160" s="160"/>
      <c r="D160" s="577"/>
      <c r="E160" s="585"/>
      <c r="F160" s="581"/>
      <c r="G160" s="583"/>
      <c r="H160" s="356"/>
      <c r="I160" s="356"/>
      <c r="J160" s="161"/>
      <c r="K160" s="69" t="s">
        <v>96</v>
      </c>
    </row>
    <row r="161" spans="1:11" ht="10.5" customHeight="1">
      <c r="A161" s="69"/>
      <c r="B161" s="156"/>
      <c r="C161" s="157"/>
      <c r="D161" s="576"/>
      <c r="E161" s="584"/>
      <c r="F161" s="580"/>
      <c r="G161" s="582"/>
      <c r="H161" s="355"/>
      <c r="I161" s="355"/>
      <c r="J161" s="158"/>
      <c r="K161" s="69" t="s">
        <v>96</v>
      </c>
    </row>
    <row r="162" spans="1:11" ht="10.5" customHeight="1">
      <c r="A162" s="69"/>
      <c r="B162" s="159"/>
      <c r="C162" s="160"/>
      <c r="D162" s="577"/>
      <c r="E162" s="585"/>
      <c r="F162" s="581"/>
      <c r="G162" s="583"/>
      <c r="H162" s="356"/>
      <c r="I162" s="356"/>
      <c r="J162" s="161"/>
      <c r="K162" s="69" t="s">
        <v>96</v>
      </c>
    </row>
    <row r="163" spans="1:11" ht="10.5" customHeight="1">
      <c r="A163" s="69"/>
      <c r="B163" s="156"/>
      <c r="C163" s="157"/>
      <c r="D163" s="576"/>
      <c r="E163" s="584"/>
      <c r="F163" s="580"/>
      <c r="G163" s="582"/>
      <c r="H163" s="355"/>
      <c r="I163" s="355"/>
      <c r="J163" s="158"/>
      <c r="K163" s="69" t="s">
        <v>96</v>
      </c>
    </row>
    <row r="164" spans="1:11" ht="10.5" customHeight="1">
      <c r="A164" s="69"/>
      <c r="B164" s="159"/>
      <c r="C164" s="160"/>
      <c r="D164" s="577"/>
      <c r="E164" s="585"/>
      <c r="F164" s="581"/>
      <c r="G164" s="583"/>
      <c r="H164" s="356"/>
      <c r="I164" s="356"/>
      <c r="J164" s="161"/>
      <c r="K164" s="69" t="s">
        <v>96</v>
      </c>
    </row>
    <row r="165" spans="1:11" ht="10.5" customHeight="1">
      <c r="A165" s="69"/>
      <c r="B165" s="156"/>
      <c r="C165" s="157"/>
      <c r="D165" s="576"/>
      <c r="E165" s="584"/>
      <c r="F165" s="580"/>
      <c r="G165" s="582"/>
      <c r="H165" s="355"/>
      <c r="I165" s="355"/>
      <c r="J165" s="158"/>
      <c r="K165" s="69" t="s">
        <v>96</v>
      </c>
    </row>
    <row r="166" spans="1:11" ht="10.5" customHeight="1">
      <c r="A166" s="69"/>
      <c r="B166" s="159"/>
      <c r="C166" s="160"/>
      <c r="D166" s="577"/>
      <c r="E166" s="585"/>
      <c r="F166" s="581"/>
      <c r="G166" s="583"/>
      <c r="H166" s="356"/>
      <c r="I166" s="356"/>
      <c r="J166" s="161"/>
      <c r="K166" s="69" t="s">
        <v>96</v>
      </c>
    </row>
    <row r="167" spans="1:11" ht="10.5" customHeight="1">
      <c r="A167" s="69"/>
      <c r="B167" s="156"/>
      <c r="C167" s="157"/>
      <c r="D167" s="576"/>
      <c r="E167" s="584"/>
      <c r="F167" s="580"/>
      <c r="G167" s="582"/>
      <c r="H167" s="355"/>
      <c r="I167" s="355"/>
      <c r="J167" s="158"/>
      <c r="K167" s="69" t="s">
        <v>96</v>
      </c>
    </row>
    <row r="168" spans="1:11" ht="10.5" customHeight="1">
      <c r="A168" s="69"/>
      <c r="B168" s="159"/>
      <c r="C168" s="160"/>
      <c r="D168" s="577"/>
      <c r="E168" s="585"/>
      <c r="F168" s="581"/>
      <c r="G168" s="583"/>
      <c r="H168" s="356"/>
      <c r="I168" s="356"/>
      <c r="J168" s="161"/>
      <c r="K168" s="69" t="s">
        <v>96</v>
      </c>
    </row>
    <row r="169" spans="1:11" ht="10.5" customHeight="1">
      <c r="A169" s="69"/>
      <c r="B169" s="156"/>
      <c r="C169" s="157"/>
      <c r="D169" s="576"/>
      <c r="E169" s="584"/>
      <c r="F169" s="580"/>
      <c r="G169" s="582"/>
      <c r="H169" s="355"/>
      <c r="I169" s="355"/>
      <c r="J169" s="158"/>
      <c r="K169" s="69" t="s">
        <v>96</v>
      </c>
    </row>
    <row r="170" spans="1:11" ht="10.5" customHeight="1">
      <c r="A170" s="69"/>
      <c r="B170" s="159"/>
      <c r="C170" s="160"/>
      <c r="D170" s="577"/>
      <c r="E170" s="585"/>
      <c r="F170" s="581"/>
      <c r="G170" s="583"/>
      <c r="H170" s="356"/>
      <c r="I170" s="356"/>
      <c r="J170" s="161"/>
      <c r="K170" s="69" t="s">
        <v>96</v>
      </c>
    </row>
    <row r="171" spans="1:11" ht="10.5" customHeight="1">
      <c r="A171" s="69"/>
      <c r="B171" s="156"/>
      <c r="C171" s="157"/>
      <c r="D171" s="576"/>
      <c r="E171" s="578"/>
      <c r="F171" s="580"/>
      <c r="G171" s="582"/>
      <c r="H171" s="355"/>
      <c r="I171" s="355"/>
      <c r="J171" s="158"/>
      <c r="K171" s="69" t="s">
        <v>96</v>
      </c>
    </row>
    <row r="172" spans="1:11" ht="10.5" customHeight="1">
      <c r="A172" s="69"/>
      <c r="B172" s="159"/>
      <c r="C172" s="160"/>
      <c r="D172" s="577"/>
      <c r="E172" s="579"/>
      <c r="F172" s="581"/>
      <c r="G172" s="583"/>
      <c r="H172" s="356"/>
      <c r="I172" s="356"/>
      <c r="J172" s="161"/>
      <c r="K172" s="69" t="s">
        <v>96</v>
      </c>
    </row>
    <row r="173" spans="1:11" ht="10.5" customHeight="1">
      <c r="A173" s="69"/>
      <c r="B173" s="156"/>
      <c r="C173" s="157"/>
      <c r="D173" s="576"/>
      <c r="E173" s="584"/>
      <c r="F173" s="580"/>
      <c r="G173" s="582"/>
      <c r="H173" s="355"/>
      <c r="I173" s="355"/>
      <c r="J173" s="158"/>
      <c r="K173" s="69" t="s">
        <v>96</v>
      </c>
    </row>
    <row r="174" spans="1:11" ht="10.5" customHeight="1">
      <c r="A174" s="69"/>
      <c r="B174" s="159"/>
      <c r="C174" s="160"/>
      <c r="D174" s="577"/>
      <c r="E174" s="585"/>
      <c r="F174" s="581"/>
      <c r="G174" s="583"/>
      <c r="H174" s="356"/>
      <c r="I174" s="356"/>
      <c r="J174" s="161"/>
      <c r="K174" s="69" t="s">
        <v>96</v>
      </c>
    </row>
    <row r="175" spans="1:11" ht="10.5" customHeight="1">
      <c r="A175" s="69"/>
      <c r="B175" s="156"/>
      <c r="C175" s="157"/>
      <c r="D175" s="576"/>
      <c r="E175" s="584"/>
      <c r="F175" s="580"/>
      <c r="G175" s="582"/>
      <c r="H175" s="355"/>
      <c r="I175" s="355"/>
      <c r="J175" s="158"/>
      <c r="K175" s="69" t="s">
        <v>96</v>
      </c>
    </row>
    <row r="176" spans="1:11" ht="10.5" customHeight="1">
      <c r="A176" s="69"/>
      <c r="B176" s="159"/>
      <c r="C176" s="160"/>
      <c r="D176" s="577"/>
      <c r="E176" s="585"/>
      <c r="F176" s="581"/>
      <c r="G176" s="583"/>
      <c r="H176" s="356"/>
      <c r="I176" s="356"/>
      <c r="J176" s="161"/>
      <c r="K176" s="69" t="s">
        <v>96</v>
      </c>
    </row>
    <row r="177" spans="1:11" ht="10.5" customHeight="1">
      <c r="A177" s="69"/>
      <c r="B177" s="156"/>
      <c r="C177" s="157"/>
      <c r="D177" s="576"/>
      <c r="E177" s="584"/>
      <c r="F177" s="580"/>
      <c r="G177" s="582"/>
      <c r="H177" s="355"/>
      <c r="I177" s="355"/>
      <c r="J177" s="158"/>
      <c r="K177" s="69" t="s">
        <v>96</v>
      </c>
    </row>
    <row r="178" spans="1:11" ht="10.5" customHeight="1">
      <c r="A178" s="69"/>
      <c r="B178" s="159"/>
      <c r="C178" s="160"/>
      <c r="D178" s="577"/>
      <c r="E178" s="585"/>
      <c r="F178" s="581"/>
      <c r="G178" s="583"/>
      <c r="H178" s="356"/>
      <c r="I178" s="356"/>
      <c r="J178" s="161"/>
      <c r="K178" s="69" t="s">
        <v>96</v>
      </c>
    </row>
    <row r="179" spans="1:11" ht="10.5" customHeight="1">
      <c r="A179" s="69"/>
      <c r="B179" s="156"/>
      <c r="C179" s="157"/>
      <c r="D179" s="576"/>
      <c r="E179" s="584"/>
      <c r="F179" s="580"/>
      <c r="G179" s="582"/>
      <c r="H179" s="355"/>
      <c r="I179" s="355"/>
      <c r="J179" s="158"/>
      <c r="K179" s="69" t="s">
        <v>96</v>
      </c>
    </row>
    <row r="180" spans="1:11" ht="10.5" customHeight="1">
      <c r="A180" s="69"/>
      <c r="B180" s="159"/>
      <c r="C180" s="160"/>
      <c r="D180" s="577"/>
      <c r="E180" s="585"/>
      <c r="F180" s="581"/>
      <c r="G180" s="583"/>
      <c r="H180" s="356"/>
      <c r="I180" s="356"/>
      <c r="J180" s="161"/>
      <c r="K180" s="69" t="s">
        <v>96</v>
      </c>
    </row>
    <row r="181" spans="1:11" ht="10.5" customHeight="1">
      <c r="A181" s="69"/>
      <c r="B181" s="156"/>
      <c r="C181" s="157"/>
      <c r="D181" s="576"/>
      <c r="E181" s="584"/>
      <c r="F181" s="580"/>
      <c r="G181" s="582"/>
      <c r="H181" s="355"/>
      <c r="I181" s="355"/>
      <c r="J181" s="158"/>
      <c r="K181" s="69" t="s">
        <v>96</v>
      </c>
    </row>
    <row r="182" spans="1:11" ht="10.5" customHeight="1">
      <c r="A182" s="69"/>
      <c r="B182" s="159"/>
      <c r="C182" s="160"/>
      <c r="D182" s="577"/>
      <c r="E182" s="585"/>
      <c r="F182" s="581"/>
      <c r="G182" s="583"/>
      <c r="H182" s="356"/>
      <c r="I182" s="356"/>
      <c r="J182" s="161"/>
      <c r="K182" s="69" t="s">
        <v>96</v>
      </c>
    </row>
    <row r="183" spans="1:11" ht="10.5" customHeight="1">
      <c r="A183" s="69"/>
      <c r="B183" s="156"/>
      <c r="C183" s="157"/>
      <c r="D183" s="576"/>
      <c r="E183" s="584"/>
      <c r="F183" s="580"/>
      <c r="G183" s="582"/>
      <c r="H183" s="355"/>
      <c r="I183" s="355"/>
      <c r="J183" s="158"/>
      <c r="K183" s="69" t="s">
        <v>96</v>
      </c>
    </row>
    <row r="184" spans="1:11" ht="10.5" customHeight="1">
      <c r="A184" s="69"/>
      <c r="B184" s="159"/>
      <c r="C184" s="160"/>
      <c r="D184" s="577"/>
      <c r="E184" s="585"/>
      <c r="F184" s="581"/>
      <c r="G184" s="583"/>
      <c r="H184" s="356"/>
      <c r="I184" s="356"/>
      <c r="J184" s="161"/>
      <c r="K184" s="69" t="s">
        <v>96</v>
      </c>
    </row>
    <row r="185" spans="1:11" ht="10.5" customHeight="1">
      <c r="A185" s="69"/>
      <c r="B185" s="156"/>
      <c r="C185" s="157"/>
      <c r="D185" s="576"/>
      <c r="E185" s="584"/>
      <c r="F185" s="580"/>
      <c r="G185" s="582"/>
      <c r="H185" s="355"/>
      <c r="I185" s="355"/>
      <c r="J185" s="158"/>
      <c r="K185" s="69" t="s">
        <v>96</v>
      </c>
    </row>
    <row r="186" spans="1:11" ht="10.5" customHeight="1">
      <c r="A186" s="69"/>
      <c r="B186" s="159"/>
      <c r="C186" s="160"/>
      <c r="D186" s="577"/>
      <c r="E186" s="585"/>
      <c r="F186" s="581"/>
      <c r="G186" s="583"/>
      <c r="H186" s="356"/>
      <c r="I186" s="356"/>
      <c r="J186" s="161"/>
      <c r="K186" s="69" t="s">
        <v>96</v>
      </c>
    </row>
    <row r="187" spans="1:11" ht="10.5" customHeight="1">
      <c r="A187" s="69"/>
      <c r="B187" s="156"/>
      <c r="C187" s="157"/>
      <c r="D187" s="576"/>
      <c r="E187" s="584"/>
      <c r="F187" s="580"/>
      <c r="G187" s="582"/>
      <c r="H187" s="355"/>
      <c r="I187" s="355"/>
      <c r="J187" s="158"/>
      <c r="K187" s="69" t="s">
        <v>96</v>
      </c>
    </row>
    <row r="188" spans="1:11" ht="10.5" customHeight="1">
      <c r="A188" s="69"/>
      <c r="B188" s="159"/>
      <c r="C188" s="160"/>
      <c r="D188" s="577"/>
      <c r="E188" s="585"/>
      <c r="F188" s="581"/>
      <c r="G188" s="583"/>
      <c r="H188" s="356"/>
      <c r="I188" s="356"/>
      <c r="J188" s="161"/>
      <c r="K188" s="69" t="s">
        <v>96</v>
      </c>
    </row>
    <row r="189" spans="1:11" ht="10.5" customHeight="1">
      <c r="A189" s="69"/>
      <c r="B189" s="156"/>
      <c r="C189" s="157"/>
      <c r="D189" s="576"/>
      <c r="E189" s="584"/>
      <c r="F189" s="580"/>
      <c r="G189" s="582"/>
      <c r="H189" s="355"/>
      <c r="I189" s="355"/>
      <c r="J189" s="158"/>
      <c r="K189" s="69" t="s">
        <v>96</v>
      </c>
    </row>
    <row r="190" spans="1:11" ht="10.5" customHeight="1">
      <c r="A190" s="69"/>
      <c r="B190" s="159"/>
      <c r="C190" s="160"/>
      <c r="D190" s="577"/>
      <c r="E190" s="585"/>
      <c r="F190" s="581"/>
      <c r="G190" s="583"/>
      <c r="H190" s="356"/>
      <c r="I190" s="356"/>
      <c r="J190" s="161"/>
      <c r="K190" s="69" t="s">
        <v>96</v>
      </c>
    </row>
    <row r="191" spans="1:11" ht="10.5" customHeight="1">
      <c r="A191" s="69"/>
      <c r="B191" s="156"/>
      <c r="C191" s="157"/>
      <c r="D191" s="576"/>
      <c r="E191" s="584"/>
      <c r="F191" s="580"/>
      <c r="G191" s="582"/>
      <c r="H191" s="355"/>
      <c r="I191" s="355"/>
      <c r="J191" s="158"/>
      <c r="K191" s="69" t="s">
        <v>96</v>
      </c>
    </row>
    <row r="192" spans="1:11" ht="10.5" customHeight="1">
      <c r="A192" s="69"/>
      <c r="B192" s="159"/>
      <c r="C192" s="160"/>
      <c r="D192" s="577"/>
      <c r="E192" s="585"/>
      <c r="F192" s="581"/>
      <c r="G192" s="583"/>
      <c r="H192" s="356"/>
      <c r="I192" s="356"/>
      <c r="J192" s="161"/>
      <c r="K192" s="69" t="s">
        <v>96</v>
      </c>
    </row>
    <row r="193" spans="1:11" ht="10.5" customHeight="1">
      <c r="A193" s="69"/>
      <c r="B193" s="156"/>
      <c r="C193" s="157"/>
      <c r="D193" s="586"/>
      <c r="E193" s="588"/>
      <c r="F193" s="590"/>
      <c r="G193" s="592"/>
      <c r="H193" s="355"/>
      <c r="I193" s="355"/>
      <c r="J193" s="162"/>
      <c r="K193" s="69" t="s">
        <v>96</v>
      </c>
    </row>
    <row r="194" spans="1:11" ht="10.5" customHeight="1" thickBot="1">
      <c r="A194" s="69"/>
      <c r="B194" s="163"/>
      <c r="C194" s="164"/>
      <c r="D194" s="587"/>
      <c r="E194" s="589"/>
      <c r="F194" s="591"/>
      <c r="G194" s="593"/>
      <c r="H194" s="357"/>
      <c r="I194" s="357"/>
      <c r="J194" s="165"/>
      <c r="K194" s="69" t="s">
        <v>96</v>
      </c>
    </row>
    <row r="195" spans="1:11" s="103" customFormat="1" ht="18" customHeight="1">
      <c r="A195" s="101"/>
      <c r="B195" s="166"/>
      <c r="C195" s="101"/>
      <c r="D195" s="101"/>
      <c r="E195" s="101"/>
      <c r="F195" s="101"/>
      <c r="G195" s="101"/>
      <c r="H195" s="101"/>
      <c r="I195" s="115"/>
      <c r="J195" s="115"/>
      <c r="K195" s="101"/>
    </row>
    <row r="196" spans="1:11" s="103" customFormat="1" ht="13.5" customHeight="1">
      <c r="A196" s="101"/>
      <c r="B196" s="166"/>
      <c r="C196" s="101"/>
      <c r="D196" s="101"/>
      <c r="E196" s="101"/>
      <c r="F196" s="101"/>
      <c r="G196" s="101"/>
      <c r="H196" s="101"/>
      <c r="I196" s="115"/>
      <c r="J196" s="115"/>
      <c r="K196" s="101"/>
    </row>
  </sheetData>
  <mergeCells count="344">
    <mergeCell ref="D191:D192"/>
    <mergeCell ref="E191:E192"/>
    <mergeCell ref="F191:F192"/>
    <mergeCell ref="G191:G192"/>
    <mergeCell ref="D193:D194"/>
    <mergeCell ref="E193:E194"/>
    <mergeCell ref="F193:F194"/>
    <mergeCell ref="G193:G194"/>
    <mergeCell ref="D187:D188"/>
    <mergeCell ref="E187:E188"/>
    <mergeCell ref="F187:F188"/>
    <mergeCell ref="G187:G188"/>
    <mergeCell ref="D189:D190"/>
    <mergeCell ref="E189:E190"/>
    <mergeCell ref="F189:F190"/>
    <mergeCell ref="G189:G190"/>
    <mergeCell ref="D183:D184"/>
    <mergeCell ref="E183:E184"/>
    <mergeCell ref="F183:F184"/>
    <mergeCell ref="G183:G184"/>
    <mergeCell ref="D185:D186"/>
    <mergeCell ref="E185:E186"/>
    <mergeCell ref="F185:F186"/>
    <mergeCell ref="G185:G186"/>
    <mergeCell ref="D179:D180"/>
    <mergeCell ref="E179:E180"/>
    <mergeCell ref="F179:F180"/>
    <mergeCell ref="G179:G180"/>
    <mergeCell ref="D181:D182"/>
    <mergeCell ref="E181:E182"/>
    <mergeCell ref="F181:F182"/>
    <mergeCell ref="G181:G182"/>
    <mergeCell ref="D175:D176"/>
    <mergeCell ref="E175:E176"/>
    <mergeCell ref="F175:F176"/>
    <mergeCell ref="G175:G176"/>
    <mergeCell ref="D177:D178"/>
    <mergeCell ref="E177:E178"/>
    <mergeCell ref="F177:F178"/>
    <mergeCell ref="G177:G178"/>
    <mergeCell ref="D171:D172"/>
    <mergeCell ref="E171:E172"/>
    <mergeCell ref="F171:F172"/>
    <mergeCell ref="G171:G172"/>
    <mergeCell ref="D173:D174"/>
    <mergeCell ref="E173:E174"/>
    <mergeCell ref="F173:F174"/>
    <mergeCell ref="G173:G174"/>
    <mergeCell ref="D167:D168"/>
    <mergeCell ref="E167:E168"/>
    <mergeCell ref="F167:F168"/>
    <mergeCell ref="G167:G168"/>
    <mergeCell ref="D169:D170"/>
    <mergeCell ref="E169:E170"/>
    <mergeCell ref="F169:F170"/>
    <mergeCell ref="G169:G170"/>
    <mergeCell ref="D163:D164"/>
    <mergeCell ref="E163:E164"/>
    <mergeCell ref="F163:F164"/>
    <mergeCell ref="G163:G164"/>
    <mergeCell ref="D165:D166"/>
    <mergeCell ref="E165:E166"/>
    <mergeCell ref="F165:F166"/>
    <mergeCell ref="G165:G166"/>
    <mergeCell ref="D159:D160"/>
    <mergeCell ref="E159:E160"/>
    <mergeCell ref="F159:F160"/>
    <mergeCell ref="G159:G160"/>
    <mergeCell ref="D161:D162"/>
    <mergeCell ref="E161:E162"/>
    <mergeCell ref="F161:F162"/>
    <mergeCell ref="G161:G162"/>
    <mergeCell ref="D155:D156"/>
    <mergeCell ref="E155:E156"/>
    <mergeCell ref="F155:F156"/>
    <mergeCell ref="G155:G156"/>
    <mergeCell ref="D157:D158"/>
    <mergeCell ref="E157:E158"/>
    <mergeCell ref="F157:F158"/>
    <mergeCell ref="G157:G158"/>
    <mergeCell ref="D148:G148"/>
    <mergeCell ref="B152:C152"/>
    <mergeCell ref="D153:D154"/>
    <mergeCell ref="E153:E154"/>
    <mergeCell ref="F153:F154"/>
    <mergeCell ref="G153:G154"/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147"/>
  <sheetViews>
    <sheetView zoomScaleNormal="100" zoomScaleSheetLayoutView="85" zoomScalePageLayoutView="70" workbookViewId="0"/>
  </sheetViews>
  <sheetFormatPr defaultColWidth="8.19921875" defaultRowHeight="13.2"/>
  <cols>
    <col min="1" max="1" width="2.19921875" style="73" customWidth="1"/>
    <col min="2" max="2" width="14.3984375" style="73" customWidth="1"/>
    <col min="3" max="3" width="35.59765625" style="73" customWidth="1"/>
    <col min="4" max="4" width="6.09765625" style="73" customWidth="1"/>
    <col min="5" max="5" width="10.59765625" style="73" customWidth="1"/>
    <col min="6" max="6" width="12.59765625" style="73" customWidth="1"/>
    <col min="7" max="7" width="14.3984375" style="73" customWidth="1"/>
    <col min="8" max="8" width="7.3984375" style="73" customWidth="1"/>
    <col min="9" max="9" width="11.59765625" style="73" customWidth="1"/>
    <col min="10" max="10" width="18.8984375" style="73" customWidth="1"/>
    <col min="11" max="11" width="2.19921875" style="73" customWidth="1"/>
    <col min="12" max="16384" width="8.1992187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572</v>
      </c>
      <c r="C3" s="146" t="s">
        <v>573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74" t="s">
        <v>574</v>
      </c>
      <c r="C5" s="575"/>
      <c r="D5" s="153" t="s">
        <v>85</v>
      </c>
      <c r="E5" s="153" t="s">
        <v>575</v>
      </c>
      <c r="F5" s="153" t="s">
        <v>576</v>
      </c>
      <c r="G5" s="153" t="s">
        <v>577</v>
      </c>
      <c r="H5" s="154" t="s">
        <v>578</v>
      </c>
      <c r="I5" s="153" t="s">
        <v>579</v>
      </c>
      <c r="J5" s="155" t="s">
        <v>95</v>
      </c>
      <c r="K5" s="69"/>
    </row>
    <row r="6" spans="1:11" ht="10.5" customHeight="1">
      <c r="A6" s="69"/>
      <c r="B6" s="156" t="s">
        <v>638</v>
      </c>
      <c r="C6" s="157"/>
      <c r="D6" s="576" t="s">
        <v>639</v>
      </c>
      <c r="E6" s="578">
        <v>6.67</v>
      </c>
      <c r="F6" s="580">
        <v>30500</v>
      </c>
      <c r="G6" s="582">
        <v>203435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640</v>
      </c>
      <c r="J7" s="161"/>
      <c r="K7" s="69" t="s">
        <v>96</v>
      </c>
    </row>
    <row r="8" spans="1:11" ht="10.5" customHeight="1">
      <c r="A8" s="69"/>
      <c r="B8" s="156" t="s">
        <v>638</v>
      </c>
      <c r="C8" s="157"/>
      <c r="D8" s="576" t="s">
        <v>639</v>
      </c>
      <c r="E8" s="578">
        <v>3.9325000000000001</v>
      </c>
      <c r="F8" s="580">
        <v>30500</v>
      </c>
      <c r="G8" s="582">
        <v>119941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640</v>
      </c>
      <c r="J9" s="162"/>
      <c r="K9" s="69" t="s">
        <v>96</v>
      </c>
    </row>
    <row r="10" spans="1:11" ht="10.5" customHeight="1">
      <c r="A10" s="69"/>
      <c r="B10" s="156" t="s">
        <v>638</v>
      </c>
      <c r="C10" s="157"/>
      <c r="D10" s="576" t="s">
        <v>639</v>
      </c>
      <c r="E10" s="578">
        <v>3.4649999999999999</v>
      </c>
      <c r="F10" s="580">
        <v>30500</v>
      </c>
      <c r="G10" s="582">
        <v>105682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640</v>
      </c>
      <c r="J11" s="161"/>
      <c r="K11" s="69" t="s">
        <v>96</v>
      </c>
    </row>
    <row r="12" spans="1:11" ht="10.5" customHeight="1">
      <c r="A12" s="69"/>
      <c r="B12" s="156" t="s">
        <v>638</v>
      </c>
      <c r="C12" s="157"/>
      <c r="D12" s="576" t="s">
        <v>639</v>
      </c>
      <c r="E12" s="584">
        <v>1.5338000000000001</v>
      </c>
      <c r="F12" s="580">
        <v>30500</v>
      </c>
      <c r="G12" s="582">
        <v>46782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640</v>
      </c>
      <c r="J13" s="161"/>
      <c r="K13" s="69" t="s">
        <v>96</v>
      </c>
    </row>
    <row r="14" spans="1:11" ht="10.5" customHeight="1">
      <c r="A14" s="69"/>
      <c r="B14" s="156" t="s">
        <v>638</v>
      </c>
      <c r="C14" s="157"/>
      <c r="D14" s="576" t="s">
        <v>639</v>
      </c>
      <c r="E14" s="584">
        <v>1.5246</v>
      </c>
      <c r="F14" s="580">
        <v>30500</v>
      </c>
      <c r="G14" s="582">
        <v>46500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640</v>
      </c>
      <c r="J15" s="161"/>
      <c r="K15" s="69" t="s">
        <v>96</v>
      </c>
    </row>
    <row r="16" spans="1:11" ht="10.5" customHeight="1">
      <c r="A16" s="69"/>
      <c r="B16" s="156" t="s">
        <v>638</v>
      </c>
      <c r="C16" s="157"/>
      <c r="D16" s="576" t="s">
        <v>639</v>
      </c>
      <c r="E16" s="584">
        <v>8.0799999999999997E-2</v>
      </c>
      <c r="F16" s="580">
        <v>30500</v>
      </c>
      <c r="G16" s="582">
        <v>2466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640</v>
      </c>
      <c r="J17" s="161"/>
      <c r="K17" s="69" t="s">
        <v>96</v>
      </c>
    </row>
    <row r="18" spans="1:11" ht="10.5" customHeight="1">
      <c r="A18" s="69"/>
      <c r="B18" s="156" t="s">
        <v>638</v>
      </c>
      <c r="C18" s="157"/>
      <c r="D18" s="576" t="s">
        <v>639</v>
      </c>
      <c r="E18" s="584">
        <v>6.6699999999999995E-2</v>
      </c>
      <c r="F18" s="580">
        <v>30500</v>
      </c>
      <c r="G18" s="582">
        <v>2035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640</v>
      </c>
      <c r="J19" s="161"/>
      <c r="K19" s="69" t="s">
        <v>96</v>
      </c>
    </row>
    <row r="20" spans="1:11" ht="10.5" customHeight="1">
      <c r="A20" s="69"/>
      <c r="B20" s="156" t="s">
        <v>638</v>
      </c>
      <c r="C20" s="157"/>
      <c r="D20" s="576" t="s">
        <v>639</v>
      </c>
      <c r="E20" s="584">
        <v>0.05</v>
      </c>
      <c r="F20" s="580">
        <v>30500</v>
      </c>
      <c r="G20" s="582">
        <v>1525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640</v>
      </c>
      <c r="J21" s="161"/>
      <c r="K21" s="69" t="s">
        <v>96</v>
      </c>
    </row>
    <row r="22" spans="1:11" ht="10.5" customHeight="1">
      <c r="A22" s="69"/>
      <c r="B22" s="156" t="s">
        <v>638</v>
      </c>
      <c r="C22" s="157"/>
      <c r="D22" s="576" t="s">
        <v>639</v>
      </c>
      <c r="E22" s="584">
        <v>2.6200000000000001E-2</v>
      </c>
      <c r="F22" s="580">
        <v>30500</v>
      </c>
      <c r="G22" s="582">
        <v>801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640</v>
      </c>
      <c r="J23" s="161"/>
      <c r="K23" s="69" t="s">
        <v>96</v>
      </c>
    </row>
    <row r="24" spans="1:11" ht="10.5" customHeight="1">
      <c r="A24" s="69"/>
      <c r="B24" s="156" t="s">
        <v>638</v>
      </c>
      <c r="C24" s="157"/>
      <c r="D24" s="576" t="s">
        <v>639</v>
      </c>
      <c r="E24" s="578">
        <v>6.4000000000000003E-3</v>
      </c>
      <c r="F24" s="580">
        <v>30500</v>
      </c>
      <c r="G24" s="582">
        <v>196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640</v>
      </c>
      <c r="J25" s="161"/>
      <c r="K25" s="69" t="s">
        <v>96</v>
      </c>
    </row>
    <row r="26" spans="1:11" ht="10.5" customHeight="1">
      <c r="A26" s="69"/>
      <c r="B26" s="156" t="s">
        <v>641</v>
      </c>
      <c r="C26" s="157"/>
      <c r="D26" s="576" t="s">
        <v>639</v>
      </c>
      <c r="E26" s="584">
        <v>45.8035</v>
      </c>
      <c r="F26" s="580">
        <v>30000</v>
      </c>
      <c r="G26" s="582">
        <v>1374105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642</v>
      </c>
      <c r="C27" s="160"/>
      <c r="D27" s="577"/>
      <c r="E27" s="585"/>
      <c r="F27" s="581"/>
      <c r="G27" s="583"/>
      <c r="H27" s="356"/>
      <c r="I27" s="356" t="s">
        <v>640</v>
      </c>
      <c r="J27" s="161"/>
      <c r="K27" s="69" t="s">
        <v>96</v>
      </c>
    </row>
    <row r="28" spans="1:11" ht="10.5" customHeight="1">
      <c r="A28" s="69"/>
      <c r="B28" s="156" t="s">
        <v>641</v>
      </c>
      <c r="C28" s="157"/>
      <c r="D28" s="576" t="s">
        <v>639</v>
      </c>
      <c r="E28" s="584">
        <v>12</v>
      </c>
      <c r="F28" s="580">
        <v>27000</v>
      </c>
      <c r="G28" s="582">
        <v>324000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642</v>
      </c>
      <c r="C29" s="160"/>
      <c r="D29" s="577"/>
      <c r="E29" s="585"/>
      <c r="F29" s="581"/>
      <c r="G29" s="583"/>
      <c r="H29" s="356"/>
      <c r="I29" s="356" t="s">
        <v>640</v>
      </c>
      <c r="J29" s="161"/>
      <c r="K29" s="69" t="s">
        <v>96</v>
      </c>
    </row>
    <row r="30" spans="1:11" ht="10.5" customHeight="1">
      <c r="A30" s="69"/>
      <c r="B30" s="156" t="s">
        <v>641</v>
      </c>
      <c r="C30" s="157"/>
      <c r="D30" s="576" t="s">
        <v>639</v>
      </c>
      <c r="E30" s="584">
        <v>5.3499999999999999E-2</v>
      </c>
      <c r="F30" s="580">
        <v>27000</v>
      </c>
      <c r="G30" s="582">
        <v>1446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642</v>
      </c>
      <c r="C31" s="160"/>
      <c r="D31" s="577"/>
      <c r="E31" s="585"/>
      <c r="F31" s="581"/>
      <c r="G31" s="583"/>
      <c r="H31" s="356"/>
      <c r="I31" s="356" t="s">
        <v>640</v>
      </c>
      <c r="J31" s="161"/>
      <c r="K31" s="69" t="s">
        <v>96</v>
      </c>
    </row>
    <row r="32" spans="1:11" ht="10.5" customHeight="1">
      <c r="A32" s="69"/>
      <c r="B32" s="156" t="s">
        <v>643</v>
      </c>
      <c r="C32" s="157"/>
      <c r="D32" s="576" t="s">
        <v>639</v>
      </c>
      <c r="E32" s="584">
        <v>0.73980000000000001</v>
      </c>
      <c r="F32" s="580">
        <v>33000</v>
      </c>
      <c r="G32" s="582">
        <v>24415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640</v>
      </c>
      <c r="J33" s="161"/>
      <c r="K33" s="69" t="s">
        <v>96</v>
      </c>
    </row>
    <row r="34" spans="1:11" ht="10.5" customHeight="1">
      <c r="A34" s="69"/>
      <c r="B34" s="156" t="s">
        <v>644</v>
      </c>
      <c r="C34" s="157"/>
      <c r="D34" s="576" t="s">
        <v>639</v>
      </c>
      <c r="E34" s="584">
        <v>24.364699999999999</v>
      </c>
      <c r="F34" s="580">
        <v>35000</v>
      </c>
      <c r="G34" s="582">
        <v>852764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642</v>
      </c>
      <c r="C35" s="160"/>
      <c r="D35" s="577"/>
      <c r="E35" s="585"/>
      <c r="F35" s="581"/>
      <c r="G35" s="583"/>
      <c r="H35" s="356"/>
      <c r="I35" s="356" t="s">
        <v>640</v>
      </c>
      <c r="J35" s="161"/>
      <c r="K35" s="69" t="s">
        <v>96</v>
      </c>
    </row>
    <row r="36" spans="1:11" ht="10.5" customHeight="1">
      <c r="A36" s="69"/>
      <c r="B36" s="156" t="s">
        <v>644</v>
      </c>
      <c r="C36" s="157"/>
      <c r="D36" s="576" t="s">
        <v>639</v>
      </c>
      <c r="E36" s="584">
        <v>4</v>
      </c>
      <c r="F36" s="580">
        <v>33000</v>
      </c>
      <c r="G36" s="582">
        <v>132000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642</v>
      </c>
      <c r="C37" s="160"/>
      <c r="D37" s="577"/>
      <c r="E37" s="585"/>
      <c r="F37" s="581"/>
      <c r="G37" s="583"/>
      <c r="H37" s="356"/>
      <c r="I37" s="356" t="s">
        <v>640</v>
      </c>
      <c r="J37" s="161"/>
      <c r="K37" s="69" t="s">
        <v>96</v>
      </c>
    </row>
    <row r="38" spans="1:11" ht="10.5" customHeight="1">
      <c r="A38" s="69"/>
      <c r="B38" s="156" t="s">
        <v>644</v>
      </c>
      <c r="C38" s="157"/>
      <c r="D38" s="576" t="s">
        <v>639</v>
      </c>
      <c r="E38" s="584">
        <v>1.78E-2</v>
      </c>
      <c r="F38" s="580">
        <v>33000</v>
      </c>
      <c r="G38" s="582">
        <v>589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642</v>
      </c>
      <c r="C39" s="160"/>
      <c r="D39" s="577"/>
      <c r="E39" s="585"/>
      <c r="F39" s="581"/>
      <c r="G39" s="583"/>
      <c r="H39" s="356"/>
      <c r="I39" s="356" t="s">
        <v>640</v>
      </c>
      <c r="J39" s="161"/>
      <c r="K39" s="69" t="s">
        <v>96</v>
      </c>
    </row>
    <row r="40" spans="1:11" ht="10.5" customHeight="1">
      <c r="A40" s="69"/>
      <c r="B40" s="156" t="s">
        <v>645</v>
      </c>
      <c r="C40" s="157"/>
      <c r="D40" s="576" t="s">
        <v>639</v>
      </c>
      <c r="E40" s="584">
        <v>8.3000000000000004E-2</v>
      </c>
      <c r="F40" s="580">
        <v>32400</v>
      </c>
      <c r="G40" s="582">
        <v>2689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640</v>
      </c>
      <c r="J41" s="161"/>
      <c r="K41" s="69" t="s">
        <v>96</v>
      </c>
    </row>
    <row r="42" spans="1:11" ht="10.5" customHeight="1">
      <c r="A42" s="69"/>
      <c r="B42" s="156" t="s">
        <v>645</v>
      </c>
      <c r="C42" s="157"/>
      <c r="D42" s="576" t="s">
        <v>639</v>
      </c>
      <c r="E42" s="584">
        <v>1.83E-2</v>
      </c>
      <c r="F42" s="580">
        <v>32400</v>
      </c>
      <c r="G42" s="582">
        <v>595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640</v>
      </c>
      <c r="J43" s="161"/>
      <c r="K43" s="69" t="s">
        <v>96</v>
      </c>
    </row>
    <row r="44" spans="1:11" ht="10.5" customHeight="1">
      <c r="A44" s="69"/>
      <c r="B44" s="156" t="s">
        <v>645</v>
      </c>
      <c r="C44" s="157"/>
      <c r="D44" s="576" t="s">
        <v>639</v>
      </c>
      <c r="E44" s="584">
        <v>3.8E-3</v>
      </c>
      <c r="F44" s="580">
        <v>32400</v>
      </c>
      <c r="G44" s="582">
        <v>125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640</v>
      </c>
      <c r="J45" s="161"/>
      <c r="K45" s="69" t="s">
        <v>96</v>
      </c>
    </row>
    <row r="46" spans="1:11" ht="10.5" customHeight="1">
      <c r="A46" s="69"/>
      <c r="B46" s="156" t="s">
        <v>646</v>
      </c>
      <c r="C46" s="157"/>
      <c r="D46" s="586" t="s">
        <v>639</v>
      </c>
      <c r="E46" s="588">
        <v>3.1</v>
      </c>
      <c r="F46" s="590">
        <v>29900</v>
      </c>
      <c r="G46" s="592">
        <v>92690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640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647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572</v>
      </c>
      <c r="C52" s="146" t="s">
        <v>573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74" t="s">
        <v>574</v>
      </c>
      <c r="C54" s="575"/>
      <c r="D54" s="153" t="s">
        <v>85</v>
      </c>
      <c r="E54" s="153" t="s">
        <v>575</v>
      </c>
      <c r="F54" s="153" t="s">
        <v>576</v>
      </c>
      <c r="G54" s="153" t="s">
        <v>577</v>
      </c>
      <c r="H54" s="154" t="s">
        <v>578</v>
      </c>
      <c r="I54" s="153" t="s">
        <v>579</v>
      </c>
      <c r="J54" s="155" t="s">
        <v>95</v>
      </c>
      <c r="K54" s="69"/>
    </row>
    <row r="55" spans="1:11" ht="10.5" customHeight="1">
      <c r="A55" s="69"/>
      <c r="B55" s="156" t="s">
        <v>646</v>
      </c>
      <c r="C55" s="157"/>
      <c r="D55" s="576" t="s">
        <v>639</v>
      </c>
      <c r="E55" s="578">
        <v>2.8</v>
      </c>
      <c r="F55" s="580">
        <v>29900</v>
      </c>
      <c r="G55" s="582">
        <v>83720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640</v>
      </c>
      <c r="J56" s="161"/>
      <c r="K56" s="69" t="s">
        <v>96</v>
      </c>
    </row>
    <row r="57" spans="1:11" ht="10.5" customHeight="1">
      <c r="A57" s="69"/>
      <c r="B57" s="156" t="s">
        <v>646</v>
      </c>
      <c r="C57" s="157"/>
      <c r="D57" s="576" t="s">
        <v>639</v>
      </c>
      <c r="E57" s="578">
        <v>1.4408000000000001</v>
      </c>
      <c r="F57" s="580">
        <v>29900</v>
      </c>
      <c r="G57" s="582">
        <v>43082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640</v>
      </c>
      <c r="J58" s="162"/>
      <c r="K58" s="69" t="s">
        <v>96</v>
      </c>
    </row>
    <row r="59" spans="1:11" ht="10.5" customHeight="1">
      <c r="A59" s="69"/>
      <c r="B59" s="156" t="s">
        <v>646</v>
      </c>
      <c r="C59" s="157"/>
      <c r="D59" s="576" t="s">
        <v>639</v>
      </c>
      <c r="E59" s="578">
        <v>1.4321999999999999</v>
      </c>
      <c r="F59" s="580">
        <v>29900</v>
      </c>
      <c r="G59" s="582">
        <v>42822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640</v>
      </c>
      <c r="J60" s="161"/>
      <c r="K60" s="69" t="s">
        <v>96</v>
      </c>
    </row>
    <row r="61" spans="1:11" ht="10.5" customHeight="1">
      <c r="A61" s="69"/>
      <c r="B61" s="156" t="s">
        <v>646</v>
      </c>
      <c r="C61" s="157"/>
      <c r="D61" s="576" t="s">
        <v>639</v>
      </c>
      <c r="E61" s="584">
        <v>0.13</v>
      </c>
      <c r="F61" s="580">
        <v>29900</v>
      </c>
      <c r="G61" s="582">
        <v>3887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640</v>
      </c>
      <c r="J62" s="161"/>
      <c r="K62" s="69" t="s">
        <v>96</v>
      </c>
    </row>
    <row r="63" spans="1:11" ht="10.5" customHeight="1">
      <c r="A63" s="69"/>
      <c r="B63" s="156" t="s">
        <v>646</v>
      </c>
      <c r="C63" s="157"/>
      <c r="D63" s="576" t="s">
        <v>639</v>
      </c>
      <c r="E63" s="584">
        <v>3.4200000000000001E-2</v>
      </c>
      <c r="F63" s="580">
        <v>29900</v>
      </c>
      <c r="G63" s="582">
        <v>1022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640</v>
      </c>
      <c r="J64" s="161"/>
      <c r="K64" s="69" t="s">
        <v>96</v>
      </c>
    </row>
    <row r="65" spans="1:11" ht="10.5" customHeight="1">
      <c r="A65" s="69"/>
      <c r="B65" s="156" t="s">
        <v>646</v>
      </c>
      <c r="C65" s="157"/>
      <c r="D65" s="576" t="s">
        <v>639</v>
      </c>
      <c r="E65" s="584">
        <v>3.1E-2</v>
      </c>
      <c r="F65" s="580">
        <v>29900</v>
      </c>
      <c r="G65" s="582">
        <v>926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640</v>
      </c>
      <c r="J66" s="161"/>
      <c r="K66" s="69" t="s">
        <v>96</v>
      </c>
    </row>
    <row r="67" spans="1:11" ht="10.5" customHeight="1">
      <c r="A67" s="69"/>
      <c r="B67" s="156" t="s">
        <v>646</v>
      </c>
      <c r="C67" s="157"/>
      <c r="D67" s="576" t="s">
        <v>639</v>
      </c>
      <c r="E67" s="584">
        <v>2.8000000000000001E-2</v>
      </c>
      <c r="F67" s="580">
        <v>29900</v>
      </c>
      <c r="G67" s="582">
        <v>837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640</v>
      </c>
      <c r="J68" s="161"/>
      <c r="K68" s="69" t="s">
        <v>96</v>
      </c>
    </row>
    <row r="69" spans="1:11" ht="10.5" customHeight="1">
      <c r="A69" s="69"/>
      <c r="B69" s="156" t="s">
        <v>646</v>
      </c>
      <c r="C69" s="157"/>
      <c r="D69" s="576" t="s">
        <v>639</v>
      </c>
      <c r="E69" s="584">
        <v>7.1000000000000004E-3</v>
      </c>
      <c r="F69" s="580">
        <v>29900</v>
      </c>
      <c r="G69" s="582">
        <v>212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640</v>
      </c>
      <c r="J70" s="161"/>
      <c r="K70" s="69" t="s">
        <v>96</v>
      </c>
    </row>
    <row r="71" spans="1:11" ht="10.5" customHeight="1">
      <c r="A71" s="69"/>
      <c r="B71" s="156" t="s">
        <v>648</v>
      </c>
      <c r="C71" s="157"/>
      <c r="D71" s="576" t="s">
        <v>639</v>
      </c>
      <c r="E71" s="584">
        <v>8.0039999999999996</v>
      </c>
      <c r="F71" s="580">
        <v>26800</v>
      </c>
      <c r="G71" s="582">
        <v>214507</v>
      </c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640</v>
      </c>
      <c r="J72" s="161"/>
      <c r="K72" s="69" t="s">
        <v>96</v>
      </c>
    </row>
    <row r="73" spans="1:11" ht="10.5" customHeight="1">
      <c r="A73" s="69"/>
      <c r="B73" s="156" t="s">
        <v>648</v>
      </c>
      <c r="C73" s="157"/>
      <c r="D73" s="576" t="s">
        <v>639</v>
      </c>
      <c r="E73" s="578">
        <v>6.3</v>
      </c>
      <c r="F73" s="580">
        <v>26800</v>
      </c>
      <c r="G73" s="582">
        <v>168840</v>
      </c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640</v>
      </c>
      <c r="J74" s="161"/>
      <c r="K74" s="69" t="s">
        <v>96</v>
      </c>
    </row>
    <row r="75" spans="1:11" ht="10.5" customHeight="1">
      <c r="A75" s="69"/>
      <c r="B75" s="156" t="s">
        <v>648</v>
      </c>
      <c r="C75" s="157"/>
      <c r="D75" s="576" t="s">
        <v>639</v>
      </c>
      <c r="E75" s="584">
        <v>5.0999999999999996</v>
      </c>
      <c r="F75" s="580">
        <v>26800</v>
      </c>
      <c r="G75" s="582">
        <v>136680</v>
      </c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640</v>
      </c>
      <c r="J76" s="161"/>
      <c r="K76" s="69" t="s">
        <v>96</v>
      </c>
    </row>
    <row r="77" spans="1:11" ht="10.5" customHeight="1">
      <c r="A77" s="69"/>
      <c r="B77" s="156" t="s">
        <v>648</v>
      </c>
      <c r="C77" s="157"/>
      <c r="D77" s="576" t="s">
        <v>639</v>
      </c>
      <c r="E77" s="584">
        <v>3.2536</v>
      </c>
      <c r="F77" s="580">
        <v>26800</v>
      </c>
      <c r="G77" s="582">
        <v>87196</v>
      </c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 t="s">
        <v>640</v>
      </c>
      <c r="J78" s="161"/>
      <c r="K78" s="69" t="s">
        <v>96</v>
      </c>
    </row>
    <row r="79" spans="1:11" ht="10.5" customHeight="1">
      <c r="A79" s="69"/>
      <c r="B79" s="156" t="s">
        <v>648</v>
      </c>
      <c r="C79" s="157"/>
      <c r="D79" s="576" t="s">
        <v>639</v>
      </c>
      <c r="E79" s="584">
        <v>3.234</v>
      </c>
      <c r="F79" s="580">
        <v>26800</v>
      </c>
      <c r="G79" s="582">
        <v>86671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640</v>
      </c>
      <c r="J80" s="161"/>
      <c r="K80" s="69" t="s">
        <v>96</v>
      </c>
    </row>
    <row r="81" spans="1:11" ht="10.5" customHeight="1">
      <c r="A81" s="69"/>
      <c r="B81" s="156" t="s">
        <v>648</v>
      </c>
      <c r="C81" s="157"/>
      <c r="D81" s="576" t="s">
        <v>639</v>
      </c>
      <c r="E81" s="584">
        <v>2.3595000000000002</v>
      </c>
      <c r="F81" s="580">
        <v>26800</v>
      </c>
      <c r="G81" s="582">
        <v>63234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640</v>
      </c>
      <c r="J82" s="161"/>
      <c r="K82" s="69" t="s">
        <v>96</v>
      </c>
    </row>
    <row r="83" spans="1:11" ht="10.5" customHeight="1">
      <c r="A83" s="69"/>
      <c r="B83" s="156" t="s">
        <v>648</v>
      </c>
      <c r="C83" s="157"/>
      <c r="D83" s="576" t="s">
        <v>639</v>
      </c>
      <c r="E83" s="584">
        <v>2.0790000000000002</v>
      </c>
      <c r="F83" s="580">
        <v>26800</v>
      </c>
      <c r="G83" s="582">
        <v>55717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640</v>
      </c>
      <c r="J84" s="161"/>
      <c r="K84" s="69" t="s">
        <v>96</v>
      </c>
    </row>
    <row r="85" spans="1:11" ht="10.5" customHeight="1">
      <c r="A85" s="69"/>
      <c r="B85" s="156" t="s">
        <v>648</v>
      </c>
      <c r="C85" s="157"/>
      <c r="D85" s="576" t="s">
        <v>639</v>
      </c>
      <c r="E85" s="584">
        <v>1.9403999999999999</v>
      </c>
      <c r="F85" s="580">
        <v>26800</v>
      </c>
      <c r="G85" s="582">
        <v>52002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640</v>
      </c>
      <c r="J86" s="161"/>
      <c r="K86" s="69" t="s">
        <v>96</v>
      </c>
    </row>
    <row r="87" spans="1:11" ht="10.5" customHeight="1">
      <c r="A87" s="69"/>
      <c r="B87" s="156" t="s">
        <v>648</v>
      </c>
      <c r="C87" s="157"/>
      <c r="D87" s="576" t="s">
        <v>639</v>
      </c>
      <c r="E87" s="584">
        <v>1.43</v>
      </c>
      <c r="F87" s="580">
        <v>26800</v>
      </c>
      <c r="G87" s="582">
        <v>38324</v>
      </c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 t="s">
        <v>640</v>
      </c>
      <c r="J88" s="161"/>
      <c r="K88" s="69" t="s">
        <v>96</v>
      </c>
    </row>
    <row r="89" spans="1:11" ht="10.5" customHeight="1">
      <c r="A89" s="69"/>
      <c r="B89" s="156" t="s">
        <v>648</v>
      </c>
      <c r="C89" s="157"/>
      <c r="D89" s="576" t="s">
        <v>639</v>
      </c>
      <c r="E89" s="584">
        <v>1.32</v>
      </c>
      <c r="F89" s="580">
        <v>26800</v>
      </c>
      <c r="G89" s="582">
        <v>35376</v>
      </c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 t="s">
        <v>640</v>
      </c>
      <c r="J90" s="161"/>
      <c r="K90" s="69" t="s">
        <v>96</v>
      </c>
    </row>
    <row r="91" spans="1:11" ht="10.5" customHeight="1">
      <c r="A91" s="69"/>
      <c r="B91" s="156" t="s">
        <v>648</v>
      </c>
      <c r="C91" s="157"/>
      <c r="D91" s="576" t="s">
        <v>639</v>
      </c>
      <c r="E91" s="584">
        <v>0.13500000000000001</v>
      </c>
      <c r="F91" s="580">
        <v>26800</v>
      </c>
      <c r="G91" s="582">
        <v>3618</v>
      </c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 t="s">
        <v>640</v>
      </c>
      <c r="J92" s="161"/>
      <c r="K92" s="69" t="s">
        <v>96</v>
      </c>
    </row>
    <row r="93" spans="1:11" ht="10.5" customHeight="1">
      <c r="A93" s="69"/>
      <c r="B93" s="156" t="s">
        <v>648</v>
      </c>
      <c r="C93" s="157"/>
      <c r="D93" s="576" t="s">
        <v>639</v>
      </c>
      <c r="E93" s="584">
        <v>8.6800000000000002E-2</v>
      </c>
      <c r="F93" s="580">
        <v>26800</v>
      </c>
      <c r="G93" s="582">
        <v>2328</v>
      </c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 t="s">
        <v>640</v>
      </c>
      <c r="J94" s="161"/>
      <c r="K94" s="69" t="s">
        <v>96</v>
      </c>
    </row>
    <row r="95" spans="1:11" ht="10.5" customHeight="1">
      <c r="A95" s="69"/>
      <c r="B95" s="156" t="s">
        <v>648</v>
      </c>
      <c r="C95" s="157"/>
      <c r="D95" s="586" t="s">
        <v>639</v>
      </c>
      <c r="E95" s="588">
        <v>6.3E-2</v>
      </c>
      <c r="F95" s="590">
        <v>26800</v>
      </c>
      <c r="G95" s="592">
        <v>1688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 t="s">
        <v>640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647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572</v>
      </c>
      <c r="C101" s="146" t="s">
        <v>573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/>
      <c r="K102" s="69"/>
    </row>
    <row r="103" spans="1:11" ht="18" customHeight="1">
      <c r="A103" s="69"/>
      <c r="B103" s="574" t="s">
        <v>574</v>
      </c>
      <c r="C103" s="575"/>
      <c r="D103" s="153" t="s">
        <v>85</v>
      </c>
      <c r="E103" s="153" t="s">
        <v>575</v>
      </c>
      <c r="F103" s="153" t="s">
        <v>576</v>
      </c>
      <c r="G103" s="153" t="s">
        <v>577</v>
      </c>
      <c r="H103" s="154" t="s">
        <v>578</v>
      </c>
      <c r="I103" s="153" t="s">
        <v>579</v>
      </c>
      <c r="J103" s="155" t="s">
        <v>95</v>
      </c>
      <c r="K103" s="69"/>
    </row>
    <row r="104" spans="1:11" ht="10.5" customHeight="1">
      <c r="A104" s="69"/>
      <c r="B104" s="156" t="s">
        <v>648</v>
      </c>
      <c r="C104" s="157"/>
      <c r="D104" s="576" t="s">
        <v>639</v>
      </c>
      <c r="E104" s="578">
        <v>5.0999999999999997E-2</v>
      </c>
      <c r="F104" s="580">
        <v>26800</v>
      </c>
      <c r="G104" s="582">
        <v>1366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/>
      <c r="C105" s="160"/>
      <c r="D105" s="577"/>
      <c r="E105" s="579"/>
      <c r="F105" s="581"/>
      <c r="G105" s="583"/>
      <c r="H105" s="356"/>
      <c r="I105" s="356" t="s">
        <v>640</v>
      </c>
      <c r="J105" s="161"/>
      <c r="K105" s="69" t="s">
        <v>96</v>
      </c>
    </row>
    <row r="106" spans="1:11" ht="10.5" customHeight="1">
      <c r="A106" s="69"/>
      <c r="B106" s="156" t="s">
        <v>648</v>
      </c>
      <c r="C106" s="157"/>
      <c r="D106" s="576" t="s">
        <v>639</v>
      </c>
      <c r="E106" s="578">
        <v>0.03</v>
      </c>
      <c r="F106" s="580">
        <v>26800</v>
      </c>
      <c r="G106" s="582">
        <v>804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640</v>
      </c>
      <c r="J107" s="162"/>
      <c r="K107" s="69" t="s">
        <v>96</v>
      </c>
    </row>
    <row r="108" spans="1:11" ht="10.5" customHeight="1">
      <c r="A108" s="69"/>
      <c r="B108" s="156" t="s">
        <v>648</v>
      </c>
      <c r="C108" s="157"/>
      <c r="D108" s="576" t="s">
        <v>639</v>
      </c>
      <c r="E108" s="578">
        <v>0.02</v>
      </c>
      <c r="F108" s="580">
        <v>26800</v>
      </c>
      <c r="G108" s="582">
        <v>536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/>
      <c r="C109" s="160"/>
      <c r="D109" s="577"/>
      <c r="E109" s="579"/>
      <c r="F109" s="581"/>
      <c r="G109" s="583"/>
      <c r="H109" s="356"/>
      <c r="I109" s="356" t="s">
        <v>640</v>
      </c>
      <c r="J109" s="161"/>
      <c r="K109" s="69" t="s">
        <v>96</v>
      </c>
    </row>
    <row r="110" spans="1:11" ht="10.5" customHeight="1">
      <c r="A110" s="69"/>
      <c r="B110" s="156" t="s">
        <v>648</v>
      </c>
      <c r="C110" s="157"/>
      <c r="D110" s="576" t="s">
        <v>639</v>
      </c>
      <c r="E110" s="584">
        <v>1.8700000000000001E-2</v>
      </c>
      <c r="F110" s="580">
        <v>26800</v>
      </c>
      <c r="G110" s="582">
        <v>501</v>
      </c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 t="s">
        <v>640</v>
      </c>
      <c r="J111" s="161"/>
      <c r="K111" s="69" t="s">
        <v>96</v>
      </c>
    </row>
    <row r="112" spans="1:11" ht="10.5" customHeight="1">
      <c r="A112" s="69"/>
      <c r="B112" s="156"/>
      <c r="C112" s="157"/>
      <c r="D112" s="576"/>
      <c r="E112" s="584"/>
      <c r="F112" s="580"/>
      <c r="G112" s="582"/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/>
      <c r="J113" s="161"/>
      <c r="K113" s="69" t="s">
        <v>96</v>
      </c>
    </row>
    <row r="114" spans="1:11" ht="10.5" customHeight="1">
      <c r="A114" s="69"/>
      <c r="B114" s="156" t="s">
        <v>637</v>
      </c>
      <c r="C114" s="157"/>
      <c r="D114" s="576"/>
      <c r="E114" s="584"/>
      <c r="F114" s="580"/>
      <c r="G114" s="582">
        <v>4460677</v>
      </c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/>
      <c r="J115" s="161"/>
      <c r="K115" s="69" t="s">
        <v>96</v>
      </c>
    </row>
    <row r="116" spans="1:11" ht="10.5" customHeight="1">
      <c r="A116" s="69"/>
      <c r="B116" s="156"/>
      <c r="C116" s="157"/>
      <c r="D116" s="576"/>
      <c r="E116" s="584"/>
      <c r="F116" s="580"/>
      <c r="G116" s="582"/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/>
      <c r="J117" s="161"/>
      <c r="K117" s="69" t="s">
        <v>96</v>
      </c>
    </row>
    <row r="118" spans="1:11" ht="10.5" customHeight="1">
      <c r="A118" s="69"/>
      <c r="B118" s="156"/>
      <c r="C118" s="157"/>
      <c r="D118" s="576"/>
      <c r="E118" s="584"/>
      <c r="F118" s="580"/>
      <c r="G118" s="582"/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/>
      <c r="J119" s="161"/>
      <c r="K119" s="69" t="s">
        <v>96</v>
      </c>
    </row>
    <row r="120" spans="1:11" ht="10.5" customHeight="1">
      <c r="A120" s="69"/>
      <c r="B120" s="156"/>
      <c r="C120" s="157"/>
      <c r="D120" s="576"/>
      <c r="E120" s="584"/>
      <c r="F120" s="580"/>
      <c r="G120" s="582"/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/>
      <c r="J121" s="161"/>
      <c r="K121" s="69" t="s">
        <v>96</v>
      </c>
    </row>
    <row r="122" spans="1:11" ht="10.5" customHeight="1">
      <c r="A122" s="69"/>
      <c r="B122" s="156"/>
      <c r="C122" s="157"/>
      <c r="D122" s="576"/>
      <c r="E122" s="578"/>
      <c r="F122" s="580"/>
      <c r="G122" s="582"/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/>
      <c r="J123" s="161"/>
      <c r="K123" s="69" t="s">
        <v>96</v>
      </c>
    </row>
    <row r="124" spans="1:11" ht="10.5" customHeight="1">
      <c r="A124" s="69"/>
      <c r="B124" s="156"/>
      <c r="C124" s="157"/>
      <c r="D124" s="576"/>
      <c r="E124" s="584"/>
      <c r="F124" s="580"/>
      <c r="G124" s="582"/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/>
      <c r="J125" s="161"/>
      <c r="K125" s="69" t="s">
        <v>96</v>
      </c>
    </row>
    <row r="126" spans="1:11" ht="10.5" customHeight="1">
      <c r="A126" s="69"/>
      <c r="B126" s="156"/>
      <c r="C126" s="157"/>
      <c r="D126" s="576"/>
      <c r="E126" s="584"/>
      <c r="F126" s="580"/>
      <c r="G126" s="582"/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/>
      <c r="J127" s="161"/>
      <c r="K127" s="69" t="s">
        <v>96</v>
      </c>
    </row>
    <row r="128" spans="1:11" ht="10.5" customHeight="1">
      <c r="A128" s="69"/>
      <c r="B128" s="156"/>
      <c r="C128" s="157"/>
      <c r="D128" s="576"/>
      <c r="E128" s="584"/>
      <c r="F128" s="580"/>
      <c r="G128" s="582"/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/>
      <c r="J129" s="161"/>
      <c r="K129" s="69" t="s">
        <v>96</v>
      </c>
    </row>
    <row r="130" spans="1:11" ht="10.5" customHeight="1">
      <c r="A130" s="69"/>
      <c r="B130" s="156"/>
      <c r="C130" s="157"/>
      <c r="D130" s="576"/>
      <c r="E130" s="584"/>
      <c r="F130" s="580"/>
      <c r="G130" s="582"/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/>
      <c r="J131" s="161"/>
      <c r="K131" s="69" t="s">
        <v>96</v>
      </c>
    </row>
    <row r="132" spans="1:11" ht="10.5" customHeight="1">
      <c r="A132" s="69"/>
      <c r="B132" s="156"/>
      <c r="C132" s="157"/>
      <c r="D132" s="576"/>
      <c r="E132" s="584"/>
      <c r="F132" s="580"/>
      <c r="G132" s="582"/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/>
      <c r="J133" s="161"/>
      <c r="K133" s="69" t="s">
        <v>96</v>
      </c>
    </row>
    <row r="134" spans="1:11" ht="10.5" customHeight="1">
      <c r="A134" s="69"/>
      <c r="B134" s="156"/>
      <c r="C134" s="157"/>
      <c r="D134" s="576"/>
      <c r="E134" s="584"/>
      <c r="F134" s="580"/>
      <c r="G134" s="582"/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/>
      <c r="J135" s="161"/>
      <c r="K135" s="69" t="s">
        <v>96</v>
      </c>
    </row>
    <row r="136" spans="1:11" ht="10.5" customHeight="1">
      <c r="A136" s="69"/>
      <c r="B136" s="156"/>
      <c r="C136" s="157"/>
      <c r="D136" s="576"/>
      <c r="E136" s="584"/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/>
      <c r="J137" s="161"/>
      <c r="K137" s="69" t="s">
        <v>96</v>
      </c>
    </row>
    <row r="138" spans="1:11" ht="10.5" customHeight="1">
      <c r="A138" s="69"/>
      <c r="B138" s="156"/>
      <c r="C138" s="157"/>
      <c r="D138" s="576"/>
      <c r="E138" s="584"/>
      <c r="F138" s="580"/>
      <c r="G138" s="582"/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/>
      <c r="J139" s="161"/>
      <c r="K139" s="69" t="s">
        <v>96</v>
      </c>
    </row>
    <row r="140" spans="1:11" ht="10.5" customHeight="1">
      <c r="A140" s="69"/>
      <c r="B140" s="156"/>
      <c r="C140" s="157"/>
      <c r="D140" s="576"/>
      <c r="E140" s="584"/>
      <c r="F140" s="580"/>
      <c r="G140" s="582"/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/>
      <c r="J141" s="161"/>
      <c r="K141" s="69" t="s">
        <v>96</v>
      </c>
    </row>
    <row r="142" spans="1:11" ht="10.5" customHeight="1">
      <c r="A142" s="69"/>
      <c r="B142" s="156"/>
      <c r="C142" s="157"/>
      <c r="D142" s="576"/>
      <c r="E142" s="584"/>
      <c r="F142" s="580"/>
      <c r="G142" s="582"/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/>
      <c r="J143" s="161"/>
      <c r="K143" s="69" t="s">
        <v>96</v>
      </c>
    </row>
    <row r="144" spans="1:11" ht="10.5" customHeight="1">
      <c r="A144" s="69"/>
      <c r="B144" s="156"/>
      <c r="C144" s="157"/>
      <c r="D144" s="586"/>
      <c r="E144" s="588"/>
      <c r="F144" s="590"/>
      <c r="G144" s="592"/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/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</sheetData>
  <mergeCells count="258"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19921875" defaultRowHeight="13.2"/>
  <cols>
    <col min="1" max="1" width="2.19921875" style="73" customWidth="1"/>
    <col min="2" max="2" width="14.3984375" style="73" customWidth="1"/>
    <col min="3" max="3" width="35.59765625" style="73" customWidth="1"/>
    <col min="4" max="4" width="6.09765625" style="73" customWidth="1"/>
    <col min="5" max="5" width="10.59765625" style="73" customWidth="1"/>
    <col min="6" max="6" width="12.59765625" style="73" customWidth="1"/>
    <col min="7" max="7" width="14.3984375" style="73" customWidth="1"/>
    <col min="8" max="8" width="7.3984375" style="73" customWidth="1"/>
    <col min="9" max="9" width="11.59765625" style="73" customWidth="1"/>
    <col min="10" max="10" width="18.8984375" style="73" customWidth="1"/>
    <col min="11" max="11" width="2.19921875" style="73" customWidth="1"/>
    <col min="12" max="16384" width="8.1992187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572</v>
      </c>
      <c r="C3" s="146" t="s">
        <v>573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74" t="s">
        <v>574</v>
      </c>
      <c r="C5" s="575"/>
      <c r="D5" s="153" t="s">
        <v>85</v>
      </c>
      <c r="E5" s="153" t="s">
        <v>575</v>
      </c>
      <c r="F5" s="153" t="s">
        <v>576</v>
      </c>
      <c r="G5" s="153" t="s">
        <v>577</v>
      </c>
      <c r="H5" s="154" t="s">
        <v>578</v>
      </c>
      <c r="I5" s="153" t="s">
        <v>579</v>
      </c>
      <c r="J5" s="155" t="s">
        <v>95</v>
      </c>
      <c r="K5" s="69"/>
    </row>
    <row r="6" spans="1:11" ht="10.5" customHeight="1">
      <c r="A6" s="69"/>
      <c r="B6" s="156" t="s">
        <v>649</v>
      </c>
      <c r="C6" s="157"/>
      <c r="D6" s="576" t="s">
        <v>650</v>
      </c>
      <c r="E6" s="578">
        <v>1.1435</v>
      </c>
      <c r="F6" s="580">
        <v>8000</v>
      </c>
      <c r="G6" s="582">
        <v>9148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651</v>
      </c>
      <c r="C7" s="160"/>
      <c r="D7" s="577"/>
      <c r="E7" s="579"/>
      <c r="F7" s="581"/>
      <c r="G7" s="583"/>
      <c r="H7" s="356"/>
      <c r="I7" s="356" t="s">
        <v>652</v>
      </c>
      <c r="J7" s="161"/>
      <c r="K7" s="69" t="s">
        <v>96</v>
      </c>
    </row>
    <row r="8" spans="1:11" ht="10.5" customHeight="1">
      <c r="A8" s="69"/>
      <c r="B8" s="156" t="s">
        <v>653</v>
      </c>
      <c r="C8" s="157"/>
      <c r="D8" s="576" t="s">
        <v>654</v>
      </c>
      <c r="E8" s="578">
        <v>20</v>
      </c>
      <c r="F8" s="580">
        <v>25000</v>
      </c>
      <c r="G8" s="582">
        <v>500000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652</v>
      </c>
      <c r="J9" s="162"/>
      <c r="K9" s="69" t="s">
        <v>96</v>
      </c>
    </row>
    <row r="10" spans="1:11" ht="10.5" customHeight="1">
      <c r="A10" s="69"/>
      <c r="B10" s="156" t="s">
        <v>655</v>
      </c>
      <c r="C10" s="157"/>
      <c r="D10" s="576" t="s">
        <v>656</v>
      </c>
      <c r="E10" s="578">
        <v>1747.24</v>
      </c>
      <c r="F10" s="580">
        <v>300</v>
      </c>
      <c r="G10" s="582">
        <v>524172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652</v>
      </c>
      <c r="J11" s="161"/>
      <c r="K11" s="69" t="s">
        <v>96</v>
      </c>
    </row>
    <row r="12" spans="1:11" ht="10.5" customHeight="1">
      <c r="A12" s="69"/>
      <c r="B12" s="156" t="s">
        <v>657</v>
      </c>
      <c r="C12" s="157"/>
      <c r="D12" s="576" t="s">
        <v>650</v>
      </c>
      <c r="E12" s="584">
        <v>56.1</v>
      </c>
      <c r="F12" s="580">
        <v>9000</v>
      </c>
      <c r="G12" s="582">
        <v>504900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652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637</v>
      </c>
      <c r="C16" s="157"/>
      <c r="D16" s="576"/>
      <c r="E16" s="584"/>
      <c r="F16" s="580"/>
      <c r="G16" s="582">
        <v>1538220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19921875" defaultRowHeight="13.2"/>
  <cols>
    <col min="1" max="1" width="2.19921875" style="73" customWidth="1"/>
    <col min="2" max="2" width="14.3984375" style="73" customWidth="1"/>
    <col min="3" max="3" width="35.59765625" style="73" customWidth="1"/>
    <col min="4" max="4" width="6.09765625" style="73" customWidth="1"/>
    <col min="5" max="5" width="10.59765625" style="73" customWidth="1"/>
    <col min="6" max="6" width="12.59765625" style="73" customWidth="1"/>
    <col min="7" max="7" width="14.3984375" style="73" customWidth="1"/>
    <col min="8" max="8" width="7.3984375" style="73" customWidth="1"/>
    <col min="9" max="9" width="11.59765625" style="73" customWidth="1"/>
    <col min="10" max="10" width="18.8984375" style="73" customWidth="1"/>
    <col min="11" max="11" width="2.19921875" style="73" customWidth="1"/>
    <col min="12" max="16384" width="8.1992187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572</v>
      </c>
      <c r="C3" s="146" t="s">
        <v>573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74" t="s">
        <v>574</v>
      </c>
      <c r="C5" s="575"/>
      <c r="D5" s="153" t="s">
        <v>85</v>
      </c>
      <c r="E5" s="153" t="s">
        <v>575</v>
      </c>
      <c r="F5" s="153" t="s">
        <v>576</v>
      </c>
      <c r="G5" s="153" t="s">
        <v>577</v>
      </c>
      <c r="H5" s="154" t="s">
        <v>578</v>
      </c>
      <c r="I5" s="153" t="s">
        <v>579</v>
      </c>
      <c r="J5" s="155" t="s">
        <v>95</v>
      </c>
      <c r="K5" s="69"/>
    </row>
    <row r="6" spans="1:11" ht="10.5" customHeight="1">
      <c r="A6" s="69"/>
      <c r="B6" s="156" t="s">
        <v>658</v>
      </c>
      <c r="C6" s="157"/>
      <c r="D6" s="576" t="s">
        <v>659</v>
      </c>
      <c r="E6" s="578">
        <v>9.36</v>
      </c>
      <c r="F6" s="580">
        <v>8000</v>
      </c>
      <c r="G6" s="582">
        <v>74880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660</v>
      </c>
      <c r="C7" s="160"/>
      <c r="D7" s="577"/>
      <c r="E7" s="579"/>
      <c r="F7" s="581"/>
      <c r="G7" s="583"/>
      <c r="H7" s="356"/>
      <c r="I7" s="356" t="s">
        <v>661</v>
      </c>
      <c r="J7" s="161"/>
      <c r="K7" s="69" t="s">
        <v>96</v>
      </c>
    </row>
    <row r="8" spans="1:11" ht="10.5" customHeight="1">
      <c r="A8" s="69"/>
      <c r="B8" s="156" t="s">
        <v>658</v>
      </c>
      <c r="C8" s="157"/>
      <c r="D8" s="576" t="s">
        <v>659</v>
      </c>
      <c r="E8" s="578">
        <v>2.86</v>
      </c>
      <c r="F8" s="580">
        <v>8000</v>
      </c>
      <c r="G8" s="582">
        <v>22880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660</v>
      </c>
      <c r="C9" s="160"/>
      <c r="D9" s="577"/>
      <c r="E9" s="579"/>
      <c r="F9" s="581"/>
      <c r="G9" s="583"/>
      <c r="H9" s="356"/>
      <c r="I9" s="356" t="s">
        <v>661</v>
      </c>
      <c r="J9" s="162"/>
      <c r="K9" s="69" t="s">
        <v>96</v>
      </c>
    </row>
    <row r="10" spans="1:11" ht="10.5" customHeight="1">
      <c r="A10" s="69"/>
      <c r="B10" s="156" t="s">
        <v>658</v>
      </c>
      <c r="C10" s="157"/>
      <c r="D10" s="576" t="s">
        <v>659</v>
      </c>
      <c r="E10" s="578">
        <v>2.62</v>
      </c>
      <c r="F10" s="580">
        <v>8000</v>
      </c>
      <c r="G10" s="582">
        <v>20960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660</v>
      </c>
      <c r="C11" s="160"/>
      <c r="D11" s="577"/>
      <c r="E11" s="579"/>
      <c r="F11" s="581"/>
      <c r="G11" s="583"/>
      <c r="H11" s="356"/>
      <c r="I11" s="356" t="s">
        <v>661</v>
      </c>
      <c r="J11" s="161"/>
      <c r="K11" s="69" t="s">
        <v>96</v>
      </c>
    </row>
    <row r="12" spans="1:11" ht="10.5" customHeight="1">
      <c r="A12" s="69"/>
      <c r="B12" s="156" t="s">
        <v>658</v>
      </c>
      <c r="C12" s="157"/>
      <c r="D12" s="576" t="s">
        <v>659</v>
      </c>
      <c r="E12" s="584">
        <v>2.31</v>
      </c>
      <c r="F12" s="580">
        <v>8000</v>
      </c>
      <c r="G12" s="582">
        <v>18480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660</v>
      </c>
      <c r="C13" s="160"/>
      <c r="D13" s="577"/>
      <c r="E13" s="585"/>
      <c r="F13" s="581"/>
      <c r="G13" s="583"/>
      <c r="H13" s="356"/>
      <c r="I13" s="356" t="s">
        <v>661</v>
      </c>
      <c r="J13" s="161"/>
      <c r="K13" s="69" t="s">
        <v>96</v>
      </c>
    </row>
    <row r="14" spans="1:11" ht="10.5" customHeight="1">
      <c r="A14" s="69"/>
      <c r="B14" s="156" t="s">
        <v>658</v>
      </c>
      <c r="C14" s="157"/>
      <c r="D14" s="576" t="s">
        <v>659</v>
      </c>
      <c r="E14" s="584">
        <v>2.0625</v>
      </c>
      <c r="F14" s="580">
        <v>6000</v>
      </c>
      <c r="G14" s="582">
        <v>12375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660</v>
      </c>
      <c r="C15" s="160"/>
      <c r="D15" s="577"/>
      <c r="E15" s="585"/>
      <c r="F15" s="581"/>
      <c r="G15" s="583"/>
      <c r="H15" s="356"/>
      <c r="I15" s="356" t="s">
        <v>661</v>
      </c>
      <c r="J15" s="161"/>
      <c r="K15" s="69" t="s">
        <v>96</v>
      </c>
    </row>
    <row r="16" spans="1:11" ht="10.5" customHeight="1">
      <c r="A16" s="69"/>
      <c r="B16" s="156" t="s">
        <v>658</v>
      </c>
      <c r="C16" s="157"/>
      <c r="D16" s="576" t="s">
        <v>659</v>
      </c>
      <c r="E16" s="584">
        <v>1.1435</v>
      </c>
      <c r="F16" s="580">
        <v>8000</v>
      </c>
      <c r="G16" s="582">
        <v>9148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660</v>
      </c>
      <c r="C17" s="160"/>
      <c r="D17" s="577"/>
      <c r="E17" s="585"/>
      <c r="F17" s="581"/>
      <c r="G17" s="583"/>
      <c r="H17" s="356"/>
      <c r="I17" s="356" t="s">
        <v>661</v>
      </c>
      <c r="J17" s="161"/>
      <c r="K17" s="69" t="s">
        <v>96</v>
      </c>
    </row>
    <row r="18" spans="1:11" ht="10.5" customHeight="1">
      <c r="A18" s="69"/>
      <c r="B18" s="156" t="s">
        <v>662</v>
      </c>
      <c r="C18" s="157"/>
      <c r="D18" s="576" t="s">
        <v>659</v>
      </c>
      <c r="E18" s="584">
        <v>0.96250000000000002</v>
      </c>
      <c r="F18" s="580">
        <v>8000</v>
      </c>
      <c r="G18" s="582">
        <v>7700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660</v>
      </c>
      <c r="C19" s="160"/>
      <c r="D19" s="577"/>
      <c r="E19" s="585"/>
      <c r="F19" s="581"/>
      <c r="G19" s="583"/>
      <c r="H19" s="356"/>
      <c r="I19" s="356" t="s">
        <v>661</v>
      </c>
      <c r="J19" s="161"/>
      <c r="K19" s="69" t="s">
        <v>96</v>
      </c>
    </row>
    <row r="20" spans="1:11" ht="10.5" customHeight="1">
      <c r="A20" s="69"/>
      <c r="B20" s="156" t="s">
        <v>663</v>
      </c>
      <c r="C20" s="157"/>
      <c r="D20" s="576" t="s">
        <v>659</v>
      </c>
      <c r="E20" s="584">
        <v>4</v>
      </c>
      <c r="F20" s="580">
        <v>12000</v>
      </c>
      <c r="G20" s="582">
        <v>48000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660</v>
      </c>
      <c r="C21" s="160"/>
      <c r="D21" s="577"/>
      <c r="E21" s="585"/>
      <c r="F21" s="581"/>
      <c r="G21" s="583"/>
      <c r="H21" s="356"/>
      <c r="I21" s="356" t="s">
        <v>661</v>
      </c>
      <c r="J21" s="161"/>
      <c r="K21" s="69" t="s">
        <v>96</v>
      </c>
    </row>
    <row r="22" spans="1:11" ht="10.5" customHeight="1">
      <c r="A22" s="69"/>
      <c r="B22" s="156" t="s">
        <v>663</v>
      </c>
      <c r="C22" s="157"/>
      <c r="D22" s="576" t="s">
        <v>659</v>
      </c>
      <c r="E22" s="584">
        <v>4</v>
      </c>
      <c r="F22" s="580">
        <v>8000</v>
      </c>
      <c r="G22" s="582">
        <v>32000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660</v>
      </c>
      <c r="C23" s="160"/>
      <c r="D23" s="577"/>
      <c r="E23" s="585"/>
      <c r="F23" s="581"/>
      <c r="G23" s="583"/>
      <c r="H23" s="356"/>
      <c r="I23" s="356" t="s">
        <v>661</v>
      </c>
      <c r="J23" s="161"/>
      <c r="K23" s="69" t="s">
        <v>96</v>
      </c>
    </row>
    <row r="24" spans="1:11" ht="10.5" customHeight="1">
      <c r="A24" s="69"/>
      <c r="B24" s="156" t="s">
        <v>664</v>
      </c>
      <c r="C24" s="157"/>
      <c r="D24" s="576" t="s">
        <v>665</v>
      </c>
      <c r="E24" s="578">
        <v>20</v>
      </c>
      <c r="F24" s="580">
        <v>25000</v>
      </c>
      <c r="G24" s="582">
        <v>500000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666</v>
      </c>
      <c r="C25" s="160"/>
      <c r="D25" s="577"/>
      <c r="E25" s="579"/>
      <c r="F25" s="581"/>
      <c r="G25" s="583"/>
      <c r="H25" s="356"/>
      <c r="I25" s="356" t="s">
        <v>661</v>
      </c>
      <c r="J25" s="161"/>
      <c r="K25" s="69" t="s">
        <v>96</v>
      </c>
    </row>
    <row r="26" spans="1:11" ht="10.5" customHeight="1">
      <c r="A26" s="69"/>
      <c r="B26" s="156" t="s">
        <v>628</v>
      </c>
      <c r="C26" s="157"/>
      <c r="D26" s="576" t="s">
        <v>600</v>
      </c>
      <c r="E26" s="584">
        <v>6.9997999999999996</v>
      </c>
      <c r="F26" s="580">
        <v>6080</v>
      </c>
      <c r="G26" s="582">
        <v>42559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629</v>
      </c>
      <c r="C27" s="160"/>
      <c r="D27" s="577"/>
      <c r="E27" s="585"/>
      <c r="F27" s="581"/>
      <c r="G27" s="583"/>
      <c r="H27" s="356"/>
      <c r="I27" s="356" t="s">
        <v>661</v>
      </c>
      <c r="J27" s="161"/>
      <c r="K27" s="69" t="s">
        <v>96</v>
      </c>
    </row>
    <row r="28" spans="1:11" ht="10.5" customHeight="1">
      <c r="A28" s="69"/>
      <c r="B28" s="156" t="s">
        <v>628</v>
      </c>
      <c r="C28" s="157"/>
      <c r="D28" s="576" t="s">
        <v>600</v>
      </c>
      <c r="E28" s="584">
        <v>6.1677</v>
      </c>
      <c r="F28" s="580">
        <v>6080</v>
      </c>
      <c r="G28" s="582">
        <v>37499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629</v>
      </c>
      <c r="C29" s="160"/>
      <c r="D29" s="577"/>
      <c r="E29" s="585"/>
      <c r="F29" s="581"/>
      <c r="G29" s="583"/>
      <c r="H29" s="356"/>
      <c r="I29" s="356" t="s">
        <v>661</v>
      </c>
      <c r="J29" s="161"/>
      <c r="K29" s="69" t="s">
        <v>96</v>
      </c>
    </row>
    <row r="30" spans="1:11" ht="10.5" customHeight="1">
      <c r="A30" s="69"/>
      <c r="B30" s="156" t="s">
        <v>628</v>
      </c>
      <c r="C30" s="157"/>
      <c r="D30" s="576" t="s">
        <v>600</v>
      </c>
      <c r="E30" s="584">
        <v>8.8999999999999996E-2</v>
      </c>
      <c r="F30" s="580">
        <v>6080</v>
      </c>
      <c r="G30" s="582">
        <v>541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629</v>
      </c>
      <c r="C31" s="160"/>
      <c r="D31" s="577"/>
      <c r="E31" s="585"/>
      <c r="F31" s="581"/>
      <c r="G31" s="583"/>
      <c r="H31" s="356"/>
      <c r="I31" s="356" t="s">
        <v>661</v>
      </c>
      <c r="J31" s="161"/>
      <c r="K31" s="69" t="s">
        <v>96</v>
      </c>
    </row>
    <row r="32" spans="1:11" ht="10.5" customHeight="1">
      <c r="A32" s="69"/>
      <c r="B32" s="156" t="s">
        <v>667</v>
      </c>
      <c r="C32" s="157"/>
      <c r="D32" s="576" t="s">
        <v>668</v>
      </c>
      <c r="E32" s="584">
        <v>18.27</v>
      </c>
      <c r="F32" s="580">
        <v>3000</v>
      </c>
      <c r="G32" s="582">
        <v>54810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669</v>
      </c>
      <c r="C33" s="160"/>
      <c r="D33" s="577"/>
      <c r="E33" s="585"/>
      <c r="F33" s="581"/>
      <c r="G33" s="583"/>
      <c r="H33" s="356"/>
      <c r="I33" s="356" t="s">
        <v>661</v>
      </c>
      <c r="J33" s="161"/>
      <c r="K33" s="69" t="s">
        <v>96</v>
      </c>
    </row>
    <row r="34" spans="1:11" ht="10.5" customHeight="1">
      <c r="A34" s="69"/>
      <c r="B34" s="156" t="s">
        <v>667</v>
      </c>
      <c r="C34" s="157"/>
      <c r="D34" s="576" t="s">
        <v>668</v>
      </c>
      <c r="E34" s="584">
        <v>8</v>
      </c>
      <c r="F34" s="580">
        <v>3000</v>
      </c>
      <c r="G34" s="582">
        <v>24000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669</v>
      </c>
      <c r="C35" s="160"/>
      <c r="D35" s="577"/>
      <c r="E35" s="585"/>
      <c r="F35" s="581"/>
      <c r="G35" s="583"/>
      <c r="H35" s="356"/>
      <c r="I35" s="356" t="s">
        <v>661</v>
      </c>
      <c r="J35" s="161"/>
      <c r="K35" s="69" t="s">
        <v>96</v>
      </c>
    </row>
    <row r="36" spans="1:11" ht="10.5" customHeight="1">
      <c r="A36" s="69"/>
      <c r="B36" s="156" t="s">
        <v>667</v>
      </c>
      <c r="C36" s="157"/>
      <c r="D36" s="576" t="s">
        <v>668</v>
      </c>
      <c r="E36" s="584">
        <v>2.62</v>
      </c>
      <c r="F36" s="580">
        <v>3000</v>
      </c>
      <c r="G36" s="582">
        <v>7860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669</v>
      </c>
      <c r="C37" s="160"/>
      <c r="D37" s="577"/>
      <c r="E37" s="585"/>
      <c r="F37" s="581"/>
      <c r="G37" s="583"/>
      <c r="H37" s="356"/>
      <c r="I37" s="356" t="s">
        <v>661</v>
      </c>
      <c r="J37" s="161"/>
      <c r="K37" s="69" t="s">
        <v>96</v>
      </c>
    </row>
    <row r="38" spans="1:11" ht="10.5" customHeight="1">
      <c r="A38" s="69"/>
      <c r="B38" s="156" t="s">
        <v>667</v>
      </c>
      <c r="C38" s="157"/>
      <c r="D38" s="576" t="s">
        <v>668</v>
      </c>
      <c r="E38" s="584">
        <v>1.1435</v>
      </c>
      <c r="F38" s="580">
        <v>3000</v>
      </c>
      <c r="G38" s="582">
        <v>3430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669</v>
      </c>
      <c r="C39" s="160"/>
      <c r="D39" s="577"/>
      <c r="E39" s="585"/>
      <c r="F39" s="581"/>
      <c r="G39" s="583"/>
      <c r="H39" s="356"/>
      <c r="I39" s="356" t="s">
        <v>661</v>
      </c>
      <c r="J39" s="161"/>
      <c r="K39" s="69" t="s">
        <v>96</v>
      </c>
    </row>
    <row r="40" spans="1:11" ht="10.5" customHeight="1">
      <c r="A40" s="69"/>
      <c r="B40" s="156" t="s">
        <v>667</v>
      </c>
      <c r="C40" s="157"/>
      <c r="D40" s="576" t="s">
        <v>668</v>
      </c>
      <c r="E40" s="584">
        <v>0.72199999999999998</v>
      </c>
      <c r="F40" s="580">
        <v>3000</v>
      </c>
      <c r="G40" s="582">
        <v>2166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669</v>
      </c>
      <c r="C41" s="160"/>
      <c r="D41" s="577"/>
      <c r="E41" s="585"/>
      <c r="F41" s="581"/>
      <c r="G41" s="583"/>
      <c r="H41" s="356"/>
      <c r="I41" s="356" t="s">
        <v>661</v>
      </c>
      <c r="J41" s="161"/>
      <c r="K41" s="69" t="s">
        <v>96</v>
      </c>
    </row>
    <row r="42" spans="1:11" ht="10.5" customHeight="1">
      <c r="A42" s="69"/>
      <c r="B42" s="156" t="s">
        <v>667</v>
      </c>
      <c r="C42" s="157"/>
      <c r="D42" s="576" t="s">
        <v>668</v>
      </c>
      <c r="E42" s="584">
        <v>0.153</v>
      </c>
      <c r="F42" s="580">
        <v>3000</v>
      </c>
      <c r="G42" s="582">
        <v>459</v>
      </c>
      <c r="H42" s="355"/>
      <c r="I42" s="355"/>
      <c r="J42" s="158"/>
      <c r="K42" s="69" t="s">
        <v>96</v>
      </c>
    </row>
    <row r="43" spans="1:11" ht="10.5" customHeight="1">
      <c r="A43" s="69"/>
      <c r="B43" s="159" t="s">
        <v>669</v>
      </c>
      <c r="C43" s="160"/>
      <c r="D43" s="577"/>
      <c r="E43" s="585"/>
      <c r="F43" s="581"/>
      <c r="G43" s="583"/>
      <c r="H43" s="356"/>
      <c r="I43" s="356" t="s">
        <v>661</v>
      </c>
      <c r="J43" s="161"/>
      <c r="K43" s="69" t="s">
        <v>96</v>
      </c>
    </row>
    <row r="44" spans="1:11" ht="10.5" customHeight="1">
      <c r="A44" s="69"/>
      <c r="B44" s="156" t="s">
        <v>667</v>
      </c>
      <c r="C44" s="157"/>
      <c r="D44" s="576" t="s">
        <v>668</v>
      </c>
      <c r="E44" s="584">
        <v>5.2900000000000003E-2</v>
      </c>
      <c r="F44" s="580">
        <v>3000</v>
      </c>
      <c r="G44" s="582">
        <v>158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669</v>
      </c>
      <c r="C45" s="160"/>
      <c r="D45" s="577"/>
      <c r="E45" s="585"/>
      <c r="F45" s="581"/>
      <c r="G45" s="583"/>
      <c r="H45" s="356"/>
      <c r="I45" s="356" t="s">
        <v>661</v>
      </c>
      <c r="J45" s="161"/>
      <c r="K45" s="69" t="s">
        <v>96</v>
      </c>
    </row>
    <row r="46" spans="1:11" ht="10.5" customHeight="1">
      <c r="A46" s="69"/>
      <c r="B46" s="156" t="s">
        <v>667</v>
      </c>
      <c r="C46" s="157"/>
      <c r="D46" s="586" t="s">
        <v>668</v>
      </c>
      <c r="E46" s="588">
        <v>1.78E-2</v>
      </c>
      <c r="F46" s="590">
        <v>3000</v>
      </c>
      <c r="G46" s="592">
        <v>53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669</v>
      </c>
      <c r="C47" s="164"/>
      <c r="D47" s="587"/>
      <c r="E47" s="589"/>
      <c r="F47" s="591"/>
      <c r="G47" s="593"/>
      <c r="H47" s="357"/>
      <c r="I47" s="357" t="s">
        <v>661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670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572</v>
      </c>
      <c r="C52" s="146" t="s">
        <v>573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/>
      <c r="K53" s="69"/>
    </row>
    <row r="54" spans="1:11" ht="18" customHeight="1">
      <c r="A54" s="69"/>
      <c r="B54" s="574" t="s">
        <v>574</v>
      </c>
      <c r="C54" s="575"/>
      <c r="D54" s="153" t="s">
        <v>85</v>
      </c>
      <c r="E54" s="153" t="s">
        <v>575</v>
      </c>
      <c r="F54" s="153" t="s">
        <v>576</v>
      </c>
      <c r="G54" s="153" t="s">
        <v>577</v>
      </c>
      <c r="H54" s="154" t="s">
        <v>578</v>
      </c>
      <c r="I54" s="153" t="s">
        <v>579</v>
      </c>
      <c r="J54" s="155" t="s">
        <v>95</v>
      </c>
      <c r="K54" s="69"/>
    </row>
    <row r="55" spans="1:11" ht="10.5" customHeight="1">
      <c r="A55" s="69"/>
      <c r="B55" s="156" t="s">
        <v>671</v>
      </c>
      <c r="C55" s="157"/>
      <c r="D55" s="576" t="s">
        <v>659</v>
      </c>
      <c r="E55" s="578">
        <v>0.93379999999999996</v>
      </c>
      <c r="F55" s="580">
        <v>44000</v>
      </c>
      <c r="G55" s="582">
        <v>41087</v>
      </c>
      <c r="H55" s="355"/>
      <c r="I55" s="355"/>
      <c r="J55" s="158"/>
      <c r="K55" s="69" t="s">
        <v>96</v>
      </c>
    </row>
    <row r="56" spans="1:11" ht="10.5" customHeight="1">
      <c r="A56" s="69"/>
      <c r="B56" s="159" t="s">
        <v>672</v>
      </c>
      <c r="C56" s="160"/>
      <c r="D56" s="577"/>
      <c r="E56" s="579"/>
      <c r="F56" s="581"/>
      <c r="G56" s="583"/>
      <c r="H56" s="356"/>
      <c r="I56" s="356" t="s">
        <v>661</v>
      </c>
      <c r="J56" s="161"/>
      <c r="K56" s="69" t="s">
        <v>96</v>
      </c>
    </row>
    <row r="57" spans="1:11" ht="10.5" customHeight="1">
      <c r="A57" s="69"/>
      <c r="B57" s="156"/>
      <c r="C57" s="157"/>
      <c r="D57" s="576"/>
      <c r="E57" s="578"/>
      <c r="F57" s="580"/>
      <c r="G57" s="582"/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/>
      <c r="J58" s="162"/>
      <c r="K58" s="69" t="s">
        <v>96</v>
      </c>
    </row>
    <row r="59" spans="1:11" ht="10.5" customHeight="1">
      <c r="A59" s="69"/>
      <c r="B59" s="156" t="s">
        <v>637</v>
      </c>
      <c r="C59" s="157"/>
      <c r="D59" s="576"/>
      <c r="E59" s="578"/>
      <c r="F59" s="580"/>
      <c r="G59" s="582">
        <v>961045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/>
      <c r="J60" s="161"/>
      <c r="K60" s="69" t="s">
        <v>96</v>
      </c>
    </row>
    <row r="61" spans="1:11" ht="10.5" customHeight="1">
      <c r="A61" s="69"/>
      <c r="B61" s="156"/>
      <c r="C61" s="157"/>
      <c r="D61" s="576"/>
      <c r="E61" s="584"/>
      <c r="F61" s="580"/>
      <c r="G61" s="582"/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/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/>
      <c r="C65" s="157"/>
      <c r="D65" s="576"/>
      <c r="E65" s="584"/>
      <c r="F65" s="580"/>
      <c r="G65" s="582"/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19921875" defaultRowHeight="13.2"/>
  <cols>
    <col min="1" max="1" width="2.19921875" style="73" customWidth="1"/>
    <col min="2" max="2" width="14.3984375" style="73" customWidth="1"/>
    <col min="3" max="3" width="35.59765625" style="73" customWidth="1"/>
    <col min="4" max="4" width="6.09765625" style="73" customWidth="1"/>
    <col min="5" max="5" width="10.59765625" style="73" customWidth="1"/>
    <col min="6" max="6" width="12.59765625" style="73" customWidth="1"/>
    <col min="7" max="7" width="14.3984375" style="73" customWidth="1"/>
    <col min="8" max="8" width="7.3984375" style="73" customWidth="1"/>
    <col min="9" max="9" width="11.59765625" style="73" customWidth="1"/>
    <col min="10" max="10" width="18.8984375" style="73" customWidth="1"/>
    <col min="11" max="11" width="2.19921875" style="73" customWidth="1"/>
    <col min="12" max="16384" width="8.1992187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572</v>
      </c>
      <c r="C3" s="146" t="s">
        <v>573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/>
      <c r="K4" s="69"/>
    </row>
    <row r="5" spans="1:11" ht="18" customHeight="1">
      <c r="A5" s="69"/>
      <c r="B5" s="574" t="s">
        <v>574</v>
      </c>
      <c r="C5" s="575"/>
      <c r="D5" s="153" t="s">
        <v>85</v>
      </c>
      <c r="E5" s="153" t="s">
        <v>575</v>
      </c>
      <c r="F5" s="153" t="s">
        <v>576</v>
      </c>
      <c r="G5" s="153" t="s">
        <v>577</v>
      </c>
      <c r="H5" s="154" t="s">
        <v>578</v>
      </c>
      <c r="I5" s="153" t="s">
        <v>579</v>
      </c>
      <c r="J5" s="155" t="s">
        <v>95</v>
      </c>
      <c r="K5" s="69"/>
    </row>
    <row r="6" spans="1:11" ht="10.5" customHeight="1">
      <c r="A6" s="69"/>
      <c r="B6" s="156" t="s">
        <v>673</v>
      </c>
      <c r="C6" s="157"/>
      <c r="D6" s="576" t="s">
        <v>668</v>
      </c>
      <c r="E6" s="578">
        <v>17.555</v>
      </c>
      <c r="F6" s="580">
        <v>6000</v>
      </c>
      <c r="G6" s="582">
        <v>105330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674</v>
      </c>
      <c r="C7" s="160"/>
      <c r="D7" s="577"/>
      <c r="E7" s="579"/>
      <c r="F7" s="581"/>
      <c r="G7" s="583"/>
      <c r="H7" s="356"/>
      <c r="I7" s="356" t="s">
        <v>675</v>
      </c>
      <c r="J7" s="161"/>
      <c r="K7" s="69" t="s">
        <v>96</v>
      </c>
    </row>
    <row r="8" spans="1:11" ht="10.5" customHeight="1">
      <c r="A8" s="69"/>
      <c r="B8" s="156" t="s">
        <v>673</v>
      </c>
      <c r="C8" s="157"/>
      <c r="D8" s="576" t="s">
        <v>668</v>
      </c>
      <c r="E8" s="578">
        <v>8</v>
      </c>
      <c r="F8" s="580">
        <v>6000</v>
      </c>
      <c r="G8" s="582">
        <v>48000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674</v>
      </c>
      <c r="C9" s="160"/>
      <c r="D9" s="577"/>
      <c r="E9" s="579"/>
      <c r="F9" s="581"/>
      <c r="G9" s="583"/>
      <c r="H9" s="356"/>
      <c r="I9" s="356" t="s">
        <v>675</v>
      </c>
      <c r="J9" s="162"/>
      <c r="K9" s="69" t="s">
        <v>96</v>
      </c>
    </row>
    <row r="10" spans="1:11" ht="10.5" customHeight="1">
      <c r="A10" s="69"/>
      <c r="B10" s="156" t="s">
        <v>673</v>
      </c>
      <c r="C10" s="157"/>
      <c r="D10" s="576" t="s">
        <v>668</v>
      </c>
      <c r="E10" s="578">
        <v>2.62</v>
      </c>
      <c r="F10" s="580">
        <v>6000</v>
      </c>
      <c r="G10" s="582">
        <v>15720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674</v>
      </c>
      <c r="C11" s="160"/>
      <c r="D11" s="577"/>
      <c r="E11" s="579"/>
      <c r="F11" s="581"/>
      <c r="G11" s="583"/>
      <c r="H11" s="356"/>
      <c r="I11" s="356" t="s">
        <v>675</v>
      </c>
      <c r="J11" s="161"/>
      <c r="K11" s="69" t="s">
        <v>96</v>
      </c>
    </row>
    <row r="12" spans="1:11" ht="10.5" customHeight="1">
      <c r="A12" s="69"/>
      <c r="B12" s="156" t="s">
        <v>673</v>
      </c>
      <c r="C12" s="157"/>
      <c r="D12" s="576" t="s">
        <v>668</v>
      </c>
      <c r="E12" s="584">
        <v>1.1435</v>
      </c>
      <c r="F12" s="580">
        <v>6000</v>
      </c>
      <c r="G12" s="582">
        <v>6861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674</v>
      </c>
      <c r="C13" s="160"/>
      <c r="D13" s="577"/>
      <c r="E13" s="585"/>
      <c r="F13" s="581"/>
      <c r="G13" s="583"/>
      <c r="H13" s="356"/>
      <c r="I13" s="356" t="s">
        <v>675</v>
      </c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 t="s">
        <v>637</v>
      </c>
      <c r="C16" s="157"/>
      <c r="D16" s="576"/>
      <c r="E16" s="584"/>
      <c r="F16" s="580"/>
      <c r="G16" s="582">
        <v>175911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2026-02-03T06:54:15Z</dcterms:modified>
  <cp:category/>
  <cp:contentStatus/>
</cp:coreProperties>
</file>