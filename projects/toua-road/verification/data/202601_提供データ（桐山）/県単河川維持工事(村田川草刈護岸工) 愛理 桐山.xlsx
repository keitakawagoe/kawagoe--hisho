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39F6192C-54C4-41A7-AB94-0D87F28D79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内訳一覧!$A$3:$AE$200</definedName>
    <definedName name="_xlnm.Print_Area" localSheetId="1">内訳一覧!$A$1:$AF$200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99" i="4" l="1"/>
  <c r="AE199" i="4"/>
  <c r="AD199" i="4"/>
  <c r="AC199" i="4"/>
  <c r="Z199" i="4"/>
  <c r="Y199" i="4"/>
  <c r="X199" i="4"/>
  <c r="W199" i="4"/>
  <c r="V199" i="4"/>
  <c r="U199" i="4"/>
  <c r="Q199" i="4"/>
  <c r="P199" i="4"/>
  <c r="O199" i="4"/>
  <c r="N199" i="4"/>
  <c r="M199" i="4"/>
  <c r="J199" i="4"/>
  <c r="K199" i="4" s="1"/>
  <c r="I199" i="4"/>
  <c r="H199" i="4"/>
  <c r="G199" i="4"/>
  <c r="F199" i="4"/>
  <c r="E199" i="4"/>
  <c r="C199" i="4"/>
  <c r="R199" i="4" s="1"/>
  <c r="S199" i="4" s="1"/>
  <c r="B199" i="4"/>
  <c r="A199" i="4"/>
  <c r="AF198" i="4"/>
  <c r="AE198" i="4"/>
  <c r="AD198" i="4"/>
  <c r="AC198" i="4"/>
  <c r="Y198" i="4"/>
  <c r="X198" i="4"/>
  <c r="W198" i="4"/>
  <c r="V198" i="4"/>
  <c r="U198" i="4"/>
  <c r="S198" i="4"/>
  <c r="R198" i="4"/>
  <c r="Q198" i="4"/>
  <c r="O198" i="4"/>
  <c r="N198" i="4"/>
  <c r="M198" i="4"/>
  <c r="J198" i="4"/>
  <c r="K198" i="4" s="1"/>
  <c r="I198" i="4"/>
  <c r="H198" i="4"/>
  <c r="G198" i="4"/>
  <c r="F198" i="4"/>
  <c r="E198" i="4"/>
  <c r="C198" i="4"/>
  <c r="P198" i="4" s="1"/>
  <c r="B198" i="4"/>
  <c r="A198" i="4"/>
  <c r="AF197" i="4"/>
  <c r="AE197" i="4"/>
  <c r="AD197" i="4"/>
  <c r="AC197" i="4"/>
  <c r="Y197" i="4"/>
  <c r="W197" i="4"/>
  <c r="V197" i="4"/>
  <c r="U197" i="4"/>
  <c r="R197" i="4"/>
  <c r="Q197" i="4"/>
  <c r="P197" i="4"/>
  <c r="O197" i="4"/>
  <c r="N197" i="4"/>
  <c r="M197" i="4"/>
  <c r="I197" i="4"/>
  <c r="H197" i="4"/>
  <c r="G197" i="4"/>
  <c r="F197" i="4"/>
  <c r="E197" i="4"/>
  <c r="C197" i="4"/>
  <c r="B197" i="4"/>
  <c r="A197" i="4"/>
  <c r="AF196" i="4"/>
  <c r="AE196" i="4"/>
  <c r="AD196" i="4"/>
  <c r="AC196" i="4"/>
  <c r="Z196" i="4"/>
  <c r="AA196" i="4" s="1"/>
  <c r="Y196" i="4"/>
  <c r="X196" i="4"/>
  <c r="W196" i="4"/>
  <c r="V196" i="4"/>
  <c r="U196" i="4"/>
  <c r="S196" i="4"/>
  <c r="R196" i="4"/>
  <c r="Q196" i="4"/>
  <c r="P196" i="4"/>
  <c r="O196" i="4"/>
  <c r="N196" i="4"/>
  <c r="M196" i="4"/>
  <c r="K196" i="4"/>
  <c r="J196" i="4"/>
  <c r="I196" i="4"/>
  <c r="L196" i="4" s="1"/>
  <c r="H196" i="4"/>
  <c r="G196" i="4"/>
  <c r="F196" i="4"/>
  <c r="E196" i="4"/>
  <c r="C196" i="4"/>
  <c r="B196" i="4"/>
  <c r="A196" i="4"/>
  <c r="AF195" i="4"/>
  <c r="AE195" i="4"/>
  <c r="AD195" i="4"/>
  <c r="AC195" i="4"/>
  <c r="Y195" i="4"/>
  <c r="X195" i="4"/>
  <c r="W195" i="4"/>
  <c r="V195" i="4"/>
  <c r="U195" i="4"/>
  <c r="R195" i="4"/>
  <c r="S195" i="4" s="1"/>
  <c r="Q195" i="4"/>
  <c r="O195" i="4"/>
  <c r="N195" i="4"/>
  <c r="M195" i="4"/>
  <c r="L195" i="4"/>
  <c r="J195" i="4"/>
  <c r="K195" i="4" s="1"/>
  <c r="I195" i="4"/>
  <c r="H195" i="4"/>
  <c r="G195" i="4"/>
  <c r="F195" i="4"/>
  <c r="E195" i="4"/>
  <c r="C195" i="4"/>
  <c r="P195" i="4" s="1"/>
  <c r="B195" i="4"/>
  <c r="A195" i="4"/>
  <c r="AF194" i="4"/>
  <c r="AE194" i="4"/>
  <c r="AD194" i="4"/>
  <c r="AC194" i="4"/>
  <c r="Z194" i="4"/>
  <c r="AA194" i="4" s="1"/>
  <c r="Y194" i="4"/>
  <c r="W194" i="4"/>
  <c r="V194" i="4"/>
  <c r="U194" i="4"/>
  <c r="T194" i="4"/>
  <c r="Q194" i="4"/>
  <c r="P194" i="4"/>
  <c r="O194" i="4"/>
  <c r="N194" i="4"/>
  <c r="M194" i="4"/>
  <c r="I194" i="4"/>
  <c r="H194" i="4"/>
  <c r="G194" i="4"/>
  <c r="F194" i="4"/>
  <c r="E194" i="4"/>
  <c r="C194" i="4"/>
  <c r="B194" i="4"/>
  <c r="A194" i="4"/>
  <c r="AF193" i="4"/>
  <c r="AE193" i="4"/>
  <c r="AD193" i="4"/>
  <c r="AC193" i="4"/>
  <c r="Z193" i="4"/>
  <c r="Y193" i="4"/>
  <c r="X193" i="4"/>
  <c r="W193" i="4"/>
  <c r="V193" i="4"/>
  <c r="U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AF192" i="4"/>
  <c r="AE192" i="4"/>
  <c r="AD192" i="4"/>
  <c r="AC192" i="4"/>
  <c r="Y192" i="4"/>
  <c r="X192" i="4"/>
  <c r="W192" i="4"/>
  <c r="V192" i="4"/>
  <c r="U192" i="4"/>
  <c r="S192" i="4"/>
  <c r="R192" i="4"/>
  <c r="Q192" i="4"/>
  <c r="O192" i="4"/>
  <c r="N192" i="4"/>
  <c r="M192" i="4"/>
  <c r="J192" i="4"/>
  <c r="I192" i="4"/>
  <c r="H192" i="4"/>
  <c r="G192" i="4"/>
  <c r="F192" i="4"/>
  <c r="E192" i="4"/>
  <c r="C192" i="4"/>
  <c r="P192" i="4" s="1"/>
  <c r="B192" i="4"/>
  <c r="A192" i="4"/>
  <c r="AF191" i="4"/>
  <c r="AE191" i="4"/>
  <c r="AD191" i="4"/>
  <c r="AC191" i="4"/>
  <c r="Z191" i="4"/>
  <c r="AA191" i="4" s="1"/>
  <c r="Y191" i="4"/>
  <c r="W191" i="4"/>
  <c r="V191" i="4"/>
  <c r="U191" i="4"/>
  <c r="T191" i="4"/>
  <c r="Q191" i="4"/>
  <c r="P191" i="4"/>
  <c r="O191" i="4"/>
  <c r="N191" i="4"/>
  <c r="M191" i="4"/>
  <c r="I191" i="4"/>
  <c r="H191" i="4"/>
  <c r="G191" i="4"/>
  <c r="F191" i="4"/>
  <c r="E191" i="4"/>
  <c r="D191" i="4"/>
  <c r="C191" i="4"/>
  <c r="B191" i="4"/>
  <c r="A191" i="4"/>
  <c r="AF190" i="4"/>
  <c r="AE190" i="4"/>
  <c r="AD190" i="4"/>
  <c r="AC190" i="4"/>
  <c r="Z190" i="4"/>
  <c r="Y190" i="4"/>
  <c r="X190" i="4"/>
  <c r="W190" i="4"/>
  <c r="V190" i="4"/>
  <c r="U190" i="4"/>
  <c r="S190" i="4"/>
  <c r="R190" i="4"/>
  <c r="Q190" i="4"/>
  <c r="P190" i="4"/>
  <c r="O190" i="4"/>
  <c r="N190" i="4"/>
  <c r="M190" i="4"/>
  <c r="J190" i="4"/>
  <c r="K190" i="4" s="1"/>
  <c r="I190" i="4"/>
  <c r="H190" i="4"/>
  <c r="G190" i="4"/>
  <c r="F190" i="4"/>
  <c r="E190" i="4"/>
  <c r="D190" i="4"/>
  <c r="C190" i="4"/>
  <c r="B190" i="4"/>
  <c r="A190" i="4"/>
  <c r="AF189" i="4"/>
  <c r="AE189" i="4"/>
  <c r="AD189" i="4"/>
  <c r="AC189" i="4"/>
  <c r="Y189" i="4"/>
  <c r="X189" i="4"/>
  <c r="W189" i="4"/>
  <c r="V189" i="4"/>
  <c r="U189" i="4"/>
  <c r="S189" i="4"/>
  <c r="R189" i="4"/>
  <c r="Q189" i="4"/>
  <c r="O189" i="4"/>
  <c r="N189" i="4"/>
  <c r="M189" i="4"/>
  <c r="J189" i="4"/>
  <c r="I189" i="4"/>
  <c r="H189" i="4"/>
  <c r="G189" i="4"/>
  <c r="F189" i="4"/>
  <c r="E189" i="4"/>
  <c r="C189" i="4"/>
  <c r="P189" i="4" s="1"/>
  <c r="B189" i="4"/>
  <c r="A189" i="4"/>
  <c r="AF188" i="4"/>
  <c r="AE188" i="4"/>
  <c r="AD188" i="4"/>
  <c r="AC188" i="4"/>
  <c r="AA188" i="4"/>
  <c r="Z188" i="4"/>
  <c r="Y188" i="4"/>
  <c r="W188" i="4"/>
  <c r="V188" i="4"/>
  <c r="U188" i="4"/>
  <c r="R188" i="4"/>
  <c r="Q188" i="4"/>
  <c r="O188" i="4"/>
  <c r="N188" i="4"/>
  <c r="M188" i="4"/>
  <c r="I188" i="4"/>
  <c r="H188" i="4"/>
  <c r="G188" i="4"/>
  <c r="F188" i="4"/>
  <c r="E188" i="4"/>
  <c r="D188" i="4"/>
  <c r="C188" i="4"/>
  <c r="B188" i="4"/>
  <c r="A188" i="4"/>
  <c r="AF187" i="4"/>
  <c r="AE187" i="4"/>
  <c r="AD187" i="4"/>
  <c r="AC187" i="4"/>
  <c r="Z187" i="4"/>
  <c r="AA187" i="4" s="1"/>
  <c r="Y187" i="4"/>
  <c r="X187" i="4"/>
  <c r="W187" i="4"/>
  <c r="V187" i="4"/>
  <c r="U187" i="4"/>
  <c r="S187" i="4"/>
  <c r="R187" i="4"/>
  <c r="Q187" i="4"/>
  <c r="P187" i="4"/>
  <c r="O187" i="4"/>
  <c r="N187" i="4"/>
  <c r="M187" i="4"/>
  <c r="J187" i="4"/>
  <c r="K187" i="4" s="1"/>
  <c r="I187" i="4"/>
  <c r="H187" i="4"/>
  <c r="G187" i="4"/>
  <c r="F187" i="4"/>
  <c r="E187" i="4"/>
  <c r="C187" i="4"/>
  <c r="B187" i="4"/>
  <c r="A187" i="4"/>
  <c r="AF186" i="4"/>
  <c r="AE186" i="4"/>
  <c r="AD186" i="4"/>
  <c r="AC186" i="4"/>
  <c r="Y186" i="4"/>
  <c r="X186" i="4"/>
  <c r="W186" i="4"/>
  <c r="V186" i="4"/>
  <c r="U186" i="4"/>
  <c r="Q186" i="4"/>
  <c r="O186" i="4"/>
  <c r="N186" i="4"/>
  <c r="M186" i="4"/>
  <c r="J186" i="4"/>
  <c r="I186" i="4"/>
  <c r="H186" i="4"/>
  <c r="G186" i="4"/>
  <c r="F186" i="4"/>
  <c r="E186" i="4"/>
  <c r="C186" i="4"/>
  <c r="P186" i="4" s="1"/>
  <c r="B186" i="4"/>
  <c r="A186" i="4"/>
  <c r="AF185" i="4"/>
  <c r="AE185" i="4"/>
  <c r="AD185" i="4"/>
  <c r="AC185" i="4"/>
  <c r="Z185" i="4"/>
  <c r="AA185" i="4" s="1"/>
  <c r="Y185" i="4"/>
  <c r="W185" i="4"/>
  <c r="V185" i="4"/>
  <c r="U185" i="4"/>
  <c r="Q185" i="4"/>
  <c r="P185" i="4"/>
  <c r="O185" i="4"/>
  <c r="N185" i="4"/>
  <c r="M185" i="4"/>
  <c r="I185" i="4"/>
  <c r="H185" i="4"/>
  <c r="G185" i="4"/>
  <c r="F185" i="4"/>
  <c r="E185" i="4"/>
  <c r="C185" i="4"/>
  <c r="B185" i="4"/>
  <c r="A185" i="4"/>
  <c r="AF184" i="4"/>
  <c r="AE184" i="4"/>
  <c r="AD184" i="4"/>
  <c r="AC184" i="4"/>
  <c r="Z184" i="4"/>
  <c r="AA184" i="4" s="1"/>
  <c r="Y184" i="4"/>
  <c r="X184" i="4"/>
  <c r="W184" i="4"/>
  <c r="V184" i="4"/>
  <c r="U184" i="4"/>
  <c r="S184" i="4"/>
  <c r="R184" i="4"/>
  <c r="Q184" i="4"/>
  <c r="P184" i="4"/>
  <c r="O184" i="4"/>
  <c r="N184" i="4"/>
  <c r="M184" i="4"/>
  <c r="J184" i="4"/>
  <c r="I184" i="4"/>
  <c r="H184" i="4"/>
  <c r="G184" i="4"/>
  <c r="K184" i="4" s="1"/>
  <c r="F184" i="4"/>
  <c r="E184" i="4"/>
  <c r="D184" i="4"/>
  <c r="C184" i="4"/>
  <c r="B184" i="4"/>
  <c r="A184" i="4"/>
  <c r="AF183" i="4"/>
  <c r="AE183" i="4"/>
  <c r="AD183" i="4"/>
  <c r="AC183" i="4"/>
  <c r="Z183" i="4"/>
  <c r="AA183" i="4" s="1"/>
  <c r="Y183" i="4"/>
  <c r="W183" i="4"/>
  <c r="V183" i="4"/>
  <c r="U183" i="4"/>
  <c r="R183" i="4"/>
  <c r="S183" i="4" s="1"/>
  <c r="Q183" i="4"/>
  <c r="O183" i="4"/>
  <c r="N183" i="4"/>
  <c r="M183" i="4"/>
  <c r="I183" i="4"/>
  <c r="H183" i="4"/>
  <c r="G183" i="4"/>
  <c r="F183" i="4"/>
  <c r="E183" i="4"/>
  <c r="C183" i="4"/>
  <c r="B183" i="4"/>
  <c r="A183" i="4"/>
  <c r="AF182" i="4"/>
  <c r="AE182" i="4"/>
  <c r="AD182" i="4"/>
  <c r="AC182" i="4"/>
  <c r="AB182" i="4"/>
  <c r="Y182" i="4"/>
  <c r="W182" i="4"/>
  <c r="V182" i="4"/>
  <c r="U182" i="4"/>
  <c r="Q182" i="4"/>
  <c r="P182" i="4"/>
  <c r="O182" i="4"/>
  <c r="N182" i="4"/>
  <c r="M182" i="4"/>
  <c r="I182" i="4"/>
  <c r="H182" i="4"/>
  <c r="G182" i="4"/>
  <c r="F182" i="4"/>
  <c r="E182" i="4"/>
  <c r="D182" i="4"/>
  <c r="C182" i="4"/>
  <c r="B182" i="4"/>
  <c r="A182" i="4"/>
  <c r="AF181" i="4"/>
  <c r="AE181" i="4"/>
  <c r="AD181" i="4"/>
  <c r="AC181" i="4"/>
  <c r="Z181" i="4"/>
  <c r="Y181" i="4"/>
  <c r="X181" i="4"/>
  <c r="W181" i="4"/>
  <c r="V181" i="4"/>
  <c r="U181" i="4"/>
  <c r="S181" i="4"/>
  <c r="R181" i="4"/>
  <c r="Q181" i="4"/>
  <c r="P181" i="4"/>
  <c r="O181" i="4"/>
  <c r="N181" i="4"/>
  <c r="M181" i="4"/>
  <c r="J181" i="4"/>
  <c r="I181" i="4"/>
  <c r="H181" i="4"/>
  <c r="G181" i="4"/>
  <c r="K181" i="4" s="1"/>
  <c r="F181" i="4"/>
  <c r="E181" i="4"/>
  <c r="D181" i="4"/>
  <c r="C181" i="4"/>
  <c r="B181" i="4"/>
  <c r="A181" i="4"/>
  <c r="AF180" i="4"/>
  <c r="AE180" i="4"/>
  <c r="AD180" i="4"/>
  <c r="AC180" i="4"/>
  <c r="Z180" i="4"/>
  <c r="AA180" i="4" s="1"/>
  <c r="Y180" i="4"/>
  <c r="W180" i="4"/>
  <c r="V180" i="4"/>
  <c r="U180" i="4"/>
  <c r="Q180" i="4"/>
  <c r="O180" i="4"/>
  <c r="N180" i="4"/>
  <c r="M180" i="4"/>
  <c r="I180" i="4"/>
  <c r="H180" i="4"/>
  <c r="G180" i="4"/>
  <c r="F180" i="4"/>
  <c r="E180" i="4"/>
  <c r="C180" i="4"/>
  <c r="B180" i="4"/>
  <c r="A180" i="4"/>
  <c r="AF179" i="4"/>
  <c r="AE179" i="4"/>
  <c r="AD179" i="4"/>
  <c r="AC179" i="4"/>
  <c r="AA179" i="4"/>
  <c r="Z179" i="4"/>
  <c r="Y179" i="4"/>
  <c r="W179" i="4"/>
  <c r="V179" i="4"/>
  <c r="U179" i="4"/>
  <c r="R179" i="4"/>
  <c r="S179" i="4" s="1"/>
  <c r="Q179" i="4"/>
  <c r="O179" i="4"/>
  <c r="N179" i="4"/>
  <c r="M179" i="4"/>
  <c r="I179" i="4"/>
  <c r="H179" i="4"/>
  <c r="G179" i="4"/>
  <c r="F179" i="4"/>
  <c r="E179" i="4"/>
  <c r="C179" i="4"/>
  <c r="X179" i="4" s="1"/>
  <c r="B179" i="4"/>
  <c r="A179" i="4"/>
  <c r="AF178" i="4"/>
  <c r="AE178" i="4"/>
  <c r="AD178" i="4"/>
  <c r="AC178" i="4"/>
  <c r="Z178" i="4"/>
  <c r="AA178" i="4" s="1"/>
  <c r="Y178" i="4"/>
  <c r="X178" i="4"/>
  <c r="W178" i="4"/>
  <c r="V178" i="4"/>
  <c r="U178" i="4"/>
  <c r="S178" i="4"/>
  <c r="R178" i="4"/>
  <c r="Q178" i="4"/>
  <c r="P178" i="4"/>
  <c r="O178" i="4"/>
  <c r="N178" i="4"/>
  <c r="M178" i="4"/>
  <c r="L178" i="4"/>
  <c r="J178" i="4"/>
  <c r="I178" i="4"/>
  <c r="H178" i="4"/>
  <c r="G178" i="4"/>
  <c r="K178" i="4" s="1"/>
  <c r="F178" i="4"/>
  <c r="E178" i="4"/>
  <c r="C178" i="4"/>
  <c r="B178" i="4"/>
  <c r="A178" i="4"/>
  <c r="AF177" i="4"/>
  <c r="AE177" i="4"/>
  <c r="AD177" i="4"/>
  <c r="AC177" i="4"/>
  <c r="Y177" i="4"/>
  <c r="X177" i="4"/>
  <c r="W177" i="4"/>
  <c r="V177" i="4"/>
  <c r="U177" i="4"/>
  <c r="Q177" i="4"/>
  <c r="O177" i="4"/>
  <c r="N177" i="4"/>
  <c r="M177" i="4"/>
  <c r="J177" i="4"/>
  <c r="K177" i="4" s="1"/>
  <c r="I177" i="4"/>
  <c r="H177" i="4"/>
  <c r="G177" i="4"/>
  <c r="F177" i="4"/>
  <c r="E177" i="4"/>
  <c r="C177" i="4"/>
  <c r="B177" i="4"/>
  <c r="A177" i="4"/>
  <c r="AF176" i="4"/>
  <c r="AE176" i="4"/>
  <c r="AD176" i="4"/>
  <c r="AC176" i="4"/>
  <c r="Z176" i="4"/>
  <c r="AA176" i="4" s="1"/>
  <c r="Y176" i="4"/>
  <c r="W176" i="4"/>
  <c r="V176" i="4"/>
  <c r="U176" i="4"/>
  <c r="Q176" i="4"/>
  <c r="O176" i="4"/>
  <c r="N176" i="4"/>
  <c r="M176" i="4"/>
  <c r="J176" i="4"/>
  <c r="K176" i="4" s="1"/>
  <c r="I176" i="4"/>
  <c r="H176" i="4"/>
  <c r="G176" i="4"/>
  <c r="F176" i="4"/>
  <c r="E176" i="4"/>
  <c r="D176" i="4"/>
  <c r="C176" i="4"/>
  <c r="B176" i="4"/>
  <c r="A176" i="4"/>
  <c r="AF175" i="4"/>
  <c r="AE175" i="4"/>
  <c r="AD175" i="4"/>
  <c r="AC175" i="4"/>
  <c r="AB175" i="4"/>
  <c r="Z175" i="4"/>
  <c r="Y175" i="4"/>
  <c r="X175" i="4"/>
  <c r="W175" i="4"/>
  <c r="V175" i="4"/>
  <c r="U175" i="4"/>
  <c r="R175" i="4"/>
  <c r="S175" i="4" s="1"/>
  <c r="Q175" i="4"/>
  <c r="P175" i="4"/>
  <c r="O175" i="4"/>
  <c r="N175" i="4"/>
  <c r="M175" i="4"/>
  <c r="J175" i="4"/>
  <c r="K175" i="4" s="1"/>
  <c r="I175" i="4"/>
  <c r="H175" i="4"/>
  <c r="G175" i="4"/>
  <c r="F175" i="4"/>
  <c r="E175" i="4"/>
  <c r="C175" i="4"/>
  <c r="B175" i="4"/>
  <c r="A175" i="4"/>
  <c r="AF174" i="4"/>
  <c r="AE174" i="4"/>
  <c r="AD174" i="4"/>
  <c r="AC174" i="4"/>
  <c r="Y174" i="4"/>
  <c r="X174" i="4"/>
  <c r="W174" i="4"/>
  <c r="V174" i="4"/>
  <c r="U174" i="4"/>
  <c r="Q174" i="4"/>
  <c r="O174" i="4"/>
  <c r="N174" i="4"/>
  <c r="M174" i="4"/>
  <c r="J174" i="4"/>
  <c r="K174" i="4" s="1"/>
  <c r="I174" i="4"/>
  <c r="H174" i="4"/>
  <c r="G174" i="4"/>
  <c r="F174" i="4"/>
  <c r="E174" i="4"/>
  <c r="C174" i="4"/>
  <c r="P174" i="4" s="1"/>
  <c r="B174" i="4"/>
  <c r="A174" i="4"/>
  <c r="AF173" i="4"/>
  <c r="AE173" i="4"/>
  <c r="AD173" i="4"/>
  <c r="AC173" i="4"/>
  <c r="AB173" i="4"/>
  <c r="AA173" i="4"/>
  <c r="Z173" i="4"/>
  <c r="Y173" i="4"/>
  <c r="W173" i="4"/>
  <c r="V173" i="4"/>
  <c r="U173" i="4"/>
  <c r="R173" i="4"/>
  <c r="Q173" i="4"/>
  <c r="P173" i="4"/>
  <c r="O173" i="4"/>
  <c r="N173" i="4"/>
  <c r="M173" i="4"/>
  <c r="K173" i="4"/>
  <c r="J173" i="4"/>
  <c r="I173" i="4"/>
  <c r="H173" i="4"/>
  <c r="G173" i="4"/>
  <c r="F173" i="4"/>
  <c r="E173" i="4"/>
  <c r="C173" i="4"/>
  <c r="X173" i="4" s="1"/>
  <c r="B173" i="4"/>
  <c r="A173" i="4"/>
  <c r="AF172" i="4"/>
  <c r="AE172" i="4"/>
  <c r="AD172" i="4"/>
  <c r="AC172" i="4"/>
  <c r="Z172" i="4"/>
  <c r="AA172" i="4" s="1"/>
  <c r="Y172" i="4"/>
  <c r="X172" i="4"/>
  <c r="W172" i="4"/>
  <c r="V172" i="4"/>
  <c r="U172" i="4"/>
  <c r="R172" i="4"/>
  <c r="S172" i="4" s="1"/>
  <c r="Q172" i="4"/>
  <c r="P172" i="4"/>
  <c r="O172" i="4"/>
  <c r="N172" i="4"/>
  <c r="M172" i="4"/>
  <c r="K172" i="4"/>
  <c r="J172" i="4"/>
  <c r="I172" i="4"/>
  <c r="H172" i="4"/>
  <c r="G172" i="4"/>
  <c r="F172" i="4"/>
  <c r="E172" i="4"/>
  <c r="D172" i="4"/>
  <c r="C172" i="4"/>
  <c r="B172" i="4"/>
  <c r="A172" i="4"/>
  <c r="AF171" i="4"/>
  <c r="AE171" i="4"/>
  <c r="AD171" i="4"/>
  <c r="AC171" i="4"/>
  <c r="Y171" i="4"/>
  <c r="X171" i="4"/>
  <c r="W171" i="4"/>
  <c r="V171" i="4"/>
  <c r="U171" i="4"/>
  <c r="Q171" i="4"/>
  <c r="O171" i="4"/>
  <c r="N171" i="4"/>
  <c r="M171" i="4"/>
  <c r="J171" i="4"/>
  <c r="K171" i="4" s="1"/>
  <c r="I171" i="4"/>
  <c r="H171" i="4"/>
  <c r="G171" i="4"/>
  <c r="F171" i="4"/>
  <c r="E171" i="4"/>
  <c r="C171" i="4"/>
  <c r="B171" i="4"/>
  <c r="A171" i="4"/>
  <c r="AF170" i="4"/>
  <c r="AE170" i="4"/>
  <c r="AD170" i="4"/>
  <c r="AC170" i="4"/>
  <c r="Y170" i="4"/>
  <c r="W170" i="4"/>
  <c r="V170" i="4"/>
  <c r="U170" i="4"/>
  <c r="R170" i="4"/>
  <c r="S170" i="4" s="1"/>
  <c r="Q170" i="4"/>
  <c r="T170" i="4" s="1"/>
  <c r="O170" i="4"/>
  <c r="N170" i="4"/>
  <c r="M170" i="4"/>
  <c r="I170" i="4"/>
  <c r="H170" i="4"/>
  <c r="G170" i="4"/>
  <c r="F170" i="4"/>
  <c r="E170" i="4"/>
  <c r="D170" i="4"/>
  <c r="C170" i="4"/>
  <c r="B170" i="4"/>
  <c r="A170" i="4"/>
  <c r="AF169" i="4"/>
  <c r="AE169" i="4"/>
  <c r="AD169" i="4"/>
  <c r="AC169" i="4"/>
  <c r="Z169" i="4"/>
  <c r="Y169" i="4"/>
  <c r="X169" i="4"/>
  <c r="W169" i="4"/>
  <c r="V169" i="4"/>
  <c r="U169" i="4"/>
  <c r="S169" i="4"/>
  <c r="R169" i="4"/>
  <c r="Q169" i="4"/>
  <c r="P169" i="4"/>
  <c r="O169" i="4"/>
  <c r="N169" i="4"/>
  <c r="M169" i="4"/>
  <c r="J169" i="4"/>
  <c r="K169" i="4" s="1"/>
  <c r="I169" i="4"/>
  <c r="H169" i="4"/>
  <c r="G169" i="4"/>
  <c r="F169" i="4"/>
  <c r="E169" i="4"/>
  <c r="D169" i="4"/>
  <c r="C169" i="4"/>
  <c r="B169" i="4"/>
  <c r="A169" i="4"/>
  <c r="AF168" i="4"/>
  <c r="AE168" i="4"/>
  <c r="AD168" i="4"/>
  <c r="AC168" i="4"/>
  <c r="Y168" i="4"/>
  <c r="W168" i="4"/>
  <c r="V168" i="4"/>
  <c r="U168" i="4"/>
  <c r="R168" i="4"/>
  <c r="S168" i="4" s="1"/>
  <c r="Q168" i="4"/>
  <c r="O168" i="4"/>
  <c r="N168" i="4"/>
  <c r="M168" i="4"/>
  <c r="I168" i="4"/>
  <c r="H168" i="4"/>
  <c r="G168" i="4"/>
  <c r="F168" i="4"/>
  <c r="E168" i="4"/>
  <c r="C168" i="4"/>
  <c r="B168" i="4"/>
  <c r="A168" i="4"/>
  <c r="AF167" i="4"/>
  <c r="AE167" i="4"/>
  <c r="AD167" i="4"/>
  <c r="AC167" i="4"/>
  <c r="Z167" i="4"/>
  <c r="Y167" i="4"/>
  <c r="W167" i="4"/>
  <c r="V167" i="4"/>
  <c r="U167" i="4"/>
  <c r="R167" i="4"/>
  <c r="S167" i="4" s="1"/>
  <c r="Q167" i="4"/>
  <c r="O167" i="4"/>
  <c r="N167" i="4"/>
  <c r="M167" i="4"/>
  <c r="I167" i="4"/>
  <c r="H167" i="4"/>
  <c r="G167" i="4"/>
  <c r="F167" i="4"/>
  <c r="E167" i="4"/>
  <c r="C167" i="4"/>
  <c r="X167" i="4" s="1"/>
  <c r="B167" i="4"/>
  <c r="A167" i="4"/>
  <c r="AF166" i="4"/>
  <c r="AE166" i="4"/>
  <c r="AD166" i="4"/>
  <c r="AC166" i="4"/>
  <c r="Z166" i="4"/>
  <c r="Y166" i="4"/>
  <c r="X166" i="4"/>
  <c r="W166" i="4"/>
  <c r="V166" i="4"/>
  <c r="U166" i="4"/>
  <c r="R166" i="4"/>
  <c r="S166" i="4" s="1"/>
  <c r="Q166" i="4"/>
  <c r="P166" i="4"/>
  <c r="O166" i="4"/>
  <c r="N166" i="4"/>
  <c r="M166" i="4"/>
  <c r="J166" i="4"/>
  <c r="K166" i="4" s="1"/>
  <c r="I166" i="4"/>
  <c r="H166" i="4"/>
  <c r="G166" i="4"/>
  <c r="F166" i="4"/>
  <c r="E166" i="4"/>
  <c r="C166" i="4"/>
  <c r="B166" i="4"/>
  <c r="A166" i="4"/>
  <c r="AF165" i="4"/>
  <c r="AE165" i="4"/>
  <c r="AD165" i="4"/>
  <c r="AC165" i="4"/>
  <c r="Z165" i="4"/>
  <c r="AA165" i="4" s="1"/>
  <c r="Y165" i="4"/>
  <c r="W165" i="4"/>
  <c r="V165" i="4"/>
  <c r="U165" i="4"/>
  <c r="T165" i="4"/>
  <c r="Q165" i="4"/>
  <c r="O165" i="4"/>
  <c r="N165" i="4"/>
  <c r="M165" i="4"/>
  <c r="I165" i="4"/>
  <c r="L165" i="4" s="1"/>
  <c r="H165" i="4"/>
  <c r="G165" i="4"/>
  <c r="F165" i="4"/>
  <c r="E165" i="4"/>
  <c r="C165" i="4"/>
  <c r="R165" i="4" s="1"/>
  <c r="S165" i="4" s="1"/>
  <c r="B165" i="4"/>
  <c r="A165" i="4"/>
  <c r="AF164" i="4"/>
  <c r="AE164" i="4"/>
  <c r="AD164" i="4"/>
  <c r="AC164" i="4"/>
  <c r="Z164" i="4"/>
  <c r="AA164" i="4" s="1"/>
  <c r="Y164" i="4"/>
  <c r="W164" i="4"/>
  <c r="V164" i="4"/>
  <c r="U164" i="4"/>
  <c r="R164" i="4"/>
  <c r="Q164" i="4"/>
  <c r="O164" i="4"/>
  <c r="N164" i="4"/>
  <c r="M164" i="4"/>
  <c r="J164" i="4"/>
  <c r="K164" i="4" s="1"/>
  <c r="I164" i="4"/>
  <c r="H164" i="4"/>
  <c r="G164" i="4"/>
  <c r="F164" i="4"/>
  <c r="E164" i="4"/>
  <c r="D164" i="4"/>
  <c r="C164" i="4"/>
  <c r="X164" i="4" s="1"/>
  <c r="B164" i="4"/>
  <c r="A164" i="4"/>
  <c r="AF163" i="4"/>
  <c r="AE163" i="4"/>
  <c r="AD163" i="4"/>
  <c r="AC163" i="4"/>
  <c r="Z163" i="4"/>
  <c r="AA163" i="4" s="1"/>
  <c r="Y163" i="4"/>
  <c r="X163" i="4"/>
  <c r="W163" i="4"/>
  <c r="V163" i="4"/>
  <c r="U163" i="4"/>
  <c r="R163" i="4"/>
  <c r="S163" i="4" s="1"/>
  <c r="Q163" i="4"/>
  <c r="P163" i="4"/>
  <c r="O163" i="4"/>
  <c r="N163" i="4"/>
  <c r="M163" i="4"/>
  <c r="I163" i="4"/>
  <c r="H163" i="4"/>
  <c r="G163" i="4"/>
  <c r="K163" i="4" s="1"/>
  <c r="F163" i="4"/>
  <c r="E163" i="4"/>
  <c r="D163" i="4"/>
  <c r="C163" i="4"/>
  <c r="J163" i="4" s="1"/>
  <c r="B163" i="4"/>
  <c r="A163" i="4"/>
  <c r="AF162" i="4"/>
  <c r="AE162" i="4"/>
  <c r="AD162" i="4"/>
  <c r="AC162" i="4"/>
  <c r="Z162" i="4"/>
  <c r="AA162" i="4" s="1"/>
  <c r="Y162" i="4"/>
  <c r="X162" i="4"/>
  <c r="W162" i="4"/>
  <c r="V162" i="4"/>
  <c r="U162" i="4"/>
  <c r="R162" i="4"/>
  <c r="S162" i="4" s="1"/>
  <c r="Q162" i="4"/>
  <c r="O162" i="4"/>
  <c r="N162" i="4"/>
  <c r="M162" i="4"/>
  <c r="J162" i="4"/>
  <c r="K162" i="4" s="1"/>
  <c r="I162" i="4"/>
  <c r="H162" i="4"/>
  <c r="G162" i="4"/>
  <c r="F162" i="4"/>
  <c r="E162" i="4"/>
  <c r="C162" i="4"/>
  <c r="P162" i="4" s="1"/>
  <c r="B162" i="4"/>
  <c r="A162" i="4"/>
  <c r="AF161" i="4"/>
  <c r="AE161" i="4"/>
  <c r="AD161" i="4"/>
  <c r="AC161" i="4"/>
  <c r="Y161" i="4"/>
  <c r="W161" i="4"/>
  <c r="V161" i="4"/>
  <c r="U161" i="4"/>
  <c r="R161" i="4"/>
  <c r="S161" i="4" s="1"/>
  <c r="Q161" i="4"/>
  <c r="O161" i="4"/>
  <c r="N161" i="4"/>
  <c r="M161" i="4"/>
  <c r="I161" i="4"/>
  <c r="H161" i="4"/>
  <c r="G161" i="4"/>
  <c r="F161" i="4"/>
  <c r="E161" i="4"/>
  <c r="D161" i="4"/>
  <c r="C161" i="4"/>
  <c r="B161" i="4"/>
  <c r="A161" i="4"/>
  <c r="AF160" i="4"/>
  <c r="AE160" i="4"/>
  <c r="AD160" i="4"/>
  <c r="AC160" i="4"/>
  <c r="Y160" i="4"/>
  <c r="W160" i="4"/>
  <c r="V160" i="4"/>
  <c r="U160" i="4"/>
  <c r="Q160" i="4"/>
  <c r="O160" i="4"/>
  <c r="N160" i="4"/>
  <c r="M160" i="4"/>
  <c r="I160" i="4"/>
  <c r="H160" i="4"/>
  <c r="G160" i="4"/>
  <c r="F160" i="4"/>
  <c r="E160" i="4"/>
  <c r="C160" i="4"/>
  <c r="B160" i="4"/>
  <c r="A160" i="4"/>
  <c r="AF159" i="4"/>
  <c r="AE159" i="4"/>
  <c r="AD159" i="4"/>
  <c r="AC159" i="4"/>
  <c r="Z159" i="4"/>
  <c r="AA159" i="4" s="1"/>
  <c r="Y159" i="4"/>
  <c r="X159" i="4"/>
  <c r="W159" i="4"/>
  <c r="V159" i="4"/>
  <c r="U159" i="4"/>
  <c r="Q159" i="4"/>
  <c r="O159" i="4"/>
  <c r="N159" i="4"/>
  <c r="M159" i="4"/>
  <c r="I159" i="4"/>
  <c r="H159" i="4"/>
  <c r="G159" i="4"/>
  <c r="F159" i="4"/>
  <c r="E159" i="4"/>
  <c r="C159" i="4"/>
  <c r="B159" i="4"/>
  <c r="A159" i="4"/>
  <c r="AF158" i="4"/>
  <c r="AE158" i="4"/>
  <c r="AD158" i="4"/>
  <c r="AC158" i="4"/>
  <c r="Z158" i="4"/>
  <c r="Y158" i="4"/>
  <c r="W158" i="4"/>
  <c r="V158" i="4"/>
  <c r="U158" i="4"/>
  <c r="R158" i="4"/>
  <c r="S158" i="4" s="1"/>
  <c r="Q158" i="4"/>
  <c r="O158" i="4"/>
  <c r="N158" i="4"/>
  <c r="M158" i="4"/>
  <c r="J158" i="4"/>
  <c r="K158" i="4" s="1"/>
  <c r="I158" i="4"/>
  <c r="H158" i="4"/>
  <c r="G158" i="4"/>
  <c r="F158" i="4"/>
  <c r="E158" i="4"/>
  <c r="D158" i="4"/>
  <c r="C158" i="4"/>
  <c r="X158" i="4" s="1"/>
  <c r="B158" i="4"/>
  <c r="A158" i="4"/>
  <c r="AF157" i="4"/>
  <c r="AE157" i="4"/>
  <c r="AD157" i="4"/>
  <c r="AC157" i="4"/>
  <c r="Z157" i="4"/>
  <c r="AA157" i="4" s="1"/>
  <c r="Y157" i="4"/>
  <c r="X157" i="4"/>
  <c r="W157" i="4"/>
  <c r="V157" i="4"/>
  <c r="U157" i="4"/>
  <c r="R157" i="4"/>
  <c r="S157" i="4" s="1"/>
  <c r="Q157" i="4"/>
  <c r="P157" i="4"/>
  <c r="O157" i="4"/>
  <c r="N157" i="4"/>
  <c r="M157" i="4"/>
  <c r="I157" i="4"/>
  <c r="H157" i="4"/>
  <c r="G157" i="4"/>
  <c r="F157" i="4"/>
  <c r="E157" i="4"/>
  <c r="C157" i="4"/>
  <c r="J157" i="4" s="1"/>
  <c r="B157" i="4"/>
  <c r="A157" i="4"/>
  <c r="AF156" i="4"/>
  <c r="AE156" i="4"/>
  <c r="AD156" i="4"/>
  <c r="AC156" i="4"/>
  <c r="AA156" i="4"/>
  <c r="Z156" i="4"/>
  <c r="Y156" i="4"/>
  <c r="W156" i="4"/>
  <c r="V156" i="4"/>
  <c r="U156" i="4"/>
  <c r="Q156" i="4"/>
  <c r="P156" i="4"/>
  <c r="O156" i="4"/>
  <c r="N156" i="4"/>
  <c r="M156" i="4"/>
  <c r="I156" i="4"/>
  <c r="H156" i="4"/>
  <c r="G156" i="4"/>
  <c r="F156" i="4"/>
  <c r="E156" i="4"/>
  <c r="C156" i="4"/>
  <c r="B156" i="4"/>
  <c r="A156" i="4"/>
  <c r="AB156" i="4" s="1"/>
  <c r="AF155" i="4"/>
  <c r="AE155" i="4"/>
  <c r="AD155" i="4"/>
  <c r="AC155" i="4"/>
  <c r="Y155" i="4"/>
  <c r="W155" i="4"/>
  <c r="V155" i="4"/>
  <c r="U155" i="4"/>
  <c r="Q155" i="4"/>
  <c r="T155" i="4" s="1"/>
  <c r="O155" i="4"/>
  <c r="N155" i="4"/>
  <c r="M155" i="4"/>
  <c r="I155" i="4"/>
  <c r="H155" i="4"/>
  <c r="G155" i="4"/>
  <c r="F155" i="4"/>
  <c r="E155" i="4"/>
  <c r="D155" i="4"/>
  <c r="C155" i="4"/>
  <c r="B155" i="4"/>
  <c r="A155" i="4"/>
  <c r="AF154" i="4"/>
  <c r="AE154" i="4"/>
  <c r="AD154" i="4"/>
  <c r="AC154" i="4"/>
  <c r="Y154" i="4"/>
  <c r="X154" i="4"/>
  <c r="W154" i="4"/>
  <c r="V154" i="4"/>
  <c r="U154" i="4"/>
  <c r="R154" i="4"/>
  <c r="S154" i="4" s="1"/>
  <c r="Q154" i="4"/>
  <c r="P154" i="4"/>
  <c r="O154" i="4"/>
  <c r="N154" i="4"/>
  <c r="M154" i="4"/>
  <c r="I154" i="4"/>
  <c r="H154" i="4"/>
  <c r="G154" i="4"/>
  <c r="F154" i="4"/>
  <c r="E154" i="4"/>
  <c r="D154" i="4"/>
  <c r="C154" i="4"/>
  <c r="Z154" i="4" s="1"/>
  <c r="AA154" i="4" s="1"/>
  <c r="B154" i="4"/>
  <c r="A154" i="4"/>
  <c r="AF153" i="4"/>
  <c r="AE153" i="4"/>
  <c r="AD153" i="4"/>
  <c r="AC153" i="4"/>
  <c r="Y153" i="4"/>
  <c r="W153" i="4"/>
  <c r="V153" i="4"/>
  <c r="U153" i="4"/>
  <c r="T153" i="4"/>
  <c r="Q153" i="4"/>
  <c r="O153" i="4"/>
  <c r="N153" i="4"/>
  <c r="M153" i="4"/>
  <c r="I153" i="4"/>
  <c r="H153" i="4"/>
  <c r="G153" i="4"/>
  <c r="F153" i="4"/>
  <c r="E153" i="4"/>
  <c r="D153" i="4"/>
  <c r="C153" i="4"/>
  <c r="B153" i="4"/>
  <c r="A153" i="4"/>
  <c r="AF152" i="4"/>
  <c r="AE152" i="4"/>
  <c r="AD152" i="4"/>
  <c r="AC152" i="4"/>
  <c r="Y152" i="4"/>
  <c r="W152" i="4"/>
  <c r="V152" i="4"/>
  <c r="U152" i="4"/>
  <c r="Q152" i="4"/>
  <c r="O152" i="4"/>
  <c r="N152" i="4"/>
  <c r="M152" i="4"/>
  <c r="I152" i="4"/>
  <c r="H152" i="4"/>
  <c r="G152" i="4"/>
  <c r="F152" i="4"/>
  <c r="E152" i="4"/>
  <c r="C152" i="4"/>
  <c r="X152" i="4" s="1"/>
  <c r="B152" i="4"/>
  <c r="A152" i="4"/>
  <c r="AF151" i="4"/>
  <c r="AE151" i="4"/>
  <c r="AD151" i="4"/>
  <c r="AC151" i="4"/>
  <c r="Y151" i="4"/>
  <c r="X151" i="4"/>
  <c r="W151" i="4"/>
  <c r="V151" i="4"/>
  <c r="U151" i="4"/>
  <c r="S151" i="4"/>
  <c r="R151" i="4"/>
  <c r="Q151" i="4"/>
  <c r="P151" i="4"/>
  <c r="O151" i="4"/>
  <c r="N151" i="4"/>
  <c r="M151" i="4"/>
  <c r="I151" i="4"/>
  <c r="H151" i="4"/>
  <c r="G151" i="4"/>
  <c r="F151" i="4"/>
  <c r="E151" i="4"/>
  <c r="C151" i="4"/>
  <c r="Z151" i="4" s="1"/>
  <c r="AA151" i="4" s="1"/>
  <c r="B151" i="4"/>
  <c r="A151" i="4"/>
  <c r="AF150" i="4"/>
  <c r="AE150" i="4"/>
  <c r="AD150" i="4"/>
  <c r="AC150" i="4"/>
  <c r="Z150" i="4"/>
  <c r="AA150" i="4" s="1"/>
  <c r="Y150" i="4"/>
  <c r="W150" i="4"/>
  <c r="V150" i="4"/>
  <c r="U150" i="4"/>
  <c r="T150" i="4"/>
  <c r="Q150" i="4"/>
  <c r="O150" i="4"/>
  <c r="N150" i="4"/>
  <c r="M150" i="4"/>
  <c r="I150" i="4"/>
  <c r="H150" i="4"/>
  <c r="G150" i="4"/>
  <c r="F150" i="4"/>
  <c r="E150" i="4"/>
  <c r="C150" i="4"/>
  <c r="X150" i="4" s="1"/>
  <c r="B150" i="4"/>
  <c r="A150" i="4"/>
  <c r="AF149" i="4"/>
  <c r="AE149" i="4"/>
  <c r="AD149" i="4"/>
  <c r="AC149" i="4"/>
  <c r="Y149" i="4"/>
  <c r="W149" i="4"/>
  <c r="V149" i="4"/>
  <c r="U149" i="4"/>
  <c r="Q149" i="4"/>
  <c r="O149" i="4"/>
  <c r="N149" i="4"/>
  <c r="M149" i="4"/>
  <c r="I149" i="4"/>
  <c r="H149" i="4"/>
  <c r="G149" i="4"/>
  <c r="F149" i="4"/>
  <c r="E149" i="4"/>
  <c r="C149" i="4"/>
  <c r="B149" i="4"/>
  <c r="A149" i="4"/>
  <c r="AF148" i="4"/>
  <c r="AE148" i="4"/>
  <c r="AD148" i="4"/>
  <c r="AC148" i="4"/>
  <c r="Y148" i="4"/>
  <c r="W148" i="4"/>
  <c r="V148" i="4"/>
  <c r="U148" i="4"/>
  <c r="R148" i="4"/>
  <c r="S148" i="4" s="1"/>
  <c r="Q148" i="4"/>
  <c r="O148" i="4"/>
  <c r="N148" i="4"/>
  <c r="M148" i="4"/>
  <c r="I148" i="4"/>
  <c r="H148" i="4"/>
  <c r="G148" i="4"/>
  <c r="F148" i="4"/>
  <c r="E148" i="4"/>
  <c r="C148" i="4"/>
  <c r="X148" i="4" s="1"/>
  <c r="B148" i="4"/>
  <c r="A148" i="4"/>
  <c r="AF147" i="4"/>
  <c r="AE147" i="4"/>
  <c r="AD147" i="4"/>
  <c r="AC147" i="4"/>
  <c r="Y147" i="4"/>
  <c r="W147" i="4"/>
  <c r="V147" i="4"/>
  <c r="U147" i="4"/>
  <c r="Q147" i="4"/>
  <c r="P147" i="4"/>
  <c r="O147" i="4"/>
  <c r="N147" i="4"/>
  <c r="M147" i="4"/>
  <c r="I147" i="4"/>
  <c r="H147" i="4"/>
  <c r="G147" i="4"/>
  <c r="F147" i="4"/>
  <c r="E147" i="4"/>
  <c r="C147" i="4"/>
  <c r="B147" i="4"/>
  <c r="A147" i="4"/>
  <c r="AF146" i="4"/>
  <c r="AE146" i="4"/>
  <c r="AD146" i="4"/>
  <c r="AC146" i="4"/>
  <c r="Y146" i="4"/>
  <c r="W146" i="4"/>
  <c r="V146" i="4"/>
  <c r="U146" i="4"/>
  <c r="T146" i="4"/>
  <c r="Q146" i="4"/>
  <c r="O146" i="4"/>
  <c r="N146" i="4"/>
  <c r="M146" i="4"/>
  <c r="I146" i="4"/>
  <c r="H146" i="4"/>
  <c r="G146" i="4"/>
  <c r="F146" i="4"/>
  <c r="E146" i="4"/>
  <c r="C146" i="4"/>
  <c r="X146" i="4" s="1"/>
  <c r="B146" i="4"/>
  <c r="A146" i="4"/>
  <c r="D146" i="4" s="1"/>
  <c r="AF145" i="4"/>
  <c r="AE145" i="4"/>
  <c r="AD145" i="4"/>
  <c r="AC145" i="4"/>
  <c r="Y145" i="4"/>
  <c r="X145" i="4"/>
  <c r="W145" i="4"/>
  <c r="V145" i="4"/>
  <c r="U145" i="4"/>
  <c r="Q145" i="4"/>
  <c r="P145" i="4"/>
  <c r="O145" i="4"/>
  <c r="N145" i="4"/>
  <c r="M145" i="4"/>
  <c r="I145" i="4"/>
  <c r="H145" i="4"/>
  <c r="G145" i="4"/>
  <c r="F145" i="4"/>
  <c r="E145" i="4"/>
  <c r="C145" i="4"/>
  <c r="B145" i="4"/>
  <c r="A145" i="4"/>
  <c r="AF144" i="4"/>
  <c r="AE144" i="4"/>
  <c r="AD144" i="4"/>
  <c r="AC144" i="4"/>
  <c r="Z144" i="4"/>
  <c r="AA144" i="4" s="1"/>
  <c r="Y144" i="4"/>
  <c r="W144" i="4"/>
  <c r="V144" i="4"/>
  <c r="U144" i="4"/>
  <c r="T144" i="4"/>
  <c r="Q144" i="4"/>
  <c r="O144" i="4"/>
  <c r="N144" i="4"/>
  <c r="M144" i="4"/>
  <c r="I144" i="4"/>
  <c r="H144" i="4"/>
  <c r="G144" i="4"/>
  <c r="F144" i="4"/>
  <c r="E144" i="4"/>
  <c r="C144" i="4"/>
  <c r="X144" i="4" s="1"/>
  <c r="B144" i="4"/>
  <c r="A144" i="4"/>
  <c r="AF143" i="4"/>
  <c r="AE143" i="4"/>
  <c r="AD143" i="4"/>
  <c r="AC143" i="4"/>
  <c r="Y143" i="4"/>
  <c r="X143" i="4"/>
  <c r="W143" i="4"/>
  <c r="V143" i="4"/>
  <c r="U143" i="4"/>
  <c r="Q143" i="4"/>
  <c r="O143" i="4"/>
  <c r="N143" i="4"/>
  <c r="M143" i="4"/>
  <c r="I143" i="4"/>
  <c r="H143" i="4"/>
  <c r="G143" i="4"/>
  <c r="F143" i="4"/>
  <c r="E143" i="4"/>
  <c r="C143" i="4"/>
  <c r="B143" i="4"/>
  <c r="A143" i="4"/>
  <c r="D143" i="4" s="1"/>
  <c r="AF142" i="4"/>
  <c r="AE142" i="4"/>
  <c r="AD142" i="4"/>
  <c r="AC142" i="4"/>
  <c r="Y142" i="4"/>
  <c r="W142" i="4"/>
  <c r="V142" i="4"/>
  <c r="U142" i="4"/>
  <c r="T142" i="4"/>
  <c r="R142" i="4"/>
  <c r="Q142" i="4"/>
  <c r="O142" i="4"/>
  <c r="S142" i="4" s="1"/>
  <c r="N142" i="4"/>
  <c r="M142" i="4"/>
  <c r="I142" i="4"/>
  <c r="H142" i="4"/>
  <c r="G142" i="4"/>
  <c r="F142" i="4"/>
  <c r="E142" i="4"/>
  <c r="C142" i="4"/>
  <c r="X142" i="4" s="1"/>
  <c r="B142" i="4"/>
  <c r="A142" i="4"/>
  <c r="AF141" i="4"/>
  <c r="AE141" i="4"/>
  <c r="AD141" i="4"/>
  <c r="AC141" i="4"/>
  <c r="Z141" i="4"/>
  <c r="AA141" i="4" s="1"/>
  <c r="Y141" i="4"/>
  <c r="W141" i="4"/>
  <c r="V141" i="4"/>
  <c r="U141" i="4"/>
  <c r="T141" i="4"/>
  <c r="Q141" i="4"/>
  <c r="O141" i="4"/>
  <c r="N141" i="4"/>
  <c r="M141" i="4"/>
  <c r="I141" i="4"/>
  <c r="H141" i="4"/>
  <c r="G141" i="4"/>
  <c r="F141" i="4"/>
  <c r="E141" i="4"/>
  <c r="C141" i="4"/>
  <c r="B141" i="4"/>
  <c r="A141" i="4"/>
  <c r="AF140" i="4"/>
  <c r="AE140" i="4"/>
  <c r="AD140" i="4"/>
  <c r="AC140" i="4"/>
  <c r="Y140" i="4"/>
  <c r="W140" i="4"/>
  <c r="V140" i="4"/>
  <c r="U140" i="4"/>
  <c r="Q140" i="4"/>
  <c r="O140" i="4"/>
  <c r="N140" i="4"/>
  <c r="M140" i="4"/>
  <c r="I140" i="4"/>
  <c r="H140" i="4"/>
  <c r="G140" i="4"/>
  <c r="F140" i="4"/>
  <c r="E140" i="4"/>
  <c r="C140" i="4"/>
  <c r="X140" i="4" s="1"/>
  <c r="B140" i="4"/>
  <c r="A140" i="4"/>
  <c r="D140" i="4" s="1"/>
  <c r="AF139" i="4"/>
  <c r="AE139" i="4"/>
  <c r="AD139" i="4"/>
  <c r="AC139" i="4"/>
  <c r="Y139" i="4"/>
  <c r="AB139" i="4" s="1"/>
  <c r="X139" i="4"/>
  <c r="W139" i="4"/>
  <c r="V139" i="4"/>
  <c r="U139" i="4"/>
  <c r="Q139" i="4"/>
  <c r="P139" i="4"/>
  <c r="O139" i="4"/>
  <c r="N139" i="4"/>
  <c r="M139" i="4"/>
  <c r="I139" i="4"/>
  <c r="H139" i="4"/>
  <c r="G139" i="4"/>
  <c r="F139" i="4"/>
  <c r="E139" i="4"/>
  <c r="C139" i="4"/>
  <c r="B139" i="4"/>
  <c r="A139" i="4"/>
  <c r="D139" i="4" s="1"/>
  <c r="AF138" i="4"/>
  <c r="AE138" i="4"/>
  <c r="AD138" i="4"/>
  <c r="AC138" i="4"/>
  <c r="Z138" i="4"/>
  <c r="Y138" i="4"/>
  <c r="W138" i="4"/>
  <c r="V138" i="4"/>
  <c r="U138" i="4"/>
  <c r="Q138" i="4"/>
  <c r="O138" i="4"/>
  <c r="N138" i="4"/>
  <c r="M138" i="4"/>
  <c r="I138" i="4"/>
  <c r="H138" i="4"/>
  <c r="G138" i="4"/>
  <c r="F138" i="4"/>
  <c r="E138" i="4"/>
  <c r="C138" i="4"/>
  <c r="X138" i="4" s="1"/>
  <c r="B138" i="4"/>
  <c r="A138" i="4"/>
  <c r="AF137" i="4"/>
  <c r="AE137" i="4"/>
  <c r="AD137" i="4"/>
  <c r="AC137" i="4"/>
  <c r="Y137" i="4"/>
  <c r="AB137" i="4" s="1"/>
  <c r="X137" i="4"/>
  <c r="W137" i="4"/>
  <c r="V137" i="4"/>
  <c r="U137" i="4"/>
  <c r="Q137" i="4"/>
  <c r="O137" i="4"/>
  <c r="N137" i="4"/>
  <c r="M137" i="4"/>
  <c r="I137" i="4"/>
  <c r="H137" i="4"/>
  <c r="G137" i="4"/>
  <c r="F137" i="4"/>
  <c r="E137" i="4"/>
  <c r="C137" i="4"/>
  <c r="B137" i="4"/>
  <c r="A137" i="4"/>
  <c r="D137" i="4" s="1"/>
  <c r="AF136" i="4"/>
  <c r="AE136" i="4"/>
  <c r="AD136" i="4"/>
  <c r="AC136" i="4"/>
  <c r="Y136" i="4"/>
  <c r="W136" i="4"/>
  <c r="V136" i="4"/>
  <c r="U136" i="4"/>
  <c r="R136" i="4"/>
  <c r="S136" i="4" s="1"/>
  <c r="Q136" i="4"/>
  <c r="O136" i="4"/>
  <c r="N136" i="4"/>
  <c r="M136" i="4"/>
  <c r="I136" i="4"/>
  <c r="H136" i="4"/>
  <c r="G136" i="4"/>
  <c r="F136" i="4"/>
  <c r="E136" i="4"/>
  <c r="C136" i="4"/>
  <c r="X136" i="4" s="1"/>
  <c r="B136" i="4"/>
  <c r="A136" i="4"/>
  <c r="AF135" i="4"/>
  <c r="AE135" i="4"/>
  <c r="AD135" i="4"/>
  <c r="AC135" i="4"/>
  <c r="Y135" i="4"/>
  <c r="W135" i="4"/>
  <c r="V135" i="4"/>
  <c r="U135" i="4"/>
  <c r="Q135" i="4"/>
  <c r="P135" i="4"/>
  <c r="O135" i="4"/>
  <c r="N135" i="4"/>
  <c r="M135" i="4"/>
  <c r="I135" i="4"/>
  <c r="H135" i="4"/>
  <c r="G135" i="4"/>
  <c r="F135" i="4"/>
  <c r="E135" i="4"/>
  <c r="C135" i="4"/>
  <c r="B135" i="4"/>
  <c r="A135" i="4"/>
  <c r="AF134" i="4"/>
  <c r="AE134" i="4"/>
  <c r="AD134" i="4"/>
  <c r="AC134" i="4"/>
  <c r="Y134" i="4"/>
  <c r="W134" i="4"/>
  <c r="V134" i="4"/>
  <c r="U134" i="4"/>
  <c r="Q134" i="4"/>
  <c r="O134" i="4"/>
  <c r="N134" i="4"/>
  <c r="M134" i="4"/>
  <c r="I134" i="4"/>
  <c r="H134" i="4"/>
  <c r="G134" i="4"/>
  <c r="F134" i="4"/>
  <c r="E134" i="4"/>
  <c r="C134" i="4"/>
  <c r="X134" i="4" s="1"/>
  <c r="B134" i="4"/>
  <c r="A134" i="4"/>
  <c r="AF133" i="4"/>
  <c r="AE133" i="4"/>
  <c r="AD133" i="4"/>
  <c r="AC133" i="4"/>
  <c r="Y133" i="4"/>
  <c r="X133" i="4"/>
  <c r="W133" i="4"/>
  <c r="V133" i="4"/>
  <c r="U133" i="4"/>
  <c r="Q133" i="4"/>
  <c r="O133" i="4"/>
  <c r="N133" i="4"/>
  <c r="M133" i="4"/>
  <c r="I133" i="4"/>
  <c r="H133" i="4"/>
  <c r="G133" i="4"/>
  <c r="F133" i="4"/>
  <c r="E133" i="4"/>
  <c r="C133" i="4"/>
  <c r="B133" i="4"/>
  <c r="A133" i="4"/>
  <c r="D133" i="4" s="1"/>
  <c r="AF132" i="4"/>
  <c r="AE132" i="4"/>
  <c r="AD132" i="4"/>
  <c r="AC132" i="4"/>
  <c r="Z132" i="4"/>
  <c r="AA132" i="4" s="1"/>
  <c r="Y132" i="4"/>
  <c r="W132" i="4"/>
  <c r="V132" i="4"/>
  <c r="U132" i="4"/>
  <c r="Q132" i="4"/>
  <c r="O132" i="4"/>
  <c r="N132" i="4"/>
  <c r="M132" i="4"/>
  <c r="I132" i="4"/>
  <c r="H132" i="4"/>
  <c r="G132" i="4"/>
  <c r="F132" i="4"/>
  <c r="E132" i="4"/>
  <c r="C132" i="4"/>
  <c r="X132" i="4" s="1"/>
  <c r="B132" i="4"/>
  <c r="A132" i="4"/>
  <c r="AF131" i="4"/>
  <c r="AE131" i="4"/>
  <c r="AD131" i="4"/>
  <c r="AC131" i="4"/>
  <c r="AB131" i="4"/>
  <c r="Y131" i="4"/>
  <c r="X131" i="4"/>
  <c r="W131" i="4"/>
  <c r="V131" i="4"/>
  <c r="U131" i="4"/>
  <c r="Q131" i="4"/>
  <c r="O131" i="4"/>
  <c r="N131" i="4"/>
  <c r="M131" i="4"/>
  <c r="L131" i="4"/>
  <c r="I131" i="4"/>
  <c r="H131" i="4"/>
  <c r="G131" i="4"/>
  <c r="F131" i="4"/>
  <c r="E131" i="4"/>
  <c r="C131" i="4"/>
  <c r="B131" i="4"/>
  <c r="A131" i="4"/>
  <c r="D131" i="4" s="1"/>
  <c r="AF130" i="4"/>
  <c r="AE130" i="4"/>
  <c r="AD130" i="4"/>
  <c r="AC130" i="4"/>
  <c r="Y130" i="4"/>
  <c r="W130" i="4"/>
  <c r="V130" i="4"/>
  <c r="U130" i="4"/>
  <c r="R130" i="4"/>
  <c r="Q130" i="4"/>
  <c r="P130" i="4"/>
  <c r="O130" i="4"/>
  <c r="N130" i="4"/>
  <c r="M130" i="4"/>
  <c r="I130" i="4"/>
  <c r="H130" i="4"/>
  <c r="G130" i="4"/>
  <c r="F130" i="4"/>
  <c r="E130" i="4"/>
  <c r="C130" i="4"/>
  <c r="B130" i="4"/>
  <c r="A130" i="4"/>
  <c r="AF129" i="4"/>
  <c r="AE129" i="4"/>
  <c r="AD129" i="4"/>
  <c r="AC129" i="4"/>
  <c r="Y129" i="4"/>
  <c r="W129" i="4"/>
  <c r="V129" i="4"/>
  <c r="U129" i="4"/>
  <c r="Q129" i="4"/>
  <c r="P129" i="4"/>
  <c r="O129" i="4"/>
  <c r="N129" i="4"/>
  <c r="M129" i="4"/>
  <c r="I129" i="4"/>
  <c r="H129" i="4"/>
  <c r="G129" i="4"/>
  <c r="F129" i="4"/>
  <c r="E129" i="4"/>
  <c r="C129" i="4"/>
  <c r="B129" i="4"/>
  <c r="A129" i="4"/>
  <c r="AF128" i="4"/>
  <c r="AE128" i="4"/>
  <c r="AD128" i="4"/>
  <c r="AC128" i="4"/>
  <c r="Y128" i="4"/>
  <c r="W128" i="4"/>
  <c r="V128" i="4"/>
  <c r="U128" i="4"/>
  <c r="Q128" i="4"/>
  <c r="O128" i="4"/>
  <c r="N128" i="4"/>
  <c r="M128" i="4"/>
  <c r="J128" i="4"/>
  <c r="I128" i="4"/>
  <c r="H128" i="4"/>
  <c r="G128" i="4"/>
  <c r="F128" i="4"/>
  <c r="E128" i="4"/>
  <c r="D128" i="4"/>
  <c r="C128" i="4"/>
  <c r="B128" i="4"/>
  <c r="A128" i="4"/>
  <c r="AF127" i="4"/>
  <c r="AE127" i="4"/>
  <c r="AD127" i="4"/>
  <c r="AC127" i="4"/>
  <c r="Y127" i="4"/>
  <c r="AB127" i="4" s="1"/>
  <c r="W127" i="4"/>
  <c r="V127" i="4"/>
  <c r="U127" i="4"/>
  <c r="Q127" i="4"/>
  <c r="P127" i="4"/>
  <c r="O127" i="4"/>
  <c r="N127" i="4"/>
  <c r="M127" i="4"/>
  <c r="L127" i="4"/>
  <c r="I127" i="4"/>
  <c r="H127" i="4"/>
  <c r="G127" i="4"/>
  <c r="F127" i="4"/>
  <c r="E127" i="4"/>
  <c r="D127" i="4"/>
  <c r="C127" i="4"/>
  <c r="B127" i="4"/>
  <c r="A127" i="4"/>
  <c r="AF126" i="4"/>
  <c r="AE126" i="4"/>
  <c r="AD126" i="4"/>
  <c r="AC126" i="4"/>
  <c r="Y126" i="4"/>
  <c r="X126" i="4"/>
  <c r="W126" i="4"/>
  <c r="V126" i="4"/>
  <c r="U126" i="4"/>
  <c r="S126" i="4"/>
  <c r="Q126" i="4"/>
  <c r="T126" i="4" s="1"/>
  <c r="P126" i="4"/>
  <c r="O126" i="4"/>
  <c r="N126" i="4"/>
  <c r="M126" i="4"/>
  <c r="I126" i="4"/>
  <c r="L126" i="4" s="1"/>
  <c r="H126" i="4"/>
  <c r="G126" i="4"/>
  <c r="F126" i="4"/>
  <c r="E126" i="4"/>
  <c r="D126" i="4"/>
  <c r="C126" i="4"/>
  <c r="R126" i="4" s="1"/>
  <c r="B126" i="4"/>
  <c r="A126" i="4"/>
  <c r="AF125" i="4"/>
  <c r="AE125" i="4"/>
  <c r="AD125" i="4"/>
  <c r="AC125" i="4"/>
  <c r="Y125" i="4"/>
  <c r="X125" i="4"/>
  <c r="W125" i="4"/>
  <c r="AA125" i="4" s="1"/>
  <c r="V125" i="4"/>
  <c r="U125" i="4"/>
  <c r="R125" i="4"/>
  <c r="S125" i="4" s="1"/>
  <c r="Q125" i="4"/>
  <c r="P125" i="4"/>
  <c r="O125" i="4"/>
  <c r="N125" i="4"/>
  <c r="M125" i="4"/>
  <c r="J125" i="4"/>
  <c r="K125" i="4" s="1"/>
  <c r="I125" i="4"/>
  <c r="H125" i="4"/>
  <c r="G125" i="4"/>
  <c r="F125" i="4"/>
  <c r="E125" i="4"/>
  <c r="C125" i="4"/>
  <c r="Z125" i="4" s="1"/>
  <c r="B125" i="4"/>
  <c r="A125" i="4"/>
  <c r="AF124" i="4"/>
  <c r="AE124" i="4"/>
  <c r="AD124" i="4"/>
  <c r="AC124" i="4"/>
  <c r="Z124" i="4"/>
  <c r="AA124" i="4" s="1"/>
  <c r="Y124" i="4"/>
  <c r="W124" i="4"/>
  <c r="V124" i="4"/>
  <c r="U124" i="4"/>
  <c r="R124" i="4"/>
  <c r="S124" i="4" s="1"/>
  <c r="Q124" i="4"/>
  <c r="O124" i="4"/>
  <c r="N124" i="4"/>
  <c r="M124" i="4"/>
  <c r="I124" i="4"/>
  <c r="H124" i="4"/>
  <c r="G124" i="4"/>
  <c r="F124" i="4"/>
  <c r="E124" i="4"/>
  <c r="C124" i="4"/>
  <c r="B124" i="4"/>
  <c r="A124" i="4"/>
  <c r="D124" i="4" s="1"/>
  <c r="AF123" i="4"/>
  <c r="AE123" i="4"/>
  <c r="AD123" i="4"/>
  <c r="AC123" i="4"/>
  <c r="AB123" i="4"/>
  <c r="Y123" i="4"/>
  <c r="W123" i="4"/>
  <c r="V123" i="4"/>
  <c r="U123" i="4"/>
  <c r="Q123" i="4"/>
  <c r="O123" i="4"/>
  <c r="N123" i="4"/>
  <c r="M123" i="4"/>
  <c r="L123" i="4"/>
  <c r="J123" i="4"/>
  <c r="K123" i="4" s="1"/>
  <c r="I123" i="4"/>
  <c r="H123" i="4"/>
  <c r="G123" i="4"/>
  <c r="F123" i="4"/>
  <c r="E123" i="4"/>
  <c r="C123" i="4"/>
  <c r="B123" i="4"/>
  <c r="A123" i="4"/>
  <c r="T123" i="4" s="1"/>
  <c r="AF122" i="4"/>
  <c r="AE122" i="4"/>
  <c r="AD122" i="4"/>
  <c r="AC122" i="4"/>
  <c r="Y122" i="4"/>
  <c r="W122" i="4"/>
  <c r="V122" i="4"/>
  <c r="U122" i="4"/>
  <c r="Q122" i="4"/>
  <c r="P122" i="4"/>
  <c r="O122" i="4"/>
  <c r="N122" i="4"/>
  <c r="M122" i="4"/>
  <c r="I122" i="4"/>
  <c r="H122" i="4"/>
  <c r="G122" i="4"/>
  <c r="F122" i="4"/>
  <c r="E122" i="4"/>
  <c r="C122" i="4"/>
  <c r="B122" i="4"/>
  <c r="A122" i="4"/>
  <c r="D122" i="4" s="1"/>
  <c r="AF121" i="4"/>
  <c r="AE121" i="4"/>
  <c r="AD121" i="4"/>
  <c r="AC121" i="4"/>
  <c r="Y121" i="4"/>
  <c r="X121" i="4"/>
  <c r="W121" i="4"/>
  <c r="V121" i="4"/>
  <c r="U121" i="4"/>
  <c r="R121" i="4"/>
  <c r="S121" i="4" s="1"/>
  <c r="Q121" i="4"/>
  <c r="O121" i="4"/>
  <c r="N121" i="4"/>
  <c r="M121" i="4"/>
  <c r="I121" i="4"/>
  <c r="H121" i="4"/>
  <c r="G121" i="4"/>
  <c r="F121" i="4"/>
  <c r="E121" i="4"/>
  <c r="D121" i="4"/>
  <c r="C121" i="4"/>
  <c r="B121" i="4"/>
  <c r="A121" i="4"/>
  <c r="T121" i="4" s="1"/>
  <c r="AF120" i="4"/>
  <c r="AE120" i="4"/>
  <c r="AD120" i="4"/>
  <c r="AC120" i="4"/>
  <c r="Z120" i="4"/>
  <c r="AA120" i="4" s="1"/>
  <c r="Y120" i="4"/>
  <c r="X120" i="4"/>
  <c r="W120" i="4"/>
  <c r="V120" i="4"/>
  <c r="U120" i="4"/>
  <c r="T120" i="4"/>
  <c r="Q120" i="4"/>
  <c r="O120" i="4"/>
  <c r="N120" i="4"/>
  <c r="M120" i="4"/>
  <c r="I120" i="4"/>
  <c r="H120" i="4"/>
  <c r="G120" i="4"/>
  <c r="F120" i="4"/>
  <c r="E120" i="4"/>
  <c r="D120" i="4"/>
  <c r="C120" i="4"/>
  <c r="B120" i="4"/>
  <c r="A120" i="4"/>
  <c r="AB120" i="4" s="1"/>
  <c r="AF119" i="4"/>
  <c r="AE119" i="4"/>
  <c r="AD119" i="4"/>
  <c r="AC119" i="4"/>
  <c r="AA119" i="4"/>
  <c r="Y119" i="4"/>
  <c r="X119" i="4"/>
  <c r="W119" i="4"/>
  <c r="V119" i="4"/>
  <c r="U119" i="4"/>
  <c r="R119" i="4"/>
  <c r="S119" i="4" s="1"/>
  <c r="Q119" i="4"/>
  <c r="P119" i="4"/>
  <c r="O119" i="4"/>
  <c r="N119" i="4"/>
  <c r="M119" i="4"/>
  <c r="J119" i="4"/>
  <c r="K119" i="4" s="1"/>
  <c r="I119" i="4"/>
  <c r="H119" i="4"/>
  <c r="G119" i="4"/>
  <c r="F119" i="4"/>
  <c r="E119" i="4"/>
  <c r="C119" i="4"/>
  <c r="Z119" i="4" s="1"/>
  <c r="B119" i="4"/>
  <c r="A119" i="4"/>
  <c r="AF118" i="4"/>
  <c r="AE118" i="4"/>
  <c r="AD118" i="4"/>
  <c r="AC118" i="4"/>
  <c r="Y118" i="4"/>
  <c r="W118" i="4"/>
  <c r="V118" i="4"/>
  <c r="U118" i="4"/>
  <c r="T118" i="4"/>
  <c r="Q118" i="4"/>
  <c r="O118" i="4"/>
  <c r="N118" i="4"/>
  <c r="M118" i="4"/>
  <c r="I118" i="4"/>
  <c r="H118" i="4"/>
  <c r="G118" i="4"/>
  <c r="F118" i="4"/>
  <c r="E118" i="4"/>
  <c r="C118" i="4"/>
  <c r="B118" i="4"/>
  <c r="A118" i="4"/>
  <c r="AF117" i="4"/>
  <c r="AE117" i="4"/>
  <c r="AD117" i="4"/>
  <c r="AC117" i="4"/>
  <c r="Y117" i="4"/>
  <c r="W117" i="4"/>
  <c r="V117" i="4"/>
  <c r="U117" i="4"/>
  <c r="T117" i="4"/>
  <c r="Q117" i="4"/>
  <c r="O117" i="4"/>
  <c r="N117" i="4"/>
  <c r="M117" i="4"/>
  <c r="I117" i="4"/>
  <c r="H117" i="4"/>
  <c r="G117" i="4"/>
  <c r="F117" i="4"/>
  <c r="E117" i="4"/>
  <c r="D117" i="4"/>
  <c r="C117" i="4"/>
  <c r="B117" i="4"/>
  <c r="A117" i="4"/>
  <c r="AF116" i="4"/>
  <c r="AE116" i="4"/>
  <c r="AD116" i="4"/>
  <c r="AC116" i="4"/>
  <c r="Y116" i="4"/>
  <c r="AB116" i="4" s="1"/>
  <c r="W116" i="4"/>
  <c r="V116" i="4"/>
  <c r="U116" i="4"/>
  <c r="Q116" i="4"/>
  <c r="O116" i="4"/>
  <c r="N116" i="4"/>
  <c r="M116" i="4"/>
  <c r="J116" i="4"/>
  <c r="I116" i="4"/>
  <c r="H116" i="4"/>
  <c r="G116" i="4"/>
  <c r="K116" i="4" s="1"/>
  <c r="F116" i="4"/>
  <c r="E116" i="4"/>
  <c r="D116" i="4"/>
  <c r="C116" i="4"/>
  <c r="B116" i="4"/>
  <c r="A116" i="4"/>
  <c r="AF115" i="4"/>
  <c r="AE115" i="4"/>
  <c r="AD115" i="4"/>
  <c r="AC115" i="4"/>
  <c r="Y115" i="4"/>
  <c r="W115" i="4"/>
  <c r="V115" i="4"/>
  <c r="U115" i="4"/>
  <c r="Q115" i="4"/>
  <c r="O115" i="4"/>
  <c r="N115" i="4"/>
  <c r="M115" i="4"/>
  <c r="I115" i="4"/>
  <c r="H115" i="4"/>
  <c r="G115" i="4"/>
  <c r="F115" i="4"/>
  <c r="E115" i="4"/>
  <c r="D115" i="4"/>
  <c r="C115" i="4"/>
  <c r="P115" i="4" s="1"/>
  <c r="B115" i="4"/>
  <c r="A115" i="4"/>
  <c r="AF114" i="4"/>
  <c r="AE114" i="4"/>
  <c r="AD114" i="4"/>
  <c r="AC114" i="4"/>
  <c r="Z114" i="4"/>
  <c r="Y114" i="4"/>
  <c r="X114" i="4"/>
  <c r="W114" i="4"/>
  <c r="V114" i="4"/>
  <c r="U114" i="4"/>
  <c r="S114" i="4"/>
  <c r="Q114" i="4"/>
  <c r="O114" i="4"/>
  <c r="N114" i="4"/>
  <c r="M114" i="4"/>
  <c r="J114" i="4"/>
  <c r="K114" i="4" s="1"/>
  <c r="I114" i="4"/>
  <c r="H114" i="4"/>
  <c r="G114" i="4"/>
  <c r="F114" i="4"/>
  <c r="E114" i="4"/>
  <c r="C114" i="4"/>
  <c r="R114" i="4" s="1"/>
  <c r="B114" i="4"/>
  <c r="A114" i="4"/>
  <c r="AF113" i="4"/>
  <c r="AE113" i="4"/>
  <c r="AD113" i="4"/>
  <c r="AC113" i="4"/>
  <c r="AA113" i="4"/>
  <c r="Y113" i="4"/>
  <c r="X113" i="4"/>
  <c r="W113" i="4"/>
  <c r="V113" i="4"/>
  <c r="U113" i="4"/>
  <c r="S113" i="4"/>
  <c r="R113" i="4"/>
  <c r="Q113" i="4"/>
  <c r="P113" i="4"/>
  <c r="O113" i="4"/>
  <c r="N113" i="4"/>
  <c r="M113" i="4"/>
  <c r="J113" i="4"/>
  <c r="I113" i="4"/>
  <c r="H113" i="4"/>
  <c r="G113" i="4"/>
  <c r="K113" i="4" s="1"/>
  <c r="F113" i="4"/>
  <c r="E113" i="4"/>
  <c r="C113" i="4"/>
  <c r="Z113" i="4" s="1"/>
  <c r="B113" i="4"/>
  <c r="A113" i="4"/>
  <c r="AF112" i="4"/>
  <c r="AE112" i="4"/>
  <c r="AD112" i="4"/>
  <c r="AC112" i="4"/>
  <c r="Y112" i="4"/>
  <c r="X112" i="4"/>
  <c r="W112" i="4"/>
  <c r="V112" i="4"/>
  <c r="U112" i="4"/>
  <c r="T112" i="4"/>
  <c r="Q112" i="4"/>
  <c r="P112" i="4"/>
  <c r="O112" i="4"/>
  <c r="N112" i="4"/>
  <c r="M112" i="4"/>
  <c r="I112" i="4"/>
  <c r="H112" i="4"/>
  <c r="G112" i="4"/>
  <c r="F112" i="4"/>
  <c r="E112" i="4"/>
  <c r="C112" i="4"/>
  <c r="J112" i="4" s="1"/>
  <c r="B112" i="4"/>
  <c r="A112" i="4"/>
  <c r="D112" i="4" s="1"/>
  <c r="AF111" i="4"/>
  <c r="AE111" i="4"/>
  <c r="AD111" i="4"/>
  <c r="AC111" i="4"/>
  <c r="Z111" i="4"/>
  <c r="AA111" i="4" s="1"/>
  <c r="Y111" i="4"/>
  <c r="W111" i="4"/>
  <c r="V111" i="4"/>
  <c r="U111" i="4"/>
  <c r="Q111" i="4"/>
  <c r="P111" i="4"/>
  <c r="O111" i="4"/>
  <c r="N111" i="4"/>
  <c r="M111" i="4"/>
  <c r="J111" i="4"/>
  <c r="K111" i="4" s="1"/>
  <c r="I111" i="4"/>
  <c r="H111" i="4"/>
  <c r="G111" i="4"/>
  <c r="F111" i="4"/>
  <c r="E111" i="4"/>
  <c r="C111" i="4"/>
  <c r="B111" i="4"/>
  <c r="A111" i="4"/>
  <c r="AF110" i="4"/>
  <c r="AE110" i="4"/>
  <c r="AD110" i="4"/>
  <c r="AC110" i="4"/>
  <c r="Y110" i="4"/>
  <c r="W110" i="4"/>
  <c r="V110" i="4"/>
  <c r="U110" i="4"/>
  <c r="Q110" i="4"/>
  <c r="T110" i="4" s="1"/>
  <c r="P110" i="4"/>
  <c r="O110" i="4"/>
  <c r="N110" i="4"/>
  <c r="M110" i="4"/>
  <c r="I110" i="4"/>
  <c r="H110" i="4"/>
  <c r="G110" i="4"/>
  <c r="F110" i="4"/>
  <c r="E110" i="4"/>
  <c r="D110" i="4"/>
  <c r="C110" i="4"/>
  <c r="B110" i="4"/>
  <c r="A110" i="4"/>
  <c r="AF109" i="4"/>
  <c r="AE109" i="4"/>
  <c r="AD109" i="4"/>
  <c r="AC109" i="4"/>
  <c r="Y109" i="4"/>
  <c r="W109" i="4"/>
  <c r="V109" i="4"/>
  <c r="U109" i="4"/>
  <c r="Q109" i="4"/>
  <c r="O109" i="4"/>
  <c r="N109" i="4"/>
  <c r="M109" i="4"/>
  <c r="L109" i="4"/>
  <c r="I109" i="4"/>
  <c r="H109" i="4"/>
  <c r="G109" i="4"/>
  <c r="F109" i="4"/>
  <c r="E109" i="4"/>
  <c r="D109" i="4"/>
  <c r="C109" i="4"/>
  <c r="B109" i="4"/>
  <c r="A109" i="4"/>
  <c r="AF108" i="4"/>
  <c r="AE108" i="4"/>
  <c r="AD108" i="4"/>
  <c r="AC108" i="4"/>
  <c r="Y108" i="4"/>
  <c r="W108" i="4"/>
  <c r="V108" i="4"/>
  <c r="U108" i="4"/>
  <c r="Q108" i="4"/>
  <c r="P108" i="4"/>
  <c r="O108" i="4"/>
  <c r="N108" i="4"/>
  <c r="M108" i="4"/>
  <c r="I108" i="4"/>
  <c r="H108" i="4"/>
  <c r="G108" i="4"/>
  <c r="F108" i="4"/>
  <c r="E108" i="4"/>
  <c r="C108" i="4"/>
  <c r="B108" i="4"/>
  <c r="A108" i="4"/>
  <c r="AF107" i="4"/>
  <c r="AE107" i="4"/>
  <c r="AD107" i="4"/>
  <c r="AC107" i="4"/>
  <c r="Y107" i="4"/>
  <c r="X107" i="4"/>
  <c r="W107" i="4"/>
  <c r="AA107" i="4" s="1"/>
  <c r="V107" i="4"/>
  <c r="U107" i="4"/>
  <c r="S107" i="4"/>
  <c r="R107" i="4"/>
  <c r="Q107" i="4"/>
  <c r="P107" i="4"/>
  <c r="O107" i="4"/>
  <c r="N107" i="4"/>
  <c r="M107" i="4"/>
  <c r="J107" i="4"/>
  <c r="I107" i="4"/>
  <c r="H107" i="4"/>
  <c r="G107" i="4"/>
  <c r="K107" i="4" s="1"/>
  <c r="F107" i="4"/>
  <c r="E107" i="4"/>
  <c r="D107" i="4"/>
  <c r="C107" i="4"/>
  <c r="Z107" i="4" s="1"/>
  <c r="B107" i="4"/>
  <c r="A107" i="4"/>
  <c r="AF106" i="4"/>
  <c r="AE106" i="4"/>
  <c r="AD106" i="4"/>
  <c r="AC106" i="4"/>
  <c r="Y106" i="4"/>
  <c r="W106" i="4"/>
  <c r="V106" i="4"/>
  <c r="U106" i="4"/>
  <c r="R106" i="4"/>
  <c r="S106" i="4" s="1"/>
  <c r="Q106" i="4"/>
  <c r="P106" i="4"/>
  <c r="O106" i="4"/>
  <c r="N106" i="4"/>
  <c r="M106" i="4"/>
  <c r="I106" i="4"/>
  <c r="H106" i="4"/>
  <c r="G106" i="4"/>
  <c r="F106" i="4"/>
  <c r="E106" i="4"/>
  <c r="C106" i="4"/>
  <c r="B106" i="4"/>
  <c r="A106" i="4"/>
  <c r="AF105" i="4"/>
  <c r="AE105" i="4"/>
  <c r="AD105" i="4"/>
  <c r="AC105" i="4"/>
  <c r="Y105" i="4"/>
  <c r="AB105" i="4" s="1"/>
  <c r="W105" i="4"/>
  <c r="V105" i="4"/>
  <c r="U105" i="4"/>
  <c r="T105" i="4"/>
  <c r="Q105" i="4"/>
  <c r="O105" i="4"/>
  <c r="N105" i="4"/>
  <c r="M105" i="4"/>
  <c r="J105" i="4"/>
  <c r="K105" i="4" s="1"/>
  <c r="I105" i="4"/>
  <c r="H105" i="4"/>
  <c r="G105" i="4"/>
  <c r="F105" i="4"/>
  <c r="E105" i="4"/>
  <c r="C105" i="4"/>
  <c r="Z105" i="4" s="1"/>
  <c r="AA105" i="4" s="1"/>
  <c r="B105" i="4"/>
  <c r="A105" i="4"/>
  <c r="AF104" i="4"/>
  <c r="AE104" i="4"/>
  <c r="AD104" i="4"/>
  <c r="AC104" i="4"/>
  <c r="Y104" i="4"/>
  <c r="W104" i="4"/>
  <c r="V104" i="4"/>
  <c r="U104" i="4"/>
  <c r="Q104" i="4"/>
  <c r="P104" i="4"/>
  <c r="O104" i="4"/>
  <c r="N104" i="4"/>
  <c r="M104" i="4"/>
  <c r="I104" i="4"/>
  <c r="H104" i="4"/>
  <c r="G104" i="4"/>
  <c r="F104" i="4"/>
  <c r="E104" i="4"/>
  <c r="D104" i="4"/>
  <c r="C104" i="4"/>
  <c r="B104" i="4"/>
  <c r="A104" i="4"/>
  <c r="AF103" i="4"/>
  <c r="AE103" i="4"/>
  <c r="AD103" i="4"/>
  <c r="AC103" i="4"/>
  <c r="Z103" i="4"/>
  <c r="AA103" i="4" s="1"/>
  <c r="Y103" i="4"/>
  <c r="W103" i="4"/>
  <c r="V103" i="4"/>
  <c r="U103" i="4"/>
  <c r="R103" i="4"/>
  <c r="S103" i="4" s="1"/>
  <c r="Q103" i="4"/>
  <c r="O103" i="4"/>
  <c r="N103" i="4"/>
  <c r="M103" i="4"/>
  <c r="I103" i="4"/>
  <c r="L103" i="4" s="1"/>
  <c r="H103" i="4"/>
  <c r="G103" i="4"/>
  <c r="F103" i="4"/>
  <c r="E103" i="4"/>
  <c r="C103" i="4"/>
  <c r="B103" i="4"/>
  <c r="A103" i="4"/>
  <c r="AF102" i="4"/>
  <c r="AE102" i="4"/>
  <c r="AD102" i="4"/>
  <c r="AC102" i="4"/>
  <c r="Z102" i="4"/>
  <c r="AA102" i="4" s="1"/>
  <c r="Y102" i="4"/>
  <c r="AB102" i="4" s="1"/>
  <c r="W102" i="4"/>
  <c r="V102" i="4"/>
  <c r="U102" i="4"/>
  <c r="Q102" i="4"/>
  <c r="O102" i="4"/>
  <c r="N102" i="4"/>
  <c r="M102" i="4"/>
  <c r="K102" i="4"/>
  <c r="J102" i="4"/>
  <c r="I102" i="4"/>
  <c r="H102" i="4"/>
  <c r="G102" i="4"/>
  <c r="F102" i="4"/>
  <c r="E102" i="4"/>
  <c r="D102" i="4"/>
  <c r="C102" i="4"/>
  <c r="B102" i="4"/>
  <c r="A102" i="4"/>
  <c r="AF101" i="4"/>
  <c r="AE101" i="4"/>
  <c r="AD101" i="4"/>
  <c r="AC101" i="4"/>
  <c r="AB101" i="4"/>
  <c r="Y101" i="4"/>
  <c r="W101" i="4"/>
  <c r="V101" i="4"/>
  <c r="U101" i="4"/>
  <c r="Q101" i="4"/>
  <c r="P101" i="4"/>
  <c r="O101" i="4"/>
  <c r="N101" i="4"/>
  <c r="M101" i="4"/>
  <c r="J101" i="4"/>
  <c r="I101" i="4"/>
  <c r="H101" i="4"/>
  <c r="G101" i="4"/>
  <c r="F101" i="4"/>
  <c r="E101" i="4"/>
  <c r="D101" i="4"/>
  <c r="C101" i="4"/>
  <c r="B101" i="4"/>
  <c r="A101" i="4"/>
  <c r="AF100" i="4"/>
  <c r="AE100" i="4"/>
  <c r="AD100" i="4"/>
  <c r="AC100" i="4"/>
  <c r="Z100" i="4"/>
  <c r="AA100" i="4" s="1"/>
  <c r="Y100" i="4"/>
  <c r="X100" i="4"/>
  <c r="W100" i="4"/>
  <c r="V100" i="4"/>
  <c r="U100" i="4"/>
  <c r="Q100" i="4"/>
  <c r="O100" i="4"/>
  <c r="N100" i="4"/>
  <c r="M100" i="4"/>
  <c r="I100" i="4"/>
  <c r="L100" i="4" s="1"/>
  <c r="H100" i="4"/>
  <c r="G100" i="4"/>
  <c r="F100" i="4"/>
  <c r="E100" i="4"/>
  <c r="C100" i="4"/>
  <c r="B100" i="4"/>
  <c r="A100" i="4"/>
  <c r="AF99" i="4"/>
  <c r="AE99" i="4"/>
  <c r="AD99" i="4"/>
  <c r="AC99" i="4"/>
  <c r="AB99" i="4"/>
  <c r="Z99" i="4"/>
  <c r="AA99" i="4" s="1"/>
  <c r="Y99" i="4"/>
  <c r="W99" i="4"/>
  <c r="V99" i="4"/>
  <c r="U99" i="4"/>
  <c r="Q99" i="4"/>
  <c r="P99" i="4"/>
  <c r="O99" i="4"/>
  <c r="N99" i="4"/>
  <c r="M99" i="4"/>
  <c r="I99" i="4"/>
  <c r="H99" i="4"/>
  <c r="G99" i="4"/>
  <c r="F99" i="4"/>
  <c r="E99" i="4"/>
  <c r="C99" i="4"/>
  <c r="B99" i="4"/>
  <c r="A99" i="4"/>
  <c r="L99" i="4" s="1"/>
  <c r="AF98" i="4"/>
  <c r="AE98" i="4"/>
  <c r="AD98" i="4"/>
  <c r="AC98" i="4"/>
  <c r="AA98" i="4"/>
  <c r="Y98" i="4"/>
  <c r="W98" i="4"/>
  <c r="V98" i="4"/>
  <c r="U98" i="4"/>
  <c r="R98" i="4"/>
  <c r="S98" i="4" s="1"/>
  <c r="Q98" i="4"/>
  <c r="P98" i="4"/>
  <c r="O98" i="4"/>
  <c r="N98" i="4"/>
  <c r="M98" i="4"/>
  <c r="J98" i="4"/>
  <c r="I98" i="4"/>
  <c r="H98" i="4"/>
  <c r="G98" i="4"/>
  <c r="F98" i="4"/>
  <c r="E98" i="4"/>
  <c r="C98" i="4"/>
  <c r="Z98" i="4" s="1"/>
  <c r="B98" i="4"/>
  <c r="A98" i="4"/>
  <c r="AF97" i="4"/>
  <c r="AE97" i="4"/>
  <c r="AD97" i="4"/>
  <c r="AC97" i="4"/>
  <c r="Z97" i="4"/>
  <c r="AA97" i="4" s="1"/>
  <c r="Y97" i="4"/>
  <c r="X97" i="4"/>
  <c r="W97" i="4"/>
  <c r="V97" i="4"/>
  <c r="U97" i="4"/>
  <c r="Q97" i="4"/>
  <c r="O97" i="4"/>
  <c r="N97" i="4"/>
  <c r="M97" i="4"/>
  <c r="I97" i="4"/>
  <c r="H97" i="4"/>
  <c r="G97" i="4"/>
  <c r="F97" i="4"/>
  <c r="E97" i="4"/>
  <c r="C97" i="4"/>
  <c r="B97" i="4"/>
  <c r="A97" i="4"/>
  <c r="AF96" i="4"/>
  <c r="AE96" i="4"/>
  <c r="AD96" i="4"/>
  <c r="AC96" i="4"/>
  <c r="Y96" i="4"/>
  <c r="W96" i="4"/>
  <c r="V96" i="4"/>
  <c r="U96" i="4"/>
  <c r="Q96" i="4"/>
  <c r="T96" i="4" s="1"/>
  <c r="P96" i="4"/>
  <c r="O96" i="4"/>
  <c r="N96" i="4"/>
  <c r="M96" i="4"/>
  <c r="I96" i="4"/>
  <c r="H96" i="4"/>
  <c r="G96" i="4"/>
  <c r="F96" i="4"/>
  <c r="E96" i="4"/>
  <c r="D96" i="4"/>
  <c r="C96" i="4"/>
  <c r="B96" i="4"/>
  <c r="A96" i="4"/>
  <c r="AF95" i="4"/>
  <c r="AE95" i="4"/>
  <c r="AD95" i="4"/>
  <c r="AC95" i="4"/>
  <c r="Y95" i="4"/>
  <c r="X95" i="4"/>
  <c r="W95" i="4"/>
  <c r="V95" i="4"/>
  <c r="U95" i="4"/>
  <c r="Q95" i="4"/>
  <c r="P95" i="4"/>
  <c r="O95" i="4"/>
  <c r="N95" i="4"/>
  <c r="M95" i="4"/>
  <c r="J95" i="4"/>
  <c r="K95" i="4" s="1"/>
  <c r="I95" i="4"/>
  <c r="H95" i="4"/>
  <c r="G95" i="4"/>
  <c r="F95" i="4"/>
  <c r="E95" i="4"/>
  <c r="C95" i="4"/>
  <c r="B95" i="4"/>
  <c r="A95" i="4"/>
  <c r="AF94" i="4"/>
  <c r="AE94" i="4"/>
  <c r="AD94" i="4"/>
  <c r="AC94" i="4"/>
  <c r="Y94" i="4"/>
  <c r="W94" i="4"/>
  <c r="V94" i="4"/>
  <c r="U94" i="4"/>
  <c r="R94" i="4"/>
  <c r="S94" i="4" s="1"/>
  <c r="Q94" i="4"/>
  <c r="O94" i="4"/>
  <c r="N94" i="4"/>
  <c r="M94" i="4"/>
  <c r="I94" i="4"/>
  <c r="H94" i="4"/>
  <c r="G94" i="4"/>
  <c r="F94" i="4"/>
  <c r="E94" i="4"/>
  <c r="C94" i="4"/>
  <c r="B94" i="4"/>
  <c r="A94" i="4"/>
  <c r="AF93" i="4"/>
  <c r="AE93" i="4"/>
  <c r="AD93" i="4"/>
  <c r="AC93" i="4"/>
  <c r="Y93" i="4"/>
  <c r="W93" i="4"/>
  <c r="V93" i="4"/>
  <c r="U93" i="4"/>
  <c r="T93" i="4"/>
  <c r="Q93" i="4"/>
  <c r="O93" i="4"/>
  <c r="N93" i="4"/>
  <c r="M93" i="4"/>
  <c r="J93" i="4"/>
  <c r="I93" i="4"/>
  <c r="H93" i="4"/>
  <c r="G93" i="4"/>
  <c r="F93" i="4"/>
  <c r="E93" i="4"/>
  <c r="C93" i="4"/>
  <c r="Z93" i="4" s="1"/>
  <c r="AA93" i="4" s="1"/>
  <c r="B93" i="4"/>
  <c r="A93" i="4"/>
  <c r="AF92" i="4"/>
  <c r="AE92" i="4"/>
  <c r="AD92" i="4"/>
  <c r="AC92" i="4"/>
  <c r="Y92" i="4"/>
  <c r="W92" i="4"/>
  <c r="V92" i="4"/>
  <c r="U92" i="4"/>
  <c r="Q92" i="4"/>
  <c r="O92" i="4"/>
  <c r="N92" i="4"/>
  <c r="M92" i="4"/>
  <c r="I92" i="4"/>
  <c r="H92" i="4"/>
  <c r="G92" i="4"/>
  <c r="F92" i="4"/>
  <c r="E92" i="4"/>
  <c r="D92" i="4"/>
  <c r="C92" i="4"/>
  <c r="R92" i="4" s="1"/>
  <c r="S92" i="4" s="1"/>
  <c r="B92" i="4"/>
  <c r="A92" i="4"/>
  <c r="AF91" i="4"/>
  <c r="AE91" i="4"/>
  <c r="AD91" i="4"/>
  <c r="AC91" i="4"/>
  <c r="Z91" i="4"/>
  <c r="AA91" i="4" s="1"/>
  <c r="Y91" i="4"/>
  <c r="W91" i="4"/>
  <c r="V91" i="4"/>
  <c r="U91" i="4"/>
  <c r="T91" i="4"/>
  <c r="R91" i="4"/>
  <c r="S91" i="4" s="1"/>
  <c r="Q91" i="4"/>
  <c r="O91" i="4"/>
  <c r="N91" i="4"/>
  <c r="M91" i="4"/>
  <c r="J91" i="4"/>
  <c r="I91" i="4"/>
  <c r="H91" i="4"/>
  <c r="G91" i="4"/>
  <c r="F91" i="4"/>
  <c r="E91" i="4"/>
  <c r="C91" i="4"/>
  <c r="P91" i="4" s="1"/>
  <c r="B91" i="4"/>
  <c r="A91" i="4"/>
  <c r="AF90" i="4"/>
  <c r="AE90" i="4"/>
  <c r="AD90" i="4"/>
  <c r="AC90" i="4"/>
  <c r="Z90" i="4"/>
  <c r="AA90" i="4" s="1"/>
  <c r="Y90" i="4"/>
  <c r="W90" i="4"/>
  <c r="V90" i="4"/>
  <c r="U90" i="4"/>
  <c r="Q90" i="4"/>
  <c r="P90" i="4"/>
  <c r="O90" i="4"/>
  <c r="N90" i="4"/>
  <c r="M90" i="4"/>
  <c r="J90" i="4"/>
  <c r="K90" i="4" s="1"/>
  <c r="I90" i="4"/>
  <c r="H90" i="4"/>
  <c r="G90" i="4"/>
  <c r="F90" i="4"/>
  <c r="E90" i="4"/>
  <c r="C90" i="4"/>
  <c r="X90" i="4" s="1"/>
  <c r="B90" i="4"/>
  <c r="A90" i="4"/>
  <c r="AF89" i="4"/>
  <c r="AE89" i="4"/>
  <c r="AD89" i="4"/>
  <c r="AC89" i="4"/>
  <c r="Z89" i="4"/>
  <c r="AA89" i="4" s="1"/>
  <c r="Y89" i="4"/>
  <c r="W89" i="4"/>
  <c r="V89" i="4"/>
  <c r="U89" i="4"/>
  <c r="R89" i="4"/>
  <c r="S89" i="4" s="1"/>
  <c r="Q89" i="4"/>
  <c r="P89" i="4"/>
  <c r="O89" i="4"/>
  <c r="N89" i="4"/>
  <c r="M89" i="4"/>
  <c r="J89" i="4"/>
  <c r="K89" i="4" s="1"/>
  <c r="I89" i="4"/>
  <c r="L89" i="4" s="1"/>
  <c r="H89" i="4"/>
  <c r="G89" i="4"/>
  <c r="F89" i="4"/>
  <c r="E89" i="4"/>
  <c r="C89" i="4"/>
  <c r="X89" i="4" s="1"/>
  <c r="B89" i="4"/>
  <c r="A89" i="4"/>
  <c r="AF88" i="4"/>
  <c r="AE88" i="4"/>
  <c r="AD88" i="4"/>
  <c r="AC88" i="4"/>
  <c r="Y88" i="4"/>
  <c r="W88" i="4"/>
  <c r="V88" i="4"/>
  <c r="U88" i="4"/>
  <c r="Q88" i="4"/>
  <c r="O88" i="4"/>
  <c r="N88" i="4"/>
  <c r="M88" i="4"/>
  <c r="L88" i="4"/>
  <c r="I88" i="4"/>
  <c r="H88" i="4"/>
  <c r="G88" i="4"/>
  <c r="F88" i="4"/>
  <c r="E88" i="4"/>
  <c r="C88" i="4"/>
  <c r="B88" i="4"/>
  <c r="A88" i="4"/>
  <c r="T88" i="4" s="1"/>
  <c r="AF87" i="4"/>
  <c r="AE87" i="4"/>
  <c r="AD87" i="4"/>
  <c r="AC87" i="4"/>
  <c r="Z87" i="4"/>
  <c r="AA87" i="4" s="1"/>
  <c r="Y87" i="4"/>
  <c r="W87" i="4"/>
  <c r="V87" i="4"/>
  <c r="U87" i="4"/>
  <c r="R87" i="4"/>
  <c r="S87" i="4" s="1"/>
  <c r="Q87" i="4"/>
  <c r="T87" i="4" s="1"/>
  <c r="O87" i="4"/>
  <c r="N87" i="4"/>
  <c r="M87" i="4"/>
  <c r="I87" i="4"/>
  <c r="H87" i="4"/>
  <c r="G87" i="4"/>
  <c r="F87" i="4"/>
  <c r="E87" i="4"/>
  <c r="D87" i="4"/>
  <c r="C87" i="4"/>
  <c r="X87" i="4" s="1"/>
  <c r="B87" i="4"/>
  <c r="A87" i="4"/>
  <c r="AF86" i="4"/>
  <c r="AE86" i="4"/>
  <c r="AD86" i="4"/>
  <c r="AC86" i="4"/>
  <c r="Y86" i="4"/>
  <c r="AB86" i="4" s="1"/>
  <c r="W86" i="4"/>
  <c r="V86" i="4"/>
  <c r="U86" i="4"/>
  <c r="Q86" i="4"/>
  <c r="O86" i="4"/>
  <c r="N86" i="4"/>
  <c r="M86" i="4"/>
  <c r="I86" i="4"/>
  <c r="H86" i="4"/>
  <c r="G86" i="4"/>
  <c r="F86" i="4"/>
  <c r="E86" i="4"/>
  <c r="C86" i="4"/>
  <c r="B86" i="4"/>
  <c r="A86" i="4"/>
  <c r="AF85" i="4"/>
  <c r="AE85" i="4"/>
  <c r="AD85" i="4"/>
  <c r="AC85" i="4"/>
  <c r="Z85" i="4"/>
  <c r="AA85" i="4" s="1"/>
  <c r="Y85" i="4"/>
  <c r="W85" i="4"/>
  <c r="V85" i="4"/>
  <c r="U85" i="4"/>
  <c r="T85" i="4"/>
  <c r="S85" i="4"/>
  <c r="R85" i="4"/>
  <c r="Q85" i="4"/>
  <c r="O85" i="4"/>
  <c r="N85" i="4"/>
  <c r="M85" i="4"/>
  <c r="J85" i="4"/>
  <c r="K85" i="4" s="1"/>
  <c r="I85" i="4"/>
  <c r="H85" i="4"/>
  <c r="G85" i="4"/>
  <c r="F85" i="4"/>
  <c r="E85" i="4"/>
  <c r="C85" i="4"/>
  <c r="P85" i="4" s="1"/>
  <c r="B85" i="4"/>
  <c r="A85" i="4"/>
  <c r="AF84" i="4"/>
  <c r="AE84" i="4"/>
  <c r="AD84" i="4"/>
  <c r="AC84" i="4"/>
  <c r="Y84" i="4"/>
  <c r="W84" i="4"/>
  <c r="V84" i="4"/>
  <c r="U84" i="4"/>
  <c r="Q84" i="4"/>
  <c r="P84" i="4"/>
  <c r="O84" i="4"/>
  <c r="N84" i="4"/>
  <c r="M84" i="4"/>
  <c r="J84" i="4"/>
  <c r="K84" i="4" s="1"/>
  <c r="I84" i="4"/>
  <c r="H84" i="4"/>
  <c r="G84" i="4"/>
  <c r="F84" i="4"/>
  <c r="E84" i="4"/>
  <c r="C84" i="4"/>
  <c r="B84" i="4"/>
  <c r="A84" i="4"/>
  <c r="AF83" i="4"/>
  <c r="AE83" i="4"/>
  <c r="AD83" i="4"/>
  <c r="AC83" i="4"/>
  <c r="Z83" i="4"/>
  <c r="Y83" i="4"/>
  <c r="W83" i="4"/>
  <c r="V83" i="4"/>
  <c r="U83" i="4"/>
  <c r="R83" i="4"/>
  <c r="S83" i="4" s="1"/>
  <c r="Q83" i="4"/>
  <c r="P83" i="4"/>
  <c r="O83" i="4"/>
  <c r="N83" i="4"/>
  <c r="M83" i="4"/>
  <c r="J83" i="4"/>
  <c r="I83" i="4"/>
  <c r="L83" i="4" s="1"/>
  <c r="H83" i="4"/>
  <c r="G83" i="4"/>
  <c r="F83" i="4"/>
  <c r="E83" i="4"/>
  <c r="C83" i="4"/>
  <c r="X83" i="4" s="1"/>
  <c r="B83" i="4"/>
  <c r="A83" i="4"/>
  <c r="AF82" i="4"/>
  <c r="AE82" i="4"/>
  <c r="AD82" i="4"/>
  <c r="AC82" i="4"/>
  <c r="AA82" i="4"/>
  <c r="Z82" i="4"/>
  <c r="Y82" i="4"/>
  <c r="X82" i="4"/>
  <c r="W82" i="4"/>
  <c r="V82" i="4"/>
  <c r="U82" i="4"/>
  <c r="Q82" i="4"/>
  <c r="O82" i="4"/>
  <c r="N82" i="4"/>
  <c r="M82" i="4"/>
  <c r="L82" i="4"/>
  <c r="I82" i="4"/>
  <c r="H82" i="4"/>
  <c r="G82" i="4"/>
  <c r="F82" i="4"/>
  <c r="E82" i="4"/>
  <c r="C82" i="4"/>
  <c r="B82" i="4"/>
  <c r="A82" i="4"/>
  <c r="AF81" i="4"/>
  <c r="AE81" i="4"/>
  <c r="AD81" i="4"/>
  <c r="AC81" i="4"/>
  <c r="Z81" i="4"/>
  <c r="AA81" i="4" s="1"/>
  <c r="Y81" i="4"/>
  <c r="W81" i="4"/>
  <c r="V81" i="4"/>
  <c r="U81" i="4"/>
  <c r="R81" i="4"/>
  <c r="S81" i="4" s="1"/>
  <c r="Q81" i="4"/>
  <c r="O81" i="4"/>
  <c r="N81" i="4"/>
  <c r="M81" i="4"/>
  <c r="I81" i="4"/>
  <c r="H81" i="4"/>
  <c r="G81" i="4"/>
  <c r="F81" i="4"/>
  <c r="E81" i="4"/>
  <c r="D81" i="4"/>
  <c r="C81" i="4"/>
  <c r="X81" i="4" s="1"/>
  <c r="B81" i="4"/>
  <c r="A81" i="4"/>
  <c r="AF80" i="4"/>
  <c r="AE80" i="4"/>
  <c r="AD80" i="4"/>
  <c r="AC80" i="4"/>
  <c r="Y80" i="4"/>
  <c r="W80" i="4"/>
  <c r="V80" i="4"/>
  <c r="U80" i="4"/>
  <c r="Q80" i="4"/>
  <c r="P80" i="4"/>
  <c r="O80" i="4"/>
  <c r="N80" i="4"/>
  <c r="M80" i="4"/>
  <c r="I80" i="4"/>
  <c r="H80" i="4"/>
  <c r="G80" i="4"/>
  <c r="F80" i="4"/>
  <c r="E80" i="4"/>
  <c r="C80" i="4"/>
  <c r="B80" i="4"/>
  <c r="A80" i="4"/>
  <c r="AB80" i="4" s="1"/>
  <c r="AF79" i="4"/>
  <c r="AE79" i="4"/>
  <c r="AD79" i="4"/>
  <c r="AC79" i="4"/>
  <c r="Z79" i="4"/>
  <c r="Y79" i="4"/>
  <c r="W79" i="4"/>
  <c r="V79" i="4"/>
  <c r="U79" i="4"/>
  <c r="T79" i="4"/>
  <c r="R79" i="4"/>
  <c r="S79" i="4" s="1"/>
  <c r="Q79" i="4"/>
  <c r="O79" i="4"/>
  <c r="N79" i="4"/>
  <c r="M79" i="4"/>
  <c r="J79" i="4"/>
  <c r="I79" i="4"/>
  <c r="H79" i="4"/>
  <c r="G79" i="4"/>
  <c r="F79" i="4"/>
  <c r="E79" i="4"/>
  <c r="C79" i="4"/>
  <c r="P79" i="4" s="1"/>
  <c r="B79" i="4"/>
  <c r="A79" i="4"/>
  <c r="AF78" i="4"/>
  <c r="AE78" i="4"/>
  <c r="AD78" i="4"/>
  <c r="AC78" i="4"/>
  <c r="Y78" i="4"/>
  <c r="W78" i="4"/>
  <c r="V78" i="4"/>
  <c r="U78" i="4"/>
  <c r="R78" i="4"/>
  <c r="S78" i="4" s="1"/>
  <c r="Q78" i="4"/>
  <c r="O78" i="4"/>
  <c r="N78" i="4"/>
  <c r="M78" i="4"/>
  <c r="I78" i="4"/>
  <c r="H78" i="4"/>
  <c r="G78" i="4"/>
  <c r="F78" i="4"/>
  <c r="E78" i="4"/>
  <c r="C78" i="4"/>
  <c r="B78" i="4"/>
  <c r="A78" i="4"/>
  <c r="AF77" i="4"/>
  <c r="AE77" i="4"/>
  <c r="AD77" i="4"/>
  <c r="AC77" i="4"/>
  <c r="Z77" i="4"/>
  <c r="AA77" i="4" s="1"/>
  <c r="Y77" i="4"/>
  <c r="W77" i="4"/>
  <c r="V77" i="4"/>
  <c r="U77" i="4"/>
  <c r="S77" i="4"/>
  <c r="R77" i="4"/>
  <c r="Q77" i="4"/>
  <c r="P77" i="4"/>
  <c r="O77" i="4"/>
  <c r="N77" i="4"/>
  <c r="M77" i="4"/>
  <c r="J77" i="4"/>
  <c r="I77" i="4"/>
  <c r="H77" i="4"/>
  <c r="G77" i="4"/>
  <c r="F77" i="4"/>
  <c r="E77" i="4"/>
  <c r="C77" i="4"/>
  <c r="X77" i="4" s="1"/>
  <c r="B77" i="4"/>
  <c r="A77" i="4"/>
  <c r="AF76" i="4"/>
  <c r="AE76" i="4"/>
  <c r="AD76" i="4"/>
  <c r="AC76" i="4"/>
  <c r="Y76" i="4"/>
  <c r="X76" i="4"/>
  <c r="W76" i="4"/>
  <c r="V76" i="4"/>
  <c r="U76" i="4"/>
  <c r="Q76" i="4"/>
  <c r="O76" i="4"/>
  <c r="N76" i="4"/>
  <c r="M76" i="4"/>
  <c r="I76" i="4"/>
  <c r="H76" i="4"/>
  <c r="G76" i="4"/>
  <c r="F76" i="4"/>
  <c r="E76" i="4"/>
  <c r="C76" i="4"/>
  <c r="B76" i="4"/>
  <c r="A76" i="4"/>
  <c r="AF75" i="4"/>
  <c r="AE75" i="4"/>
  <c r="AD75" i="4"/>
  <c r="AC75" i="4"/>
  <c r="Z75" i="4"/>
  <c r="AA75" i="4" s="1"/>
  <c r="Y75" i="4"/>
  <c r="W75" i="4"/>
  <c r="V75" i="4"/>
  <c r="U75" i="4"/>
  <c r="R75" i="4"/>
  <c r="S75" i="4" s="1"/>
  <c r="Q75" i="4"/>
  <c r="T75" i="4" s="1"/>
  <c r="O75" i="4"/>
  <c r="N75" i="4"/>
  <c r="M75" i="4"/>
  <c r="I75" i="4"/>
  <c r="H75" i="4"/>
  <c r="G75" i="4"/>
  <c r="F75" i="4"/>
  <c r="E75" i="4"/>
  <c r="D75" i="4"/>
  <c r="C75" i="4"/>
  <c r="X75" i="4" s="1"/>
  <c r="B75" i="4"/>
  <c r="A75" i="4"/>
  <c r="AF74" i="4"/>
  <c r="AE74" i="4"/>
  <c r="AD74" i="4"/>
  <c r="AC74" i="4"/>
  <c r="AB74" i="4"/>
  <c r="AA74" i="4"/>
  <c r="Z74" i="4"/>
  <c r="Y74" i="4"/>
  <c r="X74" i="4"/>
  <c r="W74" i="4"/>
  <c r="V74" i="4"/>
  <c r="U74" i="4"/>
  <c r="R74" i="4"/>
  <c r="Q74" i="4"/>
  <c r="O74" i="4"/>
  <c r="N74" i="4"/>
  <c r="M74" i="4"/>
  <c r="K74" i="4"/>
  <c r="I74" i="4"/>
  <c r="H74" i="4"/>
  <c r="G74" i="4"/>
  <c r="F74" i="4"/>
  <c r="E74" i="4"/>
  <c r="C74" i="4"/>
  <c r="J74" i="4" s="1"/>
  <c r="B74" i="4"/>
  <c r="A74" i="4"/>
  <c r="AF73" i="4"/>
  <c r="AE73" i="4"/>
  <c r="AD73" i="4"/>
  <c r="AC73" i="4"/>
  <c r="Z73" i="4"/>
  <c r="AA73" i="4" s="1"/>
  <c r="Y73" i="4"/>
  <c r="W73" i="4"/>
  <c r="V73" i="4"/>
  <c r="U73" i="4"/>
  <c r="R73" i="4"/>
  <c r="S73" i="4" s="1"/>
  <c r="Q73" i="4"/>
  <c r="O73" i="4"/>
  <c r="N73" i="4"/>
  <c r="M73" i="4"/>
  <c r="J73" i="4"/>
  <c r="I73" i="4"/>
  <c r="H73" i="4"/>
  <c r="G73" i="4"/>
  <c r="F73" i="4"/>
  <c r="E73" i="4"/>
  <c r="C73" i="4"/>
  <c r="P73" i="4" s="1"/>
  <c r="B73" i="4"/>
  <c r="A73" i="4"/>
  <c r="AF72" i="4"/>
  <c r="AE72" i="4"/>
  <c r="AD72" i="4"/>
  <c r="AC72" i="4"/>
  <c r="Y72" i="4"/>
  <c r="W72" i="4"/>
  <c r="V72" i="4"/>
  <c r="U72" i="4"/>
  <c r="Q72" i="4"/>
  <c r="O72" i="4"/>
  <c r="N72" i="4"/>
  <c r="M72" i="4"/>
  <c r="I72" i="4"/>
  <c r="H72" i="4"/>
  <c r="G72" i="4"/>
  <c r="F72" i="4"/>
  <c r="E72" i="4"/>
  <c r="C72" i="4"/>
  <c r="R72" i="4" s="1"/>
  <c r="S72" i="4" s="1"/>
  <c r="B72" i="4"/>
  <c r="A72" i="4"/>
  <c r="AF71" i="4"/>
  <c r="AE71" i="4"/>
  <c r="AD71" i="4"/>
  <c r="AC71" i="4"/>
  <c r="Z71" i="4"/>
  <c r="Y71" i="4"/>
  <c r="W71" i="4"/>
  <c r="V71" i="4"/>
  <c r="U71" i="4"/>
  <c r="S71" i="4"/>
  <c r="R71" i="4"/>
  <c r="Q71" i="4"/>
  <c r="P71" i="4"/>
  <c r="O71" i="4"/>
  <c r="N71" i="4"/>
  <c r="M71" i="4"/>
  <c r="J71" i="4"/>
  <c r="I71" i="4"/>
  <c r="L71" i="4" s="1"/>
  <c r="H71" i="4"/>
  <c r="G71" i="4"/>
  <c r="F71" i="4"/>
  <c r="E71" i="4"/>
  <c r="C71" i="4"/>
  <c r="X71" i="4" s="1"/>
  <c r="B71" i="4"/>
  <c r="A71" i="4"/>
  <c r="AF70" i="4"/>
  <c r="AE70" i="4"/>
  <c r="AD70" i="4"/>
  <c r="AC70" i="4"/>
  <c r="Z70" i="4"/>
  <c r="AA70" i="4" s="1"/>
  <c r="Y70" i="4"/>
  <c r="X70" i="4"/>
  <c r="W70" i="4"/>
  <c r="V70" i="4"/>
  <c r="U70" i="4"/>
  <c r="Q70" i="4"/>
  <c r="O70" i="4"/>
  <c r="N70" i="4"/>
  <c r="M70" i="4"/>
  <c r="L70" i="4"/>
  <c r="I70" i="4"/>
  <c r="H70" i="4"/>
  <c r="G70" i="4"/>
  <c r="F70" i="4"/>
  <c r="E70" i="4"/>
  <c r="C70" i="4"/>
  <c r="B70" i="4"/>
  <c r="A70" i="4"/>
  <c r="AF69" i="4"/>
  <c r="AE69" i="4"/>
  <c r="AD69" i="4"/>
  <c r="AC69" i="4"/>
  <c r="Z69" i="4"/>
  <c r="AA69" i="4" s="1"/>
  <c r="Y69" i="4"/>
  <c r="W69" i="4"/>
  <c r="V69" i="4"/>
  <c r="U69" i="4"/>
  <c r="T69" i="4"/>
  <c r="R69" i="4"/>
  <c r="S69" i="4" s="1"/>
  <c r="Q69" i="4"/>
  <c r="O69" i="4"/>
  <c r="N69" i="4"/>
  <c r="M69" i="4"/>
  <c r="I69" i="4"/>
  <c r="H69" i="4"/>
  <c r="G69" i="4"/>
  <c r="F69" i="4"/>
  <c r="E69" i="4"/>
  <c r="D69" i="4"/>
  <c r="C69" i="4"/>
  <c r="X69" i="4" s="1"/>
  <c r="B69" i="4"/>
  <c r="A69" i="4"/>
  <c r="AF68" i="4"/>
  <c r="AE68" i="4"/>
  <c r="AD68" i="4"/>
  <c r="AC68" i="4"/>
  <c r="Z68" i="4"/>
  <c r="AA68" i="4" s="1"/>
  <c r="Y68" i="4"/>
  <c r="W68" i="4"/>
  <c r="V68" i="4"/>
  <c r="U68" i="4"/>
  <c r="Q68" i="4"/>
  <c r="P68" i="4"/>
  <c r="O68" i="4"/>
  <c r="N68" i="4"/>
  <c r="M68" i="4"/>
  <c r="L68" i="4"/>
  <c r="I68" i="4"/>
  <c r="H68" i="4"/>
  <c r="G68" i="4"/>
  <c r="F68" i="4"/>
  <c r="E68" i="4"/>
  <c r="D68" i="4"/>
  <c r="C68" i="4"/>
  <c r="B68" i="4"/>
  <c r="A68" i="4"/>
  <c r="AF67" i="4"/>
  <c r="AE67" i="4"/>
  <c r="AD67" i="4"/>
  <c r="AC67" i="4"/>
  <c r="Z67" i="4"/>
  <c r="Y67" i="4"/>
  <c r="W67" i="4"/>
  <c r="V67" i="4"/>
  <c r="U67" i="4"/>
  <c r="T67" i="4"/>
  <c r="R67" i="4"/>
  <c r="S67" i="4" s="1"/>
  <c r="Q67" i="4"/>
  <c r="O67" i="4"/>
  <c r="N67" i="4"/>
  <c r="M67" i="4"/>
  <c r="J67" i="4"/>
  <c r="I67" i="4"/>
  <c r="L67" i="4" s="1"/>
  <c r="H67" i="4"/>
  <c r="G67" i="4"/>
  <c r="F67" i="4"/>
  <c r="E67" i="4"/>
  <c r="C67" i="4"/>
  <c r="P67" i="4" s="1"/>
  <c r="B67" i="4"/>
  <c r="A67" i="4"/>
  <c r="AF66" i="4"/>
  <c r="AE66" i="4"/>
  <c r="AD66" i="4"/>
  <c r="AC66" i="4"/>
  <c r="Y66" i="4"/>
  <c r="W66" i="4"/>
  <c r="V66" i="4"/>
  <c r="U66" i="4"/>
  <c r="Q66" i="4"/>
  <c r="O66" i="4"/>
  <c r="N66" i="4"/>
  <c r="M66" i="4"/>
  <c r="I66" i="4"/>
  <c r="H66" i="4"/>
  <c r="G66" i="4"/>
  <c r="F66" i="4"/>
  <c r="E66" i="4"/>
  <c r="C66" i="4"/>
  <c r="P66" i="4" s="1"/>
  <c r="B66" i="4"/>
  <c r="A66" i="4"/>
  <c r="AF65" i="4"/>
  <c r="AE65" i="4"/>
  <c r="AD65" i="4"/>
  <c r="AC65" i="4"/>
  <c r="Z65" i="4"/>
  <c r="Y65" i="4"/>
  <c r="W65" i="4"/>
  <c r="V65" i="4"/>
  <c r="U65" i="4"/>
  <c r="S65" i="4"/>
  <c r="R65" i="4"/>
  <c r="Q65" i="4"/>
  <c r="P65" i="4"/>
  <c r="O65" i="4"/>
  <c r="N65" i="4"/>
  <c r="M65" i="4"/>
  <c r="J65" i="4"/>
  <c r="I65" i="4"/>
  <c r="H65" i="4"/>
  <c r="G65" i="4"/>
  <c r="F65" i="4"/>
  <c r="E65" i="4"/>
  <c r="C65" i="4"/>
  <c r="X65" i="4" s="1"/>
  <c r="B65" i="4"/>
  <c r="A65" i="4"/>
  <c r="AF64" i="4"/>
  <c r="AE64" i="4"/>
  <c r="AD64" i="4"/>
  <c r="AC64" i="4"/>
  <c r="Z64" i="4"/>
  <c r="AA64" i="4" s="1"/>
  <c r="Y64" i="4"/>
  <c r="X64" i="4"/>
  <c r="W64" i="4"/>
  <c r="V64" i="4"/>
  <c r="U64" i="4"/>
  <c r="Q64" i="4"/>
  <c r="T64" i="4" s="1"/>
  <c r="O64" i="4"/>
  <c r="N64" i="4"/>
  <c r="M64" i="4"/>
  <c r="L64" i="4"/>
  <c r="I64" i="4"/>
  <c r="H64" i="4"/>
  <c r="G64" i="4"/>
  <c r="F64" i="4"/>
  <c r="E64" i="4"/>
  <c r="C64" i="4"/>
  <c r="B64" i="4"/>
  <c r="A64" i="4"/>
  <c r="AF63" i="4"/>
  <c r="AE63" i="4"/>
  <c r="AD63" i="4"/>
  <c r="AC63" i="4"/>
  <c r="Z63" i="4"/>
  <c r="AA63" i="4" s="1"/>
  <c r="Y63" i="4"/>
  <c r="W63" i="4"/>
  <c r="V63" i="4"/>
  <c r="U63" i="4"/>
  <c r="S63" i="4"/>
  <c r="R63" i="4"/>
  <c r="Q63" i="4"/>
  <c r="O63" i="4"/>
  <c r="N63" i="4"/>
  <c r="M63" i="4"/>
  <c r="I63" i="4"/>
  <c r="H63" i="4"/>
  <c r="G63" i="4"/>
  <c r="F63" i="4"/>
  <c r="E63" i="4"/>
  <c r="D63" i="4"/>
  <c r="C63" i="4"/>
  <c r="X63" i="4" s="1"/>
  <c r="B63" i="4"/>
  <c r="A63" i="4"/>
  <c r="AF62" i="4"/>
  <c r="AE62" i="4"/>
  <c r="AD62" i="4"/>
  <c r="AC62" i="4"/>
  <c r="AB62" i="4"/>
  <c r="Y62" i="4"/>
  <c r="W62" i="4"/>
  <c r="V62" i="4"/>
  <c r="U62" i="4"/>
  <c r="Q62" i="4"/>
  <c r="O62" i="4"/>
  <c r="N62" i="4"/>
  <c r="M62" i="4"/>
  <c r="I62" i="4"/>
  <c r="H62" i="4"/>
  <c r="G62" i="4"/>
  <c r="F62" i="4"/>
  <c r="E62" i="4"/>
  <c r="C62" i="4"/>
  <c r="B62" i="4"/>
  <c r="A62" i="4"/>
  <c r="AF61" i="4"/>
  <c r="AE61" i="4"/>
  <c r="AD61" i="4"/>
  <c r="AC61" i="4"/>
  <c r="Z61" i="4"/>
  <c r="Y61" i="4"/>
  <c r="W61" i="4"/>
  <c r="V61" i="4"/>
  <c r="U61" i="4"/>
  <c r="T61" i="4"/>
  <c r="R61" i="4"/>
  <c r="S61" i="4" s="1"/>
  <c r="Q61" i="4"/>
  <c r="O61" i="4"/>
  <c r="N61" i="4"/>
  <c r="M61" i="4"/>
  <c r="J61" i="4"/>
  <c r="I61" i="4"/>
  <c r="H61" i="4"/>
  <c r="G61" i="4"/>
  <c r="F61" i="4"/>
  <c r="E61" i="4"/>
  <c r="C61" i="4"/>
  <c r="P61" i="4" s="1"/>
  <c r="B61" i="4"/>
  <c r="A61" i="4"/>
  <c r="AF60" i="4"/>
  <c r="AE60" i="4"/>
  <c r="AD60" i="4"/>
  <c r="AC60" i="4"/>
  <c r="Z60" i="4"/>
  <c r="Y60" i="4"/>
  <c r="W60" i="4"/>
  <c r="V60" i="4"/>
  <c r="U60" i="4"/>
  <c r="R60" i="4"/>
  <c r="S60" i="4" s="1"/>
  <c r="Q60" i="4"/>
  <c r="P60" i="4"/>
  <c r="O60" i="4"/>
  <c r="N60" i="4"/>
  <c r="M60" i="4"/>
  <c r="J60" i="4"/>
  <c r="K60" i="4" s="1"/>
  <c r="I60" i="4"/>
  <c r="H60" i="4"/>
  <c r="G60" i="4"/>
  <c r="F60" i="4"/>
  <c r="E60" i="4"/>
  <c r="C60" i="4"/>
  <c r="X60" i="4" s="1"/>
  <c r="B60" i="4"/>
  <c r="A60" i="4"/>
  <c r="AF59" i="4"/>
  <c r="AE59" i="4"/>
  <c r="AD59" i="4"/>
  <c r="AC59" i="4"/>
  <c r="Z59" i="4"/>
  <c r="Y59" i="4"/>
  <c r="W59" i="4"/>
  <c r="V59" i="4"/>
  <c r="U59" i="4"/>
  <c r="R59" i="4"/>
  <c r="S59" i="4" s="1"/>
  <c r="Q59" i="4"/>
  <c r="P59" i="4"/>
  <c r="O59" i="4"/>
  <c r="N59" i="4"/>
  <c r="M59" i="4"/>
  <c r="J59" i="4"/>
  <c r="I59" i="4"/>
  <c r="L59" i="4" s="1"/>
  <c r="H59" i="4"/>
  <c r="G59" i="4"/>
  <c r="F59" i="4"/>
  <c r="E59" i="4"/>
  <c r="C59" i="4"/>
  <c r="X59" i="4" s="1"/>
  <c r="B59" i="4"/>
  <c r="A59" i="4"/>
  <c r="AF58" i="4"/>
  <c r="AE58" i="4"/>
  <c r="AD58" i="4"/>
  <c r="AC58" i="4"/>
  <c r="Z58" i="4"/>
  <c r="AA58" i="4" s="1"/>
  <c r="Y58" i="4"/>
  <c r="W58" i="4"/>
  <c r="V58" i="4"/>
  <c r="U58" i="4"/>
  <c r="Q58" i="4"/>
  <c r="O58" i="4"/>
  <c r="N58" i="4"/>
  <c r="M58" i="4"/>
  <c r="L58" i="4"/>
  <c r="I58" i="4"/>
  <c r="H58" i="4"/>
  <c r="G58" i="4"/>
  <c r="F58" i="4"/>
  <c r="E58" i="4"/>
  <c r="C58" i="4"/>
  <c r="B58" i="4"/>
  <c r="A58" i="4"/>
  <c r="AF57" i="4"/>
  <c r="AE57" i="4"/>
  <c r="AD57" i="4"/>
  <c r="AC57" i="4"/>
  <c r="Z57" i="4"/>
  <c r="AA57" i="4" s="1"/>
  <c r="Y57" i="4"/>
  <c r="W57" i="4"/>
  <c r="V57" i="4"/>
  <c r="U57" i="4"/>
  <c r="R57" i="4"/>
  <c r="S57" i="4" s="1"/>
  <c r="Q57" i="4"/>
  <c r="T57" i="4" s="1"/>
  <c r="O57" i="4"/>
  <c r="N57" i="4"/>
  <c r="M57" i="4"/>
  <c r="I57" i="4"/>
  <c r="H57" i="4"/>
  <c r="G57" i="4"/>
  <c r="F57" i="4"/>
  <c r="E57" i="4"/>
  <c r="D57" i="4"/>
  <c r="C57" i="4"/>
  <c r="X57" i="4" s="1"/>
  <c r="B57" i="4"/>
  <c r="A57" i="4"/>
  <c r="AF56" i="4"/>
  <c r="AE56" i="4"/>
  <c r="AD56" i="4"/>
  <c r="AC56" i="4"/>
  <c r="AA56" i="4"/>
  <c r="Z56" i="4"/>
  <c r="Y56" i="4"/>
  <c r="X56" i="4"/>
  <c r="W56" i="4"/>
  <c r="V56" i="4"/>
  <c r="U56" i="4"/>
  <c r="Q56" i="4"/>
  <c r="P56" i="4"/>
  <c r="O56" i="4"/>
  <c r="N56" i="4"/>
  <c r="M56" i="4"/>
  <c r="I56" i="4"/>
  <c r="H56" i="4"/>
  <c r="G56" i="4"/>
  <c r="F56" i="4"/>
  <c r="E56" i="4"/>
  <c r="C56" i="4"/>
  <c r="B56" i="4"/>
  <c r="A56" i="4"/>
  <c r="AB56" i="4" s="1"/>
  <c r="AF55" i="4"/>
  <c r="AE55" i="4"/>
  <c r="AD55" i="4"/>
  <c r="AC55" i="4"/>
  <c r="Y55" i="4"/>
  <c r="W55" i="4"/>
  <c r="V55" i="4"/>
  <c r="U55" i="4"/>
  <c r="T55" i="4"/>
  <c r="Q55" i="4"/>
  <c r="O55" i="4"/>
  <c r="N55" i="4"/>
  <c r="M55" i="4"/>
  <c r="I55" i="4"/>
  <c r="L55" i="4" s="1"/>
  <c r="H55" i="4"/>
  <c r="G55" i="4"/>
  <c r="F55" i="4"/>
  <c r="E55" i="4"/>
  <c r="C55" i="4"/>
  <c r="B55" i="4"/>
  <c r="A55" i="4"/>
  <c r="D55" i="4" s="1"/>
  <c r="AF54" i="4"/>
  <c r="AE54" i="4"/>
  <c r="AD54" i="4"/>
  <c r="AC54" i="4"/>
  <c r="Y54" i="4"/>
  <c r="X54" i="4"/>
  <c r="W54" i="4"/>
  <c r="V54" i="4"/>
  <c r="U54" i="4"/>
  <c r="T54" i="4"/>
  <c r="R54" i="4"/>
  <c r="S54" i="4" s="1"/>
  <c r="Q54" i="4"/>
  <c r="P54" i="4"/>
  <c r="O54" i="4"/>
  <c r="N54" i="4"/>
  <c r="M54" i="4"/>
  <c r="L54" i="4"/>
  <c r="I54" i="4"/>
  <c r="H54" i="4"/>
  <c r="G54" i="4"/>
  <c r="F54" i="4"/>
  <c r="E54" i="4"/>
  <c r="D54" i="4"/>
  <c r="C54" i="4"/>
  <c r="Z54" i="4" s="1"/>
  <c r="B54" i="4"/>
  <c r="A54" i="4"/>
  <c r="AF53" i="4"/>
  <c r="AE53" i="4"/>
  <c r="AD53" i="4"/>
  <c r="AC53" i="4"/>
  <c r="AA53" i="4"/>
  <c r="Z53" i="4"/>
  <c r="Y53" i="4"/>
  <c r="X53" i="4"/>
  <c r="W53" i="4"/>
  <c r="V53" i="4"/>
  <c r="U53" i="4"/>
  <c r="Q53" i="4"/>
  <c r="O53" i="4"/>
  <c r="N53" i="4"/>
  <c r="M53" i="4"/>
  <c r="I53" i="4"/>
  <c r="H53" i="4"/>
  <c r="G53" i="4"/>
  <c r="F53" i="4"/>
  <c r="E53" i="4"/>
  <c r="C53" i="4"/>
  <c r="B53" i="4"/>
  <c r="A53" i="4"/>
  <c r="AB53" i="4" s="1"/>
  <c r="AF52" i="4"/>
  <c r="AE52" i="4"/>
  <c r="AD52" i="4"/>
  <c r="AC52" i="4"/>
  <c r="Y52" i="4"/>
  <c r="W52" i="4"/>
  <c r="V52" i="4"/>
  <c r="U52" i="4"/>
  <c r="T52" i="4"/>
  <c r="Q52" i="4"/>
  <c r="P52" i="4"/>
  <c r="O52" i="4"/>
  <c r="N52" i="4"/>
  <c r="M52" i="4"/>
  <c r="I52" i="4"/>
  <c r="H52" i="4"/>
  <c r="G52" i="4"/>
  <c r="F52" i="4"/>
  <c r="E52" i="4"/>
  <c r="D52" i="4"/>
  <c r="C52" i="4"/>
  <c r="B52" i="4"/>
  <c r="A52" i="4"/>
  <c r="AF51" i="4"/>
  <c r="AE51" i="4"/>
  <c r="AD51" i="4"/>
  <c r="AC51" i="4"/>
  <c r="Y51" i="4"/>
  <c r="X51" i="4"/>
  <c r="W51" i="4"/>
  <c r="V51" i="4"/>
  <c r="U51" i="4"/>
  <c r="R51" i="4"/>
  <c r="Q51" i="4"/>
  <c r="T51" i="4" s="1"/>
  <c r="O51" i="4"/>
  <c r="N51" i="4"/>
  <c r="M51" i="4"/>
  <c r="I51" i="4"/>
  <c r="L51" i="4" s="1"/>
  <c r="H51" i="4"/>
  <c r="G51" i="4"/>
  <c r="F51" i="4"/>
  <c r="E51" i="4"/>
  <c r="D51" i="4"/>
  <c r="C51" i="4"/>
  <c r="B51" i="4"/>
  <c r="A51" i="4"/>
  <c r="AF50" i="4"/>
  <c r="AE50" i="4"/>
  <c r="AD50" i="4"/>
  <c r="AC50" i="4"/>
  <c r="Y50" i="4"/>
  <c r="AB50" i="4" s="1"/>
  <c r="X50" i="4"/>
  <c r="W50" i="4"/>
  <c r="V50" i="4"/>
  <c r="U50" i="4"/>
  <c r="T50" i="4"/>
  <c r="Q50" i="4"/>
  <c r="O50" i="4"/>
  <c r="N50" i="4"/>
  <c r="M50" i="4"/>
  <c r="L50" i="4"/>
  <c r="I50" i="4"/>
  <c r="H50" i="4"/>
  <c r="G50" i="4"/>
  <c r="F50" i="4"/>
  <c r="E50" i="4"/>
  <c r="D50" i="4"/>
  <c r="C50" i="4"/>
  <c r="B50" i="4"/>
  <c r="A50" i="4"/>
  <c r="AF49" i="4"/>
  <c r="AE49" i="4"/>
  <c r="AD49" i="4"/>
  <c r="AC49" i="4"/>
  <c r="Y49" i="4"/>
  <c r="AB49" i="4" s="1"/>
  <c r="X49" i="4"/>
  <c r="W49" i="4"/>
  <c r="V49" i="4"/>
  <c r="U49" i="4"/>
  <c r="Q49" i="4"/>
  <c r="P49" i="4"/>
  <c r="O49" i="4"/>
  <c r="N49" i="4"/>
  <c r="M49" i="4"/>
  <c r="J49" i="4"/>
  <c r="K49" i="4" s="1"/>
  <c r="I49" i="4"/>
  <c r="L49" i="4" s="1"/>
  <c r="H49" i="4"/>
  <c r="G49" i="4"/>
  <c r="F49" i="4"/>
  <c r="E49" i="4"/>
  <c r="D49" i="4"/>
  <c r="C49" i="4"/>
  <c r="B49" i="4"/>
  <c r="A49" i="4"/>
  <c r="AF48" i="4"/>
  <c r="AE48" i="4"/>
  <c r="AD48" i="4"/>
  <c r="AC48" i="4"/>
  <c r="Y48" i="4"/>
  <c r="X48" i="4"/>
  <c r="W48" i="4"/>
  <c r="V48" i="4"/>
  <c r="U48" i="4"/>
  <c r="T48" i="4"/>
  <c r="Q48" i="4"/>
  <c r="O48" i="4"/>
  <c r="N48" i="4"/>
  <c r="M48" i="4"/>
  <c r="L48" i="4"/>
  <c r="I48" i="4"/>
  <c r="H48" i="4"/>
  <c r="G48" i="4"/>
  <c r="F48" i="4"/>
  <c r="E48" i="4"/>
  <c r="D48" i="4"/>
  <c r="C48" i="4"/>
  <c r="B48" i="4"/>
  <c r="A48" i="4"/>
  <c r="AF47" i="4"/>
  <c r="AE47" i="4"/>
  <c r="AD47" i="4"/>
  <c r="AC47" i="4"/>
  <c r="AB47" i="4"/>
  <c r="AA47" i="4"/>
  <c r="Z47" i="4"/>
  <c r="Y47" i="4"/>
  <c r="X47" i="4"/>
  <c r="W47" i="4"/>
  <c r="V47" i="4"/>
  <c r="U47" i="4"/>
  <c r="Q47" i="4"/>
  <c r="O47" i="4"/>
  <c r="N47" i="4"/>
  <c r="M47" i="4"/>
  <c r="L47" i="4"/>
  <c r="I47" i="4"/>
  <c r="H47" i="4"/>
  <c r="G47" i="4"/>
  <c r="F47" i="4"/>
  <c r="E47" i="4"/>
  <c r="C47" i="4"/>
  <c r="B47" i="4"/>
  <c r="A47" i="4"/>
  <c r="AF46" i="4"/>
  <c r="AE46" i="4"/>
  <c r="AD46" i="4"/>
  <c r="AC46" i="4"/>
  <c r="Y46" i="4"/>
  <c r="W46" i="4"/>
  <c r="V46" i="4"/>
  <c r="U46" i="4"/>
  <c r="T46" i="4"/>
  <c r="Q46" i="4"/>
  <c r="O46" i="4"/>
  <c r="N46" i="4"/>
  <c r="M46" i="4"/>
  <c r="I46" i="4"/>
  <c r="H46" i="4"/>
  <c r="G46" i="4"/>
  <c r="F46" i="4"/>
  <c r="E46" i="4"/>
  <c r="D46" i="4"/>
  <c r="C46" i="4"/>
  <c r="P46" i="4" s="1"/>
  <c r="B46" i="4"/>
  <c r="A46" i="4"/>
  <c r="AF45" i="4"/>
  <c r="AE45" i="4"/>
  <c r="AD45" i="4"/>
  <c r="AC45" i="4"/>
  <c r="Y45" i="4"/>
  <c r="X45" i="4"/>
  <c r="W45" i="4"/>
  <c r="V45" i="4"/>
  <c r="U45" i="4"/>
  <c r="R45" i="4"/>
  <c r="Q45" i="4"/>
  <c r="T45" i="4" s="1"/>
  <c r="O45" i="4"/>
  <c r="N45" i="4"/>
  <c r="M45" i="4"/>
  <c r="I45" i="4"/>
  <c r="L45" i="4" s="1"/>
  <c r="H45" i="4"/>
  <c r="G45" i="4"/>
  <c r="F45" i="4"/>
  <c r="E45" i="4"/>
  <c r="D45" i="4"/>
  <c r="C45" i="4"/>
  <c r="B45" i="4"/>
  <c r="A45" i="4"/>
  <c r="AF44" i="4"/>
  <c r="AE44" i="4"/>
  <c r="AD44" i="4"/>
  <c r="AC44" i="4"/>
  <c r="Y44" i="4"/>
  <c r="AB44" i="4" s="1"/>
  <c r="X44" i="4"/>
  <c r="W44" i="4"/>
  <c r="V44" i="4"/>
  <c r="U44" i="4"/>
  <c r="T44" i="4"/>
  <c r="Q44" i="4"/>
  <c r="O44" i="4"/>
  <c r="N44" i="4"/>
  <c r="M44" i="4"/>
  <c r="L44" i="4"/>
  <c r="I44" i="4"/>
  <c r="H44" i="4"/>
  <c r="G44" i="4"/>
  <c r="F44" i="4"/>
  <c r="E44" i="4"/>
  <c r="D44" i="4"/>
  <c r="C44" i="4"/>
  <c r="B44" i="4"/>
  <c r="A44" i="4"/>
  <c r="AF43" i="4"/>
  <c r="AE43" i="4"/>
  <c r="AD43" i="4"/>
  <c r="AC43" i="4"/>
  <c r="Y43" i="4"/>
  <c r="X43" i="4"/>
  <c r="W43" i="4"/>
  <c r="V43" i="4"/>
  <c r="U43" i="4"/>
  <c r="Q43" i="4"/>
  <c r="P43" i="4"/>
  <c r="O43" i="4"/>
  <c r="N43" i="4"/>
  <c r="M43" i="4"/>
  <c r="J43" i="4"/>
  <c r="K43" i="4" s="1"/>
  <c r="I43" i="4"/>
  <c r="L43" i="4" s="1"/>
  <c r="H43" i="4"/>
  <c r="G43" i="4"/>
  <c r="F43" i="4"/>
  <c r="E43" i="4"/>
  <c r="D43" i="4"/>
  <c r="C43" i="4"/>
  <c r="B43" i="4"/>
  <c r="A43" i="4"/>
  <c r="AF42" i="4"/>
  <c r="AE42" i="4"/>
  <c r="AD42" i="4"/>
  <c r="AC42" i="4"/>
  <c r="Y42" i="4"/>
  <c r="X42" i="4"/>
  <c r="W42" i="4"/>
  <c r="V42" i="4"/>
  <c r="U42" i="4"/>
  <c r="T42" i="4"/>
  <c r="Q42" i="4"/>
  <c r="O42" i="4"/>
  <c r="N42" i="4"/>
  <c r="M42" i="4"/>
  <c r="I42" i="4"/>
  <c r="L42" i="4" s="1"/>
  <c r="H42" i="4"/>
  <c r="G42" i="4"/>
  <c r="F42" i="4"/>
  <c r="E42" i="4"/>
  <c r="D42" i="4"/>
  <c r="C42" i="4"/>
  <c r="B42" i="4"/>
  <c r="A42" i="4"/>
  <c r="AF41" i="4"/>
  <c r="AE41" i="4"/>
  <c r="AD41" i="4"/>
  <c r="AC41" i="4"/>
  <c r="AB41" i="4"/>
  <c r="Y41" i="4"/>
  <c r="W41" i="4"/>
  <c r="V41" i="4"/>
  <c r="U41" i="4"/>
  <c r="Q41" i="4"/>
  <c r="O41" i="4"/>
  <c r="N41" i="4"/>
  <c r="M41" i="4"/>
  <c r="I41" i="4"/>
  <c r="H41" i="4"/>
  <c r="G41" i="4"/>
  <c r="F41" i="4"/>
  <c r="E41" i="4"/>
  <c r="C41" i="4"/>
  <c r="P41" i="4" s="1"/>
  <c r="B41" i="4"/>
  <c r="A41" i="4"/>
  <c r="AF40" i="4"/>
  <c r="AE40" i="4"/>
  <c r="AD40" i="4"/>
  <c r="AC40" i="4"/>
  <c r="Y40" i="4"/>
  <c r="X40" i="4"/>
  <c r="W40" i="4"/>
  <c r="V40" i="4"/>
  <c r="U40" i="4"/>
  <c r="Q40" i="4"/>
  <c r="T40" i="4" s="1"/>
  <c r="O40" i="4"/>
  <c r="N40" i="4"/>
  <c r="M40" i="4"/>
  <c r="J40" i="4"/>
  <c r="I40" i="4"/>
  <c r="H40" i="4"/>
  <c r="G40" i="4"/>
  <c r="K40" i="4" s="1"/>
  <c r="F40" i="4"/>
  <c r="E40" i="4"/>
  <c r="D40" i="4"/>
  <c r="C40" i="4"/>
  <c r="B40" i="4"/>
  <c r="A40" i="4"/>
  <c r="AF39" i="4"/>
  <c r="AE39" i="4"/>
  <c r="AD39" i="4"/>
  <c r="AC39" i="4"/>
  <c r="Y39" i="4"/>
  <c r="AB39" i="4" s="1"/>
  <c r="X39" i="4"/>
  <c r="W39" i="4"/>
  <c r="V39" i="4"/>
  <c r="U39" i="4"/>
  <c r="Q39" i="4"/>
  <c r="O39" i="4"/>
  <c r="N39" i="4"/>
  <c r="M39" i="4"/>
  <c r="I39" i="4"/>
  <c r="L39" i="4" s="1"/>
  <c r="H39" i="4"/>
  <c r="G39" i="4"/>
  <c r="F39" i="4"/>
  <c r="E39" i="4"/>
  <c r="C39" i="4"/>
  <c r="R39" i="4" s="1"/>
  <c r="S39" i="4" s="1"/>
  <c r="B39" i="4"/>
  <c r="A39" i="4"/>
  <c r="T39" i="4" s="1"/>
  <c r="AF38" i="4"/>
  <c r="AE38" i="4"/>
  <c r="AD38" i="4"/>
  <c r="AC38" i="4"/>
  <c r="AB38" i="4"/>
  <c r="Y38" i="4"/>
  <c r="W38" i="4"/>
  <c r="V38" i="4"/>
  <c r="U38" i="4"/>
  <c r="Q38" i="4"/>
  <c r="T38" i="4" s="1"/>
  <c r="O38" i="4"/>
  <c r="N38" i="4"/>
  <c r="M38" i="4"/>
  <c r="I38" i="4"/>
  <c r="L38" i="4" s="1"/>
  <c r="H38" i="4"/>
  <c r="G38" i="4"/>
  <c r="F38" i="4"/>
  <c r="E38" i="4"/>
  <c r="D38" i="4"/>
  <c r="C38" i="4"/>
  <c r="B38" i="4"/>
  <c r="A38" i="4"/>
  <c r="AF37" i="4"/>
  <c r="AE37" i="4"/>
  <c r="AD37" i="4"/>
  <c r="AC37" i="4"/>
  <c r="Y37" i="4"/>
  <c r="X37" i="4"/>
  <c r="W37" i="4"/>
  <c r="AA37" i="4" s="1"/>
  <c r="V37" i="4"/>
  <c r="U37" i="4"/>
  <c r="R37" i="4"/>
  <c r="S37" i="4" s="1"/>
  <c r="Q37" i="4"/>
  <c r="O37" i="4"/>
  <c r="N37" i="4"/>
  <c r="M37" i="4"/>
  <c r="J37" i="4"/>
  <c r="K37" i="4" s="1"/>
  <c r="I37" i="4"/>
  <c r="L37" i="4" s="1"/>
  <c r="H37" i="4"/>
  <c r="G37" i="4"/>
  <c r="F37" i="4"/>
  <c r="E37" i="4"/>
  <c r="C37" i="4"/>
  <c r="Z37" i="4" s="1"/>
  <c r="B37" i="4"/>
  <c r="A37" i="4"/>
  <c r="AF36" i="4"/>
  <c r="AE36" i="4"/>
  <c r="AD36" i="4"/>
  <c r="AC36" i="4"/>
  <c r="Z36" i="4"/>
  <c r="Y36" i="4"/>
  <c r="X36" i="4"/>
  <c r="W36" i="4"/>
  <c r="V36" i="4"/>
  <c r="U36" i="4"/>
  <c r="R36" i="4"/>
  <c r="S36" i="4" s="1"/>
  <c r="Q36" i="4"/>
  <c r="O36" i="4"/>
  <c r="N36" i="4"/>
  <c r="M36" i="4"/>
  <c r="L36" i="4"/>
  <c r="K36" i="4"/>
  <c r="I36" i="4"/>
  <c r="H36" i="4"/>
  <c r="G36" i="4"/>
  <c r="F36" i="4"/>
  <c r="E36" i="4"/>
  <c r="C36" i="4"/>
  <c r="J36" i="4" s="1"/>
  <c r="B36" i="4"/>
  <c r="A36" i="4"/>
  <c r="T36" i="4" s="1"/>
  <c r="AF35" i="4"/>
  <c r="AE35" i="4"/>
  <c r="AD35" i="4"/>
  <c r="AC35" i="4"/>
  <c r="Y35" i="4"/>
  <c r="W35" i="4"/>
  <c r="V35" i="4"/>
  <c r="U35" i="4"/>
  <c r="Q35" i="4"/>
  <c r="T35" i="4" s="1"/>
  <c r="O35" i="4"/>
  <c r="N35" i="4"/>
  <c r="M35" i="4"/>
  <c r="I35" i="4"/>
  <c r="H35" i="4"/>
  <c r="G35" i="4"/>
  <c r="F35" i="4"/>
  <c r="E35" i="4"/>
  <c r="D35" i="4"/>
  <c r="C35" i="4"/>
  <c r="B35" i="4"/>
  <c r="A35" i="4"/>
  <c r="AF34" i="4"/>
  <c r="AE34" i="4"/>
  <c r="AD34" i="4"/>
  <c r="AC34" i="4"/>
  <c r="Y34" i="4"/>
  <c r="X34" i="4"/>
  <c r="W34" i="4"/>
  <c r="V34" i="4"/>
  <c r="U34" i="4"/>
  <c r="Q34" i="4"/>
  <c r="O34" i="4"/>
  <c r="N34" i="4"/>
  <c r="M34" i="4"/>
  <c r="J34" i="4"/>
  <c r="K34" i="4" s="1"/>
  <c r="I34" i="4"/>
  <c r="L34" i="4" s="1"/>
  <c r="H34" i="4"/>
  <c r="G34" i="4"/>
  <c r="F34" i="4"/>
  <c r="E34" i="4"/>
  <c r="C34" i="4"/>
  <c r="B34" i="4"/>
  <c r="A34" i="4"/>
  <c r="D34" i="4" s="1"/>
  <c r="AF33" i="4"/>
  <c r="AE33" i="4"/>
  <c r="AD33" i="4"/>
  <c r="AC33" i="4"/>
  <c r="Y33" i="4"/>
  <c r="W33" i="4"/>
  <c r="V33" i="4"/>
  <c r="U33" i="4"/>
  <c r="Q33" i="4"/>
  <c r="P33" i="4"/>
  <c r="O33" i="4"/>
  <c r="N33" i="4"/>
  <c r="M33" i="4"/>
  <c r="I33" i="4"/>
  <c r="H33" i="4"/>
  <c r="G33" i="4"/>
  <c r="F33" i="4"/>
  <c r="E33" i="4"/>
  <c r="C33" i="4"/>
  <c r="B33" i="4"/>
  <c r="A33" i="4"/>
  <c r="AF32" i="4"/>
  <c r="AE32" i="4"/>
  <c r="AD32" i="4"/>
  <c r="AC32" i="4"/>
  <c r="Z32" i="4"/>
  <c r="AA32" i="4" s="1"/>
  <c r="Y32" i="4"/>
  <c r="X32" i="4"/>
  <c r="W32" i="4"/>
  <c r="V32" i="4"/>
  <c r="U32" i="4"/>
  <c r="Q32" i="4"/>
  <c r="O32" i="4"/>
  <c r="N32" i="4"/>
  <c r="M32" i="4"/>
  <c r="J32" i="4"/>
  <c r="K32" i="4" s="1"/>
  <c r="I32" i="4"/>
  <c r="H32" i="4"/>
  <c r="G32" i="4"/>
  <c r="F32" i="4"/>
  <c r="E32" i="4"/>
  <c r="C32" i="4"/>
  <c r="R32" i="4" s="1"/>
  <c r="S32" i="4" s="1"/>
  <c r="B32" i="4"/>
  <c r="A32" i="4"/>
  <c r="T32" i="4" s="1"/>
  <c r="AF31" i="4"/>
  <c r="AE31" i="4"/>
  <c r="AD31" i="4"/>
  <c r="AC31" i="4"/>
  <c r="Y31" i="4"/>
  <c r="X31" i="4"/>
  <c r="W31" i="4"/>
  <c r="V31" i="4"/>
  <c r="U31" i="4"/>
  <c r="Q31" i="4"/>
  <c r="T31" i="4" s="1"/>
  <c r="O31" i="4"/>
  <c r="N31" i="4"/>
  <c r="M31" i="4"/>
  <c r="L31" i="4"/>
  <c r="I31" i="4"/>
  <c r="H31" i="4"/>
  <c r="G31" i="4"/>
  <c r="F31" i="4"/>
  <c r="E31" i="4"/>
  <c r="D31" i="4"/>
  <c r="C31" i="4"/>
  <c r="Z31" i="4" s="1"/>
  <c r="AA31" i="4" s="1"/>
  <c r="B31" i="4"/>
  <c r="A31" i="4"/>
  <c r="AF30" i="4"/>
  <c r="AE30" i="4"/>
  <c r="AD30" i="4"/>
  <c r="AC30" i="4"/>
  <c r="Y30" i="4"/>
  <c r="X30" i="4"/>
  <c r="W30" i="4"/>
  <c r="V30" i="4"/>
  <c r="U30" i="4"/>
  <c r="T30" i="4"/>
  <c r="Q30" i="4"/>
  <c r="O30" i="4"/>
  <c r="N30" i="4"/>
  <c r="M30" i="4"/>
  <c r="L30" i="4"/>
  <c r="I30" i="4"/>
  <c r="H30" i="4"/>
  <c r="G30" i="4"/>
  <c r="K30" i="4" s="1"/>
  <c r="F30" i="4"/>
  <c r="E30" i="4"/>
  <c r="C30" i="4"/>
  <c r="J30" i="4" s="1"/>
  <c r="B30" i="4"/>
  <c r="A30" i="4"/>
  <c r="D30" i="4" s="1"/>
  <c r="AF29" i="4"/>
  <c r="AE29" i="4"/>
  <c r="AD29" i="4"/>
  <c r="AC29" i="4"/>
  <c r="AA29" i="4"/>
  <c r="Z29" i="4"/>
  <c r="Y29" i="4"/>
  <c r="X29" i="4"/>
  <c r="W29" i="4"/>
  <c r="V29" i="4"/>
  <c r="U29" i="4"/>
  <c r="S29" i="4"/>
  <c r="Q29" i="4"/>
  <c r="O29" i="4"/>
  <c r="N29" i="4"/>
  <c r="M29" i="4"/>
  <c r="J29" i="4"/>
  <c r="K29" i="4" s="1"/>
  <c r="I29" i="4"/>
  <c r="H29" i="4"/>
  <c r="G29" i="4"/>
  <c r="F29" i="4"/>
  <c r="E29" i="4"/>
  <c r="C29" i="4"/>
  <c r="R29" i="4" s="1"/>
  <c r="B29" i="4"/>
  <c r="A29" i="4"/>
  <c r="AF28" i="4"/>
  <c r="AE28" i="4"/>
  <c r="AD28" i="4"/>
  <c r="AC28" i="4"/>
  <c r="Y28" i="4"/>
  <c r="X28" i="4"/>
  <c r="W28" i="4"/>
  <c r="V28" i="4"/>
  <c r="U28" i="4"/>
  <c r="T28" i="4"/>
  <c r="R28" i="4"/>
  <c r="S28" i="4" s="1"/>
  <c r="Q28" i="4"/>
  <c r="P28" i="4"/>
  <c r="O28" i="4"/>
  <c r="N28" i="4"/>
  <c r="M28" i="4"/>
  <c r="I28" i="4"/>
  <c r="L28" i="4" s="1"/>
  <c r="H28" i="4"/>
  <c r="G28" i="4"/>
  <c r="F28" i="4"/>
  <c r="E28" i="4"/>
  <c r="D28" i="4"/>
  <c r="C28" i="4"/>
  <c r="B28" i="4"/>
  <c r="A28" i="4"/>
  <c r="AB28" i="4" s="1"/>
  <c r="AF27" i="4"/>
  <c r="AE27" i="4"/>
  <c r="AD27" i="4"/>
  <c r="AC27" i="4"/>
  <c r="Z27" i="4"/>
  <c r="AA27" i="4" s="1"/>
  <c r="Y27" i="4"/>
  <c r="X27" i="4"/>
  <c r="W27" i="4"/>
  <c r="V27" i="4"/>
  <c r="U27" i="4"/>
  <c r="Q27" i="4"/>
  <c r="O27" i="4"/>
  <c r="N27" i="4"/>
  <c r="M27" i="4"/>
  <c r="I27" i="4"/>
  <c r="L27" i="4" s="1"/>
  <c r="H27" i="4"/>
  <c r="G27" i="4"/>
  <c r="F27" i="4"/>
  <c r="E27" i="4"/>
  <c r="C27" i="4"/>
  <c r="B27" i="4"/>
  <c r="A27" i="4"/>
  <c r="T27" i="4" s="1"/>
  <c r="AF26" i="4"/>
  <c r="AE26" i="4"/>
  <c r="AD26" i="4"/>
  <c r="AC26" i="4"/>
  <c r="Y26" i="4"/>
  <c r="W26" i="4"/>
  <c r="V26" i="4"/>
  <c r="U26" i="4"/>
  <c r="Q26" i="4"/>
  <c r="T26" i="4" s="1"/>
  <c r="P26" i="4"/>
  <c r="O26" i="4"/>
  <c r="N26" i="4"/>
  <c r="M26" i="4"/>
  <c r="I26" i="4"/>
  <c r="H26" i="4"/>
  <c r="G26" i="4"/>
  <c r="F26" i="4"/>
  <c r="E26" i="4"/>
  <c r="D26" i="4"/>
  <c r="C26" i="4"/>
  <c r="B26" i="4"/>
  <c r="A26" i="4"/>
  <c r="AF25" i="4"/>
  <c r="AE25" i="4"/>
  <c r="AD25" i="4"/>
  <c r="AC25" i="4"/>
  <c r="Y25" i="4"/>
  <c r="X25" i="4"/>
  <c r="W25" i="4"/>
  <c r="AA25" i="4" s="1"/>
  <c r="V25" i="4"/>
  <c r="U25" i="4"/>
  <c r="Q25" i="4"/>
  <c r="O25" i="4"/>
  <c r="N25" i="4"/>
  <c r="M25" i="4"/>
  <c r="J25" i="4"/>
  <c r="K25" i="4" s="1"/>
  <c r="I25" i="4"/>
  <c r="L25" i="4" s="1"/>
  <c r="H25" i="4"/>
  <c r="G25" i="4"/>
  <c r="F25" i="4"/>
  <c r="E25" i="4"/>
  <c r="C25" i="4"/>
  <c r="Z25" i="4" s="1"/>
  <c r="B25" i="4"/>
  <c r="A25" i="4"/>
  <c r="T25" i="4" s="1"/>
  <c r="AF24" i="4"/>
  <c r="AE24" i="4"/>
  <c r="AD24" i="4"/>
  <c r="AC24" i="4"/>
  <c r="Z24" i="4"/>
  <c r="AA24" i="4" s="1"/>
  <c r="Y24" i="4"/>
  <c r="X24" i="4"/>
  <c r="W24" i="4"/>
  <c r="V24" i="4"/>
  <c r="U24" i="4"/>
  <c r="R24" i="4"/>
  <c r="S24" i="4" s="1"/>
  <c r="Q24" i="4"/>
  <c r="O24" i="4"/>
  <c r="N24" i="4"/>
  <c r="M24" i="4"/>
  <c r="L24" i="4"/>
  <c r="J24" i="4"/>
  <c r="K24" i="4" s="1"/>
  <c r="I24" i="4"/>
  <c r="H24" i="4"/>
  <c r="G24" i="4"/>
  <c r="F24" i="4"/>
  <c r="E24" i="4"/>
  <c r="C24" i="4"/>
  <c r="P24" i="4" s="1"/>
  <c r="B24" i="4"/>
  <c r="A24" i="4"/>
  <c r="AF23" i="4"/>
  <c r="AE23" i="4"/>
  <c r="AD23" i="4"/>
  <c r="AC23" i="4"/>
  <c r="Z23" i="4"/>
  <c r="AA23" i="4" s="1"/>
  <c r="Y23" i="4"/>
  <c r="W23" i="4"/>
  <c r="V23" i="4"/>
  <c r="U23" i="4"/>
  <c r="T23" i="4"/>
  <c r="R23" i="4"/>
  <c r="S23" i="4" s="1"/>
  <c r="Q23" i="4"/>
  <c r="P23" i="4"/>
  <c r="O23" i="4"/>
  <c r="N23" i="4"/>
  <c r="M23" i="4"/>
  <c r="J23" i="4"/>
  <c r="I23" i="4"/>
  <c r="H23" i="4"/>
  <c r="G23" i="4"/>
  <c r="F23" i="4"/>
  <c r="E23" i="4"/>
  <c r="D23" i="4"/>
  <c r="C23" i="4"/>
  <c r="X23" i="4" s="1"/>
  <c r="B23" i="4"/>
  <c r="A23" i="4"/>
  <c r="AF22" i="4"/>
  <c r="AE22" i="4"/>
  <c r="AD22" i="4"/>
  <c r="AC22" i="4"/>
  <c r="AA22" i="4"/>
  <c r="Z22" i="4"/>
  <c r="Y22" i="4"/>
  <c r="X22" i="4"/>
  <c r="W22" i="4"/>
  <c r="V22" i="4"/>
  <c r="U22" i="4"/>
  <c r="Q22" i="4"/>
  <c r="O22" i="4"/>
  <c r="N22" i="4"/>
  <c r="M22" i="4"/>
  <c r="L22" i="4"/>
  <c r="K22" i="4"/>
  <c r="J22" i="4"/>
  <c r="I22" i="4"/>
  <c r="H22" i="4"/>
  <c r="G22" i="4"/>
  <c r="F22" i="4"/>
  <c r="E22" i="4"/>
  <c r="C22" i="4"/>
  <c r="R22" i="4" s="1"/>
  <c r="S22" i="4" s="1"/>
  <c r="B22" i="4"/>
  <c r="A22" i="4"/>
  <c r="AF21" i="4"/>
  <c r="AE21" i="4"/>
  <c r="AD21" i="4"/>
  <c r="AC21" i="4"/>
  <c r="Z21" i="4"/>
  <c r="Y21" i="4"/>
  <c r="X21" i="4"/>
  <c r="W21" i="4"/>
  <c r="V21" i="4"/>
  <c r="U21" i="4"/>
  <c r="S21" i="4"/>
  <c r="R21" i="4"/>
  <c r="Q21" i="4"/>
  <c r="T21" i="4" s="1"/>
  <c r="O21" i="4"/>
  <c r="N21" i="4"/>
  <c r="M21" i="4"/>
  <c r="J21" i="4"/>
  <c r="K21" i="4" s="1"/>
  <c r="I21" i="4"/>
  <c r="L21" i="4" s="1"/>
  <c r="H21" i="4"/>
  <c r="G21" i="4"/>
  <c r="F21" i="4"/>
  <c r="E21" i="4"/>
  <c r="C21" i="4"/>
  <c r="P21" i="4" s="1"/>
  <c r="B21" i="4"/>
  <c r="A21" i="4"/>
  <c r="AF20" i="4"/>
  <c r="AE20" i="4"/>
  <c r="AD20" i="4"/>
  <c r="AC20" i="4"/>
  <c r="Z20" i="4"/>
  <c r="AA20" i="4" s="1"/>
  <c r="Y20" i="4"/>
  <c r="W20" i="4"/>
  <c r="V20" i="4"/>
  <c r="U20" i="4"/>
  <c r="Q20" i="4"/>
  <c r="P20" i="4"/>
  <c r="O20" i="4"/>
  <c r="N20" i="4"/>
  <c r="M20" i="4"/>
  <c r="J20" i="4"/>
  <c r="I20" i="4"/>
  <c r="H20" i="4"/>
  <c r="G20" i="4"/>
  <c r="F20" i="4"/>
  <c r="E20" i="4"/>
  <c r="C20" i="4"/>
  <c r="X20" i="4" s="1"/>
  <c r="B20" i="4"/>
  <c r="A20" i="4"/>
  <c r="AF19" i="4"/>
  <c r="AE19" i="4"/>
  <c r="AD19" i="4"/>
  <c r="AC19" i="4"/>
  <c r="Y19" i="4"/>
  <c r="W19" i="4"/>
  <c r="V19" i="4"/>
  <c r="U19" i="4"/>
  <c r="Q19" i="4"/>
  <c r="O19" i="4"/>
  <c r="N19" i="4"/>
  <c r="M19" i="4"/>
  <c r="I19" i="4"/>
  <c r="H19" i="4"/>
  <c r="G19" i="4"/>
  <c r="F19" i="4"/>
  <c r="E19" i="4"/>
  <c r="D19" i="4"/>
  <c r="C19" i="4"/>
  <c r="B19" i="4"/>
  <c r="A19" i="4"/>
  <c r="AF18" i="4"/>
  <c r="AE18" i="4"/>
  <c r="AD18" i="4"/>
  <c r="AC18" i="4"/>
  <c r="Z18" i="4"/>
  <c r="Y18" i="4"/>
  <c r="X18" i="4"/>
  <c r="W18" i="4"/>
  <c r="V18" i="4"/>
  <c r="U18" i="4"/>
  <c r="T18" i="4"/>
  <c r="S18" i="4"/>
  <c r="R18" i="4"/>
  <c r="Q18" i="4"/>
  <c r="O18" i="4"/>
  <c r="N18" i="4"/>
  <c r="M18" i="4"/>
  <c r="J18" i="4"/>
  <c r="I18" i="4"/>
  <c r="H18" i="4"/>
  <c r="G18" i="4"/>
  <c r="F18" i="4"/>
  <c r="E18" i="4"/>
  <c r="C18" i="4"/>
  <c r="P18" i="4" s="1"/>
  <c r="B18" i="4"/>
  <c r="A18" i="4"/>
  <c r="AF17" i="4"/>
  <c r="AE17" i="4"/>
  <c r="AD17" i="4"/>
  <c r="AC17" i="4"/>
  <c r="Z17" i="4"/>
  <c r="AA17" i="4" s="1"/>
  <c r="Y17" i="4"/>
  <c r="W17" i="4"/>
  <c r="V17" i="4"/>
  <c r="U17" i="4"/>
  <c r="Q17" i="4"/>
  <c r="P17" i="4"/>
  <c r="O17" i="4"/>
  <c r="N17" i="4"/>
  <c r="M17" i="4"/>
  <c r="J17" i="4"/>
  <c r="K17" i="4" s="1"/>
  <c r="I17" i="4"/>
  <c r="H17" i="4"/>
  <c r="G17" i="4"/>
  <c r="F17" i="4"/>
  <c r="E17" i="4"/>
  <c r="C17" i="4"/>
  <c r="X17" i="4" s="1"/>
  <c r="B17" i="4"/>
  <c r="A17" i="4"/>
  <c r="AB17" i="4" s="1"/>
  <c r="AF16" i="4"/>
  <c r="AE16" i="4"/>
  <c r="AD16" i="4"/>
  <c r="AC16" i="4"/>
  <c r="Z16" i="4"/>
  <c r="AA16" i="4" s="1"/>
  <c r="Y16" i="4"/>
  <c r="X16" i="4"/>
  <c r="W16" i="4"/>
  <c r="V16" i="4"/>
  <c r="U16" i="4"/>
  <c r="R16" i="4"/>
  <c r="S16" i="4" s="1"/>
  <c r="Q16" i="4"/>
  <c r="P16" i="4"/>
  <c r="O16" i="4"/>
  <c r="N16" i="4"/>
  <c r="M16" i="4"/>
  <c r="K16" i="4"/>
  <c r="J16" i="4"/>
  <c r="I16" i="4"/>
  <c r="L16" i="4" s="1"/>
  <c r="H16" i="4"/>
  <c r="G16" i="4"/>
  <c r="F16" i="4"/>
  <c r="E16" i="4"/>
  <c r="D16" i="4"/>
  <c r="C16" i="4"/>
  <c r="B16" i="4"/>
  <c r="A16" i="4"/>
  <c r="AF15" i="4"/>
  <c r="AE15" i="4"/>
  <c r="AD15" i="4"/>
  <c r="AC15" i="4"/>
  <c r="Z15" i="4"/>
  <c r="Y15" i="4"/>
  <c r="X15" i="4"/>
  <c r="W15" i="4"/>
  <c r="V15" i="4"/>
  <c r="U15" i="4"/>
  <c r="Q15" i="4"/>
  <c r="O15" i="4"/>
  <c r="N15" i="4"/>
  <c r="M15" i="4"/>
  <c r="L15" i="4"/>
  <c r="K15" i="4"/>
  <c r="J15" i="4"/>
  <c r="I15" i="4"/>
  <c r="H15" i="4"/>
  <c r="G15" i="4"/>
  <c r="F15" i="4"/>
  <c r="E15" i="4"/>
  <c r="C15" i="4"/>
  <c r="P15" i="4" s="1"/>
  <c r="B15" i="4"/>
  <c r="A15" i="4"/>
  <c r="AF14" i="4"/>
  <c r="AE14" i="4"/>
  <c r="AD14" i="4"/>
  <c r="AC14" i="4"/>
  <c r="Y14" i="4"/>
  <c r="W14" i="4"/>
  <c r="V14" i="4"/>
  <c r="U14" i="4"/>
  <c r="Q14" i="4"/>
  <c r="T14" i="4" s="1"/>
  <c r="P14" i="4"/>
  <c r="O14" i="4"/>
  <c r="N14" i="4"/>
  <c r="M14" i="4"/>
  <c r="I14" i="4"/>
  <c r="H14" i="4"/>
  <c r="G14" i="4"/>
  <c r="F14" i="4"/>
  <c r="E14" i="4"/>
  <c r="D14" i="4"/>
  <c r="C14" i="4"/>
  <c r="B14" i="4"/>
  <c r="A14" i="4"/>
  <c r="AF13" i="4"/>
  <c r="AE13" i="4"/>
  <c r="AD13" i="4"/>
  <c r="AC13" i="4"/>
  <c r="Z13" i="4"/>
  <c r="Y13" i="4"/>
  <c r="X13" i="4"/>
  <c r="W13" i="4"/>
  <c r="V13" i="4"/>
  <c r="U13" i="4"/>
  <c r="Q13" i="4"/>
  <c r="P13" i="4"/>
  <c r="O13" i="4"/>
  <c r="N13" i="4"/>
  <c r="M13" i="4"/>
  <c r="J13" i="4"/>
  <c r="K13" i="4" s="1"/>
  <c r="I13" i="4"/>
  <c r="L13" i="4" s="1"/>
  <c r="H13" i="4"/>
  <c r="G13" i="4"/>
  <c r="F13" i="4"/>
  <c r="E13" i="4"/>
  <c r="C13" i="4"/>
  <c r="R13" i="4" s="1"/>
  <c r="S13" i="4" s="1"/>
  <c r="B13" i="4"/>
  <c r="A13" i="4"/>
  <c r="T13" i="4" s="1"/>
  <c r="AF12" i="4"/>
  <c r="AE12" i="4"/>
  <c r="AD12" i="4"/>
  <c r="AC12" i="4"/>
  <c r="Y12" i="4"/>
  <c r="W12" i="4"/>
  <c r="V12" i="4"/>
  <c r="U12" i="4"/>
  <c r="R12" i="4"/>
  <c r="S12" i="4" s="1"/>
  <c r="Q12" i="4"/>
  <c r="T12" i="4" s="1"/>
  <c r="O12" i="4"/>
  <c r="N12" i="4"/>
  <c r="M12" i="4"/>
  <c r="I12" i="4"/>
  <c r="L12" i="4" s="1"/>
  <c r="H12" i="4"/>
  <c r="G12" i="4"/>
  <c r="F12" i="4"/>
  <c r="E12" i="4"/>
  <c r="C12" i="4"/>
  <c r="B12" i="4"/>
  <c r="A12" i="4"/>
  <c r="AF11" i="4"/>
  <c r="AE11" i="4"/>
  <c r="AD11" i="4"/>
  <c r="AC11" i="4"/>
  <c r="Z11" i="4"/>
  <c r="Y11" i="4"/>
  <c r="W11" i="4"/>
  <c r="V11" i="4"/>
  <c r="U11" i="4"/>
  <c r="Q11" i="4"/>
  <c r="O11" i="4"/>
  <c r="N11" i="4"/>
  <c r="M11" i="4"/>
  <c r="J11" i="4"/>
  <c r="K11" i="4" s="1"/>
  <c r="I11" i="4"/>
  <c r="H11" i="4"/>
  <c r="G11" i="4"/>
  <c r="F11" i="4"/>
  <c r="E11" i="4"/>
  <c r="C11" i="4"/>
  <c r="X11" i="4" s="1"/>
  <c r="B11" i="4"/>
  <c r="A11" i="4"/>
  <c r="AF10" i="4"/>
  <c r="AE10" i="4"/>
  <c r="AD10" i="4"/>
  <c r="AC10" i="4"/>
  <c r="Y10" i="4"/>
  <c r="W10" i="4"/>
  <c r="V10" i="4"/>
  <c r="U10" i="4"/>
  <c r="Q10" i="4"/>
  <c r="P10" i="4"/>
  <c r="O10" i="4"/>
  <c r="N10" i="4"/>
  <c r="M10" i="4"/>
  <c r="I10" i="4"/>
  <c r="L10" i="4" s="1"/>
  <c r="H10" i="4"/>
  <c r="G10" i="4"/>
  <c r="F10" i="4"/>
  <c r="E10" i="4"/>
  <c r="D10" i="4"/>
  <c r="C10" i="4"/>
  <c r="B10" i="4"/>
  <c r="A10" i="4"/>
  <c r="AF9" i="4"/>
  <c r="AE9" i="4"/>
  <c r="AD9" i="4"/>
  <c r="AC9" i="4"/>
  <c r="Z9" i="4"/>
  <c r="Y9" i="4"/>
  <c r="X9" i="4"/>
  <c r="W9" i="4"/>
  <c r="V9" i="4"/>
  <c r="U9" i="4"/>
  <c r="Q9" i="4"/>
  <c r="O9" i="4"/>
  <c r="N9" i="4"/>
  <c r="M9" i="4"/>
  <c r="L9" i="4"/>
  <c r="K9" i="4"/>
  <c r="J9" i="4"/>
  <c r="I9" i="4"/>
  <c r="H9" i="4"/>
  <c r="G9" i="4"/>
  <c r="F9" i="4"/>
  <c r="E9" i="4"/>
  <c r="C9" i="4"/>
  <c r="R9" i="4" s="1"/>
  <c r="S9" i="4" s="1"/>
  <c r="B9" i="4"/>
  <c r="A9" i="4"/>
  <c r="AF8" i="4"/>
  <c r="AE8" i="4"/>
  <c r="AD8" i="4"/>
  <c r="AC8" i="4"/>
  <c r="Z8" i="4"/>
  <c r="AA8" i="4" s="1"/>
  <c r="Y8" i="4"/>
  <c r="X8" i="4"/>
  <c r="W8" i="4"/>
  <c r="V8" i="4"/>
  <c r="U8" i="4"/>
  <c r="T8" i="4"/>
  <c r="R8" i="4"/>
  <c r="S8" i="4" s="1"/>
  <c r="Q8" i="4"/>
  <c r="O8" i="4"/>
  <c r="N8" i="4"/>
  <c r="M8" i="4"/>
  <c r="J8" i="4"/>
  <c r="K8" i="4" s="1"/>
  <c r="I8" i="4"/>
  <c r="H8" i="4"/>
  <c r="G8" i="4"/>
  <c r="F8" i="4"/>
  <c r="E8" i="4"/>
  <c r="C8" i="4"/>
  <c r="P8" i="4" s="1"/>
  <c r="B8" i="4"/>
  <c r="A8" i="4"/>
  <c r="AB8" i="4" s="1"/>
  <c r="AF7" i="4"/>
  <c r="AE7" i="4"/>
  <c r="AD7" i="4"/>
  <c r="AC7" i="4"/>
  <c r="AB7" i="4"/>
  <c r="Y7" i="4"/>
  <c r="W7" i="4"/>
  <c r="V7" i="4"/>
  <c r="U7" i="4"/>
  <c r="Q7" i="4"/>
  <c r="T7" i="4" s="1"/>
  <c r="P7" i="4"/>
  <c r="O7" i="4"/>
  <c r="N7" i="4"/>
  <c r="M7" i="4"/>
  <c r="I7" i="4"/>
  <c r="L7" i="4" s="1"/>
  <c r="H7" i="4"/>
  <c r="G7" i="4"/>
  <c r="F7" i="4"/>
  <c r="E7" i="4"/>
  <c r="D7" i="4"/>
  <c r="C7" i="4"/>
  <c r="B7" i="4"/>
  <c r="A7" i="4"/>
  <c r="AF6" i="4"/>
  <c r="AE6" i="4"/>
  <c r="AD6" i="4"/>
  <c r="AC6" i="4"/>
  <c r="Z6" i="4"/>
  <c r="AA6" i="4" s="1"/>
  <c r="Y6" i="4"/>
  <c r="X6" i="4"/>
  <c r="W6" i="4"/>
  <c r="V6" i="4"/>
  <c r="U6" i="4"/>
  <c r="Q6" i="4"/>
  <c r="O6" i="4"/>
  <c r="N6" i="4"/>
  <c r="M6" i="4"/>
  <c r="L6" i="4"/>
  <c r="J6" i="4"/>
  <c r="K6" i="4" s="1"/>
  <c r="I6" i="4"/>
  <c r="H6" i="4"/>
  <c r="G6" i="4"/>
  <c r="F6" i="4"/>
  <c r="E6" i="4"/>
  <c r="C6" i="4"/>
  <c r="R6" i="4" s="1"/>
  <c r="S6" i="4" s="1"/>
  <c r="B6" i="4"/>
  <c r="A6" i="4"/>
  <c r="AF5" i="4"/>
  <c r="AE5" i="4"/>
  <c r="AD5" i="4"/>
  <c r="AC5" i="4"/>
  <c r="Z5" i="4"/>
  <c r="AA5" i="4" s="1"/>
  <c r="Y5" i="4"/>
  <c r="X5" i="4"/>
  <c r="W5" i="4"/>
  <c r="V5" i="4"/>
  <c r="U5" i="4"/>
  <c r="T5" i="4"/>
  <c r="S5" i="4"/>
  <c r="R5" i="4"/>
  <c r="Q5" i="4"/>
  <c r="O5" i="4"/>
  <c r="N5" i="4"/>
  <c r="M5" i="4"/>
  <c r="J5" i="4"/>
  <c r="I5" i="4"/>
  <c r="H5" i="4"/>
  <c r="G5" i="4"/>
  <c r="F5" i="4"/>
  <c r="E5" i="4"/>
  <c r="C5" i="4"/>
  <c r="P5" i="4" s="1"/>
  <c r="B5" i="4"/>
  <c r="A5" i="4"/>
  <c r="AB5" i="4" s="1"/>
  <c r="B4" i="4"/>
  <c r="AD4" i="4"/>
  <c r="AC4" i="4"/>
  <c r="Y4" i="4"/>
  <c r="W4" i="4"/>
  <c r="V4" i="4"/>
  <c r="U4" i="4"/>
  <c r="Q4" i="4"/>
  <c r="T185" i="4" s="1"/>
  <c r="O4" i="4"/>
  <c r="N4" i="4"/>
  <c r="M4" i="4"/>
  <c r="I4" i="4"/>
  <c r="L159" i="4" s="1"/>
  <c r="H4" i="4"/>
  <c r="G4" i="4"/>
  <c r="F4" i="4"/>
  <c r="E4" i="4"/>
  <c r="C4" i="4"/>
  <c r="Z4" i="4" s="1"/>
  <c r="AE4" i="4"/>
  <c r="AF4" i="4"/>
  <c r="A4" i="4"/>
  <c r="D4" i="4" s="1"/>
  <c r="Z19" i="4" l="1"/>
  <c r="AA19" i="4" s="1"/>
  <c r="J19" i="4"/>
  <c r="K19" i="4" s="1"/>
  <c r="X19" i="4"/>
  <c r="R19" i="4"/>
  <c r="S19" i="4" s="1"/>
  <c r="J86" i="4"/>
  <c r="K86" i="4" s="1"/>
  <c r="R86" i="4"/>
  <c r="S86" i="4" s="1"/>
  <c r="X86" i="4"/>
  <c r="Z86" i="4"/>
  <c r="AA86" i="4" s="1"/>
  <c r="D145" i="4"/>
  <c r="T145" i="4"/>
  <c r="AB145" i="4"/>
  <c r="L145" i="4"/>
  <c r="D29" i="4"/>
  <c r="AB29" i="4"/>
  <c r="T29" i="4"/>
  <c r="L33" i="4"/>
  <c r="D33" i="4"/>
  <c r="T33" i="4"/>
  <c r="R117" i="4"/>
  <c r="S117" i="4" s="1"/>
  <c r="X117" i="4"/>
  <c r="Z117" i="4"/>
  <c r="AA117" i="4" s="1"/>
  <c r="J117" i="4"/>
  <c r="K117" i="4" s="1"/>
  <c r="P117" i="4"/>
  <c r="D149" i="4"/>
  <c r="T149" i="4"/>
  <c r="L149" i="4"/>
  <c r="AB149" i="4"/>
  <c r="AB9" i="4"/>
  <c r="T9" i="4"/>
  <c r="D9" i="4"/>
  <c r="AB24" i="4"/>
  <c r="D24" i="4"/>
  <c r="T24" i="4"/>
  <c r="L53" i="4"/>
  <c r="L173" i="4"/>
  <c r="D173" i="4"/>
  <c r="T173" i="4"/>
  <c r="K18" i="4"/>
  <c r="Z1" i="4"/>
  <c r="AB190" i="4"/>
  <c r="AB54" i="4"/>
  <c r="AB140" i="4"/>
  <c r="AB133" i="4"/>
  <c r="AB112" i="4"/>
  <c r="AB26" i="4"/>
  <c r="AB150" i="4"/>
  <c r="AB92" i="4"/>
  <c r="AB60" i="4"/>
  <c r="AB121" i="4"/>
  <c r="AB40" i="4"/>
  <c r="AB199" i="4"/>
  <c r="AB170" i="4"/>
  <c r="AB146" i="4"/>
  <c r="AB144" i="4"/>
  <c r="AB52" i="4"/>
  <c r="AB46" i="4"/>
  <c r="AB191" i="4"/>
  <c r="AB164" i="4"/>
  <c r="AB93" i="4"/>
  <c r="AB55" i="4"/>
  <c r="AB128" i="4"/>
  <c r="AB152" i="4"/>
  <c r="AB106" i="4"/>
  <c r="AB48" i="4"/>
  <c r="AB42" i="4"/>
  <c r="AB197" i="4"/>
  <c r="AB138" i="4"/>
  <c r="AB118" i="4"/>
  <c r="AB114" i="4"/>
  <c r="AB104" i="4"/>
  <c r="AB51" i="4"/>
  <c r="AB45" i="4"/>
  <c r="AB187" i="4"/>
  <c r="AB136" i="4"/>
  <c r="AB115" i="4"/>
  <c r="AB181" i="4"/>
  <c r="K5" i="4"/>
  <c r="P12" i="4"/>
  <c r="Z12" i="4"/>
  <c r="AA12" i="4" s="1"/>
  <c r="X12" i="4"/>
  <c r="J12" i="4"/>
  <c r="K12" i="4" s="1"/>
  <c r="X14" i="4"/>
  <c r="Z14" i="4"/>
  <c r="AA14" i="4" s="1"/>
  <c r="J14" i="4"/>
  <c r="K14" i="4" s="1"/>
  <c r="R14" i="4"/>
  <c r="S14" i="4" s="1"/>
  <c r="AB19" i="4"/>
  <c r="T47" i="4"/>
  <c r="D47" i="4"/>
  <c r="AB84" i="4"/>
  <c r="D111" i="4"/>
  <c r="T111" i="4"/>
  <c r="AB111" i="4"/>
  <c r="L111" i="4"/>
  <c r="AB132" i="4"/>
  <c r="R155" i="4"/>
  <c r="S155" i="4" s="1"/>
  <c r="Z155" i="4"/>
  <c r="AA155" i="4" s="1"/>
  <c r="P155" i="4"/>
  <c r="J155" i="4"/>
  <c r="K155" i="4" s="1"/>
  <c r="X155" i="4"/>
  <c r="T95" i="4"/>
  <c r="AB95" i="4"/>
  <c r="D95" i="4"/>
  <c r="L95" i="4"/>
  <c r="T160" i="4"/>
  <c r="D160" i="4"/>
  <c r="L160" i="4"/>
  <c r="AB160" i="4"/>
  <c r="X7" i="4"/>
  <c r="J7" i="4"/>
  <c r="K7" i="4" s="1"/>
  <c r="R7" i="4"/>
  <c r="S7" i="4" s="1"/>
  <c r="T74" i="4"/>
  <c r="D74" i="4"/>
  <c r="AB94" i="4"/>
  <c r="D94" i="4"/>
  <c r="L94" i="4"/>
  <c r="T94" i="4"/>
  <c r="AB171" i="4"/>
  <c r="D171" i="4"/>
  <c r="T171" i="4"/>
  <c r="L171" i="4"/>
  <c r="R26" i="4"/>
  <c r="S26" i="4" s="1"/>
  <c r="Z26" i="4"/>
  <c r="AA26" i="4" s="1"/>
  <c r="X26" i="4"/>
  <c r="J26" i="4"/>
  <c r="K26" i="4" s="1"/>
  <c r="J33" i="4"/>
  <c r="K33" i="4" s="1"/>
  <c r="X33" i="4"/>
  <c r="Z33" i="4"/>
  <c r="AA33" i="4" s="1"/>
  <c r="R33" i="4"/>
  <c r="S33" i="4" s="1"/>
  <c r="X78" i="4"/>
  <c r="P78" i="4"/>
  <c r="J78" i="4"/>
  <c r="K78" i="4" s="1"/>
  <c r="Z78" i="4"/>
  <c r="AA78" i="4" s="1"/>
  <c r="Z7" i="4"/>
  <c r="AA7" i="4" s="1"/>
  <c r="J10" i="4"/>
  <c r="K10" i="4" s="1"/>
  <c r="Z10" i="4"/>
  <c r="AA10" i="4" s="1"/>
  <c r="X10" i="4"/>
  <c r="R10" i="4"/>
  <c r="S10" i="4" s="1"/>
  <c r="K20" i="4"/>
  <c r="AB78" i="4"/>
  <c r="AB130" i="4"/>
  <c r="J153" i="4"/>
  <c r="K153" i="4" s="1"/>
  <c r="R153" i="4"/>
  <c r="S153" i="4" s="1"/>
  <c r="Z153" i="4"/>
  <c r="AA153" i="4" s="1"/>
  <c r="P153" i="4"/>
  <c r="X153" i="4"/>
  <c r="L167" i="4"/>
  <c r="AB167" i="4"/>
  <c r="T167" i="4"/>
  <c r="D167" i="4"/>
  <c r="T80" i="4"/>
  <c r="L80" i="4"/>
  <c r="D80" i="4"/>
  <c r="R35" i="4"/>
  <c r="S35" i="4" s="1"/>
  <c r="J35" i="4"/>
  <c r="K35" i="4" s="1"/>
  <c r="X35" i="4"/>
  <c r="Z35" i="4"/>
  <c r="AA35" i="4" s="1"/>
  <c r="T41" i="4"/>
  <c r="L41" i="4"/>
  <c r="D41" i="4"/>
  <c r="T53" i="4"/>
  <c r="D53" i="4"/>
  <c r="L56" i="4"/>
  <c r="T56" i="4"/>
  <c r="D56" i="4"/>
  <c r="T62" i="4"/>
  <c r="L62" i="4"/>
  <c r="D62" i="4"/>
  <c r="X72" i="4"/>
  <c r="J72" i="4"/>
  <c r="K72" i="4" s="1"/>
  <c r="P72" i="4"/>
  <c r="Z72" i="4"/>
  <c r="AA72" i="4" s="1"/>
  <c r="Z92" i="4"/>
  <c r="AA92" i="4" s="1"/>
  <c r="J92" i="4"/>
  <c r="K92" i="4" s="1"/>
  <c r="X92" i="4"/>
  <c r="P92" i="4"/>
  <c r="R52" i="4"/>
  <c r="S52" i="4" s="1"/>
  <c r="Z52" i="4"/>
  <c r="AA52" i="4" s="1"/>
  <c r="X52" i="4"/>
  <c r="J52" i="4"/>
  <c r="K52" i="4" s="1"/>
  <c r="AB97" i="4"/>
  <c r="D97" i="4"/>
  <c r="L97" i="4"/>
  <c r="T97" i="4"/>
  <c r="AA11" i="4"/>
  <c r="AA13" i="4"/>
  <c r="AB14" i="4"/>
  <c r="T19" i="4"/>
  <c r="L19" i="4"/>
  <c r="P19" i="4"/>
  <c r="T22" i="4"/>
  <c r="AB22" i="4"/>
  <c r="D22" i="4"/>
  <c r="AB30" i="4"/>
  <c r="AB31" i="4"/>
  <c r="AB66" i="4"/>
  <c r="P86" i="4"/>
  <c r="AA138" i="4"/>
  <c r="AB153" i="4"/>
  <c r="X161" i="4"/>
  <c r="Z161" i="4"/>
  <c r="AA161" i="4" s="1"/>
  <c r="J161" i="4"/>
  <c r="K161" i="4" s="1"/>
  <c r="P161" i="4"/>
  <c r="R55" i="4"/>
  <c r="S55" i="4" s="1"/>
  <c r="Z55" i="4"/>
  <c r="AA55" i="4" s="1"/>
  <c r="P55" i="4"/>
  <c r="J55" i="4"/>
  <c r="K55" i="4" s="1"/>
  <c r="X55" i="4"/>
  <c r="J118" i="4"/>
  <c r="K118" i="4" s="1"/>
  <c r="X118" i="4"/>
  <c r="Z118" i="4"/>
  <c r="AA118" i="4" s="1"/>
  <c r="R118" i="4"/>
  <c r="S118" i="4" s="1"/>
  <c r="P118" i="4"/>
  <c r="L17" i="4"/>
  <c r="T17" i="4"/>
  <c r="D17" i="4"/>
  <c r="AB33" i="4"/>
  <c r="R46" i="4"/>
  <c r="S46" i="4" s="1"/>
  <c r="Z46" i="4"/>
  <c r="AA46" i="4" s="1"/>
  <c r="X46" i="4"/>
  <c r="J46" i="4"/>
  <c r="K46" i="4" s="1"/>
  <c r="X66" i="4"/>
  <c r="R66" i="4"/>
  <c r="S66" i="4" s="1"/>
  <c r="Z66" i="4"/>
  <c r="AA66" i="4" s="1"/>
  <c r="J66" i="4"/>
  <c r="K66" i="4" s="1"/>
  <c r="AB192" i="4"/>
  <c r="D192" i="4"/>
  <c r="T192" i="4"/>
  <c r="L192" i="4"/>
  <c r="L18" i="4"/>
  <c r="D147" i="4"/>
  <c r="AB147" i="4"/>
  <c r="L147" i="4"/>
  <c r="T147" i="4"/>
  <c r="D151" i="4"/>
  <c r="T151" i="4"/>
  <c r="AB151" i="4"/>
  <c r="L151" i="4"/>
  <c r="T6" i="4"/>
  <c r="AB6" i="4"/>
  <c r="D6" i="4"/>
  <c r="AA9" i="4"/>
  <c r="AB10" i="4"/>
  <c r="L29" i="4"/>
  <c r="AB35" i="4"/>
  <c r="P35" i="4"/>
  <c r="AB43" i="4"/>
  <c r="L74" i="4"/>
  <c r="J38" i="4"/>
  <c r="K38" i="4" s="1"/>
  <c r="R38" i="4"/>
  <c r="S38" i="4" s="1"/>
  <c r="Z38" i="4"/>
  <c r="AA38" i="4" s="1"/>
  <c r="J62" i="4"/>
  <c r="K62" i="4" s="1"/>
  <c r="R62" i="4"/>
  <c r="S62" i="4" s="1"/>
  <c r="D148" i="4"/>
  <c r="L148" i="4"/>
  <c r="AB148" i="4"/>
  <c r="AA15" i="4"/>
  <c r="AB27" i="4"/>
  <c r="AA59" i="4"/>
  <c r="K77" i="4"/>
  <c r="K101" i="4"/>
  <c r="AB113" i="4"/>
  <c r="L113" i="4"/>
  <c r="AA114" i="4"/>
  <c r="AB125" i="4"/>
  <c r="T125" i="4"/>
  <c r="D125" i="4"/>
  <c r="L125" i="4"/>
  <c r="J147" i="4"/>
  <c r="K147" i="4" s="1"/>
  <c r="R147" i="4"/>
  <c r="S147" i="4" s="1"/>
  <c r="X147" i="4"/>
  <c r="R149" i="4"/>
  <c r="S149" i="4" s="1"/>
  <c r="Z149" i="4"/>
  <c r="AA149" i="4" s="1"/>
  <c r="J149" i="4"/>
  <c r="K149" i="4" s="1"/>
  <c r="P149" i="4"/>
  <c r="X149" i="4"/>
  <c r="L11" i="4"/>
  <c r="AB15" i="4"/>
  <c r="D15" i="4"/>
  <c r="AB34" i="4"/>
  <c r="L40" i="4"/>
  <c r="J44" i="4"/>
  <c r="K44" i="4" s="1"/>
  <c r="R44" i="4"/>
  <c r="S44" i="4" s="1"/>
  <c r="Z44" i="4"/>
  <c r="AA44" i="4" s="1"/>
  <c r="P44" i="4"/>
  <c r="J50" i="4"/>
  <c r="K50" i="4" s="1"/>
  <c r="R50" i="4"/>
  <c r="S50" i="4" s="1"/>
  <c r="Z50" i="4"/>
  <c r="AA50" i="4" s="1"/>
  <c r="P50" i="4"/>
  <c r="J68" i="4"/>
  <c r="K68" i="4" s="1"/>
  <c r="X68" i="4"/>
  <c r="K71" i="4"/>
  <c r="S74" i="4"/>
  <c r="L77" i="4"/>
  <c r="T89" i="4"/>
  <c r="D89" i="4"/>
  <c r="AB89" i="4"/>
  <c r="L91" i="4"/>
  <c r="Z122" i="4"/>
  <c r="AA122" i="4" s="1"/>
  <c r="X122" i="4"/>
  <c r="R122" i="4"/>
  <c r="S122" i="4" s="1"/>
  <c r="J122" i="4"/>
  <c r="K122" i="4" s="1"/>
  <c r="R123" i="4"/>
  <c r="S123" i="4" s="1"/>
  <c r="X123" i="4"/>
  <c r="P123" i="4"/>
  <c r="D130" i="4"/>
  <c r="L130" i="4"/>
  <c r="T130" i="4"/>
  <c r="L140" i="4"/>
  <c r="T148" i="4"/>
  <c r="AB174" i="4"/>
  <c r="D174" i="4"/>
  <c r="L174" i="4"/>
  <c r="T174" i="4"/>
  <c r="AB195" i="4"/>
  <c r="D195" i="4"/>
  <c r="T195" i="4"/>
  <c r="T196" i="4"/>
  <c r="AB196" i="4"/>
  <c r="L198" i="4"/>
  <c r="L5" i="4"/>
  <c r="P6" i="4"/>
  <c r="L8" i="4"/>
  <c r="P9" i="4"/>
  <c r="AB11" i="4"/>
  <c r="AB13" i="4"/>
  <c r="R17" i="4"/>
  <c r="S17" i="4" s="1"/>
  <c r="L20" i="4"/>
  <c r="AB20" i="4"/>
  <c r="P22" i="4"/>
  <c r="K23" i="4"/>
  <c r="AB25" i="4"/>
  <c r="J27" i="4"/>
  <c r="K27" i="4" s="1"/>
  <c r="R27" i="4"/>
  <c r="S27" i="4" s="1"/>
  <c r="P27" i="4"/>
  <c r="Z30" i="4"/>
  <c r="AA30" i="4" s="1"/>
  <c r="R31" i="4"/>
  <c r="S31" i="4" s="1"/>
  <c r="L32" i="4"/>
  <c r="L46" i="4"/>
  <c r="L52" i="4"/>
  <c r="AA60" i="4"/>
  <c r="R68" i="4"/>
  <c r="S68" i="4" s="1"/>
  <c r="AB70" i="4"/>
  <c r="D70" i="4"/>
  <c r="AA71" i="4"/>
  <c r="AB72" i="4"/>
  <c r="T81" i="4"/>
  <c r="AB82" i="4"/>
  <c r="D82" i="4"/>
  <c r="T82" i="4"/>
  <c r="P88" i="4"/>
  <c r="J88" i="4"/>
  <c r="K88" i="4" s="1"/>
  <c r="R88" i="4"/>
  <c r="S88" i="4" s="1"/>
  <c r="X88" i="4"/>
  <c r="L90" i="4"/>
  <c r="T90" i="4"/>
  <c r="D90" i="4"/>
  <c r="AB90" i="4"/>
  <c r="T107" i="4"/>
  <c r="R108" i="4"/>
  <c r="S108" i="4" s="1"/>
  <c r="X108" i="4"/>
  <c r="J108" i="4"/>
  <c r="K108" i="4" s="1"/>
  <c r="Z108" i="4"/>
  <c r="AA108" i="4" s="1"/>
  <c r="D123" i="4"/>
  <c r="K128" i="4"/>
  <c r="S130" i="4"/>
  <c r="L137" i="4"/>
  <c r="L139" i="4"/>
  <c r="L156" i="4"/>
  <c r="L172" i="4"/>
  <c r="T187" i="4"/>
  <c r="L187" i="4"/>
  <c r="D187" i="4"/>
  <c r="AA36" i="4"/>
  <c r="P38" i="4"/>
  <c r="P62" i="4"/>
  <c r="J80" i="4"/>
  <c r="K80" i="4" s="1"/>
  <c r="Z80" i="4"/>
  <c r="AA80" i="4" s="1"/>
  <c r="X96" i="4"/>
  <c r="R96" i="4"/>
  <c r="S96" i="4" s="1"/>
  <c r="Z96" i="4"/>
  <c r="AA96" i="4" s="1"/>
  <c r="R152" i="4"/>
  <c r="S152" i="4" s="1"/>
  <c r="Z152" i="4"/>
  <c r="AA152" i="4" s="1"/>
  <c r="P152" i="4"/>
  <c r="J152" i="4"/>
  <c r="K152" i="4" s="1"/>
  <c r="P31" i="4"/>
  <c r="K59" i="4"/>
  <c r="AA83" i="4"/>
  <c r="Z110" i="4"/>
  <c r="AA110" i="4" s="1"/>
  <c r="X110" i="4"/>
  <c r="R110" i="4"/>
  <c r="S110" i="4" s="1"/>
  <c r="P11" i="4"/>
  <c r="P39" i="4"/>
  <c r="AB58" i="4"/>
  <c r="D58" i="4"/>
  <c r="T58" i="4"/>
  <c r="L61" i="4"/>
  <c r="L79" i="4"/>
  <c r="L85" i="4"/>
  <c r="L92" i="4"/>
  <c r="AB100" i="4"/>
  <c r="D100" i="4"/>
  <c r="T100" i="4"/>
  <c r="D113" i="4"/>
  <c r="R15" i="4"/>
  <c r="S15" i="4" s="1"/>
  <c r="P30" i="4"/>
  <c r="T37" i="4"/>
  <c r="D39" i="4"/>
  <c r="Z42" i="4"/>
  <c r="AA42" i="4" s="1"/>
  <c r="J42" i="4"/>
  <c r="K42" i="4" s="1"/>
  <c r="P42" i="4"/>
  <c r="Z48" i="4"/>
  <c r="AA48" i="4" s="1"/>
  <c r="J48" i="4"/>
  <c r="K48" i="4" s="1"/>
  <c r="P48" i="4"/>
  <c r="K93" i="4"/>
  <c r="AB186" i="4"/>
  <c r="D186" i="4"/>
  <c r="T186" i="4"/>
  <c r="L186" i="4"/>
  <c r="D196" i="4"/>
  <c r="R20" i="4"/>
  <c r="S20" i="4" s="1"/>
  <c r="D25" i="4"/>
  <c r="X41" i="4"/>
  <c r="P58" i="4"/>
  <c r="J58" i="4"/>
  <c r="K58" i="4" s="1"/>
  <c r="R58" i="4"/>
  <c r="S58" i="4" s="1"/>
  <c r="X58" i="4"/>
  <c r="L60" i="4"/>
  <c r="T60" i="4"/>
  <c r="D60" i="4"/>
  <c r="X62" i="4"/>
  <c r="T70" i="4"/>
  <c r="T71" i="4"/>
  <c r="D71" i="4"/>
  <c r="AB71" i="4"/>
  <c r="X80" i="4"/>
  <c r="L84" i="4"/>
  <c r="T84" i="4"/>
  <c r="D84" i="4"/>
  <c r="L86" i="4"/>
  <c r="T104" i="4"/>
  <c r="L104" i="4"/>
  <c r="T113" i="4"/>
  <c r="L120" i="4"/>
  <c r="J127" i="4"/>
  <c r="K127" i="4" s="1"/>
  <c r="Z127" i="4"/>
  <c r="AA127" i="4" s="1"/>
  <c r="X127" i="4"/>
  <c r="R127" i="4"/>
  <c r="S127" i="4" s="1"/>
  <c r="L128" i="4"/>
  <c r="AB143" i="4"/>
  <c r="Z147" i="4"/>
  <c r="AA147" i="4" s="1"/>
  <c r="AB162" i="4"/>
  <c r="D162" i="4"/>
  <c r="L162" i="4"/>
  <c r="T162" i="4"/>
  <c r="T182" i="4"/>
  <c r="T188" i="4"/>
  <c r="L122" i="4"/>
  <c r="T122" i="4"/>
  <c r="L108" i="4"/>
  <c r="T108" i="4"/>
  <c r="AB108" i="4"/>
  <c r="D108" i="4"/>
  <c r="J1" i="4"/>
  <c r="L115" i="4"/>
  <c r="L177" i="4"/>
  <c r="L117" i="4"/>
  <c r="L153" i="4"/>
  <c r="L169" i="4"/>
  <c r="L143" i="4"/>
  <c r="AA18" i="4"/>
  <c r="L26" i="4"/>
  <c r="Z34" i="4"/>
  <c r="AA34" i="4" s="1"/>
  <c r="P34" i="4"/>
  <c r="L101" i="4"/>
  <c r="L119" i="4"/>
  <c r="L163" i="4"/>
  <c r="AB183" i="4"/>
  <c r="D183" i="4"/>
  <c r="L183" i="4"/>
  <c r="T183" i="4"/>
  <c r="R34" i="4"/>
  <c r="S34" i="4" s="1"/>
  <c r="L35" i="4"/>
  <c r="AB37" i="4"/>
  <c r="AA54" i="4"/>
  <c r="K61" i="4"/>
  <c r="AB76" i="4"/>
  <c r="D76" i="4"/>
  <c r="L76" i="4"/>
  <c r="T77" i="4"/>
  <c r="D77" i="4"/>
  <c r="AB77" i="4"/>
  <c r="AB129" i="4"/>
  <c r="L129" i="4"/>
  <c r="D129" i="4"/>
  <c r="T129" i="4"/>
  <c r="L155" i="4"/>
  <c r="D20" i="4"/>
  <c r="L23" i="4"/>
  <c r="P25" i="4"/>
  <c r="D5" i="4"/>
  <c r="D8" i="4"/>
  <c r="T10" i="4"/>
  <c r="R30" i="4"/>
  <c r="S30" i="4" s="1"/>
  <c r="J31" i="4"/>
  <c r="K31" i="4" s="1"/>
  <c r="X38" i="4"/>
  <c r="R42" i="4"/>
  <c r="S42" i="4" s="1"/>
  <c r="S45" i="4"/>
  <c r="R48" i="4"/>
  <c r="S48" i="4" s="1"/>
  <c r="S51" i="4"/>
  <c r="T63" i="4"/>
  <c r="P64" i="4"/>
  <c r="J64" i="4"/>
  <c r="K64" i="4" s="1"/>
  <c r="R64" i="4"/>
  <c r="S64" i="4" s="1"/>
  <c r="T65" i="4"/>
  <c r="D65" i="4"/>
  <c r="AB65" i="4"/>
  <c r="L65" i="4"/>
  <c r="K67" i="4"/>
  <c r="AA67" i="4"/>
  <c r="L73" i="4"/>
  <c r="P76" i="4"/>
  <c r="J76" i="4"/>
  <c r="K76" i="4" s="1"/>
  <c r="R76" i="4"/>
  <c r="S76" i="4" s="1"/>
  <c r="Z76" i="4"/>
  <c r="AA76" i="4" s="1"/>
  <c r="T76" i="4"/>
  <c r="L78" i="4"/>
  <c r="T78" i="4"/>
  <c r="D78" i="4"/>
  <c r="T92" i="4"/>
  <c r="J96" i="4"/>
  <c r="K96" i="4" s="1"/>
  <c r="P103" i="4"/>
  <c r="J103" i="4"/>
  <c r="K103" i="4" s="1"/>
  <c r="X103" i="4"/>
  <c r="L107" i="4"/>
  <c r="L112" i="4"/>
  <c r="AB117" i="4"/>
  <c r="D118" i="4"/>
  <c r="L118" i="4"/>
  <c r="AB119" i="4"/>
  <c r="D119" i="4"/>
  <c r="T119" i="4"/>
  <c r="AB122" i="4"/>
  <c r="D136" i="4"/>
  <c r="L136" i="4"/>
  <c r="T136" i="4"/>
  <c r="T140" i="4"/>
  <c r="J141" i="4"/>
  <c r="K141" i="4" s="1"/>
  <c r="R141" i="4"/>
  <c r="S141" i="4" s="1"/>
  <c r="X141" i="4"/>
  <c r="P141" i="4"/>
  <c r="L146" i="4"/>
  <c r="D156" i="4"/>
  <c r="T156" i="4"/>
  <c r="X182" i="4"/>
  <c r="Z182" i="4"/>
  <c r="AA182" i="4" s="1"/>
  <c r="R182" i="4"/>
  <c r="S182" i="4" s="1"/>
  <c r="J182" i="4"/>
  <c r="K182" i="4" s="1"/>
  <c r="X185" i="4"/>
  <c r="J185" i="4"/>
  <c r="K185" i="4" s="1"/>
  <c r="R185" i="4"/>
  <c r="S185" i="4" s="1"/>
  <c r="J41" i="4"/>
  <c r="K41" i="4" s="1"/>
  <c r="R41" i="4"/>
  <c r="S41" i="4" s="1"/>
  <c r="X170" i="4"/>
  <c r="Z170" i="4"/>
  <c r="AA170" i="4" s="1"/>
  <c r="P170" i="4"/>
  <c r="J170" i="4"/>
  <c r="K170" i="4" s="1"/>
  <c r="AB36" i="4"/>
  <c r="R80" i="4"/>
  <c r="S80" i="4" s="1"/>
  <c r="AB88" i="4"/>
  <c r="D88" i="4"/>
  <c r="K91" i="4"/>
  <c r="T98" i="4"/>
  <c r="D98" i="4"/>
  <c r="AB98" i="4"/>
  <c r="L98" i="4"/>
  <c r="D13" i="4"/>
  <c r="D27" i="4"/>
  <c r="AB32" i="4"/>
  <c r="D36" i="4"/>
  <c r="Z39" i="4"/>
  <c r="AA39" i="4" s="1"/>
  <c r="J39" i="4"/>
  <c r="K39" i="4" s="1"/>
  <c r="D99" i="4"/>
  <c r="T99" i="4"/>
  <c r="L199" i="4"/>
  <c r="D11" i="4"/>
  <c r="AB18" i="4"/>
  <c r="D18" i="4"/>
  <c r="P70" i="4"/>
  <c r="J70" i="4"/>
  <c r="K70" i="4" s="1"/>
  <c r="R70" i="4"/>
  <c r="S70" i="4" s="1"/>
  <c r="K79" i="4"/>
  <c r="AB109" i="4"/>
  <c r="R11" i="4"/>
  <c r="S11" i="4" s="1"/>
  <c r="T16" i="4"/>
  <c r="AB23" i="4"/>
  <c r="T15" i="4"/>
  <c r="AB16" i="4"/>
  <c r="AA21" i="4"/>
  <c r="D32" i="4"/>
  <c r="P32" i="4"/>
  <c r="T34" i="4"/>
  <c r="R1" i="4"/>
  <c r="T116" i="4"/>
  <c r="T131" i="4"/>
  <c r="T143" i="4"/>
  <c r="T139" i="4"/>
  <c r="T134" i="4"/>
  <c r="T189" i="4"/>
  <c r="T133" i="4"/>
  <c r="T128" i="4"/>
  <c r="T124" i="4"/>
  <c r="T159" i="4"/>
  <c r="T73" i="4"/>
  <c r="T11" i="4"/>
  <c r="AB12" i="4"/>
  <c r="D12" i="4"/>
  <c r="L14" i="4"/>
  <c r="T20" i="4"/>
  <c r="AB21" i="4"/>
  <c r="D21" i="4"/>
  <c r="R25" i="4"/>
  <c r="S25" i="4" s="1"/>
  <c r="Z28" i="4"/>
  <c r="AA28" i="4" s="1"/>
  <c r="J28" i="4"/>
  <c r="K28" i="4" s="1"/>
  <c r="D37" i="4"/>
  <c r="P37" i="4"/>
  <c r="R40" i="4"/>
  <c r="S40" i="4" s="1"/>
  <c r="Z40" i="4"/>
  <c r="AA40" i="4" s="1"/>
  <c r="P40" i="4"/>
  <c r="Z41" i="4"/>
  <c r="AA41" i="4" s="1"/>
  <c r="T43" i="4"/>
  <c r="T49" i="4"/>
  <c r="Z62" i="4"/>
  <c r="AA62" i="4" s="1"/>
  <c r="L66" i="4"/>
  <c r="T66" i="4"/>
  <c r="D66" i="4"/>
  <c r="X84" i="4"/>
  <c r="Z84" i="4"/>
  <c r="AA84" i="4" s="1"/>
  <c r="R84" i="4"/>
  <c r="S84" i="4" s="1"/>
  <c r="Z88" i="4"/>
  <c r="AA88" i="4" s="1"/>
  <c r="T103" i="4"/>
  <c r="Z104" i="4"/>
  <c r="AA104" i="4" s="1"/>
  <c r="J104" i="4"/>
  <c r="K104" i="4" s="1"/>
  <c r="X104" i="4"/>
  <c r="R104" i="4"/>
  <c r="S104" i="4" s="1"/>
  <c r="D106" i="4"/>
  <c r="L106" i="4"/>
  <c r="T106" i="4"/>
  <c r="J110" i="4"/>
  <c r="K110" i="4" s="1"/>
  <c r="Z116" i="4"/>
  <c r="AA116" i="4" s="1"/>
  <c r="R116" i="4"/>
  <c r="S116" i="4" s="1"/>
  <c r="X116" i="4"/>
  <c r="P116" i="4"/>
  <c r="Z123" i="4"/>
  <c r="AA123" i="4" s="1"/>
  <c r="R137" i="4"/>
  <c r="S137" i="4" s="1"/>
  <c r="Z137" i="4"/>
  <c r="AA137" i="4" s="1"/>
  <c r="J137" i="4"/>
  <c r="K137" i="4" s="1"/>
  <c r="P137" i="4"/>
  <c r="T154" i="4"/>
  <c r="AB155" i="4"/>
  <c r="R43" i="4"/>
  <c r="S43" i="4" s="1"/>
  <c r="Z43" i="4"/>
  <c r="AA43" i="4" s="1"/>
  <c r="Z45" i="4"/>
  <c r="AA45" i="4" s="1"/>
  <c r="J45" i="4"/>
  <c r="K45" i="4" s="1"/>
  <c r="P45" i="4"/>
  <c r="J47" i="4"/>
  <c r="K47" i="4" s="1"/>
  <c r="R47" i="4"/>
  <c r="S47" i="4" s="1"/>
  <c r="P47" i="4"/>
  <c r="R49" i="4"/>
  <c r="S49" i="4" s="1"/>
  <c r="Z49" i="4"/>
  <c r="AA49" i="4" s="1"/>
  <c r="Z51" i="4"/>
  <c r="AA51" i="4" s="1"/>
  <c r="J51" i="4"/>
  <c r="K51" i="4" s="1"/>
  <c r="P51" i="4"/>
  <c r="J53" i="4"/>
  <c r="K53" i="4" s="1"/>
  <c r="R53" i="4"/>
  <c r="S53" i="4" s="1"/>
  <c r="P53" i="4"/>
  <c r="T59" i="4"/>
  <c r="D59" i="4"/>
  <c r="AB59" i="4"/>
  <c r="P74" i="4"/>
  <c r="AA79" i="4"/>
  <c r="K83" i="4"/>
  <c r="T86" i="4"/>
  <c r="L93" i="4"/>
  <c r="D93" i="4"/>
  <c r="X99" i="4"/>
  <c r="R99" i="4"/>
  <c r="S99" i="4" s="1"/>
  <c r="J99" i="4"/>
  <c r="K99" i="4" s="1"/>
  <c r="L105" i="4"/>
  <c r="D105" i="4"/>
  <c r="J109" i="4"/>
  <c r="K109" i="4" s="1"/>
  <c r="Z109" i="4"/>
  <c r="AA109" i="4" s="1"/>
  <c r="R109" i="4"/>
  <c r="S109" i="4" s="1"/>
  <c r="P109" i="4"/>
  <c r="AB110" i="4"/>
  <c r="D114" i="4"/>
  <c r="L114" i="4"/>
  <c r="T161" i="4"/>
  <c r="AB169" i="4"/>
  <c r="S173" i="4"/>
  <c r="T175" i="4"/>
  <c r="L175" i="4"/>
  <c r="D175" i="4"/>
  <c r="AA61" i="4"/>
  <c r="K65" i="4"/>
  <c r="T68" i="4"/>
  <c r="P82" i="4"/>
  <c r="J82" i="4"/>
  <c r="K82" i="4" s="1"/>
  <c r="R82" i="4"/>
  <c r="S82" i="4" s="1"/>
  <c r="D86" i="4"/>
  <c r="P94" i="4"/>
  <c r="J94" i="4"/>
  <c r="K94" i="4" s="1"/>
  <c r="Z94" i="4"/>
  <c r="AA94" i="4" s="1"/>
  <c r="X94" i="4"/>
  <c r="Z95" i="4"/>
  <c r="AA95" i="4" s="1"/>
  <c r="R95" i="4"/>
  <c r="S95" i="4" s="1"/>
  <c r="Z101" i="4"/>
  <c r="AA101" i="4" s="1"/>
  <c r="X101" i="4"/>
  <c r="L102" i="4"/>
  <c r="T102" i="4"/>
  <c r="J106" i="4"/>
  <c r="K106" i="4" s="1"/>
  <c r="Z106" i="4"/>
  <c r="AA106" i="4" s="1"/>
  <c r="X106" i="4"/>
  <c r="R111" i="4"/>
  <c r="S111" i="4" s="1"/>
  <c r="X111" i="4"/>
  <c r="T114" i="4"/>
  <c r="D135" i="4"/>
  <c r="AB135" i="4"/>
  <c r="L135" i="4"/>
  <c r="T137" i="4"/>
  <c r="D138" i="4"/>
  <c r="L138" i="4"/>
  <c r="T138" i="4"/>
  <c r="L154" i="4"/>
  <c r="K192" i="4"/>
  <c r="P29" i="4"/>
  <c r="P36" i="4"/>
  <c r="J56" i="4"/>
  <c r="K56" i="4" s="1"/>
  <c r="R56" i="4"/>
  <c r="S56" i="4" s="1"/>
  <c r="AB64" i="4"/>
  <c r="D64" i="4"/>
  <c r="AA65" i="4"/>
  <c r="AB68" i="4"/>
  <c r="L72" i="4"/>
  <c r="T72" i="4"/>
  <c r="D72" i="4"/>
  <c r="K73" i="4"/>
  <c r="T83" i="4"/>
  <c r="D83" i="4"/>
  <c r="AB83" i="4"/>
  <c r="R90" i="4"/>
  <c r="S90" i="4" s="1"/>
  <c r="K98" i="4"/>
  <c r="R101" i="4"/>
  <c r="S101" i="4" s="1"/>
  <c r="T115" i="4"/>
  <c r="L121" i="4"/>
  <c r="J124" i="4"/>
  <c r="K124" i="4" s="1"/>
  <c r="P124" i="4"/>
  <c r="X124" i="4"/>
  <c r="R129" i="4"/>
  <c r="S129" i="4" s="1"/>
  <c r="X129" i="4"/>
  <c r="Z129" i="4"/>
  <c r="AA129" i="4" s="1"/>
  <c r="J129" i="4"/>
  <c r="K129" i="4" s="1"/>
  <c r="R131" i="4"/>
  <c r="S131" i="4" s="1"/>
  <c r="Z131" i="4"/>
  <c r="AA131" i="4" s="1"/>
  <c r="J131" i="4"/>
  <c r="K131" i="4" s="1"/>
  <c r="P131" i="4"/>
  <c r="D134" i="4"/>
  <c r="AB134" i="4"/>
  <c r="L134" i="4"/>
  <c r="T135" i="4"/>
  <c r="D142" i="4"/>
  <c r="L142" i="4"/>
  <c r="AB142" i="4"/>
  <c r="P160" i="4"/>
  <c r="R160" i="4"/>
  <c r="S160" i="4" s="1"/>
  <c r="Z160" i="4"/>
  <c r="AA160" i="4" s="1"/>
  <c r="J160" i="4"/>
  <c r="K160" i="4" s="1"/>
  <c r="X160" i="4"/>
  <c r="T166" i="4"/>
  <c r="D166" i="4"/>
  <c r="L166" i="4"/>
  <c r="AB166" i="4"/>
  <c r="L179" i="4"/>
  <c r="T179" i="4"/>
  <c r="D179" i="4"/>
  <c r="AB179" i="4"/>
  <c r="X102" i="4"/>
  <c r="R102" i="4"/>
  <c r="S102" i="4" s="1"/>
  <c r="P102" i="4"/>
  <c r="X109" i="4"/>
  <c r="J115" i="4"/>
  <c r="K115" i="4" s="1"/>
  <c r="Z115" i="4"/>
  <c r="AA115" i="4" s="1"/>
  <c r="X115" i="4"/>
  <c r="R115" i="4"/>
  <c r="S115" i="4" s="1"/>
  <c r="R120" i="4"/>
  <c r="S120" i="4" s="1"/>
  <c r="J120" i="4"/>
  <c r="K120" i="4" s="1"/>
  <c r="P120" i="4"/>
  <c r="AB126" i="4"/>
  <c r="Z133" i="4"/>
  <c r="AA133" i="4" s="1"/>
  <c r="J133" i="4"/>
  <c r="K133" i="4" s="1"/>
  <c r="R133" i="4"/>
  <c r="S133" i="4" s="1"/>
  <c r="P133" i="4"/>
  <c r="J135" i="4"/>
  <c r="K135" i="4" s="1"/>
  <c r="R135" i="4"/>
  <c r="S135" i="4" s="1"/>
  <c r="X135" i="4"/>
  <c r="Z135" i="4"/>
  <c r="AA135" i="4" s="1"/>
  <c r="D141" i="4"/>
  <c r="AB141" i="4"/>
  <c r="L141" i="4"/>
  <c r="D144" i="4"/>
  <c r="L144" i="4"/>
  <c r="P165" i="4"/>
  <c r="J165" i="4"/>
  <c r="K165" i="4" s="1"/>
  <c r="X165" i="4"/>
  <c r="AB168" i="4"/>
  <c r="D168" i="4"/>
  <c r="L168" i="4"/>
  <c r="T168" i="4"/>
  <c r="P180" i="4"/>
  <c r="X180" i="4"/>
  <c r="J180" i="4"/>
  <c r="K180" i="4" s="1"/>
  <c r="R180" i="4"/>
  <c r="S180" i="4" s="1"/>
  <c r="L184" i="4"/>
  <c r="AB185" i="4"/>
  <c r="J54" i="4"/>
  <c r="K54" i="4" s="1"/>
  <c r="J57" i="4"/>
  <c r="K57" i="4" s="1"/>
  <c r="X61" i="4"/>
  <c r="J63" i="4"/>
  <c r="K63" i="4" s="1"/>
  <c r="X67" i="4"/>
  <c r="J69" i="4"/>
  <c r="K69" i="4" s="1"/>
  <c r="X73" i="4"/>
  <c r="J75" i="4"/>
  <c r="K75" i="4" s="1"/>
  <c r="X79" i="4"/>
  <c r="J81" i="4"/>
  <c r="K81" i="4" s="1"/>
  <c r="X85" i="4"/>
  <c r="J87" i="4"/>
  <c r="K87" i="4" s="1"/>
  <c r="X91" i="4"/>
  <c r="P97" i="4"/>
  <c r="J97" i="4"/>
  <c r="K97" i="4" s="1"/>
  <c r="R97" i="4"/>
  <c r="S97" i="4" s="1"/>
  <c r="X98" i="4"/>
  <c r="AB107" i="4"/>
  <c r="T109" i="4"/>
  <c r="Z112" i="4"/>
  <c r="AA112" i="4" s="1"/>
  <c r="L116" i="4"/>
  <c r="L124" i="4"/>
  <c r="J126" i="4"/>
  <c r="K126" i="4" s="1"/>
  <c r="T127" i="4"/>
  <c r="Z130" i="4"/>
  <c r="AA130" i="4" s="1"/>
  <c r="J130" i="4"/>
  <c r="K130" i="4" s="1"/>
  <c r="X130" i="4"/>
  <c r="L133" i="4"/>
  <c r="R143" i="4"/>
  <c r="S143" i="4" s="1"/>
  <c r="Z143" i="4"/>
  <c r="AA143" i="4" s="1"/>
  <c r="J143" i="4"/>
  <c r="K143" i="4" s="1"/>
  <c r="P143" i="4"/>
  <c r="D150" i="4"/>
  <c r="L150" i="4"/>
  <c r="AA158" i="4"/>
  <c r="T163" i="4"/>
  <c r="AB163" i="4"/>
  <c r="L182" i="4"/>
  <c r="S188" i="4"/>
  <c r="L194" i="4"/>
  <c r="AB194" i="4"/>
  <c r="D194" i="4"/>
  <c r="L57" i="4"/>
  <c r="AB61" i="4"/>
  <c r="D61" i="4"/>
  <c r="L63" i="4"/>
  <c r="AB67" i="4"/>
  <c r="D67" i="4"/>
  <c r="L69" i="4"/>
  <c r="AB73" i="4"/>
  <c r="D73" i="4"/>
  <c r="L75" i="4"/>
  <c r="AB79" i="4"/>
  <c r="D79" i="4"/>
  <c r="L81" i="4"/>
  <c r="AB85" i="4"/>
  <c r="D85" i="4"/>
  <c r="L87" i="4"/>
  <c r="AB91" i="4"/>
  <c r="D91" i="4"/>
  <c r="P100" i="4"/>
  <c r="J100" i="4"/>
  <c r="K100" i="4" s="1"/>
  <c r="R100" i="4"/>
  <c r="S100" i="4" s="1"/>
  <c r="Z126" i="4"/>
  <c r="AA126" i="4" s="1"/>
  <c r="D132" i="4"/>
  <c r="L132" i="4"/>
  <c r="T157" i="4"/>
  <c r="AB157" i="4"/>
  <c r="D157" i="4"/>
  <c r="L157" i="4"/>
  <c r="L164" i="4"/>
  <c r="T164" i="4"/>
  <c r="P171" i="4"/>
  <c r="Z171" i="4"/>
  <c r="AA171" i="4" s="1"/>
  <c r="R171" i="4"/>
  <c r="S171" i="4" s="1"/>
  <c r="T172" i="4"/>
  <c r="AB172" i="4"/>
  <c r="X176" i="4"/>
  <c r="R176" i="4"/>
  <c r="S176" i="4" s="1"/>
  <c r="P176" i="4"/>
  <c r="L181" i="4"/>
  <c r="AB57" i="4"/>
  <c r="AB63" i="4"/>
  <c r="AB69" i="4"/>
  <c r="AB75" i="4"/>
  <c r="AB81" i="4"/>
  <c r="AB87" i="4"/>
  <c r="X93" i="4"/>
  <c r="R93" i="4"/>
  <c r="S93" i="4" s="1"/>
  <c r="P93" i="4"/>
  <c r="AB103" i="4"/>
  <c r="D103" i="4"/>
  <c r="X105" i="4"/>
  <c r="R105" i="4"/>
  <c r="S105" i="4" s="1"/>
  <c r="P105" i="4"/>
  <c r="K112" i="4"/>
  <c r="R112" i="4"/>
  <c r="S112" i="4" s="1"/>
  <c r="P114" i="4"/>
  <c r="J121" i="4"/>
  <c r="K121" i="4" s="1"/>
  <c r="Z121" i="4"/>
  <c r="AA121" i="4" s="1"/>
  <c r="P121" i="4"/>
  <c r="AB124" i="4"/>
  <c r="Z128" i="4"/>
  <c r="AA128" i="4" s="1"/>
  <c r="R128" i="4"/>
  <c r="S128" i="4" s="1"/>
  <c r="X128" i="4"/>
  <c r="P128" i="4"/>
  <c r="T132" i="4"/>
  <c r="Z145" i="4"/>
  <c r="AA145" i="4" s="1"/>
  <c r="J145" i="4"/>
  <c r="K145" i="4" s="1"/>
  <c r="R145" i="4"/>
  <c r="S145" i="4" s="1"/>
  <c r="D152" i="4"/>
  <c r="L152" i="4"/>
  <c r="L158" i="4"/>
  <c r="T158" i="4"/>
  <c r="AB158" i="4"/>
  <c r="AA166" i="4"/>
  <c r="T176" i="4"/>
  <c r="T177" i="4"/>
  <c r="P183" i="4"/>
  <c r="X183" i="4"/>
  <c r="J183" i="4"/>
  <c r="K183" i="4" s="1"/>
  <c r="AB188" i="4"/>
  <c r="L191" i="4"/>
  <c r="L197" i="4"/>
  <c r="T197" i="4"/>
  <c r="D197" i="4"/>
  <c r="P57" i="4"/>
  <c r="P63" i="4"/>
  <c r="P69" i="4"/>
  <c r="P75" i="4"/>
  <c r="P81" i="4"/>
  <c r="P87" i="4"/>
  <c r="L96" i="4"/>
  <c r="AB96" i="4"/>
  <c r="T101" i="4"/>
  <c r="L110" i="4"/>
  <c r="Z139" i="4"/>
  <c r="AA139" i="4" s="1"/>
  <c r="J139" i="4"/>
  <c r="K139" i="4" s="1"/>
  <c r="R139" i="4"/>
  <c r="S139" i="4" s="1"/>
  <c r="T152" i="4"/>
  <c r="K157" i="4"/>
  <c r="S164" i="4"/>
  <c r="AA167" i="4"/>
  <c r="P177" i="4"/>
  <c r="Z177" i="4"/>
  <c r="AA177" i="4" s="1"/>
  <c r="R177" i="4"/>
  <c r="S177" i="4" s="1"/>
  <c r="J134" i="4"/>
  <c r="K134" i="4" s="1"/>
  <c r="J140" i="4"/>
  <c r="K140" i="4" s="1"/>
  <c r="J146" i="4"/>
  <c r="K146" i="4" s="1"/>
  <c r="AB154" i="4"/>
  <c r="J156" i="4"/>
  <c r="K156" i="4" s="1"/>
  <c r="R156" i="4"/>
  <c r="S156" i="4" s="1"/>
  <c r="P159" i="4"/>
  <c r="J159" i="4"/>
  <c r="K159" i="4" s="1"/>
  <c r="R159" i="4"/>
  <c r="S159" i="4" s="1"/>
  <c r="P168" i="4"/>
  <c r="X168" i="4"/>
  <c r="J168" i="4"/>
  <c r="K168" i="4" s="1"/>
  <c r="AB180" i="4"/>
  <c r="D180" i="4"/>
  <c r="L180" i="4"/>
  <c r="T180" i="4"/>
  <c r="T184" i="4"/>
  <c r="AB184" i="4"/>
  <c r="K189" i="4"/>
  <c r="X191" i="4"/>
  <c r="J191" i="4"/>
  <c r="K191" i="4" s="1"/>
  <c r="R191" i="4"/>
  <c r="S191" i="4" s="1"/>
  <c r="J132" i="4"/>
  <c r="K132" i="4" s="1"/>
  <c r="R132" i="4"/>
  <c r="S132" i="4" s="1"/>
  <c r="P132" i="4"/>
  <c r="R134" i="4"/>
  <c r="S134" i="4" s="1"/>
  <c r="Z134" i="4"/>
  <c r="AA134" i="4" s="1"/>
  <c r="Z136" i="4"/>
  <c r="AA136" i="4" s="1"/>
  <c r="J136" i="4"/>
  <c r="K136" i="4" s="1"/>
  <c r="P136" i="4"/>
  <c r="J138" i="4"/>
  <c r="K138" i="4" s="1"/>
  <c r="R138" i="4"/>
  <c r="S138" i="4" s="1"/>
  <c r="P138" i="4"/>
  <c r="R140" i="4"/>
  <c r="S140" i="4" s="1"/>
  <c r="Z140" i="4"/>
  <c r="AA140" i="4" s="1"/>
  <c r="Z142" i="4"/>
  <c r="AA142" i="4" s="1"/>
  <c r="J142" i="4"/>
  <c r="K142" i="4" s="1"/>
  <c r="P142" i="4"/>
  <c r="J144" i="4"/>
  <c r="K144" i="4" s="1"/>
  <c r="R144" i="4"/>
  <c r="S144" i="4" s="1"/>
  <c r="P144" i="4"/>
  <c r="R146" i="4"/>
  <c r="S146" i="4" s="1"/>
  <c r="Z146" i="4"/>
  <c r="AA146" i="4" s="1"/>
  <c r="Z148" i="4"/>
  <c r="AA148" i="4" s="1"/>
  <c r="J148" i="4"/>
  <c r="K148" i="4" s="1"/>
  <c r="P148" i="4"/>
  <c r="J150" i="4"/>
  <c r="K150" i="4" s="1"/>
  <c r="R150" i="4"/>
  <c r="S150" i="4" s="1"/>
  <c r="P150" i="4"/>
  <c r="AB161" i="4"/>
  <c r="Z168" i="4"/>
  <c r="AA168" i="4" s="1"/>
  <c r="L170" i="4"/>
  <c r="T178" i="4"/>
  <c r="D178" i="4"/>
  <c r="AB178" i="4"/>
  <c r="X188" i="4"/>
  <c r="J188" i="4"/>
  <c r="K188" i="4" s="1"/>
  <c r="P188" i="4"/>
  <c r="AB189" i="4"/>
  <c r="D189" i="4"/>
  <c r="L189" i="4"/>
  <c r="S197" i="4"/>
  <c r="T198" i="4"/>
  <c r="T199" i="4"/>
  <c r="D199" i="4"/>
  <c r="P134" i="4"/>
  <c r="P140" i="4"/>
  <c r="P146" i="4"/>
  <c r="X156" i="4"/>
  <c r="AA175" i="4"/>
  <c r="L185" i="4"/>
  <c r="D185" i="4"/>
  <c r="K186" i="4"/>
  <c r="L190" i="4"/>
  <c r="X197" i="4"/>
  <c r="J197" i="4"/>
  <c r="K197" i="4" s="1"/>
  <c r="Z197" i="4"/>
  <c r="AA197" i="4" s="1"/>
  <c r="J151" i="4"/>
  <c r="K151" i="4" s="1"/>
  <c r="J154" i="4"/>
  <c r="K154" i="4" s="1"/>
  <c r="P158" i="4"/>
  <c r="P164" i="4"/>
  <c r="J167" i="4"/>
  <c r="K167" i="4" s="1"/>
  <c r="T169" i="4"/>
  <c r="AA169" i="4"/>
  <c r="Z174" i="4"/>
  <c r="AA174" i="4" s="1"/>
  <c r="L176" i="4"/>
  <c r="AB176" i="4"/>
  <c r="J179" i="4"/>
  <c r="K179" i="4" s="1"/>
  <c r="T181" i="4"/>
  <c r="AA181" i="4"/>
  <c r="Z186" i="4"/>
  <c r="AA186" i="4" s="1"/>
  <c r="L188" i="4"/>
  <c r="X194" i="4"/>
  <c r="J194" i="4"/>
  <c r="K194" i="4" s="1"/>
  <c r="R194" i="4"/>
  <c r="S194" i="4" s="1"/>
  <c r="AB198" i="4"/>
  <c r="D198" i="4"/>
  <c r="AA199" i="4"/>
  <c r="AB159" i="4"/>
  <c r="D159" i="4"/>
  <c r="L161" i="4"/>
  <c r="AB165" i="4"/>
  <c r="D165" i="4"/>
  <c r="R174" i="4"/>
  <c r="S174" i="4" s="1"/>
  <c r="R186" i="4"/>
  <c r="S186" i="4" s="1"/>
  <c r="T193" i="4"/>
  <c r="AA193" i="4"/>
  <c r="P167" i="4"/>
  <c r="AB177" i="4"/>
  <c r="D177" i="4"/>
  <c r="P179" i="4"/>
  <c r="T190" i="4"/>
  <c r="AA190" i="4"/>
  <c r="AB193" i="4"/>
  <c r="Z189" i="4"/>
  <c r="AA189" i="4" s="1"/>
  <c r="Z192" i="4"/>
  <c r="AA192" i="4" s="1"/>
  <c r="Z195" i="4"/>
  <c r="AA195" i="4" s="1"/>
  <c r="Z198" i="4"/>
  <c r="AA198" i="4" s="1"/>
  <c r="R4" i="4"/>
  <c r="J4" i="4"/>
  <c r="K4" i="4" s="1"/>
  <c r="X4" i="4"/>
  <c r="P4" i="4"/>
  <c r="S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<sst xmlns="http://schemas.openxmlformats.org/spreadsheetml/2006/main" count="946" uniqueCount="283">
  <si>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</si>
  <si>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</si>
  <si>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</si>
  <si>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</si>
  <si>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</si>
  <si>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</si>
  <si>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</si>
  <si>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</si>
  <si>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</si>
  <si>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</si>
  <si>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</si>
  <si>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</si>
  <si>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</si>
  <si>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</si>
  <si>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</si>
  <si>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</si>
  <si>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</si>
  <si>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</si>
  <si>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</si>
  <si>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</si>
  <si>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</si>
  <si>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準備工</t>
  </si>
  <si>
    <t>54号内訳書</t>
  </si>
  <si>
    <t xml:space="preserve">r20718007 </t>
  </si>
  <si>
    <t>労務費</t>
  </si>
  <si>
    <t>運転工</t>
  </si>
  <si>
    <t>8H</t>
  </si>
  <si>
    <t>人</t>
  </si>
  <si>
    <t xml:space="preserve">k20718001 </t>
  </si>
  <si>
    <t>機械費</t>
  </si>
  <si>
    <t>小物機械　ﾊﾟｰﾄﾅ・丸ﾉｺ</t>
  </si>
  <si>
    <t>ｸﾞﾗｲﾝﾀﾞ-・ｺｱ抜きﾄﾞﾘﾙ・ﾌﾞﾛｱ　等</t>
  </si>
  <si>
    <t>台</t>
  </si>
  <si>
    <t xml:space="preserve">u20718025 </t>
  </si>
  <si>
    <t>運搬費</t>
  </si>
  <si>
    <t>2tダンプ</t>
  </si>
  <si>
    <t xml:space="preserve">u20718014 </t>
  </si>
  <si>
    <t>４ｔユニック</t>
  </si>
  <si>
    <t>/日</t>
  </si>
  <si>
    <t>根固め工</t>
  </si>
  <si>
    <t>15号内訳書</t>
  </si>
  <si>
    <t>内訳代価</t>
  </si>
  <si>
    <t>割栗石</t>
  </si>
  <si>
    <t>根固めブロック工　材料</t>
  </si>
  <si>
    <t>袋</t>
  </si>
  <si>
    <t>16号内訳書</t>
  </si>
  <si>
    <t xml:space="preserve">s20718545 </t>
  </si>
  <si>
    <t>材料費</t>
  </si>
  <si>
    <t>大型土嚢</t>
  </si>
  <si>
    <t>ﾉｰﾏﾙ</t>
  </si>
  <si>
    <t>土嚢運搬費</t>
  </si>
  <si>
    <t>回</t>
  </si>
  <si>
    <t xml:space="preserve">1-5-32-3590-1 </t>
  </si>
  <si>
    <t>割ぐり石</t>
  </si>
  <si>
    <t>径150~200mm</t>
  </si>
  <si>
    <t>m3</t>
  </si>
  <si>
    <t>袋詰め機械</t>
  </si>
  <si>
    <t xml:space="preserve">s20718549 </t>
  </si>
  <si>
    <t>軽油</t>
  </si>
  <si>
    <t>L</t>
  </si>
  <si>
    <t xml:space="preserve">k20718126 </t>
  </si>
  <si>
    <t>ラフタークレーン25t</t>
  </si>
  <si>
    <t>日台</t>
  </si>
  <si>
    <t xml:space="preserve">s20718001 </t>
  </si>
  <si>
    <t>雑材</t>
  </si>
  <si>
    <t>根固めブロック工　労務　機械</t>
  </si>
  <si>
    <t>43号内訳書</t>
  </si>
  <si>
    <t xml:space="preserve">k20718020 </t>
  </si>
  <si>
    <t>BH0.45クレーン</t>
  </si>
  <si>
    <t>低騒音・超小</t>
  </si>
  <si>
    <t>仮設工</t>
  </si>
  <si>
    <t>17号内訳書</t>
  </si>
  <si>
    <t>工事用道路盛土</t>
  </si>
  <si>
    <t>ストックヤードから運搬　材料費</t>
  </si>
  <si>
    <t>18号内訳書</t>
  </si>
  <si>
    <t xml:space="preserve">k20718145 </t>
  </si>
  <si>
    <t>敷き鉄板リース5*10</t>
  </si>
  <si>
    <t>1500*3000*22</t>
  </si>
  <si>
    <t>施工幅2.5～4.0未満　労務機械</t>
  </si>
  <si>
    <t>44号内訳書</t>
  </si>
  <si>
    <t xml:space="preserve">10日×4人 </t>
  </si>
  <si>
    <t xml:space="preserve">k20718014 </t>
  </si>
  <si>
    <t>BH0.15クレーン</t>
  </si>
  <si>
    <t xml:space="preserve">10日×1台 </t>
  </si>
  <si>
    <t xml:space="preserve">k20718018 </t>
  </si>
  <si>
    <t>BH0.25クレーン</t>
  </si>
  <si>
    <t>法面バケット</t>
  </si>
  <si>
    <t>BH0.25用</t>
  </si>
  <si>
    <t xml:space="preserve">10日×2台 </t>
  </si>
  <si>
    <t>土嚢</t>
  </si>
  <si>
    <t>19号内訳書</t>
  </si>
  <si>
    <t xml:space="preserve">s20718544 </t>
  </si>
  <si>
    <t>土嚢袋</t>
  </si>
  <si>
    <t>労務機械</t>
  </si>
  <si>
    <t>45号内訳書</t>
  </si>
  <si>
    <t xml:space="preserve">4日×4人 </t>
  </si>
  <si>
    <t xml:space="preserve">4日×4台 </t>
  </si>
  <si>
    <t xml:space="preserve">4日×2台 </t>
  </si>
  <si>
    <t>土砂運搬</t>
  </si>
  <si>
    <t>ストックヤードから運搬</t>
  </si>
  <si>
    <t>20号内訳書</t>
  </si>
  <si>
    <t xml:space="preserve">u20718005 </t>
  </si>
  <si>
    <t>ダンプトラック常用8t</t>
  </si>
  <si>
    <t>オペ燃料付き</t>
  </si>
  <si>
    <t xml:space="preserve">u20718001 </t>
  </si>
  <si>
    <t>ダンプトラック常用4t</t>
  </si>
  <si>
    <t>土砂運搬　労務機械</t>
  </si>
  <si>
    <t>46号内訳書</t>
  </si>
  <si>
    <t xml:space="preserve">10日×4台 </t>
  </si>
  <si>
    <t xml:space="preserve">u0003 </t>
  </si>
  <si>
    <t>4tﾀﾞﾝﾌﾟ</t>
  </si>
  <si>
    <t>敷鉄板</t>
  </si>
  <si>
    <t>設置撤去5×10</t>
  </si>
  <si>
    <t>m2</t>
  </si>
  <si>
    <t>21号内訳書</t>
  </si>
  <si>
    <t xml:space="preserve">s20718002 </t>
  </si>
  <si>
    <t>燃料　軽油</t>
  </si>
  <si>
    <t>枚日</t>
  </si>
  <si>
    <t>1500*3000*22 基本料</t>
  </si>
  <si>
    <t xml:space="preserve">u20718013 </t>
  </si>
  <si>
    <t>回送　トレーラー</t>
  </si>
  <si>
    <t>設置撤去5×10　労務</t>
  </si>
  <si>
    <t>47号内訳書</t>
  </si>
  <si>
    <t xml:space="preserve">8日×4人 </t>
  </si>
  <si>
    <t xml:space="preserve">8日×1台 </t>
  </si>
  <si>
    <t xml:space="preserve">8日×2台 </t>
  </si>
  <si>
    <t>工事用道路撤去</t>
  </si>
  <si>
    <t>燃料費</t>
  </si>
  <si>
    <t>48号内訳書</t>
  </si>
  <si>
    <t>22号内訳書</t>
  </si>
  <si>
    <t xml:space="preserve">15日×4人 </t>
  </si>
  <si>
    <t xml:space="preserve">15日×1台 </t>
  </si>
  <si>
    <t>BH0.15用</t>
  </si>
  <si>
    <t xml:space="preserve">15日×2台 </t>
  </si>
  <si>
    <t>土のう撤去</t>
  </si>
  <si>
    <t>24号内訳書</t>
  </si>
  <si>
    <t xml:space="preserve">2日×4人 </t>
  </si>
  <si>
    <t xml:space="preserve">2日×4台 </t>
  </si>
  <si>
    <t>産業廃棄物処分費</t>
  </si>
  <si>
    <t>49号内訳書</t>
  </si>
  <si>
    <t xml:space="preserve">u20718048 </t>
  </si>
  <si>
    <t>産廃運搬処分</t>
  </si>
  <si>
    <t>8tDT　運搬</t>
  </si>
  <si>
    <t>25号内訳書</t>
  </si>
  <si>
    <t>8tDT　労務機械</t>
  </si>
  <si>
    <t>50号内訳書</t>
  </si>
  <si>
    <t xml:space="preserve">15日×1人 </t>
  </si>
  <si>
    <t>瀬又置き場 15日×1台</t>
  </si>
  <si>
    <t>防護柵工</t>
  </si>
  <si>
    <t>26号内訳書</t>
  </si>
  <si>
    <t>転落防止柵(新設)</t>
  </si>
  <si>
    <t>ｍ</t>
  </si>
  <si>
    <t>27号内訳書</t>
  </si>
  <si>
    <t xml:space="preserve">1-5-33-67624-1 </t>
  </si>
  <si>
    <t>外注費</t>
  </si>
  <si>
    <t xml:space="preserve">転落防止さく </t>
  </si>
  <si>
    <t>柵高1100mm　材料</t>
  </si>
  <si>
    <t>柵高1100mm　材料　運賃</t>
  </si>
  <si>
    <t>転落防止さく 設置</t>
  </si>
  <si>
    <t>柵高1100mm</t>
  </si>
  <si>
    <t>転落防止柵(再設置)</t>
  </si>
  <si>
    <t>28号内訳書</t>
  </si>
  <si>
    <t xml:space="preserve">g20718106 </t>
  </si>
  <si>
    <t>法定福利費</t>
  </si>
  <si>
    <t>労務費*15.15%</t>
  </si>
  <si>
    <t>転落防止柵(撤去）</t>
  </si>
  <si>
    <t>53号内訳書</t>
  </si>
  <si>
    <t>管理用道路工</t>
  </si>
  <si>
    <t>29号内訳書</t>
  </si>
  <si>
    <t>舗装版切断工</t>
  </si>
  <si>
    <t>As　t=5cm</t>
  </si>
  <si>
    <t>30号内訳書</t>
  </si>
  <si>
    <t xml:space="preserve">g20718050 </t>
  </si>
  <si>
    <t>舗装切断(最低)</t>
  </si>
  <si>
    <t>最低補償</t>
  </si>
  <si>
    <t>舗装版破砕　As　t=5cm</t>
  </si>
  <si>
    <t>不陸整正　RC-40</t>
  </si>
  <si>
    <t>31号内訳書</t>
  </si>
  <si>
    <t xml:space="preserve">s20718025 </t>
  </si>
  <si>
    <t>RC-40</t>
  </si>
  <si>
    <t>ｔ</t>
  </si>
  <si>
    <t xml:space="preserve">k20718028 </t>
  </si>
  <si>
    <t>押ブルドーザー</t>
  </si>
  <si>
    <t>D20 低騒音</t>
  </si>
  <si>
    <t xml:space="preserve">k20718024 </t>
  </si>
  <si>
    <t>タイヤショベル0.5</t>
  </si>
  <si>
    <t>低騒音</t>
  </si>
  <si>
    <t xml:space="preserve">k20718031 </t>
  </si>
  <si>
    <t>コンバインドR</t>
  </si>
  <si>
    <t>3t　4ｔ　低騒音</t>
  </si>
  <si>
    <t xml:space="preserve">u20718008 </t>
  </si>
  <si>
    <t>WP</t>
  </si>
  <si>
    <t>殻運搬処分費1</t>
  </si>
  <si>
    <t>32号内訳書</t>
  </si>
  <si>
    <t xml:space="preserve">u20718037 </t>
  </si>
  <si>
    <t>As塊処分</t>
  </si>
  <si>
    <t>t</t>
  </si>
  <si>
    <t>端数調整金</t>
  </si>
  <si>
    <t>表層工</t>
  </si>
  <si>
    <t>再生密粒度As13　t=5cm</t>
  </si>
  <si>
    <t>34号内訳書</t>
  </si>
  <si>
    <t xml:space="preserve">s20718006 </t>
  </si>
  <si>
    <t>R密粒度As13</t>
  </si>
  <si>
    <t xml:space="preserve">s20718015 </t>
  </si>
  <si>
    <t>乳剤PK-3・4</t>
  </si>
  <si>
    <t>舗装</t>
  </si>
  <si>
    <t xml:space="preserve">k20718053 </t>
  </si>
  <si>
    <t>Asフィニッシャー4.4m</t>
  </si>
  <si>
    <t>片付け</t>
  </si>
  <si>
    <t>35号内訳書</t>
  </si>
  <si>
    <t>仮設材運搬費</t>
  </si>
  <si>
    <t>36号内訳書</t>
  </si>
  <si>
    <t>安全管理費</t>
  </si>
  <si>
    <t>交通誘導員</t>
  </si>
  <si>
    <t>51号内訳書</t>
  </si>
  <si>
    <t xml:space="preserve">g2003 </t>
  </si>
  <si>
    <t>交通誘導員(昼間8h)</t>
  </si>
  <si>
    <t>1級・2級資格者　</t>
  </si>
  <si>
    <t xml:space="preserve">g2001 </t>
  </si>
  <si>
    <t>安全管理費2</t>
  </si>
  <si>
    <t>52号内訳書</t>
  </si>
  <si>
    <t xml:space="preserve">s20718020 </t>
  </si>
  <si>
    <t>ｺｰﾙﾄﾞﾊﾟｰﾐｸｽ</t>
  </si>
  <si>
    <t xml:space="preserve">k20718132 </t>
  </si>
  <si>
    <t>保安資材</t>
  </si>
  <si>
    <t>購入・損料</t>
  </si>
  <si>
    <t>重機運搬費1</t>
  </si>
  <si>
    <t>土工</t>
  </si>
  <si>
    <t>37号内訳書</t>
  </si>
  <si>
    <t xml:space="preserve">u20718012 </t>
  </si>
  <si>
    <t>回送　大型セルフ</t>
  </si>
  <si>
    <t>BH0.45/BH0.25*2/BH0.15 4DT</t>
  </si>
  <si>
    <t>重機運搬費2</t>
  </si>
  <si>
    <t>舗装　稲垣分</t>
  </si>
  <si>
    <t>38号内訳書</t>
  </si>
  <si>
    <t xml:space="preserve">u20718018 </t>
  </si>
  <si>
    <t>AF回送　大型セルフ(44)</t>
  </si>
  <si>
    <t>TS/BH/CR</t>
  </si>
  <si>
    <t xml:space="preserve">u20718016 </t>
  </si>
  <si>
    <t>雑回送</t>
  </si>
  <si>
    <t>現場管理工</t>
  </si>
  <si>
    <t>コア穴埋め</t>
  </si>
  <si>
    <t>39号内訳書</t>
  </si>
  <si>
    <t>技術管理工</t>
  </si>
  <si>
    <t>40号内訳書</t>
  </si>
  <si>
    <t>測量資材</t>
  </si>
  <si>
    <t xml:space="preserve">g20718051 </t>
  </si>
  <si>
    <t>Asコア採取(最低)</t>
  </si>
  <si>
    <t>測量機器</t>
  </si>
  <si>
    <t>/月</t>
  </si>
  <si>
    <t>外注工1</t>
  </si>
  <si>
    <t>南産業</t>
  </si>
  <si>
    <t>41号内訳書</t>
  </si>
  <si>
    <t>労務費*16%</t>
  </si>
  <si>
    <t xml:space="preserve">g20718107 </t>
  </si>
  <si>
    <t>外注経費</t>
  </si>
  <si>
    <t>材工8％</t>
  </si>
  <si>
    <t>外注工2</t>
  </si>
  <si>
    <t>稲垣建設</t>
  </si>
  <si>
    <t>42号内訳書</t>
  </si>
  <si>
    <t>元請け相殺　</t>
  </si>
  <si>
    <t>材料・機械</t>
  </si>
  <si>
    <t>55号内訳書</t>
  </si>
  <si>
    <t xml:space="preserve">s20718029 </t>
  </si>
  <si>
    <t>50-150mm</t>
  </si>
  <si>
    <t>ボトルユニット</t>
  </si>
  <si>
    <t>納入運賃</t>
  </si>
  <si>
    <t>型枠</t>
  </si>
  <si>
    <t>産業廃棄物処理</t>
  </si>
  <si>
    <t>丁張材</t>
  </si>
  <si>
    <t xml:space="preserve">1-5-33-67658-1 </t>
  </si>
  <si>
    <t>ｱﾙﾐ矢板(賃貸)</t>
  </si>
  <si>
    <t>有効幅333mmL1500mm</t>
  </si>
  <si>
    <t>枚/日</t>
  </si>
  <si>
    <t xml:space="preserve">k20718127 </t>
  </si>
  <si>
    <t xml:space="preserve">k20718099 </t>
  </si>
  <si>
    <t>クレーン付トラック4t</t>
  </si>
  <si>
    <t xml:space="preserve">k20718092 </t>
  </si>
  <si>
    <t>BH0.4クレーン</t>
  </si>
  <si>
    <t xml:space="preserve">k20718065 </t>
  </si>
  <si>
    <t>ランマー</t>
  </si>
  <si>
    <t>予算2</t>
    <phoneticPr fontId="3"/>
  </si>
  <si>
    <t>県単河川維持工事(村田川草刈護岸工)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</si>
</sst>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96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282</v>
      </c>
      <c r="G1" s="51" t="s">
        <v>19</v>
      </c>
      <c r="H1">
        <v>1</v>
      </c>
      <c r="I1" s="58">
        <v>20500000</v>
      </c>
      <c r="J1" s="59">
        <v>20500000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G2" s="51" t="s">
        <v>19</v>
      </c>
      <c r="H2">
        <v>1</v>
      </c>
      <c r="I2" s="58">
        <v>234000</v>
      </c>
      <c r="J2" s="59">
        <v>234000</v>
      </c>
      <c r="K2">
        <v>1</v>
      </c>
      <c r="M2" s="51" t="s">
        <v>22</v>
      </c>
      <c r="O2" s="52"/>
    </row>
    <row r="3" spans="1:15" x14ac:dyDescent="0.15">
      <c r="A3">
        <v>2</v>
      </c>
      <c r="B3" s="51" t="s">
        <v>23</v>
      </c>
      <c r="D3" s="51" t="s">
        <v>24</v>
      </c>
      <c r="E3" s="51" t="s">
        <v>25</v>
      </c>
      <c r="F3" s="51" t="s">
        <v>26</v>
      </c>
      <c r="G3" s="51" t="s">
        <v>27</v>
      </c>
      <c r="H3">
        <v>8</v>
      </c>
      <c r="I3" s="58">
        <v>23000</v>
      </c>
      <c r="J3" s="59">
        <v>184000</v>
      </c>
      <c r="K3">
        <v>1</v>
      </c>
      <c r="O3" s="52"/>
    </row>
    <row r="4" spans="1:15" x14ac:dyDescent="0.15">
      <c r="A4">
        <v>2</v>
      </c>
      <c r="B4" s="51" t="s">
        <v>28</v>
      </c>
      <c r="D4" s="51" t="s">
        <v>29</v>
      </c>
      <c r="E4" s="51" t="s">
        <v>30</v>
      </c>
      <c r="F4" s="51" t="s">
        <v>31</v>
      </c>
      <c r="G4" s="51" t="s">
        <v>32</v>
      </c>
      <c r="H4">
        <v>2</v>
      </c>
      <c r="I4" s="58">
        <v>3000</v>
      </c>
      <c r="J4" s="59">
        <v>6000</v>
      </c>
      <c r="K4">
        <v>1</v>
      </c>
      <c r="O4" s="52"/>
    </row>
    <row r="5" spans="1:15" x14ac:dyDescent="0.15">
      <c r="A5">
        <v>2</v>
      </c>
      <c r="B5" s="51" t="s">
        <v>33</v>
      </c>
      <c r="D5" s="51" t="s">
        <v>34</v>
      </c>
      <c r="E5" s="51" t="s">
        <v>35</v>
      </c>
      <c r="G5" s="51" t="s">
        <v>32</v>
      </c>
      <c r="H5">
        <v>4</v>
      </c>
      <c r="I5" s="58">
        <v>6000</v>
      </c>
      <c r="J5" s="59">
        <v>24000</v>
      </c>
      <c r="K5">
        <v>1</v>
      </c>
      <c r="O5" s="52"/>
    </row>
    <row r="6" spans="1:15" x14ac:dyDescent="0.15">
      <c r="A6">
        <v>2</v>
      </c>
      <c r="B6" s="51" t="s">
        <v>36</v>
      </c>
      <c r="D6" s="51" t="s">
        <v>34</v>
      </c>
      <c r="E6" s="51" t="s">
        <v>37</v>
      </c>
      <c r="G6" s="51" t="s">
        <v>38</v>
      </c>
      <c r="H6">
        <v>2</v>
      </c>
      <c r="I6" s="58">
        <v>10000</v>
      </c>
      <c r="J6" s="59">
        <v>20000</v>
      </c>
      <c r="K6">
        <v>1</v>
      </c>
      <c r="O6" s="52"/>
    </row>
    <row r="7" spans="1:15" x14ac:dyDescent="0.15">
      <c r="A7">
        <v>1</v>
      </c>
      <c r="D7" s="51" t="s">
        <v>20</v>
      </c>
      <c r="E7" s="51" t="s">
        <v>39</v>
      </c>
      <c r="G7" s="51" t="s">
        <v>19</v>
      </c>
      <c r="H7">
        <v>1</v>
      </c>
      <c r="I7" s="58">
        <v>836000</v>
      </c>
      <c r="J7" s="59">
        <v>836000</v>
      </c>
      <c r="K7">
        <v>1</v>
      </c>
      <c r="M7" s="51" t="s">
        <v>40</v>
      </c>
      <c r="O7" s="52"/>
    </row>
    <row r="8" spans="1:15" x14ac:dyDescent="0.15">
      <c r="A8">
        <v>2</v>
      </c>
      <c r="D8" s="51" t="s">
        <v>41</v>
      </c>
      <c r="E8" s="51" t="s">
        <v>42</v>
      </c>
      <c r="F8" s="51" t="s">
        <v>43</v>
      </c>
      <c r="G8" s="51" t="s">
        <v>44</v>
      </c>
      <c r="H8">
        <v>76</v>
      </c>
      <c r="I8" s="58"/>
      <c r="J8" s="59"/>
      <c r="K8">
        <v>76</v>
      </c>
      <c r="M8" s="51" t="s">
        <v>45</v>
      </c>
      <c r="O8" s="52"/>
    </row>
    <row r="9" spans="1:15" x14ac:dyDescent="0.15">
      <c r="A9">
        <v>3</v>
      </c>
      <c r="B9" s="51" t="s">
        <v>46</v>
      </c>
      <c r="D9" s="51" t="s">
        <v>47</v>
      </c>
      <c r="E9" s="51" t="s">
        <v>48</v>
      </c>
      <c r="F9" s="51" t="s">
        <v>49</v>
      </c>
      <c r="G9" s="51" t="s">
        <v>44</v>
      </c>
      <c r="H9">
        <v>80</v>
      </c>
      <c r="I9" s="58"/>
      <c r="J9" s="59"/>
      <c r="K9">
        <v>1</v>
      </c>
      <c r="O9" s="52"/>
    </row>
    <row r="10" spans="1:15" x14ac:dyDescent="0.15">
      <c r="A10">
        <v>3</v>
      </c>
      <c r="D10" s="51" t="s">
        <v>47</v>
      </c>
      <c r="E10" s="51" t="s">
        <v>50</v>
      </c>
      <c r="G10" s="51" t="s">
        <v>51</v>
      </c>
      <c r="H10">
        <v>1</v>
      </c>
      <c r="I10" s="58"/>
      <c r="J10" s="59"/>
      <c r="K10">
        <v>1</v>
      </c>
      <c r="O10" s="52"/>
    </row>
    <row r="11" spans="1:15" x14ac:dyDescent="0.15">
      <c r="A11">
        <v>3</v>
      </c>
      <c r="B11" s="51" t="s">
        <v>52</v>
      </c>
      <c r="D11" s="51" t="s">
        <v>47</v>
      </c>
      <c r="E11" s="51" t="s">
        <v>53</v>
      </c>
      <c r="F11" s="51" t="s">
        <v>54</v>
      </c>
      <c r="G11" s="51" t="s">
        <v>55</v>
      </c>
      <c r="H11">
        <v>50</v>
      </c>
      <c r="I11" s="58"/>
      <c r="J11" s="59"/>
      <c r="K11">
        <v>1</v>
      </c>
      <c r="O11" s="52"/>
    </row>
    <row r="12" spans="1:15" x14ac:dyDescent="0.15">
      <c r="A12">
        <v>3</v>
      </c>
      <c r="D12" s="51" t="s">
        <v>47</v>
      </c>
      <c r="E12" s="51" t="s">
        <v>56</v>
      </c>
      <c r="G12" s="51" t="s">
        <v>19</v>
      </c>
      <c r="H12">
        <v>1</v>
      </c>
      <c r="I12" s="58"/>
      <c r="J12" s="59"/>
      <c r="K12">
        <v>1</v>
      </c>
      <c r="O12" s="52"/>
    </row>
    <row r="13" spans="1:15" x14ac:dyDescent="0.15">
      <c r="A13">
        <v>3</v>
      </c>
      <c r="B13" s="51" t="s">
        <v>57</v>
      </c>
      <c r="D13" s="51" t="s">
        <v>47</v>
      </c>
      <c r="E13" s="51" t="s">
        <v>58</v>
      </c>
      <c r="G13" s="51" t="s">
        <v>59</v>
      </c>
      <c r="H13">
        <v>0</v>
      </c>
      <c r="I13" s="58">
        <v>160</v>
      </c>
      <c r="J13" s="59"/>
      <c r="K13">
        <v>1</v>
      </c>
      <c r="O13" s="52"/>
    </row>
    <row r="14" spans="1:15" x14ac:dyDescent="0.15">
      <c r="A14">
        <v>3</v>
      </c>
      <c r="B14" s="51" t="s">
        <v>60</v>
      </c>
      <c r="D14" s="51" t="s">
        <v>29</v>
      </c>
      <c r="E14" s="51" t="s">
        <v>61</v>
      </c>
      <c r="G14" s="51" t="s">
        <v>62</v>
      </c>
      <c r="H14">
        <v>2</v>
      </c>
      <c r="I14" s="58"/>
      <c r="J14" s="59"/>
      <c r="K14">
        <v>1</v>
      </c>
      <c r="O14" s="52"/>
    </row>
    <row r="15" spans="1:15" x14ac:dyDescent="0.15">
      <c r="A15">
        <v>3</v>
      </c>
      <c r="B15" s="51" t="s">
        <v>63</v>
      </c>
      <c r="D15" s="51" t="s">
        <v>47</v>
      </c>
      <c r="E15" s="51" t="s">
        <v>64</v>
      </c>
      <c r="G15" s="51" t="s">
        <v>19</v>
      </c>
      <c r="H15">
        <v>0</v>
      </c>
      <c r="I15" s="58">
        <v>280</v>
      </c>
      <c r="J15" s="59"/>
      <c r="K15">
        <v>1</v>
      </c>
      <c r="O15" s="52"/>
    </row>
    <row r="16" spans="1:15" x14ac:dyDescent="0.15">
      <c r="A16">
        <v>2</v>
      </c>
      <c r="D16" s="51" t="s">
        <v>41</v>
      </c>
      <c r="E16" s="51" t="s">
        <v>42</v>
      </c>
      <c r="F16" s="51" t="s">
        <v>65</v>
      </c>
      <c r="G16" s="51" t="s">
        <v>44</v>
      </c>
      <c r="H16">
        <v>76</v>
      </c>
      <c r="I16" s="58">
        <v>11000</v>
      </c>
      <c r="J16" s="59">
        <v>836000</v>
      </c>
      <c r="K16">
        <v>76</v>
      </c>
      <c r="M16" s="51" t="s">
        <v>66</v>
      </c>
      <c r="O16" s="52"/>
    </row>
    <row r="17" spans="1:26" x14ac:dyDescent="0.15">
      <c r="A17">
        <v>3</v>
      </c>
      <c r="B17" s="51" t="s">
        <v>63</v>
      </c>
      <c r="D17" s="51" t="s">
        <v>47</v>
      </c>
      <c r="E17" s="51" t="s">
        <v>64</v>
      </c>
      <c r="G17" s="51" t="s">
        <v>19</v>
      </c>
      <c r="H17">
        <v>1</v>
      </c>
      <c r="I17" s="58">
        <v>14000</v>
      </c>
      <c r="J17" s="59">
        <v>14000</v>
      </c>
      <c r="K17">
        <v>1</v>
      </c>
      <c r="O17" s="52"/>
    </row>
    <row r="18" spans="1:26" x14ac:dyDescent="0.15">
      <c r="A18">
        <v>3</v>
      </c>
      <c r="B18" s="51" t="s">
        <v>23</v>
      </c>
      <c r="D18" s="51" t="s">
        <v>24</v>
      </c>
      <c r="E18" s="51" t="s">
        <v>25</v>
      </c>
      <c r="F18" s="51" t="s">
        <v>26</v>
      </c>
      <c r="G18" s="51" t="s">
        <v>27</v>
      </c>
      <c r="H18">
        <v>24</v>
      </c>
      <c r="I18" s="58">
        <v>23000</v>
      </c>
      <c r="J18" s="59">
        <v>552000</v>
      </c>
      <c r="K18">
        <v>1</v>
      </c>
      <c r="O18" s="52"/>
    </row>
    <row r="19" spans="1:26" x14ac:dyDescent="0.15">
      <c r="A19">
        <v>3</v>
      </c>
      <c r="B19" s="51" t="s">
        <v>67</v>
      </c>
      <c r="D19" s="51" t="s">
        <v>29</v>
      </c>
      <c r="E19" s="51" t="s">
        <v>68</v>
      </c>
      <c r="F19" s="51" t="s">
        <v>69</v>
      </c>
      <c r="G19" s="51" t="s">
        <v>62</v>
      </c>
      <c r="H19">
        <v>6</v>
      </c>
      <c r="I19" s="58">
        <v>14000</v>
      </c>
      <c r="J19" s="59">
        <v>84000</v>
      </c>
      <c r="K19">
        <v>1</v>
      </c>
      <c r="O19" s="52"/>
    </row>
    <row r="20" spans="1:26" x14ac:dyDescent="0.15">
      <c r="A20">
        <v>3</v>
      </c>
      <c r="B20" s="51" t="s">
        <v>67</v>
      </c>
      <c r="D20" s="51" t="s">
        <v>29</v>
      </c>
      <c r="E20" s="51" t="s">
        <v>68</v>
      </c>
      <c r="F20" s="51" t="s">
        <v>69</v>
      </c>
      <c r="G20" s="51" t="s">
        <v>62</v>
      </c>
      <c r="H20">
        <v>6</v>
      </c>
      <c r="I20" s="58">
        <v>14000</v>
      </c>
      <c r="J20" s="59">
        <v>84000</v>
      </c>
      <c r="K20">
        <v>1</v>
      </c>
      <c r="O20" s="52"/>
    </row>
    <row r="21" spans="1:26" x14ac:dyDescent="0.15">
      <c r="A21">
        <v>3</v>
      </c>
      <c r="B21" s="51" t="s">
        <v>28</v>
      </c>
      <c r="D21" s="51" t="s">
        <v>29</v>
      </c>
      <c r="E21" s="51" t="s">
        <v>30</v>
      </c>
      <c r="F21" s="51" t="s">
        <v>31</v>
      </c>
      <c r="G21" s="51" t="s">
        <v>32</v>
      </c>
      <c r="H21">
        <v>6</v>
      </c>
      <c r="I21" s="58">
        <v>5000</v>
      </c>
      <c r="J21" s="59">
        <v>30000</v>
      </c>
      <c r="K21">
        <v>1</v>
      </c>
      <c r="O21" s="52"/>
    </row>
    <row r="22" spans="1:26" x14ac:dyDescent="0.15">
      <c r="A22">
        <v>3</v>
      </c>
      <c r="B22" s="51" t="s">
        <v>33</v>
      </c>
      <c r="D22" s="51" t="s">
        <v>34</v>
      </c>
      <c r="E22" s="51" t="s">
        <v>35</v>
      </c>
      <c r="G22" s="51" t="s">
        <v>32</v>
      </c>
      <c r="H22">
        <v>12</v>
      </c>
      <c r="I22" s="58">
        <v>6000</v>
      </c>
      <c r="J22" s="59">
        <v>72000</v>
      </c>
      <c r="K22">
        <v>1</v>
      </c>
      <c r="O22" s="52"/>
    </row>
    <row r="23" spans="1:26" x14ac:dyDescent="0.15">
      <c r="A23">
        <v>1</v>
      </c>
      <c r="D23" s="51" t="s">
        <v>20</v>
      </c>
      <c r="E23" s="51" t="s">
        <v>70</v>
      </c>
      <c r="G23" s="51" t="s">
        <v>19</v>
      </c>
      <c r="H23">
        <v>1</v>
      </c>
      <c r="I23" s="58">
        <v>6515170</v>
      </c>
      <c r="J23" s="59">
        <v>6515170</v>
      </c>
      <c r="K23">
        <v>1</v>
      </c>
      <c r="M23" s="51" t="s">
        <v>71</v>
      </c>
      <c r="O23" s="52"/>
    </row>
    <row r="24" spans="1:26" x14ac:dyDescent="0.15">
      <c r="A24">
        <v>2</v>
      </c>
      <c r="D24" s="51" t="s">
        <v>41</v>
      </c>
      <c r="E24" s="51" t="s">
        <v>72</v>
      </c>
      <c r="F24" s="51" t="s">
        <v>73</v>
      </c>
      <c r="G24" s="51" t="s">
        <v>55</v>
      </c>
      <c r="H24">
        <v>540</v>
      </c>
      <c r="I24" s="58"/>
      <c r="J24" s="59"/>
      <c r="K24">
        <v>400</v>
      </c>
      <c r="M24" s="51" t="s">
        <v>74</v>
      </c>
      <c r="O24" s="52"/>
    </row>
    <row r="25" spans="1:26" x14ac:dyDescent="0.15">
      <c r="A25">
        <v>3</v>
      </c>
      <c r="B25" s="51" t="s">
        <v>57</v>
      </c>
      <c r="D25" s="51" t="s">
        <v>47</v>
      </c>
      <c r="E25" s="51" t="s">
        <v>58</v>
      </c>
      <c r="G25" s="51" t="s">
        <v>59</v>
      </c>
      <c r="H25">
        <v>300</v>
      </c>
      <c r="I25" s="58"/>
      <c r="J25" s="59"/>
      <c r="K25">
        <v>1</v>
      </c>
      <c r="O25" s="52"/>
    </row>
    <row r="26" spans="1:26" x14ac:dyDescent="0.15">
      <c r="A26">
        <v>3</v>
      </c>
      <c r="B26" s="51" t="s">
        <v>63</v>
      </c>
      <c r="D26" s="51" t="s">
        <v>47</v>
      </c>
      <c r="E26" s="51" t="s">
        <v>64</v>
      </c>
      <c r="G26" s="51" t="s">
        <v>19</v>
      </c>
      <c r="H26">
        <v>1</v>
      </c>
      <c r="I26" s="58"/>
      <c r="J26" s="59"/>
      <c r="K26">
        <v>1</v>
      </c>
      <c r="O26" s="52"/>
    </row>
    <row r="27" spans="1:26" x14ac:dyDescent="0.15">
      <c r="A27">
        <v>3</v>
      </c>
      <c r="B27" s="51" t="s">
        <v>75</v>
      </c>
      <c r="D27" s="51" t="s">
        <v>29</v>
      </c>
      <c r="E27" s="51" t="s">
        <v>76</v>
      </c>
      <c r="F27" s="51" t="s">
        <v>77</v>
      </c>
      <c r="G27" s="51" t="s">
        <v>19</v>
      </c>
      <c r="H27">
        <v>1</v>
      </c>
      <c r="I27" s="58"/>
      <c r="J27" s="59"/>
      <c r="K27">
        <v>1</v>
      </c>
      <c r="O27" s="52"/>
    </row>
    <row r="28" spans="1:26" x14ac:dyDescent="0.15">
      <c r="A28">
        <v>3</v>
      </c>
      <c r="B28" s="51" t="s">
        <v>36</v>
      </c>
      <c r="D28" s="51" t="s">
        <v>34</v>
      </c>
      <c r="E28" s="51" t="s">
        <v>37</v>
      </c>
      <c r="G28" s="51" t="s">
        <v>38</v>
      </c>
      <c r="H28">
        <v>3</v>
      </c>
      <c r="I28" s="58"/>
      <c r="J28" s="59"/>
      <c r="K28">
        <v>1</v>
      </c>
      <c r="O28" s="52"/>
    </row>
    <row r="29" spans="1:26" x14ac:dyDescent="0.15">
      <c r="A29">
        <v>2</v>
      </c>
      <c r="D29" s="51" t="s">
        <v>41</v>
      </c>
      <c r="E29" s="51" t="s">
        <v>72</v>
      </c>
      <c r="F29" s="51" t="s">
        <v>78</v>
      </c>
      <c r="G29" s="51" t="s">
        <v>55</v>
      </c>
      <c r="H29">
        <v>400</v>
      </c>
      <c r="I29" s="58">
        <v>2800</v>
      </c>
      <c r="J29" s="59">
        <v>1120000</v>
      </c>
      <c r="K29">
        <v>400</v>
      </c>
      <c r="M29" s="51" t="s">
        <v>79</v>
      </c>
      <c r="O29" s="52"/>
    </row>
    <row r="30" spans="1:26" x14ac:dyDescent="0.15">
      <c r="A30">
        <v>3</v>
      </c>
      <c r="B30" s="51" t="s">
        <v>63</v>
      </c>
      <c r="D30" s="51" t="s">
        <v>47</v>
      </c>
      <c r="E30" s="51" t="s">
        <v>64</v>
      </c>
      <c r="G30" s="51" t="s">
        <v>19</v>
      </c>
      <c r="H30">
        <v>0.74099999999999999</v>
      </c>
      <c r="I30" s="58">
        <v>32000</v>
      </c>
      <c r="J30" s="59">
        <v>23712</v>
      </c>
      <c r="K30">
        <v>1</v>
      </c>
      <c r="O30" s="52"/>
    </row>
    <row r="31" spans="1:26" x14ac:dyDescent="0.15">
      <c r="A31">
        <v>3</v>
      </c>
      <c r="B31" s="51" t="s">
        <v>23</v>
      </c>
      <c r="D31" s="51" t="s">
        <v>24</v>
      </c>
      <c r="E31" s="51" t="s">
        <v>25</v>
      </c>
      <c r="F31" s="51" t="s">
        <v>26</v>
      </c>
      <c r="G31" s="51" t="s">
        <v>27</v>
      </c>
      <c r="H31">
        <v>29.63</v>
      </c>
      <c r="I31" s="58">
        <v>23000</v>
      </c>
      <c r="J31" s="59">
        <v>681490</v>
      </c>
      <c r="K31">
        <v>1</v>
      </c>
      <c r="O31" s="52"/>
      <c r="Z31" s="51" t="s">
        <v>80</v>
      </c>
    </row>
    <row r="32" spans="1:26" x14ac:dyDescent="0.15">
      <c r="A32">
        <v>3</v>
      </c>
      <c r="B32" s="51" t="s">
        <v>81</v>
      </c>
      <c r="D32" s="51" t="s">
        <v>29</v>
      </c>
      <c r="E32" s="51" t="s">
        <v>82</v>
      </c>
      <c r="F32" s="51" t="s">
        <v>69</v>
      </c>
      <c r="G32" s="51" t="s">
        <v>62</v>
      </c>
      <c r="H32">
        <v>7.407</v>
      </c>
      <c r="I32" s="58">
        <v>11000</v>
      </c>
      <c r="J32" s="59">
        <v>81477</v>
      </c>
      <c r="K32">
        <v>1</v>
      </c>
      <c r="O32" s="52"/>
      <c r="Z32" s="51" t="s">
        <v>83</v>
      </c>
    </row>
    <row r="33" spans="1:26" x14ac:dyDescent="0.15">
      <c r="A33">
        <v>3</v>
      </c>
      <c r="B33" s="51" t="s">
        <v>84</v>
      </c>
      <c r="D33" s="51" t="s">
        <v>29</v>
      </c>
      <c r="E33" s="51" t="s">
        <v>85</v>
      </c>
      <c r="F33" s="51" t="s">
        <v>69</v>
      </c>
      <c r="G33" s="51" t="s">
        <v>62</v>
      </c>
      <c r="H33">
        <v>7.407</v>
      </c>
      <c r="I33" s="58">
        <v>11000</v>
      </c>
      <c r="J33" s="59">
        <v>81477</v>
      </c>
      <c r="K33">
        <v>1</v>
      </c>
      <c r="O33" s="52"/>
      <c r="Z33" s="51" t="s">
        <v>83</v>
      </c>
    </row>
    <row r="34" spans="1:26" x14ac:dyDescent="0.15">
      <c r="A34">
        <v>3</v>
      </c>
      <c r="B34" s="51" t="s">
        <v>67</v>
      </c>
      <c r="D34" s="51" t="s">
        <v>29</v>
      </c>
      <c r="E34" s="51" t="s">
        <v>68</v>
      </c>
      <c r="F34" s="51" t="s">
        <v>69</v>
      </c>
      <c r="G34" s="51" t="s">
        <v>62</v>
      </c>
      <c r="H34">
        <v>7.407</v>
      </c>
      <c r="I34" s="58">
        <v>14000</v>
      </c>
      <c r="J34" s="59">
        <v>103698</v>
      </c>
      <c r="K34">
        <v>1</v>
      </c>
      <c r="O34" s="52"/>
      <c r="Z34" s="51" t="s">
        <v>83</v>
      </c>
    </row>
    <row r="35" spans="1:26" x14ac:dyDescent="0.15">
      <c r="A35">
        <v>3</v>
      </c>
      <c r="D35" s="51" t="s">
        <v>29</v>
      </c>
      <c r="E35" s="51" t="s">
        <v>86</v>
      </c>
      <c r="F35" s="51" t="s">
        <v>87</v>
      </c>
      <c r="G35" s="51" t="s">
        <v>38</v>
      </c>
      <c r="H35">
        <v>7.407</v>
      </c>
      <c r="I35" s="58">
        <v>5000</v>
      </c>
      <c r="J35" s="59">
        <v>37035</v>
      </c>
      <c r="K35">
        <v>1</v>
      </c>
      <c r="O35" s="52"/>
      <c r="Z35" s="51" t="s">
        <v>83</v>
      </c>
    </row>
    <row r="36" spans="1:26" x14ac:dyDescent="0.15">
      <c r="A36">
        <v>3</v>
      </c>
      <c r="B36" s="51" t="s">
        <v>28</v>
      </c>
      <c r="D36" s="51" t="s">
        <v>29</v>
      </c>
      <c r="E36" s="51" t="s">
        <v>30</v>
      </c>
      <c r="F36" s="51" t="s">
        <v>31</v>
      </c>
      <c r="G36" s="51" t="s">
        <v>32</v>
      </c>
      <c r="H36">
        <v>7.407</v>
      </c>
      <c r="I36" s="58">
        <v>3000</v>
      </c>
      <c r="J36" s="59">
        <v>22221</v>
      </c>
      <c r="K36">
        <v>1</v>
      </c>
      <c r="O36" s="52"/>
      <c r="Z36" s="51" t="s">
        <v>83</v>
      </c>
    </row>
    <row r="37" spans="1:26" x14ac:dyDescent="0.15">
      <c r="A37">
        <v>3</v>
      </c>
      <c r="B37" s="51" t="s">
        <v>33</v>
      </c>
      <c r="D37" s="51" t="s">
        <v>34</v>
      </c>
      <c r="E37" s="51" t="s">
        <v>35</v>
      </c>
      <c r="G37" s="51" t="s">
        <v>32</v>
      </c>
      <c r="H37">
        <v>14.815</v>
      </c>
      <c r="I37" s="58">
        <v>6000</v>
      </c>
      <c r="J37" s="59">
        <v>88890</v>
      </c>
      <c r="K37">
        <v>1</v>
      </c>
      <c r="O37" s="52"/>
      <c r="Z37" s="51" t="s">
        <v>88</v>
      </c>
    </row>
    <row r="38" spans="1:26" x14ac:dyDescent="0.15">
      <c r="A38">
        <v>2</v>
      </c>
      <c r="D38" s="51" t="s">
        <v>41</v>
      </c>
      <c r="E38" s="51" t="s">
        <v>89</v>
      </c>
      <c r="F38" s="51" t="s">
        <v>47</v>
      </c>
      <c r="G38" s="51" t="s">
        <v>44</v>
      </c>
      <c r="H38">
        <v>85</v>
      </c>
      <c r="I38" s="58"/>
      <c r="J38" s="59"/>
      <c r="K38">
        <v>85</v>
      </c>
      <c r="M38" s="51" t="s">
        <v>90</v>
      </c>
      <c r="O38" s="52"/>
    </row>
    <row r="39" spans="1:26" x14ac:dyDescent="0.15">
      <c r="A39">
        <v>3</v>
      </c>
      <c r="B39" s="51" t="s">
        <v>91</v>
      </c>
      <c r="D39" s="51" t="s">
        <v>47</v>
      </c>
      <c r="E39" s="51" t="s">
        <v>92</v>
      </c>
      <c r="G39" s="51" t="s">
        <v>44</v>
      </c>
      <c r="H39">
        <v>85</v>
      </c>
      <c r="I39" s="58"/>
      <c r="J39" s="59"/>
      <c r="K39">
        <v>1</v>
      </c>
      <c r="O39" s="52"/>
    </row>
    <row r="40" spans="1:26" x14ac:dyDescent="0.15">
      <c r="A40">
        <v>3</v>
      </c>
      <c r="B40" s="51" t="s">
        <v>57</v>
      </c>
      <c r="D40" s="51" t="s">
        <v>47</v>
      </c>
      <c r="E40" s="51" t="s">
        <v>58</v>
      </c>
      <c r="G40" s="51" t="s">
        <v>59</v>
      </c>
      <c r="H40">
        <v>200</v>
      </c>
      <c r="I40" s="58"/>
      <c r="J40" s="59"/>
      <c r="K40">
        <v>1</v>
      </c>
      <c r="O40" s="52"/>
    </row>
    <row r="41" spans="1:26" x14ac:dyDescent="0.15">
      <c r="A41">
        <v>3</v>
      </c>
      <c r="B41" s="51" t="s">
        <v>63</v>
      </c>
      <c r="D41" s="51" t="s">
        <v>47</v>
      </c>
      <c r="E41" s="51" t="s">
        <v>64</v>
      </c>
      <c r="G41" s="51" t="s">
        <v>19</v>
      </c>
      <c r="H41">
        <v>1</v>
      </c>
      <c r="I41" s="58"/>
      <c r="J41" s="59"/>
      <c r="K41">
        <v>1</v>
      </c>
      <c r="O41" s="52"/>
    </row>
    <row r="42" spans="1:26" x14ac:dyDescent="0.15">
      <c r="A42">
        <v>2</v>
      </c>
      <c r="D42" s="51" t="s">
        <v>41</v>
      </c>
      <c r="E42" s="51" t="s">
        <v>89</v>
      </c>
      <c r="F42" s="51" t="s">
        <v>93</v>
      </c>
      <c r="G42" s="51" t="s">
        <v>44</v>
      </c>
      <c r="H42">
        <v>85</v>
      </c>
      <c r="I42" s="58">
        <v>3160</v>
      </c>
      <c r="J42" s="59">
        <v>268600</v>
      </c>
      <c r="K42">
        <v>85</v>
      </c>
      <c r="M42" s="51" t="s">
        <v>94</v>
      </c>
      <c r="O42" s="52"/>
    </row>
    <row r="43" spans="1:26" x14ac:dyDescent="0.15">
      <c r="A43">
        <v>3</v>
      </c>
      <c r="B43" s="51" t="s">
        <v>63</v>
      </c>
      <c r="D43" s="51" t="s">
        <v>47</v>
      </c>
      <c r="E43" s="51" t="s">
        <v>64</v>
      </c>
      <c r="G43" s="51" t="s">
        <v>19</v>
      </c>
      <c r="H43">
        <v>0.54800000000000004</v>
      </c>
      <c r="I43" s="58">
        <v>17800</v>
      </c>
      <c r="J43" s="59">
        <v>9754</v>
      </c>
      <c r="K43">
        <v>1</v>
      </c>
      <c r="O43" s="52"/>
    </row>
    <row r="44" spans="1:26" x14ac:dyDescent="0.15">
      <c r="A44">
        <v>3</v>
      </c>
      <c r="B44" s="51" t="s">
        <v>23</v>
      </c>
      <c r="D44" s="51" t="s">
        <v>24</v>
      </c>
      <c r="E44" s="51" t="s">
        <v>25</v>
      </c>
      <c r="F44" s="51" t="s">
        <v>26</v>
      </c>
      <c r="G44" s="51" t="s">
        <v>27</v>
      </c>
      <c r="H44">
        <v>8.7739999999999991</v>
      </c>
      <c r="I44" s="58">
        <v>23000</v>
      </c>
      <c r="J44" s="59">
        <v>201802</v>
      </c>
      <c r="K44">
        <v>1</v>
      </c>
      <c r="O44" s="52"/>
      <c r="Z44" s="51" t="s">
        <v>95</v>
      </c>
    </row>
    <row r="45" spans="1:26" x14ac:dyDescent="0.15">
      <c r="A45">
        <v>3</v>
      </c>
      <c r="B45" s="51" t="s">
        <v>84</v>
      </c>
      <c r="D45" s="51" t="s">
        <v>29</v>
      </c>
      <c r="E45" s="51" t="s">
        <v>85</v>
      </c>
      <c r="F45" s="51" t="s">
        <v>69</v>
      </c>
      <c r="G45" s="51" t="s">
        <v>62</v>
      </c>
      <c r="H45">
        <v>2.194</v>
      </c>
      <c r="I45" s="58">
        <v>11000</v>
      </c>
      <c r="J45" s="59">
        <v>24134</v>
      </c>
      <c r="K45">
        <v>1</v>
      </c>
      <c r="O45" s="52"/>
      <c r="Z45" s="51" t="s">
        <v>96</v>
      </c>
    </row>
    <row r="46" spans="1:26" x14ac:dyDescent="0.15">
      <c r="A46">
        <v>3</v>
      </c>
      <c r="B46" s="51" t="s">
        <v>28</v>
      </c>
      <c r="D46" s="51" t="s">
        <v>29</v>
      </c>
      <c r="E46" s="51" t="s">
        <v>30</v>
      </c>
      <c r="F46" s="51" t="s">
        <v>31</v>
      </c>
      <c r="G46" s="51" t="s">
        <v>32</v>
      </c>
      <c r="H46">
        <v>2.1960000000000002</v>
      </c>
      <c r="I46" s="58">
        <v>3000</v>
      </c>
      <c r="J46" s="59">
        <v>6588</v>
      </c>
      <c r="K46">
        <v>1</v>
      </c>
      <c r="O46" s="52"/>
      <c r="Z46" s="51" t="s">
        <v>96</v>
      </c>
    </row>
    <row r="47" spans="1:26" x14ac:dyDescent="0.15">
      <c r="A47">
        <v>3</v>
      </c>
      <c r="B47" s="51" t="s">
        <v>33</v>
      </c>
      <c r="D47" s="51" t="s">
        <v>34</v>
      </c>
      <c r="E47" s="51" t="s">
        <v>35</v>
      </c>
      <c r="G47" s="51" t="s">
        <v>32</v>
      </c>
      <c r="H47">
        <v>4.3869999999999996</v>
      </c>
      <c r="I47" s="58">
        <v>6000</v>
      </c>
      <c r="J47" s="59">
        <v>26322</v>
      </c>
      <c r="K47">
        <v>1</v>
      </c>
      <c r="O47" s="52"/>
      <c r="Z47" s="51" t="s">
        <v>97</v>
      </c>
    </row>
    <row r="48" spans="1:26" x14ac:dyDescent="0.15">
      <c r="A48">
        <v>2</v>
      </c>
      <c r="D48" s="51" t="s">
        <v>41</v>
      </c>
      <c r="E48" s="51" t="s">
        <v>98</v>
      </c>
      <c r="F48" s="51" t="s">
        <v>99</v>
      </c>
      <c r="G48" s="51" t="s">
        <v>55</v>
      </c>
      <c r="H48">
        <v>540</v>
      </c>
      <c r="I48" s="58">
        <v>1000</v>
      </c>
      <c r="J48" s="59">
        <v>540000</v>
      </c>
      <c r="K48">
        <v>540</v>
      </c>
      <c r="M48" s="51" t="s">
        <v>100</v>
      </c>
      <c r="O48" s="52"/>
    </row>
    <row r="49" spans="1:26" x14ac:dyDescent="0.15">
      <c r="A49">
        <v>3</v>
      </c>
      <c r="B49" s="51" t="s">
        <v>63</v>
      </c>
      <c r="D49" s="51" t="s">
        <v>47</v>
      </c>
      <c r="E49" s="51" t="s">
        <v>64</v>
      </c>
      <c r="G49" s="51" t="s">
        <v>19</v>
      </c>
      <c r="H49">
        <v>1</v>
      </c>
      <c r="I49" s="58"/>
      <c r="J49" s="59"/>
      <c r="K49">
        <v>1</v>
      </c>
      <c r="O49" s="52"/>
    </row>
    <row r="50" spans="1:26" x14ac:dyDescent="0.15">
      <c r="A50">
        <v>3</v>
      </c>
      <c r="B50" s="51" t="s">
        <v>57</v>
      </c>
      <c r="D50" s="51" t="s">
        <v>47</v>
      </c>
      <c r="E50" s="51" t="s">
        <v>58</v>
      </c>
      <c r="G50" s="51" t="s">
        <v>59</v>
      </c>
      <c r="H50">
        <v>150</v>
      </c>
      <c r="I50" s="58"/>
      <c r="J50" s="59"/>
      <c r="K50">
        <v>1</v>
      </c>
      <c r="O50" s="52"/>
    </row>
    <row r="51" spans="1:26" x14ac:dyDescent="0.15">
      <c r="A51">
        <v>3</v>
      </c>
      <c r="B51" s="51" t="s">
        <v>101</v>
      </c>
      <c r="D51" s="51" t="s">
        <v>34</v>
      </c>
      <c r="E51" s="51" t="s">
        <v>102</v>
      </c>
      <c r="F51" s="51" t="s">
        <v>103</v>
      </c>
      <c r="G51" s="51" t="s">
        <v>32</v>
      </c>
      <c r="H51">
        <v>10</v>
      </c>
      <c r="I51" s="58">
        <v>40000</v>
      </c>
      <c r="J51" s="59">
        <v>400000</v>
      </c>
      <c r="K51">
        <v>1</v>
      </c>
      <c r="O51" s="52"/>
    </row>
    <row r="52" spans="1:26" x14ac:dyDescent="0.15">
      <c r="A52">
        <v>3</v>
      </c>
      <c r="B52" s="51" t="s">
        <v>104</v>
      </c>
      <c r="D52" s="51" t="s">
        <v>34</v>
      </c>
      <c r="E52" s="51" t="s">
        <v>105</v>
      </c>
      <c r="F52" s="51" t="s">
        <v>103</v>
      </c>
      <c r="G52" s="51" t="s">
        <v>62</v>
      </c>
      <c r="H52">
        <v>4</v>
      </c>
      <c r="I52" s="58">
        <v>35000</v>
      </c>
      <c r="J52" s="59">
        <v>140000</v>
      </c>
      <c r="K52">
        <v>1</v>
      </c>
      <c r="O52" s="52"/>
    </row>
    <row r="53" spans="1:26" x14ac:dyDescent="0.15">
      <c r="A53">
        <v>2</v>
      </c>
      <c r="D53" s="51" t="s">
        <v>41</v>
      </c>
      <c r="E53" s="51" t="s">
        <v>106</v>
      </c>
      <c r="F53" s="51" t="s">
        <v>99</v>
      </c>
      <c r="G53" s="51" t="s">
        <v>55</v>
      </c>
      <c r="H53">
        <v>540</v>
      </c>
      <c r="I53" s="58">
        <v>800</v>
      </c>
      <c r="J53" s="59">
        <v>432000</v>
      </c>
      <c r="K53">
        <v>540</v>
      </c>
      <c r="M53" s="51" t="s">
        <v>107</v>
      </c>
      <c r="O53" s="52"/>
    </row>
    <row r="54" spans="1:26" x14ac:dyDescent="0.15">
      <c r="A54">
        <v>3</v>
      </c>
      <c r="B54" s="51" t="s">
        <v>63</v>
      </c>
      <c r="D54" s="51" t="s">
        <v>47</v>
      </c>
      <c r="E54" s="51" t="s">
        <v>64</v>
      </c>
      <c r="G54" s="51" t="s">
        <v>19</v>
      </c>
      <c r="H54">
        <v>1</v>
      </c>
      <c r="I54" s="58">
        <v>12000</v>
      </c>
      <c r="J54" s="59">
        <v>12000</v>
      </c>
      <c r="K54">
        <v>1</v>
      </c>
      <c r="O54" s="52"/>
    </row>
    <row r="55" spans="1:26" x14ac:dyDescent="0.15">
      <c r="A55">
        <v>3</v>
      </c>
      <c r="B55" s="51" t="s">
        <v>23</v>
      </c>
      <c r="D55" s="51" t="s">
        <v>24</v>
      </c>
      <c r="E55" s="51" t="s">
        <v>25</v>
      </c>
      <c r="F55" s="51" t="s">
        <v>26</v>
      </c>
      <c r="G55" s="51" t="s">
        <v>27</v>
      </c>
      <c r="H55">
        <v>10</v>
      </c>
      <c r="I55" s="58">
        <v>23000</v>
      </c>
      <c r="J55" s="59">
        <v>230000</v>
      </c>
      <c r="K55">
        <v>1</v>
      </c>
      <c r="O55" s="52"/>
      <c r="Z55" s="51" t="s">
        <v>80</v>
      </c>
    </row>
    <row r="56" spans="1:26" x14ac:dyDescent="0.15">
      <c r="A56">
        <v>3</v>
      </c>
      <c r="B56" s="51" t="s">
        <v>84</v>
      </c>
      <c r="D56" s="51" t="s">
        <v>29</v>
      </c>
      <c r="E56" s="51" t="s">
        <v>85</v>
      </c>
      <c r="F56" s="51" t="s">
        <v>69</v>
      </c>
      <c r="G56" s="51" t="s">
        <v>62</v>
      </c>
      <c r="H56">
        <v>10</v>
      </c>
      <c r="I56" s="58">
        <v>11000</v>
      </c>
      <c r="J56" s="59">
        <v>110000</v>
      </c>
      <c r="K56">
        <v>1</v>
      </c>
      <c r="O56" s="52"/>
      <c r="Z56" s="51" t="s">
        <v>108</v>
      </c>
    </row>
    <row r="57" spans="1:26" x14ac:dyDescent="0.15">
      <c r="A57">
        <v>3</v>
      </c>
      <c r="B57" s="51" t="s">
        <v>109</v>
      </c>
      <c r="D57" s="51" t="s">
        <v>34</v>
      </c>
      <c r="E57" s="51" t="s">
        <v>110</v>
      </c>
      <c r="G57" s="51" t="s">
        <v>32</v>
      </c>
      <c r="H57">
        <v>10</v>
      </c>
      <c r="I57" s="58">
        <v>8000</v>
      </c>
      <c r="J57" s="59">
        <v>80000</v>
      </c>
      <c r="K57">
        <v>1</v>
      </c>
      <c r="O57" s="52"/>
      <c r="Z57" s="51" t="s">
        <v>108</v>
      </c>
    </row>
    <row r="58" spans="1:26" x14ac:dyDescent="0.15">
      <c r="A58">
        <v>2</v>
      </c>
      <c r="D58" s="51" t="s">
        <v>41</v>
      </c>
      <c r="E58" s="51" t="s">
        <v>111</v>
      </c>
      <c r="F58" s="51" t="s">
        <v>112</v>
      </c>
      <c r="G58" s="51" t="s">
        <v>113</v>
      </c>
      <c r="H58">
        <v>497</v>
      </c>
      <c r="I58" s="58"/>
      <c r="J58" s="59"/>
      <c r="K58">
        <v>497</v>
      </c>
      <c r="M58" s="51" t="s">
        <v>114</v>
      </c>
      <c r="O58" s="52"/>
    </row>
    <row r="59" spans="1:26" x14ac:dyDescent="0.15">
      <c r="A59">
        <v>3</v>
      </c>
      <c r="B59" s="51" t="s">
        <v>63</v>
      </c>
      <c r="D59" s="51" t="s">
        <v>47</v>
      </c>
      <c r="E59" s="51" t="s">
        <v>64</v>
      </c>
      <c r="G59" s="51" t="s">
        <v>19</v>
      </c>
      <c r="H59">
        <v>1</v>
      </c>
      <c r="I59" s="58"/>
      <c r="J59" s="59"/>
      <c r="K59">
        <v>1</v>
      </c>
      <c r="O59" s="52"/>
    </row>
    <row r="60" spans="1:26" x14ac:dyDescent="0.15">
      <c r="A60">
        <v>3</v>
      </c>
      <c r="B60" s="51" t="s">
        <v>115</v>
      </c>
      <c r="D60" s="51" t="s">
        <v>47</v>
      </c>
      <c r="E60" s="51" t="s">
        <v>116</v>
      </c>
      <c r="G60" s="51" t="s">
        <v>59</v>
      </c>
      <c r="H60">
        <v>200</v>
      </c>
      <c r="I60" s="58"/>
      <c r="J60" s="59"/>
      <c r="K60">
        <v>1</v>
      </c>
      <c r="O60" s="52"/>
    </row>
    <row r="61" spans="1:26" x14ac:dyDescent="0.15">
      <c r="A61">
        <v>3</v>
      </c>
      <c r="B61" s="51" t="s">
        <v>75</v>
      </c>
      <c r="D61" s="51" t="s">
        <v>29</v>
      </c>
      <c r="E61" s="51" t="s">
        <v>76</v>
      </c>
      <c r="F61" s="51" t="s">
        <v>77</v>
      </c>
      <c r="G61" s="51" t="s">
        <v>117</v>
      </c>
      <c r="H61">
        <v>110</v>
      </c>
      <c r="I61" s="58"/>
      <c r="J61" s="59"/>
      <c r="K61">
        <v>1</v>
      </c>
      <c r="O61" s="52"/>
    </row>
    <row r="62" spans="1:26" x14ac:dyDescent="0.15">
      <c r="A62">
        <v>3</v>
      </c>
      <c r="B62" s="51" t="s">
        <v>75</v>
      </c>
      <c r="D62" s="51" t="s">
        <v>29</v>
      </c>
      <c r="E62" s="51" t="s">
        <v>76</v>
      </c>
      <c r="F62" s="51" t="s">
        <v>118</v>
      </c>
      <c r="G62" s="51" t="s">
        <v>117</v>
      </c>
      <c r="H62">
        <v>110</v>
      </c>
      <c r="I62" s="58"/>
      <c r="J62" s="59"/>
      <c r="K62">
        <v>1</v>
      </c>
      <c r="O62" s="52"/>
    </row>
    <row r="63" spans="1:26" x14ac:dyDescent="0.15">
      <c r="A63">
        <v>3</v>
      </c>
      <c r="B63" s="51" t="s">
        <v>119</v>
      </c>
      <c r="D63" s="51" t="s">
        <v>34</v>
      </c>
      <c r="E63" s="51" t="s">
        <v>120</v>
      </c>
      <c r="G63" s="51" t="s">
        <v>51</v>
      </c>
      <c r="H63">
        <v>8</v>
      </c>
      <c r="I63" s="58"/>
      <c r="J63" s="59"/>
      <c r="K63">
        <v>1</v>
      </c>
      <c r="O63" s="52"/>
    </row>
    <row r="64" spans="1:26" x14ac:dyDescent="0.15">
      <c r="A64">
        <v>2</v>
      </c>
      <c r="D64" s="51" t="s">
        <v>41</v>
      </c>
      <c r="E64" s="51" t="s">
        <v>111</v>
      </c>
      <c r="F64" s="51" t="s">
        <v>121</v>
      </c>
      <c r="G64" s="51" t="s">
        <v>113</v>
      </c>
      <c r="H64">
        <v>497</v>
      </c>
      <c r="I64" s="58">
        <v>2310</v>
      </c>
      <c r="J64" s="59">
        <v>1148070</v>
      </c>
      <c r="K64">
        <v>497</v>
      </c>
      <c r="M64" s="51" t="s">
        <v>122</v>
      </c>
      <c r="O64" s="52"/>
    </row>
    <row r="65" spans="1:26" x14ac:dyDescent="0.15">
      <c r="A65">
        <v>3</v>
      </c>
      <c r="B65" s="51" t="s">
        <v>63</v>
      </c>
      <c r="D65" s="51" t="s">
        <v>47</v>
      </c>
      <c r="E65" s="51" t="s">
        <v>64</v>
      </c>
      <c r="G65" s="51" t="s">
        <v>19</v>
      </c>
      <c r="H65">
        <v>1</v>
      </c>
      <c r="I65" s="58">
        <v>4070</v>
      </c>
      <c r="J65" s="59">
        <v>4070</v>
      </c>
      <c r="K65">
        <v>1</v>
      </c>
      <c r="O65" s="52"/>
    </row>
    <row r="66" spans="1:26" x14ac:dyDescent="0.15">
      <c r="A66">
        <v>3</v>
      </c>
      <c r="B66" s="51" t="s">
        <v>23</v>
      </c>
      <c r="D66" s="51" t="s">
        <v>24</v>
      </c>
      <c r="E66" s="51" t="s">
        <v>25</v>
      </c>
      <c r="F66" s="51" t="s">
        <v>26</v>
      </c>
      <c r="G66" s="51" t="s">
        <v>27</v>
      </c>
      <c r="H66">
        <v>32</v>
      </c>
      <c r="I66" s="58">
        <v>23000</v>
      </c>
      <c r="J66" s="59">
        <v>736000</v>
      </c>
      <c r="K66">
        <v>1</v>
      </c>
      <c r="O66" s="52"/>
      <c r="Z66" s="51" t="s">
        <v>123</v>
      </c>
    </row>
    <row r="67" spans="1:26" x14ac:dyDescent="0.15">
      <c r="A67">
        <v>3</v>
      </c>
      <c r="B67" s="51" t="s">
        <v>84</v>
      </c>
      <c r="D67" s="51" t="s">
        <v>29</v>
      </c>
      <c r="E67" s="51" t="s">
        <v>85</v>
      </c>
      <c r="F67" s="51" t="s">
        <v>69</v>
      </c>
      <c r="G67" s="51" t="s">
        <v>62</v>
      </c>
      <c r="H67">
        <v>8</v>
      </c>
      <c r="I67" s="58">
        <v>11000</v>
      </c>
      <c r="J67" s="59">
        <v>88000</v>
      </c>
      <c r="K67">
        <v>1</v>
      </c>
      <c r="O67" s="52"/>
      <c r="Z67" s="51" t="s">
        <v>124</v>
      </c>
    </row>
    <row r="68" spans="1:26" x14ac:dyDescent="0.15">
      <c r="A68">
        <v>3</v>
      </c>
      <c r="B68" s="51" t="s">
        <v>67</v>
      </c>
      <c r="D68" s="51" t="s">
        <v>29</v>
      </c>
      <c r="E68" s="51" t="s">
        <v>68</v>
      </c>
      <c r="F68" s="51" t="s">
        <v>69</v>
      </c>
      <c r="G68" s="51" t="s">
        <v>62</v>
      </c>
      <c r="H68">
        <v>8</v>
      </c>
      <c r="I68" s="58">
        <v>14000</v>
      </c>
      <c r="J68" s="59">
        <v>112000</v>
      </c>
      <c r="K68">
        <v>1</v>
      </c>
      <c r="O68" s="52"/>
      <c r="Z68" s="51" t="s">
        <v>124</v>
      </c>
    </row>
    <row r="69" spans="1:26" x14ac:dyDescent="0.15">
      <c r="A69">
        <v>3</v>
      </c>
      <c r="B69" s="51" t="s">
        <v>67</v>
      </c>
      <c r="D69" s="51" t="s">
        <v>29</v>
      </c>
      <c r="E69" s="51" t="s">
        <v>68</v>
      </c>
      <c r="F69" s="51" t="s">
        <v>69</v>
      </c>
      <c r="G69" s="51" t="s">
        <v>62</v>
      </c>
      <c r="H69">
        <v>8</v>
      </c>
      <c r="I69" s="58">
        <v>14000</v>
      </c>
      <c r="J69" s="59">
        <v>112000</v>
      </c>
      <c r="K69">
        <v>1</v>
      </c>
      <c r="O69" s="52"/>
      <c r="Z69" s="51" t="s">
        <v>124</v>
      </c>
    </row>
    <row r="70" spans="1:26" x14ac:dyDescent="0.15">
      <c r="A70">
        <v>3</v>
      </c>
      <c r="B70" s="51" t="s">
        <v>33</v>
      </c>
      <c r="D70" s="51" t="s">
        <v>34</v>
      </c>
      <c r="E70" s="51" t="s">
        <v>35</v>
      </c>
      <c r="G70" s="51" t="s">
        <v>32</v>
      </c>
      <c r="H70">
        <v>16</v>
      </c>
      <c r="I70" s="58">
        <v>6000</v>
      </c>
      <c r="J70" s="59">
        <v>96000</v>
      </c>
      <c r="K70">
        <v>1</v>
      </c>
      <c r="O70" s="52"/>
      <c r="Z70" s="51" t="s">
        <v>125</v>
      </c>
    </row>
    <row r="71" spans="1:26" x14ac:dyDescent="0.15">
      <c r="A71">
        <v>2</v>
      </c>
      <c r="D71" s="51" t="s">
        <v>41</v>
      </c>
      <c r="E71" s="51" t="s">
        <v>126</v>
      </c>
      <c r="F71" s="51" t="s">
        <v>127</v>
      </c>
      <c r="G71" s="51" t="s">
        <v>55</v>
      </c>
      <c r="H71">
        <v>540</v>
      </c>
      <c r="I71" s="58"/>
      <c r="J71" s="59"/>
      <c r="K71">
        <v>540</v>
      </c>
      <c r="M71" s="51" t="s">
        <v>128</v>
      </c>
      <c r="O71" s="52"/>
    </row>
    <row r="72" spans="1:26" x14ac:dyDescent="0.15">
      <c r="A72">
        <v>3</v>
      </c>
      <c r="B72" s="51" t="s">
        <v>57</v>
      </c>
      <c r="D72" s="51" t="s">
        <v>47</v>
      </c>
      <c r="E72" s="51" t="s">
        <v>58</v>
      </c>
      <c r="G72" s="51" t="s">
        <v>59</v>
      </c>
      <c r="H72">
        <v>1000</v>
      </c>
      <c r="I72" s="58"/>
      <c r="J72" s="59"/>
      <c r="K72">
        <v>1</v>
      </c>
      <c r="O72" s="52"/>
    </row>
    <row r="73" spans="1:26" x14ac:dyDescent="0.15">
      <c r="A73">
        <v>3</v>
      </c>
      <c r="B73" s="51" t="s">
        <v>63</v>
      </c>
      <c r="D73" s="51" t="s">
        <v>47</v>
      </c>
      <c r="E73" s="51" t="s">
        <v>64</v>
      </c>
      <c r="G73" s="51" t="s">
        <v>19</v>
      </c>
      <c r="H73">
        <v>1</v>
      </c>
      <c r="I73" s="58"/>
      <c r="J73" s="59"/>
      <c r="K73">
        <v>1</v>
      </c>
      <c r="O73" s="52"/>
    </row>
    <row r="74" spans="1:26" x14ac:dyDescent="0.15">
      <c r="A74">
        <v>2</v>
      </c>
      <c r="D74" s="51" t="s">
        <v>41</v>
      </c>
      <c r="E74" s="51" t="s">
        <v>126</v>
      </c>
      <c r="F74" s="51" t="s">
        <v>93</v>
      </c>
      <c r="G74" s="51" t="s">
        <v>55</v>
      </c>
      <c r="H74">
        <v>540</v>
      </c>
      <c r="I74" s="58">
        <v>4100</v>
      </c>
      <c r="J74" s="59">
        <v>2214000</v>
      </c>
      <c r="K74">
        <v>540</v>
      </c>
      <c r="M74" s="51" t="s">
        <v>129</v>
      </c>
      <c r="O74" s="52"/>
    </row>
    <row r="75" spans="1:26" x14ac:dyDescent="0.15">
      <c r="A75">
        <v>3</v>
      </c>
      <c r="B75" s="51" t="s">
        <v>63</v>
      </c>
      <c r="D75" s="51" t="s">
        <v>47</v>
      </c>
      <c r="E75" s="51" t="s">
        <v>64</v>
      </c>
      <c r="G75" s="51" t="s">
        <v>19</v>
      </c>
      <c r="H75">
        <v>1</v>
      </c>
      <c r="I75" s="58">
        <v>9000</v>
      </c>
      <c r="J75" s="59">
        <v>9000</v>
      </c>
      <c r="K75">
        <v>1</v>
      </c>
      <c r="O75" s="52"/>
    </row>
    <row r="76" spans="1:26" x14ac:dyDescent="0.15">
      <c r="A76">
        <v>3</v>
      </c>
      <c r="B76" s="51" t="s">
        <v>23</v>
      </c>
      <c r="D76" s="51" t="s">
        <v>24</v>
      </c>
      <c r="E76" s="51" t="s">
        <v>25</v>
      </c>
      <c r="F76" s="51" t="s">
        <v>26</v>
      </c>
      <c r="G76" s="51" t="s">
        <v>27</v>
      </c>
      <c r="H76">
        <v>60</v>
      </c>
      <c r="I76" s="58">
        <v>23000</v>
      </c>
      <c r="J76" s="59">
        <v>1380000</v>
      </c>
      <c r="K76">
        <v>1</v>
      </c>
      <c r="O76" s="52"/>
      <c r="Z76" s="51" t="s">
        <v>130</v>
      </c>
    </row>
    <row r="77" spans="1:26" x14ac:dyDescent="0.15">
      <c r="A77">
        <v>3</v>
      </c>
      <c r="B77" s="51" t="s">
        <v>67</v>
      </c>
      <c r="D77" s="51" t="s">
        <v>29</v>
      </c>
      <c r="E77" s="51" t="s">
        <v>68</v>
      </c>
      <c r="F77" s="51" t="s">
        <v>69</v>
      </c>
      <c r="G77" s="51" t="s">
        <v>62</v>
      </c>
      <c r="H77">
        <v>15</v>
      </c>
      <c r="I77" s="58">
        <v>14000</v>
      </c>
      <c r="J77" s="59">
        <v>210000</v>
      </c>
      <c r="K77">
        <v>1</v>
      </c>
      <c r="O77" s="52"/>
      <c r="Z77" s="51" t="s">
        <v>131</v>
      </c>
    </row>
    <row r="78" spans="1:26" x14ac:dyDescent="0.15">
      <c r="A78">
        <v>3</v>
      </c>
      <c r="B78" s="51" t="s">
        <v>84</v>
      </c>
      <c r="D78" s="51" t="s">
        <v>29</v>
      </c>
      <c r="E78" s="51" t="s">
        <v>85</v>
      </c>
      <c r="F78" s="51" t="s">
        <v>69</v>
      </c>
      <c r="G78" s="51" t="s">
        <v>62</v>
      </c>
      <c r="H78">
        <v>15</v>
      </c>
      <c r="I78" s="58">
        <v>11000</v>
      </c>
      <c r="J78" s="59">
        <v>165000</v>
      </c>
      <c r="K78">
        <v>1</v>
      </c>
      <c r="O78" s="52"/>
      <c r="Z78" s="51" t="s">
        <v>131</v>
      </c>
    </row>
    <row r="79" spans="1:26" x14ac:dyDescent="0.15">
      <c r="A79">
        <v>3</v>
      </c>
      <c r="B79" s="51" t="s">
        <v>81</v>
      </c>
      <c r="D79" s="51" t="s">
        <v>29</v>
      </c>
      <c r="E79" s="51" t="s">
        <v>82</v>
      </c>
      <c r="F79" s="51" t="s">
        <v>69</v>
      </c>
      <c r="G79" s="51" t="s">
        <v>62</v>
      </c>
      <c r="H79">
        <v>15</v>
      </c>
      <c r="I79" s="58">
        <v>7000</v>
      </c>
      <c r="J79" s="59">
        <v>105000</v>
      </c>
      <c r="K79">
        <v>1</v>
      </c>
      <c r="O79" s="52"/>
      <c r="Z79" s="51" t="s">
        <v>131</v>
      </c>
    </row>
    <row r="80" spans="1:26" x14ac:dyDescent="0.15">
      <c r="A80">
        <v>3</v>
      </c>
      <c r="D80" s="51" t="s">
        <v>29</v>
      </c>
      <c r="E80" s="51" t="s">
        <v>86</v>
      </c>
      <c r="F80" s="51" t="s">
        <v>87</v>
      </c>
      <c r="G80" s="51" t="s">
        <v>38</v>
      </c>
      <c r="H80">
        <v>15</v>
      </c>
      <c r="I80" s="58">
        <v>5000</v>
      </c>
      <c r="J80" s="59">
        <v>75000</v>
      </c>
      <c r="K80">
        <v>1</v>
      </c>
      <c r="O80" s="52"/>
      <c r="Z80" s="51" t="s">
        <v>131</v>
      </c>
    </row>
    <row r="81" spans="1:26" x14ac:dyDescent="0.15">
      <c r="A81">
        <v>3</v>
      </c>
      <c r="D81" s="51" t="s">
        <v>29</v>
      </c>
      <c r="E81" s="51" t="s">
        <v>86</v>
      </c>
      <c r="F81" s="51" t="s">
        <v>132</v>
      </c>
      <c r="G81" s="51" t="s">
        <v>38</v>
      </c>
      <c r="H81">
        <v>15</v>
      </c>
      <c r="I81" s="58">
        <v>3000</v>
      </c>
      <c r="J81" s="59">
        <v>45000</v>
      </c>
      <c r="K81">
        <v>1</v>
      </c>
      <c r="O81" s="52"/>
      <c r="Z81" s="51" t="s">
        <v>131</v>
      </c>
    </row>
    <row r="82" spans="1:26" x14ac:dyDescent="0.15">
      <c r="A82">
        <v>3</v>
      </c>
      <c r="B82" s="51" t="s">
        <v>28</v>
      </c>
      <c r="D82" s="51" t="s">
        <v>29</v>
      </c>
      <c r="E82" s="51" t="s">
        <v>30</v>
      </c>
      <c r="F82" s="51" t="s">
        <v>31</v>
      </c>
      <c r="G82" s="51" t="s">
        <v>32</v>
      </c>
      <c r="H82">
        <v>15</v>
      </c>
      <c r="I82" s="58">
        <v>3000</v>
      </c>
      <c r="J82" s="59">
        <v>45000</v>
      </c>
      <c r="K82">
        <v>1</v>
      </c>
      <c r="O82" s="52"/>
      <c r="Z82" s="51" t="s">
        <v>131</v>
      </c>
    </row>
    <row r="83" spans="1:26" x14ac:dyDescent="0.15">
      <c r="A83">
        <v>3</v>
      </c>
      <c r="B83" s="51" t="s">
        <v>33</v>
      </c>
      <c r="D83" s="51" t="s">
        <v>34</v>
      </c>
      <c r="E83" s="51" t="s">
        <v>35</v>
      </c>
      <c r="G83" s="51" t="s">
        <v>32</v>
      </c>
      <c r="H83">
        <v>30</v>
      </c>
      <c r="I83" s="58">
        <v>6000</v>
      </c>
      <c r="J83" s="59">
        <v>180000</v>
      </c>
      <c r="K83">
        <v>1</v>
      </c>
      <c r="O83" s="52"/>
      <c r="Z83" s="51" t="s">
        <v>133</v>
      </c>
    </row>
    <row r="84" spans="1:26" x14ac:dyDescent="0.15">
      <c r="A84">
        <v>2</v>
      </c>
      <c r="D84" s="51" t="s">
        <v>41</v>
      </c>
      <c r="E84" s="51" t="s">
        <v>134</v>
      </c>
      <c r="G84" s="51" t="s">
        <v>44</v>
      </c>
      <c r="H84">
        <v>85</v>
      </c>
      <c r="I84" s="58">
        <v>1700</v>
      </c>
      <c r="J84" s="59">
        <v>144500</v>
      </c>
      <c r="K84">
        <v>85</v>
      </c>
      <c r="M84" s="51" t="s">
        <v>135</v>
      </c>
      <c r="O84" s="52"/>
    </row>
    <row r="85" spans="1:26" x14ac:dyDescent="0.15">
      <c r="A85">
        <v>3</v>
      </c>
      <c r="B85" s="51" t="s">
        <v>63</v>
      </c>
      <c r="D85" s="51" t="s">
        <v>47</v>
      </c>
      <c r="E85" s="51" t="s">
        <v>64</v>
      </c>
      <c r="G85" s="51" t="s">
        <v>19</v>
      </c>
      <c r="H85">
        <v>0.54800000000000004</v>
      </c>
      <c r="I85" s="58">
        <v>11500</v>
      </c>
      <c r="J85" s="59">
        <v>6302</v>
      </c>
      <c r="K85">
        <v>1</v>
      </c>
      <c r="O85" s="52"/>
    </row>
    <row r="86" spans="1:26" x14ac:dyDescent="0.15">
      <c r="A86">
        <v>3</v>
      </c>
      <c r="B86" s="51" t="s">
        <v>23</v>
      </c>
      <c r="D86" s="51" t="s">
        <v>24</v>
      </c>
      <c r="E86" s="51" t="s">
        <v>25</v>
      </c>
      <c r="F86" s="51" t="s">
        <v>26</v>
      </c>
      <c r="G86" s="51" t="s">
        <v>27</v>
      </c>
      <c r="H86">
        <v>4.3869999999999996</v>
      </c>
      <c r="I86" s="58">
        <v>23000</v>
      </c>
      <c r="J86" s="59">
        <v>100901</v>
      </c>
      <c r="K86">
        <v>1</v>
      </c>
      <c r="O86" s="52"/>
      <c r="Z86" s="51" t="s">
        <v>136</v>
      </c>
    </row>
    <row r="87" spans="1:26" x14ac:dyDescent="0.15">
      <c r="A87">
        <v>3</v>
      </c>
      <c r="B87" s="51" t="s">
        <v>67</v>
      </c>
      <c r="D87" s="51" t="s">
        <v>29</v>
      </c>
      <c r="E87" s="51" t="s">
        <v>68</v>
      </c>
      <c r="F87" s="51" t="s">
        <v>69</v>
      </c>
      <c r="G87" s="51" t="s">
        <v>62</v>
      </c>
      <c r="H87">
        <v>1.097</v>
      </c>
      <c r="I87" s="58">
        <v>14000</v>
      </c>
      <c r="J87" s="59">
        <v>15358</v>
      </c>
      <c r="K87">
        <v>1</v>
      </c>
      <c r="O87" s="52"/>
      <c r="Z87" s="51" t="s">
        <v>137</v>
      </c>
    </row>
    <row r="88" spans="1:26" x14ac:dyDescent="0.15">
      <c r="A88">
        <v>3</v>
      </c>
      <c r="B88" s="51" t="s">
        <v>84</v>
      </c>
      <c r="D88" s="51" t="s">
        <v>29</v>
      </c>
      <c r="E88" s="51" t="s">
        <v>85</v>
      </c>
      <c r="F88" s="51" t="s">
        <v>69</v>
      </c>
      <c r="G88" s="51" t="s">
        <v>62</v>
      </c>
      <c r="H88">
        <v>1.097</v>
      </c>
      <c r="I88" s="58">
        <v>11000</v>
      </c>
      <c r="J88" s="59">
        <v>12067</v>
      </c>
      <c r="K88">
        <v>1</v>
      </c>
      <c r="O88" s="52"/>
      <c r="Z88" s="51" t="s">
        <v>137</v>
      </c>
    </row>
    <row r="89" spans="1:26" x14ac:dyDescent="0.15">
      <c r="A89">
        <v>3</v>
      </c>
      <c r="B89" s="51" t="s">
        <v>28</v>
      </c>
      <c r="D89" s="51" t="s">
        <v>29</v>
      </c>
      <c r="E89" s="51" t="s">
        <v>30</v>
      </c>
      <c r="F89" s="51" t="s">
        <v>31</v>
      </c>
      <c r="G89" s="51" t="s">
        <v>32</v>
      </c>
      <c r="H89">
        <v>1.097</v>
      </c>
      <c r="I89" s="58">
        <v>3000</v>
      </c>
      <c r="J89" s="59">
        <v>3291</v>
      </c>
      <c r="K89">
        <v>1</v>
      </c>
      <c r="O89" s="52"/>
      <c r="Z89" s="51" t="s">
        <v>137</v>
      </c>
    </row>
    <row r="90" spans="1:26" x14ac:dyDescent="0.15">
      <c r="A90">
        <v>3</v>
      </c>
      <c r="B90" s="51" t="s">
        <v>33</v>
      </c>
      <c r="D90" s="51" t="s">
        <v>34</v>
      </c>
      <c r="E90" s="51" t="s">
        <v>35</v>
      </c>
      <c r="G90" s="51" t="s">
        <v>32</v>
      </c>
      <c r="H90">
        <v>1.097</v>
      </c>
      <c r="I90" s="58">
        <v>6000</v>
      </c>
      <c r="J90" s="59">
        <v>6582</v>
      </c>
      <c r="K90">
        <v>1</v>
      </c>
      <c r="O90" s="52"/>
      <c r="Z90" s="51" t="s">
        <v>137</v>
      </c>
    </row>
    <row r="91" spans="1:26" x14ac:dyDescent="0.15">
      <c r="A91">
        <v>2</v>
      </c>
      <c r="D91" s="51" t="s">
        <v>41</v>
      </c>
      <c r="E91" s="51" t="s">
        <v>138</v>
      </c>
      <c r="G91" s="51" t="s">
        <v>55</v>
      </c>
      <c r="H91">
        <v>10</v>
      </c>
      <c r="I91" s="58"/>
      <c r="J91" s="59"/>
      <c r="K91">
        <v>10</v>
      </c>
      <c r="M91" s="51" t="s">
        <v>139</v>
      </c>
      <c r="O91" s="52"/>
    </row>
    <row r="92" spans="1:26" x14ac:dyDescent="0.15">
      <c r="A92">
        <v>3</v>
      </c>
      <c r="B92" s="51" t="s">
        <v>140</v>
      </c>
      <c r="D92" s="51" t="s">
        <v>34</v>
      </c>
      <c r="E92" s="51" t="s">
        <v>141</v>
      </c>
      <c r="G92" s="51" t="s">
        <v>55</v>
      </c>
      <c r="H92">
        <v>10</v>
      </c>
      <c r="I92" s="58"/>
      <c r="J92" s="59"/>
      <c r="K92">
        <v>1</v>
      </c>
      <c r="O92" s="52"/>
    </row>
    <row r="93" spans="1:26" x14ac:dyDescent="0.15">
      <c r="A93">
        <v>2</v>
      </c>
      <c r="D93" s="51" t="s">
        <v>41</v>
      </c>
      <c r="E93" s="51" t="s">
        <v>98</v>
      </c>
      <c r="F93" s="51" t="s">
        <v>142</v>
      </c>
      <c r="G93" s="51" t="s">
        <v>55</v>
      </c>
      <c r="H93">
        <v>540</v>
      </c>
      <c r="I93" s="58"/>
      <c r="J93" s="59"/>
      <c r="K93">
        <v>540</v>
      </c>
      <c r="M93" s="51" t="s">
        <v>143</v>
      </c>
      <c r="O93" s="52"/>
    </row>
    <row r="94" spans="1:26" x14ac:dyDescent="0.15">
      <c r="A94">
        <v>3</v>
      </c>
      <c r="B94" s="51" t="s">
        <v>63</v>
      </c>
      <c r="D94" s="51" t="s">
        <v>47</v>
      </c>
      <c r="E94" s="51" t="s">
        <v>64</v>
      </c>
      <c r="G94" s="51" t="s">
        <v>19</v>
      </c>
      <c r="H94">
        <v>1</v>
      </c>
      <c r="I94" s="58"/>
      <c r="J94" s="59"/>
      <c r="K94">
        <v>1</v>
      </c>
      <c r="O94" s="52"/>
    </row>
    <row r="95" spans="1:26" x14ac:dyDescent="0.15">
      <c r="A95">
        <v>3</v>
      </c>
      <c r="B95" s="51" t="s">
        <v>57</v>
      </c>
      <c r="D95" s="51" t="s">
        <v>47</v>
      </c>
      <c r="E95" s="51" t="s">
        <v>58</v>
      </c>
      <c r="G95" s="51" t="s">
        <v>59</v>
      </c>
      <c r="H95">
        <v>155</v>
      </c>
      <c r="I95" s="58"/>
      <c r="J95" s="59"/>
      <c r="K95">
        <v>1</v>
      </c>
      <c r="O95" s="52"/>
    </row>
    <row r="96" spans="1:26" x14ac:dyDescent="0.15">
      <c r="A96">
        <v>2</v>
      </c>
      <c r="D96" s="51" t="s">
        <v>41</v>
      </c>
      <c r="E96" s="51" t="s">
        <v>98</v>
      </c>
      <c r="F96" s="51" t="s">
        <v>144</v>
      </c>
      <c r="G96" s="51" t="s">
        <v>55</v>
      </c>
      <c r="H96">
        <v>540</v>
      </c>
      <c r="I96" s="58">
        <v>1200</v>
      </c>
      <c r="J96" s="59">
        <v>648000</v>
      </c>
      <c r="K96">
        <v>540</v>
      </c>
      <c r="M96" s="51" t="s">
        <v>145</v>
      </c>
      <c r="O96" s="52"/>
    </row>
    <row r="97" spans="1:26" x14ac:dyDescent="0.15">
      <c r="A97">
        <v>3</v>
      </c>
      <c r="B97" s="51" t="s">
        <v>63</v>
      </c>
      <c r="D97" s="51" t="s">
        <v>47</v>
      </c>
      <c r="E97" s="51" t="s">
        <v>64</v>
      </c>
      <c r="G97" s="51" t="s">
        <v>19</v>
      </c>
      <c r="H97">
        <v>1</v>
      </c>
      <c r="I97" s="58">
        <v>18000</v>
      </c>
      <c r="J97" s="59">
        <v>18000</v>
      </c>
      <c r="K97">
        <v>1</v>
      </c>
      <c r="O97" s="52"/>
    </row>
    <row r="98" spans="1:26" x14ac:dyDescent="0.15">
      <c r="A98">
        <v>3</v>
      </c>
      <c r="B98" s="51" t="s">
        <v>23</v>
      </c>
      <c r="D98" s="51" t="s">
        <v>24</v>
      </c>
      <c r="E98" s="51" t="s">
        <v>25</v>
      </c>
      <c r="F98" s="51" t="s">
        <v>26</v>
      </c>
      <c r="G98" s="51" t="s">
        <v>27</v>
      </c>
      <c r="H98">
        <v>15</v>
      </c>
      <c r="I98" s="58">
        <v>23000</v>
      </c>
      <c r="J98" s="59">
        <v>345000</v>
      </c>
      <c r="K98">
        <v>1</v>
      </c>
      <c r="O98" s="52"/>
      <c r="Z98" s="51" t="s">
        <v>146</v>
      </c>
    </row>
    <row r="99" spans="1:26" x14ac:dyDescent="0.15">
      <c r="A99">
        <v>3</v>
      </c>
      <c r="B99" s="51" t="s">
        <v>84</v>
      </c>
      <c r="D99" s="51" t="s">
        <v>29</v>
      </c>
      <c r="E99" s="51" t="s">
        <v>85</v>
      </c>
      <c r="F99" s="51" t="s">
        <v>69</v>
      </c>
      <c r="G99" s="51" t="s">
        <v>62</v>
      </c>
      <c r="H99">
        <v>15</v>
      </c>
      <c r="I99" s="58">
        <v>11000</v>
      </c>
      <c r="J99" s="59">
        <v>165000</v>
      </c>
      <c r="K99">
        <v>1</v>
      </c>
      <c r="O99" s="52"/>
      <c r="Z99" s="51" t="s">
        <v>147</v>
      </c>
    </row>
    <row r="100" spans="1:26" x14ac:dyDescent="0.15">
      <c r="A100">
        <v>3</v>
      </c>
      <c r="B100" s="51" t="s">
        <v>109</v>
      </c>
      <c r="D100" s="51" t="s">
        <v>34</v>
      </c>
      <c r="E100" s="51" t="s">
        <v>110</v>
      </c>
      <c r="G100" s="51" t="s">
        <v>32</v>
      </c>
      <c r="H100">
        <v>15</v>
      </c>
      <c r="I100" s="58">
        <v>8000</v>
      </c>
      <c r="J100" s="59">
        <v>120000</v>
      </c>
      <c r="K100">
        <v>1</v>
      </c>
      <c r="O100" s="52"/>
      <c r="Z100" s="51" t="s">
        <v>131</v>
      </c>
    </row>
    <row r="101" spans="1:26" x14ac:dyDescent="0.15">
      <c r="A101">
        <v>1</v>
      </c>
      <c r="D101" s="51" t="s">
        <v>20</v>
      </c>
      <c r="E101" s="51" t="s">
        <v>148</v>
      </c>
      <c r="G101" s="51" t="s">
        <v>19</v>
      </c>
      <c r="H101">
        <v>1</v>
      </c>
      <c r="I101" s="58">
        <v>747600</v>
      </c>
      <c r="J101" s="59">
        <v>747600</v>
      </c>
      <c r="K101">
        <v>1</v>
      </c>
      <c r="M101" s="51" t="s">
        <v>149</v>
      </c>
      <c r="O101" s="52"/>
    </row>
    <row r="102" spans="1:26" x14ac:dyDescent="0.15">
      <c r="A102">
        <v>2</v>
      </c>
      <c r="D102" s="51" t="s">
        <v>41</v>
      </c>
      <c r="E102" s="51" t="s">
        <v>150</v>
      </c>
      <c r="G102" s="51" t="s">
        <v>151</v>
      </c>
      <c r="H102">
        <v>24</v>
      </c>
      <c r="I102" s="58">
        <v>10600</v>
      </c>
      <c r="J102" s="59">
        <v>254400</v>
      </c>
      <c r="K102">
        <v>24</v>
      </c>
      <c r="M102" s="51" t="s">
        <v>152</v>
      </c>
      <c r="O102" s="52"/>
    </row>
    <row r="103" spans="1:26" x14ac:dyDescent="0.15">
      <c r="A103">
        <v>3</v>
      </c>
      <c r="B103" s="51" t="s">
        <v>153</v>
      </c>
      <c r="D103" s="51" t="s">
        <v>154</v>
      </c>
      <c r="E103" s="51" t="s">
        <v>155</v>
      </c>
      <c r="F103" s="51" t="s">
        <v>156</v>
      </c>
      <c r="G103" s="51" t="s">
        <v>151</v>
      </c>
      <c r="H103">
        <v>34</v>
      </c>
      <c r="I103" s="58">
        <v>6000</v>
      </c>
      <c r="J103" s="59">
        <v>204000</v>
      </c>
      <c r="K103">
        <v>1</v>
      </c>
      <c r="O103" s="52"/>
    </row>
    <row r="104" spans="1:26" x14ac:dyDescent="0.15">
      <c r="A104">
        <v>3</v>
      </c>
      <c r="B104" s="51" t="s">
        <v>153</v>
      </c>
      <c r="D104" s="51" t="s">
        <v>154</v>
      </c>
      <c r="E104" s="51" t="s">
        <v>155</v>
      </c>
      <c r="F104" s="51" t="s">
        <v>157</v>
      </c>
      <c r="G104" s="51" t="s">
        <v>19</v>
      </c>
      <c r="H104">
        <v>1</v>
      </c>
      <c r="I104" s="58">
        <v>7200</v>
      </c>
      <c r="J104" s="59">
        <v>7200</v>
      </c>
      <c r="K104">
        <v>1</v>
      </c>
      <c r="O104" s="52"/>
    </row>
    <row r="105" spans="1:26" x14ac:dyDescent="0.15">
      <c r="A105">
        <v>3</v>
      </c>
      <c r="B105" s="51" t="s">
        <v>153</v>
      </c>
      <c r="D105" s="51" t="s">
        <v>154</v>
      </c>
      <c r="E105" s="51" t="s">
        <v>158</v>
      </c>
      <c r="F105" s="51" t="s">
        <v>159</v>
      </c>
      <c r="G105" s="51" t="s">
        <v>151</v>
      </c>
      <c r="H105">
        <v>24</v>
      </c>
      <c r="I105" s="58">
        <v>1800</v>
      </c>
      <c r="J105" s="59">
        <v>43200</v>
      </c>
      <c r="K105">
        <v>1</v>
      </c>
      <c r="O105" s="52"/>
    </row>
    <row r="106" spans="1:26" x14ac:dyDescent="0.15">
      <c r="A106">
        <v>2</v>
      </c>
      <c r="D106" s="51" t="s">
        <v>41</v>
      </c>
      <c r="E106" s="51" t="s">
        <v>160</v>
      </c>
      <c r="G106" s="51" t="s">
        <v>151</v>
      </c>
      <c r="H106">
        <v>200</v>
      </c>
      <c r="I106" s="58">
        <v>1850</v>
      </c>
      <c r="J106" s="59">
        <v>370000</v>
      </c>
      <c r="K106">
        <v>200</v>
      </c>
      <c r="M106" s="51" t="s">
        <v>161</v>
      </c>
      <c r="O106" s="52"/>
    </row>
    <row r="107" spans="1:26" x14ac:dyDescent="0.15">
      <c r="A107">
        <v>3</v>
      </c>
      <c r="B107" s="51" t="s">
        <v>153</v>
      </c>
      <c r="D107" s="51" t="s">
        <v>154</v>
      </c>
      <c r="E107" s="51" t="s">
        <v>158</v>
      </c>
      <c r="F107" s="51" t="s">
        <v>159</v>
      </c>
      <c r="G107" s="51" t="s">
        <v>151</v>
      </c>
      <c r="H107">
        <v>158</v>
      </c>
      <c r="I107" s="58">
        <v>2000</v>
      </c>
      <c r="J107" s="59">
        <v>316000</v>
      </c>
      <c r="K107">
        <v>1</v>
      </c>
      <c r="O107" s="52"/>
    </row>
    <row r="108" spans="1:26" x14ac:dyDescent="0.15">
      <c r="A108">
        <v>3</v>
      </c>
      <c r="B108" s="51" t="s">
        <v>162</v>
      </c>
      <c r="D108" s="51" t="s">
        <v>154</v>
      </c>
      <c r="E108" s="51" t="s">
        <v>163</v>
      </c>
      <c r="F108" s="51" t="s">
        <v>164</v>
      </c>
      <c r="G108" s="51" t="s">
        <v>19</v>
      </c>
      <c r="H108">
        <v>1</v>
      </c>
      <c r="I108" s="58">
        <v>54000</v>
      </c>
      <c r="J108" s="59">
        <v>54000</v>
      </c>
      <c r="K108">
        <v>1</v>
      </c>
      <c r="O108" s="52"/>
    </row>
    <row r="109" spans="1:26" x14ac:dyDescent="0.15">
      <c r="A109">
        <v>2</v>
      </c>
      <c r="D109" s="51" t="s">
        <v>41</v>
      </c>
      <c r="E109" s="51" t="s">
        <v>165</v>
      </c>
      <c r="G109" s="51" t="s">
        <v>151</v>
      </c>
      <c r="H109">
        <v>224</v>
      </c>
      <c r="I109" s="58">
        <v>550</v>
      </c>
      <c r="J109" s="59">
        <v>123200</v>
      </c>
      <c r="K109">
        <v>224</v>
      </c>
      <c r="M109" s="51" t="s">
        <v>166</v>
      </c>
      <c r="O109" s="52"/>
    </row>
    <row r="110" spans="1:26" x14ac:dyDescent="0.15">
      <c r="A110">
        <v>3</v>
      </c>
      <c r="B110" s="51" t="s">
        <v>63</v>
      </c>
      <c r="D110" s="51" t="s">
        <v>47</v>
      </c>
      <c r="E110" s="51" t="s">
        <v>64</v>
      </c>
      <c r="G110" s="51" t="s">
        <v>19</v>
      </c>
      <c r="H110">
        <v>1</v>
      </c>
      <c r="I110" s="58">
        <v>8200</v>
      </c>
      <c r="J110" s="59">
        <v>8200</v>
      </c>
      <c r="K110">
        <v>1</v>
      </c>
      <c r="O110" s="52"/>
    </row>
    <row r="111" spans="1:26" x14ac:dyDescent="0.15">
      <c r="A111">
        <v>3</v>
      </c>
      <c r="B111" s="51" t="s">
        <v>23</v>
      </c>
      <c r="D111" s="51" t="s">
        <v>24</v>
      </c>
      <c r="E111" s="51" t="s">
        <v>25</v>
      </c>
      <c r="F111" s="51" t="s">
        <v>26</v>
      </c>
      <c r="G111" s="51" t="s">
        <v>27</v>
      </c>
      <c r="H111">
        <v>4</v>
      </c>
      <c r="I111" s="58">
        <v>23000</v>
      </c>
      <c r="J111" s="59">
        <v>92000</v>
      </c>
      <c r="K111">
        <v>1</v>
      </c>
      <c r="O111" s="52"/>
    </row>
    <row r="112" spans="1:26" x14ac:dyDescent="0.15">
      <c r="A112">
        <v>3</v>
      </c>
      <c r="B112" s="51" t="s">
        <v>84</v>
      </c>
      <c r="D112" s="51" t="s">
        <v>29</v>
      </c>
      <c r="E112" s="51" t="s">
        <v>85</v>
      </c>
      <c r="F112" s="51" t="s">
        <v>69</v>
      </c>
      <c r="G112" s="51" t="s">
        <v>62</v>
      </c>
      <c r="H112">
        <v>1</v>
      </c>
      <c r="I112" s="58">
        <v>11000</v>
      </c>
      <c r="J112" s="59">
        <v>11000</v>
      </c>
      <c r="K112">
        <v>1</v>
      </c>
      <c r="O112" s="52"/>
    </row>
    <row r="113" spans="1:15" x14ac:dyDescent="0.15">
      <c r="A113">
        <v>3</v>
      </c>
      <c r="B113" s="51" t="s">
        <v>33</v>
      </c>
      <c r="D113" s="51" t="s">
        <v>34</v>
      </c>
      <c r="E113" s="51" t="s">
        <v>35</v>
      </c>
      <c r="G113" s="51" t="s">
        <v>32</v>
      </c>
      <c r="H113">
        <v>2</v>
      </c>
      <c r="I113" s="58">
        <v>6000</v>
      </c>
      <c r="J113" s="59">
        <v>12000</v>
      </c>
      <c r="K113">
        <v>1</v>
      </c>
      <c r="O113" s="52"/>
    </row>
    <row r="114" spans="1:15" x14ac:dyDescent="0.15">
      <c r="A114">
        <v>1</v>
      </c>
      <c r="D114" s="51" t="s">
        <v>20</v>
      </c>
      <c r="E114" s="51" t="s">
        <v>167</v>
      </c>
      <c r="G114" s="51" t="s">
        <v>19</v>
      </c>
      <c r="H114">
        <v>1</v>
      </c>
      <c r="I114" s="58">
        <v>2839400</v>
      </c>
      <c r="J114" s="59">
        <v>2839400</v>
      </c>
      <c r="K114">
        <v>1</v>
      </c>
      <c r="M114" s="51" t="s">
        <v>168</v>
      </c>
      <c r="O114" s="52"/>
    </row>
    <row r="115" spans="1:15" x14ac:dyDescent="0.15">
      <c r="A115">
        <v>2</v>
      </c>
      <c r="D115" s="51" t="s">
        <v>41</v>
      </c>
      <c r="E115" s="51" t="s">
        <v>169</v>
      </c>
      <c r="F115" s="51" t="s">
        <v>170</v>
      </c>
      <c r="G115" s="51" t="s">
        <v>151</v>
      </c>
      <c r="H115">
        <v>5</v>
      </c>
      <c r="I115" s="58">
        <v>4000</v>
      </c>
      <c r="J115" s="59">
        <v>20000</v>
      </c>
      <c r="K115">
        <v>5</v>
      </c>
      <c r="M115" s="51" t="s">
        <v>171</v>
      </c>
      <c r="O115" s="52"/>
    </row>
    <row r="116" spans="1:15" x14ac:dyDescent="0.15">
      <c r="A116">
        <v>3</v>
      </c>
      <c r="B116" s="51" t="s">
        <v>172</v>
      </c>
      <c r="D116" s="51" t="s">
        <v>154</v>
      </c>
      <c r="E116" s="51" t="s">
        <v>173</v>
      </c>
      <c r="F116" s="51" t="s">
        <v>174</v>
      </c>
      <c r="G116" s="51" t="s">
        <v>51</v>
      </c>
      <c r="H116">
        <v>1</v>
      </c>
      <c r="I116" s="58">
        <v>20000</v>
      </c>
      <c r="J116" s="59">
        <v>20000</v>
      </c>
      <c r="K116">
        <v>1</v>
      </c>
      <c r="O116" s="52"/>
    </row>
    <row r="117" spans="1:15" x14ac:dyDescent="0.15">
      <c r="A117">
        <v>2</v>
      </c>
      <c r="D117" s="51" t="s">
        <v>41</v>
      </c>
      <c r="E117" s="51" t="s">
        <v>175</v>
      </c>
      <c r="F117" s="51" t="s">
        <v>176</v>
      </c>
      <c r="G117" s="51" t="s">
        <v>113</v>
      </c>
      <c r="H117">
        <v>635</v>
      </c>
      <c r="I117" s="58">
        <v>1700</v>
      </c>
      <c r="J117" s="59">
        <v>1079500</v>
      </c>
      <c r="K117">
        <v>635</v>
      </c>
      <c r="M117" s="51" t="s">
        <v>177</v>
      </c>
      <c r="O117" s="52"/>
    </row>
    <row r="118" spans="1:15" x14ac:dyDescent="0.15">
      <c r="A118">
        <v>3</v>
      </c>
      <c r="B118" s="51" t="s">
        <v>63</v>
      </c>
      <c r="D118" s="51" t="s">
        <v>47</v>
      </c>
      <c r="E118" s="51" t="s">
        <v>64</v>
      </c>
      <c r="G118" s="51" t="s">
        <v>19</v>
      </c>
      <c r="H118">
        <v>4</v>
      </c>
      <c r="I118" s="58">
        <v>5000</v>
      </c>
      <c r="J118" s="59">
        <v>20000</v>
      </c>
      <c r="K118">
        <v>1</v>
      </c>
      <c r="O118" s="52"/>
    </row>
    <row r="119" spans="1:15" x14ac:dyDescent="0.15">
      <c r="A119">
        <v>3</v>
      </c>
      <c r="B119" s="51" t="s">
        <v>63</v>
      </c>
      <c r="D119" s="51" t="s">
        <v>47</v>
      </c>
      <c r="E119" s="51" t="s">
        <v>64</v>
      </c>
      <c r="G119" s="51" t="s">
        <v>19</v>
      </c>
      <c r="H119">
        <v>1</v>
      </c>
      <c r="I119" s="58">
        <v>500</v>
      </c>
      <c r="J119" s="59">
        <v>500</v>
      </c>
      <c r="K119">
        <v>1</v>
      </c>
      <c r="O119" s="52"/>
    </row>
    <row r="120" spans="1:15" x14ac:dyDescent="0.15">
      <c r="A120">
        <v>3</v>
      </c>
      <c r="B120" s="51" t="s">
        <v>57</v>
      </c>
      <c r="D120" s="51" t="s">
        <v>47</v>
      </c>
      <c r="E120" s="51" t="s">
        <v>58</v>
      </c>
      <c r="G120" s="51" t="s">
        <v>59</v>
      </c>
      <c r="H120">
        <v>300</v>
      </c>
      <c r="I120" s="58">
        <v>160</v>
      </c>
      <c r="J120" s="59">
        <v>48000</v>
      </c>
      <c r="K120">
        <v>1</v>
      </c>
      <c r="O120" s="52"/>
    </row>
    <row r="121" spans="1:15" x14ac:dyDescent="0.15">
      <c r="A121">
        <v>3</v>
      </c>
      <c r="B121" s="51" t="s">
        <v>178</v>
      </c>
      <c r="D121" s="51" t="s">
        <v>47</v>
      </c>
      <c r="E121" s="51" t="s">
        <v>179</v>
      </c>
      <c r="G121" s="51" t="s">
        <v>180</v>
      </c>
      <c r="H121">
        <v>80</v>
      </c>
      <c r="I121" s="58">
        <v>600</v>
      </c>
      <c r="J121" s="59">
        <v>48000</v>
      </c>
      <c r="K121">
        <v>1</v>
      </c>
      <c r="O121" s="52"/>
    </row>
    <row r="122" spans="1:15" x14ac:dyDescent="0.15">
      <c r="A122">
        <v>3</v>
      </c>
      <c r="B122" s="51" t="s">
        <v>23</v>
      </c>
      <c r="D122" s="51" t="s">
        <v>24</v>
      </c>
      <c r="E122" s="51" t="s">
        <v>25</v>
      </c>
      <c r="F122" s="51" t="s">
        <v>26</v>
      </c>
      <c r="G122" s="51" t="s">
        <v>27</v>
      </c>
      <c r="H122">
        <v>33</v>
      </c>
      <c r="I122" s="58">
        <v>23000</v>
      </c>
      <c r="J122" s="59">
        <v>759000</v>
      </c>
      <c r="K122">
        <v>1</v>
      </c>
      <c r="O122" s="52"/>
    </row>
    <row r="123" spans="1:15" x14ac:dyDescent="0.15">
      <c r="A123">
        <v>3</v>
      </c>
      <c r="B123" s="51" t="s">
        <v>181</v>
      </c>
      <c r="D123" s="51" t="s">
        <v>29</v>
      </c>
      <c r="E123" s="51" t="s">
        <v>182</v>
      </c>
      <c r="F123" s="51" t="s">
        <v>183</v>
      </c>
      <c r="G123" s="51" t="s">
        <v>62</v>
      </c>
      <c r="H123">
        <v>4</v>
      </c>
      <c r="I123" s="58">
        <v>7000</v>
      </c>
      <c r="J123" s="59">
        <v>28000</v>
      </c>
      <c r="K123">
        <v>1</v>
      </c>
      <c r="O123" s="52"/>
    </row>
    <row r="124" spans="1:15" x14ac:dyDescent="0.15">
      <c r="A124">
        <v>3</v>
      </c>
      <c r="B124" s="51" t="s">
        <v>84</v>
      </c>
      <c r="D124" s="51" t="s">
        <v>29</v>
      </c>
      <c r="E124" s="51" t="s">
        <v>85</v>
      </c>
      <c r="F124" s="51" t="s">
        <v>69</v>
      </c>
      <c r="G124" s="51" t="s">
        <v>62</v>
      </c>
      <c r="H124">
        <v>4</v>
      </c>
      <c r="I124" s="58">
        <v>11000</v>
      </c>
      <c r="J124" s="59">
        <v>44000</v>
      </c>
      <c r="K124">
        <v>1</v>
      </c>
      <c r="O124" s="52"/>
    </row>
    <row r="125" spans="1:15" x14ac:dyDescent="0.15">
      <c r="A125">
        <v>3</v>
      </c>
      <c r="B125" s="51" t="s">
        <v>81</v>
      </c>
      <c r="D125" s="51" t="s">
        <v>29</v>
      </c>
      <c r="E125" s="51" t="s">
        <v>82</v>
      </c>
      <c r="F125" s="51" t="s">
        <v>69</v>
      </c>
      <c r="G125" s="51" t="s">
        <v>62</v>
      </c>
      <c r="H125">
        <v>4</v>
      </c>
      <c r="I125" s="58">
        <v>7000</v>
      </c>
      <c r="J125" s="59">
        <v>28000</v>
      </c>
      <c r="K125">
        <v>1</v>
      </c>
      <c r="O125" s="52"/>
    </row>
    <row r="126" spans="1:15" x14ac:dyDescent="0.15">
      <c r="A126">
        <v>3</v>
      </c>
      <c r="B126" s="51" t="s">
        <v>184</v>
      </c>
      <c r="D126" s="51" t="s">
        <v>29</v>
      </c>
      <c r="E126" s="51" t="s">
        <v>185</v>
      </c>
      <c r="F126" s="51" t="s">
        <v>186</v>
      </c>
      <c r="G126" s="51" t="s">
        <v>62</v>
      </c>
      <c r="H126">
        <v>4</v>
      </c>
      <c r="I126" s="58">
        <v>6000</v>
      </c>
      <c r="J126" s="59">
        <v>24000</v>
      </c>
      <c r="K126">
        <v>1</v>
      </c>
      <c r="O126" s="52"/>
    </row>
    <row r="127" spans="1:15" x14ac:dyDescent="0.15">
      <c r="A127">
        <v>3</v>
      </c>
      <c r="B127" s="51" t="s">
        <v>187</v>
      </c>
      <c r="D127" s="51" t="s">
        <v>29</v>
      </c>
      <c r="E127" s="51" t="s">
        <v>188</v>
      </c>
      <c r="F127" s="51" t="s">
        <v>189</v>
      </c>
      <c r="G127" s="51" t="s">
        <v>62</v>
      </c>
      <c r="H127">
        <v>4</v>
      </c>
      <c r="I127" s="58">
        <v>6000</v>
      </c>
      <c r="J127" s="59">
        <v>24000</v>
      </c>
      <c r="K127">
        <v>1</v>
      </c>
      <c r="O127" s="52"/>
    </row>
    <row r="128" spans="1:15" x14ac:dyDescent="0.15">
      <c r="A128">
        <v>3</v>
      </c>
      <c r="B128" s="51" t="s">
        <v>28</v>
      </c>
      <c r="D128" s="51" t="s">
        <v>29</v>
      </c>
      <c r="E128" s="51" t="s">
        <v>30</v>
      </c>
      <c r="F128" s="51" t="s">
        <v>31</v>
      </c>
      <c r="G128" s="51" t="s">
        <v>32</v>
      </c>
      <c r="H128">
        <v>4</v>
      </c>
      <c r="I128" s="58">
        <v>3000</v>
      </c>
      <c r="J128" s="59">
        <v>12000</v>
      </c>
      <c r="K128">
        <v>1</v>
      </c>
      <c r="O128" s="52"/>
    </row>
    <row r="129" spans="1:15" x14ac:dyDescent="0.15">
      <c r="A129">
        <v>3</v>
      </c>
      <c r="B129" s="51" t="s">
        <v>190</v>
      </c>
      <c r="D129" s="51" t="s">
        <v>34</v>
      </c>
      <c r="E129" s="51" t="s">
        <v>191</v>
      </c>
      <c r="G129" s="51" t="s">
        <v>32</v>
      </c>
      <c r="H129">
        <v>4</v>
      </c>
      <c r="I129" s="58">
        <v>5000</v>
      </c>
      <c r="J129" s="59">
        <v>20000</v>
      </c>
      <c r="K129">
        <v>1</v>
      </c>
      <c r="O129" s="52"/>
    </row>
    <row r="130" spans="1:15" x14ac:dyDescent="0.15">
      <c r="A130">
        <v>3</v>
      </c>
      <c r="B130" s="51" t="s">
        <v>33</v>
      </c>
      <c r="D130" s="51" t="s">
        <v>34</v>
      </c>
      <c r="E130" s="51" t="s">
        <v>35</v>
      </c>
      <c r="G130" s="51" t="s">
        <v>32</v>
      </c>
      <c r="H130">
        <v>4</v>
      </c>
      <c r="I130" s="58">
        <v>6000</v>
      </c>
      <c r="J130" s="59">
        <v>24000</v>
      </c>
      <c r="K130">
        <v>1</v>
      </c>
      <c r="O130" s="52"/>
    </row>
    <row r="131" spans="1:15" x14ac:dyDescent="0.15">
      <c r="A131">
        <v>2</v>
      </c>
      <c r="D131" s="51" t="s">
        <v>41</v>
      </c>
      <c r="E131" s="51" t="s">
        <v>192</v>
      </c>
      <c r="G131" s="51" t="s">
        <v>55</v>
      </c>
      <c r="H131">
        <v>32</v>
      </c>
      <c r="I131" s="58">
        <v>12700</v>
      </c>
      <c r="J131" s="59">
        <v>406400</v>
      </c>
      <c r="K131">
        <v>32</v>
      </c>
      <c r="M131" s="51" t="s">
        <v>193</v>
      </c>
      <c r="O131" s="52"/>
    </row>
    <row r="132" spans="1:15" x14ac:dyDescent="0.15">
      <c r="A132">
        <v>3</v>
      </c>
      <c r="B132" s="51" t="s">
        <v>104</v>
      </c>
      <c r="D132" s="51" t="s">
        <v>34</v>
      </c>
      <c r="E132" s="51" t="s">
        <v>105</v>
      </c>
      <c r="F132" s="51" t="s">
        <v>103</v>
      </c>
      <c r="G132" s="51" t="s">
        <v>62</v>
      </c>
      <c r="H132">
        <v>9</v>
      </c>
      <c r="I132" s="58">
        <v>40000</v>
      </c>
      <c r="J132" s="59">
        <v>360000</v>
      </c>
      <c r="K132">
        <v>1</v>
      </c>
      <c r="O132" s="52"/>
    </row>
    <row r="133" spans="1:15" x14ac:dyDescent="0.15">
      <c r="A133">
        <v>3</v>
      </c>
      <c r="B133" s="51" t="s">
        <v>194</v>
      </c>
      <c r="D133" s="51" t="s">
        <v>34</v>
      </c>
      <c r="E133" s="51" t="s">
        <v>195</v>
      </c>
      <c r="G133" s="51" t="s">
        <v>196</v>
      </c>
      <c r="H133">
        <v>90</v>
      </c>
      <c r="I133" s="58">
        <v>500</v>
      </c>
      <c r="J133" s="59">
        <v>45000</v>
      </c>
      <c r="K133">
        <v>1</v>
      </c>
      <c r="O133" s="52"/>
    </row>
    <row r="134" spans="1:15" x14ac:dyDescent="0.15">
      <c r="A134">
        <v>3</v>
      </c>
      <c r="D134" s="51" t="s">
        <v>34</v>
      </c>
      <c r="E134" s="51" t="s">
        <v>197</v>
      </c>
      <c r="G134" s="51" t="s">
        <v>19</v>
      </c>
      <c r="H134">
        <v>1</v>
      </c>
      <c r="I134" s="58">
        <v>1400</v>
      </c>
      <c r="J134" s="59">
        <v>1400</v>
      </c>
      <c r="K134">
        <v>1</v>
      </c>
      <c r="O134" s="52"/>
    </row>
    <row r="135" spans="1:15" x14ac:dyDescent="0.15">
      <c r="A135">
        <v>2</v>
      </c>
      <c r="D135" s="51" t="s">
        <v>41</v>
      </c>
      <c r="E135" s="51" t="s">
        <v>198</v>
      </c>
      <c r="F135" s="51" t="s">
        <v>199</v>
      </c>
      <c r="G135" s="51" t="s">
        <v>113</v>
      </c>
      <c r="H135">
        <v>635</v>
      </c>
      <c r="I135" s="58">
        <v>2100</v>
      </c>
      <c r="J135" s="59">
        <v>1333500</v>
      </c>
      <c r="K135">
        <v>635</v>
      </c>
      <c r="M135" s="51" t="s">
        <v>200</v>
      </c>
      <c r="O135" s="52"/>
    </row>
    <row r="136" spans="1:15" x14ac:dyDescent="0.15">
      <c r="A136">
        <v>3</v>
      </c>
      <c r="B136" s="51" t="s">
        <v>201</v>
      </c>
      <c r="D136" s="51" t="s">
        <v>47</v>
      </c>
      <c r="E136" s="51" t="s">
        <v>202</v>
      </c>
      <c r="G136" s="51" t="s">
        <v>180</v>
      </c>
      <c r="H136">
        <v>85</v>
      </c>
      <c r="I136" s="58">
        <v>10000</v>
      </c>
      <c r="J136" s="59">
        <v>850000</v>
      </c>
      <c r="K136">
        <v>1</v>
      </c>
      <c r="O136" s="52"/>
    </row>
    <row r="137" spans="1:15" x14ac:dyDescent="0.15">
      <c r="A137">
        <v>3</v>
      </c>
      <c r="B137" s="51" t="s">
        <v>203</v>
      </c>
      <c r="D137" s="51" t="s">
        <v>47</v>
      </c>
      <c r="E137" s="51" t="s">
        <v>204</v>
      </c>
      <c r="G137" s="51" t="s">
        <v>59</v>
      </c>
      <c r="H137">
        <v>600</v>
      </c>
      <c r="I137" s="58">
        <v>100</v>
      </c>
      <c r="J137" s="59">
        <v>60000</v>
      </c>
      <c r="K137">
        <v>1</v>
      </c>
      <c r="O137" s="52"/>
    </row>
    <row r="138" spans="1:15" x14ac:dyDescent="0.15">
      <c r="A138">
        <v>3</v>
      </c>
      <c r="B138" s="51" t="s">
        <v>63</v>
      </c>
      <c r="D138" s="51" t="s">
        <v>47</v>
      </c>
      <c r="E138" s="51" t="s">
        <v>64</v>
      </c>
      <c r="F138" s="51" t="s">
        <v>205</v>
      </c>
      <c r="G138" s="51" t="s">
        <v>19</v>
      </c>
      <c r="H138">
        <v>1</v>
      </c>
      <c r="I138" s="58">
        <v>17500</v>
      </c>
      <c r="J138" s="59">
        <v>17500</v>
      </c>
      <c r="K138">
        <v>1</v>
      </c>
      <c r="O138" s="52"/>
    </row>
    <row r="139" spans="1:15" x14ac:dyDescent="0.15">
      <c r="A139">
        <v>3</v>
      </c>
      <c r="B139" s="51" t="s">
        <v>57</v>
      </c>
      <c r="D139" s="51" t="s">
        <v>47</v>
      </c>
      <c r="E139" s="51" t="s">
        <v>58</v>
      </c>
      <c r="G139" s="51" t="s">
        <v>59</v>
      </c>
      <c r="H139">
        <v>200</v>
      </c>
      <c r="I139" s="58">
        <v>160</v>
      </c>
      <c r="J139" s="59">
        <v>32000</v>
      </c>
      <c r="K139">
        <v>1</v>
      </c>
      <c r="O139" s="52"/>
    </row>
    <row r="140" spans="1:15" x14ac:dyDescent="0.15">
      <c r="A140">
        <v>3</v>
      </c>
      <c r="B140" s="51" t="s">
        <v>23</v>
      </c>
      <c r="D140" s="51" t="s">
        <v>24</v>
      </c>
      <c r="E140" s="51" t="s">
        <v>25</v>
      </c>
      <c r="F140" s="51" t="s">
        <v>26</v>
      </c>
      <c r="G140" s="51" t="s">
        <v>27</v>
      </c>
      <c r="H140">
        <v>12</v>
      </c>
      <c r="I140" s="58">
        <v>23000</v>
      </c>
      <c r="J140" s="59">
        <v>276000</v>
      </c>
      <c r="K140">
        <v>1</v>
      </c>
      <c r="O140" s="52"/>
    </row>
    <row r="141" spans="1:15" x14ac:dyDescent="0.15">
      <c r="A141">
        <v>3</v>
      </c>
      <c r="B141" s="51" t="s">
        <v>206</v>
      </c>
      <c r="D141" s="51" t="s">
        <v>29</v>
      </c>
      <c r="E141" s="51" t="s">
        <v>207</v>
      </c>
      <c r="F141" s="51" t="s">
        <v>186</v>
      </c>
      <c r="G141" s="51" t="s">
        <v>62</v>
      </c>
      <c r="H141">
        <v>1</v>
      </c>
      <c r="I141" s="58">
        <v>50000</v>
      </c>
      <c r="J141" s="59">
        <v>50000</v>
      </c>
      <c r="K141">
        <v>1</v>
      </c>
      <c r="O141" s="52"/>
    </row>
    <row r="142" spans="1:15" x14ac:dyDescent="0.15">
      <c r="A142">
        <v>3</v>
      </c>
      <c r="B142" s="51" t="s">
        <v>81</v>
      </c>
      <c r="D142" s="51" t="s">
        <v>29</v>
      </c>
      <c r="E142" s="51" t="s">
        <v>82</v>
      </c>
      <c r="F142" s="51" t="s">
        <v>69</v>
      </c>
      <c r="G142" s="51" t="s">
        <v>62</v>
      </c>
      <c r="H142">
        <v>1</v>
      </c>
      <c r="I142" s="58">
        <v>7000</v>
      </c>
      <c r="J142" s="59">
        <v>7000</v>
      </c>
      <c r="K142">
        <v>1</v>
      </c>
      <c r="O142" s="52"/>
    </row>
    <row r="143" spans="1:15" x14ac:dyDescent="0.15">
      <c r="A143">
        <v>3</v>
      </c>
      <c r="B143" s="51" t="s">
        <v>184</v>
      </c>
      <c r="D143" s="51" t="s">
        <v>29</v>
      </c>
      <c r="E143" s="51" t="s">
        <v>185</v>
      </c>
      <c r="F143" s="51" t="s">
        <v>186</v>
      </c>
      <c r="G143" s="51" t="s">
        <v>62</v>
      </c>
      <c r="H143">
        <v>1</v>
      </c>
      <c r="I143" s="58">
        <v>6000</v>
      </c>
      <c r="J143" s="59">
        <v>6000</v>
      </c>
      <c r="K143">
        <v>1</v>
      </c>
      <c r="O143" s="52"/>
    </row>
    <row r="144" spans="1:15" x14ac:dyDescent="0.15">
      <c r="A144">
        <v>3</v>
      </c>
      <c r="B144" s="51" t="s">
        <v>187</v>
      </c>
      <c r="D144" s="51" t="s">
        <v>29</v>
      </c>
      <c r="E144" s="51" t="s">
        <v>188</v>
      </c>
      <c r="F144" s="51" t="s">
        <v>189</v>
      </c>
      <c r="G144" s="51" t="s">
        <v>62</v>
      </c>
      <c r="H144">
        <v>1</v>
      </c>
      <c r="I144" s="58">
        <v>7000</v>
      </c>
      <c r="J144" s="59">
        <v>7000</v>
      </c>
      <c r="K144">
        <v>1</v>
      </c>
      <c r="O144" s="52"/>
    </row>
    <row r="145" spans="1:15" x14ac:dyDescent="0.15">
      <c r="A145">
        <v>3</v>
      </c>
      <c r="B145" s="51" t="s">
        <v>190</v>
      </c>
      <c r="D145" s="51" t="s">
        <v>34</v>
      </c>
      <c r="E145" s="51" t="s">
        <v>191</v>
      </c>
      <c r="G145" s="51" t="s">
        <v>32</v>
      </c>
      <c r="H145">
        <v>2</v>
      </c>
      <c r="I145" s="58">
        <v>5000</v>
      </c>
      <c r="J145" s="59">
        <v>10000</v>
      </c>
      <c r="K145">
        <v>1</v>
      </c>
      <c r="O145" s="52"/>
    </row>
    <row r="146" spans="1:15" x14ac:dyDescent="0.15">
      <c r="A146">
        <v>3</v>
      </c>
      <c r="B146" s="51" t="s">
        <v>33</v>
      </c>
      <c r="D146" s="51" t="s">
        <v>34</v>
      </c>
      <c r="E146" s="51" t="s">
        <v>35</v>
      </c>
      <c r="G146" s="51" t="s">
        <v>32</v>
      </c>
      <c r="H146">
        <v>3</v>
      </c>
      <c r="I146" s="58">
        <v>6000</v>
      </c>
      <c r="J146" s="59">
        <v>18000</v>
      </c>
      <c r="K146">
        <v>1</v>
      </c>
      <c r="O146" s="52"/>
    </row>
    <row r="147" spans="1:15" x14ac:dyDescent="0.15">
      <c r="A147">
        <v>1</v>
      </c>
      <c r="D147" s="51" t="s">
        <v>20</v>
      </c>
      <c r="E147" s="51" t="s">
        <v>208</v>
      </c>
      <c r="G147" s="51" t="s">
        <v>19</v>
      </c>
      <c r="H147">
        <v>1</v>
      </c>
      <c r="I147" s="58">
        <v>321000</v>
      </c>
      <c r="J147" s="59">
        <v>321000</v>
      </c>
      <c r="K147">
        <v>1</v>
      </c>
      <c r="M147" s="51" t="s">
        <v>209</v>
      </c>
      <c r="O147" s="52"/>
    </row>
    <row r="148" spans="1:15" x14ac:dyDescent="0.15">
      <c r="A148">
        <v>2</v>
      </c>
      <c r="B148" s="51" t="s">
        <v>23</v>
      </c>
      <c r="D148" s="51" t="s">
        <v>24</v>
      </c>
      <c r="E148" s="51" t="s">
        <v>25</v>
      </c>
      <c r="F148" s="51" t="s">
        <v>26</v>
      </c>
      <c r="G148" s="51" t="s">
        <v>27</v>
      </c>
      <c r="H148">
        <v>12</v>
      </c>
      <c r="I148" s="58">
        <v>23000</v>
      </c>
      <c r="J148" s="59">
        <v>276000</v>
      </c>
      <c r="K148">
        <v>1</v>
      </c>
      <c r="O148" s="52"/>
    </row>
    <row r="149" spans="1:15" x14ac:dyDescent="0.15">
      <c r="A149">
        <v>2</v>
      </c>
      <c r="B149" s="51" t="s">
        <v>28</v>
      </c>
      <c r="D149" s="51" t="s">
        <v>29</v>
      </c>
      <c r="E149" s="51" t="s">
        <v>30</v>
      </c>
      <c r="F149" s="51" t="s">
        <v>31</v>
      </c>
      <c r="G149" s="51" t="s">
        <v>32</v>
      </c>
      <c r="H149">
        <v>3</v>
      </c>
      <c r="I149" s="58">
        <v>3000</v>
      </c>
      <c r="J149" s="59">
        <v>9000</v>
      </c>
      <c r="K149">
        <v>1</v>
      </c>
      <c r="O149" s="52"/>
    </row>
    <row r="150" spans="1:15" x14ac:dyDescent="0.15">
      <c r="A150">
        <v>2</v>
      </c>
      <c r="B150" s="51" t="s">
        <v>33</v>
      </c>
      <c r="D150" s="51" t="s">
        <v>34</v>
      </c>
      <c r="E150" s="51" t="s">
        <v>35</v>
      </c>
      <c r="G150" s="51" t="s">
        <v>32</v>
      </c>
      <c r="H150">
        <v>6</v>
      </c>
      <c r="I150" s="58">
        <v>6000</v>
      </c>
      <c r="J150" s="59">
        <v>36000</v>
      </c>
      <c r="K150">
        <v>1</v>
      </c>
      <c r="O150" s="52"/>
    </row>
    <row r="151" spans="1:15" x14ac:dyDescent="0.15">
      <c r="A151">
        <v>1</v>
      </c>
      <c r="D151" s="51" t="s">
        <v>20</v>
      </c>
      <c r="E151" s="51" t="s">
        <v>210</v>
      </c>
      <c r="G151" s="51" t="s">
        <v>19</v>
      </c>
      <c r="H151">
        <v>1</v>
      </c>
      <c r="I151" s="58">
        <v>312000</v>
      </c>
      <c r="J151" s="59">
        <v>312000</v>
      </c>
      <c r="K151">
        <v>1</v>
      </c>
      <c r="M151" s="51" t="s">
        <v>211</v>
      </c>
      <c r="O151" s="52"/>
    </row>
    <row r="152" spans="1:15" x14ac:dyDescent="0.15">
      <c r="A152">
        <v>2</v>
      </c>
      <c r="B152" s="51" t="s">
        <v>23</v>
      </c>
      <c r="D152" s="51" t="s">
        <v>24</v>
      </c>
      <c r="E152" s="51" t="s">
        <v>25</v>
      </c>
      <c r="F152" s="51" t="s">
        <v>26</v>
      </c>
      <c r="G152" s="51" t="s">
        <v>27</v>
      </c>
      <c r="H152">
        <v>12</v>
      </c>
      <c r="I152" s="58">
        <v>23000</v>
      </c>
      <c r="J152" s="59">
        <v>276000</v>
      </c>
      <c r="K152">
        <v>1</v>
      </c>
      <c r="O152" s="52"/>
    </row>
    <row r="153" spans="1:15" x14ac:dyDescent="0.15">
      <c r="A153">
        <v>2</v>
      </c>
      <c r="B153" s="51" t="s">
        <v>33</v>
      </c>
      <c r="D153" s="51" t="s">
        <v>34</v>
      </c>
      <c r="E153" s="51" t="s">
        <v>35</v>
      </c>
      <c r="G153" s="51" t="s">
        <v>32</v>
      </c>
      <c r="H153">
        <v>6</v>
      </c>
      <c r="I153" s="58">
        <v>6000</v>
      </c>
      <c r="J153" s="59">
        <v>36000</v>
      </c>
      <c r="K153">
        <v>1</v>
      </c>
      <c r="O153" s="52"/>
    </row>
    <row r="154" spans="1:15" x14ac:dyDescent="0.15">
      <c r="A154">
        <v>1</v>
      </c>
      <c r="D154" s="51" t="s">
        <v>20</v>
      </c>
      <c r="E154" s="51" t="s">
        <v>212</v>
      </c>
      <c r="F154" s="51" t="s">
        <v>213</v>
      </c>
      <c r="G154" s="51" t="s">
        <v>19</v>
      </c>
      <c r="H154">
        <v>1</v>
      </c>
      <c r="I154" s="58"/>
      <c r="J154" s="59"/>
      <c r="K154">
        <v>1</v>
      </c>
      <c r="M154" s="51" t="s">
        <v>214</v>
      </c>
      <c r="O154" s="52"/>
    </row>
    <row r="155" spans="1:15" x14ac:dyDescent="0.15">
      <c r="A155">
        <v>2</v>
      </c>
      <c r="B155" s="51" t="s">
        <v>215</v>
      </c>
      <c r="D155" s="51" t="s">
        <v>154</v>
      </c>
      <c r="E155" s="51" t="s">
        <v>216</v>
      </c>
      <c r="F155" s="51" t="s">
        <v>217</v>
      </c>
      <c r="G155" s="51" t="s">
        <v>27</v>
      </c>
      <c r="H155">
        <v>61</v>
      </c>
      <c r="I155" s="58"/>
      <c r="J155" s="59"/>
      <c r="K155">
        <v>1</v>
      </c>
      <c r="O155" s="52"/>
    </row>
    <row r="156" spans="1:15" x14ac:dyDescent="0.15">
      <c r="A156">
        <v>2</v>
      </c>
      <c r="B156" s="51" t="s">
        <v>218</v>
      </c>
      <c r="D156" s="51" t="s">
        <v>154</v>
      </c>
      <c r="E156" s="51" t="s">
        <v>216</v>
      </c>
      <c r="G156" s="51" t="s">
        <v>27</v>
      </c>
      <c r="H156">
        <v>174</v>
      </c>
      <c r="I156" s="58"/>
      <c r="J156" s="59"/>
      <c r="K156">
        <v>1</v>
      </c>
      <c r="O156" s="52"/>
    </row>
    <row r="157" spans="1:15" x14ac:dyDescent="0.15">
      <c r="A157">
        <v>1</v>
      </c>
      <c r="D157" s="51" t="s">
        <v>20</v>
      </c>
      <c r="E157" s="51" t="s">
        <v>219</v>
      </c>
      <c r="G157" s="51" t="s">
        <v>19</v>
      </c>
      <c r="H157">
        <v>1</v>
      </c>
      <c r="I157" s="58">
        <v>135000</v>
      </c>
      <c r="J157" s="59">
        <v>135000</v>
      </c>
      <c r="K157">
        <v>1</v>
      </c>
      <c r="M157" s="51" t="s">
        <v>220</v>
      </c>
      <c r="O157" s="52"/>
    </row>
    <row r="158" spans="1:15" x14ac:dyDescent="0.15">
      <c r="A158">
        <v>2</v>
      </c>
      <c r="B158" s="51" t="s">
        <v>201</v>
      </c>
      <c r="D158" s="51" t="s">
        <v>47</v>
      </c>
      <c r="E158" s="51" t="s">
        <v>202</v>
      </c>
      <c r="G158" s="51" t="s">
        <v>180</v>
      </c>
      <c r="H158">
        <v>8</v>
      </c>
      <c r="I158" s="58">
        <v>10000</v>
      </c>
      <c r="J158" s="59">
        <v>80000</v>
      </c>
      <c r="K158">
        <v>1</v>
      </c>
      <c r="O158" s="52"/>
    </row>
    <row r="159" spans="1:15" x14ac:dyDescent="0.15">
      <c r="A159">
        <v>2</v>
      </c>
      <c r="B159" s="51" t="s">
        <v>221</v>
      </c>
      <c r="D159" s="51" t="s">
        <v>47</v>
      </c>
      <c r="E159" s="51" t="s">
        <v>222</v>
      </c>
      <c r="G159" s="51" t="s">
        <v>44</v>
      </c>
      <c r="H159">
        <v>10</v>
      </c>
      <c r="I159" s="58">
        <v>2500</v>
      </c>
      <c r="J159" s="59">
        <v>25000</v>
      </c>
      <c r="K159">
        <v>1</v>
      </c>
      <c r="O159" s="52"/>
    </row>
    <row r="160" spans="1:15" x14ac:dyDescent="0.15">
      <c r="A160">
        <v>2</v>
      </c>
      <c r="B160" s="51" t="s">
        <v>223</v>
      </c>
      <c r="D160" s="51" t="s">
        <v>29</v>
      </c>
      <c r="E160" s="51" t="s">
        <v>224</v>
      </c>
      <c r="F160" s="51" t="s">
        <v>225</v>
      </c>
      <c r="G160" s="51" t="s">
        <v>19</v>
      </c>
      <c r="H160">
        <v>1</v>
      </c>
      <c r="I160" s="58">
        <v>30000</v>
      </c>
      <c r="J160" s="59">
        <v>30000</v>
      </c>
      <c r="K160">
        <v>1</v>
      </c>
      <c r="O160" s="52"/>
    </row>
    <row r="161" spans="1:15" x14ac:dyDescent="0.15">
      <c r="A161">
        <v>1</v>
      </c>
      <c r="D161" s="51" t="s">
        <v>20</v>
      </c>
      <c r="E161" s="51" t="s">
        <v>226</v>
      </c>
      <c r="F161" s="51" t="s">
        <v>227</v>
      </c>
      <c r="G161" s="51" t="s">
        <v>19</v>
      </c>
      <c r="H161">
        <v>1</v>
      </c>
      <c r="I161" s="58">
        <v>480000</v>
      </c>
      <c r="J161" s="59">
        <v>480000</v>
      </c>
      <c r="K161">
        <v>1</v>
      </c>
      <c r="M161" s="51" t="s">
        <v>228</v>
      </c>
      <c r="O161" s="52"/>
    </row>
    <row r="162" spans="1:15" x14ac:dyDescent="0.15">
      <c r="A162">
        <v>2</v>
      </c>
      <c r="B162" s="51" t="s">
        <v>229</v>
      </c>
      <c r="D162" s="51" t="s">
        <v>34</v>
      </c>
      <c r="E162" s="51" t="s">
        <v>230</v>
      </c>
      <c r="F162" s="51" t="s">
        <v>231</v>
      </c>
      <c r="G162" s="51" t="s">
        <v>51</v>
      </c>
      <c r="H162">
        <v>16</v>
      </c>
      <c r="I162" s="58">
        <v>30000</v>
      </c>
      <c r="J162" s="59">
        <v>480000</v>
      </c>
      <c r="K162">
        <v>1</v>
      </c>
      <c r="O162" s="52"/>
    </row>
    <row r="163" spans="1:15" x14ac:dyDescent="0.15">
      <c r="A163">
        <v>1</v>
      </c>
      <c r="D163" s="51" t="s">
        <v>20</v>
      </c>
      <c r="E163" s="51" t="s">
        <v>232</v>
      </c>
      <c r="F163" s="51" t="s">
        <v>233</v>
      </c>
      <c r="G163" s="51" t="s">
        <v>19</v>
      </c>
      <c r="H163">
        <v>1</v>
      </c>
      <c r="I163" s="58">
        <v>280000</v>
      </c>
      <c r="J163" s="59">
        <v>280000</v>
      </c>
      <c r="K163">
        <v>1</v>
      </c>
      <c r="M163" s="51" t="s">
        <v>234</v>
      </c>
      <c r="O163" s="52"/>
    </row>
    <row r="164" spans="1:15" x14ac:dyDescent="0.15">
      <c r="A164">
        <v>2</v>
      </c>
      <c r="B164" s="51" t="s">
        <v>235</v>
      </c>
      <c r="D164" s="51" t="s">
        <v>34</v>
      </c>
      <c r="E164" s="51" t="s">
        <v>236</v>
      </c>
      <c r="G164" s="51" t="s">
        <v>51</v>
      </c>
      <c r="H164">
        <v>2</v>
      </c>
      <c r="I164" s="58">
        <v>35000</v>
      </c>
      <c r="J164" s="59">
        <v>70000</v>
      </c>
      <c r="K164">
        <v>1</v>
      </c>
      <c r="O164" s="52"/>
    </row>
    <row r="165" spans="1:15" x14ac:dyDescent="0.15">
      <c r="A165">
        <v>2</v>
      </c>
      <c r="B165" s="51" t="s">
        <v>229</v>
      </c>
      <c r="D165" s="51" t="s">
        <v>34</v>
      </c>
      <c r="E165" s="51" t="s">
        <v>230</v>
      </c>
      <c r="F165" s="51" t="s">
        <v>237</v>
      </c>
      <c r="G165" s="51" t="s">
        <v>51</v>
      </c>
      <c r="H165">
        <v>4</v>
      </c>
      <c r="I165" s="58">
        <v>30000</v>
      </c>
      <c r="J165" s="59">
        <v>120000</v>
      </c>
      <c r="K165">
        <v>1</v>
      </c>
      <c r="O165" s="52"/>
    </row>
    <row r="166" spans="1:15" x14ac:dyDescent="0.15">
      <c r="A166">
        <v>2</v>
      </c>
      <c r="B166" s="51" t="s">
        <v>238</v>
      </c>
      <c r="D166" s="51" t="s">
        <v>34</v>
      </c>
      <c r="E166" s="51" t="s">
        <v>239</v>
      </c>
      <c r="G166" s="51" t="s">
        <v>51</v>
      </c>
      <c r="H166">
        <v>6</v>
      </c>
      <c r="I166" s="58">
        <v>15000</v>
      </c>
      <c r="J166" s="59">
        <v>90000</v>
      </c>
      <c r="K166">
        <v>1</v>
      </c>
      <c r="O166" s="52"/>
    </row>
    <row r="167" spans="1:15" x14ac:dyDescent="0.15">
      <c r="A167">
        <v>1</v>
      </c>
      <c r="D167" s="51" t="s">
        <v>20</v>
      </c>
      <c r="E167" s="51" t="s">
        <v>240</v>
      </c>
      <c r="F167" s="51" t="s">
        <v>241</v>
      </c>
      <c r="G167" s="51" t="s">
        <v>19</v>
      </c>
      <c r="H167">
        <v>0</v>
      </c>
      <c r="I167" s="58"/>
      <c r="J167" s="59"/>
      <c r="K167">
        <v>0</v>
      </c>
      <c r="M167" s="51" t="s">
        <v>242</v>
      </c>
      <c r="O167" s="52"/>
    </row>
    <row r="168" spans="1:15" x14ac:dyDescent="0.15">
      <c r="A168">
        <v>2</v>
      </c>
      <c r="B168" s="51" t="s">
        <v>23</v>
      </c>
      <c r="D168" s="51" t="s">
        <v>24</v>
      </c>
      <c r="E168" s="51" t="s">
        <v>25</v>
      </c>
      <c r="F168" s="51" t="s">
        <v>26</v>
      </c>
      <c r="G168" s="51" t="s">
        <v>27</v>
      </c>
      <c r="H168">
        <v>6</v>
      </c>
      <c r="I168" s="58">
        <v>23000</v>
      </c>
      <c r="J168" s="59">
        <v>138000</v>
      </c>
      <c r="K168">
        <v>1</v>
      </c>
      <c r="O168" s="52"/>
    </row>
    <row r="169" spans="1:15" x14ac:dyDescent="0.15">
      <c r="A169">
        <v>2</v>
      </c>
      <c r="B169" s="51" t="s">
        <v>28</v>
      </c>
      <c r="D169" s="51" t="s">
        <v>29</v>
      </c>
      <c r="E169" s="51" t="s">
        <v>30</v>
      </c>
      <c r="F169" s="51" t="s">
        <v>31</v>
      </c>
      <c r="G169" s="51" t="s">
        <v>32</v>
      </c>
      <c r="H169">
        <v>1</v>
      </c>
      <c r="I169" s="58">
        <v>3000</v>
      </c>
      <c r="J169" s="59">
        <v>3000</v>
      </c>
      <c r="K169">
        <v>1</v>
      </c>
      <c r="O169" s="52"/>
    </row>
    <row r="170" spans="1:15" x14ac:dyDescent="0.15">
      <c r="A170">
        <v>2</v>
      </c>
      <c r="B170" s="51" t="s">
        <v>33</v>
      </c>
      <c r="D170" s="51" t="s">
        <v>34</v>
      </c>
      <c r="E170" s="51" t="s">
        <v>35</v>
      </c>
      <c r="G170" s="51" t="s">
        <v>32</v>
      </c>
      <c r="H170">
        <v>3</v>
      </c>
      <c r="I170" s="58">
        <v>6000</v>
      </c>
      <c r="J170" s="59">
        <v>18000</v>
      </c>
      <c r="K170">
        <v>1</v>
      </c>
      <c r="O170" s="52"/>
    </row>
    <row r="171" spans="1:15" x14ac:dyDescent="0.15">
      <c r="A171">
        <v>1</v>
      </c>
      <c r="D171" s="51" t="s">
        <v>20</v>
      </c>
      <c r="E171" s="51" t="s">
        <v>243</v>
      </c>
      <c r="G171" s="51" t="s">
        <v>19</v>
      </c>
      <c r="H171">
        <v>1</v>
      </c>
      <c r="I171" s="58">
        <v>79850</v>
      </c>
      <c r="J171" s="59">
        <v>79850</v>
      </c>
      <c r="K171">
        <v>1</v>
      </c>
      <c r="M171" s="51" t="s">
        <v>244</v>
      </c>
      <c r="O171" s="52"/>
    </row>
    <row r="172" spans="1:15" x14ac:dyDescent="0.15">
      <c r="A172">
        <v>2</v>
      </c>
      <c r="D172" s="51" t="s">
        <v>47</v>
      </c>
      <c r="E172" s="51" t="s">
        <v>245</v>
      </c>
      <c r="G172" s="51" t="s">
        <v>19</v>
      </c>
      <c r="H172">
        <v>1</v>
      </c>
      <c r="I172" s="58">
        <v>27850</v>
      </c>
      <c r="J172" s="59">
        <v>27850</v>
      </c>
      <c r="K172">
        <v>1</v>
      </c>
      <c r="O172" s="52"/>
    </row>
    <row r="173" spans="1:15" x14ac:dyDescent="0.15">
      <c r="A173">
        <v>2</v>
      </c>
      <c r="B173" s="51" t="s">
        <v>246</v>
      </c>
      <c r="D173" s="51" t="s">
        <v>154</v>
      </c>
      <c r="E173" s="51" t="s">
        <v>247</v>
      </c>
      <c r="F173" s="51" t="s">
        <v>174</v>
      </c>
      <c r="G173" s="51" t="s">
        <v>51</v>
      </c>
      <c r="H173">
        <v>2</v>
      </c>
      <c r="I173" s="58">
        <v>20000</v>
      </c>
      <c r="J173" s="59">
        <v>40000</v>
      </c>
      <c r="K173">
        <v>1</v>
      </c>
      <c r="O173" s="52"/>
    </row>
    <row r="174" spans="1:15" x14ac:dyDescent="0.15">
      <c r="A174">
        <v>2</v>
      </c>
      <c r="D174" s="51" t="s">
        <v>29</v>
      </c>
      <c r="E174" s="51" t="s">
        <v>248</v>
      </c>
      <c r="G174" s="51" t="s">
        <v>249</v>
      </c>
      <c r="H174">
        <v>2</v>
      </c>
      <c r="I174" s="58">
        <v>6000</v>
      </c>
      <c r="J174" s="59">
        <v>12000</v>
      </c>
      <c r="K174">
        <v>1</v>
      </c>
      <c r="O174" s="52"/>
    </row>
    <row r="175" spans="1:15" x14ac:dyDescent="0.15">
      <c r="A175">
        <v>1</v>
      </c>
      <c r="D175" s="51" t="s">
        <v>20</v>
      </c>
      <c r="E175" s="51" t="s">
        <v>250</v>
      </c>
      <c r="F175" s="51" t="s">
        <v>251</v>
      </c>
      <c r="G175" s="51" t="s">
        <v>19</v>
      </c>
      <c r="H175">
        <v>1</v>
      </c>
      <c r="I175" s="58">
        <v>1830000</v>
      </c>
      <c r="J175" s="59">
        <v>1830000</v>
      </c>
      <c r="K175">
        <v>1</v>
      </c>
      <c r="M175" s="51" t="s">
        <v>252</v>
      </c>
      <c r="O175" s="52"/>
    </row>
    <row r="176" spans="1:15" x14ac:dyDescent="0.15">
      <c r="A176">
        <v>2</v>
      </c>
      <c r="B176" s="51" t="s">
        <v>162</v>
      </c>
      <c r="D176" s="51" t="s">
        <v>154</v>
      </c>
      <c r="E176" s="51" t="s">
        <v>163</v>
      </c>
      <c r="F176" s="51" t="s">
        <v>253</v>
      </c>
      <c r="G176" s="51" t="s">
        <v>19</v>
      </c>
      <c r="H176">
        <v>1</v>
      </c>
      <c r="I176" s="58">
        <v>830000</v>
      </c>
      <c r="J176" s="59">
        <v>830000</v>
      </c>
      <c r="K176">
        <v>1</v>
      </c>
      <c r="O176" s="52"/>
    </row>
    <row r="177" spans="1:15" x14ac:dyDescent="0.15">
      <c r="A177">
        <v>2</v>
      </c>
      <c r="B177" s="51" t="s">
        <v>254</v>
      </c>
      <c r="D177" s="51" t="s">
        <v>154</v>
      </c>
      <c r="E177" s="51" t="s">
        <v>255</v>
      </c>
      <c r="F177" s="51" t="s">
        <v>256</v>
      </c>
      <c r="G177" s="51" t="s">
        <v>19</v>
      </c>
      <c r="H177">
        <v>1</v>
      </c>
      <c r="I177" s="58">
        <v>1000000</v>
      </c>
      <c r="J177" s="59">
        <v>1000000</v>
      </c>
      <c r="K177">
        <v>1</v>
      </c>
      <c r="O177" s="52"/>
    </row>
    <row r="178" spans="1:15" x14ac:dyDescent="0.15">
      <c r="A178">
        <v>1</v>
      </c>
      <c r="D178" s="51" t="s">
        <v>20</v>
      </c>
      <c r="E178" s="51" t="s">
        <v>257</v>
      </c>
      <c r="F178" s="51" t="s">
        <v>258</v>
      </c>
      <c r="G178" s="51" t="s">
        <v>19</v>
      </c>
      <c r="H178">
        <v>1</v>
      </c>
      <c r="I178" s="58">
        <v>430000</v>
      </c>
      <c r="J178" s="59">
        <v>430000</v>
      </c>
      <c r="K178">
        <v>1</v>
      </c>
      <c r="M178" s="51" t="s">
        <v>259</v>
      </c>
      <c r="O178" s="52"/>
    </row>
    <row r="179" spans="1:15" x14ac:dyDescent="0.15">
      <c r="A179">
        <v>2</v>
      </c>
      <c r="B179" s="51" t="s">
        <v>162</v>
      </c>
      <c r="D179" s="51" t="s">
        <v>154</v>
      </c>
      <c r="E179" s="51" t="s">
        <v>163</v>
      </c>
      <c r="F179" s="51" t="s">
        <v>253</v>
      </c>
      <c r="G179" s="51" t="s">
        <v>19</v>
      </c>
      <c r="H179">
        <v>1</v>
      </c>
      <c r="I179" s="58">
        <v>180000</v>
      </c>
      <c r="J179" s="59">
        <v>180000</v>
      </c>
      <c r="K179">
        <v>1</v>
      </c>
      <c r="O179" s="52"/>
    </row>
    <row r="180" spans="1:15" x14ac:dyDescent="0.15">
      <c r="A180">
        <v>2</v>
      </c>
      <c r="B180" s="51" t="s">
        <v>254</v>
      </c>
      <c r="D180" s="51" t="s">
        <v>154</v>
      </c>
      <c r="E180" s="51" t="s">
        <v>255</v>
      </c>
      <c r="F180" s="51" t="s">
        <v>256</v>
      </c>
      <c r="G180" s="51" t="s">
        <v>19</v>
      </c>
      <c r="H180">
        <v>1</v>
      </c>
      <c r="I180" s="58">
        <v>250000</v>
      </c>
      <c r="J180" s="59">
        <v>250000</v>
      </c>
      <c r="K180">
        <v>1</v>
      </c>
      <c r="O180" s="52"/>
    </row>
    <row r="181" spans="1:15" x14ac:dyDescent="0.15">
      <c r="A181">
        <v>1</v>
      </c>
      <c r="D181" s="51" t="s">
        <v>20</v>
      </c>
      <c r="E181" s="51" t="s">
        <v>260</v>
      </c>
      <c r="F181" s="51" t="s">
        <v>261</v>
      </c>
      <c r="G181" s="51" t="s">
        <v>19</v>
      </c>
      <c r="H181">
        <v>1</v>
      </c>
      <c r="I181" s="58">
        <v>3029480</v>
      </c>
      <c r="J181" s="59">
        <v>3029480</v>
      </c>
      <c r="K181">
        <v>1</v>
      </c>
      <c r="M181" s="51" t="s">
        <v>262</v>
      </c>
      <c r="O181" s="52"/>
    </row>
    <row r="182" spans="1:15" x14ac:dyDescent="0.15">
      <c r="A182">
        <v>2</v>
      </c>
      <c r="B182" s="51" t="s">
        <v>263</v>
      </c>
      <c r="D182" s="51" t="s">
        <v>47</v>
      </c>
      <c r="E182" s="51" t="s">
        <v>53</v>
      </c>
      <c r="F182" s="51" t="s">
        <v>264</v>
      </c>
      <c r="G182" s="51" t="s">
        <v>55</v>
      </c>
      <c r="H182">
        <v>98.5</v>
      </c>
      <c r="I182" s="58">
        <v>6500</v>
      </c>
      <c r="J182" s="59">
        <v>640250</v>
      </c>
      <c r="K182">
        <v>1</v>
      </c>
      <c r="O182" s="52"/>
    </row>
    <row r="183" spans="1:15" x14ac:dyDescent="0.15">
      <c r="A183">
        <v>2</v>
      </c>
      <c r="D183" s="51" t="s">
        <v>47</v>
      </c>
      <c r="E183" s="51" t="s">
        <v>265</v>
      </c>
      <c r="G183" s="51" t="s">
        <v>44</v>
      </c>
      <c r="H183">
        <v>80</v>
      </c>
      <c r="I183" s="58">
        <v>6900</v>
      </c>
      <c r="J183" s="59">
        <v>552000</v>
      </c>
      <c r="K183">
        <v>1</v>
      </c>
      <c r="O183" s="52"/>
    </row>
    <row r="184" spans="1:15" x14ac:dyDescent="0.15">
      <c r="A184">
        <v>2</v>
      </c>
      <c r="D184" s="51" t="s">
        <v>47</v>
      </c>
      <c r="E184" s="51" t="s">
        <v>266</v>
      </c>
      <c r="G184" s="51" t="s">
        <v>51</v>
      </c>
      <c r="H184">
        <v>2</v>
      </c>
      <c r="I184" s="58">
        <v>16850</v>
      </c>
      <c r="J184" s="59">
        <v>33700</v>
      </c>
      <c r="K184">
        <v>1</v>
      </c>
      <c r="O184" s="52"/>
    </row>
    <row r="185" spans="1:15" x14ac:dyDescent="0.15">
      <c r="A185">
        <v>2</v>
      </c>
      <c r="D185" s="51" t="s">
        <v>47</v>
      </c>
      <c r="E185" s="51" t="s">
        <v>267</v>
      </c>
      <c r="G185" s="51" t="s">
        <v>19</v>
      </c>
      <c r="H185">
        <v>1</v>
      </c>
      <c r="I185" s="58">
        <v>20000</v>
      </c>
      <c r="J185" s="59">
        <v>20000</v>
      </c>
      <c r="K185">
        <v>1</v>
      </c>
      <c r="O185" s="52"/>
    </row>
    <row r="186" spans="1:15" x14ac:dyDescent="0.15">
      <c r="A186">
        <v>2</v>
      </c>
      <c r="B186" s="51" t="s">
        <v>46</v>
      </c>
      <c r="D186" s="51" t="s">
        <v>47</v>
      </c>
      <c r="E186" s="51" t="s">
        <v>48</v>
      </c>
      <c r="F186" s="51" t="s">
        <v>49</v>
      </c>
      <c r="G186" s="51" t="s">
        <v>44</v>
      </c>
      <c r="H186">
        <v>160</v>
      </c>
      <c r="I186" s="58">
        <v>750</v>
      </c>
      <c r="J186" s="59">
        <v>120000</v>
      </c>
      <c r="K186">
        <v>1</v>
      </c>
      <c r="O186" s="52"/>
    </row>
    <row r="187" spans="1:15" x14ac:dyDescent="0.15">
      <c r="A187">
        <v>2</v>
      </c>
      <c r="D187" s="51" t="s">
        <v>47</v>
      </c>
      <c r="E187" s="51" t="s">
        <v>111</v>
      </c>
      <c r="G187" s="51" t="s">
        <v>19</v>
      </c>
      <c r="H187">
        <v>1</v>
      </c>
      <c r="I187" s="58">
        <v>540000</v>
      </c>
      <c r="J187" s="59">
        <v>540000</v>
      </c>
      <c r="K187">
        <v>1</v>
      </c>
      <c r="O187" s="52"/>
    </row>
    <row r="188" spans="1:15" x14ac:dyDescent="0.15">
      <c r="A188">
        <v>2</v>
      </c>
      <c r="D188" s="51" t="s">
        <v>47</v>
      </c>
      <c r="E188" s="51" t="s">
        <v>268</v>
      </c>
      <c r="G188" s="51" t="s">
        <v>19</v>
      </c>
      <c r="H188">
        <v>1</v>
      </c>
      <c r="I188" s="58">
        <v>25800</v>
      </c>
      <c r="J188" s="59">
        <v>25800</v>
      </c>
      <c r="K188">
        <v>1</v>
      </c>
      <c r="O188" s="52"/>
    </row>
    <row r="189" spans="1:15" x14ac:dyDescent="0.15">
      <c r="A189">
        <v>2</v>
      </c>
      <c r="B189" s="51" t="s">
        <v>63</v>
      </c>
      <c r="D189" s="51" t="s">
        <v>47</v>
      </c>
      <c r="E189" s="51" t="s">
        <v>64</v>
      </c>
      <c r="F189" s="51" t="s">
        <v>269</v>
      </c>
      <c r="G189" s="51" t="s">
        <v>19</v>
      </c>
      <c r="H189">
        <v>1</v>
      </c>
      <c r="I189" s="58">
        <v>35400</v>
      </c>
      <c r="J189" s="59">
        <v>35400</v>
      </c>
      <c r="K189">
        <v>1</v>
      </c>
      <c r="O189" s="52"/>
    </row>
    <row r="190" spans="1:15" x14ac:dyDescent="0.15">
      <c r="A190">
        <v>2</v>
      </c>
      <c r="B190" s="51" t="s">
        <v>270</v>
      </c>
      <c r="D190" s="51" t="s">
        <v>47</v>
      </c>
      <c r="E190" s="51" t="s">
        <v>271</v>
      </c>
      <c r="F190" s="51" t="s">
        <v>272</v>
      </c>
      <c r="G190" s="51" t="s">
        <v>273</v>
      </c>
      <c r="H190">
        <v>90</v>
      </c>
      <c r="I190" s="58">
        <v>1962</v>
      </c>
      <c r="J190" s="59">
        <v>176580</v>
      </c>
      <c r="K190">
        <v>1</v>
      </c>
      <c r="O190" s="52"/>
    </row>
    <row r="191" spans="1:15" x14ac:dyDescent="0.15">
      <c r="A191">
        <v>2</v>
      </c>
      <c r="B191" s="51" t="s">
        <v>115</v>
      </c>
      <c r="D191" s="51" t="s">
        <v>47</v>
      </c>
      <c r="E191" s="51" t="s">
        <v>116</v>
      </c>
      <c r="G191" s="51" t="s">
        <v>19</v>
      </c>
      <c r="H191">
        <v>1</v>
      </c>
      <c r="I191" s="58">
        <v>426750</v>
      </c>
      <c r="J191" s="59">
        <v>426750</v>
      </c>
      <c r="K191">
        <v>1</v>
      </c>
      <c r="O191" s="52"/>
    </row>
    <row r="192" spans="1:15" x14ac:dyDescent="0.15">
      <c r="A192">
        <v>2</v>
      </c>
      <c r="B192" s="51" t="s">
        <v>274</v>
      </c>
      <c r="D192" s="51" t="s">
        <v>29</v>
      </c>
      <c r="E192" s="51" t="s">
        <v>61</v>
      </c>
      <c r="G192" s="51" t="s">
        <v>62</v>
      </c>
      <c r="H192">
        <v>2</v>
      </c>
      <c r="I192" s="58">
        <v>60000</v>
      </c>
      <c r="J192" s="59">
        <v>120000</v>
      </c>
      <c r="K192">
        <v>1</v>
      </c>
      <c r="O192" s="52"/>
    </row>
    <row r="193" spans="1:15" x14ac:dyDescent="0.15">
      <c r="A193">
        <v>2</v>
      </c>
      <c r="B193" s="51" t="s">
        <v>275</v>
      </c>
      <c r="D193" s="51" t="s">
        <v>29</v>
      </c>
      <c r="E193" s="51" t="s">
        <v>276</v>
      </c>
      <c r="G193" s="51" t="s">
        <v>62</v>
      </c>
      <c r="H193">
        <v>12</v>
      </c>
      <c r="I193" s="58">
        <v>15000</v>
      </c>
      <c r="J193" s="59">
        <v>180000</v>
      </c>
      <c r="K193">
        <v>1</v>
      </c>
      <c r="O193" s="52"/>
    </row>
    <row r="194" spans="1:15" x14ac:dyDescent="0.15">
      <c r="A194">
        <v>2</v>
      </c>
      <c r="B194" s="51" t="s">
        <v>277</v>
      </c>
      <c r="D194" s="51" t="s">
        <v>29</v>
      </c>
      <c r="E194" s="51" t="s">
        <v>35</v>
      </c>
      <c r="G194" s="51" t="s">
        <v>62</v>
      </c>
      <c r="H194">
        <v>13</v>
      </c>
      <c r="I194" s="58">
        <v>7000</v>
      </c>
      <c r="J194" s="59">
        <v>91000</v>
      </c>
      <c r="K194">
        <v>1</v>
      </c>
      <c r="O194" s="52"/>
    </row>
    <row r="195" spans="1:15" x14ac:dyDescent="0.15">
      <c r="A195">
        <v>2</v>
      </c>
      <c r="B195" s="51" t="s">
        <v>67</v>
      </c>
      <c r="D195" s="51" t="s">
        <v>29</v>
      </c>
      <c r="E195" s="51" t="s">
        <v>278</v>
      </c>
      <c r="F195" s="51" t="s">
        <v>69</v>
      </c>
      <c r="G195" s="51" t="s">
        <v>62</v>
      </c>
      <c r="H195">
        <v>4</v>
      </c>
      <c r="I195" s="58">
        <v>15000</v>
      </c>
      <c r="J195" s="59">
        <v>60000</v>
      </c>
      <c r="K195">
        <v>1</v>
      </c>
      <c r="O195" s="52"/>
    </row>
    <row r="196" spans="1:15" x14ac:dyDescent="0.15">
      <c r="A196">
        <v>2</v>
      </c>
      <c r="B196" s="51" t="s">
        <v>279</v>
      </c>
      <c r="D196" s="51" t="s">
        <v>29</v>
      </c>
      <c r="E196" s="51" t="s">
        <v>280</v>
      </c>
      <c r="G196" s="51" t="s">
        <v>62</v>
      </c>
      <c r="H196">
        <v>16</v>
      </c>
      <c r="I196" s="58">
        <v>500</v>
      </c>
      <c r="J196" s="59">
        <v>8000</v>
      </c>
      <c r="K196">
        <v>1</v>
      </c>
      <c r="O196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200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県単河川維持工事(村田川草刈護岸工)</v>
      </c>
      <c r="G1" s="4"/>
      <c r="H1" s="16" t="s">
        <v>15</v>
      </c>
      <c r="I1" s="13">
        <v>25300000</v>
      </c>
      <c r="J1" s="17">
        <f>I4/I$1</f>
        <v>0.81027667984189722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281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県単河川維持工事(村田川草刈護岸工)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20500000</v>
      </c>
      <c r="I4" s="48">
        <f>データ!J1</f>
        <v>20500000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｜準備工</v>
      </c>
      <c r="E5" s="37" t="str">
        <f>TRIM(データ!F2)</f>
        <v/>
      </c>
      <c r="F5" s="38" t="str">
        <f>TRIM(データ!G2)</f>
        <v>式</v>
      </c>
      <c r="G5" s="50">
        <f>データ!H2</f>
        <v>1</v>
      </c>
      <c r="H5" s="48">
        <f>データ!I2</f>
        <v>234000</v>
      </c>
      <c r="I5" s="48">
        <f>データ!J2</f>
        <v>234000</v>
      </c>
      <c r="J5" s="39">
        <f>IF(OR($C5="総括",$C5="内訳書",$C5="内訳代価",$C5="明細書",$C5="明細代価",$C5="代価表",$C5="単価表"),データ!K2,"")</f>
        <v>1</v>
      </c>
      <c r="K5" s="11" t="str">
        <f t="shared" ref="K5:K68" si="0">IF(OR(J5="",G5=J5),"","*")</f>
        <v/>
      </c>
      <c r="L5" s="46">
        <f t="shared" ref="L5:L68" si="1">IF($A5&lt;=L$1,I5/I$4,"")</f>
        <v>1.1414634146341463E-2</v>
      </c>
      <c r="M5" s="40" t="str">
        <f>IF(データ!L2="","",データ!L2)</f>
        <v/>
      </c>
      <c r="N5" s="41" t="str">
        <f>IF(データ!M2="","",データ!M2)</f>
        <v>54号内訳書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労務費</v>
      </c>
      <c r="D6" s="36" t="str">
        <f>REPT("｜",$A6)&amp;TRIM(データ!E3)</f>
        <v>｜｜運転工</v>
      </c>
      <c r="E6" s="37" t="str">
        <f>TRIM(データ!F3)</f>
        <v>8H</v>
      </c>
      <c r="F6" s="38" t="str">
        <f>TRIM(データ!G3)</f>
        <v>人</v>
      </c>
      <c r="G6" s="50">
        <f>データ!H3</f>
        <v>8</v>
      </c>
      <c r="H6" s="48">
        <f>データ!I3</f>
        <v>23000</v>
      </c>
      <c r="I6" s="48">
        <f>データ!J3</f>
        <v>184000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8.9756097560975603E-3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>r20718007</v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機械費</v>
      </c>
      <c r="D7" s="36" t="str">
        <f>REPT("｜",$A7)&amp;TRIM(データ!E4)</f>
        <v>｜｜小物機械　ﾊﾟｰﾄﾅ・丸ﾉｺ</v>
      </c>
      <c r="E7" s="37" t="str">
        <f>TRIM(データ!F4)</f>
        <v>ｸﾞﾗｲﾝﾀﾞ-・ｺｱ抜きﾄﾞﾘﾙ・ﾌﾞﾛｱ　等</v>
      </c>
      <c r="F7" s="38" t="str">
        <f>TRIM(データ!G4)</f>
        <v>台</v>
      </c>
      <c r="G7" s="50">
        <f>データ!H4</f>
        <v>2</v>
      </c>
      <c r="H7" s="48">
        <f>データ!I4</f>
        <v>3000</v>
      </c>
      <c r="I7" s="48">
        <f>データ!J4</f>
        <v>6000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2.9268292682926828E-4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k20718001</v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運搬費</v>
      </c>
      <c r="D8" s="36" t="str">
        <f>REPT("｜",$A8)&amp;TRIM(データ!E5)</f>
        <v>｜｜2tダンプ</v>
      </c>
      <c r="E8" s="37" t="str">
        <f>TRIM(データ!F5)</f>
        <v/>
      </c>
      <c r="F8" s="38" t="str">
        <f>TRIM(データ!G5)</f>
        <v>台</v>
      </c>
      <c r="G8" s="50">
        <f>データ!H5</f>
        <v>4</v>
      </c>
      <c r="H8" s="48">
        <f>データ!I5</f>
        <v>6000</v>
      </c>
      <c r="I8" s="48">
        <f>データ!J5</f>
        <v>24000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1.1707317073170731E-3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u20718025</v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運搬費</v>
      </c>
      <c r="D9" s="36" t="str">
        <f>REPT("｜",$A9)&amp;TRIM(データ!E6)</f>
        <v>｜｜４ｔユニック</v>
      </c>
      <c r="E9" s="37" t="str">
        <f>TRIM(データ!F6)</f>
        <v/>
      </c>
      <c r="F9" s="38" t="str">
        <f>TRIM(データ!G6)</f>
        <v>/日</v>
      </c>
      <c r="G9" s="50">
        <f>データ!H6</f>
        <v>2</v>
      </c>
      <c r="H9" s="48">
        <f>データ!I6</f>
        <v>10000</v>
      </c>
      <c r="I9" s="48">
        <f>データ!J6</f>
        <v>20000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9.7560975609756097E-4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>u20718014</v>
      </c>
      <c r="AF9" s="43" t="str">
        <f>TRIM(データ!Z6)</f>
        <v/>
      </c>
    </row>
    <row r="10" spans="1:32" x14ac:dyDescent="0.15">
      <c r="A10" s="47">
        <f>データ!A7</f>
        <v>1</v>
      </c>
      <c r="B10" s="47" t="str">
        <f>TRIM(データ!C7)</f>
        <v/>
      </c>
      <c r="C10" s="47" t="str">
        <f>TRIM(データ!D7)</f>
        <v>内訳書</v>
      </c>
      <c r="D10" s="36" t="str">
        <f>REPT("｜",$A10)&amp;TRIM(データ!E7)</f>
        <v>｜根固め工</v>
      </c>
      <c r="E10" s="37" t="str">
        <f>TRIM(データ!F7)</f>
        <v/>
      </c>
      <c r="F10" s="38" t="str">
        <f>TRIM(データ!G7)</f>
        <v>式</v>
      </c>
      <c r="G10" s="50">
        <f>データ!H7</f>
        <v>1</v>
      </c>
      <c r="H10" s="48">
        <f>データ!I7</f>
        <v>836000</v>
      </c>
      <c r="I10" s="48">
        <f>データ!J7</f>
        <v>836000</v>
      </c>
      <c r="J10" s="39">
        <f>IF(OR($C10="総括",$C10="内訳書",$C10="内訳代価",$C10="明細書",$C10="明細代価",$C10="代価表",$C10="単価表"),データ!K7,"")</f>
        <v>1</v>
      </c>
      <c r="K10" s="11" t="str">
        <f t="shared" si="0"/>
        <v/>
      </c>
      <c r="L10" s="46">
        <f t="shared" si="1"/>
        <v>4.078048780487805E-2</v>
      </c>
      <c r="M10" s="40" t="str">
        <f>IF(データ!L7="","",データ!L7)</f>
        <v/>
      </c>
      <c r="N10" s="41" t="str">
        <f>IF(データ!M7="","",データ!M7)</f>
        <v>15号内訳書</v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>
        <f>IF(OR($C10="総括",$C10="内訳書",$C10="内訳代価",$C10="明細書",$C10="明細代価",$C10="代価表",$C10="単価表"),データ!Q7,"")</f>
        <v>0</v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>
        <f>IF(OR($C10="総括",$C10="内訳書",$C10="内訳代価",$C10="明細書",$C10="明細代価",$C10="代価表",$C10="単価表"),データ!W7,"")</f>
        <v>0</v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内訳代価</v>
      </c>
      <c r="D11" s="36" t="str">
        <f>REPT("｜",$A11)&amp;TRIM(データ!E8)</f>
        <v>｜｜割栗石</v>
      </c>
      <c r="E11" s="37" t="str">
        <f>TRIM(データ!F8)</f>
        <v>根固めブロック工　材料</v>
      </c>
      <c r="F11" s="38" t="str">
        <f>TRIM(データ!G8)</f>
        <v>袋</v>
      </c>
      <c r="G11" s="50">
        <f>データ!H8</f>
        <v>76</v>
      </c>
      <c r="H11" s="48">
        <f>データ!I8</f>
        <v>0</v>
      </c>
      <c r="I11" s="48">
        <f>データ!J8</f>
        <v>0</v>
      </c>
      <c r="J11" s="39">
        <f>IF(OR($C11="総括",$C11="内訳書",$C11="内訳代価",$C11="明細書",$C11="明細代価",$C11="代価表",$C11="単価表"),データ!K8,"")</f>
        <v>76</v>
      </c>
      <c r="K11" s="11" t="str">
        <f t="shared" si="0"/>
        <v/>
      </c>
      <c r="L11" s="46">
        <f t="shared" si="1"/>
        <v>0</v>
      </c>
      <c r="M11" s="40" t="str">
        <f>IF(データ!L8="","",データ!L8)</f>
        <v/>
      </c>
      <c r="N11" s="41" t="str">
        <f>IF(データ!M8="","",データ!M8)</f>
        <v>16号内訳書</v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>
        <f>IF(OR($C11="総括",$C11="内訳書",$C11="内訳代価",$C11="明細書",$C11="明細代価",$C11="代価表",$C11="単価表"),データ!Q8,"")</f>
        <v>0</v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>
        <f>IF(OR($C11="総括",$C11="内訳書",$C11="内訳代価",$C11="明細書",$C11="明細代価",$C11="代価表",$C11="単価表"),データ!W8,"")</f>
        <v>0</v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3</v>
      </c>
      <c r="B12" s="47" t="str">
        <f>TRIM(データ!C9)</f>
        <v/>
      </c>
      <c r="C12" s="47" t="str">
        <f>TRIM(データ!D9)</f>
        <v>材料費</v>
      </c>
      <c r="D12" s="36" t="str">
        <f>REPT("｜",$A12)&amp;TRIM(データ!E9)</f>
        <v>｜｜｜大型土嚢</v>
      </c>
      <c r="E12" s="37" t="str">
        <f>TRIM(データ!F9)</f>
        <v>ﾉｰﾏﾙ</v>
      </c>
      <c r="F12" s="38" t="str">
        <f>TRIM(データ!G9)</f>
        <v>袋</v>
      </c>
      <c r="G12" s="50">
        <f>データ!H9</f>
        <v>80</v>
      </c>
      <c r="H12" s="48">
        <f>データ!I9</f>
        <v>0</v>
      </c>
      <c r="I12" s="48">
        <f>データ!J9</f>
        <v>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0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s20718545</v>
      </c>
      <c r="AF12" s="43" t="str">
        <f>TRIM(データ!Z9)</f>
        <v/>
      </c>
    </row>
    <row r="13" spans="1:32" x14ac:dyDescent="0.15">
      <c r="A13" s="47">
        <f>データ!A10</f>
        <v>3</v>
      </c>
      <c r="B13" s="47" t="str">
        <f>TRIM(データ!C10)</f>
        <v/>
      </c>
      <c r="C13" s="47" t="str">
        <f>TRIM(データ!D10)</f>
        <v>材料費</v>
      </c>
      <c r="D13" s="36" t="str">
        <f>REPT("｜",$A13)&amp;TRIM(データ!E10)</f>
        <v>｜｜｜土嚢運搬費</v>
      </c>
      <c r="E13" s="37" t="str">
        <f>TRIM(データ!F10)</f>
        <v/>
      </c>
      <c r="F13" s="38" t="str">
        <f>TRIM(データ!G10)</f>
        <v>回</v>
      </c>
      <c r="G13" s="50">
        <f>データ!H10</f>
        <v>1</v>
      </c>
      <c r="H13" s="48">
        <f>データ!I10</f>
        <v>0</v>
      </c>
      <c r="I13" s="48">
        <f>データ!J10</f>
        <v>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0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3</v>
      </c>
      <c r="B14" s="47" t="str">
        <f>TRIM(データ!C11)</f>
        <v/>
      </c>
      <c r="C14" s="47" t="str">
        <f>TRIM(データ!D11)</f>
        <v>材料費</v>
      </c>
      <c r="D14" s="36" t="str">
        <f>REPT("｜",$A14)&amp;TRIM(データ!E11)</f>
        <v>｜｜｜割ぐり石</v>
      </c>
      <c r="E14" s="37" t="str">
        <f>TRIM(データ!F11)</f>
        <v>径150~200mm</v>
      </c>
      <c r="F14" s="38" t="str">
        <f>TRIM(データ!G11)</f>
        <v>m3</v>
      </c>
      <c r="G14" s="50">
        <f>データ!H11</f>
        <v>50</v>
      </c>
      <c r="H14" s="48">
        <f>データ!I11</f>
        <v>0</v>
      </c>
      <c r="I14" s="48">
        <f>データ!J11</f>
        <v>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0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1-5-32-3590-1</v>
      </c>
      <c r="AF14" s="43" t="str">
        <f>TRIM(データ!Z11)</f>
        <v/>
      </c>
    </row>
    <row r="15" spans="1:32" x14ac:dyDescent="0.15">
      <c r="A15" s="47">
        <f>データ!A12</f>
        <v>3</v>
      </c>
      <c r="B15" s="47" t="str">
        <f>TRIM(データ!C12)</f>
        <v/>
      </c>
      <c r="C15" s="47" t="str">
        <f>TRIM(データ!D12)</f>
        <v>材料費</v>
      </c>
      <c r="D15" s="36" t="str">
        <f>REPT("｜",$A15)&amp;TRIM(データ!E12)</f>
        <v>｜｜｜袋詰め機械</v>
      </c>
      <c r="E15" s="37" t="str">
        <f>TRIM(データ!F12)</f>
        <v/>
      </c>
      <c r="F15" s="38" t="str">
        <f>TRIM(データ!G12)</f>
        <v>式</v>
      </c>
      <c r="G15" s="50">
        <f>データ!H12</f>
        <v>1</v>
      </c>
      <c r="H15" s="48">
        <f>データ!I12</f>
        <v>0</v>
      </c>
      <c r="I15" s="48">
        <f>データ!J12</f>
        <v>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0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3</v>
      </c>
      <c r="B16" s="47" t="str">
        <f>TRIM(データ!C13)</f>
        <v/>
      </c>
      <c r="C16" s="47" t="str">
        <f>TRIM(データ!D13)</f>
        <v>材料費</v>
      </c>
      <c r="D16" s="36" t="str">
        <f>REPT("｜",$A16)&amp;TRIM(データ!E13)</f>
        <v>｜｜｜軽油</v>
      </c>
      <c r="E16" s="37" t="str">
        <f>TRIM(データ!F13)</f>
        <v/>
      </c>
      <c r="F16" s="38" t="str">
        <f>TRIM(データ!G13)</f>
        <v>L</v>
      </c>
      <c r="G16" s="50">
        <f>データ!H13</f>
        <v>0</v>
      </c>
      <c r="H16" s="48">
        <f>データ!I13</f>
        <v>160</v>
      </c>
      <c r="I16" s="48">
        <f>データ!J13</f>
        <v>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0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>s20718549</v>
      </c>
      <c r="AF16" s="43" t="str">
        <f>TRIM(データ!Z13)</f>
        <v/>
      </c>
    </row>
    <row r="17" spans="1:32" x14ac:dyDescent="0.15">
      <c r="A17" s="47">
        <f>データ!A14</f>
        <v>3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｜｜｜ラフタークレーン25t</v>
      </c>
      <c r="E17" s="37" t="str">
        <f>TRIM(データ!F14)</f>
        <v/>
      </c>
      <c r="F17" s="38" t="str">
        <f>TRIM(データ!G14)</f>
        <v>日台</v>
      </c>
      <c r="G17" s="50">
        <f>データ!H14</f>
        <v>2</v>
      </c>
      <c r="H17" s="48">
        <f>データ!I14</f>
        <v>0</v>
      </c>
      <c r="I17" s="48">
        <f>データ!J14</f>
        <v>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0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k20718126</v>
      </c>
      <c r="AF17" s="43" t="str">
        <f>TRIM(データ!Z14)</f>
        <v/>
      </c>
    </row>
    <row r="18" spans="1:32" x14ac:dyDescent="0.15">
      <c r="A18" s="47">
        <f>データ!A15</f>
        <v>3</v>
      </c>
      <c r="B18" s="47" t="str">
        <f>TRIM(データ!C15)</f>
        <v/>
      </c>
      <c r="C18" s="47" t="str">
        <f>TRIM(データ!D15)</f>
        <v>材料費</v>
      </c>
      <c r="D18" s="36" t="str">
        <f>REPT("｜",$A18)&amp;TRIM(データ!E15)</f>
        <v>｜｜｜雑材</v>
      </c>
      <c r="E18" s="37" t="str">
        <f>TRIM(データ!F15)</f>
        <v/>
      </c>
      <c r="F18" s="38" t="str">
        <f>TRIM(データ!G15)</f>
        <v>式</v>
      </c>
      <c r="G18" s="50">
        <f>データ!H15</f>
        <v>0</v>
      </c>
      <c r="H18" s="48">
        <f>データ!I15</f>
        <v>280</v>
      </c>
      <c r="I18" s="48">
        <f>データ!J15</f>
        <v>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0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>s20718001</v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内訳代価</v>
      </c>
      <c r="D19" s="36" t="str">
        <f>REPT("｜",$A19)&amp;TRIM(データ!E16)</f>
        <v>｜｜割栗石</v>
      </c>
      <c r="E19" s="37" t="str">
        <f>TRIM(データ!F16)</f>
        <v>根固めブロック工　労務　機械</v>
      </c>
      <c r="F19" s="38" t="str">
        <f>TRIM(データ!G16)</f>
        <v>袋</v>
      </c>
      <c r="G19" s="50">
        <f>データ!H16</f>
        <v>76</v>
      </c>
      <c r="H19" s="48">
        <f>データ!I16</f>
        <v>11000</v>
      </c>
      <c r="I19" s="48">
        <f>データ!J16</f>
        <v>836000</v>
      </c>
      <c r="J19" s="39">
        <f>IF(OR($C19="総括",$C19="内訳書",$C19="内訳代価",$C19="明細書",$C19="明細代価",$C19="代価表",$C19="単価表"),データ!K16,"")</f>
        <v>76</v>
      </c>
      <c r="K19" s="11" t="str">
        <f t="shared" si="0"/>
        <v/>
      </c>
      <c r="L19" s="46">
        <f t="shared" si="1"/>
        <v>4.078048780487805E-2</v>
      </c>
      <c r="M19" s="40" t="str">
        <f>IF(データ!L16="","",データ!L16)</f>
        <v/>
      </c>
      <c r="N19" s="41" t="str">
        <f>IF(データ!M16="","",データ!M16)</f>
        <v>43号内訳書</v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>
        <f>IF(OR($C19="総括",$C19="内訳書",$C19="内訳代価",$C19="明細書",$C19="明細代価",$C19="代価表",$C19="単価表"),データ!Q16,"")</f>
        <v>0</v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>
        <f>IF(OR($C19="総括",$C19="内訳書",$C19="内訳代価",$C19="明細書",$C19="明細代価",$C19="代価表",$C19="単価表"),データ!W16,"")</f>
        <v>0</v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3</v>
      </c>
      <c r="B20" s="47" t="str">
        <f>TRIM(データ!C17)</f>
        <v/>
      </c>
      <c r="C20" s="47" t="str">
        <f>TRIM(データ!D17)</f>
        <v>材料費</v>
      </c>
      <c r="D20" s="36" t="str">
        <f>REPT("｜",$A20)&amp;TRIM(データ!E17)</f>
        <v>｜｜｜雑材</v>
      </c>
      <c r="E20" s="37" t="str">
        <f>TRIM(データ!F17)</f>
        <v/>
      </c>
      <c r="F20" s="38" t="str">
        <f>TRIM(データ!G17)</f>
        <v>式</v>
      </c>
      <c r="G20" s="50">
        <f>データ!H17</f>
        <v>1</v>
      </c>
      <c r="H20" s="48">
        <f>データ!I17</f>
        <v>14000</v>
      </c>
      <c r="I20" s="48">
        <f>データ!J17</f>
        <v>14000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6.8292682926829264E-4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>s20718001</v>
      </c>
      <c r="AF20" s="43" t="str">
        <f>TRIM(データ!Z17)</f>
        <v/>
      </c>
    </row>
    <row r="21" spans="1:32" x14ac:dyDescent="0.15">
      <c r="A21" s="47">
        <f>データ!A18</f>
        <v>3</v>
      </c>
      <c r="B21" s="47" t="str">
        <f>TRIM(データ!C18)</f>
        <v/>
      </c>
      <c r="C21" s="47" t="str">
        <f>TRIM(データ!D18)</f>
        <v>労務費</v>
      </c>
      <c r="D21" s="36" t="str">
        <f>REPT("｜",$A21)&amp;TRIM(データ!E18)</f>
        <v>｜｜｜運転工</v>
      </c>
      <c r="E21" s="37" t="str">
        <f>TRIM(データ!F18)</f>
        <v>8H</v>
      </c>
      <c r="F21" s="38" t="str">
        <f>TRIM(データ!G18)</f>
        <v>人</v>
      </c>
      <c r="G21" s="50">
        <f>データ!H18</f>
        <v>24</v>
      </c>
      <c r="H21" s="48">
        <f>データ!I18</f>
        <v>23000</v>
      </c>
      <c r="I21" s="48">
        <f>データ!J18</f>
        <v>552000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2.6926829268292683E-2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>r20718007</v>
      </c>
      <c r="AF21" s="43" t="str">
        <f>TRIM(データ!Z18)</f>
        <v/>
      </c>
    </row>
    <row r="22" spans="1:32" x14ac:dyDescent="0.15">
      <c r="A22" s="47">
        <f>データ!A19</f>
        <v>3</v>
      </c>
      <c r="B22" s="47" t="str">
        <f>TRIM(データ!C19)</f>
        <v/>
      </c>
      <c r="C22" s="47" t="str">
        <f>TRIM(データ!D19)</f>
        <v>機械費</v>
      </c>
      <c r="D22" s="36" t="str">
        <f>REPT("｜",$A22)&amp;TRIM(データ!E19)</f>
        <v>｜｜｜BH0.45クレーン</v>
      </c>
      <c r="E22" s="37" t="str">
        <f>TRIM(データ!F19)</f>
        <v>低騒音・超小</v>
      </c>
      <c r="F22" s="38" t="str">
        <f>TRIM(データ!G19)</f>
        <v>日台</v>
      </c>
      <c r="G22" s="50">
        <f>データ!H19</f>
        <v>6</v>
      </c>
      <c r="H22" s="48">
        <f>データ!I19</f>
        <v>14000</v>
      </c>
      <c r="I22" s="48">
        <f>データ!J19</f>
        <v>84000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4.0975609756097563E-3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>k20718020</v>
      </c>
      <c r="AF22" s="43" t="str">
        <f>TRIM(データ!Z19)</f>
        <v/>
      </c>
    </row>
    <row r="23" spans="1:32" x14ac:dyDescent="0.15">
      <c r="A23" s="47">
        <f>データ!A20</f>
        <v>3</v>
      </c>
      <c r="B23" s="47" t="str">
        <f>TRIM(データ!C20)</f>
        <v/>
      </c>
      <c r="C23" s="47" t="str">
        <f>TRIM(データ!D20)</f>
        <v>機械費</v>
      </c>
      <c r="D23" s="36" t="str">
        <f>REPT("｜",$A23)&amp;TRIM(データ!E20)</f>
        <v>｜｜｜BH0.45クレーン</v>
      </c>
      <c r="E23" s="37" t="str">
        <f>TRIM(データ!F20)</f>
        <v>低騒音・超小</v>
      </c>
      <c r="F23" s="38" t="str">
        <f>TRIM(データ!G20)</f>
        <v>日台</v>
      </c>
      <c r="G23" s="50">
        <f>データ!H20</f>
        <v>6</v>
      </c>
      <c r="H23" s="48">
        <f>データ!I20</f>
        <v>14000</v>
      </c>
      <c r="I23" s="48">
        <f>データ!J20</f>
        <v>84000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4.0975609756097563E-3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>k20718020</v>
      </c>
      <c r="AF23" s="43" t="str">
        <f>TRIM(データ!Z20)</f>
        <v/>
      </c>
    </row>
    <row r="24" spans="1:32" x14ac:dyDescent="0.15">
      <c r="A24" s="47">
        <f>データ!A21</f>
        <v>3</v>
      </c>
      <c r="B24" s="47" t="str">
        <f>TRIM(データ!C21)</f>
        <v/>
      </c>
      <c r="C24" s="47" t="str">
        <f>TRIM(データ!D21)</f>
        <v>機械費</v>
      </c>
      <c r="D24" s="36" t="str">
        <f>REPT("｜",$A24)&amp;TRIM(データ!E21)</f>
        <v>｜｜｜小物機械　ﾊﾟｰﾄﾅ・丸ﾉｺ</v>
      </c>
      <c r="E24" s="37" t="str">
        <f>TRIM(データ!F21)</f>
        <v>ｸﾞﾗｲﾝﾀﾞ-・ｺｱ抜きﾄﾞﾘﾙ・ﾌﾞﾛｱ　等</v>
      </c>
      <c r="F24" s="38" t="str">
        <f>TRIM(データ!G21)</f>
        <v>台</v>
      </c>
      <c r="G24" s="50">
        <f>データ!H21</f>
        <v>6</v>
      </c>
      <c r="H24" s="48">
        <f>データ!I21</f>
        <v>5000</v>
      </c>
      <c r="I24" s="48">
        <f>データ!J21</f>
        <v>30000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1.4634146341463415E-3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>k20718001</v>
      </c>
      <c r="AF24" s="43" t="str">
        <f>TRIM(データ!Z21)</f>
        <v/>
      </c>
    </row>
    <row r="25" spans="1:32" x14ac:dyDescent="0.15">
      <c r="A25" s="47">
        <f>データ!A22</f>
        <v>3</v>
      </c>
      <c r="B25" s="47" t="str">
        <f>TRIM(データ!C22)</f>
        <v/>
      </c>
      <c r="C25" s="47" t="str">
        <f>TRIM(データ!D22)</f>
        <v>運搬費</v>
      </c>
      <c r="D25" s="36" t="str">
        <f>REPT("｜",$A25)&amp;TRIM(データ!E22)</f>
        <v>｜｜｜2tダンプ</v>
      </c>
      <c r="E25" s="37" t="str">
        <f>TRIM(データ!F22)</f>
        <v/>
      </c>
      <c r="F25" s="38" t="str">
        <f>TRIM(データ!G22)</f>
        <v>台</v>
      </c>
      <c r="G25" s="50">
        <f>データ!H22</f>
        <v>12</v>
      </c>
      <c r="H25" s="48">
        <f>データ!I22</f>
        <v>6000</v>
      </c>
      <c r="I25" s="48">
        <f>データ!J22</f>
        <v>72000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3.5121951219512196E-3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>u20718025</v>
      </c>
      <c r="AF25" s="43" t="str">
        <f>TRIM(データ!Z22)</f>
        <v/>
      </c>
    </row>
    <row r="26" spans="1:32" x14ac:dyDescent="0.15">
      <c r="A26" s="47">
        <f>データ!A23</f>
        <v>1</v>
      </c>
      <c r="B26" s="47" t="str">
        <f>TRIM(データ!C23)</f>
        <v/>
      </c>
      <c r="C26" s="47" t="str">
        <f>TRIM(データ!D23)</f>
        <v>内訳書</v>
      </c>
      <c r="D26" s="36" t="str">
        <f>REPT("｜",$A26)&amp;TRIM(データ!E23)</f>
        <v>｜仮設工</v>
      </c>
      <c r="E26" s="37" t="str">
        <f>TRIM(データ!F23)</f>
        <v/>
      </c>
      <c r="F26" s="38" t="str">
        <f>TRIM(データ!G23)</f>
        <v>式</v>
      </c>
      <c r="G26" s="50">
        <f>データ!H23</f>
        <v>1</v>
      </c>
      <c r="H26" s="48">
        <f>データ!I23</f>
        <v>6515170</v>
      </c>
      <c r="I26" s="48">
        <f>データ!J23</f>
        <v>6515170</v>
      </c>
      <c r="J26" s="39">
        <f>IF(OR($C26="総括",$C26="内訳書",$C26="内訳代価",$C26="明細書",$C26="明細代価",$C26="代価表",$C26="単価表"),データ!K23,"")</f>
        <v>1</v>
      </c>
      <c r="K26" s="11" t="str">
        <f t="shared" si="0"/>
        <v/>
      </c>
      <c r="L26" s="46">
        <f t="shared" si="1"/>
        <v>0.31781317073170734</v>
      </c>
      <c r="M26" s="40" t="str">
        <f>IF(データ!L23="","",データ!L23)</f>
        <v/>
      </c>
      <c r="N26" s="41" t="str">
        <f>IF(データ!M23="","",データ!M23)</f>
        <v>17号内訳書</v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>
        <f>IF(OR($C26="総括",$C26="内訳書",$C26="内訳代価",$C26="明細書",$C26="明細代価",$C26="代価表",$C26="単価表"),データ!Q23,"")</f>
        <v>0</v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>
        <f>IF(OR($C26="総括",$C26="内訳書",$C26="内訳代価",$C26="明細書",$C26="明細代価",$C26="代価表",$C26="単価表"),データ!W23,"")</f>
        <v>0</v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内訳代価</v>
      </c>
      <c r="D27" s="36" t="str">
        <f>REPT("｜",$A27)&amp;TRIM(データ!E24)</f>
        <v>｜｜工事用道路盛土</v>
      </c>
      <c r="E27" s="37" t="str">
        <f>TRIM(データ!F24)</f>
        <v>ストックヤードから運搬　材料費</v>
      </c>
      <c r="F27" s="38" t="str">
        <f>TRIM(データ!G24)</f>
        <v>m3</v>
      </c>
      <c r="G27" s="50">
        <f>データ!H24</f>
        <v>540</v>
      </c>
      <c r="H27" s="48">
        <f>データ!I24</f>
        <v>0</v>
      </c>
      <c r="I27" s="48">
        <f>データ!J24</f>
        <v>0</v>
      </c>
      <c r="J27" s="39">
        <f>IF(OR($C27="総括",$C27="内訳書",$C27="内訳代価",$C27="明細書",$C27="明細代価",$C27="代価表",$C27="単価表"),データ!K24,"")</f>
        <v>400</v>
      </c>
      <c r="K27" s="11" t="str">
        <f t="shared" si="0"/>
        <v>*</v>
      </c>
      <c r="L27" s="46">
        <f t="shared" si="1"/>
        <v>0</v>
      </c>
      <c r="M27" s="40" t="str">
        <f>IF(データ!L24="","",データ!L24)</f>
        <v/>
      </c>
      <c r="N27" s="41" t="str">
        <f>IF(データ!M24="","",データ!M24)</f>
        <v>18号内訳書</v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>
        <f>IF(OR($C27="総括",$C27="内訳書",$C27="内訳代価",$C27="明細書",$C27="明細代価",$C27="代価表",$C27="単価表"),データ!Q24,"")</f>
        <v>0</v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>
        <f>IF(OR($C27="総括",$C27="内訳書",$C27="内訳代価",$C27="明細書",$C27="明細代価",$C27="代価表",$C27="単価表"),データ!W24,"")</f>
        <v>0</v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3</v>
      </c>
      <c r="B28" s="47" t="str">
        <f>TRIM(データ!C25)</f>
        <v/>
      </c>
      <c r="C28" s="47" t="str">
        <f>TRIM(データ!D25)</f>
        <v>材料費</v>
      </c>
      <c r="D28" s="36" t="str">
        <f>REPT("｜",$A28)&amp;TRIM(データ!E25)</f>
        <v>｜｜｜軽油</v>
      </c>
      <c r="E28" s="37" t="str">
        <f>TRIM(データ!F25)</f>
        <v/>
      </c>
      <c r="F28" s="38" t="str">
        <f>TRIM(データ!G25)</f>
        <v>L</v>
      </c>
      <c r="G28" s="50">
        <f>データ!H25</f>
        <v>300</v>
      </c>
      <c r="H28" s="48">
        <f>データ!I25</f>
        <v>0</v>
      </c>
      <c r="I28" s="48">
        <f>データ!J25</f>
        <v>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0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>s20718549</v>
      </c>
      <c r="AF28" s="43" t="str">
        <f>TRIM(データ!Z25)</f>
        <v/>
      </c>
    </row>
    <row r="29" spans="1:32" x14ac:dyDescent="0.15">
      <c r="A29" s="47">
        <f>データ!A26</f>
        <v>3</v>
      </c>
      <c r="B29" s="47" t="str">
        <f>TRIM(データ!C26)</f>
        <v/>
      </c>
      <c r="C29" s="47" t="str">
        <f>TRIM(データ!D26)</f>
        <v>材料費</v>
      </c>
      <c r="D29" s="36" t="str">
        <f>REPT("｜",$A29)&amp;TRIM(データ!E26)</f>
        <v>｜｜｜雑材</v>
      </c>
      <c r="E29" s="37" t="str">
        <f>TRIM(データ!F26)</f>
        <v/>
      </c>
      <c r="F29" s="38" t="str">
        <f>TRIM(データ!G26)</f>
        <v>式</v>
      </c>
      <c r="G29" s="50">
        <f>データ!H26</f>
        <v>1</v>
      </c>
      <c r="H29" s="48">
        <f>データ!I26</f>
        <v>0</v>
      </c>
      <c r="I29" s="48">
        <f>データ!J26</f>
        <v>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0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>s20718001</v>
      </c>
      <c r="AF29" s="43" t="str">
        <f>TRIM(データ!Z26)</f>
        <v/>
      </c>
    </row>
    <row r="30" spans="1:32" x14ac:dyDescent="0.15">
      <c r="A30" s="47">
        <f>データ!A27</f>
        <v>3</v>
      </c>
      <c r="B30" s="47" t="str">
        <f>TRIM(データ!C27)</f>
        <v/>
      </c>
      <c r="C30" s="47" t="str">
        <f>TRIM(データ!D27)</f>
        <v>機械費</v>
      </c>
      <c r="D30" s="36" t="str">
        <f>REPT("｜",$A30)&amp;TRIM(データ!E27)</f>
        <v>｜｜｜敷き鉄板リース5*10</v>
      </c>
      <c r="E30" s="37" t="str">
        <f>TRIM(データ!F27)</f>
        <v>1500*3000*22</v>
      </c>
      <c r="F30" s="38" t="str">
        <f>TRIM(データ!G27)</f>
        <v>式</v>
      </c>
      <c r="G30" s="50">
        <f>データ!H27</f>
        <v>1</v>
      </c>
      <c r="H30" s="48">
        <f>データ!I27</f>
        <v>0</v>
      </c>
      <c r="I30" s="48">
        <f>データ!J27</f>
        <v>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0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>k20718145</v>
      </c>
      <c r="AF30" s="43" t="str">
        <f>TRIM(データ!Z27)</f>
        <v/>
      </c>
    </row>
    <row r="31" spans="1:32" x14ac:dyDescent="0.15">
      <c r="A31" s="47">
        <f>データ!A28</f>
        <v>3</v>
      </c>
      <c r="B31" s="47" t="str">
        <f>TRIM(データ!C28)</f>
        <v/>
      </c>
      <c r="C31" s="47" t="str">
        <f>TRIM(データ!D28)</f>
        <v>運搬費</v>
      </c>
      <c r="D31" s="36" t="str">
        <f>REPT("｜",$A31)&amp;TRIM(データ!E28)</f>
        <v>｜｜｜４ｔユニック</v>
      </c>
      <c r="E31" s="37" t="str">
        <f>TRIM(データ!F28)</f>
        <v/>
      </c>
      <c r="F31" s="38" t="str">
        <f>TRIM(データ!G28)</f>
        <v>/日</v>
      </c>
      <c r="G31" s="50">
        <f>データ!H28</f>
        <v>3</v>
      </c>
      <c r="H31" s="48">
        <f>データ!I28</f>
        <v>0</v>
      </c>
      <c r="I31" s="48">
        <f>データ!J28</f>
        <v>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0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>u20718014</v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内訳代価</v>
      </c>
      <c r="D32" s="36" t="str">
        <f>REPT("｜",$A32)&amp;TRIM(データ!E29)</f>
        <v>｜｜工事用道路盛土</v>
      </c>
      <c r="E32" s="37" t="str">
        <f>TRIM(データ!F29)</f>
        <v>施工幅2.5～4.0未満　労務機械</v>
      </c>
      <c r="F32" s="38" t="str">
        <f>TRIM(データ!G29)</f>
        <v>m3</v>
      </c>
      <c r="G32" s="50">
        <f>データ!H29</f>
        <v>400</v>
      </c>
      <c r="H32" s="48">
        <f>データ!I29</f>
        <v>2800</v>
      </c>
      <c r="I32" s="48">
        <f>データ!J29</f>
        <v>1120000</v>
      </c>
      <c r="J32" s="39">
        <f>IF(OR($C32="総括",$C32="内訳書",$C32="内訳代価",$C32="明細書",$C32="明細代価",$C32="代価表",$C32="単価表"),データ!K29,"")</f>
        <v>400</v>
      </c>
      <c r="K32" s="11" t="str">
        <f t="shared" si="0"/>
        <v/>
      </c>
      <c r="L32" s="46">
        <f t="shared" si="1"/>
        <v>5.4634146341463415E-2</v>
      </c>
      <c r="M32" s="40" t="str">
        <f>IF(データ!L29="","",データ!L29)</f>
        <v/>
      </c>
      <c r="N32" s="41" t="str">
        <f>IF(データ!M29="","",データ!M29)</f>
        <v>44号内訳書</v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>
        <f>IF(OR($C32="総括",$C32="内訳書",$C32="内訳代価",$C32="明細書",$C32="明細代価",$C32="代価表",$C32="単価表"),データ!Q29,"")</f>
        <v>0</v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>
        <f>IF(OR($C32="総括",$C32="内訳書",$C32="内訳代価",$C32="明細書",$C32="明細代価",$C32="代価表",$C32="単価表"),データ!W29,"")</f>
        <v>0</v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3</v>
      </c>
      <c r="B33" s="47" t="str">
        <f>TRIM(データ!C30)</f>
        <v/>
      </c>
      <c r="C33" s="47" t="str">
        <f>TRIM(データ!D30)</f>
        <v>材料費</v>
      </c>
      <c r="D33" s="36" t="str">
        <f>REPT("｜",$A33)&amp;TRIM(データ!E30)</f>
        <v>｜｜｜雑材</v>
      </c>
      <c r="E33" s="37" t="str">
        <f>TRIM(データ!F30)</f>
        <v/>
      </c>
      <c r="F33" s="38" t="str">
        <f>TRIM(データ!G30)</f>
        <v>式</v>
      </c>
      <c r="G33" s="50">
        <f>データ!H30</f>
        <v>0.74099999999999999</v>
      </c>
      <c r="H33" s="48">
        <f>データ!I30</f>
        <v>32000</v>
      </c>
      <c r="I33" s="48">
        <f>データ!J30</f>
        <v>23712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1.1566829268292683E-3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>s20718001</v>
      </c>
      <c r="AF33" s="43" t="str">
        <f>TRIM(データ!Z30)</f>
        <v/>
      </c>
    </row>
    <row r="34" spans="1:32" x14ac:dyDescent="0.15">
      <c r="A34" s="47">
        <f>データ!A31</f>
        <v>3</v>
      </c>
      <c r="B34" s="47" t="str">
        <f>TRIM(データ!C31)</f>
        <v/>
      </c>
      <c r="C34" s="47" t="str">
        <f>TRIM(データ!D31)</f>
        <v>労務費</v>
      </c>
      <c r="D34" s="36" t="str">
        <f>REPT("｜",$A34)&amp;TRIM(データ!E31)</f>
        <v>｜｜｜運転工</v>
      </c>
      <c r="E34" s="37" t="str">
        <f>TRIM(データ!F31)</f>
        <v>8H</v>
      </c>
      <c r="F34" s="38" t="str">
        <f>TRIM(データ!G31)</f>
        <v>人</v>
      </c>
      <c r="G34" s="50">
        <f>データ!H31</f>
        <v>29.63</v>
      </c>
      <c r="H34" s="48">
        <f>データ!I31</f>
        <v>23000</v>
      </c>
      <c r="I34" s="48">
        <f>データ!J31</f>
        <v>681490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3.3243414634146339E-2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>r20718007</v>
      </c>
      <c r="AF34" s="43" t="str">
        <f>TRIM(データ!Z31)</f>
        <v>10日×4人</v>
      </c>
    </row>
    <row r="35" spans="1:32" x14ac:dyDescent="0.15">
      <c r="A35" s="47">
        <f>データ!A32</f>
        <v>3</v>
      </c>
      <c r="B35" s="47" t="str">
        <f>TRIM(データ!C32)</f>
        <v/>
      </c>
      <c r="C35" s="47" t="str">
        <f>TRIM(データ!D32)</f>
        <v>機械費</v>
      </c>
      <c r="D35" s="36" t="str">
        <f>REPT("｜",$A35)&amp;TRIM(データ!E32)</f>
        <v>｜｜｜BH0.15クレーン</v>
      </c>
      <c r="E35" s="37" t="str">
        <f>TRIM(データ!F32)</f>
        <v>低騒音・超小</v>
      </c>
      <c r="F35" s="38" t="str">
        <f>TRIM(データ!G32)</f>
        <v>日台</v>
      </c>
      <c r="G35" s="50">
        <f>データ!H32</f>
        <v>7.407</v>
      </c>
      <c r="H35" s="48">
        <f>データ!I32</f>
        <v>11000</v>
      </c>
      <c r="I35" s="48">
        <f>データ!J32</f>
        <v>81477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3.9744878048780484E-3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>k20718014</v>
      </c>
      <c r="AF35" s="43" t="str">
        <f>TRIM(データ!Z32)</f>
        <v>10日×1台</v>
      </c>
    </row>
    <row r="36" spans="1:32" x14ac:dyDescent="0.15">
      <c r="A36" s="47">
        <f>データ!A33</f>
        <v>3</v>
      </c>
      <c r="B36" s="47" t="str">
        <f>TRIM(データ!C33)</f>
        <v/>
      </c>
      <c r="C36" s="47" t="str">
        <f>TRIM(データ!D33)</f>
        <v>機械費</v>
      </c>
      <c r="D36" s="36" t="str">
        <f>REPT("｜",$A36)&amp;TRIM(データ!E33)</f>
        <v>｜｜｜BH0.25クレーン</v>
      </c>
      <c r="E36" s="37" t="str">
        <f>TRIM(データ!F33)</f>
        <v>低騒音・超小</v>
      </c>
      <c r="F36" s="38" t="str">
        <f>TRIM(データ!G33)</f>
        <v>日台</v>
      </c>
      <c r="G36" s="50">
        <f>データ!H33</f>
        <v>7.407</v>
      </c>
      <c r="H36" s="48">
        <f>データ!I33</f>
        <v>11000</v>
      </c>
      <c r="I36" s="48">
        <f>データ!J33</f>
        <v>81477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3.9744878048780484E-3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>k20718018</v>
      </c>
      <c r="AF36" s="43" t="str">
        <f>TRIM(データ!Z33)</f>
        <v>10日×1台</v>
      </c>
    </row>
    <row r="37" spans="1:32" x14ac:dyDescent="0.15">
      <c r="A37" s="47">
        <f>データ!A34</f>
        <v>3</v>
      </c>
      <c r="B37" s="47" t="str">
        <f>TRIM(データ!C34)</f>
        <v/>
      </c>
      <c r="C37" s="47" t="str">
        <f>TRIM(データ!D34)</f>
        <v>機械費</v>
      </c>
      <c r="D37" s="36" t="str">
        <f>REPT("｜",$A37)&amp;TRIM(データ!E34)</f>
        <v>｜｜｜BH0.45クレーン</v>
      </c>
      <c r="E37" s="37" t="str">
        <f>TRIM(データ!F34)</f>
        <v>低騒音・超小</v>
      </c>
      <c r="F37" s="38" t="str">
        <f>TRIM(データ!G34)</f>
        <v>日台</v>
      </c>
      <c r="G37" s="50">
        <f>データ!H34</f>
        <v>7.407</v>
      </c>
      <c r="H37" s="48">
        <f>データ!I34</f>
        <v>14000</v>
      </c>
      <c r="I37" s="48">
        <f>データ!J34</f>
        <v>103698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5.0584390243902438E-3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>k20718020</v>
      </c>
      <c r="AF37" s="43" t="str">
        <f>TRIM(データ!Z34)</f>
        <v>10日×1台</v>
      </c>
    </row>
    <row r="38" spans="1:32" x14ac:dyDescent="0.15">
      <c r="A38" s="47">
        <f>データ!A35</f>
        <v>3</v>
      </c>
      <c r="B38" s="47" t="str">
        <f>TRIM(データ!C35)</f>
        <v/>
      </c>
      <c r="C38" s="47" t="str">
        <f>TRIM(データ!D35)</f>
        <v>機械費</v>
      </c>
      <c r="D38" s="36" t="str">
        <f>REPT("｜",$A38)&amp;TRIM(データ!E35)</f>
        <v>｜｜｜法面バケット</v>
      </c>
      <c r="E38" s="37" t="str">
        <f>TRIM(データ!F35)</f>
        <v>BH0.25用</v>
      </c>
      <c r="F38" s="38" t="str">
        <f>TRIM(データ!G35)</f>
        <v>/日</v>
      </c>
      <c r="G38" s="50">
        <f>データ!H35</f>
        <v>7.407</v>
      </c>
      <c r="H38" s="48">
        <f>データ!I35</f>
        <v>5000</v>
      </c>
      <c r="I38" s="48">
        <f>データ!J35</f>
        <v>37035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1.8065853658536584E-3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>10日×1台</v>
      </c>
    </row>
    <row r="39" spans="1:32" x14ac:dyDescent="0.15">
      <c r="A39" s="47">
        <f>データ!A36</f>
        <v>3</v>
      </c>
      <c r="B39" s="47" t="str">
        <f>TRIM(データ!C36)</f>
        <v/>
      </c>
      <c r="C39" s="47" t="str">
        <f>TRIM(データ!D36)</f>
        <v>機械費</v>
      </c>
      <c r="D39" s="36" t="str">
        <f>REPT("｜",$A39)&amp;TRIM(データ!E36)</f>
        <v>｜｜｜小物機械　ﾊﾟｰﾄﾅ・丸ﾉｺ</v>
      </c>
      <c r="E39" s="37" t="str">
        <f>TRIM(データ!F36)</f>
        <v>ｸﾞﾗｲﾝﾀﾞ-・ｺｱ抜きﾄﾞﾘﾙ・ﾌﾞﾛｱ　等</v>
      </c>
      <c r="F39" s="38" t="str">
        <f>TRIM(データ!G36)</f>
        <v>台</v>
      </c>
      <c r="G39" s="50">
        <f>データ!H36</f>
        <v>7.407</v>
      </c>
      <c r="H39" s="48">
        <f>データ!I36</f>
        <v>3000</v>
      </c>
      <c r="I39" s="48">
        <f>データ!J36</f>
        <v>22221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1.0839512195121952E-3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>k20718001</v>
      </c>
      <c r="AF39" s="43" t="str">
        <f>TRIM(データ!Z36)</f>
        <v>10日×1台</v>
      </c>
    </row>
    <row r="40" spans="1:32" x14ac:dyDescent="0.15">
      <c r="A40" s="47">
        <f>データ!A37</f>
        <v>3</v>
      </c>
      <c r="B40" s="47" t="str">
        <f>TRIM(データ!C37)</f>
        <v/>
      </c>
      <c r="C40" s="47" t="str">
        <f>TRIM(データ!D37)</f>
        <v>運搬費</v>
      </c>
      <c r="D40" s="36" t="str">
        <f>REPT("｜",$A40)&amp;TRIM(データ!E37)</f>
        <v>｜｜｜2tダンプ</v>
      </c>
      <c r="E40" s="37" t="str">
        <f>TRIM(データ!F37)</f>
        <v/>
      </c>
      <c r="F40" s="38" t="str">
        <f>TRIM(データ!G37)</f>
        <v>台</v>
      </c>
      <c r="G40" s="50">
        <f>データ!H37</f>
        <v>14.815</v>
      </c>
      <c r="H40" s="48">
        <f>データ!I37</f>
        <v>6000</v>
      </c>
      <c r="I40" s="48">
        <f>データ!J37</f>
        <v>88890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4.3360975609756094E-3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>u20718025</v>
      </c>
      <c r="AF40" s="43" t="str">
        <f>TRIM(データ!Z37)</f>
        <v>10日×2台</v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内訳代価</v>
      </c>
      <c r="D41" s="36" t="str">
        <f>REPT("｜",$A41)&amp;TRIM(データ!E38)</f>
        <v>｜｜土嚢</v>
      </c>
      <c r="E41" s="37" t="str">
        <f>TRIM(データ!F38)</f>
        <v>材料費</v>
      </c>
      <c r="F41" s="38" t="str">
        <f>TRIM(データ!G38)</f>
        <v>袋</v>
      </c>
      <c r="G41" s="50">
        <f>データ!H38</f>
        <v>85</v>
      </c>
      <c r="H41" s="48">
        <f>データ!I38</f>
        <v>0</v>
      </c>
      <c r="I41" s="48">
        <f>データ!J38</f>
        <v>0</v>
      </c>
      <c r="J41" s="39">
        <f>IF(OR($C41="総括",$C41="内訳書",$C41="内訳代価",$C41="明細書",$C41="明細代価",$C41="代価表",$C41="単価表"),データ!K38,"")</f>
        <v>85</v>
      </c>
      <c r="K41" s="11" t="str">
        <f t="shared" si="0"/>
        <v/>
      </c>
      <c r="L41" s="46">
        <f t="shared" si="1"/>
        <v>0</v>
      </c>
      <c r="M41" s="40" t="str">
        <f>IF(データ!L38="","",データ!L38)</f>
        <v/>
      </c>
      <c r="N41" s="41" t="str">
        <f>IF(データ!M38="","",データ!M38)</f>
        <v>19号内訳書</v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>
        <f>IF(OR($C41="総括",$C41="内訳書",$C41="内訳代価",$C41="明細書",$C41="明細代価",$C41="代価表",$C41="単価表"),データ!Q38,"")</f>
        <v>0</v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>
        <f>IF(OR($C41="総括",$C41="内訳書",$C41="内訳代価",$C41="明細書",$C41="明細代価",$C41="代価表",$C41="単価表"),データ!W38,"")</f>
        <v>0</v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3</v>
      </c>
      <c r="B42" s="47" t="str">
        <f>TRIM(データ!C39)</f>
        <v/>
      </c>
      <c r="C42" s="47" t="str">
        <f>TRIM(データ!D39)</f>
        <v>材料費</v>
      </c>
      <c r="D42" s="36" t="str">
        <f>REPT("｜",$A42)&amp;TRIM(データ!E39)</f>
        <v>｜｜｜土嚢袋</v>
      </c>
      <c r="E42" s="37" t="str">
        <f>TRIM(データ!F39)</f>
        <v/>
      </c>
      <c r="F42" s="38" t="str">
        <f>TRIM(データ!G39)</f>
        <v>袋</v>
      </c>
      <c r="G42" s="50">
        <f>データ!H39</f>
        <v>85</v>
      </c>
      <c r="H42" s="48">
        <f>データ!I39</f>
        <v>0</v>
      </c>
      <c r="I42" s="48">
        <f>データ!J39</f>
        <v>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0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>s20718544</v>
      </c>
      <c r="AF42" s="43" t="str">
        <f>TRIM(データ!Z39)</f>
        <v/>
      </c>
    </row>
    <row r="43" spans="1:32" x14ac:dyDescent="0.15">
      <c r="A43" s="47">
        <f>データ!A40</f>
        <v>3</v>
      </c>
      <c r="B43" s="47" t="str">
        <f>TRIM(データ!C40)</f>
        <v/>
      </c>
      <c r="C43" s="47" t="str">
        <f>TRIM(データ!D40)</f>
        <v>材料費</v>
      </c>
      <c r="D43" s="36" t="str">
        <f>REPT("｜",$A43)&amp;TRIM(データ!E40)</f>
        <v>｜｜｜軽油</v>
      </c>
      <c r="E43" s="37" t="str">
        <f>TRIM(データ!F40)</f>
        <v/>
      </c>
      <c r="F43" s="38" t="str">
        <f>TRIM(データ!G40)</f>
        <v>L</v>
      </c>
      <c r="G43" s="50">
        <f>データ!H40</f>
        <v>200</v>
      </c>
      <c r="H43" s="48">
        <f>データ!I40</f>
        <v>0</v>
      </c>
      <c r="I43" s="48">
        <f>データ!J40</f>
        <v>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0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>s20718549</v>
      </c>
      <c r="AF43" s="43" t="str">
        <f>TRIM(データ!Z40)</f>
        <v/>
      </c>
    </row>
    <row r="44" spans="1:32" x14ac:dyDescent="0.15">
      <c r="A44" s="47">
        <f>データ!A41</f>
        <v>3</v>
      </c>
      <c r="B44" s="47" t="str">
        <f>TRIM(データ!C41)</f>
        <v/>
      </c>
      <c r="C44" s="47" t="str">
        <f>TRIM(データ!D41)</f>
        <v>材料費</v>
      </c>
      <c r="D44" s="36" t="str">
        <f>REPT("｜",$A44)&amp;TRIM(データ!E41)</f>
        <v>｜｜｜雑材</v>
      </c>
      <c r="E44" s="37" t="str">
        <f>TRIM(データ!F41)</f>
        <v/>
      </c>
      <c r="F44" s="38" t="str">
        <f>TRIM(データ!G41)</f>
        <v>式</v>
      </c>
      <c r="G44" s="50">
        <f>データ!H41</f>
        <v>1</v>
      </c>
      <c r="H44" s="48">
        <f>データ!I41</f>
        <v>0</v>
      </c>
      <c r="I44" s="48">
        <f>データ!J41</f>
        <v>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0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>s20718001</v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内訳代価</v>
      </c>
      <c r="D45" s="36" t="str">
        <f>REPT("｜",$A45)&amp;TRIM(データ!E42)</f>
        <v>｜｜土嚢</v>
      </c>
      <c r="E45" s="37" t="str">
        <f>TRIM(データ!F42)</f>
        <v>労務機械</v>
      </c>
      <c r="F45" s="38" t="str">
        <f>TRIM(データ!G42)</f>
        <v>袋</v>
      </c>
      <c r="G45" s="50">
        <f>データ!H42</f>
        <v>85</v>
      </c>
      <c r="H45" s="48">
        <f>データ!I42</f>
        <v>3160</v>
      </c>
      <c r="I45" s="48">
        <f>データ!J42</f>
        <v>268600</v>
      </c>
      <c r="J45" s="39">
        <f>IF(OR($C45="総括",$C45="内訳書",$C45="内訳代価",$C45="明細書",$C45="明細代価",$C45="代価表",$C45="単価表"),データ!K42,"")</f>
        <v>85</v>
      </c>
      <c r="K45" s="11" t="str">
        <f t="shared" si="0"/>
        <v/>
      </c>
      <c r="L45" s="46">
        <f t="shared" si="1"/>
        <v>1.3102439024390244E-2</v>
      </c>
      <c r="M45" s="40" t="str">
        <f>IF(データ!L42="","",データ!L42)</f>
        <v/>
      </c>
      <c r="N45" s="41" t="str">
        <f>IF(データ!M42="","",データ!M42)</f>
        <v>45号内訳書</v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>
        <f>IF(OR($C45="総括",$C45="内訳書",$C45="内訳代価",$C45="明細書",$C45="明細代価",$C45="代価表",$C45="単価表"),データ!Q42,"")</f>
        <v>0</v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>
        <f>IF(OR($C45="総括",$C45="内訳書",$C45="内訳代価",$C45="明細書",$C45="明細代価",$C45="代価表",$C45="単価表"),データ!W42,"")</f>
        <v>0</v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3</v>
      </c>
      <c r="B46" s="47" t="str">
        <f>TRIM(データ!C43)</f>
        <v/>
      </c>
      <c r="C46" s="47" t="str">
        <f>TRIM(データ!D43)</f>
        <v>材料費</v>
      </c>
      <c r="D46" s="36" t="str">
        <f>REPT("｜",$A46)&amp;TRIM(データ!E43)</f>
        <v>｜｜｜雑材</v>
      </c>
      <c r="E46" s="37" t="str">
        <f>TRIM(データ!F43)</f>
        <v/>
      </c>
      <c r="F46" s="38" t="str">
        <f>TRIM(データ!G43)</f>
        <v>式</v>
      </c>
      <c r="G46" s="50">
        <f>データ!H43</f>
        <v>0.54800000000000004</v>
      </c>
      <c r="H46" s="48">
        <f>データ!I43</f>
        <v>17800</v>
      </c>
      <c r="I46" s="48">
        <f>データ!J43</f>
        <v>9754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4.7580487804878047E-4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>s20718001</v>
      </c>
      <c r="AF46" s="43" t="str">
        <f>TRIM(データ!Z43)</f>
        <v/>
      </c>
    </row>
    <row r="47" spans="1:32" x14ac:dyDescent="0.15">
      <c r="A47" s="47">
        <f>データ!A44</f>
        <v>3</v>
      </c>
      <c r="B47" s="47" t="str">
        <f>TRIM(データ!C44)</f>
        <v/>
      </c>
      <c r="C47" s="47" t="str">
        <f>TRIM(データ!D44)</f>
        <v>労務費</v>
      </c>
      <c r="D47" s="36" t="str">
        <f>REPT("｜",$A47)&amp;TRIM(データ!E44)</f>
        <v>｜｜｜運転工</v>
      </c>
      <c r="E47" s="37" t="str">
        <f>TRIM(データ!F44)</f>
        <v>8H</v>
      </c>
      <c r="F47" s="38" t="str">
        <f>TRIM(データ!G44)</f>
        <v>人</v>
      </c>
      <c r="G47" s="50">
        <f>データ!H44</f>
        <v>8.7739999999999991</v>
      </c>
      <c r="H47" s="48">
        <f>データ!I44</f>
        <v>23000</v>
      </c>
      <c r="I47" s="48">
        <f>データ!J44</f>
        <v>201802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9.8440000000000003E-3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>r20718007</v>
      </c>
      <c r="AF47" s="43" t="str">
        <f>TRIM(データ!Z44)</f>
        <v>4日×4人</v>
      </c>
    </row>
    <row r="48" spans="1:32" x14ac:dyDescent="0.15">
      <c r="A48" s="47">
        <f>データ!A45</f>
        <v>3</v>
      </c>
      <c r="B48" s="47" t="str">
        <f>TRIM(データ!C45)</f>
        <v/>
      </c>
      <c r="C48" s="47" t="str">
        <f>TRIM(データ!D45)</f>
        <v>機械費</v>
      </c>
      <c r="D48" s="36" t="str">
        <f>REPT("｜",$A48)&amp;TRIM(データ!E45)</f>
        <v>｜｜｜BH0.25クレーン</v>
      </c>
      <c r="E48" s="37" t="str">
        <f>TRIM(データ!F45)</f>
        <v>低騒音・超小</v>
      </c>
      <c r="F48" s="38" t="str">
        <f>TRIM(データ!G45)</f>
        <v>日台</v>
      </c>
      <c r="G48" s="50">
        <f>データ!H45</f>
        <v>2.194</v>
      </c>
      <c r="H48" s="48">
        <f>データ!I45</f>
        <v>11000</v>
      </c>
      <c r="I48" s="48">
        <f>データ!J45</f>
        <v>24134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1.1772682926829269E-3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>k20718018</v>
      </c>
      <c r="AF48" s="43" t="str">
        <f>TRIM(データ!Z45)</f>
        <v>4日×4台</v>
      </c>
    </row>
    <row r="49" spans="1:32" x14ac:dyDescent="0.15">
      <c r="A49" s="47">
        <f>データ!A46</f>
        <v>3</v>
      </c>
      <c r="B49" s="47" t="str">
        <f>TRIM(データ!C46)</f>
        <v/>
      </c>
      <c r="C49" s="47" t="str">
        <f>TRIM(データ!D46)</f>
        <v>機械費</v>
      </c>
      <c r="D49" s="36" t="str">
        <f>REPT("｜",$A49)&amp;TRIM(データ!E46)</f>
        <v>｜｜｜小物機械　ﾊﾟｰﾄﾅ・丸ﾉｺ</v>
      </c>
      <c r="E49" s="37" t="str">
        <f>TRIM(データ!F46)</f>
        <v>ｸﾞﾗｲﾝﾀﾞ-・ｺｱ抜きﾄﾞﾘﾙ・ﾌﾞﾛｱ　等</v>
      </c>
      <c r="F49" s="38" t="str">
        <f>TRIM(データ!G46)</f>
        <v>台</v>
      </c>
      <c r="G49" s="50">
        <f>データ!H46</f>
        <v>2.1960000000000002</v>
      </c>
      <c r="H49" s="48">
        <f>データ!I46</f>
        <v>3000</v>
      </c>
      <c r="I49" s="48">
        <f>データ!J46</f>
        <v>6588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3.213658536585366E-4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>k20718001</v>
      </c>
      <c r="AF49" s="43" t="str">
        <f>TRIM(データ!Z46)</f>
        <v>4日×4台</v>
      </c>
    </row>
    <row r="50" spans="1:32" x14ac:dyDescent="0.15">
      <c r="A50" s="47">
        <f>データ!A47</f>
        <v>3</v>
      </c>
      <c r="B50" s="47" t="str">
        <f>TRIM(データ!C47)</f>
        <v/>
      </c>
      <c r="C50" s="47" t="str">
        <f>TRIM(データ!D47)</f>
        <v>運搬費</v>
      </c>
      <c r="D50" s="36" t="str">
        <f>REPT("｜",$A50)&amp;TRIM(データ!E47)</f>
        <v>｜｜｜2tダンプ</v>
      </c>
      <c r="E50" s="37" t="str">
        <f>TRIM(データ!F47)</f>
        <v/>
      </c>
      <c r="F50" s="38" t="str">
        <f>TRIM(データ!G47)</f>
        <v>台</v>
      </c>
      <c r="G50" s="50">
        <f>データ!H47</f>
        <v>4.3869999999999996</v>
      </c>
      <c r="H50" s="48">
        <f>データ!I47</f>
        <v>6000</v>
      </c>
      <c r="I50" s="48">
        <f>データ!J47</f>
        <v>26322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1.284E-3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>u20718025</v>
      </c>
      <c r="AF50" s="43" t="str">
        <f>TRIM(データ!Z47)</f>
        <v>4日×2台</v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内訳代価</v>
      </c>
      <c r="D51" s="36" t="str">
        <f>REPT("｜",$A51)&amp;TRIM(データ!E48)</f>
        <v>｜｜土砂運搬</v>
      </c>
      <c r="E51" s="37" t="str">
        <f>TRIM(データ!F48)</f>
        <v>ストックヤードから運搬</v>
      </c>
      <c r="F51" s="38" t="str">
        <f>TRIM(データ!G48)</f>
        <v>m3</v>
      </c>
      <c r="G51" s="50">
        <f>データ!H48</f>
        <v>540</v>
      </c>
      <c r="H51" s="48">
        <f>データ!I48</f>
        <v>1000</v>
      </c>
      <c r="I51" s="48">
        <f>データ!J48</f>
        <v>540000</v>
      </c>
      <c r="J51" s="39">
        <f>IF(OR($C51="総括",$C51="内訳書",$C51="内訳代価",$C51="明細書",$C51="明細代価",$C51="代価表",$C51="単価表"),データ!K48,"")</f>
        <v>540</v>
      </c>
      <c r="K51" s="11" t="str">
        <f t="shared" si="0"/>
        <v/>
      </c>
      <c r="L51" s="46">
        <f t="shared" si="1"/>
        <v>2.6341463414634145E-2</v>
      </c>
      <c r="M51" s="40" t="str">
        <f>IF(データ!L48="","",データ!L48)</f>
        <v/>
      </c>
      <c r="N51" s="41" t="str">
        <f>IF(データ!M48="","",データ!M48)</f>
        <v>20号内訳書</v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>
        <f>IF(OR($C51="総括",$C51="内訳書",$C51="内訳代価",$C51="明細書",$C51="明細代価",$C51="代価表",$C51="単価表"),データ!Q48,"")</f>
        <v>0</v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>
        <f>IF(OR($C51="総括",$C51="内訳書",$C51="内訳代価",$C51="明細書",$C51="明細代価",$C51="代価表",$C51="単価表"),データ!W48,"")</f>
        <v>0</v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3</v>
      </c>
      <c r="B52" s="47" t="str">
        <f>TRIM(データ!C49)</f>
        <v/>
      </c>
      <c r="C52" s="47" t="str">
        <f>TRIM(データ!D49)</f>
        <v>材料費</v>
      </c>
      <c r="D52" s="36" t="str">
        <f>REPT("｜",$A52)&amp;TRIM(データ!E49)</f>
        <v>｜｜｜雑材</v>
      </c>
      <c r="E52" s="37" t="str">
        <f>TRIM(データ!F49)</f>
        <v/>
      </c>
      <c r="F52" s="38" t="str">
        <f>TRIM(データ!G49)</f>
        <v>式</v>
      </c>
      <c r="G52" s="50">
        <f>データ!H49</f>
        <v>1</v>
      </c>
      <c r="H52" s="48">
        <f>データ!I49</f>
        <v>0</v>
      </c>
      <c r="I52" s="48">
        <f>データ!J49</f>
        <v>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0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>s20718001</v>
      </c>
      <c r="AF52" s="43" t="str">
        <f>TRIM(データ!Z49)</f>
        <v/>
      </c>
    </row>
    <row r="53" spans="1:32" x14ac:dyDescent="0.15">
      <c r="A53" s="47">
        <f>データ!A50</f>
        <v>3</v>
      </c>
      <c r="B53" s="47" t="str">
        <f>TRIM(データ!C50)</f>
        <v/>
      </c>
      <c r="C53" s="47" t="str">
        <f>TRIM(データ!D50)</f>
        <v>材料費</v>
      </c>
      <c r="D53" s="36" t="str">
        <f>REPT("｜",$A53)&amp;TRIM(データ!E50)</f>
        <v>｜｜｜軽油</v>
      </c>
      <c r="E53" s="37" t="str">
        <f>TRIM(データ!F50)</f>
        <v/>
      </c>
      <c r="F53" s="38" t="str">
        <f>TRIM(データ!G50)</f>
        <v>L</v>
      </c>
      <c r="G53" s="50">
        <f>データ!H50</f>
        <v>150</v>
      </c>
      <c r="H53" s="48">
        <f>データ!I50</f>
        <v>0</v>
      </c>
      <c r="I53" s="48">
        <f>データ!J50</f>
        <v>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0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>s20718549</v>
      </c>
      <c r="AF53" s="43" t="str">
        <f>TRIM(データ!Z50)</f>
        <v/>
      </c>
    </row>
    <row r="54" spans="1:32" x14ac:dyDescent="0.15">
      <c r="A54" s="47">
        <f>データ!A51</f>
        <v>3</v>
      </c>
      <c r="B54" s="47" t="str">
        <f>TRIM(データ!C51)</f>
        <v/>
      </c>
      <c r="C54" s="47" t="str">
        <f>TRIM(データ!D51)</f>
        <v>運搬費</v>
      </c>
      <c r="D54" s="36" t="str">
        <f>REPT("｜",$A54)&amp;TRIM(データ!E51)</f>
        <v>｜｜｜ダンプトラック常用8t</v>
      </c>
      <c r="E54" s="37" t="str">
        <f>TRIM(データ!F51)</f>
        <v>オペ燃料付き</v>
      </c>
      <c r="F54" s="38" t="str">
        <f>TRIM(データ!G51)</f>
        <v>台</v>
      </c>
      <c r="G54" s="50">
        <f>データ!H51</f>
        <v>10</v>
      </c>
      <c r="H54" s="48">
        <f>データ!I51</f>
        <v>40000</v>
      </c>
      <c r="I54" s="48">
        <f>データ!J51</f>
        <v>400000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1.9512195121951219E-2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>u20718005</v>
      </c>
      <c r="AF54" s="43" t="str">
        <f>TRIM(データ!Z51)</f>
        <v/>
      </c>
    </row>
    <row r="55" spans="1:32" x14ac:dyDescent="0.15">
      <c r="A55" s="47">
        <f>データ!A52</f>
        <v>3</v>
      </c>
      <c r="B55" s="47" t="str">
        <f>TRIM(データ!C52)</f>
        <v/>
      </c>
      <c r="C55" s="47" t="str">
        <f>TRIM(データ!D52)</f>
        <v>運搬費</v>
      </c>
      <c r="D55" s="36" t="str">
        <f>REPT("｜",$A55)&amp;TRIM(データ!E52)</f>
        <v>｜｜｜ダンプトラック常用4t</v>
      </c>
      <c r="E55" s="37" t="str">
        <f>TRIM(データ!F52)</f>
        <v>オペ燃料付き</v>
      </c>
      <c r="F55" s="38" t="str">
        <f>TRIM(データ!G52)</f>
        <v>日台</v>
      </c>
      <c r="G55" s="50">
        <f>データ!H52</f>
        <v>4</v>
      </c>
      <c r="H55" s="48">
        <f>データ!I52</f>
        <v>35000</v>
      </c>
      <c r="I55" s="48">
        <f>データ!J52</f>
        <v>140000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6.8292682926829268E-3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>u20718001</v>
      </c>
      <c r="AF55" s="43" t="str">
        <f>TRIM(データ!Z52)</f>
        <v/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内訳代価</v>
      </c>
      <c r="D56" s="36" t="str">
        <f>REPT("｜",$A56)&amp;TRIM(データ!E53)</f>
        <v>｜｜土砂運搬　労務機械</v>
      </c>
      <c r="E56" s="37" t="str">
        <f>TRIM(データ!F53)</f>
        <v>ストックヤードから運搬</v>
      </c>
      <c r="F56" s="38" t="str">
        <f>TRIM(データ!G53)</f>
        <v>m3</v>
      </c>
      <c r="G56" s="50">
        <f>データ!H53</f>
        <v>540</v>
      </c>
      <c r="H56" s="48">
        <f>データ!I53</f>
        <v>800</v>
      </c>
      <c r="I56" s="48">
        <f>データ!J53</f>
        <v>432000</v>
      </c>
      <c r="J56" s="39">
        <f>IF(OR($C56="総括",$C56="内訳書",$C56="内訳代価",$C56="明細書",$C56="明細代価",$C56="代価表",$C56="単価表"),データ!K53,"")</f>
        <v>540</v>
      </c>
      <c r="K56" s="11" t="str">
        <f t="shared" si="0"/>
        <v/>
      </c>
      <c r="L56" s="46">
        <f t="shared" si="1"/>
        <v>2.1073170731707318E-2</v>
      </c>
      <c r="M56" s="40" t="str">
        <f>IF(データ!L53="","",データ!L53)</f>
        <v/>
      </c>
      <c r="N56" s="41" t="str">
        <f>IF(データ!M53="","",データ!M53)</f>
        <v>46号内訳書</v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>
        <f>IF(OR($C56="総括",$C56="内訳書",$C56="内訳代価",$C56="明細書",$C56="明細代価",$C56="代価表",$C56="単価表"),データ!Q53,"")</f>
        <v>0</v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>
        <f>IF(OR($C56="総括",$C56="内訳書",$C56="内訳代価",$C56="明細書",$C56="明細代価",$C56="代価表",$C56="単価表"),データ!W53,"")</f>
        <v>0</v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3</v>
      </c>
      <c r="B57" s="47" t="str">
        <f>TRIM(データ!C54)</f>
        <v/>
      </c>
      <c r="C57" s="47" t="str">
        <f>TRIM(データ!D54)</f>
        <v>材料費</v>
      </c>
      <c r="D57" s="36" t="str">
        <f>REPT("｜",$A57)&amp;TRIM(データ!E54)</f>
        <v>｜｜｜雑材</v>
      </c>
      <c r="E57" s="37" t="str">
        <f>TRIM(データ!F54)</f>
        <v/>
      </c>
      <c r="F57" s="38" t="str">
        <f>TRIM(データ!G54)</f>
        <v>式</v>
      </c>
      <c r="G57" s="50">
        <f>データ!H54</f>
        <v>1</v>
      </c>
      <c r="H57" s="48">
        <f>データ!I54</f>
        <v>12000</v>
      </c>
      <c r="I57" s="48">
        <f>データ!J54</f>
        <v>12000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5.8536585365853656E-4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>s20718001</v>
      </c>
      <c r="AF57" s="43" t="str">
        <f>TRIM(データ!Z54)</f>
        <v/>
      </c>
    </row>
    <row r="58" spans="1:32" x14ac:dyDescent="0.15">
      <c r="A58" s="47">
        <f>データ!A55</f>
        <v>3</v>
      </c>
      <c r="B58" s="47" t="str">
        <f>TRIM(データ!C55)</f>
        <v/>
      </c>
      <c r="C58" s="47" t="str">
        <f>TRIM(データ!D55)</f>
        <v>労務費</v>
      </c>
      <c r="D58" s="36" t="str">
        <f>REPT("｜",$A58)&amp;TRIM(データ!E55)</f>
        <v>｜｜｜運転工</v>
      </c>
      <c r="E58" s="37" t="str">
        <f>TRIM(データ!F55)</f>
        <v>8H</v>
      </c>
      <c r="F58" s="38" t="str">
        <f>TRIM(データ!G55)</f>
        <v>人</v>
      </c>
      <c r="G58" s="50">
        <f>データ!H55</f>
        <v>10</v>
      </c>
      <c r="H58" s="48">
        <f>データ!I55</f>
        <v>23000</v>
      </c>
      <c r="I58" s="48">
        <f>データ!J55</f>
        <v>230000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1.1219512195121951E-2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>r20718007</v>
      </c>
      <c r="AF58" s="43" t="str">
        <f>TRIM(データ!Z55)</f>
        <v>10日×4人</v>
      </c>
    </row>
    <row r="59" spans="1:32" x14ac:dyDescent="0.15">
      <c r="A59" s="47">
        <f>データ!A56</f>
        <v>3</v>
      </c>
      <c r="B59" s="47" t="str">
        <f>TRIM(データ!C56)</f>
        <v/>
      </c>
      <c r="C59" s="47" t="str">
        <f>TRIM(データ!D56)</f>
        <v>機械費</v>
      </c>
      <c r="D59" s="36" t="str">
        <f>REPT("｜",$A59)&amp;TRIM(データ!E56)</f>
        <v>｜｜｜BH0.25クレーン</v>
      </c>
      <c r="E59" s="37" t="str">
        <f>TRIM(データ!F56)</f>
        <v>低騒音・超小</v>
      </c>
      <c r="F59" s="38" t="str">
        <f>TRIM(データ!G56)</f>
        <v>日台</v>
      </c>
      <c r="G59" s="50">
        <f>データ!H56</f>
        <v>10</v>
      </c>
      <c r="H59" s="48">
        <f>データ!I56</f>
        <v>11000</v>
      </c>
      <c r="I59" s="48">
        <f>データ!J56</f>
        <v>110000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5.3658536585365858E-3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>k20718018</v>
      </c>
      <c r="AF59" s="43" t="str">
        <f>TRIM(データ!Z56)</f>
        <v>10日×4台</v>
      </c>
    </row>
    <row r="60" spans="1:32" x14ac:dyDescent="0.15">
      <c r="A60" s="47">
        <f>データ!A57</f>
        <v>3</v>
      </c>
      <c r="B60" s="47" t="str">
        <f>TRIM(データ!C57)</f>
        <v/>
      </c>
      <c r="C60" s="47" t="str">
        <f>TRIM(データ!D57)</f>
        <v>運搬費</v>
      </c>
      <c r="D60" s="36" t="str">
        <f>REPT("｜",$A60)&amp;TRIM(データ!E57)</f>
        <v>｜｜｜4tﾀﾞﾝﾌﾟ</v>
      </c>
      <c r="E60" s="37" t="str">
        <f>TRIM(データ!F57)</f>
        <v/>
      </c>
      <c r="F60" s="38" t="str">
        <f>TRIM(データ!G57)</f>
        <v>台</v>
      </c>
      <c r="G60" s="50">
        <f>データ!H57</f>
        <v>10</v>
      </c>
      <c r="H60" s="48">
        <f>データ!I57</f>
        <v>8000</v>
      </c>
      <c r="I60" s="48">
        <f>データ!J57</f>
        <v>80000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3.9024390243902439E-3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>u0003</v>
      </c>
      <c r="AF60" s="43" t="str">
        <f>TRIM(データ!Z57)</f>
        <v>10日×4台</v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内訳代価</v>
      </c>
      <c r="D61" s="36" t="str">
        <f>REPT("｜",$A61)&amp;TRIM(データ!E58)</f>
        <v>｜｜敷鉄板</v>
      </c>
      <c r="E61" s="37" t="str">
        <f>TRIM(データ!F58)</f>
        <v>設置撤去5×10</v>
      </c>
      <c r="F61" s="38" t="str">
        <f>TRIM(データ!G58)</f>
        <v>m2</v>
      </c>
      <c r="G61" s="50">
        <f>データ!H58</f>
        <v>497</v>
      </c>
      <c r="H61" s="48">
        <f>データ!I58</f>
        <v>0</v>
      </c>
      <c r="I61" s="48">
        <f>データ!J58</f>
        <v>0</v>
      </c>
      <c r="J61" s="39">
        <f>IF(OR($C61="総括",$C61="内訳書",$C61="内訳代価",$C61="明細書",$C61="明細代価",$C61="代価表",$C61="単価表"),データ!K58,"")</f>
        <v>497</v>
      </c>
      <c r="K61" s="11" t="str">
        <f t="shared" si="0"/>
        <v/>
      </c>
      <c r="L61" s="46">
        <f t="shared" si="1"/>
        <v>0</v>
      </c>
      <c r="M61" s="40" t="str">
        <f>IF(データ!L58="","",データ!L58)</f>
        <v/>
      </c>
      <c r="N61" s="41" t="str">
        <f>IF(データ!M58="","",データ!M58)</f>
        <v>21号内訳書</v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>
        <f>IF(OR($C61="総括",$C61="内訳書",$C61="内訳代価",$C61="明細書",$C61="明細代価",$C61="代価表",$C61="単価表"),データ!Q58,"")</f>
        <v>0</v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>
        <f>IF(OR($C61="総括",$C61="内訳書",$C61="内訳代価",$C61="明細書",$C61="明細代価",$C61="代価表",$C61="単価表"),データ!W58,"")</f>
        <v>0</v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/>
      </c>
    </row>
    <row r="62" spans="1:32" x14ac:dyDescent="0.15">
      <c r="A62" s="47">
        <f>データ!A59</f>
        <v>3</v>
      </c>
      <c r="B62" s="47" t="str">
        <f>TRIM(データ!C59)</f>
        <v/>
      </c>
      <c r="C62" s="47" t="str">
        <f>TRIM(データ!D59)</f>
        <v>材料費</v>
      </c>
      <c r="D62" s="36" t="str">
        <f>REPT("｜",$A62)&amp;TRIM(データ!E59)</f>
        <v>｜｜｜雑材</v>
      </c>
      <c r="E62" s="37" t="str">
        <f>TRIM(データ!F59)</f>
        <v/>
      </c>
      <c r="F62" s="38" t="str">
        <f>TRIM(データ!G59)</f>
        <v>式</v>
      </c>
      <c r="G62" s="50">
        <f>データ!H59</f>
        <v>1</v>
      </c>
      <c r="H62" s="48">
        <f>データ!I59</f>
        <v>0</v>
      </c>
      <c r="I62" s="48">
        <f>データ!J59</f>
        <v>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0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>s20718001</v>
      </c>
      <c r="AF62" s="43" t="str">
        <f>TRIM(データ!Z59)</f>
        <v/>
      </c>
    </row>
    <row r="63" spans="1:32" x14ac:dyDescent="0.15">
      <c r="A63" s="47">
        <f>データ!A60</f>
        <v>3</v>
      </c>
      <c r="B63" s="47" t="str">
        <f>TRIM(データ!C60)</f>
        <v/>
      </c>
      <c r="C63" s="47" t="str">
        <f>TRIM(データ!D60)</f>
        <v>材料費</v>
      </c>
      <c r="D63" s="36" t="str">
        <f>REPT("｜",$A63)&amp;TRIM(データ!E60)</f>
        <v>｜｜｜燃料　軽油</v>
      </c>
      <c r="E63" s="37" t="str">
        <f>TRIM(データ!F60)</f>
        <v/>
      </c>
      <c r="F63" s="38" t="str">
        <f>TRIM(データ!G60)</f>
        <v>L</v>
      </c>
      <c r="G63" s="50">
        <f>データ!H60</f>
        <v>200</v>
      </c>
      <c r="H63" s="48">
        <f>データ!I60</f>
        <v>0</v>
      </c>
      <c r="I63" s="48">
        <f>データ!J60</f>
        <v>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0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>s20718002</v>
      </c>
      <c r="AF63" s="43" t="str">
        <f>TRIM(データ!Z60)</f>
        <v/>
      </c>
    </row>
    <row r="64" spans="1:32" x14ac:dyDescent="0.15">
      <c r="A64" s="47">
        <f>データ!A61</f>
        <v>3</v>
      </c>
      <c r="B64" s="47" t="str">
        <f>TRIM(データ!C61)</f>
        <v/>
      </c>
      <c r="C64" s="47" t="str">
        <f>TRIM(データ!D61)</f>
        <v>機械費</v>
      </c>
      <c r="D64" s="36" t="str">
        <f>REPT("｜",$A64)&amp;TRIM(データ!E61)</f>
        <v>｜｜｜敷き鉄板リース5*10</v>
      </c>
      <c r="E64" s="37" t="str">
        <f>TRIM(データ!F61)</f>
        <v>1500*3000*22</v>
      </c>
      <c r="F64" s="38" t="str">
        <f>TRIM(データ!G61)</f>
        <v>枚日</v>
      </c>
      <c r="G64" s="50">
        <f>データ!H61</f>
        <v>110</v>
      </c>
      <c r="H64" s="48">
        <f>データ!I61</f>
        <v>0</v>
      </c>
      <c r="I64" s="48">
        <f>データ!J61</f>
        <v>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0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>k20718145</v>
      </c>
      <c r="AF64" s="43" t="str">
        <f>TRIM(データ!Z61)</f>
        <v/>
      </c>
    </row>
    <row r="65" spans="1:32" x14ac:dyDescent="0.15">
      <c r="A65" s="47">
        <f>データ!A62</f>
        <v>3</v>
      </c>
      <c r="B65" s="47" t="str">
        <f>TRIM(データ!C62)</f>
        <v/>
      </c>
      <c r="C65" s="47" t="str">
        <f>TRIM(データ!D62)</f>
        <v>機械費</v>
      </c>
      <c r="D65" s="36" t="str">
        <f>REPT("｜",$A65)&amp;TRIM(データ!E62)</f>
        <v>｜｜｜敷き鉄板リース5*10</v>
      </c>
      <c r="E65" s="37" t="str">
        <f>TRIM(データ!F62)</f>
        <v>1500*3000*22 基本料</v>
      </c>
      <c r="F65" s="38" t="str">
        <f>TRIM(データ!G62)</f>
        <v>枚日</v>
      </c>
      <c r="G65" s="50">
        <f>データ!H62</f>
        <v>110</v>
      </c>
      <c r="H65" s="48">
        <f>データ!I62</f>
        <v>0</v>
      </c>
      <c r="I65" s="48">
        <f>データ!J62</f>
        <v>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0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>k20718145</v>
      </c>
      <c r="AF65" s="43" t="str">
        <f>TRIM(データ!Z62)</f>
        <v/>
      </c>
    </row>
    <row r="66" spans="1:32" x14ac:dyDescent="0.15">
      <c r="A66" s="47">
        <f>データ!A63</f>
        <v>3</v>
      </c>
      <c r="B66" s="47" t="str">
        <f>TRIM(データ!C63)</f>
        <v/>
      </c>
      <c r="C66" s="47" t="str">
        <f>TRIM(データ!D63)</f>
        <v>運搬費</v>
      </c>
      <c r="D66" s="36" t="str">
        <f>REPT("｜",$A66)&amp;TRIM(データ!E63)</f>
        <v>｜｜｜回送　トレーラー</v>
      </c>
      <c r="E66" s="37" t="str">
        <f>TRIM(データ!F63)</f>
        <v/>
      </c>
      <c r="F66" s="38" t="str">
        <f>TRIM(データ!G63)</f>
        <v>回</v>
      </c>
      <c r="G66" s="50">
        <f>データ!H63</f>
        <v>8</v>
      </c>
      <c r="H66" s="48">
        <f>データ!I63</f>
        <v>0</v>
      </c>
      <c r="I66" s="48">
        <f>データ!J63</f>
        <v>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0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>u20718013</v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内訳代価</v>
      </c>
      <c r="D67" s="36" t="str">
        <f>REPT("｜",$A67)&amp;TRIM(データ!E64)</f>
        <v>｜｜敷鉄板</v>
      </c>
      <c r="E67" s="37" t="str">
        <f>TRIM(データ!F64)</f>
        <v>設置撤去5×10　労務</v>
      </c>
      <c r="F67" s="38" t="str">
        <f>TRIM(データ!G64)</f>
        <v>m2</v>
      </c>
      <c r="G67" s="50">
        <f>データ!H64</f>
        <v>497</v>
      </c>
      <c r="H67" s="48">
        <f>データ!I64</f>
        <v>2310</v>
      </c>
      <c r="I67" s="48">
        <f>データ!J64</f>
        <v>1148070</v>
      </c>
      <c r="J67" s="39">
        <f>IF(OR($C67="総括",$C67="内訳書",$C67="内訳代価",$C67="明細書",$C67="明細代価",$C67="代価表",$C67="単価表"),データ!K64,"")</f>
        <v>497</v>
      </c>
      <c r="K67" s="11" t="str">
        <f t="shared" si="0"/>
        <v/>
      </c>
      <c r="L67" s="46">
        <f t="shared" si="1"/>
        <v>5.6003414634146341E-2</v>
      </c>
      <c r="M67" s="40" t="str">
        <f>IF(データ!L64="","",データ!L64)</f>
        <v/>
      </c>
      <c r="N67" s="41" t="str">
        <f>IF(データ!M64="","",データ!M64)</f>
        <v>47号内訳書</v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>
        <f>IF(OR($C67="総括",$C67="内訳書",$C67="内訳代価",$C67="明細書",$C67="明細代価",$C67="代価表",$C67="単価表"),データ!Q64,"")</f>
        <v>0</v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>
        <f>IF(OR($C67="総括",$C67="内訳書",$C67="内訳代価",$C67="明細書",$C67="明細代価",$C67="代価表",$C67="単価表"),データ!W64,"")</f>
        <v>0</v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3</v>
      </c>
      <c r="B68" s="47" t="str">
        <f>TRIM(データ!C65)</f>
        <v/>
      </c>
      <c r="C68" s="47" t="str">
        <f>TRIM(データ!D65)</f>
        <v>材料費</v>
      </c>
      <c r="D68" s="36" t="str">
        <f>REPT("｜",$A68)&amp;TRIM(データ!E65)</f>
        <v>｜｜｜雑材</v>
      </c>
      <c r="E68" s="37" t="str">
        <f>TRIM(データ!F65)</f>
        <v/>
      </c>
      <c r="F68" s="38" t="str">
        <f>TRIM(データ!G65)</f>
        <v>式</v>
      </c>
      <c r="G68" s="50">
        <f>データ!H65</f>
        <v>1</v>
      </c>
      <c r="H68" s="48">
        <f>データ!I65</f>
        <v>4070</v>
      </c>
      <c r="I68" s="48">
        <f>データ!J65</f>
        <v>4070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1.9853658536585366E-4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>s20718001</v>
      </c>
      <c r="AF68" s="43" t="str">
        <f>TRIM(データ!Z65)</f>
        <v/>
      </c>
    </row>
    <row r="69" spans="1:32" x14ac:dyDescent="0.15">
      <c r="A69" s="47">
        <f>データ!A66</f>
        <v>3</v>
      </c>
      <c r="B69" s="47" t="str">
        <f>TRIM(データ!C66)</f>
        <v/>
      </c>
      <c r="C69" s="47" t="str">
        <f>TRIM(データ!D66)</f>
        <v>労務費</v>
      </c>
      <c r="D69" s="36" t="str">
        <f>REPT("｜",$A69)&amp;TRIM(データ!E66)</f>
        <v>｜｜｜運転工</v>
      </c>
      <c r="E69" s="37" t="str">
        <f>TRIM(データ!F66)</f>
        <v>8H</v>
      </c>
      <c r="F69" s="38" t="str">
        <f>TRIM(データ!G66)</f>
        <v>人</v>
      </c>
      <c r="G69" s="50">
        <f>データ!H66</f>
        <v>32</v>
      </c>
      <c r="H69" s="48">
        <f>データ!I66</f>
        <v>23000</v>
      </c>
      <c r="I69" s="48">
        <f>データ!J66</f>
        <v>736000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32" si="6">IF(OR(J69="",G69=J69),"","*")</f>
        <v/>
      </c>
      <c r="L69" s="46">
        <f t="shared" ref="L69:L132" si="7">IF($A69&lt;=L$1,I69/I$4,"")</f>
        <v>3.5902439024390241E-2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32" si="8">IF(OR(R69="",O69=R69),"","*")</f>
        <v/>
      </c>
      <c r="T69" s="46" t="e">
        <f t="shared" ref="T69:T132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32" si="10">IF(OR(Z69="",W69=Z69),"","*")</f>
        <v/>
      </c>
      <c r="AB69" s="46" t="e">
        <f t="shared" ref="AB69:AB132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>r20718007</v>
      </c>
      <c r="AF69" s="43" t="str">
        <f>TRIM(データ!Z66)</f>
        <v>8日×4人</v>
      </c>
    </row>
    <row r="70" spans="1:32" x14ac:dyDescent="0.15">
      <c r="A70" s="47">
        <f>データ!A67</f>
        <v>3</v>
      </c>
      <c r="B70" s="47" t="str">
        <f>TRIM(データ!C67)</f>
        <v/>
      </c>
      <c r="C70" s="47" t="str">
        <f>TRIM(データ!D67)</f>
        <v>機械費</v>
      </c>
      <c r="D70" s="36" t="str">
        <f>REPT("｜",$A70)&amp;TRIM(データ!E67)</f>
        <v>｜｜｜BH0.25クレーン</v>
      </c>
      <c r="E70" s="37" t="str">
        <f>TRIM(データ!F67)</f>
        <v>低騒音・超小</v>
      </c>
      <c r="F70" s="38" t="str">
        <f>TRIM(データ!G67)</f>
        <v>日台</v>
      </c>
      <c r="G70" s="50">
        <f>データ!H67</f>
        <v>8</v>
      </c>
      <c r="H70" s="48">
        <f>データ!I67</f>
        <v>11000</v>
      </c>
      <c r="I70" s="48">
        <f>データ!J67</f>
        <v>88000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4.2926829268292686E-3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>k20718018</v>
      </c>
      <c r="AF70" s="43" t="str">
        <f>TRIM(データ!Z67)</f>
        <v>8日×1台</v>
      </c>
    </row>
    <row r="71" spans="1:32" x14ac:dyDescent="0.15">
      <c r="A71" s="47">
        <f>データ!A68</f>
        <v>3</v>
      </c>
      <c r="B71" s="47" t="str">
        <f>TRIM(データ!C68)</f>
        <v/>
      </c>
      <c r="C71" s="47" t="str">
        <f>TRIM(データ!D68)</f>
        <v>機械費</v>
      </c>
      <c r="D71" s="36" t="str">
        <f>REPT("｜",$A71)&amp;TRIM(データ!E68)</f>
        <v>｜｜｜BH0.45クレーン</v>
      </c>
      <c r="E71" s="37" t="str">
        <f>TRIM(データ!F68)</f>
        <v>低騒音・超小</v>
      </c>
      <c r="F71" s="38" t="str">
        <f>TRIM(データ!G68)</f>
        <v>日台</v>
      </c>
      <c r="G71" s="50">
        <f>データ!H68</f>
        <v>8</v>
      </c>
      <c r="H71" s="48">
        <f>データ!I68</f>
        <v>14000</v>
      </c>
      <c r="I71" s="48">
        <f>データ!J68</f>
        <v>112000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5.4634146341463411E-3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>k20718020</v>
      </c>
      <c r="AF71" s="43" t="str">
        <f>TRIM(データ!Z68)</f>
        <v>8日×1台</v>
      </c>
    </row>
    <row r="72" spans="1:32" x14ac:dyDescent="0.15">
      <c r="A72" s="47">
        <f>データ!A69</f>
        <v>3</v>
      </c>
      <c r="B72" s="47" t="str">
        <f>TRIM(データ!C69)</f>
        <v/>
      </c>
      <c r="C72" s="47" t="str">
        <f>TRIM(データ!D69)</f>
        <v>機械費</v>
      </c>
      <c r="D72" s="36" t="str">
        <f>REPT("｜",$A72)&amp;TRIM(データ!E69)</f>
        <v>｜｜｜BH0.45クレーン</v>
      </c>
      <c r="E72" s="37" t="str">
        <f>TRIM(データ!F69)</f>
        <v>低騒音・超小</v>
      </c>
      <c r="F72" s="38" t="str">
        <f>TRIM(データ!G69)</f>
        <v>日台</v>
      </c>
      <c r="G72" s="50">
        <f>データ!H69</f>
        <v>8</v>
      </c>
      <c r="H72" s="48">
        <f>データ!I69</f>
        <v>14000</v>
      </c>
      <c r="I72" s="48">
        <f>データ!J69</f>
        <v>112000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5.4634146341463411E-3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>k20718020</v>
      </c>
      <c r="AF72" s="43" t="str">
        <f>TRIM(データ!Z69)</f>
        <v>8日×1台</v>
      </c>
    </row>
    <row r="73" spans="1:32" x14ac:dyDescent="0.15">
      <c r="A73" s="47">
        <f>データ!A70</f>
        <v>3</v>
      </c>
      <c r="B73" s="47" t="str">
        <f>TRIM(データ!C70)</f>
        <v/>
      </c>
      <c r="C73" s="47" t="str">
        <f>TRIM(データ!D70)</f>
        <v>運搬費</v>
      </c>
      <c r="D73" s="36" t="str">
        <f>REPT("｜",$A73)&amp;TRIM(データ!E70)</f>
        <v>｜｜｜2tダンプ</v>
      </c>
      <c r="E73" s="37" t="str">
        <f>TRIM(データ!F70)</f>
        <v/>
      </c>
      <c r="F73" s="38" t="str">
        <f>TRIM(データ!G70)</f>
        <v>台</v>
      </c>
      <c r="G73" s="50">
        <f>データ!H70</f>
        <v>16</v>
      </c>
      <c r="H73" s="48">
        <f>データ!I70</f>
        <v>6000</v>
      </c>
      <c r="I73" s="48">
        <f>データ!J70</f>
        <v>96000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4.6829268292682925E-3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>u20718025</v>
      </c>
      <c r="AF73" s="43" t="str">
        <f>TRIM(データ!Z70)</f>
        <v>8日×2台</v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内訳代価</v>
      </c>
      <c r="D74" s="36" t="str">
        <f>REPT("｜",$A74)&amp;TRIM(データ!E71)</f>
        <v>｜｜工事用道路撤去</v>
      </c>
      <c r="E74" s="37" t="str">
        <f>TRIM(データ!F71)</f>
        <v>燃料費</v>
      </c>
      <c r="F74" s="38" t="str">
        <f>TRIM(データ!G71)</f>
        <v>m3</v>
      </c>
      <c r="G74" s="50">
        <f>データ!H71</f>
        <v>540</v>
      </c>
      <c r="H74" s="48">
        <f>データ!I71</f>
        <v>0</v>
      </c>
      <c r="I74" s="48">
        <f>データ!J71</f>
        <v>0</v>
      </c>
      <c r="J74" s="39">
        <f>IF(OR($C74="総括",$C74="内訳書",$C74="内訳代価",$C74="明細書",$C74="明細代価",$C74="代価表",$C74="単価表"),データ!K71,"")</f>
        <v>540</v>
      </c>
      <c r="K74" s="11" t="str">
        <f t="shared" si="6"/>
        <v/>
      </c>
      <c r="L74" s="46">
        <f t="shared" si="7"/>
        <v>0</v>
      </c>
      <c r="M74" s="40" t="str">
        <f>IF(データ!L71="","",データ!L71)</f>
        <v/>
      </c>
      <c r="N74" s="41" t="str">
        <f>IF(データ!M71="","",データ!M71)</f>
        <v>48号内訳書</v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>
        <f>IF(OR($C74="総括",$C74="内訳書",$C74="内訳代価",$C74="明細書",$C74="明細代価",$C74="代価表",$C74="単価表"),データ!Q71,"")</f>
        <v>0</v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>
        <f>IF(OR($C74="総括",$C74="内訳書",$C74="内訳代価",$C74="明細書",$C74="明細代価",$C74="代価表",$C74="単価表"),データ!W71,"")</f>
        <v>0</v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3</v>
      </c>
      <c r="B75" s="47" t="str">
        <f>TRIM(データ!C72)</f>
        <v/>
      </c>
      <c r="C75" s="47" t="str">
        <f>TRIM(データ!D72)</f>
        <v>材料費</v>
      </c>
      <c r="D75" s="36" t="str">
        <f>REPT("｜",$A75)&amp;TRIM(データ!E72)</f>
        <v>｜｜｜軽油</v>
      </c>
      <c r="E75" s="37" t="str">
        <f>TRIM(データ!F72)</f>
        <v/>
      </c>
      <c r="F75" s="38" t="str">
        <f>TRIM(データ!G72)</f>
        <v>L</v>
      </c>
      <c r="G75" s="50">
        <f>データ!H72</f>
        <v>1000</v>
      </c>
      <c r="H75" s="48">
        <f>データ!I72</f>
        <v>0</v>
      </c>
      <c r="I75" s="48">
        <f>データ!J72</f>
        <v>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0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>s20718549</v>
      </c>
      <c r="AF75" s="43" t="str">
        <f>TRIM(データ!Z72)</f>
        <v/>
      </c>
    </row>
    <row r="76" spans="1:32" x14ac:dyDescent="0.15">
      <c r="A76" s="47">
        <f>データ!A73</f>
        <v>3</v>
      </c>
      <c r="B76" s="47" t="str">
        <f>TRIM(データ!C73)</f>
        <v/>
      </c>
      <c r="C76" s="47" t="str">
        <f>TRIM(データ!D73)</f>
        <v>材料費</v>
      </c>
      <c r="D76" s="36" t="str">
        <f>REPT("｜",$A76)&amp;TRIM(データ!E73)</f>
        <v>｜｜｜雑材</v>
      </c>
      <c r="E76" s="37" t="str">
        <f>TRIM(データ!F73)</f>
        <v/>
      </c>
      <c r="F76" s="38" t="str">
        <f>TRIM(データ!G73)</f>
        <v>式</v>
      </c>
      <c r="G76" s="50">
        <f>データ!H73</f>
        <v>1</v>
      </c>
      <c r="H76" s="48">
        <f>データ!I73</f>
        <v>0</v>
      </c>
      <c r="I76" s="48">
        <f>データ!J73</f>
        <v>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0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>s20718001</v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内訳代価</v>
      </c>
      <c r="D77" s="36" t="str">
        <f>REPT("｜",$A77)&amp;TRIM(データ!E74)</f>
        <v>｜｜工事用道路撤去</v>
      </c>
      <c r="E77" s="37" t="str">
        <f>TRIM(データ!F74)</f>
        <v>労務機械</v>
      </c>
      <c r="F77" s="38" t="str">
        <f>TRIM(データ!G74)</f>
        <v>m3</v>
      </c>
      <c r="G77" s="50">
        <f>データ!H74</f>
        <v>540</v>
      </c>
      <c r="H77" s="48">
        <f>データ!I74</f>
        <v>4100</v>
      </c>
      <c r="I77" s="48">
        <f>データ!J74</f>
        <v>2214000</v>
      </c>
      <c r="J77" s="39">
        <f>IF(OR($C77="総括",$C77="内訳書",$C77="内訳代価",$C77="明細書",$C77="明細代価",$C77="代価表",$C77="単価表"),データ!K74,"")</f>
        <v>540</v>
      </c>
      <c r="K77" s="11" t="str">
        <f t="shared" si="6"/>
        <v/>
      </c>
      <c r="L77" s="46">
        <f t="shared" si="7"/>
        <v>0.108</v>
      </c>
      <c r="M77" s="40" t="str">
        <f>IF(データ!L74="","",データ!L74)</f>
        <v/>
      </c>
      <c r="N77" s="41" t="str">
        <f>IF(データ!M74="","",データ!M74)</f>
        <v>22号内訳書</v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>
        <f>IF(OR($C77="総括",$C77="内訳書",$C77="内訳代価",$C77="明細書",$C77="明細代価",$C77="代価表",$C77="単価表"),データ!Q74,"")</f>
        <v>0</v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>
        <f>IF(OR($C77="総括",$C77="内訳書",$C77="内訳代価",$C77="明細書",$C77="明細代価",$C77="代価表",$C77="単価表"),データ!W74,"")</f>
        <v>0</v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3</v>
      </c>
      <c r="B78" s="47" t="str">
        <f>TRIM(データ!C75)</f>
        <v/>
      </c>
      <c r="C78" s="47" t="str">
        <f>TRIM(データ!D75)</f>
        <v>材料費</v>
      </c>
      <c r="D78" s="36" t="str">
        <f>REPT("｜",$A78)&amp;TRIM(データ!E75)</f>
        <v>｜｜｜雑材</v>
      </c>
      <c r="E78" s="37" t="str">
        <f>TRIM(データ!F75)</f>
        <v/>
      </c>
      <c r="F78" s="38" t="str">
        <f>TRIM(データ!G75)</f>
        <v>式</v>
      </c>
      <c r="G78" s="50">
        <f>データ!H75</f>
        <v>1</v>
      </c>
      <c r="H78" s="48">
        <f>データ!I75</f>
        <v>9000</v>
      </c>
      <c r="I78" s="48">
        <f>データ!J75</f>
        <v>9000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4.3902439024390245E-4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>s20718001</v>
      </c>
      <c r="AF78" s="43" t="str">
        <f>TRIM(データ!Z75)</f>
        <v/>
      </c>
    </row>
    <row r="79" spans="1:32" x14ac:dyDescent="0.15">
      <c r="A79" s="47">
        <f>データ!A76</f>
        <v>3</v>
      </c>
      <c r="B79" s="47" t="str">
        <f>TRIM(データ!C76)</f>
        <v/>
      </c>
      <c r="C79" s="47" t="str">
        <f>TRIM(データ!D76)</f>
        <v>労務費</v>
      </c>
      <c r="D79" s="36" t="str">
        <f>REPT("｜",$A79)&amp;TRIM(データ!E76)</f>
        <v>｜｜｜運転工</v>
      </c>
      <c r="E79" s="37" t="str">
        <f>TRIM(データ!F76)</f>
        <v>8H</v>
      </c>
      <c r="F79" s="38" t="str">
        <f>TRIM(データ!G76)</f>
        <v>人</v>
      </c>
      <c r="G79" s="50">
        <f>データ!H76</f>
        <v>60</v>
      </c>
      <c r="H79" s="48">
        <f>データ!I76</f>
        <v>23000</v>
      </c>
      <c r="I79" s="48">
        <f>データ!J76</f>
        <v>1380000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6.7317073170731712E-2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>r20718007</v>
      </c>
      <c r="AF79" s="43" t="str">
        <f>TRIM(データ!Z76)</f>
        <v>15日×4人</v>
      </c>
    </row>
    <row r="80" spans="1:32" x14ac:dyDescent="0.15">
      <c r="A80" s="47">
        <f>データ!A77</f>
        <v>3</v>
      </c>
      <c r="B80" s="47" t="str">
        <f>TRIM(データ!C77)</f>
        <v/>
      </c>
      <c r="C80" s="47" t="str">
        <f>TRIM(データ!D77)</f>
        <v>機械費</v>
      </c>
      <c r="D80" s="36" t="str">
        <f>REPT("｜",$A80)&amp;TRIM(データ!E77)</f>
        <v>｜｜｜BH0.45クレーン</v>
      </c>
      <c r="E80" s="37" t="str">
        <f>TRIM(データ!F77)</f>
        <v>低騒音・超小</v>
      </c>
      <c r="F80" s="38" t="str">
        <f>TRIM(データ!G77)</f>
        <v>日台</v>
      </c>
      <c r="G80" s="50">
        <f>データ!H77</f>
        <v>15</v>
      </c>
      <c r="H80" s="48">
        <f>データ!I77</f>
        <v>14000</v>
      </c>
      <c r="I80" s="48">
        <f>データ!J77</f>
        <v>210000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1.0243902439024391E-2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>k20718020</v>
      </c>
      <c r="AF80" s="43" t="str">
        <f>TRIM(データ!Z77)</f>
        <v>15日×1台</v>
      </c>
    </row>
    <row r="81" spans="1:32" x14ac:dyDescent="0.15">
      <c r="A81" s="47">
        <f>データ!A78</f>
        <v>3</v>
      </c>
      <c r="B81" s="47" t="str">
        <f>TRIM(データ!C78)</f>
        <v/>
      </c>
      <c r="C81" s="47" t="str">
        <f>TRIM(データ!D78)</f>
        <v>機械費</v>
      </c>
      <c r="D81" s="36" t="str">
        <f>REPT("｜",$A81)&amp;TRIM(データ!E78)</f>
        <v>｜｜｜BH0.25クレーン</v>
      </c>
      <c r="E81" s="37" t="str">
        <f>TRIM(データ!F78)</f>
        <v>低騒音・超小</v>
      </c>
      <c r="F81" s="38" t="str">
        <f>TRIM(データ!G78)</f>
        <v>日台</v>
      </c>
      <c r="G81" s="50">
        <f>データ!H78</f>
        <v>15</v>
      </c>
      <c r="H81" s="48">
        <f>データ!I78</f>
        <v>11000</v>
      </c>
      <c r="I81" s="48">
        <f>データ!J78</f>
        <v>165000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8.0487804878048783E-3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>k20718018</v>
      </c>
      <c r="AF81" s="43" t="str">
        <f>TRIM(データ!Z78)</f>
        <v>15日×1台</v>
      </c>
    </row>
    <row r="82" spans="1:32" x14ac:dyDescent="0.15">
      <c r="A82" s="47">
        <f>データ!A79</f>
        <v>3</v>
      </c>
      <c r="B82" s="47" t="str">
        <f>TRIM(データ!C79)</f>
        <v/>
      </c>
      <c r="C82" s="47" t="str">
        <f>TRIM(データ!D79)</f>
        <v>機械費</v>
      </c>
      <c r="D82" s="36" t="str">
        <f>REPT("｜",$A82)&amp;TRIM(データ!E79)</f>
        <v>｜｜｜BH0.15クレーン</v>
      </c>
      <c r="E82" s="37" t="str">
        <f>TRIM(データ!F79)</f>
        <v>低騒音・超小</v>
      </c>
      <c r="F82" s="38" t="str">
        <f>TRIM(データ!G79)</f>
        <v>日台</v>
      </c>
      <c r="G82" s="50">
        <f>データ!H79</f>
        <v>15</v>
      </c>
      <c r="H82" s="48">
        <f>データ!I79</f>
        <v>7000</v>
      </c>
      <c r="I82" s="48">
        <f>データ!J79</f>
        <v>105000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5.1219512195121953E-3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>k20718014</v>
      </c>
      <c r="AF82" s="43" t="str">
        <f>TRIM(データ!Z79)</f>
        <v>15日×1台</v>
      </c>
    </row>
    <row r="83" spans="1:32" x14ac:dyDescent="0.15">
      <c r="A83" s="47">
        <f>データ!A80</f>
        <v>3</v>
      </c>
      <c r="B83" s="47" t="str">
        <f>TRIM(データ!C80)</f>
        <v/>
      </c>
      <c r="C83" s="47" t="str">
        <f>TRIM(データ!D80)</f>
        <v>機械費</v>
      </c>
      <c r="D83" s="36" t="str">
        <f>REPT("｜",$A83)&amp;TRIM(データ!E80)</f>
        <v>｜｜｜法面バケット</v>
      </c>
      <c r="E83" s="37" t="str">
        <f>TRIM(データ!F80)</f>
        <v>BH0.25用</v>
      </c>
      <c r="F83" s="38" t="str">
        <f>TRIM(データ!G80)</f>
        <v>/日</v>
      </c>
      <c r="G83" s="50">
        <f>データ!H80</f>
        <v>15</v>
      </c>
      <c r="H83" s="48">
        <f>データ!I80</f>
        <v>5000</v>
      </c>
      <c r="I83" s="48">
        <f>データ!J80</f>
        <v>75000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3.6585365853658539E-3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>15日×1台</v>
      </c>
    </row>
    <row r="84" spans="1:32" x14ac:dyDescent="0.15">
      <c r="A84" s="47">
        <f>データ!A81</f>
        <v>3</v>
      </c>
      <c r="B84" s="47" t="str">
        <f>TRIM(データ!C81)</f>
        <v/>
      </c>
      <c r="C84" s="47" t="str">
        <f>TRIM(データ!D81)</f>
        <v>機械費</v>
      </c>
      <c r="D84" s="36" t="str">
        <f>REPT("｜",$A84)&amp;TRIM(データ!E81)</f>
        <v>｜｜｜法面バケット</v>
      </c>
      <c r="E84" s="37" t="str">
        <f>TRIM(データ!F81)</f>
        <v>BH0.15用</v>
      </c>
      <c r="F84" s="38" t="str">
        <f>TRIM(データ!G81)</f>
        <v>/日</v>
      </c>
      <c r="G84" s="50">
        <f>データ!H81</f>
        <v>15</v>
      </c>
      <c r="H84" s="48">
        <f>データ!I81</f>
        <v>3000</v>
      </c>
      <c r="I84" s="48">
        <f>データ!J81</f>
        <v>45000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2.1951219512195124E-3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/>
      </c>
      <c r="AF84" s="43" t="str">
        <f>TRIM(データ!Z81)</f>
        <v>15日×1台</v>
      </c>
    </row>
    <row r="85" spans="1:32" x14ac:dyDescent="0.15">
      <c r="A85" s="47">
        <f>データ!A82</f>
        <v>3</v>
      </c>
      <c r="B85" s="47" t="str">
        <f>TRIM(データ!C82)</f>
        <v/>
      </c>
      <c r="C85" s="47" t="str">
        <f>TRIM(データ!D82)</f>
        <v>機械費</v>
      </c>
      <c r="D85" s="36" t="str">
        <f>REPT("｜",$A85)&amp;TRIM(データ!E82)</f>
        <v>｜｜｜小物機械　ﾊﾟｰﾄﾅ・丸ﾉｺ</v>
      </c>
      <c r="E85" s="37" t="str">
        <f>TRIM(データ!F82)</f>
        <v>ｸﾞﾗｲﾝﾀﾞ-・ｺｱ抜きﾄﾞﾘﾙ・ﾌﾞﾛｱ　等</v>
      </c>
      <c r="F85" s="38" t="str">
        <f>TRIM(データ!G82)</f>
        <v>台</v>
      </c>
      <c r="G85" s="50">
        <f>データ!H82</f>
        <v>15</v>
      </c>
      <c r="H85" s="48">
        <f>データ!I82</f>
        <v>3000</v>
      </c>
      <c r="I85" s="48">
        <f>データ!J82</f>
        <v>45000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2.1951219512195124E-3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>k20718001</v>
      </c>
      <c r="AF85" s="43" t="str">
        <f>TRIM(データ!Z82)</f>
        <v>15日×1台</v>
      </c>
    </row>
    <row r="86" spans="1:32" x14ac:dyDescent="0.15">
      <c r="A86" s="47">
        <f>データ!A83</f>
        <v>3</v>
      </c>
      <c r="B86" s="47" t="str">
        <f>TRIM(データ!C83)</f>
        <v/>
      </c>
      <c r="C86" s="47" t="str">
        <f>TRIM(データ!D83)</f>
        <v>運搬費</v>
      </c>
      <c r="D86" s="36" t="str">
        <f>REPT("｜",$A86)&amp;TRIM(データ!E83)</f>
        <v>｜｜｜2tダンプ</v>
      </c>
      <c r="E86" s="37" t="str">
        <f>TRIM(データ!F83)</f>
        <v/>
      </c>
      <c r="F86" s="38" t="str">
        <f>TRIM(データ!G83)</f>
        <v>台</v>
      </c>
      <c r="G86" s="50">
        <f>データ!H83</f>
        <v>30</v>
      </c>
      <c r="H86" s="48">
        <f>データ!I83</f>
        <v>6000</v>
      </c>
      <c r="I86" s="48">
        <f>データ!J83</f>
        <v>180000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8.7804878048780496E-3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>u20718025</v>
      </c>
      <c r="AF86" s="43" t="str">
        <f>TRIM(データ!Z83)</f>
        <v>15日×2台</v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内訳代価</v>
      </c>
      <c r="D87" s="36" t="str">
        <f>REPT("｜",$A87)&amp;TRIM(データ!E84)</f>
        <v>｜｜土のう撤去</v>
      </c>
      <c r="E87" s="37" t="str">
        <f>TRIM(データ!F84)</f>
        <v/>
      </c>
      <c r="F87" s="38" t="str">
        <f>TRIM(データ!G84)</f>
        <v>袋</v>
      </c>
      <c r="G87" s="50">
        <f>データ!H84</f>
        <v>85</v>
      </c>
      <c r="H87" s="48">
        <f>データ!I84</f>
        <v>1700</v>
      </c>
      <c r="I87" s="48">
        <f>データ!J84</f>
        <v>144500</v>
      </c>
      <c r="J87" s="39">
        <f>IF(OR($C87="総括",$C87="内訳書",$C87="内訳代価",$C87="明細書",$C87="明細代価",$C87="代価表",$C87="単価表"),データ!K84,"")</f>
        <v>85</v>
      </c>
      <c r="K87" s="11" t="str">
        <f t="shared" si="6"/>
        <v/>
      </c>
      <c r="L87" s="46">
        <f t="shared" si="7"/>
        <v>7.0487804878048782E-3</v>
      </c>
      <c r="M87" s="40" t="str">
        <f>IF(データ!L84="","",データ!L84)</f>
        <v/>
      </c>
      <c r="N87" s="41" t="str">
        <f>IF(データ!M84="","",データ!M84)</f>
        <v>24号内訳書</v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>
        <f>IF(OR($C87="総括",$C87="内訳書",$C87="内訳代価",$C87="明細書",$C87="明細代価",$C87="代価表",$C87="単価表"),データ!Q84,"")</f>
        <v>0</v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>
        <f>IF(OR($C87="総括",$C87="内訳書",$C87="内訳代価",$C87="明細書",$C87="明細代価",$C87="代価表",$C87="単価表"),データ!W84,"")</f>
        <v>0</v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3</v>
      </c>
      <c r="B88" s="47" t="str">
        <f>TRIM(データ!C85)</f>
        <v/>
      </c>
      <c r="C88" s="47" t="str">
        <f>TRIM(データ!D85)</f>
        <v>材料費</v>
      </c>
      <c r="D88" s="36" t="str">
        <f>REPT("｜",$A88)&amp;TRIM(データ!E85)</f>
        <v>｜｜｜雑材</v>
      </c>
      <c r="E88" s="37" t="str">
        <f>TRIM(データ!F85)</f>
        <v/>
      </c>
      <c r="F88" s="38" t="str">
        <f>TRIM(データ!G85)</f>
        <v>式</v>
      </c>
      <c r="G88" s="50">
        <f>データ!H85</f>
        <v>0.54800000000000004</v>
      </c>
      <c r="H88" s="48">
        <f>データ!I85</f>
        <v>11500</v>
      </c>
      <c r="I88" s="48">
        <f>データ!J85</f>
        <v>6302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3.0741463414634144E-4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>s20718001</v>
      </c>
      <c r="AF88" s="43" t="str">
        <f>TRIM(データ!Z85)</f>
        <v/>
      </c>
    </row>
    <row r="89" spans="1:32" x14ac:dyDescent="0.15">
      <c r="A89" s="47">
        <f>データ!A86</f>
        <v>3</v>
      </c>
      <c r="B89" s="47" t="str">
        <f>TRIM(データ!C86)</f>
        <v/>
      </c>
      <c r="C89" s="47" t="str">
        <f>TRIM(データ!D86)</f>
        <v>労務費</v>
      </c>
      <c r="D89" s="36" t="str">
        <f>REPT("｜",$A89)&amp;TRIM(データ!E86)</f>
        <v>｜｜｜運転工</v>
      </c>
      <c r="E89" s="37" t="str">
        <f>TRIM(データ!F86)</f>
        <v>8H</v>
      </c>
      <c r="F89" s="38" t="str">
        <f>TRIM(データ!G86)</f>
        <v>人</v>
      </c>
      <c r="G89" s="50">
        <f>データ!H86</f>
        <v>4.3869999999999996</v>
      </c>
      <c r="H89" s="48">
        <f>データ!I86</f>
        <v>23000</v>
      </c>
      <c r="I89" s="48">
        <f>データ!J86</f>
        <v>100901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4.9220000000000002E-3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>r20718007</v>
      </c>
      <c r="AF89" s="43" t="str">
        <f>TRIM(データ!Z86)</f>
        <v>2日×4人</v>
      </c>
    </row>
    <row r="90" spans="1:32" x14ac:dyDescent="0.15">
      <c r="A90" s="47">
        <f>データ!A87</f>
        <v>3</v>
      </c>
      <c r="B90" s="47" t="str">
        <f>TRIM(データ!C87)</f>
        <v/>
      </c>
      <c r="C90" s="47" t="str">
        <f>TRIM(データ!D87)</f>
        <v>機械費</v>
      </c>
      <c r="D90" s="36" t="str">
        <f>REPT("｜",$A90)&amp;TRIM(データ!E87)</f>
        <v>｜｜｜BH0.45クレーン</v>
      </c>
      <c r="E90" s="37" t="str">
        <f>TRIM(データ!F87)</f>
        <v>低騒音・超小</v>
      </c>
      <c r="F90" s="38" t="str">
        <f>TRIM(データ!G87)</f>
        <v>日台</v>
      </c>
      <c r="G90" s="50">
        <f>データ!H87</f>
        <v>1.097</v>
      </c>
      <c r="H90" s="48">
        <f>データ!I87</f>
        <v>14000</v>
      </c>
      <c r="I90" s="48">
        <f>データ!J87</f>
        <v>15358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7.4917073170731709E-4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>k20718020</v>
      </c>
      <c r="AF90" s="43" t="str">
        <f>TRIM(データ!Z87)</f>
        <v>2日×4台</v>
      </c>
    </row>
    <row r="91" spans="1:32" x14ac:dyDescent="0.15">
      <c r="A91" s="47">
        <f>データ!A88</f>
        <v>3</v>
      </c>
      <c r="B91" s="47" t="str">
        <f>TRIM(データ!C88)</f>
        <v/>
      </c>
      <c r="C91" s="47" t="str">
        <f>TRIM(データ!D88)</f>
        <v>機械費</v>
      </c>
      <c r="D91" s="36" t="str">
        <f>REPT("｜",$A91)&amp;TRIM(データ!E88)</f>
        <v>｜｜｜BH0.25クレーン</v>
      </c>
      <c r="E91" s="37" t="str">
        <f>TRIM(データ!F88)</f>
        <v>低騒音・超小</v>
      </c>
      <c r="F91" s="38" t="str">
        <f>TRIM(データ!G88)</f>
        <v>日台</v>
      </c>
      <c r="G91" s="50">
        <f>データ!H88</f>
        <v>1.097</v>
      </c>
      <c r="H91" s="48">
        <f>データ!I88</f>
        <v>11000</v>
      </c>
      <c r="I91" s="48">
        <f>データ!J88</f>
        <v>12067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5.8863414634146346E-4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>k20718018</v>
      </c>
      <c r="AF91" s="43" t="str">
        <f>TRIM(データ!Z88)</f>
        <v>2日×4台</v>
      </c>
    </row>
    <row r="92" spans="1:32" x14ac:dyDescent="0.15">
      <c r="A92" s="47">
        <f>データ!A89</f>
        <v>3</v>
      </c>
      <c r="B92" s="47" t="str">
        <f>TRIM(データ!C89)</f>
        <v/>
      </c>
      <c r="C92" s="47" t="str">
        <f>TRIM(データ!D89)</f>
        <v>機械費</v>
      </c>
      <c r="D92" s="36" t="str">
        <f>REPT("｜",$A92)&amp;TRIM(データ!E89)</f>
        <v>｜｜｜小物機械　ﾊﾟｰﾄﾅ・丸ﾉｺ</v>
      </c>
      <c r="E92" s="37" t="str">
        <f>TRIM(データ!F89)</f>
        <v>ｸﾞﾗｲﾝﾀﾞ-・ｺｱ抜きﾄﾞﾘﾙ・ﾌﾞﾛｱ　等</v>
      </c>
      <c r="F92" s="38" t="str">
        <f>TRIM(データ!G89)</f>
        <v>台</v>
      </c>
      <c r="G92" s="50">
        <f>データ!H89</f>
        <v>1.097</v>
      </c>
      <c r="H92" s="48">
        <f>データ!I89</f>
        <v>3000</v>
      </c>
      <c r="I92" s="48">
        <f>データ!J89</f>
        <v>3291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1.6053658536585366E-4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>k20718001</v>
      </c>
      <c r="AF92" s="43" t="str">
        <f>TRIM(データ!Z89)</f>
        <v>2日×4台</v>
      </c>
    </row>
    <row r="93" spans="1:32" x14ac:dyDescent="0.15">
      <c r="A93" s="47">
        <f>データ!A90</f>
        <v>3</v>
      </c>
      <c r="B93" s="47" t="str">
        <f>TRIM(データ!C90)</f>
        <v/>
      </c>
      <c r="C93" s="47" t="str">
        <f>TRIM(データ!D90)</f>
        <v>運搬費</v>
      </c>
      <c r="D93" s="36" t="str">
        <f>REPT("｜",$A93)&amp;TRIM(データ!E90)</f>
        <v>｜｜｜2tダンプ</v>
      </c>
      <c r="E93" s="37" t="str">
        <f>TRIM(データ!F90)</f>
        <v/>
      </c>
      <c r="F93" s="38" t="str">
        <f>TRIM(データ!G90)</f>
        <v>台</v>
      </c>
      <c r="G93" s="50">
        <f>データ!H90</f>
        <v>1.097</v>
      </c>
      <c r="H93" s="48">
        <f>データ!I90</f>
        <v>6000</v>
      </c>
      <c r="I93" s="48">
        <f>データ!J90</f>
        <v>6582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3.2107317073170732E-4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>u20718025</v>
      </c>
      <c r="AF93" s="43" t="str">
        <f>TRIM(データ!Z90)</f>
        <v>2日×4台</v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内訳代価</v>
      </c>
      <c r="D94" s="36" t="str">
        <f>REPT("｜",$A94)&amp;TRIM(データ!E91)</f>
        <v>｜｜産業廃棄物処分費</v>
      </c>
      <c r="E94" s="37" t="str">
        <f>TRIM(データ!F91)</f>
        <v/>
      </c>
      <c r="F94" s="38" t="str">
        <f>TRIM(データ!G91)</f>
        <v>m3</v>
      </c>
      <c r="G94" s="50">
        <f>データ!H91</f>
        <v>10</v>
      </c>
      <c r="H94" s="48">
        <f>データ!I91</f>
        <v>0</v>
      </c>
      <c r="I94" s="48">
        <f>データ!J91</f>
        <v>0</v>
      </c>
      <c r="J94" s="39">
        <f>IF(OR($C94="総括",$C94="内訳書",$C94="内訳代価",$C94="明細書",$C94="明細代価",$C94="代価表",$C94="単価表"),データ!K91,"")</f>
        <v>10</v>
      </c>
      <c r="K94" s="11" t="str">
        <f t="shared" si="6"/>
        <v/>
      </c>
      <c r="L94" s="46">
        <f t="shared" si="7"/>
        <v>0</v>
      </c>
      <c r="M94" s="40" t="str">
        <f>IF(データ!L91="","",データ!L91)</f>
        <v/>
      </c>
      <c r="N94" s="41" t="str">
        <f>IF(データ!M91="","",データ!M91)</f>
        <v>49号内訳書</v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>
        <f>IF(OR($C94="総括",$C94="内訳書",$C94="内訳代価",$C94="明細書",$C94="明細代価",$C94="代価表",$C94="単価表"),データ!Q91,"")</f>
        <v>0</v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>
        <f>IF(OR($C94="総括",$C94="内訳書",$C94="内訳代価",$C94="明細書",$C94="明細代価",$C94="代価表",$C94="単価表"),データ!W91,"")</f>
        <v>0</v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3</v>
      </c>
      <c r="B95" s="47" t="str">
        <f>TRIM(データ!C92)</f>
        <v/>
      </c>
      <c r="C95" s="47" t="str">
        <f>TRIM(データ!D92)</f>
        <v>運搬費</v>
      </c>
      <c r="D95" s="36" t="str">
        <f>REPT("｜",$A95)&amp;TRIM(データ!E92)</f>
        <v>｜｜｜産廃運搬処分</v>
      </c>
      <c r="E95" s="37" t="str">
        <f>TRIM(データ!F92)</f>
        <v/>
      </c>
      <c r="F95" s="38" t="str">
        <f>TRIM(データ!G92)</f>
        <v>m3</v>
      </c>
      <c r="G95" s="50">
        <f>データ!H92</f>
        <v>10</v>
      </c>
      <c r="H95" s="48">
        <f>データ!I92</f>
        <v>0</v>
      </c>
      <c r="I95" s="48">
        <f>データ!J92</f>
        <v>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0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>u20718048</v>
      </c>
      <c r="AF95" s="43" t="str">
        <f>TRIM(データ!Z92)</f>
        <v/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内訳代価</v>
      </c>
      <c r="D96" s="36" t="str">
        <f>REPT("｜",$A96)&amp;TRIM(データ!E93)</f>
        <v>｜｜土砂運搬</v>
      </c>
      <c r="E96" s="37" t="str">
        <f>TRIM(データ!F93)</f>
        <v>8tDT　運搬</v>
      </c>
      <c r="F96" s="38" t="str">
        <f>TRIM(データ!G93)</f>
        <v>m3</v>
      </c>
      <c r="G96" s="50">
        <f>データ!H93</f>
        <v>540</v>
      </c>
      <c r="H96" s="48">
        <f>データ!I93</f>
        <v>0</v>
      </c>
      <c r="I96" s="48">
        <f>データ!J93</f>
        <v>0</v>
      </c>
      <c r="J96" s="39">
        <f>IF(OR($C96="総括",$C96="内訳書",$C96="内訳代価",$C96="明細書",$C96="明細代価",$C96="代価表",$C96="単価表"),データ!K93,"")</f>
        <v>540</v>
      </c>
      <c r="K96" s="11" t="str">
        <f t="shared" si="6"/>
        <v/>
      </c>
      <c r="L96" s="46">
        <f t="shared" si="7"/>
        <v>0</v>
      </c>
      <c r="M96" s="40" t="str">
        <f>IF(データ!L93="","",データ!L93)</f>
        <v/>
      </c>
      <c r="N96" s="41" t="str">
        <f>IF(データ!M93="","",データ!M93)</f>
        <v>25号内訳書</v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>
        <f>IF(OR($C96="総括",$C96="内訳書",$C96="内訳代価",$C96="明細書",$C96="明細代価",$C96="代価表",$C96="単価表"),データ!Q93,"")</f>
        <v>0</v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>
        <f>IF(OR($C96="総括",$C96="内訳書",$C96="内訳代価",$C96="明細書",$C96="明細代価",$C96="代価表",$C96="単価表"),データ!W93,"")</f>
        <v>0</v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/>
      </c>
      <c r="AF96" s="43" t="str">
        <f>TRIM(データ!Z93)</f>
        <v/>
      </c>
    </row>
    <row r="97" spans="1:32" x14ac:dyDescent="0.15">
      <c r="A97" s="47">
        <f>データ!A94</f>
        <v>3</v>
      </c>
      <c r="B97" s="47" t="str">
        <f>TRIM(データ!C94)</f>
        <v/>
      </c>
      <c r="C97" s="47" t="str">
        <f>TRIM(データ!D94)</f>
        <v>材料費</v>
      </c>
      <c r="D97" s="36" t="str">
        <f>REPT("｜",$A97)&amp;TRIM(データ!E94)</f>
        <v>｜｜｜雑材</v>
      </c>
      <c r="E97" s="37" t="str">
        <f>TRIM(データ!F94)</f>
        <v/>
      </c>
      <c r="F97" s="38" t="str">
        <f>TRIM(データ!G94)</f>
        <v>式</v>
      </c>
      <c r="G97" s="50">
        <f>データ!H94</f>
        <v>1</v>
      </c>
      <c r="H97" s="48">
        <f>データ!I94</f>
        <v>0</v>
      </c>
      <c r="I97" s="48">
        <f>データ!J94</f>
        <v>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0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>s20718001</v>
      </c>
      <c r="AF97" s="43" t="str">
        <f>TRIM(データ!Z94)</f>
        <v/>
      </c>
    </row>
    <row r="98" spans="1:32" x14ac:dyDescent="0.15">
      <c r="A98" s="47">
        <f>データ!A95</f>
        <v>3</v>
      </c>
      <c r="B98" s="47" t="str">
        <f>TRIM(データ!C95)</f>
        <v/>
      </c>
      <c r="C98" s="47" t="str">
        <f>TRIM(データ!D95)</f>
        <v>材料費</v>
      </c>
      <c r="D98" s="36" t="str">
        <f>REPT("｜",$A98)&amp;TRIM(データ!E95)</f>
        <v>｜｜｜軽油</v>
      </c>
      <c r="E98" s="37" t="str">
        <f>TRIM(データ!F95)</f>
        <v/>
      </c>
      <c r="F98" s="38" t="str">
        <f>TRIM(データ!G95)</f>
        <v>L</v>
      </c>
      <c r="G98" s="50">
        <f>データ!H95</f>
        <v>155</v>
      </c>
      <c r="H98" s="48">
        <f>データ!I95</f>
        <v>0</v>
      </c>
      <c r="I98" s="48">
        <f>データ!J95</f>
        <v>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0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>s20718549</v>
      </c>
      <c r="AF98" s="43" t="str">
        <f>TRIM(データ!Z95)</f>
        <v/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内訳代価</v>
      </c>
      <c r="D99" s="36" t="str">
        <f>REPT("｜",$A99)&amp;TRIM(データ!E96)</f>
        <v>｜｜土砂運搬</v>
      </c>
      <c r="E99" s="37" t="str">
        <f>TRIM(データ!F96)</f>
        <v>8tDT　労務機械</v>
      </c>
      <c r="F99" s="38" t="str">
        <f>TRIM(データ!G96)</f>
        <v>m3</v>
      </c>
      <c r="G99" s="50">
        <f>データ!H96</f>
        <v>540</v>
      </c>
      <c r="H99" s="48">
        <f>データ!I96</f>
        <v>1200</v>
      </c>
      <c r="I99" s="48">
        <f>データ!J96</f>
        <v>648000</v>
      </c>
      <c r="J99" s="39">
        <f>IF(OR($C99="総括",$C99="内訳書",$C99="内訳代価",$C99="明細書",$C99="明細代価",$C99="代価表",$C99="単価表"),データ!K96,"")</f>
        <v>540</v>
      </c>
      <c r="K99" s="11" t="str">
        <f t="shared" si="6"/>
        <v/>
      </c>
      <c r="L99" s="46">
        <f t="shared" si="7"/>
        <v>3.1609756097560976E-2</v>
      </c>
      <c r="M99" s="40" t="str">
        <f>IF(データ!L96="","",データ!L96)</f>
        <v/>
      </c>
      <c r="N99" s="41" t="str">
        <f>IF(データ!M96="","",データ!M96)</f>
        <v>50号内訳書</v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>
        <f>IF(OR($C99="総括",$C99="内訳書",$C99="内訳代価",$C99="明細書",$C99="明細代価",$C99="代価表",$C99="単価表"),データ!Q96,"")</f>
        <v>0</v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>
        <f>IF(OR($C99="総括",$C99="内訳書",$C99="内訳代価",$C99="明細書",$C99="明細代価",$C99="代価表",$C99="単価表"),データ!W96,"")</f>
        <v>0</v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/>
      </c>
      <c r="AF99" s="43" t="str">
        <f>TRIM(データ!Z96)</f>
        <v/>
      </c>
    </row>
    <row r="100" spans="1:32" x14ac:dyDescent="0.15">
      <c r="A100" s="47">
        <f>データ!A97</f>
        <v>3</v>
      </c>
      <c r="B100" s="47" t="str">
        <f>TRIM(データ!C97)</f>
        <v/>
      </c>
      <c r="C100" s="47" t="str">
        <f>TRIM(データ!D97)</f>
        <v>材料費</v>
      </c>
      <c r="D100" s="36" t="str">
        <f>REPT("｜",$A100)&amp;TRIM(データ!E97)</f>
        <v>｜｜｜雑材</v>
      </c>
      <c r="E100" s="37" t="str">
        <f>TRIM(データ!F97)</f>
        <v/>
      </c>
      <c r="F100" s="38" t="str">
        <f>TRIM(データ!G97)</f>
        <v>式</v>
      </c>
      <c r="G100" s="50">
        <f>データ!H97</f>
        <v>1</v>
      </c>
      <c r="H100" s="48">
        <f>データ!I97</f>
        <v>18000</v>
      </c>
      <c r="I100" s="48">
        <f>データ!J97</f>
        <v>18000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8.780487804878049E-4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>s20718001</v>
      </c>
      <c r="AF100" s="43" t="str">
        <f>TRIM(データ!Z97)</f>
        <v/>
      </c>
    </row>
    <row r="101" spans="1:32" x14ac:dyDescent="0.15">
      <c r="A101" s="47">
        <f>データ!A98</f>
        <v>3</v>
      </c>
      <c r="B101" s="47" t="str">
        <f>TRIM(データ!C98)</f>
        <v/>
      </c>
      <c r="C101" s="47" t="str">
        <f>TRIM(データ!D98)</f>
        <v>労務費</v>
      </c>
      <c r="D101" s="36" t="str">
        <f>REPT("｜",$A101)&amp;TRIM(データ!E98)</f>
        <v>｜｜｜運転工</v>
      </c>
      <c r="E101" s="37" t="str">
        <f>TRIM(データ!F98)</f>
        <v>8H</v>
      </c>
      <c r="F101" s="38" t="str">
        <f>TRIM(データ!G98)</f>
        <v>人</v>
      </c>
      <c r="G101" s="50">
        <f>データ!H98</f>
        <v>15</v>
      </c>
      <c r="H101" s="48">
        <f>データ!I98</f>
        <v>23000</v>
      </c>
      <c r="I101" s="48">
        <f>データ!J98</f>
        <v>345000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1.6829268292682928E-2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>r20718007</v>
      </c>
      <c r="AF101" s="43" t="str">
        <f>TRIM(データ!Z98)</f>
        <v>15日×1人</v>
      </c>
    </row>
    <row r="102" spans="1:32" x14ac:dyDescent="0.15">
      <c r="A102" s="47">
        <f>データ!A99</f>
        <v>3</v>
      </c>
      <c r="B102" s="47" t="str">
        <f>TRIM(データ!C99)</f>
        <v/>
      </c>
      <c r="C102" s="47" t="str">
        <f>TRIM(データ!D99)</f>
        <v>機械費</v>
      </c>
      <c r="D102" s="36" t="str">
        <f>REPT("｜",$A102)&amp;TRIM(データ!E99)</f>
        <v>｜｜｜BH0.25クレーン</v>
      </c>
      <c r="E102" s="37" t="str">
        <f>TRIM(データ!F99)</f>
        <v>低騒音・超小</v>
      </c>
      <c r="F102" s="38" t="str">
        <f>TRIM(データ!G99)</f>
        <v>日台</v>
      </c>
      <c r="G102" s="50">
        <f>データ!H99</f>
        <v>15</v>
      </c>
      <c r="H102" s="48">
        <f>データ!I99</f>
        <v>11000</v>
      </c>
      <c r="I102" s="48">
        <f>データ!J99</f>
        <v>165000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8.0487804878048783E-3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>k20718018</v>
      </c>
      <c r="AF102" s="43" t="str">
        <f>TRIM(データ!Z99)</f>
        <v>瀬又置き場 15日×1台</v>
      </c>
    </row>
    <row r="103" spans="1:32" x14ac:dyDescent="0.15">
      <c r="A103" s="47">
        <f>データ!A100</f>
        <v>3</v>
      </c>
      <c r="B103" s="47" t="str">
        <f>TRIM(データ!C100)</f>
        <v/>
      </c>
      <c r="C103" s="47" t="str">
        <f>TRIM(データ!D100)</f>
        <v>運搬費</v>
      </c>
      <c r="D103" s="36" t="str">
        <f>REPT("｜",$A103)&amp;TRIM(データ!E100)</f>
        <v>｜｜｜4tﾀﾞﾝﾌﾟ</v>
      </c>
      <c r="E103" s="37" t="str">
        <f>TRIM(データ!F100)</f>
        <v/>
      </c>
      <c r="F103" s="38" t="str">
        <f>TRIM(データ!G100)</f>
        <v>台</v>
      </c>
      <c r="G103" s="50">
        <f>データ!H100</f>
        <v>15</v>
      </c>
      <c r="H103" s="48">
        <f>データ!I100</f>
        <v>8000</v>
      </c>
      <c r="I103" s="48">
        <f>データ!J100</f>
        <v>120000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5.8536585365853658E-3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>u0003</v>
      </c>
      <c r="AF103" s="43" t="str">
        <f>TRIM(データ!Z100)</f>
        <v>15日×1台</v>
      </c>
    </row>
    <row r="104" spans="1:32" x14ac:dyDescent="0.15">
      <c r="A104" s="47">
        <f>データ!A101</f>
        <v>1</v>
      </c>
      <c r="B104" s="47" t="str">
        <f>TRIM(データ!C101)</f>
        <v/>
      </c>
      <c r="C104" s="47" t="str">
        <f>TRIM(データ!D101)</f>
        <v>内訳書</v>
      </c>
      <c r="D104" s="36" t="str">
        <f>REPT("｜",$A104)&amp;TRIM(データ!E101)</f>
        <v>｜防護柵工</v>
      </c>
      <c r="E104" s="37" t="str">
        <f>TRIM(データ!F101)</f>
        <v/>
      </c>
      <c r="F104" s="38" t="str">
        <f>TRIM(データ!G101)</f>
        <v>式</v>
      </c>
      <c r="G104" s="50">
        <f>データ!H101</f>
        <v>1</v>
      </c>
      <c r="H104" s="48">
        <f>データ!I101</f>
        <v>747600</v>
      </c>
      <c r="I104" s="48">
        <f>データ!J101</f>
        <v>747600</v>
      </c>
      <c r="J104" s="39">
        <f>IF(OR($C104="総括",$C104="内訳書",$C104="内訳代価",$C104="明細書",$C104="明細代価",$C104="代価表",$C104="単価表"),データ!K101,"")</f>
        <v>1</v>
      </c>
      <c r="K104" s="11" t="str">
        <f t="shared" si="6"/>
        <v/>
      </c>
      <c r="L104" s="46">
        <f t="shared" si="7"/>
        <v>3.6468292682926833E-2</v>
      </c>
      <c r="M104" s="40" t="str">
        <f>IF(データ!L101="","",データ!L101)</f>
        <v/>
      </c>
      <c r="N104" s="41" t="str">
        <f>IF(データ!M101="","",データ!M101)</f>
        <v>26号内訳書</v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>
        <f>IF(OR($C104="総括",$C104="内訳書",$C104="内訳代価",$C104="明細書",$C104="明細代価",$C104="代価表",$C104="単価表"),データ!Q101,"")</f>
        <v>0</v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>
        <f>IF(OR($C104="総括",$C104="内訳書",$C104="内訳代価",$C104="明細書",$C104="明細代価",$C104="代価表",$C104="単価表"),データ!W101,"")</f>
        <v>0</v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/>
      </c>
      <c r="AF104" s="43" t="str">
        <f>TRIM(データ!Z101)</f>
        <v/>
      </c>
    </row>
    <row r="105" spans="1:32" x14ac:dyDescent="0.15">
      <c r="A105" s="47">
        <f>データ!A102</f>
        <v>2</v>
      </c>
      <c r="B105" s="47" t="str">
        <f>TRIM(データ!C102)</f>
        <v/>
      </c>
      <c r="C105" s="47" t="str">
        <f>TRIM(データ!D102)</f>
        <v>内訳代価</v>
      </c>
      <c r="D105" s="36" t="str">
        <f>REPT("｜",$A105)&amp;TRIM(データ!E102)</f>
        <v>｜｜転落防止柵(新設)</v>
      </c>
      <c r="E105" s="37" t="str">
        <f>TRIM(データ!F102)</f>
        <v/>
      </c>
      <c r="F105" s="38" t="str">
        <f>TRIM(データ!G102)</f>
        <v>ｍ</v>
      </c>
      <c r="G105" s="50">
        <f>データ!H102</f>
        <v>24</v>
      </c>
      <c r="H105" s="48">
        <f>データ!I102</f>
        <v>10600</v>
      </c>
      <c r="I105" s="48">
        <f>データ!J102</f>
        <v>254400</v>
      </c>
      <c r="J105" s="39">
        <f>IF(OR($C105="総括",$C105="内訳書",$C105="内訳代価",$C105="明細書",$C105="明細代価",$C105="代価表",$C105="単価表"),データ!K102,"")</f>
        <v>24</v>
      </c>
      <c r="K105" s="11" t="str">
        <f t="shared" si="6"/>
        <v/>
      </c>
      <c r="L105" s="46">
        <f t="shared" si="7"/>
        <v>1.2409756097560976E-2</v>
      </c>
      <c r="M105" s="40" t="str">
        <f>IF(データ!L102="","",データ!L102)</f>
        <v/>
      </c>
      <c r="N105" s="41" t="str">
        <f>IF(データ!M102="","",データ!M102)</f>
        <v>27号内訳書</v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>
        <f>IF(OR($C105="総括",$C105="内訳書",$C105="内訳代価",$C105="明細書",$C105="明細代価",$C105="代価表",$C105="単価表"),データ!Q102,"")</f>
        <v>0</v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>
        <f>IF(OR($C105="総括",$C105="内訳書",$C105="内訳代価",$C105="明細書",$C105="明細代価",$C105="代価表",$C105="単価表"),データ!W102,"")</f>
        <v>0</v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/>
      </c>
      <c r="AF105" s="43" t="str">
        <f>TRIM(データ!Z102)</f>
        <v/>
      </c>
    </row>
    <row r="106" spans="1:32" x14ac:dyDescent="0.15">
      <c r="A106" s="47">
        <f>データ!A103</f>
        <v>3</v>
      </c>
      <c r="B106" s="47" t="str">
        <f>TRIM(データ!C103)</f>
        <v/>
      </c>
      <c r="C106" s="47" t="str">
        <f>TRIM(データ!D103)</f>
        <v>外注費</v>
      </c>
      <c r="D106" s="36" t="str">
        <f>REPT("｜",$A106)&amp;TRIM(データ!E103)</f>
        <v>｜｜｜転落防止さく</v>
      </c>
      <c r="E106" s="37" t="str">
        <f>TRIM(データ!F103)</f>
        <v>柵高1100mm　材料</v>
      </c>
      <c r="F106" s="38" t="str">
        <f>TRIM(データ!G103)</f>
        <v>ｍ</v>
      </c>
      <c r="G106" s="50">
        <f>データ!H103</f>
        <v>34</v>
      </c>
      <c r="H106" s="48">
        <f>データ!I103</f>
        <v>6000</v>
      </c>
      <c r="I106" s="48">
        <f>データ!J103</f>
        <v>204000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9.9512195121951221E-3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>1-5-33-67624-1</v>
      </c>
      <c r="AF106" s="43" t="str">
        <f>TRIM(データ!Z103)</f>
        <v/>
      </c>
    </row>
    <row r="107" spans="1:32" x14ac:dyDescent="0.15">
      <c r="A107" s="47">
        <f>データ!A104</f>
        <v>3</v>
      </c>
      <c r="B107" s="47" t="str">
        <f>TRIM(データ!C104)</f>
        <v/>
      </c>
      <c r="C107" s="47" t="str">
        <f>TRIM(データ!D104)</f>
        <v>外注費</v>
      </c>
      <c r="D107" s="36" t="str">
        <f>REPT("｜",$A107)&amp;TRIM(データ!E104)</f>
        <v>｜｜｜転落防止さく</v>
      </c>
      <c r="E107" s="37" t="str">
        <f>TRIM(データ!F104)</f>
        <v>柵高1100mm　材料　運賃</v>
      </c>
      <c r="F107" s="38" t="str">
        <f>TRIM(データ!G104)</f>
        <v>式</v>
      </c>
      <c r="G107" s="50">
        <f>データ!H104</f>
        <v>1</v>
      </c>
      <c r="H107" s="48">
        <f>データ!I104</f>
        <v>7200</v>
      </c>
      <c r="I107" s="48">
        <f>データ!J104</f>
        <v>7200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3.5121951219512193E-4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>1-5-33-67624-1</v>
      </c>
      <c r="AF107" s="43" t="str">
        <f>TRIM(データ!Z104)</f>
        <v/>
      </c>
    </row>
    <row r="108" spans="1:32" x14ac:dyDescent="0.15">
      <c r="A108" s="47">
        <f>データ!A105</f>
        <v>3</v>
      </c>
      <c r="B108" s="47" t="str">
        <f>TRIM(データ!C105)</f>
        <v/>
      </c>
      <c r="C108" s="47" t="str">
        <f>TRIM(データ!D105)</f>
        <v>外注費</v>
      </c>
      <c r="D108" s="36" t="str">
        <f>REPT("｜",$A108)&amp;TRIM(データ!E105)</f>
        <v>｜｜｜転落防止さく 設置</v>
      </c>
      <c r="E108" s="37" t="str">
        <f>TRIM(データ!F105)</f>
        <v>柵高1100mm</v>
      </c>
      <c r="F108" s="38" t="str">
        <f>TRIM(データ!G105)</f>
        <v>ｍ</v>
      </c>
      <c r="G108" s="50">
        <f>データ!H105</f>
        <v>24</v>
      </c>
      <c r="H108" s="48">
        <f>データ!I105</f>
        <v>1800</v>
      </c>
      <c r="I108" s="48">
        <f>データ!J105</f>
        <v>43200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2.1073170731707317E-3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>1-5-33-67624-1</v>
      </c>
      <c r="AF108" s="43" t="str">
        <f>TRIM(データ!Z105)</f>
        <v/>
      </c>
    </row>
    <row r="109" spans="1:32" x14ac:dyDescent="0.15">
      <c r="A109" s="47">
        <f>データ!A106</f>
        <v>2</v>
      </c>
      <c r="B109" s="47" t="str">
        <f>TRIM(データ!C106)</f>
        <v/>
      </c>
      <c r="C109" s="47" t="str">
        <f>TRIM(データ!D106)</f>
        <v>内訳代価</v>
      </c>
      <c r="D109" s="36" t="str">
        <f>REPT("｜",$A109)&amp;TRIM(データ!E106)</f>
        <v>｜｜転落防止柵(再設置)</v>
      </c>
      <c r="E109" s="37" t="str">
        <f>TRIM(データ!F106)</f>
        <v/>
      </c>
      <c r="F109" s="38" t="str">
        <f>TRIM(データ!G106)</f>
        <v>ｍ</v>
      </c>
      <c r="G109" s="50">
        <f>データ!H106</f>
        <v>200</v>
      </c>
      <c r="H109" s="48">
        <f>データ!I106</f>
        <v>1850</v>
      </c>
      <c r="I109" s="48">
        <f>データ!J106</f>
        <v>370000</v>
      </c>
      <c r="J109" s="39">
        <f>IF(OR($C109="総括",$C109="内訳書",$C109="内訳代価",$C109="明細書",$C109="明細代価",$C109="代価表",$C109="単価表"),データ!K106,"")</f>
        <v>200</v>
      </c>
      <c r="K109" s="11" t="str">
        <f t="shared" si="6"/>
        <v/>
      </c>
      <c r="L109" s="46">
        <f t="shared" si="7"/>
        <v>1.8048780487804877E-2</v>
      </c>
      <c r="M109" s="40" t="str">
        <f>IF(データ!L106="","",データ!L106)</f>
        <v/>
      </c>
      <c r="N109" s="41" t="str">
        <f>IF(データ!M106="","",データ!M106)</f>
        <v>28号内訳書</v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>
        <f>IF(OR($C109="総括",$C109="内訳書",$C109="内訳代価",$C109="明細書",$C109="明細代価",$C109="代価表",$C109="単価表"),データ!Q106,"")</f>
        <v>0</v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>
        <f>IF(OR($C109="総括",$C109="内訳書",$C109="内訳代価",$C109="明細書",$C109="明細代価",$C109="代価表",$C109="単価表"),データ!W106,"")</f>
        <v>0</v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/>
      </c>
      <c r="AF109" s="43" t="str">
        <f>TRIM(データ!Z106)</f>
        <v/>
      </c>
    </row>
    <row r="110" spans="1:32" x14ac:dyDescent="0.15">
      <c r="A110" s="47">
        <f>データ!A107</f>
        <v>3</v>
      </c>
      <c r="B110" s="47" t="str">
        <f>TRIM(データ!C107)</f>
        <v/>
      </c>
      <c r="C110" s="47" t="str">
        <f>TRIM(データ!D107)</f>
        <v>外注費</v>
      </c>
      <c r="D110" s="36" t="str">
        <f>REPT("｜",$A110)&amp;TRIM(データ!E107)</f>
        <v>｜｜｜転落防止さく 設置</v>
      </c>
      <c r="E110" s="37" t="str">
        <f>TRIM(データ!F107)</f>
        <v>柵高1100mm</v>
      </c>
      <c r="F110" s="38" t="str">
        <f>TRIM(データ!G107)</f>
        <v>ｍ</v>
      </c>
      <c r="G110" s="50">
        <f>データ!H107</f>
        <v>158</v>
      </c>
      <c r="H110" s="48">
        <f>データ!I107</f>
        <v>2000</v>
      </c>
      <c r="I110" s="48">
        <f>データ!J107</f>
        <v>316000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1.5414634146341463E-2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>1-5-33-67624-1</v>
      </c>
      <c r="AF110" s="43" t="str">
        <f>TRIM(データ!Z107)</f>
        <v/>
      </c>
    </row>
    <row r="111" spans="1:32" x14ac:dyDescent="0.15">
      <c r="A111" s="47">
        <f>データ!A108</f>
        <v>3</v>
      </c>
      <c r="B111" s="47" t="str">
        <f>TRIM(データ!C108)</f>
        <v/>
      </c>
      <c r="C111" s="47" t="str">
        <f>TRIM(データ!D108)</f>
        <v>外注費</v>
      </c>
      <c r="D111" s="36" t="str">
        <f>REPT("｜",$A111)&amp;TRIM(データ!E108)</f>
        <v>｜｜｜法定福利費</v>
      </c>
      <c r="E111" s="37" t="str">
        <f>TRIM(データ!F108)</f>
        <v>労務費*15.15%</v>
      </c>
      <c r="F111" s="38" t="str">
        <f>TRIM(データ!G108)</f>
        <v>式</v>
      </c>
      <c r="G111" s="50">
        <f>データ!H108</f>
        <v>1</v>
      </c>
      <c r="H111" s="48">
        <f>データ!I108</f>
        <v>54000</v>
      </c>
      <c r="I111" s="48">
        <f>データ!J108</f>
        <v>54000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2.6341463414634148E-3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>g20718106</v>
      </c>
      <c r="AF111" s="43" t="str">
        <f>TRIM(データ!Z108)</f>
        <v/>
      </c>
    </row>
    <row r="112" spans="1:32" x14ac:dyDescent="0.15">
      <c r="A112" s="47">
        <f>データ!A109</f>
        <v>2</v>
      </c>
      <c r="B112" s="47" t="str">
        <f>TRIM(データ!C109)</f>
        <v/>
      </c>
      <c r="C112" s="47" t="str">
        <f>TRIM(データ!D109)</f>
        <v>内訳代価</v>
      </c>
      <c r="D112" s="36" t="str">
        <f>REPT("｜",$A112)&amp;TRIM(データ!E109)</f>
        <v>｜｜転落防止柵(撤去）</v>
      </c>
      <c r="E112" s="37" t="str">
        <f>TRIM(データ!F109)</f>
        <v/>
      </c>
      <c r="F112" s="38" t="str">
        <f>TRIM(データ!G109)</f>
        <v>ｍ</v>
      </c>
      <c r="G112" s="50">
        <f>データ!H109</f>
        <v>224</v>
      </c>
      <c r="H112" s="48">
        <f>データ!I109</f>
        <v>550</v>
      </c>
      <c r="I112" s="48">
        <f>データ!J109</f>
        <v>123200</v>
      </c>
      <c r="J112" s="39">
        <f>IF(OR($C112="総括",$C112="内訳書",$C112="内訳代価",$C112="明細書",$C112="明細代価",$C112="代価表",$C112="単価表"),データ!K109,"")</f>
        <v>224</v>
      </c>
      <c r="K112" s="11" t="str">
        <f t="shared" si="6"/>
        <v/>
      </c>
      <c r="L112" s="46">
        <f t="shared" si="7"/>
        <v>6.0097560975609756E-3</v>
      </c>
      <c r="M112" s="40" t="str">
        <f>IF(データ!L109="","",データ!L109)</f>
        <v/>
      </c>
      <c r="N112" s="41" t="str">
        <f>IF(データ!M109="","",データ!M109)</f>
        <v>53号内訳書</v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>
        <f>IF(OR($C112="総括",$C112="内訳書",$C112="内訳代価",$C112="明細書",$C112="明細代価",$C112="代価表",$C112="単価表"),データ!Q109,"")</f>
        <v>0</v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>
        <f>IF(OR($C112="総括",$C112="内訳書",$C112="内訳代価",$C112="明細書",$C112="明細代価",$C112="代価表",$C112="単価表"),データ!W109,"")</f>
        <v>0</v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/>
      </c>
      <c r="AF112" s="43" t="str">
        <f>TRIM(データ!Z109)</f>
        <v/>
      </c>
    </row>
    <row r="113" spans="1:32" x14ac:dyDescent="0.15">
      <c r="A113" s="47">
        <f>データ!A110</f>
        <v>3</v>
      </c>
      <c r="B113" s="47" t="str">
        <f>TRIM(データ!C110)</f>
        <v/>
      </c>
      <c r="C113" s="47" t="str">
        <f>TRIM(データ!D110)</f>
        <v>材料費</v>
      </c>
      <c r="D113" s="36" t="str">
        <f>REPT("｜",$A113)&amp;TRIM(データ!E110)</f>
        <v>｜｜｜雑材</v>
      </c>
      <c r="E113" s="37" t="str">
        <f>TRIM(データ!F110)</f>
        <v/>
      </c>
      <c r="F113" s="38" t="str">
        <f>TRIM(データ!G110)</f>
        <v>式</v>
      </c>
      <c r="G113" s="50">
        <f>データ!H110</f>
        <v>1</v>
      </c>
      <c r="H113" s="48">
        <f>データ!I110</f>
        <v>8200</v>
      </c>
      <c r="I113" s="48">
        <f>データ!J110</f>
        <v>8200</v>
      </c>
      <c r="J113" s="39" t="str">
        <f>IF(OR($C113="総括",$C113="内訳書",$C113="内訳代価",$C113="明細書",$C113="明細代価",$C113="代価表",$C113="単価表"),データ!K110,"")</f>
        <v/>
      </c>
      <c r="K113" s="11" t="str">
        <f t="shared" si="6"/>
        <v/>
      </c>
      <c r="L113" s="46">
        <f t="shared" si="7"/>
        <v>4.0000000000000002E-4</v>
      </c>
      <c r="M113" s="40" t="str">
        <f>IF(データ!L110="","",データ!L110)</f>
        <v/>
      </c>
      <c r="N113" s="41" t="str">
        <f>IF(データ!M110="","",データ!M110)</f>
        <v/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 t="str">
        <f>IF(OR($C113="総括",$C113="内訳書",$C113="内訳代価",$C113="明細書",$C113="明細代価",$C113="代価表",$C113="単価表"),データ!Q110,"")</f>
        <v/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 t="str">
        <f>IF(OR($C113="総括",$C113="内訳書",$C113="内訳代価",$C113="明細書",$C113="明細代価",$C113="代価表",$C113="単価表"),データ!W110,"")</f>
        <v/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>s20718001</v>
      </c>
      <c r="AF113" s="43" t="str">
        <f>TRIM(データ!Z110)</f>
        <v/>
      </c>
    </row>
    <row r="114" spans="1:32" x14ac:dyDescent="0.15">
      <c r="A114" s="47">
        <f>データ!A111</f>
        <v>3</v>
      </c>
      <c r="B114" s="47" t="str">
        <f>TRIM(データ!C111)</f>
        <v/>
      </c>
      <c r="C114" s="47" t="str">
        <f>TRIM(データ!D111)</f>
        <v>労務費</v>
      </c>
      <c r="D114" s="36" t="str">
        <f>REPT("｜",$A114)&amp;TRIM(データ!E111)</f>
        <v>｜｜｜運転工</v>
      </c>
      <c r="E114" s="37" t="str">
        <f>TRIM(データ!F111)</f>
        <v>8H</v>
      </c>
      <c r="F114" s="38" t="str">
        <f>TRIM(データ!G111)</f>
        <v>人</v>
      </c>
      <c r="G114" s="50">
        <f>データ!H111</f>
        <v>4</v>
      </c>
      <c r="H114" s="48">
        <f>データ!I111</f>
        <v>23000</v>
      </c>
      <c r="I114" s="48">
        <f>データ!J111</f>
        <v>92000</v>
      </c>
      <c r="J114" s="39" t="str">
        <f>IF(OR($C114="総括",$C114="内訳書",$C114="内訳代価",$C114="明細書",$C114="明細代価",$C114="代価表",$C114="単価表"),データ!K111,"")</f>
        <v/>
      </c>
      <c r="K114" s="11" t="str">
        <f t="shared" si="6"/>
        <v/>
      </c>
      <c r="L114" s="46">
        <f t="shared" si="7"/>
        <v>4.4878048780487801E-3</v>
      </c>
      <c r="M114" s="40" t="str">
        <f>IF(データ!L111="","",データ!L111)</f>
        <v/>
      </c>
      <c r="N114" s="41" t="str">
        <f>IF(データ!M111="","",データ!M111)</f>
        <v/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 t="str">
        <f>IF(OR($C114="総括",$C114="内訳書",$C114="内訳代価",$C114="明細書",$C114="明細代価",$C114="代価表",$C114="単価表"),データ!Q111,"")</f>
        <v/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 t="str">
        <f>IF(OR($C114="総括",$C114="内訳書",$C114="内訳代価",$C114="明細書",$C114="明細代価",$C114="代価表",$C114="単価表"),データ!W111,"")</f>
        <v/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>r20718007</v>
      </c>
      <c r="AF114" s="43" t="str">
        <f>TRIM(データ!Z111)</f>
        <v/>
      </c>
    </row>
    <row r="115" spans="1:32" x14ac:dyDescent="0.15">
      <c r="A115" s="47">
        <f>データ!A112</f>
        <v>3</v>
      </c>
      <c r="B115" s="47" t="str">
        <f>TRIM(データ!C112)</f>
        <v/>
      </c>
      <c r="C115" s="47" t="str">
        <f>TRIM(データ!D112)</f>
        <v>機械費</v>
      </c>
      <c r="D115" s="36" t="str">
        <f>REPT("｜",$A115)&amp;TRIM(データ!E112)</f>
        <v>｜｜｜BH0.25クレーン</v>
      </c>
      <c r="E115" s="37" t="str">
        <f>TRIM(データ!F112)</f>
        <v>低騒音・超小</v>
      </c>
      <c r="F115" s="38" t="str">
        <f>TRIM(データ!G112)</f>
        <v>日台</v>
      </c>
      <c r="G115" s="50">
        <f>データ!H112</f>
        <v>1</v>
      </c>
      <c r="H115" s="48">
        <f>データ!I112</f>
        <v>11000</v>
      </c>
      <c r="I115" s="48">
        <f>データ!J112</f>
        <v>11000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5.3658536585365858E-4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>k20718018</v>
      </c>
      <c r="AF115" s="43" t="str">
        <f>TRIM(データ!Z112)</f>
        <v/>
      </c>
    </row>
    <row r="116" spans="1:32" x14ac:dyDescent="0.15">
      <c r="A116" s="47">
        <f>データ!A113</f>
        <v>3</v>
      </c>
      <c r="B116" s="47" t="str">
        <f>TRIM(データ!C113)</f>
        <v/>
      </c>
      <c r="C116" s="47" t="str">
        <f>TRIM(データ!D113)</f>
        <v>運搬費</v>
      </c>
      <c r="D116" s="36" t="str">
        <f>REPT("｜",$A116)&amp;TRIM(データ!E113)</f>
        <v>｜｜｜2tダンプ</v>
      </c>
      <c r="E116" s="37" t="str">
        <f>TRIM(データ!F113)</f>
        <v/>
      </c>
      <c r="F116" s="38" t="str">
        <f>TRIM(データ!G113)</f>
        <v>台</v>
      </c>
      <c r="G116" s="50">
        <f>データ!H113</f>
        <v>2</v>
      </c>
      <c r="H116" s="48">
        <f>データ!I113</f>
        <v>6000</v>
      </c>
      <c r="I116" s="48">
        <f>データ!J113</f>
        <v>12000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5.8536585365853656E-4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>u20718025</v>
      </c>
      <c r="AF116" s="43" t="str">
        <f>TRIM(データ!Z113)</f>
        <v/>
      </c>
    </row>
    <row r="117" spans="1:32" x14ac:dyDescent="0.15">
      <c r="A117" s="47">
        <f>データ!A114</f>
        <v>1</v>
      </c>
      <c r="B117" s="47" t="str">
        <f>TRIM(データ!C114)</f>
        <v/>
      </c>
      <c r="C117" s="47" t="str">
        <f>TRIM(データ!D114)</f>
        <v>内訳書</v>
      </c>
      <c r="D117" s="36" t="str">
        <f>REPT("｜",$A117)&amp;TRIM(データ!E114)</f>
        <v>｜管理用道路工</v>
      </c>
      <c r="E117" s="37" t="str">
        <f>TRIM(データ!F114)</f>
        <v/>
      </c>
      <c r="F117" s="38" t="str">
        <f>TRIM(データ!G114)</f>
        <v>式</v>
      </c>
      <c r="G117" s="50">
        <f>データ!H114</f>
        <v>1</v>
      </c>
      <c r="H117" s="48">
        <f>データ!I114</f>
        <v>2839400</v>
      </c>
      <c r="I117" s="48">
        <f>データ!J114</f>
        <v>2839400</v>
      </c>
      <c r="J117" s="39">
        <f>IF(OR($C117="総括",$C117="内訳書",$C117="内訳代価",$C117="明細書",$C117="明細代価",$C117="代価表",$C117="単価表"),データ!K114,"")</f>
        <v>1</v>
      </c>
      <c r="K117" s="11" t="str">
        <f t="shared" si="6"/>
        <v/>
      </c>
      <c r="L117" s="46">
        <f t="shared" si="7"/>
        <v>0.13850731707317074</v>
      </c>
      <c r="M117" s="40" t="str">
        <f>IF(データ!L114="","",データ!L114)</f>
        <v/>
      </c>
      <c r="N117" s="41" t="str">
        <f>IF(データ!M114="","",データ!M114)</f>
        <v>29号内訳書</v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>
        <f>IF(OR($C117="総括",$C117="内訳書",$C117="内訳代価",$C117="明細書",$C117="明細代価",$C117="代価表",$C117="単価表"),データ!Q114,"")</f>
        <v>0</v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>
        <f>IF(OR($C117="総括",$C117="内訳書",$C117="内訳代価",$C117="明細書",$C117="明細代価",$C117="代価表",$C117="単価表"),データ!W114,"")</f>
        <v>0</v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/>
      </c>
      <c r="AF117" s="43" t="str">
        <f>TRIM(データ!Z114)</f>
        <v/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内訳代価</v>
      </c>
      <c r="D118" s="36" t="str">
        <f>REPT("｜",$A118)&amp;TRIM(データ!E115)</f>
        <v>｜｜舗装版切断工</v>
      </c>
      <c r="E118" s="37" t="str">
        <f>TRIM(データ!F115)</f>
        <v>As　t=5cm</v>
      </c>
      <c r="F118" s="38" t="str">
        <f>TRIM(データ!G115)</f>
        <v>ｍ</v>
      </c>
      <c r="G118" s="50">
        <f>データ!H115</f>
        <v>5</v>
      </c>
      <c r="H118" s="48">
        <f>データ!I115</f>
        <v>4000</v>
      </c>
      <c r="I118" s="48">
        <f>データ!J115</f>
        <v>20000</v>
      </c>
      <c r="J118" s="39">
        <f>IF(OR($C118="総括",$C118="内訳書",$C118="内訳代価",$C118="明細書",$C118="明細代価",$C118="代価表",$C118="単価表"),データ!K115,"")</f>
        <v>5</v>
      </c>
      <c r="K118" s="11" t="str">
        <f t="shared" si="6"/>
        <v/>
      </c>
      <c r="L118" s="46">
        <f t="shared" si="7"/>
        <v>9.7560975609756097E-4</v>
      </c>
      <c r="M118" s="40" t="str">
        <f>IF(データ!L115="","",データ!L115)</f>
        <v/>
      </c>
      <c r="N118" s="41" t="str">
        <f>IF(データ!M115="","",データ!M115)</f>
        <v>30号内訳書</v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>
        <f>IF(OR($C118="総括",$C118="内訳書",$C118="内訳代価",$C118="明細書",$C118="明細代価",$C118="代価表",$C118="単価表"),データ!Q115,"")</f>
        <v>0</v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>
        <f>IF(OR($C118="総括",$C118="内訳書",$C118="内訳代価",$C118="明細書",$C118="明細代価",$C118="代価表",$C118="単価表"),データ!W115,"")</f>
        <v>0</v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/>
      </c>
      <c r="AF118" s="43" t="str">
        <f>TRIM(データ!Z115)</f>
        <v/>
      </c>
    </row>
    <row r="119" spans="1:32" x14ac:dyDescent="0.15">
      <c r="A119" s="47">
        <f>データ!A116</f>
        <v>3</v>
      </c>
      <c r="B119" s="47" t="str">
        <f>TRIM(データ!C116)</f>
        <v/>
      </c>
      <c r="C119" s="47" t="str">
        <f>TRIM(データ!D116)</f>
        <v>外注費</v>
      </c>
      <c r="D119" s="36" t="str">
        <f>REPT("｜",$A119)&amp;TRIM(データ!E116)</f>
        <v>｜｜｜舗装切断(最低)</v>
      </c>
      <c r="E119" s="37" t="str">
        <f>TRIM(データ!F116)</f>
        <v>最低補償</v>
      </c>
      <c r="F119" s="38" t="str">
        <f>TRIM(データ!G116)</f>
        <v>回</v>
      </c>
      <c r="G119" s="50">
        <f>データ!H116</f>
        <v>1</v>
      </c>
      <c r="H119" s="48">
        <f>データ!I116</f>
        <v>20000</v>
      </c>
      <c r="I119" s="48">
        <f>データ!J116</f>
        <v>20000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9.7560975609756097E-4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>g20718050</v>
      </c>
      <c r="AF119" s="43" t="str">
        <f>TRIM(データ!Z116)</f>
        <v/>
      </c>
    </row>
    <row r="120" spans="1:32" x14ac:dyDescent="0.15">
      <c r="A120" s="47">
        <f>データ!A117</f>
        <v>2</v>
      </c>
      <c r="B120" s="47" t="str">
        <f>TRIM(データ!C117)</f>
        <v/>
      </c>
      <c r="C120" s="47" t="str">
        <f>TRIM(データ!D117)</f>
        <v>内訳代価</v>
      </c>
      <c r="D120" s="36" t="str">
        <f>REPT("｜",$A120)&amp;TRIM(データ!E117)</f>
        <v>｜｜舗装版破砕　As　t=5cm</v>
      </c>
      <c r="E120" s="37" t="str">
        <f>TRIM(データ!F117)</f>
        <v>不陸整正　RC-40</v>
      </c>
      <c r="F120" s="38" t="str">
        <f>TRIM(データ!G117)</f>
        <v>m2</v>
      </c>
      <c r="G120" s="50">
        <f>データ!H117</f>
        <v>635</v>
      </c>
      <c r="H120" s="48">
        <f>データ!I117</f>
        <v>1700</v>
      </c>
      <c r="I120" s="48">
        <f>データ!J117</f>
        <v>1079500</v>
      </c>
      <c r="J120" s="39">
        <f>IF(OR($C120="総括",$C120="内訳書",$C120="内訳代価",$C120="明細書",$C120="明細代価",$C120="代価表",$C120="単価表"),データ!K117,"")</f>
        <v>635</v>
      </c>
      <c r="K120" s="11" t="str">
        <f t="shared" si="6"/>
        <v/>
      </c>
      <c r="L120" s="46">
        <f t="shared" si="7"/>
        <v>5.2658536585365852E-2</v>
      </c>
      <c r="M120" s="40" t="str">
        <f>IF(データ!L117="","",データ!L117)</f>
        <v/>
      </c>
      <c r="N120" s="41" t="str">
        <f>IF(データ!M117="","",データ!M117)</f>
        <v>31号内訳書</v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>
        <f>IF(OR($C120="総括",$C120="内訳書",$C120="内訳代価",$C120="明細書",$C120="明細代価",$C120="代価表",$C120="単価表"),データ!Q117,"")</f>
        <v>0</v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>
        <f>IF(OR($C120="総括",$C120="内訳書",$C120="内訳代価",$C120="明細書",$C120="明細代価",$C120="代価表",$C120="単価表"),データ!W117,"")</f>
        <v>0</v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/>
      </c>
      <c r="AF120" s="43" t="str">
        <f>TRIM(データ!Z117)</f>
        <v/>
      </c>
    </row>
    <row r="121" spans="1:32" x14ac:dyDescent="0.15">
      <c r="A121" s="47">
        <f>データ!A118</f>
        <v>3</v>
      </c>
      <c r="B121" s="47" t="str">
        <f>TRIM(データ!C118)</f>
        <v/>
      </c>
      <c r="C121" s="47" t="str">
        <f>TRIM(データ!D118)</f>
        <v>材料費</v>
      </c>
      <c r="D121" s="36" t="str">
        <f>REPT("｜",$A121)&amp;TRIM(データ!E118)</f>
        <v>｜｜｜雑材</v>
      </c>
      <c r="E121" s="37" t="str">
        <f>TRIM(データ!F118)</f>
        <v/>
      </c>
      <c r="F121" s="38" t="str">
        <f>TRIM(データ!G118)</f>
        <v>式</v>
      </c>
      <c r="G121" s="50">
        <f>データ!H118</f>
        <v>4</v>
      </c>
      <c r="H121" s="48">
        <f>データ!I118</f>
        <v>5000</v>
      </c>
      <c r="I121" s="48">
        <f>データ!J118</f>
        <v>20000</v>
      </c>
      <c r="J121" s="39" t="str">
        <f>IF(OR($C121="総括",$C121="内訳書",$C121="内訳代価",$C121="明細書",$C121="明細代価",$C121="代価表",$C121="単価表"),データ!K118,"")</f>
        <v/>
      </c>
      <c r="K121" s="11" t="str">
        <f t="shared" si="6"/>
        <v/>
      </c>
      <c r="L121" s="46">
        <f t="shared" si="7"/>
        <v>9.7560975609756097E-4</v>
      </c>
      <c r="M121" s="40" t="str">
        <f>IF(データ!L118="","",データ!L118)</f>
        <v/>
      </c>
      <c r="N121" s="41" t="str">
        <f>IF(データ!M118="","",データ!M118)</f>
        <v/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 t="str">
        <f>IF(OR($C121="総括",$C121="内訳書",$C121="内訳代価",$C121="明細書",$C121="明細代価",$C121="代価表",$C121="単価表"),データ!Q118,"")</f>
        <v/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 t="str">
        <f>IF(OR($C121="総括",$C121="内訳書",$C121="内訳代価",$C121="明細書",$C121="明細代価",$C121="代価表",$C121="単価表"),データ!W118,"")</f>
        <v/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>s20718001</v>
      </c>
      <c r="AF121" s="43" t="str">
        <f>TRIM(データ!Z118)</f>
        <v/>
      </c>
    </row>
    <row r="122" spans="1:32" x14ac:dyDescent="0.15">
      <c r="A122" s="47">
        <f>データ!A119</f>
        <v>3</v>
      </c>
      <c r="B122" s="47" t="str">
        <f>TRIM(データ!C119)</f>
        <v/>
      </c>
      <c r="C122" s="47" t="str">
        <f>TRIM(データ!D119)</f>
        <v>材料費</v>
      </c>
      <c r="D122" s="36" t="str">
        <f>REPT("｜",$A122)&amp;TRIM(データ!E119)</f>
        <v>｜｜｜雑材</v>
      </c>
      <c r="E122" s="37" t="str">
        <f>TRIM(データ!F119)</f>
        <v/>
      </c>
      <c r="F122" s="38" t="str">
        <f>TRIM(データ!G119)</f>
        <v>式</v>
      </c>
      <c r="G122" s="50">
        <f>データ!H119</f>
        <v>1</v>
      </c>
      <c r="H122" s="48">
        <f>データ!I119</f>
        <v>500</v>
      </c>
      <c r="I122" s="48">
        <f>データ!J119</f>
        <v>500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2.4390243902439026E-5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>s20718001</v>
      </c>
      <c r="AF122" s="43" t="str">
        <f>TRIM(データ!Z119)</f>
        <v/>
      </c>
    </row>
    <row r="123" spans="1:32" x14ac:dyDescent="0.15">
      <c r="A123" s="47">
        <f>データ!A120</f>
        <v>3</v>
      </c>
      <c r="B123" s="47" t="str">
        <f>TRIM(データ!C120)</f>
        <v/>
      </c>
      <c r="C123" s="47" t="str">
        <f>TRIM(データ!D120)</f>
        <v>材料費</v>
      </c>
      <c r="D123" s="36" t="str">
        <f>REPT("｜",$A123)&amp;TRIM(データ!E120)</f>
        <v>｜｜｜軽油</v>
      </c>
      <c r="E123" s="37" t="str">
        <f>TRIM(データ!F120)</f>
        <v/>
      </c>
      <c r="F123" s="38" t="str">
        <f>TRIM(データ!G120)</f>
        <v>L</v>
      </c>
      <c r="G123" s="50">
        <f>データ!H120</f>
        <v>300</v>
      </c>
      <c r="H123" s="48">
        <f>データ!I120</f>
        <v>160</v>
      </c>
      <c r="I123" s="48">
        <f>データ!J120</f>
        <v>48000</v>
      </c>
      <c r="J123" s="39" t="str">
        <f>IF(OR($C123="総括",$C123="内訳書",$C123="内訳代価",$C123="明細書",$C123="明細代価",$C123="代価表",$C123="単価表"),データ!K120,"")</f>
        <v/>
      </c>
      <c r="K123" s="11" t="str">
        <f t="shared" si="6"/>
        <v/>
      </c>
      <c r="L123" s="46">
        <f t="shared" si="7"/>
        <v>2.3414634146341463E-3</v>
      </c>
      <c r="M123" s="40" t="str">
        <f>IF(データ!L120="","",データ!L120)</f>
        <v/>
      </c>
      <c r="N123" s="41" t="str">
        <f>IF(データ!M120="","",データ!M120)</f>
        <v/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 t="str">
        <f>IF(OR($C123="総括",$C123="内訳書",$C123="内訳代価",$C123="明細書",$C123="明細代価",$C123="代価表",$C123="単価表"),データ!Q120,"")</f>
        <v/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 t="str">
        <f>IF(OR($C123="総括",$C123="内訳書",$C123="内訳代価",$C123="明細書",$C123="明細代価",$C123="代価表",$C123="単価表"),データ!W120,"")</f>
        <v/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>s20718549</v>
      </c>
      <c r="AF123" s="43" t="str">
        <f>TRIM(データ!Z120)</f>
        <v/>
      </c>
    </row>
    <row r="124" spans="1:32" x14ac:dyDescent="0.15">
      <c r="A124" s="47">
        <f>データ!A121</f>
        <v>3</v>
      </c>
      <c r="B124" s="47" t="str">
        <f>TRIM(データ!C121)</f>
        <v/>
      </c>
      <c r="C124" s="47" t="str">
        <f>TRIM(データ!D121)</f>
        <v>材料費</v>
      </c>
      <c r="D124" s="36" t="str">
        <f>REPT("｜",$A124)&amp;TRIM(データ!E121)</f>
        <v>｜｜｜RC-40</v>
      </c>
      <c r="E124" s="37" t="str">
        <f>TRIM(データ!F121)</f>
        <v/>
      </c>
      <c r="F124" s="38" t="str">
        <f>TRIM(データ!G121)</f>
        <v>ｔ</v>
      </c>
      <c r="G124" s="50">
        <f>データ!H121</f>
        <v>80</v>
      </c>
      <c r="H124" s="48">
        <f>データ!I121</f>
        <v>600</v>
      </c>
      <c r="I124" s="48">
        <f>データ!J121</f>
        <v>48000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2.3414634146341463E-3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>s20718025</v>
      </c>
      <c r="AF124" s="43" t="str">
        <f>TRIM(データ!Z121)</f>
        <v/>
      </c>
    </row>
    <row r="125" spans="1:32" x14ac:dyDescent="0.15">
      <c r="A125" s="47">
        <f>データ!A122</f>
        <v>3</v>
      </c>
      <c r="B125" s="47" t="str">
        <f>TRIM(データ!C122)</f>
        <v/>
      </c>
      <c r="C125" s="47" t="str">
        <f>TRIM(データ!D122)</f>
        <v>労務費</v>
      </c>
      <c r="D125" s="36" t="str">
        <f>REPT("｜",$A125)&amp;TRIM(データ!E122)</f>
        <v>｜｜｜運転工</v>
      </c>
      <c r="E125" s="37" t="str">
        <f>TRIM(データ!F122)</f>
        <v>8H</v>
      </c>
      <c r="F125" s="38" t="str">
        <f>TRIM(データ!G122)</f>
        <v>人</v>
      </c>
      <c r="G125" s="50">
        <f>データ!H122</f>
        <v>33</v>
      </c>
      <c r="H125" s="48">
        <f>データ!I122</f>
        <v>23000</v>
      </c>
      <c r="I125" s="48">
        <f>データ!J122</f>
        <v>759000</v>
      </c>
      <c r="J125" s="39" t="str">
        <f>IF(OR($C125="総括",$C125="内訳書",$C125="内訳代価",$C125="明細書",$C125="明細代価",$C125="代価表",$C125="単価表"),データ!K122,"")</f>
        <v/>
      </c>
      <c r="K125" s="11" t="str">
        <f t="shared" si="6"/>
        <v/>
      </c>
      <c r="L125" s="46">
        <f t="shared" si="7"/>
        <v>3.7024390243902437E-2</v>
      </c>
      <c r="M125" s="40" t="str">
        <f>IF(データ!L122="","",データ!L122)</f>
        <v/>
      </c>
      <c r="N125" s="41" t="str">
        <f>IF(データ!M122="","",データ!M122)</f>
        <v/>
      </c>
      <c r="O125" s="42">
        <f>データ!N122</f>
        <v>0</v>
      </c>
      <c r="P125" s="48">
        <f>IF($C125="集計行","",データ!O122)</f>
        <v>0</v>
      </c>
      <c r="Q125" s="48">
        <f>データ!P122</f>
        <v>0</v>
      </c>
      <c r="R125" s="39" t="str">
        <f>IF(OR($C125="総括",$C125="内訳書",$C125="内訳代価",$C125="明細書",$C125="明細代価",$C125="代価表",$C125="単価表"),データ!Q122,"")</f>
        <v/>
      </c>
      <c r="S125" s="11" t="str">
        <f t="shared" si="8"/>
        <v/>
      </c>
      <c r="T125" s="46" t="e">
        <f t="shared" si="9"/>
        <v>#DIV/0!</v>
      </c>
      <c r="U125" s="40" t="str">
        <f>IF(データ!R122="","",データ!R122)</f>
        <v/>
      </c>
      <c r="V125" s="41" t="str">
        <f>IF(データ!S122="","",データ!S122)</f>
        <v/>
      </c>
      <c r="W125" s="42">
        <f>データ!T122</f>
        <v>0</v>
      </c>
      <c r="X125" s="48">
        <f>IF($C125="集計行","",データ!U122)</f>
        <v>0</v>
      </c>
      <c r="Y125" s="48">
        <f>データ!V122</f>
        <v>0</v>
      </c>
      <c r="Z125" s="39" t="str">
        <f>IF(OR($C125="総括",$C125="内訳書",$C125="内訳代価",$C125="明細書",$C125="明細代価",$C125="代価表",$C125="単価表"),データ!W122,"")</f>
        <v/>
      </c>
      <c r="AA125" s="11" t="str">
        <f t="shared" si="10"/>
        <v/>
      </c>
      <c r="AB125" s="46" t="e">
        <f t="shared" si="11"/>
        <v>#DIV/0!</v>
      </c>
      <c r="AC125" s="40" t="str">
        <f>IF(データ!X122="","",データ!X122)</f>
        <v/>
      </c>
      <c r="AD125" s="41" t="str">
        <f>IF(データ!Y122="","",データ!Y122)</f>
        <v/>
      </c>
      <c r="AE125" s="47" t="str">
        <f>TRIM(データ!B122)</f>
        <v>r20718007</v>
      </c>
      <c r="AF125" s="43" t="str">
        <f>TRIM(データ!Z122)</f>
        <v/>
      </c>
    </row>
    <row r="126" spans="1:32" x14ac:dyDescent="0.15">
      <c r="A126" s="47">
        <f>データ!A123</f>
        <v>3</v>
      </c>
      <c r="B126" s="47" t="str">
        <f>TRIM(データ!C123)</f>
        <v/>
      </c>
      <c r="C126" s="47" t="str">
        <f>TRIM(データ!D123)</f>
        <v>機械費</v>
      </c>
      <c r="D126" s="36" t="str">
        <f>REPT("｜",$A126)&amp;TRIM(データ!E123)</f>
        <v>｜｜｜押ブルドーザー</v>
      </c>
      <c r="E126" s="37" t="str">
        <f>TRIM(データ!F123)</f>
        <v>D20 低騒音</v>
      </c>
      <c r="F126" s="38" t="str">
        <f>TRIM(データ!G123)</f>
        <v>日台</v>
      </c>
      <c r="G126" s="50">
        <f>データ!H123</f>
        <v>4</v>
      </c>
      <c r="H126" s="48">
        <f>データ!I123</f>
        <v>7000</v>
      </c>
      <c r="I126" s="48">
        <f>データ!J123</f>
        <v>28000</v>
      </c>
      <c r="J126" s="39" t="str">
        <f>IF(OR($C126="総括",$C126="内訳書",$C126="内訳代価",$C126="明細書",$C126="明細代価",$C126="代価表",$C126="単価表"),データ!K123,"")</f>
        <v/>
      </c>
      <c r="K126" s="11" t="str">
        <f t="shared" si="6"/>
        <v/>
      </c>
      <c r="L126" s="46">
        <f t="shared" si="7"/>
        <v>1.3658536585365853E-3</v>
      </c>
      <c r="M126" s="40" t="str">
        <f>IF(データ!L123="","",データ!L123)</f>
        <v/>
      </c>
      <c r="N126" s="41" t="str">
        <f>IF(データ!M123="","",データ!M123)</f>
        <v/>
      </c>
      <c r="O126" s="42">
        <f>データ!N123</f>
        <v>0</v>
      </c>
      <c r="P126" s="48">
        <f>IF($C126="集計行","",データ!O123)</f>
        <v>0</v>
      </c>
      <c r="Q126" s="48">
        <f>データ!P123</f>
        <v>0</v>
      </c>
      <c r="R126" s="39" t="str">
        <f>IF(OR($C126="総括",$C126="内訳書",$C126="内訳代価",$C126="明細書",$C126="明細代価",$C126="代価表",$C126="単価表"),データ!Q123,"")</f>
        <v/>
      </c>
      <c r="S126" s="11" t="str">
        <f t="shared" si="8"/>
        <v/>
      </c>
      <c r="T126" s="46" t="e">
        <f t="shared" si="9"/>
        <v>#DIV/0!</v>
      </c>
      <c r="U126" s="40" t="str">
        <f>IF(データ!R123="","",データ!R123)</f>
        <v/>
      </c>
      <c r="V126" s="41" t="str">
        <f>IF(データ!S123="","",データ!S123)</f>
        <v/>
      </c>
      <c r="W126" s="42">
        <f>データ!T123</f>
        <v>0</v>
      </c>
      <c r="X126" s="48">
        <f>IF($C126="集計行","",データ!U123)</f>
        <v>0</v>
      </c>
      <c r="Y126" s="48">
        <f>データ!V123</f>
        <v>0</v>
      </c>
      <c r="Z126" s="39" t="str">
        <f>IF(OR($C126="総括",$C126="内訳書",$C126="内訳代価",$C126="明細書",$C126="明細代価",$C126="代価表",$C126="単価表"),データ!W123,"")</f>
        <v/>
      </c>
      <c r="AA126" s="11" t="str">
        <f t="shared" si="10"/>
        <v/>
      </c>
      <c r="AB126" s="46" t="e">
        <f t="shared" si="11"/>
        <v>#DIV/0!</v>
      </c>
      <c r="AC126" s="40" t="str">
        <f>IF(データ!X123="","",データ!X123)</f>
        <v/>
      </c>
      <c r="AD126" s="41" t="str">
        <f>IF(データ!Y123="","",データ!Y123)</f>
        <v/>
      </c>
      <c r="AE126" s="47" t="str">
        <f>TRIM(データ!B123)</f>
        <v>k20718028</v>
      </c>
      <c r="AF126" s="43" t="str">
        <f>TRIM(データ!Z123)</f>
        <v/>
      </c>
    </row>
    <row r="127" spans="1:32" x14ac:dyDescent="0.15">
      <c r="A127" s="47">
        <f>データ!A124</f>
        <v>3</v>
      </c>
      <c r="B127" s="47" t="str">
        <f>TRIM(データ!C124)</f>
        <v/>
      </c>
      <c r="C127" s="47" t="str">
        <f>TRIM(データ!D124)</f>
        <v>機械費</v>
      </c>
      <c r="D127" s="36" t="str">
        <f>REPT("｜",$A127)&amp;TRIM(データ!E124)</f>
        <v>｜｜｜BH0.25クレーン</v>
      </c>
      <c r="E127" s="37" t="str">
        <f>TRIM(データ!F124)</f>
        <v>低騒音・超小</v>
      </c>
      <c r="F127" s="38" t="str">
        <f>TRIM(データ!G124)</f>
        <v>日台</v>
      </c>
      <c r="G127" s="50">
        <f>データ!H124</f>
        <v>4</v>
      </c>
      <c r="H127" s="48">
        <f>データ!I124</f>
        <v>11000</v>
      </c>
      <c r="I127" s="48">
        <f>データ!J124</f>
        <v>44000</v>
      </c>
      <c r="J127" s="39" t="str">
        <f>IF(OR($C127="総括",$C127="内訳書",$C127="内訳代価",$C127="明細書",$C127="明細代価",$C127="代価表",$C127="単価表"),データ!K124,"")</f>
        <v/>
      </c>
      <c r="K127" s="11" t="str">
        <f t="shared" si="6"/>
        <v/>
      </c>
      <c r="L127" s="46">
        <f t="shared" si="7"/>
        <v>2.1463414634146343E-3</v>
      </c>
      <c r="M127" s="40" t="str">
        <f>IF(データ!L124="","",データ!L124)</f>
        <v/>
      </c>
      <c r="N127" s="41" t="str">
        <f>IF(データ!M124="","",データ!M124)</f>
        <v/>
      </c>
      <c r="O127" s="42">
        <f>データ!N124</f>
        <v>0</v>
      </c>
      <c r="P127" s="48">
        <f>IF($C127="集計行","",データ!O124)</f>
        <v>0</v>
      </c>
      <c r="Q127" s="48">
        <f>データ!P124</f>
        <v>0</v>
      </c>
      <c r="R127" s="39" t="str">
        <f>IF(OR($C127="総括",$C127="内訳書",$C127="内訳代価",$C127="明細書",$C127="明細代価",$C127="代価表",$C127="単価表"),データ!Q124,"")</f>
        <v/>
      </c>
      <c r="S127" s="11" t="str">
        <f t="shared" si="8"/>
        <v/>
      </c>
      <c r="T127" s="46" t="e">
        <f t="shared" si="9"/>
        <v>#DIV/0!</v>
      </c>
      <c r="U127" s="40" t="str">
        <f>IF(データ!R124="","",データ!R124)</f>
        <v/>
      </c>
      <c r="V127" s="41" t="str">
        <f>IF(データ!S124="","",データ!S124)</f>
        <v/>
      </c>
      <c r="W127" s="42">
        <f>データ!T124</f>
        <v>0</v>
      </c>
      <c r="X127" s="48">
        <f>IF($C127="集計行","",データ!U124)</f>
        <v>0</v>
      </c>
      <c r="Y127" s="48">
        <f>データ!V124</f>
        <v>0</v>
      </c>
      <c r="Z127" s="39" t="str">
        <f>IF(OR($C127="総括",$C127="内訳書",$C127="内訳代価",$C127="明細書",$C127="明細代価",$C127="代価表",$C127="単価表"),データ!W124,"")</f>
        <v/>
      </c>
      <c r="AA127" s="11" t="str">
        <f t="shared" si="10"/>
        <v/>
      </c>
      <c r="AB127" s="46" t="e">
        <f t="shared" si="11"/>
        <v>#DIV/0!</v>
      </c>
      <c r="AC127" s="40" t="str">
        <f>IF(データ!X124="","",データ!X124)</f>
        <v/>
      </c>
      <c r="AD127" s="41" t="str">
        <f>IF(データ!Y124="","",データ!Y124)</f>
        <v/>
      </c>
      <c r="AE127" s="47" t="str">
        <f>TRIM(データ!B124)</f>
        <v>k20718018</v>
      </c>
      <c r="AF127" s="43" t="str">
        <f>TRIM(データ!Z124)</f>
        <v/>
      </c>
    </row>
    <row r="128" spans="1:32" x14ac:dyDescent="0.15">
      <c r="A128" s="47">
        <f>データ!A125</f>
        <v>3</v>
      </c>
      <c r="B128" s="47" t="str">
        <f>TRIM(データ!C125)</f>
        <v/>
      </c>
      <c r="C128" s="47" t="str">
        <f>TRIM(データ!D125)</f>
        <v>機械費</v>
      </c>
      <c r="D128" s="36" t="str">
        <f>REPT("｜",$A128)&amp;TRIM(データ!E125)</f>
        <v>｜｜｜BH0.15クレーン</v>
      </c>
      <c r="E128" s="37" t="str">
        <f>TRIM(データ!F125)</f>
        <v>低騒音・超小</v>
      </c>
      <c r="F128" s="38" t="str">
        <f>TRIM(データ!G125)</f>
        <v>日台</v>
      </c>
      <c r="G128" s="50">
        <f>データ!H125</f>
        <v>4</v>
      </c>
      <c r="H128" s="48">
        <f>データ!I125</f>
        <v>7000</v>
      </c>
      <c r="I128" s="48">
        <f>データ!J125</f>
        <v>28000</v>
      </c>
      <c r="J128" s="39" t="str">
        <f>IF(OR($C128="総括",$C128="内訳書",$C128="内訳代価",$C128="明細書",$C128="明細代価",$C128="代価表",$C128="単価表"),データ!K125,"")</f>
        <v/>
      </c>
      <c r="K128" s="11" t="str">
        <f t="shared" si="6"/>
        <v/>
      </c>
      <c r="L128" s="46">
        <f t="shared" si="7"/>
        <v>1.3658536585365853E-3</v>
      </c>
      <c r="M128" s="40" t="str">
        <f>IF(データ!L125="","",データ!L125)</f>
        <v/>
      </c>
      <c r="N128" s="41" t="str">
        <f>IF(データ!M125="","",データ!M125)</f>
        <v/>
      </c>
      <c r="O128" s="42">
        <f>データ!N125</f>
        <v>0</v>
      </c>
      <c r="P128" s="48">
        <f>IF($C128="集計行","",データ!O125)</f>
        <v>0</v>
      </c>
      <c r="Q128" s="48">
        <f>データ!P125</f>
        <v>0</v>
      </c>
      <c r="R128" s="39" t="str">
        <f>IF(OR($C128="総括",$C128="内訳書",$C128="内訳代価",$C128="明細書",$C128="明細代価",$C128="代価表",$C128="単価表"),データ!Q125,"")</f>
        <v/>
      </c>
      <c r="S128" s="11" t="str">
        <f t="shared" si="8"/>
        <v/>
      </c>
      <c r="T128" s="46" t="e">
        <f t="shared" si="9"/>
        <v>#DIV/0!</v>
      </c>
      <c r="U128" s="40" t="str">
        <f>IF(データ!R125="","",データ!R125)</f>
        <v/>
      </c>
      <c r="V128" s="41" t="str">
        <f>IF(データ!S125="","",データ!S125)</f>
        <v/>
      </c>
      <c r="W128" s="42">
        <f>データ!T125</f>
        <v>0</v>
      </c>
      <c r="X128" s="48">
        <f>IF($C128="集計行","",データ!U125)</f>
        <v>0</v>
      </c>
      <c r="Y128" s="48">
        <f>データ!V125</f>
        <v>0</v>
      </c>
      <c r="Z128" s="39" t="str">
        <f>IF(OR($C128="総括",$C128="内訳書",$C128="内訳代価",$C128="明細書",$C128="明細代価",$C128="代価表",$C128="単価表"),データ!W125,"")</f>
        <v/>
      </c>
      <c r="AA128" s="11" t="str">
        <f t="shared" si="10"/>
        <v/>
      </c>
      <c r="AB128" s="46" t="e">
        <f t="shared" si="11"/>
        <v>#DIV/0!</v>
      </c>
      <c r="AC128" s="40" t="str">
        <f>IF(データ!X125="","",データ!X125)</f>
        <v/>
      </c>
      <c r="AD128" s="41" t="str">
        <f>IF(データ!Y125="","",データ!Y125)</f>
        <v/>
      </c>
      <c r="AE128" s="47" t="str">
        <f>TRIM(データ!B125)</f>
        <v>k20718014</v>
      </c>
      <c r="AF128" s="43" t="str">
        <f>TRIM(データ!Z125)</f>
        <v/>
      </c>
    </row>
    <row r="129" spans="1:32" x14ac:dyDescent="0.15">
      <c r="A129" s="47">
        <f>データ!A126</f>
        <v>3</v>
      </c>
      <c r="B129" s="47" t="str">
        <f>TRIM(データ!C126)</f>
        <v/>
      </c>
      <c r="C129" s="47" t="str">
        <f>TRIM(データ!D126)</f>
        <v>機械費</v>
      </c>
      <c r="D129" s="36" t="str">
        <f>REPT("｜",$A129)&amp;TRIM(データ!E126)</f>
        <v>｜｜｜タイヤショベル0.5</v>
      </c>
      <c r="E129" s="37" t="str">
        <f>TRIM(データ!F126)</f>
        <v>低騒音</v>
      </c>
      <c r="F129" s="38" t="str">
        <f>TRIM(データ!G126)</f>
        <v>日台</v>
      </c>
      <c r="G129" s="50">
        <f>データ!H126</f>
        <v>4</v>
      </c>
      <c r="H129" s="48">
        <f>データ!I126</f>
        <v>6000</v>
      </c>
      <c r="I129" s="48">
        <f>データ!J126</f>
        <v>24000</v>
      </c>
      <c r="J129" s="39" t="str">
        <f>IF(OR($C129="総括",$C129="内訳書",$C129="内訳代価",$C129="明細書",$C129="明細代価",$C129="代価表",$C129="単価表"),データ!K126,"")</f>
        <v/>
      </c>
      <c r="K129" s="11" t="str">
        <f t="shared" si="6"/>
        <v/>
      </c>
      <c r="L129" s="46">
        <f t="shared" si="7"/>
        <v>1.1707317073170731E-3</v>
      </c>
      <c r="M129" s="40" t="str">
        <f>IF(データ!L126="","",データ!L126)</f>
        <v/>
      </c>
      <c r="N129" s="41" t="str">
        <f>IF(データ!M126="","",データ!M126)</f>
        <v/>
      </c>
      <c r="O129" s="42">
        <f>データ!N126</f>
        <v>0</v>
      </c>
      <c r="P129" s="48">
        <f>IF($C129="集計行","",データ!O126)</f>
        <v>0</v>
      </c>
      <c r="Q129" s="48">
        <f>データ!P126</f>
        <v>0</v>
      </c>
      <c r="R129" s="39" t="str">
        <f>IF(OR($C129="総括",$C129="内訳書",$C129="内訳代価",$C129="明細書",$C129="明細代価",$C129="代価表",$C129="単価表"),データ!Q126,"")</f>
        <v/>
      </c>
      <c r="S129" s="11" t="str">
        <f t="shared" si="8"/>
        <v/>
      </c>
      <c r="T129" s="46" t="e">
        <f t="shared" si="9"/>
        <v>#DIV/0!</v>
      </c>
      <c r="U129" s="40" t="str">
        <f>IF(データ!R126="","",データ!R126)</f>
        <v/>
      </c>
      <c r="V129" s="41" t="str">
        <f>IF(データ!S126="","",データ!S126)</f>
        <v/>
      </c>
      <c r="W129" s="42">
        <f>データ!T126</f>
        <v>0</v>
      </c>
      <c r="X129" s="48">
        <f>IF($C129="集計行","",データ!U126)</f>
        <v>0</v>
      </c>
      <c r="Y129" s="48">
        <f>データ!V126</f>
        <v>0</v>
      </c>
      <c r="Z129" s="39" t="str">
        <f>IF(OR($C129="総括",$C129="内訳書",$C129="内訳代価",$C129="明細書",$C129="明細代価",$C129="代価表",$C129="単価表"),データ!W126,"")</f>
        <v/>
      </c>
      <c r="AA129" s="11" t="str">
        <f t="shared" si="10"/>
        <v/>
      </c>
      <c r="AB129" s="46" t="e">
        <f t="shared" si="11"/>
        <v>#DIV/0!</v>
      </c>
      <c r="AC129" s="40" t="str">
        <f>IF(データ!X126="","",データ!X126)</f>
        <v/>
      </c>
      <c r="AD129" s="41" t="str">
        <f>IF(データ!Y126="","",データ!Y126)</f>
        <v/>
      </c>
      <c r="AE129" s="47" t="str">
        <f>TRIM(データ!B126)</f>
        <v>k20718024</v>
      </c>
      <c r="AF129" s="43" t="str">
        <f>TRIM(データ!Z126)</f>
        <v/>
      </c>
    </row>
    <row r="130" spans="1:32" x14ac:dyDescent="0.15">
      <c r="A130" s="47">
        <f>データ!A127</f>
        <v>3</v>
      </c>
      <c r="B130" s="47" t="str">
        <f>TRIM(データ!C127)</f>
        <v/>
      </c>
      <c r="C130" s="47" t="str">
        <f>TRIM(データ!D127)</f>
        <v>機械費</v>
      </c>
      <c r="D130" s="36" t="str">
        <f>REPT("｜",$A130)&amp;TRIM(データ!E127)</f>
        <v>｜｜｜コンバインドR</v>
      </c>
      <c r="E130" s="37" t="str">
        <f>TRIM(データ!F127)</f>
        <v>3t　4ｔ　低騒音</v>
      </c>
      <c r="F130" s="38" t="str">
        <f>TRIM(データ!G127)</f>
        <v>日台</v>
      </c>
      <c r="G130" s="50">
        <f>データ!H127</f>
        <v>4</v>
      </c>
      <c r="H130" s="48">
        <f>データ!I127</f>
        <v>6000</v>
      </c>
      <c r="I130" s="48">
        <f>データ!J127</f>
        <v>24000</v>
      </c>
      <c r="J130" s="39" t="str">
        <f>IF(OR($C130="総括",$C130="内訳書",$C130="内訳代価",$C130="明細書",$C130="明細代価",$C130="代価表",$C130="単価表"),データ!K127,"")</f>
        <v/>
      </c>
      <c r="K130" s="11" t="str">
        <f t="shared" si="6"/>
        <v/>
      </c>
      <c r="L130" s="46">
        <f t="shared" si="7"/>
        <v>1.1707317073170731E-3</v>
      </c>
      <c r="M130" s="40" t="str">
        <f>IF(データ!L127="","",データ!L127)</f>
        <v/>
      </c>
      <c r="N130" s="41" t="str">
        <f>IF(データ!M127="","",データ!M127)</f>
        <v/>
      </c>
      <c r="O130" s="42">
        <f>データ!N127</f>
        <v>0</v>
      </c>
      <c r="P130" s="48">
        <f>IF($C130="集計行","",データ!O127)</f>
        <v>0</v>
      </c>
      <c r="Q130" s="48">
        <f>データ!P127</f>
        <v>0</v>
      </c>
      <c r="R130" s="39" t="str">
        <f>IF(OR($C130="総括",$C130="内訳書",$C130="内訳代価",$C130="明細書",$C130="明細代価",$C130="代価表",$C130="単価表"),データ!Q127,"")</f>
        <v/>
      </c>
      <c r="S130" s="11" t="str">
        <f t="shared" si="8"/>
        <v/>
      </c>
      <c r="T130" s="46" t="e">
        <f t="shared" si="9"/>
        <v>#DIV/0!</v>
      </c>
      <c r="U130" s="40" t="str">
        <f>IF(データ!R127="","",データ!R127)</f>
        <v/>
      </c>
      <c r="V130" s="41" t="str">
        <f>IF(データ!S127="","",データ!S127)</f>
        <v/>
      </c>
      <c r="W130" s="42">
        <f>データ!T127</f>
        <v>0</v>
      </c>
      <c r="X130" s="48">
        <f>IF($C130="集計行","",データ!U127)</f>
        <v>0</v>
      </c>
      <c r="Y130" s="48">
        <f>データ!V127</f>
        <v>0</v>
      </c>
      <c r="Z130" s="39" t="str">
        <f>IF(OR($C130="総括",$C130="内訳書",$C130="内訳代価",$C130="明細書",$C130="明細代価",$C130="代価表",$C130="単価表"),データ!W127,"")</f>
        <v/>
      </c>
      <c r="AA130" s="11" t="str">
        <f t="shared" si="10"/>
        <v/>
      </c>
      <c r="AB130" s="46" t="e">
        <f t="shared" si="11"/>
        <v>#DIV/0!</v>
      </c>
      <c r="AC130" s="40" t="str">
        <f>IF(データ!X127="","",データ!X127)</f>
        <v/>
      </c>
      <c r="AD130" s="41" t="str">
        <f>IF(データ!Y127="","",データ!Y127)</f>
        <v/>
      </c>
      <c r="AE130" s="47" t="str">
        <f>TRIM(データ!B127)</f>
        <v>k20718031</v>
      </c>
      <c r="AF130" s="43" t="str">
        <f>TRIM(データ!Z127)</f>
        <v/>
      </c>
    </row>
    <row r="131" spans="1:32" x14ac:dyDescent="0.15">
      <c r="A131" s="47">
        <f>データ!A128</f>
        <v>3</v>
      </c>
      <c r="B131" s="47" t="str">
        <f>TRIM(データ!C128)</f>
        <v/>
      </c>
      <c r="C131" s="47" t="str">
        <f>TRIM(データ!D128)</f>
        <v>機械費</v>
      </c>
      <c r="D131" s="36" t="str">
        <f>REPT("｜",$A131)&amp;TRIM(データ!E128)</f>
        <v>｜｜｜小物機械　ﾊﾟｰﾄﾅ・丸ﾉｺ</v>
      </c>
      <c r="E131" s="37" t="str">
        <f>TRIM(データ!F128)</f>
        <v>ｸﾞﾗｲﾝﾀﾞ-・ｺｱ抜きﾄﾞﾘﾙ・ﾌﾞﾛｱ　等</v>
      </c>
      <c r="F131" s="38" t="str">
        <f>TRIM(データ!G128)</f>
        <v>台</v>
      </c>
      <c r="G131" s="50">
        <f>データ!H128</f>
        <v>4</v>
      </c>
      <c r="H131" s="48">
        <f>データ!I128</f>
        <v>3000</v>
      </c>
      <c r="I131" s="48">
        <f>データ!J128</f>
        <v>12000</v>
      </c>
      <c r="J131" s="39" t="str">
        <f>IF(OR($C131="総括",$C131="内訳書",$C131="内訳代価",$C131="明細書",$C131="明細代価",$C131="代価表",$C131="単価表"),データ!K128,"")</f>
        <v/>
      </c>
      <c r="K131" s="11" t="str">
        <f t="shared" si="6"/>
        <v/>
      </c>
      <c r="L131" s="46">
        <f t="shared" si="7"/>
        <v>5.8536585365853656E-4</v>
      </c>
      <c r="M131" s="40" t="str">
        <f>IF(データ!L128="","",データ!L128)</f>
        <v/>
      </c>
      <c r="N131" s="41" t="str">
        <f>IF(データ!M128="","",データ!M128)</f>
        <v/>
      </c>
      <c r="O131" s="42">
        <f>データ!N128</f>
        <v>0</v>
      </c>
      <c r="P131" s="48">
        <f>IF($C131="集計行","",データ!O128)</f>
        <v>0</v>
      </c>
      <c r="Q131" s="48">
        <f>データ!P128</f>
        <v>0</v>
      </c>
      <c r="R131" s="39" t="str">
        <f>IF(OR($C131="総括",$C131="内訳書",$C131="内訳代価",$C131="明細書",$C131="明細代価",$C131="代価表",$C131="単価表"),データ!Q128,"")</f>
        <v/>
      </c>
      <c r="S131" s="11" t="str">
        <f t="shared" si="8"/>
        <v/>
      </c>
      <c r="T131" s="46" t="e">
        <f t="shared" si="9"/>
        <v>#DIV/0!</v>
      </c>
      <c r="U131" s="40" t="str">
        <f>IF(データ!R128="","",データ!R128)</f>
        <v/>
      </c>
      <c r="V131" s="41" t="str">
        <f>IF(データ!S128="","",データ!S128)</f>
        <v/>
      </c>
      <c r="W131" s="42">
        <f>データ!T128</f>
        <v>0</v>
      </c>
      <c r="X131" s="48">
        <f>IF($C131="集計行","",データ!U128)</f>
        <v>0</v>
      </c>
      <c r="Y131" s="48">
        <f>データ!V128</f>
        <v>0</v>
      </c>
      <c r="Z131" s="39" t="str">
        <f>IF(OR($C131="総括",$C131="内訳書",$C131="内訳代価",$C131="明細書",$C131="明細代価",$C131="代価表",$C131="単価表"),データ!W128,"")</f>
        <v/>
      </c>
      <c r="AA131" s="11" t="str">
        <f t="shared" si="10"/>
        <v/>
      </c>
      <c r="AB131" s="46" t="e">
        <f t="shared" si="11"/>
        <v>#DIV/0!</v>
      </c>
      <c r="AC131" s="40" t="str">
        <f>IF(データ!X128="","",データ!X128)</f>
        <v/>
      </c>
      <c r="AD131" s="41" t="str">
        <f>IF(データ!Y128="","",データ!Y128)</f>
        <v/>
      </c>
      <c r="AE131" s="47" t="str">
        <f>TRIM(データ!B128)</f>
        <v>k20718001</v>
      </c>
      <c r="AF131" s="43" t="str">
        <f>TRIM(データ!Z128)</f>
        <v/>
      </c>
    </row>
    <row r="132" spans="1:32" x14ac:dyDescent="0.15">
      <c r="A132" s="47">
        <f>データ!A129</f>
        <v>3</v>
      </c>
      <c r="B132" s="47" t="str">
        <f>TRIM(データ!C129)</f>
        <v/>
      </c>
      <c r="C132" s="47" t="str">
        <f>TRIM(データ!D129)</f>
        <v>運搬費</v>
      </c>
      <c r="D132" s="36" t="str">
        <f>REPT("｜",$A132)&amp;TRIM(データ!E129)</f>
        <v>｜｜｜WP</v>
      </c>
      <c r="E132" s="37" t="str">
        <f>TRIM(データ!F129)</f>
        <v/>
      </c>
      <c r="F132" s="38" t="str">
        <f>TRIM(データ!G129)</f>
        <v>台</v>
      </c>
      <c r="G132" s="50">
        <f>データ!H129</f>
        <v>4</v>
      </c>
      <c r="H132" s="48">
        <f>データ!I129</f>
        <v>5000</v>
      </c>
      <c r="I132" s="48">
        <f>データ!J129</f>
        <v>20000</v>
      </c>
      <c r="J132" s="39" t="str">
        <f>IF(OR($C132="総括",$C132="内訳書",$C132="内訳代価",$C132="明細書",$C132="明細代価",$C132="代価表",$C132="単価表"),データ!K129,"")</f>
        <v/>
      </c>
      <c r="K132" s="11" t="str">
        <f t="shared" si="6"/>
        <v/>
      </c>
      <c r="L132" s="46">
        <f t="shared" si="7"/>
        <v>9.7560975609756097E-4</v>
      </c>
      <c r="M132" s="40" t="str">
        <f>IF(データ!L129="","",データ!L129)</f>
        <v/>
      </c>
      <c r="N132" s="41" t="str">
        <f>IF(データ!M129="","",データ!M129)</f>
        <v/>
      </c>
      <c r="O132" s="42">
        <f>データ!N129</f>
        <v>0</v>
      </c>
      <c r="P132" s="48">
        <f>IF($C132="集計行","",データ!O129)</f>
        <v>0</v>
      </c>
      <c r="Q132" s="48">
        <f>データ!P129</f>
        <v>0</v>
      </c>
      <c r="R132" s="39" t="str">
        <f>IF(OR($C132="総括",$C132="内訳書",$C132="内訳代価",$C132="明細書",$C132="明細代価",$C132="代価表",$C132="単価表"),データ!Q129,"")</f>
        <v/>
      </c>
      <c r="S132" s="11" t="str">
        <f t="shared" si="8"/>
        <v/>
      </c>
      <c r="T132" s="46" t="e">
        <f t="shared" si="9"/>
        <v>#DIV/0!</v>
      </c>
      <c r="U132" s="40" t="str">
        <f>IF(データ!R129="","",データ!R129)</f>
        <v/>
      </c>
      <c r="V132" s="41" t="str">
        <f>IF(データ!S129="","",データ!S129)</f>
        <v/>
      </c>
      <c r="W132" s="42">
        <f>データ!T129</f>
        <v>0</v>
      </c>
      <c r="X132" s="48">
        <f>IF($C132="集計行","",データ!U129)</f>
        <v>0</v>
      </c>
      <c r="Y132" s="48">
        <f>データ!V129</f>
        <v>0</v>
      </c>
      <c r="Z132" s="39" t="str">
        <f>IF(OR($C132="総括",$C132="内訳書",$C132="内訳代価",$C132="明細書",$C132="明細代価",$C132="代価表",$C132="単価表"),データ!W129,"")</f>
        <v/>
      </c>
      <c r="AA132" s="11" t="str">
        <f t="shared" si="10"/>
        <v/>
      </c>
      <c r="AB132" s="46" t="e">
        <f t="shared" si="11"/>
        <v>#DIV/0!</v>
      </c>
      <c r="AC132" s="40" t="str">
        <f>IF(データ!X129="","",データ!X129)</f>
        <v/>
      </c>
      <c r="AD132" s="41" t="str">
        <f>IF(データ!Y129="","",データ!Y129)</f>
        <v/>
      </c>
      <c r="AE132" s="47" t="str">
        <f>TRIM(データ!B129)</f>
        <v>u20718008</v>
      </c>
      <c r="AF132" s="43" t="str">
        <f>TRIM(データ!Z129)</f>
        <v/>
      </c>
    </row>
    <row r="133" spans="1:32" x14ac:dyDescent="0.15">
      <c r="A133" s="47">
        <f>データ!A130</f>
        <v>3</v>
      </c>
      <c r="B133" s="47" t="str">
        <f>TRIM(データ!C130)</f>
        <v/>
      </c>
      <c r="C133" s="47" t="str">
        <f>TRIM(データ!D130)</f>
        <v>運搬費</v>
      </c>
      <c r="D133" s="36" t="str">
        <f>REPT("｜",$A133)&amp;TRIM(データ!E130)</f>
        <v>｜｜｜2tダンプ</v>
      </c>
      <c r="E133" s="37" t="str">
        <f>TRIM(データ!F130)</f>
        <v/>
      </c>
      <c r="F133" s="38" t="str">
        <f>TRIM(データ!G130)</f>
        <v>台</v>
      </c>
      <c r="G133" s="50">
        <f>データ!H130</f>
        <v>4</v>
      </c>
      <c r="H133" s="48">
        <f>データ!I130</f>
        <v>6000</v>
      </c>
      <c r="I133" s="48">
        <f>データ!J130</f>
        <v>24000</v>
      </c>
      <c r="J133" s="39" t="str">
        <f>IF(OR($C133="総括",$C133="内訳書",$C133="内訳代価",$C133="明細書",$C133="明細代価",$C133="代価表",$C133="単価表"),データ!K130,"")</f>
        <v/>
      </c>
      <c r="K133" s="11" t="str">
        <f t="shared" ref="K133:K196" si="12">IF(OR(J133="",G133=J133),"","*")</f>
        <v/>
      </c>
      <c r="L133" s="46">
        <f t="shared" ref="L133:L196" si="13">IF($A133&lt;=L$1,I133/I$4,"")</f>
        <v>1.1707317073170731E-3</v>
      </c>
      <c r="M133" s="40" t="str">
        <f>IF(データ!L130="","",データ!L130)</f>
        <v/>
      </c>
      <c r="N133" s="41" t="str">
        <f>IF(データ!M130="","",データ!M130)</f>
        <v/>
      </c>
      <c r="O133" s="42">
        <f>データ!N130</f>
        <v>0</v>
      </c>
      <c r="P133" s="48">
        <f>IF($C133="集計行","",データ!O130)</f>
        <v>0</v>
      </c>
      <c r="Q133" s="48">
        <f>データ!P130</f>
        <v>0</v>
      </c>
      <c r="R133" s="39" t="str">
        <f>IF(OR($C133="総括",$C133="内訳書",$C133="内訳代価",$C133="明細書",$C133="明細代価",$C133="代価表",$C133="単価表"),データ!Q130,"")</f>
        <v/>
      </c>
      <c r="S133" s="11" t="str">
        <f t="shared" ref="S133:S196" si="14">IF(OR(R133="",O133=R133),"","*")</f>
        <v/>
      </c>
      <c r="T133" s="46" t="e">
        <f t="shared" ref="T133:T196" si="15">IF($A133&lt;=T$1,Q133/Q$4,"")</f>
        <v>#DIV/0!</v>
      </c>
      <c r="U133" s="40" t="str">
        <f>IF(データ!R130="","",データ!R130)</f>
        <v/>
      </c>
      <c r="V133" s="41" t="str">
        <f>IF(データ!S130="","",データ!S130)</f>
        <v/>
      </c>
      <c r="W133" s="42">
        <f>データ!T130</f>
        <v>0</v>
      </c>
      <c r="X133" s="48">
        <f>IF($C133="集計行","",データ!U130)</f>
        <v>0</v>
      </c>
      <c r="Y133" s="48">
        <f>データ!V130</f>
        <v>0</v>
      </c>
      <c r="Z133" s="39" t="str">
        <f>IF(OR($C133="総括",$C133="内訳書",$C133="内訳代価",$C133="明細書",$C133="明細代価",$C133="代価表",$C133="単価表"),データ!W130,"")</f>
        <v/>
      </c>
      <c r="AA133" s="11" t="str">
        <f t="shared" ref="AA133:AA196" si="16">IF(OR(Z133="",W133=Z133),"","*")</f>
        <v/>
      </c>
      <c r="AB133" s="46" t="e">
        <f t="shared" ref="AB133:AB196" si="17">IF($A133&lt;=AB$1,Y133/Y$4,"")</f>
        <v>#DIV/0!</v>
      </c>
      <c r="AC133" s="40" t="str">
        <f>IF(データ!X130="","",データ!X130)</f>
        <v/>
      </c>
      <c r="AD133" s="41" t="str">
        <f>IF(データ!Y130="","",データ!Y130)</f>
        <v/>
      </c>
      <c r="AE133" s="47" t="str">
        <f>TRIM(データ!B130)</f>
        <v>u20718025</v>
      </c>
      <c r="AF133" s="43" t="str">
        <f>TRIM(データ!Z130)</f>
        <v/>
      </c>
    </row>
    <row r="134" spans="1:32" x14ac:dyDescent="0.15">
      <c r="A134" s="47">
        <f>データ!A131</f>
        <v>2</v>
      </c>
      <c r="B134" s="47" t="str">
        <f>TRIM(データ!C131)</f>
        <v/>
      </c>
      <c r="C134" s="47" t="str">
        <f>TRIM(データ!D131)</f>
        <v>内訳代価</v>
      </c>
      <c r="D134" s="36" t="str">
        <f>REPT("｜",$A134)&amp;TRIM(データ!E131)</f>
        <v>｜｜殻運搬処分費1</v>
      </c>
      <c r="E134" s="37" t="str">
        <f>TRIM(データ!F131)</f>
        <v/>
      </c>
      <c r="F134" s="38" t="str">
        <f>TRIM(データ!G131)</f>
        <v>m3</v>
      </c>
      <c r="G134" s="50">
        <f>データ!H131</f>
        <v>32</v>
      </c>
      <c r="H134" s="48">
        <f>データ!I131</f>
        <v>12700</v>
      </c>
      <c r="I134" s="48">
        <f>データ!J131</f>
        <v>406400</v>
      </c>
      <c r="J134" s="39">
        <f>IF(OR($C134="総括",$C134="内訳書",$C134="内訳代価",$C134="明細書",$C134="明細代価",$C134="代価表",$C134="単価表"),データ!K131,"")</f>
        <v>32</v>
      </c>
      <c r="K134" s="11" t="str">
        <f t="shared" si="12"/>
        <v/>
      </c>
      <c r="L134" s="46">
        <f t="shared" si="13"/>
        <v>1.9824390243902441E-2</v>
      </c>
      <c r="M134" s="40" t="str">
        <f>IF(データ!L131="","",データ!L131)</f>
        <v/>
      </c>
      <c r="N134" s="41" t="str">
        <f>IF(データ!M131="","",データ!M131)</f>
        <v>32号内訳書</v>
      </c>
      <c r="O134" s="42">
        <f>データ!N131</f>
        <v>0</v>
      </c>
      <c r="P134" s="48">
        <f>IF($C134="集計行","",データ!O131)</f>
        <v>0</v>
      </c>
      <c r="Q134" s="48">
        <f>データ!P131</f>
        <v>0</v>
      </c>
      <c r="R134" s="39">
        <f>IF(OR($C134="総括",$C134="内訳書",$C134="内訳代価",$C134="明細書",$C134="明細代価",$C134="代価表",$C134="単価表"),データ!Q131,"")</f>
        <v>0</v>
      </c>
      <c r="S134" s="11" t="str">
        <f t="shared" si="14"/>
        <v/>
      </c>
      <c r="T134" s="46" t="e">
        <f t="shared" si="15"/>
        <v>#DIV/0!</v>
      </c>
      <c r="U134" s="40" t="str">
        <f>IF(データ!R131="","",データ!R131)</f>
        <v/>
      </c>
      <c r="V134" s="41" t="str">
        <f>IF(データ!S131="","",データ!S131)</f>
        <v/>
      </c>
      <c r="W134" s="42">
        <f>データ!T131</f>
        <v>0</v>
      </c>
      <c r="X134" s="48">
        <f>IF($C134="集計行","",データ!U131)</f>
        <v>0</v>
      </c>
      <c r="Y134" s="48">
        <f>データ!V131</f>
        <v>0</v>
      </c>
      <c r="Z134" s="39">
        <f>IF(OR($C134="総括",$C134="内訳書",$C134="内訳代価",$C134="明細書",$C134="明細代価",$C134="代価表",$C134="単価表"),データ!W131,"")</f>
        <v>0</v>
      </c>
      <c r="AA134" s="11" t="str">
        <f t="shared" si="16"/>
        <v/>
      </c>
      <c r="AB134" s="46" t="e">
        <f t="shared" si="17"/>
        <v>#DIV/0!</v>
      </c>
      <c r="AC134" s="40" t="str">
        <f>IF(データ!X131="","",データ!X131)</f>
        <v/>
      </c>
      <c r="AD134" s="41" t="str">
        <f>IF(データ!Y131="","",データ!Y131)</f>
        <v/>
      </c>
      <c r="AE134" s="47" t="str">
        <f>TRIM(データ!B131)</f>
        <v/>
      </c>
      <c r="AF134" s="43" t="str">
        <f>TRIM(データ!Z131)</f>
        <v/>
      </c>
    </row>
    <row r="135" spans="1:32" x14ac:dyDescent="0.15">
      <c r="A135" s="47">
        <f>データ!A132</f>
        <v>3</v>
      </c>
      <c r="B135" s="47" t="str">
        <f>TRIM(データ!C132)</f>
        <v/>
      </c>
      <c r="C135" s="47" t="str">
        <f>TRIM(データ!D132)</f>
        <v>運搬費</v>
      </c>
      <c r="D135" s="36" t="str">
        <f>REPT("｜",$A135)&amp;TRIM(データ!E132)</f>
        <v>｜｜｜ダンプトラック常用4t</v>
      </c>
      <c r="E135" s="37" t="str">
        <f>TRIM(データ!F132)</f>
        <v>オペ燃料付き</v>
      </c>
      <c r="F135" s="38" t="str">
        <f>TRIM(データ!G132)</f>
        <v>日台</v>
      </c>
      <c r="G135" s="50">
        <f>データ!H132</f>
        <v>9</v>
      </c>
      <c r="H135" s="48">
        <f>データ!I132</f>
        <v>40000</v>
      </c>
      <c r="I135" s="48">
        <f>データ!J132</f>
        <v>360000</v>
      </c>
      <c r="J135" s="39" t="str">
        <f>IF(OR($C135="総括",$C135="内訳書",$C135="内訳代価",$C135="明細書",$C135="明細代価",$C135="代価表",$C135="単価表"),データ!K132,"")</f>
        <v/>
      </c>
      <c r="K135" s="11" t="str">
        <f t="shared" si="12"/>
        <v/>
      </c>
      <c r="L135" s="46">
        <f t="shared" si="13"/>
        <v>1.7560975609756099E-2</v>
      </c>
      <c r="M135" s="40" t="str">
        <f>IF(データ!L132="","",データ!L132)</f>
        <v/>
      </c>
      <c r="N135" s="41" t="str">
        <f>IF(データ!M132="","",データ!M132)</f>
        <v/>
      </c>
      <c r="O135" s="42">
        <f>データ!N132</f>
        <v>0</v>
      </c>
      <c r="P135" s="48">
        <f>IF($C135="集計行","",データ!O132)</f>
        <v>0</v>
      </c>
      <c r="Q135" s="48">
        <f>データ!P132</f>
        <v>0</v>
      </c>
      <c r="R135" s="39" t="str">
        <f>IF(OR($C135="総括",$C135="内訳書",$C135="内訳代価",$C135="明細書",$C135="明細代価",$C135="代価表",$C135="単価表"),データ!Q132,"")</f>
        <v/>
      </c>
      <c r="S135" s="11" t="str">
        <f t="shared" si="14"/>
        <v/>
      </c>
      <c r="T135" s="46" t="e">
        <f t="shared" si="15"/>
        <v>#DIV/0!</v>
      </c>
      <c r="U135" s="40" t="str">
        <f>IF(データ!R132="","",データ!R132)</f>
        <v/>
      </c>
      <c r="V135" s="41" t="str">
        <f>IF(データ!S132="","",データ!S132)</f>
        <v/>
      </c>
      <c r="W135" s="42">
        <f>データ!T132</f>
        <v>0</v>
      </c>
      <c r="X135" s="48">
        <f>IF($C135="集計行","",データ!U132)</f>
        <v>0</v>
      </c>
      <c r="Y135" s="48">
        <f>データ!V132</f>
        <v>0</v>
      </c>
      <c r="Z135" s="39" t="str">
        <f>IF(OR($C135="総括",$C135="内訳書",$C135="内訳代価",$C135="明細書",$C135="明細代価",$C135="代価表",$C135="単価表"),データ!W132,"")</f>
        <v/>
      </c>
      <c r="AA135" s="11" t="str">
        <f t="shared" si="16"/>
        <v/>
      </c>
      <c r="AB135" s="46" t="e">
        <f t="shared" si="17"/>
        <v>#DIV/0!</v>
      </c>
      <c r="AC135" s="40" t="str">
        <f>IF(データ!X132="","",データ!X132)</f>
        <v/>
      </c>
      <c r="AD135" s="41" t="str">
        <f>IF(データ!Y132="","",データ!Y132)</f>
        <v/>
      </c>
      <c r="AE135" s="47" t="str">
        <f>TRIM(データ!B132)</f>
        <v>u20718001</v>
      </c>
      <c r="AF135" s="43" t="str">
        <f>TRIM(データ!Z132)</f>
        <v/>
      </c>
    </row>
    <row r="136" spans="1:32" x14ac:dyDescent="0.15">
      <c r="A136" s="47">
        <f>データ!A133</f>
        <v>3</v>
      </c>
      <c r="B136" s="47" t="str">
        <f>TRIM(データ!C133)</f>
        <v/>
      </c>
      <c r="C136" s="47" t="str">
        <f>TRIM(データ!D133)</f>
        <v>運搬費</v>
      </c>
      <c r="D136" s="36" t="str">
        <f>REPT("｜",$A136)&amp;TRIM(データ!E133)</f>
        <v>｜｜｜As塊処分</v>
      </c>
      <c r="E136" s="37" t="str">
        <f>TRIM(データ!F133)</f>
        <v/>
      </c>
      <c r="F136" s="38" t="str">
        <f>TRIM(データ!G133)</f>
        <v>t</v>
      </c>
      <c r="G136" s="50">
        <f>データ!H133</f>
        <v>90</v>
      </c>
      <c r="H136" s="48">
        <f>データ!I133</f>
        <v>500</v>
      </c>
      <c r="I136" s="48">
        <f>データ!J133</f>
        <v>45000</v>
      </c>
      <c r="J136" s="39" t="str">
        <f>IF(OR($C136="総括",$C136="内訳書",$C136="内訳代価",$C136="明細書",$C136="明細代価",$C136="代価表",$C136="単価表"),データ!K133,"")</f>
        <v/>
      </c>
      <c r="K136" s="11" t="str">
        <f t="shared" si="12"/>
        <v/>
      </c>
      <c r="L136" s="46">
        <f t="shared" si="13"/>
        <v>2.1951219512195124E-3</v>
      </c>
      <c r="M136" s="40" t="str">
        <f>IF(データ!L133="","",データ!L133)</f>
        <v/>
      </c>
      <c r="N136" s="41" t="str">
        <f>IF(データ!M133="","",データ!M133)</f>
        <v/>
      </c>
      <c r="O136" s="42">
        <f>データ!N133</f>
        <v>0</v>
      </c>
      <c r="P136" s="48">
        <f>IF($C136="集計行","",データ!O133)</f>
        <v>0</v>
      </c>
      <c r="Q136" s="48">
        <f>データ!P133</f>
        <v>0</v>
      </c>
      <c r="R136" s="39" t="str">
        <f>IF(OR($C136="総括",$C136="内訳書",$C136="内訳代価",$C136="明細書",$C136="明細代価",$C136="代価表",$C136="単価表"),データ!Q133,"")</f>
        <v/>
      </c>
      <c r="S136" s="11" t="str">
        <f t="shared" si="14"/>
        <v/>
      </c>
      <c r="T136" s="46" t="e">
        <f t="shared" si="15"/>
        <v>#DIV/0!</v>
      </c>
      <c r="U136" s="40" t="str">
        <f>IF(データ!R133="","",データ!R133)</f>
        <v/>
      </c>
      <c r="V136" s="41" t="str">
        <f>IF(データ!S133="","",データ!S133)</f>
        <v/>
      </c>
      <c r="W136" s="42">
        <f>データ!T133</f>
        <v>0</v>
      </c>
      <c r="X136" s="48">
        <f>IF($C136="集計行","",データ!U133)</f>
        <v>0</v>
      </c>
      <c r="Y136" s="48">
        <f>データ!V133</f>
        <v>0</v>
      </c>
      <c r="Z136" s="39" t="str">
        <f>IF(OR($C136="総括",$C136="内訳書",$C136="内訳代価",$C136="明細書",$C136="明細代価",$C136="代価表",$C136="単価表"),データ!W133,"")</f>
        <v/>
      </c>
      <c r="AA136" s="11" t="str">
        <f t="shared" si="16"/>
        <v/>
      </c>
      <c r="AB136" s="46" t="e">
        <f t="shared" si="17"/>
        <v>#DIV/0!</v>
      </c>
      <c r="AC136" s="40" t="str">
        <f>IF(データ!X133="","",データ!X133)</f>
        <v/>
      </c>
      <c r="AD136" s="41" t="str">
        <f>IF(データ!Y133="","",データ!Y133)</f>
        <v/>
      </c>
      <c r="AE136" s="47" t="str">
        <f>TRIM(データ!B133)</f>
        <v>u20718037</v>
      </c>
      <c r="AF136" s="43" t="str">
        <f>TRIM(データ!Z133)</f>
        <v/>
      </c>
    </row>
    <row r="137" spans="1:32" x14ac:dyDescent="0.15">
      <c r="A137" s="47">
        <f>データ!A134</f>
        <v>3</v>
      </c>
      <c r="B137" s="47" t="str">
        <f>TRIM(データ!C134)</f>
        <v/>
      </c>
      <c r="C137" s="47" t="str">
        <f>TRIM(データ!D134)</f>
        <v>運搬費</v>
      </c>
      <c r="D137" s="36" t="str">
        <f>REPT("｜",$A137)&amp;TRIM(データ!E134)</f>
        <v>｜｜｜端数調整金</v>
      </c>
      <c r="E137" s="37" t="str">
        <f>TRIM(データ!F134)</f>
        <v/>
      </c>
      <c r="F137" s="38" t="str">
        <f>TRIM(データ!G134)</f>
        <v>式</v>
      </c>
      <c r="G137" s="50">
        <f>データ!H134</f>
        <v>1</v>
      </c>
      <c r="H137" s="48">
        <f>データ!I134</f>
        <v>1400</v>
      </c>
      <c r="I137" s="48">
        <f>データ!J134</f>
        <v>1400</v>
      </c>
      <c r="J137" s="39" t="str">
        <f>IF(OR($C137="総括",$C137="内訳書",$C137="内訳代価",$C137="明細書",$C137="明細代価",$C137="代価表",$C137="単価表"),データ!K134,"")</f>
        <v/>
      </c>
      <c r="K137" s="11" t="str">
        <f t="shared" si="12"/>
        <v/>
      </c>
      <c r="L137" s="46">
        <f t="shared" si="13"/>
        <v>6.8292682926829267E-5</v>
      </c>
      <c r="M137" s="40" t="str">
        <f>IF(データ!L134="","",データ!L134)</f>
        <v/>
      </c>
      <c r="N137" s="41" t="str">
        <f>IF(データ!M134="","",データ!M134)</f>
        <v/>
      </c>
      <c r="O137" s="42">
        <f>データ!N134</f>
        <v>0</v>
      </c>
      <c r="P137" s="48">
        <f>IF($C137="集計行","",データ!O134)</f>
        <v>0</v>
      </c>
      <c r="Q137" s="48">
        <f>データ!P134</f>
        <v>0</v>
      </c>
      <c r="R137" s="39" t="str">
        <f>IF(OR($C137="総括",$C137="内訳書",$C137="内訳代価",$C137="明細書",$C137="明細代価",$C137="代価表",$C137="単価表"),データ!Q134,"")</f>
        <v/>
      </c>
      <c r="S137" s="11" t="str">
        <f t="shared" si="14"/>
        <v/>
      </c>
      <c r="T137" s="46" t="e">
        <f t="shared" si="15"/>
        <v>#DIV/0!</v>
      </c>
      <c r="U137" s="40" t="str">
        <f>IF(データ!R134="","",データ!R134)</f>
        <v/>
      </c>
      <c r="V137" s="41" t="str">
        <f>IF(データ!S134="","",データ!S134)</f>
        <v/>
      </c>
      <c r="W137" s="42">
        <f>データ!T134</f>
        <v>0</v>
      </c>
      <c r="X137" s="48">
        <f>IF($C137="集計行","",データ!U134)</f>
        <v>0</v>
      </c>
      <c r="Y137" s="48">
        <f>データ!V134</f>
        <v>0</v>
      </c>
      <c r="Z137" s="39" t="str">
        <f>IF(OR($C137="総括",$C137="内訳書",$C137="内訳代価",$C137="明細書",$C137="明細代価",$C137="代価表",$C137="単価表"),データ!W134,"")</f>
        <v/>
      </c>
      <c r="AA137" s="11" t="str">
        <f t="shared" si="16"/>
        <v/>
      </c>
      <c r="AB137" s="46" t="e">
        <f t="shared" si="17"/>
        <v>#DIV/0!</v>
      </c>
      <c r="AC137" s="40" t="str">
        <f>IF(データ!X134="","",データ!X134)</f>
        <v/>
      </c>
      <c r="AD137" s="41" t="str">
        <f>IF(データ!Y134="","",データ!Y134)</f>
        <v/>
      </c>
      <c r="AE137" s="47" t="str">
        <f>TRIM(データ!B134)</f>
        <v/>
      </c>
      <c r="AF137" s="43" t="str">
        <f>TRIM(データ!Z134)</f>
        <v/>
      </c>
    </row>
    <row r="138" spans="1:32" x14ac:dyDescent="0.15">
      <c r="A138" s="47">
        <f>データ!A135</f>
        <v>2</v>
      </c>
      <c r="B138" s="47" t="str">
        <f>TRIM(データ!C135)</f>
        <v/>
      </c>
      <c r="C138" s="47" t="str">
        <f>TRIM(データ!D135)</f>
        <v>内訳代価</v>
      </c>
      <c r="D138" s="36" t="str">
        <f>REPT("｜",$A138)&amp;TRIM(データ!E135)</f>
        <v>｜｜表層工</v>
      </c>
      <c r="E138" s="37" t="str">
        <f>TRIM(データ!F135)</f>
        <v>再生密粒度As13　t=5cm</v>
      </c>
      <c r="F138" s="38" t="str">
        <f>TRIM(データ!G135)</f>
        <v>m2</v>
      </c>
      <c r="G138" s="50">
        <f>データ!H135</f>
        <v>635</v>
      </c>
      <c r="H138" s="48">
        <f>データ!I135</f>
        <v>2100</v>
      </c>
      <c r="I138" s="48">
        <f>データ!J135</f>
        <v>1333500</v>
      </c>
      <c r="J138" s="39">
        <f>IF(OR($C138="総括",$C138="内訳書",$C138="内訳代価",$C138="明細書",$C138="明細代価",$C138="代価表",$C138="単価表"),データ!K135,"")</f>
        <v>635</v>
      </c>
      <c r="K138" s="11" t="str">
        <f t="shared" si="12"/>
        <v/>
      </c>
      <c r="L138" s="46">
        <f t="shared" si="13"/>
        <v>6.504878048780488E-2</v>
      </c>
      <c r="M138" s="40" t="str">
        <f>IF(データ!L135="","",データ!L135)</f>
        <v/>
      </c>
      <c r="N138" s="41" t="str">
        <f>IF(データ!M135="","",データ!M135)</f>
        <v>34号内訳書</v>
      </c>
      <c r="O138" s="42">
        <f>データ!N135</f>
        <v>0</v>
      </c>
      <c r="P138" s="48">
        <f>IF($C138="集計行","",データ!O135)</f>
        <v>0</v>
      </c>
      <c r="Q138" s="48">
        <f>データ!P135</f>
        <v>0</v>
      </c>
      <c r="R138" s="39">
        <f>IF(OR($C138="総括",$C138="内訳書",$C138="内訳代価",$C138="明細書",$C138="明細代価",$C138="代価表",$C138="単価表"),データ!Q135,"")</f>
        <v>0</v>
      </c>
      <c r="S138" s="11" t="str">
        <f t="shared" si="14"/>
        <v/>
      </c>
      <c r="T138" s="46" t="e">
        <f t="shared" si="15"/>
        <v>#DIV/0!</v>
      </c>
      <c r="U138" s="40" t="str">
        <f>IF(データ!R135="","",データ!R135)</f>
        <v/>
      </c>
      <c r="V138" s="41" t="str">
        <f>IF(データ!S135="","",データ!S135)</f>
        <v/>
      </c>
      <c r="W138" s="42">
        <f>データ!T135</f>
        <v>0</v>
      </c>
      <c r="X138" s="48">
        <f>IF($C138="集計行","",データ!U135)</f>
        <v>0</v>
      </c>
      <c r="Y138" s="48">
        <f>データ!V135</f>
        <v>0</v>
      </c>
      <c r="Z138" s="39">
        <f>IF(OR($C138="総括",$C138="内訳書",$C138="内訳代価",$C138="明細書",$C138="明細代価",$C138="代価表",$C138="単価表"),データ!W135,"")</f>
        <v>0</v>
      </c>
      <c r="AA138" s="11" t="str">
        <f t="shared" si="16"/>
        <v/>
      </c>
      <c r="AB138" s="46" t="e">
        <f t="shared" si="17"/>
        <v>#DIV/0!</v>
      </c>
      <c r="AC138" s="40" t="str">
        <f>IF(データ!X135="","",データ!X135)</f>
        <v/>
      </c>
      <c r="AD138" s="41" t="str">
        <f>IF(データ!Y135="","",データ!Y135)</f>
        <v/>
      </c>
      <c r="AE138" s="47" t="str">
        <f>TRIM(データ!B135)</f>
        <v/>
      </c>
      <c r="AF138" s="43" t="str">
        <f>TRIM(データ!Z135)</f>
        <v/>
      </c>
    </row>
    <row r="139" spans="1:32" x14ac:dyDescent="0.15">
      <c r="A139" s="47">
        <f>データ!A136</f>
        <v>3</v>
      </c>
      <c r="B139" s="47" t="str">
        <f>TRIM(データ!C136)</f>
        <v/>
      </c>
      <c r="C139" s="47" t="str">
        <f>TRIM(データ!D136)</f>
        <v>材料費</v>
      </c>
      <c r="D139" s="36" t="str">
        <f>REPT("｜",$A139)&amp;TRIM(データ!E136)</f>
        <v>｜｜｜R密粒度As13</v>
      </c>
      <c r="E139" s="37" t="str">
        <f>TRIM(データ!F136)</f>
        <v/>
      </c>
      <c r="F139" s="38" t="str">
        <f>TRIM(データ!G136)</f>
        <v>ｔ</v>
      </c>
      <c r="G139" s="50">
        <f>データ!H136</f>
        <v>85</v>
      </c>
      <c r="H139" s="48">
        <f>データ!I136</f>
        <v>10000</v>
      </c>
      <c r="I139" s="48">
        <f>データ!J136</f>
        <v>850000</v>
      </c>
      <c r="J139" s="39" t="str">
        <f>IF(OR($C139="総括",$C139="内訳書",$C139="内訳代価",$C139="明細書",$C139="明細代価",$C139="代価表",$C139="単価表"),データ!K136,"")</f>
        <v/>
      </c>
      <c r="K139" s="11" t="str">
        <f t="shared" si="12"/>
        <v/>
      </c>
      <c r="L139" s="46">
        <f t="shared" si="13"/>
        <v>4.1463414634146344E-2</v>
      </c>
      <c r="M139" s="40" t="str">
        <f>IF(データ!L136="","",データ!L136)</f>
        <v/>
      </c>
      <c r="N139" s="41" t="str">
        <f>IF(データ!M136="","",データ!M136)</f>
        <v/>
      </c>
      <c r="O139" s="42">
        <f>データ!N136</f>
        <v>0</v>
      </c>
      <c r="P139" s="48">
        <f>IF($C139="集計行","",データ!O136)</f>
        <v>0</v>
      </c>
      <c r="Q139" s="48">
        <f>データ!P136</f>
        <v>0</v>
      </c>
      <c r="R139" s="39" t="str">
        <f>IF(OR($C139="総括",$C139="内訳書",$C139="内訳代価",$C139="明細書",$C139="明細代価",$C139="代価表",$C139="単価表"),データ!Q136,"")</f>
        <v/>
      </c>
      <c r="S139" s="11" t="str">
        <f t="shared" si="14"/>
        <v/>
      </c>
      <c r="T139" s="46" t="e">
        <f t="shared" si="15"/>
        <v>#DIV/0!</v>
      </c>
      <c r="U139" s="40" t="str">
        <f>IF(データ!R136="","",データ!R136)</f>
        <v/>
      </c>
      <c r="V139" s="41" t="str">
        <f>IF(データ!S136="","",データ!S136)</f>
        <v/>
      </c>
      <c r="W139" s="42">
        <f>データ!T136</f>
        <v>0</v>
      </c>
      <c r="X139" s="48">
        <f>IF($C139="集計行","",データ!U136)</f>
        <v>0</v>
      </c>
      <c r="Y139" s="48">
        <f>データ!V136</f>
        <v>0</v>
      </c>
      <c r="Z139" s="39" t="str">
        <f>IF(OR($C139="総括",$C139="内訳書",$C139="内訳代価",$C139="明細書",$C139="明細代価",$C139="代価表",$C139="単価表"),データ!W136,"")</f>
        <v/>
      </c>
      <c r="AA139" s="11" t="str">
        <f t="shared" si="16"/>
        <v/>
      </c>
      <c r="AB139" s="46" t="e">
        <f t="shared" si="17"/>
        <v>#DIV/0!</v>
      </c>
      <c r="AC139" s="40" t="str">
        <f>IF(データ!X136="","",データ!X136)</f>
        <v/>
      </c>
      <c r="AD139" s="41" t="str">
        <f>IF(データ!Y136="","",データ!Y136)</f>
        <v/>
      </c>
      <c r="AE139" s="47" t="str">
        <f>TRIM(データ!B136)</f>
        <v>s20718006</v>
      </c>
      <c r="AF139" s="43" t="str">
        <f>TRIM(データ!Z136)</f>
        <v/>
      </c>
    </row>
    <row r="140" spans="1:32" x14ac:dyDescent="0.15">
      <c r="A140" s="47">
        <f>データ!A137</f>
        <v>3</v>
      </c>
      <c r="B140" s="47" t="str">
        <f>TRIM(データ!C137)</f>
        <v/>
      </c>
      <c r="C140" s="47" t="str">
        <f>TRIM(データ!D137)</f>
        <v>材料費</v>
      </c>
      <c r="D140" s="36" t="str">
        <f>REPT("｜",$A140)&amp;TRIM(データ!E137)</f>
        <v>｜｜｜乳剤PK-3・4</v>
      </c>
      <c r="E140" s="37" t="str">
        <f>TRIM(データ!F137)</f>
        <v/>
      </c>
      <c r="F140" s="38" t="str">
        <f>TRIM(データ!G137)</f>
        <v>L</v>
      </c>
      <c r="G140" s="50">
        <f>データ!H137</f>
        <v>600</v>
      </c>
      <c r="H140" s="48">
        <f>データ!I137</f>
        <v>100</v>
      </c>
      <c r="I140" s="48">
        <f>データ!J137</f>
        <v>60000</v>
      </c>
      <c r="J140" s="39" t="str">
        <f>IF(OR($C140="総括",$C140="内訳書",$C140="内訳代価",$C140="明細書",$C140="明細代価",$C140="代価表",$C140="単価表"),データ!K137,"")</f>
        <v/>
      </c>
      <c r="K140" s="11" t="str">
        <f t="shared" si="12"/>
        <v/>
      </c>
      <c r="L140" s="46">
        <f t="shared" si="13"/>
        <v>2.9268292682926829E-3</v>
      </c>
      <c r="M140" s="40" t="str">
        <f>IF(データ!L137="","",データ!L137)</f>
        <v/>
      </c>
      <c r="N140" s="41" t="str">
        <f>IF(データ!M137="","",データ!M137)</f>
        <v/>
      </c>
      <c r="O140" s="42">
        <f>データ!N137</f>
        <v>0</v>
      </c>
      <c r="P140" s="48">
        <f>IF($C140="集計行","",データ!O137)</f>
        <v>0</v>
      </c>
      <c r="Q140" s="48">
        <f>データ!P137</f>
        <v>0</v>
      </c>
      <c r="R140" s="39" t="str">
        <f>IF(OR($C140="総括",$C140="内訳書",$C140="内訳代価",$C140="明細書",$C140="明細代価",$C140="代価表",$C140="単価表"),データ!Q137,"")</f>
        <v/>
      </c>
      <c r="S140" s="11" t="str">
        <f t="shared" si="14"/>
        <v/>
      </c>
      <c r="T140" s="46" t="e">
        <f t="shared" si="15"/>
        <v>#DIV/0!</v>
      </c>
      <c r="U140" s="40" t="str">
        <f>IF(データ!R137="","",データ!R137)</f>
        <v/>
      </c>
      <c r="V140" s="41" t="str">
        <f>IF(データ!S137="","",データ!S137)</f>
        <v/>
      </c>
      <c r="W140" s="42">
        <f>データ!T137</f>
        <v>0</v>
      </c>
      <c r="X140" s="48">
        <f>IF($C140="集計行","",データ!U137)</f>
        <v>0</v>
      </c>
      <c r="Y140" s="48">
        <f>データ!V137</f>
        <v>0</v>
      </c>
      <c r="Z140" s="39" t="str">
        <f>IF(OR($C140="総括",$C140="内訳書",$C140="内訳代価",$C140="明細書",$C140="明細代価",$C140="代価表",$C140="単価表"),データ!W137,"")</f>
        <v/>
      </c>
      <c r="AA140" s="11" t="str">
        <f t="shared" si="16"/>
        <v/>
      </c>
      <c r="AB140" s="46" t="e">
        <f t="shared" si="17"/>
        <v>#DIV/0!</v>
      </c>
      <c r="AC140" s="40" t="str">
        <f>IF(データ!X137="","",データ!X137)</f>
        <v/>
      </c>
      <c r="AD140" s="41" t="str">
        <f>IF(データ!Y137="","",データ!Y137)</f>
        <v/>
      </c>
      <c r="AE140" s="47" t="str">
        <f>TRIM(データ!B137)</f>
        <v>s20718015</v>
      </c>
      <c r="AF140" s="43" t="str">
        <f>TRIM(データ!Z137)</f>
        <v/>
      </c>
    </row>
    <row r="141" spans="1:32" x14ac:dyDescent="0.15">
      <c r="A141" s="47">
        <f>データ!A138</f>
        <v>3</v>
      </c>
      <c r="B141" s="47" t="str">
        <f>TRIM(データ!C138)</f>
        <v/>
      </c>
      <c r="C141" s="47" t="str">
        <f>TRIM(データ!D138)</f>
        <v>材料費</v>
      </c>
      <c r="D141" s="36" t="str">
        <f>REPT("｜",$A141)&amp;TRIM(データ!E138)</f>
        <v>｜｜｜雑材</v>
      </c>
      <c r="E141" s="37" t="str">
        <f>TRIM(データ!F138)</f>
        <v>舗装</v>
      </c>
      <c r="F141" s="38" t="str">
        <f>TRIM(データ!G138)</f>
        <v>式</v>
      </c>
      <c r="G141" s="50">
        <f>データ!H138</f>
        <v>1</v>
      </c>
      <c r="H141" s="48">
        <f>データ!I138</f>
        <v>17500</v>
      </c>
      <c r="I141" s="48">
        <f>データ!J138</f>
        <v>17500</v>
      </c>
      <c r="J141" s="39" t="str">
        <f>IF(OR($C141="総括",$C141="内訳書",$C141="内訳代価",$C141="明細書",$C141="明細代価",$C141="代価表",$C141="単価表"),データ!K138,"")</f>
        <v/>
      </c>
      <c r="K141" s="11" t="str">
        <f t="shared" si="12"/>
        <v/>
      </c>
      <c r="L141" s="46">
        <f t="shared" si="13"/>
        <v>8.5365853658536585E-4</v>
      </c>
      <c r="M141" s="40" t="str">
        <f>IF(データ!L138="","",データ!L138)</f>
        <v/>
      </c>
      <c r="N141" s="41" t="str">
        <f>IF(データ!M138="","",データ!M138)</f>
        <v/>
      </c>
      <c r="O141" s="42">
        <f>データ!N138</f>
        <v>0</v>
      </c>
      <c r="P141" s="48">
        <f>IF($C141="集計行","",データ!O138)</f>
        <v>0</v>
      </c>
      <c r="Q141" s="48">
        <f>データ!P138</f>
        <v>0</v>
      </c>
      <c r="R141" s="39" t="str">
        <f>IF(OR($C141="総括",$C141="内訳書",$C141="内訳代価",$C141="明細書",$C141="明細代価",$C141="代価表",$C141="単価表"),データ!Q138,"")</f>
        <v/>
      </c>
      <c r="S141" s="11" t="str">
        <f t="shared" si="14"/>
        <v/>
      </c>
      <c r="T141" s="46" t="e">
        <f t="shared" si="15"/>
        <v>#DIV/0!</v>
      </c>
      <c r="U141" s="40" t="str">
        <f>IF(データ!R138="","",データ!R138)</f>
        <v/>
      </c>
      <c r="V141" s="41" t="str">
        <f>IF(データ!S138="","",データ!S138)</f>
        <v/>
      </c>
      <c r="W141" s="42">
        <f>データ!T138</f>
        <v>0</v>
      </c>
      <c r="X141" s="48">
        <f>IF($C141="集計行","",データ!U138)</f>
        <v>0</v>
      </c>
      <c r="Y141" s="48">
        <f>データ!V138</f>
        <v>0</v>
      </c>
      <c r="Z141" s="39" t="str">
        <f>IF(OR($C141="総括",$C141="内訳書",$C141="内訳代価",$C141="明細書",$C141="明細代価",$C141="代価表",$C141="単価表"),データ!W138,"")</f>
        <v/>
      </c>
      <c r="AA141" s="11" t="str">
        <f t="shared" si="16"/>
        <v/>
      </c>
      <c r="AB141" s="46" t="e">
        <f t="shared" si="17"/>
        <v>#DIV/0!</v>
      </c>
      <c r="AC141" s="40" t="str">
        <f>IF(データ!X138="","",データ!X138)</f>
        <v/>
      </c>
      <c r="AD141" s="41" t="str">
        <f>IF(データ!Y138="","",データ!Y138)</f>
        <v/>
      </c>
      <c r="AE141" s="47" t="str">
        <f>TRIM(データ!B138)</f>
        <v>s20718001</v>
      </c>
      <c r="AF141" s="43" t="str">
        <f>TRIM(データ!Z138)</f>
        <v/>
      </c>
    </row>
    <row r="142" spans="1:32" x14ac:dyDescent="0.15">
      <c r="A142" s="47">
        <f>データ!A139</f>
        <v>3</v>
      </c>
      <c r="B142" s="47" t="str">
        <f>TRIM(データ!C139)</f>
        <v/>
      </c>
      <c r="C142" s="47" t="str">
        <f>TRIM(データ!D139)</f>
        <v>材料費</v>
      </c>
      <c r="D142" s="36" t="str">
        <f>REPT("｜",$A142)&amp;TRIM(データ!E139)</f>
        <v>｜｜｜軽油</v>
      </c>
      <c r="E142" s="37" t="str">
        <f>TRIM(データ!F139)</f>
        <v/>
      </c>
      <c r="F142" s="38" t="str">
        <f>TRIM(データ!G139)</f>
        <v>L</v>
      </c>
      <c r="G142" s="50">
        <f>データ!H139</f>
        <v>200</v>
      </c>
      <c r="H142" s="48">
        <f>データ!I139</f>
        <v>160</v>
      </c>
      <c r="I142" s="48">
        <f>データ!J139</f>
        <v>32000</v>
      </c>
      <c r="J142" s="39" t="str">
        <f>IF(OR($C142="総括",$C142="内訳書",$C142="内訳代価",$C142="明細書",$C142="明細代価",$C142="代価表",$C142="単価表"),データ!K139,"")</f>
        <v/>
      </c>
      <c r="K142" s="11" t="str">
        <f t="shared" si="12"/>
        <v/>
      </c>
      <c r="L142" s="46">
        <f t="shared" si="13"/>
        <v>1.5609756097560976E-3</v>
      </c>
      <c r="M142" s="40" t="str">
        <f>IF(データ!L139="","",データ!L139)</f>
        <v/>
      </c>
      <c r="N142" s="41" t="str">
        <f>IF(データ!M139="","",データ!M139)</f>
        <v/>
      </c>
      <c r="O142" s="42">
        <f>データ!N139</f>
        <v>0</v>
      </c>
      <c r="P142" s="48">
        <f>IF($C142="集計行","",データ!O139)</f>
        <v>0</v>
      </c>
      <c r="Q142" s="48">
        <f>データ!P139</f>
        <v>0</v>
      </c>
      <c r="R142" s="39" t="str">
        <f>IF(OR($C142="総括",$C142="内訳書",$C142="内訳代価",$C142="明細書",$C142="明細代価",$C142="代価表",$C142="単価表"),データ!Q139,"")</f>
        <v/>
      </c>
      <c r="S142" s="11" t="str">
        <f t="shared" si="14"/>
        <v/>
      </c>
      <c r="T142" s="46" t="e">
        <f t="shared" si="15"/>
        <v>#DIV/0!</v>
      </c>
      <c r="U142" s="40" t="str">
        <f>IF(データ!R139="","",データ!R139)</f>
        <v/>
      </c>
      <c r="V142" s="41" t="str">
        <f>IF(データ!S139="","",データ!S139)</f>
        <v/>
      </c>
      <c r="W142" s="42">
        <f>データ!T139</f>
        <v>0</v>
      </c>
      <c r="X142" s="48">
        <f>IF($C142="集計行","",データ!U139)</f>
        <v>0</v>
      </c>
      <c r="Y142" s="48">
        <f>データ!V139</f>
        <v>0</v>
      </c>
      <c r="Z142" s="39" t="str">
        <f>IF(OR($C142="総括",$C142="内訳書",$C142="内訳代価",$C142="明細書",$C142="明細代価",$C142="代価表",$C142="単価表"),データ!W139,"")</f>
        <v/>
      </c>
      <c r="AA142" s="11" t="str">
        <f t="shared" si="16"/>
        <v/>
      </c>
      <c r="AB142" s="46" t="e">
        <f t="shared" si="17"/>
        <v>#DIV/0!</v>
      </c>
      <c r="AC142" s="40" t="str">
        <f>IF(データ!X139="","",データ!X139)</f>
        <v/>
      </c>
      <c r="AD142" s="41" t="str">
        <f>IF(データ!Y139="","",データ!Y139)</f>
        <v/>
      </c>
      <c r="AE142" s="47" t="str">
        <f>TRIM(データ!B139)</f>
        <v>s20718549</v>
      </c>
      <c r="AF142" s="43" t="str">
        <f>TRIM(データ!Z139)</f>
        <v/>
      </c>
    </row>
    <row r="143" spans="1:32" x14ac:dyDescent="0.15">
      <c r="A143" s="47">
        <f>データ!A140</f>
        <v>3</v>
      </c>
      <c r="B143" s="47" t="str">
        <f>TRIM(データ!C140)</f>
        <v/>
      </c>
      <c r="C143" s="47" t="str">
        <f>TRIM(データ!D140)</f>
        <v>労務費</v>
      </c>
      <c r="D143" s="36" t="str">
        <f>REPT("｜",$A143)&amp;TRIM(データ!E140)</f>
        <v>｜｜｜運転工</v>
      </c>
      <c r="E143" s="37" t="str">
        <f>TRIM(データ!F140)</f>
        <v>8H</v>
      </c>
      <c r="F143" s="38" t="str">
        <f>TRIM(データ!G140)</f>
        <v>人</v>
      </c>
      <c r="G143" s="50">
        <f>データ!H140</f>
        <v>12</v>
      </c>
      <c r="H143" s="48">
        <f>データ!I140</f>
        <v>23000</v>
      </c>
      <c r="I143" s="48">
        <f>データ!J140</f>
        <v>276000</v>
      </c>
      <c r="J143" s="39" t="str">
        <f>IF(OR($C143="総括",$C143="内訳書",$C143="内訳代価",$C143="明細書",$C143="明細代価",$C143="代価表",$C143="単価表"),データ!K140,"")</f>
        <v/>
      </c>
      <c r="K143" s="11" t="str">
        <f t="shared" si="12"/>
        <v/>
      </c>
      <c r="L143" s="46">
        <f t="shared" si="13"/>
        <v>1.3463414634146341E-2</v>
      </c>
      <c r="M143" s="40" t="str">
        <f>IF(データ!L140="","",データ!L140)</f>
        <v/>
      </c>
      <c r="N143" s="41" t="str">
        <f>IF(データ!M140="","",データ!M140)</f>
        <v/>
      </c>
      <c r="O143" s="42">
        <f>データ!N140</f>
        <v>0</v>
      </c>
      <c r="P143" s="48">
        <f>IF($C143="集計行","",データ!O140)</f>
        <v>0</v>
      </c>
      <c r="Q143" s="48">
        <f>データ!P140</f>
        <v>0</v>
      </c>
      <c r="R143" s="39" t="str">
        <f>IF(OR($C143="総括",$C143="内訳書",$C143="内訳代価",$C143="明細書",$C143="明細代価",$C143="代価表",$C143="単価表"),データ!Q140,"")</f>
        <v/>
      </c>
      <c r="S143" s="11" t="str">
        <f t="shared" si="14"/>
        <v/>
      </c>
      <c r="T143" s="46" t="e">
        <f t="shared" si="15"/>
        <v>#DIV/0!</v>
      </c>
      <c r="U143" s="40" t="str">
        <f>IF(データ!R140="","",データ!R140)</f>
        <v/>
      </c>
      <c r="V143" s="41" t="str">
        <f>IF(データ!S140="","",データ!S140)</f>
        <v/>
      </c>
      <c r="W143" s="42">
        <f>データ!T140</f>
        <v>0</v>
      </c>
      <c r="X143" s="48">
        <f>IF($C143="集計行","",データ!U140)</f>
        <v>0</v>
      </c>
      <c r="Y143" s="48">
        <f>データ!V140</f>
        <v>0</v>
      </c>
      <c r="Z143" s="39" t="str">
        <f>IF(OR($C143="総括",$C143="内訳書",$C143="内訳代価",$C143="明細書",$C143="明細代価",$C143="代価表",$C143="単価表"),データ!W140,"")</f>
        <v/>
      </c>
      <c r="AA143" s="11" t="str">
        <f t="shared" si="16"/>
        <v/>
      </c>
      <c r="AB143" s="46" t="e">
        <f t="shared" si="17"/>
        <v>#DIV/0!</v>
      </c>
      <c r="AC143" s="40" t="str">
        <f>IF(データ!X140="","",データ!X140)</f>
        <v/>
      </c>
      <c r="AD143" s="41" t="str">
        <f>IF(データ!Y140="","",データ!Y140)</f>
        <v/>
      </c>
      <c r="AE143" s="47" t="str">
        <f>TRIM(データ!B140)</f>
        <v>r20718007</v>
      </c>
      <c r="AF143" s="43" t="str">
        <f>TRIM(データ!Z140)</f>
        <v/>
      </c>
    </row>
    <row r="144" spans="1:32" x14ac:dyDescent="0.15">
      <c r="A144" s="47">
        <f>データ!A141</f>
        <v>3</v>
      </c>
      <c r="B144" s="47" t="str">
        <f>TRIM(データ!C141)</f>
        <v/>
      </c>
      <c r="C144" s="47" t="str">
        <f>TRIM(データ!D141)</f>
        <v>機械費</v>
      </c>
      <c r="D144" s="36" t="str">
        <f>REPT("｜",$A144)&amp;TRIM(データ!E141)</f>
        <v>｜｜｜Asフィニッシャー4.4m</v>
      </c>
      <c r="E144" s="37" t="str">
        <f>TRIM(データ!F141)</f>
        <v>低騒音</v>
      </c>
      <c r="F144" s="38" t="str">
        <f>TRIM(データ!G141)</f>
        <v>日台</v>
      </c>
      <c r="G144" s="50">
        <f>データ!H141</f>
        <v>1</v>
      </c>
      <c r="H144" s="48">
        <f>データ!I141</f>
        <v>50000</v>
      </c>
      <c r="I144" s="48">
        <f>データ!J141</f>
        <v>50000</v>
      </c>
      <c r="J144" s="39" t="str">
        <f>IF(OR($C144="総括",$C144="内訳書",$C144="内訳代価",$C144="明細書",$C144="明細代価",$C144="代価表",$C144="単価表"),データ!K141,"")</f>
        <v/>
      </c>
      <c r="K144" s="11" t="str">
        <f t="shared" si="12"/>
        <v/>
      </c>
      <c r="L144" s="46">
        <f t="shared" si="13"/>
        <v>2.4390243902439024E-3</v>
      </c>
      <c r="M144" s="40" t="str">
        <f>IF(データ!L141="","",データ!L141)</f>
        <v/>
      </c>
      <c r="N144" s="41" t="str">
        <f>IF(データ!M141="","",データ!M141)</f>
        <v/>
      </c>
      <c r="O144" s="42">
        <f>データ!N141</f>
        <v>0</v>
      </c>
      <c r="P144" s="48">
        <f>IF($C144="集計行","",データ!O141)</f>
        <v>0</v>
      </c>
      <c r="Q144" s="48">
        <f>データ!P141</f>
        <v>0</v>
      </c>
      <c r="R144" s="39" t="str">
        <f>IF(OR($C144="総括",$C144="内訳書",$C144="内訳代価",$C144="明細書",$C144="明細代価",$C144="代価表",$C144="単価表"),データ!Q141,"")</f>
        <v/>
      </c>
      <c r="S144" s="11" t="str">
        <f t="shared" si="14"/>
        <v/>
      </c>
      <c r="T144" s="46" t="e">
        <f t="shared" si="15"/>
        <v>#DIV/0!</v>
      </c>
      <c r="U144" s="40" t="str">
        <f>IF(データ!R141="","",データ!R141)</f>
        <v/>
      </c>
      <c r="V144" s="41" t="str">
        <f>IF(データ!S141="","",データ!S141)</f>
        <v/>
      </c>
      <c r="W144" s="42">
        <f>データ!T141</f>
        <v>0</v>
      </c>
      <c r="X144" s="48">
        <f>IF($C144="集計行","",データ!U141)</f>
        <v>0</v>
      </c>
      <c r="Y144" s="48">
        <f>データ!V141</f>
        <v>0</v>
      </c>
      <c r="Z144" s="39" t="str">
        <f>IF(OR($C144="総括",$C144="内訳書",$C144="内訳代価",$C144="明細書",$C144="明細代価",$C144="代価表",$C144="単価表"),データ!W141,"")</f>
        <v/>
      </c>
      <c r="AA144" s="11" t="str">
        <f t="shared" si="16"/>
        <v/>
      </c>
      <c r="AB144" s="46" t="e">
        <f t="shared" si="17"/>
        <v>#DIV/0!</v>
      </c>
      <c r="AC144" s="40" t="str">
        <f>IF(データ!X141="","",データ!X141)</f>
        <v/>
      </c>
      <c r="AD144" s="41" t="str">
        <f>IF(データ!Y141="","",データ!Y141)</f>
        <v/>
      </c>
      <c r="AE144" s="47" t="str">
        <f>TRIM(データ!B141)</f>
        <v>k20718053</v>
      </c>
      <c r="AF144" s="43" t="str">
        <f>TRIM(データ!Z141)</f>
        <v/>
      </c>
    </row>
    <row r="145" spans="1:32" x14ac:dyDescent="0.15">
      <c r="A145" s="47">
        <f>データ!A142</f>
        <v>3</v>
      </c>
      <c r="B145" s="47" t="str">
        <f>TRIM(データ!C142)</f>
        <v/>
      </c>
      <c r="C145" s="47" t="str">
        <f>TRIM(データ!D142)</f>
        <v>機械費</v>
      </c>
      <c r="D145" s="36" t="str">
        <f>REPT("｜",$A145)&amp;TRIM(データ!E142)</f>
        <v>｜｜｜BH0.15クレーン</v>
      </c>
      <c r="E145" s="37" t="str">
        <f>TRIM(データ!F142)</f>
        <v>低騒音・超小</v>
      </c>
      <c r="F145" s="38" t="str">
        <f>TRIM(データ!G142)</f>
        <v>日台</v>
      </c>
      <c r="G145" s="50">
        <f>データ!H142</f>
        <v>1</v>
      </c>
      <c r="H145" s="48">
        <f>データ!I142</f>
        <v>7000</v>
      </c>
      <c r="I145" s="48">
        <f>データ!J142</f>
        <v>7000</v>
      </c>
      <c r="J145" s="39" t="str">
        <f>IF(OR($C145="総括",$C145="内訳書",$C145="内訳代価",$C145="明細書",$C145="明細代価",$C145="代価表",$C145="単価表"),データ!K142,"")</f>
        <v/>
      </c>
      <c r="K145" s="11" t="str">
        <f t="shared" si="12"/>
        <v/>
      </c>
      <c r="L145" s="46">
        <f t="shared" si="13"/>
        <v>3.4146341463414632E-4</v>
      </c>
      <c r="M145" s="40" t="str">
        <f>IF(データ!L142="","",データ!L142)</f>
        <v/>
      </c>
      <c r="N145" s="41" t="str">
        <f>IF(データ!M142="","",データ!M142)</f>
        <v/>
      </c>
      <c r="O145" s="42">
        <f>データ!N142</f>
        <v>0</v>
      </c>
      <c r="P145" s="48">
        <f>IF($C145="集計行","",データ!O142)</f>
        <v>0</v>
      </c>
      <c r="Q145" s="48">
        <f>データ!P142</f>
        <v>0</v>
      </c>
      <c r="R145" s="39" t="str">
        <f>IF(OR($C145="総括",$C145="内訳書",$C145="内訳代価",$C145="明細書",$C145="明細代価",$C145="代価表",$C145="単価表"),データ!Q142,"")</f>
        <v/>
      </c>
      <c r="S145" s="11" t="str">
        <f t="shared" si="14"/>
        <v/>
      </c>
      <c r="T145" s="46" t="e">
        <f t="shared" si="15"/>
        <v>#DIV/0!</v>
      </c>
      <c r="U145" s="40" t="str">
        <f>IF(データ!R142="","",データ!R142)</f>
        <v/>
      </c>
      <c r="V145" s="41" t="str">
        <f>IF(データ!S142="","",データ!S142)</f>
        <v/>
      </c>
      <c r="W145" s="42">
        <f>データ!T142</f>
        <v>0</v>
      </c>
      <c r="X145" s="48">
        <f>IF($C145="集計行","",データ!U142)</f>
        <v>0</v>
      </c>
      <c r="Y145" s="48">
        <f>データ!V142</f>
        <v>0</v>
      </c>
      <c r="Z145" s="39" t="str">
        <f>IF(OR($C145="総括",$C145="内訳書",$C145="内訳代価",$C145="明細書",$C145="明細代価",$C145="代価表",$C145="単価表"),データ!W142,"")</f>
        <v/>
      </c>
      <c r="AA145" s="11" t="str">
        <f t="shared" si="16"/>
        <v/>
      </c>
      <c r="AB145" s="46" t="e">
        <f t="shared" si="17"/>
        <v>#DIV/0!</v>
      </c>
      <c r="AC145" s="40" t="str">
        <f>IF(データ!X142="","",データ!X142)</f>
        <v/>
      </c>
      <c r="AD145" s="41" t="str">
        <f>IF(データ!Y142="","",データ!Y142)</f>
        <v/>
      </c>
      <c r="AE145" s="47" t="str">
        <f>TRIM(データ!B142)</f>
        <v>k20718014</v>
      </c>
      <c r="AF145" s="43" t="str">
        <f>TRIM(データ!Z142)</f>
        <v/>
      </c>
    </row>
    <row r="146" spans="1:32" x14ac:dyDescent="0.15">
      <c r="A146" s="47">
        <f>データ!A143</f>
        <v>3</v>
      </c>
      <c r="B146" s="47" t="str">
        <f>TRIM(データ!C143)</f>
        <v/>
      </c>
      <c r="C146" s="47" t="str">
        <f>TRIM(データ!D143)</f>
        <v>機械費</v>
      </c>
      <c r="D146" s="36" t="str">
        <f>REPT("｜",$A146)&amp;TRIM(データ!E143)</f>
        <v>｜｜｜タイヤショベル0.5</v>
      </c>
      <c r="E146" s="37" t="str">
        <f>TRIM(データ!F143)</f>
        <v>低騒音</v>
      </c>
      <c r="F146" s="38" t="str">
        <f>TRIM(データ!G143)</f>
        <v>日台</v>
      </c>
      <c r="G146" s="50">
        <f>データ!H143</f>
        <v>1</v>
      </c>
      <c r="H146" s="48">
        <f>データ!I143</f>
        <v>6000</v>
      </c>
      <c r="I146" s="48">
        <f>データ!J143</f>
        <v>6000</v>
      </c>
      <c r="J146" s="39" t="str">
        <f>IF(OR($C146="総括",$C146="内訳書",$C146="内訳代価",$C146="明細書",$C146="明細代価",$C146="代価表",$C146="単価表"),データ!K143,"")</f>
        <v/>
      </c>
      <c r="K146" s="11" t="str">
        <f t="shared" si="12"/>
        <v/>
      </c>
      <c r="L146" s="46">
        <f t="shared" si="13"/>
        <v>2.9268292682926828E-4</v>
      </c>
      <c r="M146" s="40" t="str">
        <f>IF(データ!L143="","",データ!L143)</f>
        <v/>
      </c>
      <c r="N146" s="41" t="str">
        <f>IF(データ!M143="","",データ!M143)</f>
        <v/>
      </c>
      <c r="O146" s="42">
        <f>データ!N143</f>
        <v>0</v>
      </c>
      <c r="P146" s="48">
        <f>IF($C146="集計行","",データ!O143)</f>
        <v>0</v>
      </c>
      <c r="Q146" s="48">
        <f>データ!P143</f>
        <v>0</v>
      </c>
      <c r="R146" s="39" t="str">
        <f>IF(OR($C146="総括",$C146="内訳書",$C146="内訳代価",$C146="明細書",$C146="明細代価",$C146="代価表",$C146="単価表"),データ!Q143,"")</f>
        <v/>
      </c>
      <c r="S146" s="11" t="str">
        <f t="shared" si="14"/>
        <v/>
      </c>
      <c r="T146" s="46" t="e">
        <f t="shared" si="15"/>
        <v>#DIV/0!</v>
      </c>
      <c r="U146" s="40" t="str">
        <f>IF(データ!R143="","",データ!R143)</f>
        <v/>
      </c>
      <c r="V146" s="41" t="str">
        <f>IF(データ!S143="","",データ!S143)</f>
        <v/>
      </c>
      <c r="W146" s="42">
        <f>データ!T143</f>
        <v>0</v>
      </c>
      <c r="X146" s="48">
        <f>IF($C146="集計行","",データ!U143)</f>
        <v>0</v>
      </c>
      <c r="Y146" s="48">
        <f>データ!V143</f>
        <v>0</v>
      </c>
      <c r="Z146" s="39" t="str">
        <f>IF(OR($C146="総括",$C146="内訳書",$C146="内訳代価",$C146="明細書",$C146="明細代価",$C146="代価表",$C146="単価表"),データ!W143,"")</f>
        <v/>
      </c>
      <c r="AA146" s="11" t="str">
        <f t="shared" si="16"/>
        <v/>
      </c>
      <c r="AB146" s="46" t="e">
        <f t="shared" si="17"/>
        <v>#DIV/0!</v>
      </c>
      <c r="AC146" s="40" t="str">
        <f>IF(データ!X143="","",データ!X143)</f>
        <v/>
      </c>
      <c r="AD146" s="41" t="str">
        <f>IF(データ!Y143="","",データ!Y143)</f>
        <v/>
      </c>
      <c r="AE146" s="47" t="str">
        <f>TRIM(データ!B143)</f>
        <v>k20718024</v>
      </c>
      <c r="AF146" s="43" t="str">
        <f>TRIM(データ!Z143)</f>
        <v/>
      </c>
    </row>
    <row r="147" spans="1:32" x14ac:dyDescent="0.15">
      <c r="A147" s="47">
        <f>データ!A144</f>
        <v>3</v>
      </c>
      <c r="B147" s="47" t="str">
        <f>TRIM(データ!C144)</f>
        <v/>
      </c>
      <c r="C147" s="47" t="str">
        <f>TRIM(データ!D144)</f>
        <v>機械費</v>
      </c>
      <c r="D147" s="36" t="str">
        <f>REPT("｜",$A147)&amp;TRIM(データ!E144)</f>
        <v>｜｜｜コンバインドR</v>
      </c>
      <c r="E147" s="37" t="str">
        <f>TRIM(データ!F144)</f>
        <v>3t　4ｔ　低騒音</v>
      </c>
      <c r="F147" s="38" t="str">
        <f>TRIM(データ!G144)</f>
        <v>日台</v>
      </c>
      <c r="G147" s="50">
        <f>データ!H144</f>
        <v>1</v>
      </c>
      <c r="H147" s="48">
        <f>データ!I144</f>
        <v>7000</v>
      </c>
      <c r="I147" s="48">
        <f>データ!J144</f>
        <v>7000</v>
      </c>
      <c r="J147" s="39" t="str">
        <f>IF(OR($C147="総括",$C147="内訳書",$C147="内訳代価",$C147="明細書",$C147="明細代価",$C147="代価表",$C147="単価表"),データ!K144,"")</f>
        <v/>
      </c>
      <c r="K147" s="11" t="str">
        <f t="shared" si="12"/>
        <v/>
      </c>
      <c r="L147" s="46">
        <f t="shared" si="13"/>
        <v>3.4146341463414632E-4</v>
      </c>
      <c r="M147" s="40" t="str">
        <f>IF(データ!L144="","",データ!L144)</f>
        <v/>
      </c>
      <c r="N147" s="41" t="str">
        <f>IF(データ!M144="","",データ!M144)</f>
        <v/>
      </c>
      <c r="O147" s="42">
        <f>データ!N144</f>
        <v>0</v>
      </c>
      <c r="P147" s="48">
        <f>IF($C147="集計行","",データ!O144)</f>
        <v>0</v>
      </c>
      <c r="Q147" s="48">
        <f>データ!P144</f>
        <v>0</v>
      </c>
      <c r="R147" s="39" t="str">
        <f>IF(OR($C147="総括",$C147="内訳書",$C147="内訳代価",$C147="明細書",$C147="明細代価",$C147="代価表",$C147="単価表"),データ!Q144,"")</f>
        <v/>
      </c>
      <c r="S147" s="11" t="str">
        <f t="shared" si="14"/>
        <v/>
      </c>
      <c r="T147" s="46" t="e">
        <f t="shared" si="15"/>
        <v>#DIV/0!</v>
      </c>
      <c r="U147" s="40" t="str">
        <f>IF(データ!R144="","",データ!R144)</f>
        <v/>
      </c>
      <c r="V147" s="41" t="str">
        <f>IF(データ!S144="","",データ!S144)</f>
        <v/>
      </c>
      <c r="W147" s="42">
        <f>データ!T144</f>
        <v>0</v>
      </c>
      <c r="X147" s="48">
        <f>IF($C147="集計行","",データ!U144)</f>
        <v>0</v>
      </c>
      <c r="Y147" s="48">
        <f>データ!V144</f>
        <v>0</v>
      </c>
      <c r="Z147" s="39" t="str">
        <f>IF(OR($C147="総括",$C147="内訳書",$C147="内訳代価",$C147="明細書",$C147="明細代価",$C147="代価表",$C147="単価表"),データ!W144,"")</f>
        <v/>
      </c>
      <c r="AA147" s="11" t="str">
        <f t="shared" si="16"/>
        <v/>
      </c>
      <c r="AB147" s="46" t="e">
        <f t="shared" si="17"/>
        <v>#DIV/0!</v>
      </c>
      <c r="AC147" s="40" t="str">
        <f>IF(データ!X144="","",データ!X144)</f>
        <v/>
      </c>
      <c r="AD147" s="41" t="str">
        <f>IF(データ!Y144="","",データ!Y144)</f>
        <v/>
      </c>
      <c r="AE147" s="47" t="str">
        <f>TRIM(データ!B144)</f>
        <v>k20718031</v>
      </c>
      <c r="AF147" s="43" t="str">
        <f>TRIM(データ!Z144)</f>
        <v/>
      </c>
    </row>
    <row r="148" spans="1:32" x14ac:dyDescent="0.15">
      <c r="A148" s="47">
        <f>データ!A145</f>
        <v>3</v>
      </c>
      <c r="B148" s="47" t="str">
        <f>TRIM(データ!C145)</f>
        <v/>
      </c>
      <c r="C148" s="47" t="str">
        <f>TRIM(データ!D145)</f>
        <v>運搬費</v>
      </c>
      <c r="D148" s="36" t="str">
        <f>REPT("｜",$A148)&amp;TRIM(データ!E145)</f>
        <v>｜｜｜WP</v>
      </c>
      <c r="E148" s="37" t="str">
        <f>TRIM(データ!F145)</f>
        <v/>
      </c>
      <c r="F148" s="38" t="str">
        <f>TRIM(データ!G145)</f>
        <v>台</v>
      </c>
      <c r="G148" s="50">
        <f>データ!H145</f>
        <v>2</v>
      </c>
      <c r="H148" s="48">
        <f>データ!I145</f>
        <v>5000</v>
      </c>
      <c r="I148" s="48">
        <f>データ!J145</f>
        <v>10000</v>
      </c>
      <c r="J148" s="39" t="str">
        <f>IF(OR($C148="総括",$C148="内訳書",$C148="内訳代価",$C148="明細書",$C148="明細代価",$C148="代価表",$C148="単価表"),データ!K145,"")</f>
        <v/>
      </c>
      <c r="K148" s="11" t="str">
        <f t="shared" si="12"/>
        <v/>
      </c>
      <c r="L148" s="46">
        <f t="shared" si="13"/>
        <v>4.8780487804878049E-4</v>
      </c>
      <c r="M148" s="40" t="str">
        <f>IF(データ!L145="","",データ!L145)</f>
        <v/>
      </c>
      <c r="N148" s="41" t="str">
        <f>IF(データ!M145="","",データ!M145)</f>
        <v/>
      </c>
      <c r="O148" s="42">
        <f>データ!N145</f>
        <v>0</v>
      </c>
      <c r="P148" s="48">
        <f>IF($C148="集計行","",データ!O145)</f>
        <v>0</v>
      </c>
      <c r="Q148" s="48">
        <f>データ!P145</f>
        <v>0</v>
      </c>
      <c r="R148" s="39" t="str">
        <f>IF(OR($C148="総括",$C148="内訳書",$C148="内訳代価",$C148="明細書",$C148="明細代価",$C148="代価表",$C148="単価表"),データ!Q145,"")</f>
        <v/>
      </c>
      <c r="S148" s="11" t="str">
        <f t="shared" si="14"/>
        <v/>
      </c>
      <c r="T148" s="46" t="e">
        <f t="shared" si="15"/>
        <v>#DIV/0!</v>
      </c>
      <c r="U148" s="40" t="str">
        <f>IF(データ!R145="","",データ!R145)</f>
        <v/>
      </c>
      <c r="V148" s="41" t="str">
        <f>IF(データ!S145="","",データ!S145)</f>
        <v/>
      </c>
      <c r="W148" s="42">
        <f>データ!T145</f>
        <v>0</v>
      </c>
      <c r="X148" s="48">
        <f>IF($C148="集計行","",データ!U145)</f>
        <v>0</v>
      </c>
      <c r="Y148" s="48">
        <f>データ!V145</f>
        <v>0</v>
      </c>
      <c r="Z148" s="39" t="str">
        <f>IF(OR($C148="総括",$C148="内訳書",$C148="内訳代価",$C148="明細書",$C148="明細代価",$C148="代価表",$C148="単価表"),データ!W145,"")</f>
        <v/>
      </c>
      <c r="AA148" s="11" t="str">
        <f t="shared" si="16"/>
        <v/>
      </c>
      <c r="AB148" s="46" t="e">
        <f t="shared" si="17"/>
        <v>#DIV/0!</v>
      </c>
      <c r="AC148" s="40" t="str">
        <f>IF(データ!X145="","",データ!X145)</f>
        <v/>
      </c>
      <c r="AD148" s="41" t="str">
        <f>IF(データ!Y145="","",データ!Y145)</f>
        <v/>
      </c>
      <c r="AE148" s="47" t="str">
        <f>TRIM(データ!B145)</f>
        <v>u20718008</v>
      </c>
      <c r="AF148" s="43" t="str">
        <f>TRIM(データ!Z145)</f>
        <v/>
      </c>
    </row>
    <row r="149" spans="1:32" x14ac:dyDescent="0.15">
      <c r="A149" s="47">
        <f>データ!A146</f>
        <v>3</v>
      </c>
      <c r="B149" s="47" t="str">
        <f>TRIM(データ!C146)</f>
        <v/>
      </c>
      <c r="C149" s="47" t="str">
        <f>TRIM(データ!D146)</f>
        <v>運搬費</v>
      </c>
      <c r="D149" s="36" t="str">
        <f>REPT("｜",$A149)&amp;TRIM(データ!E146)</f>
        <v>｜｜｜2tダンプ</v>
      </c>
      <c r="E149" s="37" t="str">
        <f>TRIM(データ!F146)</f>
        <v/>
      </c>
      <c r="F149" s="38" t="str">
        <f>TRIM(データ!G146)</f>
        <v>台</v>
      </c>
      <c r="G149" s="50">
        <f>データ!H146</f>
        <v>3</v>
      </c>
      <c r="H149" s="48">
        <f>データ!I146</f>
        <v>6000</v>
      </c>
      <c r="I149" s="48">
        <f>データ!J146</f>
        <v>18000</v>
      </c>
      <c r="J149" s="39" t="str">
        <f>IF(OR($C149="総括",$C149="内訳書",$C149="内訳代価",$C149="明細書",$C149="明細代価",$C149="代価表",$C149="単価表"),データ!K146,"")</f>
        <v/>
      </c>
      <c r="K149" s="11" t="str">
        <f t="shared" si="12"/>
        <v/>
      </c>
      <c r="L149" s="46">
        <f t="shared" si="13"/>
        <v>8.780487804878049E-4</v>
      </c>
      <c r="M149" s="40" t="str">
        <f>IF(データ!L146="","",データ!L146)</f>
        <v/>
      </c>
      <c r="N149" s="41" t="str">
        <f>IF(データ!M146="","",データ!M146)</f>
        <v/>
      </c>
      <c r="O149" s="42">
        <f>データ!N146</f>
        <v>0</v>
      </c>
      <c r="P149" s="48">
        <f>IF($C149="集計行","",データ!O146)</f>
        <v>0</v>
      </c>
      <c r="Q149" s="48">
        <f>データ!P146</f>
        <v>0</v>
      </c>
      <c r="R149" s="39" t="str">
        <f>IF(OR($C149="総括",$C149="内訳書",$C149="内訳代価",$C149="明細書",$C149="明細代価",$C149="代価表",$C149="単価表"),データ!Q146,"")</f>
        <v/>
      </c>
      <c r="S149" s="11" t="str">
        <f t="shared" si="14"/>
        <v/>
      </c>
      <c r="T149" s="46" t="e">
        <f t="shared" si="15"/>
        <v>#DIV/0!</v>
      </c>
      <c r="U149" s="40" t="str">
        <f>IF(データ!R146="","",データ!R146)</f>
        <v/>
      </c>
      <c r="V149" s="41" t="str">
        <f>IF(データ!S146="","",データ!S146)</f>
        <v/>
      </c>
      <c r="W149" s="42">
        <f>データ!T146</f>
        <v>0</v>
      </c>
      <c r="X149" s="48">
        <f>IF($C149="集計行","",データ!U146)</f>
        <v>0</v>
      </c>
      <c r="Y149" s="48">
        <f>データ!V146</f>
        <v>0</v>
      </c>
      <c r="Z149" s="39" t="str">
        <f>IF(OR($C149="総括",$C149="内訳書",$C149="内訳代価",$C149="明細書",$C149="明細代価",$C149="代価表",$C149="単価表"),データ!W146,"")</f>
        <v/>
      </c>
      <c r="AA149" s="11" t="str">
        <f t="shared" si="16"/>
        <v/>
      </c>
      <c r="AB149" s="46" t="e">
        <f t="shared" si="17"/>
        <v>#DIV/0!</v>
      </c>
      <c r="AC149" s="40" t="str">
        <f>IF(データ!X146="","",データ!X146)</f>
        <v/>
      </c>
      <c r="AD149" s="41" t="str">
        <f>IF(データ!Y146="","",データ!Y146)</f>
        <v/>
      </c>
      <c r="AE149" s="47" t="str">
        <f>TRIM(データ!B146)</f>
        <v>u20718025</v>
      </c>
      <c r="AF149" s="43" t="str">
        <f>TRIM(データ!Z146)</f>
        <v/>
      </c>
    </row>
    <row r="150" spans="1:32" x14ac:dyDescent="0.15">
      <c r="A150" s="47">
        <f>データ!A147</f>
        <v>1</v>
      </c>
      <c r="B150" s="47" t="str">
        <f>TRIM(データ!C147)</f>
        <v/>
      </c>
      <c r="C150" s="47" t="str">
        <f>TRIM(データ!D147)</f>
        <v>内訳書</v>
      </c>
      <c r="D150" s="36" t="str">
        <f>REPT("｜",$A150)&amp;TRIM(データ!E147)</f>
        <v>｜片付け</v>
      </c>
      <c r="E150" s="37" t="str">
        <f>TRIM(データ!F147)</f>
        <v/>
      </c>
      <c r="F150" s="38" t="str">
        <f>TRIM(データ!G147)</f>
        <v>式</v>
      </c>
      <c r="G150" s="50">
        <f>データ!H147</f>
        <v>1</v>
      </c>
      <c r="H150" s="48">
        <f>データ!I147</f>
        <v>321000</v>
      </c>
      <c r="I150" s="48">
        <f>データ!J147</f>
        <v>321000</v>
      </c>
      <c r="J150" s="39">
        <f>IF(OR($C150="総括",$C150="内訳書",$C150="内訳代価",$C150="明細書",$C150="明細代価",$C150="代価表",$C150="単価表"),データ!K147,"")</f>
        <v>1</v>
      </c>
      <c r="K150" s="11" t="str">
        <f t="shared" si="12"/>
        <v/>
      </c>
      <c r="L150" s="46">
        <f t="shared" si="13"/>
        <v>1.5658536585365854E-2</v>
      </c>
      <c r="M150" s="40" t="str">
        <f>IF(データ!L147="","",データ!L147)</f>
        <v/>
      </c>
      <c r="N150" s="41" t="str">
        <f>IF(データ!M147="","",データ!M147)</f>
        <v>35号内訳書</v>
      </c>
      <c r="O150" s="42">
        <f>データ!N147</f>
        <v>0</v>
      </c>
      <c r="P150" s="48">
        <f>IF($C150="集計行","",データ!O147)</f>
        <v>0</v>
      </c>
      <c r="Q150" s="48">
        <f>データ!P147</f>
        <v>0</v>
      </c>
      <c r="R150" s="39">
        <f>IF(OR($C150="総括",$C150="内訳書",$C150="内訳代価",$C150="明細書",$C150="明細代価",$C150="代価表",$C150="単価表"),データ!Q147,"")</f>
        <v>0</v>
      </c>
      <c r="S150" s="11" t="str">
        <f t="shared" si="14"/>
        <v/>
      </c>
      <c r="T150" s="46" t="e">
        <f t="shared" si="15"/>
        <v>#DIV/0!</v>
      </c>
      <c r="U150" s="40" t="str">
        <f>IF(データ!R147="","",データ!R147)</f>
        <v/>
      </c>
      <c r="V150" s="41" t="str">
        <f>IF(データ!S147="","",データ!S147)</f>
        <v/>
      </c>
      <c r="W150" s="42">
        <f>データ!T147</f>
        <v>0</v>
      </c>
      <c r="X150" s="48">
        <f>IF($C150="集計行","",データ!U147)</f>
        <v>0</v>
      </c>
      <c r="Y150" s="48">
        <f>データ!V147</f>
        <v>0</v>
      </c>
      <c r="Z150" s="39">
        <f>IF(OR($C150="総括",$C150="内訳書",$C150="内訳代価",$C150="明細書",$C150="明細代価",$C150="代価表",$C150="単価表"),データ!W147,"")</f>
        <v>0</v>
      </c>
      <c r="AA150" s="11" t="str">
        <f t="shared" si="16"/>
        <v/>
      </c>
      <c r="AB150" s="46" t="e">
        <f t="shared" si="17"/>
        <v>#DIV/0!</v>
      </c>
      <c r="AC150" s="40" t="str">
        <f>IF(データ!X147="","",データ!X147)</f>
        <v/>
      </c>
      <c r="AD150" s="41" t="str">
        <f>IF(データ!Y147="","",データ!Y147)</f>
        <v/>
      </c>
      <c r="AE150" s="47" t="str">
        <f>TRIM(データ!B147)</f>
        <v/>
      </c>
      <c r="AF150" s="43" t="str">
        <f>TRIM(データ!Z147)</f>
        <v/>
      </c>
    </row>
    <row r="151" spans="1:32" x14ac:dyDescent="0.15">
      <c r="A151" s="47">
        <f>データ!A148</f>
        <v>2</v>
      </c>
      <c r="B151" s="47" t="str">
        <f>TRIM(データ!C148)</f>
        <v/>
      </c>
      <c r="C151" s="47" t="str">
        <f>TRIM(データ!D148)</f>
        <v>労務費</v>
      </c>
      <c r="D151" s="36" t="str">
        <f>REPT("｜",$A151)&amp;TRIM(データ!E148)</f>
        <v>｜｜運転工</v>
      </c>
      <c r="E151" s="37" t="str">
        <f>TRIM(データ!F148)</f>
        <v>8H</v>
      </c>
      <c r="F151" s="38" t="str">
        <f>TRIM(データ!G148)</f>
        <v>人</v>
      </c>
      <c r="G151" s="50">
        <f>データ!H148</f>
        <v>12</v>
      </c>
      <c r="H151" s="48">
        <f>データ!I148</f>
        <v>23000</v>
      </c>
      <c r="I151" s="48">
        <f>データ!J148</f>
        <v>276000</v>
      </c>
      <c r="J151" s="39" t="str">
        <f>IF(OR($C151="総括",$C151="内訳書",$C151="内訳代価",$C151="明細書",$C151="明細代価",$C151="代価表",$C151="単価表"),データ!K148,"")</f>
        <v/>
      </c>
      <c r="K151" s="11" t="str">
        <f t="shared" si="12"/>
        <v/>
      </c>
      <c r="L151" s="46">
        <f t="shared" si="13"/>
        <v>1.3463414634146341E-2</v>
      </c>
      <c r="M151" s="40" t="str">
        <f>IF(データ!L148="","",データ!L148)</f>
        <v/>
      </c>
      <c r="N151" s="41" t="str">
        <f>IF(データ!M148="","",データ!M148)</f>
        <v/>
      </c>
      <c r="O151" s="42">
        <f>データ!N148</f>
        <v>0</v>
      </c>
      <c r="P151" s="48">
        <f>IF($C151="集計行","",データ!O148)</f>
        <v>0</v>
      </c>
      <c r="Q151" s="48">
        <f>データ!P148</f>
        <v>0</v>
      </c>
      <c r="R151" s="39" t="str">
        <f>IF(OR($C151="総括",$C151="内訳書",$C151="内訳代価",$C151="明細書",$C151="明細代価",$C151="代価表",$C151="単価表"),データ!Q148,"")</f>
        <v/>
      </c>
      <c r="S151" s="11" t="str">
        <f t="shared" si="14"/>
        <v/>
      </c>
      <c r="T151" s="46" t="e">
        <f t="shared" si="15"/>
        <v>#DIV/0!</v>
      </c>
      <c r="U151" s="40" t="str">
        <f>IF(データ!R148="","",データ!R148)</f>
        <v/>
      </c>
      <c r="V151" s="41" t="str">
        <f>IF(データ!S148="","",データ!S148)</f>
        <v/>
      </c>
      <c r="W151" s="42">
        <f>データ!T148</f>
        <v>0</v>
      </c>
      <c r="X151" s="48">
        <f>IF($C151="集計行","",データ!U148)</f>
        <v>0</v>
      </c>
      <c r="Y151" s="48">
        <f>データ!V148</f>
        <v>0</v>
      </c>
      <c r="Z151" s="39" t="str">
        <f>IF(OR($C151="総括",$C151="内訳書",$C151="内訳代価",$C151="明細書",$C151="明細代価",$C151="代価表",$C151="単価表"),データ!W148,"")</f>
        <v/>
      </c>
      <c r="AA151" s="11" t="str">
        <f t="shared" si="16"/>
        <v/>
      </c>
      <c r="AB151" s="46" t="e">
        <f t="shared" si="17"/>
        <v>#DIV/0!</v>
      </c>
      <c r="AC151" s="40" t="str">
        <f>IF(データ!X148="","",データ!X148)</f>
        <v/>
      </c>
      <c r="AD151" s="41" t="str">
        <f>IF(データ!Y148="","",データ!Y148)</f>
        <v/>
      </c>
      <c r="AE151" s="47" t="str">
        <f>TRIM(データ!B148)</f>
        <v>r20718007</v>
      </c>
      <c r="AF151" s="43" t="str">
        <f>TRIM(データ!Z148)</f>
        <v/>
      </c>
    </row>
    <row r="152" spans="1:32" x14ac:dyDescent="0.15">
      <c r="A152" s="47">
        <f>データ!A149</f>
        <v>2</v>
      </c>
      <c r="B152" s="47" t="str">
        <f>TRIM(データ!C149)</f>
        <v/>
      </c>
      <c r="C152" s="47" t="str">
        <f>TRIM(データ!D149)</f>
        <v>機械費</v>
      </c>
      <c r="D152" s="36" t="str">
        <f>REPT("｜",$A152)&amp;TRIM(データ!E149)</f>
        <v>｜｜小物機械　ﾊﾟｰﾄﾅ・丸ﾉｺ</v>
      </c>
      <c r="E152" s="37" t="str">
        <f>TRIM(データ!F149)</f>
        <v>ｸﾞﾗｲﾝﾀﾞ-・ｺｱ抜きﾄﾞﾘﾙ・ﾌﾞﾛｱ　等</v>
      </c>
      <c r="F152" s="38" t="str">
        <f>TRIM(データ!G149)</f>
        <v>台</v>
      </c>
      <c r="G152" s="50">
        <f>データ!H149</f>
        <v>3</v>
      </c>
      <c r="H152" s="48">
        <f>データ!I149</f>
        <v>3000</v>
      </c>
      <c r="I152" s="48">
        <f>データ!J149</f>
        <v>9000</v>
      </c>
      <c r="J152" s="39" t="str">
        <f>IF(OR($C152="総括",$C152="内訳書",$C152="内訳代価",$C152="明細書",$C152="明細代価",$C152="代価表",$C152="単価表"),データ!K149,"")</f>
        <v/>
      </c>
      <c r="K152" s="11" t="str">
        <f t="shared" si="12"/>
        <v/>
      </c>
      <c r="L152" s="46">
        <f t="shared" si="13"/>
        <v>4.3902439024390245E-4</v>
      </c>
      <c r="M152" s="40" t="str">
        <f>IF(データ!L149="","",データ!L149)</f>
        <v/>
      </c>
      <c r="N152" s="41" t="str">
        <f>IF(データ!M149="","",データ!M149)</f>
        <v/>
      </c>
      <c r="O152" s="42">
        <f>データ!N149</f>
        <v>0</v>
      </c>
      <c r="P152" s="48">
        <f>IF($C152="集計行","",データ!O149)</f>
        <v>0</v>
      </c>
      <c r="Q152" s="48">
        <f>データ!P149</f>
        <v>0</v>
      </c>
      <c r="R152" s="39" t="str">
        <f>IF(OR($C152="総括",$C152="内訳書",$C152="内訳代価",$C152="明細書",$C152="明細代価",$C152="代価表",$C152="単価表"),データ!Q149,"")</f>
        <v/>
      </c>
      <c r="S152" s="11" t="str">
        <f t="shared" si="14"/>
        <v/>
      </c>
      <c r="T152" s="46" t="e">
        <f t="shared" si="15"/>
        <v>#DIV/0!</v>
      </c>
      <c r="U152" s="40" t="str">
        <f>IF(データ!R149="","",データ!R149)</f>
        <v/>
      </c>
      <c r="V152" s="41" t="str">
        <f>IF(データ!S149="","",データ!S149)</f>
        <v/>
      </c>
      <c r="W152" s="42">
        <f>データ!T149</f>
        <v>0</v>
      </c>
      <c r="X152" s="48">
        <f>IF($C152="集計行","",データ!U149)</f>
        <v>0</v>
      </c>
      <c r="Y152" s="48">
        <f>データ!V149</f>
        <v>0</v>
      </c>
      <c r="Z152" s="39" t="str">
        <f>IF(OR($C152="総括",$C152="内訳書",$C152="内訳代価",$C152="明細書",$C152="明細代価",$C152="代価表",$C152="単価表"),データ!W149,"")</f>
        <v/>
      </c>
      <c r="AA152" s="11" t="str">
        <f t="shared" si="16"/>
        <v/>
      </c>
      <c r="AB152" s="46" t="e">
        <f t="shared" si="17"/>
        <v>#DIV/0!</v>
      </c>
      <c r="AC152" s="40" t="str">
        <f>IF(データ!X149="","",データ!X149)</f>
        <v/>
      </c>
      <c r="AD152" s="41" t="str">
        <f>IF(データ!Y149="","",データ!Y149)</f>
        <v/>
      </c>
      <c r="AE152" s="47" t="str">
        <f>TRIM(データ!B149)</f>
        <v>k20718001</v>
      </c>
      <c r="AF152" s="43" t="str">
        <f>TRIM(データ!Z149)</f>
        <v/>
      </c>
    </row>
    <row r="153" spans="1:32" x14ac:dyDescent="0.15">
      <c r="A153" s="47">
        <f>データ!A150</f>
        <v>2</v>
      </c>
      <c r="B153" s="47" t="str">
        <f>TRIM(データ!C150)</f>
        <v/>
      </c>
      <c r="C153" s="47" t="str">
        <f>TRIM(データ!D150)</f>
        <v>運搬費</v>
      </c>
      <c r="D153" s="36" t="str">
        <f>REPT("｜",$A153)&amp;TRIM(データ!E150)</f>
        <v>｜｜2tダンプ</v>
      </c>
      <c r="E153" s="37" t="str">
        <f>TRIM(データ!F150)</f>
        <v/>
      </c>
      <c r="F153" s="38" t="str">
        <f>TRIM(データ!G150)</f>
        <v>台</v>
      </c>
      <c r="G153" s="50">
        <f>データ!H150</f>
        <v>6</v>
      </c>
      <c r="H153" s="48">
        <f>データ!I150</f>
        <v>6000</v>
      </c>
      <c r="I153" s="48">
        <f>データ!J150</f>
        <v>36000</v>
      </c>
      <c r="J153" s="39" t="str">
        <f>IF(OR($C153="総括",$C153="内訳書",$C153="内訳代価",$C153="明細書",$C153="明細代価",$C153="代価表",$C153="単価表"),データ!K150,"")</f>
        <v/>
      </c>
      <c r="K153" s="11" t="str">
        <f t="shared" si="12"/>
        <v/>
      </c>
      <c r="L153" s="46">
        <f t="shared" si="13"/>
        <v>1.7560975609756098E-3</v>
      </c>
      <c r="M153" s="40" t="str">
        <f>IF(データ!L150="","",データ!L150)</f>
        <v/>
      </c>
      <c r="N153" s="41" t="str">
        <f>IF(データ!M150="","",データ!M150)</f>
        <v/>
      </c>
      <c r="O153" s="42">
        <f>データ!N150</f>
        <v>0</v>
      </c>
      <c r="P153" s="48">
        <f>IF($C153="集計行","",データ!O150)</f>
        <v>0</v>
      </c>
      <c r="Q153" s="48">
        <f>データ!P150</f>
        <v>0</v>
      </c>
      <c r="R153" s="39" t="str">
        <f>IF(OR($C153="総括",$C153="内訳書",$C153="内訳代価",$C153="明細書",$C153="明細代価",$C153="代価表",$C153="単価表"),データ!Q150,"")</f>
        <v/>
      </c>
      <c r="S153" s="11" t="str">
        <f t="shared" si="14"/>
        <v/>
      </c>
      <c r="T153" s="46" t="e">
        <f t="shared" si="15"/>
        <v>#DIV/0!</v>
      </c>
      <c r="U153" s="40" t="str">
        <f>IF(データ!R150="","",データ!R150)</f>
        <v/>
      </c>
      <c r="V153" s="41" t="str">
        <f>IF(データ!S150="","",データ!S150)</f>
        <v/>
      </c>
      <c r="W153" s="42">
        <f>データ!T150</f>
        <v>0</v>
      </c>
      <c r="X153" s="48">
        <f>IF($C153="集計行","",データ!U150)</f>
        <v>0</v>
      </c>
      <c r="Y153" s="48">
        <f>データ!V150</f>
        <v>0</v>
      </c>
      <c r="Z153" s="39" t="str">
        <f>IF(OR($C153="総括",$C153="内訳書",$C153="内訳代価",$C153="明細書",$C153="明細代価",$C153="代価表",$C153="単価表"),データ!W150,"")</f>
        <v/>
      </c>
      <c r="AA153" s="11" t="str">
        <f t="shared" si="16"/>
        <v/>
      </c>
      <c r="AB153" s="46" t="e">
        <f t="shared" si="17"/>
        <v>#DIV/0!</v>
      </c>
      <c r="AC153" s="40" t="str">
        <f>IF(データ!X150="","",データ!X150)</f>
        <v/>
      </c>
      <c r="AD153" s="41" t="str">
        <f>IF(データ!Y150="","",データ!Y150)</f>
        <v/>
      </c>
      <c r="AE153" s="47" t="str">
        <f>TRIM(データ!B150)</f>
        <v>u20718025</v>
      </c>
      <c r="AF153" s="43" t="str">
        <f>TRIM(データ!Z150)</f>
        <v/>
      </c>
    </row>
    <row r="154" spans="1:32" x14ac:dyDescent="0.15">
      <c r="A154" s="47">
        <f>データ!A151</f>
        <v>1</v>
      </c>
      <c r="B154" s="47" t="str">
        <f>TRIM(データ!C151)</f>
        <v/>
      </c>
      <c r="C154" s="47" t="str">
        <f>TRIM(データ!D151)</f>
        <v>内訳書</v>
      </c>
      <c r="D154" s="36" t="str">
        <f>REPT("｜",$A154)&amp;TRIM(データ!E151)</f>
        <v>｜仮設材運搬費</v>
      </c>
      <c r="E154" s="37" t="str">
        <f>TRIM(データ!F151)</f>
        <v/>
      </c>
      <c r="F154" s="38" t="str">
        <f>TRIM(データ!G151)</f>
        <v>式</v>
      </c>
      <c r="G154" s="50">
        <f>データ!H151</f>
        <v>1</v>
      </c>
      <c r="H154" s="48">
        <f>データ!I151</f>
        <v>312000</v>
      </c>
      <c r="I154" s="48">
        <f>データ!J151</f>
        <v>312000</v>
      </c>
      <c r="J154" s="39">
        <f>IF(OR($C154="総括",$C154="内訳書",$C154="内訳代価",$C154="明細書",$C154="明細代価",$C154="代価表",$C154="単価表"),データ!K151,"")</f>
        <v>1</v>
      </c>
      <c r="K154" s="11" t="str">
        <f t="shared" si="12"/>
        <v/>
      </c>
      <c r="L154" s="46">
        <f t="shared" si="13"/>
        <v>1.5219512195121951E-2</v>
      </c>
      <c r="M154" s="40" t="str">
        <f>IF(データ!L151="","",データ!L151)</f>
        <v/>
      </c>
      <c r="N154" s="41" t="str">
        <f>IF(データ!M151="","",データ!M151)</f>
        <v>36号内訳書</v>
      </c>
      <c r="O154" s="42">
        <f>データ!N151</f>
        <v>0</v>
      </c>
      <c r="P154" s="48">
        <f>IF($C154="集計行","",データ!O151)</f>
        <v>0</v>
      </c>
      <c r="Q154" s="48">
        <f>データ!P151</f>
        <v>0</v>
      </c>
      <c r="R154" s="39">
        <f>IF(OR($C154="総括",$C154="内訳書",$C154="内訳代価",$C154="明細書",$C154="明細代価",$C154="代価表",$C154="単価表"),データ!Q151,"")</f>
        <v>0</v>
      </c>
      <c r="S154" s="11" t="str">
        <f t="shared" si="14"/>
        <v/>
      </c>
      <c r="T154" s="46" t="e">
        <f t="shared" si="15"/>
        <v>#DIV/0!</v>
      </c>
      <c r="U154" s="40" t="str">
        <f>IF(データ!R151="","",データ!R151)</f>
        <v/>
      </c>
      <c r="V154" s="41" t="str">
        <f>IF(データ!S151="","",データ!S151)</f>
        <v/>
      </c>
      <c r="W154" s="42">
        <f>データ!T151</f>
        <v>0</v>
      </c>
      <c r="X154" s="48">
        <f>IF($C154="集計行","",データ!U151)</f>
        <v>0</v>
      </c>
      <c r="Y154" s="48">
        <f>データ!V151</f>
        <v>0</v>
      </c>
      <c r="Z154" s="39">
        <f>IF(OR($C154="総括",$C154="内訳書",$C154="内訳代価",$C154="明細書",$C154="明細代価",$C154="代価表",$C154="単価表"),データ!W151,"")</f>
        <v>0</v>
      </c>
      <c r="AA154" s="11" t="str">
        <f t="shared" si="16"/>
        <v/>
      </c>
      <c r="AB154" s="46" t="e">
        <f t="shared" si="17"/>
        <v>#DIV/0!</v>
      </c>
      <c r="AC154" s="40" t="str">
        <f>IF(データ!X151="","",データ!X151)</f>
        <v/>
      </c>
      <c r="AD154" s="41" t="str">
        <f>IF(データ!Y151="","",データ!Y151)</f>
        <v/>
      </c>
      <c r="AE154" s="47" t="str">
        <f>TRIM(データ!B151)</f>
        <v/>
      </c>
      <c r="AF154" s="43" t="str">
        <f>TRIM(データ!Z151)</f>
        <v/>
      </c>
    </row>
    <row r="155" spans="1:32" x14ac:dyDescent="0.15">
      <c r="A155" s="47">
        <f>データ!A152</f>
        <v>2</v>
      </c>
      <c r="B155" s="47" t="str">
        <f>TRIM(データ!C152)</f>
        <v/>
      </c>
      <c r="C155" s="47" t="str">
        <f>TRIM(データ!D152)</f>
        <v>労務費</v>
      </c>
      <c r="D155" s="36" t="str">
        <f>REPT("｜",$A155)&amp;TRIM(データ!E152)</f>
        <v>｜｜運転工</v>
      </c>
      <c r="E155" s="37" t="str">
        <f>TRIM(データ!F152)</f>
        <v>8H</v>
      </c>
      <c r="F155" s="38" t="str">
        <f>TRIM(データ!G152)</f>
        <v>人</v>
      </c>
      <c r="G155" s="50">
        <f>データ!H152</f>
        <v>12</v>
      </c>
      <c r="H155" s="48">
        <f>データ!I152</f>
        <v>23000</v>
      </c>
      <c r="I155" s="48">
        <f>データ!J152</f>
        <v>276000</v>
      </c>
      <c r="J155" s="39" t="str">
        <f>IF(OR($C155="総括",$C155="内訳書",$C155="内訳代価",$C155="明細書",$C155="明細代価",$C155="代価表",$C155="単価表"),データ!K152,"")</f>
        <v/>
      </c>
      <c r="K155" s="11" t="str">
        <f t="shared" si="12"/>
        <v/>
      </c>
      <c r="L155" s="46">
        <f t="shared" si="13"/>
        <v>1.3463414634146341E-2</v>
      </c>
      <c r="M155" s="40" t="str">
        <f>IF(データ!L152="","",データ!L152)</f>
        <v/>
      </c>
      <c r="N155" s="41" t="str">
        <f>IF(データ!M152="","",データ!M152)</f>
        <v/>
      </c>
      <c r="O155" s="42">
        <f>データ!N152</f>
        <v>0</v>
      </c>
      <c r="P155" s="48">
        <f>IF($C155="集計行","",データ!O152)</f>
        <v>0</v>
      </c>
      <c r="Q155" s="48">
        <f>データ!P152</f>
        <v>0</v>
      </c>
      <c r="R155" s="39" t="str">
        <f>IF(OR($C155="総括",$C155="内訳書",$C155="内訳代価",$C155="明細書",$C155="明細代価",$C155="代価表",$C155="単価表"),データ!Q152,"")</f>
        <v/>
      </c>
      <c r="S155" s="11" t="str">
        <f t="shared" si="14"/>
        <v/>
      </c>
      <c r="T155" s="46" t="e">
        <f t="shared" si="15"/>
        <v>#DIV/0!</v>
      </c>
      <c r="U155" s="40" t="str">
        <f>IF(データ!R152="","",データ!R152)</f>
        <v/>
      </c>
      <c r="V155" s="41" t="str">
        <f>IF(データ!S152="","",データ!S152)</f>
        <v/>
      </c>
      <c r="W155" s="42">
        <f>データ!T152</f>
        <v>0</v>
      </c>
      <c r="X155" s="48">
        <f>IF($C155="集計行","",データ!U152)</f>
        <v>0</v>
      </c>
      <c r="Y155" s="48">
        <f>データ!V152</f>
        <v>0</v>
      </c>
      <c r="Z155" s="39" t="str">
        <f>IF(OR($C155="総括",$C155="内訳書",$C155="内訳代価",$C155="明細書",$C155="明細代価",$C155="代価表",$C155="単価表"),データ!W152,"")</f>
        <v/>
      </c>
      <c r="AA155" s="11" t="str">
        <f t="shared" si="16"/>
        <v/>
      </c>
      <c r="AB155" s="46" t="e">
        <f t="shared" si="17"/>
        <v>#DIV/0!</v>
      </c>
      <c r="AC155" s="40" t="str">
        <f>IF(データ!X152="","",データ!X152)</f>
        <v/>
      </c>
      <c r="AD155" s="41" t="str">
        <f>IF(データ!Y152="","",データ!Y152)</f>
        <v/>
      </c>
      <c r="AE155" s="47" t="str">
        <f>TRIM(データ!B152)</f>
        <v>r20718007</v>
      </c>
      <c r="AF155" s="43" t="str">
        <f>TRIM(データ!Z152)</f>
        <v/>
      </c>
    </row>
    <row r="156" spans="1:32" x14ac:dyDescent="0.15">
      <c r="A156" s="47">
        <f>データ!A153</f>
        <v>2</v>
      </c>
      <c r="B156" s="47" t="str">
        <f>TRIM(データ!C153)</f>
        <v/>
      </c>
      <c r="C156" s="47" t="str">
        <f>TRIM(データ!D153)</f>
        <v>運搬費</v>
      </c>
      <c r="D156" s="36" t="str">
        <f>REPT("｜",$A156)&amp;TRIM(データ!E153)</f>
        <v>｜｜2tダンプ</v>
      </c>
      <c r="E156" s="37" t="str">
        <f>TRIM(データ!F153)</f>
        <v/>
      </c>
      <c r="F156" s="38" t="str">
        <f>TRIM(データ!G153)</f>
        <v>台</v>
      </c>
      <c r="G156" s="50">
        <f>データ!H153</f>
        <v>6</v>
      </c>
      <c r="H156" s="48">
        <f>データ!I153</f>
        <v>6000</v>
      </c>
      <c r="I156" s="48">
        <f>データ!J153</f>
        <v>36000</v>
      </c>
      <c r="J156" s="39" t="str">
        <f>IF(OR($C156="総括",$C156="内訳書",$C156="内訳代価",$C156="明細書",$C156="明細代価",$C156="代価表",$C156="単価表"),データ!K153,"")</f>
        <v/>
      </c>
      <c r="K156" s="11" t="str">
        <f t="shared" si="12"/>
        <v/>
      </c>
      <c r="L156" s="46">
        <f t="shared" si="13"/>
        <v>1.7560975609756098E-3</v>
      </c>
      <c r="M156" s="40" t="str">
        <f>IF(データ!L153="","",データ!L153)</f>
        <v/>
      </c>
      <c r="N156" s="41" t="str">
        <f>IF(データ!M153="","",データ!M153)</f>
        <v/>
      </c>
      <c r="O156" s="42">
        <f>データ!N153</f>
        <v>0</v>
      </c>
      <c r="P156" s="48">
        <f>IF($C156="集計行","",データ!O153)</f>
        <v>0</v>
      </c>
      <c r="Q156" s="48">
        <f>データ!P153</f>
        <v>0</v>
      </c>
      <c r="R156" s="39" t="str">
        <f>IF(OR($C156="総括",$C156="内訳書",$C156="内訳代価",$C156="明細書",$C156="明細代価",$C156="代価表",$C156="単価表"),データ!Q153,"")</f>
        <v/>
      </c>
      <c r="S156" s="11" t="str">
        <f t="shared" si="14"/>
        <v/>
      </c>
      <c r="T156" s="46" t="e">
        <f t="shared" si="15"/>
        <v>#DIV/0!</v>
      </c>
      <c r="U156" s="40" t="str">
        <f>IF(データ!R153="","",データ!R153)</f>
        <v/>
      </c>
      <c r="V156" s="41" t="str">
        <f>IF(データ!S153="","",データ!S153)</f>
        <v/>
      </c>
      <c r="W156" s="42">
        <f>データ!T153</f>
        <v>0</v>
      </c>
      <c r="X156" s="48">
        <f>IF($C156="集計行","",データ!U153)</f>
        <v>0</v>
      </c>
      <c r="Y156" s="48">
        <f>データ!V153</f>
        <v>0</v>
      </c>
      <c r="Z156" s="39" t="str">
        <f>IF(OR($C156="総括",$C156="内訳書",$C156="内訳代価",$C156="明細書",$C156="明細代価",$C156="代価表",$C156="単価表"),データ!W153,"")</f>
        <v/>
      </c>
      <c r="AA156" s="11" t="str">
        <f t="shared" si="16"/>
        <v/>
      </c>
      <c r="AB156" s="46" t="e">
        <f t="shared" si="17"/>
        <v>#DIV/0!</v>
      </c>
      <c r="AC156" s="40" t="str">
        <f>IF(データ!X153="","",データ!X153)</f>
        <v/>
      </c>
      <c r="AD156" s="41" t="str">
        <f>IF(データ!Y153="","",データ!Y153)</f>
        <v/>
      </c>
      <c r="AE156" s="47" t="str">
        <f>TRIM(データ!B153)</f>
        <v>u20718025</v>
      </c>
      <c r="AF156" s="43" t="str">
        <f>TRIM(データ!Z153)</f>
        <v/>
      </c>
    </row>
    <row r="157" spans="1:32" x14ac:dyDescent="0.15">
      <c r="A157" s="47">
        <f>データ!A154</f>
        <v>1</v>
      </c>
      <c r="B157" s="47" t="str">
        <f>TRIM(データ!C154)</f>
        <v/>
      </c>
      <c r="C157" s="47" t="str">
        <f>TRIM(データ!D154)</f>
        <v>内訳書</v>
      </c>
      <c r="D157" s="36" t="str">
        <f>REPT("｜",$A157)&amp;TRIM(データ!E154)</f>
        <v>｜安全管理費</v>
      </c>
      <c r="E157" s="37" t="str">
        <f>TRIM(データ!F154)</f>
        <v>交通誘導員</v>
      </c>
      <c r="F157" s="38" t="str">
        <f>TRIM(データ!G154)</f>
        <v>式</v>
      </c>
      <c r="G157" s="50">
        <f>データ!H154</f>
        <v>1</v>
      </c>
      <c r="H157" s="48">
        <f>データ!I154</f>
        <v>0</v>
      </c>
      <c r="I157" s="48">
        <f>データ!J154</f>
        <v>0</v>
      </c>
      <c r="J157" s="39">
        <f>IF(OR($C157="総括",$C157="内訳書",$C157="内訳代価",$C157="明細書",$C157="明細代価",$C157="代価表",$C157="単価表"),データ!K154,"")</f>
        <v>1</v>
      </c>
      <c r="K157" s="11" t="str">
        <f t="shared" si="12"/>
        <v/>
      </c>
      <c r="L157" s="46">
        <f t="shared" si="13"/>
        <v>0</v>
      </c>
      <c r="M157" s="40" t="str">
        <f>IF(データ!L154="","",データ!L154)</f>
        <v/>
      </c>
      <c r="N157" s="41" t="str">
        <f>IF(データ!M154="","",データ!M154)</f>
        <v>51号内訳書</v>
      </c>
      <c r="O157" s="42">
        <f>データ!N154</f>
        <v>0</v>
      </c>
      <c r="P157" s="48">
        <f>IF($C157="集計行","",データ!O154)</f>
        <v>0</v>
      </c>
      <c r="Q157" s="48">
        <f>データ!P154</f>
        <v>0</v>
      </c>
      <c r="R157" s="39">
        <f>IF(OR($C157="総括",$C157="内訳書",$C157="内訳代価",$C157="明細書",$C157="明細代価",$C157="代価表",$C157="単価表"),データ!Q154,"")</f>
        <v>0</v>
      </c>
      <c r="S157" s="11" t="str">
        <f t="shared" si="14"/>
        <v/>
      </c>
      <c r="T157" s="46" t="e">
        <f t="shared" si="15"/>
        <v>#DIV/0!</v>
      </c>
      <c r="U157" s="40" t="str">
        <f>IF(データ!R154="","",データ!R154)</f>
        <v/>
      </c>
      <c r="V157" s="41" t="str">
        <f>IF(データ!S154="","",データ!S154)</f>
        <v/>
      </c>
      <c r="W157" s="42">
        <f>データ!T154</f>
        <v>0</v>
      </c>
      <c r="X157" s="48">
        <f>IF($C157="集計行","",データ!U154)</f>
        <v>0</v>
      </c>
      <c r="Y157" s="48">
        <f>データ!V154</f>
        <v>0</v>
      </c>
      <c r="Z157" s="39">
        <f>IF(OR($C157="総括",$C157="内訳書",$C157="内訳代価",$C157="明細書",$C157="明細代価",$C157="代価表",$C157="単価表"),データ!W154,"")</f>
        <v>0</v>
      </c>
      <c r="AA157" s="11" t="str">
        <f t="shared" si="16"/>
        <v/>
      </c>
      <c r="AB157" s="46" t="e">
        <f t="shared" si="17"/>
        <v>#DIV/0!</v>
      </c>
      <c r="AC157" s="40" t="str">
        <f>IF(データ!X154="","",データ!X154)</f>
        <v/>
      </c>
      <c r="AD157" s="41" t="str">
        <f>IF(データ!Y154="","",データ!Y154)</f>
        <v/>
      </c>
      <c r="AE157" s="47" t="str">
        <f>TRIM(データ!B154)</f>
        <v/>
      </c>
      <c r="AF157" s="43" t="str">
        <f>TRIM(データ!Z154)</f>
        <v/>
      </c>
    </row>
    <row r="158" spans="1:32" x14ac:dyDescent="0.15">
      <c r="A158" s="47">
        <f>データ!A155</f>
        <v>2</v>
      </c>
      <c r="B158" s="47" t="str">
        <f>TRIM(データ!C155)</f>
        <v/>
      </c>
      <c r="C158" s="47" t="str">
        <f>TRIM(データ!D155)</f>
        <v>外注費</v>
      </c>
      <c r="D158" s="36" t="str">
        <f>REPT("｜",$A158)&amp;TRIM(データ!E155)</f>
        <v>｜｜交通誘導員(昼間8h)</v>
      </c>
      <c r="E158" s="37" t="str">
        <f>TRIM(データ!F155)</f>
        <v>1級・2級資格者</v>
      </c>
      <c r="F158" s="38" t="str">
        <f>TRIM(データ!G155)</f>
        <v>人</v>
      </c>
      <c r="G158" s="50">
        <f>データ!H155</f>
        <v>61</v>
      </c>
      <c r="H158" s="48">
        <f>データ!I155</f>
        <v>0</v>
      </c>
      <c r="I158" s="48">
        <f>データ!J155</f>
        <v>0</v>
      </c>
      <c r="J158" s="39" t="str">
        <f>IF(OR($C158="総括",$C158="内訳書",$C158="内訳代価",$C158="明細書",$C158="明細代価",$C158="代価表",$C158="単価表"),データ!K155,"")</f>
        <v/>
      </c>
      <c r="K158" s="11" t="str">
        <f t="shared" si="12"/>
        <v/>
      </c>
      <c r="L158" s="46">
        <f t="shared" si="13"/>
        <v>0</v>
      </c>
      <c r="M158" s="40" t="str">
        <f>IF(データ!L155="","",データ!L155)</f>
        <v/>
      </c>
      <c r="N158" s="41" t="str">
        <f>IF(データ!M155="","",データ!M155)</f>
        <v/>
      </c>
      <c r="O158" s="42">
        <f>データ!N155</f>
        <v>0</v>
      </c>
      <c r="P158" s="48">
        <f>IF($C158="集計行","",データ!O155)</f>
        <v>0</v>
      </c>
      <c r="Q158" s="48">
        <f>データ!P155</f>
        <v>0</v>
      </c>
      <c r="R158" s="39" t="str">
        <f>IF(OR($C158="総括",$C158="内訳書",$C158="内訳代価",$C158="明細書",$C158="明細代価",$C158="代価表",$C158="単価表"),データ!Q155,"")</f>
        <v/>
      </c>
      <c r="S158" s="11" t="str">
        <f t="shared" si="14"/>
        <v/>
      </c>
      <c r="T158" s="46" t="e">
        <f t="shared" si="15"/>
        <v>#DIV/0!</v>
      </c>
      <c r="U158" s="40" t="str">
        <f>IF(データ!R155="","",データ!R155)</f>
        <v/>
      </c>
      <c r="V158" s="41" t="str">
        <f>IF(データ!S155="","",データ!S155)</f>
        <v/>
      </c>
      <c r="W158" s="42">
        <f>データ!T155</f>
        <v>0</v>
      </c>
      <c r="X158" s="48">
        <f>IF($C158="集計行","",データ!U155)</f>
        <v>0</v>
      </c>
      <c r="Y158" s="48">
        <f>データ!V155</f>
        <v>0</v>
      </c>
      <c r="Z158" s="39" t="str">
        <f>IF(OR($C158="総括",$C158="内訳書",$C158="内訳代価",$C158="明細書",$C158="明細代価",$C158="代価表",$C158="単価表"),データ!W155,"")</f>
        <v/>
      </c>
      <c r="AA158" s="11" t="str">
        <f t="shared" si="16"/>
        <v/>
      </c>
      <c r="AB158" s="46" t="e">
        <f t="shared" si="17"/>
        <v>#DIV/0!</v>
      </c>
      <c r="AC158" s="40" t="str">
        <f>IF(データ!X155="","",データ!X155)</f>
        <v/>
      </c>
      <c r="AD158" s="41" t="str">
        <f>IF(データ!Y155="","",データ!Y155)</f>
        <v/>
      </c>
      <c r="AE158" s="47" t="str">
        <f>TRIM(データ!B155)</f>
        <v>g2003</v>
      </c>
      <c r="AF158" s="43" t="str">
        <f>TRIM(データ!Z155)</f>
        <v/>
      </c>
    </row>
    <row r="159" spans="1:32" x14ac:dyDescent="0.15">
      <c r="A159" s="47">
        <f>データ!A156</f>
        <v>2</v>
      </c>
      <c r="B159" s="47" t="str">
        <f>TRIM(データ!C156)</f>
        <v/>
      </c>
      <c r="C159" s="47" t="str">
        <f>TRIM(データ!D156)</f>
        <v>外注費</v>
      </c>
      <c r="D159" s="36" t="str">
        <f>REPT("｜",$A159)&amp;TRIM(データ!E156)</f>
        <v>｜｜交通誘導員(昼間8h)</v>
      </c>
      <c r="E159" s="37" t="str">
        <f>TRIM(データ!F156)</f>
        <v/>
      </c>
      <c r="F159" s="38" t="str">
        <f>TRIM(データ!G156)</f>
        <v>人</v>
      </c>
      <c r="G159" s="50">
        <f>データ!H156</f>
        <v>174</v>
      </c>
      <c r="H159" s="48">
        <f>データ!I156</f>
        <v>0</v>
      </c>
      <c r="I159" s="48">
        <f>データ!J156</f>
        <v>0</v>
      </c>
      <c r="J159" s="39" t="str">
        <f>IF(OR($C159="総括",$C159="内訳書",$C159="内訳代価",$C159="明細書",$C159="明細代価",$C159="代価表",$C159="単価表"),データ!K156,"")</f>
        <v/>
      </c>
      <c r="K159" s="11" t="str">
        <f t="shared" si="12"/>
        <v/>
      </c>
      <c r="L159" s="46">
        <f t="shared" si="13"/>
        <v>0</v>
      </c>
      <c r="M159" s="40" t="str">
        <f>IF(データ!L156="","",データ!L156)</f>
        <v/>
      </c>
      <c r="N159" s="41" t="str">
        <f>IF(データ!M156="","",データ!M156)</f>
        <v/>
      </c>
      <c r="O159" s="42">
        <f>データ!N156</f>
        <v>0</v>
      </c>
      <c r="P159" s="48">
        <f>IF($C159="集計行","",データ!O156)</f>
        <v>0</v>
      </c>
      <c r="Q159" s="48">
        <f>データ!P156</f>
        <v>0</v>
      </c>
      <c r="R159" s="39" t="str">
        <f>IF(OR($C159="総括",$C159="内訳書",$C159="内訳代価",$C159="明細書",$C159="明細代価",$C159="代価表",$C159="単価表"),データ!Q156,"")</f>
        <v/>
      </c>
      <c r="S159" s="11" t="str">
        <f t="shared" si="14"/>
        <v/>
      </c>
      <c r="T159" s="46" t="e">
        <f t="shared" si="15"/>
        <v>#DIV/0!</v>
      </c>
      <c r="U159" s="40" t="str">
        <f>IF(データ!R156="","",データ!R156)</f>
        <v/>
      </c>
      <c r="V159" s="41" t="str">
        <f>IF(データ!S156="","",データ!S156)</f>
        <v/>
      </c>
      <c r="W159" s="42">
        <f>データ!T156</f>
        <v>0</v>
      </c>
      <c r="X159" s="48">
        <f>IF($C159="集計行","",データ!U156)</f>
        <v>0</v>
      </c>
      <c r="Y159" s="48">
        <f>データ!V156</f>
        <v>0</v>
      </c>
      <c r="Z159" s="39" t="str">
        <f>IF(OR($C159="総括",$C159="内訳書",$C159="内訳代価",$C159="明細書",$C159="明細代価",$C159="代価表",$C159="単価表"),データ!W156,"")</f>
        <v/>
      </c>
      <c r="AA159" s="11" t="str">
        <f t="shared" si="16"/>
        <v/>
      </c>
      <c r="AB159" s="46" t="e">
        <f t="shared" si="17"/>
        <v>#DIV/0!</v>
      </c>
      <c r="AC159" s="40" t="str">
        <f>IF(データ!X156="","",データ!X156)</f>
        <v/>
      </c>
      <c r="AD159" s="41" t="str">
        <f>IF(データ!Y156="","",データ!Y156)</f>
        <v/>
      </c>
      <c r="AE159" s="47" t="str">
        <f>TRIM(データ!B156)</f>
        <v>g2001</v>
      </c>
      <c r="AF159" s="43" t="str">
        <f>TRIM(データ!Z156)</f>
        <v/>
      </c>
    </row>
    <row r="160" spans="1:32" x14ac:dyDescent="0.15">
      <c r="A160" s="47">
        <f>データ!A157</f>
        <v>1</v>
      </c>
      <c r="B160" s="47" t="str">
        <f>TRIM(データ!C157)</f>
        <v/>
      </c>
      <c r="C160" s="47" t="str">
        <f>TRIM(データ!D157)</f>
        <v>内訳書</v>
      </c>
      <c r="D160" s="36" t="str">
        <f>REPT("｜",$A160)&amp;TRIM(データ!E157)</f>
        <v>｜安全管理費2</v>
      </c>
      <c r="E160" s="37" t="str">
        <f>TRIM(データ!F157)</f>
        <v/>
      </c>
      <c r="F160" s="38" t="str">
        <f>TRIM(データ!G157)</f>
        <v>式</v>
      </c>
      <c r="G160" s="50">
        <f>データ!H157</f>
        <v>1</v>
      </c>
      <c r="H160" s="48">
        <f>データ!I157</f>
        <v>135000</v>
      </c>
      <c r="I160" s="48">
        <f>データ!J157</f>
        <v>135000</v>
      </c>
      <c r="J160" s="39">
        <f>IF(OR($C160="総括",$C160="内訳書",$C160="内訳代価",$C160="明細書",$C160="明細代価",$C160="代価表",$C160="単価表"),データ!K157,"")</f>
        <v>1</v>
      </c>
      <c r="K160" s="11" t="str">
        <f t="shared" si="12"/>
        <v/>
      </c>
      <c r="L160" s="46">
        <f t="shared" si="13"/>
        <v>6.5853658536585364E-3</v>
      </c>
      <c r="M160" s="40" t="str">
        <f>IF(データ!L157="","",データ!L157)</f>
        <v/>
      </c>
      <c r="N160" s="41" t="str">
        <f>IF(データ!M157="","",データ!M157)</f>
        <v>52号内訳書</v>
      </c>
      <c r="O160" s="42">
        <f>データ!N157</f>
        <v>0</v>
      </c>
      <c r="P160" s="48">
        <f>IF($C160="集計行","",データ!O157)</f>
        <v>0</v>
      </c>
      <c r="Q160" s="48">
        <f>データ!P157</f>
        <v>0</v>
      </c>
      <c r="R160" s="39">
        <f>IF(OR($C160="総括",$C160="内訳書",$C160="内訳代価",$C160="明細書",$C160="明細代価",$C160="代価表",$C160="単価表"),データ!Q157,"")</f>
        <v>0</v>
      </c>
      <c r="S160" s="11" t="str">
        <f t="shared" si="14"/>
        <v/>
      </c>
      <c r="T160" s="46" t="e">
        <f t="shared" si="15"/>
        <v>#DIV/0!</v>
      </c>
      <c r="U160" s="40" t="str">
        <f>IF(データ!R157="","",データ!R157)</f>
        <v/>
      </c>
      <c r="V160" s="41" t="str">
        <f>IF(データ!S157="","",データ!S157)</f>
        <v/>
      </c>
      <c r="W160" s="42">
        <f>データ!T157</f>
        <v>0</v>
      </c>
      <c r="X160" s="48">
        <f>IF($C160="集計行","",データ!U157)</f>
        <v>0</v>
      </c>
      <c r="Y160" s="48">
        <f>データ!V157</f>
        <v>0</v>
      </c>
      <c r="Z160" s="39">
        <f>IF(OR($C160="総括",$C160="内訳書",$C160="内訳代価",$C160="明細書",$C160="明細代価",$C160="代価表",$C160="単価表"),データ!W157,"")</f>
        <v>0</v>
      </c>
      <c r="AA160" s="11" t="str">
        <f t="shared" si="16"/>
        <v/>
      </c>
      <c r="AB160" s="46" t="e">
        <f t="shared" si="17"/>
        <v>#DIV/0!</v>
      </c>
      <c r="AC160" s="40" t="str">
        <f>IF(データ!X157="","",データ!X157)</f>
        <v/>
      </c>
      <c r="AD160" s="41" t="str">
        <f>IF(データ!Y157="","",データ!Y157)</f>
        <v/>
      </c>
      <c r="AE160" s="47" t="str">
        <f>TRIM(データ!B157)</f>
        <v/>
      </c>
      <c r="AF160" s="43" t="str">
        <f>TRIM(データ!Z157)</f>
        <v/>
      </c>
    </row>
    <row r="161" spans="1:32" x14ac:dyDescent="0.15">
      <c r="A161" s="47">
        <f>データ!A158</f>
        <v>2</v>
      </c>
      <c r="B161" s="47" t="str">
        <f>TRIM(データ!C158)</f>
        <v/>
      </c>
      <c r="C161" s="47" t="str">
        <f>TRIM(データ!D158)</f>
        <v>材料費</v>
      </c>
      <c r="D161" s="36" t="str">
        <f>REPT("｜",$A161)&amp;TRIM(データ!E158)</f>
        <v>｜｜R密粒度As13</v>
      </c>
      <c r="E161" s="37" t="str">
        <f>TRIM(データ!F158)</f>
        <v/>
      </c>
      <c r="F161" s="38" t="str">
        <f>TRIM(データ!G158)</f>
        <v>ｔ</v>
      </c>
      <c r="G161" s="50">
        <f>データ!H158</f>
        <v>8</v>
      </c>
      <c r="H161" s="48">
        <f>データ!I158</f>
        <v>10000</v>
      </c>
      <c r="I161" s="48">
        <f>データ!J158</f>
        <v>80000</v>
      </c>
      <c r="J161" s="39" t="str">
        <f>IF(OR($C161="総括",$C161="内訳書",$C161="内訳代価",$C161="明細書",$C161="明細代価",$C161="代価表",$C161="単価表"),データ!K158,"")</f>
        <v/>
      </c>
      <c r="K161" s="11" t="str">
        <f t="shared" si="12"/>
        <v/>
      </c>
      <c r="L161" s="46">
        <f t="shared" si="13"/>
        <v>3.9024390243902439E-3</v>
      </c>
      <c r="M161" s="40" t="str">
        <f>IF(データ!L158="","",データ!L158)</f>
        <v/>
      </c>
      <c r="N161" s="41" t="str">
        <f>IF(データ!M158="","",データ!M158)</f>
        <v/>
      </c>
      <c r="O161" s="42">
        <f>データ!N158</f>
        <v>0</v>
      </c>
      <c r="P161" s="48">
        <f>IF($C161="集計行","",データ!O158)</f>
        <v>0</v>
      </c>
      <c r="Q161" s="48">
        <f>データ!P158</f>
        <v>0</v>
      </c>
      <c r="R161" s="39" t="str">
        <f>IF(OR($C161="総括",$C161="内訳書",$C161="内訳代価",$C161="明細書",$C161="明細代価",$C161="代価表",$C161="単価表"),データ!Q158,"")</f>
        <v/>
      </c>
      <c r="S161" s="11" t="str">
        <f t="shared" si="14"/>
        <v/>
      </c>
      <c r="T161" s="46" t="e">
        <f t="shared" si="15"/>
        <v>#DIV/0!</v>
      </c>
      <c r="U161" s="40" t="str">
        <f>IF(データ!R158="","",データ!R158)</f>
        <v/>
      </c>
      <c r="V161" s="41" t="str">
        <f>IF(データ!S158="","",データ!S158)</f>
        <v/>
      </c>
      <c r="W161" s="42">
        <f>データ!T158</f>
        <v>0</v>
      </c>
      <c r="X161" s="48">
        <f>IF($C161="集計行","",データ!U158)</f>
        <v>0</v>
      </c>
      <c r="Y161" s="48">
        <f>データ!V158</f>
        <v>0</v>
      </c>
      <c r="Z161" s="39" t="str">
        <f>IF(OR($C161="総括",$C161="内訳書",$C161="内訳代価",$C161="明細書",$C161="明細代価",$C161="代価表",$C161="単価表"),データ!W158,"")</f>
        <v/>
      </c>
      <c r="AA161" s="11" t="str">
        <f t="shared" si="16"/>
        <v/>
      </c>
      <c r="AB161" s="46" t="e">
        <f t="shared" si="17"/>
        <v>#DIV/0!</v>
      </c>
      <c r="AC161" s="40" t="str">
        <f>IF(データ!X158="","",データ!X158)</f>
        <v/>
      </c>
      <c r="AD161" s="41" t="str">
        <f>IF(データ!Y158="","",データ!Y158)</f>
        <v/>
      </c>
      <c r="AE161" s="47" t="str">
        <f>TRIM(データ!B158)</f>
        <v>s20718006</v>
      </c>
      <c r="AF161" s="43" t="str">
        <f>TRIM(データ!Z158)</f>
        <v/>
      </c>
    </row>
    <row r="162" spans="1:32" x14ac:dyDescent="0.15">
      <c r="A162" s="47">
        <f>データ!A159</f>
        <v>2</v>
      </c>
      <c r="B162" s="47" t="str">
        <f>TRIM(データ!C159)</f>
        <v/>
      </c>
      <c r="C162" s="47" t="str">
        <f>TRIM(データ!D159)</f>
        <v>材料費</v>
      </c>
      <c r="D162" s="36" t="str">
        <f>REPT("｜",$A162)&amp;TRIM(データ!E159)</f>
        <v>｜｜ｺｰﾙﾄﾞﾊﾟｰﾐｸｽ</v>
      </c>
      <c r="E162" s="37" t="str">
        <f>TRIM(データ!F159)</f>
        <v/>
      </c>
      <c r="F162" s="38" t="str">
        <f>TRIM(データ!G159)</f>
        <v>袋</v>
      </c>
      <c r="G162" s="50">
        <f>データ!H159</f>
        <v>10</v>
      </c>
      <c r="H162" s="48">
        <f>データ!I159</f>
        <v>2500</v>
      </c>
      <c r="I162" s="48">
        <f>データ!J159</f>
        <v>25000</v>
      </c>
      <c r="J162" s="39" t="str">
        <f>IF(OR($C162="総括",$C162="内訳書",$C162="内訳代価",$C162="明細書",$C162="明細代価",$C162="代価表",$C162="単価表"),データ!K159,"")</f>
        <v/>
      </c>
      <c r="K162" s="11" t="str">
        <f t="shared" si="12"/>
        <v/>
      </c>
      <c r="L162" s="46">
        <f t="shared" si="13"/>
        <v>1.2195121951219512E-3</v>
      </c>
      <c r="M162" s="40" t="str">
        <f>IF(データ!L159="","",データ!L159)</f>
        <v/>
      </c>
      <c r="N162" s="41" t="str">
        <f>IF(データ!M159="","",データ!M159)</f>
        <v/>
      </c>
      <c r="O162" s="42">
        <f>データ!N159</f>
        <v>0</v>
      </c>
      <c r="P162" s="48">
        <f>IF($C162="集計行","",データ!O159)</f>
        <v>0</v>
      </c>
      <c r="Q162" s="48">
        <f>データ!P159</f>
        <v>0</v>
      </c>
      <c r="R162" s="39" t="str">
        <f>IF(OR($C162="総括",$C162="内訳書",$C162="内訳代価",$C162="明細書",$C162="明細代価",$C162="代価表",$C162="単価表"),データ!Q159,"")</f>
        <v/>
      </c>
      <c r="S162" s="11" t="str">
        <f t="shared" si="14"/>
        <v/>
      </c>
      <c r="T162" s="46" t="e">
        <f t="shared" si="15"/>
        <v>#DIV/0!</v>
      </c>
      <c r="U162" s="40" t="str">
        <f>IF(データ!R159="","",データ!R159)</f>
        <v/>
      </c>
      <c r="V162" s="41" t="str">
        <f>IF(データ!S159="","",データ!S159)</f>
        <v/>
      </c>
      <c r="W162" s="42">
        <f>データ!T159</f>
        <v>0</v>
      </c>
      <c r="X162" s="48">
        <f>IF($C162="集計行","",データ!U159)</f>
        <v>0</v>
      </c>
      <c r="Y162" s="48">
        <f>データ!V159</f>
        <v>0</v>
      </c>
      <c r="Z162" s="39" t="str">
        <f>IF(OR($C162="総括",$C162="内訳書",$C162="内訳代価",$C162="明細書",$C162="明細代価",$C162="代価表",$C162="単価表"),データ!W159,"")</f>
        <v/>
      </c>
      <c r="AA162" s="11" t="str">
        <f t="shared" si="16"/>
        <v/>
      </c>
      <c r="AB162" s="46" t="e">
        <f t="shared" si="17"/>
        <v>#DIV/0!</v>
      </c>
      <c r="AC162" s="40" t="str">
        <f>IF(データ!X159="","",データ!X159)</f>
        <v/>
      </c>
      <c r="AD162" s="41" t="str">
        <f>IF(データ!Y159="","",データ!Y159)</f>
        <v/>
      </c>
      <c r="AE162" s="47" t="str">
        <f>TRIM(データ!B159)</f>
        <v>s20718020</v>
      </c>
      <c r="AF162" s="43" t="str">
        <f>TRIM(データ!Z159)</f>
        <v/>
      </c>
    </row>
    <row r="163" spans="1:32" x14ac:dyDescent="0.15">
      <c r="A163" s="47">
        <f>データ!A160</f>
        <v>2</v>
      </c>
      <c r="B163" s="47" t="str">
        <f>TRIM(データ!C160)</f>
        <v/>
      </c>
      <c r="C163" s="47" t="str">
        <f>TRIM(データ!D160)</f>
        <v>機械費</v>
      </c>
      <c r="D163" s="36" t="str">
        <f>REPT("｜",$A163)&amp;TRIM(データ!E160)</f>
        <v>｜｜保安資材</v>
      </c>
      <c r="E163" s="37" t="str">
        <f>TRIM(データ!F160)</f>
        <v>購入・損料</v>
      </c>
      <c r="F163" s="38" t="str">
        <f>TRIM(データ!G160)</f>
        <v>式</v>
      </c>
      <c r="G163" s="50">
        <f>データ!H160</f>
        <v>1</v>
      </c>
      <c r="H163" s="48">
        <f>データ!I160</f>
        <v>30000</v>
      </c>
      <c r="I163" s="48">
        <f>データ!J160</f>
        <v>30000</v>
      </c>
      <c r="J163" s="39" t="str">
        <f>IF(OR($C163="総括",$C163="内訳書",$C163="内訳代価",$C163="明細書",$C163="明細代価",$C163="代価表",$C163="単価表"),データ!K160,"")</f>
        <v/>
      </c>
      <c r="K163" s="11" t="str">
        <f t="shared" si="12"/>
        <v/>
      </c>
      <c r="L163" s="46">
        <f t="shared" si="13"/>
        <v>1.4634146341463415E-3</v>
      </c>
      <c r="M163" s="40" t="str">
        <f>IF(データ!L160="","",データ!L160)</f>
        <v/>
      </c>
      <c r="N163" s="41" t="str">
        <f>IF(データ!M160="","",データ!M160)</f>
        <v/>
      </c>
      <c r="O163" s="42">
        <f>データ!N160</f>
        <v>0</v>
      </c>
      <c r="P163" s="48">
        <f>IF($C163="集計行","",データ!O160)</f>
        <v>0</v>
      </c>
      <c r="Q163" s="48">
        <f>データ!P160</f>
        <v>0</v>
      </c>
      <c r="R163" s="39" t="str">
        <f>IF(OR($C163="総括",$C163="内訳書",$C163="内訳代価",$C163="明細書",$C163="明細代価",$C163="代価表",$C163="単価表"),データ!Q160,"")</f>
        <v/>
      </c>
      <c r="S163" s="11" t="str">
        <f t="shared" si="14"/>
        <v/>
      </c>
      <c r="T163" s="46" t="e">
        <f t="shared" si="15"/>
        <v>#DIV/0!</v>
      </c>
      <c r="U163" s="40" t="str">
        <f>IF(データ!R160="","",データ!R160)</f>
        <v/>
      </c>
      <c r="V163" s="41" t="str">
        <f>IF(データ!S160="","",データ!S160)</f>
        <v/>
      </c>
      <c r="W163" s="42">
        <f>データ!T160</f>
        <v>0</v>
      </c>
      <c r="X163" s="48">
        <f>IF($C163="集計行","",データ!U160)</f>
        <v>0</v>
      </c>
      <c r="Y163" s="48">
        <f>データ!V160</f>
        <v>0</v>
      </c>
      <c r="Z163" s="39" t="str">
        <f>IF(OR($C163="総括",$C163="内訳書",$C163="内訳代価",$C163="明細書",$C163="明細代価",$C163="代価表",$C163="単価表"),データ!W160,"")</f>
        <v/>
      </c>
      <c r="AA163" s="11" t="str">
        <f t="shared" si="16"/>
        <v/>
      </c>
      <c r="AB163" s="46" t="e">
        <f t="shared" si="17"/>
        <v>#DIV/0!</v>
      </c>
      <c r="AC163" s="40" t="str">
        <f>IF(データ!X160="","",データ!X160)</f>
        <v/>
      </c>
      <c r="AD163" s="41" t="str">
        <f>IF(データ!Y160="","",データ!Y160)</f>
        <v/>
      </c>
      <c r="AE163" s="47" t="str">
        <f>TRIM(データ!B160)</f>
        <v>k20718132</v>
      </c>
      <c r="AF163" s="43" t="str">
        <f>TRIM(データ!Z160)</f>
        <v/>
      </c>
    </row>
    <row r="164" spans="1:32" x14ac:dyDescent="0.15">
      <c r="A164" s="47">
        <f>データ!A161</f>
        <v>1</v>
      </c>
      <c r="B164" s="47" t="str">
        <f>TRIM(データ!C161)</f>
        <v/>
      </c>
      <c r="C164" s="47" t="str">
        <f>TRIM(データ!D161)</f>
        <v>内訳書</v>
      </c>
      <c r="D164" s="36" t="str">
        <f>REPT("｜",$A164)&amp;TRIM(データ!E161)</f>
        <v>｜重機運搬費1</v>
      </c>
      <c r="E164" s="37" t="str">
        <f>TRIM(データ!F161)</f>
        <v>土工</v>
      </c>
      <c r="F164" s="38" t="str">
        <f>TRIM(データ!G161)</f>
        <v>式</v>
      </c>
      <c r="G164" s="50">
        <f>データ!H161</f>
        <v>1</v>
      </c>
      <c r="H164" s="48">
        <f>データ!I161</f>
        <v>480000</v>
      </c>
      <c r="I164" s="48">
        <f>データ!J161</f>
        <v>480000</v>
      </c>
      <c r="J164" s="39">
        <f>IF(OR($C164="総括",$C164="内訳書",$C164="内訳代価",$C164="明細書",$C164="明細代価",$C164="代価表",$C164="単価表"),データ!K161,"")</f>
        <v>1</v>
      </c>
      <c r="K164" s="11" t="str">
        <f t="shared" si="12"/>
        <v/>
      </c>
      <c r="L164" s="46">
        <f t="shared" si="13"/>
        <v>2.3414634146341463E-2</v>
      </c>
      <c r="M164" s="40" t="str">
        <f>IF(データ!L161="","",データ!L161)</f>
        <v/>
      </c>
      <c r="N164" s="41" t="str">
        <f>IF(データ!M161="","",データ!M161)</f>
        <v>37号内訳書</v>
      </c>
      <c r="O164" s="42">
        <f>データ!N161</f>
        <v>0</v>
      </c>
      <c r="P164" s="48">
        <f>IF($C164="集計行","",データ!O161)</f>
        <v>0</v>
      </c>
      <c r="Q164" s="48">
        <f>データ!P161</f>
        <v>0</v>
      </c>
      <c r="R164" s="39">
        <f>IF(OR($C164="総括",$C164="内訳書",$C164="内訳代価",$C164="明細書",$C164="明細代価",$C164="代価表",$C164="単価表"),データ!Q161,"")</f>
        <v>0</v>
      </c>
      <c r="S164" s="11" t="str">
        <f t="shared" si="14"/>
        <v/>
      </c>
      <c r="T164" s="46" t="e">
        <f t="shared" si="15"/>
        <v>#DIV/0!</v>
      </c>
      <c r="U164" s="40" t="str">
        <f>IF(データ!R161="","",データ!R161)</f>
        <v/>
      </c>
      <c r="V164" s="41" t="str">
        <f>IF(データ!S161="","",データ!S161)</f>
        <v/>
      </c>
      <c r="W164" s="42">
        <f>データ!T161</f>
        <v>0</v>
      </c>
      <c r="X164" s="48">
        <f>IF($C164="集計行","",データ!U161)</f>
        <v>0</v>
      </c>
      <c r="Y164" s="48">
        <f>データ!V161</f>
        <v>0</v>
      </c>
      <c r="Z164" s="39">
        <f>IF(OR($C164="総括",$C164="内訳書",$C164="内訳代価",$C164="明細書",$C164="明細代価",$C164="代価表",$C164="単価表"),データ!W161,"")</f>
        <v>0</v>
      </c>
      <c r="AA164" s="11" t="str">
        <f t="shared" si="16"/>
        <v/>
      </c>
      <c r="AB164" s="46" t="e">
        <f t="shared" si="17"/>
        <v>#DIV/0!</v>
      </c>
      <c r="AC164" s="40" t="str">
        <f>IF(データ!X161="","",データ!X161)</f>
        <v/>
      </c>
      <c r="AD164" s="41" t="str">
        <f>IF(データ!Y161="","",データ!Y161)</f>
        <v/>
      </c>
      <c r="AE164" s="47" t="str">
        <f>TRIM(データ!B161)</f>
        <v/>
      </c>
      <c r="AF164" s="43" t="str">
        <f>TRIM(データ!Z161)</f>
        <v/>
      </c>
    </row>
    <row r="165" spans="1:32" x14ac:dyDescent="0.15">
      <c r="A165" s="47">
        <f>データ!A162</f>
        <v>2</v>
      </c>
      <c r="B165" s="47" t="str">
        <f>TRIM(データ!C162)</f>
        <v/>
      </c>
      <c r="C165" s="47" t="str">
        <f>TRIM(データ!D162)</f>
        <v>運搬費</v>
      </c>
      <c r="D165" s="36" t="str">
        <f>REPT("｜",$A165)&amp;TRIM(データ!E162)</f>
        <v>｜｜回送　大型セルフ</v>
      </c>
      <c r="E165" s="37" t="str">
        <f>TRIM(データ!F162)</f>
        <v>BH0.45/BH0.25*2/BH0.15 4DT</v>
      </c>
      <c r="F165" s="38" t="str">
        <f>TRIM(データ!G162)</f>
        <v>回</v>
      </c>
      <c r="G165" s="50">
        <f>データ!H162</f>
        <v>16</v>
      </c>
      <c r="H165" s="48">
        <f>データ!I162</f>
        <v>30000</v>
      </c>
      <c r="I165" s="48">
        <f>データ!J162</f>
        <v>480000</v>
      </c>
      <c r="J165" s="39" t="str">
        <f>IF(OR($C165="総括",$C165="内訳書",$C165="内訳代価",$C165="明細書",$C165="明細代価",$C165="代価表",$C165="単価表"),データ!K162,"")</f>
        <v/>
      </c>
      <c r="K165" s="11" t="str">
        <f t="shared" si="12"/>
        <v/>
      </c>
      <c r="L165" s="46">
        <f t="shared" si="13"/>
        <v>2.3414634146341463E-2</v>
      </c>
      <c r="M165" s="40" t="str">
        <f>IF(データ!L162="","",データ!L162)</f>
        <v/>
      </c>
      <c r="N165" s="41" t="str">
        <f>IF(データ!M162="","",データ!M162)</f>
        <v/>
      </c>
      <c r="O165" s="42">
        <f>データ!N162</f>
        <v>0</v>
      </c>
      <c r="P165" s="48">
        <f>IF($C165="集計行","",データ!O162)</f>
        <v>0</v>
      </c>
      <c r="Q165" s="48">
        <f>データ!P162</f>
        <v>0</v>
      </c>
      <c r="R165" s="39" t="str">
        <f>IF(OR($C165="総括",$C165="内訳書",$C165="内訳代価",$C165="明細書",$C165="明細代価",$C165="代価表",$C165="単価表"),データ!Q162,"")</f>
        <v/>
      </c>
      <c r="S165" s="11" t="str">
        <f t="shared" si="14"/>
        <v/>
      </c>
      <c r="T165" s="46" t="e">
        <f t="shared" si="15"/>
        <v>#DIV/0!</v>
      </c>
      <c r="U165" s="40" t="str">
        <f>IF(データ!R162="","",データ!R162)</f>
        <v/>
      </c>
      <c r="V165" s="41" t="str">
        <f>IF(データ!S162="","",データ!S162)</f>
        <v/>
      </c>
      <c r="W165" s="42">
        <f>データ!T162</f>
        <v>0</v>
      </c>
      <c r="X165" s="48">
        <f>IF($C165="集計行","",データ!U162)</f>
        <v>0</v>
      </c>
      <c r="Y165" s="48">
        <f>データ!V162</f>
        <v>0</v>
      </c>
      <c r="Z165" s="39" t="str">
        <f>IF(OR($C165="総括",$C165="内訳書",$C165="内訳代価",$C165="明細書",$C165="明細代価",$C165="代価表",$C165="単価表"),データ!W162,"")</f>
        <v/>
      </c>
      <c r="AA165" s="11" t="str">
        <f t="shared" si="16"/>
        <v/>
      </c>
      <c r="AB165" s="46" t="e">
        <f t="shared" si="17"/>
        <v>#DIV/0!</v>
      </c>
      <c r="AC165" s="40" t="str">
        <f>IF(データ!X162="","",データ!X162)</f>
        <v/>
      </c>
      <c r="AD165" s="41" t="str">
        <f>IF(データ!Y162="","",データ!Y162)</f>
        <v/>
      </c>
      <c r="AE165" s="47" t="str">
        <f>TRIM(データ!B162)</f>
        <v>u20718012</v>
      </c>
      <c r="AF165" s="43" t="str">
        <f>TRIM(データ!Z162)</f>
        <v/>
      </c>
    </row>
    <row r="166" spans="1:32" x14ac:dyDescent="0.15">
      <c r="A166" s="47">
        <f>データ!A163</f>
        <v>1</v>
      </c>
      <c r="B166" s="47" t="str">
        <f>TRIM(データ!C163)</f>
        <v/>
      </c>
      <c r="C166" s="47" t="str">
        <f>TRIM(データ!D163)</f>
        <v>内訳書</v>
      </c>
      <c r="D166" s="36" t="str">
        <f>REPT("｜",$A166)&amp;TRIM(データ!E163)</f>
        <v>｜重機運搬費2</v>
      </c>
      <c r="E166" s="37" t="str">
        <f>TRIM(データ!F163)</f>
        <v>舗装　稲垣分</v>
      </c>
      <c r="F166" s="38" t="str">
        <f>TRIM(データ!G163)</f>
        <v>式</v>
      </c>
      <c r="G166" s="50">
        <f>データ!H163</f>
        <v>1</v>
      </c>
      <c r="H166" s="48">
        <f>データ!I163</f>
        <v>280000</v>
      </c>
      <c r="I166" s="48">
        <f>データ!J163</f>
        <v>280000</v>
      </c>
      <c r="J166" s="39">
        <f>IF(OR($C166="総括",$C166="内訳書",$C166="内訳代価",$C166="明細書",$C166="明細代価",$C166="代価表",$C166="単価表"),データ!K163,"")</f>
        <v>1</v>
      </c>
      <c r="K166" s="11" t="str">
        <f t="shared" si="12"/>
        <v/>
      </c>
      <c r="L166" s="46">
        <f t="shared" si="13"/>
        <v>1.3658536585365854E-2</v>
      </c>
      <c r="M166" s="40" t="str">
        <f>IF(データ!L163="","",データ!L163)</f>
        <v/>
      </c>
      <c r="N166" s="41" t="str">
        <f>IF(データ!M163="","",データ!M163)</f>
        <v>38号内訳書</v>
      </c>
      <c r="O166" s="42">
        <f>データ!N163</f>
        <v>0</v>
      </c>
      <c r="P166" s="48">
        <f>IF($C166="集計行","",データ!O163)</f>
        <v>0</v>
      </c>
      <c r="Q166" s="48">
        <f>データ!P163</f>
        <v>0</v>
      </c>
      <c r="R166" s="39">
        <f>IF(OR($C166="総括",$C166="内訳書",$C166="内訳代価",$C166="明細書",$C166="明細代価",$C166="代価表",$C166="単価表"),データ!Q163,"")</f>
        <v>0</v>
      </c>
      <c r="S166" s="11" t="str">
        <f t="shared" si="14"/>
        <v/>
      </c>
      <c r="T166" s="46" t="e">
        <f t="shared" si="15"/>
        <v>#DIV/0!</v>
      </c>
      <c r="U166" s="40" t="str">
        <f>IF(データ!R163="","",データ!R163)</f>
        <v/>
      </c>
      <c r="V166" s="41" t="str">
        <f>IF(データ!S163="","",データ!S163)</f>
        <v/>
      </c>
      <c r="W166" s="42">
        <f>データ!T163</f>
        <v>0</v>
      </c>
      <c r="X166" s="48">
        <f>IF($C166="集計行","",データ!U163)</f>
        <v>0</v>
      </c>
      <c r="Y166" s="48">
        <f>データ!V163</f>
        <v>0</v>
      </c>
      <c r="Z166" s="39">
        <f>IF(OR($C166="総括",$C166="内訳書",$C166="内訳代価",$C166="明細書",$C166="明細代価",$C166="代価表",$C166="単価表"),データ!W163,"")</f>
        <v>0</v>
      </c>
      <c r="AA166" s="11" t="str">
        <f t="shared" si="16"/>
        <v/>
      </c>
      <c r="AB166" s="46" t="e">
        <f t="shared" si="17"/>
        <v>#DIV/0!</v>
      </c>
      <c r="AC166" s="40" t="str">
        <f>IF(データ!X163="","",データ!X163)</f>
        <v/>
      </c>
      <c r="AD166" s="41" t="str">
        <f>IF(データ!Y163="","",データ!Y163)</f>
        <v/>
      </c>
      <c r="AE166" s="47" t="str">
        <f>TRIM(データ!B163)</f>
        <v/>
      </c>
      <c r="AF166" s="43" t="str">
        <f>TRIM(データ!Z163)</f>
        <v/>
      </c>
    </row>
    <row r="167" spans="1:32" x14ac:dyDescent="0.15">
      <c r="A167" s="47">
        <f>データ!A164</f>
        <v>2</v>
      </c>
      <c r="B167" s="47" t="str">
        <f>TRIM(データ!C164)</f>
        <v/>
      </c>
      <c r="C167" s="47" t="str">
        <f>TRIM(データ!D164)</f>
        <v>運搬費</v>
      </c>
      <c r="D167" s="36" t="str">
        <f>REPT("｜",$A167)&amp;TRIM(データ!E164)</f>
        <v>｜｜AF回送　大型セルフ(44)</v>
      </c>
      <c r="E167" s="37" t="str">
        <f>TRIM(データ!F164)</f>
        <v/>
      </c>
      <c r="F167" s="38" t="str">
        <f>TRIM(データ!G164)</f>
        <v>回</v>
      </c>
      <c r="G167" s="50">
        <f>データ!H164</f>
        <v>2</v>
      </c>
      <c r="H167" s="48">
        <f>データ!I164</f>
        <v>35000</v>
      </c>
      <c r="I167" s="48">
        <f>データ!J164</f>
        <v>70000</v>
      </c>
      <c r="J167" s="39" t="str">
        <f>IF(OR($C167="総括",$C167="内訳書",$C167="内訳代価",$C167="明細書",$C167="明細代価",$C167="代価表",$C167="単価表"),データ!K164,"")</f>
        <v/>
      </c>
      <c r="K167" s="11" t="str">
        <f t="shared" si="12"/>
        <v/>
      </c>
      <c r="L167" s="46">
        <f t="shared" si="13"/>
        <v>3.4146341463414634E-3</v>
      </c>
      <c r="M167" s="40" t="str">
        <f>IF(データ!L164="","",データ!L164)</f>
        <v/>
      </c>
      <c r="N167" s="41" t="str">
        <f>IF(データ!M164="","",データ!M164)</f>
        <v/>
      </c>
      <c r="O167" s="42">
        <f>データ!N164</f>
        <v>0</v>
      </c>
      <c r="P167" s="48">
        <f>IF($C167="集計行","",データ!O164)</f>
        <v>0</v>
      </c>
      <c r="Q167" s="48">
        <f>データ!P164</f>
        <v>0</v>
      </c>
      <c r="R167" s="39" t="str">
        <f>IF(OR($C167="総括",$C167="内訳書",$C167="内訳代価",$C167="明細書",$C167="明細代価",$C167="代価表",$C167="単価表"),データ!Q164,"")</f>
        <v/>
      </c>
      <c r="S167" s="11" t="str">
        <f t="shared" si="14"/>
        <v/>
      </c>
      <c r="T167" s="46" t="e">
        <f t="shared" si="15"/>
        <v>#DIV/0!</v>
      </c>
      <c r="U167" s="40" t="str">
        <f>IF(データ!R164="","",データ!R164)</f>
        <v/>
      </c>
      <c r="V167" s="41" t="str">
        <f>IF(データ!S164="","",データ!S164)</f>
        <v/>
      </c>
      <c r="W167" s="42">
        <f>データ!T164</f>
        <v>0</v>
      </c>
      <c r="X167" s="48">
        <f>IF($C167="集計行","",データ!U164)</f>
        <v>0</v>
      </c>
      <c r="Y167" s="48">
        <f>データ!V164</f>
        <v>0</v>
      </c>
      <c r="Z167" s="39" t="str">
        <f>IF(OR($C167="総括",$C167="内訳書",$C167="内訳代価",$C167="明細書",$C167="明細代価",$C167="代価表",$C167="単価表"),データ!W164,"")</f>
        <v/>
      </c>
      <c r="AA167" s="11" t="str">
        <f t="shared" si="16"/>
        <v/>
      </c>
      <c r="AB167" s="46" t="e">
        <f t="shared" si="17"/>
        <v>#DIV/0!</v>
      </c>
      <c r="AC167" s="40" t="str">
        <f>IF(データ!X164="","",データ!X164)</f>
        <v/>
      </c>
      <c r="AD167" s="41" t="str">
        <f>IF(データ!Y164="","",データ!Y164)</f>
        <v/>
      </c>
      <c r="AE167" s="47" t="str">
        <f>TRIM(データ!B164)</f>
        <v>u20718018</v>
      </c>
      <c r="AF167" s="43" t="str">
        <f>TRIM(データ!Z164)</f>
        <v/>
      </c>
    </row>
    <row r="168" spans="1:32" x14ac:dyDescent="0.15">
      <c r="A168" s="47">
        <f>データ!A165</f>
        <v>2</v>
      </c>
      <c r="B168" s="47" t="str">
        <f>TRIM(データ!C165)</f>
        <v/>
      </c>
      <c r="C168" s="47" t="str">
        <f>TRIM(データ!D165)</f>
        <v>運搬費</v>
      </c>
      <c r="D168" s="36" t="str">
        <f>REPT("｜",$A168)&amp;TRIM(データ!E165)</f>
        <v>｜｜回送　大型セルフ</v>
      </c>
      <c r="E168" s="37" t="str">
        <f>TRIM(データ!F165)</f>
        <v>TS/BH/CR</v>
      </c>
      <c r="F168" s="38" t="str">
        <f>TRIM(データ!G165)</f>
        <v>回</v>
      </c>
      <c r="G168" s="50">
        <f>データ!H165</f>
        <v>4</v>
      </c>
      <c r="H168" s="48">
        <f>データ!I165</f>
        <v>30000</v>
      </c>
      <c r="I168" s="48">
        <f>データ!J165</f>
        <v>120000</v>
      </c>
      <c r="J168" s="39" t="str">
        <f>IF(OR($C168="総括",$C168="内訳書",$C168="内訳代価",$C168="明細書",$C168="明細代価",$C168="代価表",$C168="単価表"),データ!K165,"")</f>
        <v/>
      </c>
      <c r="K168" s="11" t="str">
        <f t="shared" si="12"/>
        <v/>
      </c>
      <c r="L168" s="46">
        <f t="shared" si="13"/>
        <v>5.8536585365853658E-3</v>
      </c>
      <c r="M168" s="40" t="str">
        <f>IF(データ!L165="","",データ!L165)</f>
        <v/>
      </c>
      <c r="N168" s="41" t="str">
        <f>IF(データ!M165="","",データ!M165)</f>
        <v/>
      </c>
      <c r="O168" s="42">
        <f>データ!N165</f>
        <v>0</v>
      </c>
      <c r="P168" s="48">
        <f>IF($C168="集計行","",データ!O165)</f>
        <v>0</v>
      </c>
      <c r="Q168" s="48">
        <f>データ!P165</f>
        <v>0</v>
      </c>
      <c r="R168" s="39" t="str">
        <f>IF(OR($C168="総括",$C168="内訳書",$C168="内訳代価",$C168="明細書",$C168="明細代価",$C168="代価表",$C168="単価表"),データ!Q165,"")</f>
        <v/>
      </c>
      <c r="S168" s="11" t="str">
        <f t="shared" si="14"/>
        <v/>
      </c>
      <c r="T168" s="46" t="e">
        <f t="shared" si="15"/>
        <v>#DIV/0!</v>
      </c>
      <c r="U168" s="40" t="str">
        <f>IF(データ!R165="","",データ!R165)</f>
        <v/>
      </c>
      <c r="V168" s="41" t="str">
        <f>IF(データ!S165="","",データ!S165)</f>
        <v/>
      </c>
      <c r="W168" s="42">
        <f>データ!T165</f>
        <v>0</v>
      </c>
      <c r="X168" s="48">
        <f>IF($C168="集計行","",データ!U165)</f>
        <v>0</v>
      </c>
      <c r="Y168" s="48">
        <f>データ!V165</f>
        <v>0</v>
      </c>
      <c r="Z168" s="39" t="str">
        <f>IF(OR($C168="総括",$C168="内訳書",$C168="内訳代価",$C168="明細書",$C168="明細代価",$C168="代価表",$C168="単価表"),データ!W165,"")</f>
        <v/>
      </c>
      <c r="AA168" s="11" t="str">
        <f t="shared" si="16"/>
        <v/>
      </c>
      <c r="AB168" s="46" t="e">
        <f t="shared" si="17"/>
        <v>#DIV/0!</v>
      </c>
      <c r="AC168" s="40" t="str">
        <f>IF(データ!X165="","",データ!X165)</f>
        <v/>
      </c>
      <c r="AD168" s="41" t="str">
        <f>IF(データ!Y165="","",データ!Y165)</f>
        <v/>
      </c>
      <c r="AE168" s="47" t="str">
        <f>TRIM(データ!B165)</f>
        <v>u20718012</v>
      </c>
      <c r="AF168" s="43" t="str">
        <f>TRIM(データ!Z165)</f>
        <v/>
      </c>
    </row>
    <row r="169" spans="1:32" x14ac:dyDescent="0.15">
      <c r="A169" s="47">
        <f>データ!A166</f>
        <v>2</v>
      </c>
      <c r="B169" s="47" t="str">
        <f>TRIM(データ!C166)</f>
        <v/>
      </c>
      <c r="C169" s="47" t="str">
        <f>TRIM(データ!D166)</f>
        <v>運搬費</v>
      </c>
      <c r="D169" s="36" t="str">
        <f>REPT("｜",$A169)&amp;TRIM(データ!E166)</f>
        <v>｜｜雑回送</v>
      </c>
      <c r="E169" s="37" t="str">
        <f>TRIM(データ!F166)</f>
        <v/>
      </c>
      <c r="F169" s="38" t="str">
        <f>TRIM(データ!G166)</f>
        <v>回</v>
      </c>
      <c r="G169" s="50">
        <f>データ!H166</f>
        <v>6</v>
      </c>
      <c r="H169" s="48">
        <f>データ!I166</f>
        <v>15000</v>
      </c>
      <c r="I169" s="48">
        <f>データ!J166</f>
        <v>90000</v>
      </c>
      <c r="J169" s="39" t="str">
        <f>IF(OR($C169="総括",$C169="内訳書",$C169="内訳代価",$C169="明細書",$C169="明細代価",$C169="代価表",$C169="単価表"),データ!K166,"")</f>
        <v/>
      </c>
      <c r="K169" s="11" t="str">
        <f t="shared" si="12"/>
        <v/>
      </c>
      <c r="L169" s="46">
        <f t="shared" si="13"/>
        <v>4.3902439024390248E-3</v>
      </c>
      <c r="M169" s="40" t="str">
        <f>IF(データ!L166="","",データ!L166)</f>
        <v/>
      </c>
      <c r="N169" s="41" t="str">
        <f>IF(データ!M166="","",データ!M166)</f>
        <v/>
      </c>
      <c r="O169" s="42">
        <f>データ!N166</f>
        <v>0</v>
      </c>
      <c r="P169" s="48">
        <f>IF($C169="集計行","",データ!O166)</f>
        <v>0</v>
      </c>
      <c r="Q169" s="48">
        <f>データ!P166</f>
        <v>0</v>
      </c>
      <c r="R169" s="39" t="str">
        <f>IF(OR($C169="総括",$C169="内訳書",$C169="内訳代価",$C169="明細書",$C169="明細代価",$C169="代価表",$C169="単価表"),データ!Q166,"")</f>
        <v/>
      </c>
      <c r="S169" s="11" t="str">
        <f t="shared" si="14"/>
        <v/>
      </c>
      <c r="T169" s="46" t="e">
        <f t="shared" si="15"/>
        <v>#DIV/0!</v>
      </c>
      <c r="U169" s="40" t="str">
        <f>IF(データ!R166="","",データ!R166)</f>
        <v/>
      </c>
      <c r="V169" s="41" t="str">
        <f>IF(データ!S166="","",データ!S166)</f>
        <v/>
      </c>
      <c r="W169" s="42">
        <f>データ!T166</f>
        <v>0</v>
      </c>
      <c r="X169" s="48">
        <f>IF($C169="集計行","",データ!U166)</f>
        <v>0</v>
      </c>
      <c r="Y169" s="48">
        <f>データ!V166</f>
        <v>0</v>
      </c>
      <c r="Z169" s="39" t="str">
        <f>IF(OR($C169="総括",$C169="内訳書",$C169="内訳代価",$C169="明細書",$C169="明細代価",$C169="代価表",$C169="単価表"),データ!W166,"")</f>
        <v/>
      </c>
      <c r="AA169" s="11" t="str">
        <f t="shared" si="16"/>
        <v/>
      </c>
      <c r="AB169" s="46" t="e">
        <f t="shared" si="17"/>
        <v>#DIV/0!</v>
      </c>
      <c r="AC169" s="40" t="str">
        <f>IF(データ!X166="","",データ!X166)</f>
        <v/>
      </c>
      <c r="AD169" s="41" t="str">
        <f>IF(データ!Y166="","",データ!Y166)</f>
        <v/>
      </c>
      <c r="AE169" s="47" t="str">
        <f>TRIM(データ!B166)</f>
        <v>u20718016</v>
      </c>
      <c r="AF169" s="43" t="str">
        <f>TRIM(データ!Z166)</f>
        <v/>
      </c>
    </row>
    <row r="170" spans="1:32" x14ac:dyDescent="0.15">
      <c r="A170" s="47">
        <f>データ!A167</f>
        <v>1</v>
      </c>
      <c r="B170" s="47" t="str">
        <f>TRIM(データ!C167)</f>
        <v/>
      </c>
      <c r="C170" s="47" t="str">
        <f>TRIM(データ!D167)</f>
        <v>内訳書</v>
      </c>
      <c r="D170" s="36" t="str">
        <f>REPT("｜",$A170)&amp;TRIM(データ!E167)</f>
        <v>｜現場管理工</v>
      </c>
      <c r="E170" s="37" t="str">
        <f>TRIM(データ!F167)</f>
        <v>コア穴埋め</v>
      </c>
      <c r="F170" s="38" t="str">
        <f>TRIM(データ!G167)</f>
        <v>式</v>
      </c>
      <c r="G170" s="50">
        <f>データ!H167</f>
        <v>0</v>
      </c>
      <c r="H170" s="48">
        <f>データ!I167</f>
        <v>0</v>
      </c>
      <c r="I170" s="48">
        <f>データ!J167</f>
        <v>0</v>
      </c>
      <c r="J170" s="39">
        <f>IF(OR($C170="総括",$C170="内訳書",$C170="内訳代価",$C170="明細書",$C170="明細代価",$C170="代価表",$C170="単価表"),データ!K167,"")</f>
        <v>0</v>
      </c>
      <c r="K170" s="11" t="str">
        <f t="shared" si="12"/>
        <v/>
      </c>
      <c r="L170" s="46">
        <f t="shared" si="13"/>
        <v>0</v>
      </c>
      <c r="M170" s="40" t="str">
        <f>IF(データ!L167="","",データ!L167)</f>
        <v/>
      </c>
      <c r="N170" s="41" t="str">
        <f>IF(データ!M167="","",データ!M167)</f>
        <v>39号内訳書</v>
      </c>
      <c r="O170" s="42">
        <f>データ!N167</f>
        <v>0</v>
      </c>
      <c r="P170" s="48">
        <f>IF($C170="集計行","",データ!O167)</f>
        <v>0</v>
      </c>
      <c r="Q170" s="48">
        <f>データ!P167</f>
        <v>0</v>
      </c>
      <c r="R170" s="39">
        <f>IF(OR($C170="総括",$C170="内訳書",$C170="内訳代価",$C170="明細書",$C170="明細代価",$C170="代価表",$C170="単価表"),データ!Q167,"")</f>
        <v>0</v>
      </c>
      <c r="S170" s="11" t="str">
        <f t="shared" si="14"/>
        <v/>
      </c>
      <c r="T170" s="46" t="e">
        <f t="shared" si="15"/>
        <v>#DIV/0!</v>
      </c>
      <c r="U170" s="40" t="str">
        <f>IF(データ!R167="","",データ!R167)</f>
        <v/>
      </c>
      <c r="V170" s="41" t="str">
        <f>IF(データ!S167="","",データ!S167)</f>
        <v/>
      </c>
      <c r="W170" s="42">
        <f>データ!T167</f>
        <v>0</v>
      </c>
      <c r="X170" s="48">
        <f>IF($C170="集計行","",データ!U167)</f>
        <v>0</v>
      </c>
      <c r="Y170" s="48">
        <f>データ!V167</f>
        <v>0</v>
      </c>
      <c r="Z170" s="39">
        <f>IF(OR($C170="総括",$C170="内訳書",$C170="内訳代価",$C170="明細書",$C170="明細代価",$C170="代価表",$C170="単価表"),データ!W167,"")</f>
        <v>0</v>
      </c>
      <c r="AA170" s="11" t="str">
        <f t="shared" si="16"/>
        <v/>
      </c>
      <c r="AB170" s="46" t="e">
        <f t="shared" si="17"/>
        <v>#DIV/0!</v>
      </c>
      <c r="AC170" s="40" t="str">
        <f>IF(データ!X167="","",データ!X167)</f>
        <v/>
      </c>
      <c r="AD170" s="41" t="str">
        <f>IF(データ!Y167="","",データ!Y167)</f>
        <v/>
      </c>
      <c r="AE170" s="47" t="str">
        <f>TRIM(データ!B167)</f>
        <v/>
      </c>
      <c r="AF170" s="43" t="str">
        <f>TRIM(データ!Z167)</f>
        <v/>
      </c>
    </row>
    <row r="171" spans="1:32" x14ac:dyDescent="0.15">
      <c r="A171" s="47">
        <f>データ!A168</f>
        <v>2</v>
      </c>
      <c r="B171" s="47" t="str">
        <f>TRIM(データ!C168)</f>
        <v/>
      </c>
      <c r="C171" s="47" t="str">
        <f>TRIM(データ!D168)</f>
        <v>労務費</v>
      </c>
      <c r="D171" s="36" t="str">
        <f>REPT("｜",$A171)&amp;TRIM(データ!E168)</f>
        <v>｜｜運転工</v>
      </c>
      <c r="E171" s="37" t="str">
        <f>TRIM(データ!F168)</f>
        <v>8H</v>
      </c>
      <c r="F171" s="38" t="str">
        <f>TRIM(データ!G168)</f>
        <v>人</v>
      </c>
      <c r="G171" s="50">
        <f>データ!H168</f>
        <v>6</v>
      </c>
      <c r="H171" s="48">
        <f>データ!I168</f>
        <v>23000</v>
      </c>
      <c r="I171" s="48">
        <f>データ!J168</f>
        <v>138000</v>
      </c>
      <c r="J171" s="39" t="str">
        <f>IF(OR($C171="総括",$C171="内訳書",$C171="内訳代価",$C171="明細書",$C171="明細代価",$C171="代価表",$C171="単価表"),データ!K168,"")</f>
        <v/>
      </c>
      <c r="K171" s="11" t="str">
        <f t="shared" si="12"/>
        <v/>
      </c>
      <c r="L171" s="46">
        <f t="shared" si="13"/>
        <v>6.7317073170731706E-3</v>
      </c>
      <c r="M171" s="40" t="str">
        <f>IF(データ!L168="","",データ!L168)</f>
        <v/>
      </c>
      <c r="N171" s="41" t="str">
        <f>IF(データ!M168="","",データ!M168)</f>
        <v/>
      </c>
      <c r="O171" s="42">
        <f>データ!N168</f>
        <v>0</v>
      </c>
      <c r="P171" s="48">
        <f>IF($C171="集計行","",データ!O168)</f>
        <v>0</v>
      </c>
      <c r="Q171" s="48">
        <f>データ!P168</f>
        <v>0</v>
      </c>
      <c r="R171" s="39" t="str">
        <f>IF(OR($C171="総括",$C171="内訳書",$C171="内訳代価",$C171="明細書",$C171="明細代価",$C171="代価表",$C171="単価表"),データ!Q168,"")</f>
        <v/>
      </c>
      <c r="S171" s="11" t="str">
        <f t="shared" si="14"/>
        <v/>
      </c>
      <c r="T171" s="46" t="e">
        <f t="shared" si="15"/>
        <v>#DIV/0!</v>
      </c>
      <c r="U171" s="40" t="str">
        <f>IF(データ!R168="","",データ!R168)</f>
        <v/>
      </c>
      <c r="V171" s="41" t="str">
        <f>IF(データ!S168="","",データ!S168)</f>
        <v/>
      </c>
      <c r="W171" s="42">
        <f>データ!T168</f>
        <v>0</v>
      </c>
      <c r="X171" s="48">
        <f>IF($C171="集計行","",データ!U168)</f>
        <v>0</v>
      </c>
      <c r="Y171" s="48">
        <f>データ!V168</f>
        <v>0</v>
      </c>
      <c r="Z171" s="39" t="str">
        <f>IF(OR($C171="総括",$C171="内訳書",$C171="内訳代価",$C171="明細書",$C171="明細代価",$C171="代価表",$C171="単価表"),データ!W168,"")</f>
        <v/>
      </c>
      <c r="AA171" s="11" t="str">
        <f t="shared" si="16"/>
        <v/>
      </c>
      <c r="AB171" s="46" t="e">
        <f t="shared" si="17"/>
        <v>#DIV/0!</v>
      </c>
      <c r="AC171" s="40" t="str">
        <f>IF(データ!X168="","",データ!X168)</f>
        <v/>
      </c>
      <c r="AD171" s="41" t="str">
        <f>IF(データ!Y168="","",データ!Y168)</f>
        <v/>
      </c>
      <c r="AE171" s="47" t="str">
        <f>TRIM(データ!B168)</f>
        <v>r20718007</v>
      </c>
      <c r="AF171" s="43" t="str">
        <f>TRIM(データ!Z168)</f>
        <v/>
      </c>
    </row>
    <row r="172" spans="1:32" x14ac:dyDescent="0.15">
      <c r="A172" s="47">
        <f>データ!A169</f>
        <v>2</v>
      </c>
      <c r="B172" s="47" t="str">
        <f>TRIM(データ!C169)</f>
        <v/>
      </c>
      <c r="C172" s="47" t="str">
        <f>TRIM(データ!D169)</f>
        <v>機械費</v>
      </c>
      <c r="D172" s="36" t="str">
        <f>REPT("｜",$A172)&amp;TRIM(データ!E169)</f>
        <v>｜｜小物機械　ﾊﾟｰﾄﾅ・丸ﾉｺ</v>
      </c>
      <c r="E172" s="37" t="str">
        <f>TRIM(データ!F169)</f>
        <v>ｸﾞﾗｲﾝﾀﾞ-・ｺｱ抜きﾄﾞﾘﾙ・ﾌﾞﾛｱ　等</v>
      </c>
      <c r="F172" s="38" t="str">
        <f>TRIM(データ!G169)</f>
        <v>台</v>
      </c>
      <c r="G172" s="50">
        <f>データ!H169</f>
        <v>1</v>
      </c>
      <c r="H172" s="48">
        <f>データ!I169</f>
        <v>3000</v>
      </c>
      <c r="I172" s="48">
        <f>データ!J169</f>
        <v>3000</v>
      </c>
      <c r="J172" s="39" t="str">
        <f>IF(OR($C172="総括",$C172="内訳書",$C172="内訳代価",$C172="明細書",$C172="明細代価",$C172="代価表",$C172="単価表"),データ!K169,"")</f>
        <v/>
      </c>
      <c r="K172" s="11" t="str">
        <f t="shared" si="12"/>
        <v/>
      </c>
      <c r="L172" s="46">
        <f t="shared" si="13"/>
        <v>1.4634146341463414E-4</v>
      </c>
      <c r="M172" s="40" t="str">
        <f>IF(データ!L169="","",データ!L169)</f>
        <v/>
      </c>
      <c r="N172" s="41" t="str">
        <f>IF(データ!M169="","",データ!M169)</f>
        <v/>
      </c>
      <c r="O172" s="42">
        <f>データ!N169</f>
        <v>0</v>
      </c>
      <c r="P172" s="48">
        <f>IF($C172="集計行","",データ!O169)</f>
        <v>0</v>
      </c>
      <c r="Q172" s="48">
        <f>データ!P169</f>
        <v>0</v>
      </c>
      <c r="R172" s="39" t="str">
        <f>IF(OR($C172="総括",$C172="内訳書",$C172="内訳代価",$C172="明細書",$C172="明細代価",$C172="代価表",$C172="単価表"),データ!Q169,"")</f>
        <v/>
      </c>
      <c r="S172" s="11" t="str">
        <f t="shared" si="14"/>
        <v/>
      </c>
      <c r="T172" s="46" t="e">
        <f t="shared" si="15"/>
        <v>#DIV/0!</v>
      </c>
      <c r="U172" s="40" t="str">
        <f>IF(データ!R169="","",データ!R169)</f>
        <v/>
      </c>
      <c r="V172" s="41" t="str">
        <f>IF(データ!S169="","",データ!S169)</f>
        <v/>
      </c>
      <c r="W172" s="42">
        <f>データ!T169</f>
        <v>0</v>
      </c>
      <c r="X172" s="48">
        <f>IF($C172="集計行","",データ!U169)</f>
        <v>0</v>
      </c>
      <c r="Y172" s="48">
        <f>データ!V169</f>
        <v>0</v>
      </c>
      <c r="Z172" s="39" t="str">
        <f>IF(OR($C172="総括",$C172="内訳書",$C172="内訳代価",$C172="明細書",$C172="明細代価",$C172="代価表",$C172="単価表"),データ!W169,"")</f>
        <v/>
      </c>
      <c r="AA172" s="11" t="str">
        <f t="shared" si="16"/>
        <v/>
      </c>
      <c r="AB172" s="46" t="e">
        <f t="shared" si="17"/>
        <v>#DIV/0!</v>
      </c>
      <c r="AC172" s="40" t="str">
        <f>IF(データ!X169="","",データ!X169)</f>
        <v/>
      </c>
      <c r="AD172" s="41" t="str">
        <f>IF(データ!Y169="","",データ!Y169)</f>
        <v/>
      </c>
      <c r="AE172" s="47" t="str">
        <f>TRIM(データ!B169)</f>
        <v>k20718001</v>
      </c>
      <c r="AF172" s="43" t="str">
        <f>TRIM(データ!Z169)</f>
        <v/>
      </c>
    </row>
    <row r="173" spans="1:32" x14ac:dyDescent="0.15">
      <c r="A173" s="47">
        <f>データ!A170</f>
        <v>2</v>
      </c>
      <c r="B173" s="47" t="str">
        <f>TRIM(データ!C170)</f>
        <v/>
      </c>
      <c r="C173" s="47" t="str">
        <f>TRIM(データ!D170)</f>
        <v>運搬費</v>
      </c>
      <c r="D173" s="36" t="str">
        <f>REPT("｜",$A173)&amp;TRIM(データ!E170)</f>
        <v>｜｜2tダンプ</v>
      </c>
      <c r="E173" s="37" t="str">
        <f>TRIM(データ!F170)</f>
        <v/>
      </c>
      <c r="F173" s="38" t="str">
        <f>TRIM(データ!G170)</f>
        <v>台</v>
      </c>
      <c r="G173" s="50">
        <f>データ!H170</f>
        <v>3</v>
      </c>
      <c r="H173" s="48">
        <f>データ!I170</f>
        <v>6000</v>
      </c>
      <c r="I173" s="48">
        <f>データ!J170</f>
        <v>18000</v>
      </c>
      <c r="J173" s="39" t="str">
        <f>IF(OR($C173="総括",$C173="内訳書",$C173="内訳代価",$C173="明細書",$C173="明細代価",$C173="代価表",$C173="単価表"),データ!K170,"")</f>
        <v/>
      </c>
      <c r="K173" s="11" t="str">
        <f t="shared" si="12"/>
        <v/>
      </c>
      <c r="L173" s="46">
        <f t="shared" si="13"/>
        <v>8.780487804878049E-4</v>
      </c>
      <c r="M173" s="40" t="str">
        <f>IF(データ!L170="","",データ!L170)</f>
        <v/>
      </c>
      <c r="N173" s="41" t="str">
        <f>IF(データ!M170="","",データ!M170)</f>
        <v/>
      </c>
      <c r="O173" s="42">
        <f>データ!N170</f>
        <v>0</v>
      </c>
      <c r="P173" s="48">
        <f>IF($C173="集計行","",データ!O170)</f>
        <v>0</v>
      </c>
      <c r="Q173" s="48">
        <f>データ!P170</f>
        <v>0</v>
      </c>
      <c r="R173" s="39" t="str">
        <f>IF(OR($C173="総括",$C173="内訳書",$C173="内訳代価",$C173="明細書",$C173="明細代価",$C173="代価表",$C173="単価表"),データ!Q170,"")</f>
        <v/>
      </c>
      <c r="S173" s="11" t="str">
        <f t="shared" si="14"/>
        <v/>
      </c>
      <c r="T173" s="46" t="e">
        <f t="shared" si="15"/>
        <v>#DIV/0!</v>
      </c>
      <c r="U173" s="40" t="str">
        <f>IF(データ!R170="","",データ!R170)</f>
        <v/>
      </c>
      <c r="V173" s="41" t="str">
        <f>IF(データ!S170="","",データ!S170)</f>
        <v/>
      </c>
      <c r="W173" s="42">
        <f>データ!T170</f>
        <v>0</v>
      </c>
      <c r="X173" s="48">
        <f>IF($C173="集計行","",データ!U170)</f>
        <v>0</v>
      </c>
      <c r="Y173" s="48">
        <f>データ!V170</f>
        <v>0</v>
      </c>
      <c r="Z173" s="39" t="str">
        <f>IF(OR($C173="総括",$C173="内訳書",$C173="内訳代価",$C173="明細書",$C173="明細代価",$C173="代価表",$C173="単価表"),データ!W170,"")</f>
        <v/>
      </c>
      <c r="AA173" s="11" t="str">
        <f t="shared" si="16"/>
        <v/>
      </c>
      <c r="AB173" s="46" t="e">
        <f t="shared" si="17"/>
        <v>#DIV/0!</v>
      </c>
      <c r="AC173" s="40" t="str">
        <f>IF(データ!X170="","",データ!X170)</f>
        <v/>
      </c>
      <c r="AD173" s="41" t="str">
        <f>IF(データ!Y170="","",データ!Y170)</f>
        <v/>
      </c>
      <c r="AE173" s="47" t="str">
        <f>TRIM(データ!B170)</f>
        <v>u20718025</v>
      </c>
      <c r="AF173" s="43" t="str">
        <f>TRIM(データ!Z170)</f>
        <v/>
      </c>
    </row>
    <row r="174" spans="1:32" x14ac:dyDescent="0.15">
      <c r="A174" s="47">
        <f>データ!A171</f>
        <v>1</v>
      </c>
      <c r="B174" s="47" t="str">
        <f>TRIM(データ!C171)</f>
        <v/>
      </c>
      <c r="C174" s="47" t="str">
        <f>TRIM(データ!D171)</f>
        <v>内訳書</v>
      </c>
      <c r="D174" s="36" t="str">
        <f>REPT("｜",$A174)&amp;TRIM(データ!E171)</f>
        <v>｜技術管理工</v>
      </c>
      <c r="E174" s="37" t="str">
        <f>TRIM(データ!F171)</f>
        <v/>
      </c>
      <c r="F174" s="38" t="str">
        <f>TRIM(データ!G171)</f>
        <v>式</v>
      </c>
      <c r="G174" s="50">
        <f>データ!H171</f>
        <v>1</v>
      </c>
      <c r="H174" s="48">
        <f>データ!I171</f>
        <v>79850</v>
      </c>
      <c r="I174" s="48">
        <f>データ!J171</f>
        <v>79850</v>
      </c>
      <c r="J174" s="39">
        <f>IF(OR($C174="総括",$C174="内訳書",$C174="内訳代価",$C174="明細書",$C174="明細代価",$C174="代価表",$C174="単価表"),データ!K171,"")</f>
        <v>1</v>
      </c>
      <c r="K174" s="11" t="str">
        <f t="shared" si="12"/>
        <v/>
      </c>
      <c r="L174" s="46">
        <f t="shared" si="13"/>
        <v>3.8951219512195121E-3</v>
      </c>
      <c r="M174" s="40" t="str">
        <f>IF(データ!L171="","",データ!L171)</f>
        <v/>
      </c>
      <c r="N174" s="41" t="str">
        <f>IF(データ!M171="","",データ!M171)</f>
        <v>40号内訳書</v>
      </c>
      <c r="O174" s="42">
        <f>データ!N171</f>
        <v>0</v>
      </c>
      <c r="P174" s="48">
        <f>IF($C174="集計行","",データ!O171)</f>
        <v>0</v>
      </c>
      <c r="Q174" s="48">
        <f>データ!P171</f>
        <v>0</v>
      </c>
      <c r="R174" s="39">
        <f>IF(OR($C174="総括",$C174="内訳書",$C174="内訳代価",$C174="明細書",$C174="明細代価",$C174="代価表",$C174="単価表"),データ!Q171,"")</f>
        <v>0</v>
      </c>
      <c r="S174" s="11" t="str">
        <f t="shared" si="14"/>
        <v/>
      </c>
      <c r="T174" s="46" t="e">
        <f t="shared" si="15"/>
        <v>#DIV/0!</v>
      </c>
      <c r="U174" s="40" t="str">
        <f>IF(データ!R171="","",データ!R171)</f>
        <v/>
      </c>
      <c r="V174" s="41" t="str">
        <f>IF(データ!S171="","",データ!S171)</f>
        <v/>
      </c>
      <c r="W174" s="42">
        <f>データ!T171</f>
        <v>0</v>
      </c>
      <c r="X174" s="48">
        <f>IF($C174="集計行","",データ!U171)</f>
        <v>0</v>
      </c>
      <c r="Y174" s="48">
        <f>データ!V171</f>
        <v>0</v>
      </c>
      <c r="Z174" s="39">
        <f>IF(OR($C174="総括",$C174="内訳書",$C174="内訳代価",$C174="明細書",$C174="明細代価",$C174="代価表",$C174="単価表"),データ!W171,"")</f>
        <v>0</v>
      </c>
      <c r="AA174" s="11" t="str">
        <f t="shared" si="16"/>
        <v/>
      </c>
      <c r="AB174" s="46" t="e">
        <f t="shared" si="17"/>
        <v>#DIV/0!</v>
      </c>
      <c r="AC174" s="40" t="str">
        <f>IF(データ!X171="","",データ!X171)</f>
        <v/>
      </c>
      <c r="AD174" s="41" t="str">
        <f>IF(データ!Y171="","",データ!Y171)</f>
        <v/>
      </c>
      <c r="AE174" s="47" t="str">
        <f>TRIM(データ!B171)</f>
        <v/>
      </c>
      <c r="AF174" s="43" t="str">
        <f>TRIM(データ!Z171)</f>
        <v/>
      </c>
    </row>
    <row r="175" spans="1:32" x14ac:dyDescent="0.15">
      <c r="A175" s="47">
        <f>データ!A172</f>
        <v>2</v>
      </c>
      <c r="B175" s="47" t="str">
        <f>TRIM(データ!C172)</f>
        <v/>
      </c>
      <c r="C175" s="47" t="str">
        <f>TRIM(データ!D172)</f>
        <v>材料費</v>
      </c>
      <c r="D175" s="36" t="str">
        <f>REPT("｜",$A175)&amp;TRIM(データ!E172)</f>
        <v>｜｜測量資材</v>
      </c>
      <c r="E175" s="37" t="str">
        <f>TRIM(データ!F172)</f>
        <v/>
      </c>
      <c r="F175" s="38" t="str">
        <f>TRIM(データ!G172)</f>
        <v>式</v>
      </c>
      <c r="G175" s="50">
        <f>データ!H172</f>
        <v>1</v>
      </c>
      <c r="H175" s="48">
        <f>データ!I172</f>
        <v>27850</v>
      </c>
      <c r="I175" s="48">
        <f>データ!J172</f>
        <v>27850</v>
      </c>
      <c r="J175" s="39" t="str">
        <f>IF(OR($C175="総括",$C175="内訳書",$C175="内訳代価",$C175="明細書",$C175="明細代価",$C175="代価表",$C175="単価表"),データ!K172,"")</f>
        <v/>
      </c>
      <c r="K175" s="11" t="str">
        <f t="shared" si="12"/>
        <v/>
      </c>
      <c r="L175" s="46">
        <f t="shared" si="13"/>
        <v>1.3585365853658537E-3</v>
      </c>
      <c r="M175" s="40" t="str">
        <f>IF(データ!L172="","",データ!L172)</f>
        <v/>
      </c>
      <c r="N175" s="41" t="str">
        <f>IF(データ!M172="","",データ!M172)</f>
        <v/>
      </c>
      <c r="O175" s="42">
        <f>データ!N172</f>
        <v>0</v>
      </c>
      <c r="P175" s="48">
        <f>IF($C175="集計行","",データ!O172)</f>
        <v>0</v>
      </c>
      <c r="Q175" s="48">
        <f>データ!P172</f>
        <v>0</v>
      </c>
      <c r="R175" s="39" t="str">
        <f>IF(OR($C175="総括",$C175="内訳書",$C175="内訳代価",$C175="明細書",$C175="明細代価",$C175="代価表",$C175="単価表"),データ!Q172,"")</f>
        <v/>
      </c>
      <c r="S175" s="11" t="str">
        <f t="shared" si="14"/>
        <v/>
      </c>
      <c r="T175" s="46" t="e">
        <f t="shared" si="15"/>
        <v>#DIV/0!</v>
      </c>
      <c r="U175" s="40" t="str">
        <f>IF(データ!R172="","",データ!R172)</f>
        <v/>
      </c>
      <c r="V175" s="41" t="str">
        <f>IF(データ!S172="","",データ!S172)</f>
        <v/>
      </c>
      <c r="W175" s="42">
        <f>データ!T172</f>
        <v>0</v>
      </c>
      <c r="X175" s="48">
        <f>IF($C175="集計行","",データ!U172)</f>
        <v>0</v>
      </c>
      <c r="Y175" s="48">
        <f>データ!V172</f>
        <v>0</v>
      </c>
      <c r="Z175" s="39" t="str">
        <f>IF(OR($C175="総括",$C175="内訳書",$C175="内訳代価",$C175="明細書",$C175="明細代価",$C175="代価表",$C175="単価表"),データ!W172,"")</f>
        <v/>
      </c>
      <c r="AA175" s="11" t="str">
        <f t="shared" si="16"/>
        <v/>
      </c>
      <c r="AB175" s="46" t="e">
        <f t="shared" si="17"/>
        <v>#DIV/0!</v>
      </c>
      <c r="AC175" s="40" t="str">
        <f>IF(データ!X172="","",データ!X172)</f>
        <v/>
      </c>
      <c r="AD175" s="41" t="str">
        <f>IF(データ!Y172="","",データ!Y172)</f>
        <v/>
      </c>
      <c r="AE175" s="47" t="str">
        <f>TRIM(データ!B172)</f>
        <v/>
      </c>
      <c r="AF175" s="43" t="str">
        <f>TRIM(データ!Z172)</f>
        <v/>
      </c>
    </row>
    <row r="176" spans="1:32" x14ac:dyDescent="0.15">
      <c r="A176" s="47">
        <f>データ!A173</f>
        <v>2</v>
      </c>
      <c r="B176" s="47" t="str">
        <f>TRIM(データ!C173)</f>
        <v/>
      </c>
      <c r="C176" s="47" t="str">
        <f>TRIM(データ!D173)</f>
        <v>外注費</v>
      </c>
      <c r="D176" s="36" t="str">
        <f>REPT("｜",$A176)&amp;TRIM(データ!E173)</f>
        <v>｜｜Asコア採取(最低)</v>
      </c>
      <c r="E176" s="37" t="str">
        <f>TRIM(データ!F173)</f>
        <v>最低補償</v>
      </c>
      <c r="F176" s="38" t="str">
        <f>TRIM(データ!G173)</f>
        <v>回</v>
      </c>
      <c r="G176" s="50">
        <f>データ!H173</f>
        <v>2</v>
      </c>
      <c r="H176" s="48">
        <f>データ!I173</f>
        <v>20000</v>
      </c>
      <c r="I176" s="48">
        <f>データ!J173</f>
        <v>40000</v>
      </c>
      <c r="J176" s="39" t="str">
        <f>IF(OR($C176="総括",$C176="内訳書",$C176="内訳代価",$C176="明細書",$C176="明細代価",$C176="代価表",$C176="単価表"),データ!K173,"")</f>
        <v/>
      </c>
      <c r="K176" s="11" t="str">
        <f t="shared" si="12"/>
        <v/>
      </c>
      <c r="L176" s="46">
        <f t="shared" si="13"/>
        <v>1.9512195121951219E-3</v>
      </c>
      <c r="M176" s="40" t="str">
        <f>IF(データ!L173="","",データ!L173)</f>
        <v/>
      </c>
      <c r="N176" s="41" t="str">
        <f>IF(データ!M173="","",データ!M173)</f>
        <v/>
      </c>
      <c r="O176" s="42">
        <f>データ!N173</f>
        <v>0</v>
      </c>
      <c r="P176" s="48">
        <f>IF($C176="集計行","",データ!O173)</f>
        <v>0</v>
      </c>
      <c r="Q176" s="48">
        <f>データ!P173</f>
        <v>0</v>
      </c>
      <c r="R176" s="39" t="str">
        <f>IF(OR($C176="総括",$C176="内訳書",$C176="内訳代価",$C176="明細書",$C176="明細代価",$C176="代価表",$C176="単価表"),データ!Q173,"")</f>
        <v/>
      </c>
      <c r="S176" s="11" t="str">
        <f t="shared" si="14"/>
        <v/>
      </c>
      <c r="T176" s="46" t="e">
        <f t="shared" si="15"/>
        <v>#DIV/0!</v>
      </c>
      <c r="U176" s="40" t="str">
        <f>IF(データ!R173="","",データ!R173)</f>
        <v/>
      </c>
      <c r="V176" s="41" t="str">
        <f>IF(データ!S173="","",データ!S173)</f>
        <v/>
      </c>
      <c r="W176" s="42">
        <f>データ!T173</f>
        <v>0</v>
      </c>
      <c r="X176" s="48">
        <f>IF($C176="集計行","",データ!U173)</f>
        <v>0</v>
      </c>
      <c r="Y176" s="48">
        <f>データ!V173</f>
        <v>0</v>
      </c>
      <c r="Z176" s="39" t="str">
        <f>IF(OR($C176="総括",$C176="内訳書",$C176="内訳代価",$C176="明細書",$C176="明細代価",$C176="代価表",$C176="単価表"),データ!W173,"")</f>
        <v/>
      </c>
      <c r="AA176" s="11" t="str">
        <f t="shared" si="16"/>
        <v/>
      </c>
      <c r="AB176" s="46" t="e">
        <f t="shared" si="17"/>
        <v>#DIV/0!</v>
      </c>
      <c r="AC176" s="40" t="str">
        <f>IF(データ!X173="","",データ!X173)</f>
        <v/>
      </c>
      <c r="AD176" s="41" t="str">
        <f>IF(データ!Y173="","",データ!Y173)</f>
        <v/>
      </c>
      <c r="AE176" s="47" t="str">
        <f>TRIM(データ!B173)</f>
        <v>g20718051</v>
      </c>
      <c r="AF176" s="43" t="str">
        <f>TRIM(データ!Z173)</f>
        <v/>
      </c>
    </row>
    <row r="177" spans="1:32" x14ac:dyDescent="0.15">
      <c r="A177" s="47">
        <f>データ!A174</f>
        <v>2</v>
      </c>
      <c r="B177" s="47" t="str">
        <f>TRIM(データ!C174)</f>
        <v/>
      </c>
      <c r="C177" s="47" t="str">
        <f>TRIM(データ!D174)</f>
        <v>機械費</v>
      </c>
      <c r="D177" s="36" t="str">
        <f>REPT("｜",$A177)&amp;TRIM(データ!E174)</f>
        <v>｜｜測量機器</v>
      </c>
      <c r="E177" s="37" t="str">
        <f>TRIM(データ!F174)</f>
        <v/>
      </c>
      <c r="F177" s="38" t="str">
        <f>TRIM(データ!G174)</f>
        <v>/月</v>
      </c>
      <c r="G177" s="50">
        <f>データ!H174</f>
        <v>2</v>
      </c>
      <c r="H177" s="48">
        <f>データ!I174</f>
        <v>6000</v>
      </c>
      <c r="I177" s="48">
        <f>データ!J174</f>
        <v>12000</v>
      </c>
      <c r="J177" s="39" t="str">
        <f>IF(OR($C177="総括",$C177="内訳書",$C177="内訳代価",$C177="明細書",$C177="明細代価",$C177="代価表",$C177="単価表"),データ!K174,"")</f>
        <v/>
      </c>
      <c r="K177" s="11" t="str">
        <f t="shared" si="12"/>
        <v/>
      </c>
      <c r="L177" s="46">
        <f t="shared" si="13"/>
        <v>5.8536585365853656E-4</v>
      </c>
      <c r="M177" s="40" t="str">
        <f>IF(データ!L174="","",データ!L174)</f>
        <v/>
      </c>
      <c r="N177" s="41" t="str">
        <f>IF(データ!M174="","",データ!M174)</f>
        <v/>
      </c>
      <c r="O177" s="42">
        <f>データ!N174</f>
        <v>0</v>
      </c>
      <c r="P177" s="48">
        <f>IF($C177="集計行","",データ!O174)</f>
        <v>0</v>
      </c>
      <c r="Q177" s="48">
        <f>データ!P174</f>
        <v>0</v>
      </c>
      <c r="R177" s="39" t="str">
        <f>IF(OR($C177="総括",$C177="内訳書",$C177="内訳代価",$C177="明細書",$C177="明細代価",$C177="代価表",$C177="単価表"),データ!Q174,"")</f>
        <v/>
      </c>
      <c r="S177" s="11" t="str">
        <f t="shared" si="14"/>
        <v/>
      </c>
      <c r="T177" s="46" t="e">
        <f t="shared" si="15"/>
        <v>#DIV/0!</v>
      </c>
      <c r="U177" s="40" t="str">
        <f>IF(データ!R174="","",データ!R174)</f>
        <v/>
      </c>
      <c r="V177" s="41" t="str">
        <f>IF(データ!S174="","",データ!S174)</f>
        <v/>
      </c>
      <c r="W177" s="42">
        <f>データ!T174</f>
        <v>0</v>
      </c>
      <c r="X177" s="48">
        <f>IF($C177="集計行","",データ!U174)</f>
        <v>0</v>
      </c>
      <c r="Y177" s="48">
        <f>データ!V174</f>
        <v>0</v>
      </c>
      <c r="Z177" s="39" t="str">
        <f>IF(OR($C177="総括",$C177="内訳書",$C177="内訳代価",$C177="明細書",$C177="明細代価",$C177="代価表",$C177="単価表"),データ!W174,"")</f>
        <v/>
      </c>
      <c r="AA177" s="11" t="str">
        <f t="shared" si="16"/>
        <v/>
      </c>
      <c r="AB177" s="46" t="e">
        <f t="shared" si="17"/>
        <v>#DIV/0!</v>
      </c>
      <c r="AC177" s="40" t="str">
        <f>IF(データ!X174="","",データ!X174)</f>
        <v/>
      </c>
      <c r="AD177" s="41" t="str">
        <f>IF(データ!Y174="","",データ!Y174)</f>
        <v/>
      </c>
      <c r="AE177" s="47" t="str">
        <f>TRIM(データ!B174)</f>
        <v/>
      </c>
      <c r="AF177" s="43" t="str">
        <f>TRIM(データ!Z174)</f>
        <v/>
      </c>
    </row>
    <row r="178" spans="1:32" x14ac:dyDescent="0.15">
      <c r="A178" s="47">
        <f>データ!A175</f>
        <v>1</v>
      </c>
      <c r="B178" s="47" t="str">
        <f>TRIM(データ!C175)</f>
        <v/>
      </c>
      <c r="C178" s="47" t="str">
        <f>TRIM(データ!D175)</f>
        <v>内訳書</v>
      </c>
      <c r="D178" s="36" t="str">
        <f>REPT("｜",$A178)&amp;TRIM(データ!E175)</f>
        <v>｜外注工1</v>
      </c>
      <c r="E178" s="37" t="str">
        <f>TRIM(データ!F175)</f>
        <v>南産業</v>
      </c>
      <c r="F178" s="38" t="str">
        <f>TRIM(データ!G175)</f>
        <v>式</v>
      </c>
      <c r="G178" s="50">
        <f>データ!H175</f>
        <v>1</v>
      </c>
      <c r="H178" s="48">
        <f>データ!I175</f>
        <v>1830000</v>
      </c>
      <c r="I178" s="48">
        <f>データ!J175</f>
        <v>1830000</v>
      </c>
      <c r="J178" s="39">
        <f>IF(OR($C178="総括",$C178="内訳書",$C178="内訳代価",$C178="明細書",$C178="明細代価",$C178="代価表",$C178="単価表"),データ!K175,"")</f>
        <v>1</v>
      </c>
      <c r="K178" s="11" t="str">
        <f t="shared" si="12"/>
        <v/>
      </c>
      <c r="L178" s="46">
        <f t="shared" si="13"/>
        <v>8.9268292682926825E-2</v>
      </c>
      <c r="M178" s="40" t="str">
        <f>IF(データ!L175="","",データ!L175)</f>
        <v/>
      </c>
      <c r="N178" s="41" t="str">
        <f>IF(データ!M175="","",データ!M175)</f>
        <v>41号内訳書</v>
      </c>
      <c r="O178" s="42">
        <f>データ!N175</f>
        <v>0</v>
      </c>
      <c r="P178" s="48">
        <f>IF($C178="集計行","",データ!O175)</f>
        <v>0</v>
      </c>
      <c r="Q178" s="48">
        <f>データ!P175</f>
        <v>0</v>
      </c>
      <c r="R178" s="39">
        <f>IF(OR($C178="総括",$C178="内訳書",$C178="内訳代価",$C178="明細書",$C178="明細代価",$C178="代価表",$C178="単価表"),データ!Q175,"")</f>
        <v>0</v>
      </c>
      <c r="S178" s="11" t="str">
        <f t="shared" si="14"/>
        <v/>
      </c>
      <c r="T178" s="46" t="e">
        <f t="shared" si="15"/>
        <v>#DIV/0!</v>
      </c>
      <c r="U178" s="40" t="str">
        <f>IF(データ!R175="","",データ!R175)</f>
        <v/>
      </c>
      <c r="V178" s="41" t="str">
        <f>IF(データ!S175="","",データ!S175)</f>
        <v/>
      </c>
      <c r="W178" s="42">
        <f>データ!T175</f>
        <v>0</v>
      </c>
      <c r="X178" s="48">
        <f>IF($C178="集計行","",データ!U175)</f>
        <v>0</v>
      </c>
      <c r="Y178" s="48">
        <f>データ!V175</f>
        <v>0</v>
      </c>
      <c r="Z178" s="39">
        <f>IF(OR($C178="総括",$C178="内訳書",$C178="内訳代価",$C178="明細書",$C178="明細代価",$C178="代価表",$C178="単価表"),データ!W175,"")</f>
        <v>0</v>
      </c>
      <c r="AA178" s="11" t="str">
        <f t="shared" si="16"/>
        <v/>
      </c>
      <c r="AB178" s="46" t="e">
        <f t="shared" si="17"/>
        <v>#DIV/0!</v>
      </c>
      <c r="AC178" s="40" t="str">
        <f>IF(データ!X175="","",データ!X175)</f>
        <v/>
      </c>
      <c r="AD178" s="41" t="str">
        <f>IF(データ!Y175="","",データ!Y175)</f>
        <v/>
      </c>
      <c r="AE178" s="47" t="str">
        <f>TRIM(データ!B175)</f>
        <v/>
      </c>
      <c r="AF178" s="43" t="str">
        <f>TRIM(データ!Z175)</f>
        <v/>
      </c>
    </row>
    <row r="179" spans="1:32" x14ac:dyDescent="0.15">
      <c r="A179" s="47">
        <f>データ!A176</f>
        <v>2</v>
      </c>
      <c r="B179" s="47" t="str">
        <f>TRIM(データ!C176)</f>
        <v/>
      </c>
      <c r="C179" s="47" t="str">
        <f>TRIM(データ!D176)</f>
        <v>外注費</v>
      </c>
      <c r="D179" s="36" t="str">
        <f>REPT("｜",$A179)&amp;TRIM(データ!E176)</f>
        <v>｜｜法定福利費</v>
      </c>
      <c r="E179" s="37" t="str">
        <f>TRIM(データ!F176)</f>
        <v>労務費*16%</v>
      </c>
      <c r="F179" s="38" t="str">
        <f>TRIM(データ!G176)</f>
        <v>式</v>
      </c>
      <c r="G179" s="50">
        <f>データ!H176</f>
        <v>1</v>
      </c>
      <c r="H179" s="48">
        <f>データ!I176</f>
        <v>830000</v>
      </c>
      <c r="I179" s="48">
        <f>データ!J176</f>
        <v>830000</v>
      </c>
      <c r="J179" s="39" t="str">
        <f>IF(OR($C179="総括",$C179="内訳書",$C179="内訳代価",$C179="明細書",$C179="明細代価",$C179="代価表",$C179="単価表"),データ!K176,"")</f>
        <v/>
      </c>
      <c r="K179" s="11" t="str">
        <f t="shared" si="12"/>
        <v/>
      </c>
      <c r="L179" s="46">
        <f t="shared" si="13"/>
        <v>4.0487804878048782E-2</v>
      </c>
      <c r="M179" s="40" t="str">
        <f>IF(データ!L176="","",データ!L176)</f>
        <v/>
      </c>
      <c r="N179" s="41" t="str">
        <f>IF(データ!M176="","",データ!M176)</f>
        <v/>
      </c>
      <c r="O179" s="42">
        <f>データ!N176</f>
        <v>0</v>
      </c>
      <c r="P179" s="48">
        <f>IF($C179="集計行","",データ!O176)</f>
        <v>0</v>
      </c>
      <c r="Q179" s="48">
        <f>データ!P176</f>
        <v>0</v>
      </c>
      <c r="R179" s="39" t="str">
        <f>IF(OR($C179="総括",$C179="内訳書",$C179="内訳代価",$C179="明細書",$C179="明細代価",$C179="代価表",$C179="単価表"),データ!Q176,"")</f>
        <v/>
      </c>
      <c r="S179" s="11" t="str">
        <f t="shared" si="14"/>
        <v/>
      </c>
      <c r="T179" s="46" t="e">
        <f t="shared" si="15"/>
        <v>#DIV/0!</v>
      </c>
      <c r="U179" s="40" t="str">
        <f>IF(データ!R176="","",データ!R176)</f>
        <v/>
      </c>
      <c r="V179" s="41" t="str">
        <f>IF(データ!S176="","",データ!S176)</f>
        <v/>
      </c>
      <c r="W179" s="42">
        <f>データ!T176</f>
        <v>0</v>
      </c>
      <c r="X179" s="48">
        <f>IF($C179="集計行","",データ!U176)</f>
        <v>0</v>
      </c>
      <c r="Y179" s="48">
        <f>データ!V176</f>
        <v>0</v>
      </c>
      <c r="Z179" s="39" t="str">
        <f>IF(OR($C179="総括",$C179="内訳書",$C179="内訳代価",$C179="明細書",$C179="明細代価",$C179="代価表",$C179="単価表"),データ!W176,"")</f>
        <v/>
      </c>
      <c r="AA179" s="11" t="str">
        <f t="shared" si="16"/>
        <v/>
      </c>
      <c r="AB179" s="46" t="e">
        <f t="shared" si="17"/>
        <v>#DIV/0!</v>
      </c>
      <c r="AC179" s="40" t="str">
        <f>IF(データ!X176="","",データ!X176)</f>
        <v/>
      </c>
      <c r="AD179" s="41" t="str">
        <f>IF(データ!Y176="","",データ!Y176)</f>
        <v/>
      </c>
      <c r="AE179" s="47" t="str">
        <f>TRIM(データ!B176)</f>
        <v>g20718106</v>
      </c>
      <c r="AF179" s="43" t="str">
        <f>TRIM(データ!Z176)</f>
        <v/>
      </c>
    </row>
    <row r="180" spans="1:32" x14ac:dyDescent="0.15">
      <c r="A180" s="47">
        <f>データ!A177</f>
        <v>2</v>
      </c>
      <c r="B180" s="47" t="str">
        <f>TRIM(データ!C177)</f>
        <v/>
      </c>
      <c r="C180" s="47" t="str">
        <f>TRIM(データ!D177)</f>
        <v>外注費</v>
      </c>
      <c r="D180" s="36" t="str">
        <f>REPT("｜",$A180)&amp;TRIM(データ!E177)</f>
        <v>｜｜外注経費</v>
      </c>
      <c r="E180" s="37" t="str">
        <f>TRIM(データ!F177)</f>
        <v>材工8％</v>
      </c>
      <c r="F180" s="38" t="str">
        <f>TRIM(データ!G177)</f>
        <v>式</v>
      </c>
      <c r="G180" s="50">
        <f>データ!H177</f>
        <v>1</v>
      </c>
      <c r="H180" s="48">
        <f>データ!I177</f>
        <v>1000000</v>
      </c>
      <c r="I180" s="48">
        <f>データ!J177</f>
        <v>1000000</v>
      </c>
      <c r="J180" s="39" t="str">
        <f>IF(OR($C180="総括",$C180="内訳書",$C180="内訳代価",$C180="明細書",$C180="明細代価",$C180="代価表",$C180="単価表"),データ!K177,"")</f>
        <v/>
      </c>
      <c r="K180" s="11" t="str">
        <f t="shared" si="12"/>
        <v/>
      </c>
      <c r="L180" s="46">
        <f t="shared" si="13"/>
        <v>4.878048780487805E-2</v>
      </c>
      <c r="M180" s="40" t="str">
        <f>IF(データ!L177="","",データ!L177)</f>
        <v/>
      </c>
      <c r="N180" s="41" t="str">
        <f>IF(データ!M177="","",データ!M177)</f>
        <v/>
      </c>
      <c r="O180" s="42">
        <f>データ!N177</f>
        <v>0</v>
      </c>
      <c r="P180" s="48">
        <f>IF($C180="集計行","",データ!O177)</f>
        <v>0</v>
      </c>
      <c r="Q180" s="48">
        <f>データ!P177</f>
        <v>0</v>
      </c>
      <c r="R180" s="39" t="str">
        <f>IF(OR($C180="総括",$C180="内訳書",$C180="内訳代価",$C180="明細書",$C180="明細代価",$C180="代価表",$C180="単価表"),データ!Q177,"")</f>
        <v/>
      </c>
      <c r="S180" s="11" t="str">
        <f t="shared" si="14"/>
        <v/>
      </c>
      <c r="T180" s="46" t="e">
        <f t="shared" si="15"/>
        <v>#DIV/0!</v>
      </c>
      <c r="U180" s="40" t="str">
        <f>IF(データ!R177="","",データ!R177)</f>
        <v/>
      </c>
      <c r="V180" s="41" t="str">
        <f>IF(データ!S177="","",データ!S177)</f>
        <v/>
      </c>
      <c r="W180" s="42">
        <f>データ!T177</f>
        <v>0</v>
      </c>
      <c r="X180" s="48">
        <f>IF($C180="集計行","",データ!U177)</f>
        <v>0</v>
      </c>
      <c r="Y180" s="48">
        <f>データ!V177</f>
        <v>0</v>
      </c>
      <c r="Z180" s="39" t="str">
        <f>IF(OR($C180="総括",$C180="内訳書",$C180="内訳代価",$C180="明細書",$C180="明細代価",$C180="代価表",$C180="単価表"),データ!W177,"")</f>
        <v/>
      </c>
      <c r="AA180" s="11" t="str">
        <f t="shared" si="16"/>
        <v/>
      </c>
      <c r="AB180" s="46" t="e">
        <f t="shared" si="17"/>
        <v>#DIV/0!</v>
      </c>
      <c r="AC180" s="40" t="str">
        <f>IF(データ!X177="","",データ!X177)</f>
        <v/>
      </c>
      <c r="AD180" s="41" t="str">
        <f>IF(データ!Y177="","",データ!Y177)</f>
        <v/>
      </c>
      <c r="AE180" s="47" t="str">
        <f>TRIM(データ!B177)</f>
        <v>g20718107</v>
      </c>
      <c r="AF180" s="43" t="str">
        <f>TRIM(データ!Z177)</f>
        <v/>
      </c>
    </row>
    <row r="181" spans="1:32" x14ac:dyDescent="0.15">
      <c r="A181" s="47">
        <f>データ!A178</f>
        <v>1</v>
      </c>
      <c r="B181" s="47" t="str">
        <f>TRIM(データ!C178)</f>
        <v/>
      </c>
      <c r="C181" s="47" t="str">
        <f>TRIM(データ!D178)</f>
        <v>内訳書</v>
      </c>
      <c r="D181" s="36" t="str">
        <f>REPT("｜",$A181)&amp;TRIM(データ!E178)</f>
        <v>｜外注工2</v>
      </c>
      <c r="E181" s="37" t="str">
        <f>TRIM(データ!F178)</f>
        <v>稲垣建設</v>
      </c>
      <c r="F181" s="38" t="str">
        <f>TRIM(データ!G178)</f>
        <v>式</v>
      </c>
      <c r="G181" s="50">
        <f>データ!H178</f>
        <v>1</v>
      </c>
      <c r="H181" s="48">
        <f>データ!I178</f>
        <v>430000</v>
      </c>
      <c r="I181" s="48">
        <f>データ!J178</f>
        <v>430000</v>
      </c>
      <c r="J181" s="39">
        <f>IF(OR($C181="総括",$C181="内訳書",$C181="内訳代価",$C181="明細書",$C181="明細代価",$C181="代価表",$C181="単価表"),データ!K178,"")</f>
        <v>1</v>
      </c>
      <c r="K181" s="11" t="str">
        <f t="shared" si="12"/>
        <v/>
      </c>
      <c r="L181" s="46">
        <f t="shared" si="13"/>
        <v>2.0975609756097562E-2</v>
      </c>
      <c r="M181" s="40" t="str">
        <f>IF(データ!L178="","",データ!L178)</f>
        <v/>
      </c>
      <c r="N181" s="41" t="str">
        <f>IF(データ!M178="","",データ!M178)</f>
        <v>42号内訳書</v>
      </c>
      <c r="O181" s="42">
        <f>データ!N178</f>
        <v>0</v>
      </c>
      <c r="P181" s="48">
        <f>IF($C181="集計行","",データ!O178)</f>
        <v>0</v>
      </c>
      <c r="Q181" s="48">
        <f>データ!P178</f>
        <v>0</v>
      </c>
      <c r="R181" s="39">
        <f>IF(OR($C181="総括",$C181="内訳書",$C181="内訳代価",$C181="明細書",$C181="明細代価",$C181="代価表",$C181="単価表"),データ!Q178,"")</f>
        <v>0</v>
      </c>
      <c r="S181" s="11" t="str">
        <f t="shared" si="14"/>
        <v/>
      </c>
      <c r="T181" s="46" t="e">
        <f t="shared" si="15"/>
        <v>#DIV/0!</v>
      </c>
      <c r="U181" s="40" t="str">
        <f>IF(データ!R178="","",データ!R178)</f>
        <v/>
      </c>
      <c r="V181" s="41" t="str">
        <f>IF(データ!S178="","",データ!S178)</f>
        <v/>
      </c>
      <c r="W181" s="42">
        <f>データ!T178</f>
        <v>0</v>
      </c>
      <c r="X181" s="48">
        <f>IF($C181="集計行","",データ!U178)</f>
        <v>0</v>
      </c>
      <c r="Y181" s="48">
        <f>データ!V178</f>
        <v>0</v>
      </c>
      <c r="Z181" s="39">
        <f>IF(OR($C181="総括",$C181="内訳書",$C181="内訳代価",$C181="明細書",$C181="明細代価",$C181="代価表",$C181="単価表"),データ!W178,"")</f>
        <v>0</v>
      </c>
      <c r="AA181" s="11" t="str">
        <f t="shared" si="16"/>
        <v/>
      </c>
      <c r="AB181" s="46" t="e">
        <f t="shared" si="17"/>
        <v>#DIV/0!</v>
      </c>
      <c r="AC181" s="40" t="str">
        <f>IF(データ!X178="","",データ!X178)</f>
        <v/>
      </c>
      <c r="AD181" s="41" t="str">
        <f>IF(データ!Y178="","",データ!Y178)</f>
        <v/>
      </c>
      <c r="AE181" s="47" t="str">
        <f>TRIM(データ!B178)</f>
        <v/>
      </c>
      <c r="AF181" s="43" t="str">
        <f>TRIM(データ!Z178)</f>
        <v/>
      </c>
    </row>
    <row r="182" spans="1:32" x14ac:dyDescent="0.15">
      <c r="A182" s="47">
        <f>データ!A179</f>
        <v>2</v>
      </c>
      <c r="B182" s="47" t="str">
        <f>TRIM(データ!C179)</f>
        <v/>
      </c>
      <c r="C182" s="47" t="str">
        <f>TRIM(データ!D179)</f>
        <v>外注費</v>
      </c>
      <c r="D182" s="36" t="str">
        <f>REPT("｜",$A182)&amp;TRIM(データ!E179)</f>
        <v>｜｜法定福利費</v>
      </c>
      <c r="E182" s="37" t="str">
        <f>TRIM(データ!F179)</f>
        <v>労務費*16%</v>
      </c>
      <c r="F182" s="38" t="str">
        <f>TRIM(データ!G179)</f>
        <v>式</v>
      </c>
      <c r="G182" s="50">
        <f>データ!H179</f>
        <v>1</v>
      </c>
      <c r="H182" s="48">
        <f>データ!I179</f>
        <v>180000</v>
      </c>
      <c r="I182" s="48">
        <f>データ!J179</f>
        <v>180000</v>
      </c>
      <c r="J182" s="39" t="str">
        <f>IF(OR($C182="総括",$C182="内訳書",$C182="内訳代価",$C182="明細書",$C182="明細代価",$C182="代価表",$C182="単価表"),データ!K179,"")</f>
        <v/>
      </c>
      <c r="K182" s="11" t="str">
        <f t="shared" si="12"/>
        <v/>
      </c>
      <c r="L182" s="46">
        <f t="shared" si="13"/>
        <v>8.7804878048780496E-3</v>
      </c>
      <c r="M182" s="40" t="str">
        <f>IF(データ!L179="","",データ!L179)</f>
        <v/>
      </c>
      <c r="N182" s="41" t="str">
        <f>IF(データ!M179="","",データ!M179)</f>
        <v/>
      </c>
      <c r="O182" s="42">
        <f>データ!N179</f>
        <v>0</v>
      </c>
      <c r="P182" s="48">
        <f>IF($C182="集計行","",データ!O179)</f>
        <v>0</v>
      </c>
      <c r="Q182" s="48">
        <f>データ!P179</f>
        <v>0</v>
      </c>
      <c r="R182" s="39" t="str">
        <f>IF(OR($C182="総括",$C182="内訳書",$C182="内訳代価",$C182="明細書",$C182="明細代価",$C182="代価表",$C182="単価表"),データ!Q179,"")</f>
        <v/>
      </c>
      <c r="S182" s="11" t="str">
        <f t="shared" si="14"/>
        <v/>
      </c>
      <c r="T182" s="46" t="e">
        <f t="shared" si="15"/>
        <v>#DIV/0!</v>
      </c>
      <c r="U182" s="40" t="str">
        <f>IF(データ!R179="","",データ!R179)</f>
        <v/>
      </c>
      <c r="V182" s="41" t="str">
        <f>IF(データ!S179="","",データ!S179)</f>
        <v/>
      </c>
      <c r="W182" s="42">
        <f>データ!T179</f>
        <v>0</v>
      </c>
      <c r="X182" s="48">
        <f>IF($C182="集計行","",データ!U179)</f>
        <v>0</v>
      </c>
      <c r="Y182" s="48">
        <f>データ!V179</f>
        <v>0</v>
      </c>
      <c r="Z182" s="39" t="str">
        <f>IF(OR($C182="総括",$C182="内訳書",$C182="内訳代価",$C182="明細書",$C182="明細代価",$C182="代価表",$C182="単価表"),データ!W179,"")</f>
        <v/>
      </c>
      <c r="AA182" s="11" t="str">
        <f t="shared" si="16"/>
        <v/>
      </c>
      <c r="AB182" s="46" t="e">
        <f t="shared" si="17"/>
        <v>#DIV/0!</v>
      </c>
      <c r="AC182" s="40" t="str">
        <f>IF(データ!X179="","",データ!X179)</f>
        <v/>
      </c>
      <c r="AD182" s="41" t="str">
        <f>IF(データ!Y179="","",データ!Y179)</f>
        <v/>
      </c>
      <c r="AE182" s="47" t="str">
        <f>TRIM(データ!B179)</f>
        <v>g20718106</v>
      </c>
      <c r="AF182" s="43" t="str">
        <f>TRIM(データ!Z179)</f>
        <v/>
      </c>
    </row>
    <row r="183" spans="1:32" x14ac:dyDescent="0.15">
      <c r="A183" s="47">
        <f>データ!A180</f>
        <v>2</v>
      </c>
      <c r="B183" s="47" t="str">
        <f>TRIM(データ!C180)</f>
        <v/>
      </c>
      <c r="C183" s="47" t="str">
        <f>TRIM(データ!D180)</f>
        <v>外注費</v>
      </c>
      <c r="D183" s="36" t="str">
        <f>REPT("｜",$A183)&amp;TRIM(データ!E180)</f>
        <v>｜｜外注経費</v>
      </c>
      <c r="E183" s="37" t="str">
        <f>TRIM(データ!F180)</f>
        <v>材工8％</v>
      </c>
      <c r="F183" s="38" t="str">
        <f>TRIM(データ!G180)</f>
        <v>式</v>
      </c>
      <c r="G183" s="50">
        <f>データ!H180</f>
        <v>1</v>
      </c>
      <c r="H183" s="48">
        <f>データ!I180</f>
        <v>250000</v>
      </c>
      <c r="I183" s="48">
        <f>データ!J180</f>
        <v>250000</v>
      </c>
      <c r="J183" s="39" t="str">
        <f>IF(OR($C183="総括",$C183="内訳書",$C183="内訳代価",$C183="明細書",$C183="明細代価",$C183="代価表",$C183="単価表"),データ!K180,"")</f>
        <v/>
      </c>
      <c r="K183" s="11" t="str">
        <f t="shared" si="12"/>
        <v/>
      </c>
      <c r="L183" s="46">
        <f t="shared" si="13"/>
        <v>1.2195121951219513E-2</v>
      </c>
      <c r="M183" s="40" t="str">
        <f>IF(データ!L180="","",データ!L180)</f>
        <v/>
      </c>
      <c r="N183" s="41" t="str">
        <f>IF(データ!M180="","",データ!M180)</f>
        <v/>
      </c>
      <c r="O183" s="42">
        <f>データ!N180</f>
        <v>0</v>
      </c>
      <c r="P183" s="48">
        <f>IF($C183="集計行","",データ!O180)</f>
        <v>0</v>
      </c>
      <c r="Q183" s="48">
        <f>データ!P180</f>
        <v>0</v>
      </c>
      <c r="R183" s="39" t="str">
        <f>IF(OR($C183="総括",$C183="内訳書",$C183="内訳代価",$C183="明細書",$C183="明細代価",$C183="代価表",$C183="単価表"),データ!Q180,"")</f>
        <v/>
      </c>
      <c r="S183" s="11" t="str">
        <f t="shared" si="14"/>
        <v/>
      </c>
      <c r="T183" s="46" t="e">
        <f t="shared" si="15"/>
        <v>#DIV/0!</v>
      </c>
      <c r="U183" s="40" t="str">
        <f>IF(データ!R180="","",データ!R180)</f>
        <v/>
      </c>
      <c r="V183" s="41" t="str">
        <f>IF(データ!S180="","",データ!S180)</f>
        <v/>
      </c>
      <c r="W183" s="42">
        <f>データ!T180</f>
        <v>0</v>
      </c>
      <c r="X183" s="48">
        <f>IF($C183="集計行","",データ!U180)</f>
        <v>0</v>
      </c>
      <c r="Y183" s="48">
        <f>データ!V180</f>
        <v>0</v>
      </c>
      <c r="Z183" s="39" t="str">
        <f>IF(OR($C183="総括",$C183="内訳書",$C183="内訳代価",$C183="明細書",$C183="明細代価",$C183="代価表",$C183="単価表"),データ!W180,"")</f>
        <v/>
      </c>
      <c r="AA183" s="11" t="str">
        <f t="shared" si="16"/>
        <v/>
      </c>
      <c r="AB183" s="46" t="e">
        <f t="shared" si="17"/>
        <v>#DIV/0!</v>
      </c>
      <c r="AC183" s="40" t="str">
        <f>IF(データ!X180="","",データ!X180)</f>
        <v/>
      </c>
      <c r="AD183" s="41" t="str">
        <f>IF(データ!Y180="","",データ!Y180)</f>
        <v/>
      </c>
      <c r="AE183" s="47" t="str">
        <f>TRIM(データ!B180)</f>
        <v>g20718107</v>
      </c>
      <c r="AF183" s="43" t="str">
        <f>TRIM(データ!Z180)</f>
        <v/>
      </c>
    </row>
    <row r="184" spans="1:32" x14ac:dyDescent="0.15">
      <c r="A184" s="47">
        <f>データ!A181</f>
        <v>1</v>
      </c>
      <c r="B184" s="47" t="str">
        <f>TRIM(データ!C181)</f>
        <v/>
      </c>
      <c r="C184" s="47" t="str">
        <f>TRIM(データ!D181)</f>
        <v>内訳書</v>
      </c>
      <c r="D184" s="36" t="str">
        <f>REPT("｜",$A184)&amp;TRIM(データ!E181)</f>
        <v>｜元請け相殺</v>
      </c>
      <c r="E184" s="37" t="str">
        <f>TRIM(データ!F181)</f>
        <v>材料・機械</v>
      </c>
      <c r="F184" s="38" t="str">
        <f>TRIM(データ!G181)</f>
        <v>式</v>
      </c>
      <c r="G184" s="50">
        <f>データ!H181</f>
        <v>1</v>
      </c>
      <c r="H184" s="48">
        <f>データ!I181</f>
        <v>3029480</v>
      </c>
      <c r="I184" s="48">
        <f>データ!J181</f>
        <v>3029480</v>
      </c>
      <c r="J184" s="39">
        <f>IF(OR($C184="総括",$C184="内訳書",$C184="内訳代価",$C184="明細書",$C184="明細代価",$C184="代価表",$C184="単価表"),データ!K181,"")</f>
        <v>1</v>
      </c>
      <c r="K184" s="11" t="str">
        <f t="shared" si="12"/>
        <v/>
      </c>
      <c r="L184" s="46">
        <f t="shared" si="13"/>
        <v>0.14777951219512195</v>
      </c>
      <c r="M184" s="40" t="str">
        <f>IF(データ!L181="","",データ!L181)</f>
        <v/>
      </c>
      <c r="N184" s="41" t="str">
        <f>IF(データ!M181="","",データ!M181)</f>
        <v>55号内訳書</v>
      </c>
      <c r="O184" s="42">
        <f>データ!N181</f>
        <v>0</v>
      </c>
      <c r="P184" s="48">
        <f>IF($C184="集計行","",データ!O181)</f>
        <v>0</v>
      </c>
      <c r="Q184" s="48">
        <f>データ!P181</f>
        <v>0</v>
      </c>
      <c r="R184" s="39">
        <f>IF(OR($C184="総括",$C184="内訳書",$C184="内訳代価",$C184="明細書",$C184="明細代価",$C184="代価表",$C184="単価表"),データ!Q181,"")</f>
        <v>0</v>
      </c>
      <c r="S184" s="11" t="str">
        <f t="shared" si="14"/>
        <v/>
      </c>
      <c r="T184" s="46" t="e">
        <f t="shared" si="15"/>
        <v>#DIV/0!</v>
      </c>
      <c r="U184" s="40" t="str">
        <f>IF(データ!R181="","",データ!R181)</f>
        <v/>
      </c>
      <c r="V184" s="41" t="str">
        <f>IF(データ!S181="","",データ!S181)</f>
        <v/>
      </c>
      <c r="W184" s="42">
        <f>データ!T181</f>
        <v>0</v>
      </c>
      <c r="X184" s="48">
        <f>IF($C184="集計行","",データ!U181)</f>
        <v>0</v>
      </c>
      <c r="Y184" s="48">
        <f>データ!V181</f>
        <v>0</v>
      </c>
      <c r="Z184" s="39">
        <f>IF(OR($C184="総括",$C184="内訳書",$C184="内訳代価",$C184="明細書",$C184="明細代価",$C184="代価表",$C184="単価表"),データ!W181,"")</f>
        <v>0</v>
      </c>
      <c r="AA184" s="11" t="str">
        <f t="shared" si="16"/>
        <v/>
      </c>
      <c r="AB184" s="46" t="e">
        <f t="shared" si="17"/>
        <v>#DIV/0!</v>
      </c>
      <c r="AC184" s="40" t="str">
        <f>IF(データ!X181="","",データ!X181)</f>
        <v/>
      </c>
      <c r="AD184" s="41" t="str">
        <f>IF(データ!Y181="","",データ!Y181)</f>
        <v/>
      </c>
      <c r="AE184" s="47" t="str">
        <f>TRIM(データ!B181)</f>
        <v/>
      </c>
      <c r="AF184" s="43" t="str">
        <f>TRIM(データ!Z181)</f>
        <v/>
      </c>
    </row>
    <row r="185" spans="1:32" x14ac:dyDescent="0.15">
      <c r="A185" s="47">
        <f>データ!A182</f>
        <v>2</v>
      </c>
      <c r="B185" s="47" t="str">
        <f>TRIM(データ!C182)</f>
        <v/>
      </c>
      <c r="C185" s="47" t="str">
        <f>TRIM(データ!D182)</f>
        <v>材料費</v>
      </c>
      <c r="D185" s="36" t="str">
        <f>REPT("｜",$A185)&amp;TRIM(データ!E182)</f>
        <v>｜｜割ぐり石</v>
      </c>
      <c r="E185" s="37" t="str">
        <f>TRIM(データ!F182)</f>
        <v>50-150mm</v>
      </c>
      <c r="F185" s="38" t="str">
        <f>TRIM(データ!G182)</f>
        <v>m3</v>
      </c>
      <c r="G185" s="50">
        <f>データ!H182</f>
        <v>98.5</v>
      </c>
      <c r="H185" s="48">
        <f>データ!I182</f>
        <v>6500</v>
      </c>
      <c r="I185" s="48">
        <f>データ!J182</f>
        <v>640250</v>
      </c>
      <c r="J185" s="39" t="str">
        <f>IF(OR($C185="総括",$C185="内訳書",$C185="内訳代価",$C185="明細書",$C185="明細代価",$C185="代価表",$C185="単価表"),データ!K182,"")</f>
        <v/>
      </c>
      <c r="K185" s="11" t="str">
        <f t="shared" si="12"/>
        <v/>
      </c>
      <c r="L185" s="46">
        <f t="shared" si="13"/>
        <v>3.1231707317073171E-2</v>
      </c>
      <c r="M185" s="40" t="str">
        <f>IF(データ!L182="","",データ!L182)</f>
        <v/>
      </c>
      <c r="N185" s="41" t="str">
        <f>IF(データ!M182="","",データ!M182)</f>
        <v/>
      </c>
      <c r="O185" s="42">
        <f>データ!N182</f>
        <v>0</v>
      </c>
      <c r="P185" s="48">
        <f>IF($C185="集計行","",データ!O182)</f>
        <v>0</v>
      </c>
      <c r="Q185" s="48">
        <f>データ!P182</f>
        <v>0</v>
      </c>
      <c r="R185" s="39" t="str">
        <f>IF(OR($C185="総括",$C185="内訳書",$C185="内訳代価",$C185="明細書",$C185="明細代価",$C185="代価表",$C185="単価表"),データ!Q182,"")</f>
        <v/>
      </c>
      <c r="S185" s="11" t="str">
        <f t="shared" si="14"/>
        <v/>
      </c>
      <c r="T185" s="46" t="e">
        <f t="shared" si="15"/>
        <v>#DIV/0!</v>
      </c>
      <c r="U185" s="40" t="str">
        <f>IF(データ!R182="","",データ!R182)</f>
        <v/>
      </c>
      <c r="V185" s="41" t="str">
        <f>IF(データ!S182="","",データ!S182)</f>
        <v/>
      </c>
      <c r="W185" s="42">
        <f>データ!T182</f>
        <v>0</v>
      </c>
      <c r="X185" s="48">
        <f>IF($C185="集計行","",データ!U182)</f>
        <v>0</v>
      </c>
      <c r="Y185" s="48">
        <f>データ!V182</f>
        <v>0</v>
      </c>
      <c r="Z185" s="39" t="str">
        <f>IF(OR($C185="総括",$C185="内訳書",$C185="内訳代価",$C185="明細書",$C185="明細代価",$C185="代価表",$C185="単価表"),データ!W182,"")</f>
        <v/>
      </c>
      <c r="AA185" s="11" t="str">
        <f t="shared" si="16"/>
        <v/>
      </c>
      <c r="AB185" s="46" t="e">
        <f t="shared" si="17"/>
        <v>#DIV/0!</v>
      </c>
      <c r="AC185" s="40" t="str">
        <f>IF(データ!X182="","",データ!X182)</f>
        <v/>
      </c>
      <c r="AD185" s="41" t="str">
        <f>IF(データ!Y182="","",データ!Y182)</f>
        <v/>
      </c>
      <c r="AE185" s="47" t="str">
        <f>TRIM(データ!B182)</f>
        <v>s20718029</v>
      </c>
      <c r="AF185" s="43" t="str">
        <f>TRIM(データ!Z182)</f>
        <v/>
      </c>
    </row>
    <row r="186" spans="1:32" x14ac:dyDescent="0.15">
      <c r="A186" s="47">
        <f>データ!A183</f>
        <v>2</v>
      </c>
      <c r="B186" s="47" t="str">
        <f>TRIM(データ!C183)</f>
        <v/>
      </c>
      <c r="C186" s="47" t="str">
        <f>TRIM(データ!D183)</f>
        <v>材料費</v>
      </c>
      <c r="D186" s="36" t="str">
        <f>REPT("｜",$A186)&amp;TRIM(データ!E183)</f>
        <v>｜｜ボトルユニット</v>
      </c>
      <c r="E186" s="37" t="str">
        <f>TRIM(データ!F183)</f>
        <v/>
      </c>
      <c r="F186" s="38" t="str">
        <f>TRIM(データ!G183)</f>
        <v>袋</v>
      </c>
      <c r="G186" s="50">
        <f>データ!H183</f>
        <v>80</v>
      </c>
      <c r="H186" s="48">
        <f>データ!I183</f>
        <v>6900</v>
      </c>
      <c r="I186" s="48">
        <f>データ!J183</f>
        <v>552000</v>
      </c>
      <c r="J186" s="39" t="str">
        <f>IF(OR($C186="総括",$C186="内訳書",$C186="内訳代価",$C186="明細書",$C186="明細代価",$C186="代価表",$C186="単価表"),データ!K183,"")</f>
        <v/>
      </c>
      <c r="K186" s="11" t="str">
        <f t="shared" si="12"/>
        <v/>
      </c>
      <c r="L186" s="46">
        <f t="shared" si="13"/>
        <v>2.6926829268292683E-2</v>
      </c>
      <c r="M186" s="40" t="str">
        <f>IF(データ!L183="","",データ!L183)</f>
        <v/>
      </c>
      <c r="N186" s="41" t="str">
        <f>IF(データ!M183="","",データ!M183)</f>
        <v/>
      </c>
      <c r="O186" s="42">
        <f>データ!N183</f>
        <v>0</v>
      </c>
      <c r="P186" s="48">
        <f>IF($C186="集計行","",データ!O183)</f>
        <v>0</v>
      </c>
      <c r="Q186" s="48">
        <f>データ!P183</f>
        <v>0</v>
      </c>
      <c r="R186" s="39" t="str">
        <f>IF(OR($C186="総括",$C186="内訳書",$C186="内訳代価",$C186="明細書",$C186="明細代価",$C186="代価表",$C186="単価表"),データ!Q183,"")</f>
        <v/>
      </c>
      <c r="S186" s="11" t="str">
        <f t="shared" si="14"/>
        <v/>
      </c>
      <c r="T186" s="46" t="e">
        <f t="shared" si="15"/>
        <v>#DIV/0!</v>
      </c>
      <c r="U186" s="40" t="str">
        <f>IF(データ!R183="","",データ!R183)</f>
        <v/>
      </c>
      <c r="V186" s="41" t="str">
        <f>IF(データ!S183="","",データ!S183)</f>
        <v/>
      </c>
      <c r="W186" s="42">
        <f>データ!T183</f>
        <v>0</v>
      </c>
      <c r="X186" s="48">
        <f>IF($C186="集計行","",データ!U183)</f>
        <v>0</v>
      </c>
      <c r="Y186" s="48">
        <f>データ!V183</f>
        <v>0</v>
      </c>
      <c r="Z186" s="39" t="str">
        <f>IF(OR($C186="総括",$C186="内訳書",$C186="内訳代価",$C186="明細書",$C186="明細代価",$C186="代価表",$C186="単価表"),データ!W183,"")</f>
        <v/>
      </c>
      <c r="AA186" s="11" t="str">
        <f t="shared" si="16"/>
        <v/>
      </c>
      <c r="AB186" s="46" t="e">
        <f t="shared" si="17"/>
        <v>#DIV/0!</v>
      </c>
      <c r="AC186" s="40" t="str">
        <f>IF(データ!X183="","",データ!X183)</f>
        <v/>
      </c>
      <c r="AD186" s="41" t="str">
        <f>IF(データ!Y183="","",データ!Y183)</f>
        <v/>
      </c>
      <c r="AE186" s="47" t="str">
        <f>TRIM(データ!B183)</f>
        <v/>
      </c>
      <c r="AF186" s="43" t="str">
        <f>TRIM(データ!Z183)</f>
        <v/>
      </c>
    </row>
    <row r="187" spans="1:32" x14ac:dyDescent="0.15">
      <c r="A187" s="47">
        <f>データ!A184</f>
        <v>2</v>
      </c>
      <c r="B187" s="47" t="str">
        <f>TRIM(データ!C184)</f>
        <v/>
      </c>
      <c r="C187" s="47" t="str">
        <f>TRIM(データ!D184)</f>
        <v>材料費</v>
      </c>
      <c r="D187" s="36" t="str">
        <f>REPT("｜",$A187)&amp;TRIM(データ!E184)</f>
        <v>｜｜納入運賃</v>
      </c>
      <c r="E187" s="37" t="str">
        <f>TRIM(データ!F184)</f>
        <v/>
      </c>
      <c r="F187" s="38" t="str">
        <f>TRIM(データ!G184)</f>
        <v>回</v>
      </c>
      <c r="G187" s="50">
        <f>データ!H184</f>
        <v>2</v>
      </c>
      <c r="H187" s="48">
        <f>データ!I184</f>
        <v>16850</v>
      </c>
      <c r="I187" s="48">
        <f>データ!J184</f>
        <v>33700</v>
      </c>
      <c r="J187" s="39" t="str">
        <f>IF(OR($C187="総括",$C187="内訳書",$C187="内訳代価",$C187="明細書",$C187="明細代価",$C187="代価表",$C187="単価表"),データ!K184,"")</f>
        <v/>
      </c>
      <c r="K187" s="11" t="str">
        <f t="shared" si="12"/>
        <v/>
      </c>
      <c r="L187" s="46">
        <f t="shared" si="13"/>
        <v>1.6439024390243902E-3</v>
      </c>
      <c r="M187" s="40" t="str">
        <f>IF(データ!L184="","",データ!L184)</f>
        <v/>
      </c>
      <c r="N187" s="41" t="str">
        <f>IF(データ!M184="","",データ!M184)</f>
        <v/>
      </c>
      <c r="O187" s="42">
        <f>データ!N184</f>
        <v>0</v>
      </c>
      <c r="P187" s="48">
        <f>IF($C187="集計行","",データ!O184)</f>
        <v>0</v>
      </c>
      <c r="Q187" s="48">
        <f>データ!P184</f>
        <v>0</v>
      </c>
      <c r="R187" s="39" t="str">
        <f>IF(OR($C187="総括",$C187="内訳書",$C187="内訳代価",$C187="明細書",$C187="明細代価",$C187="代価表",$C187="単価表"),データ!Q184,"")</f>
        <v/>
      </c>
      <c r="S187" s="11" t="str">
        <f t="shared" si="14"/>
        <v/>
      </c>
      <c r="T187" s="46" t="e">
        <f t="shared" si="15"/>
        <v>#DIV/0!</v>
      </c>
      <c r="U187" s="40" t="str">
        <f>IF(データ!R184="","",データ!R184)</f>
        <v/>
      </c>
      <c r="V187" s="41" t="str">
        <f>IF(データ!S184="","",データ!S184)</f>
        <v/>
      </c>
      <c r="W187" s="42">
        <f>データ!T184</f>
        <v>0</v>
      </c>
      <c r="X187" s="48">
        <f>IF($C187="集計行","",データ!U184)</f>
        <v>0</v>
      </c>
      <c r="Y187" s="48">
        <f>データ!V184</f>
        <v>0</v>
      </c>
      <c r="Z187" s="39" t="str">
        <f>IF(OR($C187="総括",$C187="内訳書",$C187="内訳代価",$C187="明細書",$C187="明細代価",$C187="代価表",$C187="単価表"),データ!W184,"")</f>
        <v/>
      </c>
      <c r="AA187" s="11" t="str">
        <f t="shared" si="16"/>
        <v/>
      </c>
      <c r="AB187" s="46" t="e">
        <f t="shared" si="17"/>
        <v>#DIV/0!</v>
      </c>
      <c r="AC187" s="40" t="str">
        <f>IF(データ!X184="","",データ!X184)</f>
        <v/>
      </c>
      <c r="AD187" s="41" t="str">
        <f>IF(データ!Y184="","",データ!Y184)</f>
        <v/>
      </c>
      <c r="AE187" s="47" t="str">
        <f>TRIM(データ!B184)</f>
        <v/>
      </c>
      <c r="AF187" s="43" t="str">
        <f>TRIM(データ!Z184)</f>
        <v/>
      </c>
    </row>
    <row r="188" spans="1:32" x14ac:dyDescent="0.15">
      <c r="A188" s="47">
        <f>データ!A185</f>
        <v>2</v>
      </c>
      <c r="B188" s="47" t="str">
        <f>TRIM(データ!C185)</f>
        <v/>
      </c>
      <c r="C188" s="47" t="str">
        <f>TRIM(データ!D185)</f>
        <v>材料費</v>
      </c>
      <c r="D188" s="36" t="str">
        <f>REPT("｜",$A188)&amp;TRIM(データ!E185)</f>
        <v>｜｜型枠</v>
      </c>
      <c r="E188" s="37" t="str">
        <f>TRIM(データ!F185)</f>
        <v/>
      </c>
      <c r="F188" s="38" t="str">
        <f>TRIM(データ!G185)</f>
        <v>式</v>
      </c>
      <c r="G188" s="50">
        <f>データ!H185</f>
        <v>1</v>
      </c>
      <c r="H188" s="48">
        <f>データ!I185</f>
        <v>20000</v>
      </c>
      <c r="I188" s="48">
        <f>データ!J185</f>
        <v>20000</v>
      </c>
      <c r="J188" s="39" t="str">
        <f>IF(OR($C188="総括",$C188="内訳書",$C188="内訳代価",$C188="明細書",$C188="明細代価",$C188="代価表",$C188="単価表"),データ!K185,"")</f>
        <v/>
      </c>
      <c r="K188" s="11" t="str">
        <f t="shared" si="12"/>
        <v/>
      </c>
      <c r="L188" s="46">
        <f t="shared" si="13"/>
        <v>9.7560975609756097E-4</v>
      </c>
      <c r="M188" s="40" t="str">
        <f>IF(データ!L185="","",データ!L185)</f>
        <v/>
      </c>
      <c r="N188" s="41" t="str">
        <f>IF(データ!M185="","",データ!M185)</f>
        <v/>
      </c>
      <c r="O188" s="42">
        <f>データ!N185</f>
        <v>0</v>
      </c>
      <c r="P188" s="48">
        <f>IF($C188="集計行","",データ!O185)</f>
        <v>0</v>
      </c>
      <c r="Q188" s="48">
        <f>データ!P185</f>
        <v>0</v>
      </c>
      <c r="R188" s="39" t="str">
        <f>IF(OR($C188="総括",$C188="内訳書",$C188="内訳代価",$C188="明細書",$C188="明細代価",$C188="代価表",$C188="単価表"),データ!Q185,"")</f>
        <v/>
      </c>
      <c r="S188" s="11" t="str">
        <f t="shared" si="14"/>
        <v/>
      </c>
      <c r="T188" s="46" t="e">
        <f t="shared" si="15"/>
        <v>#DIV/0!</v>
      </c>
      <c r="U188" s="40" t="str">
        <f>IF(データ!R185="","",データ!R185)</f>
        <v/>
      </c>
      <c r="V188" s="41" t="str">
        <f>IF(データ!S185="","",データ!S185)</f>
        <v/>
      </c>
      <c r="W188" s="42">
        <f>データ!T185</f>
        <v>0</v>
      </c>
      <c r="X188" s="48">
        <f>IF($C188="集計行","",データ!U185)</f>
        <v>0</v>
      </c>
      <c r="Y188" s="48">
        <f>データ!V185</f>
        <v>0</v>
      </c>
      <c r="Z188" s="39" t="str">
        <f>IF(OR($C188="総括",$C188="内訳書",$C188="内訳代価",$C188="明細書",$C188="明細代価",$C188="代価表",$C188="単価表"),データ!W185,"")</f>
        <v/>
      </c>
      <c r="AA188" s="11" t="str">
        <f t="shared" si="16"/>
        <v/>
      </c>
      <c r="AB188" s="46" t="e">
        <f t="shared" si="17"/>
        <v>#DIV/0!</v>
      </c>
      <c r="AC188" s="40" t="str">
        <f>IF(データ!X185="","",データ!X185)</f>
        <v/>
      </c>
      <c r="AD188" s="41" t="str">
        <f>IF(データ!Y185="","",データ!Y185)</f>
        <v/>
      </c>
      <c r="AE188" s="47" t="str">
        <f>TRIM(データ!B185)</f>
        <v/>
      </c>
      <c r="AF188" s="43" t="str">
        <f>TRIM(データ!Z185)</f>
        <v/>
      </c>
    </row>
    <row r="189" spans="1:32" x14ac:dyDescent="0.15">
      <c r="A189" s="47">
        <f>データ!A186</f>
        <v>2</v>
      </c>
      <c r="B189" s="47" t="str">
        <f>TRIM(データ!C186)</f>
        <v/>
      </c>
      <c r="C189" s="47" t="str">
        <f>TRIM(データ!D186)</f>
        <v>材料費</v>
      </c>
      <c r="D189" s="36" t="str">
        <f>REPT("｜",$A189)&amp;TRIM(データ!E186)</f>
        <v>｜｜大型土嚢</v>
      </c>
      <c r="E189" s="37" t="str">
        <f>TRIM(データ!F186)</f>
        <v>ﾉｰﾏﾙ</v>
      </c>
      <c r="F189" s="38" t="str">
        <f>TRIM(データ!G186)</f>
        <v>袋</v>
      </c>
      <c r="G189" s="50">
        <f>データ!H186</f>
        <v>160</v>
      </c>
      <c r="H189" s="48">
        <f>データ!I186</f>
        <v>750</v>
      </c>
      <c r="I189" s="48">
        <f>データ!J186</f>
        <v>120000</v>
      </c>
      <c r="J189" s="39" t="str">
        <f>IF(OR($C189="総括",$C189="内訳書",$C189="内訳代価",$C189="明細書",$C189="明細代価",$C189="代価表",$C189="単価表"),データ!K186,"")</f>
        <v/>
      </c>
      <c r="K189" s="11" t="str">
        <f t="shared" si="12"/>
        <v/>
      </c>
      <c r="L189" s="46">
        <f t="shared" si="13"/>
        <v>5.8536585365853658E-3</v>
      </c>
      <c r="M189" s="40" t="str">
        <f>IF(データ!L186="","",データ!L186)</f>
        <v/>
      </c>
      <c r="N189" s="41" t="str">
        <f>IF(データ!M186="","",データ!M186)</f>
        <v/>
      </c>
      <c r="O189" s="42">
        <f>データ!N186</f>
        <v>0</v>
      </c>
      <c r="P189" s="48">
        <f>IF($C189="集計行","",データ!O186)</f>
        <v>0</v>
      </c>
      <c r="Q189" s="48">
        <f>データ!P186</f>
        <v>0</v>
      </c>
      <c r="R189" s="39" t="str">
        <f>IF(OR($C189="総括",$C189="内訳書",$C189="内訳代価",$C189="明細書",$C189="明細代価",$C189="代価表",$C189="単価表"),データ!Q186,"")</f>
        <v/>
      </c>
      <c r="S189" s="11" t="str">
        <f t="shared" si="14"/>
        <v/>
      </c>
      <c r="T189" s="46" t="e">
        <f t="shared" si="15"/>
        <v>#DIV/0!</v>
      </c>
      <c r="U189" s="40" t="str">
        <f>IF(データ!R186="","",データ!R186)</f>
        <v/>
      </c>
      <c r="V189" s="41" t="str">
        <f>IF(データ!S186="","",データ!S186)</f>
        <v/>
      </c>
      <c r="W189" s="42">
        <f>データ!T186</f>
        <v>0</v>
      </c>
      <c r="X189" s="48">
        <f>IF($C189="集計行","",データ!U186)</f>
        <v>0</v>
      </c>
      <c r="Y189" s="48">
        <f>データ!V186</f>
        <v>0</v>
      </c>
      <c r="Z189" s="39" t="str">
        <f>IF(OR($C189="総括",$C189="内訳書",$C189="内訳代価",$C189="明細書",$C189="明細代価",$C189="代価表",$C189="単価表"),データ!W186,"")</f>
        <v/>
      </c>
      <c r="AA189" s="11" t="str">
        <f t="shared" si="16"/>
        <v/>
      </c>
      <c r="AB189" s="46" t="e">
        <f t="shared" si="17"/>
        <v>#DIV/0!</v>
      </c>
      <c r="AC189" s="40" t="str">
        <f>IF(データ!X186="","",データ!X186)</f>
        <v/>
      </c>
      <c r="AD189" s="41" t="str">
        <f>IF(データ!Y186="","",データ!Y186)</f>
        <v/>
      </c>
      <c r="AE189" s="47" t="str">
        <f>TRIM(データ!B186)</f>
        <v>s20718545</v>
      </c>
      <c r="AF189" s="43" t="str">
        <f>TRIM(データ!Z186)</f>
        <v/>
      </c>
    </row>
    <row r="190" spans="1:32" x14ac:dyDescent="0.15">
      <c r="A190" s="47">
        <f>データ!A187</f>
        <v>2</v>
      </c>
      <c r="B190" s="47" t="str">
        <f>TRIM(データ!C187)</f>
        <v/>
      </c>
      <c r="C190" s="47" t="str">
        <f>TRIM(データ!D187)</f>
        <v>材料費</v>
      </c>
      <c r="D190" s="36" t="str">
        <f>REPT("｜",$A190)&amp;TRIM(データ!E187)</f>
        <v>｜｜敷鉄板</v>
      </c>
      <c r="E190" s="37" t="str">
        <f>TRIM(データ!F187)</f>
        <v/>
      </c>
      <c r="F190" s="38" t="str">
        <f>TRIM(データ!G187)</f>
        <v>式</v>
      </c>
      <c r="G190" s="50">
        <f>データ!H187</f>
        <v>1</v>
      </c>
      <c r="H190" s="48">
        <f>データ!I187</f>
        <v>540000</v>
      </c>
      <c r="I190" s="48">
        <f>データ!J187</f>
        <v>540000</v>
      </c>
      <c r="J190" s="39" t="str">
        <f>IF(OR($C190="総括",$C190="内訳書",$C190="内訳代価",$C190="明細書",$C190="明細代価",$C190="代価表",$C190="単価表"),データ!K187,"")</f>
        <v/>
      </c>
      <c r="K190" s="11" t="str">
        <f t="shared" si="12"/>
        <v/>
      </c>
      <c r="L190" s="46">
        <f t="shared" si="13"/>
        <v>2.6341463414634145E-2</v>
      </c>
      <c r="M190" s="40" t="str">
        <f>IF(データ!L187="","",データ!L187)</f>
        <v/>
      </c>
      <c r="N190" s="41" t="str">
        <f>IF(データ!M187="","",データ!M187)</f>
        <v/>
      </c>
      <c r="O190" s="42">
        <f>データ!N187</f>
        <v>0</v>
      </c>
      <c r="P190" s="48">
        <f>IF($C190="集計行","",データ!O187)</f>
        <v>0</v>
      </c>
      <c r="Q190" s="48">
        <f>データ!P187</f>
        <v>0</v>
      </c>
      <c r="R190" s="39" t="str">
        <f>IF(OR($C190="総括",$C190="内訳書",$C190="内訳代価",$C190="明細書",$C190="明細代価",$C190="代価表",$C190="単価表"),データ!Q187,"")</f>
        <v/>
      </c>
      <c r="S190" s="11" t="str">
        <f t="shared" si="14"/>
        <v/>
      </c>
      <c r="T190" s="46" t="e">
        <f t="shared" si="15"/>
        <v>#DIV/0!</v>
      </c>
      <c r="U190" s="40" t="str">
        <f>IF(データ!R187="","",データ!R187)</f>
        <v/>
      </c>
      <c r="V190" s="41" t="str">
        <f>IF(データ!S187="","",データ!S187)</f>
        <v/>
      </c>
      <c r="W190" s="42">
        <f>データ!T187</f>
        <v>0</v>
      </c>
      <c r="X190" s="48">
        <f>IF($C190="集計行","",データ!U187)</f>
        <v>0</v>
      </c>
      <c r="Y190" s="48">
        <f>データ!V187</f>
        <v>0</v>
      </c>
      <c r="Z190" s="39" t="str">
        <f>IF(OR($C190="総括",$C190="内訳書",$C190="内訳代価",$C190="明細書",$C190="明細代価",$C190="代価表",$C190="単価表"),データ!W187,"")</f>
        <v/>
      </c>
      <c r="AA190" s="11" t="str">
        <f t="shared" si="16"/>
        <v/>
      </c>
      <c r="AB190" s="46" t="e">
        <f t="shared" si="17"/>
        <v>#DIV/0!</v>
      </c>
      <c r="AC190" s="40" t="str">
        <f>IF(データ!X187="","",データ!X187)</f>
        <v/>
      </c>
      <c r="AD190" s="41" t="str">
        <f>IF(データ!Y187="","",データ!Y187)</f>
        <v/>
      </c>
      <c r="AE190" s="47" t="str">
        <f>TRIM(データ!B187)</f>
        <v/>
      </c>
      <c r="AF190" s="43" t="str">
        <f>TRIM(データ!Z187)</f>
        <v/>
      </c>
    </row>
    <row r="191" spans="1:32" x14ac:dyDescent="0.15">
      <c r="A191" s="47">
        <f>データ!A188</f>
        <v>2</v>
      </c>
      <c r="B191" s="47" t="str">
        <f>TRIM(データ!C188)</f>
        <v/>
      </c>
      <c r="C191" s="47" t="str">
        <f>TRIM(データ!D188)</f>
        <v>材料費</v>
      </c>
      <c r="D191" s="36" t="str">
        <f>REPT("｜",$A191)&amp;TRIM(データ!E188)</f>
        <v>｜｜産業廃棄物処理</v>
      </c>
      <c r="E191" s="37" t="str">
        <f>TRIM(データ!F188)</f>
        <v/>
      </c>
      <c r="F191" s="38" t="str">
        <f>TRIM(データ!G188)</f>
        <v>式</v>
      </c>
      <c r="G191" s="50">
        <f>データ!H188</f>
        <v>1</v>
      </c>
      <c r="H191" s="48">
        <f>データ!I188</f>
        <v>25800</v>
      </c>
      <c r="I191" s="48">
        <f>データ!J188</f>
        <v>25800</v>
      </c>
      <c r="J191" s="39" t="str">
        <f>IF(OR($C191="総括",$C191="内訳書",$C191="内訳代価",$C191="明細書",$C191="明細代価",$C191="代価表",$C191="単価表"),データ!K188,"")</f>
        <v/>
      </c>
      <c r="K191" s="11" t="str">
        <f t="shared" si="12"/>
        <v/>
      </c>
      <c r="L191" s="46">
        <f t="shared" si="13"/>
        <v>1.2585365853658536E-3</v>
      </c>
      <c r="M191" s="40" t="str">
        <f>IF(データ!L188="","",データ!L188)</f>
        <v/>
      </c>
      <c r="N191" s="41" t="str">
        <f>IF(データ!M188="","",データ!M188)</f>
        <v/>
      </c>
      <c r="O191" s="42">
        <f>データ!N188</f>
        <v>0</v>
      </c>
      <c r="P191" s="48">
        <f>IF($C191="集計行","",データ!O188)</f>
        <v>0</v>
      </c>
      <c r="Q191" s="48">
        <f>データ!P188</f>
        <v>0</v>
      </c>
      <c r="R191" s="39" t="str">
        <f>IF(OR($C191="総括",$C191="内訳書",$C191="内訳代価",$C191="明細書",$C191="明細代価",$C191="代価表",$C191="単価表"),データ!Q188,"")</f>
        <v/>
      </c>
      <c r="S191" s="11" t="str">
        <f t="shared" si="14"/>
        <v/>
      </c>
      <c r="T191" s="46" t="e">
        <f t="shared" si="15"/>
        <v>#DIV/0!</v>
      </c>
      <c r="U191" s="40" t="str">
        <f>IF(データ!R188="","",データ!R188)</f>
        <v/>
      </c>
      <c r="V191" s="41" t="str">
        <f>IF(データ!S188="","",データ!S188)</f>
        <v/>
      </c>
      <c r="W191" s="42">
        <f>データ!T188</f>
        <v>0</v>
      </c>
      <c r="X191" s="48">
        <f>IF($C191="集計行","",データ!U188)</f>
        <v>0</v>
      </c>
      <c r="Y191" s="48">
        <f>データ!V188</f>
        <v>0</v>
      </c>
      <c r="Z191" s="39" t="str">
        <f>IF(OR($C191="総括",$C191="内訳書",$C191="内訳代価",$C191="明細書",$C191="明細代価",$C191="代価表",$C191="単価表"),データ!W188,"")</f>
        <v/>
      </c>
      <c r="AA191" s="11" t="str">
        <f t="shared" si="16"/>
        <v/>
      </c>
      <c r="AB191" s="46" t="e">
        <f t="shared" si="17"/>
        <v>#DIV/0!</v>
      </c>
      <c r="AC191" s="40" t="str">
        <f>IF(データ!X188="","",データ!X188)</f>
        <v/>
      </c>
      <c r="AD191" s="41" t="str">
        <f>IF(データ!Y188="","",データ!Y188)</f>
        <v/>
      </c>
      <c r="AE191" s="47" t="str">
        <f>TRIM(データ!B188)</f>
        <v/>
      </c>
      <c r="AF191" s="43" t="str">
        <f>TRIM(データ!Z188)</f>
        <v/>
      </c>
    </row>
    <row r="192" spans="1:32" x14ac:dyDescent="0.15">
      <c r="A192" s="47">
        <f>データ!A189</f>
        <v>2</v>
      </c>
      <c r="B192" s="47" t="str">
        <f>TRIM(データ!C189)</f>
        <v/>
      </c>
      <c r="C192" s="47" t="str">
        <f>TRIM(データ!D189)</f>
        <v>材料費</v>
      </c>
      <c r="D192" s="36" t="str">
        <f>REPT("｜",$A192)&amp;TRIM(データ!E189)</f>
        <v>｜｜雑材</v>
      </c>
      <c r="E192" s="37" t="str">
        <f>TRIM(データ!F189)</f>
        <v>丁張材</v>
      </c>
      <c r="F192" s="38" t="str">
        <f>TRIM(データ!G189)</f>
        <v>式</v>
      </c>
      <c r="G192" s="50">
        <f>データ!H189</f>
        <v>1</v>
      </c>
      <c r="H192" s="48">
        <f>データ!I189</f>
        <v>35400</v>
      </c>
      <c r="I192" s="48">
        <f>データ!J189</f>
        <v>35400</v>
      </c>
      <c r="J192" s="39" t="str">
        <f>IF(OR($C192="総括",$C192="内訳書",$C192="内訳代価",$C192="明細書",$C192="明細代価",$C192="代価表",$C192="単価表"),データ!K189,"")</f>
        <v/>
      </c>
      <c r="K192" s="11" t="str">
        <f t="shared" si="12"/>
        <v/>
      </c>
      <c r="L192" s="46">
        <f t="shared" si="13"/>
        <v>1.726829268292683E-3</v>
      </c>
      <c r="M192" s="40" t="str">
        <f>IF(データ!L189="","",データ!L189)</f>
        <v/>
      </c>
      <c r="N192" s="41" t="str">
        <f>IF(データ!M189="","",データ!M189)</f>
        <v/>
      </c>
      <c r="O192" s="42">
        <f>データ!N189</f>
        <v>0</v>
      </c>
      <c r="P192" s="48">
        <f>IF($C192="集計行","",データ!O189)</f>
        <v>0</v>
      </c>
      <c r="Q192" s="48">
        <f>データ!P189</f>
        <v>0</v>
      </c>
      <c r="R192" s="39" t="str">
        <f>IF(OR($C192="総括",$C192="内訳書",$C192="内訳代価",$C192="明細書",$C192="明細代価",$C192="代価表",$C192="単価表"),データ!Q189,"")</f>
        <v/>
      </c>
      <c r="S192" s="11" t="str">
        <f t="shared" si="14"/>
        <v/>
      </c>
      <c r="T192" s="46" t="e">
        <f t="shared" si="15"/>
        <v>#DIV/0!</v>
      </c>
      <c r="U192" s="40" t="str">
        <f>IF(データ!R189="","",データ!R189)</f>
        <v/>
      </c>
      <c r="V192" s="41" t="str">
        <f>IF(データ!S189="","",データ!S189)</f>
        <v/>
      </c>
      <c r="W192" s="42">
        <f>データ!T189</f>
        <v>0</v>
      </c>
      <c r="X192" s="48">
        <f>IF($C192="集計行","",データ!U189)</f>
        <v>0</v>
      </c>
      <c r="Y192" s="48">
        <f>データ!V189</f>
        <v>0</v>
      </c>
      <c r="Z192" s="39" t="str">
        <f>IF(OR($C192="総括",$C192="内訳書",$C192="内訳代価",$C192="明細書",$C192="明細代価",$C192="代価表",$C192="単価表"),データ!W189,"")</f>
        <v/>
      </c>
      <c r="AA192" s="11" t="str">
        <f t="shared" si="16"/>
        <v/>
      </c>
      <c r="AB192" s="46" t="e">
        <f t="shared" si="17"/>
        <v>#DIV/0!</v>
      </c>
      <c r="AC192" s="40" t="str">
        <f>IF(データ!X189="","",データ!X189)</f>
        <v/>
      </c>
      <c r="AD192" s="41" t="str">
        <f>IF(データ!Y189="","",データ!Y189)</f>
        <v/>
      </c>
      <c r="AE192" s="47" t="str">
        <f>TRIM(データ!B189)</f>
        <v>s20718001</v>
      </c>
      <c r="AF192" s="43" t="str">
        <f>TRIM(データ!Z189)</f>
        <v/>
      </c>
    </row>
    <row r="193" spans="1:32" x14ac:dyDescent="0.15">
      <c r="A193" s="47">
        <f>データ!A190</f>
        <v>2</v>
      </c>
      <c r="B193" s="47" t="str">
        <f>TRIM(データ!C190)</f>
        <v/>
      </c>
      <c r="C193" s="47" t="str">
        <f>TRIM(データ!D190)</f>
        <v>材料費</v>
      </c>
      <c r="D193" s="36" t="str">
        <f>REPT("｜",$A193)&amp;TRIM(データ!E190)</f>
        <v>｜｜ｱﾙﾐ矢板(賃貸)</v>
      </c>
      <c r="E193" s="37" t="str">
        <f>TRIM(データ!F190)</f>
        <v>有効幅333mmL1500mm</v>
      </c>
      <c r="F193" s="38" t="str">
        <f>TRIM(データ!G190)</f>
        <v>枚/日</v>
      </c>
      <c r="G193" s="50">
        <f>データ!H190</f>
        <v>90</v>
      </c>
      <c r="H193" s="48">
        <f>データ!I190</f>
        <v>1962</v>
      </c>
      <c r="I193" s="48">
        <f>データ!J190</f>
        <v>176580</v>
      </c>
      <c r="J193" s="39" t="str">
        <f>IF(OR($C193="総括",$C193="内訳書",$C193="内訳代価",$C193="明細書",$C193="明細代価",$C193="代価表",$C193="単価表"),データ!K190,"")</f>
        <v/>
      </c>
      <c r="K193" s="11" t="str">
        <f t="shared" si="12"/>
        <v/>
      </c>
      <c r="L193" s="46">
        <f t="shared" si="13"/>
        <v>8.6136585365853661E-3</v>
      </c>
      <c r="M193" s="40" t="str">
        <f>IF(データ!L190="","",データ!L190)</f>
        <v/>
      </c>
      <c r="N193" s="41" t="str">
        <f>IF(データ!M190="","",データ!M190)</f>
        <v/>
      </c>
      <c r="O193" s="42">
        <f>データ!N190</f>
        <v>0</v>
      </c>
      <c r="P193" s="48">
        <f>IF($C193="集計行","",データ!O190)</f>
        <v>0</v>
      </c>
      <c r="Q193" s="48">
        <f>データ!P190</f>
        <v>0</v>
      </c>
      <c r="R193" s="39" t="str">
        <f>IF(OR($C193="総括",$C193="内訳書",$C193="内訳代価",$C193="明細書",$C193="明細代価",$C193="代価表",$C193="単価表"),データ!Q190,"")</f>
        <v/>
      </c>
      <c r="S193" s="11" t="str">
        <f t="shared" si="14"/>
        <v/>
      </c>
      <c r="T193" s="46" t="e">
        <f t="shared" si="15"/>
        <v>#DIV/0!</v>
      </c>
      <c r="U193" s="40" t="str">
        <f>IF(データ!R190="","",データ!R190)</f>
        <v/>
      </c>
      <c r="V193" s="41" t="str">
        <f>IF(データ!S190="","",データ!S190)</f>
        <v/>
      </c>
      <c r="W193" s="42">
        <f>データ!T190</f>
        <v>0</v>
      </c>
      <c r="X193" s="48">
        <f>IF($C193="集計行","",データ!U190)</f>
        <v>0</v>
      </c>
      <c r="Y193" s="48">
        <f>データ!V190</f>
        <v>0</v>
      </c>
      <c r="Z193" s="39" t="str">
        <f>IF(OR($C193="総括",$C193="内訳書",$C193="内訳代価",$C193="明細書",$C193="明細代価",$C193="代価表",$C193="単価表"),データ!W190,"")</f>
        <v/>
      </c>
      <c r="AA193" s="11" t="str">
        <f t="shared" si="16"/>
        <v/>
      </c>
      <c r="AB193" s="46" t="e">
        <f t="shared" si="17"/>
        <v>#DIV/0!</v>
      </c>
      <c r="AC193" s="40" t="str">
        <f>IF(データ!X190="","",データ!X190)</f>
        <v/>
      </c>
      <c r="AD193" s="41" t="str">
        <f>IF(データ!Y190="","",データ!Y190)</f>
        <v/>
      </c>
      <c r="AE193" s="47" t="str">
        <f>TRIM(データ!B190)</f>
        <v>1-5-33-67658-1</v>
      </c>
      <c r="AF193" s="43" t="str">
        <f>TRIM(データ!Z190)</f>
        <v/>
      </c>
    </row>
    <row r="194" spans="1:32" x14ac:dyDescent="0.15">
      <c r="A194" s="47">
        <f>データ!A191</f>
        <v>2</v>
      </c>
      <c r="B194" s="47" t="str">
        <f>TRIM(データ!C191)</f>
        <v/>
      </c>
      <c r="C194" s="47" t="str">
        <f>TRIM(データ!D191)</f>
        <v>材料費</v>
      </c>
      <c r="D194" s="36" t="str">
        <f>REPT("｜",$A194)&amp;TRIM(データ!E191)</f>
        <v>｜｜燃料　軽油</v>
      </c>
      <c r="E194" s="37" t="str">
        <f>TRIM(データ!F191)</f>
        <v/>
      </c>
      <c r="F194" s="38" t="str">
        <f>TRIM(データ!G191)</f>
        <v>式</v>
      </c>
      <c r="G194" s="50">
        <f>データ!H191</f>
        <v>1</v>
      </c>
      <c r="H194" s="48">
        <f>データ!I191</f>
        <v>426750</v>
      </c>
      <c r="I194" s="48">
        <f>データ!J191</f>
        <v>426750</v>
      </c>
      <c r="J194" s="39" t="str">
        <f>IF(OR($C194="総括",$C194="内訳書",$C194="内訳代価",$C194="明細書",$C194="明細代価",$C194="代価表",$C194="単価表"),データ!K191,"")</f>
        <v/>
      </c>
      <c r="K194" s="11" t="str">
        <f t="shared" si="12"/>
        <v/>
      </c>
      <c r="L194" s="46">
        <f t="shared" si="13"/>
        <v>2.0817073170731708E-2</v>
      </c>
      <c r="M194" s="40" t="str">
        <f>IF(データ!L191="","",データ!L191)</f>
        <v/>
      </c>
      <c r="N194" s="41" t="str">
        <f>IF(データ!M191="","",データ!M191)</f>
        <v/>
      </c>
      <c r="O194" s="42">
        <f>データ!N191</f>
        <v>0</v>
      </c>
      <c r="P194" s="48">
        <f>IF($C194="集計行","",データ!O191)</f>
        <v>0</v>
      </c>
      <c r="Q194" s="48">
        <f>データ!P191</f>
        <v>0</v>
      </c>
      <c r="R194" s="39" t="str">
        <f>IF(OR($C194="総括",$C194="内訳書",$C194="内訳代価",$C194="明細書",$C194="明細代価",$C194="代価表",$C194="単価表"),データ!Q191,"")</f>
        <v/>
      </c>
      <c r="S194" s="11" t="str">
        <f t="shared" si="14"/>
        <v/>
      </c>
      <c r="T194" s="46" t="e">
        <f t="shared" si="15"/>
        <v>#DIV/0!</v>
      </c>
      <c r="U194" s="40" t="str">
        <f>IF(データ!R191="","",データ!R191)</f>
        <v/>
      </c>
      <c r="V194" s="41" t="str">
        <f>IF(データ!S191="","",データ!S191)</f>
        <v/>
      </c>
      <c r="W194" s="42">
        <f>データ!T191</f>
        <v>0</v>
      </c>
      <c r="X194" s="48">
        <f>IF($C194="集計行","",データ!U191)</f>
        <v>0</v>
      </c>
      <c r="Y194" s="48">
        <f>データ!V191</f>
        <v>0</v>
      </c>
      <c r="Z194" s="39" t="str">
        <f>IF(OR($C194="総括",$C194="内訳書",$C194="内訳代価",$C194="明細書",$C194="明細代価",$C194="代価表",$C194="単価表"),データ!W191,"")</f>
        <v/>
      </c>
      <c r="AA194" s="11" t="str">
        <f t="shared" si="16"/>
        <v/>
      </c>
      <c r="AB194" s="46" t="e">
        <f t="shared" si="17"/>
        <v>#DIV/0!</v>
      </c>
      <c r="AC194" s="40" t="str">
        <f>IF(データ!X191="","",データ!X191)</f>
        <v/>
      </c>
      <c r="AD194" s="41" t="str">
        <f>IF(データ!Y191="","",データ!Y191)</f>
        <v/>
      </c>
      <c r="AE194" s="47" t="str">
        <f>TRIM(データ!B191)</f>
        <v>s20718002</v>
      </c>
      <c r="AF194" s="43" t="str">
        <f>TRIM(データ!Z191)</f>
        <v/>
      </c>
    </row>
    <row r="195" spans="1:32" x14ac:dyDescent="0.15">
      <c r="A195" s="47">
        <f>データ!A192</f>
        <v>2</v>
      </c>
      <c r="B195" s="47" t="str">
        <f>TRIM(データ!C192)</f>
        <v/>
      </c>
      <c r="C195" s="47" t="str">
        <f>TRIM(データ!D192)</f>
        <v>機械費</v>
      </c>
      <c r="D195" s="36" t="str">
        <f>REPT("｜",$A195)&amp;TRIM(データ!E192)</f>
        <v>｜｜ラフタークレーン25t</v>
      </c>
      <c r="E195" s="37" t="str">
        <f>TRIM(データ!F192)</f>
        <v/>
      </c>
      <c r="F195" s="38" t="str">
        <f>TRIM(データ!G192)</f>
        <v>日台</v>
      </c>
      <c r="G195" s="50">
        <f>データ!H192</f>
        <v>2</v>
      </c>
      <c r="H195" s="48">
        <f>データ!I192</f>
        <v>60000</v>
      </c>
      <c r="I195" s="48">
        <f>データ!J192</f>
        <v>120000</v>
      </c>
      <c r="J195" s="39" t="str">
        <f>IF(OR($C195="総括",$C195="内訳書",$C195="内訳代価",$C195="明細書",$C195="明細代価",$C195="代価表",$C195="単価表"),データ!K192,"")</f>
        <v/>
      </c>
      <c r="K195" s="11" t="str">
        <f t="shared" si="12"/>
        <v/>
      </c>
      <c r="L195" s="46">
        <f t="shared" si="13"/>
        <v>5.8536585365853658E-3</v>
      </c>
      <c r="M195" s="40" t="str">
        <f>IF(データ!L192="","",データ!L192)</f>
        <v/>
      </c>
      <c r="N195" s="41" t="str">
        <f>IF(データ!M192="","",データ!M192)</f>
        <v/>
      </c>
      <c r="O195" s="42">
        <f>データ!N192</f>
        <v>0</v>
      </c>
      <c r="P195" s="48">
        <f>IF($C195="集計行","",データ!O192)</f>
        <v>0</v>
      </c>
      <c r="Q195" s="48">
        <f>データ!P192</f>
        <v>0</v>
      </c>
      <c r="R195" s="39" t="str">
        <f>IF(OR($C195="総括",$C195="内訳書",$C195="内訳代価",$C195="明細書",$C195="明細代価",$C195="代価表",$C195="単価表"),データ!Q192,"")</f>
        <v/>
      </c>
      <c r="S195" s="11" t="str">
        <f t="shared" si="14"/>
        <v/>
      </c>
      <c r="T195" s="46" t="e">
        <f t="shared" si="15"/>
        <v>#DIV/0!</v>
      </c>
      <c r="U195" s="40" t="str">
        <f>IF(データ!R192="","",データ!R192)</f>
        <v/>
      </c>
      <c r="V195" s="41" t="str">
        <f>IF(データ!S192="","",データ!S192)</f>
        <v/>
      </c>
      <c r="W195" s="42">
        <f>データ!T192</f>
        <v>0</v>
      </c>
      <c r="X195" s="48">
        <f>IF($C195="集計行","",データ!U192)</f>
        <v>0</v>
      </c>
      <c r="Y195" s="48">
        <f>データ!V192</f>
        <v>0</v>
      </c>
      <c r="Z195" s="39" t="str">
        <f>IF(OR($C195="総括",$C195="内訳書",$C195="内訳代価",$C195="明細書",$C195="明細代価",$C195="代価表",$C195="単価表"),データ!W192,"")</f>
        <v/>
      </c>
      <c r="AA195" s="11" t="str">
        <f t="shared" si="16"/>
        <v/>
      </c>
      <c r="AB195" s="46" t="e">
        <f t="shared" si="17"/>
        <v>#DIV/0!</v>
      </c>
      <c r="AC195" s="40" t="str">
        <f>IF(データ!X192="","",データ!X192)</f>
        <v/>
      </c>
      <c r="AD195" s="41" t="str">
        <f>IF(データ!Y192="","",データ!Y192)</f>
        <v/>
      </c>
      <c r="AE195" s="47" t="str">
        <f>TRIM(データ!B192)</f>
        <v>k20718127</v>
      </c>
      <c r="AF195" s="43" t="str">
        <f>TRIM(データ!Z192)</f>
        <v/>
      </c>
    </row>
    <row r="196" spans="1:32" x14ac:dyDescent="0.15">
      <c r="A196" s="47">
        <f>データ!A193</f>
        <v>2</v>
      </c>
      <c r="B196" s="47" t="str">
        <f>TRIM(データ!C193)</f>
        <v/>
      </c>
      <c r="C196" s="47" t="str">
        <f>TRIM(データ!D193)</f>
        <v>機械費</v>
      </c>
      <c r="D196" s="36" t="str">
        <f>REPT("｜",$A196)&amp;TRIM(データ!E193)</f>
        <v>｜｜クレーン付トラック4t</v>
      </c>
      <c r="E196" s="37" t="str">
        <f>TRIM(データ!F193)</f>
        <v/>
      </c>
      <c r="F196" s="38" t="str">
        <f>TRIM(データ!G193)</f>
        <v>日台</v>
      </c>
      <c r="G196" s="50">
        <f>データ!H193</f>
        <v>12</v>
      </c>
      <c r="H196" s="48">
        <f>データ!I193</f>
        <v>15000</v>
      </c>
      <c r="I196" s="48">
        <f>データ!J193</f>
        <v>180000</v>
      </c>
      <c r="J196" s="39" t="str">
        <f>IF(OR($C196="総括",$C196="内訳書",$C196="内訳代価",$C196="明細書",$C196="明細代価",$C196="代価表",$C196="単価表"),データ!K193,"")</f>
        <v/>
      </c>
      <c r="K196" s="11" t="str">
        <f t="shared" si="12"/>
        <v/>
      </c>
      <c r="L196" s="46">
        <f t="shared" si="13"/>
        <v>8.7804878048780496E-3</v>
      </c>
      <c r="M196" s="40" t="str">
        <f>IF(データ!L193="","",データ!L193)</f>
        <v/>
      </c>
      <c r="N196" s="41" t="str">
        <f>IF(データ!M193="","",データ!M193)</f>
        <v/>
      </c>
      <c r="O196" s="42">
        <f>データ!N193</f>
        <v>0</v>
      </c>
      <c r="P196" s="48">
        <f>IF($C196="集計行","",データ!O193)</f>
        <v>0</v>
      </c>
      <c r="Q196" s="48">
        <f>データ!P193</f>
        <v>0</v>
      </c>
      <c r="R196" s="39" t="str">
        <f>IF(OR($C196="総括",$C196="内訳書",$C196="内訳代価",$C196="明細書",$C196="明細代価",$C196="代価表",$C196="単価表"),データ!Q193,"")</f>
        <v/>
      </c>
      <c r="S196" s="11" t="str">
        <f t="shared" si="14"/>
        <v/>
      </c>
      <c r="T196" s="46" t="e">
        <f t="shared" si="15"/>
        <v>#DIV/0!</v>
      </c>
      <c r="U196" s="40" t="str">
        <f>IF(データ!R193="","",データ!R193)</f>
        <v/>
      </c>
      <c r="V196" s="41" t="str">
        <f>IF(データ!S193="","",データ!S193)</f>
        <v/>
      </c>
      <c r="W196" s="42">
        <f>データ!T193</f>
        <v>0</v>
      </c>
      <c r="X196" s="48">
        <f>IF($C196="集計行","",データ!U193)</f>
        <v>0</v>
      </c>
      <c r="Y196" s="48">
        <f>データ!V193</f>
        <v>0</v>
      </c>
      <c r="Z196" s="39" t="str">
        <f>IF(OR($C196="総括",$C196="内訳書",$C196="内訳代価",$C196="明細書",$C196="明細代価",$C196="代価表",$C196="単価表"),データ!W193,"")</f>
        <v/>
      </c>
      <c r="AA196" s="11" t="str">
        <f t="shared" si="16"/>
        <v/>
      </c>
      <c r="AB196" s="46" t="e">
        <f t="shared" si="17"/>
        <v>#DIV/0!</v>
      </c>
      <c r="AC196" s="40" t="str">
        <f>IF(データ!X193="","",データ!X193)</f>
        <v/>
      </c>
      <c r="AD196" s="41" t="str">
        <f>IF(データ!Y193="","",データ!Y193)</f>
        <v/>
      </c>
      <c r="AE196" s="47" t="str">
        <f>TRIM(データ!B193)</f>
        <v>k20718099</v>
      </c>
      <c r="AF196" s="43" t="str">
        <f>TRIM(データ!Z193)</f>
        <v/>
      </c>
    </row>
    <row r="197" spans="1:32" x14ac:dyDescent="0.15">
      <c r="A197" s="47">
        <f>データ!A194</f>
        <v>2</v>
      </c>
      <c r="B197" s="47" t="str">
        <f>TRIM(データ!C194)</f>
        <v/>
      </c>
      <c r="C197" s="47" t="str">
        <f>TRIM(データ!D194)</f>
        <v>機械費</v>
      </c>
      <c r="D197" s="36" t="str">
        <f>REPT("｜",$A197)&amp;TRIM(データ!E194)</f>
        <v>｜｜2tダンプ</v>
      </c>
      <c r="E197" s="37" t="str">
        <f>TRIM(データ!F194)</f>
        <v/>
      </c>
      <c r="F197" s="38" t="str">
        <f>TRIM(データ!G194)</f>
        <v>日台</v>
      </c>
      <c r="G197" s="50">
        <f>データ!H194</f>
        <v>13</v>
      </c>
      <c r="H197" s="48">
        <f>データ!I194</f>
        <v>7000</v>
      </c>
      <c r="I197" s="48">
        <f>データ!J194</f>
        <v>91000</v>
      </c>
      <c r="J197" s="39" t="str">
        <f>IF(OR($C197="総括",$C197="内訳書",$C197="内訳代価",$C197="明細書",$C197="明細代価",$C197="代価表",$C197="単価表"),データ!K194,"")</f>
        <v/>
      </c>
      <c r="K197" s="11" t="str">
        <f t="shared" ref="K197:K199" si="18">IF(OR(J197="",G197=J197),"","*")</f>
        <v/>
      </c>
      <c r="L197" s="46">
        <f t="shared" ref="L197:L199" si="19">IF($A197&lt;=L$1,I197/I$4,"")</f>
        <v>4.439024390243902E-3</v>
      </c>
      <c r="M197" s="40" t="str">
        <f>IF(データ!L194="","",データ!L194)</f>
        <v/>
      </c>
      <c r="N197" s="41" t="str">
        <f>IF(データ!M194="","",データ!M194)</f>
        <v/>
      </c>
      <c r="O197" s="42">
        <f>データ!N194</f>
        <v>0</v>
      </c>
      <c r="P197" s="48">
        <f>IF($C197="集計行","",データ!O194)</f>
        <v>0</v>
      </c>
      <c r="Q197" s="48">
        <f>データ!P194</f>
        <v>0</v>
      </c>
      <c r="R197" s="39" t="str">
        <f>IF(OR($C197="総括",$C197="内訳書",$C197="内訳代価",$C197="明細書",$C197="明細代価",$C197="代価表",$C197="単価表"),データ!Q194,"")</f>
        <v/>
      </c>
      <c r="S197" s="11" t="str">
        <f t="shared" ref="S197:S199" si="20">IF(OR(R197="",O197=R197),"","*")</f>
        <v/>
      </c>
      <c r="T197" s="46" t="e">
        <f t="shared" ref="T197:T199" si="21">IF($A197&lt;=T$1,Q197/Q$4,"")</f>
        <v>#DIV/0!</v>
      </c>
      <c r="U197" s="40" t="str">
        <f>IF(データ!R194="","",データ!R194)</f>
        <v/>
      </c>
      <c r="V197" s="41" t="str">
        <f>IF(データ!S194="","",データ!S194)</f>
        <v/>
      </c>
      <c r="W197" s="42">
        <f>データ!T194</f>
        <v>0</v>
      </c>
      <c r="X197" s="48">
        <f>IF($C197="集計行","",データ!U194)</f>
        <v>0</v>
      </c>
      <c r="Y197" s="48">
        <f>データ!V194</f>
        <v>0</v>
      </c>
      <c r="Z197" s="39" t="str">
        <f>IF(OR($C197="総括",$C197="内訳書",$C197="内訳代価",$C197="明細書",$C197="明細代価",$C197="代価表",$C197="単価表"),データ!W194,"")</f>
        <v/>
      </c>
      <c r="AA197" s="11" t="str">
        <f t="shared" ref="AA197:AA199" si="22">IF(OR(Z197="",W197=Z197),"","*")</f>
        <v/>
      </c>
      <c r="AB197" s="46" t="e">
        <f t="shared" ref="AB197:AB199" si="23">IF($A197&lt;=AB$1,Y197/Y$4,"")</f>
        <v>#DIV/0!</v>
      </c>
      <c r="AC197" s="40" t="str">
        <f>IF(データ!X194="","",データ!X194)</f>
        <v/>
      </c>
      <c r="AD197" s="41" t="str">
        <f>IF(データ!Y194="","",データ!Y194)</f>
        <v/>
      </c>
      <c r="AE197" s="47" t="str">
        <f>TRIM(データ!B194)</f>
        <v>k20718092</v>
      </c>
      <c r="AF197" s="43" t="str">
        <f>TRIM(データ!Z194)</f>
        <v/>
      </c>
    </row>
    <row r="198" spans="1:32" x14ac:dyDescent="0.15">
      <c r="A198" s="47">
        <f>データ!A195</f>
        <v>2</v>
      </c>
      <c r="B198" s="47" t="str">
        <f>TRIM(データ!C195)</f>
        <v/>
      </c>
      <c r="C198" s="47" t="str">
        <f>TRIM(データ!D195)</f>
        <v>機械費</v>
      </c>
      <c r="D198" s="36" t="str">
        <f>REPT("｜",$A198)&amp;TRIM(データ!E195)</f>
        <v>｜｜BH0.4クレーン</v>
      </c>
      <c r="E198" s="37" t="str">
        <f>TRIM(データ!F195)</f>
        <v>低騒音・超小</v>
      </c>
      <c r="F198" s="38" t="str">
        <f>TRIM(データ!G195)</f>
        <v>日台</v>
      </c>
      <c r="G198" s="50">
        <f>データ!H195</f>
        <v>4</v>
      </c>
      <c r="H198" s="48">
        <f>データ!I195</f>
        <v>15000</v>
      </c>
      <c r="I198" s="48">
        <f>データ!J195</f>
        <v>60000</v>
      </c>
      <c r="J198" s="39" t="str">
        <f>IF(OR($C198="総括",$C198="内訳書",$C198="内訳代価",$C198="明細書",$C198="明細代価",$C198="代価表",$C198="単価表"),データ!K195,"")</f>
        <v/>
      </c>
      <c r="K198" s="11" t="str">
        <f t="shared" si="18"/>
        <v/>
      </c>
      <c r="L198" s="46">
        <f t="shared" si="19"/>
        <v>2.9268292682926829E-3</v>
      </c>
      <c r="M198" s="40" t="str">
        <f>IF(データ!L195="","",データ!L195)</f>
        <v/>
      </c>
      <c r="N198" s="41" t="str">
        <f>IF(データ!M195="","",データ!M195)</f>
        <v/>
      </c>
      <c r="O198" s="42">
        <f>データ!N195</f>
        <v>0</v>
      </c>
      <c r="P198" s="48">
        <f>IF($C198="集計行","",データ!O195)</f>
        <v>0</v>
      </c>
      <c r="Q198" s="48">
        <f>データ!P195</f>
        <v>0</v>
      </c>
      <c r="R198" s="39" t="str">
        <f>IF(OR($C198="総括",$C198="内訳書",$C198="内訳代価",$C198="明細書",$C198="明細代価",$C198="代価表",$C198="単価表"),データ!Q195,"")</f>
        <v/>
      </c>
      <c r="S198" s="11" t="str">
        <f t="shared" si="20"/>
        <v/>
      </c>
      <c r="T198" s="46" t="e">
        <f t="shared" si="21"/>
        <v>#DIV/0!</v>
      </c>
      <c r="U198" s="40" t="str">
        <f>IF(データ!R195="","",データ!R195)</f>
        <v/>
      </c>
      <c r="V198" s="41" t="str">
        <f>IF(データ!S195="","",データ!S195)</f>
        <v/>
      </c>
      <c r="W198" s="42">
        <f>データ!T195</f>
        <v>0</v>
      </c>
      <c r="X198" s="48">
        <f>IF($C198="集計行","",データ!U195)</f>
        <v>0</v>
      </c>
      <c r="Y198" s="48">
        <f>データ!V195</f>
        <v>0</v>
      </c>
      <c r="Z198" s="39" t="str">
        <f>IF(OR($C198="総括",$C198="内訳書",$C198="内訳代価",$C198="明細書",$C198="明細代価",$C198="代価表",$C198="単価表"),データ!W195,"")</f>
        <v/>
      </c>
      <c r="AA198" s="11" t="str">
        <f t="shared" si="22"/>
        <v/>
      </c>
      <c r="AB198" s="46" t="e">
        <f t="shared" si="23"/>
        <v>#DIV/0!</v>
      </c>
      <c r="AC198" s="40" t="str">
        <f>IF(データ!X195="","",データ!X195)</f>
        <v/>
      </c>
      <c r="AD198" s="41" t="str">
        <f>IF(データ!Y195="","",データ!Y195)</f>
        <v/>
      </c>
      <c r="AE198" s="47" t="str">
        <f>TRIM(データ!B195)</f>
        <v>k20718020</v>
      </c>
      <c r="AF198" s="43" t="str">
        <f>TRIM(データ!Z195)</f>
        <v/>
      </c>
    </row>
    <row r="199" spans="1:32" x14ac:dyDescent="0.15">
      <c r="A199" s="47">
        <f>データ!A196</f>
        <v>2</v>
      </c>
      <c r="B199" s="47" t="str">
        <f>TRIM(データ!C196)</f>
        <v/>
      </c>
      <c r="C199" s="47" t="str">
        <f>TRIM(データ!D196)</f>
        <v>機械費</v>
      </c>
      <c r="D199" s="36" t="str">
        <f>REPT("｜",$A199)&amp;TRIM(データ!E196)</f>
        <v>｜｜ランマー</v>
      </c>
      <c r="E199" s="37" t="str">
        <f>TRIM(データ!F196)</f>
        <v/>
      </c>
      <c r="F199" s="38" t="str">
        <f>TRIM(データ!G196)</f>
        <v>日台</v>
      </c>
      <c r="G199" s="50">
        <f>データ!H196</f>
        <v>16</v>
      </c>
      <c r="H199" s="48">
        <f>データ!I196</f>
        <v>500</v>
      </c>
      <c r="I199" s="48">
        <f>データ!J196</f>
        <v>8000</v>
      </c>
      <c r="J199" s="39" t="str">
        <f>IF(OR($C199="総括",$C199="内訳書",$C199="内訳代価",$C199="明細書",$C199="明細代価",$C199="代価表",$C199="単価表"),データ!K196,"")</f>
        <v/>
      </c>
      <c r="K199" s="11" t="str">
        <f t="shared" si="18"/>
        <v/>
      </c>
      <c r="L199" s="46">
        <f t="shared" si="19"/>
        <v>3.9024390243902441E-4</v>
      </c>
      <c r="M199" s="40" t="str">
        <f>IF(データ!L196="","",データ!L196)</f>
        <v/>
      </c>
      <c r="N199" s="41" t="str">
        <f>IF(データ!M196="","",データ!M196)</f>
        <v/>
      </c>
      <c r="O199" s="42">
        <f>データ!N196</f>
        <v>0</v>
      </c>
      <c r="P199" s="48">
        <f>IF($C199="集計行","",データ!O196)</f>
        <v>0</v>
      </c>
      <c r="Q199" s="48">
        <f>データ!P196</f>
        <v>0</v>
      </c>
      <c r="R199" s="39" t="str">
        <f>IF(OR($C199="総括",$C199="内訳書",$C199="内訳代価",$C199="明細書",$C199="明細代価",$C199="代価表",$C199="単価表"),データ!Q196,"")</f>
        <v/>
      </c>
      <c r="S199" s="11" t="str">
        <f t="shared" si="20"/>
        <v/>
      </c>
      <c r="T199" s="46" t="e">
        <f t="shared" si="21"/>
        <v>#DIV/0!</v>
      </c>
      <c r="U199" s="40" t="str">
        <f>IF(データ!R196="","",データ!R196)</f>
        <v/>
      </c>
      <c r="V199" s="41" t="str">
        <f>IF(データ!S196="","",データ!S196)</f>
        <v/>
      </c>
      <c r="W199" s="42">
        <f>データ!T196</f>
        <v>0</v>
      </c>
      <c r="X199" s="48">
        <f>IF($C199="集計行","",データ!U196)</f>
        <v>0</v>
      </c>
      <c r="Y199" s="48">
        <f>データ!V196</f>
        <v>0</v>
      </c>
      <c r="Z199" s="39" t="str">
        <f>IF(OR($C199="総括",$C199="内訳書",$C199="内訳代価",$C199="明細書",$C199="明細代価",$C199="代価表",$C199="単価表"),データ!W196,"")</f>
        <v/>
      </c>
      <c r="AA199" s="11" t="str">
        <f t="shared" si="22"/>
        <v/>
      </c>
      <c r="AB199" s="46" t="e">
        <f t="shared" si="23"/>
        <v>#DIV/0!</v>
      </c>
      <c r="AC199" s="40" t="str">
        <f>IF(データ!X196="","",データ!X196)</f>
        <v/>
      </c>
      <c r="AD199" s="41" t="str">
        <f>IF(データ!Y196="","",データ!Y196)</f>
        <v/>
      </c>
      <c r="AE199" s="47" t="str">
        <f>TRIM(データ!B196)</f>
        <v>k20718065</v>
      </c>
      <c r="AF199" s="43" t="str">
        <f>TRIM(データ!Z196)</f>
        <v/>
      </c>
    </row>
    <row r="200" spans="1:32" x14ac:dyDescent="0.15">
      <c r="A200" s="44"/>
      <c r="B200" s="44"/>
      <c r="C200" s="7"/>
      <c r="D200" s="44"/>
      <c r="E200" s="44"/>
      <c r="F200" s="45"/>
      <c r="G200" s="44"/>
      <c r="H200" s="44"/>
      <c r="I200" s="44"/>
      <c r="J200" s="44"/>
      <c r="K200" s="45"/>
      <c r="L200" s="44"/>
      <c r="M200" s="44"/>
      <c r="N200" s="44"/>
      <c r="O200" s="44"/>
      <c r="P200" s="44"/>
      <c r="Q200" s="44"/>
      <c r="R200" s="44"/>
      <c r="S200" s="45"/>
      <c r="T200" s="44"/>
      <c r="U200" s="44"/>
      <c r="V200" s="44"/>
      <c r="W200" s="44"/>
      <c r="X200" s="44"/>
      <c r="Y200" s="44"/>
      <c r="Z200" s="44"/>
      <c r="AA200" s="45"/>
      <c r="AB200" s="44"/>
      <c r="AC200" s="44"/>
      <c r="AD200" s="44"/>
      <c r="AE200" s="44"/>
      <c r="AF200" s="9"/>
    </row>
  </sheetData>
  <autoFilter ref="A3:AE200" xr:uid="{00000000-0001-0000-0100-000000000000}"/>
  <mergeCells count="4">
    <mergeCell ref="AF2:AF3"/>
    <mergeCell ref="G2:N2"/>
    <mergeCell ref="O2:V2"/>
    <mergeCell ref="W2:AD2"/>
  </mergeCells>
  <phoneticPr fontId="3"/>
  <conditionalFormatting sqref="A4:AF199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2026-01-19T02:30:58Z</dcterms:modified>
</cp:coreProperties>
</file>