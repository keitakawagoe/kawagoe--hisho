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CBB28243-1E8F-4947-81C9-9BF15ABA1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内訳一覧!$A$3:$AE$402</definedName>
    <definedName name="_xlnm.Print_Area" localSheetId="1">内訳一覧!$A$1:$AF$402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401" i="4" l="1"/>
  <c r="AE401" i="4"/>
  <c r="AD401" i="4"/>
  <c r="AC401" i="4"/>
  <c r="AB401" i="4"/>
  <c r="Z401" i="4"/>
  <c r="AA401" i="4" s="1"/>
  <c r="Y401" i="4"/>
  <c r="W401" i="4"/>
  <c r="V401" i="4"/>
  <c r="U401" i="4"/>
  <c r="Q401" i="4"/>
  <c r="O401" i="4"/>
  <c r="N401" i="4"/>
  <c r="M401" i="4"/>
  <c r="L401" i="4"/>
  <c r="I401" i="4"/>
  <c r="H401" i="4"/>
  <c r="G401" i="4"/>
  <c r="F401" i="4"/>
  <c r="E401" i="4"/>
  <c r="C401" i="4"/>
  <c r="B401" i="4"/>
  <c r="A401" i="4"/>
  <c r="AF400" i="4"/>
  <c r="AE400" i="4"/>
  <c r="AD400" i="4"/>
  <c r="AC400" i="4"/>
  <c r="Z400" i="4"/>
  <c r="AA400" i="4" s="1"/>
  <c r="Y400" i="4"/>
  <c r="X400" i="4"/>
  <c r="W400" i="4"/>
  <c r="V400" i="4"/>
  <c r="U400" i="4"/>
  <c r="T400" i="4"/>
  <c r="R400" i="4"/>
  <c r="S400" i="4" s="1"/>
  <c r="Q400" i="4"/>
  <c r="O400" i="4"/>
  <c r="N400" i="4"/>
  <c r="M400" i="4"/>
  <c r="L400" i="4"/>
  <c r="J400" i="4"/>
  <c r="I400" i="4"/>
  <c r="H400" i="4"/>
  <c r="G400" i="4"/>
  <c r="K400" i="4" s="1"/>
  <c r="F400" i="4"/>
  <c r="E400" i="4"/>
  <c r="C400" i="4"/>
  <c r="P400" i="4" s="1"/>
  <c r="B400" i="4"/>
  <c r="A400" i="4"/>
  <c r="AF399" i="4"/>
  <c r="AE399" i="4"/>
  <c r="AD399" i="4"/>
  <c r="AC399" i="4"/>
  <c r="Z399" i="4"/>
  <c r="AA399" i="4" s="1"/>
  <c r="Y399" i="4"/>
  <c r="W399" i="4"/>
  <c r="V399" i="4"/>
  <c r="U399" i="4"/>
  <c r="R399" i="4"/>
  <c r="Q399" i="4"/>
  <c r="O399" i="4"/>
  <c r="N399" i="4"/>
  <c r="M399" i="4"/>
  <c r="J399" i="4"/>
  <c r="K399" i="4" s="1"/>
  <c r="I399" i="4"/>
  <c r="H399" i="4"/>
  <c r="G399" i="4"/>
  <c r="F399" i="4"/>
  <c r="E399" i="4"/>
  <c r="C399" i="4"/>
  <c r="X399" i="4" s="1"/>
  <c r="B399" i="4"/>
  <c r="A399" i="4"/>
  <c r="AF398" i="4"/>
  <c r="AE398" i="4"/>
  <c r="AD398" i="4"/>
  <c r="AC398" i="4"/>
  <c r="Y398" i="4"/>
  <c r="W398" i="4"/>
  <c r="V398" i="4"/>
  <c r="U398" i="4"/>
  <c r="Q398" i="4"/>
  <c r="P398" i="4"/>
  <c r="O398" i="4"/>
  <c r="N398" i="4"/>
  <c r="M398" i="4"/>
  <c r="I398" i="4"/>
  <c r="H398" i="4"/>
  <c r="G398" i="4"/>
  <c r="F398" i="4"/>
  <c r="E398" i="4"/>
  <c r="C398" i="4"/>
  <c r="B398" i="4"/>
  <c r="A398" i="4"/>
  <c r="AF397" i="4"/>
  <c r="AE397" i="4"/>
  <c r="AD397" i="4"/>
  <c r="AC397" i="4"/>
  <c r="Z397" i="4"/>
  <c r="Y397" i="4"/>
  <c r="X397" i="4"/>
  <c r="W397" i="4"/>
  <c r="V397" i="4"/>
  <c r="U397" i="4"/>
  <c r="R397" i="4"/>
  <c r="S397" i="4" s="1"/>
  <c r="Q397" i="4"/>
  <c r="O397" i="4"/>
  <c r="N397" i="4"/>
  <c r="M397" i="4"/>
  <c r="J397" i="4"/>
  <c r="K397" i="4" s="1"/>
  <c r="I397" i="4"/>
  <c r="H397" i="4"/>
  <c r="G397" i="4"/>
  <c r="F397" i="4"/>
  <c r="E397" i="4"/>
  <c r="C397" i="4"/>
  <c r="P397" i="4" s="1"/>
  <c r="B397" i="4"/>
  <c r="A397" i="4"/>
  <c r="AF396" i="4"/>
  <c r="AE396" i="4"/>
  <c r="AD396" i="4"/>
  <c r="AC396" i="4"/>
  <c r="Z396" i="4"/>
  <c r="AA396" i="4" s="1"/>
  <c r="Y396" i="4"/>
  <c r="W396" i="4"/>
  <c r="V396" i="4"/>
  <c r="U396" i="4"/>
  <c r="Q396" i="4"/>
  <c r="O396" i="4"/>
  <c r="N396" i="4"/>
  <c r="M396" i="4"/>
  <c r="I396" i="4"/>
  <c r="H396" i="4"/>
  <c r="G396" i="4"/>
  <c r="F396" i="4"/>
  <c r="E396" i="4"/>
  <c r="D396" i="4"/>
  <c r="C396" i="4"/>
  <c r="X396" i="4" s="1"/>
  <c r="B396" i="4"/>
  <c r="A396" i="4"/>
  <c r="AF395" i="4"/>
  <c r="AE395" i="4"/>
  <c r="AD395" i="4"/>
  <c r="AC395" i="4"/>
  <c r="AB395" i="4"/>
  <c r="AA395" i="4"/>
  <c r="Y395" i="4"/>
  <c r="W395" i="4"/>
  <c r="V395" i="4"/>
  <c r="U395" i="4"/>
  <c r="Q395" i="4"/>
  <c r="P395" i="4"/>
  <c r="O395" i="4"/>
  <c r="N395" i="4"/>
  <c r="M395" i="4"/>
  <c r="J395" i="4"/>
  <c r="K395" i="4" s="1"/>
  <c r="I395" i="4"/>
  <c r="H395" i="4"/>
  <c r="G395" i="4"/>
  <c r="F395" i="4"/>
  <c r="E395" i="4"/>
  <c r="C395" i="4"/>
  <c r="Z395" i="4" s="1"/>
  <c r="B395" i="4"/>
  <c r="A395" i="4"/>
  <c r="AF394" i="4"/>
  <c r="AE394" i="4"/>
  <c r="AD394" i="4"/>
  <c r="AC394" i="4"/>
  <c r="Z394" i="4"/>
  <c r="Y394" i="4"/>
  <c r="X394" i="4"/>
  <c r="W394" i="4"/>
  <c r="V394" i="4"/>
  <c r="U394" i="4"/>
  <c r="S394" i="4"/>
  <c r="R394" i="4"/>
  <c r="Q394" i="4"/>
  <c r="O394" i="4"/>
  <c r="N394" i="4"/>
  <c r="M394" i="4"/>
  <c r="J394" i="4"/>
  <c r="K394" i="4" s="1"/>
  <c r="I394" i="4"/>
  <c r="H394" i="4"/>
  <c r="G394" i="4"/>
  <c r="F394" i="4"/>
  <c r="E394" i="4"/>
  <c r="C394" i="4"/>
  <c r="P394" i="4" s="1"/>
  <c r="B394" i="4"/>
  <c r="A394" i="4"/>
  <c r="AF393" i="4"/>
  <c r="AE393" i="4"/>
  <c r="AD393" i="4"/>
  <c r="AC393" i="4"/>
  <c r="Z393" i="4"/>
  <c r="AA393" i="4" s="1"/>
  <c r="Y393" i="4"/>
  <c r="W393" i="4"/>
  <c r="V393" i="4"/>
  <c r="U393" i="4"/>
  <c r="R393" i="4"/>
  <c r="S393" i="4" s="1"/>
  <c r="Q393" i="4"/>
  <c r="P393" i="4"/>
  <c r="O393" i="4"/>
  <c r="N393" i="4"/>
  <c r="M393" i="4"/>
  <c r="J393" i="4"/>
  <c r="K393" i="4" s="1"/>
  <c r="I393" i="4"/>
  <c r="H393" i="4"/>
  <c r="G393" i="4"/>
  <c r="F393" i="4"/>
  <c r="E393" i="4"/>
  <c r="D393" i="4"/>
  <c r="C393" i="4"/>
  <c r="X393" i="4" s="1"/>
  <c r="B393" i="4"/>
  <c r="A393" i="4"/>
  <c r="AF392" i="4"/>
  <c r="AE392" i="4"/>
  <c r="AD392" i="4"/>
  <c r="AC392" i="4"/>
  <c r="Z392" i="4"/>
  <c r="Y392" i="4"/>
  <c r="X392" i="4"/>
  <c r="W392" i="4"/>
  <c r="AA392" i="4" s="1"/>
  <c r="V392" i="4"/>
  <c r="U392" i="4"/>
  <c r="R392" i="4"/>
  <c r="S392" i="4" s="1"/>
  <c r="Q392" i="4"/>
  <c r="P392" i="4"/>
  <c r="O392" i="4"/>
  <c r="N392" i="4"/>
  <c r="M392" i="4"/>
  <c r="J392" i="4"/>
  <c r="K392" i="4" s="1"/>
  <c r="I392" i="4"/>
  <c r="H392" i="4"/>
  <c r="G392" i="4"/>
  <c r="F392" i="4"/>
  <c r="E392" i="4"/>
  <c r="D392" i="4"/>
  <c r="C392" i="4"/>
  <c r="B392" i="4"/>
  <c r="A392" i="4"/>
  <c r="L392" i="4" s="1"/>
  <c r="AF391" i="4"/>
  <c r="AE391" i="4"/>
  <c r="AD391" i="4"/>
  <c r="AC391" i="4"/>
  <c r="Z391" i="4"/>
  <c r="AA391" i="4" s="1"/>
  <c r="Y391" i="4"/>
  <c r="X391" i="4"/>
  <c r="W391" i="4"/>
  <c r="V391" i="4"/>
  <c r="U391" i="4"/>
  <c r="S391" i="4"/>
  <c r="R391" i="4"/>
  <c r="Q391" i="4"/>
  <c r="O391" i="4"/>
  <c r="N391" i="4"/>
  <c r="M391" i="4"/>
  <c r="K391" i="4"/>
  <c r="J391" i="4"/>
  <c r="I391" i="4"/>
  <c r="H391" i="4"/>
  <c r="G391" i="4"/>
  <c r="F391" i="4"/>
  <c r="E391" i="4"/>
  <c r="C391" i="4"/>
  <c r="P391" i="4" s="1"/>
  <c r="B391" i="4"/>
  <c r="A391" i="4"/>
  <c r="AF390" i="4"/>
  <c r="AE390" i="4"/>
  <c r="AD390" i="4"/>
  <c r="AC390" i="4"/>
  <c r="Y390" i="4"/>
  <c r="W390" i="4"/>
  <c r="V390" i="4"/>
  <c r="U390" i="4"/>
  <c r="Q390" i="4"/>
  <c r="O390" i="4"/>
  <c r="N390" i="4"/>
  <c r="M390" i="4"/>
  <c r="I390" i="4"/>
  <c r="H390" i="4"/>
  <c r="G390" i="4"/>
  <c r="F390" i="4"/>
  <c r="E390" i="4"/>
  <c r="C390" i="4"/>
  <c r="P390" i="4" s="1"/>
  <c r="B390" i="4"/>
  <c r="A390" i="4"/>
  <c r="AF389" i="4"/>
  <c r="AE389" i="4"/>
  <c r="AD389" i="4"/>
  <c r="AC389" i="4"/>
  <c r="Z389" i="4"/>
  <c r="AA389" i="4" s="1"/>
  <c r="Y389" i="4"/>
  <c r="W389" i="4"/>
  <c r="V389" i="4"/>
  <c r="U389" i="4"/>
  <c r="Q389" i="4"/>
  <c r="O389" i="4"/>
  <c r="N389" i="4"/>
  <c r="M389" i="4"/>
  <c r="I389" i="4"/>
  <c r="H389" i="4"/>
  <c r="G389" i="4"/>
  <c r="F389" i="4"/>
  <c r="E389" i="4"/>
  <c r="C389" i="4"/>
  <c r="B389" i="4"/>
  <c r="A389" i="4"/>
  <c r="AF388" i="4"/>
  <c r="AE388" i="4"/>
  <c r="AD388" i="4"/>
  <c r="AC388" i="4"/>
  <c r="Z388" i="4"/>
  <c r="AA388" i="4" s="1"/>
  <c r="Y388" i="4"/>
  <c r="X388" i="4"/>
  <c r="W388" i="4"/>
  <c r="V388" i="4"/>
  <c r="U388" i="4"/>
  <c r="R388" i="4"/>
  <c r="S388" i="4" s="1"/>
  <c r="Q388" i="4"/>
  <c r="O388" i="4"/>
  <c r="N388" i="4"/>
  <c r="M388" i="4"/>
  <c r="J388" i="4"/>
  <c r="I388" i="4"/>
  <c r="H388" i="4"/>
  <c r="G388" i="4"/>
  <c r="K388" i="4" s="1"/>
  <c r="F388" i="4"/>
  <c r="E388" i="4"/>
  <c r="C388" i="4"/>
  <c r="P388" i="4" s="1"/>
  <c r="B388" i="4"/>
  <c r="A388" i="4"/>
  <c r="AF387" i="4"/>
  <c r="AE387" i="4"/>
  <c r="AD387" i="4"/>
  <c r="AC387" i="4"/>
  <c r="Z387" i="4"/>
  <c r="AA387" i="4" s="1"/>
  <c r="Y387" i="4"/>
  <c r="W387" i="4"/>
  <c r="V387" i="4"/>
  <c r="U387" i="4"/>
  <c r="R387" i="4"/>
  <c r="S387" i="4" s="1"/>
  <c r="Q387" i="4"/>
  <c r="O387" i="4"/>
  <c r="N387" i="4"/>
  <c r="M387" i="4"/>
  <c r="J387" i="4"/>
  <c r="K387" i="4" s="1"/>
  <c r="I387" i="4"/>
  <c r="H387" i="4"/>
  <c r="G387" i="4"/>
  <c r="F387" i="4"/>
  <c r="E387" i="4"/>
  <c r="C387" i="4"/>
  <c r="X387" i="4" s="1"/>
  <c r="B387" i="4"/>
  <c r="A387" i="4"/>
  <c r="AF386" i="4"/>
  <c r="AE386" i="4"/>
  <c r="AD386" i="4"/>
  <c r="AC386" i="4"/>
  <c r="Y386" i="4"/>
  <c r="W386" i="4"/>
  <c r="V386" i="4"/>
  <c r="U386" i="4"/>
  <c r="Q386" i="4"/>
  <c r="O386" i="4"/>
  <c r="N386" i="4"/>
  <c r="M386" i="4"/>
  <c r="I386" i="4"/>
  <c r="H386" i="4"/>
  <c r="G386" i="4"/>
  <c r="F386" i="4"/>
  <c r="E386" i="4"/>
  <c r="C386" i="4"/>
  <c r="P386" i="4" s="1"/>
  <c r="B386" i="4"/>
  <c r="A386" i="4"/>
  <c r="AF385" i="4"/>
  <c r="AE385" i="4"/>
  <c r="AD385" i="4"/>
  <c r="AC385" i="4"/>
  <c r="Z385" i="4"/>
  <c r="Y385" i="4"/>
  <c r="X385" i="4"/>
  <c r="W385" i="4"/>
  <c r="V385" i="4"/>
  <c r="U385" i="4"/>
  <c r="R385" i="4"/>
  <c r="S385" i="4" s="1"/>
  <c r="Q385" i="4"/>
  <c r="O385" i="4"/>
  <c r="N385" i="4"/>
  <c r="M385" i="4"/>
  <c r="J385" i="4"/>
  <c r="I385" i="4"/>
  <c r="H385" i="4"/>
  <c r="G385" i="4"/>
  <c r="F385" i="4"/>
  <c r="E385" i="4"/>
  <c r="C385" i="4"/>
  <c r="P385" i="4" s="1"/>
  <c r="B385" i="4"/>
  <c r="A385" i="4"/>
  <c r="AF384" i="4"/>
  <c r="AE384" i="4"/>
  <c r="AD384" i="4"/>
  <c r="AC384" i="4"/>
  <c r="Y384" i="4"/>
  <c r="W384" i="4"/>
  <c r="V384" i="4"/>
  <c r="U384" i="4"/>
  <c r="R384" i="4"/>
  <c r="S384" i="4" s="1"/>
  <c r="Q384" i="4"/>
  <c r="O384" i="4"/>
  <c r="N384" i="4"/>
  <c r="M384" i="4"/>
  <c r="I384" i="4"/>
  <c r="H384" i="4"/>
  <c r="G384" i="4"/>
  <c r="F384" i="4"/>
  <c r="E384" i="4"/>
  <c r="D384" i="4"/>
  <c r="C384" i="4"/>
  <c r="B384" i="4"/>
  <c r="A384" i="4"/>
  <c r="AF383" i="4"/>
  <c r="AE383" i="4"/>
  <c r="AD383" i="4"/>
  <c r="AC383" i="4"/>
  <c r="AA383" i="4"/>
  <c r="Y383" i="4"/>
  <c r="W383" i="4"/>
  <c r="V383" i="4"/>
  <c r="U383" i="4"/>
  <c r="Q383" i="4"/>
  <c r="P383" i="4"/>
  <c r="O383" i="4"/>
  <c r="N383" i="4"/>
  <c r="M383" i="4"/>
  <c r="J383" i="4"/>
  <c r="K383" i="4" s="1"/>
  <c r="I383" i="4"/>
  <c r="H383" i="4"/>
  <c r="G383" i="4"/>
  <c r="F383" i="4"/>
  <c r="E383" i="4"/>
  <c r="C383" i="4"/>
  <c r="Z383" i="4" s="1"/>
  <c r="B383" i="4"/>
  <c r="A383" i="4"/>
  <c r="AF382" i="4"/>
  <c r="AE382" i="4"/>
  <c r="AD382" i="4"/>
  <c r="AC382" i="4"/>
  <c r="Z382" i="4"/>
  <c r="Y382" i="4"/>
  <c r="X382" i="4"/>
  <c r="W382" i="4"/>
  <c r="V382" i="4"/>
  <c r="U382" i="4"/>
  <c r="S382" i="4"/>
  <c r="R382" i="4"/>
  <c r="Q382" i="4"/>
  <c r="O382" i="4"/>
  <c r="N382" i="4"/>
  <c r="M382" i="4"/>
  <c r="K382" i="4"/>
  <c r="J382" i="4"/>
  <c r="I382" i="4"/>
  <c r="H382" i="4"/>
  <c r="G382" i="4"/>
  <c r="F382" i="4"/>
  <c r="E382" i="4"/>
  <c r="C382" i="4"/>
  <c r="P382" i="4" s="1"/>
  <c r="B382" i="4"/>
  <c r="A382" i="4"/>
  <c r="AF381" i="4"/>
  <c r="AE381" i="4"/>
  <c r="AD381" i="4"/>
  <c r="AC381" i="4"/>
  <c r="Y381" i="4"/>
  <c r="W381" i="4"/>
  <c r="V381" i="4"/>
  <c r="U381" i="4"/>
  <c r="R381" i="4"/>
  <c r="S381" i="4" s="1"/>
  <c r="Q381" i="4"/>
  <c r="O381" i="4"/>
  <c r="N381" i="4"/>
  <c r="M381" i="4"/>
  <c r="I381" i="4"/>
  <c r="H381" i="4"/>
  <c r="G381" i="4"/>
  <c r="F381" i="4"/>
  <c r="E381" i="4"/>
  <c r="D381" i="4"/>
  <c r="C381" i="4"/>
  <c r="B381" i="4"/>
  <c r="A381" i="4"/>
  <c r="AF380" i="4"/>
  <c r="AE380" i="4"/>
  <c r="AD380" i="4"/>
  <c r="AC380" i="4"/>
  <c r="Z380" i="4"/>
  <c r="Y380" i="4"/>
  <c r="X380" i="4"/>
  <c r="W380" i="4"/>
  <c r="AA380" i="4" s="1"/>
  <c r="V380" i="4"/>
  <c r="U380" i="4"/>
  <c r="R380" i="4"/>
  <c r="S380" i="4" s="1"/>
  <c r="Q380" i="4"/>
  <c r="P380" i="4"/>
  <c r="O380" i="4"/>
  <c r="N380" i="4"/>
  <c r="M380" i="4"/>
  <c r="J380" i="4"/>
  <c r="K380" i="4" s="1"/>
  <c r="I380" i="4"/>
  <c r="H380" i="4"/>
  <c r="G380" i="4"/>
  <c r="F380" i="4"/>
  <c r="E380" i="4"/>
  <c r="C380" i="4"/>
  <c r="B380" i="4"/>
  <c r="A380" i="4"/>
  <c r="AF379" i="4"/>
  <c r="AE379" i="4"/>
  <c r="AD379" i="4"/>
  <c r="AC379" i="4"/>
  <c r="Z379" i="4"/>
  <c r="AA379" i="4" s="1"/>
  <c r="Y379" i="4"/>
  <c r="X379" i="4"/>
  <c r="W379" i="4"/>
  <c r="V379" i="4"/>
  <c r="U379" i="4"/>
  <c r="S379" i="4"/>
  <c r="R379" i="4"/>
  <c r="Q379" i="4"/>
  <c r="O379" i="4"/>
  <c r="N379" i="4"/>
  <c r="M379" i="4"/>
  <c r="K379" i="4"/>
  <c r="J379" i="4"/>
  <c r="I379" i="4"/>
  <c r="H379" i="4"/>
  <c r="G379" i="4"/>
  <c r="F379" i="4"/>
  <c r="E379" i="4"/>
  <c r="C379" i="4"/>
  <c r="P379" i="4" s="1"/>
  <c r="B379" i="4"/>
  <c r="A379" i="4"/>
  <c r="AF378" i="4"/>
  <c r="AE378" i="4"/>
  <c r="AD378" i="4"/>
  <c r="AC378" i="4"/>
  <c r="Y378" i="4"/>
  <c r="W378" i="4"/>
  <c r="V378" i="4"/>
  <c r="U378" i="4"/>
  <c r="Q378" i="4"/>
  <c r="O378" i="4"/>
  <c r="N378" i="4"/>
  <c r="M378" i="4"/>
  <c r="I378" i="4"/>
  <c r="H378" i="4"/>
  <c r="G378" i="4"/>
  <c r="F378" i="4"/>
  <c r="E378" i="4"/>
  <c r="C378" i="4"/>
  <c r="B378" i="4"/>
  <c r="A378" i="4"/>
  <c r="AF377" i="4"/>
  <c r="AE377" i="4"/>
  <c r="AD377" i="4"/>
  <c r="AC377" i="4"/>
  <c r="Z377" i="4"/>
  <c r="AA377" i="4" s="1"/>
  <c r="Y377" i="4"/>
  <c r="W377" i="4"/>
  <c r="V377" i="4"/>
  <c r="U377" i="4"/>
  <c r="Q377" i="4"/>
  <c r="O377" i="4"/>
  <c r="N377" i="4"/>
  <c r="M377" i="4"/>
  <c r="L377" i="4"/>
  <c r="I377" i="4"/>
  <c r="H377" i="4"/>
  <c r="G377" i="4"/>
  <c r="F377" i="4"/>
  <c r="E377" i="4"/>
  <c r="C377" i="4"/>
  <c r="B377" i="4"/>
  <c r="A377" i="4"/>
  <c r="AF376" i="4"/>
  <c r="AE376" i="4"/>
  <c r="AD376" i="4"/>
  <c r="AC376" i="4"/>
  <c r="Z376" i="4"/>
  <c r="AA376" i="4" s="1"/>
  <c r="Y376" i="4"/>
  <c r="X376" i="4"/>
  <c r="W376" i="4"/>
  <c r="V376" i="4"/>
  <c r="U376" i="4"/>
  <c r="S376" i="4"/>
  <c r="R376" i="4"/>
  <c r="Q376" i="4"/>
  <c r="O376" i="4"/>
  <c r="N376" i="4"/>
  <c r="M376" i="4"/>
  <c r="L376" i="4"/>
  <c r="J376" i="4"/>
  <c r="I376" i="4"/>
  <c r="H376" i="4"/>
  <c r="G376" i="4"/>
  <c r="K376" i="4" s="1"/>
  <c r="F376" i="4"/>
  <c r="E376" i="4"/>
  <c r="C376" i="4"/>
  <c r="P376" i="4" s="1"/>
  <c r="B376" i="4"/>
  <c r="A376" i="4"/>
  <c r="AF375" i="4"/>
  <c r="AE375" i="4"/>
  <c r="AD375" i="4"/>
  <c r="AC375" i="4"/>
  <c r="Z375" i="4"/>
  <c r="AA375" i="4" s="1"/>
  <c r="Y375" i="4"/>
  <c r="W375" i="4"/>
  <c r="V375" i="4"/>
  <c r="U375" i="4"/>
  <c r="R375" i="4"/>
  <c r="Q375" i="4"/>
  <c r="O375" i="4"/>
  <c r="N375" i="4"/>
  <c r="M375" i="4"/>
  <c r="K375" i="4"/>
  <c r="J375" i="4"/>
  <c r="I375" i="4"/>
  <c r="H375" i="4"/>
  <c r="G375" i="4"/>
  <c r="F375" i="4"/>
  <c r="E375" i="4"/>
  <c r="C375" i="4"/>
  <c r="X375" i="4" s="1"/>
  <c r="B375" i="4"/>
  <c r="A375" i="4"/>
  <c r="AF374" i="4"/>
  <c r="AE374" i="4"/>
  <c r="AD374" i="4"/>
  <c r="AC374" i="4"/>
  <c r="AA374" i="4"/>
  <c r="Z374" i="4"/>
  <c r="Y374" i="4"/>
  <c r="W374" i="4"/>
  <c r="V374" i="4"/>
  <c r="U374" i="4"/>
  <c r="Q374" i="4"/>
  <c r="P374" i="4"/>
  <c r="O374" i="4"/>
  <c r="N374" i="4"/>
  <c r="M374" i="4"/>
  <c r="I374" i="4"/>
  <c r="H374" i="4"/>
  <c r="G374" i="4"/>
  <c r="F374" i="4"/>
  <c r="E374" i="4"/>
  <c r="C374" i="4"/>
  <c r="B374" i="4"/>
  <c r="A374" i="4"/>
  <c r="AF373" i="4"/>
  <c r="AE373" i="4"/>
  <c r="AD373" i="4"/>
  <c r="AC373" i="4"/>
  <c r="Z373" i="4"/>
  <c r="AA373" i="4" s="1"/>
  <c r="Y373" i="4"/>
  <c r="X373" i="4"/>
  <c r="W373" i="4"/>
  <c r="V373" i="4"/>
  <c r="U373" i="4"/>
  <c r="S373" i="4"/>
  <c r="R373" i="4"/>
  <c r="Q373" i="4"/>
  <c r="O373" i="4"/>
  <c r="N373" i="4"/>
  <c r="M373" i="4"/>
  <c r="J373" i="4"/>
  <c r="I373" i="4"/>
  <c r="H373" i="4"/>
  <c r="G373" i="4"/>
  <c r="K373" i="4" s="1"/>
  <c r="F373" i="4"/>
  <c r="E373" i="4"/>
  <c r="C373" i="4"/>
  <c r="P373" i="4" s="1"/>
  <c r="B373" i="4"/>
  <c r="A373" i="4"/>
  <c r="AF372" i="4"/>
  <c r="AE372" i="4"/>
  <c r="AD372" i="4"/>
  <c r="AC372" i="4"/>
  <c r="Y372" i="4"/>
  <c r="W372" i="4"/>
  <c r="V372" i="4"/>
  <c r="U372" i="4"/>
  <c r="Q372" i="4"/>
  <c r="O372" i="4"/>
  <c r="N372" i="4"/>
  <c r="M372" i="4"/>
  <c r="I372" i="4"/>
  <c r="H372" i="4"/>
  <c r="G372" i="4"/>
  <c r="F372" i="4"/>
  <c r="E372" i="4"/>
  <c r="D372" i="4"/>
  <c r="C372" i="4"/>
  <c r="R372" i="4" s="1"/>
  <c r="S372" i="4" s="1"/>
  <c r="B372" i="4"/>
  <c r="A372" i="4"/>
  <c r="AF371" i="4"/>
  <c r="AE371" i="4"/>
  <c r="AD371" i="4"/>
  <c r="AC371" i="4"/>
  <c r="Y371" i="4"/>
  <c r="X371" i="4"/>
  <c r="W371" i="4"/>
  <c r="V371" i="4"/>
  <c r="U371" i="4"/>
  <c r="Q371" i="4"/>
  <c r="O371" i="4"/>
  <c r="N371" i="4"/>
  <c r="M371" i="4"/>
  <c r="I371" i="4"/>
  <c r="H371" i="4"/>
  <c r="G371" i="4"/>
  <c r="F371" i="4"/>
  <c r="E371" i="4"/>
  <c r="C371" i="4"/>
  <c r="B371" i="4"/>
  <c r="A371" i="4"/>
  <c r="AF370" i="4"/>
  <c r="AE370" i="4"/>
  <c r="AD370" i="4"/>
  <c r="AC370" i="4"/>
  <c r="Y370" i="4"/>
  <c r="W370" i="4"/>
  <c r="V370" i="4"/>
  <c r="U370" i="4"/>
  <c r="Q370" i="4"/>
  <c r="O370" i="4"/>
  <c r="N370" i="4"/>
  <c r="M370" i="4"/>
  <c r="I370" i="4"/>
  <c r="H370" i="4"/>
  <c r="G370" i="4"/>
  <c r="F370" i="4"/>
  <c r="E370" i="4"/>
  <c r="C370" i="4"/>
  <c r="B370" i="4"/>
  <c r="A370" i="4"/>
  <c r="AF369" i="4"/>
  <c r="AE369" i="4"/>
  <c r="AD369" i="4"/>
  <c r="AC369" i="4"/>
  <c r="Z369" i="4"/>
  <c r="AA369" i="4" s="1"/>
  <c r="Y369" i="4"/>
  <c r="W369" i="4"/>
  <c r="V369" i="4"/>
  <c r="U369" i="4"/>
  <c r="S369" i="4"/>
  <c r="R369" i="4"/>
  <c r="Q369" i="4"/>
  <c r="O369" i="4"/>
  <c r="N369" i="4"/>
  <c r="M369" i="4"/>
  <c r="J369" i="4"/>
  <c r="K369" i="4" s="1"/>
  <c r="I369" i="4"/>
  <c r="H369" i="4"/>
  <c r="G369" i="4"/>
  <c r="F369" i="4"/>
  <c r="E369" i="4"/>
  <c r="D369" i="4"/>
  <c r="C369" i="4"/>
  <c r="X369" i="4" s="1"/>
  <c r="B369" i="4"/>
  <c r="A369" i="4"/>
  <c r="AF368" i="4"/>
  <c r="AE368" i="4"/>
  <c r="AD368" i="4"/>
  <c r="AC368" i="4"/>
  <c r="Y368" i="4"/>
  <c r="X368" i="4"/>
  <c r="W368" i="4"/>
  <c r="V368" i="4"/>
  <c r="U368" i="4"/>
  <c r="R368" i="4"/>
  <c r="Q368" i="4"/>
  <c r="O368" i="4"/>
  <c r="S368" i="4" s="1"/>
  <c r="N368" i="4"/>
  <c r="M368" i="4"/>
  <c r="I368" i="4"/>
  <c r="H368" i="4"/>
  <c r="G368" i="4"/>
  <c r="F368" i="4"/>
  <c r="E368" i="4"/>
  <c r="D368" i="4"/>
  <c r="C368" i="4"/>
  <c r="B368" i="4"/>
  <c r="A368" i="4"/>
  <c r="AF367" i="4"/>
  <c r="AE367" i="4"/>
  <c r="AD367" i="4"/>
  <c r="AC367" i="4"/>
  <c r="Z367" i="4"/>
  <c r="Y367" i="4"/>
  <c r="X367" i="4"/>
  <c r="W367" i="4"/>
  <c r="V367" i="4"/>
  <c r="U367" i="4"/>
  <c r="R367" i="4"/>
  <c r="Q367" i="4"/>
  <c r="O367" i="4"/>
  <c r="N367" i="4"/>
  <c r="M367" i="4"/>
  <c r="K367" i="4"/>
  <c r="J367" i="4"/>
  <c r="I367" i="4"/>
  <c r="L367" i="4" s="1"/>
  <c r="H367" i="4"/>
  <c r="G367" i="4"/>
  <c r="F367" i="4"/>
  <c r="E367" i="4"/>
  <c r="C367" i="4"/>
  <c r="P367" i="4" s="1"/>
  <c r="B367" i="4"/>
  <c r="A367" i="4"/>
  <c r="AF366" i="4"/>
  <c r="AE366" i="4"/>
  <c r="AD366" i="4"/>
  <c r="AC366" i="4"/>
  <c r="AB366" i="4"/>
  <c r="Y366" i="4"/>
  <c r="W366" i="4"/>
  <c r="V366" i="4"/>
  <c r="U366" i="4"/>
  <c r="R366" i="4"/>
  <c r="S366" i="4" s="1"/>
  <c r="Q366" i="4"/>
  <c r="O366" i="4"/>
  <c r="N366" i="4"/>
  <c r="M366" i="4"/>
  <c r="I366" i="4"/>
  <c r="H366" i="4"/>
  <c r="G366" i="4"/>
  <c r="F366" i="4"/>
  <c r="E366" i="4"/>
  <c r="D366" i="4"/>
  <c r="C366" i="4"/>
  <c r="B366" i="4"/>
  <c r="A366" i="4"/>
  <c r="AF365" i="4"/>
  <c r="AE365" i="4"/>
  <c r="AD365" i="4"/>
  <c r="AC365" i="4"/>
  <c r="Y365" i="4"/>
  <c r="W365" i="4"/>
  <c r="V365" i="4"/>
  <c r="U365" i="4"/>
  <c r="Q365" i="4"/>
  <c r="O365" i="4"/>
  <c r="N365" i="4"/>
  <c r="M365" i="4"/>
  <c r="I365" i="4"/>
  <c r="H365" i="4"/>
  <c r="G365" i="4"/>
  <c r="F365" i="4"/>
  <c r="E365" i="4"/>
  <c r="C365" i="4"/>
  <c r="B365" i="4"/>
  <c r="A365" i="4"/>
  <c r="AF364" i="4"/>
  <c r="AE364" i="4"/>
  <c r="AD364" i="4"/>
  <c r="AC364" i="4"/>
  <c r="AA364" i="4"/>
  <c r="Z364" i="4"/>
  <c r="Y364" i="4"/>
  <c r="W364" i="4"/>
  <c r="V364" i="4"/>
  <c r="U364" i="4"/>
  <c r="Q364" i="4"/>
  <c r="O364" i="4"/>
  <c r="N364" i="4"/>
  <c r="M364" i="4"/>
  <c r="I364" i="4"/>
  <c r="H364" i="4"/>
  <c r="G364" i="4"/>
  <c r="F364" i="4"/>
  <c r="E364" i="4"/>
  <c r="C364" i="4"/>
  <c r="X364" i="4" s="1"/>
  <c r="B364" i="4"/>
  <c r="A364" i="4"/>
  <c r="AF363" i="4"/>
  <c r="AE363" i="4"/>
  <c r="AD363" i="4"/>
  <c r="AC363" i="4"/>
  <c r="AA363" i="4"/>
  <c r="Z363" i="4"/>
  <c r="Y363" i="4"/>
  <c r="W363" i="4"/>
  <c r="V363" i="4"/>
  <c r="U363" i="4"/>
  <c r="R363" i="4"/>
  <c r="S363" i="4" s="1"/>
  <c r="Q363" i="4"/>
  <c r="O363" i="4"/>
  <c r="N363" i="4"/>
  <c r="M363" i="4"/>
  <c r="J363" i="4"/>
  <c r="K363" i="4" s="1"/>
  <c r="I363" i="4"/>
  <c r="H363" i="4"/>
  <c r="G363" i="4"/>
  <c r="F363" i="4"/>
  <c r="E363" i="4"/>
  <c r="D363" i="4"/>
  <c r="C363" i="4"/>
  <c r="X363" i="4" s="1"/>
  <c r="B363" i="4"/>
  <c r="A363" i="4"/>
  <c r="AF362" i="4"/>
  <c r="AE362" i="4"/>
  <c r="AD362" i="4"/>
  <c r="AC362" i="4"/>
  <c r="Z362" i="4"/>
  <c r="AA362" i="4" s="1"/>
  <c r="Y362" i="4"/>
  <c r="X362" i="4"/>
  <c r="W362" i="4"/>
  <c r="V362" i="4"/>
  <c r="U362" i="4"/>
  <c r="S362" i="4"/>
  <c r="R362" i="4"/>
  <c r="Q362" i="4"/>
  <c r="O362" i="4"/>
  <c r="N362" i="4"/>
  <c r="M362" i="4"/>
  <c r="K362" i="4"/>
  <c r="I362" i="4"/>
  <c r="H362" i="4"/>
  <c r="G362" i="4"/>
  <c r="F362" i="4"/>
  <c r="E362" i="4"/>
  <c r="C362" i="4"/>
  <c r="J362" i="4" s="1"/>
  <c r="B362" i="4"/>
  <c r="A362" i="4"/>
  <c r="AF361" i="4"/>
  <c r="AE361" i="4"/>
  <c r="AD361" i="4"/>
  <c r="AC361" i="4"/>
  <c r="Z361" i="4"/>
  <c r="Y361" i="4"/>
  <c r="X361" i="4"/>
  <c r="W361" i="4"/>
  <c r="V361" i="4"/>
  <c r="U361" i="4"/>
  <c r="S361" i="4"/>
  <c r="R361" i="4"/>
  <c r="Q361" i="4"/>
  <c r="O361" i="4"/>
  <c r="N361" i="4"/>
  <c r="M361" i="4"/>
  <c r="J361" i="4"/>
  <c r="K361" i="4" s="1"/>
  <c r="I361" i="4"/>
  <c r="H361" i="4"/>
  <c r="G361" i="4"/>
  <c r="F361" i="4"/>
  <c r="E361" i="4"/>
  <c r="C361" i="4"/>
  <c r="P361" i="4" s="1"/>
  <c r="B361" i="4"/>
  <c r="A361" i="4"/>
  <c r="AF360" i="4"/>
  <c r="AE360" i="4"/>
  <c r="AD360" i="4"/>
  <c r="AC360" i="4"/>
  <c r="Y360" i="4"/>
  <c r="W360" i="4"/>
  <c r="V360" i="4"/>
  <c r="U360" i="4"/>
  <c r="R360" i="4"/>
  <c r="S360" i="4" s="1"/>
  <c r="Q360" i="4"/>
  <c r="O360" i="4"/>
  <c r="N360" i="4"/>
  <c r="M360" i="4"/>
  <c r="I360" i="4"/>
  <c r="H360" i="4"/>
  <c r="G360" i="4"/>
  <c r="F360" i="4"/>
  <c r="E360" i="4"/>
  <c r="D360" i="4"/>
  <c r="C360" i="4"/>
  <c r="X360" i="4" s="1"/>
  <c r="B360" i="4"/>
  <c r="A360" i="4"/>
  <c r="AF359" i="4"/>
  <c r="AE359" i="4"/>
  <c r="AD359" i="4"/>
  <c r="AC359" i="4"/>
  <c r="Y359" i="4"/>
  <c r="X359" i="4"/>
  <c r="W359" i="4"/>
  <c r="V359" i="4"/>
  <c r="U359" i="4"/>
  <c r="Q359" i="4"/>
  <c r="O359" i="4"/>
  <c r="N359" i="4"/>
  <c r="M359" i="4"/>
  <c r="J359" i="4"/>
  <c r="K359" i="4" s="1"/>
  <c r="I359" i="4"/>
  <c r="H359" i="4"/>
  <c r="G359" i="4"/>
  <c r="F359" i="4"/>
  <c r="E359" i="4"/>
  <c r="C359" i="4"/>
  <c r="B359" i="4"/>
  <c r="A359" i="4"/>
  <c r="AF358" i="4"/>
  <c r="AE358" i="4"/>
  <c r="AD358" i="4"/>
  <c r="AC358" i="4"/>
  <c r="AB358" i="4"/>
  <c r="Y358" i="4"/>
  <c r="W358" i="4"/>
  <c r="V358" i="4"/>
  <c r="U358" i="4"/>
  <c r="Q358" i="4"/>
  <c r="O358" i="4"/>
  <c r="N358" i="4"/>
  <c r="M358" i="4"/>
  <c r="J358" i="4"/>
  <c r="K358" i="4" s="1"/>
  <c r="I358" i="4"/>
  <c r="H358" i="4"/>
  <c r="G358" i="4"/>
  <c r="F358" i="4"/>
  <c r="E358" i="4"/>
  <c r="D358" i="4"/>
  <c r="C358" i="4"/>
  <c r="B358" i="4"/>
  <c r="A358" i="4"/>
  <c r="AF357" i="4"/>
  <c r="AE357" i="4"/>
  <c r="AD357" i="4"/>
  <c r="AC357" i="4"/>
  <c r="Y357" i="4"/>
  <c r="W357" i="4"/>
  <c r="V357" i="4"/>
  <c r="U357" i="4"/>
  <c r="Q357" i="4"/>
  <c r="P357" i="4"/>
  <c r="O357" i="4"/>
  <c r="N357" i="4"/>
  <c r="M357" i="4"/>
  <c r="I357" i="4"/>
  <c r="H357" i="4"/>
  <c r="G357" i="4"/>
  <c r="F357" i="4"/>
  <c r="E357" i="4"/>
  <c r="D357" i="4"/>
  <c r="C357" i="4"/>
  <c r="B357" i="4"/>
  <c r="A357" i="4"/>
  <c r="AF356" i="4"/>
  <c r="AE356" i="4"/>
  <c r="AD356" i="4"/>
  <c r="AC356" i="4"/>
  <c r="Y356" i="4"/>
  <c r="W356" i="4"/>
  <c r="V356" i="4"/>
  <c r="U356" i="4"/>
  <c r="Q356" i="4"/>
  <c r="O356" i="4"/>
  <c r="N356" i="4"/>
  <c r="M356" i="4"/>
  <c r="I356" i="4"/>
  <c r="H356" i="4"/>
  <c r="G356" i="4"/>
  <c r="F356" i="4"/>
  <c r="E356" i="4"/>
  <c r="C356" i="4"/>
  <c r="B356" i="4"/>
  <c r="A356" i="4"/>
  <c r="AF355" i="4"/>
  <c r="AE355" i="4"/>
  <c r="AD355" i="4"/>
  <c r="AC355" i="4"/>
  <c r="Y355" i="4"/>
  <c r="W355" i="4"/>
  <c r="V355" i="4"/>
  <c r="U355" i="4"/>
  <c r="Q355" i="4"/>
  <c r="O355" i="4"/>
  <c r="N355" i="4"/>
  <c r="M355" i="4"/>
  <c r="I355" i="4"/>
  <c r="H355" i="4"/>
  <c r="G355" i="4"/>
  <c r="F355" i="4"/>
  <c r="E355" i="4"/>
  <c r="D355" i="4"/>
  <c r="C355" i="4"/>
  <c r="B355" i="4"/>
  <c r="A355" i="4"/>
  <c r="AF354" i="4"/>
  <c r="AE354" i="4"/>
  <c r="AD354" i="4"/>
  <c r="AC354" i="4"/>
  <c r="Y354" i="4"/>
  <c r="X354" i="4"/>
  <c r="W354" i="4"/>
  <c r="V354" i="4"/>
  <c r="U354" i="4"/>
  <c r="Q354" i="4"/>
  <c r="P354" i="4"/>
  <c r="O354" i="4"/>
  <c r="N354" i="4"/>
  <c r="M354" i="4"/>
  <c r="J354" i="4"/>
  <c r="K354" i="4" s="1"/>
  <c r="I354" i="4"/>
  <c r="H354" i="4"/>
  <c r="G354" i="4"/>
  <c r="F354" i="4"/>
  <c r="E354" i="4"/>
  <c r="D354" i="4"/>
  <c r="C354" i="4"/>
  <c r="B354" i="4"/>
  <c r="A354" i="4"/>
  <c r="AF353" i="4"/>
  <c r="AE353" i="4"/>
  <c r="AD353" i="4"/>
  <c r="AC353" i="4"/>
  <c r="Y353" i="4"/>
  <c r="X353" i="4"/>
  <c r="W353" i="4"/>
  <c r="V353" i="4"/>
  <c r="U353" i="4"/>
  <c r="Q353" i="4"/>
  <c r="O353" i="4"/>
  <c r="N353" i="4"/>
  <c r="M353" i="4"/>
  <c r="I353" i="4"/>
  <c r="H353" i="4"/>
  <c r="G353" i="4"/>
  <c r="F353" i="4"/>
  <c r="E353" i="4"/>
  <c r="C353" i="4"/>
  <c r="B353" i="4"/>
  <c r="A353" i="4"/>
  <c r="AF352" i="4"/>
  <c r="AE352" i="4"/>
  <c r="AD352" i="4"/>
  <c r="AC352" i="4"/>
  <c r="AB352" i="4"/>
  <c r="Y352" i="4"/>
  <c r="W352" i="4"/>
  <c r="V352" i="4"/>
  <c r="U352" i="4"/>
  <c r="Q352" i="4"/>
  <c r="O352" i="4"/>
  <c r="N352" i="4"/>
  <c r="M352" i="4"/>
  <c r="K352" i="4"/>
  <c r="J352" i="4"/>
  <c r="I352" i="4"/>
  <c r="H352" i="4"/>
  <c r="G352" i="4"/>
  <c r="F352" i="4"/>
  <c r="E352" i="4"/>
  <c r="D352" i="4"/>
  <c r="C352" i="4"/>
  <c r="B352" i="4"/>
  <c r="A352" i="4"/>
  <c r="AF351" i="4"/>
  <c r="AE351" i="4"/>
  <c r="AD351" i="4"/>
  <c r="AC351" i="4"/>
  <c r="AB351" i="4"/>
  <c r="Y351" i="4"/>
  <c r="W351" i="4"/>
  <c r="V351" i="4"/>
  <c r="U351" i="4"/>
  <c r="Q351" i="4"/>
  <c r="O351" i="4"/>
  <c r="N351" i="4"/>
  <c r="M351" i="4"/>
  <c r="J351" i="4"/>
  <c r="K351" i="4" s="1"/>
  <c r="I351" i="4"/>
  <c r="H351" i="4"/>
  <c r="G351" i="4"/>
  <c r="F351" i="4"/>
  <c r="E351" i="4"/>
  <c r="D351" i="4"/>
  <c r="C351" i="4"/>
  <c r="B351" i="4"/>
  <c r="A351" i="4"/>
  <c r="AF350" i="4"/>
  <c r="AE350" i="4"/>
  <c r="AD350" i="4"/>
  <c r="AC350" i="4"/>
  <c r="Y350" i="4"/>
  <c r="W350" i="4"/>
  <c r="V350" i="4"/>
  <c r="U350" i="4"/>
  <c r="Q350" i="4"/>
  <c r="O350" i="4"/>
  <c r="N350" i="4"/>
  <c r="M350" i="4"/>
  <c r="J350" i="4"/>
  <c r="K350" i="4" s="1"/>
  <c r="I350" i="4"/>
  <c r="H350" i="4"/>
  <c r="G350" i="4"/>
  <c r="F350" i="4"/>
  <c r="E350" i="4"/>
  <c r="C350" i="4"/>
  <c r="B350" i="4"/>
  <c r="A350" i="4"/>
  <c r="AF349" i="4"/>
  <c r="AE349" i="4"/>
  <c r="AD349" i="4"/>
  <c r="AC349" i="4"/>
  <c r="Y349" i="4"/>
  <c r="W349" i="4"/>
  <c r="V349" i="4"/>
  <c r="U349" i="4"/>
  <c r="R349" i="4"/>
  <c r="S349" i="4" s="1"/>
  <c r="Q349" i="4"/>
  <c r="O349" i="4"/>
  <c r="N349" i="4"/>
  <c r="M349" i="4"/>
  <c r="I349" i="4"/>
  <c r="H349" i="4"/>
  <c r="G349" i="4"/>
  <c r="F349" i="4"/>
  <c r="E349" i="4"/>
  <c r="C349" i="4"/>
  <c r="B349" i="4"/>
  <c r="A349" i="4"/>
  <c r="AF348" i="4"/>
  <c r="AE348" i="4"/>
  <c r="AD348" i="4"/>
  <c r="AC348" i="4"/>
  <c r="Y348" i="4"/>
  <c r="X348" i="4"/>
  <c r="W348" i="4"/>
  <c r="V348" i="4"/>
  <c r="U348" i="4"/>
  <c r="Q348" i="4"/>
  <c r="P348" i="4"/>
  <c r="O348" i="4"/>
  <c r="N348" i="4"/>
  <c r="M348" i="4"/>
  <c r="J348" i="4"/>
  <c r="K348" i="4" s="1"/>
  <c r="I348" i="4"/>
  <c r="H348" i="4"/>
  <c r="G348" i="4"/>
  <c r="F348" i="4"/>
  <c r="E348" i="4"/>
  <c r="D348" i="4"/>
  <c r="C348" i="4"/>
  <c r="B348" i="4"/>
  <c r="A348" i="4"/>
  <c r="AF347" i="4"/>
  <c r="AE347" i="4"/>
  <c r="AD347" i="4"/>
  <c r="AC347" i="4"/>
  <c r="Y347" i="4"/>
  <c r="X347" i="4"/>
  <c r="W347" i="4"/>
  <c r="V347" i="4"/>
  <c r="U347" i="4"/>
  <c r="Q347" i="4"/>
  <c r="O347" i="4"/>
  <c r="N347" i="4"/>
  <c r="M347" i="4"/>
  <c r="K347" i="4"/>
  <c r="J347" i="4"/>
  <c r="I347" i="4"/>
  <c r="H347" i="4"/>
  <c r="G347" i="4"/>
  <c r="F347" i="4"/>
  <c r="E347" i="4"/>
  <c r="C347" i="4"/>
  <c r="B347" i="4"/>
  <c r="A347" i="4"/>
  <c r="AF346" i="4"/>
  <c r="AE346" i="4"/>
  <c r="AD346" i="4"/>
  <c r="AC346" i="4"/>
  <c r="Y346" i="4"/>
  <c r="W346" i="4"/>
  <c r="V346" i="4"/>
  <c r="U346" i="4"/>
  <c r="Q346" i="4"/>
  <c r="O346" i="4"/>
  <c r="N346" i="4"/>
  <c r="M346" i="4"/>
  <c r="I346" i="4"/>
  <c r="H346" i="4"/>
  <c r="G346" i="4"/>
  <c r="F346" i="4"/>
  <c r="E346" i="4"/>
  <c r="D346" i="4"/>
  <c r="C346" i="4"/>
  <c r="B346" i="4"/>
  <c r="A346" i="4"/>
  <c r="AF345" i="4"/>
  <c r="AE345" i="4"/>
  <c r="AD345" i="4"/>
  <c r="AC345" i="4"/>
  <c r="Y345" i="4"/>
  <c r="W345" i="4"/>
  <c r="V345" i="4"/>
  <c r="U345" i="4"/>
  <c r="R345" i="4"/>
  <c r="Q345" i="4"/>
  <c r="O345" i="4"/>
  <c r="N345" i="4"/>
  <c r="M345" i="4"/>
  <c r="I345" i="4"/>
  <c r="H345" i="4"/>
  <c r="G345" i="4"/>
  <c r="F345" i="4"/>
  <c r="E345" i="4"/>
  <c r="D345" i="4"/>
  <c r="C345" i="4"/>
  <c r="B345" i="4"/>
  <c r="A345" i="4"/>
  <c r="AF344" i="4"/>
  <c r="AE344" i="4"/>
  <c r="AD344" i="4"/>
  <c r="AC344" i="4"/>
  <c r="Y344" i="4"/>
  <c r="W344" i="4"/>
  <c r="V344" i="4"/>
  <c r="U344" i="4"/>
  <c r="Q344" i="4"/>
  <c r="O344" i="4"/>
  <c r="N344" i="4"/>
  <c r="M344" i="4"/>
  <c r="I344" i="4"/>
  <c r="H344" i="4"/>
  <c r="G344" i="4"/>
  <c r="F344" i="4"/>
  <c r="E344" i="4"/>
  <c r="C344" i="4"/>
  <c r="B344" i="4"/>
  <c r="A344" i="4"/>
  <c r="AF343" i="4"/>
  <c r="AE343" i="4"/>
  <c r="AD343" i="4"/>
  <c r="AC343" i="4"/>
  <c r="Y343" i="4"/>
  <c r="W343" i="4"/>
  <c r="V343" i="4"/>
  <c r="U343" i="4"/>
  <c r="R343" i="4"/>
  <c r="S343" i="4" s="1"/>
  <c r="Q343" i="4"/>
  <c r="O343" i="4"/>
  <c r="N343" i="4"/>
  <c r="M343" i="4"/>
  <c r="I343" i="4"/>
  <c r="H343" i="4"/>
  <c r="G343" i="4"/>
  <c r="F343" i="4"/>
  <c r="E343" i="4"/>
  <c r="D343" i="4"/>
  <c r="C343" i="4"/>
  <c r="P343" i="4" s="1"/>
  <c r="B343" i="4"/>
  <c r="A343" i="4"/>
  <c r="AF342" i="4"/>
  <c r="AE342" i="4"/>
  <c r="AD342" i="4"/>
  <c r="AC342" i="4"/>
  <c r="Z342" i="4"/>
  <c r="Y342" i="4"/>
  <c r="AB342" i="4" s="1"/>
  <c r="W342" i="4"/>
  <c r="V342" i="4"/>
  <c r="U342" i="4"/>
  <c r="Q342" i="4"/>
  <c r="O342" i="4"/>
  <c r="N342" i="4"/>
  <c r="M342" i="4"/>
  <c r="K342" i="4"/>
  <c r="I342" i="4"/>
  <c r="H342" i="4"/>
  <c r="G342" i="4"/>
  <c r="F342" i="4"/>
  <c r="E342" i="4"/>
  <c r="C342" i="4"/>
  <c r="J342" i="4" s="1"/>
  <c r="B342" i="4"/>
  <c r="A342" i="4"/>
  <c r="AF341" i="4"/>
  <c r="AE341" i="4"/>
  <c r="AD341" i="4"/>
  <c r="AC341" i="4"/>
  <c r="Y341" i="4"/>
  <c r="X341" i="4"/>
  <c r="W341" i="4"/>
  <c r="V341" i="4"/>
  <c r="U341" i="4"/>
  <c r="Q341" i="4"/>
  <c r="O341" i="4"/>
  <c r="N341" i="4"/>
  <c r="M341" i="4"/>
  <c r="J341" i="4"/>
  <c r="I341" i="4"/>
  <c r="H341" i="4"/>
  <c r="G341" i="4"/>
  <c r="K341" i="4" s="1"/>
  <c r="F341" i="4"/>
  <c r="E341" i="4"/>
  <c r="C341" i="4"/>
  <c r="B341" i="4"/>
  <c r="A341" i="4"/>
  <c r="AF340" i="4"/>
  <c r="AE340" i="4"/>
  <c r="AD340" i="4"/>
  <c r="AC340" i="4"/>
  <c r="Z340" i="4"/>
  <c r="Y340" i="4"/>
  <c r="W340" i="4"/>
  <c r="V340" i="4"/>
  <c r="U340" i="4"/>
  <c r="Q340" i="4"/>
  <c r="O340" i="4"/>
  <c r="N340" i="4"/>
  <c r="M340" i="4"/>
  <c r="J340" i="4"/>
  <c r="K340" i="4" s="1"/>
  <c r="I340" i="4"/>
  <c r="H340" i="4"/>
  <c r="G340" i="4"/>
  <c r="F340" i="4"/>
  <c r="E340" i="4"/>
  <c r="D340" i="4"/>
  <c r="C340" i="4"/>
  <c r="B340" i="4"/>
  <c r="A340" i="4"/>
  <c r="AF339" i="4"/>
  <c r="AE339" i="4"/>
  <c r="AD339" i="4"/>
  <c r="AC339" i="4"/>
  <c r="Y339" i="4"/>
  <c r="W339" i="4"/>
  <c r="V339" i="4"/>
  <c r="U339" i="4"/>
  <c r="R339" i="4"/>
  <c r="S339" i="4" s="1"/>
  <c r="Q339" i="4"/>
  <c r="O339" i="4"/>
  <c r="N339" i="4"/>
  <c r="M339" i="4"/>
  <c r="I339" i="4"/>
  <c r="H339" i="4"/>
  <c r="G339" i="4"/>
  <c r="F339" i="4"/>
  <c r="E339" i="4"/>
  <c r="D339" i="4"/>
  <c r="C339" i="4"/>
  <c r="B339" i="4"/>
  <c r="A339" i="4"/>
  <c r="AF338" i="4"/>
  <c r="AE338" i="4"/>
  <c r="AD338" i="4"/>
  <c r="AC338" i="4"/>
  <c r="Y338" i="4"/>
  <c r="W338" i="4"/>
  <c r="V338" i="4"/>
  <c r="U338" i="4"/>
  <c r="R338" i="4"/>
  <c r="S338" i="4" s="1"/>
  <c r="Q338" i="4"/>
  <c r="O338" i="4"/>
  <c r="N338" i="4"/>
  <c r="M338" i="4"/>
  <c r="I338" i="4"/>
  <c r="H338" i="4"/>
  <c r="G338" i="4"/>
  <c r="F338" i="4"/>
  <c r="E338" i="4"/>
  <c r="C338" i="4"/>
  <c r="B338" i="4"/>
  <c r="A338" i="4"/>
  <c r="AF337" i="4"/>
  <c r="AE337" i="4"/>
  <c r="AD337" i="4"/>
  <c r="AC337" i="4"/>
  <c r="Y337" i="4"/>
  <c r="W337" i="4"/>
  <c r="V337" i="4"/>
  <c r="U337" i="4"/>
  <c r="S337" i="4"/>
  <c r="R337" i="4"/>
  <c r="Q337" i="4"/>
  <c r="P337" i="4"/>
  <c r="O337" i="4"/>
  <c r="N337" i="4"/>
  <c r="M337" i="4"/>
  <c r="J337" i="4"/>
  <c r="K337" i="4" s="1"/>
  <c r="I337" i="4"/>
  <c r="H337" i="4"/>
  <c r="G337" i="4"/>
  <c r="F337" i="4"/>
  <c r="E337" i="4"/>
  <c r="D337" i="4"/>
  <c r="C337" i="4"/>
  <c r="B337" i="4"/>
  <c r="A337" i="4"/>
  <c r="AF336" i="4"/>
  <c r="AE336" i="4"/>
  <c r="AD336" i="4"/>
  <c r="AC336" i="4"/>
  <c r="Z336" i="4"/>
  <c r="Y336" i="4"/>
  <c r="AB336" i="4" s="1"/>
  <c r="X336" i="4"/>
  <c r="W336" i="4"/>
  <c r="V336" i="4"/>
  <c r="U336" i="4"/>
  <c r="Q336" i="4"/>
  <c r="P336" i="4"/>
  <c r="O336" i="4"/>
  <c r="N336" i="4"/>
  <c r="M336" i="4"/>
  <c r="J336" i="4"/>
  <c r="K336" i="4" s="1"/>
  <c r="I336" i="4"/>
  <c r="H336" i="4"/>
  <c r="G336" i="4"/>
  <c r="F336" i="4"/>
  <c r="E336" i="4"/>
  <c r="D336" i="4"/>
  <c r="C336" i="4"/>
  <c r="R336" i="4" s="1"/>
  <c r="S336" i="4" s="1"/>
  <c r="B336" i="4"/>
  <c r="A336" i="4"/>
  <c r="AF335" i="4"/>
  <c r="AE335" i="4"/>
  <c r="AD335" i="4"/>
  <c r="AC335" i="4"/>
  <c r="Y335" i="4"/>
  <c r="W335" i="4"/>
  <c r="V335" i="4"/>
  <c r="U335" i="4"/>
  <c r="Q335" i="4"/>
  <c r="O335" i="4"/>
  <c r="N335" i="4"/>
  <c r="M335" i="4"/>
  <c r="I335" i="4"/>
  <c r="H335" i="4"/>
  <c r="G335" i="4"/>
  <c r="F335" i="4"/>
  <c r="E335" i="4"/>
  <c r="C335" i="4"/>
  <c r="B335" i="4"/>
  <c r="A335" i="4"/>
  <c r="AF334" i="4"/>
  <c r="AE334" i="4"/>
  <c r="AD334" i="4"/>
  <c r="AC334" i="4"/>
  <c r="AA334" i="4"/>
  <c r="Z334" i="4"/>
  <c r="Y334" i="4"/>
  <c r="W334" i="4"/>
  <c r="V334" i="4"/>
  <c r="U334" i="4"/>
  <c r="Q334" i="4"/>
  <c r="O334" i="4"/>
  <c r="N334" i="4"/>
  <c r="M334" i="4"/>
  <c r="K334" i="4"/>
  <c r="J334" i="4"/>
  <c r="I334" i="4"/>
  <c r="H334" i="4"/>
  <c r="G334" i="4"/>
  <c r="F334" i="4"/>
  <c r="E334" i="4"/>
  <c r="C334" i="4"/>
  <c r="B334" i="4"/>
  <c r="A334" i="4"/>
  <c r="AF333" i="4"/>
  <c r="AE333" i="4"/>
  <c r="AD333" i="4"/>
  <c r="AC333" i="4"/>
  <c r="Y333" i="4"/>
  <c r="X333" i="4"/>
  <c r="W333" i="4"/>
  <c r="V333" i="4"/>
  <c r="U333" i="4"/>
  <c r="Q333" i="4"/>
  <c r="O333" i="4"/>
  <c r="N333" i="4"/>
  <c r="M333" i="4"/>
  <c r="J333" i="4"/>
  <c r="K333" i="4" s="1"/>
  <c r="I333" i="4"/>
  <c r="H333" i="4"/>
  <c r="G333" i="4"/>
  <c r="F333" i="4"/>
  <c r="E333" i="4"/>
  <c r="D333" i="4"/>
  <c r="C333" i="4"/>
  <c r="B333" i="4"/>
  <c r="A333" i="4"/>
  <c r="AF332" i="4"/>
  <c r="AE332" i="4"/>
  <c r="AD332" i="4"/>
  <c r="AC332" i="4"/>
  <c r="Y332" i="4"/>
  <c r="W332" i="4"/>
  <c r="V332" i="4"/>
  <c r="U332" i="4"/>
  <c r="Q332" i="4"/>
  <c r="O332" i="4"/>
  <c r="N332" i="4"/>
  <c r="M332" i="4"/>
  <c r="I332" i="4"/>
  <c r="H332" i="4"/>
  <c r="G332" i="4"/>
  <c r="F332" i="4"/>
  <c r="E332" i="4"/>
  <c r="C332" i="4"/>
  <c r="B332" i="4"/>
  <c r="A332" i="4"/>
  <c r="L332" i="4" s="1"/>
  <c r="AF331" i="4"/>
  <c r="AE331" i="4"/>
  <c r="AD331" i="4"/>
  <c r="AC331" i="4"/>
  <c r="Y331" i="4"/>
  <c r="W331" i="4"/>
  <c r="V331" i="4"/>
  <c r="U331" i="4"/>
  <c r="S331" i="4"/>
  <c r="R331" i="4"/>
  <c r="Q331" i="4"/>
  <c r="P331" i="4"/>
  <c r="O331" i="4"/>
  <c r="N331" i="4"/>
  <c r="M331" i="4"/>
  <c r="J331" i="4"/>
  <c r="K331" i="4" s="1"/>
  <c r="I331" i="4"/>
  <c r="H331" i="4"/>
  <c r="G331" i="4"/>
  <c r="F331" i="4"/>
  <c r="E331" i="4"/>
  <c r="D331" i="4"/>
  <c r="C331" i="4"/>
  <c r="B331" i="4"/>
  <c r="A331" i="4"/>
  <c r="AF330" i="4"/>
  <c r="AE330" i="4"/>
  <c r="AD330" i="4"/>
  <c r="AC330" i="4"/>
  <c r="Y330" i="4"/>
  <c r="X330" i="4"/>
  <c r="W330" i="4"/>
  <c r="V330" i="4"/>
  <c r="U330" i="4"/>
  <c r="Q330" i="4"/>
  <c r="O330" i="4"/>
  <c r="N330" i="4"/>
  <c r="M330" i="4"/>
  <c r="L330" i="4"/>
  <c r="J330" i="4"/>
  <c r="K330" i="4" s="1"/>
  <c r="I330" i="4"/>
  <c r="H330" i="4"/>
  <c r="G330" i="4"/>
  <c r="F330" i="4"/>
  <c r="E330" i="4"/>
  <c r="D330" i="4"/>
  <c r="C330" i="4"/>
  <c r="B330" i="4"/>
  <c r="A330" i="4"/>
  <c r="AF329" i="4"/>
  <c r="AE329" i="4"/>
  <c r="AD329" i="4"/>
  <c r="AC329" i="4"/>
  <c r="Z329" i="4"/>
  <c r="Y329" i="4"/>
  <c r="X329" i="4"/>
  <c r="W329" i="4"/>
  <c r="V329" i="4"/>
  <c r="U329" i="4"/>
  <c r="R329" i="4"/>
  <c r="S329" i="4" s="1"/>
  <c r="Q329" i="4"/>
  <c r="P329" i="4"/>
  <c r="O329" i="4"/>
  <c r="N329" i="4"/>
  <c r="M329" i="4"/>
  <c r="K329" i="4"/>
  <c r="J329" i="4"/>
  <c r="I329" i="4"/>
  <c r="H329" i="4"/>
  <c r="G329" i="4"/>
  <c r="F329" i="4"/>
  <c r="E329" i="4"/>
  <c r="C329" i="4"/>
  <c r="B329" i="4"/>
  <c r="A329" i="4"/>
  <c r="AF328" i="4"/>
  <c r="AE328" i="4"/>
  <c r="AD328" i="4"/>
  <c r="AC328" i="4"/>
  <c r="AA328" i="4"/>
  <c r="Z328" i="4"/>
  <c r="Y328" i="4"/>
  <c r="X328" i="4"/>
  <c r="W328" i="4"/>
  <c r="V328" i="4"/>
  <c r="U328" i="4"/>
  <c r="R328" i="4"/>
  <c r="Q328" i="4"/>
  <c r="O328" i="4"/>
  <c r="S328" i="4" s="1"/>
  <c r="N328" i="4"/>
  <c r="M328" i="4"/>
  <c r="J328" i="4"/>
  <c r="K328" i="4" s="1"/>
  <c r="I328" i="4"/>
  <c r="H328" i="4"/>
  <c r="G328" i="4"/>
  <c r="F328" i="4"/>
  <c r="E328" i="4"/>
  <c r="C328" i="4"/>
  <c r="P328" i="4" s="1"/>
  <c r="B328" i="4"/>
  <c r="A328" i="4"/>
  <c r="AF327" i="4"/>
  <c r="AE327" i="4"/>
  <c r="AD327" i="4"/>
  <c r="AC327" i="4"/>
  <c r="Y327" i="4"/>
  <c r="X327" i="4"/>
  <c r="W327" i="4"/>
  <c r="V327" i="4"/>
  <c r="U327" i="4"/>
  <c r="R327" i="4"/>
  <c r="S327" i="4" s="1"/>
  <c r="Q327" i="4"/>
  <c r="O327" i="4"/>
  <c r="N327" i="4"/>
  <c r="M327" i="4"/>
  <c r="L327" i="4"/>
  <c r="I327" i="4"/>
  <c r="H327" i="4"/>
  <c r="G327" i="4"/>
  <c r="F327" i="4"/>
  <c r="E327" i="4"/>
  <c r="D327" i="4"/>
  <c r="C327" i="4"/>
  <c r="B327" i="4"/>
  <c r="A327" i="4"/>
  <c r="AF326" i="4"/>
  <c r="AE326" i="4"/>
  <c r="AD326" i="4"/>
  <c r="AC326" i="4"/>
  <c r="Z326" i="4"/>
  <c r="Y326" i="4"/>
  <c r="X326" i="4"/>
  <c r="W326" i="4"/>
  <c r="V326" i="4"/>
  <c r="U326" i="4"/>
  <c r="R326" i="4"/>
  <c r="S326" i="4" s="1"/>
  <c r="Q326" i="4"/>
  <c r="P326" i="4"/>
  <c r="O326" i="4"/>
  <c r="N326" i="4"/>
  <c r="M326" i="4"/>
  <c r="J326" i="4"/>
  <c r="K326" i="4" s="1"/>
  <c r="I326" i="4"/>
  <c r="H326" i="4"/>
  <c r="G326" i="4"/>
  <c r="F326" i="4"/>
  <c r="E326" i="4"/>
  <c r="C326" i="4"/>
  <c r="B326" i="4"/>
  <c r="A326" i="4"/>
  <c r="AF325" i="4"/>
  <c r="AE325" i="4"/>
  <c r="AD325" i="4"/>
  <c r="AC325" i="4"/>
  <c r="Y325" i="4"/>
  <c r="W325" i="4"/>
  <c r="V325" i="4"/>
  <c r="U325" i="4"/>
  <c r="R325" i="4"/>
  <c r="Q325" i="4"/>
  <c r="O325" i="4"/>
  <c r="N325" i="4"/>
  <c r="M325" i="4"/>
  <c r="I325" i="4"/>
  <c r="H325" i="4"/>
  <c r="G325" i="4"/>
  <c r="F325" i="4"/>
  <c r="E325" i="4"/>
  <c r="C325" i="4"/>
  <c r="Z325" i="4" s="1"/>
  <c r="AA325" i="4" s="1"/>
  <c r="B325" i="4"/>
  <c r="A325" i="4"/>
  <c r="AF324" i="4"/>
  <c r="AE324" i="4"/>
  <c r="AD324" i="4"/>
  <c r="AC324" i="4"/>
  <c r="Y324" i="4"/>
  <c r="AB324" i="4" s="1"/>
  <c r="W324" i="4"/>
  <c r="V324" i="4"/>
  <c r="U324" i="4"/>
  <c r="R324" i="4"/>
  <c r="S324" i="4" s="1"/>
  <c r="Q324" i="4"/>
  <c r="P324" i="4"/>
  <c r="O324" i="4"/>
  <c r="N324" i="4"/>
  <c r="M324" i="4"/>
  <c r="I324" i="4"/>
  <c r="H324" i="4"/>
  <c r="G324" i="4"/>
  <c r="F324" i="4"/>
  <c r="E324" i="4"/>
  <c r="D324" i="4"/>
  <c r="C324" i="4"/>
  <c r="X324" i="4" s="1"/>
  <c r="B324" i="4"/>
  <c r="A324" i="4"/>
  <c r="AF323" i="4"/>
  <c r="AE323" i="4"/>
  <c r="AD323" i="4"/>
  <c r="AC323" i="4"/>
  <c r="Z323" i="4"/>
  <c r="Y323" i="4"/>
  <c r="X323" i="4"/>
  <c r="W323" i="4"/>
  <c r="V323" i="4"/>
  <c r="U323" i="4"/>
  <c r="S323" i="4"/>
  <c r="R323" i="4"/>
  <c r="Q323" i="4"/>
  <c r="P323" i="4"/>
  <c r="O323" i="4"/>
  <c r="N323" i="4"/>
  <c r="M323" i="4"/>
  <c r="K323" i="4"/>
  <c r="J323" i="4"/>
  <c r="I323" i="4"/>
  <c r="H323" i="4"/>
  <c r="G323" i="4"/>
  <c r="F323" i="4"/>
  <c r="E323" i="4"/>
  <c r="D323" i="4"/>
  <c r="C323" i="4"/>
  <c r="B323" i="4"/>
  <c r="A323" i="4"/>
  <c r="AF322" i="4"/>
  <c r="AE322" i="4"/>
  <c r="AD322" i="4"/>
  <c r="AC322" i="4"/>
  <c r="AA322" i="4"/>
  <c r="Y322" i="4"/>
  <c r="AB322" i="4" s="1"/>
  <c r="X322" i="4"/>
  <c r="W322" i="4"/>
  <c r="V322" i="4"/>
  <c r="U322" i="4"/>
  <c r="R322" i="4"/>
  <c r="S322" i="4" s="1"/>
  <c r="Q322" i="4"/>
  <c r="O322" i="4"/>
  <c r="N322" i="4"/>
  <c r="M322" i="4"/>
  <c r="J322" i="4"/>
  <c r="K322" i="4" s="1"/>
  <c r="I322" i="4"/>
  <c r="H322" i="4"/>
  <c r="G322" i="4"/>
  <c r="F322" i="4"/>
  <c r="E322" i="4"/>
  <c r="D322" i="4"/>
  <c r="C322" i="4"/>
  <c r="Z322" i="4" s="1"/>
  <c r="B322" i="4"/>
  <c r="A322" i="4"/>
  <c r="AF321" i="4"/>
  <c r="AE321" i="4"/>
  <c r="AD321" i="4"/>
  <c r="AC321" i="4"/>
  <c r="AB321" i="4"/>
  <c r="Y321" i="4"/>
  <c r="X321" i="4"/>
  <c r="W321" i="4"/>
  <c r="V321" i="4"/>
  <c r="U321" i="4"/>
  <c r="Q321" i="4"/>
  <c r="O321" i="4"/>
  <c r="N321" i="4"/>
  <c r="M321" i="4"/>
  <c r="J321" i="4"/>
  <c r="K321" i="4" s="1"/>
  <c r="I321" i="4"/>
  <c r="H321" i="4"/>
  <c r="G321" i="4"/>
  <c r="F321" i="4"/>
  <c r="E321" i="4"/>
  <c r="C321" i="4"/>
  <c r="P321" i="4" s="1"/>
  <c r="B321" i="4"/>
  <c r="A321" i="4"/>
  <c r="AF320" i="4"/>
  <c r="AE320" i="4"/>
  <c r="AD320" i="4"/>
  <c r="AC320" i="4"/>
  <c r="Z320" i="4"/>
  <c r="AA320" i="4" s="1"/>
  <c r="Y320" i="4"/>
  <c r="X320" i="4"/>
  <c r="W320" i="4"/>
  <c r="V320" i="4"/>
  <c r="U320" i="4"/>
  <c r="S320" i="4"/>
  <c r="R320" i="4"/>
  <c r="Q320" i="4"/>
  <c r="P320" i="4"/>
  <c r="O320" i="4"/>
  <c r="N320" i="4"/>
  <c r="M320" i="4"/>
  <c r="L320" i="4"/>
  <c r="J320" i="4"/>
  <c r="K320" i="4" s="1"/>
  <c r="I320" i="4"/>
  <c r="H320" i="4"/>
  <c r="G320" i="4"/>
  <c r="F320" i="4"/>
  <c r="E320" i="4"/>
  <c r="D320" i="4"/>
  <c r="C320" i="4"/>
  <c r="B320" i="4"/>
  <c r="A320" i="4"/>
  <c r="AF319" i="4"/>
  <c r="AE319" i="4"/>
  <c r="AD319" i="4"/>
  <c r="AC319" i="4"/>
  <c r="Y319" i="4"/>
  <c r="W319" i="4"/>
  <c r="V319" i="4"/>
  <c r="U319" i="4"/>
  <c r="Q319" i="4"/>
  <c r="O319" i="4"/>
  <c r="N319" i="4"/>
  <c r="M319" i="4"/>
  <c r="I319" i="4"/>
  <c r="H319" i="4"/>
  <c r="G319" i="4"/>
  <c r="F319" i="4"/>
  <c r="E319" i="4"/>
  <c r="D319" i="4"/>
  <c r="C319" i="4"/>
  <c r="B319" i="4"/>
  <c r="A319" i="4"/>
  <c r="AF318" i="4"/>
  <c r="AE318" i="4"/>
  <c r="AD318" i="4"/>
  <c r="AC318" i="4"/>
  <c r="Y318" i="4"/>
  <c r="X318" i="4"/>
  <c r="W318" i="4"/>
  <c r="V318" i="4"/>
  <c r="U318" i="4"/>
  <c r="Q318" i="4"/>
  <c r="O318" i="4"/>
  <c r="N318" i="4"/>
  <c r="M318" i="4"/>
  <c r="J318" i="4"/>
  <c r="K318" i="4" s="1"/>
  <c r="I318" i="4"/>
  <c r="L318" i="4" s="1"/>
  <c r="H318" i="4"/>
  <c r="G318" i="4"/>
  <c r="F318" i="4"/>
  <c r="E318" i="4"/>
  <c r="D318" i="4"/>
  <c r="C318" i="4"/>
  <c r="B318" i="4"/>
  <c r="A318" i="4"/>
  <c r="AF317" i="4"/>
  <c r="AE317" i="4"/>
  <c r="AD317" i="4"/>
  <c r="AC317" i="4"/>
  <c r="Z317" i="4"/>
  <c r="AA317" i="4" s="1"/>
  <c r="Y317" i="4"/>
  <c r="X317" i="4"/>
  <c r="W317" i="4"/>
  <c r="V317" i="4"/>
  <c r="U317" i="4"/>
  <c r="S317" i="4"/>
  <c r="R317" i="4"/>
  <c r="Q317" i="4"/>
  <c r="P317" i="4"/>
  <c r="O317" i="4"/>
  <c r="N317" i="4"/>
  <c r="M317" i="4"/>
  <c r="K317" i="4"/>
  <c r="J317" i="4"/>
  <c r="I317" i="4"/>
  <c r="H317" i="4"/>
  <c r="G317" i="4"/>
  <c r="F317" i="4"/>
  <c r="E317" i="4"/>
  <c r="C317" i="4"/>
  <c r="B317" i="4"/>
  <c r="A317" i="4"/>
  <c r="AF316" i="4"/>
  <c r="AE316" i="4"/>
  <c r="AD316" i="4"/>
  <c r="AC316" i="4"/>
  <c r="Z316" i="4"/>
  <c r="AA316" i="4" s="1"/>
  <c r="Y316" i="4"/>
  <c r="X316" i="4"/>
  <c r="W316" i="4"/>
  <c r="V316" i="4"/>
  <c r="U316" i="4"/>
  <c r="R316" i="4"/>
  <c r="S316" i="4" s="1"/>
  <c r="Q316" i="4"/>
  <c r="O316" i="4"/>
  <c r="N316" i="4"/>
  <c r="M316" i="4"/>
  <c r="J316" i="4"/>
  <c r="K316" i="4" s="1"/>
  <c r="I316" i="4"/>
  <c r="H316" i="4"/>
  <c r="G316" i="4"/>
  <c r="F316" i="4"/>
  <c r="E316" i="4"/>
  <c r="D316" i="4"/>
  <c r="C316" i="4"/>
  <c r="P316" i="4" s="1"/>
  <c r="B316" i="4"/>
  <c r="A316" i="4"/>
  <c r="AF315" i="4"/>
  <c r="AE315" i="4"/>
  <c r="AD315" i="4"/>
  <c r="AC315" i="4"/>
  <c r="Y315" i="4"/>
  <c r="W315" i="4"/>
  <c r="V315" i="4"/>
  <c r="U315" i="4"/>
  <c r="Q315" i="4"/>
  <c r="P315" i="4"/>
  <c r="O315" i="4"/>
  <c r="N315" i="4"/>
  <c r="M315" i="4"/>
  <c r="I315" i="4"/>
  <c r="L315" i="4" s="1"/>
  <c r="H315" i="4"/>
  <c r="G315" i="4"/>
  <c r="F315" i="4"/>
  <c r="E315" i="4"/>
  <c r="D315" i="4"/>
  <c r="C315" i="4"/>
  <c r="B315" i="4"/>
  <c r="A315" i="4"/>
  <c r="AF314" i="4"/>
  <c r="AE314" i="4"/>
  <c r="AD314" i="4"/>
  <c r="AC314" i="4"/>
  <c r="AB314" i="4"/>
  <c r="Z314" i="4"/>
  <c r="AA314" i="4" s="1"/>
  <c r="Y314" i="4"/>
  <c r="X314" i="4"/>
  <c r="W314" i="4"/>
  <c r="V314" i="4"/>
  <c r="U314" i="4"/>
  <c r="R314" i="4"/>
  <c r="S314" i="4" s="1"/>
  <c r="Q314" i="4"/>
  <c r="P314" i="4"/>
  <c r="O314" i="4"/>
  <c r="N314" i="4"/>
  <c r="M314" i="4"/>
  <c r="J314" i="4"/>
  <c r="K314" i="4" s="1"/>
  <c r="I314" i="4"/>
  <c r="H314" i="4"/>
  <c r="G314" i="4"/>
  <c r="F314" i="4"/>
  <c r="E314" i="4"/>
  <c r="D314" i="4"/>
  <c r="C314" i="4"/>
  <c r="B314" i="4"/>
  <c r="A314" i="4"/>
  <c r="AF313" i="4"/>
  <c r="AE313" i="4"/>
  <c r="AD313" i="4"/>
  <c r="AC313" i="4"/>
  <c r="Z313" i="4"/>
  <c r="AA313" i="4" s="1"/>
  <c r="Y313" i="4"/>
  <c r="X313" i="4"/>
  <c r="W313" i="4"/>
  <c r="V313" i="4"/>
  <c r="U313" i="4"/>
  <c r="R313" i="4"/>
  <c r="S313" i="4" s="1"/>
  <c r="Q313" i="4"/>
  <c r="P313" i="4"/>
  <c r="O313" i="4"/>
  <c r="N313" i="4"/>
  <c r="M313" i="4"/>
  <c r="J313" i="4"/>
  <c r="K313" i="4" s="1"/>
  <c r="I313" i="4"/>
  <c r="H313" i="4"/>
  <c r="G313" i="4"/>
  <c r="F313" i="4"/>
  <c r="E313" i="4"/>
  <c r="C313" i="4"/>
  <c r="B313" i="4"/>
  <c r="A313" i="4"/>
  <c r="D313" i="4" s="1"/>
  <c r="AF312" i="4"/>
  <c r="AE312" i="4"/>
  <c r="AD312" i="4"/>
  <c r="AC312" i="4"/>
  <c r="Y312" i="4"/>
  <c r="W312" i="4"/>
  <c r="V312" i="4"/>
  <c r="U312" i="4"/>
  <c r="R312" i="4"/>
  <c r="Q312" i="4"/>
  <c r="P312" i="4"/>
  <c r="O312" i="4"/>
  <c r="N312" i="4"/>
  <c r="M312" i="4"/>
  <c r="J312" i="4"/>
  <c r="K312" i="4" s="1"/>
  <c r="I312" i="4"/>
  <c r="H312" i="4"/>
  <c r="G312" i="4"/>
  <c r="F312" i="4"/>
  <c r="E312" i="4"/>
  <c r="C312" i="4"/>
  <c r="X312" i="4" s="1"/>
  <c r="B312" i="4"/>
  <c r="A312" i="4"/>
  <c r="AF311" i="4"/>
  <c r="AE311" i="4"/>
  <c r="AD311" i="4"/>
  <c r="AC311" i="4"/>
  <c r="Z311" i="4"/>
  <c r="Y311" i="4"/>
  <c r="X311" i="4"/>
  <c r="W311" i="4"/>
  <c r="V311" i="4"/>
  <c r="U311" i="4"/>
  <c r="S311" i="4"/>
  <c r="R311" i="4"/>
  <c r="Q311" i="4"/>
  <c r="P311" i="4"/>
  <c r="O311" i="4"/>
  <c r="N311" i="4"/>
  <c r="M311" i="4"/>
  <c r="L311" i="4"/>
  <c r="J311" i="4"/>
  <c r="I311" i="4"/>
  <c r="H311" i="4"/>
  <c r="G311" i="4"/>
  <c r="K311" i="4" s="1"/>
  <c r="F311" i="4"/>
  <c r="E311" i="4"/>
  <c r="C311" i="4"/>
  <c r="B311" i="4"/>
  <c r="A311" i="4"/>
  <c r="AF310" i="4"/>
  <c r="AE310" i="4"/>
  <c r="AD310" i="4"/>
  <c r="AC310" i="4"/>
  <c r="Y310" i="4"/>
  <c r="W310" i="4"/>
  <c r="V310" i="4"/>
  <c r="U310" i="4"/>
  <c r="Q310" i="4"/>
  <c r="P310" i="4"/>
  <c r="O310" i="4"/>
  <c r="N310" i="4"/>
  <c r="M310" i="4"/>
  <c r="I310" i="4"/>
  <c r="H310" i="4"/>
  <c r="G310" i="4"/>
  <c r="F310" i="4"/>
  <c r="E310" i="4"/>
  <c r="D310" i="4"/>
  <c r="C310" i="4"/>
  <c r="B310" i="4"/>
  <c r="A310" i="4"/>
  <c r="AF309" i="4"/>
  <c r="AE309" i="4"/>
  <c r="AD309" i="4"/>
  <c r="AC309" i="4"/>
  <c r="Z309" i="4"/>
  <c r="AA309" i="4" s="1"/>
  <c r="Y309" i="4"/>
  <c r="W309" i="4"/>
  <c r="V309" i="4"/>
  <c r="U309" i="4"/>
  <c r="R309" i="4"/>
  <c r="Q309" i="4"/>
  <c r="O309" i="4"/>
  <c r="N309" i="4"/>
  <c r="M309" i="4"/>
  <c r="I309" i="4"/>
  <c r="H309" i="4"/>
  <c r="G309" i="4"/>
  <c r="F309" i="4"/>
  <c r="E309" i="4"/>
  <c r="C309" i="4"/>
  <c r="B309" i="4"/>
  <c r="A309" i="4"/>
  <c r="D309" i="4" s="1"/>
  <c r="AF308" i="4"/>
  <c r="AE308" i="4"/>
  <c r="AD308" i="4"/>
  <c r="AC308" i="4"/>
  <c r="Z308" i="4"/>
  <c r="AA308" i="4" s="1"/>
  <c r="Y308" i="4"/>
  <c r="X308" i="4"/>
  <c r="W308" i="4"/>
  <c r="V308" i="4"/>
  <c r="U308" i="4"/>
  <c r="R308" i="4"/>
  <c r="S308" i="4" s="1"/>
  <c r="Q308" i="4"/>
  <c r="P308" i="4"/>
  <c r="O308" i="4"/>
  <c r="N308" i="4"/>
  <c r="M308" i="4"/>
  <c r="J308" i="4"/>
  <c r="I308" i="4"/>
  <c r="H308" i="4"/>
  <c r="G308" i="4"/>
  <c r="F308" i="4"/>
  <c r="E308" i="4"/>
  <c r="C308" i="4"/>
  <c r="B308" i="4"/>
  <c r="A308" i="4"/>
  <c r="AF307" i="4"/>
  <c r="AE307" i="4"/>
  <c r="AD307" i="4"/>
  <c r="AC307" i="4"/>
  <c r="AA307" i="4"/>
  <c r="Z307" i="4"/>
  <c r="Y307" i="4"/>
  <c r="X307" i="4"/>
  <c r="W307" i="4"/>
  <c r="V307" i="4"/>
  <c r="U307" i="4"/>
  <c r="R307" i="4"/>
  <c r="Q307" i="4"/>
  <c r="P307" i="4"/>
  <c r="O307" i="4"/>
  <c r="N307" i="4"/>
  <c r="M307" i="4"/>
  <c r="I307" i="4"/>
  <c r="H307" i="4"/>
  <c r="G307" i="4"/>
  <c r="F307" i="4"/>
  <c r="E307" i="4"/>
  <c r="C307" i="4"/>
  <c r="J307" i="4" s="1"/>
  <c r="B307" i="4"/>
  <c r="A307" i="4"/>
  <c r="AF306" i="4"/>
  <c r="AE306" i="4"/>
  <c r="AD306" i="4"/>
  <c r="AC306" i="4"/>
  <c r="Y306" i="4"/>
  <c r="X306" i="4"/>
  <c r="W306" i="4"/>
  <c r="V306" i="4"/>
  <c r="U306" i="4"/>
  <c r="Q306" i="4"/>
  <c r="O306" i="4"/>
  <c r="N306" i="4"/>
  <c r="M306" i="4"/>
  <c r="J306" i="4"/>
  <c r="I306" i="4"/>
  <c r="H306" i="4"/>
  <c r="G306" i="4"/>
  <c r="K306" i="4" s="1"/>
  <c r="F306" i="4"/>
  <c r="E306" i="4"/>
  <c r="C306" i="4"/>
  <c r="B306" i="4"/>
  <c r="A306" i="4"/>
  <c r="AF305" i="4"/>
  <c r="AE305" i="4"/>
  <c r="AD305" i="4"/>
  <c r="AC305" i="4"/>
  <c r="AB305" i="4"/>
  <c r="Y305" i="4"/>
  <c r="X305" i="4"/>
  <c r="W305" i="4"/>
  <c r="V305" i="4"/>
  <c r="U305" i="4"/>
  <c r="R305" i="4"/>
  <c r="Q305" i="4"/>
  <c r="O305" i="4"/>
  <c r="S305" i="4" s="1"/>
  <c r="N305" i="4"/>
  <c r="M305" i="4"/>
  <c r="I305" i="4"/>
  <c r="H305" i="4"/>
  <c r="G305" i="4"/>
  <c r="F305" i="4"/>
  <c r="E305" i="4"/>
  <c r="C305" i="4"/>
  <c r="B305" i="4"/>
  <c r="A305" i="4"/>
  <c r="AF304" i="4"/>
  <c r="AE304" i="4"/>
  <c r="AD304" i="4"/>
  <c r="AC304" i="4"/>
  <c r="Y304" i="4"/>
  <c r="W304" i="4"/>
  <c r="V304" i="4"/>
  <c r="U304" i="4"/>
  <c r="Q304" i="4"/>
  <c r="O304" i="4"/>
  <c r="N304" i="4"/>
  <c r="M304" i="4"/>
  <c r="I304" i="4"/>
  <c r="H304" i="4"/>
  <c r="G304" i="4"/>
  <c r="F304" i="4"/>
  <c r="E304" i="4"/>
  <c r="D304" i="4"/>
  <c r="C304" i="4"/>
  <c r="B304" i="4"/>
  <c r="A304" i="4"/>
  <c r="AF303" i="4"/>
  <c r="AE303" i="4"/>
  <c r="AD303" i="4"/>
  <c r="AC303" i="4"/>
  <c r="Y303" i="4"/>
  <c r="X303" i="4"/>
  <c r="W303" i="4"/>
  <c r="V303" i="4"/>
  <c r="U303" i="4"/>
  <c r="Q303" i="4"/>
  <c r="P303" i="4"/>
  <c r="O303" i="4"/>
  <c r="N303" i="4"/>
  <c r="M303" i="4"/>
  <c r="J303" i="4"/>
  <c r="I303" i="4"/>
  <c r="H303" i="4"/>
  <c r="G303" i="4"/>
  <c r="F303" i="4"/>
  <c r="E303" i="4"/>
  <c r="D303" i="4"/>
  <c r="C303" i="4"/>
  <c r="B303" i="4"/>
  <c r="A303" i="4"/>
  <c r="AF302" i="4"/>
  <c r="AE302" i="4"/>
  <c r="AD302" i="4"/>
  <c r="AC302" i="4"/>
  <c r="Y302" i="4"/>
  <c r="W302" i="4"/>
  <c r="V302" i="4"/>
  <c r="U302" i="4"/>
  <c r="Q302" i="4"/>
  <c r="O302" i="4"/>
  <c r="N302" i="4"/>
  <c r="M302" i="4"/>
  <c r="I302" i="4"/>
  <c r="H302" i="4"/>
  <c r="G302" i="4"/>
  <c r="F302" i="4"/>
  <c r="E302" i="4"/>
  <c r="C302" i="4"/>
  <c r="B302" i="4"/>
  <c r="A302" i="4"/>
  <c r="AF301" i="4"/>
  <c r="AE301" i="4"/>
  <c r="AD301" i="4"/>
  <c r="AC301" i="4"/>
  <c r="AB301" i="4"/>
  <c r="Z301" i="4"/>
  <c r="Y301" i="4"/>
  <c r="X301" i="4"/>
  <c r="W301" i="4"/>
  <c r="AA301" i="4" s="1"/>
  <c r="V301" i="4"/>
  <c r="U301" i="4"/>
  <c r="Q301" i="4"/>
  <c r="O301" i="4"/>
  <c r="N301" i="4"/>
  <c r="M301" i="4"/>
  <c r="I301" i="4"/>
  <c r="H301" i="4"/>
  <c r="G301" i="4"/>
  <c r="F301" i="4"/>
  <c r="E301" i="4"/>
  <c r="D301" i="4"/>
  <c r="C301" i="4"/>
  <c r="B301" i="4"/>
  <c r="A301" i="4"/>
  <c r="AF300" i="4"/>
  <c r="AE300" i="4"/>
  <c r="AD300" i="4"/>
  <c r="AC300" i="4"/>
  <c r="Y300" i="4"/>
  <c r="X300" i="4"/>
  <c r="W300" i="4"/>
  <c r="V300" i="4"/>
  <c r="U300" i="4"/>
  <c r="Q300" i="4"/>
  <c r="P300" i="4"/>
  <c r="O300" i="4"/>
  <c r="N300" i="4"/>
  <c r="M300" i="4"/>
  <c r="K300" i="4"/>
  <c r="J300" i="4"/>
  <c r="I300" i="4"/>
  <c r="H300" i="4"/>
  <c r="G300" i="4"/>
  <c r="F300" i="4"/>
  <c r="E300" i="4"/>
  <c r="C300" i="4"/>
  <c r="B300" i="4"/>
  <c r="A300" i="4"/>
  <c r="AF299" i="4"/>
  <c r="AE299" i="4"/>
  <c r="AD299" i="4"/>
  <c r="AC299" i="4"/>
  <c r="Y299" i="4"/>
  <c r="AB299" i="4" s="1"/>
  <c r="X299" i="4"/>
  <c r="W299" i="4"/>
  <c r="V299" i="4"/>
  <c r="U299" i="4"/>
  <c r="S299" i="4"/>
  <c r="R299" i="4"/>
  <c r="Q299" i="4"/>
  <c r="O299" i="4"/>
  <c r="N299" i="4"/>
  <c r="M299" i="4"/>
  <c r="I299" i="4"/>
  <c r="H299" i="4"/>
  <c r="G299" i="4"/>
  <c r="F299" i="4"/>
  <c r="E299" i="4"/>
  <c r="D299" i="4"/>
  <c r="C299" i="4"/>
  <c r="B299" i="4"/>
  <c r="A299" i="4"/>
  <c r="AF298" i="4"/>
  <c r="AE298" i="4"/>
  <c r="AD298" i="4"/>
  <c r="AC298" i="4"/>
  <c r="Z298" i="4"/>
  <c r="AA298" i="4" s="1"/>
  <c r="Y298" i="4"/>
  <c r="X298" i="4"/>
  <c r="W298" i="4"/>
  <c r="V298" i="4"/>
  <c r="U298" i="4"/>
  <c r="Q298" i="4"/>
  <c r="O298" i="4"/>
  <c r="N298" i="4"/>
  <c r="M298" i="4"/>
  <c r="I298" i="4"/>
  <c r="H298" i="4"/>
  <c r="G298" i="4"/>
  <c r="F298" i="4"/>
  <c r="E298" i="4"/>
  <c r="D298" i="4"/>
  <c r="C298" i="4"/>
  <c r="B298" i="4"/>
  <c r="A298" i="4"/>
  <c r="AB298" i="4" s="1"/>
  <c r="AF297" i="4"/>
  <c r="AE297" i="4"/>
  <c r="AD297" i="4"/>
  <c r="AC297" i="4"/>
  <c r="AB297" i="4"/>
  <c r="Y297" i="4"/>
  <c r="W297" i="4"/>
  <c r="V297" i="4"/>
  <c r="U297" i="4"/>
  <c r="Q297" i="4"/>
  <c r="P297" i="4"/>
  <c r="O297" i="4"/>
  <c r="N297" i="4"/>
  <c r="M297" i="4"/>
  <c r="L297" i="4"/>
  <c r="J297" i="4"/>
  <c r="I297" i="4"/>
  <c r="H297" i="4"/>
  <c r="G297" i="4"/>
  <c r="F297" i="4"/>
  <c r="E297" i="4"/>
  <c r="C297" i="4"/>
  <c r="B297" i="4"/>
  <c r="A297" i="4"/>
  <c r="D297" i="4" s="1"/>
  <c r="AF296" i="4"/>
  <c r="AE296" i="4"/>
  <c r="AD296" i="4"/>
  <c r="AC296" i="4"/>
  <c r="Y296" i="4"/>
  <c r="X296" i="4"/>
  <c r="W296" i="4"/>
  <c r="V296" i="4"/>
  <c r="U296" i="4"/>
  <c r="Q296" i="4"/>
  <c r="O296" i="4"/>
  <c r="N296" i="4"/>
  <c r="M296" i="4"/>
  <c r="L296" i="4"/>
  <c r="I296" i="4"/>
  <c r="H296" i="4"/>
  <c r="G296" i="4"/>
  <c r="F296" i="4"/>
  <c r="E296" i="4"/>
  <c r="D296" i="4"/>
  <c r="C296" i="4"/>
  <c r="B296" i="4"/>
  <c r="A296" i="4"/>
  <c r="AF295" i="4"/>
  <c r="AE295" i="4"/>
  <c r="AD295" i="4"/>
  <c r="AC295" i="4"/>
  <c r="Z295" i="4"/>
  <c r="AA295" i="4" s="1"/>
  <c r="Y295" i="4"/>
  <c r="X295" i="4"/>
  <c r="W295" i="4"/>
  <c r="V295" i="4"/>
  <c r="U295" i="4"/>
  <c r="Q295" i="4"/>
  <c r="O295" i="4"/>
  <c r="N295" i="4"/>
  <c r="M295" i="4"/>
  <c r="I295" i="4"/>
  <c r="H295" i="4"/>
  <c r="G295" i="4"/>
  <c r="F295" i="4"/>
  <c r="E295" i="4"/>
  <c r="D295" i="4"/>
  <c r="C295" i="4"/>
  <c r="B295" i="4"/>
  <c r="A295" i="4"/>
  <c r="AF294" i="4"/>
  <c r="AE294" i="4"/>
  <c r="AD294" i="4"/>
  <c r="AC294" i="4"/>
  <c r="AB294" i="4"/>
  <c r="Y294" i="4"/>
  <c r="W294" i="4"/>
  <c r="V294" i="4"/>
  <c r="U294" i="4"/>
  <c r="Q294" i="4"/>
  <c r="P294" i="4"/>
  <c r="O294" i="4"/>
  <c r="N294" i="4"/>
  <c r="M294" i="4"/>
  <c r="I294" i="4"/>
  <c r="H294" i="4"/>
  <c r="G294" i="4"/>
  <c r="F294" i="4"/>
  <c r="E294" i="4"/>
  <c r="D294" i="4"/>
  <c r="C294" i="4"/>
  <c r="B294" i="4"/>
  <c r="A294" i="4"/>
  <c r="AF293" i="4"/>
  <c r="AE293" i="4"/>
  <c r="AD293" i="4"/>
  <c r="AC293" i="4"/>
  <c r="Y293" i="4"/>
  <c r="W293" i="4"/>
  <c r="V293" i="4"/>
  <c r="U293" i="4"/>
  <c r="R293" i="4"/>
  <c r="S293" i="4" s="1"/>
  <c r="Q293" i="4"/>
  <c r="O293" i="4"/>
  <c r="N293" i="4"/>
  <c r="M293" i="4"/>
  <c r="I293" i="4"/>
  <c r="H293" i="4"/>
  <c r="G293" i="4"/>
  <c r="F293" i="4"/>
  <c r="E293" i="4"/>
  <c r="C293" i="4"/>
  <c r="B293" i="4"/>
  <c r="A293" i="4"/>
  <c r="AF292" i="4"/>
  <c r="AE292" i="4"/>
  <c r="AD292" i="4"/>
  <c r="AC292" i="4"/>
  <c r="Z292" i="4"/>
  <c r="AA292" i="4" s="1"/>
  <c r="Y292" i="4"/>
  <c r="AB292" i="4" s="1"/>
  <c r="W292" i="4"/>
  <c r="V292" i="4"/>
  <c r="U292" i="4"/>
  <c r="Q292" i="4"/>
  <c r="O292" i="4"/>
  <c r="N292" i="4"/>
  <c r="M292" i="4"/>
  <c r="I292" i="4"/>
  <c r="H292" i="4"/>
  <c r="G292" i="4"/>
  <c r="F292" i="4"/>
  <c r="E292" i="4"/>
  <c r="C292" i="4"/>
  <c r="X292" i="4" s="1"/>
  <c r="B292" i="4"/>
  <c r="A292" i="4"/>
  <c r="D292" i="4" s="1"/>
  <c r="AF291" i="4"/>
  <c r="AE291" i="4"/>
  <c r="AD291" i="4"/>
  <c r="AC291" i="4"/>
  <c r="Y291" i="4"/>
  <c r="AB291" i="4" s="1"/>
  <c r="W291" i="4"/>
  <c r="V291" i="4"/>
  <c r="U291" i="4"/>
  <c r="Q291" i="4"/>
  <c r="P291" i="4"/>
  <c r="O291" i="4"/>
  <c r="N291" i="4"/>
  <c r="M291" i="4"/>
  <c r="J291" i="4"/>
  <c r="K291" i="4" s="1"/>
  <c r="I291" i="4"/>
  <c r="H291" i="4"/>
  <c r="G291" i="4"/>
  <c r="F291" i="4"/>
  <c r="E291" i="4"/>
  <c r="D291" i="4"/>
  <c r="C291" i="4"/>
  <c r="B291" i="4"/>
  <c r="A291" i="4"/>
  <c r="AF290" i="4"/>
  <c r="AE290" i="4"/>
  <c r="AD290" i="4"/>
  <c r="AC290" i="4"/>
  <c r="Y290" i="4"/>
  <c r="X290" i="4"/>
  <c r="W290" i="4"/>
  <c r="V290" i="4"/>
  <c r="U290" i="4"/>
  <c r="Q290" i="4"/>
  <c r="O290" i="4"/>
  <c r="N290" i="4"/>
  <c r="M290" i="4"/>
  <c r="I290" i="4"/>
  <c r="H290" i="4"/>
  <c r="G290" i="4"/>
  <c r="F290" i="4"/>
  <c r="E290" i="4"/>
  <c r="D290" i="4"/>
  <c r="C290" i="4"/>
  <c r="B290" i="4"/>
  <c r="A290" i="4"/>
  <c r="AF289" i="4"/>
  <c r="AE289" i="4"/>
  <c r="AD289" i="4"/>
  <c r="AC289" i="4"/>
  <c r="AA289" i="4"/>
  <c r="Z289" i="4"/>
  <c r="Y289" i="4"/>
  <c r="X289" i="4"/>
  <c r="W289" i="4"/>
  <c r="V289" i="4"/>
  <c r="U289" i="4"/>
  <c r="Q289" i="4"/>
  <c r="O289" i="4"/>
  <c r="N289" i="4"/>
  <c r="M289" i="4"/>
  <c r="I289" i="4"/>
  <c r="H289" i="4"/>
  <c r="G289" i="4"/>
  <c r="F289" i="4"/>
  <c r="E289" i="4"/>
  <c r="C289" i="4"/>
  <c r="B289" i="4"/>
  <c r="A289" i="4"/>
  <c r="AF288" i="4"/>
  <c r="AE288" i="4"/>
  <c r="AD288" i="4"/>
  <c r="AC288" i="4"/>
  <c r="Y288" i="4"/>
  <c r="X288" i="4"/>
  <c r="W288" i="4"/>
  <c r="V288" i="4"/>
  <c r="U288" i="4"/>
  <c r="Q288" i="4"/>
  <c r="O288" i="4"/>
  <c r="N288" i="4"/>
  <c r="M288" i="4"/>
  <c r="J288" i="4"/>
  <c r="I288" i="4"/>
  <c r="H288" i="4"/>
  <c r="G288" i="4"/>
  <c r="K288" i="4" s="1"/>
  <c r="F288" i="4"/>
  <c r="E288" i="4"/>
  <c r="C288" i="4"/>
  <c r="B288" i="4"/>
  <c r="A288" i="4"/>
  <c r="AF287" i="4"/>
  <c r="AE287" i="4"/>
  <c r="AD287" i="4"/>
  <c r="AC287" i="4"/>
  <c r="AB287" i="4"/>
  <c r="Y287" i="4"/>
  <c r="W287" i="4"/>
  <c r="V287" i="4"/>
  <c r="U287" i="4"/>
  <c r="S287" i="4"/>
  <c r="R287" i="4"/>
  <c r="Q287" i="4"/>
  <c r="O287" i="4"/>
  <c r="N287" i="4"/>
  <c r="M287" i="4"/>
  <c r="I287" i="4"/>
  <c r="H287" i="4"/>
  <c r="G287" i="4"/>
  <c r="F287" i="4"/>
  <c r="E287" i="4"/>
  <c r="D287" i="4"/>
  <c r="C287" i="4"/>
  <c r="B287" i="4"/>
  <c r="A287" i="4"/>
  <c r="AF286" i="4"/>
  <c r="AE286" i="4"/>
  <c r="AD286" i="4"/>
  <c r="AC286" i="4"/>
  <c r="Y286" i="4"/>
  <c r="X286" i="4"/>
  <c r="W286" i="4"/>
  <c r="V286" i="4"/>
  <c r="U286" i="4"/>
  <c r="Q286" i="4"/>
  <c r="P286" i="4"/>
  <c r="O286" i="4"/>
  <c r="N286" i="4"/>
  <c r="M286" i="4"/>
  <c r="I286" i="4"/>
  <c r="H286" i="4"/>
  <c r="G286" i="4"/>
  <c r="F286" i="4"/>
  <c r="E286" i="4"/>
  <c r="C286" i="4"/>
  <c r="B286" i="4"/>
  <c r="A286" i="4"/>
  <c r="AF285" i="4"/>
  <c r="AE285" i="4"/>
  <c r="AD285" i="4"/>
  <c r="AC285" i="4"/>
  <c r="Y285" i="4"/>
  <c r="W285" i="4"/>
  <c r="V285" i="4"/>
  <c r="U285" i="4"/>
  <c r="Q285" i="4"/>
  <c r="P285" i="4"/>
  <c r="O285" i="4"/>
  <c r="N285" i="4"/>
  <c r="M285" i="4"/>
  <c r="J285" i="4"/>
  <c r="I285" i="4"/>
  <c r="H285" i="4"/>
  <c r="G285" i="4"/>
  <c r="F285" i="4"/>
  <c r="E285" i="4"/>
  <c r="C285" i="4"/>
  <c r="B285" i="4"/>
  <c r="A285" i="4"/>
  <c r="AF284" i="4"/>
  <c r="AE284" i="4"/>
  <c r="AD284" i="4"/>
  <c r="AC284" i="4"/>
  <c r="Y284" i="4"/>
  <c r="AB284" i="4" s="1"/>
  <c r="X284" i="4"/>
  <c r="W284" i="4"/>
  <c r="V284" i="4"/>
  <c r="U284" i="4"/>
  <c r="Q284" i="4"/>
  <c r="O284" i="4"/>
  <c r="N284" i="4"/>
  <c r="M284" i="4"/>
  <c r="L284" i="4"/>
  <c r="I284" i="4"/>
  <c r="H284" i="4"/>
  <c r="G284" i="4"/>
  <c r="F284" i="4"/>
  <c r="E284" i="4"/>
  <c r="C284" i="4"/>
  <c r="B284" i="4"/>
  <c r="A284" i="4"/>
  <c r="D284" i="4" s="1"/>
  <c r="AF283" i="4"/>
  <c r="AE283" i="4"/>
  <c r="AD283" i="4"/>
  <c r="AC283" i="4"/>
  <c r="Z283" i="4"/>
  <c r="AA283" i="4" s="1"/>
  <c r="Y283" i="4"/>
  <c r="X283" i="4"/>
  <c r="W283" i="4"/>
  <c r="V283" i="4"/>
  <c r="U283" i="4"/>
  <c r="Q283" i="4"/>
  <c r="O283" i="4"/>
  <c r="N283" i="4"/>
  <c r="M283" i="4"/>
  <c r="I283" i="4"/>
  <c r="H283" i="4"/>
  <c r="G283" i="4"/>
  <c r="F283" i="4"/>
  <c r="E283" i="4"/>
  <c r="D283" i="4"/>
  <c r="C283" i="4"/>
  <c r="B283" i="4"/>
  <c r="A283" i="4"/>
  <c r="AF282" i="4"/>
  <c r="AE282" i="4"/>
  <c r="AD282" i="4"/>
  <c r="AC282" i="4"/>
  <c r="Y282" i="4"/>
  <c r="W282" i="4"/>
  <c r="V282" i="4"/>
  <c r="U282" i="4"/>
  <c r="Q282" i="4"/>
  <c r="O282" i="4"/>
  <c r="N282" i="4"/>
  <c r="M282" i="4"/>
  <c r="I282" i="4"/>
  <c r="H282" i="4"/>
  <c r="G282" i="4"/>
  <c r="F282" i="4"/>
  <c r="E282" i="4"/>
  <c r="D282" i="4"/>
  <c r="C282" i="4"/>
  <c r="B282" i="4"/>
  <c r="A282" i="4"/>
  <c r="AB282" i="4" s="1"/>
  <c r="AF281" i="4"/>
  <c r="AE281" i="4"/>
  <c r="AD281" i="4"/>
  <c r="AC281" i="4"/>
  <c r="Y281" i="4"/>
  <c r="W281" i="4"/>
  <c r="V281" i="4"/>
  <c r="U281" i="4"/>
  <c r="R281" i="4"/>
  <c r="S281" i="4" s="1"/>
  <c r="Q281" i="4"/>
  <c r="O281" i="4"/>
  <c r="N281" i="4"/>
  <c r="M281" i="4"/>
  <c r="I281" i="4"/>
  <c r="H281" i="4"/>
  <c r="G281" i="4"/>
  <c r="F281" i="4"/>
  <c r="E281" i="4"/>
  <c r="C281" i="4"/>
  <c r="B281" i="4"/>
  <c r="A281" i="4"/>
  <c r="AF280" i="4"/>
  <c r="AE280" i="4"/>
  <c r="AD280" i="4"/>
  <c r="AC280" i="4"/>
  <c r="Z280" i="4"/>
  <c r="AA280" i="4" s="1"/>
  <c r="Y280" i="4"/>
  <c r="X280" i="4"/>
  <c r="W280" i="4"/>
  <c r="V280" i="4"/>
  <c r="U280" i="4"/>
  <c r="Q280" i="4"/>
  <c r="O280" i="4"/>
  <c r="N280" i="4"/>
  <c r="M280" i="4"/>
  <c r="I280" i="4"/>
  <c r="H280" i="4"/>
  <c r="G280" i="4"/>
  <c r="F280" i="4"/>
  <c r="E280" i="4"/>
  <c r="D280" i="4"/>
  <c r="C280" i="4"/>
  <c r="B280" i="4"/>
  <c r="A280" i="4"/>
  <c r="AB280" i="4" s="1"/>
  <c r="AF279" i="4"/>
  <c r="AE279" i="4"/>
  <c r="AD279" i="4"/>
  <c r="AC279" i="4"/>
  <c r="Y279" i="4"/>
  <c r="AB279" i="4" s="1"/>
  <c r="W279" i="4"/>
  <c r="V279" i="4"/>
  <c r="U279" i="4"/>
  <c r="Q279" i="4"/>
  <c r="P279" i="4"/>
  <c r="O279" i="4"/>
  <c r="N279" i="4"/>
  <c r="M279" i="4"/>
  <c r="J279" i="4"/>
  <c r="K279" i="4" s="1"/>
  <c r="I279" i="4"/>
  <c r="L279" i="4" s="1"/>
  <c r="H279" i="4"/>
  <c r="G279" i="4"/>
  <c r="F279" i="4"/>
  <c r="E279" i="4"/>
  <c r="D279" i="4"/>
  <c r="C279" i="4"/>
  <c r="B279" i="4"/>
  <c r="A279" i="4"/>
  <c r="AF278" i="4"/>
  <c r="AE278" i="4"/>
  <c r="AD278" i="4"/>
  <c r="AC278" i="4"/>
  <c r="AB278" i="4"/>
  <c r="Y278" i="4"/>
  <c r="W278" i="4"/>
  <c r="V278" i="4"/>
  <c r="U278" i="4"/>
  <c r="Q278" i="4"/>
  <c r="P278" i="4"/>
  <c r="O278" i="4"/>
  <c r="N278" i="4"/>
  <c r="M278" i="4"/>
  <c r="I278" i="4"/>
  <c r="H278" i="4"/>
  <c r="G278" i="4"/>
  <c r="F278" i="4"/>
  <c r="E278" i="4"/>
  <c r="C278" i="4"/>
  <c r="B278" i="4"/>
  <c r="A278" i="4"/>
  <c r="AF277" i="4"/>
  <c r="AE277" i="4"/>
  <c r="AD277" i="4"/>
  <c r="AC277" i="4"/>
  <c r="AB277" i="4"/>
  <c r="Z277" i="4"/>
  <c r="Y277" i="4"/>
  <c r="X277" i="4"/>
  <c r="W277" i="4"/>
  <c r="V277" i="4"/>
  <c r="U277" i="4"/>
  <c r="Q277" i="4"/>
  <c r="O277" i="4"/>
  <c r="N277" i="4"/>
  <c r="M277" i="4"/>
  <c r="I277" i="4"/>
  <c r="H277" i="4"/>
  <c r="G277" i="4"/>
  <c r="F277" i="4"/>
  <c r="E277" i="4"/>
  <c r="C277" i="4"/>
  <c r="B277" i="4"/>
  <c r="A277" i="4"/>
  <c r="AF276" i="4"/>
  <c r="AE276" i="4"/>
  <c r="AD276" i="4"/>
  <c r="AC276" i="4"/>
  <c r="Y276" i="4"/>
  <c r="W276" i="4"/>
  <c r="V276" i="4"/>
  <c r="U276" i="4"/>
  <c r="Q276" i="4"/>
  <c r="O276" i="4"/>
  <c r="N276" i="4"/>
  <c r="M276" i="4"/>
  <c r="I276" i="4"/>
  <c r="H276" i="4"/>
  <c r="G276" i="4"/>
  <c r="F276" i="4"/>
  <c r="E276" i="4"/>
  <c r="C276" i="4"/>
  <c r="B276" i="4"/>
  <c r="A276" i="4"/>
  <c r="D276" i="4" s="1"/>
  <c r="AF275" i="4"/>
  <c r="AE275" i="4"/>
  <c r="AD275" i="4"/>
  <c r="AC275" i="4"/>
  <c r="Y275" i="4"/>
  <c r="AB275" i="4" s="1"/>
  <c r="W275" i="4"/>
  <c r="V275" i="4"/>
  <c r="U275" i="4"/>
  <c r="R275" i="4"/>
  <c r="S275" i="4" s="1"/>
  <c r="Q275" i="4"/>
  <c r="O275" i="4"/>
  <c r="N275" i="4"/>
  <c r="M275" i="4"/>
  <c r="I275" i="4"/>
  <c r="H275" i="4"/>
  <c r="G275" i="4"/>
  <c r="F275" i="4"/>
  <c r="E275" i="4"/>
  <c r="D275" i="4"/>
  <c r="C275" i="4"/>
  <c r="B275" i="4"/>
  <c r="A275" i="4"/>
  <c r="AF274" i="4"/>
  <c r="AE274" i="4"/>
  <c r="AD274" i="4"/>
  <c r="AC274" i="4"/>
  <c r="Z274" i="4"/>
  <c r="AA274" i="4" s="1"/>
  <c r="Y274" i="4"/>
  <c r="W274" i="4"/>
  <c r="V274" i="4"/>
  <c r="U274" i="4"/>
  <c r="Q274" i="4"/>
  <c r="O274" i="4"/>
  <c r="N274" i="4"/>
  <c r="M274" i="4"/>
  <c r="I274" i="4"/>
  <c r="H274" i="4"/>
  <c r="G274" i="4"/>
  <c r="F274" i="4"/>
  <c r="E274" i="4"/>
  <c r="D274" i="4"/>
  <c r="C274" i="4"/>
  <c r="P274" i="4" s="1"/>
  <c r="B274" i="4"/>
  <c r="A274" i="4"/>
  <c r="AF273" i="4"/>
  <c r="AE273" i="4"/>
  <c r="AD273" i="4"/>
  <c r="AC273" i="4"/>
  <c r="Y273" i="4"/>
  <c r="W273" i="4"/>
  <c r="V273" i="4"/>
  <c r="U273" i="4"/>
  <c r="Q273" i="4"/>
  <c r="O273" i="4"/>
  <c r="N273" i="4"/>
  <c r="M273" i="4"/>
  <c r="I273" i="4"/>
  <c r="H273" i="4"/>
  <c r="G273" i="4"/>
  <c r="F273" i="4"/>
  <c r="E273" i="4"/>
  <c r="C273" i="4"/>
  <c r="B273" i="4"/>
  <c r="A273" i="4"/>
  <c r="AF272" i="4"/>
  <c r="AE272" i="4"/>
  <c r="AD272" i="4"/>
  <c r="AC272" i="4"/>
  <c r="AA272" i="4"/>
  <c r="Y272" i="4"/>
  <c r="X272" i="4"/>
  <c r="W272" i="4"/>
  <c r="V272" i="4"/>
  <c r="U272" i="4"/>
  <c r="R272" i="4"/>
  <c r="S272" i="4" s="1"/>
  <c r="Q272" i="4"/>
  <c r="O272" i="4"/>
  <c r="N272" i="4"/>
  <c r="M272" i="4"/>
  <c r="J272" i="4"/>
  <c r="K272" i="4" s="1"/>
  <c r="I272" i="4"/>
  <c r="H272" i="4"/>
  <c r="G272" i="4"/>
  <c r="F272" i="4"/>
  <c r="E272" i="4"/>
  <c r="D272" i="4"/>
  <c r="C272" i="4"/>
  <c r="Z272" i="4" s="1"/>
  <c r="B272" i="4"/>
  <c r="A272" i="4"/>
  <c r="AB272" i="4" s="1"/>
  <c r="AF271" i="4"/>
  <c r="AE271" i="4"/>
  <c r="AD271" i="4"/>
  <c r="AC271" i="4"/>
  <c r="Z271" i="4"/>
  <c r="AA271" i="4" s="1"/>
  <c r="Y271" i="4"/>
  <c r="X271" i="4"/>
  <c r="W271" i="4"/>
  <c r="V271" i="4"/>
  <c r="U271" i="4"/>
  <c r="R271" i="4"/>
  <c r="S271" i="4" s="1"/>
  <c r="Q271" i="4"/>
  <c r="O271" i="4"/>
  <c r="N271" i="4"/>
  <c r="M271" i="4"/>
  <c r="K271" i="4"/>
  <c r="I271" i="4"/>
  <c r="H271" i="4"/>
  <c r="G271" i="4"/>
  <c r="F271" i="4"/>
  <c r="E271" i="4"/>
  <c r="C271" i="4"/>
  <c r="J271" i="4" s="1"/>
  <c r="B271" i="4"/>
  <c r="A271" i="4"/>
  <c r="AF270" i="4"/>
  <c r="AE270" i="4"/>
  <c r="AD270" i="4"/>
  <c r="AC270" i="4"/>
  <c r="Y270" i="4"/>
  <c r="AB270" i="4" s="1"/>
  <c r="X270" i="4"/>
  <c r="W270" i="4"/>
  <c r="V270" i="4"/>
  <c r="U270" i="4"/>
  <c r="Q270" i="4"/>
  <c r="O270" i="4"/>
  <c r="N270" i="4"/>
  <c r="M270" i="4"/>
  <c r="J270" i="4"/>
  <c r="K270" i="4" s="1"/>
  <c r="I270" i="4"/>
  <c r="H270" i="4"/>
  <c r="G270" i="4"/>
  <c r="F270" i="4"/>
  <c r="E270" i="4"/>
  <c r="D270" i="4"/>
  <c r="C270" i="4"/>
  <c r="B270" i="4"/>
  <c r="A270" i="4"/>
  <c r="AF269" i="4"/>
  <c r="AE269" i="4"/>
  <c r="AD269" i="4"/>
  <c r="AC269" i="4"/>
  <c r="Y269" i="4"/>
  <c r="X269" i="4"/>
  <c r="W269" i="4"/>
  <c r="V269" i="4"/>
  <c r="U269" i="4"/>
  <c r="Q269" i="4"/>
  <c r="O269" i="4"/>
  <c r="N269" i="4"/>
  <c r="M269" i="4"/>
  <c r="I269" i="4"/>
  <c r="L269" i="4" s="1"/>
  <c r="H269" i="4"/>
  <c r="G269" i="4"/>
  <c r="F269" i="4"/>
  <c r="E269" i="4"/>
  <c r="C269" i="4"/>
  <c r="B269" i="4"/>
  <c r="A269" i="4"/>
  <c r="AF268" i="4"/>
  <c r="AE268" i="4"/>
  <c r="AD268" i="4"/>
  <c r="AC268" i="4"/>
  <c r="Z268" i="4"/>
  <c r="AA268" i="4" s="1"/>
  <c r="Y268" i="4"/>
  <c r="W268" i="4"/>
  <c r="V268" i="4"/>
  <c r="U268" i="4"/>
  <c r="Q268" i="4"/>
  <c r="O268" i="4"/>
  <c r="N268" i="4"/>
  <c r="M268" i="4"/>
  <c r="I268" i="4"/>
  <c r="H268" i="4"/>
  <c r="G268" i="4"/>
  <c r="F268" i="4"/>
  <c r="E268" i="4"/>
  <c r="C268" i="4"/>
  <c r="J268" i="4" s="1"/>
  <c r="B268" i="4"/>
  <c r="A268" i="4"/>
  <c r="AF267" i="4"/>
  <c r="AE267" i="4"/>
  <c r="AD267" i="4"/>
  <c r="AC267" i="4"/>
  <c r="Y267" i="4"/>
  <c r="W267" i="4"/>
  <c r="V267" i="4"/>
  <c r="U267" i="4"/>
  <c r="Q267" i="4"/>
  <c r="O267" i="4"/>
  <c r="N267" i="4"/>
  <c r="M267" i="4"/>
  <c r="I267" i="4"/>
  <c r="H267" i="4"/>
  <c r="G267" i="4"/>
  <c r="F267" i="4"/>
  <c r="E267" i="4"/>
  <c r="D267" i="4"/>
  <c r="C267" i="4"/>
  <c r="X267" i="4" s="1"/>
  <c r="B267" i="4"/>
  <c r="A267" i="4"/>
  <c r="AF266" i="4"/>
  <c r="AE266" i="4"/>
  <c r="AD266" i="4"/>
  <c r="AC266" i="4"/>
  <c r="Z266" i="4"/>
  <c r="AA266" i="4" s="1"/>
  <c r="Y266" i="4"/>
  <c r="W266" i="4"/>
  <c r="V266" i="4"/>
  <c r="U266" i="4"/>
  <c r="Q266" i="4"/>
  <c r="O266" i="4"/>
  <c r="N266" i="4"/>
  <c r="M266" i="4"/>
  <c r="I266" i="4"/>
  <c r="L266" i="4" s="1"/>
  <c r="H266" i="4"/>
  <c r="G266" i="4"/>
  <c r="F266" i="4"/>
  <c r="E266" i="4"/>
  <c r="C266" i="4"/>
  <c r="B266" i="4"/>
  <c r="A266" i="4"/>
  <c r="AF265" i="4"/>
  <c r="AE265" i="4"/>
  <c r="AD265" i="4"/>
  <c r="AC265" i="4"/>
  <c r="AA265" i="4"/>
  <c r="Z265" i="4"/>
  <c r="Y265" i="4"/>
  <c r="W265" i="4"/>
  <c r="V265" i="4"/>
  <c r="U265" i="4"/>
  <c r="Q265" i="4"/>
  <c r="O265" i="4"/>
  <c r="N265" i="4"/>
  <c r="M265" i="4"/>
  <c r="I265" i="4"/>
  <c r="H265" i="4"/>
  <c r="G265" i="4"/>
  <c r="F265" i="4"/>
  <c r="E265" i="4"/>
  <c r="C265" i="4"/>
  <c r="J265" i="4" s="1"/>
  <c r="K265" i="4" s="1"/>
  <c r="B265" i="4"/>
  <c r="A265" i="4"/>
  <c r="AF264" i="4"/>
  <c r="AE264" i="4"/>
  <c r="AD264" i="4"/>
  <c r="AC264" i="4"/>
  <c r="Z264" i="4"/>
  <c r="AA264" i="4" s="1"/>
  <c r="Y264" i="4"/>
  <c r="W264" i="4"/>
  <c r="V264" i="4"/>
  <c r="U264" i="4"/>
  <c r="Q264" i="4"/>
  <c r="O264" i="4"/>
  <c r="N264" i="4"/>
  <c r="M264" i="4"/>
  <c r="I264" i="4"/>
  <c r="H264" i="4"/>
  <c r="G264" i="4"/>
  <c r="F264" i="4"/>
  <c r="E264" i="4"/>
  <c r="D264" i="4"/>
  <c r="C264" i="4"/>
  <c r="B264" i="4"/>
  <c r="A264" i="4"/>
  <c r="AF263" i="4"/>
  <c r="AE263" i="4"/>
  <c r="AD263" i="4"/>
  <c r="AC263" i="4"/>
  <c r="Z263" i="4"/>
  <c r="AA263" i="4" s="1"/>
  <c r="Y263" i="4"/>
  <c r="W263" i="4"/>
  <c r="V263" i="4"/>
  <c r="U263" i="4"/>
  <c r="Q263" i="4"/>
  <c r="O263" i="4"/>
  <c r="N263" i="4"/>
  <c r="M263" i="4"/>
  <c r="I263" i="4"/>
  <c r="L263" i="4" s="1"/>
  <c r="H263" i="4"/>
  <c r="G263" i="4"/>
  <c r="F263" i="4"/>
  <c r="E263" i="4"/>
  <c r="C263" i="4"/>
  <c r="B263" i="4"/>
  <c r="A263" i="4"/>
  <c r="AF262" i="4"/>
  <c r="AE262" i="4"/>
  <c r="AD262" i="4"/>
  <c r="AC262" i="4"/>
  <c r="Z262" i="4"/>
  <c r="AA262" i="4" s="1"/>
  <c r="Y262" i="4"/>
  <c r="W262" i="4"/>
  <c r="V262" i="4"/>
  <c r="U262" i="4"/>
  <c r="Q262" i="4"/>
  <c r="O262" i="4"/>
  <c r="N262" i="4"/>
  <c r="M262" i="4"/>
  <c r="I262" i="4"/>
  <c r="H262" i="4"/>
  <c r="G262" i="4"/>
  <c r="F262" i="4"/>
  <c r="E262" i="4"/>
  <c r="C262" i="4"/>
  <c r="J262" i="4" s="1"/>
  <c r="K262" i="4" s="1"/>
  <c r="B262" i="4"/>
  <c r="A262" i="4"/>
  <c r="AF261" i="4"/>
  <c r="AE261" i="4"/>
  <c r="AD261" i="4"/>
  <c r="AC261" i="4"/>
  <c r="Z261" i="4"/>
  <c r="AA261" i="4" s="1"/>
  <c r="Y261" i="4"/>
  <c r="W261" i="4"/>
  <c r="V261" i="4"/>
  <c r="U261" i="4"/>
  <c r="R261" i="4"/>
  <c r="S261" i="4" s="1"/>
  <c r="Q261" i="4"/>
  <c r="O261" i="4"/>
  <c r="N261" i="4"/>
  <c r="M261" i="4"/>
  <c r="J261" i="4"/>
  <c r="K261" i="4" s="1"/>
  <c r="I261" i="4"/>
  <c r="H261" i="4"/>
  <c r="G261" i="4"/>
  <c r="F261" i="4"/>
  <c r="E261" i="4"/>
  <c r="D261" i="4"/>
  <c r="C261" i="4"/>
  <c r="X261" i="4" s="1"/>
  <c r="B261" i="4"/>
  <c r="A261" i="4"/>
  <c r="AF260" i="4"/>
  <c r="AE260" i="4"/>
  <c r="AD260" i="4"/>
  <c r="AC260" i="4"/>
  <c r="Y260" i="4"/>
  <c r="X260" i="4"/>
  <c r="W260" i="4"/>
  <c r="V260" i="4"/>
  <c r="U260" i="4"/>
  <c r="Q260" i="4"/>
  <c r="O260" i="4"/>
  <c r="N260" i="4"/>
  <c r="M260" i="4"/>
  <c r="I260" i="4"/>
  <c r="L260" i="4" s="1"/>
  <c r="H260" i="4"/>
  <c r="G260" i="4"/>
  <c r="F260" i="4"/>
  <c r="E260" i="4"/>
  <c r="C260" i="4"/>
  <c r="B260" i="4"/>
  <c r="A260" i="4"/>
  <c r="AF259" i="4"/>
  <c r="AE259" i="4"/>
  <c r="AD259" i="4"/>
  <c r="AC259" i="4"/>
  <c r="AA259" i="4"/>
  <c r="Z259" i="4"/>
  <c r="Y259" i="4"/>
  <c r="W259" i="4"/>
  <c r="V259" i="4"/>
  <c r="U259" i="4"/>
  <c r="Q259" i="4"/>
  <c r="O259" i="4"/>
  <c r="N259" i="4"/>
  <c r="M259" i="4"/>
  <c r="I259" i="4"/>
  <c r="H259" i="4"/>
  <c r="G259" i="4"/>
  <c r="F259" i="4"/>
  <c r="E259" i="4"/>
  <c r="C259" i="4"/>
  <c r="J259" i="4" s="1"/>
  <c r="K259" i="4" s="1"/>
  <c r="B259" i="4"/>
  <c r="A259" i="4"/>
  <c r="AF258" i="4"/>
  <c r="AE258" i="4"/>
  <c r="AD258" i="4"/>
  <c r="AC258" i="4"/>
  <c r="Z258" i="4"/>
  <c r="AA258" i="4" s="1"/>
  <c r="Y258" i="4"/>
  <c r="W258" i="4"/>
  <c r="V258" i="4"/>
  <c r="U258" i="4"/>
  <c r="R258" i="4"/>
  <c r="S258" i="4" s="1"/>
  <c r="Q258" i="4"/>
  <c r="O258" i="4"/>
  <c r="N258" i="4"/>
  <c r="M258" i="4"/>
  <c r="J258" i="4"/>
  <c r="K258" i="4" s="1"/>
  <c r="I258" i="4"/>
  <c r="H258" i="4"/>
  <c r="G258" i="4"/>
  <c r="F258" i="4"/>
  <c r="E258" i="4"/>
  <c r="D258" i="4"/>
  <c r="C258" i="4"/>
  <c r="X258" i="4" s="1"/>
  <c r="B258" i="4"/>
  <c r="A258" i="4"/>
  <c r="AF257" i="4"/>
  <c r="AE257" i="4"/>
  <c r="AD257" i="4"/>
  <c r="AC257" i="4"/>
  <c r="Y257" i="4"/>
  <c r="W257" i="4"/>
  <c r="V257" i="4"/>
  <c r="U257" i="4"/>
  <c r="Q257" i="4"/>
  <c r="O257" i="4"/>
  <c r="N257" i="4"/>
  <c r="M257" i="4"/>
  <c r="J257" i="4"/>
  <c r="K257" i="4" s="1"/>
  <c r="I257" i="4"/>
  <c r="H257" i="4"/>
  <c r="G257" i="4"/>
  <c r="F257" i="4"/>
  <c r="E257" i="4"/>
  <c r="C257" i="4"/>
  <c r="Z257" i="4" s="1"/>
  <c r="B257" i="4"/>
  <c r="A257" i="4"/>
  <c r="AF256" i="4"/>
  <c r="AE256" i="4"/>
  <c r="AD256" i="4"/>
  <c r="AC256" i="4"/>
  <c r="AA256" i="4"/>
  <c r="Z256" i="4"/>
  <c r="Y256" i="4"/>
  <c r="W256" i="4"/>
  <c r="V256" i="4"/>
  <c r="U256" i="4"/>
  <c r="Q256" i="4"/>
  <c r="O256" i="4"/>
  <c r="N256" i="4"/>
  <c r="M256" i="4"/>
  <c r="I256" i="4"/>
  <c r="H256" i="4"/>
  <c r="G256" i="4"/>
  <c r="K256" i="4" s="1"/>
  <c r="F256" i="4"/>
  <c r="E256" i="4"/>
  <c r="C256" i="4"/>
  <c r="J256" i="4" s="1"/>
  <c r="B256" i="4"/>
  <c r="A256" i="4"/>
  <c r="AF255" i="4"/>
  <c r="AE255" i="4"/>
  <c r="AD255" i="4"/>
  <c r="AC255" i="4"/>
  <c r="Z255" i="4"/>
  <c r="AA255" i="4" s="1"/>
  <c r="Y255" i="4"/>
  <c r="W255" i="4"/>
  <c r="V255" i="4"/>
  <c r="U255" i="4"/>
  <c r="Q255" i="4"/>
  <c r="O255" i="4"/>
  <c r="N255" i="4"/>
  <c r="M255" i="4"/>
  <c r="I255" i="4"/>
  <c r="H255" i="4"/>
  <c r="G255" i="4"/>
  <c r="F255" i="4"/>
  <c r="E255" i="4"/>
  <c r="D255" i="4"/>
  <c r="C255" i="4"/>
  <c r="P255" i="4" s="1"/>
  <c r="B255" i="4"/>
  <c r="A255" i="4"/>
  <c r="AF254" i="4"/>
  <c r="AE254" i="4"/>
  <c r="AD254" i="4"/>
  <c r="AC254" i="4"/>
  <c r="Z254" i="4"/>
  <c r="AA254" i="4" s="1"/>
  <c r="Y254" i="4"/>
  <c r="X254" i="4"/>
  <c r="W254" i="4"/>
  <c r="V254" i="4"/>
  <c r="U254" i="4"/>
  <c r="Q254" i="4"/>
  <c r="O254" i="4"/>
  <c r="N254" i="4"/>
  <c r="M254" i="4"/>
  <c r="K254" i="4"/>
  <c r="J254" i="4"/>
  <c r="I254" i="4"/>
  <c r="L254" i="4" s="1"/>
  <c r="H254" i="4"/>
  <c r="G254" i="4"/>
  <c r="F254" i="4"/>
  <c r="E254" i="4"/>
  <c r="C254" i="4"/>
  <c r="B254" i="4"/>
  <c r="A254" i="4"/>
  <c r="AF253" i="4"/>
  <c r="AE253" i="4"/>
  <c r="AD253" i="4"/>
  <c r="AC253" i="4"/>
  <c r="AA253" i="4"/>
  <c r="Z253" i="4"/>
  <c r="Y253" i="4"/>
  <c r="W253" i="4"/>
  <c r="V253" i="4"/>
  <c r="U253" i="4"/>
  <c r="Q253" i="4"/>
  <c r="O253" i="4"/>
  <c r="N253" i="4"/>
  <c r="M253" i="4"/>
  <c r="K253" i="4"/>
  <c r="I253" i="4"/>
  <c r="H253" i="4"/>
  <c r="G253" i="4"/>
  <c r="F253" i="4"/>
  <c r="E253" i="4"/>
  <c r="C253" i="4"/>
  <c r="J253" i="4" s="1"/>
  <c r="B253" i="4"/>
  <c r="A253" i="4"/>
  <c r="AF252" i="4"/>
  <c r="AE252" i="4"/>
  <c r="AD252" i="4"/>
  <c r="AC252" i="4"/>
  <c r="Z252" i="4"/>
  <c r="AA252" i="4" s="1"/>
  <c r="Y252" i="4"/>
  <c r="W252" i="4"/>
  <c r="V252" i="4"/>
  <c r="U252" i="4"/>
  <c r="Q252" i="4"/>
  <c r="O252" i="4"/>
  <c r="N252" i="4"/>
  <c r="M252" i="4"/>
  <c r="J252" i="4"/>
  <c r="K252" i="4" s="1"/>
  <c r="I252" i="4"/>
  <c r="H252" i="4"/>
  <c r="G252" i="4"/>
  <c r="F252" i="4"/>
  <c r="E252" i="4"/>
  <c r="D252" i="4"/>
  <c r="C252" i="4"/>
  <c r="B252" i="4"/>
  <c r="A252" i="4"/>
  <c r="AF251" i="4"/>
  <c r="AE251" i="4"/>
  <c r="AD251" i="4"/>
  <c r="AC251" i="4"/>
  <c r="Y251" i="4"/>
  <c r="W251" i="4"/>
  <c r="V251" i="4"/>
  <c r="U251" i="4"/>
  <c r="Q251" i="4"/>
  <c r="O251" i="4"/>
  <c r="N251" i="4"/>
  <c r="M251" i="4"/>
  <c r="I251" i="4"/>
  <c r="L251" i="4" s="1"/>
  <c r="H251" i="4"/>
  <c r="G251" i="4"/>
  <c r="F251" i="4"/>
  <c r="E251" i="4"/>
  <c r="C251" i="4"/>
  <c r="B251" i="4"/>
  <c r="A251" i="4"/>
  <c r="AF250" i="4"/>
  <c r="AE250" i="4"/>
  <c r="AD250" i="4"/>
  <c r="AC250" i="4"/>
  <c r="Z250" i="4"/>
  <c r="AA250" i="4" s="1"/>
  <c r="Y250" i="4"/>
  <c r="W250" i="4"/>
  <c r="V250" i="4"/>
  <c r="U250" i="4"/>
  <c r="Q250" i="4"/>
  <c r="O250" i="4"/>
  <c r="N250" i="4"/>
  <c r="M250" i="4"/>
  <c r="I250" i="4"/>
  <c r="H250" i="4"/>
  <c r="G250" i="4"/>
  <c r="F250" i="4"/>
  <c r="E250" i="4"/>
  <c r="C250" i="4"/>
  <c r="J250" i="4" s="1"/>
  <c r="B250" i="4"/>
  <c r="A250" i="4"/>
  <c r="AF249" i="4"/>
  <c r="AE249" i="4"/>
  <c r="AD249" i="4"/>
  <c r="AC249" i="4"/>
  <c r="Z249" i="4"/>
  <c r="AA249" i="4" s="1"/>
  <c r="Y249" i="4"/>
  <c r="W249" i="4"/>
  <c r="V249" i="4"/>
  <c r="U249" i="4"/>
  <c r="R249" i="4"/>
  <c r="S249" i="4" s="1"/>
  <c r="Q249" i="4"/>
  <c r="O249" i="4"/>
  <c r="N249" i="4"/>
  <c r="M249" i="4"/>
  <c r="J249" i="4"/>
  <c r="K249" i="4" s="1"/>
  <c r="I249" i="4"/>
  <c r="H249" i="4"/>
  <c r="G249" i="4"/>
  <c r="F249" i="4"/>
  <c r="E249" i="4"/>
  <c r="D249" i="4"/>
  <c r="C249" i="4"/>
  <c r="X249" i="4" s="1"/>
  <c r="B249" i="4"/>
  <c r="A249" i="4"/>
  <c r="AF248" i="4"/>
  <c r="AE248" i="4"/>
  <c r="AD248" i="4"/>
  <c r="AC248" i="4"/>
  <c r="Z248" i="4"/>
  <c r="Y248" i="4"/>
  <c r="W248" i="4"/>
  <c r="V248" i="4"/>
  <c r="U248" i="4"/>
  <c r="Q248" i="4"/>
  <c r="O248" i="4"/>
  <c r="N248" i="4"/>
  <c r="M248" i="4"/>
  <c r="J248" i="4"/>
  <c r="K248" i="4" s="1"/>
  <c r="I248" i="4"/>
  <c r="H248" i="4"/>
  <c r="G248" i="4"/>
  <c r="F248" i="4"/>
  <c r="E248" i="4"/>
  <c r="C248" i="4"/>
  <c r="B248" i="4"/>
  <c r="A248" i="4"/>
  <c r="AF247" i="4"/>
  <c r="AE247" i="4"/>
  <c r="AD247" i="4"/>
  <c r="AC247" i="4"/>
  <c r="AA247" i="4"/>
  <c r="Z247" i="4"/>
  <c r="Y247" i="4"/>
  <c r="W247" i="4"/>
  <c r="V247" i="4"/>
  <c r="U247" i="4"/>
  <c r="Q247" i="4"/>
  <c r="O247" i="4"/>
  <c r="N247" i="4"/>
  <c r="M247" i="4"/>
  <c r="K247" i="4"/>
  <c r="I247" i="4"/>
  <c r="H247" i="4"/>
  <c r="G247" i="4"/>
  <c r="F247" i="4"/>
  <c r="E247" i="4"/>
  <c r="C247" i="4"/>
  <c r="J247" i="4" s="1"/>
  <c r="B247" i="4"/>
  <c r="A247" i="4"/>
  <c r="AF246" i="4"/>
  <c r="AE246" i="4"/>
  <c r="AD246" i="4"/>
  <c r="AC246" i="4"/>
  <c r="Z246" i="4"/>
  <c r="AA246" i="4" s="1"/>
  <c r="Y246" i="4"/>
  <c r="W246" i="4"/>
  <c r="V246" i="4"/>
  <c r="U246" i="4"/>
  <c r="Q246" i="4"/>
  <c r="O246" i="4"/>
  <c r="N246" i="4"/>
  <c r="M246" i="4"/>
  <c r="I246" i="4"/>
  <c r="H246" i="4"/>
  <c r="G246" i="4"/>
  <c r="F246" i="4"/>
  <c r="E246" i="4"/>
  <c r="D246" i="4"/>
  <c r="C246" i="4"/>
  <c r="J246" i="4" s="1"/>
  <c r="K246" i="4" s="1"/>
  <c r="B246" i="4"/>
  <c r="A246" i="4"/>
  <c r="AF245" i="4"/>
  <c r="AE245" i="4"/>
  <c r="AD245" i="4"/>
  <c r="AC245" i="4"/>
  <c r="Y245" i="4"/>
  <c r="X245" i="4"/>
  <c r="W245" i="4"/>
  <c r="V245" i="4"/>
  <c r="U245" i="4"/>
  <c r="Q245" i="4"/>
  <c r="O245" i="4"/>
  <c r="N245" i="4"/>
  <c r="M245" i="4"/>
  <c r="I245" i="4"/>
  <c r="L245" i="4" s="1"/>
  <c r="H245" i="4"/>
  <c r="G245" i="4"/>
  <c r="F245" i="4"/>
  <c r="E245" i="4"/>
  <c r="C245" i="4"/>
  <c r="B245" i="4"/>
  <c r="A245" i="4"/>
  <c r="AF244" i="4"/>
  <c r="AE244" i="4"/>
  <c r="AD244" i="4"/>
  <c r="AC244" i="4"/>
  <c r="Z244" i="4"/>
  <c r="AA244" i="4" s="1"/>
  <c r="Y244" i="4"/>
  <c r="W244" i="4"/>
  <c r="V244" i="4"/>
  <c r="U244" i="4"/>
  <c r="Q244" i="4"/>
  <c r="O244" i="4"/>
  <c r="N244" i="4"/>
  <c r="M244" i="4"/>
  <c r="I244" i="4"/>
  <c r="H244" i="4"/>
  <c r="G244" i="4"/>
  <c r="F244" i="4"/>
  <c r="E244" i="4"/>
  <c r="C244" i="4"/>
  <c r="J244" i="4" s="1"/>
  <c r="K244" i="4" s="1"/>
  <c r="B244" i="4"/>
  <c r="A244" i="4"/>
  <c r="AF243" i="4"/>
  <c r="AE243" i="4"/>
  <c r="AD243" i="4"/>
  <c r="AC243" i="4"/>
  <c r="Z243" i="4"/>
  <c r="AA243" i="4" s="1"/>
  <c r="Y243" i="4"/>
  <c r="W243" i="4"/>
  <c r="V243" i="4"/>
  <c r="U243" i="4"/>
  <c r="R243" i="4"/>
  <c r="S243" i="4" s="1"/>
  <c r="Q243" i="4"/>
  <c r="O243" i="4"/>
  <c r="N243" i="4"/>
  <c r="M243" i="4"/>
  <c r="J243" i="4"/>
  <c r="K243" i="4" s="1"/>
  <c r="I243" i="4"/>
  <c r="H243" i="4"/>
  <c r="G243" i="4"/>
  <c r="F243" i="4"/>
  <c r="E243" i="4"/>
  <c r="D243" i="4"/>
  <c r="C243" i="4"/>
  <c r="X243" i="4" s="1"/>
  <c r="B243" i="4"/>
  <c r="A243" i="4"/>
  <c r="AF242" i="4"/>
  <c r="AE242" i="4"/>
  <c r="AD242" i="4"/>
  <c r="AC242" i="4"/>
  <c r="Y242" i="4"/>
  <c r="W242" i="4"/>
  <c r="V242" i="4"/>
  <c r="U242" i="4"/>
  <c r="Q242" i="4"/>
  <c r="O242" i="4"/>
  <c r="N242" i="4"/>
  <c r="M242" i="4"/>
  <c r="I242" i="4"/>
  <c r="L242" i="4" s="1"/>
  <c r="H242" i="4"/>
  <c r="G242" i="4"/>
  <c r="F242" i="4"/>
  <c r="E242" i="4"/>
  <c r="C242" i="4"/>
  <c r="B242" i="4"/>
  <c r="A242" i="4"/>
  <c r="AF241" i="4"/>
  <c r="AE241" i="4"/>
  <c r="AD241" i="4"/>
  <c r="AC241" i="4"/>
  <c r="Z241" i="4"/>
  <c r="AA241" i="4" s="1"/>
  <c r="Y241" i="4"/>
  <c r="W241" i="4"/>
  <c r="V241" i="4"/>
  <c r="U241" i="4"/>
  <c r="Q241" i="4"/>
  <c r="O241" i="4"/>
  <c r="N241" i="4"/>
  <c r="M241" i="4"/>
  <c r="I241" i="4"/>
  <c r="H241" i="4"/>
  <c r="G241" i="4"/>
  <c r="F241" i="4"/>
  <c r="E241" i="4"/>
  <c r="C241" i="4"/>
  <c r="J241" i="4" s="1"/>
  <c r="B241" i="4"/>
  <c r="A241" i="4"/>
  <c r="AF240" i="4"/>
  <c r="AE240" i="4"/>
  <c r="AD240" i="4"/>
  <c r="AC240" i="4"/>
  <c r="Z240" i="4"/>
  <c r="AA240" i="4" s="1"/>
  <c r="Y240" i="4"/>
  <c r="W240" i="4"/>
  <c r="V240" i="4"/>
  <c r="U240" i="4"/>
  <c r="R240" i="4"/>
  <c r="S240" i="4" s="1"/>
  <c r="Q240" i="4"/>
  <c r="O240" i="4"/>
  <c r="N240" i="4"/>
  <c r="M240" i="4"/>
  <c r="J240" i="4"/>
  <c r="I240" i="4"/>
  <c r="H240" i="4"/>
  <c r="G240" i="4"/>
  <c r="K240" i="4" s="1"/>
  <c r="F240" i="4"/>
  <c r="E240" i="4"/>
  <c r="D240" i="4"/>
  <c r="C240" i="4"/>
  <c r="X240" i="4" s="1"/>
  <c r="B240" i="4"/>
  <c r="A240" i="4"/>
  <c r="AF239" i="4"/>
  <c r="AE239" i="4"/>
  <c r="AD239" i="4"/>
  <c r="AC239" i="4"/>
  <c r="Z239" i="4"/>
  <c r="Y239" i="4"/>
  <c r="W239" i="4"/>
  <c r="V239" i="4"/>
  <c r="U239" i="4"/>
  <c r="Q239" i="4"/>
  <c r="O239" i="4"/>
  <c r="N239" i="4"/>
  <c r="M239" i="4"/>
  <c r="J239" i="4"/>
  <c r="K239" i="4" s="1"/>
  <c r="I239" i="4"/>
  <c r="L239" i="4" s="1"/>
  <c r="H239" i="4"/>
  <c r="G239" i="4"/>
  <c r="F239" i="4"/>
  <c r="E239" i="4"/>
  <c r="C239" i="4"/>
  <c r="B239" i="4"/>
  <c r="A239" i="4"/>
  <c r="AF238" i="4"/>
  <c r="AE238" i="4"/>
  <c r="AD238" i="4"/>
  <c r="AC238" i="4"/>
  <c r="AA238" i="4"/>
  <c r="Z238" i="4"/>
  <c r="Y238" i="4"/>
  <c r="W238" i="4"/>
  <c r="V238" i="4"/>
  <c r="U238" i="4"/>
  <c r="Q238" i="4"/>
  <c r="O238" i="4"/>
  <c r="N238" i="4"/>
  <c r="M238" i="4"/>
  <c r="I238" i="4"/>
  <c r="H238" i="4"/>
  <c r="G238" i="4"/>
  <c r="F238" i="4"/>
  <c r="E238" i="4"/>
  <c r="C238" i="4"/>
  <c r="J238" i="4" s="1"/>
  <c r="K238" i="4" s="1"/>
  <c r="B238" i="4"/>
  <c r="A238" i="4"/>
  <c r="AF237" i="4"/>
  <c r="AE237" i="4"/>
  <c r="AD237" i="4"/>
  <c r="AC237" i="4"/>
  <c r="Z237" i="4"/>
  <c r="AA237" i="4" s="1"/>
  <c r="Y237" i="4"/>
  <c r="W237" i="4"/>
  <c r="V237" i="4"/>
  <c r="U237" i="4"/>
  <c r="Q237" i="4"/>
  <c r="O237" i="4"/>
  <c r="N237" i="4"/>
  <c r="M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Z236" i="4"/>
  <c r="AA236" i="4" s="1"/>
  <c r="Y236" i="4"/>
  <c r="W236" i="4"/>
  <c r="V236" i="4"/>
  <c r="U236" i="4"/>
  <c r="Q236" i="4"/>
  <c r="O236" i="4"/>
  <c r="N236" i="4"/>
  <c r="M236" i="4"/>
  <c r="L236" i="4"/>
  <c r="K236" i="4"/>
  <c r="J236" i="4"/>
  <c r="I236" i="4"/>
  <c r="H236" i="4"/>
  <c r="G236" i="4"/>
  <c r="F236" i="4"/>
  <c r="E236" i="4"/>
  <c r="C236" i="4"/>
  <c r="B236" i="4"/>
  <c r="A236" i="4"/>
  <c r="AF235" i="4"/>
  <c r="AE235" i="4"/>
  <c r="AD235" i="4"/>
  <c r="AC235" i="4"/>
  <c r="Y235" i="4"/>
  <c r="W235" i="4"/>
  <c r="V235" i="4"/>
  <c r="U235" i="4"/>
  <c r="R235" i="4"/>
  <c r="Q235" i="4"/>
  <c r="O235" i="4"/>
  <c r="N235" i="4"/>
  <c r="M235" i="4"/>
  <c r="I235" i="4"/>
  <c r="H235" i="4"/>
  <c r="G235" i="4"/>
  <c r="F235" i="4"/>
  <c r="E235" i="4"/>
  <c r="C235" i="4"/>
  <c r="B235" i="4"/>
  <c r="A235" i="4"/>
  <c r="AF234" i="4"/>
  <c r="AE234" i="4"/>
  <c r="AD234" i="4"/>
  <c r="AC234" i="4"/>
  <c r="Y234" i="4"/>
  <c r="W234" i="4"/>
  <c r="V234" i="4"/>
  <c r="U234" i="4"/>
  <c r="Q234" i="4"/>
  <c r="P234" i="4"/>
  <c r="O234" i="4"/>
  <c r="N234" i="4"/>
  <c r="M234" i="4"/>
  <c r="I234" i="4"/>
  <c r="H234" i="4"/>
  <c r="G234" i="4"/>
  <c r="F234" i="4"/>
  <c r="E234" i="4"/>
  <c r="D234" i="4"/>
  <c r="C234" i="4"/>
  <c r="B234" i="4"/>
  <c r="A234" i="4"/>
  <c r="AF233" i="4"/>
  <c r="AE233" i="4"/>
  <c r="AD233" i="4"/>
  <c r="AC233" i="4"/>
  <c r="Z233" i="4"/>
  <c r="AA233" i="4" s="1"/>
  <c r="Y233" i="4"/>
  <c r="X233" i="4"/>
  <c r="W233" i="4"/>
  <c r="V233" i="4"/>
  <c r="U233" i="4"/>
  <c r="R233" i="4"/>
  <c r="S233" i="4" s="1"/>
  <c r="Q233" i="4"/>
  <c r="O233" i="4"/>
  <c r="N233" i="4"/>
  <c r="M233" i="4"/>
  <c r="L233" i="4"/>
  <c r="K233" i="4"/>
  <c r="J233" i="4"/>
  <c r="I233" i="4"/>
  <c r="H233" i="4"/>
  <c r="G233" i="4"/>
  <c r="F233" i="4"/>
  <c r="E233" i="4"/>
  <c r="C233" i="4"/>
  <c r="P233" i="4" s="1"/>
  <c r="B233" i="4"/>
  <c r="A233" i="4"/>
  <c r="AF232" i="4"/>
  <c r="AE232" i="4"/>
  <c r="AD232" i="4"/>
  <c r="AC232" i="4"/>
  <c r="AA232" i="4"/>
  <c r="Z232" i="4"/>
  <c r="Y232" i="4"/>
  <c r="W232" i="4"/>
  <c r="V232" i="4"/>
  <c r="U232" i="4"/>
  <c r="R232" i="4"/>
  <c r="Q232" i="4"/>
  <c r="O232" i="4"/>
  <c r="N232" i="4"/>
  <c r="M232" i="4"/>
  <c r="I232" i="4"/>
  <c r="H232" i="4"/>
  <c r="G232" i="4"/>
  <c r="F232" i="4"/>
  <c r="E232" i="4"/>
  <c r="C232" i="4"/>
  <c r="B232" i="4"/>
  <c r="A232" i="4"/>
  <c r="AF231" i="4"/>
  <c r="AE231" i="4"/>
  <c r="AD231" i="4"/>
  <c r="AC231" i="4"/>
  <c r="Y231" i="4"/>
  <c r="W231" i="4"/>
  <c r="V231" i="4"/>
  <c r="U231" i="4"/>
  <c r="Q231" i="4"/>
  <c r="O231" i="4"/>
  <c r="N231" i="4"/>
  <c r="M231" i="4"/>
  <c r="I231" i="4"/>
  <c r="H231" i="4"/>
  <c r="G231" i="4"/>
  <c r="F231" i="4"/>
  <c r="E231" i="4"/>
  <c r="D231" i="4"/>
  <c r="C231" i="4"/>
  <c r="J231" i="4" s="1"/>
  <c r="K231" i="4" s="1"/>
  <c r="B231" i="4"/>
  <c r="A231" i="4"/>
  <c r="AF230" i="4"/>
  <c r="AE230" i="4"/>
  <c r="AD230" i="4"/>
  <c r="AC230" i="4"/>
  <c r="Y230" i="4"/>
  <c r="X230" i="4"/>
  <c r="W230" i="4"/>
  <c r="V230" i="4"/>
  <c r="U230" i="4"/>
  <c r="R230" i="4"/>
  <c r="S230" i="4" s="1"/>
  <c r="Q230" i="4"/>
  <c r="O230" i="4"/>
  <c r="N230" i="4"/>
  <c r="M230" i="4"/>
  <c r="J230" i="4"/>
  <c r="K230" i="4" s="1"/>
  <c r="I230" i="4"/>
  <c r="H230" i="4"/>
  <c r="G230" i="4"/>
  <c r="F230" i="4"/>
  <c r="E230" i="4"/>
  <c r="C230" i="4"/>
  <c r="B230" i="4"/>
  <c r="A230" i="4"/>
  <c r="AF229" i="4"/>
  <c r="AE229" i="4"/>
  <c r="AD229" i="4"/>
  <c r="AC229" i="4"/>
  <c r="Z229" i="4"/>
  <c r="AA229" i="4" s="1"/>
  <c r="Y229" i="4"/>
  <c r="W229" i="4"/>
  <c r="V229" i="4"/>
  <c r="U229" i="4"/>
  <c r="R229" i="4"/>
  <c r="S229" i="4" s="1"/>
  <c r="Q229" i="4"/>
  <c r="O229" i="4"/>
  <c r="N229" i="4"/>
  <c r="M229" i="4"/>
  <c r="I229" i="4"/>
  <c r="H229" i="4"/>
  <c r="G229" i="4"/>
  <c r="F229" i="4"/>
  <c r="E229" i="4"/>
  <c r="C229" i="4"/>
  <c r="B229" i="4"/>
  <c r="A229" i="4"/>
  <c r="AF228" i="4"/>
  <c r="AE228" i="4"/>
  <c r="AD228" i="4"/>
  <c r="AC228" i="4"/>
  <c r="Z228" i="4"/>
  <c r="AA228" i="4" s="1"/>
  <c r="Y228" i="4"/>
  <c r="W228" i="4"/>
  <c r="V228" i="4"/>
  <c r="U228" i="4"/>
  <c r="Q228" i="4"/>
  <c r="O228" i="4"/>
  <c r="N228" i="4"/>
  <c r="M228" i="4"/>
  <c r="J228" i="4"/>
  <c r="I228" i="4"/>
  <c r="H228" i="4"/>
  <c r="G228" i="4"/>
  <c r="F228" i="4"/>
  <c r="E228" i="4"/>
  <c r="D228" i="4"/>
  <c r="C228" i="4"/>
  <c r="B228" i="4"/>
  <c r="A228" i="4"/>
  <c r="AF227" i="4"/>
  <c r="AE227" i="4"/>
  <c r="AD227" i="4"/>
  <c r="AC227" i="4"/>
  <c r="Z227" i="4"/>
  <c r="AA227" i="4" s="1"/>
  <c r="Y227" i="4"/>
  <c r="W227" i="4"/>
  <c r="V227" i="4"/>
  <c r="U227" i="4"/>
  <c r="Q227" i="4"/>
  <c r="O227" i="4"/>
  <c r="N227" i="4"/>
  <c r="M227" i="4"/>
  <c r="J227" i="4"/>
  <c r="K227" i="4" s="1"/>
  <c r="I227" i="4"/>
  <c r="H227" i="4"/>
  <c r="G227" i="4"/>
  <c r="F227" i="4"/>
  <c r="E227" i="4"/>
  <c r="C227" i="4"/>
  <c r="B227" i="4"/>
  <c r="A227" i="4"/>
  <c r="AF226" i="4"/>
  <c r="AE226" i="4"/>
  <c r="AD226" i="4"/>
  <c r="AC226" i="4"/>
  <c r="Y226" i="4"/>
  <c r="W226" i="4"/>
  <c r="V226" i="4"/>
  <c r="U226" i="4"/>
  <c r="R226" i="4"/>
  <c r="S226" i="4" s="1"/>
  <c r="Q226" i="4"/>
  <c r="O226" i="4"/>
  <c r="N226" i="4"/>
  <c r="M226" i="4"/>
  <c r="I226" i="4"/>
  <c r="H226" i="4"/>
  <c r="G226" i="4"/>
  <c r="F226" i="4"/>
  <c r="E226" i="4"/>
  <c r="C226" i="4"/>
  <c r="B226" i="4"/>
  <c r="A226" i="4"/>
  <c r="AF225" i="4"/>
  <c r="AE225" i="4"/>
  <c r="AD225" i="4"/>
  <c r="AC225" i="4"/>
  <c r="Z225" i="4"/>
  <c r="AA225" i="4" s="1"/>
  <c r="Y225" i="4"/>
  <c r="W225" i="4"/>
  <c r="V225" i="4"/>
  <c r="U225" i="4"/>
  <c r="R225" i="4"/>
  <c r="S225" i="4" s="1"/>
  <c r="Q225" i="4"/>
  <c r="O225" i="4"/>
  <c r="N225" i="4"/>
  <c r="M225" i="4"/>
  <c r="I225" i="4"/>
  <c r="H225" i="4"/>
  <c r="G225" i="4"/>
  <c r="F225" i="4"/>
  <c r="E225" i="4"/>
  <c r="D225" i="4"/>
  <c r="C225" i="4"/>
  <c r="X225" i="4" s="1"/>
  <c r="B225" i="4"/>
  <c r="A225" i="4"/>
  <c r="AF224" i="4"/>
  <c r="AE224" i="4"/>
  <c r="AD224" i="4"/>
  <c r="AC224" i="4"/>
  <c r="Z224" i="4"/>
  <c r="Y224" i="4"/>
  <c r="X224" i="4"/>
  <c r="W224" i="4"/>
  <c r="V224" i="4"/>
  <c r="U224" i="4"/>
  <c r="Q224" i="4"/>
  <c r="O224" i="4"/>
  <c r="N224" i="4"/>
  <c r="M224" i="4"/>
  <c r="J224" i="4"/>
  <c r="K224" i="4" s="1"/>
  <c r="I224" i="4"/>
  <c r="H224" i="4"/>
  <c r="G224" i="4"/>
  <c r="F224" i="4"/>
  <c r="E224" i="4"/>
  <c r="C224" i="4"/>
  <c r="B224" i="4"/>
  <c r="A224" i="4"/>
  <c r="AF223" i="4"/>
  <c r="AE223" i="4"/>
  <c r="AD223" i="4"/>
  <c r="AC223" i="4"/>
  <c r="Y223" i="4"/>
  <c r="W223" i="4"/>
  <c r="V223" i="4"/>
  <c r="U223" i="4"/>
  <c r="Q223" i="4"/>
  <c r="O223" i="4"/>
  <c r="N223" i="4"/>
  <c r="M223" i="4"/>
  <c r="I223" i="4"/>
  <c r="H223" i="4"/>
  <c r="G223" i="4"/>
  <c r="F223" i="4"/>
  <c r="E223" i="4"/>
  <c r="C223" i="4"/>
  <c r="B223" i="4"/>
  <c r="A223" i="4"/>
  <c r="AF222" i="4"/>
  <c r="AE222" i="4"/>
  <c r="AD222" i="4"/>
  <c r="AC222" i="4"/>
  <c r="Y222" i="4"/>
  <c r="W222" i="4"/>
  <c r="V222" i="4"/>
  <c r="U222" i="4"/>
  <c r="R222" i="4"/>
  <c r="S222" i="4" s="1"/>
  <c r="Q222" i="4"/>
  <c r="O222" i="4"/>
  <c r="N222" i="4"/>
  <c r="M222" i="4"/>
  <c r="I222" i="4"/>
  <c r="H222" i="4"/>
  <c r="G222" i="4"/>
  <c r="F222" i="4"/>
  <c r="E222" i="4"/>
  <c r="D222" i="4"/>
  <c r="C222" i="4"/>
  <c r="B222" i="4"/>
  <c r="A222" i="4"/>
  <c r="AF221" i="4"/>
  <c r="AE221" i="4"/>
  <c r="AD221" i="4"/>
  <c r="AC221" i="4"/>
  <c r="Y221" i="4"/>
  <c r="W221" i="4"/>
  <c r="V221" i="4"/>
  <c r="U221" i="4"/>
  <c r="Q221" i="4"/>
  <c r="O221" i="4"/>
  <c r="N221" i="4"/>
  <c r="M221" i="4"/>
  <c r="I221" i="4"/>
  <c r="L221" i="4" s="1"/>
  <c r="H221" i="4"/>
  <c r="G221" i="4"/>
  <c r="F221" i="4"/>
  <c r="E221" i="4"/>
  <c r="C221" i="4"/>
  <c r="X221" i="4" s="1"/>
  <c r="B221" i="4"/>
  <c r="A221" i="4"/>
  <c r="AF220" i="4"/>
  <c r="AE220" i="4"/>
  <c r="AD220" i="4"/>
  <c r="AC220" i="4"/>
  <c r="Z220" i="4"/>
  <c r="AA220" i="4" s="1"/>
  <c r="Y220" i="4"/>
  <c r="W220" i="4"/>
  <c r="V220" i="4"/>
  <c r="U220" i="4"/>
  <c r="R220" i="4"/>
  <c r="Q220" i="4"/>
  <c r="O220" i="4"/>
  <c r="N220" i="4"/>
  <c r="M220" i="4"/>
  <c r="I220" i="4"/>
  <c r="H220" i="4"/>
  <c r="G220" i="4"/>
  <c r="F220" i="4"/>
  <c r="E220" i="4"/>
  <c r="C220" i="4"/>
  <c r="B220" i="4"/>
  <c r="A220" i="4"/>
  <c r="AF219" i="4"/>
  <c r="AE219" i="4"/>
  <c r="AD219" i="4"/>
  <c r="AC219" i="4"/>
  <c r="Z219" i="4"/>
  <c r="AA219" i="4" s="1"/>
  <c r="Y219" i="4"/>
  <c r="W219" i="4"/>
  <c r="V219" i="4"/>
  <c r="U219" i="4"/>
  <c r="S219" i="4"/>
  <c r="R219" i="4"/>
  <c r="Q219" i="4"/>
  <c r="O219" i="4"/>
  <c r="N219" i="4"/>
  <c r="M219" i="4"/>
  <c r="K219" i="4"/>
  <c r="J219" i="4"/>
  <c r="I219" i="4"/>
  <c r="H219" i="4"/>
  <c r="G219" i="4"/>
  <c r="F219" i="4"/>
  <c r="E219" i="4"/>
  <c r="D219" i="4"/>
  <c r="C219" i="4"/>
  <c r="X219" i="4" s="1"/>
  <c r="B219" i="4"/>
  <c r="A219" i="4"/>
  <c r="L219" i="4" s="1"/>
  <c r="AF218" i="4"/>
  <c r="AE218" i="4"/>
  <c r="AD218" i="4"/>
  <c r="AC218" i="4"/>
  <c r="Z218" i="4"/>
  <c r="Y218" i="4"/>
  <c r="X218" i="4"/>
  <c r="W218" i="4"/>
  <c r="V218" i="4"/>
  <c r="U218" i="4"/>
  <c r="R218" i="4"/>
  <c r="S218" i="4" s="1"/>
  <c r="Q218" i="4"/>
  <c r="O218" i="4"/>
  <c r="N218" i="4"/>
  <c r="M218" i="4"/>
  <c r="J218" i="4"/>
  <c r="K218" i="4" s="1"/>
  <c r="I218" i="4"/>
  <c r="L218" i="4" s="1"/>
  <c r="H218" i="4"/>
  <c r="G218" i="4"/>
  <c r="F218" i="4"/>
  <c r="E218" i="4"/>
  <c r="C218" i="4"/>
  <c r="P218" i="4" s="1"/>
  <c r="B218" i="4"/>
  <c r="A218" i="4"/>
  <c r="AF217" i="4"/>
  <c r="AE217" i="4"/>
  <c r="AD217" i="4"/>
  <c r="AC217" i="4"/>
  <c r="Y217" i="4"/>
  <c r="W217" i="4"/>
  <c r="V217" i="4"/>
  <c r="U217" i="4"/>
  <c r="R217" i="4"/>
  <c r="S217" i="4" s="1"/>
  <c r="Q217" i="4"/>
  <c r="O217" i="4"/>
  <c r="N217" i="4"/>
  <c r="M217" i="4"/>
  <c r="L217" i="4"/>
  <c r="I217" i="4"/>
  <c r="H217" i="4"/>
  <c r="G217" i="4"/>
  <c r="F217" i="4"/>
  <c r="E217" i="4"/>
  <c r="C217" i="4"/>
  <c r="B217" i="4"/>
  <c r="A217" i="4"/>
  <c r="AF216" i="4"/>
  <c r="AE216" i="4"/>
  <c r="AD216" i="4"/>
  <c r="AC216" i="4"/>
  <c r="Z216" i="4"/>
  <c r="AA216" i="4" s="1"/>
  <c r="Y216" i="4"/>
  <c r="W216" i="4"/>
  <c r="V216" i="4"/>
  <c r="U216" i="4"/>
  <c r="S216" i="4"/>
  <c r="R216" i="4"/>
  <c r="Q216" i="4"/>
  <c r="O216" i="4"/>
  <c r="N216" i="4"/>
  <c r="M216" i="4"/>
  <c r="K216" i="4"/>
  <c r="J216" i="4"/>
  <c r="I216" i="4"/>
  <c r="H216" i="4"/>
  <c r="G216" i="4"/>
  <c r="F216" i="4"/>
  <c r="E216" i="4"/>
  <c r="D216" i="4"/>
  <c r="C216" i="4"/>
  <c r="X216" i="4" s="1"/>
  <c r="B216" i="4"/>
  <c r="A216" i="4"/>
  <c r="AF215" i="4"/>
  <c r="AE215" i="4"/>
  <c r="AD215" i="4"/>
  <c r="AC215" i="4"/>
  <c r="Z215" i="4"/>
  <c r="AA215" i="4" s="1"/>
  <c r="Y215" i="4"/>
  <c r="X215" i="4"/>
  <c r="W215" i="4"/>
  <c r="V215" i="4"/>
  <c r="U215" i="4"/>
  <c r="R215" i="4"/>
  <c r="Q215" i="4"/>
  <c r="O215" i="4"/>
  <c r="N215" i="4"/>
  <c r="M215" i="4"/>
  <c r="K215" i="4"/>
  <c r="I215" i="4"/>
  <c r="H215" i="4"/>
  <c r="G215" i="4"/>
  <c r="F215" i="4"/>
  <c r="E215" i="4"/>
  <c r="C215" i="4"/>
  <c r="J215" i="4" s="1"/>
  <c r="B215" i="4"/>
  <c r="A215" i="4"/>
  <c r="AF214" i="4"/>
  <c r="AE214" i="4"/>
  <c r="AD214" i="4"/>
  <c r="AC214" i="4"/>
  <c r="Z214" i="4"/>
  <c r="AA214" i="4" s="1"/>
  <c r="Y214" i="4"/>
  <c r="X214" i="4"/>
  <c r="W214" i="4"/>
  <c r="V214" i="4"/>
  <c r="U214" i="4"/>
  <c r="R214" i="4"/>
  <c r="S214" i="4" s="1"/>
  <c r="Q214" i="4"/>
  <c r="O214" i="4"/>
  <c r="N214" i="4"/>
  <c r="M214" i="4"/>
  <c r="L214" i="4"/>
  <c r="J214" i="4"/>
  <c r="I214" i="4"/>
  <c r="H214" i="4"/>
  <c r="G214" i="4"/>
  <c r="K214" i="4" s="1"/>
  <c r="F214" i="4"/>
  <c r="E214" i="4"/>
  <c r="C214" i="4"/>
  <c r="P214" i="4" s="1"/>
  <c r="B214" i="4"/>
  <c r="A214" i="4"/>
  <c r="AF213" i="4"/>
  <c r="AE213" i="4"/>
  <c r="AD213" i="4"/>
  <c r="AC213" i="4"/>
  <c r="Z213" i="4"/>
  <c r="AA213" i="4" s="1"/>
  <c r="Y213" i="4"/>
  <c r="X213" i="4"/>
  <c r="W213" i="4"/>
  <c r="V213" i="4"/>
  <c r="U213" i="4"/>
  <c r="R213" i="4"/>
  <c r="S213" i="4" s="1"/>
  <c r="Q213" i="4"/>
  <c r="O213" i="4"/>
  <c r="N213" i="4"/>
  <c r="M213" i="4"/>
  <c r="L213" i="4"/>
  <c r="I213" i="4"/>
  <c r="H213" i="4"/>
  <c r="G213" i="4"/>
  <c r="F213" i="4"/>
  <c r="E213" i="4"/>
  <c r="D213" i="4"/>
  <c r="C213" i="4"/>
  <c r="J213" i="4" s="1"/>
  <c r="B213" i="4"/>
  <c r="A213" i="4"/>
  <c r="AF212" i="4"/>
  <c r="AE212" i="4"/>
  <c r="AD212" i="4"/>
  <c r="AC212" i="4"/>
  <c r="Z212" i="4"/>
  <c r="AA212" i="4" s="1"/>
  <c r="Y212" i="4"/>
  <c r="X212" i="4"/>
  <c r="W212" i="4"/>
  <c r="V212" i="4"/>
  <c r="U212" i="4"/>
  <c r="Q212" i="4"/>
  <c r="O212" i="4"/>
  <c r="N212" i="4"/>
  <c r="M212" i="4"/>
  <c r="L212" i="4"/>
  <c r="I212" i="4"/>
  <c r="H212" i="4"/>
  <c r="G212" i="4"/>
  <c r="F212" i="4"/>
  <c r="E212" i="4"/>
  <c r="C212" i="4"/>
  <c r="R212" i="4" s="1"/>
  <c r="S212" i="4" s="1"/>
  <c r="B212" i="4"/>
  <c r="A212" i="4"/>
  <c r="AF211" i="4"/>
  <c r="AE211" i="4"/>
  <c r="AD211" i="4"/>
  <c r="AC211" i="4"/>
  <c r="Z211" i="4"/>
  <c r="AA211" i="4" s="1"/>
  <c r="Y211" i="4"/>
  <c r="X211" i="4"/>
  <c r="W211" i="4"/>
  <c r="V211" i="4"/>
  <c r="U211" i="4"/>
  <c r="R211" i="4"/>
  <c r="S211" i="4" s="1"/>
  <c r="Q211" i="4"/>
  <c r="P211" i="4"/>
  <c r="O211" i="4"/>
  <c r="N211" i="4"/>
  <c r="M211" i="4"/>
  <c r="J211" i="4"/>
  <c r="K211" i="4" s="1"/>
  <c r="I211" i="4"/>
  <c r="H211" i="4"/>
  <c r="G211" i="4"/>
  <c r="F211" i="4"/>
  <c r="E211" i="4"/>
  <c r="C211" i="4"/>
  <c r="B211" i="4"/>
  <c r="A211" i="4"/>
  <c r="AF210" i="4"/>
  <c r="AE210" i="4"/>
  <c r="AD210" i="4"/>
  <c r="AC210" i="4"/>
  <c r="Z210" i="4"/>
  <c r="AA210" i="4" s="1"/>
  <c r="Y210" i="4"/>
  <c r="W210" i="4"/>
  <c r="V210" i="4"/>
  <c r="U210" i="4"/>
  <c r="R210" i="4"/>
  <c r="Q210" i="4"/>
  <c r="P210" i="4"/>
  <c r="O210" i="4"/>
  <c r="N210" i="4"/>
  <c r="M210" i="4"/>
  <c r="I210" i="4"/>
  <c r="H210" i="4"/>
  <c r="G210" i="4"/>
  <c r="F210" i="4"/>
  <c r="E210" i="4"/>
  <c r="C210" i="4"/>
  <c r="J210" i="4" s="1"/>
  <c r="B210" i="4"/>
  <c r="A210" i="4"/>
  <c r="AF209" i="4"/>
  <c r="AE209" i="4"/>
  <c r="AD209" i="4"/>
  <c r="AC209" i="4"/>
  <c r="Z209" i="4"/>
  <c r="AA209" i="4" s="1"/>
  <c r="Y209" i="4"/>
  <c r="X209" i="4"/>
  <c r="W209" i="4"/>
  <c r="V209" i="4"/>
  <c r="U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C209" i="4"/>
  <c r="R209" i="4" s="1"/>
  <c r="S209" i="4" s="1"/>
  <c r="B209" i="4"/>
  <c r="A209" i="4"/>
  <c r="D209" i="4" s="1"/>
  <c r="AF208" i="4"/>
  <c r="AE208" i="4"/>
  <c r="AD208" i="4"/>
  <c r="AC208" i="4"/>
  <c r="Z208" i="4"/>
  <c r="AA208" i="4" s="1"/>
  <c r="Y208" i="4"/>
  <c r="X208" i="4"/>
  <c r="W208" i="4"/>
  <c r="V208" i="4"/>
  <c r="U208" i="4"/>
  <c r="R208" i="4"/>
  <c r="S208" i="4" s="1"/>
  <c r="Q208" i="4"/>
  <c r="T208" i="4" s="1"/>
  <c r="P208" i="4"/>
  <c r="O208" i="4"/>
  <c r="N208" i="4"/>
  <c r="M208" i="4"/>
  <c r="J208" i="4"/>
  <c r="I208" i="4"/>
  <c r="L208" i="4" s="1"/>
  <c r="H208" i="4"/>
  <c r="G208" i="4"/>
  <c r="K208" i="4" s="1"/>
  <c r="F208" i="4"/>
  <c r="E208" i="4"/>
  <c r="C208" i="4"/>
  <c r="B208" i="4"/>
  <c r="A208" i="4"/>
  <c r="D208" i="4" s="1"/>
  <c r="AF207" i="4"/>
  <c r="AE207" i="4"/>
  <c r="AD207" i="4"/>
  <c r="AC207" i="4"/>
  <c r="AA207" i="4"/>
  <c r="Z207" i="4"/>
  <c r="Y207" i="4"/>
  <c r="W207" i="4"/>
  <c r="V207" i="4"/>
  <c r="U207" i="4"/>
  <c r="Q207" i="4"/>
  <c r="P207" i="4"/>
  <c r="O207" i="4"/>
  <c r="N207" i="4"/>
  <c r="M207" i="4"/>
  <c r="I207" i="4"/>
  <c r="H207" i="4"/>
  <c r="G207" i="4"/>
  <c r="F207" i="4"/>
  <c r="E207" i="4"/>
  <c r="C207" i="4"/>
  <c r="B207" i="4"/>
  <c r="A207" i="4"/>
  <c r="AF206" i="4"/>
  <c r="AE206" i="4"/>
  <c r="AD206" i="4"/>
  <c r="AC206" i="4"/>
  <c r="AA206" i="4"/>
  <c r="Z206" i="4"/>
  <c r="Y206" i="4"/>
  <c r="W206" i="4"/>
  <c r="V206" i="4"/>
  <c r="U206" i="4"/>
  <c r="Q206" i="4"/>
  <c r="O206" i="4"/>
  <c r="N206" i="4"/>
  <c r="M206" i="4"/>
  <c r="I206" i="4"/>
  <c r="H206" i="4"/>
  <c r="G206" i="4"/>
  <c r="F206" i="4"/>
  <c r="E206" i="4"/>
  <c r="C206" i="4"/>
  <c r="B206" i="4"/>
  <c r="A206" i="4"/>
  <c r="AF205" i="4"/>
  <c r="AE205" i="4"/>
  <c r="AD205" i="4"/>
  <c r="AC205" i="4"/>
  <c r="AB205" i="4"/>
  <c r="Z205" i="4"/>
  <c r="AA205" i="4" s="1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J205" i="4"/>
  <c r="I205" i="4"/>
  <c r="H205" i="4"/>
  <c r="G205" i="4"/>
  <c r="F205" i="4"/>
  <c r="E205" i="4"/>
  <c r="D205" i="4"/>
  <c r="C205" i="4"/>
  <c r="B205" i="4"/>
  <c r="A205" i="4"/>
  <c r="AF204" i="4"/>
  <c r="AE204" i="4"/>
  <c r="AD204" i="4"/>
  <c r="AC204" i="4"/>
  <c r="AB204" i="4"/>
  <c r="Y204" i="4"/>
  <c r="W204" i="4"/>
  <c r="V204" i="4"/>
  <c r="U204" i="4"/>
  <c r="T204" i="4"/>
  <c r="Q204" i="4"/>
  <c r="O204" i="4"/>
  <c r="N204" i="4"/>
  <c r="M204" i="4"/>
  <c r="L204" i="4"/>
  <c r="I204" i="4"/>
  <c r="H204" i="4"/>
  <c r="G204" i="4"/>
  <c r="F204" i="4"/>
  <c r="E204" i="4"/>
  <c r="D204" i="4"/>
  <c r="C204" i="4"/>
  <c r="B204" i="4"/>
  <c r="A204" i="4"/>
  <c r="AF203" i="4"/>
  <c r="AE203" i="4"/>
  <c r="AD203" i="4"/>
  <c r="AC203" i="4"/>
  <c r="AB203" i="4"/>
  <c r="Y203" i="4"/>
  <c r="X203" i="4"/>
  <c r="W203" i="4"/>
  <c r="V203" i="4"/>
  <c r="U203" i="4"/>
  <c r="Q203" i="4"/>
  <c r="O203" i="4"/>
  <c r="N203" i="4"/>
  <c r="M203" i="4"/>
  <c r="I203" i="4"/>
  <c r="L203" i="4" s="1"/>
  <c r="H203" i="4"/>
  <c r="G203" i="4"/>
  <c r="F203" i="4"/>
  <c r="E203" i="4"/>
  <c r="D203" i="4"/>
  <c r="C203" i="4"/>
  <c r="R203" i="4" s="1"/>
  <c r="B203" i="4"/>
  <c r="A203" i="4"/>
  <c r="AF202" i="4"/>
  <c r="AE202" i="4"/>
  <c r="AD202" i="4"/>
  <c r="AC202" i="4"/>
  <c r="AB202" i="4"/>
  <c r="Z202" i="4"/>
  <c r="Y202" i="4"/>
  <c r="X202" i="4"/>
  <c r="W202" i="4"/>
  <c r="V202" i="4"/>
  <c r="U202" i="4"/>
  <c r="S202" i="4"/>
  <c r="R202" i="4"/>
  <c r="Q202" i="4"/>
  <c r="P202" i="4"/>
  <c r="O202" i="4"/>
  <c r="N202" i="4"/>
  <c r="M202" i="4"/>
  <c r="J202" i="4"/>
  <c r="K202" i="4" s="1"/>
  <c r="I202" i="4"/>
  <c r="H202" i="4"/>
  <c r="G202" i="4"/>
  <c r="F202" i="4"/>
  <c r="E202" i="4"/>
  <c r="D202" i="4"/>
  <c r="C202" i="4"/>
  <c r="B202" i="4"/>
  <c r="A202" i="4"/>
  <c r="L202" i="4" s="1"/>
  <c r="AF201" i="4"/>
  <c r="AE201" i="4"/>
  <c r="AD201" i="4"/>
  <c r="AC201" i="4"/>
  <c r="Y201" i="4"/>
  <c r="X201" i="4"/>
  <c r="W201" i="4"/>
  <c r="V201" i="4"/>
  <c r="U201" i="4"/>
  <c r="Q201" i="4"/>
  <c r="P201" i="4"/>
  <c r="O201" i="4"/>
  <c r="N201" i="4"/>
  <c r="M201" i="4"/>
  <c r="I201" i="4"/>
  <c r="H201" i="4"/>
  <c r="G201" i="4"/>
  <c r="F201" i="4"/>
  <c r="E201" i="4"/>
  <c r="C201" i="4"/>
  <c r="B201" i="4"/>
  <c r="A201" i="4"/>
  <c r="AF200" i="4"/>
  <c r="AE200" i="4"/>
  <c r="AD200" i="4"/>
  <c r="AC200" i="4"/>
  <c r="Y200" i="4"/>
  <c r="AB200" i="4" s="1"/>
  <c r="X200" i="4"/>
  <c r="W200" i="4"/>
  <c r="V200" i="4"/>
  <c r="U200" i="4"/>
  <c r="Q200" i="4"/>
  <c r="O200" i="4"/>
  <c r="N200" i="4"/>
  <c r="M200" i="4"/>
  <c r="I200" i="4"/>
  <c r="H200" i="4"/>
  <c r="G200" i="4"/>
  <c r="F200" i="4"/>
  <c r="E200" i="4"/>
  <c r="D200" i="4"/>
  <c r="C200" i="4"/>
  <c r="P200" i="4" s="1"/>
  <c r="B200" i="4"/>
  <c r="A200" i="4"/>
  <c r="AF199" i="4"/>
  <c r="AE199" i="4"/>
  <c r="AD199" i="4"/>
  <c r="AC199" i="4"/>
  <c r="AB199" i="4"/>
  <c r="Z199" i="4"/>
  <c r="Y199" i="4"/>
  <c r="X199" i="4"/>
  <c r="W199" i="4"/>
  <c r="V199" i="4"/>
  <c r="U199" i="4"/>
  <c r="R199" i="4"/>
  <c r="S199" i="4" s="1"/>
  <c r="Q199" i="4"/>
  <c r="P199" i="4"/>
  <c r="O199" i="4"/>
  <c r="N199" i="4"/>
  <c r="M199" i="4"/>
  <c r="J199" i="4"/>
  <c r="K199" i="4" s="1"/>
  <c r="I199" i="4"/>
  <c r="L199" i="4" s="1"/>
  <c r="H199" i="4"/>
  <c r="G199" i="4"/>
  <c r="F199" i="4"/>
  <c r="E199" i="4"/>
  <c r="D199" i="4"/>
  <c r="C199" i="4"/>
  <c r="B199" i="4"/>
  <c r="A199" i="4"/>
  <c r="AF198" i="4"/>
  <c r="AE198" i="4"/>
  <c r="AD198" i="4"/>
  <c r="AC198" i="4"/>
  <c r="Y198" i="4"/>
  <c r="AB198" i="4" s="1"/>
  <c r="W198" i="4"/>
  <c r="V198" i="4"/>
  <c r="U198" i="4"/>
  <c r="Q198" i="4"/>
  <c r="O198" i="4"/>
  <c r="N198" i="4"/>
  <c r="M198" i="4"/>
  <c r="L198" i="4"/>
  <c r="I198" i="4"/>
  <c r="H198" i="4"/>
  <c r="G198" i="4"/>
  <c r="F198" i="4"/>
  <c r="E198" i="4"/>
  <c r="D198" i="4"/>
  <c r="C198" i="4"/>
  <c r="B198" i="4"/>
  <c r="A198" i="4"/>
  <c r="AF197" i="4"/>
  <c r="AE197" i="4"/>
  <c r="AD197" i="4"/>
  <c r="AC197" i="4"/>
  <c r="Y197" i="4"/>
  <c r="AB197" i="4" s="1"/>
  <c r="W197" i="4"/>
  <c r="V197" i="4"/>
  <c r="U197" i="4"/>
  <c r="Q197" i="4"/>
  <c r="O197" i="4"/>
  <c r="N197" i="4"/>
  <c r="M197" i="4"/>
  <c r="I197" i="4"/>
  <c r="L197" i="4" s="1"/>
  <c r="H197" i="4"/>
  <c r="G197" i="4"/>
  <c r="F197" i="4"/>
  <c r="E197" i="4"/>
  <c r="D197" i="4"/>
  <c r="C197" i="4"/>
  <c r="R197" i="4" s="1"/>
  <c r="S197" i="4" s="1"/>
  <c r="B197" i="4"/>
  <c r="A197" i="4"/>
  <c r="AF196" i="4"/>
  <c r="AE196" i="4"/>
  <c r="AD196" i="4"/>
  <c r="AC196" i="4"/>
  <c r="Z196" i="4"/>
  <c r="Y196" i="4"/>
  <c r="X196" i="4"/>
  <c r="W196" i="4"/>
  <c r="V196" i="4"/>
  <c r="U196" i="4"/>
  <c r="R196" i="4"/>
  <c r="S196" i="4" s="1"/>
  <c r="Q196" i="4"/>
  <c r="P196" i="4"/>
  <c r="O196" i="4"/>
  <c r="N196" i="4"/>
  <c r="M196" i="4"/>
  <c r="J196" i="4"/>
  <c r="K196" i="4" s="1"/>
  <c r="I196" i="4"/>
  <c r="H196" i="4"/>
  <c r="G196" i="4"/>
  <c r="F196" i="4"/>
  <c r="E196" i="4"/>
  <c r="D196" i="4"/>
  <c r="C196" i="4"/>
  <c r="B196" i="4"/>
  <c r="A196" i="4"/>
  <c r="AF195" i="4"/>
  <c r="AE195" i="4"/>
  <c r="AD195" i="4"/>
  <c r="AC195" i="4"/>
  <c r="Y195" i="4"/>
  <c r="X195" i="4"/>
  <c r="W195" i="4"/>
  <c r="V195" i="4"/>
  <c r="U195" i="4"/>
  <c r="Q195" i="4"/>
  <c r="O195" i="4"/>
  <c r="N195" i="4"/>
  <c r="M195" i="4"/>
  <c r="L195" i="4"/>
  <c r="I195" i="4"/>
  <c r="H195" i="4"/>
  <c r="G195" i="4"/>
  <c r="F195" i="4"/>
  <c r="E195" i="4"/>
  <c r="C195" i="4"/>
  <c r="B195" i="4"/>
  <c r="A195" i="4"/>
  <c r="AF194" i="4"/>
  <c r="AE194" i="4"/>
  <c r="AD194" i="4"/>
  <c r="AC194" i="4"/>
  <c r="AA194" i="4"/>
  <c r="Z194" i="4"/>
  <c r="Y194" i="4"/>
  <c r="X194" i="4"/>
  <c r="W194" i="4"/>
  <c r="V194" i="4"/>
  <c r="U194" i="4"/>
  <c r="Q194" i="4"/>
  <c r="P194" i="4"/>
  <c r="O194" i="4"/>
  <c r="N194" i="4"/>
  <c r="M194" i="4"/>
  <c r="J194" i="4"/>
  <c r="K194" i="4" s="1"/>
  <c r="I194" i="4"/>
  <c r="H194" i="4"/>
  <c r="G194" i="4"/>
  <c r="F194" i="4"/>
  <c r="E194" i="4"/>
  <c r="C194" i="4"/>
  <c r="R194" i="4" s="1"/>
  <c r="S194" i="4" s="1"/>
  <c r="B194" i="4"/>
  <c r="A194" i="4"/>
  <c r="AF193" i="4"/>
  <c r="AE193" i="4"/>
  <c r="AD193" i="4"/>
  <c r="AC193" i="4"/>
  <c r="Z193" i="4"/>
  <c r="Y193" i="4"/>
  <c r="X193" i="4"/>
  <c r="W193" i="4"/>
  <c r="V193" i="4"/>
  <c r="U193" i="4"/>
  <c r="R193" i="4"/>
  <c r="S193" i="4" s="1"/>
  <c r="Q193" i="4"/>
  <c r="P193" i="4"/>
  <c r="O193" i="4"/>
  <c r="N193" i="4"/>
  <c r="M193" i="4"/>
  <c r="J193" i="4"/>
  <c r="I193" i="4"/>
  <c r="H193" i="4"/>
  <c r="G193" i="4"/>
  <c r="K193" i="4" s="1"/>
  <c r="F193" i="4"/>
  <c r="E193" i="4"/>
  <c r="C193" i="4"/>
  <c r="B193" i="4"/>
  <c r="A193" i="4"/>
  <c r="AF192" i="4"/>
  <c r="AE192" i="4"/>
  <c r="AD192" i="4"/>
  <c r="AC192" i="4"/>
  <c r="Z192" i="4"/>
  <c r="AA192" i="4" s="1"/>
  <c r="Y192" i="4"/>
  <c r="X192" i="4"/>
  <c r="W192" i="4"/>
  <c r="V192" i="4"/>
  <c r="U192" i="4"/>
  <c r="R192" i="4"/>
  <c r="Q192" i="4"/>
  <c r="P192" i="4"/>
  <c r="O192" i="4"/>
  <c r="S192" i="4" s="1"/>
  <c r="N192" i="4"/>
  <c r="M192" i="4"/>
  <c r="I192" i="4"/>
  <c r="H192" i="4"/>
  <c r="G192" i="4"/>
  <c r="F192" i="4"/>
  <c r="E192" i="4"/>
  <c r="C192" i="4"/>
  <c r="J192" i="4" s="1"/>
  <c r="B192" i="4"/>
  <c r="A192" i="4"/>
  <c r="D192" i="4" s="1"/>
  <c r="AF191" i="4"/>
  <c r="AE191" i="4"/>
  <c r="AD191" i="4"/>
  <c r="AC191" i="4"/>
  <c r="Z191" i="4"/>
  <c r="AA191" i="4" s="1"/>
  <c r="Y191" i="4"/>
  <c r="W191" i="4"/>
  <c r="V191" i="4"/>
  <c r="U191" i="4"/>
  <c r="Q191" i="4"/>
  <c r="P191" i="4"/>
  <c r="O191" i="4"/>
  <c r="N191" i="4"/>
  <c r="M191" i="4"/>
  <c r="I191" i="4"/>
  <c r="H191" i="4"/>
  <c r="G191" i="4"/>
  <c r="F191" i="4"/>
  <c r="E191" i="4"/>
  <c r="C191" i="4"/>
  <c r="R191" i="4" s="1"/>
  <c r="S191" i="4" s="1"/>
  <c r="B191" i="4"/>
  <c r="A191" i="4"/>
  <c r="AF190" i="4"/>
  <c r="AE190" i="4"/>
  <c r="AD190" i="4"/>
  <c r="AC190" i="4"/>
  <c r="AB190" i="4"/>
  <c r="Z190" i="4"/>
  <c r="Y190" i="4"/>
  <c r="X190" i="4"/>
  <c r="W190" i="4"/>
  <c r="V190" i="4"/>
  <c r="U190" i="4"/>
  <c r="T190" i="4"/>
  <c r="R190" i="4"/>
  <c r="S190" i="4" s="1"/>
  <c r="Q190" i="4"/>
  <c r="P190" i="4"/>
  <c r="O190" i="4"/>
  <c r="N190" i="4"/>
  <c r="M190" i="4"/>
  <c r="K190" i="4"/>
  <c r="J190" i="4"/>
  <c r="I190" i="4"/>
  <c r="L190" i="4" s="1"/>
  <c r="H190" i="4"/>
  <c r="G190" i="4"/>
  <c r="F190" i="4"/>
  <c r="E190" i="4"/>
  <c r="C190" i="4"/>
  <c r="B190" i="4"/>
  <c r="A190" i="4"/>
  <c r="D190" i="4" s="1"/>
  <c r="AF189" i="4"/>
  <c r="AE189" i="4"/>
  <c r="AD189" i="4"/>
  <c r="AC189" i="4"/>
  <c r="AA189" i="4"/>
  <c r="Y189" i="4"/>
  <c r="W189" i="4"/>
  <c r="V189" i="4"/>
  <c r="U189" i="4"/>
  <c r="Q189" i="4"/>
  <c r="P189" i="4"/>
  <c r="O189" i="4"/>
  <c r="N189" i="4"/>
  <c r="M189" i="4"/>
  <c r="I189" i="4"/>
  <c r="H189" i="4"/>
  <c r="G189" i="4"/>
  <c r="F189" i="4"/>
  <c r="E189" i="4"/>
  <c r="C189" i="4"/>
  <c r="Z189" i="4" s="1"/>
  <c r="B189" i="4"/>
  <c r="A189" i="4"/>
  <c r="AF188" i="4"/>
  <c r="AE188" i="4"/>
  <c r="AD188" i="4"/>
  <c r="AC188" i="4"/>
  <c r="Y188" i="4"/>
  <c r="W188" i="4"/>
  <c r="V188" i="4"/>
  <c r="U188" i="4"/>
  <c r="Q188" i="4"/>
  <c r="O188" i="4"/>
  <c r="N188" i="4"/>
  <c r="M188" i="4"/>
  <c r="I188" i="4"/>
  <c r="H188" i="4"/>
  <c r="G188" i="4"/>
  <c r="F188" i="4"/>
  <c r="E188" i="4"/>
  <c r="C188" i="4"/>
  <c r="B188" i="4"/>
  <c r="A188" i="4"/>
  <c r="AF187" i="4"/>
  <c r="AE187" i="4"/>
  <c r="AD187" i="4"/>
  <c r="AC187" i="4"/>
  <c r="Z187" i="4"/>
  <c r="AA187" i="4" s="1"/>
  <c r="Y187" i="4"/>
  <c r="X187" i="4"/>
  <c r="W187" i="4"/>
  <c r="V187" i="4"/>
  <c r="U187" i="4"/>
  <c r="R187" i="4"/>
  <c r="S187" i="4" s="1"/>
  <c r="Q187" i="4"/>
  <c r="P187" i="4"/>
  <c r="O187" i="4"/>
  <c r="N187" i="4"/>
  <c r="M187" i="4"/>
  <c r="J187" i="4"/>
  <c r="I187" i="4"/>
  <c r="H187" i="4"/>
  <c r="G187" i="4"/>
  <c r="F187" i="4"/>
  <c r="E187" i="4"/>
  <c r="D187" i="4"/>
  <c r="C187" i="4"/>
  <c r="B187" i="4"/>
  <c r="A187" i="4"/>
  <c r="AF186" i="4"/>
  <c r="AE186" i="4"/>
  <c r="AD186" i="4"/>
  <c r="AC186" i="4"/>
  <c r="AB186" i="4"/>
  <c r="Z186" i="4"/>
  <c r="AA186" i="4" s="1"/>
  <c r="Y186" i="4"/>
  <c r="X186" i="4"/>
  <c r="W186" i="4"/>
  <c r="V186" i="4"/>
  <c r="U186" i="4"/>
  <c r="Q186" i="4"/>
  <c r="O186" i="4"/>
  <c r="N186" i="4"/>
  <c r="M186" i="4"/>
  <c r="I186" i="4"/>
  <c r="H186" i="4"/>
  <c r="G186" i="4"/>
  <c r="F186" i="4"/>
  <c r="E186" i="4"/>
  <c r="C186" i="4"/>
  <c r="B186" i="4"/>
  <c r="A186" i="4"/>
  <c r="L186" i="4" s="1"/>
  <c r="AF185" i="4"/>
  <c r="AE185" i="4"/>
  <c r="AD185" i="4"/>
  <c r="AC185" i="4"/>
  <c r="Y185" i="4"/>
  <c r="X185" i="4"/>
  <c r="W185" i="4"/>
  <c r="V185" i="4"/>
  <c r="U185" i="4"/>
  <c r="Q185" i="4"/>
  <c r="P185" i="4"/>
  <c r="O185" i="4"/>
  <c r="N185" i="4"/>
  <c r="M185" i="4"/>
  <c r="I185" i="4"/>
  <c r="H185" i="4"/>
  <c r="G185" i="4"/>
  <c r="F185" i="4"/>
  <c r="E185" i="4"/>
  <c r="C185" i="4"/>
  <c r="B185" i="4"/>
  <c r="A185" i="4"/>
  <c r="AF184" i="4"/>
  <c r="AE184" i="4"/>
  <c r="AD184" i="4"/>
  <c r="AC184" i="4"/>
  <c r="AB184" i="4"/>
  <c r="Z184" i="4"/>
  <c r="AA184" i="4" s="1"/>
  <c r="Y184" i="4"/>
  <c r="X184" i="4"/>
  <c r="W184" i="4"/>
  <c r="V184" i="4"/>
  <c r="U184" i="4"/>
  <c r="S184" i="4"/>
  <c r="R184" i="4"/>
  <c r="Q184" i="4"/>
  <c r="P184" i="4"/>
  <c r="O184" i="4"/>
  <c r="N184" i="4"/>
  <c r="M184" i="4"/>
  <c r="J184" i="4"/>
  <c r="K184" i="4" s="1"/>
  <c r="I184" i="4"/>
  <c r="H184" i="4"/>
  <c r="G184" i="4"/>
  <c r="F184" i="4"/>
  <c r="E184" i="4"/>
  <c r="C184" i="4"/>
  <c r="B184" i="4"/>
  <c r="A184" i="4"/>
  <c r="AF183" i="4"/>
  <c r="AE183" i="4"/>
  <c r="AD183" i="4"/>
  <c r="AC183" i="4"/>
  <c r="Y183" i="4"/>
  <c r="AB183" i="4" s="1"/>
  <c r="X183" i="4"/>
  <c r="W183" i="4"/>
  <c r="V183" i="4"/>
  <c r="U183" i="4"/>
  <c r="Q183" i="4"/>
  <c r="O183" i="4"/>
  <c r="N183" i="4"/>
  <c r="M183" i="4"/>
  <c r="I183" i="4"/>
  <c r="L183" i="4" s="1"/>
  <c r="H183" i="4"/>
  <c r="G183" i="4"/>
  <c r="F183" i="4"/>
  <c r="E183" i="4"/>
  <c r="D183" i="4"/>
  <c r="C183" i="4"/>
  <c r="B183" i="4"/>
  <c r="A183" i="4"/>
  <c r="AF182" i="4"/>
  <c r="AE182" i="4"/>
  <c r="AD182" i="4"/>
  <c r="AC182" i="4"/>
  <c r="AB182" i="4"/>
  <c r="Y182" i="4"/>
  <c r="X182" i="4"/>
  <c r="W182" i="4"/>
  <c r="V182" i="4"/>
  <c r="U182" i="4"/>
  <c r="Q182" i="4"/>
  <c r="P182" i="4"/>
  <c r="O182" i="4"/>
  <c r="N182" i="4"/>
  <c r="M182" i="4"/>
  <c r="I182" i="4"/>
  <c r="H182" i="4"/>
  <c r="G182" i="4"/>
  <c r="F182" i="4"/>
  <c r="E182" i="4"/>
  <c r="D182" i="4"/>
  <c r="C182" i="4"/>
  <c r="B182" i="4"/>
  <c r="A182" i="4"/>
  <c r="AF181" i="4"/>
  <c r="AE181" i="4"/>
  <c r="AD181" i="4"/>
  <c r="AC181" i="4"/>
  <c r="AB181" i="4"/>
  <c r="Z181" i="4"/>
  <c r="Y181" i="4"/>
  <c r="X181" i="4"/>
  <c r="W181" i="4"/>
  <c r="V181" i="4"/>
  <c r="U181" i="4"/>
  <c r="R181" i="4"/>
  <c r="S181" i="4" s="1"/>
  <c r="Q181" i="4"/>
  <c r="T181" i="4" s="1"/>
  <c r="P181" i="4"/>
  <c r="O181" i="4"/>
  <c r="N181" i="4"/>
  <c r="M181" i="4"/>
  <c r="J181" i="4"/>
  <c r="K181" i="4" s="1"/>
  <c r="I181" i="4"/>
  <c r="L181" i="4" s="1"/>
  <c r="H181" i="4"/>
  <c r="G181" i="4"/>
  <c r="F181" i="4"/>
  <c r="E181" i="4"/>
  <c r="D181" i="4"/>
  <c r="C181" i="4"/>
  <c r="B181" i="4"/>
  <c r="A181" i="4"/>
  <c r="AF180" i="4"/>
  <c r="AE180" i="4"/>
  <c r="AD180" i="4"/>
  <c r="AC180" i="4"/>
  <c r="AB180" i="4"/>
  <c r="Z180" i="4"/>
  <c r="AA180" i="4" s="1"/>
  <c r="Y180" i="4"/>
  <c r="W180" i="4"/>
  <c r="V180" i="4"/>
  <c r="U180" i="4"/>
  <c r="Q180" i="4"/>
  <c r="P180" i="4"/>
  <c r="O180" i="4"/>
  <c r="N180" i="4"/>
  <c r="M180" i="4"/>
  <c r="I180" i="4"/>
  <c r="H180" i="4"/>
  <c r="G180" i="4"/>
  <c r="F180" i="4"/>
  <c r="E180" i="4"/>
  <c r="D180" i="4"/>
  <c r="C180" i="4"/>
  <c r="B180" i="4"/>
  <c r="A180" i="4"/>
  <c r="AF179" i="4"/>
  <c r="AE179" i="4"/>
  <c r="AD179" i="4"/>
  <c r="AC179" i="4"/>
  <c r="Y179" i="4"/>
  <c r="AB179" i="4" s="1"/>
  <c r="W179" i="4"/>
  <c r="V179" i="4"/>
  <c r="U179" i="4"/>
  <c r="Q179" i="4"/>
  <c r="O179" i="4"/>
  <c r="N179" i="4"/>
  <c r="M179" i="4"/>
  <c r="I179" i="4"/>
  <c r="L179" i="4" s="1"/>
  <c r="H179" i="4"/>
  <c r="G179" i="4"/>
  <c r="F179" i="4"/>
  <c r="E179" i="4"/>
  <c r="D179" i="4"/>
  <c r="C179" i="4"/>
  <c r="B179" i="4"/>
  <c r="A179" i="4"/>
  <c r="AF178" i="4"/>
  <c r="AE178" i="4"/>
  <c r="AD178" i="4"/>
  <c r="AC178" i="4"/>
  <c r="Z178" i="4"/>
  <c r="Y178" i="4"/>
  <c r="X178" i="4"/>
  <c r="W178" i="4"/>
  <c r="V178" i="4"/>
  <c r="U178" i="4"/>
  <c r="R178" i="4"/>
  <c r="S178" i="4" s="1"/>
  <c r="Q178" i="4"/>
  <c r="P178" i="4"/>
  <c r="O178" i="4"/>
  <c r="N178" i="4"/>
  <c r="M178" i="4"/>
  <c r="L178" i="4"/>
  <c r="J178" i="4"/>
  <c r="K178" i="4" s="1"/>
  <c r="I178" i="4"/>
  <c r="H178" i="4"/>
  <c r="G178" i="4"/>
  <c r="F178" i="4"/>
  <c r="E178" i="4"/>
  <c r="C178" i="4"/>
  <c r="B178" i="4"/>
  <c r="A178" i="4"/>
  <c r="AF177" i="4"/>
  <c r="AE177" i="4"/>
  <c r="AD177" i="4"/>
  <c r="AC177" i="4"/>
  <c r="AA177" i="4"/>
  <c r="Z177" i="4"/>
  <c r="Y177" i="4"/>
  <c r="X177" i="4"/>
  <c r="W177" i="4"/>
  <c r="V177" i="4"/>
  <c r="U177" i="4"/>
  <c r="R177" i="4"/>
  <c r="S177" i="4" s="1"/>
  <c r="Q177" i="4"/>
  <c r="O177" i="4"/>
  <c r="N177" i="4"/>
  <c r="M177" i="4"/>
  <c r="I177" i="4"/>
  <c r="H177" i="4"/>
  <c r="G177" i="4"/>
  <c r="F177" i="4"/>
  <c r="E177" i="4"/>
  <c r="C177" i="4"/>
  <c r="J177" i="4" s="1"/>
  <c r="B177" i="4"/>
  <c r="A177" i="4"/>
  <c r="AF176" i="4"/>
  <c r="AE176" i="4"/>
  <c r="AD176" i="4"/>
  <c r="AC176" i="4"/>
  <c r="AA176" i="4"/>
  <c r="Z176" i="4"/>
  <c r="Y176" i="4"/>
  <c r="X176" i="4"/>
  <c r="W176" i="4"/>
  <c r="V176" i="4"/>
  <c r="U176" i="4"/>
  <c r="T176" i="4"/>
  <c r="Q176" i="4"/>
  <c r="O176" i="4"/>
  <c r="N176" i="4"/>
  <c r="M176" i="4"/>
  <c r="L176" i="4"/>
  <c r="J176" i="4"/>
  <c r="K176" i="4" s="1"/>
  <c r="I176" i="4"/>
  <c r="H176" i="4"/>
  <c r="G176" i="4"/>
  <c r="F176" i="4"/>
  <c r="E176" i="4"/>
  <c r="C176" i="4"/>
  <c r="R176" i="4" s="1"/>
  <c r="S176" i="4" s="1"/>
  <c r="B176" i="4"/>
  <c r="A176" i="4"/>
  <c r="AF175" i="4"/>
  <c r="AE175" i="4"/>
  <c r="AD175" i="4"/>
  <c r="AC175" i="4"/>
  <c r="Z175" i="4"/>
  <c r="Y175" i="4"/>
  <c r="X175" i="4"/>
  <c r="W175" i="4"/>
  <c r="V175" i="4"/>
  <c r="U175" i="4"/>
  <c r="R175" i="4"/>
  <c r="S175" i="4" s="1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C175" i="4"/>
  <c r="B175" i="4"/>
  <c r="A175" i="4"/>
  <c r="AF174" i="4"/>
  <c r="AE174" i="4"/>
  <c r="AD174" i="4"/>
  <c r="AC174" i="4"/>
  <c r="AA174" i="4"/>
  <c r="Z174" i="4"/>
  <c r="Y174" i="4"/>
  <c r="AB174" i="4" s="1"/>
  <c r="W174" i="4"/>
  <c r="V174" i="4"/>
  <c r="U174" i="4"/>
  <c r="R174" i="4"/>
  <c r="S174" i="4" s="1"/>
  <c r="Q174" i="4"/>
  <c r="P174" i="4"/>
  <c r="O174" i="4"/>
  <c r="N174" i="4"/>
  <c r="M174" i="4"/>
  <c r="I174" i="4"/>
  <c r="H174" i="4"/>
  <c r="G174" i="4"/>
  <c r="F174" i="4"/>
  <c r="E174" i="4"/>
  <c r="D174" i="4"/>
  <c r="C174" i="4"/>
  <c r="J174" i="4" s="1"/>
  <c r="B174" i="4"/>
  <c r="A174" i="4"/>
  <c r="AF173" i="4"/>
  <c r="AE173" i="4"/>
  <c r="AD173" i="4"/>
  <c r="AC173" i="4"/>
  <c r="Z173" i="4"/>
  <c r="AA173" i="4" s="1"/>
  <c r="Y173" i="4"/>
  <c r="X173" i="4"/>
  <c r="W173" i="4"/>
  <c r="V173" i="4"/>
  <c r="U173" i="4"/>
  <c r="Q173" i="4"/>
  <c r="P173" i="4"/>
  <c r="O173" i="4"/>
  <c r="N173" i="4"/>
  <c r="M173" i="4"/>
  <c r="L173" i="4"/>
  <c r="J173" i="4"/>
  <c r="K173" i="4" s="1"/>
  <c r="I173" i="4"/>
  <c r="H173" i="4"/>
  <c r="G173" i="4"/>
  <c r="F173" i="4"/>
  <c r="E173" i="4"/>
  <c r="C173" i="4"/>
  <c r="R173" i="4" s="1"/>
  <c r="S173" i="4" s="1"/>
  <c r="B173" i="4"/>
  <c r="A173" i="4"/>
  <c r="D173" i="4" s="1"/>
  <c r="AF172" i="4"/>
  <c r="AE172" i="4"/>
  <c r="AD172" i="4"/>
  <c r="AC172" i="4"/>
  <c r="Z172" i="4"/>
  <c r="AA172" i="4" s="1"/>
  <c r="Y172" i="4"/>
  <c r="X172" i="4"/>
  <c r="W172" i="4"/>
  <c r="V172" i="4"/>
  <c r="U172" i="4"/>
  <c r="R172" i="4"/>
  <c r="S172" i="4" s="1"/>
  <c r="Q172" i="4"/>
  <c r="P172" i="4"/>
  <c r="O172" i="4"/>
  <c r="N172" i="4"/>
  <c r="M172" i="4"/>
  <c r="J172" i="4"/>
  <c r="I172" i="4"/>
  <c r="H172" i="4"/>
  <c r="G172" i="4"/>
  <c r="K172" i="4" s="1"/>
  <c r="F172" i="4"/>
  <c r="E172" i="4"/>
  <c r="C172" i="4"/>
  <c r="B172" i="4"/>
  <c r="A172" i="4"/>
  <c r="AF171" i="4"/>
  <c r="AE171" i="4"/>
  <c r="AD171" i="4"/>
  <c r="AC171" i="4"/>
  <c r="Y171" i="4"/>
  <c r="W171" i="4"/>
  <c r="V171" i="4"/>
  <c r="U171" i="4"/>
  <c r="Q171" i="4"/>
  <c r="O171" i="4"/>
  <c r="N171" i="4"/>
  <c r="M171" i="4"/>
  <c r="I171" i="4"/>
  <c r="H171" i="4"/>
  <c r="G171" i="4"/>
  <c r="F171" i="4"/>
  <c r="E171" i="4"/>
  <c r="C171" i="4"/>
  <c r="B171" i="4"/>
  <c r="A171" i="4"/>
  <c r="AF170" i="4"/>
  <c r="AE170" i="4"/>
  <c r="AD170" i="4"/>
  <c r="AC170" i="4"/>
  <c r="AB170" i="4"/>
  <c r="Z170" i="4"/>
  <c r="Y170" i="4"/>
  <c r="W170" i="4"/>
  <c r="V170" i="4"/>
  <c r="U170" i="4"/>
  <c r="Q170" i="4"/>
  <c r="O170" i="4"/>
  <c r="N170" i="4"/>
  <c r="M170" i="4"/>
  <c r="I170" i="4"/>
  <c r="H170" i="4"/>
  <c r="G170" i="4"/>
  <c r="F170" i="4"/>
  <c r="E170" i="4"/>
  <c r="C170" i="4"/>
  <c r="B170" i="4"/>
  <c r="A170" i="4"/>
  <c r="D170" i="4" s="1"/>
  <c r="AF169" i="4"/>
  <c r="AE169" i="4"/>
  <c r="AD169" i="4"/>
  <c r="AC169" i="4"/>
  <c r="Z169" i="4"/>
  <c r="AA169" i="4" s="1"/>
  <c r="Y169" i="4"/>
  <c r="X169" i="4"/>
  <c r="W169" i="4"/>
  <c r="V169" i="4"/>
  <c r="U169" i="4"/>
  <c r="S169" i="4"/>
  <c r="R169" i="4"/>
  <c r="Q169" i="4"/>
  <c r="P169" i="4"/>
  <c r="O169" i="4"/>
  <c r="N169" i="4"/>
  <c r="M169" i="4"/>
  <c r="J169" i="4"/>
  <c r="K169" i="4" s="1"/>
  <c r="I169" i="4"/>
  <c r="L169" i="4" s="1"/>
  <c r="H169" i="4"/>
  <c r="G169" i="4"/>
  <c r="F169" i="4"/>
  <c r="E169" i="4"/>
  <c r="D169" i="4"/>
  <c r="C169" i="4"/>
  <c r="B169" i="4"/>
  <c r="A169" i="4"/>
  <c r="AF168" i="4"/>
  <c r="AE168" i="4"/>
  <c r="AD168" i="4"/>
  <c r="AC168" i="4"/>
  <c r="AB168" i="4"/>
  <c r="Y168" i="4"/>
  <c r="X168" i="4"/>
  <c r="W168" i="4"/>
  <c r="V168" i="4"/>
  <c r="U168" i="4"/>
  <c r="Q168" i="4"/>
  <c r="T168" i="4" s="1"/>
  <c r="P168" i="4"/>
  <c r="O168" i="4"/>
  <c r="N168" i="4"/>
  <c r="M168" i="4"/>
  <c r="I168" i="4"/>
  <c r="H168" i="4"/>
  <c r="G168" i="4"/>
  <c r="F168" i="4"/>
  <c r="E168" i="4"/>
  <c r="D168" i="4"/>
  <c r="C168" i="4"/>
  <c r="Z168" i="4" s="1"/>
  <c r="AA168" i="4" s="1"/>
  <c r="B168" i="4"/>
  <c r="A168" i="4"/>
  <c r="AF167" i="4"/>
  <c r="AE167" i="4"/>
  <c r="AD167" i="4"/>
  <c r="AC167" i="4"/>
  <c r="Y167" i="4"/>
  <c r="AB167" i="4" s="1"/>
  <c r="X167" i="4"/>
  <c r="W167" i="4"/>
  <c r="V167" i="4"/>
  <c r="U167" i="4"/>
  <c r="Q167" i="4"/>
  <c r="O167" i="4"/>
  <c r="N167" i="4"/>
  <c r="M167" i="4"/>
  <c r="I167" i="4"/>
  <c r="L167" i="4" s="1"/>
  <c r="H167" i="4"/>
  <c r="G167" i="4"/>
  <c r="F167" i="4"/>
  <c r="E167" i="4"/>
  <c r="D167" i="4"/>
  <c r="C167" i="4"/>
  <c r="J167" i="4" s="1"/>
  <c r="K167" i="4" s="1"/>
  <c r="B167" i="4"/>
  <c r="A167" i="4"/>
  <c r="T167" i="4" s="1"/>
  <c r="AF166" i="4"/>
  <c r="AE166" i="4"/>
  <c r="AD166" i="4"/>
  <c r="AC166" i="4"/>
  <c r="Z166" i="4"/>
  <c r="Y166" i="4"/>
  <c r="X166" i="4"/>
  <c r="W166" i="4"/>
  <c r="V166" i="4"/>
  <c r="U166" i="4"/>
  <c r="R166" i="4"/>
  <c r="S166" i="4" s="1"/>
  <c r="Q166" i="4"/>
  <c r="P166" i="4"/>
  <c r="O166" i="4"/>
  <c r="N166" i="4"/>
  <c r="M166" i="4"/>
  <c r="J166" i="4"/>
  <c r="I166" i="4"/>
  <c r="H166" i="4"/>
  <c r="G166" i="4"/>
  <c r="K166" i="4" s="1"/>
  <c r="F166" i="4"/>
  <c r="E166" i="4"/>
  <c r="C166" i="4"/>
  <c r="B166" i="4"/>
  <c r="A166" i="4"/>
  <c r="AF165" i="4"/>
  <c r="AE165" i="4"/>
  <c r="AD165" i="4"/>
  <c r="AC165" i="4"/>
  <c r="Z165" i="4"/>
  <c r="AA165" i="4" s="1"/>
  <c r="Y165" i="4"/>
  <c r="X165" i="4"/>
  <c r="W165" i="4"/>
  <c r="V165" i="4"/>
  <c r="U165" i="4"/>
  <c r="T165" i="4"/>
  <c r="S165" i="4"/>
  <c r="R165" i="4"/>
  <c r="Q165" i="4"/>
  <c r="O165" i="4"/>
  <c r="N165" i="4"/>
  <c r="M165" i="4"/>
  <c r="L165" i="4"/>
  <c r="I165" i="4"/>
  <c r="H165" i="4"/>
  <c r="G165" i="4"/>
  <c r="F165" i="4"/>
  <c r="E165" i="4"/>
  <c r="D165" i="4"/>
  <c r="C165" i="4"/>
  <c r="J165" i="4" s="1"/>
  <c r="B165" i="4"/>
  <c r="A165" i="4"/>
  <c r="AF164" i="4"/>
  <c r="AE164" i="4"/>
  <c r="AD164" i="4"/>
  <c r="AC164" i="4"/>
  <c r="Y164" i="4"/>
  <c r="AB164" i="4" s="1"/>
  <c r="W164" i="4"/>
  <c r="V164" i="4"/>
  <c r="U164" i="4"/>
  <c r="Q164" i="4"/>
  <c r="O164" i="4"/>
  <c r="N164" i="4"/>
  <c r="M164" i="4"/>
  <c r="L164" i="4"/>
  <c r="I164" i="4"/>
  <c r="H164" i="4"/>
  <c r="G164" i="4"/>
  <c r="F164" i="4"/>
  <c r="E164" i="4"/>
  <c r="C164" i="4"/>
  <c r="B164" i="4"/>
  <c r="A164" i="4"/>
  <c r="D164" i="4" s="1"/>
  <c r="AF163" i="4"/>
  <c r="AE163" i="4"/>
  <c r="AD163" i="4"/>
  <c r="AC163" i="4"/>
  <c r="Z163" i="4"/>
  <c r="AA163" i="4" s="1"/>
  <c r="Y163" i="4"/>
  <c r="X163" i="4"/>
  <c r="W163" i="4"/>
  <c r="V163" i="4"/>
  <c r="U163" i="4"/>
  <c r="R163" i="4"/>
  <c r="S163" i="4" s="1"/>
  <c r="Q163" i="4"/>
  <c r="P163" i="4"/>
  <c r="O163" i="4"/>
  <c r="N163" i="4"/>
  <c r="M163" i="4"/>
  <c r="J163" i="4"/>
  <c r="I163" i="4"/>
  <c r="H163" i="4"/>
  <c r="G163" i="4"/>
  <c r="F163" i="4"/>
  <c r="E163" i="4"/>
  <c r="C163" i="4"/>
  <c r="B163" i="4"/>
  <c r="A163" i="4"/>
  <c r="AF162" i="4"/>
  <c r="AE162" i="4"/>
  <c r="AD162" i="4"/>
  <c r="AC162" i="4"/>
  <c r="AB162" i="4"/>
  <c r="AA162" i="4"/>
  <c r="Y162" i="4"/>
  <c r="X162" i="4"/>
  <c r="W162" i="4"/>
  <c r="V162" i="4"/>
  <c r="U162" i="4"/>
  <c r="R162" i="4"/>
  <c r="S162" i="4" s="1"/>
  <c r="Q162" i="4"/>
  <c r="O162" i="4"/>
  <c r="N162" i="4"/>
  <c r="M162" i="4"/>
  <c r="J162" i="4"/>
  <c r="K162" i="4" s="1"/>
  <c r="I162" i="4"/>
  <c r="H162" i="4"/>
  <c r="G162" i="4"/>
  <c r="F162" i="4"/>
  <c r="E162" i="4"/>
  <c r="C162" i="4"/>
  <c r="Z162" i="4" s="1"/>
  <c r="B162" i="4"/>
  <c r="A162" i="4"/>
  <c r="AF161" i="4"/>
  <c r="AE161" i="4"/>
  <c r="AD161" i="4"/>
  <c r="AC161" i="4"/>
  <c r="Y161" i="4"/>
  <c r="AB161" i="4" s="1"/>
  <c r="X161" i="4"/>
  <c r="W161" i="4"/>
  <c r="V161" i="4"/>
  <c r="U161" i="4"/>
  <c r="R161" i="4"/>
  <c r="S161" i="4" s="1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Z161" i="4" s="1"/>
  <c r="B161" i="4"/>
  <c r="A161" i="4"/>
  <c r="AF160" i="4"/>
  <c r="AE160" i="4"/>
  <c r="AD160" i="4"/>
  <c r="AC160" i="4"/>
  <c r="Z160" i="4"/>
  <c r="Y160" i="4"/>
  <c r="X160" i="4"/>
  <c r="W160" i="4"/>
  <c r="V160" i="4"/>
  <c r="U160" i="4"/>
  <c r="R160" i="4"/>
  <c r="S160" i="4" s="1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AF159" i="4"/>
  <c r="AE159" i="4"/>
  <c r="AD159" i="4"/>
  <c r="AC159" i="4"/>
  <c r="Z159" i="4"/>
  <c r="AA159" i="4" s="1"/>
  <c r="Y159" i="4"/>
  <c r="X159" i="4"/>
  <c r="W159" i="4"/>
  <c r="V159" i="4"/>
  <c r="U159" i="4"/>
  <c r="R159" i="4"/>
  <c r="S159" i="4" s="1"/>
  <c r="Q159" i="4"/>
  <c r="O159" i="4"/>
  <c r="N159" i="4"/>
  <c r="M159" i="4"/>
  <c r="L159" i="4"/>
  <c r="J159" i="4"/>
  <c r="K159" i="4" s="1"/>
  <c r="I159" i="4"/>
  <c r="H159" i="4"/>
  <c r="G159" i="4"/>
  <c r="F159" i="4"/>
  <c r="E159" i="4"/>
  <c r="C159" i="4"/>
  <c r="P159" i="4" s="1"/>
  <c r="B159" i="4"/>
  <c r="A159" i="4"/>
  <c r="AF158" i="4"/>
  <c r="AE158" i="4"/>
  <c r="AD158" i="4"/>
  <c r="AC158" i="4"/>
  <c r="AB158" i="4"/>
  <c r="AA158" i="4"/>
  <c r="Y158" i="4"/>
  <c r="W158" i="4"/>
  <c r="V158" i="4"/>
  <c r="U158" i="4"/>
  <c r="R158" i="4"/>
  <c r="S158" i="4" s="1"/>
  <c r="Q158" i="4"/>
  <c r="O158" i="4"/>
  <c r="N158" i="4"/>
  <c r="M158" i="4"/>
  <c r="L158" i="4"/>
  <c r="I158" i="4"/>
  <c r="H158" i="4"/>
  <c r="G158" i="4"/>
  <c r="F158" i="4"/>
  <c r="E158" i="4"/>
  <c r="C158" i="4"/>
  <c r="Z158" i="4" s="1"/>
  <c r="B158" i="4"/>
  <c r="A158" i="4"/>
  <c r="AF157" i="4"/>
  <c r="AE157" i="4"/>
  <c r="AD157" i="4"/>
  <c r="AC157" i="4"/>
  <c r="Z157" i="4"/>
  <c r="AA157" i="4" s="1"/>
  <c r="Y157" i="4"/>
  <c r="X157" i="4"/>
  <c r="W157" i="4"/>
  <c r="V157" i="4"/>
  <c r="U157" i="4"/>
  <c r="S157" i="4"/>
  <c r="R157" i="4"/>
  <c r="Q157" i="4"/>
  <c r="P157" i="4"/>
  <c r="O157" i="4"/>
  <c r="N157" i="4"/>
  <c r="M157" i="4"/>
  <c r="J157" i="4"/>
  <c r="I157" i="4"/>
  <c r="H157" i="4"/>
  <c r="G157" i="4"/>
  <c r="F157" i="4"/>
  <c r="E157" i="4"/>
  <c r="D157" i="4"/>
  <c r="C157" i="4"/>
  <c r="B157" i="4"/>
  <c r="A157" i="4"/>
  <c r="AF156" i="4"/>
  <c r="AE156" i="4"/>
  <c r="AD156" i="4"/>
  <c r="AC156" i="4"/>
  <c r="AB156" i="4"/>
  <c r="AA156" i="4"/>
  <c r="Y156" i="4"/>
  <c r="W156" i="4"/>
  <c r="V156" i="4"/>
  <c r="U156" i="4"/>
  <c r="R156" i="4"/>
  <c r="S156" i="4" s="1"/>
  <c r="Q156" i="4"/>
  <c r="O156" i="4"/>
  <c r="N156" i="4"/>
  <c r="M156" i="4"/>
  <c r="L156" i="4"/>
  <c r="J156" i="4"/>
  <c r="K156" i="4" s="1"/>
  <c r="I156" i="4"/>
  <c r="H156" i="4"/>
  <c r="G156" i="4"/>
  <c r="F156" i="4"/>
  <c r="E156" i="4"/>
  <c r="D156" i="4"/>
  <c r="C156" i="4"/>
  <c r="Z156" i="4" s="1"/>
  <c r="B156" i="4"/>
  <c r="A156" i="4"/>
  <c r="AF155" i="4"/>
  <c r="AE155" i="4"/>
  <c r="AD155" i="4"/>
  <c r="AC155" i="4"/>
  <c r="AB155" i="4"/>
  <c r="Y155" i="4"/>
  <c r="X155" i="4"/>
  <c r="W155" i="4"/>
  <c r="V155" i="4"/>
  <c r="U155" i="4"/>
  <c r="Q155" i="4"/>
  <c r="P155" i="4"/>
  <c r="O155" i="4"/>
  <c r="N155" i="4"/>
  <c r="M155" i="4"/>
  <c r="I155" i="4"/>
  <c r="L155" i="4" s="1"/>
  <c r="H155" i="4"/>
  <c r="G155" i="4"/>
  <c r="F155" i="4"/>
  <c r="E155" i="4"/>
  <c r="D155" i="4"/>
  <c r="C155" i="4"/>
  <c r="Z155" i="4" s="1"/>
  <c r="B155" i="4"/>
  <c r="A155" i="4"/>
  <c r="T155" i="4" s="1"/>
  <c r="AF154" i="4"/>
  <c r="AE154" i="4"/>
  <c r="AD154" i="4"/>
  <c r="AC154" i="4"/>
  <c r="Z154" i="4"/>
  <c r="Y154" i="4"/>
  <c r="X154" i="4"/>
  <c r="W154" i="4"/>
  <c r="V154" i="4"/>
  <c r="U154" i="4"/>
  <c r="R154" i="4"/>
  <c r="S154" i="4" s="1"/>
  <c r="Q154" i="4"/>
  <c r="P154" i="4"/>
  <c r="O154" i="4"/>
  <c r="N154" i="4"/>
  <c r="M154" i="4"/>
  <c r="J154" i="4"/>
  <c r="K154" i="4" s="1"/>
  <c r="I154" i="4"/>
  <c r="H154" i="4"/>
  <c r="G154" i="4"/>
  <c r="F154" i="4"/>
  <c r="E154" i="4"/>
  <c r="C154" i="4"/>
  <c r="B154" i="4"/>
  <c r="A154" i="4"/>
  <c r="AF153" i="4"/>
  <c r="AE153" i="4"/>
  <c r="AD153" i="4"/>
  <c r="AC153" i="4"/>
  <c r="Z153" i="4"/>
  <c r="AA153" i="4" s="1"/>
  <c r="Y153" i="4"/>
  <c r="X153" i="4"/>
  <c r="W153" i="4"/>
  <c r="V153" i="4"/>
  <c r="U153" i="4"/>
  <c r="R153" i="4"/>
  <c r="Q153" i="4"/>
  <c r="O153" i="4"/>
  <c r="N153" i="4"/>
  <c r="M153" i="4"/>
  <c r="I153" i="4"/>
  <c r="H153" i="4"/>
  <c r="G153" i="4"/>
  <c r="F153" i="4"/>
  <c r="E153" i="4"/>
  <c r="C153" i="4"/>
  <c r="J153" i="4" s="1"/>
  <c r="B153" i="4"/>
  <c r="A153" i="4"/>
  <c r="L153" i="4" s="1"/>
  <c r="AF152" i="4"/>
  <c r="AE152" i="4"/>
  <c r="AD152" i="4"/>
  <c r="AC152" i="4"/>
  <c r="Z152" i="4"/>
  <c r="AA152" i="4" s="1"/>
  <c r="Y152" i="4"/>
  <c r="AB152" i="4" s="1"/>
  <c r="W152" i="4"/>
  <c r="V152" i="4"/>
  <c r="U152" i="4"/>
  <c r="Q152" i="4"/>
  <c r="O152" i="4"/>
  <c r="N152" i="4"/>
  <c r="M152" i="4"/>
  <c r="L152" i="4"/>
  <c r="I152" i="4"/>
  <c r="H152" i="4"/>
  <c r="G152" i="4"/>
  <c r="F152" i="4"/>
  <c r="E152" i="4"/>
  <c r="C152" i="4"/>
  <c r="B152" i="4"/>
  <c r="A152" i="4"/>
  <c r="D152" i="4" s="1"/>
  <c r="AF151" i="4"/>
  <c r="AE151" i="4"/>
  <c r="AD151" i="4"/>
  <c r="AC151" i="4"/>
  <c r="Z151" i="4"/>
  <c r="AA151" i="4" s="1"/>
  <c r="Y151" i="4"/>
  <c r="X151" i="4"/>
  <c r="W151" i="4"/>
  <c r="V151" i="4"/>
  <c r="U151" i="4"/>
  <c r="R151" i="4"/>
  <c r="S151" i="4" s="1"/>
  <c r="Q151" i="4"/>
  <c r="P151" i="4"/>
  <c r="O151" i="4"/>
  <c r="N151" i="4"/>
  <c r="M151" i="4"/>
  <c r="J151" i="4"/>
  <c r="K151" i="4" s="1"/>
  <c r="I151" i="4"/>
  <c r="H151" i="4"/>
  <c r="G151" i="4"/>
  <c r="F151" i="4"/>
  <c r="E151" i="4"/>
  <c r="D151" i="4"/>
  <c r="C151" i="4"/>
  <c r="B151" i="4"/>
  <c r="A151" i="4"/>
  <c r="AF150" i="4"/>
  <c r="AE150" i="4"/>
  <c r="AD150" i="4"/>
  <c r="AC150" i="4"/>
  <c r="Y150" i="4"/>
  <c r="X150" i="4"/>
  <c r="W150" i="4"/>
  <c r="V150" i="4"/>
  <c r="U150" i="4"/>
  <c r="Q150" i="4"/>
  <c r="P150" i="4"/>
  <c r="O150" i="4"/>
  <c r="N150" i="4"/>
  <c r="M150" i="4"/>
  <c r="I150" i="4"/>
  <c r="H150" i="4"/>
  <c r="G150" i="4"/>
  <c r="F150" i="4"/>
  <c r="E150" i="4"/>
  <c r="C150" i="4"/>
  <c r="B150" i="4"/>
  <c r="A150" i="4"/>
  <c r="AF149" i="4"/>
  <c r="AE149" i="4"/>
  <c r="AD149" i="4"/>
  <c r="AC149" i="4"/>
  <c r="Y149" i="4"/>
  <c r="AB149" i="4" s="1"/>
  <c r="X149" i="4"/>
  <c r="W149" i="4"/>
  <c r="V149" i="4"/>
  <c r="U149" i="4"/>
  <c r="R149" i="4"/>
  <c r="S149" i="4" s="1"/>
  <c r="Q149" i="4"/>
  <c r="P149" i="4"/>
  <c r="O149" i="4"/>
  <c r="N149" i="4"/>
  <c r="M149" i="4"/>
  <c r="K149" i="4"/>
  <c r="J149" i="4"/>
  <c r="I149" i="4"/>
  <c r="L149" i="4" s="1"/>
  <c r="H149" i="4"/>
  <c r="G149" i="4"/>
  <c r="F149" i="4"/>
  <c r="E149" i="4"/>
  <c r="D149" i="4"/>
  <c r="C149" i="4"/>
  <c r="Z149" i="4" s="1"/>
  <c r="B149" i="4"/>
  <c r="A149" i="4"/>
  <c r="AF148" i="4"/>
  <c r="AE148" i="4"/>
  <c r="AD148" i="4"/>
  <c r="AC148" i="4"/>
  <c r="Z148" i="4"/>
  <c r="Y148" i="4"/>
  <c r="X148" i="4"/>
  <c r="W148" i="4"/>
  <c r="V148" i="4"/>
  <c r="U148" i="4"/>
  <c r="R148" i="4"/>
  <c r="S148" i="4" s="1"/>
  <c r="Q148" i="4"/>
  <c r="P148" i="4"/>
  <c r="O148" i="4"/>
  <c r="N148" i="4"/>
  <c r="M148" i="4"/>
  <c r="L148" i="4"/>
  <c r="J148" i="4"/>
  <c r="K148" i="4" s="1"/>
  <c r="I148" i="4"/>
  <c r="H148" i="4"/>
  <c r="G148" i="4"/>
  <c r="F148" i="4"/>
  <c r="E148" i="4"/>
  <c r="C148" i="4"/>
  <c r="B148" i="4"/>
  <c r="A148" i="4"/>
  <c r="AF147" i="4"/>
  <c r="AE147" i="4"/>
  <c r="AD147" i="4"/>
  <c r="AC147" i="4"/>
  <c r="Z147" i="4"/>
  <c r="AA147" i="4" s="1"/>
  <c r="Y147" i="4"/>
  <c r="X147" i="4"/>
  <c r="W147" i="4"/>
  <c r="V147" i="4"/>
  <c r="U147" i="4"/>
  <c r="R147" i="4"/>
  <c r="S147" i="4" s="1"/>
  <c r="Q147" i="4"/>
  <c r="O147" i="4"/>
  <c r="N147" i="4"/>
  <c r="M147" i="4"/>
  <c r="J147" i="4"/>
  <c r="I147" i="4"/>
  <c r="H147" i="4"/>
  <c r="G147" i="4"/>
  <c r="F147" i="4"/>
  <c r="E147" i="4"/>
  <c r="C147" i="4"/>
  <c r="P147" i="4" s="1"/>
  <c r="B147" i="4"/>
  <c r="A147" i="4"/>
  <c r="AF146" i="4"/>
  <c r="AE146" i="4"/>
  <c r="AD146" i="4"/>
  <c r="AC146" i="4"/>
  <c r="Z146" i="4"/>
  <c r="AA146" i="4" s="1"/>
  <c r="Y146" i="4"/>
  <c r="W146" i="4"/>
  <c r="V146" i="4"/>
  <c r="U146" i="4"/>
  <c r="R146" i="4"/>
  <c r="Q146" i="4"/>
  <c r="O146" i="4"/>
  <c r="N146" i="4"/>
  <c r="M146" i="4"/>
  <c r="I146" i="4"/>
  <c r="H146" i="4"/>
  <c r="G146" i="4"/>
  <c r="F146" i="4"/>
  <c r="E146" i="4"/>
  <c r="C146" i="4"/>
  <c r="B146" i="4"/>
  <c r="A146" i="4"/>
  <c r="AF145" i="4"/>
  <c r="AE145" i="4"/>
  <c r="AD145" i="4"/>
  <c r="AC145" i="4"/>
  <c r="Z145" i="4"/>
  <c r="AA145" i="4" s="1"/>
  <c r="Y145" i="4"/>
  <c r="X145" i="4"/>
  <c r="W145" i="4"/>
  <c r="V145" i="4"/>
  <c r="U145" i="4"/>
  <c r="S145" i="4"/>
  <c r="R145" i="4"/>
  <c r="Q145" i="4"/>
  <c r="P145" i="4"/>
  <c r="O145" i="4"/>
  <c r="N145" i="4"/>
  <c r="M145" i="4"/>
  <c r="L145" i="4"/>
  <c r="J145" i="4"/>
  <c r="I145" i="4"/>
  <c r="H145" i="4"/>
  <c r="G145" i="4"/>
  <c r="F145" i="4"/>
  <c r="E145" i="4"/>
  <c r="C145" i="4"/>
  <c r="B145" i="4"/>
  <c r="A145" i="4"/>
  <c r="D145" i="4" s="1"/>
  <c r="AF144" i="4"/>
  <c r="AE144" i="4"/>
  <c r="AD144" i="4"/>
  <c r="AC144" i="4"/>
  <c r="AB144" i="4"/>
  <c r="Y144" i="4"/>
  <c r="X144" i="4"/>
  <c r="W144" i="4"/>
  <c r="V144" i="4"/>
  <c r="U144" i="4"/>
  <c r="Q144" i="4"/>
  <c r="T144" i="4" s="1"/>
  <c r="O144" i="4"/>
  <c r="N144" i="4"/>
  <c r="M144" i="4"/>
  <c r="L144" i="4"/>
  <c r="J144" i="4"/>
  <c r="K144" i="4" s="1"/>
  <c r="I144" i="4"/>
  <c r="H144" i="4"/>
  <c r="G144" i="4"/>
  <c r="F144" i="4"/>
  <c r="E144" i="4"/>
  <c r="D144" i="4"/>
  <c r="C144" i="4"/>
  <c r="B144" i="4"/>
  <c r="A144" i="4"/>
  <c r="AF143" i="4"/>
  <c r="AE143" i="4"/>
  <c r="AD143" i="4"/>
  <c r="AC143" i="4"/>
  <c r="Y143" i="4"/>
  <c r="AB143" i="4" s="1"/>
  <c r="W143" i="4"/>
  <c r="V143" i="4"/>
  <c r="U143" i="4"/>
  <c r="Q143" i="4"/>
  <c r="O143" i="4"/>
  <c r="N143" i="4"/>
  <c r="M143" i="4"/>
  <c r="I143" i="4"/>
  <c r="L143" i="4" s="1"/>
  <c r="H143" i="4"/>
  <c r="G143" i="4"/>
  <c r="F143" i="4"/>
  <c r="E143" i="4"/>
  <c r="D143" i="4"/>
  <c r="C143" i="4"/>
  <c r="B143" i="4"/>
  <c r="A143" i="4"/>
  <c r="AF142" i="4"/>
  <c r="AE142" i="4"/>
  <c r="AD142" i="4"/>
  <c r="AC142" i="4"/>
  <c r="Z142" i="4"/>
  <c r="Y142" i="4"/>
  <c r="X142" i="4"/>
  <c r="W142" i="4"/>
  <c r="V142" i="4"/>
  <c r="U142" i="4"/>
  <c r="R142" i="4"/>
  <c r="S142" i="4" s="1"/>
  <c r="Q142" i="4"/>
  <c r="P142" i="4"/>
  <c r="O142" i="4"/>
  <c r="N142" i="4"/>
  <c r="M142" i="4"/>
  <c r="J142" i="4"/>
  <c r="K142" i="4" s="1"/>
  <c r="I142" i="4"/>
  <c r="H142" i="4"/>
  <c r="G142" i="4"/>
  <c r="F142" i="4"/>
  <c r="E142" i="4"/>
  <c r="D142" i="4"/>
  <c r="C142" i="4"/>
  <c r="B142" i="4"/>
  <c r="A142" i="4"/>
  <c r="AF141" i="4"/>
  <c r="AE141" i="4"/>
  <c r="AD141" i="4"/>
  <c r="AC141" i="4"/>
  <c r="AA141" i="4"/>
  <c r="Z141" i="4"/>
  <c r="Y141" i="4"/>
  <c r="X141" i="4"/>
  <c r="W141" i="4"/>
  <c r="V141" i="4"/>
  <c r="U141" i="4"/>
  <c r="R141" i="4"/>
  <c r="Q141" i="4"/>
  <c r="O141" i="4"/>
  <c r="N141" i="4"/>
  <c r="M141" i="4"/>
  <c r="I141" i="4"/>
  <c r="H141" i="4"/>
  <c r="G141" i="4"/>
  <c r="F141" i="4"/>
  <c r="E141" i="4"/>
  <c r="C141" i="4"/>
  <c r="J141" i="4" s="1"/>
  <c r="B141" i="4"/>
  <c r="A141" i="4"/>
  <c r="L141" i="4" s="1"/>
  <c r="AF140" i="4"/>
  <c r="AE140" i="4"/>
  <c r="AD140" i="4"/>
  <c r="AC140" i="4"/>
  <c r="Z140" i="4"/>
  <c r="AA140" i="4" s="1"/>
  <c r="Y140" i="4"/>
  <c r="W140" i="4"/>
  <c r="V140" i="4"/>
  <c r="U140" i="4"/>
  <c r="Q140" i="4"/>
  <c r="O140" i="4"/>
  <c r="N140" i="4"/>
  <c r="M140" i="4"/>
  <c r="I140" i="4"/>
  <c r="H140" i="4"/>
  <c r="G140" i="4"/>
  <c r="F140" i="4"/>
  <c r="E140" i="4"/>
  <c r="C140" i="4"/>
  <c r="X140" i="4" s="1"/>
  <c r="B140" i="4"/>
  <c r="A140" i="4"/>
  <c r="AF139" i="4"/>
  <c r="AE139" i="4"/>
  <c r="AD139" i="4"/>
  <c r="AC139" i="4"/>
  <c r="Z139" i="4"/>
  <c r="AA139" i="4" s="1"/>
  <c r="Y139" i="4"/>
  <c r="X139" i="4"/>
  <c r="W139" i="4"/>
  <c r="V139" i="4"/>
  <c r="U139" i="4"/>
  <c r="S139" i="4"/>
  <c r="R139" i="4"/>
  <c r="Q139" i="4"/>
  <c r="P139" i="4"/>
  <c r="O139" i="4"/>
  <c r="N139" i="4"/>
  <c r="M139" i="4"/>
  <c r="J139" i="4"/>
  <c r="I139" i="4"/>
  <c r="H139" i="4"/>
  <c r="G139" i="4"/>
  <c r="F139" i="4"/>
  <c r="E139" i="4"/>
  <c r="D139" i="4"/>
  <c r="C139" i="4"/>
  <c r="B139" i="4"/>
  <c r="A139" i="4"/>
  <c r="AF138" i="4"/>
  <c r="AE138" i="4"/>
  <c r="AD138" i="4"/>
  <c r="AC138" i="4"/>
  <c r="Z138" i="4"/>
  <c r="AA138" i="4" s="1"/>
  <c r="Y138" i="4"/>
  <c r="X138" i="4"/>
  <c r="W138" i="4"/>
  <c r="V138" i="4"/>
  <c r="U138" i="4"/>
  <c r="R138" i="4"/>
  <c r="S138" i="4" s="1"/>
  <c r="Q138" i="4"/>
  <c r="O138" i="4"/>
  <c r="N138" i="4"/>
  <c r="M138" i="4"/>
  <c r="J138" i="4"/>
  <c r="K138" i="4" s="1"/>
  <c r="I138" i="4"/>
  <c r="L138" i="4" s="1"/>
  <c r="H138" i="4"/>
  <c r="G138" i="4"/>
  <c r="F138" i="4"/>
  <c r="E138" i="4"/>
  <c r="D138" i="4"/>
  <c r="C138" i="4"/>
  <c r="P138" i="4" s="1"/>
  <c r="B138" i="4"/>
  <c r="A138" i="4"/>
  <c r="AF137" i="4"/>
  <c r="AE137" i="4"/>
  <c r="AD137" i="4"/>
  <c r="AC137" i="4"/>
  <c r="Y137" i="4"/>
  <c r="AB137" i="4" s="1"/>
  <c r="W137" i="4"/>
  <c r="V137" i="4"/>
  <c r="U137" i="4"/>
  <c r="Q137" i="4"/>
  <c r="O137" i="4"/>
  <c r="N137" i="4"/>
  <c r="M137" i="4"/>
  <c r="L137" i="4"/>
  <c r="I137" i="4"/>
  <c r="H137" i="4"/>
  <c r="G137" i="4"/>
  <c r="F137" i="4"/>
  <c r="E137" i="4"/>
  <c r="D137" i="4"/>
  <c r="C137" i="4"/>
  <c r="P137" i="4" s="1"/>
  <c r="B137" i="4"/>
  <c r="A137" i="4"/>
  <c r="AF136" i="4"/>
  <c r="AE136" i="4"/>
  <c r="AD136" i="4"/>
  <c r="AC136" i="4"/>
  <c r="Z136" i="4"/>
  <c r="Y136" i="4"/>
  <c r="AB136" i="4" s="1"/>
  <c r="X136" i="4"/>
  <c r="W136" i="4"/>
  <c r="V136" i="4"/>
  <c r="U136" i="4"/>
  <c r="R136" i="4"/>
  <c r="S136" i="4" s="1"/>
  <c r="Q136" i="4"/>
  <c r="P136" i="4"/>
  <c r="O136" i="4"/>
  <c r="N136" i="4"/>
  <c r="M136" i="4"/>
  <c r="L136" i="4"/>
  <c r="J136" i="4"/>
  <c r="I136" i="4"/>
  <c r="H136" i="4"/>
  <c r="G136" i="4"/>
  <c r="F136" i="4"/>
  <c r="E136" i="4"/>
  <c r="C136" i="4"/>
  <c r="B136" i="4"/>
  <c r="A136" i="4"/>
  <c r="AF135" i="4"/>
  <c r="AE135" i="4"/>
  <c r="AD135" i="4"/>
  <c r="AC135" i="4"/>
  <c r="Z135" i="4"/>
  <c r="AA135" i="4" s="1"/>
  <c r="Y135" i="4"/>
  <c r="X135" i="4"/>
  <c r="W135" i="4"/>
  <c r="V135" i="4"/>
  <c r="U135" i="4"/>
  <c r="S135" i="4"/>
  <c r="R135" i="4"/>
  <c r="Q135" i="4"/>
  <c r="O135" i="4"/>
  <c r="N135" i="4"/>
  <c r="M135" i="4"/>
  <c r="L135" i="4"/>
  <c r="J135" i="4"/>
  <c r="K135" i="4" s="1"/>
  <c r="I135" i="4"/>
  <c r="H135" i="4"/>
  <c r="G135" i="4"/>
  <c r="F135" i="4"/>
  <c r="E135" i="4"/>
  <c r="C135" i="4"/>
  <c r="P135" i="4" s="1"/>
  <c r="B135" i="4"/>
  <c r="A135" i="4"/>
  <c r="AF134" i="4"/>
  <c r="AE134" i="4"/>
  <c r="AD134" i="4"/>
  <c r="AC134" i="4"/>
  <c r="Y134" i="4"/>
  <c r="W134" i="4"/>
  <c r="V134" i="4"/>
  <c r="U134" i="4"/>
  <c r="Q134" i="4"/>
  <c r="O134" i="4"/>
  <c r="N134" i="4"/>
  <c r="M134" i="4"/>
  <c r="I134" i="4"/>
  <c r="L134" i="4" s="1"/>
  <c r="H134" i="4"/>
  <c r="G134" i="4"/>
  <c r="F134" i="4"/>
  <c r="E134" i="4"/>
  <c r="C134" i="4"/>
  <c r="B134" i="4"/>
  <c r="A134" i="4"/>
  <c r="AF133" i="4"/>
  <c r="AE133" i="4"/>
  <c r="AD133" i="4"/>
  <c r="AC133" i="4"/>
  <c r="Z133" i="4"/>
  <c r="AA133" i="4" s="1"/>
  <c r="Y133" i="4"/>
  <c r="X133" i="4"/>
  <c r="W133" i="4"/>
  <c r="V133" i="4"/>
  <c r="U133" i="4"/>
  <c r="S133" i="4"/>
  <c r="R133" i="4"/>
  <c r="Q133" i="4"/>
  <c r="P133" i="4"/>
  <c r="O133" i="4"/>
  <c r="N133" i="4"/>
  <c r="M133" i="4"/>
  <c r="J133" i="4"/>
  <c r="K133" i="4" s="1"/>
  <c r="I133" i="4"/>
  <c r="H133" i="4"/>
  <c r="G133" i="4"/>
  <c r="F133" i="4"/>
  <c r="E133" i="4"/>
  <c r="C133" i="4"/>
  <c r="B133" i="4"/>
  <c r="A133" i="4"/>
  <c r="AF132" i="4"/>
  <c r="AE132" i="4"/>
  <c r="AD132" i="4"/>
  <c r="AC132" i="4"/>
  <c r="AB132" i="4"/>
  <c r="AA132" i="4"/>
  <c r="Y132" i="4"/>
  <c r="W132" i="4"/>
  <c r="V132" i="4"/>
  <c r="U132" i="4"/>
  <c r="T132" i="4"/>
  <c r="R132" i="4"/>
  <c r="S132" i="4" s="1"/>
  <c r="Q132" i="4"/>
  <c r="O132" i="4"/>
  <c r="N132" i="4"/>
  <c r="M132" i="4"/>
  <c r="I132" i="4"/>
  <c r="H132" i="4"/>
  <c r="G132" i="4"/>
  <c r="F132" i="4"/>
  <c r="E132" i="4"/>
  <c r="D132" i="4"/>
  <c r="C132" i="4"/>
  <c r="Z132" i="4" s="1"/>
  <c r="B132" i="4"/>
  <c r="A132" i="4"/>
  <c r="AF131" i="4"/>
  <c r="AE131" i="4"/>
  <c r="AD131" i="4"/>
  <c r="AC131" i="4"/>
  <c r="AA131" i="4"/>
  <c r="Y131" i="4"/>
  <c r="AB131" i="4" s="1"/>
  <c r="X131" i="4"/>
  <c r="W131" i="4"/>
  <c r="V131" i="4"/>
  <c r="U131" i="4"/>
  <c r="R131" i="4"/>
  <c r="S131" i="4" s="1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Z131" i="4" s="1"/>
  <c r="B131" i="4"/>
  <c r="A131" i="4"/>
  <c r="AF130" i="4"/>
  <c r="AE130" i="4"/>
  <c r="AD130" i="4"/>
  <c r="AC130" i="4"/>
  <c r="Z130" i="4"/>
  <c r="Y130" i="4"/>
  <c r="X130" i="4"/>
  <c r="W130" i="4"/>
  <c r="V130" i="4"/>
  <c r="U130" i="4"/>
  <c r="R130" i="4"/>
  <c r="S130" i="4" s="1"/>
  <c r="Q130" i="4"/>
  <c r="P130" i="4"/>
  <c r="O130" i="4"/>
  <c r="N130" i="4"/>
  <c r="M130" i="4"/>
  <c r="J130" i="4"/>
  <c r="K130" i="4" s="1"/>
  <c r="I130" i="4"/>
  <c r="L130" i="4" s="1"/>
  <c r="H130" i="4"/>
  <c r="G130" i="4"/>
  <c r="F130" i="4"/>
  <c r="E130" i="4"/>
  <c r="D130" i="4"/>
  <c r="C130" i="4"/>
  <c r="B130" i="4"/>
  <c r="A130" i="4"/>
  <c r="AF129" i="4"/>
  <c r="AE129" i="4"/>
  <c r="AD129" i="4"/>
  <c r="AC129" i="4"/>
  <c r="AA129" i="4"/>
  <c r="Z129" i="4"/>
  <c r="Y129" i="4"/>
  <c r="X129" i="4"/>
  <c r="W129" i="4"/>
  <c r="V129" i="4"/>
  <c r="U129" i="4"/>
  <c r="R129" i="4"/>
  <c r="S129" i="4" s="1"/>
  <c r="Q129" i="4"/>
  <c r="O129" i="4"/>
  <c r="N129" i="4"/>
  <c r="M129" i="4"/>
  <c r="I129" i="4"/>
  <c r="H129" i="4"/>
  <c r="G129" i="4"/>
  <c r="F129" i="4"/>
  <c r="E129" i="4"/>
  <c r="C129" i="4"/>
  <c r="J129" i="4" s="1"/>
  <c r="B129" i="4"/>
  <c r="A129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Q128" i="4"/>
  <c r="O128" i="4"/>
  <c r="N128" i="4"/>
  <c r="M128" i="4"/>
  <c r="I128" i="4"/>
  <c r="H128" i="4"/>
  <c r="G128" i="4"/>
  <c r="F128" i="4"/>
  <c r="E128" i="4"/>
  <c r="C128" i="4"/>
  <c r="B128" i="4"/>
  <c r="A128" i="4"/>
  <c r="AF127" i="4"/>
  <c r="AE127" i="4"/>
  <c r="AD127" i="4"/>
  <c r="AC127" i="4"/>
  <c r="Z127" i="4"/>
  <c r="AA127" i="4" s="1"/>
  <c r="Y127" i="4"/>
  <c r="X127" i="4"/>
  <c r="W127" i="4"/>
  <c r="V127" i="4"/>
  <c r="U127" i="4"/>
  <c r="R127" i="4"/>
  <c r="S127" i="4" s="1"/>
  <c r="Q127" i="4"/>
  <c r="P127" i="4"/>
  <c r="O127" i="4"/>
  <c r="N127" i="4"/>
  <c r="M127" i="4"/>
  <c r="J127" i="4"/>
  <c r="K127" i="4" s="1"/>
  <c r="I127" i="4"/>
  <c r="H127" i="4"/>
  <c r="G127" i="4"/>
  <c r="F127" i="4"/>
  <c r="E127" i="4"/>
  <c r="C127" i="4"/>
  <c r="B127" i="4"/>
  <c r="A127" i="4"/>
  <c r="AF126" i="4"/>
  <c r="AE126" i="4"/>
  <c r="AD126" i="4"/>
  <c r="AC126" i="4"/>
  <c r="Y126" i="4"/>
  <c r="W126" i="4"/>
  <c r="V126" i="4"/>
  <c r="U126" i="4"/>
  <c r="R126" i="4"/>
  <c r="S126" i="4" s="1"/>
  <c r="Q126" i="4"/>
  <c r="O126" i="4"/>
  <c r="N126" i="4"/>
  <c r="M126" i="4"/>
  <c r="I126" i="4"/>
  <c r="L126" i="4" s="1"/>
  <c r="H126" i="4"/>
  <c r="G126" i="4"/>
  <c r="F126" i="4"/>
  <c r="E126" i="4"/>
  <c r="D126" i="4"/>
  <c r="C126" i="4"/>
  <c r="Z126" i="4" s="1"/>
  <c r="AA126" i="4" s="1"/>
  <c r="B126" i="4"/>
  <c r="A126" i="4"/>
  <c r="AF125" i="4"/>
  <c r="AE125" i="4"/>
  <c r="AD125" i="4"/>
  <c r="AC125" i="4"/>
  <c r="Y125" i="4"/>
  <c r="AB125" i="4" s="1"/>
  <c r="W125" i="4"/>
  <c r="V125" i="4"/>
  <c r="U125" i="4"/>
  <c r="Q125" i="4"/>
  <c r="O125" i="4"/>
  <c r="N125" i="4"/>
  <c r="M125" i="4"/>
  <c r="I125" i="4"/>
  <c r="L125" i="4" s="1"/>
  <c r="H125" i="4"/>
  <c r="G125" i="4"/>
  <c r="F125" i="4"/>
  <c r="E125" i="4"/>
  <c r="D125" i="4"/>
  <c r="C125" i="4"/>
  <c r="Z125" i="4" s="1"/>
  <c r="B125" i="4"/>
  <c r="A125" i="4"/>
  <c r="AF124" i="4"/>
  <c r="AE124" i="4"/>
  <c r="AD124" i="4"/>
  <c r="AC124" i="4"/>
  <c r="AB124" i="4"/>
  <c r="Z124" i="4"/>
  <c r="Y124" i="4"/>
  <c r="X124" i="4"/>
  <c r="W124" i="4"/>
  <c r="V124" i="4"/>
  <c r="U124" i="4"/>
  <c r="S124" i="4"/>
  <c r="R124" i="4"/>
  <c r="Q124" i="4"/>
  <c r="P124" i="4"/>
  <c r="O124" i="4"/>
  <c r="N124" i="4"/>
  <c r="M124" i="4"/>
  <c r="J124" i="4"/>
  <c r="I124" i="4"/>
  <c r="H124" i="4"/>
  <c r="G124" i="4"/>
  <c r="F124" i="4"/>
  <c r="E124" i="4"/>
  <c r="C124" i="4"/>
  <c r="B124" i="4"/>
  <c r="A124" i="4"/>
  <c r="AF123" i="4"/>
  <c r="AE123" i="4"/>
  <c r="AD123" i="4"/>
  <c r="AC123" i="4"/>
  <c r="Z123" i="4"/>
  <c r="AA123" i="4" s="1"/>
  <c r="Y123" i="4"/>
  <c r="X123" i="4"/>
  <c r="W123" i="4"/>
  <c r="V123" i="4"/>
  <c r="U123" i="4"/>
  <c r="S123" i="4"/>
  <c r="R123" i="4"/>
  <c r="Q123" i="4"/>
  <c r="O123" i="4"/>
  <c r="N123" i="4"/>
  <c r="M123" i="4"/>
  <c r="J123" i="4"/>
  <c r="I123" i="4"/>
  <c r="H123" i="4"/>
  <c r="G123" i="4"/>
  <c r="F123" i="4"/>
  <c r="E123" i="4"/>
  <c r="C123" i="4"/>
  <c r="P123" i="4" s="1"/>
  <c r="B123" i="4"/>
  <c r="A123" i="4"/>
  <c r="AF122" i="4"/>
  <c r="AE122" i="4"/>
  <c r="AD122" i="4"/>
  <c r="AC122" i="4"/>
  <c r="Z122" i="4"/>
  <c r="AA122" i="4" s="1"/>
  <c r="Y122" i="4"/>
  <c r="W122" i="4"/>
  <c r="V122" i="4"/>
  <c r="U122" i="4"/>
  <c r="R122" i="4"/>
  <c r="S122" i="4" s="1"/>
  <c r="Q122" i="4"/>
  <c r="O122" i="4"/>
  <c r="N122" i="4"/>
  <c r="M122" i="4"/>
  <c r="I122" i="4"/>
  <c r="H122" i="4"/>
  <c r="G122" i="4"/>
  <c r="F122" i="4"/>
  <c r="E122" i="4"/>
  <c r="C122" i="4"/>
  <c r="B122" i="4"/>
  <c r="A122" i="4"/>
  <c r="D122" i="4" s="1"/>
  <c r="AF121" i="4"/>
  <c r="AE121" i="4"/>
  <c r="AD121" i="4"/>
  <c r="AC121" i="4"/>
  <c r="Z121" i="4"/>
  <c r="AA121" i="4" s="1"/>
  <c r="Y121" i="4"/>
  <c r="X121" i="4"/>
  <c r="W121" i="4"/>
  <c r="V121" i="4"/>
  <c r="U121" i="4"/>
  <c r="S121" i="4"/>
  <c r="R121" i="4"/>
  <c r="Q121" i="4"/>
  <c r="P121" i="4"/>
  <c r="O121" i="4"/>
  <c r="N121" i="4"/>
  <c r="M121" i="4"/>
  <c r="J121" i="4"/>
  <c r="K121" i="4" s="1"/>
  <c r="I121" i="4"/>
  <c r="H121" i="4"/>
  <c r="G121" i="4"/>
  <c r="F121" i="4"/>
  <c r="E121" i="4"/>
  <c r="C121" i="4"/>
  <c r="B121" i="4"/>
  <c r="A121" i="4"/>
  <c r="L121" i="4" s="1"/>
  <c r="AF120" i="4"/>
  <c r="AE120" i="4"/>
  <c r="AD120" i="4"/>
  <c r="AC120" i="4"/>
  <c r="AB120" i="4"/>
  <c r="Y120" i="4"/>
  <c r="X120" i="4"/>
  <c r="W120" i="4"/>
  <c r="V120" i="4"/>
  <c r="U120" i="4"/>
  <c r="Q120" i="4"/>
  <c r="P120" i="4"/>
  <c r="O120" i="4"/>
  <c r="N120" i="4"/>
  <c r="M120" i="4"/>
  <c r="I120" i="4"/>
  <c r="L120" i="4" s="1"/>
  <c r="H120" i="4"/>
  <c r="G120" i="4"/>
  <c r="F120" i="4"/>
  <c r="E120" i="4"/>
  <c r="D120" i="4"/>
  <c r="C120" i="4"/>
  <c r="B120" i="4"/>
  <c r="A120" i="4"/>
  <c r="AF119" i="4"/>
  <c r="AE119" i="4"/>
  <c r="AD119" i="4"/>
  <c r="AC119" i="4"/>
  <c r="Y119" i="4"/>
  <c r="AB119" i="4" s="1"/>
  <c r="W119" i="4"/>
  <c r="V119" i="4"/>
  <c r="U119" i="4"/>
  <c r="Q119" i="4"/>
  <c r="O119" i="4"/>
  <c r="N119" i="4"/>
  <c r="M119" i="4"/>
  <c r="I119" i="4"/>
  <c r="H119" i="4"/>
  <c r="G119" i="4"/>
  <c r="F119" i="4"/>
  <c r="E119" i="4"/>
  <c r="D119" i="4"/>
  <c r="C119" i="4"/>
  <c r="B119" i="4"/>
  <c r="A119" i="4"/>
  <c r="AF118" i="4"/>
  <c r="AE118" i="4"/>
  <c r="AD118" i="4"/>
  <c r="AC118" i="4"/>
  <c r="Z118" i="4"/>
  <c r="Y118" i="4"/>
  <c r="X118" i="4"/>
  <c r="W118" i="4"/>
  <c r="V118" i="4"/>
  <c r="U118" i="4"/>
  <c r="R118" i="4"/>
  <c r="S118" i="4" s="1"/>
  <c r="Q118" i="4"/>
  <c r="P118" i="4"/>
  <c r="O118" i="4"/>
  <c r="N118" i="4"/>
  <c r="M118" i="4"/>
  <c r="L118" i="4"/>
  <c r="J118" i="4"/>
  <c r="I118" i="4"/>
  <c r="H118" i="4"/>
  <c r="G118" i="4"/>
  <c r="K118" i="4" s="1"/>
  <c r="F118" i="4"/>
  <c r="E118" i="4"/>
  <c r="C118" i="4"/>
  <c r="B118" i="4"/>
  <c r="A118" i="4"/>
  <c r="D118" i="4" s="1"/>
  <c r="AF117" i="4"/>
  <c r="AE117" i="4"/>
  <c r="AD117" i="4"/>
  <c r="AC117" i="4"/>
  <c r="Z117" i="4"/>
  <c r="AA117" i="4" s="1"/>
  <c r="Y117" i="4"/>
  <c r="X117" i="4"/>
  <c r="W117" i="4"/>
  <c r="V117" i="4"/>
  <c r="U117" i="4"/>
  <c r="R117" i="4"/>
  <c r="S117" i="4" s="1"/>
  <c r="Q117" i="4"/>
  <c r="O117" i="4"/>
  <c r="N117" i="4"/>
  <c r="M117" i="4"/>
  <c r="L117" i="4"/>
  <c r="I117" i="4"/>
  <c r="H117" i="4"/>
  <c r="G117" i="4"/>
  <c r="F117" i="4"/>
  <c r="E117" i="4"/>
  <c r="D117" i="4"/>
  <c r="C117" i="4"/>
  <c r="J117" i="4" s="1"/>
  <c r="K117" i="4" s="1"/>
  <c r="B117" i="4"/>
  <c r="A117" i="4"/>
  <c r="AF116" i="4"/>
  <c r="AE116" i="4"/>
  <c r="AD116" i="4"/>
  <c r="AC116" i="4"/>
  <c r="Y116" i="4"/>
  <c r="X116" i="4"/>
  <c r="W116" i="4"/>
  <c r="V116" i="4"/>
  <c r="U116" i="4"/>
  <c r="R116" i="4"/>
  <c r="Q116" i="4"/>
  <c r="O116" i="4"/>
  <c r="N116" i="4"/>
  <c r="M116" i="4"/>
  <c r="I116" i="4"/>
  <c r="H116" i="4"/>
  <c r="G116" i="4"/>
  <c r="F116" i="4"/>
  <c r="E116" i="4"/>
  <c r="C116" i="4"/>
  <c r="B116" i="4"/>
  <c r="A116" i="4"/>
  <c r="AF115" i="4"/>
  <c r="AE115" i="4"/>
  <c r="AD115" i="4"/>
  <c r="AC115" i="4"/>
  <c r="Z115" i="4"/>
  <c r="AA115" i="4" s="1"/>
  <c r="Y115" i="4"/>
  <c r="AB115" i="4" s="1"/>
  <c r="X115" i="4"/>
  <c r="W115" i="4"/>
  <c r="V115" i="4"/>
  <c r="U115" i="4"/>
  <c r="T115" i="4"/>
  <c r="S115" i="4"/>
  <c r="R115" i="4"/>
  <c r="Q115" i="4"/>
  <c r="P115" i="4"/>
  <c r="O115" i="4"/>
  <c r="N115" i="4"/>
  <c r="M115" i="4"/>
  <c r="J115" i="4"/>
  <c r="I115" i="4"/>
  <c r="H115" i="4"/>
  <c r="G115" i="4"/>
  <c r="F115" i="4"/>
  <c r="E115" i="4"/>
  <c r="C115" i="4"/>
  <c r="B115" i="4"/>
  <c r="A115" i="4"/>
  <c r="L115" i="4" s="1"/>
  <c r="AF114" i="4"/>
  <c r="AE114" i="4"/>
  <c r="AD114" i="4"/>
  <c r="AC114" i="4"/>
  <c r="AB114" i="4"/>
  <c r="Z114" i="4"/>
  <c r="AA114" i="4" s="1"/>
  <c r="Y114" i="4"/>
  <c r="X114" i="4"/>
  <c r="W114" i="4"/>
  <c r="V114" i="4"/>
  <c r="U114" i="4"/>
  <c r="R114" i="4"/>
  <c r="Q114" i="4"/>
  <c r="O114" i="4"/>
  <c r="N114" i="4"/>
  <c r="M114" i="4"/>
  <c r="J114" i="4"/>
  <c r="K114" i="4" s="1"/>
  <c r="I114" i="4"/>
  <c r="L114" i="4" s="1"/>
  <c r="H114" i="4"/>
  <c r="G114" i="4"/>
  <c r="F114" i="4"/>
  <c r="E114" i="4"/>
  <c r="D114" i="4"/>
  <c r="C114" i="4"/>
  <c r="P114" i="4" s="1"/>
  <c r="B114" i="4"/>
  <c r="A114" i="4"/>
  <c r="AF113" i="4"/>
  <c r="AE113" i="4"/>
  <c r="AD113" i="4"/>
  <c r="AC113" i="4"/>
  <c r="Y113" i="4"/>
  <c r="AB113" i="4" s="1"/>
  <c r="W113" i="4"/>
  <c r="V113" i="4"/>
  <c r="U113" i="4"/>
  <c r="R113" i="4"/>
  <c r="S113" i="4" s="1"/>
  <c r="Q113" i="4"/>
  <c r="T113" i="4" s="1"/>
  <c r="O113" i="4"/>
  <c r="N113" i="4"/>
  <c r="M113" i="4"/>
  <c r="K113" i="4"/>
  <c r="J113" i="4"/>
  <c r="I113" i="4"/>
  <c r="H113" i="4"/>
  <c r="G113" i="4"/>
  <c r="F113" i="4"/>
  <c r="E113" i="4"/>
  <c r="D113" i="4"/>
  <c r="C113" i="4"/>
  <c r="Z113" i="4" s="1"/>
  <c r="B113" i="4"/>
  <c r="A113" i="4"/>
  <c r="AF112" i="4"/>
  <c r="AE112" i="4"/>
  <c r="AD112" i="4"/>
  <c r="AC112" i="4"/>
  <c r="Z112" i="4"/>
  <c r="Y112" i="4"/>
  <c r="AB112" i="4" s="1"/>
  <c r="X112" i="4"/>
  <c r="W112" i="4"/>
  <c r="V112" i="4"/>
  <c r="U112" i="4"/>
  <c r="S112" i="4"/>
  <c r="R112" i="4"/>
  <c r="Q112" i="4"/>
  <c r="P112" i="4"/>
  <c r="O112" i="4"/>
  <c r="N112" i="4"/>
  <c r="M112" i="4"/>
  <c r="L112" i="4"/>
  <c r="J112" i="4"/>
  <c r="K112" i="4" s="1"/>
  <c r="I112" i="4"/>
  <c r="H112" i="4"/>
  <c r="G112" i="4"/>
  <c r="F112" i="4"/>
  <c r="E112" i="4"/>
  <c r="D112" i="4"/>
  <c r="C112" i="4"/>
  <c r="B112" i="4"/>
  <c r="A112" i="4"/>
  <c r="AF111" i="4"/>
  <c r="AE111" i="4"/>
  <c r="AD111" i="4"/>
  <c r="AC111" i="4"/>
  <c r="Z111" i="4"/>
  <c r="AA111" i="4" s="1"/>
  <c r="Y111" i="4"/>
  <c r="X111" i="4"/>
  <c r="W111" i="4"/>
  <c r="V111" i="4"/>
  <c r="U111" i="4"/>
  <c r="R111" i="4"/>
  <c r="Q111" i="4"/>
  <c r="O111" i="4"/>
  <c r="N111" i="4"/>
  <c r="M111" i="4"/>
  <c r="J111" i="4"/>
  <c r="K111" i="4" s="1"/>
  <c r="I111" i="4"/>
  <c r="H111" i="4"/>
  <c r="G111" i="4"/>
  <c r="F111" i="4"/>
  <c r="E111" i="4"/>
  <c r="C111" i="4"/>
  <c r="P111" i="4" s="1"/>
  <c r="B111" i="4"/>
  <c r="A111" i="4"/>
  <c r="AF110" i="4"/>
  <c r="AE110" i="4"/>
  <c r="AD110" i="4"/>
  <c r="AC110" i="4"/>
  <c r="AB110" i="4"/>
  <c r="Y110" i="4"/>
  <c r="W110" i="4"/>
  <c r="V110" i="4"/>
  <c r="U110" i="4"/>
  <c r="Q110" i="4"/>
  <c r="O110" i="4"/>
  <c r="N110" i="4"/>
  <c r="M110" i="4"/>
  <c r="L110" i="4"/>
  <c r="I110" i="4"/>
  <c r="H110" i="4"/>
  <c r="G110" i="4"/>
  <c r="F110" i="4"/>
  <c r="E110" i="4"/>
  <c r="C110" i="4"/>
  <c r="R110" i="4" s="1"/>
  <c r="S110" i="4" s="1"/>
  <c r="B110" i="4"/>
  <c r="A110" i="4"/>
  <c r="D110" i="4" s="1"/>
  <c r="AF109" i="4"/>
  <c r="AE109" i="4"/>
  <c r="AD109" i="4"/>
  <c r="AC109" i="4"/>
  <c r="Z109" i="4"/>
  <c r="AA109" i="4" s="1"/>
  <c r="Y109" i="4"/>
  <c r="AB109" i="4" s="1"/>
  <c r="X109" i="4"/>
  <c r="W109" i="4"/>
  <c r="V109" i="4"/>
  <c r="U109" i="4"/>
  <c r="S109" i="4"/>
  <c r="R109" i="4"/>
  <c r="Q109" i="4"/>
  <c r="P109" i="4"/>
  <c r="O109" i="4"/>
  <c r="N109" i="4"/>
  <c r="M109" i="4"/>
  <c r="J109" i="4"/>
  <c r="K109" i="4" s="1"/>
  <c r="I109" i="4"/>
  <c r="L109" i="4" s="1"/>
  <c r="H109" i="4"/>
  <c r="G109" i="4"/>
  <c r="F109" i="4"/>
  <c r="E109" i="4"/>
  <c r="D109" i="4"/>
  <c r="C109" i="4"/>
  <c r="B109" i="4"/>
  <c r="A109" i="4"/>
  <c r="AF108" i="4"/>
  <c r="AE108" i="4"/>
  <c r="AD108" i="4"/>
  <c r="AC108" i="4"/>
  <c r="AB108" i="4"/>
  <c r="Y108" i="4"/>
  <c r="X108" i="4"/>
  <c r="W108" i="4"/>
  <c r="V108" i="4"/>
  <c r="U108" i="4"/>
  <c r="Q108" i="4"/>
  <c r="P108" i="4"/>
  <c r="O108" i="4"/>
  <c r="N108" i="4"/>
  <c r="M108" i="4"/>
  <c r="I108" i="4"/>
  <c r="H108" i="4"/>
  <c r="G108" i="4"/>
  <c r="F108" i="4"/>
  <c r="E108" i="4"/>
  <c r="D108" i="4"/>
  <c r="C108" i="4"/>
  <c r="Z108" i="4" s="1"/>
  <c r="AA108" i="4" s="1"/>
  <c r="B108" i="4"/>
  <c r="A108" i="4"/>
  <c r="AF107" i="4"/>
  <c r="AE107" i="4"/>
  <c r="AD107" i="4"/>
  <c r="AC107" i="4"/>
  <c r="AB107" i="4"/>
  <c r="Y107" i="4"/>
  <c r="W107" i="4"/>
  <c r="V107" i="4"/>
  <c r="U107" i="4"/>
  <c r="Q107" i="4"/>
  <c r="O107" i="4"/>
  <c r="N107" i="4"/>
  <c r="M107" i="4"/>
  <c r="I107" i="4"/>
  <c r="L107" i="4" s="1"/>
  <c r="H107" i="4"/>
  <c r="G107" i="4"/>
  <c r="F107" i="4"/>
  <c r="E107" i="4"/>
  <c r="D107" i="4"/>
  <c r="C107" i="4"/>
  <c r="B107" i="4"/>
  <c r="A107" i="4"/>
  <c r="AF106" i="4"/>
  <c r="AE106" i="4"/>
  <c r="AD106" i="4"/>
  <c r="AC106" i="4"/>
  <c r="Z106" i="4"/>
  <c r="Y106" i="4"/>
  <c r="X106" i="4"/>
  <c r="W106" i="4"/>
  <c r="V106" i="4"/>
  <c r="U106" i="4"/>
  <c r="S106" i="4"/>
  <c r="R106" i="4"/>
  <c r="Q106" i="4"/>
  <c r="P106" i="4"/>
  <c r="O106" i="4"/>
  <c r="N106" i="4"/>
  <c r="M106" i="4"/>
  <c r="J106" i="4"/>
  <c r="K106" i="4" s="1"/>
  <c r="I106" i="4"/>
  <c r="H106" i="4"/>
  <c r="G106" i="4"/>
  <c r="F106" i="4"/>
  <c r="E106" i="4"/>
  <c r="C106" i="4"/>
  <c r="B106" i="4"/>
  <c r="A106" i="4"/>
  <c r="AF105" i="4"/>
  <c r="AE105" i="4"/>
  <c r="AD105" i="4"/>
  <c r="AC105" i="4"/>
  <c r="Z105" i="4"/>
  <c r="AA105" i="4" s="1"/>
  <c r="Y105" i="4"/>
  <c r="X105" i="4"/>
  <c r="W105" i="4"/>
  <c r="V105" i="4"/>
  <c r="U105" i="4"/>
  <c r="T105" i="4"/>
  <c r="S105" i="4"/>
  <c r="R105" i="4"/>
  <c r="Q105" i="4"/>
  <c r="O105" i="4"/>
  <c r="N105" i="4"/>
  <c r="M105" i="4"/>
  <c r="L105" i="4"/>
  <c r="I105" i="4"/>
  <c r="H105" i="4"/>
  <c r="G105" i="4"/>
  <c r="F105" i="4"/>
  <c r="E105" i="4"/>
  <c r="D105" i="4"/>
  <c r="C105" i="4"/>
  <c r="J105" i="4" s="1"/>
  <c r="B105" i="4"/>
  <c r="A105" i="4"/>
  <c r="AF104" i="4"/>
  <c r="AE104" i="4"/>
  <c r="AD104" i="4"/>
  <c r="AC104" i="4"/>
  <c r="Y104" i="4"/>
  <c r="X104" i="4"/>
  <c r="W104" i="4"/>
  <c r="V104" i="4"/>
  <c r="U104" i="4"/>
  <c r="Q104" i="4"/>
  <c r="O104" i="4"/>
  <c r="N104" i="4"/>
  <c r="M104" i="4"/>
  <c r="I104" i="4"/>
  <c r="H104" i="4"/>
  <c r="G104" i="4"/>
  <c r="F104" i="4"/>
  <c r="E104" i="4"/>
  <c r="C104" i="4"/>
  <c r="Z104" i="4" s="1"/>
  <c r="AA104" i="4" s="1"/>
  <c r="B104" i="4"/>
  <c r="A104" i="4"/>
  <c r="AF103" i="4"/>
  <c r="AE103" i="4"/>
  <c r="AD103" i="4"/>
  <c r="AC103" i="4"/>
  <c r="Z103" i="4"/>
  <c r="AA103" i="4" s="1"/>
  <c r="Y103" i="4"/>
  <c r="X103" i="4"/>
  <c r="W103" i="4"/>
  <c r="V103" i="4"/>
  <c r="U103" i="4"/>
  <c r="R103" i="4"/>
  <c r="S103" i="4" s="1"/>
  <c r="Q103" i="4"/>
  <c r="P103" i="4"/>
  <c r="O103" i="4"/>
  <c r="N103" i="4"/>
  <c r="M103" i="4"/>
  <c r="J103" i="4"/>
  <c r="I103" i="4"/>
  <c r="H103" i="4"/>
  <c r="G103" i="4"/>
  <c r="F103" i="4"/>
  <c r="E103" i="4"/>
  <c r="C103" i="4"/>
  <c r="B103" i="4"/>
  <c r="A103" i="4"/>
  <c r="T103" i="4" s="1"/>
  <c r="AF102" i="4"/>
  <c r="AE102" i="4"/>
  <c r="AD102" i="4"/>
  <c r="AC102" i="4"/>
  <c r="AB102" i="4"/>
  <c r="Z102" i="4"/>
  <c r="AA102" i="4" s="1"/>
  <c r="Y102" i="4"/>
  <c r="X102" i="4"/>
  <c r="W102" i="4"/>
  <c r="V102" i="4"/>
  <c r="U102" i="4"/>
  <c r="R102" i="4"/>
  <c r="S102" i="4" s="1"/>
  <c r="Q102" i="4"/>
  <c r="O102" i="4"/>
  <c r="N102" i="4"/>
  <c r="M102" i="4"/>
  <c r="J102" i="4"/>
  <c r="K102" i="4" s="1"/>
  <c r="I102" i="4"/>
  <c r="L102" i="4" s="1"/>
  <c r="H102" i="4"/>
  <c r="G102" i="4"/>
  <c r="F102" i="4"/>
  <c r="E102" i="4"/>
  <c r="D102" i="4"/>
  <c r="C102" i="4"/>
  <c r="P102" i="4" s="1"/>
  <c r="B102" i="4"/>
  <c r="A102" i="4"/>
  <c r="AF101" i="4"/>
  <c r="AE101" i="4"/>
  <c r="AD101" i="4"/>
  <c r="AC101" i="4"/>
  <c r="Y101" i="4"/>
  <c r="AB101" i="4" s="1"/>
  <c r="W101" i="4"/>
  <c r="V101" i="4"/>
  <c r="U101" i="4"/>
  <c r="Q101" i="4"/>
  <c r="O101" i="4"/>
  <c r="N101" i="4"/>
  <c r="M101" i="4"/>
  <c r="I101" i="4"/>
  <c r="L101" i="4" s="1"/>
  <c r="H101" i="4"/>
  <c r="G101" i="4"/>
  <c r="F101" i="4"/>
  <c r="E101" i="4"/>
  <c r="D101" i="4"/>
  <c r="C101" i="4"/>
  <c r="Z101" i="4" s="1"/>
  <c r="B101" i="4"/>
  <c r="A101" i="4"/>
  <c r="AF100" i="4"/>
  <c r="AE100" i="4"/>
  <c r="AD100" i="4"/>
  <c r="AC100" i="4"/>
  <c r="AB100" i="4"/>
  <c r="Z100" i="4"/>
  <c r="Y100" i="4"/>
  <c r="X100" i="4"/>
  <c r="W100" i="4"/>
  <c r="V100" i="4"/>
  <c r="U100" i="4"/>
  <c r="S100" i="4"/>
  <c r="R100" i="4"/>
  <c r="Q100" i="4"/>
  <c r="P100" i="4"/>
  <c r="O100" i="4"/>
  <c r="N100" i="4"/>
  <c r="M100" i="4"/>
  <c r="J100" i="4"/>
  <c r="I100" i="4"/>
  <c r="H100" i="4"/>
  <c r="G100" i="4"/>
  <c r="F100" i="4"/>
  <c r="E100" i="4"/>
  <c r="D100" i="4"/>
  <c r="C100" i="4"/>
  <c r="B100" i="4"/>
  <c r="A100" i="4"/>
  <c r="AF99" i="4"/>
  <c r="AE99" i="4"/>
  <c r="AD99" i="4"/>
  <c r="AC99" i="4"/>
  <c r="Z99" i="4"/>
  <c r="AA99" i="4" s="1"/>
  <c r="Y99" i="4"/>
  <c r="X99" i="4"/>
  <c r="W99" i="4"/>
  <c r="V99" i="4"/>
  <c r="U99" i="4"/>
  <c r="S99" i="4"/>
  <c r="R99" i="4"/>
  <c r="Q99" i="4"/>
  <c r="O99" i="4"/>
  <c r="N99" i="4"/>
  <c r="M99" i="4"/>
  <c r="L99" i="4"/>
  <c r="J99" i="4"/>
  <c r="K99" i="4" s="1"/>
  <c r="I99" i="4"/>
  <c r="H99" i="4"/>
  <c r="G99" i="4"/>
  <c r="F99" i="4"/>
  <c r="E99" i="4"/>
  <c r="C99" i="4"/>
  <c r="P99" i="4" s="1"/>
  <c r="B99" i="4"/>
  <c r="A99" i="4"/>
  <c r="AF98" i="4"/>
  <c r="AE98" i="4"/>
  <c r="AD98" i="4"/>
  <c r="AC98" i="4"/>
  <c r="Z98" i="4"/>
  <c r="AA98" i="4" s="1"/>
  <c r="Y98" i="4"/>
  <c r="W98" i="4"/>
  <c r="V98" i="4"/>
  <c r="U98" i="4"/>
  <c r="Q98" i="4"/>
  <c r="O98" i="4"/>
  <c r="N98" i="4"/>
  <c r="M98" i="4"/>
  <c r="I98" i="4"/>
  <c r="H98" i="4"/>
  <c r="G98" i="4"/>
  <c r="F98" i="4"/>
  <c r="E98" i="4"/>
  <c r="C98" i="4"/>
  <c r="B98" i="4"/>
  <c r="A98" i="4"/>
  <c r="D98" i="4" s="1"/>
  <c r="AF97" i="4"/>
  <c r="AE97" i="4"/>
  <c r="AD97" i="4"/>
  <c r="AC97" i="4"/>
  <c r="Z97" i="4"/>
  <c r="AA97" i="4" s="1"/>
  <c r="Y97" i="4"/>
  <c r="AB97" i="4" s="1"/>
  <c r="X97" i="4"/>
  <c r="W97" i="4"/>
  <c r="V97" i="4"/>
  <c r="U97" i="4"/>
  <c r="S97" i="4"/>
  <c r="R97" i="4"/>
  <c r="Q97" i="4"/>
  <c r="P97" i="4"/>
  <c r="O97" i="4"/>
  <c r="N97" i="4"/>
  <c r="M97" i="4"/>
  <c r="L97" i="4"/>
  <c r="J97" i="4"/>
  <c r="I97" i="4"/>
  <c r="H97" i="4"/>
  <c r="G97" i="4"/>
  <c r="F97" i="4"/>
  <c r="E97" i="4"/>
  <c r="D97" i="4"/>
  <c r="C97" i="4"/>
  <c r="B97" i="4"/>
  <c r="A97" i="4"/>
  <c r="AF96" i="4"/>
  <c r="AE96" i="4"/>
  <c r="AD96" i="4"/>
  <c r="AC96" i="4"/>
  <c r="Y96" i="4"/>
  <c r="W96" i="4"/>
  <c r="V96" i="4"/>
  <c r="U96" i="4"/>
  <c r="Q96" i="4"/>
  <c r="P96" i="4"/>
  <c r="O96" i="4"/>
  <c r="N96" i="4"/>
  <c r="M96" i="4"/>
  <c r="I96" i="4"/>
  <c r="L96" i="4" s="1"/>
  <c r="H96" i="4"/>
  <c r="G96" i="4"/>
  <c r="F96" i="4"/>
  <c r="E96" i="4"/>
  <c r="D96" i="4"/>
  <c r="C96" i="4"/>
  <c r="B96" i="4"/>
  <c r="A96" i="4"/>
  <c r="AF95" i="4"/>
  <c r="AE95" i="4"/>
  <c r="AD95" i="4"/>
  <c r="AC95" i="4"/>
  <c r="AB95" i="4"/>
  <c r="Y95" i="4"/>
  <c r="X95" i="4"/>
  <c r="W95" i="4"/>
  <c r="V95" i="4"/>
  <c r="U95" i="4"/>
  <c r="Q95" i="4"/>
  <c r="O95" i="4"/>
  <c r="N95" i="4"/>
  <c r="M95" i="4"/>
  <c r="L95" i="4"/>
  <c r="J95" i="4"/>
  <c r="K95" i="4" s="1"/>
  <c r="I95" i="4"/>
  <c r="H95" i="4"/>
  <c r="G95" i="4"/>
  <c r="F95" i="4"/>
  <c r="E95" i="4"/>
  <c r="D95" i="4"/>
  <c r="C95" i="4"/>
  <c r="B95" i="4"/>
  <c r="A95" i="4"/>
  <c r="AF94" i="4"/>
  <c r="AE94" i="4"/>
  <c r="AD94" i="4"/>
  <c r="AC94" i="4"/>
  <c r="Y94" i="4"/>
  <c r="X94" i="4"/>
  <c r="W94" i="4"/>
  <c r="V94" i="4"/>
  <c r="U94" i="4"/>
  <c r="R94" i="4"/>
  <c r="S94" i="4" s="1"/>
  <c r="Q94" i="4"/>
  <c r="P94" i="4"/>
  <c r="O94" i="4"/>
  <c r="N94" i="4"/>
  <c r="M94" i="4"/>
  <c r="K94" i="4"/>
  <c r="J94" i="4"/>
  <c r="I94" i="4"/>
  <c r="L94" i="4" s="1"/>
  <c r="H94" i="4"/>
  <c r="G94" i="4"/>
  <c r="F94" i="4"/>
  <c r="E94" i="4"/>
  <c r="D94" i="4"/>
  <c r="C94" i="4"/>
  <c r="Z94" i="4" s="1"/>
  <c r="B94" i="4"/>
  <c r="A94" i="4"/>
  <c r="AF93" i="4"/>
  <c r="AE93" i="4"/>
  <c r="AD93" i="4"/>
  <c r="AC93" i="4"/>
  <c r="Y93" i="4"/>
  <c r="X93" i="4"/>
  <c r="W93" i="4"/>
  <c r="V93" i="4"/>
  <c r="U93" i="4"/>
  <c r="R93" i="4"/>
  <c r="Q93" i="4"/>
  <c r="O93" i="4"/>
  <c r="N93" i="4"/>
  <c r="M93" i="4"/>
  <c r="I93" i="4"/>
  <c r="L93" i="4" s="1"/>
  <c r="H93" i="4"/>
  <c r="G93" i="4"/>
  <c r="F93" i="4"/>
  <c r="E93" i="4"/>
  <c r="C93" i="4"/>
  <c r="B93" i="4"/>
  <c r="A93" i="4"/>
  <c r="AF92" i="4"/>
  <c r="AE92" i="4"/>
  <c r="AD92" i="4"/>
  <c r="AC92" i="4"/>
  <c r="Y92" i="4"/>
  <c r="W92" i="4"/>
  <c r="V92" i="4"/>
  <c r="U92" i="4"/>
  <c r="Q92" i="4"/>
  <c r="P92" i="4"/>
  <c r="O92" i="4"/>
  <c r="N92" i="4"/>
  <c r="M92" i="4"/>
  <c r="I92" i="4"/>
  <c r="H92" i="4"/>
  <c r="G92" i="4"/>
  <c r="F92" i="4"/>
  <c r="E92" i="4"/>
  <c r="C92" i="4"/>
  <c r="B92" i="4"/>
  <c r="A92" i="4"/>
  <c r="AF91" i="4"/>
  <c r="AE91" i="4"/>
  <c r="AD91" i="4"/>
  <c r="AC91" i="4"/>
  <c r="Y91" i="4"/>
  <c r="X91" i="4"/>
  <c r="W91" i="4"/>
  <c r="V91" i="4"/>
  <c r="U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C91" i="4"/>
  <c r="Z91" i="4" s="1"/>
  <c r="B91" i="4"/>
  <c r="A91" i="4"/>
  <c r="AF90" i="4"/>
  <c r="AE90" i="4"/>
  <c r="AD90" i="4"/>
  <c r="AC90" i="4"/>
  <c r="Z90" i="4"/>
  <c r="AA90" i="4" s="1"/>
  <c r="Y90" i="4"/>
  <c r="W90" i="4"/>
  <c r="V90" i="4"/>
  <c r="U90" i="4"/>
  <c r="R90" i="4"/>
  <c r="S90" i="4" s="1"/>
  <c r="Q90" i="4"/>
  <c r="O90" i="4"/>
  <c r="N90" i="4"/>
  <c r="M90" i="4"/>
  <c r="L90" i="4"/>
  <c r="I90" i="4"/>
  <c r="H90" i="4"/>
  <c r="G90" i="4"/>
  <c r="F90" i="4"/>
  <c r="E90" i="4"/>
  <c r="C90" i="4"/>
  <c r="B90" i="4"/>
  <c r="A90" i="4"/>
  <c r="AF89" i="4"/>
  <c r="AE89" i="4"/>
  <c r="AD89" i="4"/>
  <c r="AC89" i="4"/>
  <c r="Y89" i="4"/>
  <c r="W89" i="4"/>
  <c r="V89" i="4"/>
  <c r="U89" i="4"/>
  <c r="Q89" i="4"/>
  <c r="O89" i="4"/>
  <c r="N89" i="4"/>
  <c r="M89" i="4"/>
  <c r="I89" i="4"/>
  <c r="H89" i="4"/>
  <c r="G89" i="4"/>
  <c r="F89" i="4"/>
  <c r="E89" i="4"/>
  <c r="D89" i="4"/>
  <c r="C89" i="4"/>
  <c r="B89" i="4"/>
  <c r="A89" i="4"/>
  <c r="AF88" i="4"/>
  <c r="AE88" i="4"/>
  <c r="AD88" i="4"/>
  <c r="AC88" i="4"/>
  <c r="Y88" i="4"/>
  <c r="X88" i="4"/>
  <c r="W88" i="4"/>
  <c r="V88" i="4"/>
  <c r="U88" i="4"/>
  <c r="R88" i="4"/>
  <c r="S88" i="4" s="1"/>
  <c r="Q88" i="4"/>
  <c r="P88" i="4"/>
  <c r="O88" i="4"/>
  <c r="N88" i="4"/>
  <c r="M88" i="4"/>
  <c r="K88" i="4"/>
  <c r="J88" i="4"/>
  <c r="I88" i="4"/>
  <c r="L88" i="4" s="1"/>
  <c r="H88" i="4"/>
  <c r="G88" i="4"/>
  <c r="F88" i="4"/>
  <c r="E88" i="4"/>
  <c r="D88" i="4"/>
  <c r="C88" i="4"/>
  <c r="Z88" i="4" s="1"/>
  <c r="B88" i="4"/>
  <c r="A88" i="4"/>
  <c r="AF87" i="4"/>
  <c r="AE87" i="4"/>
  <c r="AD87" i="4"/>
  <c r="AC87" i="4"/>
  <c r="AA87" i="4"/>
  <c r="Y87" i="4"/>
  <c r="X87" i="4"/>
  <c r="W87" i="4"/>
  <c r="V87" i="4"/>
  <c r="U87" i="4"/>
  <c r="R87" i="4"/>
  <c r="S87" i="4" s="1"/>
  <c r="Q87" i="4"/>
  <c r="O87" i="4"/>
  <c r="N87" i="4"/>
  <c r="M87" i="4"/>
  <c r="I87" i="4"/>
  <c r="L87" i="4" s="1"/>
  <c r="H87" i="4"/>
  <c r="G87" i="4"/>
  <c r="F87" i="4"/>
  <c r="E87" i="4"/>
  <c r="C87" i="4"/>
  <c r="Z87" i="4" s="1"/>
  <c r="B87" i="4"/>
  <c r="A87" i="4"/>
  <c r="AF86" i="4"/>
  <c r="AE86" i="4"/>
  <c r="AD86" i="4"/>
  <c r="AC86" i="4"/>
  <c r="Y86" i="4"/>
  <c r="W86" i="4"/>
  <c r="V86" i="4"/>
  <c r="U86" i="4"/>
  <c r="Q86" i="4"/>
  <c r="P86" i="4"/>
  <c r="O86" i="4"/>
  <c r="N86" i="4"/>
  <c r="M86" i="4"/>
  <c r="I86" i="4"/>
  <c r="H86" i="4"/>
  <c r="G86" i="4"/>
  <c r="F86" i="4"/>
  <c r="E86" i="4"/>
  <c r="C86" i="4"/>
  <c r="B86" i="4"/>
  <c r="A86" i="4"/>
  <c r="AF85" i="4"/>
  <c r="AE85" i="4"/>
  <c r="AD85" i="4"/>
  <c r="AC85" i="4"/>
  <c r="Y85" i="4"/>
  <c r="X85" i="4"/>
  <c r="W85" i="4"/>
  <c r="V85" i="4"/>
  <c r="U85" i="4"/>
  <c r="R85" i="4"/>
  <c r="S85" i="4" s="1"/>
  <c r="Q85" i="4"/>
  <c r="P85" i="4"/>
  <c r="O85" i="4"/>
  <c r="N85" i="4"/>
  <c r="M85" i="4"/>
  <c r="J85" i="4"/>
  <c r="I85" i="4"/>
  <c r="H85" i="4"/>
  <c r="G85" i="4"/>
  <c r="K85" i="4" s="1"/>
  <c r="F85" i="4"/>
  <c r="E85" i="4"/>
  <c r="C85" i="4"/>
  <c r="Z85" i="4" s="1"/>
  <c r="B85" i="4"/>
  <c r="A85" i="4"/>
  <c r="AF84" i="4"/>
  <c r="AE84" i="4"/>
  <c r="AD84" i="4"/>
  <c r="AC84" i="4"/>
  <c r="Y84" i="4"/>
  <c r="X84" i="4"/>
  <c r="W84" i="4"/>
  <c r="V84" i="4"/>
  <c r="U84" i="4"/>
  <c r="T84" i="4"/>
  <c r="Q84" i="4"/>
  <c r="O84" i="4"/>
  <c r="N84" i="4"/>
  <c r="M84" i="4"/>
  <c r="I84" i="4"/>
  <c r="L84" i="4" s="1"/>
  <c r="H84" i="4"/>
  <c r="G84" i="4"/>
  <c r="F84" i="4"/>
  <c r="E84" i="4"/>
  <c r="C84" i="4"/>
  <c r="B84" i="4"/>
  <c r="A84" i="4"/>
  <c r="AF83" i="4"/>
  <c r="AE83" i="4"/>
  <c r="AD83" i="4"/>
  <c r="AC83" i="4"/>
  <c r="AB83" i="4"/>
  <c r="Y83" i="4"/>
  <c r="W83" i="4"/>
  <c r="V83" i="4"/>
  <c r="U83" i="4"/>
  <c r="Q83" i="4"/>
  <c r="O83" i="4"/>
  <c r="N83" i="4"/>
  <c r="M83" i="4"/>
  <c r="I83" i="4"/>
  <c r="H83" i="4"/>
  <c r="G83" i="4"/>
  <c r="F83" i="4"/>
  <c r="E83" i="4"/>
  <c r="D83" i="4"/>
  <c r="C83" i="4"/>
  <c r="P83" i="4" s="1"/>
  <c r="B83" i="4"/>
  <c r="A83" i="4"/>
  <c r="AF82" i="4"/>
  <c r="AE82" i="4"/>
  <c r="AD82" i="4"/>
  <c r="AC82" i="4"/>
  <c r="Y82" i="4"/>
  <c r="X82" i="4"/>
  <c r="W82" i="4"/>
  <c r="V82" i="4"/>
  <c r="U82" i="4"/>
  <c r="R82" i="4"/>
  <c r="S82" i="4" s="1"/>
  <c r="Q82" i="4"/>
  <c r="P82" i="4"/>
  <c r="O82" i="4"/>
  <c r="N82" i="4"/>
  <c r="M82" i="4"/>
  <c r="J82" i="4"/>
  <c r="K82" i="4" s="1"/>
  <c r="I82" i="4"/>
  <c r="H82" i="4"/>
  <c r="G82" i="4"/>
  <c r="F82" i="4"/>
  <c r="E82" i="4"/>
  <c r="C82" i="4"/>
  <c r="Z82" i="4" s="1"/>
  <c r="AA82" i="4" s="1"/>
  <c r="B82" i="4"/>
  <c r="A82" i="4"/>
  <c r="AF81" i="4"/>
  <c r="AE81" i="4"/>
  <c r="AD81" i="4"/>
  <c r="AC81" i="4"/>
  <c r="AB81" i="4"/>
  <c r="Y81" i="4"/>
  <c r="W81" i="4"/>
  <c r="V81" i="4"/>
  <c r="U81" i="4"/>
  <c r="Q81" i="4"/>
  <c r="P81" i="4"/>
  <c r="O81" i="4"/>
  <c r="N81" i="4"/>
  <c r="M81" i="4"/>
  <c r="I81" i="4"/>
  <c r="H81" i="4"/>
  <c r="G81" i="4"/>
  <c r="F81" i="4"/>
  <c r="E81" i="4"/>
  <c r="D81" i="4"/>
  <c r="C81" i="4"/>
  <c r="B81" i="4"/>
  <c r="A81" i="4"/>
  <c r="L81" i="4" s="1"/>
  <c r="AF80" i="4"/>
  <c r="AE80" i="4"/>
  <c r="AD80" i="4"/>
  <c r="AC80" i="4"/>
  <c r="AB80" i="4"/>
  <c r="Y80" i="4"/>
  <c r="X80" i="4"/>
  <c r="W80" i="4"/>
  <c r="V80" i="4"/>
  <c r="U80" i="4"/>
  <c r="Q80" i="4"/>
  <c r="T80" i="4" s="1"/>
  <c r="O80" i="4"/>
  <c r="N80" i="4"/>
  <c r="M80" i="4"/>
  <c r="I80" i="4"/>
  <c r="L80" i="4" s="1"/>
  <c r="H80" i="4"/>
  <c r="G80" i="4"/>
  <c r="F80" i="4"/>
  <c r="E80" i="4"/>
  <c r="C80" i="4"/>
  <c r="B80" i="4"/>
  <c r="A80" i="4"/>
  <c r="D80" i="4" s="1"/>
  <c r="AF79" i="4"/>
  <c r="AE79" i="4"/>
  <c r="AD79" i="4"/>
  <c r="AC79" i="4"/>
  <c r="AB79" i="4"/>
  <c r="Y79" i="4"/>
  <c r="X79" i="4"/>
  <c r="W79" i="4"/>
  <c r="V79" i="4"/>
  <c r="U79" i="4"/>
  <c r="S79" i="4"/>
  <c r="R79" i="4"/>
  <c r="Q79" i="4"/>
  <c r="P79" i="4"/>
  <c r="O79" i="4"/>
  <c r="N79" i="4"/>
  <c r="M79" i="4"/>
  <c r="K79" i="4"/>
  <c r="J79" i="4"/>
  <c r="I79" i="4"/>
  <c r="H79" i="4"/>
  <c r="G79" i="4"/>
  <c r="F79" i="4"/>
  <c r="E79" i="4"/>
  <c r="C79" i="4"/>
  <c r="Z79" i="4" s="1"/>
  <c r="AA79" i="4" s="1"/>
  <c r="B79" i="4"/>
  <c r="A79" i="4"/>
  <c r="T79" i="4" s="1"/>
  <c r="AF78" i="4"/>
  <c r="AE78" i="4"/>
  <c r="AD78" i="4"/>
  <c r="AC78" i="4"/>
  <c r="AB78" i="4"/>
  <c r="Y78" i="4"/>
  <c r="X78" i="4"/>
  <c r="W78" i="4"/>
  <c r="V78" i="4"/>
  <c r="U78" i="4"/>
  <c r="Q78" i="4"/>
  <c r="P78" i="4"/>
  <c r="O78" i="4"/>
  <c r="N78" i="4"/>
  <c r="M78" i="4"/>
  <c r="I78" i="4"/>
  <c r="H78" i="4"/>
  <c r="G78" i="4"/>
  <c r="F78" i="4"/>
  <c r="E78" i="4"/>
  <c r="C78" i="4"/>
  <c r="B78" i="4"/>
  <c r="A78" i="4"/>
  <c r="AF77" i="4"/>
  <c r="AE77" i="4"/>
  <c r="AD77" i="4"/>
  <c r="AC77" i="4"/>
  <c r="Z77" i="4"/>
  <c r="AA77" i="4" s="1"/>
  <c r="Y77" i="4"/>
  <c r="AB77" i="4" s="1"/>
  <c r="W77" i="4"/>
  <c r="V77" i="4"/>
  <c r="U77" i="4"/>
  <c r="T77" i="4"/>
  <c r="Q77" i="4"/>
  <c r="O77" i="4"/>
  <c r="N77" i="4"/>
  <c r="M77" i="4"/>
  <c r="I77" i="4"/>
  <c r="L77" i="4" s="1"/>
  <c r="H77" i="4"/>
  <c r="G77" i="4"/>
  <c r="F77" i="4"/>
  <c r="E77" i="4"/>
  <c r="D77" i="4"/>
  <c r="C77" i="4"/>
  <c r="B77" i="4"/>
  <c r="A77" i="4"/>
  <c r="AF76" i="4"/>
  <c r="AE76" i="4"/>
  <c r="AD76" i="4"/>
  <c r="AC76" i="4"/>
  <c r="Y76" i="4"/>
  <c r="X76" i="4"/>
  <c r="W76" i="4"/>
  <c r="V76" i="4"/>
  <c r="U76" i="4"/>
  <c r="R76" i="4"/>
  <c r="S76" i="4" s="1"/>
  <c r="Q76" i="4"/>
  <c r="P76" i="4"/>
  <c r="O76" i="4"/>
  <c r="N76" i="4"/>
  <c r="M76" i="4"/>
  <c r="J76" i="4"/>
  <c r="K76" i="4" s="1"/>
  <c r="I76" i="4"/>
  <c r="H76" i="4"/>
  <c r="G76" i="4"/>
  <c r="F76" i="4"/>
  <c r="E76" i="4"/>
  <c r="C76" i="4"/>
  <c r="Z76" i="4" s="1"/>
  <c r="AA76" i="4" s="1"/>
  <c r="B76" i="4"/>
  <c r="A76" i="4"/>
  <c r="AF75" i="4"/>
  <c r="AE75" i="4"/>
  <c r="AD75" i="4"/>
  <c r="AC75" i="4"/>
  <c r="AB75" i="4"/>
  <c r="Y75" i="4"/>
  <c r="W75" i="4"/>
  <c r="V75" i="4"/>
  <c r="U75" i="4"/>
  <c r="T75" i="4"/>
  <c r="Q75" i="4"/>
  <c r="P75" i="4"/>
  <c r="O75" i="4"/>
  <c r="N75" i="4"/>
  <c r="M75" i="4"/>
  <c r="I75" i="4"/>
  <c r="H75" i="4"/>
  <c r="G75" i="4"/>
  <c r="F75" i="4"/>
  <c r="E75" i="4"/>
  <c r="D75" i="4"/>
  <c r="C75" i="4"/>
  <c r="B75" i="4"/>
  <c r="A75" i="4"/>
  <c r="L75" i="4" s="1"/>
  <c r="AF74" i="4"/>
  <c r="AE74" i="4"/>
  <c r="AD74" i="4"/>
  <c r="AC74" i="4"/>
  <c r="AB74" i="4"/>
  <c r="Y74" i="4"/>
  <c r="W74" i="4"/>
  <c r="V74" i="4"/>
  <c r="U74" i="4"/>
  <c r="T74" i="4"/>
  <c r="Q74" i="4"/>
  <c r="O74" i="4"/>
  <c r="N74" i="4"/>
  <c r="M74" i="4"/>
  <c r="I74" i="4"/>
  <c r="L74" i="4" s="1"/>
  <c r="H74" i="4"/>
  <c r="G74" i="4"/>
  <c r="F74" i="4"/>
  <c r="E74" i="4"/>
  <c r="C74" i="4"/>
  <c r="B74" i="4"/>
  <c r="A74" i="4"/>
  <c r="D74" i="4" s="1"/>
  <c r="AF73" i="4"/>
  <c r="AE73" i="4"/>
  <c r="AD73" i="4"/>
  <c r="AC73" i="4"/>
  <c r="Y73" i="4"/>
  <c r="AB73" i="4" s="1"/>
  <c r="X73" i="4"/>
  <c r="W73" i="4"/>
  <c r="V73" i="4"/>
  <c r="U73" i="4"/>
  <c r="T73" i="4"/>
  <c r="S73" i="4"/>
  <c r="R73" i="4"/>
  <c r="Q73" i="4"/>
  <c r="P73" i="4"/>
  <c r="O73" i="4"/>
  <c r="N73" i="4"/>
  <c r="M73" i="4"/>
  <c r="K73" i="4"/>
  <c r="J73" i="4"/>
  <c r="I73" i="4"/>
  <c r="H73" i="4"/>
  <c r="G73" i="4"/>
  <c r="F73" i="4"/>
  <c r="E73" i="4"/>
  <c r="C73" i="4"/>
  <c r="Z73" i="4" s="1"/>
  <c r="AA73" i="4" s="1"/>
  <c r="B73" i="4"/>
  <c r="A73" i="4"/>
  <c r="AF72" i="4"/>
  <c r="AE72" i="4"/>
  <c r="AD72" i="4"/>
  <c r="AC72" i="4"/>
  <c r="Y72" i="4"/>
  <c r="X72" i="4"/>
  <c r="W72" i="4"/>
  <c r="V72" i="4"/>
  <c r="U72" i="4"/>
  <c r="Q72" i="4"/>
  <c r="P72" i="4"/>
  <c r="O72" i="4"/>
  <c r="N72" i="4"/>
  <c r="M72" i="4"/>
  <c r="I72" i="4"/>
  <c r="H72" i="4"/>
  <c r="G72" i="4"/>
  <c r="F72" i="4"/>
  <c r="E72" i="4"/>
  <c r="C72" i="4"/>
  <c r="B72" i="4"/>
  <c r="A72" i="4"/>
  <c r="AB72" i="4" s="1"/>
  <c r="AF71" i="4"/>
  <c r="AE71" i="4"/>
  <c r="AD71" i="4"/>
  <c r="AC71" i="4"/>
  <c r="Z71" i="4"/>
  <c r="AA71" i="4" s="1"/>
  <c r="Y71" i="4"/>
  <c r="AB71" i="4" s="1"/>
  <c r="W71" i="4"/>
  <c r="V71" i="4"/>
  <c r="U71" i="4"/>
  <c r="Q71" i="4"/>
  <c r="O71" i="4"/>
  <c r="N71" i="4"/>
  <c r="M71" i="4"/>
  <c r="I71" i="4"/>
  <c r="L71" i="4" s="1"/>
  <c r="H71" i="4"/>
  <c r="G71" i="4"/>
  <c r="F71" i="4"/>
  <c r="E71" i="4"/>
  <c r="D71" i="4"/>
  <c r="C71" i="4"/>
  <c r="B71" i="4"/>
  <c r="A71" i="4"/>
  <c r="AF70" i="4"/>
  <c r="AE70" i="4"/>
  <c r="AD70" i="4"/>
  <c r="AC70" i="4"/>
  <c r="Y70" i="4"/>
  <c r="X70" i="4"/>
  <c r="W70" i="4"/>
  <c r="V70" i="4"/>
  <c r="U70" i="4"/>
  <c r="R70" i="4"/>
  <c r="S70" i="4" s="1"/>
  <c r="Q70" i="4"/>
  <c r="P70" i="4"/>
  <c r="O70" i="4"/>
  <c r="N70" i="4"/>
  <c r="M70" i="4"/>
  <c r="J70" i="4"/>
  <c r="K70" i="4" s="1"/>
  <c r="I70" i="4"/>
  <c r="H70" i="4"/>
  <c r="G70" i="4"/>
  <c r="F70" i="4"/>
  <c r="E70" i="4"/>
  <c r="C70" i="4"/>
  <c r="Z70" i="4" s="1"/>
  <c r="AA70" i="4" s="1"/>
  <c r="B70" i="4"/>
  <c r="A70" i="4"/>
  <c r="AF69" i="4"/>
  <c r="AE69" i="4"/>
  <c r="AD69" i="4"/>
  <c r="AC69" i="4"/>
  <c r="AB69" i="4"/>
  <c r="Y69" i="4"/>
  <c r="W69" i="4"/>
  <c r="V69" i="4"/>
  <c r="U69" i="4"/>
  <c r="Q69" i="4"/>
  <c r="P69" i="4"/>
  <c r="O69" i="4"/>
  <c r="N69" i="4"/>
  <c r="M69" i="4"/>
  <c r="I69" i="4"/>
  <c r="H69" i="4"/>
  <c r="G69" i="4"/>
  <c r="F69" i="4"/>
  <c r="E69" i="4"/>
  <c r="D69" i="4"/>
  <c r="C69" i="4"/>
  <c r="B69" i="4"/>
  <c r="A69" i="4"/>
  <c r="L69" i="4" s="1"/>
  <c r="AF68" i="4"/>
  <c r="AE68" i="4"/>
  <c r="AD68" i="4"/>
  <c r="AC68" i="4"/>
  <c r="AB68" i="4"/>
  <c r="Y68" i="4"/>
  <c r="W68" i="4"/>
  <c r="V68" i="4"/>
  <c r="U68" i="4"/>
  <c r="Q68" i="4"/>
  <c r="T68" i="4" s="1"/>
  <c r="O68" i="4"/>
  <c r="N68" i="4"/>
  <c r="M68" i="4"/>
  <c r="I68" i="4"/>
  <c r="L68" i="4" s="1"/>
  <c r="H68" i="4"/>
  <c r="G68" i="4"/>
  <c r="F68" i="4"/>
  <c r="E68" i="4"/>
  <c r="C68" i="4"/>
  <c r="B68" i="4"/>
  <c r="A68" i="4"/>
  <c r="D68" i="4" s="1"/>
  <c r="AF67" i="4"/>
  <c r="AE67" i="4"/>
  <c r="AD67" i="4"/>
  <c r="AC67" i="4"/>
  <c r="AB67" i="4"/>
  <c r="Y67" i="4"/>
  <c r="X67" i="4"/>
  <c r="W67" i="4"/>
  <c r="V67" i="4"/>
  <c r="U67" i="4"/>
  <c r="S67" i="4"/>
  <c r="R67" i="4"/>
  <c r="Q67" i="4"/>
  <c r="P67" i="4"/>
  <c r="O67" i="4"/>
  <c r="N67" i="4"/>
  <c r="M67" i="4"/>
  <c r="K67" i="4"/>
  <c r="J67" i="4"/>
  <c r="I67" i="4"/>
  <c r="H67" i="4"/>
  <c r="G67" i="4"/>
  <c r="F67" i="4"/>
  <c r="E67" i="4"/>
  <c r="C67" i="4"/>
  <c r="Z67" i="4" s="1"/>
  <c r="AA67" i="4" s="1"/>
  <c r="B67" i="4"/>
  <c r="A67" i="4"/>
  <c r="AF66" i="4"/>
  <c r="AE66" i="4"/>
  <c r="AD66" i="4"/>
  <c r="AC66" i="4"/>
  <c r="Y66" i="4"/>
  <c r="X66" i="4"/>
  <c r="W66" i="4"/>
  <c r="V66" i="4"/>
  <c r="U66" i="4"/>
  <c r="Q66" i="4"/>
  <c r="P66" i="4"/>
  <c r="O66" i="4"/>
  <c r="N66" i="4"/>
  <c r="M66" i="4"/>
  <c r="I66" i="4"/>
  <c r="H66" i="4"/>
  <c r="G66" i="4"/>
  <c r="F66" i="4"/>
  <c r="E66" i="4"/>
  <c r="C66" i="4"/>
  <c r="B66" i="4"/>
  <c r="A66" i="4"/>
  <c r="AB66" i="4" s="1"/>
  <c r="AF65" i="4"/>
  <c r="AE65" i="4"/>
  <c r="AD65" i="4"/>
  <c r="AC65" i="4"/>
  <c r="Z65" i="4"/>
  <c r="AA65" i="4" s="1"/>
  <c r="Y65" i="4"/>
  <c r="AB65" i="4" s="1"/>
  <c r="W65" i="4"/>
  <c r="V65" i="4"/>
  <c r="U65" i="4"/>
  <c r="T65" i="4"/>
  <c r="Q65" i="4"/>
  <c r="O65" i="4"/>
  <c r="N65" i="4"/>
  <c r="M65" i="4"/>
  <c r="I65" i="4"/>
  <c r="L65" i="4" s="1"/>
  <c r="H65" i="4"/>
  <c r="G65" i="4"/>
  <c r="F65" i="4"/>
  <c r="E65" i="4"/>
  <c r="D65" i="4"/>
  <c r="C65" i="4"/>
  <c r="B65" i="4"/>
  <c r="A65" i="4"/>
  <c r="AF64" i="4"/>
  <c r="AE64" i="4"/>
  <c r="AD64" i="4"/>
  <c r="AC64" i="4"/>
  <c r="Y64" i="4"/>
  <c r="X64" i="4"/>
  <c r="W64" i="4"/>
  <c r="V64" i="4"/>
  <c r="U64" i="4"/>
  <c r="R64" i="4"/>
  <c r="S64" i="4" s="1"/>
  <c r="Q64" i="4"/>
  <c r="P64" i="4"/>
  <c r="O64" i="4"/>
  <c r="N64" i="4"/>
  <c r="M64" i="4"/>
  <c r="J64" i="4"/>
  <c r="K64" i="4" s="1"/>
  <c r="I64" i="4"/>
  <c r="H64" i="4"/>
  <c r="G64" i="4"/>
  <c r="F64" i="4"/>
  <c r="E64" i="4"/>
  <c r="C64" i="4"/>
  <c r="Z64" i="4" s="1"/>
  <c r="AA64" i="4" s="1"/>
  <c r="B64" i="4"/>
  <c r="A64" i="4"/>
  <c r="AF63" i="4"/>
  <c r="AE63" i="4"/>
  <c r="AD63" i="4"/>
  <c r="AC63" i="4"/>
  <c r="AB63" i="4"/>
  <c r="Y63" i="4"/>
  <c r="W63" i="4"/>
  <c r="V63" i="4"/>
  <c r="U63" i="4"/>
  <c r="T63" i="4"/>
  <c r="Q63" i="4"/>
  <c r="P63" i="4"/>
  <c r="O63" i="4"/>
  <c r="N63" i="4"/>
  <c r="M63" i="4"/>
  <c r="I63" i="4"/>
  <c r="H63" i="4"/>
  <c r="G63" i="4"/>
  <c r="F63" i="4"/>
  <c r="E63" i="4"/>
  <c r="D63" i="4"/>
  <c r="C63" i="4"/>
  <c r="B63" i="4"/>
  <c r="A63" i="4"/>
  <c r="L63" i="4" s="1"/>
  <c r="AF62" i="4"/>
  <c r="AE62" i="4"/>
  <c r="AD62" i="4"/>
  <c r="AC62" i="4"/>
  <c r="AB62" i="4"/>
  <c r="Y62" i="4"/>
  <c r="X62" i="4"/>
  <c r="W62" i="4"/>
  <c r="V62" i="4"/>
  <c r="U62" i="4"/>
  <c r="Q62" i="4"/>
  <c r="T62" i="4" s="1"/>
  <c r="O62" i="4"/>
  <c r="N62" i="4"/>
  <c r="M62" i="4"/>
  <c r="I62" i="4"/>
  <c r="L62" i="4" s="1"/>
  <c r="H62" i="4"/>
  <c r="G62" i="4"/>
  <c r="F62" i="4"/>
  <c r="E62" i="4"/>
  <c r="C62" i="4"/>
  <c r="B62" i="4"/>
  <c r="A62" i="4"/>
  <c r="D62" i="4" s="1"/>
  <c r="AF61" i="4"/>
  <c r="AE61" i="4"/>
  <c r="AD61" i="4"/>
  <c r="AC61" i="4"/>
  <c r="Z61" i="4"/>
  <c r="AA61" i="4" s="1"/>
  <c r="Y61" i="4"/>
  <c r="X61" i="4"/>
  <c r="W61" i="4"/>
  <c r="V61" i="4"/>
  <c r="U61" i="4"/>
  <c r="S61" i="4"/>
  <c r="R61" i="4"/>
  <c r="Q61" i="4"/>
  <c r="P61" i="4"/>
  <c r="O61" i="4"/>
  <c r="N61" i="4"/>
  <c r="M61" i="4"/>
  <c r="J61" i="4"/>
  <c r="K61" i="4" s="1"/>
  <c r="I61" i="4"/>
  <c r="H61" i="4"/>
  <c r="G61" i="4"/>
  <c r="F61" i="4"/>
  <c r="E61" i="4"/>
  <c r="C61" i="4"/>
  <c r="B61" i="4"/>
  <c r="A61" i="4"/>
  <c r="AB61" i="4" s="1"/>
  <c r="AF60" i="4"/>
  <c r="AE60" i="4"/>
  <c r="AD60" i="4"/>
  <c r="AC60" i="4"/>
  <c r="Y60" i="4"/>
  <c r="W60" i="4"/>
  <c r="V60" i="4"/>
  <c r="U60" i="4"/>
  <c r="Q60" i="4"/>
  <c r="P60" i="4"/>
  <c r="O60" i="4"/>
  <c r="N60" i="4"/>
  <c r="M60" i="4"/>
  <c r="I60" i="4"/>
  <c r="H60" i="4"/>
  <c r="G60" i="4"/>
  <c r="F60" i="4"/>
  <c r="E60" i="4"/>
  <c r="C60" i="4"/>
  <c r="B60" i="4"/>
  <c r="A60" i="4"/>
  <c r="AB60" i="4" s="1"/>
  <c r="AF59" i="4"/>
  <c r="AE59" i="4"/>
  <c r="AD59" i="4"/>
  <c r="AC59" i="4"/>
  <c r="Z59" i="4"/>
  <c r="AA59" i="4" s="1"/>
  <c r="Y59" i="4"/>
  <c r="X59" i="4"/>
  <c r="W59" i="4"/>
  <c r="V59" i="4"/>
  <c r="U59" i="4"/>
  <c r="R59" i="4"/>
  <c r="S59" i="4" s="1"/>
  <c r="Q59" i="4"/>
  <c r="O59" i="4"/>
  <c r="N59" i="4"/>
  <c r="M59" i="4"/>
  <c r="J59" i="4"/>
  <c r="K59" i="4" s="1"/>
  <c r="I59" i="4"/>
  <c r="H59" i="4"/>
  <c r="G59" i="4"/>
  <c r="F59" i="4"/>
  <c r="E59" i="4"/>
  <c r="C59" i="4"/>
  <c r="P59" i="4" s="1"/>
  <c r="B59" i="4"/>
  <c r="A59" i="4"/>
  <c r="AF58" i="4"/>
  <c r="AE58" i="4"/>
  <c r="AD58" i="4"/>
  <c r="AC58" i="4"/>
  <c r="Z58" i="4"/>
  <c r="Y58" i="4"/>
  <c r="X58" i="4"/>
  <c r="W58" i="4"/>
  <c r="V58" i="4"/>
  <c r="U58" i="4"/>
  <c r="R58" i="4"/>
  <c r="S58" i="4" s="1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AF57" i="4"/>
  <c r="AE57" i="4"/>
  <c r="AD57" i="4"/>
  <c r="AC57" i="4"/>
  <c r="Z57" i="4"/>
  <c r="AA57" i="4" s="1"/>
  <c r="Y57" i="4"/>
  <c r="X57" i="4"/>
  <c r="W57" i="4"/>
  <c r="V57" i="4"/>
  <c r="U57" i="4"/>
  <c r="R57" i="4"/>
  <c r="S57" i="4" s="1"/>
  <c r="Q57" i="4"/>
  <c r="O57" i="4"/>
  <c r="N57" i="4"/>
  <c r="M57" i="4"/>
  <c r="L57" i="4"/>
  <c r="J57" i="4"/>
  <c r="K57" i="4" s="1"/>
  <c r="I57" i="4"/>
  <c r="H57" i="4"/>
  <c r="G57" i="4"/>
  <c r="F57" i="4"/>
  <c r="E57" i="4"/>
  <c r="C57" i="4"/>
  <c r="P57" i="4" s="1"/>
  <c r="B57" i="4"/>
  <c r="A57" i="4"/>
  <c r="D57" i="4" s="1"/>
  <c r="AF56" i="4"/>
  <c r="AE56" i="4"/>
  <c r="AD56" i="4"/>
  <c r="AC56" i="4"/>
  <c r="Z56" i="4"/>
  <c r="AA56" i="4" s="1"/>
  <c r="Y56" i="4"/>
  <c r="W56" i="4"/>
  <c r="V56" i="4"/>
  <c r="U56" i="4"/>
  <c r="Q56" i="4"/>
  <c r="T56" i="4" s="1"/>
  <c r="O56" i="4"/>
  <c r="N56" i="4"/>
  <c r="M56" i="4"/>
  <c r="L56" i="4"/>
  <c r="I56" i="4"/>
  <c r="H56" i="4"/>
  <c r="G56" i="4"/>
  <c r="F56" i="4"/>
  <c r="E56" i="4"/>
  <c r="C56" i="4"/>
  <c r="B56" i="4"/>
  <c r="A56" i="4"/>
  <c r="D56" i="4" s="1"/>
  <c r="AF55" i="4"/>
  <c r="AE55" i="4"/>
  <c r="AD55" i="4"/>
  <c r="AC55" i="4"/>
  <c r="Z55" i="4"/>
  <c r="AA55" i="4" s="1"/>
  <c r="Y55" i="4"/>
  <c r="W55" i="4"/>
  <c r="V55" i="4"/>
  <c r="U55" i="4"/>
  <c r="R55" i="4"/>
  <c r="S55" i="4" s="1"/>
  <c r="Q55" i="4"/>
  <c r="O55" i="4"/>
  <c r="N55" i="4"/>
  <c r="M55" i="4"/>
  <c r="J55" i="4"/>
  <c r="K55" i="4" s="1"/>
  <c r="I55" i="4"/>
  <c r="H55" i="4"/>
  <c r="G55" i="4"/>
  <c r="F55" i="4"/>
  <c r="E55" i="4"/>
  <c r="D55" i="4"/>
  <c r="C55" i="4"/>
  <c r="X55" i="4" s="1"/>
  <c r="B55" i="4"/>
  <c r="A55" i="4"/>
  <c r="AF54" i="4"/>
  <c r="AE54" i="4"/>
  <c r="AD54" i="4"/>
  <c r="AC54" i="4"/>
  <c r="AB54" i="4"/>
  <c r="Z54" i="4"/>
  <c r="AA54" i="4" s="1"/>
  <c r="Y54" i="4"/>
  <c r="X54" i="4"/>
  <c r="W54" i="4"/>
  <c r="V54" i="4"/>
  <c r="U54" i="4"/>
  <c r="R54" i="4"/>
  <c r="S54" i="4" s="1"/>
  <c r="Q54" i="4"/>
  <c r="T54" i="4" s="1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AF53" i="4"/>
  <c r="AE53" i="4"/>
  <c r="AD53" i="4"/>
  <c r="AC53" i="4"/>
  <c r="Z53" i="4"/>
  <c r="AA53" i="4" s="1"/>
  <c r="Y53" i="4"/>
  <c r="X53" i="4"/>
  <c r="W53" i="4"/>
  <c r="V53" i="4"/>
  <c r="U53" i="4"/>
  <c r="R53" i="4"/>
  <c r="S53" i="4" s="1"/>
  <c r="Q53" i="4"/>
  <c r="O53" i="4"/>
  <c r="N53" i="4"/>
  <c r="M53" i="4"/>
  <c r="L53" i="4"/>
  <c r="K53" i="4"/>
  <c r="J53" i="4"/>
  <c r="I53" i="4"/>
  <c r="H53" i="4"/>
  <c r="G53" i="4"/>
  <c r="F53" i="4"/>
  <c r="E53" i="4"/>
  <c r="C53" i="4"/>
  <c r="P53" i="4" s="1"/>
  <c r="B53" i="4"/>
  <c r="A53" i="4"/>
  <c r="AF52" i="4"/>
  <c r="AE52" i="4"/>
  <c r="AD52" i="4"/>
  <c r="AC52" i="4"/>
  <c r="Y52" i="4"/>
  <c r="W52" i="4"/>
  <c r="V52" i="4"/>
  <c r="U52" i="4"/>
  <c r="Q52" i="4"/>
  <c r="O52" i="4"/>
  <c r="N52" i="4"/>
  <c r="M52" i="4"/>
  <c r="I52" i="4"/>
  <c r="H52" i="4"/>
  <c r="G52" i="4"/>
  <c r="F52" i="4"/>
  <c r="E52" i="4"/>
  <c r="D52" i="4"/>
  <c r="C52" i="4"/>
  <c r="P52" i="4" s="1"/>
  <c r="B52" i="4"/>
  <c r="A52" i="4"/>
  <c r="L52" i="4" s="1"/>
  <c r="AF51" i="4"/>
  <c r="AE51" i="4"/>
  <c r="AD51" i="4"/>
  <c r="AC51" i="4"/>
  <c r="AB51" i="4"/>
  <c r="Z51" i="4"/>
  <c r="Y51" i="4"/>
  <c r="X51" i="4"/>
  <c r="W51" i="4"/>
  <c r="V51" i="4"/>
  <c r="U51" i="4"/>
  <c r="R51" i="4"/>
  <c r="S51" i="4" s="1"/>
  <c r="Q51" i="4"/>
  <c r="T51" i="4" s="1"/>
  <c r="P51" i="4"/>
  <c r="O51" i="4"/>
  <c r="N51" i="4"/>
  <c r="M51" i="4"/>
  <c r="L51" i="4"/>
  <c r="J51" i="4"/>
  <c r="K51" i="4" s="1"/>
  <c r="I51" i="4"/>
  <c r="H51" i="4"/>
  <c r="G51" i="4"/>
  <c r="F51" i="4"/>
  <c r="E51" i="4"/>
  <c r="D51" i="4"/>
  <c r="C51" i="4"/>
  <c r="B51" i="4"/>
  <c r="A51" i="4"/>
  <c r="AF50" i="4"/>
  <c r="AE50" i="4"/>
  <c r="AD50" i="4"/>
  <c r="AC50" i="4"/>
  <c r="Y50" i="4"/>
  <c r="W50" i="4"/>
  <c r="V50" i="4"/>
  <c r="U50" i="4"/>
  <c r="Q50" i="4"/>
  <c r="O50" i="4"/>
  <c r="N50" i="4"/>
  <c r="M50" i="4"/>
  <c r="L50" i="4"/>
  <c r="I50" i="4"/>
  <c r="H50" i="4"/>
  <c r="G50" i="4"/>
  <c r="F50" i="4"/>
  <c r="E50" i="4"/>
  <c r="C50" i="4"/>
  <c r="R50" i="4" s="1"/>
  <c r="S50" i="4" s="1"/>
  <c r="B50" i="4"/>
  <c r="A50" i="4"/>
  <c r="AF49" i="4"/>
  <c r="AE49" i="4"/>
  <c r="AD49" i="4"/>
  <c r="AC49" i="4"/>
  <c r="Z49" i="4"/>
  <c r="AA49" i="4" s="1"/>
  <c r="Y49" i="4"/>
  <c r="W49" i="4"/>
  <c r="V49" i="4"/>
  <c r="U49" i="4"/>
  <c r="R49" i="4"/>
  <c r="S49" i="4" s="1"/>
  <c r="Q49" i="4"/>
  <c r="O49" i="4"/>
  <c r="N49" i="4"/>
  <c r="M49" i="4"/>
  <c r="J49" i="4"/>
  <c r="K49" i="4" s="1"/>
  <c r="I49" i="4"/>
  <c r="H49" i="4"/>
  <c r="G49" i="4"/>
  <c r="F49" i="4"/>
  <c r="E49" i="4"/>
  <c r="D49" i="4"/>
  <c r="C49" i="4"/>
  <c r="X49" i="4" s="1"/>
  <c r="B49" i="4"/>
  <c r="A49" i="4"/>
  <c r="AB49" i="4" s="1"/>
  <c r="AF48" i="4"/>
  <c r="AE48" i="4"/>
  <c r="AD48" i="4"/>
  <c r="AC48" i="4"/>
  <c r="AB48" i="4"/>
  <c r="Z48" i="4"/>
  <c r="AA48" i="4" s="1"/>
  <c r="Y48" i="4"/>
  <c r="X48" i="4"/>
  <c r="W48" i="4"/>
  <c r="V48" i="4"/>
  <c r="U48" i="4"/>
  <c r="R48" i="4"/>
  <c r="S48" i="4" s="1"/>
  <c r="Q48" i="4"/>
  <c r="T48" i="4" s="1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AF47" i="4"/>
  <c r="AE47" i="4"/>
  <c r="AD47" i="4"/>
  <c r="AC47" i="4"/>
  <c r="Z47" i="4"/>
  <c r="AA47" i="4" s="1"/>
  <c r="Y47" i="4"/>
  <c r="X47" i="4"/>
  <c r="W47" i="4"/>
  <c r="V47" i="4"/>
  <c r="U47" i="4"/>
  <c r="R47" i="4"/>
  <c r="S47" i="4" s="1"/>
  <c r="Q47" i="4"/>
  <c r="O47" i="4"/>
  <c r="N47" i="4"/>
  <c r="M47" i="4"/>
  <c r="L47" i="4"/>
  <c r="J47" i="4"/>
  <c r="K47" i="4" s="1"/>
  <c r="I47" i="4"/>
  <c r="H47" i="4"/>
  <c r="G47" i="4"/>
  <c r="F47" i="4"/>
  <c r="E47" i="4"/>
  <c r="C47" i="4"/>
  <c r="P47" i="4" s="1"/>
  <c r="B47" i="4"/>
  <c r="A47" i="4"/>
  <c r="AF46" i="4"/>
  <c r="AE46" i="4"/>
  <c r="AD46" i="4"/>
  <c r="AC46" i="4"/>
  <c r="Y46" i="4"/>
  <c r="W46" i="4"/>
  <c r="V46" i="4"/>
  <c r="U46" i="4"/>
  <c r="Q46" i="4"/>
  <c r="O46" i="4"/>
  <c r="N46" i="4"/>
  <c r="M46" i="4"/>
  <c r="I46" i="4"/>
  <c r="H46" i="4"/>
  <c r="G46" i="4"/>
  <c r="F46" i="4"/>
  <c r="E46" i="4"/>
  <c r="D46" i="4"/>
  <c r="C46" i="4"/>
  <c r="B46" i="4"/>
  <c r="A46" i="4"/>
  <c r="L46" i="4" s="1"/>
  <c r="AF45" i="4"/>
  <c r="AE45" i="4"/>
  <c r="AD45" i="4"/>
  <c r="AC45" i="4"/>
  <c r="AB45" i="4"/>
  <c r="Z45" i="4"/>
  <c r="Y45" i="4"/>
  <c r="X45" i="4"/>
  <c r="W45" i="4"/>
  <c r="V45" i="4"/>
  <c r="U45" i="4"/>
  <c r="R45" i="4"/>
  <c r="S45" i="4" s="1"/>
  <c r="Q45" i="4"/>
  <c r="T45" i="4" s="1"/>
  <c r="P45" i="4"/>
  <c r="O45" i="4"/>
  <c r="N45" i="4"/>
  <c r="M45" i="4"/>
  <c r="L45" i="4"/>
  <c r="J45" i="4"/>
  <c r="K45" i="4" s="1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Y44" i="4"/>
  <c r="X44" i="4"/>
  <c r="W44" i="4"/>
  <c r="V44" i="4"/>
  <c r="U44" i="4"/>
  <c r="Q44" i="4"/>
  <c r="T44" i="4" s="1"/>
  <c r="O44" i="4"/>
  <c r="N44" i="4"/>
  <c r="M44" i="4"/>
  <c r="L44" i="4"/>
  <c r="I44" i="4"/>
  <c r="H44" i="4"/>
  <c r="G44" i="4"/>
  <c r="F44" i="4"/>
  <c r="E44" i="4"/>
  <c r="C44" i="4"/>
  <c r="B44" i="4"/>
  <c r="A44" i="4"/>
  <c r="AF43" i="4"/>
  <c r="AE43" i="4"/>
  <c r="AD43" i="4"/>
  <c r="AC43" i="4"/>
  <c r="Z43" i="4"/>
  <c r="Y43" i="4"/>
  <c r="W43" i="4"/>
  <c r="V43" i="4"/>
  <c r="U43" i="4"/>
  <c r="R43" i="4"/>
  <c r="S43" i="4" s="1"/>
  <c r="Q43" i="4"/>
  <c r="O43" i="4"/>
  <c r="N43" i="4"/>
  <c r="M43" i="4"/>
  <c r="J43" i="4"/>
  <c r="K43" i="4" s="1"/>
  <c r="I43" i="4"/>
  <c r="H43" i="4"/>
  <c r="G43" i="4"/>
  <c r="F43" i="4"/>
  <c r="E43" i="4"/>
  <c r="D43" i="4"/>
  <c r="C43" i="4"/>
  <c r="X43" i="4" s="1"/>
  <c r="B43" i="4"/>
  <c r="A43" i="4"/>
  <c r="AB43" i="4" s="1"/>
  <c r="AF42" i="4"/>
  <c r="AE42" i="4"/>
  <c r="AD42" i="4"/>
  <c r="AC42" i="4"/>
  <c r="AB42" i="4"/>
  <c r="Z42" i="4"/>
  <c r="AA42" i="4" s="1"/>
  <c r="Y42" i="4"/>
  <c r="X42" i="4"/>
  <c r="W42" i="4"/>
  <c r="V42" i="4"/>
  <c r="U42" i="4"/>
  <c r="R42" i="4"/>
  <c r="S42" i="4" s="1"/>
  <c r="Q42" i="4"/>
  <c r="T42" i="4" s="1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AF41" i="4"/>
  <c r="AE41" i="4"/>
  <c r="AD41" i="4"/>
  <c r="AC41" i="4"/>
  <c r="Z41" i="4"/>
  <c r="Y41" i="4"/>
  <c r="X41" i="4"/>
  <c r="W41" i="4"/>
  <c r="V41" i="4"/>
  <c r="U41" i="4"/>
  <c r="S41" i="4"/>
  <c r="R41" i="4"/>
  <c r="Q41" i="4"/>
  <c r="O41" i="4"/>
  <c r="N41" i="4"/>
  <c r="M41" i="4"/>
  <c r="L41" i="4"/>
  <c r="J41" i="4"/>
  <c r="K41" i="4" s="1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Y40" i="4"/>
  <c r="W40" i="4"/>
  <c r="V40" i="4"/>
  <c r="U40" i="4"/>
  <c r="Q40" i="4"/>
  <c r="O40" i="4"/>
  <c r="N40" i="4"/>
  <c r="M40" i="4"/>
  <c r="J40" i="4"/>
  <c r="K40" i="4" s="1"/>
  <c r="I40" i="4"/>
  <c r="H40" i="4"/>
  <c r="G40" i="4"/>
  <c r="F40" i="4"/>
  <c r="E40" i="4"/>
  <c r="D40" i="4"/>
  <c r="C40" i="4"/>
  <c r="B40" i="4"/>
  <c r="A40" i="4"/>
  <c r="L40" i="4" s="1"/>
  <c r="AF39" i="4"/>
  <c r="AE39" i="4"/>
  <c r="AD39" i="4"/>
  <c r="AC39" i="4"/>
  <c r="AB39" i="4"/>
  <c r="Z39" i="4"/>
  <c r="AA39" i="4" s="1"/>
  <c r="Y39" i="4"/>
  <c r="X39" i="4"/>
  <c r="W39" i="4"/>
  <c r="V39" i="4"/>
  <c r="U39" i="4"/>
  <c r="R39" i="4"/>
  <c r="S39" i="4" s="1"/>
  <c r="Q39" i="4"/>
  <c r="T39" i="4" s="1"/>
  <c r="P39" i="4"/>
  <c r="O39" i="4"/>
  <c r="N39" i="4"/>
  <c r="M39" i="4"/>
  <c r="L39" i="4"/>
  <c r="J39" i="4"/>
  <c r="K39" i="4" s="1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Y38" i="4"/>
  <c r="X38" i="4"/>
  <c r="W38" i="4"/>
  <c r="V38" i="4"/>
  <c r="U38" i="4"/>
  <c r="Q38" i="4"/>
  <c r="T38" i="4" s="1"/>
  <c r="O38" i="4"/>
  <c r="N38" i="4"/>
  <c r="M38" i="4"/>
  <c r="L38" i="4"/>
  <c r="I38" i="4"/>
  <c r="H38" i="4"/>
  <c r="G38" i="4"/>
  <c r="F38" i="4"/>
  <c r="E38" i="4"/>
  <c r="C38" i="4"/>
  <c r="B38" i="4"/>
  <c r="A38" i="4"/>
  <c r="AF37" i="4"/>
  <c r="AE37" i="4"/>
  <c r="AD37" i="4"/>
  <c r="AC37" i="4"/>
  <c r="Z37" i="4"/>
  <c r="Y37" i="4"/>
  <c r="W37" i="4"/>
  <c r="V37" i="4"/>
  <c r="U37" i="4"/>
  <c r="R37" i="4"/>
  <c r="S37" i="4" s="1"/>
  <c r="Q37" i="4"/>
  <c r="O37" i="4"/>
  <c r="N37" i="4"/>
  <c r="M37" i="4"/>
  <c r="J37" i="4"/>
  <c r="K37" i="4" s="1"/>
  <c r="I37" i="4"/>
  <c r="H37" i="4"/>
  <c r="G37" i="4"/>
  <c r="F37" i="4"/>
  <c r="E37" i="4"/>
  <c r="D37" i="4"/>
  <c r="C37" i="4"/>
  <c r="X37" i="4" s="1"/>
  <c r="B37" i="4"/>
  <c r="A37" i="4"/>
  <c r="AF36" i="4"/>
  <c r="AE36" i="4"/>
  <c r="AD36" i="4"/>
  <c r="AC36" i="4"/>
  <c r="AB36" i="4"/>
  <c r="Z36" i="4"/>
  <c r="AA36" i="4" s="1"/>
  <c r="Y36" i="4"/>
  <c r="X36" i="4"/>
  <c r="W36" i="4"/>
  <c r="V36" i="4"/>
  <c r="U36" i="4"/>
  <c r="R36" i="4"/>
  <c r="S36" i="4" s="1"/>
  <c r="Q36" i="4"/>
  <c r="T36" i="4" s="1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AF35" i="4"/>
  <c r="AE35" i="4"/>
  <c r="AD35" i="4"/>
  <c r="AC35" i="4"/>
  <c r="Z35" i="4"/>
  <c r="Y35" i="4"/>
  <c r="X35" i="4"/>
  <c r="W35" i="4"/>
  <c r="V35" i="4"/>
  <c r="U35" i="4"/>
  <c r="R35" i="4"/>
  <c r="S35" i="4" s="1"/>
  <c r="Q35" i="4"/>
  <c r="O35" i="4"/>
  <c r="N35" i="4"/>
  <c r="M35" i="4"/>
  <c r="L35" i="4"/>
  <c r="K35" i="4"/>
  <c r="J35" i="4"/>
  <c r="I35" i="4"/>
  <c r="H35" i="4"/>
  <c r="G35" i="4"/>
  <c r="F35" i="4"/>
  <c r="E35" i="4"/>
  <c r="C35" i="4"/>
  <c r="P35" i="4" s="1"/>
  <c r="B35" i="4"/>
  <c r="A35" i="4"/>
  <c r="AF34" i="4"/>
  <c r="AE34" i="4"/>
  <c r="AD34" i="4"/>
  <c r="AC34" i="4"/>
  <c r="Y34" i="4"/>
  <c r="W34" i="4"/>
  <c r="V34" i="4"/>
  <c r="U34" i="4"/>
  <c r="Q34" i="4"/>
  <c r="O34" i="4"/>
  <c r="N34" i="4"/>
  <c r="M34" i="4"/>
  <c r="J34" i="4"/>
  <c r="K34" i="4" s="1"/>
  <c r="I34" i="4"/>
  <c r="H34" i="4"/>
  <c r="G34" i="4"/>
  <c r="F34" i="4"/>
  <c r="E34" i="4"/>
  <c r="D34" i="4"/>
  <c r="C34" i="4"/>
  <c r="P34" i="4" s="1"/>
  <c r="B34" i="4"/>
  <c r="A34" i="4"/>
  <c r="L34" i="4" s="1"/>
  <c r="AF33" i="4"/>
  <c r="AE33" i="4"/>
  <c r="AD33" i="4"/>
  <c r="AC33" i="4"/>
  <c r="AB33" i="4"/>
  <c r="Z33" i="4"/>
  <c r="AA33" i="4" s="1"/>
  <c r="Y33" i="4"/>
  <c r="X33" i="4"/>
  <c r="W33" i="4"/>
  <c r="V33" i="4"/>
  <c r="U33" i="4"/>
  <c r="R33" i="4"/>
  <c r="S33" i="4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AF32" i="4"/>
  <c r="AE32" i="4"/>
  <c r="AD32" i="4"/>
  <c r="AC32" i="4"/>
  <c r="Y32" i="4"/>
  <c r="W32" i="4"/>
  <c r="V32" i="4"/>
  <c r="U32" i="4"/>
  <c r="Q32" i="4"/>
  <c r="T32" i="4" s="1"/>
  <c r="O32" i="4"/>
  <c r="N32" i="4"/>
  <c r="M32" i="4"/>
  <c r="L32" i="4"/>
  <c r="I32" i="4"/>
  <c r="H32" i="4"/>
  <c r="G32" i="4"/>
  <c r="F32" i="4"/>
  <c r="E32" i="4"/>
  <c r="C32" i="4"/>
  <c r="X32" i="4" s="1"/>
  <c r="B32" i="4"/>
  <c r="A32" i="4"/>
  <c r="AF31" i="4"/>
  <c r="AE31" i="4"/>
  <c r="AD31" i="4"/>
  <c r="AC31" i="4"/>
  <c r="Z31" i="4"/>
  <c r="Y31" i="4"/>
  <c r="W31" i="4"/>
  <c r="V31" i="4"/>
  <c r="U31" i="4"/>
  <c r="R31" i="4"/>
  <c r="S31" i="4" s="1"/>
  <c r="Q31" i="4"/>
  <c r="O31" i="4"/>
  <c r="N31" i="4"/>
  <c r="M31" i="4"/>
  <c r="J31" i="4"/>
  <c r="K31" i="4" s="1"/>
  <c r="I31" i="4"/>
  <c r="H31" i="4"/>
  <c r="G31" i="4"/>
  <c r="F31" i="4"/>
  <c r="E31" i="4"/>
  <c r="D31" i="4"/>
  <c r="C31" i="4"/>
  <c r="X31" i="4" s="1"/>
  <c r="B31" i="4"/>
  <c r="A31" i="4"/>
  <c r="AF30" i="4"/>
  <c r="AE30" i="4"/>
  <c r="AD30" i="4"/>
  <c r="AC30" i="4"/>
  <c r="AB30" i="4"/>
  <c r="Z30" i="4"/>
  <c r="AA30" i="4" s="1"/>
  <c r="Y30" i="4"/>
  <c r="X30" i="4"/>
  <c r="W30" i="4"/>
  <c r="V30" i="4"/>
  <c r="U30" i="4"/>
  <c r="R30" i="4"/>
  <c r="S30" i="4" s="1"/>
  <c r="Q30" i="4"/>
  <c r="T30" i="4" s="1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AF29" i="4"/>
  <c r="AE29" i="4"/>
  <c r="AD29" i="4"/>
  <c r="AC29" i="4"/>
  <c r="Z29" i="4"/>
  <c r="Y29" i="4"/>
  <c r="X29" i="4"/>
  <c r="W29" i="4"/>
  <c r="V29" i="4"/>
  <c r="U29" i="4"/>
  <c r="R29" i="4"/>
  <c r="S29" i="4" s="1"/>
  <c r="Q29" i="4"/>
  <c r="O29" i="4"/>
  <c r="N29" i="4"/>
  <c r="M29" i="4"/>
  <c r="L29" i="4"/>
  <c r="J29" i="4"/>
  <c r="K29" i="4" s="1"/>
  <c r="I29" i="4"/>
  <c r="H29" i="4"/>
  <c r="G29" i="4"/>
  <c r="F29" i="4"/>
  <c r="E29" i="4"/>
  <c r="C29" i="4"/>
  <c r="P29" i="4" s="1"/>
  <c r="B29" i="4"/>
  <c r="A29" i="4"/>
  <c r="AF28" i="4"/>
  <c r="AE28" i="4"/>
  <c r="AD28" i="4"/>
  <c r="AC28" i="4"/>
  <c r="Y28" i="4"/>
  <c r="W28" i="4"/>
  <c r="V28" i="4"/>
  <c r="U28" i="4"/>
  <c r="Q28" i="4"/>
  <c r="O28" i="4"/>
  <c r="N28" i="4"/>
  <c r="M28" i="4"/>
  <c r="I28" i="4"/>
  <c r="H28" i="4"/>
  <c r="G28" i="4"/>
  <c r="F28" i="4"/>
  <c r="E28" i="4"/>
  <c r="D28" i="4"/>
  <c r="C28" i="4"/>
  <c r="P28" i="4" s="1"/>
  <c r="B28" i="4"/>
  <c r="A28" i="4"/>
  <c r="L28" i="4" s="1"/>
  <c r="AF27" i="4"/>
  <c r="AE27" i="4"/>
  <c r="AD27" i="4"/>
  <c r="AC27" i="4"/>
  <c r="AB27" i="4"/>
  <c r="Z27" i="4"/>
  <c r="AA27" i="4" s="1"/>
  <c r="Y27" i="4"/>
  <c r="X27" i="4"/>
  <c r="W27" i="4"/>
  <c r="V27" i="4"/>
  <c r="U27" i="4"/>
  <c r="R27" i="4"/>
  <c r="S27" i="4" s="1"/>
  <c r="Q27" i="4"/>
  <c r="T27" i="4" s="1"/>
  <c r="P27" i="4"/>
  <c r="O27" i="4"/>
  <c r="N27" i="4"/>
  <c r="M27" i="4"/>
  <c r="L27" i="4"/>
  <c r="J27" i="4"/>
  <c r="K27" i="4" s="1"/>
  <c r="I27" i="4"/>
  <c r="H27" i="4"/>
  <c r="G27" i="4"/>
  <c r="F27" i="4"/>
  <c r="E27" i="4"/>
  <c r="D27" i="4"/>
  <c r="C27" i="4"/>
  <c r="B27" i="4"/>
  <c r="A27" i="4"/>
  <c r="AF26" i="4"/>
  <c r="AE26" i="4"/>
  <c r="AD26" i="4"/>
  <c r="AC26" i="4"/>
  <c r="Y26" i="4"/>
  <c r="X26" i="4"/>
  <c r="W26" i="4"/>
  <c r="V26" i="4"/>
  <c r="U26" i="4"/>
  <c r="Q26" i="4"/>
  <c r="T26" i="4" s="1"/>
  <c r="O26" i="4"/>
  <c r="N26" i="4"/>
  <c r="M26" i="4"/>
  <c r="L26" i="4"/>
  <c r="I26" i="4"/>
  <c r="H26" i="4"/>
  <c r="G26" i="4"/>
  <c r="F26" i="4"/>
  <c r="E26" i="4"/>
  <c r="C26" i="4"/>
  <c r="B26" i="4"/>
  <c r="A26" i="4"/>
  <c r="AF25" i="4"/>
  <c r="AE25" i="4"/>
  <c r="AD25" i="4"/>
  <c r="AC25" i="4"/>
  <c r="Z25" i="4"/>
  <c r="AA25" i="4" s="1"/>
  <c r="Y25" i="4"/>
  <c r="W25" i="4"/>
  <c r="V25" i="4"/>
  <c r="U25" i="4"/>
  <c r="R25" i="4"/>
  <c r="S25" i="4" s="1"/>
  <c r="Q25" i="4"/>
  <c r="O25" i="4"/>
  <c r="N25" i="4"/>
  <c r="M25" i="4"/>
  <c r="J25" i="4"/>
  <c r="K25" i="4" s="1"/>
  <c r="I25" i="4"/>
  <c r="H25" i="4"/>
  <c r="G25" i="4"/>
  <c r="F25" i="4"/>
  <c r="E25" i="4"/>
  <c r="D25" i="4"/>
  <c r="C25" i="4"/>
  <c r="X25" i="4" s="1"/>
  <c r="B25" i="4"/>
  <c r="A25" i="4"/>
  <c r="AF24" i="4"/>
  <c r="AE24" i="4"/>
  <c r="AD24" i="4"/>
  <c r="AC24" i="4"/>
  <c r="AB24" i="4"/>
  <c r="Z24" i="4"/>
  <c r="AA24" i="4" s="1"/>
  <c r="Y24" i="4"/>
  <c r="X24" i="4"/>
  <c r="W24" i="4"/>
  <c r="V24" i="4"/>
  <c r="U24" i="4"/>
  <c r="R24" i="4"/>
  <c r="S24" i="4" s="1"/>
  <c r="Q24" i="4"/>
  <c r="T24" i="4" s="1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AF23" i="4"/>
  <c r="AE23" i="4"/>
  <c r="AD23" i="4"/>
  <c r="AC23" i="4"/>
  <c r="Z23" i="4"/>
  <c r="Y23" i="4"/>
  <c r="X23" i="4"/>
  <c r="W23" i="4"/>
  <c r="V23" i="4"/>
  <c r="U23" i="4"/>
  <c r="R23" i="4"/>
  <c r="S23" i="4" s="1"/>
  <c r="Q23" i="4"/>
  <c r="O23" i="4"/>
  <c r="N23" i="4"/>
  <c r="M23" i="4"/>
  <c r="L23" i="4"/>
  <c r="J23" i="4"/>
  <c r="K23" i="4" s="1"/>
  <c r="I23" i="4"/>
  <c r="H23" i="4"/>
  <c r="G23" i="4"/>
  <c r="F23" i="4"/>
  <c r="E23" i="4"/>
  <c r="C23" i="4"/>
  <c r="P23" i="4" s="1"/>
  <c r="B23" i="4"/>
  <c r="A23" i="4"/>
  <c r="AF22" i="4"/>
  <c r="AE22" i="4"/>
  <c r="AD22" i="4"/>
  <c r="AC22" i="4"/>
  <c r="Y22" i="4"/>
  <c r="W22" i="4"/>
  <c r="V22" i="4"/>
  <c r="U22" i="4"/>
  <c r="Q22" i="4"/>
  <c r="O22" i="4"/>
  <c r="N22" i="4"/>
  <c r="M22" i="4"/>
  <c r="I22" i="4"/>
  <c r="H22" i="4"/>
  <c r="G22" i="4"/>
  <c r="F22" i="4"/>
  <c r="E22" i="4"/>
  <c r="D22" i="4"/>
  <c r="C22" i="4"/>
  <c r="B22" i="4"/>
  <c r="A22" i="4"/>
  <c r="L22" i="4" s="1"/>
  <c r="AF21" i="4"/>
  <c r="AE21" i="4"/>
  <c r="AD21" i="4"/>
  <c r="AC21" i="4"/>
  <c r="AB21" i="4"/>
  <c r="Z21" i="4"/>
  <c r="Y21" i="4"/>
  <c r="X21" i="4"/>
  <c r="W21" i="4"/>
  <c r="V21" i="4"/>
  <c r="U21" i="4"/>
  <c r="R21" i="4"/>
  <c r="S21" i="4" s="1"/>
  <c r="Q21" i="4"/>
  <c r="T21" i="4" s="1"/>
  <c r="P21" i="4"/>
  <c r="O21" i="4"/>
  <c r="N21" i="4"/>
  <c r="M21" i="4"/>
  <c r="L21" i="4"/>
  <c r="J21" i="4"/>
  <c r="K21" i="4" s="1"/>
  <c r="I21" i="4"/>
  <c r="H21" i="4"/>
  <c r="G21" i="4"/>
  <c r="F21" i="4"/>
  <c r="E21" i="4"/>
  <c r="D21" i="4"/>
  <c r="C21" i="4"/>
  <c r="B21" i="4"/>
  <c r="A21" i="4"/>
  <c r="AF20" i="4"/>
  <c r="AE20" i="4"/>
  <c r="AD20" i="4"/>
  <c r="AC20" i="4"/>
  <c r="Y20" i="4"/>
  <c r="W20" i="4"/>
  <c r="V20" i="4"/>
  <c r="U20" i="4"/>
  <c r="Q20" i="4"/>
  <c r="T20" i="4" s="1"/>
  <c r="O20" i="4"/>
  <c r="N20" i="4"/>
  <c r="M20" i="4"/>
  <c r="L20" i="4"/>
  <c r="I20" i="4"/>
  <c r="H20" i="4"/>
  <c r="G20" i="4"/>
  <c r="F20" i="4"/>
  <c r="E20" i="4"/>
  <c r="C20" i="4"/>
  <c r="B20" i="4"/>
  <c r="A20" i="4"/>
  <c r="AF19" i="4"/>
  <c r="AE19" i="4"/>
  <c r="AD19" i="4"/>
  <c r="AC19" i="4"/>
  <c r="Z19" i="4"/>
  <c r="AA19" i="4" s="1"/>
  <c r="Y19" i="4"/>
  <c r="W19" i="4"/>
  <c r="V19" i="4"/>
  <c r="U19" i="4"/>
  <c r="R19" i="4"/>
  <c r="S19" i="4" s="1"/>
  <c r="Q19" i="4"/>
  <c r="O19" i="4"/>
  <c r="N19" i="4"/>
  <c r="M19" i="4"/>
  <c r="J19" i="4"/>
  <c r="K19" i="4" s="1"/>
  <c r="I19" i="4"/>
  <c r="H19" i="4"/>
  <c r="G19" i="4"/>
  <c r="F19" i="4"/>
  <c r="E19" i="4"/>
  <c r="D19" i="4"/>
  <c r="C19" i="4"/>
  <c r="X19" i="4" s="1"/>
  <c r="B19" i="4"/>
  <c r="A19" i="4"/>
  <c r="AF18" i="4"/>
  <c r="AE18" i="4"/>
  <c r="AD18" i="4"/>
  <c r="AC18" i="4"/>
  <c r="AB18" i="4"/>
  <c r="Z18" i="4"/>
  <c r="AA18" i="4" s="1"/>
  <c r="Y18" i="4"/>
  <c r="X18" i="4"/>
  <c r="W18" i="4"/>
  <c r="V18" i="4"/>
  <c r="U18" i="4"/>
  <c r="R18" i="4"/>
  <c r="S18" i="4" s="1"/>
  <c r="Q18" i="4"/>
  <c r="T18" i="4" s="1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AF17" i="4"/>
  <c r="AE17" i="4"/>
  <c r="AD17" i="4"/>
  <c r="AC17" i="4"/>
  <c r="Z17" i="4"/>
  <c r="AA17" i="4" s="1"/>
  <c r="Y17" i="4"/>
  <c r="X17" i="4"/>
  <c r="W17" i="4"/>
  <c r="V17" i="4"/>
  <c r="U17" i="4"/>
  <c r="R17" i="4"/>
  <c r="S17" i="4" s="1"/>
  <c r="Q17" i="4"/>
  <c r="O17" i="4"/>
  <c r="N17" i="4"/>
  <c r="M17" i="4"/>
  <c r="L17" i="4"/>
  <c r="J17" i="4"/>
  <c r="K17" i="4" s="1"/>
  <c r="I17" i="4"/>
  <c r="H17" i="4"/>
  <c r="G17" i="4"/>
  <c r="F17" i="4"/>
  <c r="E17" i="4"/>
  <c r="C17" i="4"/>
  <c r="P17" i="4" s="1"/>
  <c r="B17" i="4"/>
  <c r="A17" i="4"/>
  <c r="AF16" i="4"/>
  <c r="AE16" i="4"/>
  <c r="AD16" i="4"/>
  <c r="AC16" i="4"/>
  <c r="Y16" i="4"/>
  <c r="W16" i="4"/>
  <c r="V16" i="4"/>
  <c r="U16" i="4"/>
  <c r="Q16" i="4"/>
  <c r="O16" i="4"/>
  <c r="N16" i="4"/>
  <c r="M16" i="4"/>
  <c r="J16" i="4"/>
  <c r="K16" i="4" s="1"/>
  <c r="I16" i="4"/>
  <c r="H16" i="4"/>
  <c r="G16" i="4"/>
  <c r="F16" i="4"/>
  <c r="E16" i="4"/>
  <c r="D16" i="4"/>
  <c r="C16" i="4"/>
  <c r="B16" i="4"/>
  <c r="A16" i="4"/>
  <c r="L16" i="4" s="1"/>
  <c r="AF15" i="4"/>
  <c r="AE15" i="4"/>
  <c r="AD15" i="4"/>
  <c r="AC15" i="4"/>
  <c r="AB15" i="4"/>
  <c r="Z15" i="4"/>
  <c r="Y15" i="4"/>
  <c r="X15" i="4"/>
  <c r="W15" i="4"/>
  <c r="V15" i="4"/>
  <c r="U15" i="4"/>
  <c r="R15" i="4"/>
  <c r="S15" i="4" s="1"/>
  <c r="Q15" i="4"/>
  <c r="T15" i="4" s="1"/>
  <c r="P15" i="4"/>
  <c r="O15" i="4"/>
  <c r="N15" i="4"/>
  <c r="M15" i="4"/>
  <c r="L15" i="4"/>
  <c r="J15" i="4"/>
  <c r="K15" i="4" s="1"/>
  <c r="I15" i="4"/>
  <c r="H15" i="4"/>
  <c r="G15" i="4"/>
  <c r="F15" i="4"/>
  <c r="E15" i="4"/>
  <c r="D15" i="4"/>
  <c r="C15" i="4"/>
  <c r="B15" i="4"/>
  <c r="A15" i="4"/>
  <c r="AF14" i="4"/>
  <c r="AE14" i="4"/>
  <c r="AD14" i="4"/>
  <c r="AC14" i="4"/>
  <c r="Y14" i="4"/>
  <c r="W14" i="4"/>
  <c r="V14" i="4"/>
  <c r="U14" i="4"/>
  <c r="Q14" i="4"/>
  <c r="T14" i="4" s="1"/>
  <c r="O14" i="4"/>
  <c r="N14" i="4"/>
  <c r="M14" i="4"/>
  <c r="L14" i="4"/>
  <c r="I14" i="4"/>
  <c r="H14" i="4"/>
  <c r="G14" i="4"/>
  <c r="F14" i="4"/>
  <c r="E14" i="4"/>
  <c r="C14" i="4"/>
  <c r="R14" i="4" s="1"/>
  <c r="S14" i="4" s="1"/>
  <c r="B14" i="4"/>
  <c r="A14" i="4"/>
  <c r="AF13" i="4"/>
  <c r="AE13" i="4"/>
  <c r="AD13" i="4"/>
  <c r="AC13" i="4"/>
  <c r="Z13" i="4"/>
  <c r="Y13" i="4"/>
  <c r="W13" i="4"/>
  <c r="V13" i="4"/>
  <c r="U13" i="4"/>
  <c r="R13" i="4"/>
  <c r="S13" i="4" s="1"/>
  <c r="Q13" i="4"/>
  <c r="O13" i="4"/>
  <c r="N13" i="4"/>
  <c r="M13" i="4"/>
  <c r="J13" i="4"/>
  <c r="K13" i="4" s="1"/>
  <c r="I13" i="4"/>
  <c r="H13" i="4"/>
  <c r="G13" i="4"/>
  <c r="F13" i="4"/>
  <c r="E13" i="4"/>
  <c r="D13" i="4"/>
  <c r="C13" i="4"/>
  <c r="X13" i="4" s="1"/>
  <c r="B13" i="4"/>
  <c r="A13" i="4"/>
  <c r="AF12" i="4"/>
  <c r="AE12" i="4"/>
  <c r="AD12" i="4"/>
  <c r="AC12" i="4"/>
  <c r="AB12" i="4"/>
  <c r="Z12" i="4"/>
  <c r="AA12" i="4" s="1"/>
  <c r="Y12" i="4"/>
  <c r="X12" i="4"/>
  <c r="W12" i="4"/>
  <c r="V12" i="4"/>
  <c r="U12" i="4"/>
  <c r="R12" i="4"/>
  <c r="S12" i="4" s="1"/>
  <c r="Q12" i="4"/>
  <c r="T12" i="4" s="1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AF11" i="4"/>
  <c r="AE11" i="4"/>
  <c r="AD11" i="4"/>
  <c r="AC11" i="4"/>
  <c r="Z11" i="4"/>
  <c r="AA11" i="4" s="1"/>
  <c r="Y11" i="4"/>
  <c r="X11" i="4"/>
  <c r="W11" i="4"/>
  <c r="V11" i="4"/>
  <c r="U11" i="4"/>
  <c r="S11" i="4"/>
  <c r="R11" i="4"/>
  <c r="Q11" i="4"/>
  <c r="O11" i="4"/>
  <c r="N11" i="4"/>
  <c r="M11" i="4"/>
  <c r="L11" i="4"/>
  <c r="K11" i="4"/>
  <c r="J11" i="4"/>
  <c r="I11" i="4"/>
  <c r="H11" i="4"/>
  <c r="G11" i="4"/>
  <c r="F11" i="4"/>
  <c r="E11" i="4"/>
  <c r="C11" i="4"/>
  <c r="P11" i="4" s="1"/>
  <c r="B11" i="4"/>
  <c r="A11" i="4"/>
  <c r="AF10" i="4"/>
  <c r="AE10" i="4"/>
  <c r="AD10" i="4"/>
  <c r="AC10" i="4"/>
  <c r="Y10" i="4"/>
  <c r="W10" i="4"/>
  <c r="V10" i="4"/>
  <c r="U10" i="4"/>
  <c r="Q10" i="4"/>
  <c r="O10" i="4"/>
  <c r="N10" i="4"/>
  <c r="M10" i="4"/>
  <c r="J10" i="4"/>
  <c r="K10" i="4" s="1"/>
  <c r="I10" i="4"/>
  <c r="H10" i="4"/>
  <c r="G10" i="4"/>
  <c r="F10" i="4"/>
  <c r="E10" i="4"/>
  <c r="D10" i="4"/>
  <c r="C10" i="4"/>
  <c r="B10" i="4"/>
  <c r="A10" i="4"/>
  <c r="L10" i="4" s="1"/>
  <c r="AF9" i="4"/>
  <c r="AE9" i="4"/>
  <c r="AD9" i="4"/>
  <c r="AC9" i="4"/>
  <c r="AB9" i="4"/>
  <c r="Z9" i="4"/>
  <c r="AA9" i="4" s="1"/>
  <c r="Y9" i="4"/>
  <c r="X9" i="4"/>
  <c r="W9" i="4"/>
  <c r="V9" i="4"/>
  <c r="U9" i="4"/>
  <c r="R9" i="4"/>
  <c r="S9" i="4" s="1"/>
  <c r="Q9" i="4"/>
  <c r="T9" i="4" s="1"/>
  <c r="P9" i="4"/>
  <c r="O9" i="4"/>
  <c r="N9" i="4"/>
  <c r="M9" i="4"/>
  <c r="L9" i="4"/>
  <c r="J9" i="4"/>
  <c r="K9" i="4" s="1"/>
  <c r="I9" i="4"/>
  <c r="H9" i="4"/>
  <c r="G9" i="4"/>
  <c r="F9" i="4"/>
  <c r="E9" i="4"/>
  <c r="D9" i="4"/>
  <c r="C9" i="4"/>
  <c r="B9" i="4"/>
  <c r="A9" i="4"/>
  <c r="AF8" i="4"/>
  <c r="AE8" i="4"/>
  <c r="AD8" i="4"/>
  <c r="AC8" i="4"/>
  <c r="Y8" i="4"/>
  <c r="W8" i="4"/>
  <c r="V8" i="4"/>
  <c r="U8" i="4"/>
  <c r="Q8" i="4"/>
  <c r="T8" i="4" s="1"/>
  <c r="O8" i="4"/>
  <c r="N8" i="4"/>
  <c r="M8" i="4"/>
  <c r="L8" i="4"/>
  <c r="I8" i="4"/>
  <c r="H8" i="4"/>
  <c r="G8" i="4"/>
  <c r="F8" i="4"/>
  <c r="E8" i="4"/>
  <c r="C8" i="4"/>
  <c r="B8" i="4"/>
  <c r="A8" i="4"/>
  <c r="AF7" i="4"/>
  <c r="AE7" i="4"/>
  <c r="AD7" i="4"/>
  <c r="AC7" i="4"/>
  <c r="Z7" i="4"/>
  <c r="AA7" i="4" s="1"/>
  <c r="Y7" i="4"/>
  <c r="W7" i="4"/>
  <c r="V7" i="4"/>
  <c r="U7" i="4"/>
  <c r="R7" i="4"/>
  <c r="S7" i="4" s="1"/>
  <c r="Q7" i="4"/>
  <c r="O7" i="4"/>
  <c r="N7" i="4"/>
  <c r="M7" i="4"/>
  <c r="J7" i="4"/>
  <c r="K7" i="4" s="1"/>
  <c r="I7" i="4"/>
  <c r="H7" i="4"/>
  <c r="G7" i="4"/>
  <c r="F7" i="4"/>
  <c r="E7" i="4"/>
  <c r="D7" i="4"/>
  <c r="C7" i="4"/>
  <c r="X7" i="4" s="1"/>
  <c r="B7" i="4"/>
  <c r="A7" i="4"/>
  <c r="AB7" i="4" s="1"/>
  <c r="AF6" i="4"/>
  <c r="AE6" i="4"/>
  <c r="AD6" i="4"/>
  <c r="AC6" i="4"/>
  <c r="AB6" i="4"/>
  <c r="Z6" i="4"/>
  <c r="AA6" i="4" s="1"/>
  <c r="Y6" i="4"/>
  <c r="X6" i="4"/>
  <c r="W6" i="4"/>
  <c r="V6" i="4"/>
  <c r="U6" i="4"/>
  <c r="R6" i="4"/>
  <c r="S6" i="4" s="1"/>
  <c r="Q6" i="4"/>
  <c r="T6" i="4" s="1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AF5" i="4"/>
  <c r="AE5" i="4"/>
  <c r="AD5" i="4"/>
  <c r="AC5" i="4"/>
  <c r="Z5" i="4"/>
  <c r="AA5" i="4" s="1"/>
  <c r="Y5" i="4"/>
  <c r="X5" i="4"/>
  <c r="W5" i="4"/>
  <c r="V5" i="4"/>
  <c r="U5" i="4"/>
  <c r="R5" i="4"/>
  <c r="S5" i="4" s="1"/>
  <c r="Q5" i="4"/>
  <c r="O5" i="4"/>
  <c r="N5" i="4"/>
  <c r="M5" i="4"/>
  <c r="L5" i="4"/>
  <c r="J5" i="4"/>
  <c r="K5" i="4" s="1"/>
  <c r="I5" i="4"/>
  <c r="H5" i="4"/>
  <c r="G5" i="4"/>
  <c r="F5" i="4"/>
  <c r="E5" i="4"/>
  <c r="C5" i="4"/>
  <c r="P5" i="4" s="1"/>
  <c r="B5" i="4"/>
  <c r="A5" i="4"/>
  <c r="B4" i="4"/>
  <c r="AD4" i="4"/>
  <c r="AC4" i="4"/>
  <c r="Y4" i="4"/>
  <c r="W4" i="4"/>
  <c r="V4" i="4"/>
  <c r="U4" i="4"/>
  <c r="Q4" i="4"/>
  <c r="T214" i="4" s="1"/>
  <c r="O4" i="4"/>
  <c r="N4" i="4"/>
  <c r="M4" i="4"/>
  <c r="I4" i="4"/>
  <c r="L157" i="4" s="1"/>
  <c r="H4" i="4"/>
  <c r="G4" i="4"/>
  <c r="F4" i="4"/>
  <c r="E4" i="4"/>
  <c r="C4" i="4"/>
  <c r="Z4" i="4" s="1"/>
  <c r="AE4" i="4"/>
  <c r="AF4" i="4"/>
  <c r="A4" i="4"/>
  <c r="D4" i="4" s="1"/>
  <c r="P8" i="4" l="1"/>
  <c r="J8" i="4"/>
  <c r="K8" i="4" s="1"/>
  <c r="Z8" i="4"/>
  <c r="AA8" i="4" s="1"/>
  <c r="L163" i="4"/>
  <c r="T163" i="4"/>
  <c r="AB163" i="4"/>
  <c r="D163" i="4"/>
  <c r="X223" i="4"/>
  <c r="P223" i="4"/>
  <c r="J223" i="4"/>
  <c r="K223" i="4" s="1"/>
  <c r="Z223" i="4"/>
  <c r="AA223" i="4" s="1"/>
  <c r="R223" i="4"/>
  <c r="S223" i="4" s="1"/>
  <c r="X22" i="4"/>
  <c r="R22" i="4"/>
  <c r="S22" i="4" s="1"/>
  <c r="Z22" i="4"/>
  <c r="AA22" i="4" s="1"/>
  <c r="D207" i="4"/>
  <c r="L207" i="4"/>
  <c r="T207" i="4"/>
  <c r="AB207" i="4"/>
  <c r="P56" i="4"/>
  <c r="X56" i="4"/>
  <c r="J56" i="4"/>
  <c r="K56" i="4" s="1"/>
  <c r="R56" i="4"/>
  <c r="S56" i="4" s="1"/>
  <c r="T58" i="4"/>
  <c r="D82" i="4"/>
  <c r="T82" i="4"/>
  <c r="AB82" i="4"/>
  <c r="L82" i="4"/>
  <c r="J90" i="4"/>
  <c r="K90" i="4" s="1"/>
  <c r="P90" i="4"/>
  <c r="X90" i="4"/>
  <c r="Z107" i="4"/>
  <c r="AA107" i="4" s="1"/>
  <c r="P107" i="4"/>
  <c r="X107" i="4"/>
  <c r="R107" i="4"/>
  <c r="S107" i="4" s="1"/>
  <c r="D116" i="4"/>
  <c r="L116" i="4"/>
  <c r="AB116" i="4"/>
  <c r="T116" i="4"/>
  <c r="AB177" i="4"/>
  <c r="L177" i="4"/>
  <c r="T177" i="4"/>
  <c r="D177" i="4"/>
  <c r="D206" i="4"/>
  <c r="AB206" i="4"/>
  <c r="L206" i="4"/>
  <c r="T206" i="4"/>
  <c r="L293" i="4"/>
  <c r="AB293" i="4"/>
  <c r="D293" i="4"/>
  <c r="T293" i="4"/>
  <c r="AB191" i="4"/>
  <c r="L191" i="4"/>
  <c r="T191" i="4"/>
  <c r="D191" i="4"/>
  <c r="P22" i="4"/>
  <c r="J52" i="4"/>
  <c r="K52" i="4" s="1"/>
  <c r="L133" i="4"/>
  <c r="D133" i="4"/>
  <c r="T133" i="4"/>
  <c r="P14" i="4"/>
  <c r="J14" i="4"/>
  <c r="K14" i="4" s="1"/>
  <c r="Z14" i="4"/>
  <c r="AA14" i="4" s="1"/>
  <c r="R68" i="4"/>
  <c r="S68" i="4" s="1"/>
  <c r="P68" i="4"/>
  <c r="Z68" i="4"/>
  <c r="AA68" i="4" s="1"/>
  <c r="J68" i="4"/>
  <c r="K68" i="4" s="1"/>
  <c r="AA31" i="4"/>
  <c r="L86" i="4"/>
  <c r="T86" i="4"/>
  <c r="D86" i="4"/>
  <c r="AB86" i="4"/>
  <c r="L92" i="4"/>
  <c r="T92" i="4"/>
  <c r="AB92" i="4"/>
  <c r="D92" i="4"/>
  <c r="AA37" i="4"/>
  <c r="X40" i="4"/>
  <c r="R40" i="4"/>
  <c r="S40" i="4" s="1"/>
  <c r="Z40" i="4"/>
  <c r="AA40" i="4" s="1"/>
  <c r="P40" i="4"/>
  <c r="T81" i="4"/>
  <c r="R89" i="4"/>
  <c r="S89" i="4" s="1"/>
  <c r="X89" i="4"/>
  <c r="Z89" i="4"/>
  <c r="AA89" i="4" s="1"/>
  <c r="J89" i="4"/>
  <c r="K89" i="4" s="1"/>
  <c r="P89" i="4"/>
  <c r="Z96" i="4"/>
  <c r="AA96" i="4" s="1"/>
  <c r="J96" i="4"/>
  <c r="K96" i="4" s="1"/>
  <c r="X96" i="4"/>
  <c r="R96" i="4"/>
  <c r="S96" i="4" s="1"/>
  <c r="AB103" i="4"/>
  <c r="D111" i="4"/>
  <c r="AB111" i="4"/>
  <c r="T111" i="4"/>
  <c r="L111" i="4"/>
  <c r="Z120" i="4"/>
  <c r="AA120" i="4" s="1"/>
  <c r="R120" i="4"/>
  <c r="S120" i="4" s="1"/>
  <c r="J120" i="4"/>
  <c r="K120" i="4" s="1"/>
  <c r="T124" i="4"/>
  <c r="D124" i="4"/>
  <c r="L124" i="4"/>
  <c r="T156" i="4"/>
  <c r="AB157" i="4"/>
  <c r="AA218" i="4"/>
  <c r="J319" i="4"/>
  <c r="K319" i="4" s="1"/>
  <c r="X319" i="4"/>
  <c r="P319" i="4"/>
  <c r="Z319" i="4"/>
  <c r="AA319" i="4" s="1"/>
  <c r="R319" i="4"/>
  <c r="S319" i="4" s="1"/>
  <c r="T321" i="4"/>
  <c r="T322" i="4"/>
  <c r="T61" i="4"/>
  <c r="D61" i="4"/>
  <c r="L61" i="4"/>
  <c r="P50" i="4"/>
  <c r="J50" i="4"/>
  <c r="K50" i="4" s="1"/>
  <c r="Z50" i="4"/>
  <c r="AA50" i="4" s="1"/>
  <c r="T85" i="4"/>
  <c r="D85" i="4"/>
  <c r="X28" i="4"/>
  <c r="R28" i="4"/>
  <c r="S28" i="4" s="1"/>
  <c r="Z28" i="4"/>
  <c r="AA28" i="4" s="1"/>
  <c r="X34" i="4"/>
  <c r="R34" i="4"/>
  <c r="S34" i="4" s="1"/>
  <c r="Z34" i="4"/>
  <c r="AA34" i="4" s="1"/>
  <c r="X68" i="4"/>
  <c r="R74" i="4"/>
  <c r="S74" i="4" s="1"/>
  <c r="P74" i="4"/>
  <c r="Z74" i="4"/>
  <c r="AA74" i="4" s="1"/>
  <c r="J74" i="4"/>
  <c r="K74" i="4" s="1"/>
  <c r="J84" i="4"/>
  <c r="K84" i="4" s="1"/>
  <c r="P84" i="4"/>
  <c r="R84" i="4"/>
  <c r="S84" i="4" s="1"/>
  <c r="Z84" i="4"/>
  <c r="AA84" i="4" s="1"/>
  <c r="L127" i="4"/>
  <c r="T127" i="4"/>
  <c r="D127" i="4"/>
  <c r="T271" i="4"/>
  <c r="AB271" i="4"/>
  <c r="L271" i="4"/>
  <c r="D271" i="4"/>
  <c r="AA15" i="4"/>
  <c r="AA21" i="4"/>
  <c r="AA43" i="4"/>
  <c r="X46" i="4"/>
  <c r="R46" i="4"/>
  <c r="S46" i="4" s="1"/>
  <c r="Z46" i="4"/>
  <c r="AA46" i="4" s="1"/>
  <c r="P46" i="4"/>
  <c r="X50" i="4"/>
  <c r="X74" i="4"/>
  <c r="R80" i="4"/>
  <c r="S80" i="4" s="1"/>
  <c r="P80" i="4"/>
  <c r="Z80" i="4"/>
  <c r="AA80" i="4" s="1"/>
  <c r="J80" i="4"/>
  <c r="K80" i="4" s="1"/>
  <c r="X110" i="4"/>
  <c r="J110" i="4"/>
  <c r="K110" i="4" s="1"/>
  <c r="P110" i="4"/>
  <c r="Z110" i="4"/>
  <c r="AA110" i="4" s="1"/>
  <c r="T110" i="4"/>
  <c r="S111" i="4"/>
  <c r="T119" i="4"/>
  <c r="T123" i="4"/>
  <c r="T134" i="4"/>
  <c r="T179" i="4"/>
  <c r="T180" i="4"/>
  <c r="AB193" i="4"/>
  <c r="L193" i="4"/>
  <c r="T193" i="4"/>
  <c r="D193" i="4"/>
  <c r="T199" i="4"/>
  <c r="T210" i="4"/>
  <c r="T223" i="4"/>
  <c r="K228" i="4"/>
  <c r="T270" i="4"/>
  <c r="L60" i="4"/>
  <c r="D60" i="4"/>
  <c r="D67" i="4"/>
  <c r="L67" i="4"/>
  <c r="AB194" i="4"/>
  <c r="D194" i="4"/>
  <c r="T194" i="4"/>
  <c r="L194" i="4"/>
  <c r="T201" i="4"/>
  <c r="D201" i="4"/>
  <c r="AB201" i="4"/>
  <c r="L201" i="4"/>
  <c r="X222" i="4"/>
  <c r="Z222" i="4"/>
  <c r="AA222" i="4" s="1"/>
  <c r="J222" i="4"/>
  <c r="K222" i="4" s="1"/>
  <c r="P222" i="4"/>
  <c r="P20" i="4"/>
  <c r="J20" i="4"/>
  <c r="K20" i="4" s="1"/>
  <c r="Z20" i="4"/>
  <c r="AA20" i="4" s="1"/>
  <c r="R20" i="4"/>
  <c r="S20" i="4" s="1"/>
  <c r="J22" i="4"/>
  <c r="K22" i="4" s="1"/>
  <c r="T60" i="4"/>
  <c r="D64" i="4"/>
  <c r="T64" i="4"/>
  <c r="AB64" i="4"/>
  <c r="L64" i="4"/>
  <c r="D66" i="4"/>
  <c r="L66" i="4"/>
  <c r="T66" i="4"/>
  <c r="J198" i="4"/>
  <c r="K198" i="4" s="1"/>
  <c r="P198" i="4"/>
  <c r="X198" i="4"/>
  <c r="Z198" i="4"/>
  <c r="AA198" i="4" s="1"/>
  <c r="R198" i="4"/>
  <c r="S198" i="4" s="1"/>
  <c r="T215" i="4"/>
  <c r="D215" i="4"/>
  <c r="AB215" i="4"/>
  <c r="L215" i="4"/>
  <c r="AA23" i="4"/>
  <c r="P26" i="4"/>
  <c r="J26" i="4"/>
  <c r="K26" i="4" s="1"/>
  <c r="Z26" i="4"/>
  <c r="AA26" i="4" s="1"/>
  <c r="R26" i="4"/>
  <c r="S26" i="4" s="1"/>
  <c r="J28" i="4"/>
  <c r="K28" i="4" s="1"/>
  <c r="AA45" i="4"/>
  <c r="D73" i="4"/>
  <c r="L73" i="4"/>
  <c r="D104" i="4"/>
  <c r="AB104" i="4"/>
  <c r="T104" i="4"/>
  <c r="L104" i="4"/>
  <c r="J107" i="4"/>
  <c r="K107" i="4" s="1"/>
  <c r="Z144" i="4"/>
  <c r="AA144" i="4" s="1"/>
  <c r="R144" i="4"/>
  <c r="S144" i="4" s="1"/>
  <c r="P144" i="4"/>
  <c r="T157" i="4"/>
  <c r="P164" i="4"/>
  <c r="J164" i="4"/>
  <c r="K164" i="4" s="1"/>
  <c r="X164" i="4"/>
  <c r="Z164" i="4"/>
  <c r="AA164" i="4" s="1"/>
  <c r="R164" i="4"/>
  <c r="S164" i="4" s="1"/>
  <c r="AB166" i="4"/>
  <c r="T166" i="4"/>
  <c r="L166" i="4"/>
  <c r="D166" i="4"/>
  <c r="T184" i="4"/>
  <c r="L185" i="4"/>
  <c r="T185" i="4"/>
  <c r="D185" i="4"/>
  <c r="AB185" i="4"/>
  <c r="R8" i="4"/>
  <c r="S8" i="4" s="1"/>
  <c r="X52" i="4"/>
  <c r="R52" i="4"/>
  <c r="S52" i="4" s="1"/>
  <c r="Z52" i="4"/>
  <c r="AA52" i="4" s="1"/>
  <c r="L103" i="4"/>
  <c r="D103" i="4"/>
  <c r="AB129" i="4"/>
  <c r="L129" i="4"/>
  <c r="T129" i="4"/>
  <c r="D129" i="4"/>
  <c r="X134" i="4"/>
  <c r="J134" i="4"/>
  <c r="K134" i="4" s="1"/>
  <c r="P134" i="4"/>
  <c r="R134" i="4"/>
  <c r="S134" i="4" s="1"/>
  <c r="X8" i="4"/>
  <c r="AA29" i="4"/>
  <c r="P32" i="4"/>
  <c r="J32" i="4"/>
  <c r="K32" i="4" s="1"/>
  <c r="Z32" i="4"/>
  <c r="AA32" i="4" s="1"/>
  <c r="R32" i="4"/>
  <c r="S32" i="4" s="1"/>
  <c r="AA51" i="4"/>
  <c r="D70" i="4"/>
  <c r="T70" i="4"/>
  <c r="AB70" i="4"/>
  <c r="L70" i="4"/>
  <c r="D72" i="4"/>
  <c r="L72" i="4"/>
  <c r="T72" i="4"/>
  <c r="L85" i="4"/>
  <c r="AB85" i="4"/>
  <c r="AB106" i="4"/>
  <c r="T106" i="4"/>
  <c r="D106" i="4"/>
  <c r="L106" i="4"/>
  <c r="Z134" i="4"/>
  <c r="AA134" i="4" s="1"/>
  <c r="R188" i="4"/>
  <c r="S188" i="4" s="1"/>
  <c r="P188" i="4"/>
  <c r="X188" i="4"/>
  <c r="J188" i="4"/>
  <c r="K188" i="4" s="1"/>
  <c r="Z188" i="4"/>
  <c r="AA188" i="4" s="1"/>
  <c r="R200" i="4"/>
  <c r="S200" i="4" s="1"/>
  <c r="Z200" i="4"/>
  <c r="AA200" i="4" s="1"/>
  <c r="J200" i="4"/>
  <c r="K200" i="4" s="1"/>
  <c r="X10" i="4"/>
  <c r="R10" i="4"/>
  <c r="S10" i="4" s="1"/>
  <c r="Z10" i="4"/>
  <c r="AA10" i="4" s="1"/>
  <c r="P10" i="4"/>
  <c r="X14" i="4"/>
  <c r="AA35" i="4"/>
  <c r="P38" i="4"/>
  <c r="J38" i="4"/>
  <c r="K38" i="4" s="1"/>
  <c r="Z38" i="4"/>
  <c r="AA38" i="4" s="1"/>
  <c r="R38" i="4"/>
  <c r="S38" i="4" s="1"/>
  <c r="R62" i="4"/>
  <c r="S62" i="4" s="1"/>
  <c r="P62" i="4"/>
  <c r="Z62" i="4"/>
  <c r="AA62" i="4" s="1"/>
  <c r="J62" i="4"/>
  <c r="K62" i="4" s="1"/>
  <c r="D79" i="4"/>
  <c r="L79" i="4"/>
  <c r="AB133" i="4"/>
  <c r="D140" i="4"/>
  <c r="T140" i="4"/>
  <c r="AB140" i="4"/>
  <c r="L140" i="4"/>
  <c r="D306" i="4"/>
  <c r="AB306" i="4"/>
  <c r="L306" i="4"/>
  <c r="T306" i="4"/>
  <c r="R1" i="4"/>
  <c r="T373" i="4"/>
  <c r="T385" i="4"/>
  <c r="T390" i="4"/>
  <c r="T382" i="4"/>
  <c r="T370" i="4"/>
  <c r="T394" i="4"/>
  <c r="T397" i="4"/>
  <c r="T314" i="4"/>
  <c r="T294" i="4"/>
  <c r="T378" i="4"/>
  <c r="T318" i="4"/>
  <c r="T361" i="4"/>
  <c r="T313" i="4"/>
  <c r="T320" i="4"/>
  <c r="T287" i="4"/>
  <c r="T364" i="4"/>
  <c r="T310" i="4"/>
  <c r="T331" i="4"/>
  <c r="T319" i="4"/>
  <c r="T311" i="4"/>
  <c r="T301" i="4"/>
  <c r="T272" i="4"/>
  <c r="T284" i="4"/>
  <c r="T159" i="4"/>
  <c r="T297" i="4"/>
  <c r="T253" i="4"/>
  <c r="T195" i="4"/>
  <c r="T174" i="4"/>
  <c r="T128" i="4"/>
  <c r="T198" i="4"/>
  <c r="T152" i="4"/>
  <c r="T117" i="4"/>
  <c r="T90" i="4"/>
  <c r="T327" i="4"/>
  <c r="T87" i="4"/>
  <c r="T295" i="4"/>
  <c r="T229" i="4"/>
  <c r="T308" i="4"/>
  <c r="T120" i="4"/>
  <c r="T97" i="4"/>
  <c r="T219" i="4"/>
  <c r="T164" i="4"/>
  <c r="T305" i="4"/>
  <c r="T335" i="4"/>
  <c r="T288" i="4"/>
  <c r="T283" i="4"/>
  <c r="T175" i="4"/>
  <c r="T109" i="4"/>
  <c r="T93" i="4"/>
  <c r="T213" i="4"/>
  <c r="T187" i="4"/>
  <c r="T170" i="4"/>
  <c r="T135" i="4"/>
  <c r="T55" i="4"/>
  <c r="T49" i="4"/>
  <c r="T43" i="4"/>
  <c r="T37" i="4"/>
  <c r="T31" i="4"/>
  <c r="T25" i="4"/>
  <c r="T19" i="4"/>
  <c r="T13" i="4"/>
  <c r="T7" i="4"/>
  <c r="T363" i="4"/>
  <c r="T262" i="4"/>
  <c r="T209" i="4"/>
  <c r="T57" i="4"/>
  <c r="T53" i="4"/>
  <c r="T47" i="4"/>
  <c r="T41" i="4"/>
  <c r="T35" i="4"/>
  <c r="T29" i="4"/>
  <c r="T23" i="4"/>
  <c r="T17" i="4"/>
  <c r="T11" i="4"/>
  <c r="T5" i="4"/>
  <c r="T299" i="4"/>
  <c r="T292" i="4"/>
  <c r="T216" i="4"/>
  <c r="T145" i="4"/>
  <c r="T121" i="4"/>
  <c r="AA13" i="4"/>
  <c r="X16" i="4"/>
  <c r="R16" i="4"/>
  <c r="S16" i="4" s="1"/>
  <c r="Z16" i="4"/>
  <c r="AA16" i="4" s="1"/>
  <c r="P16" i="4"/>
  <c r="X20" i="4"/>
  <c r="T33" i="4"/>
  <c r="AA41" i="4"/>
  <c r="P44" i="4"/>
  <c r="J44" i="4"/>
  <c r="K44" i="4" s="1"/>
  <c r="Z44" i="4"/>
  <c r="AA44" i="4" s="1"/>
  <c r="R44" i="4"/>
  <c r="S44" i="4" s="1"/>
  <c r="J46" i="4"/>
  <c r="K46" i="4" s="1"/>
  <c r="T50" i="4"/>
  <c r="T67" i="4"/>
  <c r="T69" i="4"/>
  <c r="T71" i="4"/>
  <c r="D76" i="4"/>
  <c r="T76" i="4"/>
  <c r="AB76" i="4"/>
  <c r="L76" i="4"/>
  <c r="D78" i="4"/>
  <c r="L78" i="4"/>
  <c r="T78" i="4"/>
  <c r="S93" i="4"/>
  <c r="K100" i="4"/>
  <c r="AB127" i="4"/>
  <c r="T139" i="4"/>
  <c r="T147" i="4"/>
  <c r="AA125" i="4"/>
  <c r="P125" i="4"/>
  <c r="Z143" i="4"/>
  <c r="AA143" i="4" s="1"/>
  <c r="R143" i="4"/>
  <c r="S143" i="4" s="1"/>
  <c r="D146" i="4"/>
  <c r="AB146" i="4"/>
  <c r="T146" i="4"/>
  <c r="T149" i="4"/>
  <c r="T150" i="4"/>
  <c r="L150" i="4"/>
  <c r="D172" i="4"/>
  <c r="T172" i="4"/>
  <c r="L172" i="4"/>
  <c r="R182" i="4"/>
  <c r="S182" i="4" s="1"/>
  <c r="Z182" i="4"/>
  <c r="AA182" i="4" s="1"/>
  <c r="J182" i="4"/>
  <c r="K182" i="4" s="1"/>
  <c r="T183" i="4"/>
  <c r="L189" i="4"/>
  <c r="D189" i="4"/>
  <c r="T189" i="4"/>
  <c r="T200" i="4"/>
  <c r="P217" i="4"/>
  <c r="J217" i="4"/>
  <c r="K217" i="4" s="1"/>
  <c r="Z217" i="4"/>
  <c r="AA217" i="4" s="1"/>
  <c r="X217" i="4"/>
  <c r="P266" i="4"/>
  <c r="R266" i="4"/>
  <c r="S266" i="4" s="1"/>
  <c r="X266" i="4"/>
  <c r="P267" i="4"/>
  <c r="L268" i="4"/>
  <c r="AB268" i="4"/>
  <c r="D268" i="4"/>
  <c r="T268" i="4"/>
  <c r="J302" i="4"/>
  <c r="K302" i="4" s="1"/>
  <c r="Z302" i="4"/>
  <c r="AA302" i="4" s="1"/>
  <c r="R302" i="4"/>
  <c r="S302" i="4" s="1"/>
  <c r="X302" i="4"/>
  <c r="P302" i="4"/>
  <c r="P365" i="4"/>
  <c r="Z365" i="4"/>
  <c r="AA365" i="4" s="1"/>
  <c r="R365" i="4"/>
  <c r="S365" i="4" s="1"/>
  <c r="X365" i="4"/>
  <c r="J365" i="4"/>
  <c r="K365" i="4" s="1"/>
  <c r="T388" i="4"/>
  <c r="T389" i="4"/>
  <c r="D389" i="4"/>
  <c r="L389" i="4"/>
  <c r="AB389" i="4"/>
  <c r="R92" i="4"/>
  <c r="S92" i="4" s="1"/>
  <c r="X92" i="4"/>
  <c r="Z92" i="4"/>
  <c r="AA92" i="4" s="1"/>
  <c r="J92" i="4"/>
  <c r="K92" i="4" s="1"/>
  <c r="T96" i="4"/>
  <c r="J101" i="4"/>
  <c r="K101" i="4" s="1"/>
  <c r="X101" i="4"/>
  <c r="S116" i="4"/>
  <c r="Z119" i="4"/>
  <c r="AA119" i="4" s="1"/>
  <c r="P119" i="4"/>
  <c r="K129" i="4"/>
  <c r="P143" i="4"/>
  <c r="AA155" i="4"/>
  <c r="D171" i="4"/>
  <c r="L171" i="4"/>
  <c r="T171" i="4"/>
  <c r="R179" i="4"/>
  <c r="S179" i="4" s="1"/>
  <c r="Z179" i="4"/>
  <c r="AA179" i="4" s="1"/>
  <c r="P179" i="4"/>
  <c r="J183" i="4"/>
  <c r="K183" i="4" s="1"/>
  <c r="Z183" i="4"/>
  <c r="AA183" i="4" s="1"/>
  <c r="P183" i="4"/>
  <c r="R183" i="4"/>
  <c r="S183" i="4" s="1"/>
  <c r="L184" i="4"/>
  <c r="D184" i="4"/>
  <c r="J203" i="4"/>
  <c r="K203" i="4" s="1"/>
  <c r="Z203" i="4"/>
  <c r="AA203" i="4" s="1"/>
  <c r="AB219" i="4"/>
  <c r="P242" i="4"/>
  <c r="R242" i="4"/>
  <c r="S242" i="4" s="1"/>
  <c r="Z242" i="4"/>
  <c r="AA242" i="4" s="1"/>
  <c r="J242" i="4"/>
  <c r="K242" i="4" s="1"/>
  <c r="X264" i="4"/>
  <c r="R264" i="4"/>
  <c r="S264" i="4" s="1"/>
  <c r="J264" i="4"/>
  <c r="K264" i="4" s="1"/>
  <c r="P264" i="4"/>
  <c r="L286" i="4"/>
  <c r="AB286" i="4"/>
  <c r="D286" i="4"/>
  <c r="T286" i="4"/>
  <c r="S345" i="4"/>
  <c r="X346" i="4"/>
  <c r="Z346" i="4"/>
  <c r="AA346" i="4" s="1"/>
  <c r="R346" i="4"/>
  <c r="S346" i="4" s="1"/>
  <c r="J346" i="4"/>
  <c r="K346" i="4" s="1"/>
  <c r="P346" i="4"/>
  <c r="AB8" i="4"/>
  <c r="D8" i="4"/>
  <c r="AB14" i="4"/>
  <c r="D14" i="4"/>
  <c r="AB20" i="4"/>
  <c r="D20" i="4"/>
  <c r="AB26" i="4"/>
  <c r="D26" i="4"/>
  <c r="AB32" i="4"/>
  <c r="D32" i="4"/>
  <c r="AB38" i="4"/>
  <c r="D38" i="4"/>
  <c r="AB44" i="4"/>
  <c r="D44" i="4"/>
  <c r="AB50" i="4"/>
  <c r="D50" i="4"/>
  <c r="AB56" i="4"/>
  <c r="AB58" i="4"/>
  <c r="J60" i="4"/>
  <c r="K60" i="4" s="1"/>
  <c r="Z60" i="4"/>
  <c r="AA60" i="4" s="1"/>
  <c r="J66" i="4"/>
  <c r="K66" i="4" s="1"/>
  <c r="R66" i="4"/>
  <c r="S66" i="4" s="1"/>
  <c r="J72" i="4"/>
  <c r="K72" i="4" s="1"/>
  <c r="R72" i="4"/>
  <c r="S72" i="4" s="1"/>
  <c r="J78" i="4"/>
  <c r="K78" i="4" s="1"/>
  <c r="R78" i="4"/>
  <c r="S78" i="4" s="1"/>
  <c r="L89" i="4"/>
  <c r="T89" i="4"/>
  <c r="J93" i="4"/>
  <c r="K93" i="4" s="1"/>
  <c r="P93" i="4"/>
  <c r="L108" i="4"/>
  <c r="P116" i="4"/>
  <c r="J116" i="4"/>
  <c r="K116" i="4" s="1"/>
  <c r="Z116" i="4"/>
  <c r="AA116" i="4" s="1"/>
  <c r="X122" i="4"/>
  <c r="J122" i="4"/>
  <c r="K122" i="4" s="1"/>
  <c r="P122" i="4"/>
  <c r="T122" i="4"/>
  <c r="D123" i="4"/>
  <c r="AB123" i="4"/>
  <c r="L123" i="4"/>
  <c r="K124" i="4"/>
  <c r="R125" i="4"/>
  <c r="S125" i="4" s="1"/>
  <c r="P126" i="4"/>
  <c r="P132" i="4"/>
  <c r="T136" i="4"/>
  <c r="D136" i="4"/>
  <c r="Z150" i="4"/>
  <c r="AA150" i="4" s="1"/>
  <c r="J150" i="4"/>
  <c r="K150" i="4" s="1"/>
  <c r="R150" i="4"/>
  <c r="S150" i="4" s="1"/>
  <c r="T151" i="4"/>
  <c r="R155" i="4"/>
  <c r="S155" i="4" s="1"/>
  <c r="K157" i="4"/>
  <c r="L168" i="4"/>
  <c r="AB176" i="4"/>
  <c r="D176" i="4"/>
  <c r="D188" i="4"/>
  <c r="AB188" i="4"/>
  <c r="L188" i="4"/>
  <c r="T188" i="4"/>
  <c r="L192" i="4"/>
  <c r="P197" i="4"/>
  <c r="T202" i="4"/>
  <c r="L210" i="4"/>
  <c r="D210" i="4"/>
  <c r="AB214" i="4"/>
  <c r="D214" i="4"/>
  <c r="AB224" i="4"/>
  <c r="D224" i="4"/>
  <c r="T224" i="4"/>
  <c r="L224" i="4"/>
  <c r="X242" i="4"/>
  <c r="P263" i="4"/>
  <c r="R263" i="4"/>
  <c r="S263" i="4" s="1"/>
  <c r="X263" i="4"/>
  <c r="R267" i="4"/>
  <c r="S267" i="4" s="1"/>
  <c r="K268" i="4"/>
  <c r="R273" i="4"/>
  <c r="S273" i="4" s="1"/>
  <c r="P273" i="4"/>
  <c r="Z273" i="4"/>
  <c r="AA273" i="4" s="1"/>
  <c r="J273" i="4"/>
  <c r="K273" i="4" s="1"/>
  <c r="X273" i="4"/>
  <c r="L276" i="4"/>
  <c r="AB276" i="4"/>
  <c r="L289" i="4"/>
  <c r="T289" i="4"/>
  <c r="D289" i="4"/>
  <c r="AB289" i="4"/>
  <c r="AB290" i="4"/>
  <c r="T291" i="4"/>
  <c r="L303" i="4"/>
  <c r="Z345" i="4"/>
  <c r="AA345" i="4" s="1"/>
  <c r="X345" i="4"/>
  <c r="J345" i="4"/>
  <c r="K345" i="4" s="1"/>
  <c r="P345" i="4"/>
  <c r="AB10" i="4"/>
  <c r="AB16" i="4"/>
  <c r="AB22" i="4"/>
  <c r="AB28" i="4"/>
  <c r="AB34" i="4"/>
  <c r="AB40" i="4"/>
  <c r="AB46" i="4"/>
  <c r="AB52" i="4"/>
  <c r="R60" i="4"/>
  <c r="S60" i="4" s="1"/>
  <c r="J63" i="4"/>
  <c r="K63" i="4" s="1"/>
  <c r="X63" i="4"/>
  <c r="R63" i="4"/>
  <c r="S63" i="4" s="1"/>
  <c r="J69" i="4"/>
  <c r="K69" i="4" s="1"/>
  <c r="X69" i="4"/>
  <c r="R69" i="4"/>
  <c r="S69" i="4" s="1"/>
  <c r="J75" i="4"/>
  <c r="K75" i="4" s="1"/>
  <c r="X75" i="4"/>
  <c r="R75" i="4"/>
  <c r="S75" i="4" s="1"/>
  <c r="J81" i="4"/>
  <c r="K81" i="4" s="1"/>
  <c r="X81" i="4"/>
  <c r="R81" i="4"/>
  <c r="S81" i="4" s="1"/>
  <c r="AB94" i="4"/>
  <c r="T94" i="4"/>
  <c r="L98" i="4"/>
  <c r="AB98" i="4"/>
  <c r="T107" i="4"/>
  <c r="J108" i="4"/>
  <c r="K108" i="4" s="1"/>
  <c r="AA113" i="4"/>
  <c r="P113" i="4"/>
  <c r="T114" i="4"/>
  <c r="R119" i="4"/>
  <c r="S119" i="4" s="1"/>
  <c r="AB130" i="4"/>
  <c r="T130" i="4"/>
  <c r="K145" i="4"/>
  <c r="T148" i="4"/>
  <c r="D148" i="4"/>
  <c r="AB148" i="4"/>
  <c r="D150" i="4"/>
  <c r="P156" i="4"/>
  <c r="J168" i="4"/>
  <c r="K168" i="4" s="1"/>
  <c r="R170" i="4"/>
  <c r="S170" i="4" s="1"/>
  <c r="X170" i="4"/>
  <c r="J170" i="4"/>
  <c r="K170" i="4" s="1"/>
  <c r="P170" i="4"/>
  <c r="J171" i="4"/>
  <c r="K171" i="4" s="1"/>
  <c r="R171" i="4"/>
  <c r="S171" i="4" s="1"/>
  <c r="X171" i="4"/>
  <c r="Z171" i="4"/>
  <c r="AA171" i="4" s="1"/>
  <c r="P171" i="4"/>
  <c r="J180" i="4"/>
  <c r="K180" i="4" s="1"/>
  <c r="R180" i="4"/>
  <c r="S180" i="4" s="1"/>
  <c r="T197" i="4"/>
  <c r="AA199" i="4"/>
  <c r="S210" i="4"/>
  <c r="D211" i="4"/>
  <c r="AB211" i="4"/>
  <c r="T211" i="4"/>
  <c r="L211" i="4"/>
  <c r="J212" i="4"/>
  <c r="K212" i="4" s="1"/>
  <c r="P225" i="4"/>
  <c r="L285" i="4"/>
  <c r="D285" i="4"/>
  <c r="AB285" i="4"/>
  <c r="T285" i="4"/>
  <c r="AB328" i="4"/>
  <c r="T328" i="4"/>
  <c r="D328" i="4"/>
  <c r="L328" i="4"/>
  <c r="L334" i="4"/>
  <c r="AB334" i="4"/>
  <c r="D334" i="4"/>
  <c r="T334" i="4"/>
  <c r="Z339" i="4"/>
  <c r="AA339" i="4" s="1"/>
  <c r="X339" i="4"/>
  <c r="J339" i="4"/>
  <c r="K339" i="4" s="1"/>
  <c r="P339" i="4"/>
  <c r="L226" i="4"/>
  <c r="AB226" i="4"/>
  <c r="D226" i="4"/>
  <c r="T312" i="4"/>
  <c r="L312" i="4"/>
  <c r="D312" i="4"/>
  <c r="AB312" i="4"/>
  <c r="T367" i="4"/>
  <c r="T386" i="4"/>
  <c r="D386" i="4"/>
  <c r="L386" i="4"/>
  <c r="AB386" i="4"/>
  <c r="T91" i="4"/>
  <c r="P104" i="4"/>
  <c r="J104" i="4"/>
  <c r="K104" i="4" s="1"/>
  <c r="R104" i="4"/>
  <c r="S104" i="4" s="1"/>
  <c r="S114" i="4"/>
  <c r="AB141" i="4"/>
  <c r="D141" i="4"/>
  <c r="X143" i="4"/>
  <c r="P152" i="4"/>
  <c r="J152" i="4"/>
  <c r="K152" i="4" s="1"/>
  <c r="X152" i="4"/>
  <c r="R152" i="4"/>
  <c r="S152" i="4" s="1"/>
  <c r="AB153" i="4"/>
  <c r="D153" i="4"/>
  <c r="T173" i="4"/>
  <c r="T186" i="4"/>
  <c r="AB192" i="4"/>
  <c r="P203" i="4"/>
  <c r="AB212" i="4"/>
  <c r="T212" i="4"/>
  <c r="L220" i="4"/>
  <c r="AB220" i="4"/>
  <c r="D220" i="4"/>
  <c r="T220" i="4"/>
  <c r="P227" i="4"/>
  <c r="X227" i="4"/>
  <c r="X246" i="4"/>
  <c r="R246" i="4"/>
  <c r="S246" i="4" s="1"/>
  <c r="J266" i="4"/>
  <c r="K266" i="4" s="1"/>
  <c r="T280" i="4"/>
  <c r="S309" i="4"/>
  <c r="T59" i="4"/>
  <c r="L59" i="4"/>
  <c r="AB59" i="4"/>
  <c r="R86" i="4"/>
  <c r="S86" i="4" s="1"/>
  <c r="X86" i="4"/>
  <c r="Z86" i="4"/>
  <c r="AA86" i="4" s="1"/>
  <c r="J86" i="4"/>
  <c r="K86" i="4" s="1"/>
  <c r="T95" i="4"/>
  <c r="X119" i="4"/>
  <c r="AB121" i="4"/>
  <c r="J125" i="4"/>
  <c r="K125" i="4" s="1"/>
  <c r="S141" i="4"/>
  <c r="J143" i="4"/>
  <c r="K143" i="4" s="1"/>
  <c r="S153" i="4"/>
  <c r="T178" i="4"/>
  <c r="AB178" i="4"/>
  <c r="R185" i="4"/>
  <c r="S185" i="4" s="1"/>
  <c r="Z185" i="4"/>
  <c r="AA185" i="4" s="1"/>
  <c r="J185" i="4"/>
  <c r="K185" i="4" s="1"/>
  <c r="X197" i="4"/>
  <c r="T226" i="4"/>
  <c r="T244" i="4"/>
  <c r="Z267" i="4"/>
  <c r="AA267" i="4" s="1"/>
  <c r="S367" i="4"/>
  <c r="J1" i="4"/>
  <c r="L391" i="4"/>
  <c r="L373" i="4"/>
  <c r="L361" i="4"/>
  <c r="L356" i="4"/>
  <c r="L388" i="4"/>
  <c r="L382" i="4"/>
  <c r="L379" i="4"/>
  <c r="L374" i="4"/>
  <c r="L368" i="4"/>
  <c r="L350" i="4"/>
  <c r="L344" i="4"/>
  <c r="L322" i="4"/>
  <c r="L314" i="4"/>
  <c r="L294" i="4"/>
  <c r="L364" i="4"/>
  <c r="L338" i="4"/>
  <c r="L309" i="4"/>
  <c r="L304" i="4"/>
  <c r="L270" i="4"/>
  <c r="L326" i="4"/>
  <c r="L280" i="4"/>
  <c r="L292" i="4"/>
  <c r="L290" i="4"/>
  <c r="L310" i="4"/>
  <c r="L257" i="4"/>
  <c r="L248" i="4"/>
  <c r="L316" i="4"/>
  <c r="L298" i="4"/>
  <c r="L282" i="4"/>
  <c r="L274" i="4"/>
  <c r="L272" i="4"/>
  <c r="AB5" i="4"/>
  <c r="D5" i="4"/>
  <c r="T10" i="4"/>
  <c r="AB11" i="4"/>
  <c r="D11" i="4"/>
  <c r="L13" i="4"/>
  <c r="T16" i="4"/>
  <c r="AB17" i="4"/>
  <c r="D17" i="4"/>
  <c r="L19" i="4"/>
  <c r="L25" i="4"/>
  <c r="T28" i="4"/>
  <c r="AB29" i="4"/>
  <c r="D29" i="4"/>
  <c r="L31" i="4"/>
  <c r="AB35" i="4"/>
  <c r="D35" i="4"/>
  <c r="L37" i="4"/>
  <c r="T40" i="4"/>
  <c r="AB41" i="4"/>
  <c r="D41" i="4"/>
  <c r="L55" i="4"/>
  <c r="J87" i="4"/>
  <c r="K87" i="4" s="1"/>
  <c r="P87" i="4"/>
  <c r="T98" i="4"/>
  <c r="T102" i="4"/>
  <c r="J119" i="4"/>
  <c r="K119" i="4" s="1"/>
  <c r="L122" i="4"/>
  <c r="X126" i="4"/>
  <c r="K147" i="4"/>
  <c r="K153" i="4"/>
  <c r="AB154" i="4"/>
  <c r="T154" i="4"/>
  <c r="L154" i="4"/>
  <c r="D154" i="4"/>
  <c r="J155" i="4"/>
  <c r="K155" i="4" s="1"/>
  <c r="J179" i="4"/>
  <c r="K179" i="4" s="1"/>
  <c r="J186" i="4"/>
  <c r="K186" i="4" s="1"/>
  <c r="P186" i="4"/>
  <c r="R186" i="4"/>
  <c r="S186" i="4" s="1"/>
  <c r="J197" i="4"/>
  <c r="K197" i="4" s="1"/>
  <c r="L205" i="4"/>
  <c r="P230" i="4"/>
  <c r="Z230" i="4"/>
  <c r="AA230" i="4" s="1"/>
  <c r="X234" i="4"/>
  <c r="Z234" i="4"/>
  <c r="AA234" i="4" s="1"/>
  <c r="R234" i="4"/>
  <c r="S234" i="4" s="1"/>
  <c r="J234" i="4"/>
  <c r="K234" i="4" s="1"/>
  <c r="J263" i="4"/>
  <c r="K263" i="4" s="1"/>
  <c r="T275" i="4"/>
  <c r="Z276" i="4"/>
  <c r="AA276" i="4" s="1"/>
  <c r="R276" i="4"/>
  <c r="S276" i="4" s="1"/>
  <c r="P276" i="4"/>
  <c r="J276" i="4"/>
  <c r="K276" i="4" s="1"/>
  <c r="X276" i="4"/>
  <c r="T276" i="4"/>
  <c r="J278" i="4"/>
  <c r="K278" i="4" s="1"/>
  <c r="Z278" i="4"/>
  <c r="AA278" i="4" s="1"/>
  <c r="R278" i="4"/>
  <c r="S278" i="4" s="1"/>
  <c r="X278" i="4"/>
  <c r="L291" i="4"/>
  <c r="T296" i="4"/>
  <c r="R304" i="4"/>
  <c r="S304" i="4" s="1"/>
  <c r="J304" i="4"/>
  <c r="K304" i="4" s="1"/>
  <c r="Z304" i="4"/>
  <c r="AA304" i="4" s="1"/>
  <c r="P304" i="4"/>
  <c r="P309" i="4"/>
  <c r="X309" i="4"/>
  <c r="J309" i="4"/>
  <c r="K309" i="4" s="1"/>
  <c r="AB315" i="4"/>
  <c r="L342" i="4"/>
  <c r="X366" i="4"/>
  <c r="Z366" i="4"/>
  <c r="AA366" i="4" s="1"/>
  <c r="P366" i="4"/>
  <c r="J366" i="4"/>
  <c r="K366" i="4" s="1"/>
  <c r="X384" i="4"/>
  <c r="Z384" i="4"/>
  <c r="AA384" i="4" s="1"/>
  <c r="P384" i="4"/>
  <c r="J384" i="4"/>
  <c r="K384" i="4" s="1"/>
  <c r="L394" i="4"/>
  <c r="L397" i="4"/>
  <c r="AB13" i="4"/>
  <c r="AB19" i="4"/>
  <c r="AB25" i="4"/>
  <c r="AB31" i="4"/>
  <c r="AB37" i="4"/>
  <c r="AB55" i="4"/>
  <c r="Z63" i="4"/>
  <c r="AA63" i="4" s="1"/>
  <c r="Z66" i="4"/>
  <c r="AA66" i="4" s="1"/>
  <c r="Z69" i="4"/>
  <c r="AA69" i="4" s="1"/>
  <c r="Z72" i="4"/>
  <c r="AA72" i="4" s="1"/>
  <c r="Z75" i="4"/>
  <c r="AA75" i="4" s="1"/>
  <c r="Z78" i="4"/>
  <c r="AA78" i="4" s="1"/>
  <c r="Z81" i="4"/>
  <c r="AA81" i="4" s="1"/>
  <c r="T88" i="4"/>
  <c r="AB88" i="4"/>
  <c r="D91" i="4"/>
  <c r="Z93" i="4"/>
  <c r="AA93" i="4" s="1"/>
  <c r="Z95" i="4"/>
  <c r="AA95" i="4" s="1"/>
  <c r="R95" i="4"/>
  <c r="S95" i="4" s="1"/>
  <c r="P95" i="4"/>
  <c r="X98" i="4"/>
  <c r="J98" i="4"/>
  <c r="K98" i="4" s="1"/>
  <c r="P98" i="4"/>
  <c r="R98" i="4"/>
  <c r="S98" i="4" s="1"/>
  <c r="L100" i="4"/>
  <c r="R101" i="4"/>
  <c r="S101" i="4" s="1"/>
  <c r="K105" i="4"/>
  <c r="R108" i="4"/>
  <c r="S108" i="4" s="1"/>
  <c r="L113" i="4"/>
  <c r="X113" i="4"/>
  <c r="AB122" i="4"/>
  <c r="J126" i="4"/>
  <c r="K126" i="4" s="1"/>
  <c r="D128" i="4"/>
  <c r="L128" i="4"/>
  <c r="J132" i="4"/>
  <c r="K132" i="4" s="1"/>
  <c r="X132" i="4"/>
  <c r="D134" i="4"/>
  <c r="AB134" i="4"/>
  <c r="K139" i="4"/>
  <c r="L147" i="4"/>
  <c r="AB150" i="4"/>
  <c r="X156" i="4"/>
  <c r="K165" i="4"/>
  <c r="R168" i="4"/>
  <c r="S168" i="4" s="1"/>
  <c r="AB169" i="4"/>
  <c r="T169" i="4"/>
  <c r="L170" i="4"/>
  <c r="D175" i="4"/>
  <c r="AB175" i="4"/>
  <c r="AA175" i="4"/>
  <c r="X180" i="4"/>
  <c r="D186" i="4"/>
  <c r="L187" i="4"/>
  <c r="AB187" i="4"/>
  <c r="AB195" i="4"/>
  <c r="D195" i="4"/>
  <c r="AB196" i="4"/>
  <c r="T196" i="4"/>
  <c r="L196" i="4"/>
  <c r="Z197" i="4"/>
  <c r="AA197" i="4" s="1"/>
  <c r="AB209" i="4"/>
  <c r="D212" i="4"/>
  <c r="P212" i="4"/>
  <c r="AA248" i="4"/>
  <c r="L253" i="4"/>
  <c r="AB253" i="4"/>
  <c r="D253" i="4"/>
  <c r="L288" i="4"/>
  <c r="P332" i="4"/>
  <c r="R332" i="4"/>
  <c r="S332" i="4" s="1"/>
  <c r="X332" i="4"/>
  <c r="J332" i="4"/>
  <c r="K332" i="4" s="1"/>
  <c r="Z332" i="4"/>
  <c r="AA332" i="4" s="1"/>
  <c r="L336" i="4"/>
  <c r="P356" i="4"/>
  <c r="Z356" i="4"/>
  <c r="AA356" i="4" s="1"/>
  <c r="J356" i="4"/>
  <c r="K356" i="4" s="1"/>
  <c r="R356" i="4"/>
  <c r="S356" i="4" s="1"/>
  <c r="X356" i="4"/>
  <c r="T279" i="4"/>
  <c r="L281" i="4"/>
  <c r="T281" i="4"/>
  <c r="D281" i="4"/>
  <c r="Z282" i="4"/>
  <c r="AA282" i="4" s="1"/>
  <c r="R282" i="4"/>
  <c r="S282" i="4" s="1"/>
  <c r="P282" i="4"/>
  <c r="J282" i="4"/>
  <c r="K282" i="4" s="1"/>
  <c r="X282" i="4"/>
  <c r="AB91" i="4"/>
  <c r="AA101" i="4"/>
  <c r="AB118" i="4"/>
  <c r="T118" i="4"/>
  <c r="X125" i="4"/>
  <c r="Z167" i="4"/>
  <c r="AA167" i="4" s="1"/>
  <c r="P167" i="4"/>
  <c r="S203" i="4"/>
  <c r="S220" i="4"/>
  <c r="R227" i="4"/>
  <c r="S227" i="4" s="1"/>
  <c r="P246" i="4"/>
  <c r="T278" i="4"/>
  <c r="L278" i="4"/>
  <c r="D278" i="4"/>
  <c r="T304" i="4"/>
  <c r="Z310" i="4"/>
  <c r="AA310" i="4" s="1"/>
  <c r="R310" i="4"/>
  <c r="S310" i="4" s="1"/>
  <c r="J310" i="4"/>
  <c r="K310" i="4" s="1"/>
  <c r="X310" i="4"/>
  <c r="P101" i="4"/>
  <c r="T131" i="4"/>
  <c r="AB145" i="4"/>
  <c r="R167" i="4"/>
  <c r="S167" i="4" s="1"/>
  <c r="AA170" i="4"/>
  <c r="AB171" i="4"/>
  <c r="X179" i="4"/>
  <c r="AB189" i="4"/>
  <c r="S215" i="4"/>
  <c r="P221" i="4"/>
  <c r="R221" i="4"/>
  <c r="S221" i="4" s="1"/>
  <c r="Z221" i="4"/>
  <c r="AA221" i="4" s="1"/>
  <c r="J221" i="4"/>
  <c r="K221" i="4" s="1"/>
  <c r="X226" i="4"/>
  <c r="P226" i="4"/>
  <c r="J226" i="4"/>
  <c r="K226" i="4" s="1"/>
  <c r="Z226" i="4"/>
  <c r="AA226" i="4" s="1"/>
  <c r="X231" i="4"/>
  <c r="Z231" i="4"/>
  <c r="AA231" i="4" s="1"/>
  <c r="R231" i="4"/>
  <c r="S231" i="4" s="1"/>
  <c r="P231" i="4"/>
  <c r="AA239" i="4"/>
  <c r="J267" i="4"/>
  <c r="K267" i="4" s="1"/>
  <c r="L277" i="4"/>
  <c r="T277" i="4"/>
  <c r="D277" i="4"/>
  <c r="AB332" i="4"/>
  <c r="D332" i="4"/>
  <c r="T332" i="4"/>
  <c r="L7" i="4"/>
  <c r="T22" i="4"/>
  <c r="AB23" i="4"/>
  <c r="D23" i="4"/>
  <c r="T34" i="4"/>
  <c r="L43" i="4"/>
  <c r="T46" i="4"/>
  <c r="AB47" i="4"/>
  <c r="D47" i="4"/>
  <c r="L49" i="4"/>
  <c r="T52" i="4"/>
  <c r="AB53" i="4"/>
  <c r="D53" i="4"/>
  <c r="AB57" i="4"/>
  <c r="X60" i="4"/>
  <c r="L83" i="4"/>
  <c r="T83" i="4"/>
  <c r="D99" i="4"/>
  <c r="AB99" i="4"/>
  <c r="T99" i="4"/>
  <c r="T101" i="4"/>
  <c r="T108" i="4"/>
  <c r="Z137" i="4"/>
  <c r="AA137" i="4" s="1"/>
  <c r="X137" i="4"/>
  <c r="J137" i="4"/>
  <c r="K137" i="4" s="1"/>
  <c r="T141" i="4"/>
  <c r="AB142" i="4"/>
  <c r="T142" i="4"/>
  <c r="L142" i="4"/>
  <c r="L146" i="4"/>
  <c r="T153" i="4"/>
  <c r="P7" i="4"/>
  <c r="P13" i="4"/>
  <c r="P19" i="4"/>
  <c r="P25" i="4"/>
  <c r="P31" i="4"/>
  <c r="P37" i="4"/>
  <c r="P43" i="4"/>
  <c r="P49" i="4"/>
  <c r="P55" i="4"/>
  <c r="D59" i="4"/>
  <c r="R65" i="4"/>
  <c r="S65" i="4" s="1"/>
  <c r="X65" i="4"/>
  <c r="J65" i="4"/>
  <c r="K65" i="4" s="1"/>
  <c r="P65" i="4"/>
  <c r="R71" i="4"/>
  <c r="S71" i="4" s="1"/>
  <c r="X71" i="4"/>
  <c r="J71" i="4"/>
  <c r="K71" i="4" s="1"/>
  <c r="P71" i="4"/>
  <c r="R77" i="4"/>
  <c r="S77" i="4" s="1"/>
  <c r="X77" i="4"/>
  <c r="J77" i="4"/>
  <c r="K77" i="4" s="1"/>
  <c r="P77" i="4"/>
  <c r="R83" i="4"/>
  <c r="S83" i="4" s="1"/>
  <c r="X83" i="4"/>
  <c r="Z83" i="4"/>
  <c r="AA83" i="4" s="1"/>
  <c r="J83" i="4"/>
  <c r="K83" i="4" s="1"/>
  <c r="AB89" i="4"/>
  <c r="K97" i="4"/>
  <c r="D115" i="4"/>
  <c r="L119" i="4"/>
  <c r="D121" i="4"/>
  <c r="K123" i="4"/>
  <c r="L132" i="4"/>
  <c r="D135" i="4"/>
  <c r="AB135" i="4"/>
  <c r="K136" i="4"/>
  <c r="R137" i="4"/>
  <c r="S137" i="4" s="1"/>
  <c r="T143" i="4"/>
  <c r="D158" i="4"/>
  <c r="T158" i="4"/>
  <c r="T161" i="4"/>
  <c r="T162" i="4"/>
  <c r="L162" i="4"/>
  <c r="D162" i="4"/>
  <c r="AB172" i="4"/>
  <c r="D178" i="4"/>
  <c r="L180" i="4"/>
  <c r="T182" i="4"/>
  <c r="L182" i="4"/>
  <c r="T192" i="4"/>
  <c r="AA202" i="4"/>
  <c r="J204" i="4"/>
  <c r="K204" i="4" s="1"/>
  <c r="Z204" i="4"/>
  <c r="AA204" i="4" s="1"/>
  <c r="X204" i="4"/>
  <c r="P204" i="4"/>
  <c r="R204" i="4"/>
  <c r="S204" i="4" s="1"/>
  <c r="AB210" i="4"/>
  <c r="AB217" i="4"/>
  <c r="D217" i="4"/>
  <c r="T217" i="4"/>
  <c r="J225" i="4"/>
  <c r="K225" i="4" s="1"/>
  <c r="X252" i="4"/>
  <c r="R252" i="4"/>
  <c r="S252" i="4" s="1"/>
  <c r="P252" i="4"/>
  <c r="R274" i="4"/>
  <c r="S274" i="4" s="1"/>
  <c r="J274" i="4"/>
  <c r="K274" i="4" s="1"/>
  <c r="X274" i="4"/>
  <c r="AB281" i="4"/>
  <c r="T302" i="4"/>
  <c r="L302" i="4"/>
  <c r="D302" i="4"/>
  <c r="AB302" i="4"/>
  <c r="X304" i="4"/>
  <c r="D321" i="4"/>
  <c r="L321" i="4"/>
  <c r="L323" i="4"/>
  <c r="S146" i="4"/>
  <c r="K163" i="4"/>
  <c r="AB165" i="4"/>
  <c r="AA193" i="4"/>
  <c r="R206" i="4"/>
  <c r="S206" i="4" s="1"/>
  <c r="X206" i="4"/>
  <c r="J206" i="4"/>
  <c r="K206" i="4" s="1"/>
  <c r="P206" i="4"/>
  <c r="AB208" i="4"/>
  <c r="P243" i="4"/>
  <c r="L244" i="4"/>
  <c r="AB244" i="4"/>
  <c r="D244" i="4"/>
  <c r="P248" i="4"/>
  <c r="R248" i="4"/>
  <c r="S248" i="4" s="1"/>
  <c r="X248" i="4"/>
  <c r="P249" i="4"/>
  <c r="L250" i="4"/>
  <c r="AB250" i="4"/>
  <c r="D250" i="4"/>
  <c r="T250" i="4"/>
  <c r="AA257" i="4"/>
  <c r="L273" i="4"/>
  <c r="D273" i="4"/>
  <c r="T273" i="4"/>
  <c r="AB273" i="4"/>
  <c r="L305" i="4"/>
  <c r="D305" i="4"/>
  <c r="J315" i="4"/>
  <c r="K315" i="4" s="1"/>
  <c r="R315" i="4"/>
  <c r="S315" i="4" s="1"/>
  <c r="Z315" i="4"/>
  <c r="AA315" i="4" s="1"/>
  <c r="X315" i="4"/>
  <c r="T317" i="4"/>
  <c r="L317" i="4"/>
  <c r="D317" i="4"/>
  <c r="AB317" i="4"/>
  <c r="T352" i="4"/>
  <c r="K141" i="4"/>
  <c r="T160" i="4"/>
  <c r="P162" i="4"/>
  <c r="J195" i="4"/>
  <c r="K195" i="4" s="1"/>
  <c r="P195" i="4"/>
  <c r="R195" i="4"/>
  <c r="S195" i="4" s="1"/>
  <c r="J201" i="4"/>
  <c r="K201" i="4" s="1"/>
  <c r="Z201" i="4"/>
  <c r="AA201" i="4" s="1"/>
  <c r="AB213" i="4"/>
  <c r="AA224" i="4"/>
  <c r="Z1" i="4"/>
  <c r="AB377" i="4"/>
  <c r="AB371" i="4"/>
  <c r="AB333" i="4"/>
  <c r="AB343" i="4"/>
  <c r="AB337" i="4"/>
  <c r="AB357" i="4"/>
  <c r="AB346" i="4"/>
  <c r="AB339" i="4"/>
  <c r="AB345" i="4"/>
  <c r="AB384" i="4"/>
  <c r="AB323" i="4"/>
  <c r="AB318" i="4"/>
  <c r="AB313" i="4"/>
  <c r="AB374" i="4"/>
  <c r="AB319" i="4"/>
  <c r="AB283" i="4"/>
  <c r="AB368" i="4"/>
  <c r="AB295" i="4"/>
  <c r="AB359" i="4"/>
  <c r="AB310" i="4"/>
  <c r="AA85" i="4"/>
  <c r="AA88" i="4"/>
  <c r="AA91" i="4"/>
  <c r="AA94" i="4"/>
  <c r="T100" i="4"/>
  <c r="K103" i="4"/>
  <c r="AB105" i="4"/>
  <c r="T125" i="4"/>
  <c r="T126" i="4"/>
  <c r="AB126" i="4"/>
  <c r="P128" i="4"/>
  <c r="J128" i="4"/>
  <c r="K128" i="4" s="1"/>
  <c r="R128" i="4"/>
  <c r="S128" i="4" s="1"/>
  <c r="L139" i="4"/>
  <c r="AB139" i="4"/>
  <c r="X146" i="4"/>
  <c r="J146" i="4"/>
  <c r="K146" i="4" s="1"/>
  <c r="P146" i="4"/>
  <c r="D147" i="4"/>
  <c r="AB147" i="4"/>
  <c r="AA149" i="4"/>
  <c r="AB160" i="4"/>
  <c r="L174" i="4"/>
  <c r="P176" i="4"/>
  <c r="R201" i="4"/>
  <c r="S201" i="4" s="1"/>
  <c r="K205" i="4"/>
  <c r="J207" i="4"/>
  <c r="K207" i="4" s="1"/>
  <c r="R207" i="4"/>
  <c r="S207" i="4" s="1"/>
  <c r="X207" i="4"/>
  <c r="L216" i="4"/>
  <c r="AB216" i="4"/>
  <c r="X229" i="4"/>
  <c r="P229" i="4"/>
  <c r="J229" i="4"/>
  <c r="K229" i="4" s="1"/>
  <c r="AB230" i="4"/>
  <c r="D230" i="4"/>
  <c r="T230" i="4"/>
  <c r="L230" i="4"/>
  <c r="S232" i="4"/>
  <c r="L235" i="4"/>
  <c r="AB235" i="4"/>
  <c r="D235" i="4"/>
  <c r="T235" i="4"/>
  <c r="S235" i="4"/>
  <c r="P239" i="4"/>
  <c r="R239" i="4"/>
  <c r="S239" i="4" s="1"/>
  <c r="X239" i="4"/>
  <c r="P240" i="4"/>
  <c r="L241" i="4"/>
  <c r="AB241" i="4"/>
  <c r="D241" i="4"/>
  <c r="T241" i="4"/>
  <c r="P251" i="4"/>
  <c r="R251" i="4"/>
  <c r="S251" i="4" s="1"/>
  <c r="Z251" i="4"/>
  <c r="AA251" i="4" s="1"/>
  <c r="J251" i="4"/>
  <c r="K251" i="4" s="1"/>
  <c r="X251" i="4"/>
  <c r="AB303" i="4"/>
  <c r="AB304" i="4"/>
  <c r="L313" i="4"/>
  <c r="P344" i="4"/>
  <c r="Z344" i="4"/>
  <c r="AA344" i="4" s="1"/>
  <c r="X344" i="4"/>
  <c r="J344" i="4"/>
  <c r="K344" i="4" s="1"/>
  <c r="R344" i="4"/>
  <c r="S344" i="4" s="1"/>
  <c r="Z351" i="4"/>
  <c r="AA351" i="4" s="1"/>
  <c r="R351" i="4"/>
  <c r="S351" i="4" s="1"/>
  <c r="X351" i="4"/>
  <c r="P351" i="4"/>
  <c r="L351" i="4"/>
  <c r="AA58" i="4"/>
  <c r="AB84" i="4"/>
  <c r="D84" i="4"/>
  <c r="AB87" i="4"/>
  <c r="D87" i="4"/>
  <c r="AB90" i="4"/>
  <c r="D90" i="4"/>
  <c r="AB93" i="4"/>
  <c r="D93" i="4"/>
  <c r="AB96" i="4"/>
  <c r="T112" i="4"/>
  <c r="K115" i="4"/>
  <c r="AB117" i="4"/>
  <c r="T137" i="4"/>
  <c r="T138" i="4"/>
  <c r="AB138" i="4"/>
  <c r="P140" i="4"/>
  <c r="J140" i="4"/>
  <c r="K140" i="4" s="1"/>
  <c r="R140" i="4"/>
  <c r="S140" i="4" s="1"/>
  <c r="L151" i="4"/>
  <c r="AB151" i="4"/>
  <c r="X158" i="4"/>
  <c r="J158" i="4"/>
  <c r="K158" i="4" s="1"/>
  <c r="P158" i="4"/>
  <c r="D159" i="4"/>
  <c r="AB159" i="4"/>
  <c r="AA161" i="4"/>
  <c r="AB173" i="4"/>
  <c r="K187" i="4"/>
  <c r="J189" i="4"/>
  <c r="K189" i="4" s="1"/>
  <c r="X189" i="4"/>
  <c r="R189" i="4"/>
  <c r="S189" i="4" s="1"/>
  <c r="AA190" i="4"/>
  <c r="Z195" i="4"/>
  <c r="AA195" i="4" s="1"/>
  <c r="L200" i="4"/>
  <c r="T203" i="4"/>
  <c r="P224" i="4"/>
  <c r="R224" i="4"/>
  <c r="S224" i="4" s="1"/>
  <c r="AB227" i="4"/>
  <c r="D227" i="4"/>
  <c r="T227" i="4"/>
  <c r="L227" i="4"/>
  <c r="AB269" i="4"/>
  <c r="R270" i="4"/>
  <c r="S270" i="4" s="1"/>
  <c r="Z270" i="4"/>
  <c r="AA270" i="4" s="1"/>
  <c r="P270" i="4"/>
  <c r="Z294" i="4"/>
  <c r="AA294" i="4" s="1"/>
  <c r="R294" i="4"/>
  <c r="S294" i="4" s="1"/>
  <c r="X294" i="4"/>
  <c r="J294" i="4"/>
  <c r="K294" i="4" s="1"/>
  <c r="T323" i="4"/>
  <c r="D325" i="4"/>
  <c r="L325" i="4"/>
  <c r="AB325" i="4"/>
  <c r="T325" i="4"/>
  <c r="S325" i="4"/>
  <c r="J327" i="4"/>
  <c r="K327" i="4" s="1"/>
  <c r="Z327" i="4"/>
  <c r="AA327" i="4" s="1"/>
  <c r="P327" i="4"/>
  <c r="AB329" i="4"/>
  <c r="AA100" i="4"/>
  <c r="P105" i="4"/>
  <c r="AA112" i="4"/>
  <c r="P117" i="4"/>
  <c r="AA124" i="4"/>
  <c r="P129" i="4"/>
  <c r="AA136" i="4"/>
  <c r="P141" i="4"/>
  <c r="AA148" i="4"/>
  <c r="P153" i="4"/>
  <c r="AA160" i="4"/>
  <c r="P165" i="4"/>
  <c r="K174" i="4"/>
  <c r="AA178" i="4"/>
  <c r="K210" i="4"/>
  <c r="L232" i="4"/>
  <c r="AB232" i="4"/>
  <c r="D232" i="4"/>
  <c r="T232" i="4"/>
  <c r="K241" i="4"/>
  <c r="P245" i="4"/>
  <c r="R245" i="4"/>
  <c r="S245" i="4" s="1"/>
  <c r="T307" i="4"/>
  <c r="D307" i="4"/>
  <c r="L307" i="4"/>
  <c r="AB307" i="4"/>
  <c r="AB341" i="4"/>
  <c r="D341" i="4"/>
  <c r="L341" i="4"/>
  <c r="T341" i="4"/>
  <c r="AA106" i="4"/>
  <c r="AA118" i="4"/>
  <c r="AA130" i="4"/>
  <c r="AA142" i="4"/>
  <c r="AA154" i="4"/>
  <c r="AA166" i="4"/>
  <c r="P177" i="4"/>
  <c r="K192" i="4"/>
  <c r="AA196" i="4"/>
  <c r="P213" i="4"/>
  <c r="P215" i="4"/>
  <c r="T218" i="4"/>
  <c r="D218" i="4"/>
  <c r="AB218" i="4"/>
  <c r="X228" i="4"/>
  <c r="R228" i="4"/>
  <c r="S228" i="4" s="1"/>
  <c r="P228" i="4"/>
  <c r="X235" i="4"/>
  <c r="P235" i="4"/>
  <c r="J235" i="4"/>
  <c r="K235" i="4" s="1"/>
  <c r="Z235" i="4"/>
  <c r="AA235" i="4" s="1"/>
  <c r="P236" i="4"/>
  <c r="R236" i="4"/>
  <c r="S236" i="4" s="1"/>
  <c r="X236" i="4"/>
  <c r="J245" i="4"/>
  <c r="K245" i="4" s="1"/>
  <c r="Z245" i="4"/>
  <c r="AA245" i="4" s="1"/>
  <c r="K250" i="4"/>
  <c r="P254" i="4"/>
  <c r="R254" i="4"/>
  <c r="S254" i="4" s="1"/>
  <c r="P261" i="4"/>
  <c r="R286" i="4"/>
  <c r="S286" i="4" s="1"/>
  <c r="J286" i="4"/>
  <c r="K286" i="4" s="1"/>
  <c r="Z286" i="4"/>
  <c r="AA286" i="4" s="1"/>
  <c r="D288" i="4"/>
  <c r="AB288" i="4"/>
  <c r="K303" i="4"/>
  <c r="P335" i="4"/>
  <c r="Z335" i="4"/>
  <c r="AA335" i="4" s="1"/>
  <c r="J335" i="4"/>
  <c r="K335" i="4" s="1"/>
  <c r="R335" i="4"/>
  <c r="S335" i="4" s="1"/>
  <c r="X335" i="4"/>
  <c r="AB348" i="4"/>
  <c r="X355" i="4"/>
  <c r="Z355" i="4"/>
  <c r="AA355" i="4" s="1"/>
  <c r="J355" i="4"/>
  <c r="K355" i="4" s="1"/>
  <c r="P355" i="4"/>
  <c r="R355" i="4"/>
  <c r="S355" i="4" s="1"/>
  <c r="X174" i="4"/>
  <c r="K177" i="4"/>
  <c r="AA181" i="4"/>
  <c r="J191" i="4"/>
  <c r="K191" i="4" s="1"/>
  <c r="X191" i="4"/>
  <c r="X210" i="4"/>
  <c r="K213" i="4"/>
  <c r="L223" i="4"/>
  <c r="AB223" i="4"/>
  <c r="D223" i="4"/>
  <c r="X237" i="4"/>
  <c r="R237" i="4"/>
  <c r="S237" i="4" s="1"/>
  <c r="P237" i="4"/>
  <c r="X255" i="4"/>
  <c r="R255" i="4"/>
  <c r="S255" i="4" s="1"/>
  <c r="J255" i="4"/>
  <c r="K255" i="4" s="1"/>
  <c r="P257" i="4"/>
  <c r="R257" i="4"/>
  <c r="S257" i="4" s="1"/>
  <c r="X257" i="4"/>
  <c r="P258" i="4"/>
  <c r="L259" i="4"/>
  <c r="AB259" i="4"/>
  <c r="D259" i="4"/>
  <c r="T259" i="4"/>
  <c r="L262" i="4"/>
  <c r="AB262" i="4"/>
  <c r="D262" i="4"/>
  <c r="D300" i="4"/>
  <c r="T300" i="4"/>
  <c r="AB300" i="4"/>
  <c r="L300" i="4"/>
  <c r="L348" i="4"/>
  <c r="P260" i="4"/>
  <c r="R260" i="4"/>
  <c r="S260" i="4" s="1"/>
  <c r="Z269" i="4"/>
  <c r="AA269" i="4" s="1"/>
  <c r="P269" i="4"/>
  <c r="R269" i="4"/>
  <c r="S269" i="4" s="1"/>
  <c r="AB296" i="4"/>
  <c r="AB308" i="4"/>
  <c r="L308" i="4"/>
  <c r="D308" i="4"/>
  <c r="P338" i="4"/>
  <c r="Z338" i="4"/>
  <c r="AA338" i="4" s="1"/>
  <c r="J338" i="4"/>
  <c r="K338" i="4" s="1"/>
  <c r="X338" i="4"/>
  <c r="X220" i="4"/>
  <c r="P220" i="4"/>
  <c r="J220" i="4"/>
  <c r="K220" i="4" s="1"/>
  <c r="AB221" i="4"/>
  <c r="D221" i="4"/>
  <c r="T221" i="4"/>
  <c r="X232" i="4"/>
  <c r="P232" i="4"/>
  <c r="J232" i="4"/>
  <c r="K232" i="4" s="1"/>
  <c r="L238" i="4"/>
  <c r="AB238" i="4"/>
  <c r="D238" i="4"/>
  <c r="L247" i="4"/>
  <c r="AB247" i="4"/>
  <c r="D247" i="4"/>
  <c r="L256" i="4"/>
  <c r="AB256" i="4"/>
  <c r="D256" i="4"/>
  <c r="J260" i="4"/>
  <c r="K260" i="4" s="1"/>
  <c r="Z260" i="4"/>
  <c r="AA260" i="4" s="1"/>
  <c r="L265" i="4"/>
  <c r="AB265" i="4"/>
  <c r="D265" i="4"/>
  <c r="J269" i="4"/>
  <c r="K269" i="4" s="1"/>
  <c r="R298" i="4"/>
  <c r="S298" i="4" s="1"/>
  <c r="J298" i="4"/>
  <c r="K298" i="4" s="1"/>
  <c r="P298" i="4"/>
  <c r="D311" i="4"/>
  <c r="AB311" i="4"/>
  <c r="L324" i="4"/>
  <c r="Z324" i="4"/>
  <c r="AA324" i="4" s="1"/>
  <c r="L349" i="4"/>
  <c r="T349" i="4"/>
  <c r="AB349" i="4"/>
  <c r="D349" i="4"/>
  <c r="P350" i="4"/>
  <c r="Z350" i="4"/>
  <c r="AA350" i="4" s="1"/>
  <c r="X350" i="4"/>
  <c r="R350" i="4"/>
  <c r="S350" i="4" s="1"/>
  <c r="X381" i="4"/>
  <c r="P381" i="4"/>
  <c r="Z381" i="4"/>
  <c r="AA381" i="4" s="1"/>
  <c r="J381" i="4"/>
  <c r="K381" i="4" s="1"/>
  <c r="P216" i="4"/>
  <c r="L229" i="4"/>
  <c r="AB229" i="4"/>
  <c r="D229" i="4"/>
  <c r="T238" i="4"/>
  <c r="T247" i="4"/>
  <c r="T256" i="4"/>
  <c r="T265" i="4"/>
  <c r="AB274" i="4"/>
  <c r="AA277" i="4"/>
  <c r="J290" i="4"/>
  <c r="K290" i="4" s="1"/>
  <c r="Z290" i="4"/>
  <c r="AA290" i="4" s="1"/>
  <c r="R290" i="4"/>
  <c r="S290" i="4" s="1"/>
  <c r="P290" i="4"/>
  <c r="J324" i="4"/>
  <c r="K324" i="4" s="1"/>
  <c r="AA326" i="4"/>
  <c r="T340" i="4"/>
  <c r="AB347" i="4"/>
  <c r="D347" i="4"/>
  <c r="T347" i="4"/>
  <c r="L347" i="4"/>
  <c r="X378" i="4"/>
  <c r="Z378" i="4"/>
  <c r="AA378" i="4" s="1"/>
  <c r="R378" i="4"/>
  <c r="S378" i="4" s="1"/>
  <c r="P378" i="4"/>
  <c r="J378" i="4"/>
  <c r="K378" i="4" s="1"/>
  <c r="L301" i="4"/>
  <c r="Z318" i="4"/>
  <c r="AA318" i="4" s="1"/>
  <c r="P318" i="4"/>
  <c r="AA342" i="4"/>
  <c r="T358" i="4"/>
  <c r="T362" i="4"/>
  <c r="AB362" i="4"/>
  <c r="D362" i="4"/>
  <c r="T395" i="4"/>
  <c r="L395" i="4"/>
  <c r="D395" i="4"/>
  <c r="T222" i="4"/>
  <c r="L222" i="4"/>
  <c r="AB222" i="4"/>
  <c r="T225" i="4"/>
  <c r="L225" i="4"/>
  <c r="AB225" i="4"/>
  <c r="T228" i="4"/>
  <c r="L228" i="4"/>
  <c r="AB228" i="4"/>
  <c r="T231" i="4"/>
  <c r="L231" i="4"/>
  <c r="AB231" i="4"/>
  <c r="T234" i="4"/>
  <c r="L234" i="4"/>
  <c r="AB234" i="4"/>
  <c r="T237" i="4"/>
  <c r="L237" i="4"/>
  <c r="AB237" i="4"/>
  <c r="T240" i="4"/>
  <c r="L240" i="4"/>
  <c r="AB240" i="4"/>
  <c r="T243" i="4"/>
  <c r="L243" i="4"/>
  <c r="AB243" i="4"/>
  <c r="T246" i="4"/>
  <c r="L246" i="4"/>
  <c r="AB246" i="4"/>
  <c r="T249" i="4"/>
  <c r="L249" i="4"/>
  <c r="AB249" i="4"/>
  <c r="T252" i="4"/>
  <c r="L252" i="4"/>
  <c r="AB252" i="4"/>
  <c r="T255" i="4"/>
  <c r="L255" i="4"/>
  <c r="AB255" i="4"/>
  <c r="T258" i="4"/>
  <c r="L258" i="4"/>
  <c r="AB258" i="4"/>
  <c r="T261" i="4"/>
  <c r="L261" i="4"/>
  <c r="AB261" i="4"/>
  <c r="T264" i="4"/>
  <c r="L264" i="4"/>
  <c r="AB264" i="4"/>
  <c r="T267" i="4"/>
  <c r="L267" i="4"/>
  <c r="AB267" i="4"/>
  <c r="T274" i="4"/>
  <c r="Z288" i="4"/>
  <c r="AA288" i="4" s="1"/>
  <c r="R288" i="4"/>
  <c r="S288" i="4" s="1"/>
  <c r="T298" i="4"/>
  <c r="Z306" i="4"/>
  <c r="AA306" i="4" s="1"/>
  <c r="R306" i="4"/>
  <c r="S306" i="4" s="1"/>
  <c r="R318" i="4"/>
  <c r="S318" i="4" s="1"/>
  <c r="AB327" i="4"/>
  <c r="L355" i="4"/>
  <c r="T355" i="4"/>
  <c r="AB355" i="4"/>
  <c r="T356" i="4"/>
  <c r="Z357" i="4"/>
  <c r="AA357" i="4" s="1"/>
  <c r="R357" i="4"/>
  <c r="S357" i="4" s="1"/>
  <c r="X357" i="4"/>
  <c r="J357" i="4"/>
  <c r="K357" i="4" s="1"/>
  <c r="P219" i="4"/>
  <c r="P272" i="4"/>
  <c r="L275" i="4"/>
  <c r="R280" i="4"/>
  <c r="S280" i="4" s="1"/>
  <c r="J280" i="4"/>
  <c r="K280" i="4" s="1"/>
  <c r="P280" i="4"/>
  <c r="T282" i="4"/>
  <c r="L283" i="4"/>
  <c r="P288" i="4"/>
  <c r="T290" i="4"/>
  <c r="J296" i="4"/>
  <c r="K296" i="4" s="1"/>
  <c r="Z296" i="4"/>
  <c r="AA296" i="4" s="1"/>
  <c r="R296" i="4"/>
  <c r="S296" i="4" s="1"/>
  <c r="P296" i="4"/>
  <c r="K297" i="4"/>
  <c r="L299" i="4"/>
  <c r="T303" i="4"/>
  <c r="P306" i="4"/>
  <c r="Z312" i="4"/>
  <c r="AA312" i="4" s="1"/>
  <c r="L319" i="4"/>
  <c r="R321" i="4"/>
  <c r="S321" i="4" s="1"/>
  <c r="T324" i="4"/>
  <c r="J325" i="4"/>
  <c r="K325" i="4" s="1"/>
  <c r="R330" i="4"/>
  <c r="S330" i="4" s="1"/>
  <c r="Z330" i="4"/>
  <c r="AA330" i="4" s="1"/>
  <c r="P330" i="4"/>
  <c r="L331" i="4"/>
  <c r="AB331" i="4"/>
  <c r="L333" i="4"/>
  <c r="X372" i="4"/>
  <c r="J372" i="4"/>
  <c r="K372" i="4" s="1"/>
  <c r="P372" i="4"/>
  <c r="Z372" i="4"/>
  <c r="AA372" i="4" s="1"/>
  <c r="T376" i="4"/>
  <c r="T380" i="4"/>
  <c r="AB380" i="4"/>
  <c r="L380" i="4"/>
  <c r="D380" i="4"/>
  <c r="X238" i="4"/>
  <c r="P238" i="4"/>
  <c r="R238" i="4"/>
  <c r="S238" i="4" s="1"/>
  <c r="X241" i="4"/>
  <c r="P241" i="4"/>
  <c r="R241" i="4"/>
  <c r="S241" i="4" s="1"/>
  <c r="X244" i="4"/>
  <c r="P244" i="4"/>
  <c r="R244" i="4"/>
  <c r="S244" i="4" s="1"/>
  <c r="X247" i="4"/>
  <c r="P247" i="4"/>
  <c r="R247" i="4"/>
  <c r="S247" i="4" s="1"/>
  <c r="X250" i="4"/>
  <c r="P250" i="4"/>
  <c r="R250" i="4"/>
  <c r="S250" i="4" s="1"/>
  <c r="X253" i="4"/>
  <c r="P253" i="4"/>
  <c r="R253" i="4"/>
  <c r="S253" i="4" s="1"/>
  <c r="X256" i="4"/>
  <c r="P256" i="4"/>
  <c r="R256" i="4"/>
  <c r="S256" i="4" s="1"/>
  <c r="X259" i="4"/>
  <c r="P259" i="4"/>
  <c r="R259" i="4"/>
  <c r="S259" i="4" s="1"/>
  <c r="X262" i="4"/>
  <c r="P262" i="4"/>
  <c r="R262" i="4"/>
  <c r="S262" i="4" s="1"/>
  <c r="X265" i="4"/>
  <c r="P265" i="4"/>
  <c r="R265" i="4"/>
  <c r="S265" i="4" s="1"/>
  <c r="X268" i="4"/>
  <c r="P268" i="4"/>
  <c r="R268" i="4"/>
  <c r="S268" i="4" s="1"/>
  <c r="J284" i="4"/>
  <c r="K284" i="4" s="1"/>
  <c r="Z284" i="4"/>
  <c r="AA284" i="4" s="1"/>
  <c r="R284" i="4"/>
  <c r="S284" i="4" s="1"/>
  <c r="P284" i="4"/>
  <c r="K285" i="4"/>
  <c r="L287" i="4"/>
  <c r="R292" i="4"/>
  <c r="S292" i="4" s="1"/>
  <c r="J292" i="4"/>
  <c r="K292" i="4" s="1"/>
  <c r="P292" i="4"/>
  <c r="L295" i="4"/>
  <c r="Z300" i="4"/>
  <c r="AA300" i="4" s="1"/>
  <c r="R300" i="4"/>
  <c r="S300" i="4" s="1"/>
  <c r="S307" i="4"/>
  <c r="X325" i="4"/>
  <c r="P325" i="4"/>
  <c r="D326" i="4"/>
  <c r="T326" i="4"/>
  <c r="AB326" i="4"/>
  <c r="T329" i="4"/>
  <c r="L329" i="4"/>
  <c r="D329" i="4"/>
  <c r="X334" i="4"/>
  <c r="R334" i="4"/>
  <c r="S334" i="4" s="1"/>
  <c r="P334" i="4"/>
  <c r="AA336" i="4"/>
  <c r="R342" i="4"/>
  <c r="S342" i="4" s="1"/>
  <c r="X342" i="4"/>
  <c r="P342" i="4"/>
  <c r="AB354" i="4"/>
  <c r="P370" i="4"/>
  <c r="X370" i="4"/>
  <c r="J370" i="4"/>
  <c r="K370" i="4" s="1"/>
  <c r="Z370" i="4"/>
  <c r="AA370" i="4" s="1"/>
  <c r="R370" i="4"/>
  <c r="S370" i="4" s="1"/>
  <c r="T393" i="4"/>
  <c r="AB233" i="4"/>
  <c r="D233" i="4"/>
  <c r="T233" i="4"/>
  <c r="AB236" i="4"/>
  <c r="D236" i="4"/>
  <c r="T236" i="4"/>
  <c r="AB239" i="4"/>
  <c r="D239" i="4"/>
  <c r="T239" i="4"/>
  <c r="AB242" i="4"/>
  <c r="D242" i="4"/>
  <c r="T242" i="4"/>
  <c r="AB245" i="4"/>
  <c r="D245" i="4"/>
  <c r="T245" i="4"/>
  <c r="AB248" i="4"/>
  <c r="D248" i="4"/>
  <c r="T248" i="4"/>
  <c r="AB251" i="4"/>
  <c r="D251" i="4"/>
  <c r="T251" i="4"/>
  <c r="AB254" i="4"/>
  <c r="D254" i="4"/>
  <c r="T254" i="4"/>
  <c r="AB257" i="4"/>
  <c r="D257" i="4"/>
  <c r="T257" i="4"/>
  <c r="AB260" i="4"/>
  <c r="D260" i="4"/>
  <c r="T260" i="4"/>
  <c r="AB263" i="4"/>
  <c r="D263" i="4"/>
  <c r="T263" i="4"/>
  <c r="AB266" i="4"/>
  <c r="D266" i="4"/>
  <c r="T266" i="4"/>
  <c r="D269" i="4"/>
  <c r="T269" i="4"/>
  <c r="P271" i="4"/>
  <c r="S312" i="4"/>
  <c r="T315" i="4"/>
  <c r="Z321" i="4"/>
  <c r="AA321" i="4" s="1"/>
  <c r="AB335" i="4"/>
  <c r="D335" i="4"/>
  <c r="L335" i="4"/>
  <c r="L354" i="4"/>
  <c r="L362" i="4"/>
  <c r="L385" i="4"/>
  <c r="T398" i="4"/>
  <c r="D398" i="4"/>
  <c r="AB398" i="4"/>
  <c r="L398" i="4"/>
  <c r="R401" i="4"/>
  <c r="S401" i="4" s="1"/>
  <c r="P401" i="4"/>
  <c r="J401" i="4"/>
  <c r="K401" i="4" s="1"/>
  <c r="X401" i="4"/>
  <c r="J275" i="4"/>
  <c r="K275" i="4" s="1"/>
  <c r="Z275" i="4"/>
  <c r="AA275" i="4" s="1"/>
  <c r="P275" i="4"/>
  <c r="R277" i="4"/>
  <c r="S277" i="4" s="1"/>
  <c r="J277" i="4"/>
  <c r="K277" i="4" s="1"/>
  <c r="P277" i="4"/>
  <c r="Z279" i="4"/>
  <c r="AA279" i="4" s="1"/>
  <c r="R279" i="4"/>
  <c r="S279" i="4" s="1"/>
  <c r="J281" i="4"/>
  <c r="K281" i="4" s="1"/>
  <c r="Z281" i="4"/>
  <c r="AA281" i="4" s="1"/>
  <c r="P281" i="4"/>
  <c r="R283" i="4"/>
  <c r="S283" i="4" s="1"/>
  <c r="J283" i="4"/>
  <c r="K283" i="4" s="1"/>
  <c r="P283" i="4"/>
  <c r="Z285" i="4"/>
  <c r="AA285" i="4" s="1"/>
  <c r="R285" i="4"/>
  <c r="S285" i="4" s="1"/>
  <c r="J287" i="4"/>
  <c r="K287" i="4" s="1"/>
  <c r="Z287" i="4"/>
  <c r="AA287" i="4" s="1"/>
  <c r="P287" i="4"/>
  <c r="R289" i="4"/>
  <c r="S289" i="4" s="1"/>
  <c r="J289" i="4"/>
  <c r="K289" i="4" s="1"/>
  <c r="P289" i="4"/>
  <c r="Z291" i="4"/>
  <c r="AA291" i="4" s="1"/>
  <c r="R291" i="4"/>
  <c r="S291" i="4" s="1"/>
  <c r="J293" i="4"/>
  <c r="K293" i="4" s="1"/>
  <c r="Z293" i="4"/>
  <c r="AA293" i="4" s="1"/>
  <c r="P293" i="4"/>
  <c r="R295" i="4"/>
  <c r="S295" i="4" s="1"/>
  <c r="J295" i="4"/>
  <c r="K295" i="4" s="1"/>
  <c r="P295" i="4"/>
  <c r="Z297" i="4"/>
  <c r="AA297" i="4" s="1"/>
  <c r="R297" i="4"/>
  <c r="S297" i="4" s="1"/>
  <c r="J299" i="4"/>
  <c r="K299" i="4" s="1"/>
  <c r="Z299" i="4"/>
  <c r="AA299" i="4" s="1"/>
  <c r="P299" i="4"/>
  <c r="R301" i="4"/>
  <c r="S301" i="4" s="1"/>
  <c r="J301" i="4"/>
  <c r="K301" i="4" s="1"/>
  <c r="P301" i="4"/>
  <c r="Z303" i="4"/>
  <c r="AA303" i="4" s="1"/>
  <c r="R303" i="4"/>
  <c r="S303" i="4" s="1"/>
  <c r="J305" i="4"/>
  <c r="K305" i="4" s="1"/>
  <c r="Z305" i="4"/>
  <c r="AA305" i="4" s="1"/>
  <c r="P305" i="4"/>
  <c r="K307" i="4"/>
  <c r="K308" i="4"/>
  <c r="T309" i="4"/>
  <c r="AB316" i="4"/>
  <c r="T316" i="4"/>
  <c r="Z333" i="4"/>
  <c r="AA333" i="4" s="1"/>
  <c r="R333" i="4"/>
  <c r="S333" i="4" s="1"/>
  <c r="P333" i="4"/>
  <c r="X337" i="4"/>
  <c r="Z337" i="4"/>
  <c r="AA337" i="4" s="1"/>
  <c r="AB340" i="4"/>
  <c r="D342" i="4"/>
  <c r="X349" i="4"/>
  <c r="Z349" i="4"/>
  <c r="AA349" i="4" s="1"/>
  <c r="J349" i="4"/>
  <c r="K349" i="4" s="1"/>
  <c r="P349" i="4"/>
  <c r="T338" i="4"/>
  <c r="AA340" i="4"/>
  <c r="R377" i="4"/>
  <c r="S377" i="4" s="1"/>
  <c r="P377" i="4"/>
  <c r="J377" i="4"/>
  <c r="K377" i="4" s="1"/>
  <c r="X377" i="4"/>
  <c r="R398" i="4"/>
  <c r="S398" i="4" s="1"/>
  <c r="X398" i="4"/>
  <c r="J398" i="4"/>
  <c r="K398" i="4" s="1"/>
  <c r="Z398" i="4"/>
  <c r="AA398" i="4" s="1"/>
  <c r="X343" i="4"/>
  <c r="Z343" i="4"/>
  <c r="AA343" i="4" s="1"/>
  <c r="T344" i="4"/>
  <c r="P353" i="4"/>
  <c r="Z353" i="4"/>
  <c r="AA353" i="4" s="1"/>
  <c r="R353" i="4"/>
  <c r="S353" i="4" s="1"/>
  <c r="AB396" i="4"/>
  <c r="X275" i="4"/>
  <c r="X279" i="4"/>
  <c r="X281" i="4"/>
  <c r="X285" i="4"/>
  <c r="X287" i="4"/>
  <c r="X291" i="4"/>
  <c r="X293" i="4"/>
  <c r="X297" i="4"/>
  <c r="AB309" i="4"/>
  <c r="AB320" i="4"/>
  <c r="P322" i="4"/>
  <c r="AA329" i="4"/>
  <c r="X331" i="4"/>
  <c r="Z331" i="4"/>
  <c r="AA331" i="4" s="1"/>
  <c r="P341" i="4"/>
  <c r="Z341" i="4"/>
  <c r="AA341" i="4" s="1"/>
  <c r="R341" i="4"/>
  <c r="S341" i="4" s="1"/>
  <c r="T346" i="4"/>
  <c r="J353" i="4"/>
  <c r="K353" i="4" s="1"/>
  <c r="T359" i="4"/>
  <c r="D359" i="4"/>
  <c r="L359" i="4"/>
  <c r="T369" i="4"/>
  <c r="L399" i="4"/>
  <c r="AB399" i="4"/>
  <c r="T399" i="4"/>
  <c r="D399" i="4"/>
  <c r="L339" i="4"/>
  <c r="T342" i="4"/>
  <c r="J343" i="4"/>
  <c r="K343" i="4" s="1"/>
  <c r="Z348" i="4"/>
  <c r="AA348" i="4" s="1"/>
  <c r="R348" i="4"/>
  <c r="S348" i="4" s="1"/>
  <c r="T350" i="4"/>
  <c r="X358" i="4"/>
  <c r="Z358" i="4"/>
  <c r="AA358" i="4" s="1"/>
  <c r="R358" i="4"/>
  <c r="S358" i="4" s="1"/>
  <c r="P358" i="4"/>
  <c r="L375" i="4"/>
  <c r="D375" i="4"/>
  <c r="AB375" i="4"/>
  <c r="T375" i="4"/>
  <c r="L337" i="4"/>
  <c r="T337" i="4"/>
  <c r="X340" i="4"/>
  <c r="R340" i="4"/>
  <c r="S340" i="4" s="1"/>
  <c r="P340" i="4"/>
  <c r="Z354" i="4"/>
  <c r="AA354" i="4" s="1"/>
  <c r="R354" i="4"/>
  <c r="S354" i="4" s="1"/>
  <c r="L357" i="4"/>
  <c r="P359" i="4"/>
  <c r="Z359" i="4"/>
  <c r="AA359" i="4" s="1"/>
  <c r="R359" i="4"/>
  <c r="S359" i="4" s="1"/>
  <c r="T360" i="4"/>
  <c r="T371" i="4"/>
  <c r="D371" i="4"/>
  <c r="L371" i="4"/>
  <c r="S375" i="4"/>
  <c r="K385" i="4"/>
  <c r="L390" i="4"/>
  <c r="AB390" i="4"/>
  <c r="D390" i="4"/>
  <c r="P396" i="4"/>
  <c r="AA361" i="4"/>
  <c r="AA367" i="4"/>
  <c r="T377" i="4"/>
  <c r="D377" i="4"/>
  <c r="T383" i="4"/>
  <c r="L383" i="4"/>
  <c r="D383" i="4"/>
  <c r="R389" i="4"/>
  <c r="S389" i="4" s="1"/>
  <c r="P389" i="4"/>
  <c r="J389" i="4"/>
  <c r="K389" i="4" s="1"/>
  <c r="X389" i="4"/>
  <c r="P360" i="4"/>
  <c r="AB364" i="4"/>
  <c r="D364" i="4"/>
  <c r="T365" i="4"/>
  <c r="D365" i="4"/>
  <c r="L365" i="4"/>
  <c r="L366" i="4"/>
  <c r="T366" i="4"/>
  <c r="P371" i="4"/>
  <c r="Z371" i="4"/>
  <c r="AA371" i="4" s="1"/>
  <c r="R371" i="4"/>
  <c r="S371" i="4" s="1"/>
  <c r="T372" i="4"/>
  <c r="L378" i="4"/>
  <c r="AB378" i="4"/>
  <c r="D378" i="4"/>
  <c r="Z386" i="4"/>
  <c r="AA386" i="4" s="1"/>
  <c r="X390" i="4"/>
  <c r="Z390" i="4"/>
  <c r="AA390" i="4" s="1"/>
  <c r="R390" i="4"/>
  <c r="S390" i="4" s="1"/>
  <c r="T392" i="4"/>
  <c r="AB392" i="4"/>
  <c r="R396" i="4"/>
  <c r="S396" i="4" s="1"/>
  <c r="AA311" i="4"/>
  <c r="AA323" i="4"/>
  <c r="T330" i="4"/>
  <c r="AB330" i="4"/>
  <c r="T336" i="4"/>
  <c r="L343" i="4"/>
  <c r="T343" i="4"/>
  <c r="L345" i="4"/>
  <c r="P347" i="4"/>
  <c r="Z347" i="4"/>
  <c r="AA347" i="4" s="1"/>
  <c r="R347" i="4"/>
  <c r="S347" i="4" s="1"/>
  <c r="X352" i="4"/>
  <c r="Z352" i="4"/>
  <c r="AA352" i="4" s="1"/>
  <c r="R352" i="4"/>
  <c r="S352" i="4" s="1"/>
  <c r="P352" i="4"/>
  <c r="AB353" i="4"/>
  <c r="D353" i="4"/>
  <c r="T353" i="4"/>
  <c r="L353" i="4"/>
  <c r="J368" i="4"/>
  <c r="K368" i="4" s="1"/>
  <c r="Z368" i="4"/>
  <c r="AA368" i="4" s="1"/>
  <c r="P368" i="4"/>
  <c r="L370" i="4"/>
  <c r="J371" i="4"/>
  <c r="K371" i="4" s="1"/>
  <c r="T374" i="4"/>
  <c r="D374" i="4"/>
  <c r="T381" i="4"/>
  <c r="AB383" i="4"/>
  <c r="J390" i="4"/>
  <c r="K390" i="4" s="1"/>
  <c r="J396" i="4"/>
  <c r="K396" i="4" s="1"/>
  <c r="S399" i="4"/>
  <c r="J360" i="4"/>
  <c r="K360" i="4" s="1"/>
  <c r="Z360" i="4"/>
  <c r="AA360" i="4" s="1"/>
  <c r="AB365" i="4"/>
  <c r="R386" i="4"/>
  <c r="S386" i="4" s="1"/>
  <c r="X386" i="4"/>
  <c r="J386" i="4"/>
  <c r="K386" i="4" s="1"/>
  <c r="L387" i="4"/>
  <c r="AB387" i="4"/>
  <c r="T387" i="4"/>
  <c r="D387" i="4"/>
  <c r="T401" i="4"/>
  <c r="D401" i="4"/>
  <c r="L363" i="4"/>
  <c r="AB363" i="4"/>
  <c r="AB370" i="4"/>
  <c r="D370" i="4"/>
  <c r="AB373" i="4"/>
  <c r="D373" i="4"/>
  <c r="AB379" i="4"/>
  <c r="D379" i="4"/>
  <c r="T379" i="4"/>
  <c r="AA382" i="4"/>
  <c r="X383" i="4"/>
  <c r="AB391" i="4"/>
  <c r="D391" i="4"/>
  <c r="T391" i="4"/>
  <c r="AA394" i="4"/>
  <c r="X395" i="4"/>
  <c r="T333" i="4"/>
  <c r="T339" i="4"/>
  <c r="T345" i="4"/>
  <c r="T351" i="4"/>
  <c r="T357" i="4"/>
  <c r="AB361" i="4"/>
  <c r="D361" i="4"/>
  <c r="T368" i="4"/>
  <c r="AB376" i="4"/>
  <c r="D376" i="4"/>
  <c r="AB382" i="4"/>
  <c r="D382" i="4"/>
  <c r="AB388" i="4"/>
  <c r="D388" i="4"/>
  <c r="AB394" i="4"/>
  <c r="D394" i="4"/>
  <c r="AB400" i="4"/>
  <c r="D400" i="4"/>
  <c r="T348" i="4"/>
  <c r="T354" i="4"/>
  <c r="L360" i="4"/>
  <c r="P364" i="4"/>
  <c r="J364" i="4"/>
  <c r="K364" i="4" s="1"/>
  <c r="R364" i="4"/>
  <c r="S364" i="4" s="1"/>
  <c r="L369" i="4"/>
  <c r="AB369" i="4"/>
  <c r="L372" i="4"/>
  <c r="AB372" i="4"/>
  <c r="X374" i="4"/>
  <c r="J374" i="4"/>
  <c r="K374" i="4" s="1"/>
  <c r="AB338" i="4"/>
  <c r="D338" i="4"/>
  <c r="L340" i="4"/>
  <c r="AB344" i="4"/>
  <c r="D344" i="4"/>
  <c r="L346" i="4"/>
  <c r="AB350" i="4"/>
  <c r="D350" i="4"/>
  <c r="L352" i="4"/>
  <c r="AB356" i="4"/>
  <c r="D356" i="4"/>
  <c r="L358" i="4"/>
  <c r="AB360" i="4"/>
  <c r="P362" i="4"/>
  <c r="AB367" i="4"/>
  <c r="D367" i="4"/>
  <c r="R374" i="4"/>
  <c r="S374" i="4" s="1"/>
  <c r="L381" i="4"/>
  <c r="AB381" i="4"/>
  <c r="R383" i="4"/>
  <c r="S383" i="4" s="1"/>
  <c r="L384" i="4"/>
  <c r="T384" i="4"/>
  <c r="L393" i="4"/>
  <c r="AB393" i="4"/>
  <c r="R395" i="4"/>
  <c r="S395" i="4" s="1"/>
  <c r="L396" i="4"/>
  <c r="T396" i="4"/>
  <c r="P363" i="4"/>
  <c r="P369" i="4"/>
  <c r="P375" i="4"/>
  <c r="AA385" i="4"/>
  <c r="P387" i="4"/>
  <c r="AA397" i="4"/>
  <c r="P399" i="4"/>
  <c r="AB385" i="4"/>
  <c r="D385" i="4"/>
  <c r="AB397" i="4"/>
  <c r="D397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<sst xmlns="http://schemas.openxmlformats.org/spreadsheetml/2006/main" count="1287" uniqueCount="177">
  <si>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</si>
  <si>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</si>
  <si>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</si>
  <si>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</si>
  <si>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</si>
  <si>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</si>
  <si>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</si>
  <si>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</si>
  <si>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</si>
  <si>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</si>
  <si>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</si>
  <si>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</si>
  <si>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</si>
  <si>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</si>
  <si>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</si>
  <si>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</si>
  <si>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</si>
  <si>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</si>
  <si>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</si>
  <si>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</si>
  <si>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</si>
  <si>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路面補修工No.1</t>
  </si>
  <si>
    <t>舗装打換工</t>
  </si>
  <si>
    <t>m2</t>
  </si>
  <si>
    <t>15号内訳書</t>
  </si>
  <si>
    <t>材料費</t>
  </si>
  <si>
    <t>再生密粒(13)</t>
  </si>
  <si>
    <t>ｔ</t>
  </si>
  <si>
    <t>アスファルト乳剤PK-3</t>
  </si>
  <si>
    <t>リットル</t>
  </si>
  <si>
    <t>RC-40</t>
  </si>
  <si>
    <t>m3</t>
  </si>
  <si>
    <t>軽油</t>
  </si>
  <si>
    <t>ガソリン</t>
  </si>
  <si>
    <t>雑材</t>
  </si>
  <si>
    <t>労務費</t>
  </si>
  <si>
    <t>土工</t>
  </si>
  <si>
    <t>人</t>
  </si>
  <si>
    <t>機械費</t>
  </si>
  <si>
    <t>フィニッシャー4.5m</t>
  </si>
  <si>
    <t>台</t>
  </si>
  <si>
    <t>コンバインドローラ</t>
  </si>
  <si>
    <t>ミニバックホウ</t>
  </si>
  <si>
    <t>エンジンスプレイヤ</t>
  </si>
  <si>
    <t>小物機械</t>
  </si>
  <si>
    <t>運搬費</t>
  </si>
  <si>
    <t>4tダンプ</t>
  </si>
  <si>
    <t>AS処理費</t>
  </si>
  <si>
    <t>10t回送費</t>
  </si>
  <si>
    <t>AF</t>
  </si>
  <si>
    <t>回</t>
  </si>
  <si>
    <t>6t回送費</t>
  </si>
  <si>
    <t>CR</t>
  </si>
  <si>
    <t>BH</t>
  </si>
  <si>
    <t>2tダンプ</t>
  </si>
  <si>
    <t>WP</t>
  </si>
  <si>
    <t>外注費</t>
  </si>
  <si>
    <t>諸経費</t>
  </si>
  <si>
    <t>法定福利費</t>
  </si>
  <si>
    <t>交通誘導員</t>
  </si>
  <si>
    <t>軽トラ規制車　保安材含</t>
  </si>
  <si>
    <t>路面補修工No.1-1</t>
  </si>
  <si>
    <t>16号内訳書</t>
  </si>
  <si>
    <t>砂</t>
  </si>
  <si>
    <t>デスビ</t>
  </si>
  <si>
    <t>切削オーバーレイNo.2</t>
  </si>
  <si>
    <t>17号内訳書</t>
  </si>
  <si>
    <t>再生密粒(20)改質Ⅱ型</t>
  </si>
  <si>
    <t>アスファルト乳剤タックファイン</t>
  </si>
  <si>
    <t>タイヤショベル</t>
  </si>
  <si>
    <t>タイヤローラ</t>
  </si>
  <si>
    <t>トラコン車ダンプ</t>
  </si>
  <si>
    <t>切削機1.2m</t>
  </si>
  <si>
    <t>散水車</t>
  </si>
  <si>
    <t>8tダンプ</t>
  </si>
  <si>
    <t>トレーラー切削機</t>
  </si>
  <si>
    <t>CR,TR,TS</t>
  </si>
  <si>
    <t>法定福利費舗装</t>
  </si>
  <si>
    <t>法定福利費切削</t>
  </si>
  <si>
    <t>路面補修工No.3</t>
  </si>
  <si>
    <t>パッチグー</t>
  </si>
  <si>
    <t>18号内訳書</t>
  </si>
  <si>
    <t>個</t>
  </si>
  <si>
    <t>養生材</t>
  </si>
  <si>
    <t>切削オーバーレイNo.4</t>
  </si>
  <si>
    <t>夜間工事</t>
  </si>
  <si>
    <t>19号内訳書</t>
  </si>
  <si>
    <t>スイーパー</t>
  </si>
  <si>
    <t>夜間照明</t>
  </si>
  <si>
    <t>1tトラック</t>
  </si>
  <si>
    <t>路面補修工No.5</t>
  </si>
  <si>
    <t>20号内訳書</t>
  </si>
  <si>
    <t>フィニッシャー3.1m</t>
  </si>
  <si>
    <t>路面補修工No.7</t>
  </si>
  <si>
    <t>路面パッチング補修</t>
  </si>
  <si>
    <t>21号内訳書</t>
  </si>
  <si>
    <t>細粒5mm</t>
  </si>
  <si>
    <t>アスファルト乳剤</t>
  </si>
  <si>
    <t>缶</t>
  </si>
  <si>
    <t>路面補修工No.8</t>
  </si>
  <si>
    <t>22号内訳書</t>
  </si>
  <si>
    <t>細粒度5mm</t>
  </si>
  <si>
    <t>路面補修工No.9</t>
  </si>
  <si>
    <t>23号内訳書</t>
  </si>
  <si>
    <t>路面補修工No.10</t>
  </si>
  <si>
    <t>24号内訳書</t>
  </si>
  <si>
    <t>舗装</t>
  </si>
  <si>
    <t>交通誘導員　舗装</t>
  </si>
  <si>
    <t>交通誘導員　パッチグー</t>
  </si>
  <si>
    <t>舗装版切断工</t>
  </si>
  <si>
    <t>25号内訳書</t>
  </si>
  <si>
    <t>舗装版切断工No.1</t>
  </si>
  <si>
    <t>汚泥運搬</t>
  </si>
  <si>
    <t>汚泥処理</t>
  </si>
  <si>
    <t>舗装版切断工No.1-1</t>
  </si>
  <si>
    <t>コアー採取　No.4</t>
  </si>
  <si>
    <t>準備工</t>
  </si>
  <si>
    <t>26号内訳書</t>
  </si>
  <si>
    <t>パートナーカッター</t>
  </si>
  <si>
    <t>軽トラ規制車保安材含1式</t>
  </si>
  <si>
    <t>路面補修工No.2</t>
  </si>
  <si>
    <t>切削オーバレイ　3層</t>
  </si>
  <si>
    <t>27号内訳書</t>
  </si>
  <si>
    <t>再生粗粒(20)改質Ⅱ型</t>
  </si>
  <si>
    <t>切削機1.0m</t>
  </si>
  <si>
    <t>路面補修工No.4(夜間)</t>
  </si>
  <si>
    <t>切削オーバレイ　2層</t>
  </si>
  <si>
    <t>28号内訳書</t>
  </si>
  <si>
    <t>再生密粒(20)改質Ⅱ型 t=50</t>
  </si>
  <si>
    <t>再生粗粒(20) t=50</t>
  </si>
  <si>
    <t>切削機2.0m</t>
  </si>
  <si>
    <t>10tダンプ</t>
  </si>
  <si>
    <t>路盤廃材</t>
  </si>
  <si>
    <t>TR</t>
  </si>
  <si>
    <t>BH,CR</t>
  </si>
  <si>
    <t>路面補修工No.12</t>
  </si>
  <si>
    <t>舗装打換工　1層</t>
  </si>
  <si>
    <t>29号内訳書</t>
  </si>
  <si>
    <t>開粒度アスコン(13)</t>
  </si>
  <si>
    <t>3tダンプ</t>
  </si>
  <si>
    <t>路面補修工　パッチグー</t>
  </si>
  <si>
    <t>30号内訳書</t>
  </si>
  <si>
    <t>舗装版切断工　3箇所</t>
  </si>
  <si>
    <t>日</t>
  </si>
  <si>
    <t>31号内訳書</t>
  </si>
  <si>
    <t>舗装版切断工No.2</t>
  </si>
  <si>
    <t>　舗装版切断工No.4</t>
  </si>
  <si>
    <t>舗装版切断工No.12</t>
  </si>
  <si>
    <t>準備工　</t>
  </si>
  <si>
    <t>32号内訳書</t>
  </si>
  <si>
    <t>軽トラ規制車　保安材1式</t>
  </si>
  <si>
    <t>路肩舗装工　t=150  人力 2日</t>
  </si>
  <si>
    <t>33号内訳書</t>
  </si>
  <si>
    <t>再生砕石RC-40</t>
  </si>
  <si>
    <t>開立度アスコン(13)</t>
  </si>
  <si>
    <t>4t車回送費</t>
  </si>
  <si>
    <t>軽トラ規制車</t>
  </si>
  <si>
    <t>舗装打換工　2層t=100　1日</t>
  </si>
  <si>
    <t>34号内訳書</t>
  </si>
  <si>
    <t>再生粗粒(20)t=50</t>
  </si>
  <si>
    <t>再生密粒(20)改質Ⅱ型t=50</t>
  </si>
  <si>
    <t>養生砂</t>
  </si>
  <si>
    <t>タイヤバックホウ0.4m3</t>
  </si>
  <si>
    <t>As処理費</t>
  </si>
  <si>
    <t>10t回送費　AF</t>
  </si>
  <si>
    <t>10t回送費　TR</t>
  </si>
  <si>
    <t>6t回送費　BH,CR</t>
  </si>
  <si>
    <t>舗装打換工　t=50  2日</t>
  </si>
  <si>
    <t>35号内訳書</t>
  </si>
  <si>
    <t>再生密粒(13) t=50</t>
  </si>
  <si>
    <t>準備工　舗装版切断工</t>
  </si>
  <si>
    <t>36号内訳書</t>
  </si>
  <si>
    <t>舗装版切断工　t=100 久寺家</t>
  </si>
  <si>
    <t>ｍ</t>
  </si>
  <si>
    <t>舗装版切断工　t=50  寿</t>
  </si>
  <si>
    <t>予算3</t>
    <phoneticPr fontId="3"/>
  </si>
  <si>
    <t>我孫子維持工事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</si>
</sst>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98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176</v>
      </c>
      <c r="G1" s="51" t="s">
        <v>19</v>
      </c>
      <c r="H1">
        <v>1</v>
      </c>
      <c r="I1" s="58">
        <v>18497370</v>
      </c>
      <c r="J1" s="59">
        <v>18497370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82</v>
      </c>
      <c r="I2" s="58">
        <v>10500</v>
      </c>
      <c r="J2" s="59">
        <v>861000</v>
      </c>
      <c r="K2">
        <v>82</v>
      </c>
      <c r="M2" s="51" t="s">
        <v>24</v>
      </c>
      <c r="O2" s="52"/>
    </row>
    <row r="3" spans="1:15" x14ac:dyDescent="0.15">
      <c r="A3">
        <v>2</v>
      </c>
      <c r="D3" s="51" t="s">
        <v>25</v>
      </c>
      <c r="E3" s="51" t="s">
        <v>26</v>
      </c>
      <c r="G3" s="51" t="s">
        <v>27</v>
      </c>
      <c r="H3">
        <v>12</v>
      </c>
      <c r="I3" s="58">
        <v>9000</v>
      </c>
      <c r="J3" s="59">
        <v>108000</v>
      </c>
      <c r="K3">
        <v>1</v>
      </c>
      <c r="O3" s="52"/>
    </row>
    <row r="4" spans="1:15" x14ac:dyDescent="0.15">
      <c r="A4">
        <v>2</v>
      </c>
      <c r="D4" s="51" t="s">
        <v>25</v>
      </c>
      <c r="E4" s="51" t="s">
        <v>28</v>
      </c>
      <c r="G4" s="51" t="s">
        <v>29</v>
      </c>
      <c r="H4">
        <v>80</v>
      </c>
      <c r="I4" s="58">
        <v>99</v>
      </c>
      <c r="J4" s="59">
        <v>7920</v>
      </c>
      <c r="K4">
        <v>1</v>
      </c>
      <c r="O4" s="52"/>
    </row>
    <row r="5" spans="1:15" x14ac:dyDescent="0.15">
      <c r="A5">
        <v>2</v>
      </c>
      <c r="D5" s="51" t="s">
        <v>25</v>
      </c>
      <c r="E5" s="51" t="s">
        <v>30</v>
      </c>
      <c r="G5" s="51" t="s">
        <v>31</v>
      </c>
      <c r="H5">
        <v>2</v>
      </c>
      <c r="I5" s="58">
        <v>2000</v>
      </c>
      <c r="J5" s="59">
        <v>4000</v>
      </c>
      <c r="K5">
        <v>1</v>
      </c>
      <c r="O5" s="52"/>
    </row>
    <row r="6" spans="1:15" x14ac:dyDescent="0.15">
      <c r="A6">
        <v>2</v>
      </c>
      <c r="D6" s="51" t="s">
        <v>25</v>
      </c>
      <c r="E6" s="51" t="s">
        <v>32</v>
      </c>
      <c r="G6" s="51" t="s">
        <v>29</v>
      </c>
      <c r="H6">
        <v>80</v>
      </c>
      <c r="I6" s="58">
        <v>160</v>
      </c>
      <c r="J6" s="59">
        <v>12800</v>
      </c>
      <c r="K6">
        <v>1</v>
      </c>
      <c r="O6" s="52"/>
    </row>
    <row r="7" spans="1:15" x14ac:dyDescent="0.15">
      <c r="A7">
        <v>2</v>
      </c>
      <c r="D7" s="51" t="s">
        <v>25</v>
      </c>
      <c r="E7" s="51" t="s">
        <v>33</v>
      </c>
      <c r="G7" s="51" t="s">
        <v>29</v>
      </c>
      <c r="H7">
        <v>20</v>
      </c>
      <c r="I7" s="58">
        <v>180</v>
      </c>
      <c r="J7" s="59">
        <v>3600</v>
      </c>
      <c r="K7">
        <v>1</v>
      </c>
      <c r="O7" s="52"/>
    </row>
    <row r="8" spans="1:15" x14ac:dyDescent="0.15">
      <c r="A8">
        <v>2</v>
      </c>
      <c r="D8" s="51" t="s">
        <v>25</v>
      </c>
      <c r="E8" s="51" t="s">
        <v>34</v>
      </c>
      <c r="G8" s="51" t="s">
        <v>19</v>
      </c>
      <c r="H8">
        <v>1</v>
      </c>
      <c r="I8" s="58">
        <v>3980</v>
      </c>
      <c r="J8" s="59">
        <v>3980</v>
      </c>
      <c r="K8">
        <v>1</v>
      </c>
      <c r="O8" s="52"/>
    </row>
    <row r="9" spans="1:15" x14ac:dyDescent="0.15">
      <c r="A9">
        <v>2</v>
      </c>
      <c r="D9" s="51" t="s">
        <v>35</v>
      </c>
      <c r="E9" s="51" t="s">
        <v>36</v>
      </c>
      <c r="G9" s="51" t="s">
        <v>37</v>
      </c>
      <c r="H9">
        <v>8</v>
      </c>
      <c r="I9" s="58">
        <v>23000</v>
      </c>
      <c r="J9" s="59">
        <v>184000</v>
      </c>
      <c r="K9">
        <v>1</v>
      </c>
      <c r="O9" s="52"/>
    </row>
    <row r="10" spans="1:15" x14ac:dyDescent="0.15">
      <c r="A10">
        <v>2</v>
      </c>
      <c r="D10" s="51" t="s">
        <v>38</v>
      </c>
      <c r="E10" s="51" t="s">
        <v>39</v>
      </c>
      <c r="G10" s="51" t="s">
        <v>40</v>
      </c>
      <c r="H10">
        <v>1</v>
      </c>
      <c r="I10" s="58">
        <v>80000</v>
      </c>
      <c r="J10" s="59">
        <v>80000</v>
      </c>
      <c r="K10">
        <v>1</v>
      </c>
      <c r="O10" s="52"/>
    </row>
    <row r="11" spans="1:15" x14ac:dyDescent="0.15">
      <c r="A11">
        <v>2</v>
      </c>
      <c r="D11" s="51" t="s">
        <v>38</v>
      </c>
      <c r="E11" s="51" t="s">
        <v>41</v>
      </c>
      <c r="G11" s="51" t="s">
        <v>40</v>
      </c>
      <c r="H11">
        <v>1</v>
      </c>
      <c r="I11" s="58">
        <v>6000</v>
      </c>
      <c r="J11" s="59">
        <v>6000</v>
      </c>
      <c r="K11">
        <v>1</v>
      </c>
      <c r="O11" s="52"/>
    </row>
    <row r="12" spans="1:15" x14ac:dyDescent="0.15">
      <c r="A12">
        <v>2</v>
      </c>
      <c r="D12" s="51" t="s">
        <v>38</v>
      </c>
      <c r="E12" s="51" t="s">
        <v>42</v>
      </c>
      <c r="G12" s="51" t="s">
        <v>40</v>
      </c>
      <c r="H12">
        <v>1</v>
      </c>
      <c r="I12" s="58">
        <v>8000</v>
      </c>
      <c r="J12" s="59">
        <v>8000</v>
      </c>
      <c r="K12">
        <v>1</v>
      </c>
      <c r="O12" s="52"/>
    </row>
    <row r="13" spans="1:15" x14ac:dyDescent="0.15">
      <c r="A13">
        <v>2</v>
      </c>
      <c r="D13" s="51" t="s">
        <v>38</v>
      </c>
      <c r="E13" s="51" t="s">
        <v>43</v>
      </c>
      <c r="G13" s="51" t="s">
        <v>40</v>
      </c>
      <c r="H13">
        <v>1</v>
      </c>
      <c r="I13" s="58">
        <v>3000</v>
      </c>
      <c r="J13" s="59">
        <v>3000</v>
      </c>
      <c r="K13">
        <v>1</v>
      </c>
      <c r="O13" s="52"/>
    </row>
    <row r="14" spans="1:15" x14ac:dyDescent="0.15">
      <c r="A14">
        <v>2</v>
      </c>
      <c r="D14" s="51" t="s">
        <v>38</v>
      </c>
      <c r="E14" s="51" t="s">
        <v>44</v>
      </c>
      <c r="G14" s="51" t="s">
        <v>40</v>
      </c>
      <c r="H14">
        <v>3</v>
      </c>
      <c r="I14" s="58">
        <v>3000</v>
      </c>
      <c r="J14" s="59">
        <v>9000</v>
      </c>
      <c r="K14">
        <v>1</v>
      </c>
      <c r="O14" s="52"/>
    </row>
    <row r="15" spans="1:15" x14ac:dyDescent="0.15">
      <c r="A15">
        <v>2</v>
      </c>
      <c r="D15" s="51" t="s">
        <v>45</v>
      </c>
      <c r="E15" s="51" t="s">
        <v>46</v>
      </c>
      <c r="G15" s="51" t="s">
        <v>40</v>
      </c>
      <c r="H15">
        <v>3</v>
      </c>
      <c r="I15" s="58">
        <v>37000</v>
      </c>
      <c r="J15" s="59">
        <v>111000</v>
      </c>
      <c r="K15">
        <v>1</v>
      </c>
      <c r="O15" s="52"/>
    </row>
    <row r="16" spans="1:15" x14ac:dyDescent="0.15">
      <c r="A16">
        <v>2</v>
      </c>
      <c r="D16" s="51" t="s">
        <v>45</v>
      </c>
      <c r="E16" s="51" t="s">
        <v>47</v>
      </c>
      <c r="G16" s="51" t="s">
        <v>27</v>
      </c>
      <c r="H16">
        <v>12</v>
      </c>
      <c r="I16" s="58">
        <v>400</v>
      </c>
      <c r="J16" s="59">
        <v>4800</v>
      </c>
      <c r="K16">
        <v>1</v>
      </c>
      <c r="O16" s="52"/>
    </row>
    <row r="17" spans="1:15" x14ac:dyDescent="0.15">
      <c r="A17">
        <v>2</v>
      </c>
      <c r="D17" s="51" t="s">
        <v>45</v>
      </c>
      <c r="E17" s="51" t="s">
        <v>48</v>
      </c>
      <c r="F17" s="51" t="s">
        <v>49</v>
      </c>
      <c r="G17" s="51" t="s">
        <v>50</v>
      </c>
      <c r="H17">
        <v>2</v>
      </c>
      <c r="I17" s="58">
        <v>30000</v>
      </c>
      <c r="J17" s="59">
        <v>60000</v>
      </c>
      <c r="K17">
        <v>1</v>
      </c>
      <c r="O17" s="52"/>
    </row>
    <row r="18" spans="1:15" x14ac:dyDescent="0.15">
      <c r="A18">
        <v>2</v>
      </c>
      <c r="D18" s="51" t="s">
        <v>45</v>
      </c>
      <c r="E18" s="51" t="s">
        <v>51</v>
      </c>
      <c r="F18" s="51" t="s">
        <v>52</v>
      </c>
      <c r="G18" s="51" t="s">
        <v>50</v>
      </c>
      <c r="H18">
        <v>2</v>
      </c>
      <c r="I18" s="58">
        <v>16000</v>
      </c>
      <c r="J18" s="59">
        <v>32000</v>
      </c>
      <c r="K18">
        <v>1</v>
      </c>
      <c r="O18" s="52"/>
    </row>
    <row r="19" spans="1:15" x14ac:dyDescent="0.15">
      <c r="A19">
        <v>2</v>
      </c>
      <c r="D19" s="51" t="s">
        <v>45</v>
      </c>
      <c r="E19" s="51" t="s">
        <v>51</v>
      </c>
      <c r="F19" s="51" t="s">
        <v>53</v>
      </c>
      <c r="G19" s="51" t="s">
        <v>50</v>
      </c>
      <c r="H19">
        <v>2</v>
      </c>
      <c r="I19" s="58">
        <v>16000</v>
      </c>
      <c r="J19" s="59">
        <v>32000</v>
      </c>
      <c r="K19">
        <v>1</v>
      </c>
      <c r="O19" s="52"/>
    </row>
    <row r="20" spans="1:15" x14ac:dyDescent="0.15">
      <c r="A20">
        <v>2</v>
      </c>
      <c r="D20" s="51" t="s">
        <v>45</v>
      </c>
      <c r="E20" s="51" t="s">
        <v>54</v>
      </c>
      <c r="G20" s="51" t="s">
        <v>40</v>
      </c>
      <c r="H20">
        <v>2</v>
      </c>
      <c r="I20" s="58">
        <v>8000</v>
      </c>
      <c r="J20" s="59">
        <v>16000</v>
      </c>
      <c r="K20">
        <v>1</v>
      </c>
      <c r="O20" s="52"/>
    </row>
    <row r="21" spans="1:15" x14ac:dyDescent="0.15">
      <c r="A21">
        <v>2</v>
      </c>
      <c r="D21" s="51" t="s">
        <v>45</v>
      </c>
      <c r="E21" s="51" t="s">
        <v>55</v>
      </c>
      <c r="G21" s="51" t="s">
        <v>40</v>
      </c>
      <c r="H21">
        <v>1</v>
      </c>
      <c r="I21" s="58">
        <v>8000</v>
      </c>
      <c r="J21" s="59">
        <v>8000</v>
      </c>
      <c r="K21">
        <v>1</v>
      </c>
      <c r="O21" s="52"/>
    </row>
    <row r="22" spans="1:15" x14ac:dyDescent="0.15">
      <c r="A22">
        <v>2</v>
      </c>
      <c r="D22" s="51" t="s">
        <v>56</v>
      </c>
      <c r="E22" s="51" t="s">
        <v>57</v>
      </c>
      <c r="G22" s="51" t="s">
        <v>19</v>
      </c>
      <c r="H22">
        <v>1</v>
      </c>
      <c r="I22" s="58">
        <v>32000</v>
      </c>
      <c r="J22" s="59">
        <v>32000</v>
      </c>
      <c r="K22">
        <v>1</v>
      </c>
      <c r="O22" s="52"/>
    </row>
    <row r="23" spans="1:15" x14ac:dyDescent="0.15">
      <c r="A23">
        <v>2</v>
      </c>
      <c r="D23" s="51" t="s">
        <v>56</v>
      </c>
      <c r="E23" s="51" t="s">
        <v>58</v>
      </c>
      <c r="G23" s="51" t="s">
        <v>19</v>
      </c>
      <c r="H23">
        <v>1</v>
      </c>
      <c r="I23" s="58">
        <v>29900</v>
      </c>
      <c r="J23" s="59">
        <v>29900</v>
      </c>
      <c r="K23">
        <v>1</v>
      </c>
      <c r="O23" s="52"/>
    </row>
    <row r="24" spans="1:15" x14ac:dyDescent="0.15">
      <c r="A24">
        <v>2</v>
      </c>
      <c r="D24" s="51" t="s">
        <v>56</v>
      </c>
      <c r="E24" s="51" t="s">
        <v>59</v>
      </c>
      <c r="G24" s="51" t="s">
        <v>37</v>
      </c>
      <c r="H24">
        <v>5</v>
      </c>
      <c r="I24" s="58">
        <v>18000</v>
      </c>
      <c r="J24" s="59">
        <v>90000</v>
      </c>
      <c r="K24">
        <v>1</v>
      </c>
      <c r="O24" s="52"/>
    </row>
    <row r="25" spans="1:15" x14ac:dyDescent="0.15">
      <c r="A25">
        <v>2</v>
      </c>
      <c r="D25" s="51" t="s">
        <v>38</v>
      </c>
      <c r="E25" s="51" t="s">
        <v>60</v>
      </c>
      <c r="G25" s="51" t="s">
        <v>40</v>
      </c>
      <c r="H25">
        <v>1</v>
      </c>
      <c r="I25" s="58">
        <v>15000</v>
      </c>
      <c r="J25" s="59">
        <v>15000</v>
      </c>
      <c r="K25">
        <v>1</v>
      </c>
      <c r="O25" s="52"/>
    </row>
    <row r="26" spans="1:15" x14ac:dyDescent="0.15">
      <c r="A26">
        <v>1</v>
      </c>
      <c r="D26" s="51" t="s">
        <v>20</v>
      </c>
      <c r="E26" s="51" t="s">
        <v>61</v>
      </c>
      <c r="F26" s="51" t="s">
        <v>22</v>
      </c>
      <c r="G26" s="51" t="s">
        <v>23</v>
      </c>
      <c r="H26">
        <v>317</v>
      </c>
      <c r="I26" s="58">
        <v>6200</v>
      </c>
      <c r="J26" s="59">
        <v>1965400</v>
      </c>
      <c r="K26">
        <v>317</v>
      </c>
      <c r="M26" s="51" t="s">
        <v>62</v>
      </c>
      <c r="O26" s="52"/>
    </row>
    <row r="27" spans="1:15" x14ac:dyDescent="0.15">
      <c r="A27">
        <v>2</v>
      </c>
      <c r="D27" s="51" t="s">
        <v>25</v>
      </c>
      <c r="E27" s="51" t="s">
        <v>26</v>
      </c>
      <c r="G27" s="51" t="s">
        <v>27</v>
      </c>
      <c r="H27">
        <v>44</v>
      </c>
      <c r="I27" s="58">
        <v>9000</v>
      </c>
      <c r="J27" s="59">
        <v>396000</v>
      </c>
      <c r="K27">
        <v>1</v>
      </c>
      <c r="O27" s="52"/>
    </row>
    <row r="28" spans="1:15" x14ac:dyDescent="0.15">
      <c r="A28">
        <v>2</v>
      </c>
      <c r="D28" s="51" t="s">
        <v>25</v>
      </c>
      <c r="E28" s="51" t="s">
        <v>28</v>
      </c>
      <c r="G28" s="51" t="s">
        <v>29</v>
      </c>
      <c r="H28">
        <v>260</v>
      </c>
      <c r="I28" s="58">
        <v>99</v>
      </c>
      <c r="J28" s="59">
        <v>25740</v>
      </c>
      <c r="K28">
        <v>1</v>
      </c>
      <c r="O28" s="52"/>
    </row>
    <row r="29" spans="1:15" x14ac:dyDescent="0.15">
      <c r="A29">
        <v>2</v>
      </c>
      <c r="D29" s="51" t="s">
        <v>25</v>
      </c>
      <c r="E29" s="51" t="s">
        <v>30</v>
      </c>
      <c r="G29" s="51" t="s">
        <v>31</v>
      </c>
      <c r="H29">
        <v>8</v>
      </c>
      <c r="I29" s="58">
        <v>2000</v>
      </c>
      <c r="J29" s="59">
        <v>16000</v>
      </c>
      <c r="K29">
        <v>1</v>
      </c>
      <c r="O29" s="52"/>
    </row>
    <row r="30" spans="1:15" x14ac:dyDescent="0.15">
      <c r="A30">
        <v>2</v>
      </c>
      <c r="D30" s="51" t="s">
        <v>25</v>
      </c>
      <c r="E30" s="51" t="s">
        <v>63</v>
      </c>
      <c r="G30" s="51" t="s">
        <v>31</v>
      </c>
      <c r="H30">
        <v>1</v>
      </c>
      <c r="I30" s="58">
        <v>8000</v>
      </c>
      <c r="J30" s="59">
        <v>8000</v>
      </c>
      <c r="K30">
        <v>1</v>
      </c>
      <c r="O30" s="52"/>
    </row>
    <row r="31" spans="1:15" x14ac:dyDescent="0.15">
      <c r="A31">
        <v>2</v>
      </c>
      <c r="D31" s="51" t="s">
        <v>25</v>
      </c>
      <c r="E31" s="51" t="s">
        <v>32</v>
      </c>
      <c r="G31" s="51" t="s">
        <v>29</v>
      </c>
      <c r="H31">
        <v>160</v>
      </c>
      <c r="I31" s="58">
        <v>160</v>
      </c>
      <c r="J31" s="59">
        <v>25600</v>
      </c>
      <c r="K31">
        <v>1</v>
      </c>
      <c r="O31" s="52"/>
    </row>
    <row r="32" spans="1:15" x14ac:dyDescent="0.15">
      <c r="A32">
        <v>2</v>
      </c>
      <c r="D32" s="51" t="s">
        <v>25</v>
      </c>
      <c r="E32" s="51" t="s">
        <v>33</v>
      </c>
      <c r="G32" s="51" t="s">
        <v>29</v>
      </c>
      <c r="H32">
        <v>30</v>
      </c>
      <c r="I32" s="58">
        <v>180</v>
      </c>
      <c r="J32" s="59">
        <v>5400</v>
      </c>
      <c r="K32">
        <v>1</v>
      </c>
      <c r="O32" s="52"/>
    </row>
    <row r="33" spans="1:15" x14ac:dyDescent="0.15">
      <c r="A33">
        <v>2</v>
      </c>
      <c r="D33" s="51" t="s">
        <v>25</v>
      </c>
      <c r="E33" s="51" t="s">
        <v>34</v>
      </c>
      <c r="G33" s="51" t="s">
        <v>19</v>
      </c>
      <c r="H33">
        <v>1</v>
      </c>
      <c r="I33" s="58">
        <v>6860</v>
      </c>
      <c r="J33" s="59">
        <v>6860</v>
      </c>
      <c r="K33">
        <v>1</v>
      </c>
      <c r="O33" s="52"/>
    </row>
    <row r="34" spans="1:15" x14ac:dyDescent="0.15">
      <c r="A34">
        <v>2</v>
      </c>
      <c r="D34" s="51" t="s">
        <v>35</v>
      </c>
      <c r="E34" s="51" t="s">
        <v>36</v>
      </c>
      <c r="G34" s="51" t="s">
        <v>37</v>
      </c>
      <c r="H34">
        <v>16</v>
      </c>
      <c r="I34" s="58">
        <v>23000</v>
      </c>
      <c r="J34" s="59">
        <v>368000</v>
      </c>
      <c r="K34">
        <v>1</v>
      </c>
      <c r="O34" s="52"/>
    </row>
    <row r="35" spans="1:15" x14ac:dyDescent="0.15">
      <c r="A35">
        <v>2</v>
      </c>
      <c r="D35" s="51" t="s">
        <v>38</v>
      </c>
      <c r="E35" s="51" t="s">
        <v>39</v>
      </c>
      <c r="G35" s="51" t="s">
        <v>40</v>
      </c>
      <c r="H35">
        <v>1</v>
      </c>
      <c r="I35" s="58">
        <v>80000</v>
      </c>
      <c r="J35" s="59">
        <v>80000</v>
      </c>
      <c r="K35">
        <v>1</v>
      </c>
      <c r="O35" s="52"/>
    </row>
    <row r="36" spans="1:15" x14ac:dyDescent="0.15">
      <c r="A36">
        <v>2</v>
      </c>
      <c r="D36" s="51" t="s">
        <v>38</v>
      </c>
      <c r="E36" s="51" t="s">
        <v>41</v>
      </c>
      <c r="G36" s="51" t="s">
        <v>40</v>
      </c>
      <c r="H36">
        <v>2</v>
      </c>
      <c r="I36" s="58">
        <v>6000</v>
      </c>
      <c r="J36" s="59">
        <v>12000</v>
      </c>
      <c r="K36">
        <v>1</v>
      </c>
      <c r="O36" s="52"/>
    </row>
    <row r="37" spans="1:15" x14ac:dyDescent="0.15">
      <c r="A37">
        <v>2</v>
      </c>
      <c r="D37" s="51" t="s">
        <v>38</v>
      </c>
      <c r="E37" s="51" t="s">
        <v>42</v>
      </c>
      <c r="G37" s="51" t="s">
        <v>40</v>
      </c>
      <c r="H37">
        <v>3</v>
      </c>
      <c r="I37" s="58">
        <v>8000</v>
      </c>
      <c r="J37" s="59">
        <v>24000</v>
      </c>
      <c r="K37">
        <v>1</v>
      </c>
      <c r="O37" s="52"/>
    </row>
    <row r="38" spans="1:15" x14ac:dyDescent="0.15">
      <c r="A38">
        <v>2</v>
      </c>
      <c r="D38" s="51" t="s">
        <v>38</v>
      </c>
      <c r="E38" s="51" t="s">
        <v>64</v>
      </c>
      <c r="G38" s="51" t="s">
        <v>40</v>
      </c>
      <c r="H38">
        <v>1</v>
      </c>
      <c r="I38" s="58">
        <v>50000</v>
      </c>
      <c r="J38" s="59">
        <v>50000</v>
      </c>
      <c r="K38">
        <v>1</v>
      </c>
      <c r="O38" s="52"/>
    </row>
    <row r="39" spans="1:15" x14ac:dyDescent="0.15">
      <c r="A39">
        <v>2</v>
      </c>
      <c r="D39" s="51" t="s">
        <v>38</v>
      </c>
      <c r="E39" s="51" t="s">
        <v>44</v>
      </c>
      <c r="G39" s="51" t="s">
        <v>40</v>
      </c>
      <c r="H39">
        <v>6</v>
      </c>
      <c r="I39" s="58">
        <v>3000</v>
      </c>
      <c r="J39" s="59">
        <v>18000</v>
      </c>
      <c r="K39">
        <v>1</v>
      </c>
      <c r="O39" s="52"/>
    </row>
    <row r="40" spans="1:15" x14ac:dyDescent="0.15">
      <c r="A40">
        <v>2</v>
      </c>
      <c r="D40" s="51" t="s">
        <v>45</v>
      </c>
      <c r="E40" s="51" t="s">
        <v>46</v>
      </c>
      <c r="G40" s="51" t="s">
        <v>40</v>
      </c>
      <c r="H40">
        <v>7</v>
      </c>
      <c r="I40" s="58">
        <v>37000</v>
      </c>
      <c r="J40" s="59">
        <v>259000</v>
      </c>
      <c r="K40">
        <v>1</v>
      </c>
      <c r="O40" s="52"/>
    </row>
    <row r="41" spans="1:15" x14ac:dyDescent="0.15">
      <c r="A41">
        <v>2</v>
      </c>
      <c r="D41" s="51" t="s">
        <v>45</v>
      </c>
      <c r="E41" s="51" t="s">
        <v>47</v>
      </c>
      <c r="G41" s="51" t="s">
        <v>27</v>
      </c>
      <c r="H41">
        <v>40</v>
      </c>
      <c r="I41" s="58">
        <v>400</v>
      </c>
      <c r="J41" s="59">
        <v>16000</v>
      </c>
      <c r="K41">
        <v>1</v>
      </c>
      <c r="O41" s="52"/>
    </row>
    <row r="42" spans="1:15" x14ac:dyDescent="0.15">
      <c r="A42">
        <v>2</v>
      </c>
      <c r="D42" s="51" t="s">
        <v>45</v>
      </c>
      <c r="E42" s="51" t="s">
        <v>48</v>
      </c>
      <c r="F42" s="51" t="s">
        <v>49</v>
      </c>
      <c r="G42" s="51" t="s">
        <v>50</v>
      </c>
      <c r="H42">
        <v>2</v>
      </c>
      <c r="I42" s="58">
        <v>30000</v>
      </c>
      <c r="J42" s="59">
        <v>60000</v>
      </c>
      <c r="K42">
        <v>1</v>
      </c>
      <c r="O42" s="52"/>
    </row>
    <row r="43" spans="1:15" x14ac:dyDescent="0.15">
      <c r="A43">
        <v>2</v>
      </c>
      <c r="D43" s="51" t="s">
        <v>45</v>
      </c>
      <c r="E43" s="51" t="s">
        <v>51</v>
      </c>
      <c r="F43" s="51" t="s">
        <v>52</v>
      </c>
      <c r="G43" s="51" t="s">
        <v>50</v>
      </c>
      <c r="H43">
        <v>4</v>
      </c>
      <c r="I43" s="58">
        <v>16000</v>
      </c>
      <c r="J43" s="59">
        <v>64000</v>
      </c>
      <c r="K43">
        <v>1</v>
      </c>
      <c r="O43" s="52"/>
    </row>
    <row r="44" spans="1:15" x14ac:dyDescent="0.15">
      <c r="A44">
        <v>2</v>
      </c>
      <c r="D44" s="51" t="s">
        <v>45</v>
      </c>
      <c r="E44" s="51" t="s">
        <v>51</v>
      </c>
      <c r="F44" s="51" t="s">
        <v>53</v>
      </c>
      <c r="G44" s="51" t="s">
        <v>50</v>
      </c>
      <c r="H44">
        <v>6</v>
      </c>
      <c r="I44" s="58">
        <v>16000</v>
      </c>
      <c r="J44" s="59">
        <v>96000</v>
      </c>
      <c r="K44">
        <v>1</v>
      </c>
      <c r="O44" s="52"/>
    </row>
    <row r="45" spans="1:15" x14ac:dyDescent="0.15">
      <c r="A45">
        <v>2</v>
      </c>
      <c r="D45" s="51" t="s">
        <v>45</v>
      </c>
      <c r="E45" s="51" t="s">
        <v>54</v>
      </c>
      <c r="G45" s="51" t="s">
        <v>40</v>
      </c>
      <c r="H45">
        <v>6</v>
      </c>
      <c r="I45" s="58">
        <v>8000</v>
      </c>
      <c r="J45" s="59">
        <v>48000</v>
      </c>
      <c r="K45">
        <v>1</v>
      </c>
      <c r="O45" s="52"/>
    </row>
    <row r="46" spans="1:15" x14ac:dyDescent="0.15">
      <c r="A46">
        <v>2</v>
      </c>
      <c r="D46" s="51" t="s">
        <v>45</v>
      </c>
      <c r="E46" s="51" t="s">
        <v>55</v>
      </c>
      <c r="G46" s="51" t="s">
        <v>40</v>
      </c>
      <c r="H46">
        <v>2</v>
      </c>
      <c r="I46" s="58">
        <v>8000</v>
      </c>
      <c r="J46" s="59">
        <v>16000</v>
      </c>
      <c r="K46">
        <v>1</v>
      </c>
      <c r="O46" s="52"/>
    </row>
    <row r="47" spans="1:15" x14ac:dyDescent="0.15">
      <c r="A47">
        <v>2</v>
      </c>
      <c r="D47" s="51" t="s">
        <v>56</v>
      </c>
      <c r="E47" s="51" t="s">
        <v>57</v>
      </c>
      <c r="G47" s="51" t="s">
        <v>19</v>
      </c>
      <c r="H47">
        <v>1</v>
      </c>
      <c r="I47" s="58">
        <v>65000</v>
      </c>
      <c r="J47" s="59">
        <v>65000</v>
      </c>
      <c r="K47">
        <v>1</v>
      </c>
      <c r="O47" s="52"/>
    </row>
    <row r="48" spans="1:15" x14ac:dyDescent="0.15">
      <c r="A48">
        <v>2</v>
      </c>
      <c r="D48" s="51" t="s">
        <v>56</v>
      </c>
      <c r="E48" s="51" t="s">
        <v>58</v>
      </c>
      <c r="G48" s="51" t="s">
        <v>19</v>
      </c>
      <c r="H48">
        <v>1</v>
      </c>
      <c r="I48" s="58">
        <v>59800</v>
      </c>
      <c r="J48" s="59">
        <v>59800</v>
      </c>
      <c r="K48">
        <v>1</v>
      </c>
      <c r="O48" s="52"/>
    </row>
    <row r="49" spans="1:15" x14ac:dyDescent="0.15">
      <c r="A49">
        <v>2</v>
      </c>
      <c r="D49" s="51" t="s">
        <v>56</v>
      </c>
      <c r="E49" s="51" t="s">
        <v>59</v>
      </c>
      <c r="G49" s="51" t="s">
        <v>37</v>
      </c>
      <c r="H49">
        <v>12</v>
      </c>
      <c r="I49" s="58">
        <v>18000</v>
      </c>
      <c r="J49" s="59">
        <v>216000</v>
      </c>
      <c r="K49">
        <v>1</v>
      </c>
      <c r="O49" s="52"/>
    </row>
    <row r="50" spans="1:15" x14ac:dyDescent="0.15">
      <c r="A50">
        <v>2</v>
      </c>
      <c r="D50" s="51" t="s">
        <v>38</v>
      </c>
      <c r="E50" s="51" t="s">
        <v>60</v>
      </c>
      <c r="G50" s="51" t="s">
        <v>40</v>
      </c>
      <c r="H50">
        <v>2</v>
      </c>
      <c r="I50" s="58">
        <v>15000</v>
      </c>
      <c r="J50" s="59">
        <v>30000</v>
      </c>
      <c r="K50">
        <v>1</v>
      </c>
      <c r="O50" s="52"/>
    </row>
    <row r="51" spans="1:15" x14ac:dyDescent="0.15">
      <c r="A51">
        <v>1</v>
      </c>
      <c r="D51" s="51" t="s">
        <v>20</v>
      </c>
      <c r="E51" s="51" t="s">
        <v>65</v>
      </c>
      <c r="G51" s="51" t="s">
        <v>23</v>
      </c>
      <c r="H51">
        <v>0</v>
      </c>
      <c r="I51" s="58"/>
      <c r="J51" s="59"/>
      <c r="K51">
        <v>0</v>
      </c>
      <c r="M51" s="51" t="s">
        <v>66</v>
      </c>
      <c r="O51" s="52"/>
    </row>
    <row r="52" spans="1:15" x14ac:dyDescent="0.15">
      <c r="A52">
        <v>2</v>
      </c>
      <c r="D52" s="51" t="s">
        <v>25</v>
      </c>
      <c r="E52" s="51" t="s">
        <v>67</v>
      </c>
      <c r="G52" s="51" t="s">
        <v>27</v>
      </c>
      <c r="H52">
        <v>14</v>
      </c>
      <c r="I52" s="58">
        <v>10500</v>
      </c>
      <c r="J52" s="59">
        <v>147000</v>
      </c>
      <c r="K52">
        <v>1</v>
      </c>
      <c r="O52" s="52"/>
    </row>
    <row r="53" spans="1:15" x14ac:dyDescent="0.15">
      <c r="A53">
        <v>2</v>
      </c>
      <c r="D53" s="51" t="s">
        <v>25</v>
      </c>
      <c r="E53" s="51" t="s">
        <v>68</v>
      </c>
      <c r="G53" s="51" t="s">
        <v>29</v>
      </c>
      <c r="H53">
        <v>50</v>
      </c>
      <c r="I53" s="58">
        <v>155</v>
      </c>
      <c r="J53" s="59">
        <v>7750</v>
      </c>
      <c r="K53">
        <v>1</v>
      </c>
      <c r="O53" s="52"/>
    </row>
    <row r="54" spans="1:15" x14ac:dyDescent="0.15">
      <c r="A54">
        <v>2</v>
      </c>
      <c r="D54" s="51" t="s">
        <v>25</v>
      </c>
      <c r="E54" s="51" t="s">
        <v>32</v>
      </c>
      <c r="G54" s="51" t="s">
        <v>29</v>
      </c>
      <c r="H54">
        <v>100</v>
      </c>
      <c r="I54" s="58">
        <v>160</v>
      </c>
      <c r="J54" s="59">
        <v>16000</v>
      </c>
      <c r="K54">
        <v>1</v>
      </c>
      <c r="O54" s="52"/>
    </row>
    <row r="55" spans="1:15" x14ac:dyDescent="0.15">
      <c r="A55">
        <v>2</v>
      </c>
      <c r="D55" s="51" t="s">
        <v>25</v>
      </c>
      <c r="E55" s="51" t="s">
        <v>33</v>
      </c>
      <c r="G55" s="51" t="s">
        <v>29</v>
      </c>
      <c r="H55">
        <v>20</v>
      </c>
      <c r="I55" s="58">
        <v>180</v>
      </c>
      <c r="J55" s="59">
        <v>3600</v>
      </c>
      <c r="K55">
        <v>1</v>
      </c>
      <c r="O55" s="52"/>
    </row>
    <row r="56" spans="1:15" x14ac:dyDescent="0.15">
      <c r="A56">
        <v>2</v>
      </c>
      <c r="D56" s="51" t="s">
        <v>25</v>
      </c>
      <c r="E56" s="51" t="s">
        <v>34</v>
      </c>
      <c r="G56" s="51" t="s">
        <v>19</v>
      </c>
      <c r="H56">
        <v>1</v>
      </c>
      <c r="I56" s="58">
        <v>9850</v>
      </c>
      <c r="J56" s="59">
        <v>9850</v>
      </c>
      <c r="K56">
        <v>1</v>
      </c>
      <c r="O56" s="52"/>
    </row>
    <row r="57" spans="1:15" x14ac:dyDescent="0.15">
      <c r="A57">
        <v>2</v>
      </c>
      <c r="D57" s="51" t="s">
        <v>35</v>
      </c>
      <c r="E57" s="51" t="s">
        <v>36</v>
      </c>
      <c r="G57" s="51" t="s">
        <v>37</v>
      </c>
      <c r="H57">
        <v>8</v>
      </c>
      <c r="I57" s="58">
        <v>23000</v>
      </c>
      <c r="J57" s="59">
        <v>184000</v>
      </c>
      <c r="K57">
        <v>1</v>
      </c>
      <c r="O57" s="52"/>
    </row>
    <row r="58" spans="1:15" x14ac:dyDescent="0.15">
      <c r="A58">
        <v>2</v>
      </c>
      <c r="D58" s="51" t="s">
        <v>38</v>
      </c>
      <c r="E58" s="51" t="s">
        <v>39</v>
      </c>
      <c r="G58" s="51" t="s">
        <v>40</v>
      </c>
      <c r="H58">
        <v>1</v>
      </c>
      <c r="I58" s="58">
        <v>80000</v>
      </c>
      <c r="J58" s="59">
        <v>80000</v>
      </c>
      <c r="K58">
        <v>1</v>
      </c>
      <c r="O58" s="52"/>
    </row>
    <row r="59" spans="1:15" x14ac:dyDescent="0.15">
      <c r="A59">
        <v>2</v>
      </c>
      <c r="D59" s="51" t="s">
        <v>38</v>
      </c>
      <c r="E59" s="51" t="s">
        <v>41</v>
      </c>
      <c r="G59" s="51" t="s">
        <v>40</v>
      </c>
      <c r="H59">
        <v>1</v>
      </c>
      <c r="I59" s="58">
        <v>6000</v>
      </c>
      <c r="J59" s="59">
        <v>6000</v>
      </c>
      <c r="K59">
        <v>1</v>
      </c>
      <c r="O59" s="52"/>
    </row>
    <row r="60" spans="1:15" x14ac:dyDescent="0.15">
      <c r="A60">
        <v>2</v>
      </c>
      <c r="D60" s="51" t="s">
        <v>38</v>
      </c>
      <c r="E60" s="51" t="s">
        <v>42</v>
      </c>
      <c r="G60" s="51" t="s">
        <v>40</v>
      </c>
      <c r="H60">
        <v>1</v>
      </c>
      <c r="I60" s="58">
        <v>8000</v>
      </c>
      <c r="J60" s="59">
        <v>8000</v>
      </c>
      <c r="K60">
        <v>1</v>
      </c>
      <c r="O60" s="52"/>
    </row>
    <row r="61" spans="1:15" x14ac:dyDescent="0.15">
      <c r="A61">
        <v>2</v>
      </c>
      <c r="D61" s="51" t="s">
        <v>38</v>
      </c>
      <c r="E61" s="51" t="s">
        <v>69</v>
      </c>
      <c r="G61" s="51" t="s">
        <v>40</v>
      </c>
      <c r="H61">
        <v>1</v>
      </c>
      <c r="I61" s="58">
        <v>6000</v>
      </c>
      <c r="J61" s="59">
        <v>6000</v>
      </c>
      <c r="K61">
        <v>1</v>
      </c>
      <c r="O61" s="52"/>
    </row>
    <row r="62" spans="1:15" x14ac:dyDescent="0.15">
      <c r="A62">
        <v>2</v>
      </c>
      <c r="D62" s="51" t="s">
        <v>38</v>
      </c>
      <c r="E62" s="51" t="s">
        <v>70</v>
      </c>
      <c r="G62" s="51" t="s">
        <v>40</v>
      </c>
      <c r="H62">
        <v>1</v>
      </c>
      <c r="I62" s="58">
        <v>8000</v>
      </c>
      <c r="J62" s="59">
        <v>8000</v>
      </c>
      <c r="K62">
        <v>1</v>
      </c>
      <c r="O62" s="52"/>
    </row>
    <row r="63" spans="1:15" x14ac:dyDescent="0.15">
      <c r="A63">
        <v>2</v>
      </c>
      <c r="D63" s="51" t="s">
        <v>38</v>
      </c>
      <c r="E63" s="51" t="s">
        <v>71</v>
      </c>
      <c r="G63" s="51" t="s">
        <v>40</v>
      </c>
      <c r="H63">
        <v>1</v>
      </c>
      <c r="I63" s="58">
        <v>15000</v>
      </c>
      <c r="J63" s="59">
        <v>15000</v>
      </c>
      <c r="K63">
        <v>1</v>
      </c>
      <c r="O63" s="52"/>
    </row>
    <row r="64" spans="1:15" x14ac:dyDescent="0.15">
      <c r="A64">
        <v>2</v>
      </c>
      <c r="D64" s="51" t="s">
        <v>38</v>
      </c>
      <c r="E64" s="51" t="s">
        <v>72</v>
      </c>
      <c r="G64" s="51" t="s">
        <v>40</v>
      </c>
      <c r="H64">
        <v>1</v>
      </c>
      <c r="I64" s="58">
        <v>180000</v>
      </c>
      <c r="J64" s="59">
        <v>180000</v>
      </c>
      <c r="K64">
        <v>1</v>
      </c>
      <c r="O64" s="52"/>
    </row>
    <row r="65" spans="1:15" x14ac:dyDescent="0.15">
      <c r="A65">
        <v>2</v>
      </c>
      <c r="D65" s="51" t="s">
        <v>38</v>
      </c>
      <c r="E65" s="51" t="s">
        <v>73</v>
      </c>
      <c r="G65" s="51" t="s">
        <v>40</v>
      </c>
      <c r="H65">
        <v>1</v>
      </c>
      <c r="I65" s="58">
        <v>12000</v>
      </c>
      <c r="J65" s="59">
        <v>12000</v>
      </c>
      <c r="K65">
        <v>1</v>
      </c>
      <c r="O65" s="52"/>
    </row>
    <row r="66" spans="1:15" x14ac:dyDescent="0.15">
      <c r="A66">
        <v>2</v>
      </c>
      <c r="D66" s="51" t="s">
        <v>38</v>
      </c>
      <c r="E66" s="51" t="s">
        <v>64</v>
      </c>
      <c r="G66" s="51" t="s">
        <v>40</v>
      </c>
      <c r="H66">
        <v>1</v>
      </c>
      <c r="I66" s="58">
        <v>50000</v>
      </c>
      <c r="J66" s="59">
        <v>50000</v>
      </c>
      <c r="K66">
        <v>1</v>
      </c>
      <c r="O66" s="52"/>
    </row>
    <row r="67" spans="1:15" x14ac:dyDescent="0.15">
      <c r="A67">
        <v>2</v>
      </c>
      <c r="D67" s="51" t="s">
        <v>38</v>
      </c>
      <c r="E67" s="51" t="s">
        <v>44</v>
      </c>
      <c r="G67" s="51" t="s">
        <v>40</v>
      </c>
      <c r="H67">
        <v>3</v>
      </c>
      <c r="I67" s="58">
        <v>3000</v>
      </c>
      <c r="J67" s="59">
        <v>9000</v>
      </c>
      <c r="K67">
        <v>1</v>
      </c>
      <c r="O67" s="52"/>
    </row>
    <row r="68" spans="1:15" x14ac:dyDescent="0.15">
      <c r="A68">
        <v>2</v>
      </c>
      <c r="D68" s="51" t="s">
        <v>45</v>
      </c>
      <c r="E68" s="51" t="s">
        <v>74</v>
      </c>
      <c r="G68" s="51" t="s">
        <v>40</v>
      </c>
      <c r="H68">
        <v>2</v>
      </c>
      <c r="I68" s="58">
        <v>43000</v>
      </c>
      <c r="J68" s="59">
        <v>86000</v>
      </c>
      <c r="K68">
        <v>1</v>
      </c>
      <c r="O68" s="52"/>
    </row>
    <row r="69" spans="1:15" x14ac:dyDescent="0.15">
      <c r="A69">
        <v>2</v>
      </c>
      <c r="D69" s="51" t="s">
        <v>45</v>
      </c>
      <c r="E69" s="51" t="s">
        <v>47</v>
      </c>
      <c r="G69" s="51" t="s">
        <v>27</v>
      </c>
      <c r="H69">
        <v>12</v>
      </c>
      <c r="I69" s="58">
        <v>400</v>
      </c>
      <c r="J69" s="59">
        <v>4800</v>
      </c>
      <c r="K69">
        <v>1</v>
      </c>
      <c r="O69" s="52"/>
    </row>
    <row r="70" spans="1:15" x14ac:dyDescent="0.15">
      <c r="A70">
        <v>2</v>
      </c>
      <c r="D70" s="51" t="s">
        <v>45</v>
      </c>
      <c r="E70" s="51" t="s">
        <v>75</v>
      </c>
      <c r="G70" s="51" t="s">
        <v>50</v>
      </c>
      <c r="H70">
        <v>2</v>
      </c>
      <c r="I70" s="58">
        <v>65000</v>
      </c>
      <c r="J70" s="59">
        <v>130000</v>
      </c>
      <c r="K70">
        <v>1</v>
      </c>
      <c r="O70" s="52"/>
    </row>
    <row r="71" spans="1:15" x14ac:dyDescent="0.15">
      <c r="A71">
        <v>2</v>
      </c>
      <c r="D71" s="51" t="s">
        <v>45</v>
      </c>
      <c r="E71" s="51" t="s">
        <v>48</v>
      </c>
      <c r="F71" s="51" t="s">
        <v>49</v>
      </c>
      <c r="G71" s="51" t="s">
        <v>50</v>
      </c>
      <c r="H71">
        <v>2</v>
      </c>
      <c r="I71" s="58">
        <v>30000</v>
      </c>
      <c r="J71" s="59">
        <v>60000</v>
      </c>
      <c r="K71">
        <v>1</v>
      </c>
      <c r="O71" s="52"/>
    </row>
    <row r="72" spans="1:15" x14ac:dyDescent="0.15">
      <c r="A72">
        <v>2</v>
      </c>
      <c r="D72" s="51" t="s">
        <v>45</v>
      </c>
      <c r="E72" s="51" t="s">
        <v>48</v>
      </c>
      <c r="F72" s="51" t="s">
        <v>76</v>
      </c>
      <c r="G72" s="51" t="s">
        <v>50</v>
      </c>
      <c r="H72">
        <v>4</v>
      </c>
      <c r="I72" s="58">
        <v>22000</v>
      </c>
      <c r="J72" s="59">
        <v>88000</v>
      </c>
      <c r="K72">
        <v>1</v>
      </c>
      <c r="O72" s="52"/>
    </row>
    <row r="73" spans="1:15" x14ac:dyDescent="0.15">
      <c r="A73">
        <v>2</v>
      </c>
      <c r="D73" s="51" t="s">
        <v>45</v>
      </c>
      <c r="E73" s="51" t="s">
        <v>51</v>
      </c>
      <c r="F73" s="51" t="s">
        <v>53</v>
      </c>
      <c r="G73" s="51" t="s">
        <v>50</v>
      </c>
      <c r="H73">
        <v>2</v>
      </c>
      <c r="I73" s="58">
        <v>16000</v>
      </c>
      <c r="J73" s="59">
        <v>32000</v>
      </c>
      <c r="K73">
        <v>1</v>
      </c>
      <c r="O73" s="52"/>
    </row>
    <row r="74" spans="1:15" x14ac:dyDescent="0.15">
      <c r="A74">
        <v>2</v>
      </c>
      <c r="D74" s="51" t="s">
        <v>45</v>
      </c>
      <c r="E74" s="51" t="s">
        <v>54</v>
      </c>
      <c r="G74" s="51" t="s">
        <v>40</v>
      </c>
      <c r="H74">
        <v>2</v>
      </c>
      <c r="I74" s="58">
        <v>8000</v>
      </c>
      <c r="J74" s="59">
        <v>16000</v>
      </c>
      <c r="K74">
        <v>1</v>
      </c>
      <c r="O74" s="52"/>
    </row>
    <row r="75" spans="1:15" x14ac:dyDescent="0.15">
      <c r="A75">
        <v>2</v>
      </c>
      <c r="D75" s="51" t="s">
        <v>45</v>
      </c>
      <c r="E75" s="51" t="s">
        <v>55</v>
      </c>
      <c r="G75" s="51" t="s">
        <v>40</v>
      </c>
      <c r="H75">
        <v>2</v>
      </c>
      <c r="I75" s="58">
        <v>8000</v>
      </c>
      <c r="J75" s="59">
        <v>16000</v>
      </c>
      <c r="K75">
        <v>1</v>
      </c>
      <c r="O75" s="52"/>
    </row>
    <row r="76" spans="1:15" x14ac:dyDescent="0.15">
      <c r="A76">
        <v>2</v>
      </c>
      <c r="D76" s="51" t="s">
        <v>56</v>
      </c>
      <c r="E76" s="51" t="s">
        <v>57</v>
      </c>
      <c r="G76" s="51" t="s">
        <v>19</v>
      </c>
      <c r="H76">
        <v>1</v>
      </c>
      <c r="I76" s="58">
        <v>73000</v>
      </c>
      <c r="J76" s="59">
        <v>73000</v>
      </c>
      <c r="K76">
        <v>1</v>
      </c>
      <c r="O76" s="52"/>
    </row>
    <row r="77" spans="1:15" x14ac:dyDescent="0.15">
      <c r="A77">
        <v>2</v>
      </c>
      <c r="D77" s="51" t="s">
        <v>56</v>
      </c>
      <c r="E77" s="51" t="s">
        <v>77</v>
      </c>
      <c r="G77" s="51" t="s">
        <v>19</v>
      </c>
      <c r="H77">
        <v>1</v>
      </c>
      <c r="I77" s="58">
        <v>29900</v>
      </c>
      <c r="J77" s="59">
        <v>29900</v>
      </c>
      <c r="K77">
        <v>1</v>
      </c>
      <c r="O77" s="52"/>
    </row>
    <row r="78" spans="1:15" x14ac:dyDescent="0.15">
      <c r="A78">
        <v>2</v>
      </c>
      <c r="D78" s="51" t="s">
        <v>56</v>
      </c>
      <c r="E78" s="51" t="s">
        <v>78</v>
      </c>
      <c r="G78" s="51" t="s">
        <v>19</v>
      </c>
      <c r="H78">
        <v>1</v>
      </c>
      <c r="I78" s="58">
        <v>10300</v>
      </c>
      <c r="J78" s="59">
        <v>10300</v>
      </c>
      <c r="K78">
        <v>1</v>
      </c>
      <c r="O78" s="52"/>
    </row>
    <row r="79" spans="1:15" x14ac:dyDescent="0.15">
      <c r="A79">
        <v>2</v>
      </c>
      <c r="D79" s="51" t="s">
        <v>56</v>
      </c>
      <c r="E79" s="51" t="s">
        <v>59</v>
      </c>
      <c r="G79" s="51" t="s">
        <v>37</v>
      </c>
      <c r="H79">
        <v>6</v>
      </c>
      <c r="I79" s="58">
        <v>18000</v>
      </c>
      <c r="J79" s="59">
        <v>108000</v>
      </c>
      <c r="K79">
        <v>1</v>
      </c>
      <c r="O79" s="52"/>
    </row>
    <row r="80" spans="1:15" x14ac:dyDescent="0.15">
      <c r="A80">
        <v>2</v>
      </c>
      <c r="D80" s="51" t="s">
        <v>38</v>
      </c>
      <c r="E80" s="51" t="s">
        <v>60</v>
      </c>
      <c r="G80" s="51" t="s">
        <v>40</v>
      </c>
      <c r="H80">
        <v>1</v>
      </c>
      <c r="I80" s="58">
        <v>15000</v>
      </c>
      <c r="J80" s="59">
        <v>15000</v>
      </c>
      <c r="K80">
        <v>1</v>
      </c>
      <c r="O80" s="52"/>
    </row>
    <row r="81" spans="1:15" x14ac:dyDescent="0.15">
      <c r="A81">
        <v>1</v>
      </c>
      <c r="D81" s="51" t="s">
        <v>20</v>
      </c>
      <c r="E81" s="51" t="s">
        <v>79</v>
      </c>
      <c r="F81" s="51" t="s">
        <v>80</v>
      </c>
      <c r="G81" s="51" t="s">
        <v>23</v>
      </c>
      <c r="H81">
        <v>37</v>
      </c>
      <c r="I81" s="58">
        <v>15800</v>
      </c>
      <c r="J81" s="59">
        <v>584600</v>
      </c>
      <c r="K81">
        <v>37</v>
      </c>
      <c r="M81" s="51" t="s">
        <v>81</v>
      </c>
      <c r="O81" s="52"/>
    </row>
    <row r="82" spans="1:15" x14ac:dyDescent="0.15">
      <c r="A82">
        <v>2</v>
      </c>
      <c r="D82" s="51" t="s">
        <v>25</v>
      </c>
      <c r="E82" s="51" t="s">
        <v>80</v>
      </c>
      <c r="G82" s="51" t="s">
        <v>82</v>
      </c>
      <c r="H82">
        <v>30</v>
      </c>
      <c r="I82" s="58">
        <v>9000</v>
      </c>
      <c r="J82" s="59">
        <v>270000</v>
      </c>
      <c r="K82">
        <v>1</v>
      </c>
      <c r="O82" s="52"/>
    </row>
    <row r="83" spans="1:15" x14ac:dyDescent="0.15">
      <c r="A83">
        <v>2</v>
      </c>
      <c r="D83" s="51" t="s">
        <v>25</v>
      </c>
      <c r="E83" s="51" t="s">
        <v>83</v>
      </c>
      <c r="G83" s="51" t="s">
        <v>19</v>
      </c>
      <c r="H83">
        <v>1</v>
      </c>
      <c r="I83" s="58">
        <v>20000</v>
      </c>
      <c r="J83" s="59">
        <v>20000</v>
      </c>
      <c r="K83">
        <v>1</v>
      </c>
      <c r="O83" s="52"/>
    </row>
    <row r="84" spans="1:15" x14ac:dyDescent="0.15">
      <c r="A84">
        <v>2</v>
      </c>
      <c r="D84" s="51" t="s">
        <v>25</v>
      </c>
      <c r="E84" s="51" t="s">
        <v>34</v>
      </c>
      <c r="G84" s="51" t="s">
        <v>19</v>
      </c>
      <c r="H84">
        <v>1</v>
      </c>
      <c r="I84" s="58">
        <v>4100</v>
      </c>
      <c r="J84" s="59">
        <v>4100</v>
      </c>
      <c r="K84">
        <v>1</v>
      </c>
      <c r="O84" s="52"/>
    </row>
    <row r="85" spans="1:15" x14ac:dyDescent="0.15">
      <c r="A85">
        <v>2</v>
      </c>
      <c r="D85" s="51" t="s">
        <v>35</v>
      </c>
      <c r="E85" s="51" t="s">
        <v>36</v>
      </c>
      <c r="G85" s="51" t="s">
        <v>37</v>
      </c>
      <c r="H85">
        <v>6</v>
      </c>
      <c r="I85" s="58">
        <v>23000</v>
      </c>
      <c r="J85" s="59">
        <v>138000</v>
      </c>
      <c r="K85">
        <v>1</v>
      </c>
      <c r="O85" s="52"/>
    </row>
    <row r="86" spans="1:15" x14ac:dyDescent="0.15">
      <c r="A86">
        <v>2</v>
      </c>
      <c r="D86" s="51" t="s">
        <v>45</v>
      </c>
      <c r="E86" s="51" t="s">
        <v>54</v>
      </c>
      <c r="G86" s="51" t="s">
        <v>40</v>
      </c>
      <c r="H86">
        <v>2</v>
      </c>
      <c r="I86" s="58">
        <v>8000</v>
      </c>
      <c r="J86" s="59">
        <v>16000</v>
      </c>
      <c r="K86">
        <v>1</v>
      </c>
      <c r="O86" s="52"/>
    </row>
    <row r="87" spans="1:15" x14ac:dyDescent="0.15">
      <c r="A87">
        <v>2</v>
      </c>
      <c r="D87" s="51" t="s">
        <v>45</v>
      </c>
      <c r="E87" s="51" t="s">
        <v>55</v>
      </c>
      <c r="G87" s="51" t="s">
        <v>40</v>
      </c>
      <c r="H87">
        <v>1</v>
      </c>
      <c r="I87" s="58">
        <v>8000</v>
      </c>
      <c r="J87" s="59">
        <v>8000</v>
      </c>
      <c r="K87">
        <v>1</v>
      </c>
      <c r="O87" s="52"/>
    </row>
    <row r="88" spans="1:15" x14ac:dyDescent="0.15">
      <c r="A88">
        <v>2</v>
      </c>
      <c r="D88" s="51" t="s">
        <v>56</v>
      </c>
      <c r="E88" s="51" t="s">
        <v>57</v>
      </c>
      <c r="G88" s="51" t="s">
        <v>19</v>
      </c>
      <c r="H88">
        <v>1</v>
      </c>
      <c r="I88" s="58">
        <v>19000</v>
      </c>
      <c r="J88" s="59">
        <v>19000</v>
      </c>
      <c r="K88">
        <v>1</v>
      </c>
      <c r="O88" s="52"/>
    </row>
    <row r="89" spans="1:15" x14ac:dyDescent="0.15">
      <c r="A89">
        <v>2</v>
      </c>
      <c r="D89" s="51" t="s">
        <v>56</v>
      </c>
      <c r="E89" s="51" t="s">
        <v>58</v>
      </c>
      <c r="G89" s="51" t="s">
        <v>19</v>
      </c>
      <c r="H89">
        <v>1</v>
      </c>
      <c r="I89" s="58">
        <v>22500</v>
      </c>
      <c r="J89" s="59">
        <v>22500</v>
      </c>
      <c r="K89">
        <v>1</v>
      </c>
      <c r="O89" s="52"/>
    </row>
    <row r="90" spans="1:15" x14ac:dyDescent="0.15">
      <c r="A90">
        <v>2</v>
      </c>
      <c r="D90" s="51" t="s">
        <v>56</v>
      </c>
      <c r="E90" s="51" t="s">
        <v>59</v>
      </c>
      <c r="G90" s="51" t="s">
        <v>37</v>
      </c>
      <c r="H90">
        <v>4</v>
      </c>
      <c r="I90" s="58">
        <v>18000</v>
      </c>
      <c r="J90" s="59">
        <v>72000</v>
      </c>
      <c r="K90">
        <v>1</v>
      </c>
      <c r="O90" s="52"/>
    </row>
    <row r="91" spans="1:15" x14ac:dyDescent="0.15">
      <c r="A91">
        <v>2</v>
      </c>
      <c r="D91" s="51" t="s">
        <v>38</v>
      </c>
      <c r="E91" s="51" t="s">
        <v>60</v>
      </c>
      <c r="G91" s="51" t="s">
        <v>40</v>
      </c>
      <c r="H91">
        <v>1</v>
      </c>
      <c r="I91" s="58">
        <v>15000</v>
      </c>
      <c r="J91" s="59">
        <v>15000</v>
      </c>
      <c r="K91">
        <v>1</v>
      </c>
      <c r="O91" s="52"/>
    </row>
    <row r="92" spans="1:15" x14ac:dyDescent="0.15">
      <c r="A92">
        <v>1</v>
      </c>
      <c r="D92" s="51" t="s">
        <v>20</v>
      </c>
      <c r="E92" s="51" t="s">
        <v>84</v>
      </c>
      <c r="F92" s="51" t="s">
        <v>85</v>
      </c>
      <c r="G92" s="51" t="s">
        <v>23</v>
      </c>
      <c r="H92">
        <v>0</v>
      </c>
      <c r="I92" s="58"/>
      <c r="J92" s="59"/>
      <c r="K92">
        <v>0</v>
      </c>
      <c r="M92" s="51" t="s">
        <v>86</v>
      </c>
      <c r="O92" s="52"/>
    </row>
    <row r="93" spans="1:15" x14ac:dyDescent="0.15">
      <c r="A93">
        <v>2</v>
      </c>
      <c r="D93" s="51" t="s">
        <v>25</v>
      </c>
      <c r="E93" s="51" t="s">
        <v>67</v>
      </c>
      <c r="G93" s="51" t="s">
        <v>27</v>
      </c>
      <c r="H93">
        <v>26</v>
      </c>
      <c r="I93" s="58">
        <v>10500</v>
      </c>
      <c r="J93" s="59">
        <v>273000</v>
      </c>
      <c r="K93">
        <v>1</v>
      </c>
      <c r="O93" s="52"/>
    </row>
    <row r="94" spans="1:15" x14ac:dyDescent="0.15">
      <c r="A94">
        <v>2</v>
      </c>
      <c r="D94" s="51" t="s">
        <v>25</v>
      </c>
      <c r="E94" s="51" t="s">
        <v>68</v>
      </c>
      <c r="G94" s="51" t="s">
        <v>29</v>
      </c>
      <c r="H94">
        <v>80</v>
      </c>
      <c r="I94" s="58">
        <v>155</v>
      </c>
      <c r="J94" s="59">
        <v>12400</v>
      </c>
      <c r="K94">
        <v>1</v>
      </c>
      <c r="O94" s="52"/>
    </row>
    <row r="95" spans="1:15" x14ac:dyDescent="0.15">
      <c r="A95">
        <v>2</v>
      </c>
      <c r="D95" s="51" t="s">
        <v>25</v>
      </c>
      <c r="E95" s="51" t="s">
        <v>32</v>
      </c>
      <c r="G95" s="51" t="s">
        <v>29</v>
      </c>
      <c r="H95">
        <v>100</v>
      </c>
      <c r="I95" s="58">
        <v>160</v>
      </c>
      <c r="J95" s="59">
        <v>16000</v>
      </c>
      <c r="K95">
        <v>1</v>
      </c>
      <c r="O95" s="52"/>
    </row>
    <row r="96" spans="1:15" x14ac:dyDescent="0.15">
      <c r="A96">
        <v>2</v>
      </c>
      <c r="D96" s="51" t="s">
        <v>25</v>
      </c>
      <c r="E96" s="51" t="s">
        <v>33</v>
      </c>
      <c r="G96" s="51" t="s">
        <v>29</v>
      </c>
      <c r="H96">
        <v>60</v>
      </c>
      <c r="I96" s="58">
        <v>180</v>
      </c>
      <c r="J96" s="59">
        <v>10800</v>
      </c>
      <c r="K96">
        <v>1</v>
      </c>
      <c r="O96" s="52"/>
    </row>
    <row r="97" spans="1:15" x14ac:dyDescent="0.15">
      <c r="A97">
        <v>2</v>
      </c>
      <c r="D97" s="51" t="s">
        <v>25</v>
      </c>
      <c r="E97" s="51" t="s">
        <v>34</v>
      </c>
      <c r="G97" s="51" t="s">
        <v>19</v>
      </c>
      <c r="H97">
        <v>1</v>
      </c>
      <c r="I97" s="58">
        <v>4400</v>
      </c>
      <c r="J97" s="59">
        <v>4400</v>
      </c>
      <c r="K97">
        <v>1</v>
      </c>
      <c r="O97" s="52"/>
    </row>
    <row r="98" spans="1:15" x14ac:dyDescent="0.15">
      <c r="A98">
        <v>2</v>
      </c>
      <c r="D98" s="51" t="s">
        <v>35</v>
      </c>
      <c r="E98" s="51" t="s">
        <v>36</v>
      </c>
      <c r="G98" s="51" t="s">
        <v>37</v>
      </c>
      <c r="H98">
        <v>8</v>
      </c>
      <c r="I98" s="58">
        <v>30000</v>
      </c>
      <c r="J98" s="59">
        <v>240000</v>
      </c>
      <c r="K98">
        <v>1</v>
      </c>
      <c r="O98" s="52"/>
    </row>
    <row r="99" spans="1:15" x14ac:dyDescent="0.15">
      <c r="A99">
        <v>2</v>
      </c>
      <c r="D99" s="51" t="s">
        <v>38</v>
      </c>
      <c r="E99" s="51" t="s">
        <v>39</v>
      </c>
      <c r="G99" s="51" t="s">
        <v>40</v>
      </c>
      <c r="H99">
        <v>1</v>
      </c>
      <c r="I99" s="58">
        <v>86000</v>
      </c>
      <c r="J99" s="59">
        <v>86000</v>
      </c>
      <c r="K99">
        <v>1</v>
      </c>
      <c r="O99" s="52"/>
    </row>
    <row r="100" spans="1:15" x14ac:dyDescent="0.15">
      <c r="A100">
        <v>2</v>
      </c>
      <c r="D100" s="51" t="s">
        <v>38</v>
      </c>
      <c r="E100" s="51" t="s">
        <v>41</v>
      </c>
      <c r="G100" s="51" t="s">
        <v>40</v>
      </c>
      <c r="H100">
        <v>1</v>
      </c>
      <c r="I100" s="58">
        <v>6000</v>
      </c>
      <c r="J100" s="59">
        <v>6000</v>
      </c>
      <c r="K100">
        <v>1</v>
      </c>
      <c r="O100" s="52"/>
    </row>
    <row r="101" spans="1:15" x14ac:dyDescent="0.15">
      <c r="A101">
        <v>2</v>
      </c>
      <c r="D101" s="51" t="s">
        <v>38</v>
      </c>
      <c r="E101" s="51" t="s">
        <v>42</v>
      </c>
      <c r="G101" s="51" t="s">
        <v>40</v>
      </c>
      <c r="H101">
        <v>1</v>
      </c>
      <c r="I101" s="58">
        <v>8000</v>
      </c>
      <c r="J101" s="59">
        <v>8000</v>
      </c>
      <c r="K101">
        <v>1</v>
      </c>
      <c r="O101" s="52"/>
    </row>
    <row r="102" spans="1:15" x14ac:dyDescent="0.15">
      <c r="A102">
        <v>2</v>
      </c>
      <c r="D102" s="51" t="s">
        <v>38</v>
      </c>
      <c r="E102" s="51" t="s">
        <v>69</v>
      </c>
      <c r="G102" s="51" t="s">
        <v>40</v>
      </c>
      <c r="H102">
        <v>1</v>
      </c>
      <c r="I102" s="58">
        <v>6000</v>
      </c>
      <c r="J102" s="59">
        <v>6000</v>
      </c>
      <c r="K102">
        <v>1</v>
      </c>
      <c r="O102" s="52"/>
    </row>
    <row r="103" spans="1:15" x14ac:dyDescent="0.15">
      <c r="A103">
        <v>2</v>
      </c>
      <c r="D103" s="51" t="s">
        <v>38</v>
      </c>
      <c r="E103" s="51" t="s">
        <v>70</v>
      </c>
      <c r="G103" s="51" t="s">
        <v>40</v>
      </c>
      <c r="H103">
        <v>1</v>
      </c>
      <c r="I103" s="58">
        <v>8000</v>
      </c>
      <c r="J103" s="59">
        <v>8000</v>
      </c>
      <c r="K103">
        <v>1</v>
      </c>
      <c r="O103" s="52"/>
    </row>
    <row r="104" spans="1:15" x14ac:dyDescent="0.15">
      <c r="A104">
        <v>2</v>
      </c>
      <c r="D104" s="51" t="s">
        <v>38</v>
      </c>
      <c r="E104" s="51" t="s">
        <v>71</v>
      </c>
      <c r="G104" s="51" t="s">
        <v>40</v>
      </c>
      <c r="H104">
        <v>1</v>
      </c>
      <c r="I104" s="58">
        <v>15000</v>
      </c>
      <c r="J104" s="59">
        <v>15000</v>
      </c>
      <c r="K104">
        <v>1</v>
      </c>
      <c r="O104" s="52"/>
    </row>
    <row r="105" spans="1:15" x14ac:dyDescent="0.15">
      <c r="A105">
        <v>2</v>
      </c>
      <c r="D105" s="51" t="s">
        <v>38</v>
      </c>
      <c r="E105" s="51" t="s">
        <v>72</v>
      </c>
      <c r="G105" s="51" t="s">
        <v>40</v>
      </c>
      <c r="H105">
        <v>1</v>
      </c>
      <c r="I105" s="58">
        <v>180000</v>
      </c>
      <c r="J105" s="59">
        <v>180000</v>
      </c>
      <c r="K105">
        <v>1</v>
      </c>
      <c r="O105" s="52"/>
    </row>
    <row r="106" spans="1:15" x14ac:dyDescent="0.15">
      <c r="A106">
        <v>2</v>
      </c>
      <c r="D106" s="51" t="s">
        <v>38</v>
      </c>
      <c r="E106" s="51" t="s">
        <v>73</v>
      </c>
      <c r="G106" s="51" t="s">
        <v>40</v>
      </c>
      <c r="H106">
        <v>1</v>
      </c>
      <c r="I106" s="58">
        <v>12000</v>
      </c>
      <c r="J106" s="59">
        <v>12000</v>
      </c>
      <c r="K106">
        <v>1</v>
      </c>
      <c r="O106" s="52"/>
    </row>
    <row r="107" spans="1:15" x14ac:dyDescent="0.15">
      <c r="A107">
        <v>2</v>
      </c>
      <c r="D107" s="51" t="s">
        <v>38</v>
      </c>
      <c r="E107" s="51" t="s">
        <v>87</v>
      </c>
      <c r="G107" s="51" t="s">
        <v>40</v>
      </c>
      <c r="H107">
        <v>1</v>
      </c>
      <c r="I107" s="58">
        <v>85000</v>
      </c>
      <c r="J107" s="59">
        <v>85000</v>
      </c>
      <c r="K107">
        <v>1</v>
      </c>
      <c r="O107" s="52"/>
    </row>
    <row r="108" spans="1:15" x14ac:dyDescent="0.15">
      <c r="A108">
        <v>2</v>
      </c>
      <c r="D108" s="51" t="s">
        <v>38</v>
      </c>
      <c r="E108" s="51" t="s">
        <v>64</v>
      </c>
      <c r="G108" s="51" t="s">
        <v>40</v>
      </c>
      <c r="H108">
        <v>1</v>
      </c>
      <c r="I108" s="58">
        <v>60000</v>
      </c>
      <c r="J108" s="59">
        <v>60000</v>
      </c>
      <c r="K108">
        <v>1</v>
      </c>
      <c r="O108" s="52"/>
    </row>
    <row r="109" spans="1:15" x14ac:dyDescent="0.15">
      <c r="A109">
        <v>2</v>
      </c>
      <c r="D109" s="51" t="s">
        <v>38</v>
      </c>
      <c r="E109" s="51" t="s">
        <v>44</v>
      </c>
      <c r="G109" s="51" t="s">
        <v>40</v>
      </c>
      <c r="H109">
        <v>3</v>
      </c>
      <c r="I109" s="58">
        <v>3000</v>
      </c>
      <c r="J109" s="59">
        <v>9000</v>
      </c>
      <c r="K109">
        <v>1</v>
      </c>
      <c r="O109" s="52"/>
    </row>
    <row r="110" spans="1:15" x14ac:dyDescent="0.15">
      <c r="A110">
        <v>2</v>
      </c>
      <c r="D110" s="51" t="s">
        <v>38</v>
      </c>
      <c r="E110" s="51" t="s">
        <v>88</v>
      </c>
      <c r="G110" s="51" t="s">
        <v>40</v>
      </c>
      <c r="H110">
        <v>6</v>
      </c>
      <c r="I110" s="58">
        <v>5000</v>
      </c>
      <c r="J110" s="59">
        <v>30000</v>
      </c>
      <c r="K110">
        <v>1</v>
      </c>
      <c r="O110" s="52"/>
    </row>
    <row r="111" spans="1:15" x14ac:dyDescent="0.15">
      <c r="A111">
        <v>2</v>
      </c>
      <c r="D111" s="51" t="s">
        <v>45</v>
      </c>
      <c r="E111" s="51" t="s">
        <v>74</v>
      </c>
      <c r="G111" s="51" t="s">
        <v>40</v>
      </c>
      <c r="H111">
        <v>3</v>
      </c>
      <c r="I111" s="58">
        <v>43000</v>
      </c>
      <c r="J111" s="59">
        <v>129000</v>
      </c>
      <c r="K111">
        <v>1</v>
      </c>
      <c r="O111" s="52"/>
    </row>
    <row r="112" spans="1:15" x14ac:dyDescent="0.15">
      <c r="A112">
        <v>2</v>
      </c>
      <c r="D112" s="51" t="s">
        <v>45</v>
      </c>
      <c r="E112" s="51" t="s">
        <v>47</v>
      </c>
      <c r="G112" s="51" t="s">
        <v>27</v>
      </c>
      <c r="H112">
        <v>24</v>
      </c>
      <c r="I112" s="58">
        <v>400</v>
      </c>
      <c r="J112" s="59">
        <v>9600</v>
      </c>
      <c r="K112">
        <v>1</v>
      </c>
      <c r="O112" s="52"/>
    </row>
    <row r="113" spans="1:15" x14ac:dyDescent="0.15">
      <c r="A113">
        <v>2</v>
      </c>
      <c r="D113" s="51" t="s">
        <v>45</v>
      </c>
      <c r="E113" s="51" t="s">
        <v>75</v>
      </c>
      <c r="G113" s="51" t="s">
        <v>50</v>
      </c>
      <c r="H113">
        <v>2</v>
      </c>
      <c r="I113" s="58">
        <v>65000</v>
      </c>
      <c r="J113" s="59">
        <v>130000</v>
      </c>
      <c r="K113">
        <v>1</v>
      </c>
      <c r="O113" s="52"/>
    </row>
    <row r="114" spans="1:15" x14ac:dyDescent="0.15">
      <c r="A114">
        <v>2</v>
      </c>
      <c r="D114" s="51" t="s">
        <v>45</v>
      </c>
      <c r="E114" s="51" t="s">
        <v>48</v>
      </c>
      <c r="F114" s="51" t="s">
        <v>49</v>
      </c>
      <c r="G114" s="51" t="s">
        <v>50</v>
      </c>
      <c r="H114">
        <v>2</v>
      </c>
      <c r="I114" s="58">
        <v>33000</v>
      </c>
      <c r="J114" s="59">
        <v>66000</v>
      </c>
      <c r="K114">
        <v>1</v>
      </c>
      <c r="O114" s="52"/>
    </row>
    <row r="115" spans="1:15" x14ac:dyDescent="0.15">
      <c r="A115">
        <v>2</v>
      </c>
      <c r="D115" s="51" t="s">
        <v>45</v>
      </c>
      <c r="E115" s="51" t="s">
        <v>48</v>
      </c>
      <c r="F115" s="51" t="s">
        <v>76</v>
      </c>
      <c r="G115" s="51" t="s">
        <v>50</v>
      </c>
      <c r="H115">
        <v>4</v>
      </c>
      <c r="I115" s="58">
        <v>26000</v>
      </c>
      <c r="J115" s="59">
        <v>104000</v>
      </c>
      <c r="K115">
        <v>1</v>
      </c>
      <c r="O115" s="52"/>
    </row>
    <row r="116" spans="1:15" x14ac:dyDescent="0.15">
      <c r="A116">
        <v>2</v>
      </c>
      <c r="D116" s="51" t="s">
        <v>45</v>
      </c>
      <c r="E116" s="51" t="s">
        <v>51</v>
      </c>
      <c r="F116" s="51" t="s">
        <v>53</v>
      </c>
      <c r="G116" s="51" t="s">
        <v>50</v>
      </c>
      <c r="H116">
        <v>2</v>
      </c>
      <c r="I116" s="58">
        <v>16000</v>
      </c>
      <c r="J116" s="59">
        <v>32000</v>
      </c>
      <c r="K116">
        <v>1</v>
      </c>
      <c r="O116" s="52"/>
    </row>
    <row r="117" spans="1:15" x14ac:dyDescent="0.15">
      <c r="A117">
        <v>2</v>
      </c>
      <c r="D117" s="51" t="s">
        <v>45</v>
      </c>
      <c r="E117" s="51" t="s">
        <v>54</v>
      </c>
      <c r="G117" s="51" t="s">
        <v>40</v>
      </c>
      <c r="H117">
        <v>2</v>
      </c>
      <c r="I117" s="58">
        <v>8000</v>
      </c>
      <c r="J117" s="59">
        <v>16000</v>
      </c>
      <c r="K117">
        <v>1</v>
      </c>
      <c r="O117" s="52"/>
    </row>
    <row r="118" spans="1:15" x14ac:dyDescent="0.15">
      <c r="A118">
        <v>2</v>
      </c>
      <c r="D118" s="51" t="s">
        <v>45</v>
      </c>
      <c r="E118" s="51" t="s">
        <v>55</v>
      </c>
      <c r="G118" s="51" t="s">
        <v>40</v>
      </c>
      <c r="H118">
        <v>2</v>
      </c>
      <c r="I118" s="58">
        <v>8000</v>
      </c>
      <c r="J118" s="59">
        <v>16000</v>
      </c>
      <c r="K118">
        <v>1</v>
      </c>
      <c r="O118" s="52"/>
    </row>
    <row r="119" spans="1:15" x14ac:dyDescent="0.15">
      <c r="A119">
        <v>2</v>
      </c>
      <c r="D119" s="51" t="s">
        <v>45</v>
      </c>
      <c r="E119" s="51" t="s">
        <v>89</v>
      </c>
      <c r="G119" s="51" t="s">
        <v>40</v>
      </c>
      <c r="H119">
        <v>1</v>
      </c>
      <c r="I119" s="58">
        <v>7000</v>
      </c>
      <c r="J119" s="59">
        <v>7000</v>
      </c>
      <c r="K119">
        <v>1</v>
      </c>
      <c r="O119" s="52"/>
    </row>
    <row r="120" spans="1:15" x14ac:dyDescent="0.15">
      <c r="A120">
        <v>2</v>
      </c>
      <c r="D120" s="51" t="s">
        <v>56</v>
      </c>
      <c r="E120" s="51" t="s">
        <v>57</v>
      </c>
      <c r="G120" s="51" t="s">
        <v>19</v>
      </c>
      <c r="H120">
        <v>1</v>
      </c>
      <c r="I120" s="58">
        <v>64000</v>
      </c>
      <c r="J120" s="59">
        <v>64000</v>
      </c>
      <c r="K120">
        <v>1</v>
      </c>
      <c r="O120" s="52"/>
    </row>
    <row r="121" spans="1:15" x14ac:dyDescent="0.15">
      <c r="A121">
        <v>2</v>
      </c>
      <c r="D121" s="51" t="s">
        <v>56</v>
      </c>
      <c r="E121" s="51" t="s">
        <v>77</v>
      </c>
      <c r="G121" s="51" t="s">
        <v>19</v>
      </c>
      <c r="H121">
        <v>1</v>
      </c>
      <c r="I121" s="58">
        <v>39000</v>
      </c>
      <c r="J121" s="59">
        <v>39000</v>
      </c>
      <c r="K121">
        <v>1</v>
      </c>
      <c r="O121" s="52"/>
    </row>
    <row r="122" spans="1:15" x14ac:dyDescent="0.15">
      <c r="A122">
        <v>2</v>
      </c>
      <c r="D122" s="51" t="s">
        <v>56</v>
      </c>
      <c r="E122" s="51" t="s">
        <v>78</v>
      </c>
      <c r="G122" s="51" t="s">
        <v>19</v>
      </c>
      <c r="H122">
        <v>1</v>
      </c>
      <c r="I122" s="58">
        <v>19000</v>
      </c>
      <c r="J122" s="59">
        <v>19000</v>
      </c>
      <c r="K122">
        <v>1</v>
      </c>
      <c r="O122" s="52"/>
    </row>
    <row r="123" spans="1:15" x14ac:dyDescent="0.15">
      <c r="A123">
        <v>2</v>
      </c>
      <c r="D123" s="51" t="s">
        <v>56</v>
      </c>
      <c r="E123" s="51" t="s">
        <v>59</v>
      </c>
      <c r="G123" s="51" t="s">
        <v>37</v>
      </c>
      <c r="H123">
        <v>6</v>
      </c>
      <c r="I123" s="58">
        <v>23000</v>
      </c>
      <c r="J123" s="59">
        <v>138000</v>
      </c>
      <c r="K123">
        <v>1</v>
      </c>
      <c r="O123" s="52"/>
    </row>
    <row r="124" spans="1:15" x14ac:dyDescent="0.15">
      <c r="A124">
        <v>2</v>
      </c>
      <c r="D124" s="51" t="s">
        <v>38</v>
      </c>
      <c r="E124" s="51" t="s">
        <v>60</v>
      </c>
      <c r="G124" s="51" t="s">
        <v>40</v>
      </c>
      <c r="H124">
        <v>1</v>
      </c>
      <c r="I124" s="58">
        <v>15000</v>
      </c>
      <c r="J124" s="59">
        <v>15000</v>
      </c>
      <c r="K124">
        <v>1</v>
      </c>
      <c r="O124" s="52"/>
    </row>
    <row r="125" spans="1:15" x14ac:dyDescent="0.15">
      <c r="A125">
        <v>1</v>
      </c>
      <c r="D125" s="51" t="s">
        <v>20</v>
      </c>
      <c r="E125" s="51" t="s">
        <v>90</v>
      </c>
      <c r="F125" s="51" t="s">
        <v>22</v>
      </c>
      <c r="G125" s="51" t="s">
        <v>23</v>
      </c>
      <c r="H125">
        <v>91</v>
      </c>
      <c r="I125" s="58">
        <v>8900</v>
      </c>
      <c r="J125" s="59">
        <v>809900</v>
      </c>
      <c r="K125">
        <v>91</v>
      </c>
      <c r="M125" s="51" t="s">
        <v>91</v>
      </c>
      <c r="O125" s="52"/>
    </row>
    <row r="126" spans="1:15" x14ac:dyDescent="0.15">
      <c r="A126">
        <v>2</v>
      </c>
      <c r="D126" s="51" t="s">
        <v>25</v>
      </c>
      <c r="E126" s="51" t="s">
        <v>26</v>
      </c>
      <c r="G126" s="51" t="s">
        <v>27</v>
      </c>
      <c r="H126">
        <v>14</v>
      </c>
      <c r="I126" s="58">
        <v>9000</v>
      </c>
      <c r="J126" s="59">
        <v>126000</v>
      </c>
      <c r="K126">
        <v>1</v>
      </c>
      <c r="O126" s="52"/>
    </row>
    <row r="127" spans="1:15" x14ac:dyDescent="0.15">
      <c r="A127">
        <v>2</v>
      </c>
      <c r="D127" s="51" t="s">
        <v>25</v>
      </c>
      <c r="E127" s="51" t="s">
        <v>28</v>
      </c>
      <c r="G127" s="51" t="s">
        <v>29</v>
      </c>
      <c r="H127">
        <v>80</v>
      </c>
      <c r="I127" s="58">
        <v>99</v>
      </c>
      <c r="J127" s="59">
        <v>7920</v>
      </c>
      <c r="K127">
        <v>1</v>
      </c>
      <c r="O127" s="52"/>
    </row>
    <row r="128" spans="1:15" x14ac:dyDescent="0.15">
      <c r="A128">
        <v>2</v>
      </c>
      <c r="D128" s="51" t="s">
        <v>25</v>
      </c>
      <c r="E128" s="51" t="s">
        <v>30</v>
      </c>
      <c r="G128" s="51" t="s">
        <v>31</v>
      </c>
      <c r="H128">
        <v>2</v>
      </c>
      <c r="I128" s="58">
        <v>2000</v>
      </c>
      <c r="J128" s="59">
        <v>4000</v>
      </c>
      <c r="K128">
        <v>1</v>
      </c>
      <c r="O128" s="52"/>
    </row>
    <row r="129" spans="1:15" x14ac:dyDescent="0.15">
      <c r="A129">
        <v>2</v>
      </c>
      <c r="D129" s="51" t="s">
        <v>25</v>
      </c>
      <c r="E129" s="51" t="s">
        <v>32</v>
      </c>
      <c r="G129" s="51" t="s">
        <v>29</v>
      </c>
      <c r="H129">
        <v>80</v>
      </c>
      <c r="I129" s="58">
        <v>160</v>
      </c>
      <c r="J129" s="59">
        <v>12800</v>
      </c>
      <c r="K129">
        <v>1</v>
      </c>
      <c r="O129" s="52"/>
    </row>
    <row r="130" spans="1:15" x14ac:dyDescent="0.15">
      <c r="A130">
        <v>2</v>
      </c>
      <c r="D130" s="51" t="s">
        <v>25</v>
      </c>
      <c r="E130" s="51" t="s">
        <v>33</v>
      </c>
      <c r="G130" s="51" t="s">
        <v>29</v>
      </c>
      <c r="H130">
        <v>20</v>
      </c>
      <c r="I130" s="58">
        <v>180</v>
      </c>
      <c r="J130" s="59">
        <v>3600</v>
      </c>
      <c r="K130">
        <v>1</v>
      </c>
      <c r="O130" s="52"/>
    </row>
    <row r="131" spans="1:15" x14ac:dyDescent="0.15">
      <c r="A131">
        <v>2</v>
      </c>
      <c r="D131" s="51" t="s">
        <v>25</v>
      </c>
      <c r="E131" s="51" t="s">
        <v>34</v>
      </c>
      <c r="G131" s="51" t="s">
        <v>19</v>
      </c>
      <c r="H131">
        <v>1</v>
      </c>
      <c r="I131" s="58">
        <v>5080</v>
      </c>
      <c r="J131" s="59">
        <v>5080</v>
      </c>
      <c r="K131">
        <v>1</v>
      </c>
      <c r="O131" s="52"/>
    </row>
    <row r="132" spans="1:15" x14ac:dyDescent="0.15">
      <c r="A132">
        <v>2</v>
      </c>
      <c r="D132" s="51" t="s">
        <v>35</v>
      </c>
      <c r="E132" s="51" t="s">
        <v>36</v>
      </c>
      <c r="G132" s="51" t="s">
        <v>37</v>
      </c>
      <c r="H132">
        <v>8</v>
      </c>
      <c r="I132" s="58">
        <v>23000</v>
      </c>
      <c r="J132" s="59">
        <v>184000</v>
      </c>
      <c r="K132">
        <v>1</v>
      </c>
      <c r="O132" s="52"/>
    </row>
    <row r="133" spans="1:15" x14ac:dyDescent="0.15">
      <c r="A133">
        <v>2</v>
      </c>
      <c r="D133" s="51" t="s">
        <v>38</v>
      </c>
      <c r="E133" s="51" t="s">
        <v>92</v>
      </c>
      <c r="G133" s="51" t="s">
        <v>40</v>
      </c>
      <c r="H133">
        <v>1</v>
      </c>
      <c r="I133" s="58">
        <v>65000</v>
      </c>
      <c r="J133" s="59">
        <v>65000</v>
      </c>
      <c r="K133">
        <v>1</v>
      </c>
      <c r="O133" s="52"/>
    </row>
    <row r="134" spans="1:15" x14ac:dyDescent="0.15">
      <c r="A134">
        <v>2</v>
      </c>
      <c r="D134" s="51" t="s">
        <v>38</v>
      </c>
      <c r="E134" s="51" t="s">
        <v>41</v>
      </c>
      <c r="G134" s="51" t="s">
        <v>40</v>
      </c>
      <c r="H134">
        <v>1</v>
      </c>
      <c r="I134" s="58">
        <v>6000</v>
      </c>
      <c r="J134" s="59">
        <v>6000</v>
      </c>
      <c r="K134">
        <v>1</v>
      </c>
      <c r="O134" s="52"/>
    </row>
    <row r="135" spans="1:15" x14ac:dyDescent="0.15">
      <c r="A135">
        <v>2</v>
      </c>
      <c r="D135" s="51" t="s">
        <v>38</v>
      </c>
      <c r="E135" s="51" t="s">
        <v>42</v>
      </c>
      <c r="G135" s="51" t="s">
        <v>40</v>
      </c>
      <c r="H135">
        <v>1</v>
      </c>
      <c r="I135" s="58">
        <v>8000</v>
      </c>
      <c r="J135" s="59">
        <v>8000</v>
      </c>
      <c r="K135">
        <v>1</v>
      </c>
      <c r="O135" s="52"/>
    </row>
    <row r="136" spans="1:15" x14ac:dyDescent="0.15">
      <c r="A136">
        <v>2</v>
      </c>
      <c r="D136" s="51" t="s">
        <v>38</v>
      </c>
      <c r="E136" s="51" t="s">
        <v>43</v>
      </c>
      <c r="G136" s="51" t="s">
        <v>40</v>
      </c>
      <c r="H136">
        <v>1</v>
      </c>
      <c r="I136" s="58">
        <v>3000</v>
      </c>
      <c r="J136" s="59">
        <v>3000</v>
      </c>
      <c r="K136">
        <v>1</v>
      </c>
      <c r="O136" s="52"/>
    </row>
    <row r="137" spans="1:15" x14ac:dyDescent="0.15">
      <c r="A137">
        <v>2</v>
      </c>
      <c r="D137" s="51" t="s">
        <v>38</v>
      </c>
      <c r="E137" s="51" t="s">
        <v>44</v>
      </c>
      <c r="G137" s="51" t="s">
        <v>40</v>
      </c>
      <c r="H137">
        <v>3</v>
      </c>
      <c r="I137" s="58">
        <v>3000</v>
      </c>
      <c r="J137" s="59">
        <v>9000</v>
      </c>
      <c r="K137">
        <v>1</v>
      </c>
      <c r="O137" s="52"/>
    </row>
    <row r="138" spans="1:15" x14ac:dyDescent="0.15">
      <c r="A138">
        <v>2</v>
      </c>
      <c r="D138" s="51" t="s">
        <v>45</v>
      </c>
      <c r="E138" s="51" t="s">
        <v>46</v>
      </c>
      <c r="G138" s="51" t="s">
        <v>40</v>
      </c>
      <c r="H138">
        <v>2</v>
      </c>
      <c r="I138" s="58">
        <v>37000</v>
      </c>
      <c r="J138" s="59">
        <v>74000</v>
      </c>
      <c r="K138">
        <v>1</v>
      </c>
      <c r="O138" s="52"/>
    </row>
    <row r="139" spans="1:15" x14ac:dyDescent="0.15">
      <c r="A139">
        <v>2</v>
      </c>
      <c r="D139" s="51" t="s">
        <v>45</v>
      </c>
      <c r="E139" s="51" t="s">
        <v>47</v>
      </c>
      <c r="G139" s="51" t="s">
        <v>27</v>
      </c>
      <c r="H139">
        <v>12</v>
      </c>
      <c r="I139" s="58">
        <v>400</v>
      </c>
      <c r="J139" s="59">
        <v>4800</v>
      </c>
      <c r="K139">
        <v>1</v>
      </c>
      <c r="O139" s="52"/>
    </row>
    <row r="140" spans="1:15" x14ac:dyDescent="0.15">
      <c r="A140">
        <v>2</v>
      </c>
      <c r="D140" s="51" t="s">
        <v>45</v>
      </c>
      <c r="E140" s="51" t="s">
        <v>48</v>
      </c>
      <c r="F140" s="51" t="s">
        <v>49</v>
      </c>
      <c r="G140" s="51" t="s">
        <v>50</v>
      </c>
      <c r="H140">
        <v>2</v>
      </c>
      <c r="I140" s="58">
        <v>28000</v>
      </c>
      <c r="J140" s="59">
        <v>56000</v>
      </c>
      <c r="K140">
        <v>1</v>
      </c>
      <c r="O140" s="52"/>
    </row>
    <row r="141" spans="1:15" x14ac:dyDescent="0.15">
      <c r="A141">
        <v>2</v>
      </c>
      <c r="D141" s="51" t="s">
        <v>45</v>
      </c>
      <c r="E141" s="51" t="s">
        <v>51</v>
      </c>
      <c r="F141" s="51" t="s">
        <v>52</v>
      </c>
      <c r="G141" s="51" t="s">
        <v>50</v>
      </c>
      <c r="H141">
        <v>2</v>
      </c>
      <c r="I141" s="58">
        <v>16000</v>
      </c>
      <c r="J141" s="59">
        <v>32000</v>
      </c>
      <c r="K141">
        <v>1</v>
      </c>
      <c r="O141" s="52"/>
    </row>
    <row r="142" spans="1:15" x14ac:dyDescent="0.15">
      <c r="A142">
        <v>2</v>
      </c>
      <c r="D142" s="51" t="s">
        <v>45</v>
      </c>
      <c r="E142" s="51" t="s">
        <v>51</v>
      </c>
      <c r="F142" s="51" t="s">
        <v>53</v>
      </c>
      <c r="G142" s="51" t="s">
        <v>50</v>
      </c>
      <c r="H142">
        <v>2</v>
      </c>
      <c r="I142" s="58">
        <v>16000</v>
      </c>
      <c r="J142" s="59">
        <v>32000</v>
      </c>
      <c r="K142">
        <v>1</v>
      </c>
      <c r="O142" s="52"/>
    </row>
    <row r="143" spans="1:15" x14ac:dyDescent="0.15">
      <c r="A143">
        <v>2</v>
      </c>
      <c r="D143" s="51" t="s">
        <v>45</v>
      </c>
      <c r="E143" s="51" t="s">
        <v>54</v>
      </c>
      <c r="G143" s="51" t="s">
        <v>40</v>
      </c>
      <c r="H143">
        <v>2</v>
      </c>
      <c r="I143" s="58">
        <v>8000</v>
      </c>
      <c r="J143" s="59">
        <v>16000</v>
      </c>
      <c r="K143">
        <v>1</v>
      </c>
      <c r="O143" s="52"/>
    </row>
    <row r="144" spans="1:15" x14ac:dyDescent="0.15">
      <c r="A144">
        <v>2</v>
      </c>
      <c r="D144" s="51" t="s">
        <v>45</v>
      </c>
      <c r="E144" s="51" t="s">
        <v>55</v>
      </c>
      <c r="G144" s="51" t="s">
        <v>40</v>
      </c>
      <c r="H144">
        <v>1</v>
      </c>
      <c r="I144" s="58">
        <v>8000</v>
      </c>
      <c r="J144" s="59">
        <v>8000</v>
      </c>
      <c r="K144">
        <v>1</v>
      </c>
      <c r="O144" s="52"/>
    </row>
    <row r="145" spans="1:15" x14ac:dyDescent="0.15">
      <c r="A145">
        <v>2</v>
      </c>
      <c r="D145" s="51" t="s">
        <v>56</v>
      </c>
      <c r="E145" s="51" t="s">
        <v>57</v>
      </c>
      <c r="G145" s="51" t="s">
        <v>19</v>
      </c>
      <c r="H145">
        <v>1</v>
      </c>
      <c r="I145" s="58">
        <v>35800</v>
      </c>
      <c r="J145" s="59">
        <v>35800</v>
      </c>
      <c r="K145">
        <v>1</v>
      </c>
      <c r="O145" s="52"/>
    </row>
    <row r="146" spans="1:15" x14ac:dyDescent="0.15">
      <c r="A146">
        <v>2</v>
      </c>
      <c r="D146" s="51" t="s">
        <v>56</v>
      </c>
      <c r="E146" s="51" t="s">
        <v>58</v>
      </c>
      <c r="G146" s="51" t="s">
        <v>19</v>
      </c>
      <c r="H146">
        <v>1</v>
      </c>
      <c r="I146" s="58">
        <v>29900</v>
      </c>
      <c r="J146" s="59">
        <v>29900</v>
      </c>
      <c r="K146">
        <v>1</v>
      </c>
      <c r="O146" s="52"/>
    </row>
    <row r="147" spans="1:15" x14ac:dyDescent="0.15">
      <c r="A147">
        <v>2</v>
      </c>
      <c r="D147" s="51" t="s">
        <v>56</v>
      </c>
      <c r="E147" s="51" t="s">
        <v>59</v>
      </c>
      <c r="G147" s="51" t="s">
        <v>37</v>
      </c>
      <c r="H147">
        <v>4</v>
      </c>
      <c r="I147" s="58">
        <v>18000</v>
      </c>
      <c r="J147" s="59">
        <v>72000</v>
      </c>
      <c r="K147">
        <v>1</v>
      </c>
      <c r="O147" s="52"/>
    </row>
    <row r="148" spans="1:15" x14ac:dyDescent="0.15">
      <c r="A148">
        <v>2</v>
      </c>
      <c r="D148" s="51" t="s">
        <v>38</v>
      </c>
      <c r="E148" s="51" t="s">
        <v>60</v>
      </c>
      <c r="G148" s="51" t="s">
        <v>40</v>
      </c>
      <c r="H148">
        <v>1</v>
      </c>
      <c r="I148" s="58">
        <v>15000</v>
      </c>
      <c r="J148" s="59">
        <v>15000</v>
      </c>
      <c r="K148">
        <v>1</v>
      </c>
      <c r="O148" s="52"/>
    </row>
    <row r="149" spans="1:15" x14ac:dyDescent="0.15">
      <c r="A149">
        <v>1</v>
      </c>
      <c r="D149" s="51" t="s">
        <v>20</v>
      </c>
      <c r="E149" s="51" t="s">
        <v>93</v>
      </c>
      <c r="F149" s="51" t="s">
        <v>94</v>
      </c>
      <c r="G149" s="51" t="s">
        <v>23</v>
      </c>
      <c r="H149">
        <v>3.7</v>
      </c>
      <c r="I149" s="58">
        <v>36000</v>
      </c>
      <c r="J149" s="59">
        <v>133200</v>
      </c>
      <c r="K149">
        <v>3.7</v>
      </c>
      <c r="M149" s="51" t="s">
        <v>95</v>
      </c>
      <c r="O149" s="52"/>
    </row>
    <row r="150" spans="1:15" x14ac:dyDescent="0.15">
      <c r="A150">
        <v>2</v>
      </c>
      <c r="D150" s="51" t="s">
        <v>25</v>
      </c>
      <c r="E150" s="51" t="s">
        <v>96</v>
      </c>
      <c r="G150" s="51" t="s">
        <v>27</v>
      </c>
      <c r="H150">
        <v>1</v>
      </c>
      <c r="I150" s="58">
        <v>13000</v>
      </c>
      <c r="J150" s="59">
        <v>13000</v>
      </c>
      <c r="K150">
        <v>1</v>
      </c>
      <c r="O150" s="52"/>
    </row>
    <row r="151" spans="1:15" x14ac:dyDescent="0.15">
      <c r="A151">
        <v>2</v>
      </c>
      <c r="D151" s="51" t="s">
        <v>25</v>
      </c>
      <c r="E151" s="51" t="s">
        <v>97</v>
      </c>
      <c r="G151" s="51" t="s">
        <v>98</v>
      </c>
      <c r="H151">
        <v>0.5</v>
      </c>
      <c r="I151" s="58">
        <v>7000</v>
      </c>
      <c r="J151" s="59">
        <v>3500</v>
      </c>
      <c r="K151">
        <v>1</v>
      </c>
      <c r="O151" s="52"/>
    </row>
    <row r="152" spans="1:15" x14ac:dyDescent="0.15">
      <c r="A152">
        <v>2</v>
      </c>
      <c r="D152" s="51" t="s">
        <v>25</v>
      </c>
      <c r="E152" s="51" t="s">
        <v>34</v>
      </c>
      <c r="G152" s="51" t="s">
        <v>19</v>
      </c>
      <c r="H152">
        <v>1</v>
      </c>
      <c r="I152" s="58">
        <v>2500</v>
      </c>
      <c r="J152" s="59">
        <v>2500</v>
      </c>
      <c r="K152">
        <v>1</v>
      </c>
      <c r="O152" s="52"/>
    </row>
    <row r="153" spans="1:15" x14ac:dyDescent="0.15">
      <c r="A153">
        <v>2</v>
      </c>
      <c r="D153" s="51" t="s">
        <v>35</v>
      </c>
      <c r="E153" s="51" t="s">
        <v>36</v>
      </c>
      <c r="G153" s="51" t="s">
        <v>37</v>
      </c>
      <c r="H153">
        <v>2</v>
      </c>
      <c r="I153" s="58">
        <v>23000</v>
      </c>
      <c r="J153" s="59">
        <v>46000</v>
      </c>
      <c r="K153">
        <v>1</v>
      </c>
      <c r="O153" s="52"/>
    </row>
    <row r="154" spans="1:15" x14ac:dyDescent="0.15">
      <c r="A154">
        <v>2</v>
      </c>
      <c r="D154" s="51" t="s">
        <v>38</v>
      </c>
      <c r="E154" s="51" t="s">
        <v>44</v>
      </c>
      <c r="G154" s="51" t="s">
        <v>40</v>
      </c>
      <c r="H154">
        <v>1</v>
      </c>
      <c r="I154" s="58">
        <v>3000</v>
      </c>
      <c r="J154" s="59">
        <v>3000</v>
      </c>
      <c r="K154">
        <v>1</v>
      </c>
      <c r="O154" s="52"/>
    </row>
    <row r="155" spans="1:15" x14ac:dyDescent="0.15">
      <c r="A155">
        <v>2</v>
      </c>
      <c r="D155" s="51" t="s">
        <v>45</v>
      </c>
      <c r="E155" s="51" t="s">
        <v>54</v>
      </c>
      <c r="G155" s="51" t="s">
        <v>40</v>
      </c>
      <c r="H155">
        <v>0.5</v>
      </c>
      <c r="I155" s="58">
        <v>8000</v>
      </c>
      <c r="J155" s="59">
        <v>4000</v>
      </c>
      <c r="K155">
        <v>1</v>
      </c>
      <c r="O155" s="52"/>
    </row>
    <row r="156" spans="1:15" x14ac:dyDescent="0.15">
      <c r="A156">
        <v>2</v>
      </c>
      <c r="D156" s="51" t="s">
        <v>45</v>
      </c>
      <c r="E156" s="51" t="s">
        <v>55</v>
      </c>
      <c r="G156" s="51" t="s">
        <v>40</v>
      </c>
      <c r="H156">
        <v>0.5</v>
      </c>
      <c r="I156" s="58">
        <v>8000</v>
      </c>
      <c r="J156" s="59">
        <v>4000</v>
      </c>
      <c r="K156">
        <v>1</v>
      </c>
      <c r="O156" s="52"/>
    </row>
    <row r="157" spans="1:15" x14ac:dyDescent="0.15">
      <c r="A157">
        <v>2</v>
      </c>
      <c r="D157" s="51" t="s">
        <v>56</v>
      </c>
      <c r="E157" s="51" t="s">
        <v>57</v>
      </c>
      <c r="G157" s="51" t="s">
        <v>19</v>
      </c>
      <c r="H157">
        <v>1</v>
      </c>
      <c r="I157" s="58">
        <v>6200</v>
      </c>
      <c r="J157" s="59">
        <v>6200</v>
      </c>
      <c r="K157">
        <v>1</v>
      </c>
      <c r="O157" s="52"/>
    </row>
    <row r="158" spans="1:15" x14ac:dyDescent="0.15">
      <c r="A158">
        <v>2</v>
      </c>
      <c r="D158" s="51" t="s">
        <v>56</v>
      </c>
      <c r="E158" s="51" t="s">
        <v>58</v>
      </c>
      <c r="G158" s="51" t="s">
        <v>19</v>
      </c>
      <c r="H158">
        <v>1</v>
      </c>
      <c r="I158" s="58">
        <v>7500</v>
      </c>
      <c r="J158" s="59">
        <v>7500</v>
      </c>
      <c r="K158">
        <v>1</v>
      </c>
      <c r="O158" s="52"/>
    </row>
    <row r="159" spans="1:15" x14ac:dyDescent="0.15">
      <c r="A159">
        <v>2</v>
      </c>
      <c r="D159" s="51" t="s">
        <v>56</v>
      </c>
      <c r="E159" s="51" t="s">
        <v>59</v>
      </c>
      <c r="G159" s="51" t="s">
        <v>37</v>
      </c>
      <c r="H159">
        <v>2</v>
      </c>
      <c r="I159" s="58">
        <v>18000</v>
      </c>
      <c r="J159" s="59">
        <v>36000</v>
      </c>
      <c r="K159">
        <v>1</v>
      </c>
      <c r="O159" s="52"/>
    </row>
    <row r="160" spans="1:15" x14ac:dyDescent="0.15">
      <c r="A160">
        <v>2</v>
      </c>
      <c r="D160" s="51" t="s">
        <v>38</v>
      </c>
      <c r="E160" s="51" t="s">
        <v>60</v>
      </c>
      <c r="G160" s="51" t="s">
        <v>40</v>
      </c>
      <c r="H160">
        <v>0.5</v>
      </c>
      <c r="I160" s="58">
        <v>15000</v>
      </c>
      <c r="J160" s="59">
        <v>7500</v>
      </c>
      <c r="K160">
        <v>1</v>
      </c>
      <c r="O160" s="52"/>
    </row>
    <row r="161" spans="1:15" x14ac:dyDescent="0.15">
      <c r="A161">
        <v>1</v>
      </c>
      <c r="D161" s="51" t="s">
        <v>20</v>
      </c>
      <c r="E161" s="51" t="s">
        <v>99</v>
      </c>
      <c r="F161" s="51" t="s">
        <v>94</v>
      </c>
      <c r="G161" s="51" t="s">
        <v>23</v>
      </c>
      <c r="H161">
        <v>23.8</v>
      </c>
      <c r="I161" s="58">
        <v>8800</v>
      </c>
      <c r="J161" s="59">
        <v>209440</v>
      </c>
      <c r="K161">
        <v>23.8</v>
      </c>
      <c r="M161" s="51" t="s">
        <v>100</v>
      </c>
      <c r="O161" s="52"/>
    </row>
    <row r="162" spans="1:15" x14ac:dyDescent="0.15">
      <c r="A162">
        <v>2</v>
      </c>
      <c r="D162" s="51" t="s">
        <v>25</v>
      </c>
      <c r="E162" s="51" t="s">
        <v>101</v>
      </c>
      <c r="G162" s="51" t="s">
        <v>27</v>
      </c>
      <c r="H162">
        <v>2</v>
      </c>
      <c r="I162" s="58">
        <v>13000</v>
      </c>
      <c r="J162" s="59">
        <v>26000</v>
      </c>
      <c r="K162">
        <v>1</v>
      </c>
      <c r="O162" s="52"/>
    </row>
    <row r="163" spans="1:15" x14ac:dyDescent="0.15">
      <c r="A163">
        <v>2</v>
      </c>
      <c r="D163" s="51" t="s">
        <v>25</v>
      </c>
      <c r="E163" s="51" t="s">
        <v>97</v>
      </c>
      <c r="G163" s="51" t="s">
        <v>98</v>
      </c>
      <c r="H163">
        <v>1</v>
      </c>
      <c r="I163" s="58">
        <v>7000</v>
      </c>
      <c r="J163" s="59">
        <v>7000</v>
      </c>
      <c r="K163">
        <v>1</v>
      </c>
      <c r="O163" s="52"/>
    </row>
    <row r="164" spans="1:15" x14ac:dyDescent="0.15">
      <c r="A164">
        <v>2</v>
      </c>
      <c r="D164" s="51" t="s">
        <v>25</v>
      </c>
      <c r="E164" s="51" t="s">
        <v>34</v>
      </c>
      <c r="G164" s="51" t="s">
        <v>19</v>
      </c>
      <c r="H164">
        <v>1</v>
      </c>
      <c r="I164" s="58">
        <v>3990</v>
      </c>
      <c r="J164" s="59">
        <v>3990</v>
      </c>
      <c r="K164">
        <v>1</v>
      </c>
      <c r="O164" s="52"/>
    </row>
    <row r="165" spans="1:15" x14ac:dyDescent="0.15">
      <c r="A165">
        <v>2</v>
      </c>
      <c r="D165" s="51" t="s">
        <v>35</v>
      </c>
      <c r="E165" s="51" t="s">
        <v>36</v>
      </c>
      <c r="G165" s="51" t="s">
        <v>37</v>
      </c>
      <c r="H165">
        <v>4</v>
      </c>
      <c r="I165" s="58">
        <v>23000</v>
      </c>
      <c r="J165" s="59">
        <v>92000</v>
      </c>
      <c r="K165">
        <v>1</v>
      </c>
      <c r="O165" s="52"/>
    </row>
    <row r="166" spans="1:15" x14ac:dyDescent="0.15">
      <c r="A166">
        <v>2</v>
      </c>
      <c r="D166" s="51" t="s">
        <v>38</v>
      </c>
      <c r="E166" s="51" t="s">
        <v>44</v>
      </c>
      <c r="G166" s="51" t="s">
        <v>40</v>
      </c>
      <c r="H166">
        <v>1</v>
      </c>
      <c r="I166" s="58">
        <v>3000</v>
      </c>
      <c r="J166" s="59">
        <v>3000</v>
      </c>
      <c r="K166">
        <v>1</v>
      </c>
      <c r="O166" s="52"/>
    </row>
    <row r="167" spans="1:15" x14ac:dyDescent="0.15">
      <c r="A167">
        <v>2</v>
      </c>
      <c r="D167" s="51" t="s">
        <v>45</v>
      </c>
      <c r="E167" s="51" t="s">
        <v>54</v>
      </c>
      <c r="G167" s="51" t="s">
        <v>40</v>
      </c>
      <c r="H167">
        <v>1</v>
      </c>
      <c r="I167" s="58">
        <v>8000</v>
      </c>
      <c r="J167" s="59">
        <v>8000</v>
      </c>
      <c r="K167">
        <v>1</v>
      </c>
      <c r="O167" s="52"/>
    </row>
    <row r="168" spans="1:15" x14ac:dyDescent="0.15">
      <c r="A168">
        <v>2</v>
      </c>
      <c r="D168" s="51" t="s">
        <v>45</v>
      </c>
      <c r="E168" s="51" t="s">
        <v>55</v>
      </c>
      <c r="G168" s="51" t="s">
        <v>40</v>
      </c>
      <c r="H168">
        <v>1</v>
      </c>
      <c r="I168" s="58">
        <v>8000</v>
      </c>
      <c r="J168" s="59">
        <v>8000</v>
      </c>
      <c r="K168">
        <v>1</v>
      </c>
      <c r="O168" s="52"/>
    </row>
    <row r="169" spans="1:15" x14ac:dyDescent="0.15">
      <c r="A169">
        <v>2</v>
      </c>
      <c r="D169" s="51" t="s">
        <v>56</v>
      </c>
      <c r="E169" s="51" t="s">
        <v>57</v>
      </c>
      <c r="G169" s="51" t="s">
        <v>19</v>
      </c>
      <c r="H169">
        <v>1</v>
      </c>
      <c r="I169" s="58">
        <v>12000</v>
      </c>
      <c r="J169" s="59">
        <v>12000</v>
      </c>
      <c r="K169">
        <v>1</v>
      </c>
      <c r="O169" s="52"/>
    </row>
    <row r="170" spans="1:15" x14ac:dyDescent="0.15">
      <c r="A170">
        <v>2</v>
      </c>
      <c r="D170" s="51" t="s">
        <v>56</v>
      </c>
      <c r="E170" s="51" t="s">
        <v>58</v>
      </c>
      <c r="G170" s="51" t="s">
        <v>19</v>
      </c>
      <c r="H170">
        <v>1</v>
      </c>
      <c r="I170" s="58">
        <v>14950</v>
      </c>
      <c r="J170" s="59">
        <v>14950</v>
      </c>
      <c r="K170">
        <v>1</v>
      </c>
      <c r="O170" s="52"/>
    </row>
    <row r="171" spans="1:15" x14ac:dyDescent="0.15">
      <c r="A171">
        <v>2</v>
      </c>
      <c r="D171" s="51" t="s">
        <v>56</v>
      </c>
      <c r="E171" s="51" t="s">
        <v>59</v>
      </c>
      <c r="G171" s="51" t="s">
        <v>37</v>
      </c>
      <c r="H171">
        <v>1.5</v>
      </c>
      <c r="I171" s="58">
        <v>18000</v>
      </c>
      <c r="J171" s="59">
        <v>27000</v>
      </c>
      <c r="K171">
        <v>1</v>
      </c>
      <c r="O171" s="52"/>
    </row>
    <row r="172" spans="1:15" x14ac:dyDescent="0.15">
      <c r="A172">
        <v>2</v>
      </c>
      <c r="D172" s="51" t="s">
        <v>38</v>
      </c>
      <c r="E172" s="51" t="s">
        <v>60</v>
      </c>
      <c r="G172" s="51" t="s">
        <v>40</v>
      </c>
      <c r="H172">
        <v>0.5</v>
      </c>
      <c r="I172" s="58">
        <v>15000</v>
      </c>
      <c r="J172" s="59">
        <v>7500</v>
      </c>
      <c r="K172">
        <v>1</v>
      </c>
      <c r="O172" s="52"/>
    </row>
    <row r="173" spans="1:15" x14ac:dyDescent="0.15">
      <c r="A173">
        <v>1</v>
      </c>
      <c r="D173" s="51" t="s">
        <v>20</v>
      </c>
      <c r="E173" s="51" t="s">
        <v>102</v>
      </c>
      <c r="F173" s="51" t="s">
        <v>94</v>
      </c>
      <c r="G173" s="51" t="s">
        <v>23</v>
      </c>
      <c r="H173">
        <v>50</v>
      </c>
      <c r="I173" s="58">
        <v>6800</v>
      </c>
      <c r="J173" s="59">
        <v>340000</v>
      </c>
      <c r="K173">
        <v>50</v>
      </c>
      <c r="M173" s="51" t="s">
        <v>103</v>
      </c>
      <c r="O173" s="52"/>
    </row>
    <row r="174" spans="1:15" x14ac:dyDescent="0.15">
      <c r="A174">
        <v>2</v>
      </c>
      <c r="D174" s="51" t="s">
        <v>25</v>
      </c>
      <c r="E174" s="51" t="s">
        <v>101</v>
      </c>
      <c r="G174" s="51" t="s">
        <v>27</v>
      </c>
      <c r="H174">
        <v>3</v>
      </c>
      <c r="I174" s="58">
        <v>13000</v>
      </c>
      <c r="J174" s="59">
        <v>39000</v>
      </c>
      <c r="K174">
        <v>1</v>
      </c>
      <c r="O174" s="52"/>
    </row>
    <row r="175" spans="1:15" x14ac:dyDescent="0.15">
      <c r="A175">
        <v>2</v>
      </c>
      <c r="D175" s="51" t="s">
        <v>25</v>
      </c>
      <c r="E175" s="51" t="s">
        <v>97</v>
      </c>
      <c r="G175" s="51" t="s">
        <v>98</v>
      </c>
      <c r="H175">
        <v>2</v>
      </c>
      <c r="I175" s="58">
        <v>7000</v>
      </c>
      <c r="J175" s="59">
        <v>14000</v>
      </c>
      <c r="K175">
        <v>1</v>
      </c>
      <c r="O175" s="52"/>
    </row>
    <row r="176" spans="1:15" x14ac:dyDescent="0.15">
      <c r="A176">
        <v>2</v>
      </c>
      <c r="D176" s="51" t="s">
        <v>25</v>
      </c>
      <c r="E176" s="51" t="s">
        <v>34</v>
      </c>
      <c r="G176" s="51" t="s">
        <v>19</v>
      </c>
      <c r="H176">
        <v>1</v>
      </c>
      <c r="I176" s="58">
        <v>4200</v>
      </c>
      <c r="J176" s="59">
        <v>4200</v>
      </c>
      <c r="K176">
        <v>1</v>
      </c>
      <c r="O176" s="52"/>
    </row>
    <row r="177" spans="1:15" x14ac:dyDescent="0.15">
      <c r="A177">
        <v>2</v>
      </c>
      <c r="D177" s="51" t="s">
        <v>35</v>
      </c>
      <c r="E177" s="51" t="s">
        <v>36</v>
      </c>
      <c r="G177" s="51" t="s">
        <v>37</v>
      </c>
      <c r="H177">
        <v>6</v>
      </c>
      <c r="I177" s="58">
        <v>23000</v>
      </c>
      <c r="J177" s="59">
        <v>138000</v>
      </c>
      <c r="K177">
        <v>1</v>
      </c>
      <c r="O177" s="52"/>
    </row>
    <row r="178" spans="1:15" x14ac:dyDescent="0.15">
      <c r="A178">
        <v>2</v>
      </c>
      <c r="D178" s="51" t="s">
        <v>38</v>
      </c>
      <c r="E178" s="51" t="s">
        <v>44</v>
      </c>
      <c r="G178" s="51" t="s">
        <v>40</v>
      </c>
      <c r="H178">
        <v>1</v>
      </c>
      <c r="I178" s="58">
        <v>3000</v>
      </c>
      <c r="J178" s="59">
        <v>3000</v>
      </c>
      <c r="K178">
        <v>1</v>
      </c>
      <c r="O178" s="52"/>
    </row>
    <row r="179" spans="1:15" x14ac:dyDescent="0.15">
      <c r="A179">
        <v>2</v>
      </c>
      <c r="D179" s="51" t="s">
        <v>45</v>
      </c>
      <c r="E179" s="51" t="s">
        <v>54</v>
      </c>
      <c r="G179" s="51" t="s">
        <v>40</v>
      </c>
      <c r="H179">
        <v>1</v>
      </c>
      <c r="I179" s="58">
        <v>8000</v>
      </c>
      <c r="J179" s="59">
        <v>8000</v>
      </c>
      <c r="K179">
        <v>1</v>
      </c>
      <c r="O179" s="52"/>
    </row>
    <row r="180" spans="1:15" x14ac:dyDescent="0.15">
      <c r="A180">
        <v>2</v>
      </c>
      <c r="D180" s="51" t="s">
        <v>45</v>
      </c>
      <c r="E180" s="51" t="s">
        <v>55</v>
      </c>
      <c r="G180" s="51" t="s">
        <v>40</v>
      </c>
      <c r="H180">
        <v>1</v>
      </c>
      <c r="I180" s="58">
        <v>8000</v>
      </c>
      <c r="J180" s="59">
        <v>8000</v>
      </c>
      <c r="K180">
        <v>1</v>
      </c>
      <c r="O180" s="52"/>
    </row>
    <row r="181" spans="1:15" x14ac:dyDescent="0.15">
      <c r="A181">
        <v>2</v>
      </c>
      <c r="D181" s="51" t="s">
        <v>56</v>
      </c>
      <c r="E181" s="51" t="s">
        <v>57</v>
      </c>
      <c r="G181" s="51" t="s">
        <v>19</v>
      </c>
      <c r="H181">
        <v>1</v>
      </c>
      <c r="I181" s="58">
        <v>16300</v>
      </c>
      <c r="J181" s="59">
        <v>16300</v>
      </c>
      <c r="K181">
        <v>1</v>
      </c>
      <c r="O181" s="52"/>
    </row>
    <row r="182" spans="1:15" x14ac:dyDescent="0.15">
      <c r="A182">
        <v>2</v>
      </c>
      <c r="D182" s="51" t="s">
        <v>56</v>
      </c>
      <c r="E182" s="51" t="s">
        <v>58</v>
      </c>
      <c r="G182" s="51" t="s">
        <v>19</v>
      </c>
      <c r="H182">
        <v>1</v>
      </c>
      <c r="I182" s="58">
        <v>22500</v>
      </c>
      <c r="J182" s="59">
        <v>22500</v>
      </c>
      <c r="K182">
        <v>1</v>
      </c>
      <c r="O182" s="52"/>
    </row>
    <row r="183" spans="1:15" x14ac:dyDescent="0.15">
      <c r="A183">
        <v>2</v>
      </c>
      <c r="D183" s="51" t="s">
        <v>56</v>
      </c>
      <c r="E183" s="51" t="s">
        <v>59</v>
      </c>
      <c r="G183" s="51" t="s">
        <v>37</v>
      </c>
      <c r="H183">
        <v>4</v>
      </c>
      <c r="I183" s="58">
        <v>18000</v>
      </c>
      <c r="J183" s="59">
        <v>72000</v>
      </c>
      <c r="K183">
        <v>1</v>
      </c>
      <c r="O183" s="52"/>
    </row>
    <row r="184" spans="1:15" x14ac:dyDescent="0.15">
      <c r="A184">
        <v>2</v>
      </c>
      <c r="D184" s="51" t="s">
        <v>38</v>
      </c>
      <c r="E184" s="51" t="s">
        <v>60</v>
      </c>
      <c r="G184" s="51" t="s">
        <v>40</v>
      </c>
      <c r="H184">
        <v>1</v>
      </c>
      <c r="I184" s="58">
        <v>15000</v>
      </c>
      <c r="J184" s="59">
        <v>15000</v>
      </c>
      <c r="K184">
        <v>1</v>
      </c>
      <c r="O184" s="52"/>
    </row>
    <row r="185" spans="1:15" x14ac:dyDescent="0.15">
      <c r="A185">
        <v>1</v>
      </c>
      <c r="D185" s="51" t="s">
        <v>20</v>
      </c>
      <c r="E185" s="51" t="s">
        <v>104</v>
      </c>
      <c r="G185" s="51" t="s">
        <v>23</v>
      </c>
      <c r="H185">
        <v>40.9</v>
      </c>
      <c r="I185" s="58">
        <v>17200</v>
      </c>
      <c r="J185" s="59">
        <v>703480</v>
      </c>
      <c r="K185">
        <v>40.9</v>
      </c>
      <c r="M185" s="51" t="s">
        <v>105</v>
      </c>
      <c r="O185" s="52"/>
    </row>
    <row r="186" spans="1:15" x14ac:dyDescent="0.15">
      <c r="A186">
        <v>2</v>
      </c>
      <c r="D186" s="51" t="s">
        <v>25</v>
      </c>
      <c r="E186" s="51" t="s">
        <v>101</v>
      </c>
      <c r="G186" s="51" t="s">
        <v>27</v>
      </c>
      <c r="H186">
        <v>1</v>
      </c>
      <c r="I186" s="58">
        <v>13000</v>
      </c>
      <c r="J186" s="59">
        <v>13000</v>
      </c>
      <c r="K186">
        <v>1</v>
      </c>
      <c r="O186" s="52"/>
    </row>
    <row r="187" spans="1:15" x14ac:dyDescent="0.15">
      <c r="A187">
        <v>2</v>
      </c>
      <c r="D187" s="51" t="s">
        <v>25</v>
      </c>
      <c r="E187" s="51" t="s">
        <v>80</v>
      </c>
      <c r="G187" s="51" t="s">
        <v>82</v>
      </c>
      <c r="H187">
        <v>27</v>
      </c>
      <c r="I187" s="58">
        <v>9000</v>
      </c>
      <c r="J187" s="59">
        <v>243000</v>
      </c>
      <c r="K187">
        <v>1</v>
      </c>
      <c r="O187" s="52"/>
    </row>
    <row r="188" spans="1:15" x14ac:dyDescent="0.15">
      <c r="A188">
        <v>2</v>
      </c>
      <c r="D188" s="51" t="s">
        <v>25</v>
      </c>
      <c r="E188" s="51" t="s">
        <v>97</v>
      </c>
      <c r="G188" s="51" t="s">
        <v>98</v>
      </c>
      <c r="H188">
        <v>1</v>
      </c>
      <c r="I188" s="58">
        <v>7000</v>
      </c>
      <c r="J188" s="59">
        <v>7000</v>
      </c>
      <c r="K188">
        <v>1</v>
      </c>
      <c r="O188" s="52"/>
    </row>
    <row r="189" spans="1:15" x14ac:dyDescent="0.15">
      <c r="A189">
        <v>2</v>
      </c>
      <c r="D189" s="51" t="s">
        <v>25</v>
      </c>
      <c r="E189" s="51" t="s">
        <v>83</v>
      </c>
      <c r="G189" s="51" t="s">
        <v>19</v>
      </c>
      <c r="H189">
        <v>1</v>
      </c>
      <c r="I189" s="58">
        <v>20000</v>
      </c>
      <c r="J189" s="59">
        <v>20000</v>
      </c>
      <c r="K189">
        <v>1</v>
      </c>
      <c r="O189" s="52"/>
    </row>
    <row r="190" spans="1:15" x14ac:dyDescent="0.15">
      <c r="A190">
        <v>2</v>
      </c>
      <c r="D190" s="51" t="s">
        <v>25</v>
      </c>
      <c r="E190" s="51" t="s">
        <v>34</v>
      </c>
      <c r="G190" s="51" t="s">
        <v>19</v>
      </c>
      <c r="H190">
        <v>1</v>
      </c>
      <c r="I190" s="58">
        <v>4080</v>
      </c>
      <c r="J190" s="59">
        <v>4080</v>
      </c>
      <c r="K190">
        <v>1</v>
      </c>
      <c r="O190" s="52"/>
    </row>
    <row r="191" spans="1:15" x14ac:dyDescent="0.15">
      <c r="A191">
        <v>2</v>
      </c>
      <c r="D191" s="51" t="s">
        <v>35</v>
      </c>
      <c r="E191" s="51" t="s">
        <v>36</v>
      </c>
      <c r="F191" s="51" t="s">
        <v>106</v>
      </c>
      <c r="G191" s="51" t="s">
        <v>37</v>
      </c>
      <c r="H191">
        <v>2</v>
      </c>
      <c r="I191" s="58">
        <v>23000</v>
      </c>
      <c r="J191" s="59">
        <v>46000</v>
      </c>
      <c r="K191">
        <v>1</v>
      </c>
      <c r="O191" s="52"/>
    </row>
    <row r="192" spans="1:15" x14ac:dyDescent="0.15">
      <c r="A192">
        <v>2</v>
      </c>
      <c r="D192" s="51" t="s">
        <v>35</v>
      </c>
      <c r="E192" s="51" t="s">
        <v>36</v>
      </c>
      <c r="F192" s="51" t="s">
        <v>80</v>
      </c>
      <c r="G192" s="51" t="s">
        <v>37</v>
      </c>
      <c r="H192">
        <v>6</v>
      </c>
      <c r="I192" s="58">
        <v>23000</v>
      </c>
      <c r="J192" s="59">
        <v>138000</v>
      </c>
      <c r="K192">
        <v>1</v>
      </c>
      <c r="O192" s="52"/>
    </row>
    <row r="193" spans="1:15" x14ac:dyDescent="0.15">
      <c r="A193">
        <v>2</v>
      </c>
      <c r="D193" s="51" t="s">
        <v>38</v>
      </c>
      <c r="E193" s="51" t="s">
        <v>44</v>
      </c>
      <c r="G193" s="51" t="s">
        <v>40</v>
      </c>
      <c r="H193">
        <v>2</v>
      </c>
      <c r="I193" s="58">
        <v>3000</v>
      </c>
      <c r="J193" s="59">
        <v>6000</v>
      </c>
      <c r="K193">
        <v>1</v>
      </c>
      <c r="O193" s="52"/>
    </row>
    <row r="194" spans="1:15" x14ac:dyDescent="0.15">
      <c r="A194">
        <v>2</v>
      </c>
      <c r="D194" s="51" t="s">
        <v>45</v>
      </c>
      <c r="E194" s="51" t="s">
        <v>54</v>
      </c>
      <c r="G194" s="51" t="s">
        <v>40</v>
      </c>
      <c r="H194">
        <v>3</v>
      </c>
      <c r="I194" s="58">
        <v>8000</v>
      </c>
      <c r="J194" s="59">
        <v>24000</v>
      </c>
      <c r="K194">
        <v>1</v>
      </c>
      <c r="O194" s="52"/>
    </row>
    <row r="195" spans="1:15" x14ac:dyDescent="0.15">
      <c r="A195">
        <v>2</v>
      </c>
      <c r="D195" s="51" t="s">
        <v>45</v>
      </c>
      <c r="E195" s="51" t="s">
        <v>55</v>
      </c>
      <c r="G195" s="51" t="s">
        <v>40</v>
      </c>
      <c r="H195">
        <v>2</v>
      </c>
      <c r="I195" s="58">
        <v>8000</v>
      </c>
      <c r="J195" s="59">
        <v>16000</v>
      </c>
      <c r="K195">
        <v>1</v>
      </c>
      <c r="O195" s="52"/>
    </row>
    <row r="196" spans="1:15" x14ac:dyDescent="0.15">
      <c r="A196">
        <v>2</v>
      </c>
      <c r="D196" s="51" t="s">
        <v>56</v>
      </c>
      <c r="E196" s="51" t="s">
        <v>57</v>
      </c>
      <c r="G196" s="51" t="s">
        <v>19</v>
      </c>
      <c r="H196">
        <v>1</v>
      </c>
      <c r="I196" s="58">
        <v>26000</v>
      </c>
      <c r="J196" s="59">
        <v>26000</v>
      </c>
      <c r="K196">
        <v>1</v>
      </c>
      <c r="O196" s="52"/>
    </row>
    <row r="197" spans="1:15" x14ac:dyDescent="0.15">
      <c r="A197">
        <v>2</v>
      </c>
      <c r="D197" s="51" t="s">
        <v>56</v>
      </c>
      <c r="E197" s="51" t="s">
        <v>58</v>
      </c>
      <c r="G197" s="51" t="s">
        <v>19</v>
      </c>
      <c r="H197">
        <v>1</v>
      </c>
      <c r="I197" s="58">
        <v>29900</v>
      </c>
      <c r="J197" s="59">
        <v>29900</v>
      </c>
      <c r="K197">
        <v>1</v>
      </c>
      <c r="O197" s="52"/>
    </row>
    <row r="198" spans="1:15" x14ac:dyDescent="0.15">
      <c r="A198">
        <v>2</v>
      </c>
      <c r="D198" s="51" t="s">
        <v>56</v>
      </c>
      <c r="E198" s="51" t="s">
        <v>107</v>
      </c>
      <c r="G198" s="51" t="s">
        <v>37</v>
      </c>
      <c r="H198">
        <v>2</v>
      </c>
      <c r="I198" s="58">
        <v>18000</v>
      </c>
      <c r="J198" s="59">
        <v>36000</v>
      </c>
      <c r="K198">
        <v>1</v>
      </c>
      <c r="O198" s="52"/>
    </row>
    <row r="199" spans="1:15" x14ac:dyDescent="0.15">
      <c r="A199">
        <v>2</v>
      </c>
      <c r="D199" s="51" t="s">
        <v>56</v>
      </c>
      <c r="E199" s="51" t="s">
        <v>108</v>
      </c>
      <c r="G199" s="51" t="s">
        <v>37</v>
      </c>
      <c r="H199">
        <v>4</v>
      </c>
      <c r="I199" s="58">
        <v>18000</v>
      </c>
      <c r="J199" s="59">
        <v>72000</v>
      </c>
      <c r="K199">
        <v>1</v>
      </c>
      <c r="O199" s="52"/>
    </row>
    <row r="200" spans="1:15" x14ac:dyDescent="0.15">
      <c r="A200">
        <v>2</v>
      </c>
      <c r="D200" s="51" t="s">
        <v>38</v>
      </c>
      <c r="E200" s="51" t="s">
        <v>60</v>
      </c>
      <c r="G200" s="51" t="s">
        <v>40</v>
      </c>
      <c r="H200">
        <v>1.5</v>
      </c>
      <c r="I200" s="58">
        <v>15000</v>
      </c>
      <c r="J200" s="59">
        <v>22500</v>
      </c>
      <c r="K200">
        <v>1</v>
      </c>
      <c r="O200" s="52"/>
    </row>
    <row r="201" spans="1:15" x14ac:dyDescent="0.15">
      <c r="A201">
        <v>1</v>
      </c>
      <c r="D201" s="51" t="s">
        <v>20</v>
      </c>
      <c r="E201" s="51" t="s">
        <v>109</v>
      </c>
      <c r="G201" s="51" t="s">
        <v>19</v>
      </c>
      <c r="H201">
        <v>1</v>
      </c>
      <c r="I201" s="58">
        <v>134050</v>
      </c>
      <c r="J201" s="59">
        <v>134050</v>
      </c>
      <c r="K201">
        <v>1</v>
      </c>
      <c r="M201" s="51" t="s">
        <v>110</v>
      </c>
      <c r="O201" s="52"/>
    </row>
    <row r="202" spans="1:15" x14ac:dyDescent="0.15">
      <c r="A202">
        <v>2</v>
      </c>
      <c r="D202" s="51" t="s">
        <v>56</v>
      </c>
      <c r="E202" s="51" t="s">
        <v>111</v>
      </c>
      <c r="G202" s="51" t="s">
        <v>19</v>
      </c>
      <c r="H202">
        <v>1</v>
      </c>
      <c r="I202" s="58">
        <v>15000</v>
      </c>
      <c r="J202" s="59">
        <v>15000</v>
      </c>
      <c r="K202">
        <v>1</v>
      </c>
      <c r="O202" s="52"/>
    </row>
    <row r="203" spans="1:15" x14ac:dyDescent="0.15">
      <c r="A203">
        <v>2</v>
      </c>
      <c r="D203" s="51" t="s">
        <v>56</v>
      </c>
      <c r="E203" s="51" t="s">
        <v>112</v>
      </c>
      <c r="G203" s="51" t="s">
        <v>40</v>
      </c>
      <c r="H203">
        <v>0.5</v>
      </c>
      <c r="I203" s="58">
        <v>20000</v>
      </c>
      <c r="J203" s="59">
        <v>10000</v>
      </c>
      <c r="K203">
        <v>1</v>
      </c>
      <c r="O203" s="52"/>
    </row>
    <row r="204" spans="1:15" x14ac:dyDescent="0.15">
      <c r="A204">
        <v>2</v>
      </c>
      <c r="D204" s="51" t="s">
        <v>56</v>
      </c>
      <c r="E204" s="51" t="s">
        <v>113</v>
      </c>
      <c r="G204" s="51" t="s">
        <v>19</v>
      </c>
      <c r="H204">
        <v>1</v>
      </c>
      <c r="I204" s="58">
        <v>5000</v>
      </c>
      <c r="J204" s="59">
        <v>5000</v>
      </c>
      <c r="K204">
        <v>1</v>
      </c>
      <c r="O204" s="52"/>
    </row>
    <row r="205" spans="1:15" x14ac:dyDescent="0.15">
      <c r="A205">
        <v>2</v>
      </c>
      <c r="D205" s="51" t="s">
        <v>56</v>
      </c>
      <c r="E205" s="51" t="s">
        <v>114</v>
      </c>
      <c r="G205" s="51" t="s">
        <v>19</v>
      </c>
      <c r="H205">
        <v>1</v>
      </c>
      <c r="I205" s="58">
        <v>20000</v>
      </c>
      <c r="J205" s="59">
        <v>20000</v>
      </c>
      <c r="K205">
        <v>1</v>
      </c>
      <c r="O205" s="52"/>
    </row>
    <row r="206" spans="1:15" x14ac:dyDescent="0.15">
      <c r="A206">
        <v>2</v>
      </c>
      <c r="D206" s="51" t="s">
        <v>56</v>
      </c>
      <c r="E206" s="51" t="s">
        <v>112</v>
      </c>
      <c r="G206" s="51" t="s">
        <v>40</v>
      </c>
      <c r="H206">
        <v>0.5</v>
      </c>
      <c r="I206" s="58">
        <v>20000</v>
      </c>
      <c r="J206" s="59">
        <v>10000</v>
      </c>
      <c r="K206">
        <v>1</v>
      </c>
      <c r="O206" s="52"/>
    </row>
    <row r="207" spans="1:15" x14ac:dyDescent="0.15">
      <c r="A207">
        <v>2</v>
      </c>
      <c r="D207" s="51" t="s">
        <v>56</v>
      </c>
      <c r="E207" s="51" t="s">
        <v>113</v>
      </c>
      <c r="G207" s="51" t="s">
        <v>29</v>
      </c>
      <c r="H207">
        <v>300</v>
      </c>
      <c r="I207" s="58">
        <v>45</v>
      </c>
      <c r="J207" s="59">
        <v>13500</v>
      </c>
      <c r="K207">
        <v>1</v>
      </c>
      <c r="O207" s="52"/>
    </row>
    <row r="208" spans="1:15" x14ac:dyDescent="0.15">
      <c r="A208">
        <v>2</v>
      </c>
      <c r="D208" s="51" t="s">
        <v>56</v>
      </c>
      <c r="E208" s="51" t="s">
        <v>114</v>
      </c>
      <c r="G208" s="51" t="s">
        <v>19</v>
      </c>
      <c r="H208">
        <v>1</v>
      </c>
      <c r="I208" s="58">
        <v>20000</v>
      </c>
      <c r="J208" s="59">
        <v>20000</v>
      </c>
      <c r="K208">
        <v>1</v>
      </c>
      <c r="O208" s="52"/>
    </row>
    <row r="209" spans="1:15" x14ac:dyDescent="0.15">
      <c r="A209">
        <v>2</v>
      </c>
      <c r="D209" s="51" t="s">
        <v>56</v>
      </c>
      <c r="E209" s="51" t="s">
        <v>112</v>
      </c>
      <c r="G209" s="51" t="s">
        <v>40</v>
      </c>
      <c r="H209">
        <v>1</v>
      </c>
      <c r="I209" s="58">
        <v>20000</v>
      </c>
      <c r="J209" s="59">
        <v>20000</v>
      </c>
      <c r="K209">
        <v>1</v>
      </c>
      <c r="O209" s="52"/>
    </row>
    <row r="210" spans="1:15" x14ac:dyDescent="0.15">
      <c r="A210">
        <v>2</v>
      </c>
      <c r="D210" s="51" t="s">
        <v>56</v>
      </c>
      <c r="E210" s="51" t="s">
        <v>113</v>
      </c>
      <c r="G210" s="51" t="s">
        <v>29</v>
      </c>
      <c r="H210">
        <v>190</v>
      </c>
      <c r="I210" s="58">
        <v>45</v>
      </c>
      <c r="J210" s="59">
        <v>8550</v>
      </c>
      <c r="K210">
        <v>1</v>
      </c>
      <c r="O210" s="52"/>
    </row>
    <row r="211" spans="1:15" x14ac:dyDescent="0.15">
      <c r="A211">
        <v>2</v>
      </c>
      <c r="D211" s="51" t="s">
        <v>56</v>
      </c>
      <c r="E211" s="51" t="s">
        <v>115</v>
      </c>
      <c r="G211" s="51" t="s">
        <v>19</v>
      </c>
      <c r="H211">
        <v>1</v>
      </c>
      <c r="I211" s="58">
        <v>12000</v>
      </c>
      <c r="J211" s="59">
        <v>12000</v>
      </c>
      <c r="K211">
        <v>1</v>
      </c>
      <c r="O211" s="52"/>
    </row>
    <row r="212" spans="1:15" x14ac:dyDescent="0.15">
      <c r="A212">
        <v>1</v>
      </c>
      <c r="D212" s="51" t="s">
        <v>20</v>
      </c>
      <c r="E212" s="51" t="s">
        <v>116</v>
      </c>
      <c r="G212" s="51" t="s">
        <v>19</v>
      </c>
      <c r="H212">
        <v>1</v>
      </c>
      <c r="I212" s="58">
        <v>282750</v>
      </c>
      <c r="J212" s="59">
        <v>282750</v>
      </c>
      <c r="K212">
        <v>1</v>
      </c>
      <c r="M212" s="51" t="s">
        <v>117</v>
      </c>
      <c r="O212" s="52"/>
    </row>
    <row r="213" spans="1:15" x14ac:dyDescent="0.15">
      <c r="A213">
        <v>2</v>
      </c>
      <c r="D213" s="51" t="s">
        <v>35</v>
      </c>
      <c r="E213" s="51" t="s">
        <v>36</v>
      </c>
      <c r="G213" s="51" t="s">
        <v>37</v>
      </c>
      <c r="H213">
        <v>4</v>
      </c>
      <c r="I213" s="58">
        <v>23000</v>
      </c>
      <c r="J213" s="59">
        <v>92000</v>
      </c>
      <c r="K213">
        <v>1</v>
      </c>
      <c r="O213" s="52"/>
    </row>
    <row r="214" spans="1:15" x14ac:dyDescent="0.15">
      <c r="A214">
        <v>2</v>
      </c>
      <c r="D214" s="51" t="s">
        <v>38</v>
      </c>
      <c r="E214" s="51" t="s">
        <v>118</v>
      </c>
      <c r="G214" s="51" t="s">
        <v>40</v>
      </c>
      <c r="H214">
        <v>2</v>
      </c>
      <c r="I214" s="58">
        <v>5000</v>
      </c>
      <c r="J214" s="59">
        <v>10000</v>
      </c>
      <c r="K214">
        <v>1</v>
      </c>
      <c r="O214" s="52"/>
    </row>
    <row r="215" spans="1:15" x14ac:dyDescent="0.15">
      <c r="A215">
        <v>2</v>
      </c>
      <c r="D215" s="51" t="s">
        <v>45</v>
      </c>
      <c r="E215" s="51" t="s">
        <v>55</v>
      </c>
      <c r="G215" s="51" t="s">
        <v>40</v>
      </c>
      <c r="H215">
        <v>2</v>
      </c>
      <c r="I215" s="58">
        <v>8000</v>
      </c>
      <c r="J215" s="59">
        <v>16000</v>
      </c>
      <c r="K215">
        <v>1</v>
      </c>
      <c r="O215" s="52"/>
    </row>
    <row r="216" spans="1:15" x14ac:dyDescent="0.15">
      <c r="A216">
        <v>2</v>
      </c>
      <c r="D216" s="51" t="s">
        <v>56</v>
      </c>
      <c r="E216" s="51" t="s">
        <v>57</v>
      </c>
      <c r="G216" s="51" t="s">
        <v>19</v>
      </c>
      <c r="H216">
        <v>1</v>
      </c>
      <c r="I216" s="58">
        <v>11800</v>
      </c>
      <c r="J216" s="59">
        <v>11800</v>
      </c>
      <c r="K216">
        <v>1</v>
      </c>
      <c r="O216" s="52"/>
    </row>
    <row r="217" spans="1:15" x14ac:dyDescent="0.15">
      <c r="A217">
        <v>2</v>
      </c>
      <c r="D217" s="51" t="s">
        <v>56</v>
      </c>
      <c r="E217" s="51" t="s">
        <v>58</v>
      </c>
      <c r="G217" s="51" t="s">
        <v>19</v>
      </c>
      <c r="H217">
        <v>1</v>
      </c>
      <c r="I217" s="58">
        <v>14950</v>
      </c>
      <c r="J217" s="59">
        <v>14950</v>
      </c>
      <c r="K217">
        <v>1</v>
      </c>
      <c r="O217" s="52"/>
    </row>
    <row r="218" spans="1:15" x14ac:dyDescent="0.15">
      <c r="A218">
        <v>2</v>
      </c>
      <c r="D218" s="51" t="s">
        <v>56</v>
      </c>
      <c r="E218" s="51" t="s">
        <v>59</v>
      </c>
      <c r="G218" s="51" t="s">
        <v>37</v>
      </c>
      <c r="H218">
        <v>6</v>
      </c>
      <c r="I218" s="58">
        <v>18000</v>
      </c>
      <c r="J218" s="59">
        <v>108000</v>
      </c>
      <c r="K218">
        <v>1</v>
      </c>
      <c r="O218" s="52"/>
    </row>
    <row r="219" spans="1:15" x14ac:dyDescent="0.15">
      <c r="A219">
        <v>2</v>
      </c>
      <c r="D219" s="51" t="s">
        <v>38</v>
      </c>
      <c r="E219" s="51" t="s">
        <v>119</v>
      </c>
      <c r="G219" s="51" t="s">
        <v>40</v>
      </c>
      <c r="H219">
        <v>2</v>
      </c>
      <c r="I219" s="58">
        <v>15000</v>
      </c>
      <c r="J219" s="59">
        <v>30000</v>
      </c>
      <c r="K219">
        <v>1</v>
      </c>
      <c r="O219" s="52"/>
    </row>
    <row r="220" spans="1:15" x14ac:dyDescent="0.15">
      <c r="A220">
        <v>1</v>
      </c>
      <c r="D220" s="51" t="s">
        <v>20</v>
      </c>
      <c r="E220" s="51" t="s">
        <v>120</v>
      </c>
      <c r="F220" s="51" t="s">
        <v>121</v>
      </c>
      <c r="G220" s="51" t="s">
        <v>23</v>
      </c>
      <c r="H220">
        <v>100</v>
      </c>
      <c r="I220" s="58">
        <v>27200</v>
      </c>
      <c r="J220" s="59">
        <v>2720000</v>
      </c>
      <c r="K220">
        <v>100</v>
      </c>
      <c r="M220" s="51" t="s">
        <v>122</v>
      </c>
      <c r="O220" s="52"/>
    </row>
    <row r="221" spans="1:15" x14ac:dyDescent="0.15">
      <c r="A221">
        <v>2</v>
      </c>
      <c r="D221" s="51" t="s">
        <v>25</v>
      </c>
      <c r="E221" s="51" t="s">
        <v>67</v>
      </c>
      <c r="G221" s="51" t="s">
        <v>27</v>
      </c>
      <c r="H221">
        <v>14</v>
      </c>
      <c r="I221" s="58">
        <v>10500</v>
      </c>
      <c r="J221" s="59">
        <v>147000</v>
      </c>
      <c r="K221">
        <v>1</v>
      </c>
      <c r="O221" s="52"/>
    </row>
    <row r="222" spans="1:15" x14ac:dyDescent="0.15">
      <c r="A222">
        <v>2</v>
      </c>
      <c r="D222" s="51" t="s">
        <v>25</v>
      </c>
      <c r="E222" s="51" t="s">
        <v>123</v>
      </c>
      <c r="G222" s="51" t="s">
        <v>27</v>
      </c>
      <c r="H222">
        <v>28</v>
      </c>
      <c r="I222" s="58">
        <v>10300</v>
      </c>
      <c r="J222" s="59">
        <v>288400</v>
      </c>
      <c r="K222">
        <v>1</v>
      </c>
      <c r="O222" s="52"/>
    </row>
    <row r="223" spans="1:15" x14ac:dyDescent="0.15">
      <c r="A223">
        <v>2</v>
      </c>
      <c r="D223" s="51" t="s">
        <v>25</v>
      </c>
      <c r="E223" s="51" t="s">
        <v>68</v>
      </c>
      <c r="G223" s="51" t="s">
        <v>29</v>
      </c>
      <c r="H223">
        <v>200</v>
      </c>
      <c r="I223" s="58">
        <v>155</v>
      </c>
      <c r="J223" s="59">
        <v>31000</v>
      </c>
      <c r="K223">
        <v>1</v>
      </c>
      <c r="O223" s="52"/>
    </row>
    <row r="224" spans="1:15" x14ac:dyDescent="0.15">
      <c r="A224">
        <v>2</v>
      </c>
      <c r="D224" s="51" t="s">
        <v>25</v>
      </c>
      <c r="E224" s="51" t="s">
        <v>32</v>
      </c>
      <c r="G224" s="51" t="s">
        <v>29</v>
      </c>
      <c r="H224">
        <v>150</v>
      </c>
      <c r="I224" s="58">
        <v>160</v>
      </c>
      <c r="J224" s="59">
        <v>24000</v>
      </c>
      <c r="K224">
        <v>1</v>
      </c>
      <c r="O224" s="52"/>
    </row>
    <row r="225" spans="1:15" x14ac:dyDescent="0.15">
      <c r="A225">
        <v>2</v>
      </c>
      <c r="D225" s="51" t="s">
        <v>25</v>
      </c>
      <c r="E225" s="51" t="s">
        <v>33</v>
      </c>
      <c r="G225" s="51" t="s">
        <v>29</v>
      </c>
      <c r="H225">
        <v>20</v>
      </c>
      <c r="I225" s="58">
        <v>180</v>
      </c>
      <c r="J225" s="59">
        <v>3600</v>
      </c>
      <c r="K225">
        <v>1</v>
      </c>
      <c r="O225" s="52"/>
    </row>
    <row r="226" spans="1:15" x14ac:dyDescent="0.15">
      <c r="A226">
        <v>2</v>
      </c>
      <c r="D226" s="51" t="s">
        <v>25</v>
      </c>
      <c r="E226" s="51" t="s">
        <v>34</v>
      </c>
      <c r="G226" s="51" t="s">
        <v>19</v>
      </c>
      <c r="H226">
        <v>1</v>
      </c>
      <c r="I226" s="58">
        <v>21220</v>
      </c>
      <c r="J226" s="59">
        <v>21220</v>
      </c>
      <c r="K226">
        <v>1</v>
      </c>
      <c r="O226" s="52"/>
    </row>
    <row r="227" spans="1:15" x14ac:dyDescent="0.15">
      <c r="A227">
        <v>2</v>
      </c>
      <c r="D227" s="51" t="s">
        <v>35</v>
      </c>
      <c r="E227" s="51" t="s">
        <v>36</v>
      </c>
      <c r="G227" s="51" t="s">
        <v>37</v>
      </c>
      <c r="H227">
        <v>16</v>
      </c>
      <c r="I227" s="58">
        <v>23000</v>
      </c>
      <c r="J227" s="59">
        <v>368000</v>
      </c>
      <c r="K227">
        <v>1</v>
      </c>
      <c r="O227" s="52"/>
    </row>
    <row r="228" spans="1:15" x14ac:dyDescent="0.15">
      <c r="A228">
        <v>2</v>
      </c>
      <c r="D228" s="51" t="s">
        <v>38</v>
      </c>
      <c r="E228" s="51" t="s">
        <v>39</v>
      </c>
      <c r="G228" s="51" t="s">
        <v>40</v>
      </c>
      <c r="H228">
        <v>2</v>
      </c>
      <c r="I228" s="58">
        <v>80000</v>
      </c>
      <c r="J228" s="59">
        <v>160000</v>
      </c>
      <c r="K228">
        <v>1</v>
      </c>
      <c r="O228" s="52"/>
    </row>
    <row r="229" spans="1:15" x14ac:dyDescent="0.15">
      <c r="A229">
        <v>2</v>
      </c>
      <c r="D229" s="51" t="s">
        <v>38</v>
      </c>
      <c r="E229" s="51" t="s">
        <v>41</v>
      </c>
      <c r="G229" s="51" t="s">
        <v>40</v>
      </c>
      <c r="H229">
        <v>2</v>
      </c>
      <c r="I229" s="58">
        <v>6000</v>
      </c>
      <c r="J229" s="59">
        <v>12000</v>
      </c>
      <c r="K229">
        <v>1</v>
      </c>
      <c r="O229" s="52"/>
    </row>
    <row r="230" spans="1:15" x14ac:dyDescent="0.15">
      <c r="A230">
        <v>2</v>
      </c>
      <c r="D230" s="51" t="s">
        <v>38</v>
      </c>
      <c r="E230" s="51" t="s">
        <v>42</v>
      </c>
      <c r="G230" s="51" t="s">
        <v>40</v>
      </c>
      <c r="H230">
        <v>2</v>
      </c>
      <c r="I230" s="58">
        <v>8000</v>
      </c>
      <c r="J230" s="59">
        <v>16000</v>
      </c>
      <c r="K230">
        <v>1</v>
      </c>
      <c r="O230" s="52"/>
    </row>
    <row r="231" spans="1:15" x14ac:dyDescent="0.15">
      <c r="A231">
        <v>2</v>
      </c>
      <c r="D231" s="51" t="s">
        <v>38</v>
      </c>
      <c r="E231" s="51" t="s">
        <v>69</v>
      </c>
      <c r="G231" s="51" t="s">
        <v>40</v>
      </c>
      <c r="H231">
        <v>2</v>
      </c>
      <c r="I231" s="58">
        <v>6000</v>
      </c>
      <c r="J231" s="59">
        <v>12000</v>
      </c>
      <c r="K231">
        <v>1</v>
      </c>
      <c r="O231" s="52"/>
    </row>
    <row r="232" spans="1:15" x14ac:dyDescent="0.15">
      <c r="A232">
        <v>2</v>
      </c>
      <c r="D232" s="51" t="s">
        <v>38</v>
      </c>
      <c r="E232" s="51" t="s">
        <v>70</v>
      </c>
      <c r="G232" s="51" t="s">
        <v>40</v>
      </c>
      <c r="H232">
        <v>2</v>
      </c>
      <c r="I232" s="58">
        <v>8000</v>
      </c>
      <c r="J232" s="59">
        <v>16000</v>
      </c>
      <c r="K232">
        <v>1</v>
      </c>
      <c r="O232" s="52"/>
    </row>
    <row r="233" spans="1:15" x14ac:dyDescent="0.15">
      <c r="A233">
        <v>2</v>
      </c>
      <c r="D233" s="51" t="s">
        <v>38</v>
      </c>
      <c r="E233" s="51" t="s">
        <v>71</v>
      </c>
      <c r="G233" s="51" t="s">
        <v>40</v>
      </c>
      <c r="H233">
        <v>2</v>
      </c>
      <c r="I233" s="58">
        <v>15000</v>
      </c>
      <c r="J233" s="59">
        <v>30000</v>
      </c>
      <c r="K233">
        <v>1</v>
      </c>
      <c r="O233" s="52"/>
    </row>
    <row r="234" spans="1:15" x14ac:dyDescent="0.15">
      <c r="A234">
        <v>2</v>
      </c>
      <c r="D234" s="51" t="s">
        <v>38</v>
      </c>
      <c r="E234" s="51" t="s">
        <v>124</v>
      </c>
      <c r="G234" s="51" t="s">
        <v>40</v>
      </c>
      <c r="H234">
        <v>2</v>
      </c>
      <c r="I234" s="58">
        <v>130000</v>
      </c>
      <c r="J234" s="59">
        <v>260000</v>
      </c>
      <c r="K234">
        <v>1</v>
      </c>
      <c r="O234" s="52"/>
    </row>
    <row r="235" spans="1:15" x14ac:dyDescent="0.15">
      <c r="A235">
        <v>2</v>
      </c>
      <c r="D235" s="51" t="s">
        <v>38</v>
      </c>
      <c r="E235" s="51" t="s">
        <v>73</v>
      </c>
      <c r="G235" s="51" t="s">
        <v>40</v>
      </c>
      <c r="H235">
        <v>2</v>
      </c>
      <c r="I235" s="58">
        <v>12000</v>
      </c>
      <c r="J235" s="59">
        <v>24000</v>
      </c>
      <c r="K235">
        <v>1</v>
      </c>
      <c r="O235" s="52"/>
    </row>
    <row r="236" spans="1:15" x14ac:dyDescent="0.15">
      <c r="A236">
        <v>2</v>
      </c>
      <c r="D236" s="51" t="s">
        <v>38</v>
      </c>
      <c r="E236" s="51" t="s">
        <v>64</v>
      </c>
      <c r="G236" s="51" t="s">
        <v>40</v>
      </c>
      <c r="H236">
        <v>2</v>
      </c>
      <c r="I236" s="58">
        <v>50000</v>
      </c>
      <c r="J236" s="59">
        <v>100000</v>
      </c>
      <c r="K236">
        <v>1</v>
      </c>
      <c r="O236" s="52"/>
    </row>
    <row r="237" spans="1:15" x14ac:dyDescent="0.15">
      <c r="A237">
        <v>2</v>
      </c>
      <c r="D237" s="51" t="s">
        <v>38</v>
      </c>
      <c r="E237" s="51" t="s">
        <v>44</v>
      </c>
      <c r="G237" s="51" t="s">
        <v>40</v>
      </c>
      <c r="H237">
        <v>4</v>
      </c>
      <c r="I237" s="58">
        <v>3000</v>
      </c>
      <c r="J237" s="59">
        <v>12000</v>
      </c>
      <c r="K237">
        <v>1</v>
      </c>
      <c r="O237" s="52"/>
    </row>
    <row r="238" spans="1:15" x14ac:dyDescent="0.15">
      <c r="A238">
        <v>2</v>
      </c>
      <c r="D238" s="51" t="s">
        <v>45</v>
      </c>
      <c r="E238" s="51" t="s">
        <v>74</v>
      </c>
      <c r="G238" s="51" t="s">
        <v>40</v>
      </c>
      <c r="H238">
        <v>6</v>
      </c>
      <c r="I238" s="58">
        <v>43000</v>
      </c>
      <c r="J238" s="59">
        <v>258000</v>
      </c>
      <c r="K238">
        <v>1</v>
      </c>
      <c r="O238" s="52"/>
    </row>
    <row r="239" spans="1:15" x14ac:dyDescent="0.15">
      <c r="A239">
        <v>2</v>
      </c>
      <c r="D239" s="51" t="s">
        <v>45</v>
      </c>
      <c r="E239" s="51" t="s">
        <v>47</v>
      </c>
      <c r="G239" s="51" t="s">
        <v>27</v>
      </c>
      <c r="H239">
        <v>24</v>
      </c>
      <c r="I239" s="58">
        <v>400</v>
      </c>
      <c r="J239" s="59">
        <v>9600</v>
      </c>
      <c r="K239">
        <v>1</v>
      </c>
      <c r="O239" s="52"/>
    </row>
    <row r="240" spans="1:15" x14ac:dyDescent="0.15">
      <c r="A240">
        <v>2</v>
      </c>
      <c r="D240" s="51" t="s">
        <v>45</v>
      </c>
      <c r="E240" s="51" t="s">
        <v>48</v>
      </c>
      <c r="G240" s="51" t="s">
        <v>50</v>
      </c>
      <c r="H240">
        <v>4</v>
      </c>
      <c r="I240" s="58">
        <v>35000</v>
      </c>
      <c r="J240" s="59">
        <v>140000</v>
      </c>
      <c r="K240">
        <v>1</v>
      </c>
      <c r="O240" s="52"/>
    </row>
    <row r="241" spans="1:15" x14ac:dyDescent="0.15">
      <c r="A241">
        <v>2</v>
      </c>
      <c r="D241" s="51" t="s">
        <v>45</v>
      </c>
      <c r="E241" s="51" t="s">
        <v>48</v>
      </c>
      <c r="F241" s="51" t="s">
        <v>49</v>
      </c>
      <c r="G241" s="51" t="s">
        <v>50</v>
      </c>
      <c r="H241">
        <v>4</v>
      </c>
      <c r="I241" s="58">
        <v>30000</v>
      </c>
      <c r="J241" s="59">
        <v>120000</v>
      </c>
      <c r="K241">
        <v>1</v>
      </c>
      <c r="O241" s="52"/>
    </row>
    <row r="242" spans="1:15" x14ac:dyDescent="0.15">
      <c r="A242">
        <v>2</v>
      </c>
      <c r="D242" s="51" t="s">
        <v>45</v>
      </c>
      <c r="E242" s="51" t="s">
        <v>48</v>
      </c>
      <c r="F242" s="51" t="s">
        <v>76</v>
      </c>
      <c r="G242" s="51" t="s">
        <v>50</v>
      </c>
      <c r="H242">
        <v>4</v>
      </c>
      <c r="I242" s="58">
        <v>22000</v>
      </c>
      <c r="J242" s="59">
        <v>88000</v>
      </c>
      <c r="K242">
        <v>1</v>
      </c>
      <c r="O242" s="52"/>
    </row>
    <row r="243" spans="1:15" x14ac:dyDescent="0.15">
      <c r="A243">
        <v>2</v>
      </c>
      <c r="D243" s="51" t="s">
        <v>45</v>
      </c>
      <c r="E243" s="51" t="s">
        <v>51</v>
      </c>
      <c r="F243" s="51" t="s">
        <v>53</v>
      </c>
      <c r="G243" s="51" t="s">
        <v>50</v>
      </c>
      <c r="H243">
        <v>4</v>
      </c>
      <c r="I243" s="58">
        <v>16000</v>
      </c>
      <c r="J243" s="59">
        <v>64000</v>
      </c>
      <c r="K243">
        <v>1</v>
      </c>
      <c r="O243" s="52"/>
    </row>
    <row r="244" spans="1:15" x14ac:dyDescent="0.15">
      <c r="A244">
        <v>2</v>
      </c>
      <c r="D244" s="51" t="s">
        <v>45</v>
      </c>
      <c r="E244" s="51" t="s">
        <v>54</v>
      </c>
      <c r="G244" s="51" t="s">
        <v>40</v>
      </c>
      <c r="H244">
        <v>4</v>
      </c>
      <c r="I244" s="58">
        <v>8000</v>
      </c>
      <c r="J244" s="59">
        <v>32000</v>
      </c>
      <c r="K244">
        <v>1</v>
      </c>
      <c r="O244" s="52"/>
    </row>
    <row r="245" spans="1:15" x14ac:dyDescent="0.15">
      <c r="A245">
        <v>2</v>
      </c>
      <c r="D245" s="51" t="s">
        <v>45</v>
      </c>
      <c r="E245" s="51" t="s">
        <v>55</v>
      </c>
      <c r="G245" s="51" t="s">
        <v>40</v>
      </c>
      <c r="H245">
        <v>4</v>
      </c>
      <c r="I245" s="58">
        <v>8000</v>
      </c>
      <c r="J245" s="59">
        <v>32000</v>
      </c>
      <c r="K245">
        <v>1</v>
      </c>
      <c r="O245" s="52"/>
    </row>
    <row r="246" spans="1:15" x14ac:dyDescent="0.15">
      <c r="A246">
        <v>2</v>
      </c>
      <c r="D246" s="51" t="s">
        <v>56</v>
      </c>
      <c r="E246" s="51" t="s">
        <v>57</v>
      </c>
      <c r="G246" s="51" t="s">
        <v>19</v>
      </c>
      <c r="H246">
        <v>1</v>
      </c>
      <c r="I246" s="58">
        <v>100000</v>
      </c>
      <c r="J246" s="59">
        <v>100000</v>
      </c>
      <c r="K246">
        <v>1</v>
      </c>
      <c r="O246" s="52"/>
    </row>
    <row r="247" spans="1:15" x14ac:dyDescent="0.15">
      <c r="A247">
        <v>2</v>
      </c>
      <c r="D247" s="51" t="s">
        <v>56</v>
      </c>
      <c r="E247" s="51" t="s">
        <v>77</v>
      </c>
      <c r="G247" s="51" t="s">
        <v>19</v>
      </c>
      <c r="H247">
        <v>1</v>
      </c>
      <c r="I247" s="58">
        <v>58880</v>
      </c>
      <c r="J247" s="59">
        <v>58880</v>
      </c>
      <c r="K247">
        <v>1</v>
      </c>
      <c r="O247" s="52"/>
    </row>
    <row r="248" spans="1:15" x14ac:dyDescent="0.15">
      <c r="A248">
        <v>2</v>
      </c>
      <c r="D248" s="51" t="s">
        <v>56</v>
      </c>
      <c r="E248" s="51" t="s">
        <v>78</v>
      </c>
      <c r="G248" s="51" t="s">
        <v>19</v>
      </c>
      <c r="H248">
        <v>1</v>
      </c>
      <c r="I248" s="58">
        <v>10300</v>
      </c>
      <c r="J248" s="59">
        <v>10300</v>
      </c>
      <c r="K248">
        <v>1</v>
      </c>
      <c r="O248" s="52"/>
    </row>
    <row r="249" spans="1:15" x14ac:dyDescent="0.15">
      <c r="A249">
        <v>2</v>
      </c>
      <c r="D249" s="51" t="s">
        <v>56</v>
      </c>
      <c r="E249" s="51" t="s">
        <v>59</v>
      </c>
      <c r="G249" s="51" t="s">
        <v>37</v>
      </c>
      <c r="H249">
        <v>14</v>
      </c>
      <c r="I249" s="58">
        <v>18000</v>
      </c>
      <c r="J249" s="59">
        <v>252000</v>
      </c>
      <c r="K249">
        <v>1</v>
      </c>
      <c r="O249" s="52"/>
    </row>
    <row r="250" spans="1:15" x14ac:dyDescent="0.15">
      <c r="A250">
        <v>2</v>
      </c>
      <c r="D250" s="51" t="s">
        <v>38</v>
      </c>
      <c r="E250" s="51" t="s">
        <v>60</v>
      </c>
      <c r="G250" s="51" t="s">
        <v>40</v>
      </c>
      <c r="H250">
        <v>2</v>
      </c>
      <c r="I250" s="58">
        <v>15000</v>
      </c>
      <c r="J250" s="59">
        <v>30000</v>
      </c>
      <c r="K250">
        <v>1</v>
      </c>
      <c r="O250" s="52"/>
    </row>
    <row r="251" spans="1:15" x14ac:dyDescent="0.15">
      <c r="A251">
        <v>1</v>
      </c>
      <c r="D251" s="51" t="s">
        <v>20</v>
      </c>
      <c r="E251" s="51" t="s">
        <v>125</v>
      </c>
      <c r="F251" s="51" t="s">
        <v>126</v>
      </c>
      <c r="G251" s="51" t="s">
        <v>23</v>
      </c>
      <c r="H251">
        <v>168</v>
      </c>
      <c r="I251" s="58">
        <v>12700</v>
      </c>
      <c r="J251" s="59">
        <v>2133600</v>
      </c>
      <c r="K251">
        <v>168</v>
      </c>
      <c r="M251" s="51" t="s">
        <v>127</v>
      </c>
      <c r="O251" s="52"/>
    </row>
    <row r="252" spans="1:15" x14ac:dyDescent="0.15">
      <c r="A252">
        <v>2</v>
      </c>
      <c r="D252" s="51" t="s">
        <v>25</v>
      </c>
      <c r="E252" s="51" t="s">
        <v>128</v>
      </c>
      <c r="G252" s="51" t="s">
        <v>27</v>
      </c>
      <c r="H252">
        <v>24</v>
      </c>
      <c r="I252" s="58">
        <v>10800</v>
      </c>
      <c r="J252" s="59">
        <v>259200</v>
      </c>
      <c r="K252">
        <v>1</v>
      </c>
      <c r="O252" s="52"/>
    </row>
    <row r="253" spans="1:15" x14ac:dyDescent="0.15">
      <c r="A253">
        <v>2</v>
      </c>
      <c r="D253" s="51" t="s">
        <v>25</v>
      </c>
      <c r="E253" s="51" t="s">
        <v>129</v>
      </c>
      <c r="G253" s="51" t="s">
        <v>27</v>
      </c>
      <c r="H253">
        <v>22</v>
      </c>
      <c r="I253" s="58">
        <v>9100</v>
      </c>
      <c r="J253" s="59">
        <v>200200</v>
      </c>
      <c r="K253">
        <v>1</v>
      </c>
      <c r="O253" s="52"/>
    </row>
    <row r="254" spans="1:15" x14ac:dyDescent="0.15">
      <c r="A254">
        <v>2</v>
      </c>
      <c r="D254" s="51" t="s">
        <v>25</v>
      </c>
      <c r="E254" s="51" t="s">
        <v>68</v>
      </c>
      <c r="G254" s="51" t="s">
        <v>29</v>
      </c>
      <c r="H254">
        <v>210</v>
      </c>
      <c r="I254" s="58">
        <v>155</v>
      </c>
      <c r="J254" s="59">
        <v>32550</v>
      </c>
      <c r="K254">
        <v>1</v>
      </c>
      <c r="O254" s="52"/>
    </row>
    <row r="255" spans="1:15" x14ac:dyDescent="0.15">
      <c r="A255">
        <v>2</v>
      </c>
      <c r="D255" s="51" t="s">
        <v>25</v>
      </c>
      <c r="E255" s="51" t="s">
        <v>32</v>
      </c>
      <c r="G255" s="51" t="s">
        <v>29</v>
      </c>
      <c r="H255">
        <v>100</v>
      </c>
      <c r="I255" s="58">
        <v>160</v>
      </c>
      <c r="J255" s="59">
        <v>16000</v>
      </c>
      <c r="K255">
        <v>1</v>
      </c>
      <c r="O255" s="52"/>
    </row>
    <row r="256" spans="1:15" x14ac:dyDescent="0.15">
      <c r="A256">
        <v>2</v>
      </c>
      <c r="D256" s="51" t="s">
        <v>25</v>
      </c>
      <c r="E256" s="51" t="s">
        <v>33</v>
      </c>
      <c r="G256" s="51" t="s">
        <v>29</v>
      </c>
      <c r="H256">
        <v>60</v>
      </c>
      <c r="I256" s="58">
        <v>180</v>
      </c>
      <c r="J256" s="59">
        <v>10800</v>
      </c>
      <c r="K256">
        <v>1</v>
      </c>
      <c r="O256" s="52"/>
    </row>
    <row r="257" spans="1:15" x14ac:dyDescent="0.15">
      <c r="A257">
        <v>2</v>
      </c>
      <c r="D257" s="51" t="s">
        <v>25</v>
      </c>
      <c r="E257" s="51" t="s">
        <v>34</v>
      </c>
      <c r="G257" s="51" t="s">
        <v>19</v>
      </c>
      <c r="H257">
        <v>1</v>
      </c>
      <c r="I257" s="58">
        <v>650</v>
      </c>
      <c r="J257" s="59">
        <v>650</v>
      </c>
      <c r="K257">
        <v>1</v>
      </c>
      <c r="O257" s="52"/>
    </row>
    <row r="258" spans="1:15" x14ac:dyDescent="0.15">
      <c r="A258">
        <v>2</v>
      </c>
      <c r="D258" s="51" t="s">
        <v>35</v>
      </c>
      <c r="E258" s="51" t="s">
        <v>36</v>
      </c>
      <c r="G258" s="51" t="s">
        <v>37</v>
      </c>
      <c r="H258">
        <v>8</v>
      </c>
      <c r="I258" s="58">
        <v>30000</v>
      </c>
      <c r="J258" s="59">
        <v>240000</v>
      </c>
      <c r="K258">
        <v>1</v>
      </c>
      <c r="O258" s="52"/>
    </row>
    <row r="259" spans="1:15" x14ac:dyDescent="0.15">
      <c r="A259">
        <v>2</v>
      </c>
      <c r="D259" s="51" t="s">
        <v>38</v>
      </c>
      <c r="E259" s="51" t="s">
        <v>39</v>
      </c>
      <c r="G259" s="51" t="s">
        <v>40</v>
      </c>
      <c r="H259">
        <v>1</v>
      </c>
      <c r="I259" s="58">
        <v>86000</v>
      </c>
      <c r="J259" s="59">
        <v>86000</v>
      </c>
      <c r="K259">
        <v>1</v>
      </c>
      <c r="O259" s="52"/>
    </row>
    <row r="260" spans="1:15" x14ac:dyDescent="0.15">
      <c r="A260">
        <v>2</v>
      </c>
      <c r="D260" s="51" t="s">
        <v>38</v>
      </c>
      <c r="E260" s="51" t="s">
        <v>41</v>
      </c>
      <c r="G260" s="51" t="s">
        <v>40</v>
      </c>
      <c r="H260">
        <v>1</v>
      </c>
      <c r="I260" s="58">
        <v>6000</v>
      </c>
      <c r="J260" s="59">
        <v>6000</v>
      </c>
      <c r="K260">
        <v>1</v>
      </c>
      <c r="O260" s="52"/>
    </row>
    <row r="261" spans="1:15" x14ac:dyDescent="0.15">
      <c r="A261">
        <v>2</v>
      </c>
      <c r="D261" s="51" t="s">
        <v>38</v>
      </c>
      <c r="E261" s="51" t="s">
        <v>42</v>
      </c>
      <c r="G261" s="51" t="s">
        <v>40</v>
      </c>
      <c r="H261">
        <v>1</v>
      </c>
      <c r="I261" s="58">
        <v>8000</v>
      </c>
      <c r="J261" s="59">
        <v>8000</v>
      </c>
      <c r="K261">
        <v>1</v>
      </c>
      <c r="O261" s="52"/>
    </row>
    <row r="262" spans="1:15" x14ac:dyDescent="0.15">
      <c r="A262">
        <v>2</v>
      </c>
      <c r="D262" s="51" t="s">
        <v>38</v>
      </c>
      <c r="E262" s="51" t="s">
        <v>69</v>
      </c>
      <c r="G262" s="51" t="s">
        <v>40</v>
      </c>
      <c r="H262">
        <v>1</v>
      </c>
      <c r="I262" s="58">
        <v>6000</v>
      </c>
      <c r="J262" s="59">
        <v>6000</v>
      </c>
      <c r="K262">
        <v>1</v>
      </c>
      <c r="O262" s="52"/>
    </row>
    <row r="263" spans="1:15" x14ac:dyDescent="0.15">
      <c r="A263">
        <v>2</v>
      </c>
      <c r="D263" s="51" t="s">
        <v>38</v>
      </c>
      <c r="E263" s="51" t="s">
        <v>70</v>
      </c>
      <c r="G263" s="51" t="s">
        <v>40</v>
      </c>
      <c r="H263">
        <v>1</v>
      </c>
      <c r="I263" s="58">
        <v>8000</v>
      </c>
      <c r="J263" s="59">
        <v>8000</v>
      </c>
      <c r="K263">
        <v>1</v>
      </c>
      <c r="O263" s="52"/>
    </row>
    <row r="264" spans="1:15" x14ac:dyDescent="0.15">
      <c r="A264">
        <v>2</v>
      </c>
      <c r="D264" s="51" t="s">
        <v>38</v>
      </c>
      <c r="E264" s="51" t="s">
        <v>71</v>
      </c>
      <c r="G264" s="51" t="s">
        <v>40</v>
      </c>
      <c r="H264">
        <v>1</v>
      </c>
      <c r="I264" s="58">
        <v>15000</v>
      </c>
      <c r="J264" s="59">
        <v>15000</v>
      </c>
      <c r="K264">
        <v>1</v>
      </c>
      <c r="O264" s="52"/>
    </row>
    <row r="265" spans="1:15" x14ac:dyDescent="0.15">
      <c r="A265">
        <v>2</v>
      </c>
      <c r="D265" s="51" t="s">
        <v>38</v>
      </c>
      <c r="E265" s="51" t="s">
        <v>130</v>
      </c>
      <c r="G265" s="51" t="s">
        <v>40</v>
      </c>
      <c r="H265">
        <v>1</v>
      </c>
      <c r="I265" s="58">
        <v>250000</v>
      </c>
      <c r="J265" s="59">
        <v>250000</v>
      </c>
      <c r="K265">
        <v>1</v>
      </c>
      <c r="O265" s="52"/>
    </row>
    <row r="266" spans="1:15" x14ac:dyDescent="0.15">
      <c r="A266">
        <v>2</v>
      </c>
      <c r="D266" s="51" t="s">
        <v>38</v>
      </c>
      <c r="E266" s="51" t="s">
        <v>73</v>
      </c>
      <c r="G266" s="51" t="s">
        <v>40</v>
      </c>
      <c r="H266">
        <v>1</v>
      </c>
      <c r="I266" s="58">
        <v>12000</v>
      </c>
      <c r="J266" s="59">
        <v>12000</v>
      </c>
      <c r="K266">
        <v>1</v>
      </c>
      <c r="O266" s="52"/>
    </row>
    <row r="267" spans="1:15" x14ac:dyDescent="0.15">
      <c r="A267">
        <v>2</v>
      </c>
      <c r="D267" s="51" t="s">
        <v>38</v>
      </c>
      <c r="E267" s="51" t="s">
        <v>64</v>
      </c>
      <c r="G267" s="51" t="s">
        <v>40</v>
      </c>
      <c r="H267">
        <v>1</v>
      </c>
      <c r="I267" s="58">
        <v>60000</v>
      </c>
      <c r="J267" s="59">
        <v>60000</v>
      </c>
      <c r="K267">
        <v>1</v>
      </c>
      <c r="O267" s="52"/>
    </row>
    <row r="268" spans="1:15" x14ac:dyDescent="0.15">
      <c r="A268">
        <v>2</v>
      </c>
      <c r="D268" s="51" t="s">
        <v>38</v>
      </c>
      <c r="E268" s="51" t="s">
        <v>44</v>
      </c>
      <c r="G268" s="51" t="s">
        <v>40</v>
      </c>
      <c r="H268">
        <v>3</v>
      </c>
      <c r="I268" s="58">
        <v>3000</v>
      </c>
      <c r="J268" s="59">
        <v>9000</v>
      </c>
      <c r="K268">
        <v>1</v>
      </c>
      <c r="O268" s="52"/>
    </row>
    <row r="269" spans="1:15" x14ac:dyDescent="0.15">
      <c r="A269">
        <v>2</v>
      </c>
      <c r="D269" s="51" t="s">
        <v>38</v>
      </c>
      <c r="E269" s="51" t="s">
        <v>88</v>
      </c>
      <c r="G269" s="51" t="s">
        <v>40</v>
      </c>
      <c r="H269">
        <v>6</v>
      </c>
      <c r="I269" s="58">
        <v>5000</v>
      </c>
      <c r="J269" s="59">
        <v>30000</v>
      </c>
      <c r="K269">
        <v>1</v>
      </c>
      <c r="O269" s="52"/>
    </row>
    <row r="270" spans="1:15" x14ac:dyDescent="0.15">
      <c r="A270">
        <v>2</v>
      </c>
      <c r="D270" s="51" t="s">
        <v>45</v>
      </c>
      <c r="E270" s="51" t="s">
        <v>74</v>
      </c>
      <c r="G270" s="51" t="s">
        <v>40</v>
      </c>
      <c r="H270">
        <v>3</v>
      </c>
      <c r="I270" s="58">
        <v>43000</v>
      </c>
      <c r="J270" s="59">
        <v>129000</v>
      </c>
      <c r="K270">
        <v>1</v>
      </c>
      <c r="O270" s="52"/>
    </row>
    <row r="271" spans="1:15" x14ac:dyDescent="0.15">
      <c r="A271">
        <v>2</v>
      </c>
      <c r="D271" s="51" t="s">
        <v>45</v>
      </c>
      <c r="E271" s="51" t="s">
        <v>131</v>
      </c>
      <c r="G271" s="51" t="s">
        <v>40</v>
      </c>
      <c r="H271">
        <v>1</v>
      </c>
      <c r="I271" s="58">
        <v>47000</v>
      </c>
      <c r="J271" s="59">
        <v>47000</v>
      </c>
      <c r="K271">
        <v>1</v>
      </c>
      <c r="O271" s="52"/>
    </row>
    <row r="272" spans="1:15" x14ac:dyDescent="0.15">
      <c r="A272">
        <v>2</v>
      </c>
      <c r="D272" s="51" t="s">
        <v>45</v>
      </c>
      <c r="E272" s="51" t="s">
        <v>47</v>
      </c>
      <c r="G272" s="51" t="s">
        <v>27</v>
      </c>
      <c r="H272">
        <v>22</v>
      </c>
      <c r="I272" s="58">
        <v>400</v>
      </c>
      <c r="J272" s="59">
        <v>8800</v>
      </c>
      <c r="K272">
        <v>1</v>
      </c>
      <c r="O272" s="52"/>
    </row>
    <row r="273" spans="1:15" x14ac:dyDescent="0.15">
      <c r="A273">
        <v>2</v>
      </c>
      <c r="D273" s="51" t="s">
        <v>45</v>
      </c>
      <c r="E273" s="51" t="s">
        <v>132</v>
      </c>
      <c r="G273" s="51" t="s">
        <v>27</v>
      </c>
      <c r="H273">
        <v>16</v>
      </c>
      <c r="I273" s="58">
        <v>1500</v>
      </c>
      <c r="J273" s="59">
        <v>24000</v>
      </c>
      <c r="K273">
        <v>1</v>
      </c>
      <c r="O273" s="52"/>
    </row>
    <row r="274" spans="1:15" x14ac:dyDescent="0.15">
      <c r="A274">
        <v>2</v>
      </c>
      <c r="D274" s="51" t="s">
        <v>45</v>
      </c>
      <c r="E274" s="51" t="s">
        <v>75</v>
      </c>
      <c r="G274" s="51" t="s">
        <v>50</v>
      </c>
      <c r="H274">
        <v>2</v>
      </c>
      <c r="I274" s="58">
        <v>65000</v>
      </c>
      <c r="J274" s="59">
        <v>130000</v>
      </c>
      <c r="K274">
        <v>1</v>
      </c>
      <c r="O274" s="52"/>
    </row>
    <row r="275" spans="1:15" x14ac:dyDescent="0.15">
      <c r="A275">
        <v>2</v>
      </c>
      <c r="D275" s="51" t="s">
        <v>45</v>
      </c>
      <c r="E275" s="51" t="s">
        <v>48</v>
      </c>
      <c r="F275" s="51" t="s">
        <v>49</v>
      </c>
      <c r="G275" s="51" t="s">
        <v>50</v>
      </c>
      <c r="H275">
        <v>2</v>
      </c>
      <c r="I275" s="58">
        <v>33000</v>
      </c>
      <c r="J275" s="59">
        <v>66000</v>
      </c>
      <c r="K275">
        <v>1</v>
      </c>
      <c r="O275" s="52"/>
    </row>
    <row r="276" spans="1:15" x14ac:dyDescent="0.15">
      <c r="A276">
        <v>2</v>
      </c>
      <c r="D276" s="51" t="s">
        <v>45</v>
      </c>
      <c r="E276" s="51" t="s">
        <v>48</v>
      </c>
      <c r="F276" s="51" t="s">
        <v>133</v>
      </c>
      <c r="G276" s="51" t="s">
        <v>50</v>
      </c>
      <c r="H276">
        <v>2</v>
      </c>
      <c r="I276" s="58">
        <v>26000</v>
      </c>
      <c r="J276" s="59">
        <v>52000</v>
      </c>
      <c r="K276">
        <v>1</v>
      </c>
      <c r="O276" s="52"/>
    </row>
    <row r="277" spans="1:15" x14ac:dyDescent="0.15">
      <c r="A277">
        <v>2</v>
      </c>
      <c r="D277" s="51" t="s">
        <v>45</v>
      </c>
      <c r="E277" s="51" t="s">
        <v>48</v>
      </c>
      <c r="F277" s="51" t="s">
        <v>134</v>
      </c>
      <c r="G277" s="51" t="s">
        <v>50</v>
      </c>
      <c r="H277">
        <v>2</v>
      </c>
      <c r="I277" s="58">
        <v>26000</v>
      </c>
      <c r="J277" s="59">
        <v>52000</v>
      </c>
      <c r="K277">
        <v>1</v>
      </c>
      <c r="O277" s="52"/>
    </row>
    <row r="278" spans="1:15" x14ac:dyDescent="0.15">
      <c r="A278">
        <v>2</v>
      </c>
      <c r="D278" s="51" t="s">
        <v>45</v>
      </c>
      <c r="E278" s="51" t="s">
        <v>54</v>
      </c>
      <c r="G278" s="51" t="s">
        <v>40</v>
      </c>
      <c r="H278">
        <v>3</v>
      </c>
      <c r="I278" s="58">
        <v>8000</v>
      </c>
      <c r="J278" s="59">
        <v>24000</v>
      </c>
      <c r="K278">
        <v>1</v>
      </c>
      <c r="O278" s="52"/>
    </row>
    <row r="279" spans="1:15" x14ac:dyDescent="0.15">
      <c r="A279">
        <v>2</v>
      </c>
      <c r="D279" s="51" t="s">
        <v>45</v>
      </c>
      <c r="E279" s="51" t="s">
        <v>55</v>
      </c>
      <c r="G279" s="51" t="s">
        <v>40</v>
      </c>
      <c r="H279">
        <v>2</v>
      </c>
      <c r="I279" s="58">
        <v>8000</v>
      </c>
      <c r="J279" s="59">
        <v>16000</v>
      </c>
      <c r="K279">
        <v>1</v>
      </c>
      <c r="O279" s="52"/>
    </row>
    <row r="280" spans="1:15" x14ac:dyDescent="0.15">
      <c r="A280">
        <v>2</v>
      </c>
      <c r="D280" s="51" t="s">
        <v>45</v>
      </c>
      <c r="E280" s="51" t="s">
        <v>89</v>
      </c>
      <c r="G280" s="51" t="s">
        <v>40</v>
      </c>
      <c r="H280">
        <v>1</v>
      </c>
      <c r="I280" s="58">
        <v>7000</v>
      </c>
      <c r="J280" s="59">
        <v>7000</v>
      </c>
      <c r="K280">
        <v>1</v>
      </c>
      <c r="O280" s="52"/>
    </row>
    <row r="281" spans="1:15" x14ac:dyDescent="0.15">
      <c r="A281">
        <v>2</v>
      </c>
      <c r="D281" s="51" t="s">
        <v>56</v>
      </c>
      <c r="E281" s="51" t="s">
        <v>57</v>
      </c>
      <c r="G281" s="51" t="s">
        <v>19</v>
      </c>
      <c r="H281">
        <v>1</v>
      </c>
      <c r="I281" s="58">
        <v>64000</v>
      </c>
      <c r="J281" s="59">
        <v>64000</v>
      </c>
      <c r="K281">
        <v>1</v>
      </c>
      <c r="O281" s="52"/>
    </row>
    <row r="282" spans="1:15" x14ac:dyDescent="0.15">
      <c r="A282">
        <v>2</v>
      </c>
      <c r="D282" s="51" t="s">
        <v>56</v>
      </c>
      <c r="E282" s="51" t="s">
        <v>77</v>
      </c>
      <c r="G282" s="51" t="s">
        <v>19</v>
      </c>
      <c r="H282">
        <v>1</v>
      </c>
      <c r="I282" s="58">
        <v>38400</v>
      </c>
      <c r="J282" s="59">
        <v>38400</v>
      </c>
      <c r="K282">
        <v>1</v>
      </c>
      <c r="O282" s="52"/>
    </row>
    <row r="283" spans="1:15" x14ac:dyDescent="0.15">
      <c r="A283">
        <v>2</v>
      </c>
      <c r="D283" s="51" t="s">
        <v>56</v>
      </c>
      <c r="E283" s="51" t="s">
        <v>78</v>
      </c>
      <c r="G283" s="51" t="s">
        <v>19</v>
      </c>
      <c r="H283">
        <v>1</v>
      </c>
      <c r="I283" s="58">
        <v>12000</v>
      </c>
      <c r="J283" s="59">
        <v>12000</v>
      </c>
      <c r="K283">
        <v>1</v>
      </c>
      <c r="O283" s="52"/>
    </row>
    <row r="284" spans="1:15" x14ac:dyDescent="0.15">
      <c r="A284">
        <v>2</v>
      </c>
      <c r="D284" s="51" t="s">
        <v>56</v>
      </c>
      <c r="E284" s="51" t="s">
        <v>59</v>
      </c>
      <c r="G284" s="51" t="s">
        <v>37</v>
      </c>
      <c r="H284">
        <v>8</v>
      </c>
      <c r="I284" s="58">
        <v>23000</v>
      </c>
      <c r="J284" s="59">
        <v>184000</v>
      </c>
      <c r="K284">
        <v>1</v>
      </c>
      <c r="O284" s="52"/>
    </row>
    <row r="285" spans="1:15" x14ac:dyDescent="0.15">
      <c r="A285">
        <v>2</v>
      </c>
      <c r="D285" s="51" t="s">
        <v>38</v>
      </c>
      <c r="E285" s="51" t="s">
        <v>60</v>
      </c>
      <c r="G285" s="51" t="s">
        <v>40</v>
      </c>
      <c r="H285">
        <v>2</v>
      </c>
      <c r="I285" s="58">
        <v>15000</v>
      </c>
      <c r="J285" s="59">
        <v>30000</v>
      </c>
      <c r="K285">
        <v>1</v>
      </c>
      <c r="O285" s="52"/>
    </row>
    <row r="286" spans="1:15" x14ac:dyDescent="0.15">
      <c r="A286">
        <v>1</v>
      </c>
      <c r="D286" s="51" t="s">
        <v>20</v>
      </c>
      <c r="E286" s="51" t="s">
        <v>135</v>
      </c>
      <c r="F286" s="51" t="s">
        <v>136</v>
      </c>
      <c r="G286" s="51" t="s">
        <v>23</v>
      </c>
      <c r="H286">
        <v>73</v>
      </c>
      <c r="I286" s="58">
        <v>11200</v>
      </c>
      <c r="J286" s="59">
        <v>817600</v>
      </c>
      <c r="K286">
        <v>73</v>
      </c>
      <c r="M286" s="51" t="s">
        <v>137</v>
      </c>
      <c r="O286" s="52"/>
    </row>
    <row r="287" spans="1:15" x14ac:dyDescent="0.15">
      <c r="A287">
        <v>2</v>
      </c>
      <c r="D287" s="51" t="s">
        <v>25</v>
      </c>
      <c r="E287" s="51" t="s">
        <v>138</v>
      </c>
      <c r="G287" s="51" t="s">
        <v>27</v>
      </c>
      <c r="H287">
        <v>10</v>
      </c>
      <c r="I287" s="58">
        <v>12500</v>
      </c>
      <c r="J287" s="59">
        <v>125000</v>
      </c>
      <c r="K287">
        <v>1</v>
      </c>
      <c r="O287" s="52"/>
    </row>
    <row r="288" spans="1:15" x14ac:dyDescent="0.15">
      <c r="A288">
        <v>2</v>
      </c>
      <c r="D288" s="51" t="s">
        <v>25</v>
      </c>
      <c r="E288" s="51" t="s">
        <v>30</v>
      </c>
      <c r="G288" s="51" t="s">
        <v>31</v>
      </c>
      <c r="H288">
        <v>2</v>
      </c>
      <c r="I288" s="58">
        <v>2000</v>
      </c>
      <c r="J288" s="59">
        <v>4000</v>
      </c>
      <c r="K288">
        <v>1</v>
      </c>
      <c r="O288" s="52"/>
    </row>
    <row r="289" spans="1:15" x14ac:dyDescent="0.15">
      <c r="A289">
        <v>2</v>
      </c>
      <c r="D289" s="51" t="s">
        <v>25</v>
      </c>
      <c r="E289" s="51" t="s">
        <v>32</v>
      </c>
      <c r="G289" s="51" t="s">
        <v>29</v>
      </c>
      <c r="H289">
        <v>80</v>
      </c>
      <c r="I289" s="58">
        <v>160</v>
      </c>
      <c r="J289" s="59">
        <v>12800</v>
      </c>
      <c r="K289">
        <v>1</v>
      </c>
      <c r="O289" s="52"/>
    </row>
    <row r="290" spans="1:15" x14ac:dyDescent="0.15">
      <c r="A290">
        <v>2</v>
      </c>
      <c r="D290" s="51" t="s">
        <v>25</v>
      </c>
      <c r="E290" s="51" t="s">
        <v>33</v>
      </c>
      <c r="G290" s="51" t="s">
        <v>29</v>
      </c>
      <c r="H290">
        <v>20</v>
      </c>
      <c r="I290" s="58">
        <v>180</v>
      </c>
      <c r="J290" s="59">
        <v>3600</v>
      </c>
      <c r="K290">
        <v>1</v>
      </c>
      <c r="O290" s="52"/>
    </row>
    <row r="291" spans="1:15" x14ac:dyDescent="0.15">
      <c r="A291">
        <v>2</v>
      </c>
      <c r="D291" s="51" t="s">
        <v>25</v>
      </c>
      <c r="E291" s="51" t="s">
        <v>34</v>
      </c>
      <c r="G291" s="51" t="s">
        <v>19</v>
      </c>
      <c r="H291">
        <v>1</v>
      </c>
      <c r="I291" s="58">
        <v>2300</v>
      </c>
      <c r="J291" s="59">
        <v>2300</v>
      </c>
      <c r="K291">
        <v>1</v>
      </c>
      <c r="O291" s="52"/>
    </row>
    <row r="292" spans="1:15" x14ac:dyDescent="0.15">
      <c r="A292">
        <v>2</v>
      </c>
      <c r="D292" s="51" t="s">
        <v>35</v>
      </c>
      <c r="E292" s="51" t="s">
        <v>36</v>
      </c>
      <c r="G292" s="51" t="s">
        <v>37</v>
      </c>
      <c r="H292">
        <v>8</v>
      </c>
      <c r="I292" s="58">
        <v>23000</v>
      </c>
      <c r="J292" s="59">
        <v>184000</v>
      </c>
      <c r="K292">
        <v>1</v>
      </c>
      <c r="O292" s="52"/>
    </row>
    <row r="293" spans="1:15" x14ac:dyDescent="0.15">
      <c r="A293">
        <v>2</v>
      </c>
      <c r="D293" s="51" t="s">
        <v>38</v>
      </c>
      <c r="E293" s="51" t="s">
        <v>39</v>
      </c>
      <c r="G293" s="51" t="s">
        <v>40</v>
      </c>
      <c r="H293">
        <v>1</v>
      </c>
      <c r="I293" s="58">
        <v>80000</v>
      </c>
      <c r="J293" s="59">
        <v>80000</v>
      </c>
      <c r="K293">
        <v>1</v>
      </c>
      <c r="O293" s="52"/>
    </row>
    <row r="294" spans="1:15" x14ac:dyDescent="0.15">
      <c r="A294">
        <v>2</v>
      </c>
      <c r="D294" s="51" t="s">
        <v>38</v>
      </c>
      <c r="E294" s="51" t="s">
        <v>41</v>
      </c>
      <c r="G294" s="51" t="s">
        <v>40</v>
      </c>
      <c r="H294">
        <v>1</v>
      </c>
      <c r="I294" s="58">
        <v>6000</v>
      </c>
      <c r="J294" s="59">
        <v>6000</v>
      </c>
      <c r="K294">
        <v>1</v>
      </c>
      <c r="O294" s="52"/>
    </row>
    <row r="295" spans="1:15" x14ac:dyDescent="0.15">
      <c r="A295">
        <v>2</v>
      </c>
      <c r="D295" s="51" t="s">
        <v>38</v>
      </c>
      <c r="E295" s="51" t="s">
        <v>42</v>
      </c>
      <c r="G295" s="51" t="s">
        <v>40</v>
      </c>
      <c r="H295">
        <v>1</v>
      </c>
      <c r="I295" s="58">
        <v>8000</v>
      </c>
      <c r="J295" s="59">
        <v>8000</v>
      </c>
      <c r="K295">
        <v>1</v>
      </c>
      <c r="O295" s="52"/>
    </row>
    <row r="296" spans="1:15" x14ac:dyDescent="0.15">
      <c r="A296">
        <v>2</v>
      </c>
      <c r="D296" s="51" t="s">
        <v>38</v>
      </c>
      <c r="E296" s="51" t="s">
        <v>43</v>
      </c>
      <c r="G296" s="51" t="s">
        <v>40</v>
      </c>
      <c r="H296">
        <v>1</v>
      </c>
      <c r="I296" s="58">
        <v>3000</v>
      </c>
      <c r="J296" s="59">
        <v>3000</v>
      </c>
      <c r="K296">
        <v>1</v>
      </c>
      <c r="O296" s="52"/>
    </row>
    <row r="297" spans="1:15" x14ac:dyDescent="0.15">
      <c r="A297">
        <v>2</v>
      </c>
      <c r="D297" s="51" t="s">
        <v>38</v>
      </c>
      <c r="E297" s="51" t="s">
        <v>44</v>
      </c>
      <c r="G297" s="51" t="s">
        <v>40</v>
      </c>
      <c r="H297">
        <v>3</v>
      </c>
      <c r="I297" s="58">
        <v>3000</v>
      </c>
      <c r="J297" s="59">
        <v>9000</v>
      </c>
      <c r="K297">
        <v>1</v>
      </c>
      <c r="O297" s="52"/>
    </row>
    <row r="298" spans="1:15" x14ac:dyDescent="0.15">
      <c r="A298">
        <v>2</v>
      </c>
      <c r="D298" s="51" t="s">
        <v>45</v>
      </c>
      <c r="E298" s="51" t="s">
        <v>139</v>
      </c>
      <c r="G298" s="51" t="s">
        <v>40</v>
      </c>
      <c r="H298">
        <v>3</v>
      </c>
      <c r="I298" s="58">
        <v>33000</v>
      </c>
      <c r="J298" s="59">
        <v>99000</v>
      </c>
      <c r="K298">
        <v>1</v>
      </c>
      <c r="O298" s="52"/>
    </row>
    <row r="299" spans="1:15" x14ac:dyDescent="0.15">
      <c r="A299">
        <v>2</v>
      </c>
      <c r="D299" s="51" t="s">
        <v>45</v>
      </c>
      <c r="E299" s="51" t="s">
        <v>47</v>
      </c>
      <c r="G299" s="51" t="s">
        <v>27</v>
      </c>
      <c r="H299">
        <v>10</v>
      </c>
      <c r="I299" s="58">
        <v>400</v>
      </c>
      <c r="J299" s="59">
        <v>4000</v>
      </c>
      <c r="K299">
        <v>1</v>
      </c>
      <c r="O299" s="52"/>
    </row>
    <row r="300" spans="1:15" x14ac:dyDescent="0.15">
      <c r="A300">
        <v>2</v>
      </c>
      <c r="D300" s="51" t="s">
        <v>45</v>
      </c>
      <c r="E300" s="51" t="s">
        <v>48</v>
      </c>
      <c r="F300" s="51" t="s">
        <v>49</v>
      </c>
      <c r="G300" s="51" t="s">
        <v>50</v>
      </c>
      <c r="H300">
        <v>2</v>
      </c>
      <c r="I300" s="58">
        <v>30000</v>
      </c>
      <c r="J300" s="59">
        <v>60000</v>
      </c>
      <c r="K300">
        <v>1</v>
      </c>
      <c r="O300" s="52"/>
    </row>
    <row r="301" spans="1:15" x14ac:dyDescent="0.15">
      <c r="A301">
        <v>2</v>
      </c>
      <c r="D301" s="51" t="s">
        <v>45</v>
      </c>
      <c r="E301" s="51" t="s">
        <v>48</v>
      </c>
      <c r="F301" s="51" t="s">
        <v>134</v>
      </c>
      <c r="G301" s="51" t="s">
        <v>50</v>
      </c>
      <c r="H301">
        <v>2</v>
      </c>
      <c r="I301" s="58">
        <v>22000</v>
      </c>
      <c r="J301" s="59">
        <v>44000</v>
      </c>
      <c r="K301">
        <v>1</v>
      </c>
      <c r="O301" s="52"/>
    </row>
    <row r="302" spans="1:15" x14ac:dyDescent="0.15">
      <c r="A302">
        <v>2</v>
      </c>
      <c r="D302" s="51" t="s">
        <v>45</v>
      </c>
      <c r="E302" s="51" t="s">
        <v>54</v>
      </c>
      <c r="G302" s="51" t="s">
        <v>40</v>
      </c>
      <c r="H302">
        <v>2</v>
      </c>
      <c r="I302" s="58">
        <v>8000</v>
      </c>
      <c r="J302" s="59">
        <v>16000</v>
      </c>
      <c r="K302">
        <v>1</v>
      </c>
      <c r="O302" s="52"/>
    </row>
    <row r="303" spans="1:15" x14ac:dyDescent="0.15">
      <c r="A303">
        <v>2</v>
      </c>
      <c r="D303" s="51" t="s">
        <v>45</v>
      </c>
      <c r="E303" s="51" t="s">
        <v>55</v>
      </c>
      <c r="G303" s="51" t="s">
        <v>40</v>
      </c>
      <c r="H303">
        <v>1</v>
      </c>
      <c r="I303" s="58">
        <v>8000</v>
      </c>
      <c r="J303" s="59">
        <v>8000</v>
      </c>
      <c r="K303">
        <v>1</v>
      </c>
      <c r="O303" s="52"/>
    </row>
    <row r="304" spans="1:15" x14ac:dyDescent="0.15">
      <c r="A304">
        <v>2</v>
      </c>
      <c r="D304" s="51" t="s">
        <v>56</v>
      </c>
      <c r="E304" s="51" t="s">
        <v>57</v>
      </c>
      <c r="G304" s="51" t="s">
        <v>19</v>
      </c>
      <c r="H304">
        <v>1</v>
      </c>
      <c r="I304" s="58">
        <v>32000</v>
      </c>
      <c r="J304" s="59">
        <v>32000</v>
      </c>
      <c r="K304">
        <v>1</v>
      </c>
      <c r="O304" s="52"/>
    </row>
    <row r="305" spans="1:15" x14ac:dyDescent="0.15">
      <c r="A305">
        <v>2</v>
      </c>
      <c r="D305" s="51" t="s">
        <v>56</v>
      </c>
      <c r="E305" s="51" t="s">
        <v>58</v>
      </c>
      <c r="G305" s="51" t="s">
        <v>19</v>
      </c>
      <c r="H305">
        <v>1</v>
      </c>
      <c r="I305" s="58">
        <v>29900</v>
      </c>
      <c r="J305" s="59">
        <v>29900</v>
      </c>
      <c r="K305">
        <v>1</v>
      </c>
      <c r="O305" s="52"/>
    </row>
    <row r="306" spans="1:15" x14ac:dyDescent="0.15">
      <c r="A306">
        <v>2</v>
      </c>
      <c r="D306" s="51" t="s">
        <v>56</v>
      </c>
      <c r="E306" s="51" t="s">
        <v>59</v>
      </c>
      <c r="G306" s="51" t="s">
        <v>37</v>
      </c>
      <c r="H306">
        <v>4</v>
      </c>
      <c r="I306" s="58">
        <v>18000</v>
      </c>
      <c r="J306" s="59">
        <v>72000</v>
      </c>
      <c r="K306">
        <v>1</v>
      </c>
      <c r="O306" s="52"/>
    </row>
    <row r="307" spans="1:15" x14ac:dyDescent="0.15">
      <c r="A307">
        <v>2</v>
      </c>
      <c r="D307" s="51" t="s">
        <v>38</v>
      </c>
      <c r="E307" s="51" t="s">
        <v>60</v>
      </c>
      <c r="G307" s="51" t="s">
        <v>40</v>
      </c>
      <c r="H307">
        <v>1</v>
      </c>
      <c r="I307" s="58">
        <v>15000</v>
      </c>
      <c r="J307" s="59">
        <v>15000</v>
      </c>
      <c r="K307">
        <v>1</v>
      </c>
      <c r="O307" s="52"/>
    </row>
    <row r="308" spans="1:15" x14ac:dyDescent="0.15">
      <c r="A308">
        <v>1</v>
      </c>
      <c r="D308" s="51" t="s">
        <v>20</v>
      </c>
      <c r="E308" s="51" t="s">
        <v>140</v>
      </c>
      <c r="G308" s="51" t="s">
        <v>82</v>
      </c>
      <c r="H308">
        <v>20</v>
      </c>
      <c r="I308" s="58">
        <v>9000</v>
      </c>
      <c r="J308" s="59">
        <v>180000</v>
      </c>
      <c r="K308">
        <v>20</v>
      </c>
      <c r="M308" s="51" t="s">
        <v>141</v>
      </c>
      <c r="O308" s="52"/>
    </row>
    <row r="309" spans="1:15" x14ac:dyDescent="0.15">
      <c r="A309">
        <v>2</v>
      </c>
      <c r="D309" s="51" t="s">
        <v>25</v>
      </c>
      <c r="E309" s="51" t="s">
        <v>80</v>
      </c>
      <c r="G309" s="51" t="s">
        <v>82</v>
      </c>
      <c r="H309">
        <v>20</v>
      </c>
      <c r="I309" s="58">
        <v>9000</v>
      </c>
      <c r="J309" s="59">
        <v>180000</v>
      </c>
      <c r="K309">
        <v>1</v>
      </c>
      <c r="O309" s="52"/>
    </row>
    <row r="310" spans="1:15" x14ac:dyDescent="0.15">
      <c r="A310">
        <v>1</v>
      </c>
      <c r="D310" s="51" t="s">
        <v>20</v>
      </c>
      <c r="E310" s="51" t="s">
        <v>142</v>
      </c>
      <c r="G310" s="51" t="s">
        <v>143</v>
      </c>
      <c r="H310">
        <v>2</v>
      </c>
      <c r="I310" s="58">
        <v>30250</v>
      </c>
      <c r="J310" s="59">
        <v>60500</v>
      </c>
      <c r="K310">
        <v>2</v>
      </c>
      <c r="M310" s="51" t="s">
        <v>144</v>
      </c>
      <c r="O310" s="52"/>
    </row>
    <row r="311" spans="1:15" x14ac:dyDescent="0.15">
      <c r="A311">
        <v>2</v>
      </c>
      <c r="D311" s="51" t="s">
        <v>56</v>
      </c>
      <c r="E311" s="51" t="s">
        <v>145</v>
      </c>
      <c r="G311" s="51" t="s">
        <v>50</v>
      </c>
      <c r="H311">
        <v>1</v>
      </c>
      <c r="I311" s="58">
        <v>12000</v>
      </c>
      <c r="J311" s="59">
        <v>12000</v>
      </c>
      <c r="K311">
        <v>1</v>
      </c>
      <c r="O311" s="52"/>
    </row>
    <row r="312" spans="1:15" x14ac:dyDescent="0.15">
      <c r="A312">
        <v>2</v>
      </c>
      <c r="D312" s="51" t="s">
        <v>56</v>
      </c>
      <c r="E312" s="51" t="s">
        <v>146</v>
      </c>
      <c r="G312" s="51" t="s">
        <v>50</v>
      </c>
      <c r="H312">
        <v>1</v>
      </c>
      <c r="I312" s="58">
        <v>12000</v>
      </c>
      <c r="J312" s="59">
        <v>12000</v>
      </c>
      <c r="K312">
        <v>1</v>
      </c>
      <c r="O312" s="52"/>
    </row>
    <row r="313" spans="1:15" x14ac:dyDescent="0.15">
      <c r="A313">
        <v>2</v>
      </c>
      <c r="D313" s="51" t="s">
        <v>56</v>
      </c>
      <c r="E313" s="51" t="s">
        <v>147</v>
      </c>
      <c r="G313" s="51" t="s">
        <v>50</v>
      </c>
      <c r="H313">
        <v>1</v>
      </c>
      <c r="I313" s="58">
        <v>12000</v>
      </c>
      <c r="J313" s="59">
        <v>12000</v>
      </c>
      <c r="K313">
        <v>1</v>
      </c>
      <c r="O313" s="52"/>
    </row>
    <row r="314" spans="1:15" x14ac:dyDescent="0.15">
      <c r="A314">
        <v>2</v>
      </c>
      <c r="D314" s="51" t="s">
        <v>56</v>
      </c>
      <c r="E314" s="51" t="s">
        <v>112</v>
      </c>
      <c r="G314" s="51" t="s">
        <v>40</v>
      </c>
      <c r="H314">
        <v>1</v>
      </c>
      <c r="I314" s="58">
        <v>20000</v>
      </c>
      <c r="J314" s="59">
        <v>20000</v>
      </c>
      <c r="K314">
        <v>1</v>
      </c>
      <c r="O314" s="52"/>
    </row>
    <row r="315" spans="1:15" x14ac:dyDescent="0.15">
      <c r="A315">
        <v>2</v>
      </c>
      <c r="D315" s="51" t="s">
        <v>56</v>
      </c>
      <c r="E315" s="51" t="s">
        <v>113</v>
      </c>
      <c r="G315" s="51" t="s">
        <v>29</v>
      </c>
      <c r="H315">
        <v>100</v>
      </c>
      <c r="I315" s="58">
        <v>45</v>
      </c>
      <c r="J315" s="59">
        <v>4500</v>
      </c>
      <c r="K315">
        <v>1</v>
      </c>
      <c r="O315" s="52"/>
    </row>
    <row r="316" spans="1:15" x14ac:dyDescent="0.15">
      <c r="A316">
        <v>1</v>
      </c>
      <c r="D316" s="51" t="s">
        <v>20</v>
      </c>
      <c r="E316" s="51" t="s">
        <v>148</v>
      </c>
      <c r="G316" s="51" t="s">
        <v>143</v>
      </c>
      <c r="H316">
        <v>1</v>
      </c>
      <c r="I316" s="58">
        <v>51000</v>
      </c>
      <c r="J316" s="59">
        <v>51000</v>
      </c>
      <c r="K316">
        <v>1</v>
      </c>
      <c r="M316" s="51" t="s">
        <v>149</v>
      </c>
      <c r="O316" s="52"/>
    </row>
    <row r="317" spans="1:15" x14ac:dyDescent="0.15">
      <c r="A317">
        <v>2</v>
      </c>
      <c r="D317" s="51" t="s">
        <v>56</v>
      </c>
      <c r="E317" s="51" t="s">
        <v>59</v>
      </c>
      <c r="G317" s="51" t="s">
        <v>37</v>
      </c>
      <c r="H317">
        <v>2</v>
      </c>
      <c r="I317" s="58">
        <v>18000</v>
      </c>
      <c r="J317" s="59">
        <v>36000</v>
      </c>
      <c r="K317">
        <v>1</v>
      </c>
      <c r="O317" s="52"/>
    </row>
    <row r="318" spans="1:15" x14ac:dyDescent="0.15">
      <c r="A318">
        <v>2</v>
      </c>
      <c r="D318" s="51" t="s">
        <v>38</v>
      </c>
      <c r="E318" s="51" t="s">
        <v>150</v>
      </c>
      <c r="G318" s="51" t="s">
        <v>40</v>
      </c>
      <c r="H318">
        <v>1</v>
      </c>
      <c r="I318" s="58">
        <v>15000</v>
      </c>
      <c r="J318" s="59">
        <v>15000</v>
      </c>
      <c r="K318">
        <v>1</v>
      </c>
      <c r="O318" s="52"/>
    </row>
    <row r="319" spans="1:15" x14ac:dyDescent="0.15">
      <c r="A319">
        <v>1</v>
      </c>
      <c r="D319" s="51" t="s">
        <v>20</v>
      </c>
      <c r="E319" s="51" t="s">
        <v>151</v>
      </c>
      <c r="G319" s="51" t="s">
        <v>23</v>
      </c>
      <c r="H319">
        <v>17</v>
      </c>
      <c r="I319" s="58">
        <v>37000</v>
      </c>
      <c r="J319" s="59">
        <v>629000</v>
      </c>
      <c r="K319">
        <v>17</v>
      </c>
      <c r="M319" s="51" t="s">
        <v>152</v>
      </c>
      <c r="O319" s="52"/>
    </row>
    <row r="320" spans="1:15" x14ac:dyDescent="0.15">
      <c r="A320">
        <v>2</v>
      </c>
      <c r="D320" s="51" t="s">
        <v>25</v>
      </c>
      <c r="E320" s="51" t="s">
        <v>153</v>
      </c>
      <c r="G320" s="51" t="s">
        <v>31</v>
      </c>
      <c r="H320">
        <v>3</v>
      </c>
      <c r="I320" s="58">
        <v>2000</v>
      </c>
      <c r="J320" s="59">
        <v>6000</v>
      </c>
      <c r="K320">
        <v>1</v>
      </c>
      <c r="O320" s="52"/>
    </row>
    <row r="321" spans="1:15" x14ac:dyDescent="0.15">
      <c r="A321">
        <v>2</v>
      </c>
      <c r="D321" s="51" t="s">
        <v>25</v>
      </c>
      <c r="E321" s="51" t="s">
        <v>154</v>
      </c>
      <c r="G321" s="51" t="s">
        <v>27</v>
      </c>
      <c r="H321">
        <v>3</v>
      </c>
      <c r="I321" s="58">
        <v>11500</v>
      </c>
      <c r="J321" s="59">
        <v>34500</v>
      </c>
      <c r="K321">
        <v>1</v>
      </c>
      <c r="O321" s="52"/>
    </row>
    <row r="322" spans="1:15" x14ac:dyDescent="0.15">
      <c r="A322">
        <v>2</v>
      </c>
      <c r="D322" s="51" t="s">
        <v>25</v>
      </c>
      <c r="E322" s="51" t="s">
        <v>32</v>
      </c>
      <c r="G322" s="51" t="s">
        <v>29</v>
      </c>
      <c r="H322">
        <v>80</v>
      </c>
      <c r="I322" s="58">
        <v>160</v>
      </c>
      <c r="J322" s="59">
        <v>12800</v>
      </c>
      <c r="K322">
        <v>1</v>
      </c>
      <c r="O322" s="52"/>
    </row>
    <row r="323" spans="1:15" x14ac:dyDescent="0.15">
      <c r="A323">
        <v>2</v>
      </c>
      <c r="D323" s="51" t="s">
        <v>25</v>
      </c>
      <c r="E323" s="51" t="s">
        <v>33</v>
      </c>
      <c r="G323" s="51" t="s">
        <v>29</v>
      </c>
      <c r="H323">
        <v>20</v>
      </c>
      <c r="I323" s="58">
        <v>180</v>
      </c>
      <c r="J323" s="59">
        <v>3600</v>
      </c>
      <c r="K323">
        <v>1</v>
      </c>
      <c r="O323" s="52"/>
    </row>
    <row r="324" spans="1:15" x14ac:dyDescent="0.15">
      <c r="A324">
        <v>2</v>
      </c>
      <c r="D324" s="51" t="s">
        <v>25</v>
      </c>
      <c r="E324" s="51" t="s">
        <v>83</v>
      </c>
      <c r="G324" s="51" t="s">
        <v>19</v>
      </c>
      <c r="H324">
        <v>1</v>
      </c>
      <c r="I324" s="58">
        <v>3100</v>
      </c>
      <c r="J324" s="59">
        <v>3100</v>
      </c>
      <c r="K324">
        <v>1</v>
      </c>
      <c r="O324" s="52"/>
    </row>
    <row r="325" spans="1:15" x14ac:dyDescent="0.15">
      <c r="A325">
        <v>2</v>
      </c>
      <c r="D325" s="51" t="s">
        <v>35</v>
      </c>
      <c r="E325" s="51" t="s">
        <v>36</v>
      </c>
      <c r="G325" s="51" t="s">
        <v>37</v>
      </c>
      <c r="H325">
        <v>10</v>
      </c>
      <c r="I325" s="58">
        <v>25000</v>
      </c>
      <c r="J325" s="59">
        <v>250000</v>
      </c>
      <c r="K325">
        <v>1</v>
      </c>
      <c r="O325" s="52"/>
    </row>
    <row r="326" spans="1:15" x14ac:dyDescent="0.15">
      <c r="A326">
        <v>2</v>
      </c>
      <c r="D326" s="51" t="s">
        <v>38</v>
      </c>
      <c r="E326" s="51" t="s">
        <v>42</v>
      </c>
      <c r="G326" s="51" t="s">
        <v>19</v>
      </c>
      <c r="H326">
        <v>2</v>
      </c>
      <c r="I326" s="58">
        <v>8000</v>
      </c>
      <c r="J326" s="59">
        <v>16000</v>
      </c>
      <c r="K326">
        <v>1</v>
      </c>
      <c r="O326" s="52"/>
    </row>
    <row r="327" spans="1:15" x14ac:dyDescent="0.15">
      <c r="A327">
        <v>2</v>
      </c>
      <c r="D327" s="51" t="s">
        <v>38</v>
      </c>
      <c r="E327" s="51" t="s">
        <v>118</v>
      </c>
      <c r="G327" s="51" t="s">
        <v>40</v>
      </c>
      <c r="H327">
        <v>1</v>
      </c>
      <c r="I327" s="58">
        <v>5000</v>
      </c>
      <c r="J327" s="59">
        <v>5000</v>
      </c>
      <c r="K327">
        <v>1</v>
      </c>
      <c r="O327" s="52"/>
    </row>
    <row r="328" spans="1:15" x14ac:dyDescent="0.15">
      <c r="A328">
        <v>2</v>
      </c>
      <c r="D328" s="51" t="s">
        <v>38</v>
      </c>
      <c r="E328" s="51" t="s">
        <v>44</v>
      </c>
      <c r="G328" s="51" t="s">
        <v>40</v>
      </c>
      <c r="H328">
        <v>4</v>
      </c>
      <c r="I328" s="58">
        <v>3000</v>
      </c>
      <c r="J328" s="59">
        <v>12000</v>
      </c>
      <c r="K328">
        <v>1</v>
      </c>
      <c r="O328" s="52"/>
    </row>
    <row r="329" spans="1:15" x14ac:dyDescent="0.15">
      <c r="A329">
        <v>2</v>
      </c>
      <c r="D329" s="51" t="s">
        <v>45</v>
      </c>
      <c r="E329" s="51" t="s">
        <v>139</v>
      </c>
      <c r="G329" s="51" t="s">
        <v>40</v>
      </c>
      <c r="H329">
        <v>4</v>
      </c>
      <c r="I329" s="58">
        <v>8000</v>
      </c>
      <c r="J329" s="59">
        <v>32000</v>
      </c>
      <c r="K329">
        <v>1</v>
      </c>
      <c r="O329" s="52"/>
    </row>
    <row r="330" spans="1:15" x14ac:dyDescent="0.15">
      <c r="A330">
        <v>2</v>
      </c>
      <c r="D330" s="51" t="s">
        <v>45</v>
      </c>
      <c r="E330" s="51" t="s">
        <v>55</v>
      </c>
      <c r="G330" s="51" t="s">
        <v>40</v>
      </c>
      <c r="H330">
        <v>2</v>
      </c>
      <c r="I330" s="58">
        <v>8000</v>
      </c>
      <c r="J330" s="59">
        <v>16000</v>
      </c>
      <c r="K330">
        <v>1</v>
      </c>
      <c r="O330" s="52"/>
    </row>
    <row r="331" spans="1:15" x14ac:dyDescent="0.15">
      <c r="A331">
        <v>2</v>
      </c>
      <c r="D331" s="51" t="s">
        <v>45</v>
      </c>
      <c r="E331" s="51" t="s">
        <v>155</v>
      </c>
      <c r="G331" s="51" t="s">
        <v>50</v>
      </c>
      <c r="H331">
        <v>4</v>
      </c>
      <c r="I331" s="58">
        <v>10000</v>
      </c>
      <c r="J331" s="59">
        <v>40000</v>
      </c>
      <c r="K331">
        <v>1</v>
      </c>
      <c r="O331" s="52"/>
    </row>
    <row r="332" spans="1:15" x14ac:dyDescent="0.15">
      <c r="A332">
        <v>2</v>
      </c>
      <c r="D332" s="51" t="s">
        <v>56</v>
      </c>
      <c r="E332" s="51" t="s">
        <v>57</v>
      </c>
      <c r="G332" s="51" t="s">
        <v>19</v>
      </c>
      <c r="H332">
        <v>1</v>
      </c>
      <c r="I332" s="58">
        <v>40000</v>
      </c>
      <c r="J332" s="59">
        <v>40000</v>
      </c>
      <c r="K332">
        <v>1</v>
      </c>
      <c r="O332" s="52"/>
    </row>
    <row r="333" spans="1:15" x14ac:dyDescent="0.15">
      <c r="A333">
        <v>2</v>
      </c>
      <c r="D333" s="51" t="s">
        <v>56</v>
      </c>
      <c r="E333" s="51" t="s">
        <v>58</v>
      </c>
      <c r="G333" s="51" t="s">
        <v>19</v>
      </c>
      <c r="H333">
        <v>1</v>
      </c>
      <c r="I333" s="58">
        <v>30000</v>
      </c>
      <c r="J333" s="59">
        <v>30000</v>
      </c>
      <c r="K333">
        <v>1</v>
      </c>
      <c r="O333" s="52"/>
    </row>
    <row r="334" spans="1:15" x14ac:dyDescent="0.15">
      <c r="A334">
        <v>2</v>
      </c>
      <c r="D334" s="51" t="s">
        <v>56</v>
      </c>
      <c r="E334" s="51" t="s">
        <v>59</v>
      </c>
      <c r="G334" s="51" t="s">
        <v>37</v>
      </c>
      <c r="H334">
        <v>6</v>
      </c>
      <c r="I334" s="58">
        <v>18000</v>
      </c>
      <c r="J334" s="59">
        <v>108000</v>
      </c>
      <c r="K334">
        <v>1</v>
      </c>
      <c r="O334" s="52"/>
    </row>
    <row r="335" spans="1:15" x14ac:dyDescent="0.15">
      <c r="A335">
        <v>2</v>
      </c>
      <c r="D335" s="51" t="s">
        <v>38</v>
      </c>
      <c r="E335" s="51" t="s">
        <v>156</v>
      </c>
      <c r="G335" s="51" t="s">
        <v>40</v>
      </c>
      <c r="H335">
        <v>2</v>
      </c>
      <c r="I335" s="58">
        <v>10000</v>
      </c>
      <c r="J335" s="59">
        <v>20000</v>
      </c>
      <c r="K335">
        <v>1</v>
      </c>
      <c r="O335" s="52"/>
    </row>
    <row r="336" spans="1:15" x14ac:dyDescent="0.15">
      <c r="A336">
        <v>1</v>
      </c>
      <c r="D336" s="51" t="s">
        <v>20</v>
      </c>
      <c r="E336" s="51" t="s">
        <v>157</v>
      </c>
      <c r="G336" s="51" t="s">
        <v>23</v>
      </c>
      <c r="H336">
        <v>150</v>
      </c>
      <c r="I336" s="58">
        <v>9550</v>
      </c>
      <c r="J336" s="59">
        <v>1432500</v>
      </c>
      <c r="K336">
        <v>150</v>
      </c>
      <c r="M336" s="51" t="s">
        <v>158</v>
      </c>
      <c r="O336" s="52"/>
    </row>
    <row r="337" spans="1:15" x14ac:dyDescent="0.15">
      <c r="A337">
        <v>2</v>
      </c>
      <c r="D337" s="51" t="s">
        <v>25</v>
      </c>
      <c r="E337" s="51" t="s">
        <v>159</v>
      </c>
      <c r="G337" s="51" t="s">
        <v>27</v>
      </c>
      <c r="H337">
        <v>21</v>
      </c>
      <c r="I337" s="58">
        <v>8800</v>
      </c>
      <c r="J337" s="59">
        <v>184800</v>
      </c>
      <c r="K337">
        <v>1</v>
      </c>
      <c r="O337" s="52"/>
    </row>
    <row r="338" spans="1:15" x14ac:dyDescent="0.15">
      <c r="A338">
        <v>2</v>
      </c>
      <c r="D338" s="51" t="s">
        <v>25</v>
      </c>
      <c r="E338" s="51" t="s">
        <v>160</v>
      </c>
      <c r="G338" s="51" t="s">
        <v>27</v>
      </c>
      <c r="H338">
        <v>21</v>
      </c>
      <c r="I338" s="58">
        <v>10500</v>
      </c>
      <c r="J338" s="59">
        <v>220500</v>
      </c>
      <c r="K338">
        <v>1</v>
      </c>
      <c r="O338" s="52"/>
    </row>
    <row r="339" spans="1:15" x14ac:dyDescent="0.15">
      <c r="A339">
        <v>2</v>
      </c>
      <c r="D339" s="51" t="s">
        <v>25</v>
      </c>
      <c r="E339" s="51" t="s">
        <v>153</v>
      </c>
      <c r="G339" s="51" t="s">
        <v>31</v>
      </c>
      <c r="H339">
        <v>4</v>
      </c>
      <c r="I339" s="58">
        <v>2000</v>
      </c>
      <c r="J339" s="59">
        <v>8000</v>
      </c>
      <c r="K339">
        <v>1</v>
      </c>
      <c r="O339" s="52"/>
    </row>
    <row r="340" spans="1:15" x14ac:dyDescent="0.15">
      <c r="A340">
        <v>2</v>
      </c>
      <c r="D340" s="51" t="s">
        <v>25</v>
      </c>
      <c r="E340" s="51" t="s">
        <v>161</v>
      </c>
      <c r="G340" s="51" t="s">
        <v>31</v>
      </c>
      <c r="H340">
        <v>0.5</v>
      </c>
      <c r="I340" s="58">
        <v>8000</v>
      </c>
      <c r="J340" s="59">
        <v>4000</v>
      </c>
      <c r="K340">
        <v>1</v>
      </c>
      <c r="O340" s="52"/>
    </row>
    <row r="341" spans="1:15" x14ac:dyDescent="0.15">
      <c r="A341">
        <v>2</v>
      </c>
      <c r="D341" s="51" t="s">
        <v>25</v>
      </c>
      <c r="E341" s="51" t="s">
        <v>28</v>
      </c>
      <c r="G341" s="51" t="s">
        <v>29</v>
      </c>
      <c r="H341">
        <v>180</v>
      </c>
      <c r="I341" s="58">
        <v>155</v>
      </c>
      <c r="J341" s="59">
        <v>27900</v>
      </c>
      <c r="K341">
        <v>1</v>
      </c>
      <c r="O341" s="52"/>
    </row>
    <row r="342" spans="1:15" x14ac:dyDescent="0.15">
      <c r="A342">
        <v>2</v>
      </c>
      <c r="D342" s="51" t="s">
        <v>25</v>
      </c>
      <c r="E342" s="51" t="s">
        <v>32</v>
      </c>
      <c r="G342" s="51" t="s">
        <v>29</v>
      </c>
      <c r="H342">
        <v>80</v>
      </c>
      <c r="I342" s="58">
        <v>160</v>
      </c>
      <c r="J342" s="59">
        <v>12800</v>
      </c>
      <c r="K342">
        <v>1</v>
      </c>
      <c r="O342" s="52"/>
    </row>
    <row r="343" spans="1:15" x14ac:dyDescent="0.15">
      <c r="A343">
        <v>2</v>
      </c>
      <c r="D343" s="51" t="s">
        <v>25</v>
      </c>
      <c r="E343" s="51" t="s">
        <v>33</v>
      </c>
      <c r="G343" s="51" t="s">
        <v>29</v>
      </c>
      <c r="H343">
        <v>20</v>
      </c>
      <c r="I343" s="58">
        <v>180</v>
      </c>
      <c r="J343" s="59">
        <v>3600</v>
      </c>
      <c r="K343">
        <v>1</v>
      </c>
      <c r="O343" s="52"/>
    </row>
    <row r="344" spans="1:15" x14ac:dyDescent="0.15">
      <c r="A344">
        <v>2</v>
      </c>
      <c r="D344" s="51" t="s">
        <v>25</v>
      </c>
      <c r="E344" s="51" t="s">
        <v>83</v>
      </c>
      <c r="G344" s="51" t="s">
        <v>19</v>
      </c>
      <c r="H344">
        <v>1</v>
      </c>
      <c r="I344" s="58">
        <v>7900</v>
      </c>
      <c r="J344" s="59">
        <v>7900</v>
      </c>
      <c r="K344">
        <v>1</v>
      </c>
      <c r="O344" s="52"/>
    </row>
    <row r="345" spans="1:15" x14ac:dyDescent="0.15">
      <c r="A345">
        <v>2</v>
      </c>
      <c r="D345" s="51" t="s">
        <v>35</v>
      </c>
      <c r="E345" s="51" t="s">
        <v>36</v>
      </c>
      <c r="G345" s="51" t="s">
        <v>37</v>
      </c>
      <c r="H345">
        <v>8</v>
      </c>
      <c r="I345" s="58">
        <v>25000</v>
      </c>
      <c r="J345" s="59">
        <v>200000</v>
      </c>
      <c r="K345">
        <v>1</v>
      </c>
      <c r="O345" s="52"/>
    </row>
    <row r="346" spans="1:15" x14ac:dyDescent="0.15">
      <c r="A346">
        <v>2</v>
      </c>
      <c r="D346" s="51" t="s">
        <v>38</v>
      </c>
      <c r="E346" s="51" t="s">
        <v>39</v>
      </c>
      <c r="G346" s="51" t="s">
        <v>40</v>
      </c>
      <c r="H346">
        <v>1</v>
      </c>
      <c r="I346" s="58">
        <v>85000</v>
      </c>
      <c r="J346" s="59">
        <v>85000</v>
      </c>
      <c r="K346">
        <v>1</v>
      </c>
      <c r="O346" s="52"/>
    </row>
    <row r="347" spans="1:15" x14ac:dyDescent="0.15">
      <c r="A347">
        <v>2</v>
      </c>
      <c r="D347" s="51" t="s">
        <v>38</v>
      </c>
      <c r="E347" s="51" t="s">
        <v>41</v>
      </c>
      <c r="G347" s="51" t="s">
        <v>40</v>
      </c>
      <c r="H347">
        <v>1</v>
      </c>
      <c r="I347" s="58">
        <v>6000</v>
      </c>
      <c r="J347" s="59">
        <v>6000</v>
      </c>
      <c r="K347">
        <v>1</v>
      </c>
      <c r="O347" s="52"/>
    </row>
    <row r="348" spans="1:15" x14ac:dyDescent="0.15">
      <c r="A348">
        <v>2</v>
      </c>
      <c r="D348" s="51" t="s">
        <v>38</v>
      </c>
      <c r="E348" s="51" t="s">
        <v>70</v>
      </c>
      <c r="G348" s="51" t="s">
        <v>40</v>
      </c>
      <c r="H348">
        <v>1</v>
      </c>
      <c r="I348" s="58">
        <v>8000</v>
      </c>
      <c r="J348" s="59">
        <v>8000</v>
      </c>
      <c r="K348">
        <v>1</v>
      </c>
      <c r="O348" s="52"/>
    </row>
    <row r="349" spans="1:15" x14ac:dyDescent="0.15">
      <c r="A349">
        <v>2</v>
      </c>
      <c r="D349" s="51" t="s">
        <v>38</v>
      </c>
      <c r="E349" s="51" t="s">
        <v>42</v>
      </c>
      <c r="G349" s="51" t="s">
        <v>40</v>
      </c>
      <c r="H349">
        <v>1</v>
      </c>
      <c r="I349" s="58">
        <v>8000</v>
      </c>
      <c r="J349" s="59">
        <v>8000</v>
      </c>
      <c r="K349">
        <v>1</v>
      </c>
      <c r="O349" s="52"/>
    </row>
    <row r="350" spans="1:15" x14ac:dyDescent="0.15">
      <c r="A350">
        <v>2</v>
      </c>
      <c r="D350" s="51" t="s">
        <v>38</v>
      </c>
      <c r="E350" s="51" t="s">
        <v>162</v>
      </c>
      <c r="G350" s="51" t="s">
        <v>40</v>
      </c>
      <c r="H350">
        <v>1</v>
      </c>
      <c r="I350" s="58">
        <v>55000</v>
      </c>
      <c r="J350" s="59">
        <v>55000</v>
      </c>
      <c r="K350">
        <v>1</v>
      </c>
      <c r="O350" s="52"/>
    </row>
    <row r="351" spans="1:15" x14ac:dyDescent="0.15">
      <c r="A351">
        <v>2</v>
      </c>
      <c r="D351" s="51" t="s">
        <v>38</v>
      </c>
      <c r="E351" s="51" t="s">
        <v>64</v>
      </c>
      <c r="G351" s="51" t="s">
        <v>40</v>
      </c>
      <c r="H351">
        <v>1</v>
      </c>
      <c r="I351" s="58">
        <v>50000</v>
      </c>
      <c r="J351" s="59">
        <v>50000</v>
      </c>
      <c r="K351">
        <v>1</v>
      </c>
      <c r="O351" s="52"/>
    </row>
    <row r="352" spans="1:15" x14ac:dyDescent="0.15">
      <c r="A352">
        <v>2</v>
      </c>
      <c r="D352" s="51" t="s">
        <v>38</v>
      </c>
      <c r="E352" s="51" t="s">
        <v>44</v>
      </c>
      <c r="G352" s="51" t="s">
        <v>40</v>
      </c>
      <c r="H352">
        <v>2</v>
      </c>
      <c r="I352" s="58">
        <v>3000</v>
      </c>
      <c r="J352" s="59">
        <v>6000</v>
      </c>
      <c r="K352">
        <v>1</v>
      </c>
      <c r="O352" s="52"/>
    </row>
    <row r="353" spans="1:15" x14ac:dyDescent="0.15">
      <c r="A353">
        <v>2</v>
      </c>
      <c r="D353" s="51" t="s">
        <v>45</v>
      </c>
      <c r="E353" s="51" t="s">
        <v>74</v>
      </c>
      <c r="G353" s="51" t="s">
        <v>40</v>
      </c>
      <c r="H353">
        <v>3</v>
      </c>
      <c r="I353" s="58">
        <v>43000</v>
      </c>
      <c r="J353" s="59">
        <v>129000</v>
      </c>
      <c r="K353">
        <v>1</v>
      </c>
      <c r="O353" s="52"/>
    </row>
    <row r="354" spans="1:15" x14ac:dyDescent="0.15">
      <c r="A354">
        <v>2</v>
      </c>
      <c r="D354" s="51" t="s">
        <v>45</v>
      </c>
      <c r="E354" s="51" t="s">
        <v>163</v>
      </c>
      <c r="G354" s="51" t="s">
        <v>27</v>
      </c>
      <c r="H354">
        <v>40</v>
      </c>
      <c r="I354" s="58">
        <v>500</v>
      </c>
      <c r="J354" s="59">
        <v>20000</v>
      </c>
      <c r="K354">
        <v>1</v>
      </c>
      <c r="O354" s="52"/>
    </row>
    <row r="355" spans="1:15" x14ac:dyDescent="0.15">
      <c r="A355">
        <v>2</v>
      </c>
      <c r="D355" s="51" t="s">
        <v>45</v>
      </c>
      <c r="E355" s="51" t="s">
        <v>164</v>
      </c>
      <c r="G355" s="51" t="s">
        <v>50</v>
      </c>
      <c r="H355">
        <v>2</v>
      </c>
      <c r="I355" s="58">
        <v>30000</v>
      </c>
      <c r="J355" s="59">
        <v>60000</v>
      </c>
      <c r="K355">
        <v>1</v>
      </c>
      <c r="O355" s="52"/>
    </row>
    <row r="356" spans="1:15" x14ac:dyDescent="0.15">
      <c r="A356">
        <v>2</v>
      </c>
      <c r="D356" s="51" t="s">
        <v>45</v>
      </c>
      <c r="E356" s="51" t="s">
        <v>165</v>
      </c>
      <c r="G356" s="51" t="s">
        <v>50</v>
      </c>
      <c r="H356">
        <v>2</v>
      </c>
      <c r="I356" s="58">
        <v>20000</v>
      </c>
      <c r="J356" s="59">
        <v>40000</v>
      </c>
      <c r="K356">
        <v>1</v>
      </c>
      <c r="O356" s="52"/>
    </row>
    <row r="357" spans="1:15" x14ac:dyDescent="0.15">
      <c r="A357">
        <v>2</v>
      </c>
      <c r="D357" s="51" t="s">
        <v>45</v>
      </c>
      <c r="E357" s="51" t="s">
        <v>166</v>
      </c>
      <c r="G357" s="51" t="s">
        <v>50</v>
      </c>
      <c r="H357">
        <v>2</v>
      </c>
      <c r="I357" s="58">
        <v>20000</v>
      </c>
      <c r="J357" s="59">
        <v>40000</v>
      </c>
      <c r="K357">
        <v>1</v>
      </c>
      <c r="O357" s="52"/>
    </row>
    <row r="358" spans="1:15" x14ac:dyDescent="0.15">
      <c r="A358">
        <v>2</v>
      </c>
      <c r="D358" s="51" t="s">
        <v>45</v>
      </c>
      <c r="E358" s="51" t="s">
        <v>54</v>
      </c>
      <c r="G358" s="51" t="s">
        <v>40</v>
      </c>
      <c r="H358">
        <v>1</v>
      </c>
      <c r="I358" s="58">
        <v>8000</v>
      </c>
      <c r="J358" s="59">
        <v>8000</v>
      </c>
      <c r="K358">
        <v>1</v>
      </c>
      <c r="O358" s="52"/>
    </row>
    <row r="359" spans="1:15" x14ac:dyDescent="0.15">
      <c r="A359">
        <v>2</v>
      </c>
      <c r="D359" s="51" t="s">
        <v>45</v>
      </c>
      <c r="E359" s="51" t="s">
        <v>46</v>
      </c>
      <c r="G359" s="51" t="s">
        <v>40</v>
      </c>
      <c r="H359">
        <v>1</v>
      </c>
      <c r="I359" s="58">
        <v>10000</v>
      </c>
      <c r="J359" s="59">
        <v>10000</v>
      </c>
      <c r="K359">
        <v>1</v>
      </c>
      <c r="O359" s="52"/>
    </row>
    <row r="360" spans="1:15" x14ac:dyDescent="0.15">
      <c r="A360">
        <v>2</v>
      </c>
      <c r="D360" s="51" t="s">
        <v>45</v>
      </c>
      <c r="E360" s="51" t="s">
        <v>55</v>
      </c>
      <c r="G360" s="51" t="s">
        <v>40</v>
      </c>
      <c r="H360">
        <v>1</v>
      </c>
      <c r="I360" s="58">
        <v>8000</v>
      </c>
      <c r="J360" s="59">
        <v>8000</v>
      </c>
      <c r="K360">
        <v>1</v>
      </c>
      <c r="O360" s="52"/>
    </row>
    <row r="361" spans="1:15" x14ac:dyDescent="0.15">
      <c r="A361">
        <v>2</v>
      </c>
      <c r="D361" s="51" t="s">
        <v>56</v>
      </c>
      <c r="E361" s="51" t="s">
        <v>57</v>
      </c>
      <c r="G361" s="51" t="s">
        <v>19</v>
      </c>
      <c r="H361">
        <v>1</v>
      </c>
      <c r="I361" s="58">
        <v>80000</v>
      </c>
      <c r="J361" s="59">
        <v>80000</v>
      </c>
      <c r="K361">
        <v>1</v>
      </c>
      <c r="O361" s="52"/>
    </row>
    <row r="362" spans="1:15" x14ac:dyDescent="0.15">
      <c r="A362">
        <v>2</v>
      </c>
      <c r="D362" s="51" t="s">
        <v>56</v>
      </c>
      <c r="E362" s="51" t="s">
        <v>58</v>
      </c>
      <c r="G362" s="51" t="s">
        <v>19</v>
      </c>
      <c r="H362">
        <v>1</v>
      </c>
      <c r="I362" s="58">
        <v>32000</v>
      </c>
      <c r="J362" s="59">
        <v>32000</v>
      </c>
      <c r="K362">
        <v>1</v>
      </c>
      <c r="O362" s="52"/>
    </row>
    <row r="363" spans="1:15" x14ac:dyDescent="0.15">
      <c r="A363">
        <v>2</v>
      </c>
      <c r="D363" s="51" t="s">
        <v>56</v>
      </c>
      <c r="E363" s="51" t="s">
        <v>59</v>
      </c>
      <c r="G363" s="51" t="s">
        <v>37</v>
      </c>
      <c r="H363">
        <v>6</v>
      </c>
      <c r="I363" s="58">
        <v>18000</v>
      </c>
      <c r="J363" s="59">
        <v>108000</v>
      </c>
      <c r="K363">
        <v>1</v>
      </c>
      <c r="O363" s="52"/>
    </row>
    <row r="364" spans="1:15" x14ac:dyDescent="0.15">
      <c r="A364">
        <v>2</v>
      </c>
      <c r="D364" s="51" t="s">
        <v>38</v>
      </c>
      <c r="E364" s="51" t="s">
        <v>156</v>
      </c>
      <c r="G364" s="51" t="s">
        <v>40</v>
      </c>
      <c r="H364">
        <v>1</v>
      </c>
      <c r="I364" s="58">
        <v>10000</v>
      </c>
      <c r="J364" s="59">
        <v>10000</v>
      </c>
      <c r="K364">
        <v>1</v>
      </c>
      <c r="O364" s="52"/>
    </row>
    <row r="365" spans="1:15" x14ac:dyDescent="0.15">
      <c r="A365">
        <v>1</v>
      </c>
      <c r="D365" s="51" t="s">
        <v>20</v>
      </c>
      <c r="E365" s="51" t="s">
        <v>167</v>
      </c>
      <c r="G365" s="51" t="s">
        <v>23</v>
      </c>
      <c r="H365">
        <v>317</v>
      </c>
      <c r="I365" s="58">
        <v>5950</v>
      </c>
      <c r="J365" s="59">
        <v>1886150</v>
      </c>
      <c r="K365">
        <v>317</v>
      </c>
      <c r="M365" s="51" t="s">
        <v>168</v>
      </c>
      <c r="O365" s="52"/>
    </row>
    <row r="366" spans="1:15" x14ac:dyDescent="0.15">
      <c r="A366">
        <v>2</v>
      </c>
      <c r="D366" s="51" t="s">
        <v>25</v>
      </c>
      <c r="E366" s="51" t="s">
        <v>169</v>
      </c>
      <c r="G366" s="51" t="s">
        <v>27</v>
      </c>
      <c r="H366">
        <v>42</v>
      </c>
      <c r="I366" s="58">
        <v>9000</v>
      </c>
      <c r="J366" s="59">
        <v>378000</v>
      </c>
      <c r="K366">
        <v>1</v>
      </c>
      <c r="O366" s="52"/>
    </row>
    <row r="367" spans="1:15" x14ac:dyDescent="0.15">
      <c r="A367">
        <v>2</v>
      </c>
      <c r="D367" s="51" t="s">
        <v>25</v>
      </c>
      <c r="E367" s="51" t="s">
        <v>153</v>
      </c>
      <c r="G367" s="51" t="s">
        <v>31</v>
      </c>
      <c r="H367">
        <v>8</v>
      </c>
      <c r="I367" s="58">
        <v>2000</v>
      </c>
      <c r="J367" s="59">
        <v>16000</v>
      </c>
      <c r="K367">
        <v>1</v>
      </c>
      <c r="O367" s="52"/>
    </row>
    <row r="368" spans="1:15" x14ac:dyDescent="0.15">
      <c r="A368">
        <v>2</v>
      </c>
      <c r="D368" s="51" t="s">
        <v>25</v>
      </c>
      <c r="E368" s="51" t="s">
        <v>161</v>
      </c>
      <c r="G368" s="51" t="s">
        <v>31</v>
      </c>
      <c r="H368">
        <v>1</v>
      </c>
      <c r="I368" s="58">
        <v>8000</v>
      </c>
      <c r="J368" s="59">
        <v>8000</v>
      </c>
      <c r="K368">
        <v>1</v>
      </c>
      <c r="O368" s="52"/>
    </row>
    <row r="369" spans="1:15" x14ac:dyDescent="0.15">
      <c r="A369">
        <v>2</v>
      </c>
      <c r="D369" s="51" t="s">
        <v>25</v>
      </c>
      <c r="E369" s="51" t="s">
        <v>28</v>
      </c>
      <c r="G369" s="51" t="s">
        <v>29</v>
      </c>
      <c r="H369">
        <v>260</v>
      </c>
      <c r="I369" s="58">
        <v>99</v>
      </c>
      <c r="J369" s="59">
        <v>25740</v>
      </c>
      <c r="K369">
        <v>1</v>
      </c>
      <c r="O369" s="52"/>
    </row>
    <row r="370" spans="1:15" x14ac:dyDescent="0.15">
      <c r="A370">
        <v>2</v>
      </c>
      <c r="D370" s="51" t="s">
        <v>25</v>
      </c>
      <c r="E370" s="51" t="s">
        <v>32</v>
      </c>
      <c r="G370" s="51" t="s">
        <v>29</v>
      </c>
      <c r="H370">
        <v>100</v>
      </c>
      <c r="I370" s="58">
        <v>160</v>
      </c>
      <c r="J370" s="59">
        <v>16000</v>
      </c>
      <c r="K370">
        <v>1</v>
      </c>
      <c r="O370" s="52"/>
    </row>
    <row r="371" spans="1:15" x14ac:dyDescent="0.15">
      <c r="A371">
        <v>2</v>
      </c>
      <c r="D371" s="51" t="s">
        <v>25</v>
      </c>
      <c r="E371" s="51" t="s">
        <v>33</v>
      </c>
      <c r="G371" s="51" t="s">
        <v>29</v>
      </c>
      <c r="H371">
        <v>40</v>
      </c>
      <c r="I371" s="58">
        <v>180</v>
      </c>
      <c r="J371" s="59">
        <v>7200</v>
      </c>
      <c r="K371">
        <v>1</v>
      </c>
      <c r="O371" s="52"/>
    </row>
    <row r="372" spans="1:15" x14ac:dyDescent="0.15">
      <c r="A372">
        <v>2</v>
      </c>
      <c r="D372" s="51" t="s">
        <v>25</v>
      </c>
      <c r="E372" s="51" t="s">
        <v>83</v>
      </c>
      <c r="G372" s="51" t="s">
        <v>19</v>
      </c>
      <c r="H372">
        <v>1</v>
      </c>
      <c r="I372" s="58">
        <v>9210</v>
      </c>
      <c r="J372" s="59">
        <v>9210</v>
      </c>
      <c r="K372">
        <v>1</v>
      </c>
      <c r="O372" s="52"/>
    </row>
    <row r="373" spans="1:15" x14ac:dyDescent="0.15">
      <c r="A373">
        <v>2</v>
      </c>
      <c r="D373" s="51" t="s">
        <v>35</v>
      </c>
      <c r="E373" s="51" t="s">
        <v>36</v>
      </c>
      <c r="G373" s="51" t="s">
        <v>37</v>
      </c>
      <c r="H373">
        <v>16</v>
      </c>
      <c r="I373" s="58">
        <v>25000</v>
      </c>
      <c r="J373" s="59">
        <v>400000</v>
      </c>
      <c r="K373">
        <v>1</v>
      </c>
      <c r="O373" s="52"/>
    </row>
    <row r="374" spans="1:15" x14ac:dyDescent="0.15">
      <c r="A374">
        <v>2</v>
      </c>
      <c r="D374" s="51" t="s">
        <v>38</v>
      </c>
      <c r="E374" s="51" t="s">
        <v>39</v>
      </c>
      <c r="G374" s="51" t="s">
        <v>40</v>
      </c>
      <c r="H374">
        <v>1</v>
      </c>
      <c r="I374" s="58">
        <v>85000</v>
      </c>
      <c r="J374" s="59">
        <v>85000</v>
      </c>
      <c r="K374">
        <v>1</v>
      </c>
      <c r="O374" s="52"/>
    </row>
    <row r="375" spans="1:15" x14ac:dyDescent="0.15">
      <c r="A375">
        <v>2</v>
      </c>
      <c r="D375" s="51" t="s">
        <v>38</v>
      </c>
      <c r="E375" s="51" t="s">
        <v>41</v>
      </c>
      <c r="G375" s="51" t="s">
        <v>40</v>
      </c>
      <c r="H375">
        <v>2</v>
      </c>
      <c r="I375" s="58">
        <v>6000</v>
      </c>
      <c r="J375" s="59">
        <v>12000</v>
      </c>
      <c r="K375">
        <v>1</v>
      </c>
      <c r="O375" s="52"/>
    </row>
    <row r="376" spans="1:15" x14ac:dyDescent="0.15">
      <c r="A376">
        <v>2</v>
      </c>
      <c r="D376" s="51" t="s">
        <v>38</v>
      </c>
      <c r="E376" s="51" t="s">
        <v>42</v>
      </c>
      <c r="G376" s="51" t="s">
        <v>40</v>
      </c>
      <c r="H376">
        <v>4</v>
      </c>
      <c r="I376" s="58">
        <v>8000</v>
      </c>
      <c r="J376" s="59">
        <v>32000</v>
      </c>
      <c r="K376">
        <v>1</v>
      </c>
      <c r="O376" s="52"/>
    </row>
    <row r="377" spans="1:15" x14ac:dyDescent="0.15">
      <c r="A377">
        <v>2</v>
      </c>
      <c r="D377" s="51" t="s">
        <v>38</v>
      </c>
      <c r="E377" s="51" t="s">
        <v>64</v>
      </c>
      <c r="G377" s="51" t="s">
        <v>40</v>
      </c>
      <c r="H377">
        <v>1</v>
      </c>
      <c r="I377" s="58">
        <v>50000</v>
      </c>
      <c r="J377" s="59">
        <v>50000</v>
      </c>
      <c r="K377">
        <v>1</v>
      </c>
      <c r="O377" s="52"/>
    </row>
    <row r="378" spans="1:15" x14ac:dyDescent="0.15">
      <c r="A378">
        <v>2</v>
      </c>
      <c r="D378" s="51" t="s">
        <v>38</v>
      </c>
      <c r="E378" s="51" t="s">
        <v>44</v>
      </c>
      <c r="G378" s="51" t="s">
        <v>40</v>
      </c>
      <c r="H378">
        <v>4</v>
      </c>
      <c r="I378" s="58">
        <v>3000</v>
      </c>
      <c r="J378" s="59">
        <v>12000</v>
      </c>
      <c r="K378">
        <v>1</v>
      </c>
      <c r="O378" s="52"/>
    </row>
    <row r="379" spans="1:15" x14ac:dyDescent="0.15">
      <c r="A379">
        <v>2</v>
      </c>
      <c r="D379" s="51" t="s">
        <v>45</v>
      </c>
      <c r="E379" s="51" t="s">
        <v>46</v>
      </c>
      <c r="G379" s="51" t="s">
        <v>40</v>
      </c>
      <c r="H379">
        <v>7</v>
      </c>
      <c r="I379" s="58">
        <v>37000</v>
      </c>
      <c r="J379" s="59">
        <v>259000</v>
      </c>
      <c r="K379">
        <v>1</v>
      </c>
      <c r="O379" s="52"/>
    </row>
    <row r="380" spans="1:15" x14ac:dyDescent="0.15">
      <c r="A380">
        <v>2</v>
      </c>
      <c r="D380" s="51" t="s">
        <v>45</v>
      </c>
      <c r="E380" s="51" t="s">
        <v>163</v>
      </c>
      <c r="G380" s="51" t="s">
        <v>27</v>
      </c>
      <c r="H380">
        <v>40</v>
      </c>
      <c r="I380" s="58">
        <v>500</v>
      </c>
      <c r="J380" s="59">
        <v>20000</v>
      </c>
      <c r="K380">
        <v>1</v>
      </c>
      <c r="O380" s="52"/>
    </row>
    <row r="381" spans="1:15" x14ac:dyDescent="0.15">
      <c r="A381">
        <v>2</v>
      </c>
      <c r="D381" s="51" t="s">
        <v>45</v>
      </c>
      <c r="E381" s="51" t="s">
        <v>164</v>
      </c>
      <c r="G381" s="51" t="s">
        <v>50</v>
      </c>
      <c r="H381">
        <v>2</v>
      </c>
      <c r="I381" s="58">
        <v>30000</v>
      </c>
      <c r="J381" s="59">
        <v>60000</v>
      </c>
      <c r="K381">
        <v>1</v>
      </c>
      <c r="O381" s="52"/>
    </row>
    <row r="382" spans="1:15" x14ac:dyDescent="0.15">
      <c r="A382">
        <v>2</v>
      </c>
      <c r="D382" s="51" t="s">
        <v>45</v>
      </c>
      <c r="E382" s="51" t="s">
        <v>166</v>
      </c>
      <c r="G382" s="51" t="s">
        <v>50</v>
      </c>
      <c r="H382">
        <v>4</v>
      </c>
      <c r="I382" s="58">
        <v>20000</v>
      </c>
      <c r="J382" s="59">
        <v>80000</v>
      </c>
      <c r="K382">
        <v>1</v>
      </c>
      <c r="O382" s="52"/>
    </row>
    <row r="383" spans="1:15" x14ac:dyDescent="0.15">
      <c r="A383">
        <v>2</v>
      </c>
      <c r="D383" s="51" t="s">
        <v>45</v>
      </c>
      <c r="E383" s="51" t="s">
        <v>54</v>
      </c>
      <c r="G383" s="51" t="s">
        <v>40</v>
      </c>
      <c r="H383">
        <v>2</v>
      </c>
      <c r="I383" s="58">
        <v>8000</v>
      </c>
      <c r="J383" s="59">
        <v>16000</v>
      </c>
      <c r="K383">
        <v>1</v>
      </c>
      <c r="O383" s="52"/>
    </row>
    <row r="384" spans="1:15" x14ac:dyDescent="0.15">
      <c r="A384">
        <v>2</v>
      </c>
      <c r="D384" s="51" t="s">
        <v>45</v>
      </c>
      <c r="E384" s="51" t="s">
        <v>46</v>
      </c>
      <c r="G384" s="51" t="s">
        <v>40</v>
      </c>
      <c r="H384">
        <v>2</v>
      </c>
      <c r="I384" s="58">
        <v>10000</v>
      </c>
      <c r="J384" s="59">
        <v>20000</v>
      </c>
      <c r="K384">
        <v>1</v>
      </c>
      <c r="O384" s="52"/>
    </row>
    <row r="385" spans="1:15" x14ac:dyDescent="0.15">
      <c r="A385">
        <v>2</v>
      </c>
      <c r="D385" s="51" t="s">
        <v>45</v>
      </c>
      <c r="E385" s="51" t="s">
        <v>55</v>
      </c>
      <c r="G385" s="51" t="s">
        <v>40</v>
      </c>
      <c r="H385">
        <v>2</v>
      </c>
      <c r="I385" s="58">
        <v>8000</v>
      </c>
      <c r="J385" s="59">
        <v>16000</v>
      </c>
      <c r="K385">
        <v>1</v>
      </c>
      <c r="O385" s="52"/>
    </row>
    <row r="386" spans="1:15" x14ac:dyDescent="0.15">
      <c r="A386">
        <v>2</v>
      </c>
      <c r="D386" s="51" t="s">
        <v>56</v>
      </c>
      <c r="E386" s="51" t="s">
        <v>57</v>
      </c>
      <c r="G386" s="51" t="s">
        <v>19</v>
      </c>
      <c r="H386">
        <v>1</v>
      </c>
      <c r="I386" s="58">
        <v>100000</v>
      </c>
      <c r="J386" s="59">
        <v>100000</v>
      </c>
      <c r="K386">
        <v>1</v>
      </c>
      <c r="O386" s="52"/>
    </row>
    <row r="387" spans="1:15" x14ac:dyDescent="0.15">
      <c r="A387">
        <v>2</v>
      </c>
      <c r="D387" s="51" t="s">
        <v>56</v>
      </c>
      <c r="E387" s="51" t="s">
        <v>58</v>
      </c>
      <c r="G387" s="51" t="s">
        <v>19</v>
      </c>
      <c r="H387">
        <v>1</v>
      </c>
      <c r="I387" s="58">
        <v>64000</v>
      </c>
      <c r="J387" s="59">
        <v>64000</v>
      </c>
      <c r="K387">
        <v>1</v>
      </c>
      <c r="O387" s="52"/>
    </row>
    <row r="388" spans="1:15" x14ac:dyDescent="0.15">
      <c r="A388">
        <v>2</v>
      </c>
      <c r="D388" s="51" t="s">
        <v>56</v>
      </c>
      <c r="E388" s="51" t="s">
        <v>59</v>
      </c>
      <c r="G388" s="51" t="s">
        <v>37</v>
      </c>
      <c r="H388">
        <v>10</v>
      </c>
      <c r="I388" s="58">
        <v>18000</v>
      </c>
      <c r="J388" s="59">
        <v>180000</v>
      </c>
      <c r="K388">
        <v>1</v>
      </c>
      <c r="O388" s="52"/>
    </row>
    <row r="389" spans="1:15" x14ac:dyDescent="0.15">
      <c r="A389">
        <v>2</v>
      </c>
      <c r="D389" s="51" t="s">
        <v>38</v>
      </c>
      <c r="E389" s="51" t="s">
        <v>156</v>
      </c>
      <c r="G389" s="51" t="s">
        <v>40</v>
      </c>
      <c r="H389">
        <v>2</v>
      </c>
      <c r="I389" s="58">
        <v>10000</v>
      </c>
      <c r="J389" s="59">
        <v>20000</v>
      </c>
      <c r="K389">
        <v>1</v>
      </c>
      <c r="O389" s="52"/>
    </row>
    <row r="390" spans="1:15" x14ac:dyDescent="0.15">
      <c r="A390">
        <v>1</v>
      </c>
      <c r="D390" s="51" t="s">
        <v>20</v>
      </c>
      <c r="E390" s="51" t="s">
        <v>170</v>
      </c>
      <c r="G390" s="51" t="s">
        <v>143</v>
      </c>
      <c r="H390">
        <v>1</v>
      </c>
      <c r="I390" s="58">
        <v>140700</v>
      </c>
      <c r="J390" s="59">
        <v>140700</v>
      </c>
      <c r="K390">
        <v>1</v>
      </c>
      <c r="M390" s="51" t="s">
        <v>171</v>
      </c>
      <c r="O390" s="52"/>
    </row>
    <row r="391" spans="1:15" x14ac:dyDescent="0.15">
      <c r="A391">
        <v>2</v>
      </c>
      <c r="D391" s="51" t="s">
        <v>56</v>
      </c>
      <c r="E391" s="51" t="s">
        <v>172</v>
      </c>
      <c r="G391" s="51" t="s">
        <v>173</v>
      </c>
      <c r="H391">
        <v>60</v>
      </c>
      <c r="I391" s="58">
        <v>300</v>
      </c>
      <c r="J391" s="59">
        <v>18000</v>
      </c>
      <c r="K391">
        <v>1</v>
      </c>
      <c r="O391" s="52"/>
    </row>
    <row r="392" spans="1:15" x14ac:dyDescent="0.15">
      <c r="A392">
        <v>2</v>
      </c>
      <c r="D392" s="51" t="s">
        <v>56</v>
      </c>
      <c r="E392" s="51" t="s">
        <v>112</v>
      </c>
      <c r="G392" s="51" t="s">
        <v>50</v>
      </c>
      <c r="H392">
        <v>0.5</v>
      </c>
      <c r="I392" s="58">
        <v>20000</v>
      </c>
      <c r="J392" s="59">
        <v>10000</v>
      </c>
      <c r="K392">
        <v>1</v>
      </c>
      <c r="O392" s="52"/>
    </row>
    <row r="393" spans="1:15" x14ac:dyDescent="0.15">
      <c r="A393">
        <v>2</v>
      </c>
      <c r="D393" s="51" t="s">
        <v>56</v>
      </c>
      <c r="E393" s="51" t="s">
        <v>113</v>
      </c>
      <c r="G393" s="51" t="s">
        <v>29</v>
      </c>
      <c r="H393">
        <v>100</v>
      </c>
      <c r="I393" s="58">
        <v>50</v>
      </c>
      <c r="J393" s="59">
        <v>5000</v>
      </c>
      <c r="K393">
        <v>1</v>
      </c>
      <c r="O393" s="52"/>
    </row>
    <row r="394" spans="1:15" x14ac:dyDescent="0.15">
      <c r="A394">
        <v>2</v>
      </c>
      <c r="D394" s="51" t="s">
        <v>56</v>
      </c>
      <c r="E394" s="51" t="s">
        <v>174</v>
      </c>
      <c r="G394" s="51" t="s">
        <v>173</v>
      </c>
      <c r="H394">
        <v>140</v>
      </c>
      <c r="I394" s="58">
        <v>180</v>
      </c>
      <c r="J394" s="59">
        <v>25200</v>
      </c>
      <c r="K394">
        <v>1</v>
      </c>
      <c r="O394" s="52"/>
    </row>
    <row r="395" spans="1:15" x14ac:dyDescent="0.15">
      <c r="A395">
        <v>2</v>
      </c>
      <c r="D395" s="51" t="s">
        <v>56</v>
      </c>
      <c r="E395" s="51" t="s">
        <v>112</v>
      </c>
      <c r="G395" s="51" t="s">
        <v>50</v>
      </c>
      <c r="H395">
        <v>0.5</v>
      </c>
      <c r="I395" s="58">
        <v>20000</v>
      </c>
      <c r="J395" s="59">
        <v>10000</v>
      </c>
      <c r="K395">
        <v>1</v>
      </c>
      <c r="O395" s="52"/>
    </row>
    <row r="396" spans="1:15" x14ac:dyDescent="0.15">
      <c r="A396">
        <v>2</v>
      </c>
      <c r="D396" s="51" t="s">
        <v>56</v>
      </c>
      <c r="E396" s="51" t="s">
        <v>113</v>
      </c>
      <c r="G396" s="51" t="s">
        <v>29</v>
      </c>
      <c r="H396">
        <v>170</v>
      </c>
      <c r="I396" s="58">
        <v>50</v>
      </c>
      <c r="J396" s="59">
        <v>8500</v>
      </c>
      <c r="K396">
        <v>1</v>
      </c>
      <c r="O396" s="52"/>
    </row>
    <row r="397" spans="1:15" x14ac:dyDescent="0.15">
      <c r="A397">
        <v>2</v>
      </c>
      <c r="D397" s="51" t="s">
        <v>56</v>
      </c>
      <c r="E397" s="51" t="s">
        <v>59</v>
      </c>
      <c r="G397" s="51" t="s">
        <v>37</v>
      </c>
      <c r="H397">
        <v>3</v>
      </c>
      <c r="I397" s="58">
        <v>18000</v>
      </c>
      <c r="J397" s="59">
        <v>54000</v>
      </c>
      <c r="K397">
        <v>1</v>
      </c>
      <c r="O397" s="52"/>
    </row>
    <row r="398" spans="1:15" x14ac:dyDescent="0.15">
      <c r="A398">
        <v>2</v>
      </c>
      <c r="D398" s="51" t="s">
        <v>38</v>
      </c>
      <c r="E398" s="51" t="s">
        <v>156</v>
      </c>
      <c r="G398" s="51" t="s">
        <v>40</v>
      </c>
      <c r="H398">
        <v>1</v>
      </c>
      <c r="I398" s="58">
        <v>10000</v>
      </c>
      <c r="J398" s="59">
        <v>10000</v>
      </c>
      <c r="K398">
        <v>1</v>
      </c>
      <c r="O398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402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我孫子維持工事</v>
      </c>
      <c r="G1" s="4"/>
      <c r="H1" s="16" t="s">
        <v>15</v>
      </c>
      <c r="I1" s="13">
        <v>20800000</v>
      </c>
      <c r="J1" s="17">
        <f>I4/I$1</f>
        <v>0.88929663461538466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175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我孫子維持工事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18497370</v>
      </c>
      <c r="I4" s="48">
        <f>データ!J1</f>
        <v>18497370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｜路面補修工No.1</v>
      </c>
      <c r="E5" s="37" t="str">
        <f>TRIM(データ!F2)</f>
        <v>舗装打換工</v>
      </c>
      <c r="F5" s="38" t="str">
        <f>TRIM(データ!G2)</f>
        <v>m2</v>
      </c>
      <c r="G5" s="50">
        <f>データ!H2</f>
        <v>82</v>
      </c>
      <c r="H5" s="48">
        <f>データ!I2</f>
        <v>10500</v>
      </c>
      <c r="I5" s="48">
        <f>データ!J2</f>
        <v>861000</v>
      </c>
      <c r="J5" s="39">
        <f>IF(OR($C5="総括",$C5="内訳書",$C5="内訳代価",$C5="明細書",$C5="明細代価",$C5="代価表",$C5="単価表"),データ!K2,"")</f>
        <v>82</v>
      </c>
      <c r="K5" s="11" t="str">
        <f t="shared" ref="K5:K68" si="0">IF(OR(J5="",G5=J5),"","*")</f>
        <v/>
      </c>
      <c r="L5" s="46">
        <f t="shared" ref="L5:L68" si="1">IF($A5&lt;=L$1,I5/I$4,"")</f>
        <v>4.6547157785133776E-2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｜｜再生密粒(13)</v>
      </c>
      <c r="E6" s="37" t="str">
        <f>TRIM(データ!F3)</f>
        <v/>
      </c>
      <c r="F6" s="38" t="str">
        <f>TRIM(データ!G3)</f>
        <v>ｔ</v>
      </c>
      <c r="G6" s="50">
        <f>データ!H3</f>
        <v>12</v>
      </c>
      <c r="H6" s="48">
        <f>データ!I3</f>
        <v>9000</v>
      </c>
      <c r="I6" s="48">
        <f>データ!J3</f>
        <v>108000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5.8386678754871642E-3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｜｜アスファルト乳剤PK-3</v>
      </c>
      <c r="E7" s="37" t="str">
        <f>TRIM(データ!F4)</f>
        <v/>
      </c>
      <c r="F7" s="38" t="str">
        <f>TRIM(データ!G4)</f>
        <v>リットル</v>
      </c>
      <c r="G7" s="50">
        <f>データ!H4</f>
        <v>80</v>
      </c>
      <c r="H7" s="48">
        <f>データ!I4</f>
        <v>99</v>
      </c>
      <c r="I7" s="48">
        <f>データ!J4</f>
        <v>7920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4.2816897753572536E-4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｜｜RC-40</v>
      </c>
      <c r="E8" s="37" t="str">
        <f>TRIM(データ!F5)</f>
        <v/>
      </c>
      <c r="F8" s="38" t="str">
        <f>TRIM(データ!G5)</f>
        <v>m3</v>
      </c>
      <c r="G8" s="50">
        <f>データ!H5</f>
        <v>2</v>
      </c>
      <c r="H8" s="48">
        <f>データ!I5</f>
        <v>2000</v>
      </c>
      <c r="I8" s="48">
        <f>データ!J5</f>
        <v>4000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2.1624695835137644E-4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｜｜軽油</v>
      </c>
      <c r="E9" s="37" t="str">
        <f>TRIM(データ!F6)</f>
        <v/>
      </c>
      <c r="F9" s="38" t="str">
        <f>TRIM(データ!G6)</f>
        <v>リットル</v>
      </c>
      <c r="G9" s="50">
        <f>データ!H6</f>
        <v>80</v>
      </c>
      <c r="H9" s="48">
        <f>データ!I6</f>
        <v>160</v>
      </c>
      <c r="I9" s="48">
        <f>データ!J6</f>
        <v>12800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6.9199026672440457E-4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｜｜ガソリン</v>
      </c>
      <c r="E10" s="37" t="str">
        <f>TRIM(データ!F7)</f>
        <v/>
      </c>
      <c r="F10" s="38" t="str">
        <f>TRIM(データ!G7)</f>
        <v>リットル</v>
      </c>
      <c r="G10" s="50">
        <f>データ!H7</f>
        <v>20</v>
      </c>
      <c r="H10" s="48">
        <f>データ!I7</f>
        <v>180</v>
      </c>
      <c r="I10" s="48">
        <f>データ!J7</f>
        <v>3600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1.9462226251623879E-4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材料費</v>
      </c>
      <c r="D11" s="36" t="str">
        <f>REPT("｜",$A11)&amp;TRIM(データ!E8)</f>
        <v>｜｜雑材</v>
      </c>
      <c r="E11" s="37" t="str">
        <f>TRIM(データ!F8)</f>
        <v/>
      </c>
      <c r="F11" s="38" t="str">
        <f>TRIM(データ!G8)</f>
        <v>式</v>
      </c>
      <c r="G11" s="50">
        <f>データ!H8</f>
        <v>1</v>
      </c>
      <c r="H11" s="48">
        <f>データ!I8</f>
        <v>3980</v>
      </c>
      <c r="I11" s="48">
        <f>データ!J8</f>
        <v>3980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2.1516572355961955E-4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労務費</v>
      </c>
      <c r="D12" s="36" t="str">
        <f>REPT("｜",$A12)&amp;TRIM(データ!E9)</f>
        <v>｜｜土工</v>
      </c>
      <c r="E12" s="37" t="str">
        <f>TRIM(データ!F9)</f>
        <v/>
      </c>
      <c r="F12" s="38" t="str">
        <f>TRIM(データ!G9)</f>
        <v>人</v>
      </c>
      <c r="G12" s="50">
        <f>データ!H9</f>
        <v>8</v>
      </c>
      <c r="H12" s="48">
        <f>データ!I9</f>
        <v>23000</v>
      </c>
      <c r="I12" s="48">
        <f>データ!J9</f>
        <v>184000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9.9473600841633158E-3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｜｜フィニッシャー4.5m</v>
      </c>
      <c r="E13" s="37" t="str">
        <f>TRIM(データ!F10)</f>
        <v/>
      </c>
      <c r="F13" s="38" t="str">
        <f>TRIM(データ!G10)</f>
        <v>台</v>
      </c>
      <c r="G13" s="50">
        <f>データ!H10</f>
        <v>1</v>
      </c>
      <c r="H13" s="48">
        <f>データ!I10</f>
        <v>80000</v>
      </c>
      <c r="I13" s="48">
        <f>データ!J10</f>
        <v>80000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4.3249391670275288E-3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｜｜コンバインドローラ</v>
      </c>
      <c r="E14" s="37" t="str">
        <f>TRIM(データ!F11)</f>
        <v/>
      </c>
      <c r="F14" s="38" t="str">
        <f>TRIM(データ!G11)</f>
        <v>台</v>
      </c>
      <c r="G14" s="50">
        <f>データ!H11</f>
        <v>1</v>
      </c>
      <c r="H14" s="48">
        <f>データ!I11</f>
        <v>6000</v>
      </c>
      <c r="I14" s="48">
        <f>データ!J11</f>
        <v>6000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3.2437043752706464E-4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｜｜ミニバックホウ</v>
      </c>
      <c r="E15" s="37" t="str">
        <f>TRIM(データ!F12)</f>
        <v/>
      </c>
      <c r="F15" s="38" t="str">
        <f>TRIM(データ!G12)</f>
        <v>台</v>
      </c>
      <c r="G15" s="50">
        <f>データ!H12</f>
        <v>1</v>
      </c>
      <c r="H15" s="48">
        <f>データ!I12</f>
        <v>8000</v>
      </c>
      <c r="I15" s="48">
        <f>データ!J12</f>
        <v>8000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4.3249391670275287E-4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｜｜エンジンスプレイヤ</v>
      </c>
      <c r="E16" s="37" t="str">
        <f>TRIM(データ!F13)</f>
        <v/>
      </c>
      <c r="F16" s="38" t="str">
        <f>TRIM(データ!G13)</f>
        <v>台</v>
      </c>
      <c r="G16" s="50">
        <f>データ!H13</f>
        <v>1</v>
      </c>
      <c r="H16" s="48">
        <f>データ!I13</f>
        <v>3000</v>
      </c>
      <c r="I16" s="48">
        <f>データ!J13</f>
        <v>3000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1.6218521876353232E-4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｜｜小物機械</v>
      </c>
      <c r="E17" s="37" t="str">
        <f>TRIM(データ!F14)</f>
        <v/>
      </c>
      <c r="F17" s="38" t="str">
        <f>TRIM(データ!G14)</f>
        <v>台</v>
      </c>
      <c r="G17" s="50">
        <f>データ!H14</f>
        <v>3</v>
      </c>
      <c r="H17" s="48">
        <f>データ!I14</f>
        <v>3000</v>
      </c>
      <c r="I17" s="48">
        <f>データ!J14</f>
        <v>9000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4.8655565629059696E-4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｜｜4tダンプ</v>
      </c>
      <c r="E18" s="37" t="str">
        <f>TRIM(データ!F15)</f>
        <v/>
      </c>
      <c r="F18" s="38" t="str">
        <f>TRIM(データ!G15)</f>
        <v>台</v>
      </c>
      <c r="G18" s="50">
        <f>データ!H15</f>
        <v>3</v>
      </c>
      <c r="H18" s="48">
        <f>データ!I15</f>
        <v>37000</v>
      </c>
      <c r="I18" s="48">
        <f>データ!J15</f>
        <v>111000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6.0008530942506962E-3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運搬費</v>
      </c>
      <c r="D19" s="36" t="str">
        <f>REPT("｜",$A19)&amp;TRIM(データ!E16)</f>
        <v>｜｜AS処理費</v>
      </c>
      <c r="E19" s="37" t="str">
        <f>TRIM(データ!F16)</f>
        <v/>
      </c>
      <c r="F19" s="38" t="str">
        <f>TRIM(データ!G16)</f>
        <v>ｔ</v>
      </c>
      <c r="G19" s="50">
        <f>データ!H16</f>
        <v>12</v>
      </c>
      <c r="H19" s="48">
        <f>データ!I16</f>
        <v>400</v>
      </c>
      <c r="I19" s="48">
        <f>データ!J16</f>
        <v>4800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2.594963500216517E-4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運搬費</v>
      </c>
      <c r="D20" s="36" t="str">
        <f>REPT("｜",$A20)&amp;TRIM(データ!E17)</f>
        <v>｜｜10t回送費</v>
      </c>
      <c r="E20" s="37" t="str">
        <f>TRIM(データ!F17)</f>
        <v>AF</v>
      </c>
      <c r="F20" s="38" t="str">
        <f>TRIM(データ!G17)</f>
        <v>回</v>
      </c>
      <c r="G20" s="50">
        <f>データ!H17</f>
        <v>2</v>
      </c>
      <c r="H20" s="48">
        <f>データ!I17</f>
        <v>30000</v>
      </c>
      <c r="I20" s="48">
        <f>データ!J17</f>
        <v>60000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3.2437043752706466E-3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運搬費</v>
      </c>
      <c r="D21" s="36" t="str">
        <f>REPT("｜",$A21)&amp;TRIM(データ!E18)</f>
        <v>｜｜6t回送費</v>
      </c>
      <c r="E21" s="37" t="str">
        <f>TRIM(データ!F18)</f>
        <v>CR</v>
      </c>
      <c r="F21" s="38" t="str">
        <f>TRIM(データ!G18)</f>
        <v>回</v>
      </c>
      <c r="G21" s="50">
        <f>データ!H18</f>
        <v>2</v>
      </c>
      <c r="H21" s="48">
        <f>データ!I18</f>
        <v>16000</v>
      </c>
      <c r="I21" s="48">
        <f>データ!J18</f>
        <v>32000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1.7299756668110115E-3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運搬費</v>
      </c>
      <c r="D22" s="36" t="str">
        <f>REPT("｜",$A22)&amp;TRIM(データ!E19)</f>
        <v>｜｜6t回送費</v>
      </c>
      <c r="E22" s="37" t="str">
        <f>TRIM(データ!F19)</f>
        <v>BH</v>
      </c>
      <c r="F22" s="38" t="str">
        <f>TRIM(データ!G19)</f>
        <v>回</v>
      </c>
      <c r="G22" s="50">
        <f>データ!H19</f>
        <v>2</v>
      </c>
      <c r="H22" s="48">
        <f>データ!I19</f>
        <v>16000</v>
      </c>
      <c r="I22" s="48">
        <f>データ!J19</f>
        <v>32000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1.7299756668110115E-3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運搬費</v>
      </c>
      <c r="D23" s="36" t="str">
        <f>REPT("｜",$A23)&amp;TRIM(データ!E20)</f>
        <v>｜｜2tダンプ</v>
      </c>
      <c r="E23" s="37" t="str">
        <f>TRIM(データ!F20)</f>
        <v/>
      </c>
      <c r="F23" s="38" t="str">
        <f>TRIM(データ!G20)</f>
        <v>台</v>
      </c>
      <c r="G23" s="50">
        <f>データ!H20</f>
        <v>2</v>
      </c>
      <c r="H23" s="48">
        <f>データ!I20</f>
        <v>8000</v>
      </c>
      <c r="I23" s="48">
        <f>データ!J20</f>
        <v>16000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8.6498783340550574E-4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｜｜WP</v>
      </c>
      <c r="E24" s="37" t="str">
        <f>TRIM(データ!F21)</f>
        <v/>
      </c>
      <c r="F24" s="38" t="str">
        <f>TRIM(データ!G21)</f>
        <v>台</v>
      </c>
      <c r="G24" s="50">
        <f>データ!H21</f>
        <v>1</v>
      </c>
      <c r="H24" s="48">
        <f>データ!I21</f>
        <v>8000</v>
      </c>
      <c r="I24" s="48">
        <f>データ!J21</f>
        <v>8000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4.3249391670275287E-4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外注費</v>
      </c>
      <c r="D25" s="36" t="str">
        <f>REPT("｜",$A25)&amp;TRIM(データ!E22)</f>
        <v>｜｜諸経費</v>
      </c>
      <c r="E25" s="37" t="str">
        <f>TRIM(データ!F22)</f>
        <v/>
      </c>
      <c r="F25" s="38" t="str">
        <f>TRIM(データ!G22)</f>
        <v>式</v>
      </c>
      <c r="G25" s="50">
        <f>データ!H22</f>
        <v>1</v>
      </c>
      <c r="H25" s="48">
        <f>データ!I22</f>
        <v>32000</v>
      </c>
      <c r="I25" s="48">
        <f>データ!J22</f>
        <v>32000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1.7299756668110115E-3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外注費</v>
      </c>
      <c r="D26" s="36" t="str">
        <f>REPT("｜",$A26)&amp;TRIM(データ!E23)</f>
        <v>｜｜法定福利費</v>
      </c>
      <c r="E26" s="37" t="str">
        <f>TRIM(データ!F23)</f>
        <v/>
      </c>
      <c r="F26" s="38" t="str">
        <f>TRIM(データ!G23)</f>
        <v>式</v>
      </c>
      <c r="G26" s="50">
        <f>データ!H23</f>
        <v>1</v>
      </c>
      <c r="H26" s="48">
        <f>データ!I23</f>
        <v>29900</v>
      </c>
      <c r="I26" s="48">
        <f>データ!J23</f>
        <v>29900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1.616446013676539E-3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外注費</v>
      </c>
      <c r="D27" s="36" t="str">
        <f>REPT("｜",$A27)&amp;TRIM(データ!E24)</f>
        <v>｜｜交通誘導員</v>
      </c>
      <c r="E27" s="37" t="str">
        <f>TRIM(データ!F24)</f>
        <v/>
      </c>
      <c r="F27" s="38" t="str">
        <f>TRIM(データ!G24)</f>
        <v>人</v>
      </c>
      <c r="G27" s="50">
        <f>データ!H24</f>
        <v>5</v>
      </c>
      <c r="H27" s="48">
        <f>データ!I24</f>
        <v>18000</v>
      </c>
      <c r="I27" s="48">
        <f>データ!J24</f>
        <v>90000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4.8655565629059701E-3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｜｜軽トラ規制車　保安材含</v>
      </c>
      <c r="E28" s="37" t="str">
        <f>TRIM(データ!F25)</f>
        <v/>
      </c>
      <c r="F28" s="38" t="str">
        <f>TRIM(データ!G25)</f>
        <v>台</v>
      </c>
      <c r="G28" s="50">
        <f>データ!H25</f>
        <v>1</v>
      </c>
      <c r="H28" s="48">
        <f>データ!I25</f>
        <v>15000</v>
      </c>
      <c r="I28" s="48">
        <f>データ!J25</f>
        <v>15000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8.1092609381766166E-4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1</v>
      </c>
      <c r="B29" s="47" t="str">
        <f>TRIM(データ!C26)</f>
        <v/>
      </c>
      <c r="C29" s="47" t="str">
        <f>TRIM(データ!D26)</f>
        <v>内訳書</v>
      </c>
      <c r="D29" s="36" t="str">
        <f>REPT("｜",$A29)&amp;TRIM(データ!E26)</f>
        <v>｜路面補修工No.1-1</v>
      </c>
      <c r="E29" s="37" t="str">
        <f>TRIM(データ!F26)</f>
        <v>舗装打換工</v>
      </c>
      <c r="F29" s="38" t="str">
        <f>TRIM(データ!G26)</f>
        <v>m2</v>
      </c>
      <c r="G29" s="50">
        <f>データ!H26</f>
        <v>317</v>
      </c>
      <c r="H29" s="48">
        <f>データ!I26</f>
        <v>6200</v>
      </c>
      <c r="I29" s="48">
        <f>データ!J26</f>
        <v>1965400</v>
      </c>
      <c r="J29" s="39">
        <f>IF(OR($C29="総括",$C29="内訳書",$C29="内訳代価",$C29="明細書",$C29="明細代価",$C29="代価表",$C29="単価表"),データ!K26,"")</f>
        <v>317</v>
      </c>
      <c r="K29" s="11" t="str">
        <f t="shared" si="0"/>
        <v/>
      </c>
      <c r="L29" s="46">
        <f t="shared" si="1"/>
        <v>0.10625294298594881</v>
      </c>
      <c r="M29" s="40" t="str">
        <f>IF(データ!L26="","",データ!L26)</f>
        <v/>
      </c>
      <c r="N29" s="41" t="str">
        <f>IF(データ!M26="","",データ!M26)</f>
        <v>16号内訳書</v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>
        <f>IF(OR($C29="総括",$C29="内訳書",$C29="内訳代価",$C29="明細書",$C29="明細代価",$C29="代価表",$C29="単価表"),データ!Q26,"")</f>
        <v>0</v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>
        <f>IF(OR($C29="総括",$C29="内訳書",$C29="内訳代価",$C29="明細書",$C29="明細代価",$C29="代価表",$C29="単価表"),データ!W26,"")</f>
        <v>0</v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材料費</v>
      </c>
      <c r="D30" s="36" t="str">
        <f>REPT("｜",$A30)&amp;TRIM(データ!E27)</f>
        <v>｜｜再生密粒(13)</v>
      </c>
      <c r="E30" s="37" t="str">
        <f>TRIM(データ!F27)</f>
        <v/>
      </c>
      <c r="F30" s="38" t="str">
        <f>TRIM(データ!G27)</f>
        <v>ｔ</v>
      </c>
      <c r="G30" s="50">
        <f>データ!H27</f>
        <v>44</v>
      </c>
      <c r="H30" s="48">
        <f>データ!I27</f>
        <v>9000</v>
      </c>
      <c r="I30" s="48">
        <f>データ!J27</f>
        <v>396000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2.1408448876786269E-2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材料費</v>
      </c>
      <c r="D31" s="36" t="str">
        <f>REPT("｜",$A31)&amp;TRIM(データ!E28)</f>
        <v>｜｜アスファルト乳剤PK-3</v>
      </c>
      <c r="E31" s="37" t="str">
        <f>TRIM(データ!F28)</f>
        <v/>
      </c>
      <c r="F31" s="38" t="str">
        <f>TRIM(データ!G28)</f>
        <v>リットル</v>
      </c>
      <c r="G31" s="50">
        <f>データ!H28</f>
        <v>260</v>
      </c>
      <c r="H31" s="48">
        <f>データ!I28</f>
        <v>99</v>
      </c>
      <c r="I31" s="48">
        <f>データ!J28</f>
        <v>25740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1.3915491769911075E-3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材料費</v>
      </c>
      <c r="D32" s="36" t="str">
        <f>REPT("｜",$A32)&amp;TRIM(データ!E29)</f>
        <v>｜｜RC-40</v>
      </c>
      <c r="E32" s="37" t="str">
        <f>TRIM(データ!F29)</f>
        <v/>
      </c>
      <c r="F32" s="38" t="str">
        <f>TRIM(データ!G29)</f>
        <v>m3</v>
      </c>
      <c r="G32" s="50">
        <f>データ!H29</f>
        <v>8</v>
      </c>
      <c r="H32" s="48">
        <f>データ!I29</f>
        <v>2000</v>
      </c>
      <c r="I32" s="48">
        <f>データ!J29</f>
        <v>16000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8.6498783340550574E-4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材料費</v>
      </c>
      <c r="D33" s="36" t="str">
        <f>REPT("｜",$A33)&amp;TRIM(データ!E30)</f>
        <v>｜｜砂</v>
      </c>
      <c r="E33" s="37" t="str">
        <f>TRIM(データ!F30)</f>
        <v/>
      </c>
      <c r="F33" s="38" t="str">
        <f>TRIM(データ!G30)</f>
        <v>m3</v>
      </c>
      <c r="G33" s="50">
        <f>データ!H30</f>
        <v>1</v>
      </c>
      <c r="H33" s="48">
        <f>データ!I30</f>
        <v>8000</v>
      </c>
      <c r="I33" s="48">
        <f>データ!J30</f>
        <v>8000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4.3249391670275287E-4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材料費</v>
      </c>
      <c r="D34" s="36" t="str">
        <f>REPT("｜",$A34)&amp;TRIM(データ!E31)</f>
        <v>｜｜軽油</v>
      </c>
      <c r="E34" s="37" t="str">
        <f>TRIM(データ!F31)</f>
        <v/>
      </c>
      <c r="F34" s="38" t="str">
        <f>TRIM(データ!G31)</f>
        <v>リットル</v>
      </c>
      <c r="G34" s="50">
        <f>データ!H31</f>
        <v>160</v>
      </c>
      <c r="H34" s="48">
        <f>データ!I31</f>
        <v>160</v>
      </c>
      <c r="I34" s="48">
        <f>データ!J31</f>
        <v>25600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1.3839805334488091E-3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材料費</v>
      </c>
      <c r="D35" s="36" t="str">
        <f>REPT("｜",$A35)&amp;TRIM(データ!E32)</f>
        <v>｜｜ガソリン</v>
      </c>
      <c r="E35" s="37" t="str">
        <f>TRIM(データ!F32)</f>
        <v/>
      </c>
      <c r="F35" s="38" t="str">
        <f>TRIM(データ!G32)</f>
        <v>リットル</v>
      </c>
      <c r="G35" s="50">
        <f>データ!H32</f>
        <v>30</v>
      </c>
      <c r="H35" s="48">
        <f>データ!I32</f>
        <v>180</v>
      </c>
      <c r="I35" s="48">
        <f>データ!J32</f>
        <v>5400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2.919333937743582E-4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｜｜雑材</v>
      </c>
      <c r="E36" s="37" t="str">
        <f>TRIM(データ!F33)</f>
        <v/>
      </c>
      <c r="F36" s="38" t="str">
        <f>TRIM(データ!G33)</f>
        <v>式</v>
      </c>
      <c r="G36" s="50">
        <f>データ!H33</f>
        <v>1</v>
      </c>
      <c r="H36" s="48">
        <f>データ!I33</f>
        <v>6860</v>
      </c>
      <c r="I36" s="48">
        <f>データ!J33</f>
        <v>6860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3.708635335726106E-4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労務費</v>
      </c>
      <c r="D37" s="36" t="str">
        <f>REPT("｜",$A37)&amp;TRIM(データ!E34)</f>
        <v>｜｜土工</v>
      </c>
      <c r="E37" s="37" t="str">
        <f>TRIM(データ!F34)</f>
        <v/>
      </c>
      <c r="F37" s="38" t="str">
        <f>TRIM(データ!G34)</f>
        <v>人</v>
      </c>
      <c r="G37" s="50">
        <f>データ!H34</f>
        <v>16</v>
      </c>
      <c r="H37" s="48">
        <f>データ!I34</f>
        <v>23000</v>
      </c>
      <c r="I37" s="48">
        <f>データ!J34</f>
        <v>368000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1.9894720168326632E-2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機械費</v>
      </c>
      <c r="D38" s="36" t="str">
        <f>REPT("｜",$A38)&amp;TRIM(データ!E35)</f>
        <v>｜｜フィニッシャー4.5m</v>
      </c>
      <c r="E38" s="37" t="str">
        <f>TRIM(データ!F35)</f>
        <v/>
      </c>
      <c r="F38" s="38" t="str">
        <f>TRIM(データ!G35)</f>
        <v>台</v>
      </c>
      <c r="G38" s="50">
        <f>データ!H35</f>
        <v>1</v>
      </c>
      <c r="H38" s="48">
        <f>データ!I35</f>
        <v>80000</v>
      </c>
      <c r="I38" s="48">
        <f>データ!J35</f>
        <v>80000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4.3249391670275288E-3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機械費</v>
      </c>
      <c r="D39" s="36" t="str">
        <f>REPT("｜",$A39)&amp;TRIM(データ!E36)</f>
        <v>｜｜コンバインドローラ</v>
      </c>
      <c r="E39" s="37" t="str">
        <f>TRIM(データ!F36)</f>
        <v/>
      </c>
      <c r="F39" s="38" t="str">
        <f>TRIM(データ!G36)</f>
        <v>台</v>
      </c>
      <c r="G39" s="50">
        <f>データ!H36</f>
        <v>2</v>
      </c>
      <c r="H39" s="48">
        <f>データ!I36</f>
        <v>6000</v>
      </c>
      <c r="I39" s="48">
        <f>データ!J36</f>
        <v>12000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6.4874087505412928E-4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機械費</v>
      </c>
      <c r="D40" s="36" t="str">
        <f>REPT("｜",$A40)&amp;TRIM(データ!E37)</f>
        <v>｜｜ミニバックホウ</v>
      </c>
      <c r="E40" s="37" t="str">
        <f>TRIM(データ!F37)</f>
        <v/>
      </c>
      <c r="F40" s="38" t="str">
        <f>TRIM(データ!G37)</f>
        <v>台</v>
      </c>
      <c r="G40" s="50">
        <f>データ!H37</f>
        <v>3</v>
      </c>
      <c r="H40" s="48">
        <f>データ!I37</f>
        <v>8000</v>
      </c>
      <c r="I40" s="48">
        <f>データ!J37</f>
        <v>24000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1.2974817501082586E-3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機械費</v>
      </c>
      <c r="D41" s="36" t="str">
        <f>REPT("｜",$A41)&amp;TRIM(データ!E38)</f>
        <v>｜｜デスビ</v>
      </c>
      <c r="E41" s="37" t="str">
        <f>TRIM(データ!F38)</f>
        <v/>
      </c>
      <c r="F41" s="38" t="str">
        <f>TRIM(データ!G38)</f>
        <v>台</v>
      </c>
      <c r="G41" s="50">
        <f>データ!H38</f>
        <v>1</v>
      </c>
      <c r="H41" s="48">
        <f>データ!I38</f>
        <v>50000</v>
      </c>
      <c r="I41" s="48">
        <f>データ!J38</f>
        <v>50000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2.7030869793922053E-3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機械費</v>
      </c>
      <c r="D42" s="36" t="str">
        <f>REPT("｜",$A42)&amp;TRIM(データ!E39)</f>
        <v>｜｜小物機械</v>
      </c>
      <c r="E42" s="37" t="str">
        <f>TRIM(データ!F39)</f>
        <v/>
      </c>
      <c r="F42" s="38" t="str">
        <f>TRIM(データ!G39)</f>
        <v>台</v>
      </c>
      <c r="G42" s="50">
        <f>データ!H39</f>
        <v>6</v>
      </c>
      <c r="H42" s="48">
        <f>データ!I39</f>
        <v>3000</v>
      </c>
      <c r="I42" s="48">
        <f>データ!J39</f>
        <v>18000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9.7311131258119392E-4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運搬費</v>
      </c>
      <c r="D43" s="36" t="str">
        <f>REPT("｜",$A43)&amp;TRIM(データ!E40)</f>
        <v>｜｜4tダンプ</v>
      </c>
      <c r="E43" s="37" t="str">
        <f>TRIM(データ!F40)</f>
        <v/>
      </c>
      <c r="F43" s="38" t="str">
        <f>TRIM(データ!G40)</f>
        <v>台</v>
      </c>
      <c r="G43" s="50">
        <f>データ!H40</f>
        <v>7</v>
      </c>
      <c r="H43" s="48">
        <f>データ!I40</f>
        <v>37000</v>
      </c>
      <c r="I43" s="48">
        <f>データ!J40</f>
        <v>259000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1.4001990553251624E-2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運搬費</v>
      </c>
      <c r="D44" s="36" t="str">
        <f>REPT("｜",$A44)&amp;TRIM(データ!E41)</f>
        <v>｜｜AS処理費</v>
      </c>
      <c r="E44" s="37" t="str">
        <f>TRIM(データ!F41)</f>
        <v/>
      </c>
      <c r="F44" s="38" t="str">
        <f>TRIM(データ!G41)</f>
        <v>ｔ</v>
      </c>
      <c r="G44" s="50">
        <f>データ!H41</f>
        <v>40</v>
      </c>
      <c r="H44" s="48">
        <f>データ!I41</f>
        <v>400</v>
      </c>
      <c r="I44" s="48">
        <f>データ!J41</f>
        <v>16000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8.6498783340550574E-4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運搬費</v>
      </c>
      <c r="D45" s="36" t="str">
        <f>REPT("｜",$A45)&amp;TRIM(データ!E42)</f>
        <v>｜｜10t回送費</v>
      </c>
      <c r="E45" s="37" t="str">
        <f>TRIM(データ!F42)</f>
        <v>AF</v>
      </c>
      <c r="F45" s="38" t="str">
        <f>TRIM(データ!G42)</f>
        <v>回</v>
      </c>
      <c r="G45" s="50">
        <f>データ!H42</f>
        <v>2</v>
      </c>
      <c r="H45" s="48">
        <f>データ!I42</f>
        <v>30000</v>
      </c>
      <c r="I45" s="48">
        <f>データ!J42</f>
        <v>60000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3.2437043752706466E-3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運搬費</v>
      </c>
      <c r="D46" s="36" t="str">
        <f>REPT("｜",$A46)&amp;TRIM(データ!E43)</f>
        <v>｜｜6t回送費</v>
      </c>
      <c r="E46" s="37" t="str">
        <f>TRIM(データ!F43)</f>
        <v>CR</v>
      </c>
      <c r="F46" s="38" t="str">
        <f>TRIM(データ!G43)</f>
        <v>回</v>
      </c>
      <c r="G46" s="50">
        <f>データ!H43</f>
        <v>4</v>
      </c>
      <c r="H46" s="48">
        <f>データ!I43</f>
        <v>16000</v>
      </c>
      <c r="I46" s="48">
        <f>データ!J43</f>
        <v>64000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3.459951333622023E-3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運搬費</v>
      </c>
      <c r="D47" s="36" t="str">
        <f>REPT("｜",$A47)&amp;TRIM(データ!E44)</f>
        <v>｜｜6t回送費</v>
      </c>
      <c r="E47" s="37" t="str">
        <f>TRIM(データ!F44)</f>
        <v>BH</v>
      </c>
      <c r="F47" s="38" t="str">
        <f>TRIM(データ!G44)</f>
        <v>回</v>
      </c>
      <c r="G47" s="50">
        <f>データ!H44</f>
        <v>6</v>
      </c>
      <c r="H47" s="48">
        <f>データ!I44</f>
        <v>16000</v>
      </c>
      <c r="I47" s="48">
        <f>データ!J44</f>
        <v>96000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5.1899270004330342E-3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｜｜2tダンプ</v>
      </c>
      <c r="E48" s="37" t="str">
        <f>TRIM(データ!F45)</f>
        <v/>
      </c>
      <c r="F48" s="38" t="str">
        <f>TRIM(データ!G45)</f>
        <v>台</v>
      </c>
      <c r="G48" s="50">
        <f>データ!H45</f>
        <v>6</v>
      </c>
      <c r="H48" s="48">
        <f>データ!I45</f>
        <v>8000</v>
      </c>
      <c r="I48" s="48">
        <f>データ!J45</f>
        <v>48000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2.5949635002165171E-3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運搬費</v>
      </c>
      <c r="D49" s="36" t="str">
        <f>REPT("｜",$A49)&amp;TRIM(データ!E46)</f>
        <v>｜｜WP</v>
      </c>
      <c r="E49" s="37" t="str">
        <f>TRIM(データ!F46)</f>
        <v/>
      </c>
      <c r="F49" s="38" t="str">
        <f>TRIM(データ!G46)</f>
        <v>台</v>
      </c>
      <c r="G49" s="50">
        <f>データ!H46</f>
        <v>2</v>
      </c>
      <c r="H49" s="48">
        <f>データ!I46</f>
        <v>8000</v>
      </c>
      <c r="I49" s="48">
        <f>データ!J46</f>
        <v>16000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8.6498783340550574E-4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外注費</v>
      </c>
      <c r="D50" s="36" t="str">
        <f>REPT("｜",$A50)&amp;TRIM(データ!E47)</f>
        <v>｜｜諸経費</v>
      </c>
      <c r="E50" s="37" t="str">
        <f>TRIM(データ!F47)</f>
        <v/>
      </c>
      <c r="F50" s="38" t="str">
        <f>TRIM(データ!G47)</f>
        <v>式</v>
      </c>
      <c r="G50" s="50">
        <f>データ!H47</f>
        <v>1</v>
      </c>
      <c r="H50" s="48">
        <f>データ!I47</f>
        <v>65000</v>
      </c>
      <c r="I50" s="48">
        <f>データ!J47</f>
        <v>65000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3.5140130732098673E-3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外注費</v>
      </c>
      <c r="D51" s="36" t="str">
        <f>REPT("｜",$A51)&amp;TRIM(データ!E48)</f>
        <v>｜｜法定福利費</v>
      </c>
      <c r="E51" s="37" t="str">
        <f>TRIM(データ!F48)</f>
        <v/>
      </c>
      <c r="F51" s="38" t="str">
        <f>TRIM(データ!G48)</f>
        <v>式</v>
      </c>
      <c r="G51" s="50">
        <f>データ!H48</f>
        <v>1</v>
      </c>
      <c r="H51" s="48">
        <f>データ!I48</f>
        <v>59800</v>
      </c>
      <c r="I51" s="48">
        <f>データ!J48</f>
        <v>59800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3.2328920273530779E-3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外注費</v>
      </c>
      <c r="D52" s="36" t="str">
        <f>REPT("｜",$A52)&amp;TRIM(データ!E49)</f>
        <v>｜｜交通誘導員</v>
      </c>
      <c r="E52" s="37" t="str">
        <f>TRIM(データ!F49)</f>
        <v/>
      </c>
      <c r="F52" s="38" t="str">
        <f>TRIM(データ!G49)</f>
        <v>人</v>
      </c>
      <c r="G52" s="50">
        <f>データ!H49</f>
        <v>12</v>
      </c>
      <c r="H52" s="48">
        <f>データ!I49</f>
        <v>18000</v>
      </c>
      <c r="I52" s="48">
        <f>データ!J49</f>
        <v>216000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1.1677335750974328E-2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｜｜軽トラ規制車　保安材含</v>
      </c>
      <c r="E53" s="37" t="str">
        <f>TRIM(データ!F50)</f>
        <v/>
      </c>
      <c r="F53" s="38" t="str">
        <f>TRIM(データ!G50)</f>
        <v>台</v>
      </c>
      <c r="G53" s="50">
        <f>データ!H50</f>
        <v>2</v>
      </c>
      <c r="H53" s="48">
        <f>データ!I50</f>
        <v>15000</v>
      </c>
      <c r="I53" s="48">
        <f>データ!J50</f>
        <v>30000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1.6218521876353233E-3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1</v>
      </c>
      <c r="B54" s="47" t="str">
        <f>TRIM(データ!C51)</f>
        <v/>
      </c>
      <c r="C54" s="47" t="str">
        <f>TRIM(データ!D51)</f>
        <v>内訳書</v>
      </c>
      <c r="D54" s="36" t="str">
        <f>REPT("｜",$A54)&amp;TRIM(データ!E51)</f>
        <v>｜切削オーバーレイNo.2</v>
      </c>
      <c r="E54" s="37" t="str">
        <f>TRIM(データ!F51)</f>
        <v/>
      </c>
      <c r="F54" s="38" t="str">
        <f>TRIM(データ!G51)</f>
        <v>m2</v>
      </c>
      <c r="G54" s="50">
        <f>データ!H51</f>
        <v>0</v>
      </c>
      <c r="H54" s="48">
        <f>データ!I51</f>
        <v>0</v>
      </c>
      <c r="I54" s="48">
        <f>データ!J51</f>
        <v>0</v>
      </c>
      <c r="J54" s="39">
        <f>IF(OR($C54="総括",$C54="内訳書",$C54="内訳代価",$C54="明細書",$C54="明細代価",$C54="代価表",$C54="単価表"),データ!K51,"")</f>
        <v>0</v>
      </c>
      <c r="K54" s="11" t="str">
        <f t="shared" si="0"/>
        <v/>
      </c>
      <c r="L54" s="46">
        <f t="shared" si="1"/>
        <v>0</v>
      </c>
      <c r="M54" s="40" t="str">
        <f>IF(データ!L51="","",データ!L51)</f>
        <v/>
      </c>
      <c r="N54" s="41" t="str">
        <f>IF(データ!M51="","",データ!M51)</f>
        <v>17号内訳書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材料費</v>
      </c>
      <c r="D55" s="36" t="str">
        <f>REPT("｜",$A55)&amp;TRIM(データ!E52)</f>
        <v>｜｜再生密粒(20)改質Ⅱ型</v>
      </c>
      <c r="E55" s="37" t="str">
        <f>TRIM(データ!F52)</f>
        <v/>
      </c>
      <c r="F55" s="38" t="str">
        <f>TRIM(データ!G52)</f>
        <v>ｔ</v>
      </c>
      <c r="G55" s="50">
        <f>データ!H52</f>
        <v>14</v>
      </c>
      <c r="H55" s="48">
        <f>データ!I52</f>
        <v>10500</v>
      </c>
      <c r="I55" s="48">
        <f>データ!J52</f>
        <v>147000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7.9470757194130843E-3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材料費</v>
      </c>
      <c r="D56" s="36" t="str">
        <f>REPT("｜",$A56)&amp;TRIM(データ!E53)</f>
        <v>｜｜アスファルト乳剤タックファイン</v>
      </c>
      <c r="E56" s="37" t="str">
        <f>TRIM(データ!F53)</f>
        <v/>
      </c>
      <c r="F56" s="38" t="str">
        <f>TRIM(データ!G53)</f>
        <v>リットル</v>
      </c>
      <c r="G56" s="50">
        <f>データ!H53</f>
        <v>50</v>
      </c>
      <c r="H56" s="48">
        <f>データ!I53</f>
        <v>155</v>
      </c>
      <c r="I56" s="48">
        <f>データ!J53</f>
        <v>7750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4.1897848180579185E-4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｜｜軽油</v>
      </c>
      <c r="E57" s="37" t="str">
        <f>TRIM(データ!F54)</f>
        <v/>
      </c>
      <c r="F57" s="38" t="str">
        <f>TRIM(データ!G54)</f>
        <v>リットル</v>
      </c>
      <c r="G57" s="50">
        <f>データ!H54</f>
        <v>100</v>
      </c>
      <c r="H57" s="48">
        <f>データ!I54</f>
        <v>160</v>
      </c>
      <c r="I57" s="48">
        <f>データ!J54</f>
        <v>16000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8.6498783340550574E-4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材料費</v>
      </c>
      <c r="D58" s="36" t="str">
        <f>REPT("｜",$A58)&amp;TRIM(データ!E55)</f>
        <v>｜｜ガソリン</v>
      </c>
      <c r="E58" s="37" t="str">
        <f>TRIM(データ!F55)</f>
        <v/>
      </c>
      <c r="F58" s="38" t="str">
        <f>TRIM(データ!G55)</f>
        <v>リットル</v>
      </c>
      <c r="G58" s="50">
        <f>データ!H55</f>
        <v>20</v>
      </c>
      <c r="H58" s="48">
        <f>データ!I55</f>
        <v>180</v>
      </c>
      <c r="I58" s="48">
        <f>データ!J55</f>
        <v>3600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1.9462226251623879E-4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材料費</v>
      </c>
      <c r="D59" s="36" t="str">
        <f>REPT("｜",$A59)&amp;TRIM(データ!E56)</f>
        <v>｜｜雑材</v>
      </c>
      <c r="E59" s="37" t="str">
        <f>TRIM(データ!F56)</f>
        <v/>
      </c>
      <c r="F59" s="38" t="str">
        <f>TRIM(データ!G56)</f>
        <v>式</v>
      </c>
      <c r="G59" s="50">
        <f>データ!H56</f>
        <v>1</v>
      </c>
      <c r="H59" s="48">
        <f>データ!I56</f>
        <v>9850</v>
      </c>
      <c r="I59" s="48">
        <f>データ!J56</f>
        <v>9850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5.3250813494026448E-4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労務費</v>
      </c>
      <c r="D60" s="36" t="str">
        <f>REPT("｜",$A60)&amp;TRIM(データ!E57)</f>
        <v>｜｜土工</v>
      </c>
      <c r="E60" s="37" t="str">
        <f>TRIM(データ!F57)</f>
        <v/>
      </c>
      <c r="F60" s="38" t="str">
        <f>TRIM(データ!G57)</f>
        <v>人</v>
      </c>
      <c r="G60" s="50">
        <f>データ!H57</f>
        <v>8</v>
      </c>
      <c r="H60" s="48">
        <f>データ!I57</f>
        <v>23000</v>
      </c>
      <c r="I60" s="48">
        <f>データ!J57</f>
        <v>184000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9.9473600841633158E-3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機械費</v>
      </c>
      <c r="D61" s="36" t="str">
        <f>REPT("｜",$A61)&amp;TRIM(データ!E58)</f>
        <v>｜｜フィニッシャー4.5m</v>
      </c>
      <c r="E61" s="37" t="str">
        <f>TRIM(データ!F58)</f>
        <v/>
      </c>
      <c r="F61" s="38" t="str">
        <f>TRIM(データ!G58)</f>
        <v>台</v>
      </c>
      <c r="G61" s="50">
        <f>データ!H58</f>
        <v>1</v>
      </c>
      <c r="H61" s="48">
        <f>データ!I58</f>
        <v>80000</v>
      </c>
      <c r="I61" s="48">
        <f>データ!J58</f>
        <v>80000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4.3249391670275288E-3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｜｜コンバインドローラ</v>
      </c>
      <c r="E62" s="37" t="str">
        <f>TRIM(データ!F59)</f>
        <v/>
      </c>
      <c r="F62" s="38" t="str">
        <f>TRIM(データ!G59)</f>
        <v>台</v>
      </c>
      <c r="G62" s="50">
        <f>データ!H59</f>
        <v>1</v>
      </c>
      <c r="H62" s="48">
        <f>データ!I59</f>
        <v>6000</v>
      </c>
      <c r="I62" s="48">
        <f>データ!J59</f>
        <v>6000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3.2437043752706464E-4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機械費</v>
      </c>
      <c r="D63" s="36" t="str">
        <f>REPT("｜",$A63)&amp;TRIM(データ!E60)</f>
        <v>｜｜ミニバックホウ</v>
      </c>
      <c r="E63" s="37" t="str">
        <f>TRIM(データ!F60)</f>
        <v/>
      </c>
      <c r="F63" s="38" t="str">
        <f>TRIM(データ!G60)</f>
        <v>台</v>
      </c>
      <c r="G63" s="50">
        <f>データ!H60</f>
        <v>1</v>
      </c>
      <c r="H63" s="48">
        <f>データ!I60</f>
        <v>8000</v>
      </c>
      <c r="I63" s="48">
        <f>データ!J60</f>
        <v>8000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4.3249391670275287E-4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｜｜タイヤショベル</v>
      </c>
      <c r="E64" s="37" t="str">
        <f>TRIM(データ!F61)</f>
        <v/>
      </c>
      <c r="F64" s="38" t="str">
        <f>TRIM(データ!G61)</f>
        <v>台</v>
      </c>
      <c r="G64" s="50">
        <f>データ!H61</f>
        <v>1</v>
      </c>
      <c r="H64" s="48">
        <f>データ!I61</f>
        <v>6000</v>
      </c>
      <c r="I64" s="48">
        <f>データ!J61</f>
        <v>6000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3.2437043752706464E-4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機械費</v>
      </c>
      <c r="D65" s="36" t="str">
        <f>REPT("｜",$A65)&amp;TRIM(データ!E62)</f>
        <v>｜｜タイヤローラ</v>
      </c>
      <c r="E65" s="37" t="str">
        <f>TRIM(データ!F62)</f>
        <v/>
      </c>
      <c r="F65" s="38" t="str">
        <f>TRIM(データ!G62)</f>
        <v>台</v>
      </c>
      <c r="G65" s="50">
        <f>データ!H62</f>
        <v>1</v>
      </c>
      <c r="H65" s="48">
        <f>データ!I62</f>
        <v>8000</v>
      </c>
      <c r="I65" s="48">
        <f>データ!J62</f>
        <v>8000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4.3249391670275287E-4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機械費</v>
      </c>
      <c r="D66" s="36" t="str">
        <f>REPT("｜",$A66)&amp;TRIM(データ!E63)</f>
        <v>｜｜トラコン車ダンプ</v>
      </c>
      <c r="E66" s="37" t="str">
        <f>TRIM(データ!F63)</f>
        <v/>
      </c>
      <c r="F66" s="38" t="str">
        <f>TRIM(データ!G63)</f>
        <v>台</v>
      </c>
      <c r="G66" s="50">
        <f>データ!H63</f>
        <v>1</v>
      </c>
      <c r="H66" s="48">
        <f>データ!I63</f>
        <v>15000</v>
      </c>
      <c r="I66" s="48">
        <f>データ!J63</f>
        <v>15000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8.1092609381766166E-4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機械費</v>
      </c>
      <c r="D67" s="36" t="str">
        <f>REPT("｜",$A67)&amp;TRIM(データ!E64)</f>
        <v>｜｜切削機1.2m</v>
      </c>
      <c r="E67" s="37" t="str">
        <f>TRIM(データ!F64)</f>
        <v/>
      </c>
      <c r="F67" s="38" t="str">
        <f>TRIM(データ!G64)</f>
        <v>台</v>
      </c>
      <c r="G67" s="50">
        <f>データ!H64</f>
        <v>1</v>
      </c>
      <c r="H67" s="48">
        <f>データ!I64</f>
        <v>180000</v>
      </c>
      <c r="I67" s="48">
        <f>データ!J64</f>
        <v>180000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9.7311131258119403E-3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機械費</v>
      </c>
      <c r="D68" s="36" t="str">
        <f>REPT("｜",$A68)&amp;TRIM(データ!E65)</f>
        <v>｜｜散水車</v>
      </c>
      <c r="E68" s="37" t="str">
        <f>TRIM(データ!F65)</f>
        <v/>
      </c>
      <c r="F68" s="38" t="str">
        <f>TRIM(データ!G65)</f>
        <v>台</v>
      </c>
      <c r="G68" s="50">
        <f>データ!H65</f>
        <v>1</v>
      </c>
      <c r="H68" s="48">
        <f>データ!I65</f>
        <v>12000</v>
      </c>
      <c r="I68" s="48">
        <f>データ!J65</f>
        <v>12000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6.4874087505412928E-4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機械費</v>
      </c>
      <c r="D69" s="36" t="str">
        <f>REPT("｜",$A69)&amp;TRIM(データ!E66)</f>
        <v>｜｜デスビ</v>
      </c>
      <c r="E69" s="37" t="str">
        <f>TRIM(データ!F66)</f>
        <v/>
      </c>
      <c r="F69" s="38" t="str">
        <f>TRIM(データ!G66)</f>
        <v>台</v>
      </c>
      <c r="G69" s="50">
        <f>データ!H66</f>
        <v>1</v>
      </c>
      <c r="H69" s="48">
        <f>データ!I66</f>
        <v>50000</v>
      </c>
      <c r="I69" s="48">
        <f>データ!J66</f>
        <v>50000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2.7030869793922053E-3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｜｜小物機械</v>
      </c>
      <c r="E70" s="37" t="str">
        <f>TRIM(データ!F67)</f>
        <v/>
      </c>
      <c r="F70" s="38" t="str">
        <f>TRIM(データ!G67)</f>
        <v>台</v>
      </c>
      <c r="G70" s="50">
        <f>データ!H67</f>
        <v>3</v>
      </c>
      <c r="H70" s="48">
        <f>データ!I67</f>
        <v>3000</v>
      </c>
      <c r="I70" s="48">
        <f>データ!J67</f>
        <v>9000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4.8655565629059696E-4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運搬費</v>
      </c>
      <c r="D71" s="36" t="str">
        <f>REPT("｜",$A71)&amp;TRIM(データ!E68)</f>
        <v>｜｜8tダンプ</v>
      </c>
      <c r="E71" s="37" t="str">
        <f>TRIM(データ!F68)</f>
        <v/>
      </c>
      <c r="F71" s="38" t="str">
        <f>TRIM(データ!G68)</f>
        <v>台</v>
      </c>
      <c r="G71" s="50">
        <f>データ!H68</f>
        <v>2</v>
      </c>
      <c r="H71" s="48">
        <f>データ!I68</f>
        <v>43000</v>
      </c>
      <c r="I71" s="48">
        <f>データ!J68</f>
        <v>86000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4.6493096045545938E-3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運搬費</v>
      </c>
      <c r="D72" s="36" t="str">
        <f>REPT("｜",$A72)&amp;TRIM(データ!E69)</f>
        <v>｜｜AS処理費</v>
      </c>
      <c r="E72" s="37" t="str">
        <f>TRIM(データ!F69)</f>
        <v/>
      </c>
      <c r="F72" s="38" t="str">
        <f>TRIM(データ!G69)</f>
        <v>ｔ</v>
      </c>
      <c r="G72" s="50">
        <f>データ!H69</f>
        <v>12</v>
      </c>
      <c r="H72" s="48">
        <f>データ!I69</f>
        <v>400</v>
      </c>
      <c r="I72" s="48">
        <f>データ!J69</f>
        <v>4800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2.594963500216517E-4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運搬費</v>
      </c>
      <c r="D73" s="36" t="str">
        <f>REPT("｜",$A73)&amp;TRIM(データ!E70)</f>
        <v>｜｜トレーラー切削機</v>
      </c>
      <c r="E73" s="37" t="str">
        <f>TRIM(データ!F70)</f>
        <v/>
      </c>
      <c r="F73" s="38" t="str">
        <f>TRIM(データ!G70)</f>
        <v>回</v>
      </c>
      <c r="G73" s="50">
        <f>データ!H70</f>
        <v>2</v>
      </c>
      <c r="H73" s="48">
        <f>データ!I70</f>
        <v>65000</v>
      </c>
      <c r="I73" s="48">
        <f>データ!J70</f>
        <v>130000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7.0280261464197346E-3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運搬費</v>
      </c>
      <c r="D74" s="36" t="str">
        <f>REPT("｜",$A74)&amp;TRIM(データ!E71)</f>
        <v>｜｜10t回送費</v>
      </c>
      <c r="E74" s="37" t="str">
        <f>TRIM(データ!F71)</f>
        <v>AF</v>
      </c>
      <c r="F74" s="38" t="str">
        <f>TRIM(データ!G71)</f>
        <v>回</v>
      </c>
      <c r="G74" s="50">
        <f>データ!H71</f>
        <v>2</v>
      </c>
      <c r="H74" s="48">
        <f>データ!I71</f>
        <v>30000</v>
      </c>
      <c r="I74" s="48">
        <f>データ!J71</f>
        <v>60000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3.2437043752706466E-3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運搬費</v>
      </c>
      <c r="D75" s="36" t="str">
        <f>REPT("｜",$A75)&amp;TRIM(データ!E72)</f>
        <v>｜｜10t回送費</v>
      </c>
      <c r="E75" s="37" t="str">
        <f>TRIM(データ!F72)</f>
        <v>CR,TR,TS</v>
      </c>
      <c r="F75" s="38" t="str">
        <f>TRIM(データ!G72)</f>
        <v>回</v>
      </c>
      <c r="G75" s="50">
        <f>データ!H72</f>
        <v>4</v>
      </c>
      <c r="H75" s="48">
        <f>データ!I72</f>
        <v>22000</v>
      </c>
      <c r="I75" s="48">
        <f>データ!J72</f>
        <v>88000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4.7574330837302815E-3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運搬費</v>
      </c>
      <c r="D76" s="36" t="str">
        <f>REPT("｜",$A76)&amp;TRIM(データ!E73)</f>
        <v>｜｜6t回送費</v>
      </c>
      <c r="E76" s="37" t="str">
        <f>TRIM(データ!F73)</f>
        <v>BH</v>
      </c>
      <c r="F76" s="38" t="str">
        <f>TRIM(データ!G73)</f>
        <v>回</v>
      </c>
      <c r="G76" s="50">
        <f>データ!H73</f>
        <v>2</v>
      </c>
      <c r="H76" s="48">
        <f>データ!I73</f>
        <v>16000</v>
      </c>
      <c r="I76" s="48">
        <f>データ!J73</f>
        <v>32000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1.7299756668110115E-3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運搬費</v>
      </c>
      <c r="D77" s="36" t="str">
        <f>REPT("｜",$A77)&amp;TRIM(データ!E74)</f>
        <v>｜｜2tダンプ</v>
      </c>
      <c r="E77" s="37" t="str">
        <f>TRIM(データ!F74)</f>
        <v/>
      </c>
      <c r="F77" s="38" t="str">
        <f>TRIM(データ!G74)</f>
        <v>台</v>
      </c>
      <c r="G77" s="50">
        <f>データ!H74</f>
        <v>2</v>
      </c>
      <c r="H77" s="48">
        <f>データ!I74</f>
        <v>8000</v>
      </c>
      <c r="I77" s="48">
        <f>データ!J74</f>
        <v>16000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8.6498783340550574E-4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運搬費</v>
      </c>
      <c r="D78" s="36" t="str">
        <f>REPT("｜",$A78)&amp;TRIM(データ!E75)</f>
        <v>｜｜WP</v>
      </c>
      <c r="E78" s="37" t="str">
        <f>TRIM(データ!F75)</f>
        <v/>
      </c>
      <c r="F78" s="38" t="str">
        <f>TRIM(データ!G75)</f>
        <v>台</v>
      </c>
      <c r="G78" s="50">
        <f>データ!H75</f>
        <v>2</v>
      </c>
      <c r="H78" s="48">
        <f>データ!I75</f>
        <v>8000</v>
      </c>
      <c r="I78" s="48">
        <f>データ!J75</f>
        <v>16000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8.6498783340550574E-4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外注費</v>
      </c>
      <c r="D79" s="36" t="str">
        <f>REPT("｜",$A79)&amp;TRIM(データ!E76)</f>
        <v>｜｜諸経費</v>
      </c>
      <c r="E79" s="37" t="str">
        <f>TRIM(データ!F76)</f>
        <v/>
      </c>
      <c r="F79" s="38" t="str">
        <f>TRIM(データ!G76)</f>
        <v>式</v>
      </c>
      <c r="G79" s="50">
        <f>データ!H76</f>
        <v>1</v>
      </c>
      <c r="H79" s="48">
        <f>データ!I76</f>
        <v>73000</v>
      </c>
      <c r="I79" s="48">
        <f>データ!J76</f>
        <v>73000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3.9465069899126204E-3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外注費</v>
      </c>
      <c r="D80" s="36" t="str">
        <f>REPT("｜",$A80)&amp;TRIM(データ!E77)</f>
        <v>｜｜法定福利費舗装</v>
      </c>
      <c r="E80" s="37" t="str">
        <f>TRIM(データ!F77)</f>
        <v/>
      </c>
      <c r="F80" s="38" t="str">
        <f>TRIM(データ!G77)</f>
        <v>式</v>
      </c>
      <c r="G80" s="50">
        <f>データ!H77</f>
        <v>1</v>
      </c>
      <c r="H80" s="48">
        <f>データ!I77</f>
        <v>29900</v>
      </c>
      <c r="I80" s="48">
        <f>データ!J77</f>
        <v>29900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1.616446013676539E-3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外注費</v>
      </c>
      <c r="D81" s="36" t="str">
        <f>REPT("｜",$A81)&amp;TRIM(データ!E78)</f>
        <v>｜｜法定福利費切削</v>
      </c>
      <c r="E81" s="37" t="str">
        <f>TRIM(データ!F78)</f>
        <v/>
      </c>
      <c r="F81" s="38" t="str">
        <f>TRIM(データ!G78)</f>
        <v>式</v>
      </c>
      <c r="G81" s="50">
        <f>データ!H78</f>
        <v>1</v>
      </c>
      <c r="H81" s="48">
        <f>データ!I78</f>
        <v>10300</v>
      </c>
      <c r="I81" s="48">
        <f>データ!J78</f>
        <v>10300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5.5683591775479435E-4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外注費</v>
      </c>
      <c r="D82" s="36" t="str">
        <f>REPT("｜",$A82)&amp;TRIM(データ!E79)</f>
        <v>｜｜交通誘導員</v>
      </c>
      <c r="E82" s="37" t="str">
        <f>TRIM(データ!F79)</f>
        <v/>
      </c>
      <c r="F82" s="38" t="str">
        <f>TRIM(データ!G79)</f>
        <v>人</v>
      </c>
      <c r="G82" s="50">
        <f>データ!H79</f>
        <v>6</v>
      </c>
      <c r="H82" s="48">
        <f>データ!I79</f>
        <v>18000</v>
      </c>
      <c r="I82" s="48">
        <f>データ!J79</f>
        <v>108000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5.8386678754871642E-3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機械費</v>
      </c>
      <c r="D83" s="36" t="str">
        <f>REPT("｜",$A83)&amp;TRIM(データ!E80)</f>
        <v>｜｜軽トラ規制車　保安材含</v>
      </c>
      <c r="E83" s="37" t="str">
        <f>TRIM(データ!F80)</f>
        <v/>
      </c>
      <c r="F83" s="38" t="str">
        <f>TRIM(データ!G80)</f>
        <v>台</v>
      </c>
      <c r="G83" s="50">
        <f>データ!H80</f>
        <v>1</v>
      </c>
      <c r="H83" s="48">
        <f>データ!I80</f>
        <v>15000</v>
      </c>
      <c r="I83" s="48">
        <f>データ!J80</f>
        <v>15000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8.1092609381766166E-4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1</v>
      </c>
      <c r="B84" s="47" t="str">
        <f>TRIM(データ!C81)</f>
        <v/>
      </c>
      <c r="C84" s="47" t="str">
        <f>TRIM(データ!D81)</f>
        <v>内訳書</v>
      </c>
      <c r="D84" s="36" t="str">
        <f>REPT("｜",$A84)&amp;TRIM(データ!E81)</f>
        <v>｜路面補修工No.3</v>
      </c>
      <c r="E84" s="37" t="str">
        <f>TRIM(データ!F81)</f>
        <v>パッチグー</v>
      </c>
      <c r="F84" s="38" t="str">
        <f>TRIM(データ!G81)</f>
        <v>m2</v>
      </c>
      <c r="G84" s="50">
        <f>データ!H81</f>
        <v>37</v>
      </c>
      <c r="H84" s="48">
        <f>データ!I81</f>
        <v>15800</v>
      </c>
      <c r="I84" s="48">
        <f>データ!J81</f>
        <v>584600</v>
      </c>
      <c r="J84" s="39">
        <f>IF(OR($C84="総括",$C84="内訳書",$C84="内訳代価",$C84="明細書",$C84="明細代価",$C84="代価表",$C84="単価表"),データ!K81,"")</f>
        <v>37</v>
      </c>
      <c r="K84" s="11" t="str">
        <f t="shared" si="6"/>
        <v/>
      </c>
      <c r="L84" s="46">
        <f t="shared" si="7"/>
        <v>3.1604492963053669E-2</v>
      </c>
      <c r="M84" s="40" t="str">
        <f>IF(データ!L81="","",データ!L81)</f>
        <v/>
      </c>
      <c r="N84" s="41" t="str">
        <f>IF(データ!M81="","",データ!M81)</f>
        <v>18号内訳書</v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>
        <f>IF(OR($C84="総括",$C84="内訳書",$C84="内訳代価",$C84="明細書",$C84="明細代価",$C84="代価表",$C84="単価表"),データ!Q81,"")</f>
        <v>0</v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>
        <f>IF(OR($C84="総括",$C84="内訳書",$C84="内訳代価",$C84="明細書",$C84="明細代価",$C84="代価表",$C84="単価表"),データ!W81,"")</f>
        <v>0</v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材料費</v>
      </c>
      <c r="D85" s="36" t="str">
        <f>REPT("｜",$A85)&amp;TRIM(データ!E82)</f>
        <v>｜｜パッチグー</v>
      </c>
      <c r="E85" s="37" t="str">
        <f>TRIM(データ!F82)</f>
        <v/>
      </c>
      <c r="F85" s="38" t="str">
        <f>TRIM(データ!G82)</f>
        <v>個</v>
      </c>
      <c r="G85" s="50">
        <f>データ!H82</f>
        <v>30</v>
      </c>
      <c r="H85" s="48">
        <f>データ!I82</f>
        <v>9000</v>
      </c>
      <c r="I85" s="48">
        <f>データ!J82</f>
        <v>270000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1.459666968871791E-2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材料費</v>
      </c>
      <c r="D86" s="36" t="str">
        <f>REPT("｜",$A86)&amp;TRIM(データ!E83)</f>
        <v>｜｜養生材</v>
      </c>
      <c r="E86" s="37" t="str">
        <f>TRIM(データ!F83)</f>
        <v/>
      </c>
      <c r="F86" s="38" t="str">
        <f>TRIM(データ!G83)</f>
        <v>式</v>
      </c>
      <c r="G86" s="50">
        <f>データ!H83</f>
        <v>1</v>
      </c>
      <c r="H86" s="48">
        <f>データ!I83</f>
        <v>20000</v>
      </c>
      <c r="I86" s="48">
        <f>データ!J83</f>
        <v>20000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1.0812347917568822E-3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材料費</v>
      </c>
      <c r="D87" s="36" t="str">
        <f>REPT("｜",$A87)&amp;TRIM(データ!E84)</f>
        <v>｜｜雑材</v>
      </c>
      <c r="E87" s="37" t="str">
        <f>TRIM(データ!F84)</f>
        <v/>
      </c>
      <c r="F87" s="38" t="str">
        <f>TRIM(データ!G84)</f>
        <v>式</v>
      </c>
      <c r="G87" s="50">
        <f>データ!H84</f>
        <v>1</v>
      </c>
      <c r="H87" s="48">
        <f>データ!I84</f>
        <v>4100</v>
      </c>
      <c r="I87" s="48">
        <f>データ!J84</f>
        <v>4100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2.2165313231016086E-4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労務費</v>
      </c>
      <c r="D88" s="36" t="str">
        <f>REPT("｜",$A88)&amp;TRIM(データ!E85)</f>
        <v>｜｜土工</v>
      </c>
      <c r="E88" s="37" t="str">
        <f>TRIM(データ!F85)</f>
        <v/>
      </c>
      <c r="F88" s="38" t="str">
        <f>TRIM(データ!G85)</f>
        <v>人</v>
      </c>
      <c r="G88" s="50">
        <f>データ!H85</f>
        <v>6</v>
      </c>
      <c r="H88" s="48">
        <f>データ!I85</f>
        <v>23000</v>
      </c>
      <c r="I88" s="48">
        <f>データ!J85</f>
        <v>138000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7.4605200631224873E-3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｜｜2tダンプ</v>
      </c>
      <c r="E89" s="37" t="str">
        <f>TRIM(データ!F86)</f>
        <v/>
      </c>
      <c r="F89" s="38" t="str">
        <f>TRIM(データ!G86)</f>
        <v>台</v>
      </c>
      <c r="G89" s="50">
        <f>データ!H86</f>
        <v>2</v>
      </c>
      <c r="H89" s="48">
        <f>データ!I86</f>
        <v>8000</v>
      </c>
      <c r="I89" s="48">
        <f>データ!J86</f>
        <v>16000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8.6498783340550574E-4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運搬費</v>
      </c>
      <c r="D90" s="36" t="str">
        <f>REPT("｜",$A90)&amp;TRIM(データ!E87)</f>
        <v>｜｜WP</v>
      </c>
      <c r="E90" s="37" t="str">
        <f>TRIM(データ!F87)</f>
        <v/>
      </c>
      <c r="F90" s="38" t="str">
        <f>TRIM(データ!G87)</f>
        <v>台</v>
      </c>
      <c r="G90" s="50">
        <f>データ!H87</f>
        <v>1</v>
      </c>
      <c r="H90" s="48">
        <f>データ!I87</f>
        <v>8000</v>
      </c>
      <c r="I90" s="48">
        <f>データ!J87</f>
        <v>8000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4.3249391670275287E-4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外注費</v>
      </c>
      <c r="D91" s="36" t="str">
        <f>REPT("｜",$A91)&amp;TRIM(データ!E88)</f>
        <v>｜｜諸経費</v>
      </c>
      <c r="E91" s="37" t="str">
        <f>TRIM(データ!F88)</f>
        <v/>
      </c>
      <c r="F91" s="38" t="str">
        <f>TRIM(データ!G88)</f>
        <v>式</v>
      </c>
      <c r="G91" s="50">
        <f>データ!H88</f>
        <v>1</v>
      </c>
      <c r="H91" s="48">
        <f>データ!I88</f>
        <v>19000</v>
      </c>
      <c r="I91" s="48">
        <f>データ!J88</f>
        <v>19000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1.0271730521690381E-3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外注費</v>
      </c>
      <c r="D92" s="36" t="str">
        <f>REPT("｜",$A92)&amp;TRIM(データ!E89)</f>
        <v>｜｜法定福利費</v>
      </c>
      <c r="E92" s="37" t="str">
        <f>TRIM(データ!F89)</f>
        <v/>
      </c>
      <c r="F92" s="38" t="str">
        <f>TRIM(データ!G89)</f>
        <v>式</v>
      </c>
      <c r="G92" s="50">
        <f>データ!H89</f>
        <v>1</v>
      </c>
      <c r="H92" s="48">
        <f>データ!I89</f>
        <v>22500</v>
      </c>
      <c r="I92" s="48">
        <f>データ!J89</f>
        <v>22500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1.2163891407264925E-3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外注費</v>
      </c>
      <c r="D93" s="36" t="str">
        <f>REPT("｜",$A93)&amp;TRIM(データ!E90)</f>
        <v>｜｜交通誘導員</v>
      </c>
      <c r="E93" s="37" t="str">
        <f>TRIM(データ!F90)</f>
        <v/>
      </c>
      <c r="F93" s="38" t="str">
        <f>TRIM(データ!G90)</f>
        <v>人</v>
      </c>
      <c r="G93" s="50">
        <f>データ!H90</f>
        <v>4</v>
      </c>
      <c r="H93" s="48">
        <f>データ!I90</f>
        <v>18000</v>
      </c>
      <c r="I93" s="48">
        <f>データ!J90</f>
        <v>72000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3.8924452503247757E-3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機械費</v>
      </c>
      <c r="D94" s="36" t="str">
        <f>REPT("｜",$A94)&amp;TRIM(データ!E91)</f>
        <v>｜｜軽トラ規制車　保安材含</v>
      </c>
      <c r="E94" s="37" t="str">
        <f>TRIM(データ!F91)</f>
        <v/>
      </c>
      <c r="F94" s="38" t="str">
        <f>TRIM(データ!G91)</f>
        <v>台</v>
      </c>
      <c r="G94" s="50">
        <f>データ!H91</f>
        <v>1</v>
      </c>
      <c r="H94" s="48">
        <f>データ!I91</f>
        <v>15000</v>
      </c>
      <c r="I94" s="48">
        <f>データ!J91</f>
        <v>15000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8.1092609381766166E-4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1</v>
      </c>
      <c r="B95" s="47" t="str">
        <f>TRIM(データ!C92)</f>
        <v/>
      </c>
      <c r="C95" s="47" t="str">
        <f>TRIM(データ!D92)</f>
        <v>内訳書</v>
      </c>
      <c r="D95" s="36" t="str">
        <f>REPT("｜",$A95)&amp;TRIM(データ!E92)</f>
        <v>｜切削オーバーレイNo.4</v>
      </c>
      <c r="E95" s="37" t="str">
        <f>TRIM(データ!F92)</f>
        <v>夜間工事</v>
      </c>
      <c r="F95" s="38" t="str">
        <f>TRIM(データ!G92)</f>
        <v>m2</v>
      </c>
      <c r="G95" s="50">
        <f>データ!H92</f>
        <v>0</v>
      </c>
      <c r="H95" s="48">
        <f>データ!I92</f>
        <v>0</v>
      </c>
      <c r="I95" s="48">
        <f>データ!J92</f>
        <v>0</v>
      </c>
      <c r="J95" s="39">
        <f>IF(OR($C95="総括",$C95="内訳書",$C95="内訳代価",$C95="明細書",$C95="明細代価",$C95="代価表",$C95="単価表"),データ!K92,"")</f>
        <v>0</v>
      </c>
      <c r="K95" s="11" t="str">
        <f t="shared" si="6"/>
        <v/>
      </c>
      <c r="L95" s="46">
        <f t="shared" si="7"/>
        <v>0</v>
      </c>
      <c r="M95" s="40" t="str">
        <f>IF(データ!L92="","",データ!L92)</f>
        <v/>
      </c>
      <c r="N95" s="41" t="str">
        <f>IF(データ!M92="","",データ!M92)</f>
        <v>19号内訳書</v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>
        <f>IF(OR($C95="総括",$C95="内訳書",$C95="内訳代価",$C95="明細書",$C95="明細代価",$C95="代価表",$C95="単価表"),データ!Q92,"")</f>
        <v>0</v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>
        <f>IF(OR($C95="総括",$C95="内訳書",$C95="内訳代価",$C95="明細書",$C95="明細代価",$C95="代価表",$C95="単価表"),データ!W92,"")</f>
        <v>0</v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材料費</v>
      </c>
      <c r="D96" s="36" t="str">
        <f>REPT("｜",$A96)&amp;TRIM(データ!E93)</f>
        <v>｜｜再生密粒(20)改質Ⅱ型</v>
      </c>
      <c r="E96" s="37" t="str">
        <f>TRIM(データ!F93)</f>
        <v/>
      </c>
      <c r="F96" s="38" t="str">
        <f>TRIM(データ!G93)</f>
        <v>ｔ</v>
      </c>
      <c r="G96" s="50">
        <f>データ!H93</f>
        <v>26</v>
      </c>
      <c r="H96" s="48">
        <f>データ!I93</f>
        <v>10500</v>
      </c>
      <c r="I96" s="48">
        <f>データ!J93</f>
        <v>273000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1.4758854907481442E-2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材料費</v>
      </c>
      <c r="D97" s="36" t="str">
        <f>REPT("｜",$A97)&amp;TRIM(データ!E94)</f>
        <v>｜｜アスファルト乳剤タックファイン</v>
      </c>
      <c r="E97" s="37" t="str">
        <f>TRIM(データ!F94)</f>
        <v/>
      </c>
      <c r="F97" s="38" t="str">
        <f>TRIM(データ!G94)</f>
        <v>リットル</v>
      </c>
      <c r="G97" s="50">
        <f>データ!H94</f>
        <v>80</v>
      </c>
      <c r="H97" s="48">
        <f>データ!I94</f>
        <v>155</v>
      </c>
      <c r="I97" s="48">
        <f>データ!J94</f>
        <v>12400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6.7036557088926698E-4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材料費</v>
      </c>
      <c r="D98" s="36" t="str">
        <f>REPT("｜",$A98)&amp;TRIM(データ!E95)</f>
        <v>｜｜軽油</v>
      </c>
      <c r="E98" s="37" t="str">
        <f>TRIM(データ!F95)</f>
        <v/>
      </c>
      <c r="F98" s="38" t="str">
        <f>TRIM(データ!G95)</f>
        <v>リットル</v>
      </c>
      <c r="G98" s="50">
        <f>データ!H95</f>
        <v>100</v>
      </c>
      <c r="H98" s="48">
        <f>データ!I95</f>
        <v>160</v>
      </c>
      <c r="I98" s="48">
        <f>データ!J95</f>
        <v>16000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8.6498783340550574E-4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材料費</v>
      </c>
      <c r="D99" s="36" t="str">
        <f>REPT("｜",$A99)&amp;TRIM(データ!E96)</f>
        <v>｜｜ガソリン</v>
      </c>
      <c r="E99" s="37" t="str">
        <f>TRIM(データ!F96)</f>
        <v/>
      </c>
      <c r="F99" s="38" t="str">
        <f>TRIM(データ!G96)</f>
        <v>リットル</v>
      </c>
      <c r="G99" s="50">
        <f>データ!H96</f>
        <v>60</v>
      </c>
      <c r="H99" s="48">
        <f>データ!I96</f>
        <v>180</v>
      </c>
      <c r="I99" s="48">
        <f>データ!J96</f>
        <v>10800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5.838667875487164E-4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材料費</v>
      </c>
      <c r="D100" s="36" t="str">
        <f>REPT("｜",$A100)&amp;TRIM(データ!E97)</f>
        <v>｜｜雑材</v>
      </c>
      <c r="E100" s="37" t="str">
        <f>TRIM(データ!F97)</f>
        <v/>
      </c>
      <c r="F100" s="38" t="str">
        <f>TRIM(データ!G97)</f>
        <v>式</v>
      </c>
      <c r="G100" s="50">
        <f>データ!H97</f>
        <v>1</v>
      </c>
      <c r="H100" s="48">
        <f>データ!I97</f>
        <v>4400</v>
      </c>
      <c r="I100" s="48">
        <f>データ!J97</f>
        <v>4400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2.3787165418651408E-4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労務費</v>
      </c>
      <c r="D101" s="36" t="str">
        <f>REPT("｜",$A101)&amp;TRIM(データ!E98)</f>
        <v>｜｜土工</v>
      </c>
      <c r="E101" s="37" t="str">
        <f>TRIM(データ!F98)</f>
        <v/>
      </c>
      <c r="F101" s="38" t="str">
        <f>TRIM(データ!G98)</f>
        <v>人</v>
      </c>
      <c r="G101" s="50">
        <f>データ!H98</f>
        <v>8</v>
      </c>
      <c r="H101" s="48">
        <f>データ!I98</f>
        <v>30000</v>
      </c>
      <c r="I101" s="48">
        <f>データ!J98</f>
        <v>240000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1.2974817501082586E-2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｜｜フィニッシャー4.5m</v>
      </c>
      <c r="E102" s="37" t="str">
        <f>TRIM(データ!F99)</f>
        <v/>
      </c>
      <c r="F102" s="38" t="str">
        <f>TRIM(データ!G99)</f>
        <v>台</v>
      </c>
      <c r="G102" s="50">
        <f>データ!H99</f>
        <v>1</v>
      </c>
      <c r="H102" s="48">
        <f>データ!I99</f>
        <v>86000</v>
      </c>
      <c r="I102" s="48">
        <f>データ!J99</f>
        <v>86000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4.6493096045545938E-3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機械費</v>
      </c>
      <c r="D103" s="36" t="str">
        <f>REPT("｜",$A103)&amp;TRIM(データ!E100)</f>
        <v>｜｜コンバインドローラ</v>
      </c>
      <c r="E103" s="37" t="str">
        <f>TRIM(データ!F100)</f>
        <v/>
      </c>
      <c r="F103" s="38" t="str">
        <f>TRIM(データ!G100)</f>
        <v>台</v>
      </c>
      <c r="G103" s="50">
        <f>データ!H100</f>
        <v>1</v>
      </c>
      <c r="H103" s="48">
        <f>データ!I100</f>
        <v>6000</v>
      </c>
      <c r="I103" s="48">
        <f>データ!J100</f>
        <v>6000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3.2437043752706464E-4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機械費</v>
      </c>
      <c r="D104" s="36" t="str">
        <f>REPT("｜",$A104)&amp;TRIM(データ!E101)</f>
        <v>｜｜ミニバックホウ</v>
      </c>
      <c r="E104" s="37" t="str">
        <f>TRIM(データ!F101)</f>
        <v/>
      </c>
      <c r="F104" s="38" t="str">
        <f>TRIM(データ!G101)</f>
        <v>台</v>
      </c>
      <c r="G104" s="50">
        <f>データ!H101</f>
        <v>1</v>
      </c>
      <c r="H104" s="48">
        <f>データ!I101</f>
        <v>8000</v>
      </c>
      <c r="I104" s="48">
        <f>データ!J101</f>
        <v>8000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4.3249391670275287E-4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機械費</v>
      </c>
      <c r="D105" s="36" t="str">
        <f>REPT("｜",$A105)&amp;TRIM(データ!E102)</f>
        <v>｜｜タイヤショベル</v>
      </c>
      <c r="E105" s="37" t="str">
        <f>TRIM(データ!F102)</f>
        <v/>
      </c>
      <c r="F105" s="38" t="str">
        <f>TRIM(データ!G102)</f>
        <v>台</v>
      </c>
      <c r="G105" s="50">
        <f>データ!H102</f>
        <v>1</v>
      </c>
      <c r="H105" s="48">
        <f>データ!I102</f>
        <v>6000</v>
      </c>
      <c r="I105" s="48">
        <f>データ!J102</f>
        <v>6000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3.2437043752706464E-4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機械費</v>
      </c>
      <c r="D106" s="36" t="str">
        <f>REPT("｜",$A106)&amp;TRIM(データ!E103)</f>
        <v>｜｜タイヤローラ</v>
      </c>
      <c r="E106" s="37" t="str">
        <f>TRIM(データ!F103)</f>
        <v/>
      </c>
      <c r="F106" s="38" t="str">
        <f>TRIM(データ!G103)</f>
        <v>台</v>
      </c>
      <c r="G106" s="50">
        <f>データ!H103</f>
        <v>1</v>
      </c>
      <c r="H106" s="48">
        <f>データ!I103</f>
        <v>8000</v>
      </c>
      <c r="I106" s="48">
        <f>データ!J103</f>
        <v>8000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4.3249391670275287E-4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機械費</v>
      </c>
      <c r="D107" s="36" t="str">
        <f>REPT("｜",$A107)&amp;TRIM(データ!E104)</f>
        <v>｜｜トラコン車ダンプ</v>
      </c>
      <c r="E107" s="37" t="str">
        <f>TRIM(データ!F104)</f>
        <v/>
      </c>
      <c r="F107" s="38" t="str">
        <f>TRIM(データ!G104)</f>
        <v>台</v>
      </c>
      <c r="G107" s="50">
        <f>データ!H104</f>
        <v>1</v>
      </c>
      <c r="H107" s="48">
        <f>データ!I104</f>
        <v>15000</v>
      </c>
      <c r="I107" s="48">
        <f>データ!J104</f>
        <v>15000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8.1092609381766166E-4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機械費</v>
      </c>
      <c r="D108" s="36" t="str">
        <f>REPT("｜",$A108)&amp;TRIM(データ!E105)</f>
        <v>｜｜切削機1.2m</v>
      </c>
      <c r="E108" s="37" t="str">
        <f>TRIM(データ!F105)</f>
        <v/>
      </c>
      <c r="F108" s="38" t="str">
        <f>TRIM(データ!G105)</f>
        <v>台</v>
      </c>
      <c r="G108" s="50">
        <f>データ!H105</f>
        <v>1</v>
      </c>
      <c r="H108" s="48">
        <f>データ!I105</f>
        <v>180000</v>
      </c>
      <c r="I108" s="48">
        <f>データ!J105</f>
        <v>180000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9.7311131258119403E-3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機械費</v>
      </c>
      <c r="D109" s="36" t="str">
        <f>REPT("｜",$A109)&amp;TRIM(データ!E106)</f>
        <v>｜｜散水車</v>
      </c>
      <c r="E109" s="37" t="str">
        <f>TRIM(データ!F106)</f>
        <v/>
      </c>
      <c r="F109" s="38" t="str">
        <f>TRIM(データ!G106)</f>
        <v>台</v>
      </c>
      <c r="G109" s="50">
        <f>データ!H106</f>
        <v>1</v>
      </c>
      <c r="H109" s="48">
        <f>データ!I106</f>
        <v>12000</v>
      </c>
      <c r="I109" s="48">
        <f>データ!J106</f>
        <v>12000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6.4874087505412928E-4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機械費</v>
      </c>
      <c r="D110" s="36" t="str">
        <f>REPT("｜",$A110)&amp;TRIM(データ!E107)</f>
        <v>｜｜スイーパー</v>
      </c>
      <c r="E110" s="37" t="str">
        <f>TRIM(データ!F107)</f>
        <v/>
      </c>
      <c r="F110" s="38" t="str">
        <f>TRIM(データ!G107)</f>
        <v>台</v>
      </c>
      <c r="G110" s="50">
        <f>データ!H107</f>
        <v>1</v>
      </c>
      <c r="H110" s="48">
        <f>データ!I107</f>
        <v>85000</v>
      </c>
      <c r="I110" s="48">
        <f>データ!J107</f>
        <v>85000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4.5952478649667495E-3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機械費</v>
      </c>
      <c r="D111" s="36" t="str">
        <f>REPT("｜",$A111)&amp;TRIM(データ!E108)</f>
        <v>｜｜デスビ</v>
      </c>
      <c r="E111" s="37" t="str">
        <f>TRIM(データ!F108)</f>
        <v/>
      </c>
      <c r="F111" s="38" t="str">
        <f>TRIM(データ!G108)</f>
        <v>台</v>
      </c>
      <c r="G111" s="50">
        <f>データ!H108</f>
        <v>1</v>
      </c>
      <c r="H111" s="48">
        <f>データ!I108</f>
        <v>60000</v>
      </c>
      <c r="I111" s="48">
        <f>データ!J108</f>
        <v>60000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3.2437043752706466E-3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機械費</v>
      </c>
      <c r="D112" s="36" t="str">
        <f>REPT("｜",$A112)&amp;TRIM(データ!E109)</f>
        <v>｜｜小物機械</v>
      </c>
      <c r="E112" s="37" t="str">
        <f>TRIM(データ!F109)</f>
        <v/>
      </c>
      <c r="F112" s="38" t="str">
        <f>TRIM(データ!G109)</f>
        <v>台</v>
      </c>
      <c r="G112" s="50">
        <f>データ!H109</f>
        <v>3</v>
      </c>
      <c r="H112" s="48">
        <f>データ!I109</f>
        <v>3000</v>
      </c>
      <c r="I112" s="48">
        <f>データ!J109</f>
        <v>9000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4.8655565629059696E-4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2</v>
      </c>
      <c r="B113" s="47" t="str">
        <f>TRIM(データ!C110)</f>
        <v/>
      </c>
      <c r="C113" s="47" t="str">
        <f>TRIM(データ!D110)</f>
        <v>機械費</v>
      </c>
      <c r="D113" s="36" t="str">
        <f>REPT("｜",$A113)&amp;TRIM(データ!E110)</f>
        <v>｜｜夜間照明</v>
      </c>
      <c r="E113" s="37" t="str">
        <f>TRIM(データ!F110)</f>
        <v/>
      </c>
      <c r="F113" s="38" t="str">
        <f>TRIM(データ!G110)</f>
        <v>台</v>
      </c>
      <c r="G113" s="50">
        <f>データ!H110</f>
        <v>6</v>
      </c>
      <c r="H113" s="48">
        <f>データ!I110</f>
        <v>5000</v>
      </c>
      <c r="I113" s="48">
        <f>データ!J110</f>
        <v>30000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1.6218521876353233E-3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運搬費</v>
      </c>
      <c r="D114" s="36" t="str">
        <f>REPT("｜",$A114)&amp;TRIM(データ!E111)</f>
        <v>｜｜8tダンプ</v>
      </c>
      <c r="E114" s="37" t="str">
        <f>TRIM(データ!F111)</f>
        <v/>
      </c>
      <c r="F114" s="38" t="str">
        <f>TRIM(データ!G111)</f>
        <v>台</v>
      </c>
      <c r="G114" s="50">
        <f>データ!H111</f>
        <v>3</v>
      </c>
      <c r="H114" s="48">
        <f>データ!I111</f>
        <v>43000</v>
      </c>
      <c r="I114" s="48">
        <f>データ!J111</f>
        <v>129000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6.9739644068318903E-3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運搬費</v>
      </c>
      <c r="D115" s="36" t="str">
        <f>REPT("｜",$A115)&amp;TRIM(データ!E112)</f>
        <v>｜｜AS処理費</v>
      </c>
      <c r="E115" s="37" t="str">
        <f>TRIM(データ!F112)</f>
        <v/>
      </c>
      <c r="F115" s="38" t="str">
        <f>TRIM(データ!G112)</f>
        <v>ｔ</v>
      </c>
      <c r="G115" s="50">
        <f>データ!H112</f>
        <v>24</v>
      </c>
      <c r="H115" s="48">
        <f>データ!I112</f>
        <v>400</v>
      </c>
      <c r="I115" s="48">
        <f>データ!J112</f>
        <v>9600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5.189927000433034E-4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運搬費</v>
      </c>
      <c r="D116" s="36" t="str">
        <f>REPT("｜",$A116)&amp;TRIM(データ!E113)</f>
        <v>｜｜トレーラー切削機</v>
      </c>
      <c r="E116" s="37" t="str">
        <f>TRIM(データ!F113)</f>
        <v/>
      </c>
      <c r="F116" s="38" t="str">
        <f>TRIM(データ!G113)</f>
        <v>回</v>
      </c>
      <c r="G116" s="50">
        <f>データ!H113</f>
        <v>2</v>
      </c>
      <c r="H116" s="48">
        <f>データ!I113</f>
        <v>65000</v>
      </c>
      <c r="I116" s="48">
        <f>データ!J113</f>
        <v>130000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7.0280261464197346E-3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運搬費</v>
      </c>
      <c r="D117" s="36" t="str">
        <f>REPT("｜",$A117)&amp;TRIM(データ!E114)</f>
        <v>｜｜10t回送費</v>
      </c>
      <c r="E117" s="37" t="str">
        <f>TRIM(データ!F114)</f>
        <v>AF</v>
      </c>
      <c r="F117" s="38" t="str">
        <f>TRIM(データ!G114)</f>
        <v>回</v>
      </c>
      <c r="G117" s="50">
        <f>データ!H114</f>
        <v>2</v>
      </c>
      <c r="H117" s="48">
        <f>データ!I114</f>
        <v>33000</v>
      </c>
      <c r="I117" s="48">
        <f>データ!J114</f>
        <v>66000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3.5680748127977112E-3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運搬費</v>
      </c>
      <c r="D118" s="36" t="str">
        <f>REPT("｜",$A118)&amp;TRIM(データ!E115)</f>
        <v>｜｜10t回送費</v>
      </c>
      <c r="E118" s="37" t="str">
        <f>TRIM(データ!F115)</f>
        <v>CR,TR,TS</v>
      </c>
      <c r="F118" s="38" t="str">
        <f>TRIM(データ!G115)</f>
        <v>回</v>
      </c>
      <c r="G118" s="50">
        <f>データ!H115</f>
        <v>4</v>
      </c>
      <c r="H118" s="48">
        <f>データ!I115</f>
        <v>26000</v>
      </c>
      <c r="I118" s="48">
        <f>データ!J115</f>
        <v>104000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5.6224209171357878E-3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運搬費</v>
      </c>
      <c r="D119" s="36" t="str">
        <f>REPT("｜",$A119)&amp;TRIM(データ!E116)</f>
        <v>｜｜6t回送費</v>
      </c>
      <c r="E119" s="37" t="str">
        <f>TRIM(データ!F116)</f>
        <v>BH</v>
      </c>
      <c r="F119" s="38" t="str">
        <f>TRIM(データ!G116)</f>
        <v>回</v>
      </c>
      <c r="G119" s="50">
        <f>データ!H116</f>
        <v>2</v>
      </c>
      <c r="H119" s="48">
        <f>データ!I116</f>
        <v>16000</v>
      </c>
      <c r="I119" s="48">
        <f>データ!J116</f>
        <v>32000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1.7299756668110115E-3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/>
      </c>
      <c r="AF119" s="43" t="str">
        <f>TRIM(データ!Z116)</f>
        <v/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運搬費</v>
      </c>
      <c r="D120" s="36" t="str">
        <f>REPT("｜",$A120)&amp;TRIM(データ!E117)</f>
        <v>｜｜2tダンプ</v>
      </c>
      <c r="E120" s="37" t="str">
        <f>TRIM(データ!F117)</f>
        <v/>
      </c>
      <c r="F120" s="38" t="str">
        <f>TRIM(データ!G117)</f>
        <v>台</v>
      </c>
      <c r="G120" s="50">
        <f>データ!H117</f>
        <v>2</v>
      </c>
      <c r="H120" s="48">
        <f>データ!I117</f>
        <v>8000</v>
      </c>
      <c r="I120" s="48">
        <f>データ!J117</f>
        <v>16000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8.6498783340550574E-4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2</v>
      </c>
      <c r="B121" s="47" t="str">
        <f>TRIM(データ!C118)</f>
        <v/>
      </c>
      <c r="C121" s="47" t="str">
        <f>TRIM(データ!D118)</f>
        <v>運搬費</v>
      </c>
      <c r="D121" s="36" t="str">
        <f>REPT("｜",$A121)&amp;TRIM(データ!E118)</f>
        <v>｜｜WP</v>
      </c>
      <c r="E121" s="37" t="str">
        <f>TRIM(データ!F118)</f>
        <v/>
      </c>
      <c r="F121" s="38" t="str">
        <f>TRIM(データ!G118)</f>
        <v>台</v>
      </c>
      <c r="G121" s="50">
        <f>データ!H118</f>
        <v>2</v>
      </c>
      <c r="H121" s="48">
        <f>データ!I118</f>
        <v>8000</v>
      </c>
      <c r="I121" s="48">
        <f>データ!J118</f>
        <v>16000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8.6498783340550574E-4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運搬費</v>
      </c>
      <c r="D122" s="36" t="str">
        <f>REPT("｜",$A122)&amp;TRIM(データ!E119)</f>
        <v>｜｜1tトラック</v>
      </c>
      <c r="E122" s="37" t="str">
        <f>TRIM(データ!F119)</f>
        <v/>
      </c>
      <c r="F122" s="38" t="str">
        <f>TRIM(データ!G119)</f>
        <v>台</v>
      </c>
      <c r="G122" s="50">
        <f>データ!H119</f>
        <v>1</v>
      </c>
      <c r="H122" s="48">
        <f>データ!I119</f>
        <v>7000</v>
      </c>
      <c r="I122" s="48">
        <f>データ!J119</f>
        <v>7000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3.7843217711490878E-4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7">
        <f>データ!A120</f>
        <v>2</v>
      </c>
      <c r="B123" s="47" t="str">
        <f>TRIM(データ!C120)</f>
        <v/>
      </c>
      <c r="C123" s="47" t="str">
        <f>TRIM(データ!D120)</f>
        <v>外注費</v>
      </c>
      <c r="D123" s="36" t="str">
        <f>REPT("｜",$A123)&amp;TRIM(データ!E120)</f>
        <v>｜｜諸経費</v>
      </c>
      <c r="E123" s="37" t="str">
        <f>TRIM(データ!F120)</f>
        <v/>
      </c>
      <c r="F123" s="38" t="str">
        <f>TRIM(データ!G120)</f>
        <v>式</v>
      </c>
      <c r="G123" s="50">
        <f>データ!H120</f>
        <v>1</v>
      </c>
      <c r="H123" s="48">
        <f>データ!I120</f>
        <v>64000</v>
      </c>
      <c r="I123" s="48">
        <f>データ!J120</f>
        <v>64000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3.459951333622023E-3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/>
      </c>
      <c r="AF123" s="43" t="str">
        <f>TRIM(データ!Z120)</f>
        <v/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外注費</v>
      </c>
      <c r="D124" s="36" t="str">
        <f>REPT("｜",$A124)&amp;TRIM(データ!E121)</f>
        <v>｜｜法定福利費舗装</v>
      </c>
      <c r="E124" s="37" t="str">
        <f>TRIM(データ!F121)</f>
        <v/>
      </c>
      <c r="F124" s="38" t="str">
        <f>TRIM(データ!G121)</f>
        <v>式</v>
      </c>
      <c r="G124" s="50">
        <f>データ!H121</f>
        <v>1</v>
      </c>
      <c r="H124" s="48">
        <f>データ!I121</f>
        <v>39000</v>
      </c>
      <c r="I124" s="48">
        <f>データ!J121</f>
        <v>39000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2.1084078439259201E-3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/>
      </c>
      <c r="AF124" s="43" t="str">
        <f>TRIM(データ!Z121)</f>
        <v/>
      </c>
    </row>
    <row r="125" spans="1:32" x14ac:dyDescent="0.15">
      <c r="A125" s="47">
        <f>データ!A122</f>
        <v>2</v>
      </c>
      <c r="B125" s="47" t="str">
        <f>TRIM(データ!C122)</f>
        <v/>
      </c>
      <c r="C125" s="47" t="str">
        <f>TRIM(データ!D122)</f>
        <v>外注費</v>
      </c>
      <c r="D125" s="36" t="str">
        <f>REPT("｜",$A125)&amp;TRIM(データ!E122)</f>
        <v>｜｜法定福利費切削</v>
      </c>
      <c r="E125" s="37" t="str">
        <f>TRIM(データ!F122)</f>
        <v/>
      </c>
      <c r="F125" s="38" t="str">
        <f>TRIM(データ!G122)</f>
        <v>式</v>
      </c>
      <c r="G125" s="50">
        <f>データ!H122</f>
        <v>1</v>
      </c>
      <c r="H125" s="48">
        <f>データ!I122</f>
        <v>19000</v>
      </c>
      <c r="I125" s="48">
        <f>データ!J122</f>
        <v>19000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1.0271730521690381E-3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/>
      </c>
      <c r="AF125" s="43" t="str">
        <f>TRIM(データ!Z122)</f>
        <v/>
      </c>
    </row>
    <row r="126" spans="1:32" x14ac:dyDescent="0.15">
      <c r="A126" s="47">
        <f>データ!A123</f>
        <v>2</v>
      </c>
      <c r="B126" s="47" t="str">
        <f>TRIM(データ!C123)</f>
        <v/>
      </c>
      <c r="C126" s="47" t="str">
        <f>TRIM(データ!D123)</f>
        <v>外注費</v>
      </c>
      <c r="D126" s="36" t="str">
        <f>REPT("｜",$A126)&amp;TRIM(データ!E123)</f>
        <v>｜｜交通誘導員</v>
      </c>
      <c r="E126" s="37" t="str">
        <f>TRIM(データ!F123)</f>
        <v/>
      </c>
      <c r="F126" s="38" t="str">
        <f>TRIM(データ!G123)</f>
        <v>人</v>
      </c>
      <c r="G126" s="50">
        <f>データ!H123</f>
        <v>6</v>
      </c>
      <c r="H126" s="48">
        <f>データ!I123</f>
        <v>23000</v>
      </c>
      <c r="I126" s="48">
        <f>データ!J123</f>
        <v>138000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7.4605200631224873E-3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/>
      </c>
      <c r="AF126" s="43" t="str">
        <f>TRIM(データ!Z123)</f>
        <v/>
      </c>
    </row>
    <row r="127" spans="1:32" x14ac:dyDescent="0.15">
      <c r="A127" s="47">
        <f>データ!A124</f>
        <v>2</v>
      </c>
      <c r="B127" s="47" t="str">
        <f>TRIM(データ!C124)</f>
        <v/>
      </c>
      <c r="C127" s="47" t="str">
        <f>TRIM(データ!D124)</f>
        <v>機械費</v>
      </c>
      <c r="D127" s="36" t="str">
        <f>REPT("｜",$A127)&amp;TRIM(データ!E124)</f>
        <v>｜｜軽トラ規制車　保安材含</v>
      </c>
      <c r="E127" s="37" t="str">
        <f>TRIM(データ!F124)</f>
        <v/>
      </c>
      <c r="F127" s="38" t="str">
        <f>TRIM(データ!G124)</f>
        <v>台</v>
      </c>
      <c r="G127" s="50">
        <f>データ!H124</f>
        <v>1</v>
      </c>
      <c r="H127" s="48">
        <f>データ!I124</f>
        <v>15000</v>
      </c>
      <c r="I127" s="48">
        <f>データ!J124</f>
        <v>15000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8.1092609381766166E-4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/>
      </c>
      <c r="AF127" s="43" t="str">
        <f>TRIM(データ!Z124)</f>
        <v/>
      </c>
    </row>
    <row r="128" spans="1:32" x14ac:dyDescent="0.15">
      <c r="A128" s="47">
        <f>データ!A125</f>
        <v>1</v>
      </c>
      <c r="B128" s="47" t="str">
        <f>TRIM(データ!C125)</f>
        <v/>
      </c>
      <c r="C128" s="47" t="str">
        <f>TRIM(データ!D125)</f>
        <v>内訳書</v>
      </c>
      <c r="D128" s="36" t="str">
        <f>REPT("｜",$A128)&amp;TRIM(データ!E125)</f>
        <v>｜路面補修工No.5</v>
      </c>
      <c r="E128" s="37" t="str">
        <f>TRIM(データ!F125)</f>
        <v>舗装打換工</v>
      </c>
      <c r="F128" s="38" t="str">
        <f>TRIM(データ!G125)</f>
        <v>m2</v>
      </c>
      <c r="G128" s="50">
        <f>データ!H125</f>
        <v>91</v>
      </c>
      <c r="H128" s="48">
        <f>データ!I125</f>
        <v>8900</v>
      </c>
      <c r="I128" s="48">
        <f>データ!J125</f>
        <v>809900</v>
      </c>
      <c r="J128" s="39">
        <f>IF(OR($C128="総括",$C128="内訳書",$C128="内訳代価",$C128="明細書",$C128="明細代価",$C128="代価表",$C128="単価表"),データ!K125,"")</f>
        <v>91</v>
      </c>
      <c r="K128" s="11" t="str">
        <f t="shared" si="6"/>
        <v/>
      </c>
      <c r="L128" s="46">
        <f t="shared" si="7"/>
        <v>4.3784602892194942E-2</v>
      </c>
      <c r="M128" s="40" t="str">
        <f>IF(データ!L125="","",データ!L125)</f>
        <v/>
      </c>
      <c r="N128" s="41" t="str">
        <f>IF(データ!M125="","",データ!M125)</f>
        <v>20号内訳書</v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>
        <f>IF(OR($C128="総括",$C128="内訳書",$C128="内訳代価",$C128="明細書",$C128="明細代価",$C128="代価表",$C128="単価表"),データ!Q125,"")</f>
        <v>0</v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>
        <f>IF(OR($C128="総括",$C128="内訳書",$C128="内訳代価",$C128="明細書",$C128="明細代価",$C128="代価表",$C128="単価表"),データ!W125,"")</f>
        <v>0</v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/>
      </c>
      <c r="AF128" s="43" t="str">
        <f>TRIM(データ!Z125)</f>
        <v/>
      </c>
    </row>
    <row r="129" spans="1:32" x14ac:dyDescent="0.15">
      <c r="A129" s="47">
        <f>データ!A126</f>
        <v>2</v>
      </c>
      <c r="B129" s="47" t="str">
        <f>TRIM(データ!C126)</f>
        <v/>
      </c>
      <c r="C129" s="47" t="str">
        <f>TRIM(データ!D126)</f>
        <v>材料費</v>
      </c>
      <c r="D129" s="36" t="str">
        <f>REPT("｜",$A129)&amp;TRIM(データ!E126)</f>
        <v>｜｜再生密粒(13)</v>
      </c>
      <c r="E129" s="37" t="str">
        <f>TRIM(データ!F126)</f>
        <v/>
      </c>
      <c r="F129" s="38" t="str">
        <f>TRIM(データ!G126)</f>
        <v>ｔ</v>
      </c>
      <c r="G129" s="50">
        <f>データ!H126</f>
        <v>14</v>
      </c>
      <c r="H129" s="48">
        <f>データ!I126</f>
        <v>9000</v>
      </c>
      <c r="I129" s="48">
        <f>データ!J126</f>
        <v>126000</v>
      </c>
      <c r="J129" s="39" t="str">
        <f>IF(OR($C129="総括",$C129="内訳書",$C129="内訳代価",$C129="明細書",$C129="明細代価",$C129="代価表",$C129="単価表"),データ!K126,"")</f>
        <v/>
      </c>
      <c r="K129" s="11" t="str">
        <f t="shared" si="6"/>
        <v/>
      </c>
      <c r="L129" s="46">
        <f t="shared" si="7"/>
        <v>6.8117791880683582E-3</v>
      </c>
      <c r="M129" s="40" t="str">
        <f>IF(データ!L126="","",データ!L126)</f>
        <v/>
      </c>
      <c r="N129" s="41" t="str">
        <f>IF(データ!M126="","",データ!M126)</f>
        <v/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 t="str">
        <f>IF(OR($C129="総括",$C129="内訳書",$C129="内訳代価",$C129="明細書",$C129="明細代価",$C129="代価表",$C129="単価表"),データ!Q126,"")</f>
        <v/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 t="str">
        <f>IF(OR($C129="総括",$C129="内訳書",$C129="内訳代価",$C129="明細書",$C129="明細代価",$C129="代価表",$C129="単価表"),データ!W126,"")</f>
        <v/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/>
      </c>
      <c r="AF129" s="43" t="str">
        <f>TRIM(データ!Z126)</f>
        <v/>
      </c>
    </row>
    <row r="130" spans="1:32" x14ac:dyDescent="0.15">
      <c r="A130" s="47">
        <f>データ!A127</f>
        <v>2</v>
      </c>
      <c r="B130" s="47" t="str">
        <f>TRIM(データ!C127)</f>
        <v/>
      </c>
      <c r="C130" s="47" t="str">
        <f>TRIM(データ!D127)</f>
        <v>材料費</v>
      </c>
      <c r="D130" s="36" t="str">
        <f>REPT("｜",$A130)&amp;TRIM(データ!E127)</f>
        <v>｜｜アスファルト乳剤PK-3</v>
      </c>
      <c r="E130" s="37" t="str">
        <f>TRIM(データ!F127)</f>
        <v/>
      </c>
      <c r="F130" s="38" t="str">
        <f>TRIM(データ!G127)</f>
        <v>リットル</v>
      </c>
      <c r="G130" s="50">
        <f>データ!H127</f>
        <v>80</v>
      </c>
      <c r="H130" s="48">
        <f>データ!I127</f>
        <v>99</v>
      </c>
      <c r="I130" s="48">
        <f>データ!J127</f>
        <v>7920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4.2816897753572536E-4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/>
      </c>
      <c r="AF130" s="43" t="str">
        <f>TRIM(データ!Z127)</f>
        <v/>
      </c>
    </row>
    <row r="131" spans="1:32" x14ac:dyDescent="0.15">
      <c r="A131" s="47">
        <f>データ!A128</f>
        <v>2</v>
      </c>
      <c r="B131" s="47" t="str">
        <f>TRIM(データ!C128)</f>
        <v/>
      </c>
      <c r="C131" s="47" t="str">
        <f>TRIM(データ!D128)</f>
        <v>材料費</v>
      </c>
      <c r="D131" s="36" t="str">
        <f>REPT("｜",$A131)&amp;TRIM(データ!E128)</f>
        <v>｜｜RC-40</v>
      </c>
      <c r="E131" s="37" t="str">
        <f>TRIM(データ!F128)</f>
        <v/>
      </c>
      <c r="F131" s="38" t="str">
        <f>TRIM(データ!G128)</f>
        <v>m3</v>
      </c>
      <c r="G131" s="50">
        <f>データ!H128</f>
        <v>2</v>
      </c>
      <c r="H131" s="48">
        <f>データ!I128</f>
        <v>2000</v>
      </c>
      <c r="I131" s="48">
        <f>データ!J128</f>
        <v>4000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2.1624695835137644E-4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/>
      </c>
      <c r="AF131" s="43" t="str">
        <f>TRIM(データ!Z128)</f>
        <v/>
      </c>
    </row>
    <row r="132" spans="1:32" x14ac:dyDescent="0.15">
      <c r="A132" s="47">
        <f>データ!A129</f>
        <v>2</v>
      </c>
      <c r="B132" s="47" t="str">
        <f>TRIM(データ!C129)</f>
        <v/>
      </c>
      <c r="C132" s="47" t="str">
        <f>TRIM(データ!D129)</f>
        <v>材料費</v>
      </c>
      <c r="D132" s="36" t="str">
        <f>REPT("｜",$A132)&amp;TRIM(データ!E129)</f>
        <v>｜｜軽油</v>
      </c>
      <c r="E132" s="37" t="str">
        <f>TRIM(データ!F129)</f>
        <v/>
      </c>
      <c r="F132" s="38" t="str">
        <f>TRIM(データ!G129)</f>
        <v>リットル</v>
      </c>
      <c r="G132" s="50">
        <f>データ!H129</f>
        <v>80</v>
      </c>
      <c r="H132" s="48">
        <f>データ!I129</f>
        <v>160</v>
      </c>
      <c r="I132" s="48">
        <f>データ!J129</f>
        <v>12800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6.9199026672440457E-4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/>
      </c>
      <c r="AF132" s="43" t="str">
        <f>TRIM(データ!Z129)</f>
        <v/>
      </c>
    </row>
    <row r="133" spans="1:32" x14ac:dyDescent="0.15">
      <c r="A133" s="47">
        <f>データ!A130</f>
        <v>2</v>
      </c>
      <c r="B133" s="47" t="str">
        <f>TRIM(データ!C130)</f>
        <v/>
      </c>
      <c r="C133" s="47" t="str">
        <f>TRIM(データ!D130)</f>
        <v>材料費</v>
      </c>
      <c r="D133" s="36" t="str">
        <f>REPT("｜",$A133)&amp;TRIM(データ!E130)</f>
        <v>｜｜ガソリン</v>
      </c>
      <c r="E133" s="37" t="str">
        <f>TRIM(データ!F130)</f>
        <v/>
      </c>
      <c r="F133" s="38" t="str">
        <f>TRIM(データ!G130)</f>
        <v>リットル</v>
      </c>
      <c r="G133" s="50">
        <f>データ!H130</f>
        <v>20</v>
      </c>
      <c r="H133" s="48">
        <f>データ!I130</f>
        <v>180</v>
      </c>
      <c r="I133" s="48">
        <f>データ!J130</f>
        <v>3600</v>
      </c>
      <c r="J133" s="39" t="str">
        <f>IF(OR($C133="総括",$C133="内訳書",$C133="内訳代価",$C133="明細書",$C133="明細代価",$C133="代価表",$C133="単価表"),データ!K130,"")</f>
        <v/>
      </c>
      <c r="K133" s="11" t="str">
        <f t="shared" ref="K133:K196" si="12">IF(OR(J133="",G133=J133),"","*")</f>
        <v/>
      </c>
      <c r="L133" s="46">
        <f t="shared" ref="L133:L196" si="13">IF($A133&lt;=L$1,I133/I$4,"")</f>
        <v>1.9462226251623879E-4</v>
      </c>
      <c r="M133" s="40" t="str">
        <f>IF(データ!L130="","",データ!L130)</f>
        <v/>
      </c>
      <c r="N133" s="41" t="str">
        <f>IF(データ!M130="","",データ!M130)</f>
        <v/>
      </c>
      <c r="O133" s="42">
        <f>データ!N130</f>
        <v>0</v>
      </c>
      <c r="P133" s="48">
        <f>IF($C133="集計行","",データ!O130)</f>
        <v>0</v>
      </c>
      <c r="Q133" s="48">
        <f>データ!P130</f>
        <v>0</v>
      </c>
      <c r="R133" s="39" t="str">
        <f>IF(OR($C133="総括",$C133="内訳書",$C133="内訳代価",$C133="明細書",$C133="明細代価",$C133="代価表",$C133="単価表"),データ!Q130,"")</f>
        <v/>
      </c>
      <c r="S133" s="11" t="str">
        <f t="shared" ref="S133:S196" si="14">IF(OR(R133="",O133=R133),"","*")</f>
        <v/>
      </c>
      <c r="T133" s="46" t="e">
        <f t="shared" ref="T133:T196" si="15">IF($A133&lt;=T$1,Q133/Q$4,"")</f>
        <v>#DIV/0!</v>
      </c>
      <c r="U133" s="40" t="str">
        <f>IF(データ!R130="","",データ!R130)</f>
        <v/>
      </c>
      <c r="V133" s="41" t="str">
        <f>IF(データ!S130="","",データ!S130)</f>
        <v/>
      </c>
      <c r="W133" s="42">
        <f>データ!T130</f>
        <v>0</v>
      </c>
      <c r="X133" s="48">
        <f>IF($C133="集計行","",データ!U130)</f>
        <v>0</v>
      </c>
      <c r="Y133" s="48">
        <f>データ!V130</f>
        <v>0</v>
      </c>
      <c r="Z133" s="39" t="str">
        <f>IF(OR($C133="総括",$C133="内訳書",$C133="内訳代価",$C133="明細書",$C133="明細代価",$C133="代価表",$C133="単価表"),データ!W130,"")</f>
        <v/>
      </c>
      <c r="AA133" s="11" t="str">
        <f t="shared" ref="AA133:AA196" si="16">IF(OR(Z133="",W133=Z133),"","*")</f>
        <v/>
      </c>
      <c r="AB133" s="46" t="e">
        <f t="shared" ref="AB133:AB196" si="17">IF($A133&lt;=AB$1,Y133/Y$4,"")</f>
        <v>#DIV/0!</v>
      </c>
      <c r="AC133" s="40" t="str">
        <f>IF(データ!X130="","",データ!X130)</f>
        <v/>
      </c>
      <c r="AD133" s="41" t="str">
        <f>IF(データ!Y130="","",データ!Y130)</f>
        <v/>
      </c>
      <c r="AE133" s="47" t="str">
        <f>TRIM(データ!B130)</f>
        <v/>
      </c>
      <c r="AF133" s="43" t="str">
        <f>TRIM(データ!Z130)</f>
        <v/>
      </c>
    </row>
    <row r="134" spans="1:32" x14ac:dyDescent="0.15">
      <c r="A134" s="47">
        <f>データ!A131</f>
        <v>2</v>
      </c>
      <c r="B134" s="47" t="str">
        <f>TRIM(データ!C131)</f>
        <v/>
      </c>
      <c r="C134" s="47" t="str">
        <f>TRIM(データ!D131)</f>
        <v>材料費</v>
      </c>
      <c r="D134" s="36" t="str">
        <f>REPT("｜",$A134)&amp;TRIM(データ!E131)</f>
        <v>｜｜雑材</v>
      </c>
      <c r="E134" s="37" t="str">
        <f>TRIM(データ!F131)</f>
        <v/>
      </c>
      <c r="F134" s="38" t="str">
        <f>TRIM(データ!G131)</f>
        <v>式</v>
      </c>
      <c r="G134" s="50">
        <f>データ!H131</f>
        <v>1</v>
      </c>
      <c r="H134" s="48">
        <f>データ!I131</f>
        <v>5080</v>
      </c>
      <c r="I134" s="48">
        <f>データ!J131</f>
        <v>5080</v>
      </c>
      <c r="J134" s="39" t="str">
        <f>IF(OR($C134="総括",$C134="内訳書",$C134="内訳代価",$C134="明細書",$C134="明細代価",$C134="代価表",$C134="単価表"),データ!K131,"")</f>
        <v/>
      </c>
      <c r="K134" s="11" t="str">
        <f t="shared" si="12"/>
        <v/>
      </c>
      <c r="L134" s="46">
        <f t="shared" si="13"/>
        <v>2.7463363710624806E-4</v>
      </c>
      <c r="M134" s="40" t="str">
        <f>IF(データ!L131="","",データ!L131)</f>
        <v/>
      </c>
      <c r="N134" s="41" t="str">
        <f>IF(データ!M131="","",データ!M131)</f>
        <v/>
      </c>
      <c r="O134" s="42">
        <f>データ!N131</f>
        <v>0</v>
      </c>
      <c r="P134" s="48">
        <f>IF($C134="集計行","",データ!O131)</f>
        <v>0</v>
      </c>
      <c r="Q134" s="48">
        <f>データ!P131</f>
        <v>0</v>
      </c>
      <c r="R134" s="39" t="str">
        <f>IF(OR($C134="総括",$C134="内訳書",$C134="内訳代価",$C134="明細書",$C134="明細代価",$C134="代価表",$C134="単価表"),データ!Q131,"")</f>
        <v/>
      </c>
      <c r="S134" s="11" t="str">
        <f t="shared" si="14"/>
        <v/>
      </c>
      <c r="T134" s="46" t="e">
        <f t="shared" si="15"/>
        <v>#DIV/0!</v>
      </c>
      <c r="U134" s="40" t="str">
        <f>IF(データ!R131="","",データ!R131)</f>
        <v/>
      </c>
      <c r="V134" s="41" t="str">
        <f>IF(データ!S131="","",データ!S131)</f>
        <v/>
      </c>
      <c r="W134" s="42">
        <f>データ!T131</f>
        <v>0</v>
      </c>
      <c r="X134" s="48">
        <f>IF($C134="集計行","",データ!U131)</f>
        <v>0</v>
      </c>
      <c r="Y134" s="48">
        <f>データ!V131</f>
        <v>0</v>
      </c>
      <c r="Z134" s="39" t="str">
        <f>IF(OR($C134="総括",$C134="内訳書",$C134="内訳代価",$C134="明細書",$C134="明細代価",$C134="代価表",$C134="単価表"),データ!W131,"")</f>
        <v/>
      </c>
      <c r="AA134" s="11" t="str">
        <f t="shared" si="16"/>
        <v/>
      </c>
      <c r="AB134" s="46" t="e">
        <f t="shared" si="17"/>
        <v>#DIV/0!</v>
      </c>
      <c r="AC134" s="40" t="str">
        <f>IF(データ!X131="","",データ!X131)</f>
        <v/>
      </c>
      <c r="AD134" s="41" t="str">
        <f>IF(データ!Y131="","",データ!Y131)</f>
        <v/>
      </c>
      <c r="AE134" s="47" t="str">
        <f>TRIM(データ!B131)</f>
        <v/>
      </c>
      <c r="AF134" s="43" t="str">
        <f>TRIM(データ!Z131)</f>
        <v/>
      </c>
    </row>
    <row r="135" spans="1:32" x14ac:dyDescent="0.15">
      <c r="A135" s="47">
        <f>データ!A132</f>
        <v>2</v>
      </c>
      <c r="B135" s="47" t="str">
        <f>TRIM(データ!C132)</f>
        <v/>
      </c>
      <c r="C135" s="47" t="str">
        <f>TRIM(データ!D132)</f>
        <v>労務費</v>
      </c>
      <c r="D135" s="36" t="str">
        <f>REPT("｜",$A135)&amp;TRIM(データ!E132)</f>
        <v>｜｜土工</v>
      </c>
      <c r="E135" s="37" t="str">
        <f>TRIM(データ!F132)</f>
        <v/>
      </c>
      <c r="F135" s="38" t="str">
        <f>TRIM(データ!G132)</f>
        <v>人</v>
      </c>
      <c r="G135" s="50">
        <f>データ!H132</f>
        <v>8</v>
      </c>
      <c r="H135" s="48">
        <f>データ!I132</f>
        <v>23000</v>
      </c>
      <c r="I135" s="48">
        <f>データ!J132</f>
        <v>184000</v>
      </c>
      <c r="J135" s="39" t="str">
        <f>IF(OR($C135="総括",$C135="内訳書",$C135="内訳代価",$C135="明細書",$C135="明細代価",$C135="代価表",$C135="単価表"),データ!K132,"")</f>
        <v/>
      </c>
      <c r="K135" s="11" t="str">
        <f t="shared" si="12"/>
        <v/>
      </c>
      <c r="L135" s="46">
        <f t="shared" si="13"/>
        <v>9.9473600841633158E-3</v>
      </c>
      <c r="M135" s="40" t="str">
        <f>IF(データ!L132="","",データ!L132)</f>
        <v/>
      </c>
      <c r="N135" s="41" t="str">
        <f>IF(データ!M132="","",データ!M132)</f>
        <v/>
      </c>
      <c r="O135" s="42">
        <f>データ!N132</f>
        <v>0</v>
      </c>
      <c r="P135" s="48">
        <f>IF($C135="集計行","",データ!O132)</f>
        <v>0</v>
      </c>
      <c r="Q135" s="48">
        <f>データ!P132</f>
        <v>0</v>
      </c>
      <c r="R135" s="39" t="str">
        <f>IF(OR($C135="総括",$C135="内訳書",$C135="内訳代価",$C135="明細書",$C135="明細代価",$C135="代価表",$C135="単価表"),データ!Q132,"")</f>
        <v/>
      </c>
      <c r="S135" s="11" t="str">
        <f t="shared" si="14"/>
        <v/>
      </c>
      <c r="T135" s="46" t="e">
        <f t="shared" si="15"/>
        <v>#DIV/0!</v>
      </c>
      <c r="U135" s="40" t="str">
        <f>IF(データ!R132="","",データ!R132)</f>
        <v/>
      </c>
      <c r="V135" s="41" t="str">
        <f>IF(データ!S132="","",データ!S132)</f>
        <v/>
      </c>
      <c r="W135" s="42">
        <f>データ!T132</f>
        <v>0</v>
      </c>
      <c r="X135" s="48">
        <f>IF($C135="集計行","",データ!U132)</f>
        <v>0</v>
      </c>
      <c r="Y135" s="48">
        <f>データ!V132</f>
        <v>0</v>
      </c>
      <c r="Z135" s="39" t="str">
        <f>IF(OR($C135="総括",$C135="内訳書",$C135="内訳代価",$C135="明細書",$C135="明細代価",$C135="代価表",$C135="単価表"),データ!W132,"")</f>
        <v/>
      </c>
      <c r="AA135" s="11" t="str">
        <f t="shared" si="16"/>
        <v/>
      </c>
      <c r="AB135" s="46" t="e">
        <f t="shared" si="17"/>
        <v>#DIV/0!</v>
      </c>
      <c r="AC135" s="40" t="str">
        <f>IF(データ!X132="","",データ!X132)</f>
        <v/>
      </c>
      <c r="AD135" s="41" t="str">
        <f>IF(データ!Y132="","",データ!Y132)</f>
        <v/>
      </c>
      <c r="AE135" s="47" t="str">
        <f>TRIM(データ!B132)</f>
        <v/>
      </c>
      <c r="AF135" s="43" t="str">
        <f>TRIM(データ!Z132)</f>
        <v/>
      </c>
    </row>
    <row r="136" spans="1:32" x14ac:dyDescent="0.15">
      <c r="A136" s="47">
        <f>データ!A133</f>
        <v>2</v>
      </c>
      <c r="B136" s="47" t="str">
        <f>TRIM(データ!C133)</f>
        <v/>
      </c>
      <c r="C136" s="47" t="str">
        <f>TRIM(データ!D133)</f>
        <v>機械費</v>
      </c>
      <c r="D136" s="36" t="str">
        <f>REPT("｜",$A136)&amp;TRIM(データ!E133)</f>
        <v>｜｜フィニッシャー3.1m</v>
      </c>
      <c r="E136" s="37" t="str">
        <f>TRIM(データ!F133)</f>
        <v/>
      </c>
      <c r="F136" s="38" t="str">
        <f>TRIM(データ!G133)</f>
        <v>台</v>
      </c>
      <c r="G136" s="50">
        <f>データ!H133</f>
        <v>1</v>
      </c>
      <c r="H136" s="48">
        <f>データ!I133</f>
        <v>65000</v>
      </c>
      <c r="I136" s="48">
        <f>データ!J133</f>
        <v>65000</v>
      </c>
      <c r="J136" s="39" t="str">
        <f>IF(OR($C136="総括",$C136="内訳書",$C136="内訳代価",$C136="明細書",$C136="明細代価",$C136="代価表",$C136="単価表"),データ!K133,"")</f>
        <v/>
      </c>
      <c r="K136" s="11" t="str">
        <f t="shared" si="12"/>
        <v/>
      </c>
      <c r="L136" s="46">
        <f t="shared" si="13"/>
        <v>3.5140130732098673E-3</v>
      </c>
      <c r="M136" s="40" t="str">
        <f>IF(データ!L133="","",データ!L133)</f>
        <v/>
      </c>
      <c r="N136" s="41" t="str">
        <f>IF(データ!M133="","",データ!M133)</f>
        <v/>
      </c>
      <c r="O136" s="42">
        <f>データ!N133</f>
        <v>0</v>
      </c>
      <c r="P136" s="48">
        <f>IF($C136="集計行","",データ!O133)</f>
        <v>0</v>
      </c>
      <c r="Q136" s="48">
        <f>データ!P133</f>
        <v>0</v>
      </c>
      <c r="R136" s="39" t="str">
        <f>IF(OR($C136="総括",$C136="内訳書",$C136="内訳代価",$C136="明細書",$C136="明細代価",$C136="代価表",$C136="単価表"),データ!Q133,"")</f>
        <v/>
      </c>
      <c r="S136" s="11" t="str">
        <f t="shared" si="14"/>
        <v/>
      </c>
      <c r="T136" s="46" t="e">
        <f t="shared" si="15"/>
        <v>#DIV/0!</v>
      </c>
      <c r="U136" s="40" t="str">
        <f>IF(データ!R133="","",データ!R133)</f>
        <v/>
      </c>
      <c r="V136" s="41" t="str">
        <f>IF(データ!S133="","",データ!S133)</f>
        <v/>
      </c>
      <c r="W136" s="42">
        <f>データ!T133</f>
        <v>0</v>
      </c>
      <c r="X136" s="48">
        <f>IF($C136="集計行","",データ!U133)</f>
        <v>0</v>
      </c>
      <c r="Y136" s="48">
        <f>データ!V133</f>
        <v>0</v>
      </c>
      <c r="Z136" s="39" t="str">
        <f>IF(OR($C136="総括",$C136="内訳書",$C136="内訳代価",$C136="明細書",$C136="明細代価",$C136="代価表",$C136="単価表"),データ!W133,"")</f>
        <v/>
      </c>
      <c r="AA136" s="11" t="str">
        <f t="shared" si="16"/>
        <v/>
      </c>
      <c r="AB136" s="46" t="e">
        <f t="shared" si="17"/>
        <v>#DIV/0!</v>
      </c>
      <c r="AC136" s="40" t="str">
        <f>IF(データ!X133="","",データ!X133)</f>
        <v/>
      </c>
      <c r="AD136" s="41" t="str">
        <f>IF(データ!Y133="","",データ!Y133)</f>
        <v/>
      </c>
      <c r="AE136" s="47" t="str">
        <f>TRIM(データ!B133)</f>
        <v/>
      </c>
      <c r="AF136" s="43" t="str">
        <f>TRIM(データ!Z133)</f>
        <v/>
      </c>
    </row>
    <row r="137" spans="1:32" x14ac:dyDescent="0.15">
      <c r="A137" s="47">
        <f>データ!A134</f>
        <v>2</v>
      </c>
      <c r="B137" s="47" t="str">
        <f>TRIM(データ!C134)</f>
        <v/>
      </c>
      <c r="C137" s="47" t="str">
        <f>TRIM(データ!D134)</f>
        <v>機械費</v>
      </c>
      <c r="D137" s="36" t="str">
        <f>REPT("｜",$A137)&amp;TRIM(データ!E134)</f>
        <v>｜｜コンバインドローラ</v>
      </c>
      <c r="E137" s="37" t="str">
        <f>TRIM(データ!F134)</f>
        <v/>
      </c>
      <c r="F137" s="38" t="str">
        <f>TRIM(データ!G134)</f>
        <v>台</v>
      </c>
      <c r="G137" s="50">
        <f>データ!H134</f>
        <v>1</v>
      </c>
      <c r="H137" s="48">
        <f>データ!I134</f>
        <v>6000</v>
      </c>
      <c r="I137" s="48">
        <f>データ!J134</f>
        <v>6000</v>
      </c>
      <c r="J137" s="39" t="str">
        <f>IF(OR($C137="総括",$C137="内訳書",$C137="内訳代価",$C137="明細書",$C137="明細代価",$C137="代価表",$C137="単価表"),データ!K134,"")</f>
        <v/>
      </c>
      <c r="K137" s="11" t="str">
        <f t="shared" si="12"/>
        <v/>
      </c>
      <c r="L137" s="46">
        <f t="shared" si="13"/>
        <v>3.2437043752706464E-4</v>
      </c>
      <c r="M137" s="40" t="str">
        <f>IF(データ!L134="","",データ!L134)</f>
        <v/>
      </c>
      <c r="N137" s="41" t="str">
        <f>IF(データ!M134="","",データ!M134)</f>
        <v/>
      </c>
      <c r="O137" s="42">
        <f>データ!N134</f>
        <v>0</v>
      </c>
      <c r="P137" s="48">
        <f>IF($C137="集計行","",データ!O134)</f>
        <v>0</v>
      </c>
      <c r="Q137" s="48">
        <f>データ!P134</f>
        <v>0</v>
      </c>
      <c r="R137" s="39" t="str">
        <f>IF(OR($C137="総括",$C137="内訳書",$C137="内訳代価",$C137="明細書",$C137="明細代価",$C137="代価表",$C137="単価表"),データ!Q134,"")</f>
        <v/>
      </c>
      <c r="S137" s="11" t="str">
        <f t="shared" si="14"/>
        <v/>
      </c>
      <c r="T137" s="46" t="e">
        <f t="shared" si="15"/>
        <v>#DIV/0!</v>
      </c>
      <c r="U137" s="40" t="str">
        <f>IF(データ!R134="","",データ!R134)</f>
        <v/>
      </c>
      <c r="V137" s="41" t="str">
        <f>IF(データ!S134="","",データ!S134)</f>
        <v/>
      </c>
      <c r="W137" s="42">
        <f>データ!T134</f>
        <v>0</v>
      </c>
      <c r="X137" s="48">
        <f>IF($C137="集計行","",データ!U134)</f>
        <v>0</v>
      </c>
      <c r="Y137" s="48">
        <f>データ!V134</f>
        <v>0</v>
      </c>
      <c r="Z137" s="39" t="str">
        <f>IF(OR($C137="総括",$C137="内訳書",$C137="内訳代価",$C137="明細書",$C137="明細代価",$C137="代価表",$C137="単価表"),データ!W134,"")</f>
        <v/>
      </c>
      <c r="AA137" s="11" t="str">
        <f t="shared" si="16"/>
        <v/>
      </c>
      <c r="AB137" s="46" t="e">
        <f t="shared" si="17"/>
        <v>#DIV/0!</v>
      </c>
      <c r="AC137" s="40" t="str">
        <f>IF(データ!X134="","",データ!X134)</f>
        <v/>
      </c>
      <c r="AD137" s="41" t="str">
        <f>IF(データ!Y134="","",データ!Y134)</f>
        <v/>
      </c>
      <c r="AE137" s="47" t="str">
        <f>TRIM(データ!B134)</f>
        <v/>
      </c>
      <c r="AF137" s="43" t="str">
        <f>TRIM(データ!Z134)</f>
        <v/>
      </c>
    </row>
    <row r="138" spans="1:32" x14ac:dyDescent="0.15">
      <c r="A138" s="47">
        <f>データ!A135</f>
        <v>2</v>
      </c>
      <c r="B138" s="47" t="str">
        <f>TRIM(データ!C135)</f>
        <v/>
      </c>
      <c r="C138" s="47" t="str">
        <f>TRIM(データ!D135)</f>
        <v>機械費</v>
      </c>
      <c r="D138" s="36" t="str">
        <f>REPT("｜",$A138)&amp;TRIM(データ!E135)</f>
        <v>｜｜ミニバックホウ</v>
      </c>
      <c r="E138" s="37" t="str">
        <f>TRIM(データ!F135)</f>
        <v/>
      </c>
      <c r="F138" s="38" t="str">
        <f>TRIM(データ!G135)</f>
        <v>台</v>
      </c>
      <c r="G138" s="50">
        <f>データ!H135</f>
        <v>1</v>
      </c>
      <c r="H138" s="48">
        <f>データ!I135</f>
        <v>8000</v>
      </c>
      <c r="I138" s="48">
        <f>データ!J135</f>
        <v>8000</v>
      </c>
      <c r="J138" s="39" t="str">
        <f>IF(OR($C138="総括",$C138="内訳書",$C138="内訳代価",$C138="明細書",$C138="明細代価",$C138="代価表",$C138="単価表"),データ!K135,"")</f>
        <v/>
      </c>
      <c r="K138" s="11" t="str">
        <f t="shared" si="12"/>
        <v/>
      </c>
      <c r="L138" s="46">
        <f t="shared" si="13"/>
        <v>4.3249391670275287E-4</v>
      </c>
      <c r="M138" s="40" t="str">
        <f>IF(データ!L135="","",データ!L135)</f>
        <v/>
      </c>
      <c r="N138" s="41" t="str">
        <f>IF(データ!M135="","",データ!M135)</f>
        <v/>
      </c>
      <c r="O138" s="42">
        <f>データ!N135</f>
        <v>0</v>
      </c>
      <c r="P138" s="48">
        <f>IF($C138="集計行","",データ!O135)</f>
        <v>0</v>
      </c>
      <c r="Q138" s="48">
        <f>データ!P135</f>
        <v>0</v>
      </c>
      <c r="R138" s="39" t="str">
        <f>IF(OR($C138="総括",$C138="内訳書",$C138="内訳代価",$C138="明細書",$C138="明細代価",$C138="代価表",$C138="単価表"),データ!Q135,"")</f>
        <v/>
      </c>
      <c r="S138" s="11" t="str">
        <f t="shared" si="14"/>
        <v/>
      </c>
      <c r="T138" s="46" t="e">
        <f t="shared" si="15"/>
        <v>#DIV/0!</v>
      </c>
      <c r="U138" s="40" t="str">
        <f>IF(データ!R135="","",データ!R135)</f>
        <v/>
      </c>
      <c r="V138" s="41" t="str">
        <f>IF(データ!S135="","",データ!S135)</f>
        <v/>
      </c>
      <c r="W138" s="42">
        <f>データ!T135</f>
        <v>0</v>
      </c>
      <c r="X138" s="48">
        <f>IF($C138="集計行","",データ!U135)</f>
        <v>0</v>
      </c>
      <c r="Y138" s="48">
        <f>データ!V135</f>
        <v>0</v>
      </c>
      <c r="Z138" s="39" t="str">
        <f>IF(OR($C138="総括",$C138="内訳書",$C138="内訳代価",$C138="明細書",$C138="明細代価",$C138="代価表",$C138="単価表"),データ!W135,"")</f>
        <v/>
      </c>
      <c r="AA138" s="11" t="str">
        <f t="shared" si="16"/>
        <v/>
      </c>
      <c r="AB138" s="46" t="e">
        <f t="shared" si="17"/>
        <v>#DIV/0!</v>
      </c>
      <c r="AC138" s="40" t="str">
        <f>IF(データ!X135="","",データ!X135)</f>
        <v/>
      </c>
      <c r="AD138" s="41" t="str">
        <f>IF(データ!Y135="","",データ!Y135)</f>
        <v/>
      </c>
      <c r="AE138" s="47" t="str">
        <f>TRIM(データ!B135)</f>
        <v/>
      </c>
      <c r="AF138" s="43" t="str">
        <f>TRIM(データ!Z135)</f>
        <v/>
      </c>
    </row>
    <row r="139" spans="1:32" x14ac:dyDescent="0.15">
      <c r="A139" s="47">
        <f>データ!A136</f>
        <v>2</v>
      </c>
      <c r="B139" s="47" t="str">
        <f>TRIM(データ!C136)</f>
        <v/>
      </c>
      <c r="C139" s="47" t="str">
        <f>TRIM(データ!D136)</f>
        <v>機械費</v>
      </c>
      <c r="D139" s="36" t="str">
        <f>REPT("｜",$A139)&amp;TRIM(データ!E136)</f>
        <v>｜｜エンジンスプレイヤ</v>
      </c>
      <c r="E139" s="37" t="str">
        <f>TRIM(データ!F136)</f>
        <v/>
      </c>
      <c r="F139" s="38" t="str">
        <f>TRIM(データ!G136)</f>
        <v>台</v>
      </c>
      <c r="G139" s="50">
        <f>データ!H136</f>
        <v>1</v>
      </c>
      <c r="H139" s="48">
        <f>データ!I136</f>
        <v>3000</v>
      </c>
      <c r="I139" s="48">
        <f>データ!J136</f>
        <v>3000</v>
      </c>
      <c r="J139" s="39" t="str">
        <f>IF(OR($C139="総括",$C139="内訳書",$C139="内訳代価",$C139="明細書",$C139="明細代価",$C139="代価表",$C139="単価表"),データ!K136,"")</f>
        <v/>
      </c>
      <c r="K139" s="11" t="str">
        <f t="shared" si="12"/>
        <v/>
      </c>
      <c r="L139" s="46">
        <f t="shared" si="13"/>
        <v>1.6218521876353232E-4</v>
      </c>
      <c r="M139" s="40" t="str">
        <f>IF(データ!L136="","",データ!L136)</f>
        <v/>
      </c>
      <c r="N139" s="41" t="str">
        <f>IF(データ!M136="","",データ!M136)</f>
        <v/>
      </c>
      <c r="O139" s="42">
        <f>データ!N136</f>
        <v>0</v>
      </c>
      <c r="P139" s="48">
        <f>IF($C139="集計行","",データ!O136)</f>
        <v>0</v>
      </c>
      <c r="Q139" s="48">
        <f>データ!P136</f>
        <v>0</v>
      </c>
      <c r="R139" s="39" t="str">
        <f>IF(OR($C139="総括",$C139="内訳書",$C139="内訳代価",$C139="明細書",$C139="明細代価",$C139="代価表",$C139="単価表"),データ!Q136,"")</f>
        <v/>
      </c>
      <c r="S139" s="11" t="str">
        <f t="shared" si="14"/>
        <v/>
      </c>
      <c r="T139" s="46" t="e">
        <f t="shared" si="15"/>
        <v>#DIV/0!</v>
      </c>
      <c r="U139" s="40" t="str">
        <f>IF(データ!R136="","",データ!R136)</f>
        <v/>
      </c>
      <c r="V139" s="41" t="str">
        <f>IF(データ!S136="","",データ!S136)</f>
        <v/>
      </c>
      <c r="W139" s="42">
        <f>データ!T136</f>
        <v>0</v>
      </c>
      <c r="X139" s="48">
        <f>IF($C139="集計行","",データ!U136)</f>
        <v>0</v>
      </c>
      <c r="Y139" s="48">
        <f>データ!V136</f>
        <v>0</v>
      </c>
      <c r="Z139" s="39" t="str">
        <f>IF(OR($C139="総括",$C139="内訳書",$C139="内訳代価",$C139="明細書",$C139="明細代価",$C139="代価表",$C139="単価表"),データ!W136,"")</f>
        <v/>
      </c>
      <c r="AA139" s="11" t="str">
        <f t="shared" si="16"/>
        <v/>
      </c>
      <c r="AB139" s="46" t="e">
        <f t="shared" si="17"/>
        <v>#DIV/0!</v>
      </c>
      <c r="AC139" s="40" t="str">
        <f>IF(データ!X136="","",データ!X136)</f>
        <v/>
      </c>
      <c r="AD139" s="41" t="str">
        <f>IF(データ!Y136="","",データ!Y136)</f>
        <v/>
      </c>
      <c r="AE139" s="47" t="str">
        <f>TRIM(データ!B136)</f>
        <v/>
      </c>
      <c r="AF139" s="43" t="str">
        <f>TRIM(データ!Z136)</f>
        <v/>
      </c>
    </row>
    <row r="140" spans="1:32" x14ac:dyDescent="0.15">
      <c r="A140" s="47">
        <f>データ!A137</f>
        <v>2</v>
      </c>
      <c r="B140" s="47" t="str">
        <f>TRIM(データ!C137)</f>
        <v/>
      </c>
      <c r="C140" s="47" t="str">
        <f>TRIM(データ!D137)</f>
        <v>機械費</v>
      </c>
      <c r="D140" s="36" t="str">
        <f>REPT("｜",$A140)&amp;TRIM(データ!E137)</f>
        <v>｜｜小物機械</v>
      </c>
      <c r="E140" s="37" t="str">
        <f>TRIM(データ!F137)</f>
        <v/>
      </c>
      <c r="F140" s="38" t="str">
        <f>TRIM(データ!G137)</f>
        <v>台</v>
      </c>
      <c r="G140" s="50">
        <f>データ!H137</f>
        <v>3</v>
      </c>
      <c r="H140" s="48">
        <f>データ!I137</f>
        <v>3000</v>
      </c>
      <c r="I140" s="48">
        <f>データ!J137</f>
        <v>9000</v>
      </c>
      <c r="J140" s="39" t="str">
        <f>IF(OR($C140="総括",$C140="内訳書",$C140="内訳代価",$C140="明細書",$C140="明細代価",$C140="代価表",$C140="単価表"),データ!K137,"")</f>
        <v/>
      </c>
      <c r="K140" s="11" t="str">
        <f t="shared" si="12"/>
        <v/>
      </c>
      <c r="L140" s="46">
        <f t="shared" si="13"/>
        <v>4.8655565629059696E-4</v>
      </c>
      <c r="M140" s="40" t="str">
        <f>IF(データ!L137="","",データ!L137)</f>
        <v/>
      </c>
      <c r="N140" s="41" t="str">
        <f>IF(データ!M137="","",データ!M137)</f>
        <v/>
      </c>
      <c r="O140" s="42">
        <f>データ!N137</f>
        <v>0</v>
      </c>
      <c r="P140" s="48">
        <f>IF($C140="集計行","",データ!O137)</f>
        <v>0</v>
      </c>
      <c r="Q140" s="48">
        <f>データ!P137</f>
        <v>0</v>
      </c>
      <c r="R140" s="39" t="str">
        <f>IF(OR($C140="総括",$C140="内訳書",$C140="内訳代価",$C140="明細書",$C140="明細代価",$C140="代価表",$C140="単価表"),データ!Q137,"")</f>
        <v/>
      </c>
      <c r="S140" s="11" t="str">
        <f t="shared" si="14"/>
        <v/>
      </c>
      <c r="T140" s="46" t="e">
        <f t="shared" si="15"/>
        <v>#DIV/0!</v>
      </c>
      <c r="U140" s="40" t="str">
        <f>IF(データ!R137="","",データ!R137)</f>
        <v/>
      </c>
      <c r="V140" s="41" t="str">
        <f>IF(データ!S137="","",データ!S137)</f>
        <v/>
      </c>
      <c r="W140" s="42">
        <f>データ!T137</f>
        <v>0</v>
      </c>
      <c r="X140" s="48">
        <f>IF($C140="集計行","",データ!U137)</f>
        <v>0</v>
      </c>
      <c r="Y140" s="48">
        <f>データ!V137</f>
        <v>0</v>
      </c>
      <c r="Z140" s="39" t="str">
        <f>IF(OR($C140="総括",$C140="内訳書",$C140="内訳代価",$C140="明細書",$C140="明細代価",$C140="代価表",$C140="単価表"),データ!W137,"")</f>
        <v/>
      </c>
      <c r="AA140" s="11" t="str">
        <f t="shared" si="16"/>
        <v/>
      </c>
      <c r="AB140" s="46" t="e">
        <f t="shared" si="17"/>
        <v>#DIV/0!</v>
      </c>
      <c r="AC140" s="40" t="str">
        <f>IF(データ!X137="","",データ!X137)</f>
        <v/>
      </c>
      <c r="AD140" s="41" t="str">
        <f>IF(データ!Y137="","",データ!Y137)</f>
        <v/>
      </c>
      <c r="AE140" s="47" t="str">
        <f>TRIM(データ!B137)</f>
        <v/>
      </c>
      <c r="AF140" s="43" t="str">
        <f>TRIM(データ!Z137)</f>
        <v/>
      </c>
    </row>
    <row r="141" spans="1:32" x14ac:dyDescent="0.15">
      <c r="A141" s="47">
        <f>データ!A138</f>
        <v>2</v>
      </c>
      <c r="B141" s="47" t="str">
        <f>TRIM(データ!C138)</f>
        <v/>
      </c>
      <c r="C141" s="47" t="str">
        <f>TRIM(データ!D138)</f>
        <v>運搬費</v>
      </c>
      <c r="D141" s="36" t="str">
        <f>REPT("｜",$A141)&amp;TRIM(データ!E138)</f>
        <v>｜｜4tダンプ</v>
      </c>
      <c r="E141" s="37" t="str">
        <f>TRIM(データ!F138)</f>
        <v/>
      </c>
      <c r="F141" s="38" t="str">
        <f>TRIM(データ!G138)</f>
        <v>台</v>
      </c>
      <c r="G141" s="50">
        <f>データ!H138</f>
        <v>2</v>
      </c>
      <c r="H141" s="48">
        <f>データ!I138</f>
        <v>37000</v>
      </c>
      <c r="I141" s="48">
        <f>データ!J138</f>
        <v>74000</v>
      </c>
      <c r="J141" s="39" t="str">
        <f>IF(OR($C141="総括",$C141="内訳書",$C141="内訳代価",$C141="明細書",$C141="明細代価",$C141="代価表",$C141="単価表"),データ!K138,"")</f>
        <v/>
      </c>
      <c r="K141" s="11" t="str">
        <f t="shared" si="12"/>
        <v/>
      </c>
      <c r="L141" s="46">
        <f t="shared" si="13"/>
        <v>4.0005687295004639E-3</v>
      </c>
      <c r="M141" s="40" t="str">
        <f>IF(データ!L138="","",データ!L138)</f>
        <v/>
      </c>
      <c r="N141" s="41" t="str">
        <f>IF(データ!M138="","",データ!M138)</f>
        <v/>
      </c>
      <c r="O141" s="42">
        <f>データ!N138</f>
        <v>0</v>
      </c>
      <c r="P141" s="48">
        <f>IF($C141="集計行","",データ!O138)</f>
        <v>0</v>
      </c>
      <c r="Q141" s="48">
        <f>データ!P138</f>
        <v>0</v>
      </c>
      <c r="R141" s="39" t="str">
        <f>IF(OR($C141="総括",$C141="内訳書",$C141="内訳代価",$C141="明細書",$C141="明細代価",$C141="代価表",$C141="単価表"),データ!Q138,"")</f>
        <v/>
      </c>
      <c r="S141" s="11" t="str">
        <f t="shared" si="14"/>
        <v/>
      </c>
      <c r="T141" s="46" t="e">
        <f t="shared" si="15"/>
        <v>#DIV/0!</v>
      </c>
      <c r="U141" s="40" t="str">
        <f>IF(データ!R138="","",データ!R138)</f>
        <v/>
      </c>
      <c r="V141" s="41" t="str">
        <f>IF(データ!S138="","",データ!S138)</f>
        <v/>
      </c>
      <c r="W141" s="42">
        <f>データ!T138</f>
        <v>0</v>
      </c>
      <c r="X141" s="48">
        <f>IF($C141="集計行","",データ!U138)</f>
        <v>0</v>
      </c>
      <c r="Y141" s="48">
        <f>データ!V138</f>
        <v>0</v>
      </c>
      <c r="Z141" s="39" t="str">
        <f>IF(OR($C141="総括",$C141="内訳書",$C141="内訳代価",$C141="明細書",$C141="明細代価",$C141="代価表",$C141="単価表"),データ!W138,"")</f>
        <v/>
      </c>
      <c r="AA141" s="11" t="str">
        <f t="shared" si="16"/>
        <v/>
      </c>
      <c r="AB141" s="46" t="e">
        <f t="shared" si="17"/>
        <v>#DIV/0!</v>
      </c>
      <c r="AC141" s="40" t="str">
        <f>IF(データ!X138="","",データ!X138)</f>
        <v/>
      </c>
      <c r="AD141" s="41" t="str">
        <f>IF(データ!Y138="","",データ!Y138)</f>
        <v/>
      </c>
      <c r="AE141" s="47" t="str">
        <f>TRIM(データ!B138)</f>
        <v/>
      </c>
      <c r="AF141" s="43" t="str">
        <f>TRIM(データ!Z138)</f>
        <v/>
      </c>
    </row>
    <row r="142" spans="1:32" x14ac:dyDescent="0.15">
      <c r="A142" s="47">
        <f>データ!A139</f>
        <v>2</v>
      </c>
      <c r="B142" s="47" t="str">
        <f>TRIM(データ!C139)</f>
        <v/>
      </c>
      <c r="C142" s="47" t="str">
        <f>TRIM(データ!D139)</f>
        <v>運搬費</v>
      </c>
      <c r="D142" s="36" t="str">
        <f>REPT("｜",$A142)&amp;TRIM(データ!E139)</f>
        <v>｜｜AS処理費</v>
      </c>
      <c r="E142" s="37" t="str">
        <f>TRIM(データ!F139)</f>
        <v/>
      </c>
      <c r="F142" s="38" t="str">
        <f>TRIM(データ!G139)</f>
        <v>ｔ</v>
      </c>
      <c r="G142" s="50">
        <f>データ!H139</f>
        <v>12</v>
      </c>
      <c r="H142" s="48">
        <f>データ!I139</f>
        <v>400</v>
      </c>
      <c r="I142" s="48">
        <f>データ!J139</f>
        <v>4800</v>
      </c>
      <c r="J142" s="39" t="str">
        <f>IF(OR($C142="総括",$C142="内訳書",$C142="内訳代価",$C142="明細書",$C142="明細代価",$C142="代価表",$C142="単価表"),データ!K139,"")</f>
        <v/>
      </c>
      <c r="K142" s="11" t="str">
        <f t="shared" si="12"/>
        <v/>
      </c>
      <c r="L142" s="46">
        <f t="shared" si="13"/>
        <v>2.594963500216517E-4</v>
      </c>
      <c r="M142" s="40" t="str">
        <f>IF(データ!L139="","",データ!L139)</f>
        <v/>
      </c>
      <c r="N142" s="41" t="str">
        <f>IF(データ!M139="","",データ!M139)</f>
        <v/>
      </c>
      <c r="O142" s="42">
        <f>データ!N139</f>
        <v>0</v>
      </c>
      <c r="P142" s="48">
        <f>IF($C142="集計行","",データ!O139)</f>
        <v>0</v>
      </c>
      <c r="Q142" s="48">
        <f>データ!P139</f>
        <v>0</v>
      </c>
      <c r="R142" s="39" t="str">
        <f>IF(OR($C142="総括",$C142="内訳書",$C142="内訳代価",$C142="明細書",$C142="明細代価",$C142="代価表",$C142="単価表"),データ!Q139,"")</f>
        <v/>
      </c>
      <c r="S142" s="11" t="str">
        <f t="shared" si="14"/>
        <v/>
      </c>
      <c r="T142" s="46" t="e">
        <f t="shared" si="15"/>
        <v>#DIV/0!</v>
      </c>
      <c r="U142" s="40" t="str">
        <f>IF(データ!R139="","",データ!R139)</f>
        <v/>
      </c>
      <c r="V142" s="41" t="str">
        <f>IF(データ!S139="","",データ!S139)</f>
        <v/>
      </c>
      <c r="W142" s="42">
        <f>データ!T139</f>
        <v>0</v>
      </c>
      <c r="X142" s="48">
        <f>IF($C142="集計行","",データ!U139)</f>
        <v>0</v>
      </c>
      <c r="Y142" s="48">
        <f>データ!V139</f>
        <v>0</v>
      </c>
      <c r="Z142" s="39" t="str">
        <f>IF(OR($C142="総括",$C142="内訳書",$C142="内訳代価",$C142="明細書",$C142="明細代価",$C142="代価表",$C142="単価表"),データ!W139,"")</f>
        <v/>
      </c>
      <c r="AA142" s="11" t="str">
        <f t="shared" si="16"/>
        <v/>
      </c>
      <c r="AB142" s="46" t="e">
        <f t="shared" si="17"/>
        <v>#DIV/0!</v>
      </c>
      <c r="AC142" s="40" t="str">
        <f>IF(データ!X139="","",データ!X139)</f>
        <v/>
      </c>
      <c r="AD142" s="41" t="str">
        <f>IF(データ!Y139="","",データ!Y139)</f>
        <v/>
      </c>
      <c r="AE142" s="47" t="str">
        <f>TRIM(データ!B139)</f>
        <v/>
      </c>
      <c r="AF142" s="43" t="str">
        <f>TRIM(データ!Z139)</f>
        <v/>
      </c>
    </row>
    <row r="143" spans="1:32" x14ac:dyDescent="0.15">
      <c r="A143" s="47">
        <f>データ!A140</f>
        <v>2</v>
      </c>
      <c r="B143" s="47" t="str">
        <f>TRIM(データ!C140)</f>
        <v/>
      </c>
      <c r="C143" s="47" t="str">
        <f>TRIM(データ!D140)</f>
        <v>運搬費</v>
      </c>
      <c r="D143" s="36" t="str">
        <f>REPT("｜",$A143)&amp;TRIM(データ!E140)</f>
        <v>｜｜10t回送費</v>
      </c>
      <c r="E143" s="37" t="str">
        <f>TRIM(データ!F140)</f>
        <v>AF</v>
      </c>
      <c r="F143" s="38" t="str">
        <f>TRIM(データ!G140)</f>
        <v>回</v>
      </c>
      <c r="G143" s="50">
        <f>データ!H140</f>
        <v>2</v>
      </c>
      <c r="H143" s="48">
        <f>データ!I140</f>
        <v>28000</v>
      </c>
      <c r="I143" s="48">
        <f>データ!J140</f>
        <v>56000</v>
      </c>
      <c r="J143" s="39" t="str">
        <f>IF(OR($C143="総括",$C143="内訳書",$C143="内訳代価",$C143="明細書",$C143="明細代価",$C143="代価表",$C143="単価表"),データ!K140,"")</f>
        <v/>
      </c>
      <c r="K143" s="11" t="str">
        <f t="shared" si="12"/>
        <v/>
      </c>
      <c r="L143" s="46">
        <f t="shared" si="13"/>
        <v>3.0274574169192703E-3</v>
      </c>
      <c r="M143" s="40" t="str">
        <f>IF(データ!L140="","",データ!L140)</f>
        <v/>
      </c>
      <c r="N143" s="41" t="str">
        <f>IF(データ!M140="","",データ!M140)</f>
        <v/>
      </c>
      <c r="O143" s="42">
        <f>データ!N140</f>
        <v>0</v>
      </c>
      <c r="P143" s="48">
        <f>IF($C143="集計行","",データ!O140)</f>
        <v>0</v>
      </c>
      <c r="Q143" s="48">
        <f>データ!P140</f>
        <v>0</v>
      </c>
      <c r="R143" s="39" t="str">
        <f>IF(OR($C143="総括",$C143="内訳書",$C143="内訳代価",$C143="明細書",$C143="明細代価",$C143="代価表",$C143="単価表"),データ!Q140,"")</f>
        <v/>
      </c>
      <c r="S143" s="11" t="str">
        <f t="shared" si="14"/>
        <v/>
      </c>
      <c r="T143" s="46" t="e">
        <f t="shared" si="15"/>
        <v>#DIV/0!</v>
      </c>
      <c r="U143" s="40" t="str">
        <f>IF(データ!R140="","",データ!R140)</f>
        <v/>
      </c>
      <c r="V143" s="41" t="str">
        <f>IF(データ!S140="","",データ!S140)</f>
        <v/>
      </c>
      <c r="W143" s="42">
        <f>データ!T140</f>
        <v>0</v>
      </c>
      <c r="X143" s="48">
        <f>IF($C143="集計行","",データ!U140)</f>
        <v>0</v>
      </c>
      <c r="Y143" s="48">
        <f>データ!V140</f>
        <v>0</v>
      </c>
      <c r="Z143" s="39" t="str">
        <f>IF(OR($C143="総括",$C143="内訳書",$C143="内訳代価",$C143="明細書",$C143="明細代価",$C143="代価表",$C143="単価表"),データ!W140,"")</f>
        <v/>
      </c>
      <c r="AA143" s="11" t="str">
        <f t="shared" si="16"/>
        <v/>
      </c>
      <c r="AB143" s="46" t="e">
        <f t="shared" si="17"/>
        <v>#DIV/0!</v>
      </c>
      <c r="AC143" s="40" t="str">
        <f>IF(データ!X140="","",データ!X140)</f>
        <v/>
      </c>
      <c r="AD143" s="41" t="str">
        <f>IF(データ!Y140="","",データ!Y140)</f>
        <v/>
      </c>
      <c r="AE143" s="47" t="str">
        <f>TRIM(データ!B140)</f>
        <v/>
      </c>
      <c r="AF143" s="43" t="str">
        <f>TRIM(データ!Z140)</f>
        <v/>
      </c>
    </row>
    <row r="144" spans="1:32" x14ac:dyDescent="0.15">
      <c r="A144" s="47">
        <f>データ!A141</f>
        <v>2</v>
      </c>
      <c r="B144" s="47" t="str">
        <f>TRIM(データ!C141)</f>
        <v/>
      </c>
      <c r="C144" s="47" t="str">
        <f>TRIM(データ!D141)</f>
        <v>運搬費</v>
      </c>
      <c r="D144" s="36" t="str">
        <f>REPT("｜",$A144)&amp;TRIM(データ!E141)</f>
        <v>｜｜6t回送費</v>
      </c>
      <c r="E144" s="37" t="str">
        <f>TRIM(データ!F141)</f>
        <v>CR</v>
      </c>
      <c r="F144" s="38" t="str">
        <f>TRIM(データ!G141)</f>
        <v>回</v>
      </c>
      <c r="G144" s="50">
        <f>データ!H141</f>
        <v>2</v>
      </c>
      <c r="H144" s="48">
        <f>データ!I141</f>
        <v>16000</v>
      </c>
      <c r="I144" s="48">
        <f>データ!J141</f>
        <v>32000</v>
      </c>
      <c r="J144" s="39" t="str">
        <f>IF(OR($C144="総括",$C144="内訳書",$C144="内訳代価",$C144="明細書",$C144="明細代価",$C144="代価表",$C144="単価表"),データ!K141,"")</f>
        <v/>
      </c>
      <c r="K144" s="11" t="str">
        <f t="shared" si="12"/>
        <v/>
      </c>
      <c r="L144" s="46">
        <f t="shared" si="13"/>
        <v>1.7299756668110115E-3</v>
      </c>
      <c r="M144" s="40" t="str">
        <f>IF(データ!L141="","",データ!L141)</f>
        <v/>
      </c>
      <c r="N144" s="41" t="str">
        <f>IF(データ!M141="","",データ!M141)</f>
        <v/>
      </c>
      <c r="O144" s="42">
        <f>データ!N141</f>
        <v>0</v>
      </c>
      <c r="P144" s="48">
        <f>IF($C144="集計行","",データ!O141)</f>
        <v>0</v>
      </c>
      <c r="Q144" s="48">
        <f>データ!P141</f>
        <v>0</v>
      </c>
      <c r="R144" s="39" t="str">
        <f>IF(OR($C144="総括",$C144="内訳書",$C144="内訳代価",$C144="明細書",$C144="明細代価",$C144="代価表",$C144="単価表"),データ!Q141,"")</f>
        <v/>
      </c>
      <c r="S144" s="11" t="str">
        <f t="shared" si="14"/>
        <v/>
      </c>
      <c r="T144" s="46" t="e">
        <f t="shared" si="15"/>
        <v>#DIV/0!</v>
      </c>
      <c r="U144" s="40" t="str">
        <f>IF(データ!R141="","",データ!R141)</f>
        <v/>
      </c>
      <c r="V144" s="41" t="str">
        <f>IF(データ!S141="","",データ!S141)</f>
        <v/>
      </c>
      <c r="W144" s="42">
        <f>データ!T141</f>
        <v>0</v>
      </c>
      <c r="X144" s="48">
        <f>IF($C144="集計行","",データ!U141)</f>
        <v>0</v>
      </c>
      <c r="Y144" s="48">
        <f>データ!V141</f>
        <v>0</v>
      </c>
      <c r="Z144" s="39" t="str">
        <f>IF(OR($C144="総括",$C144="内訳書",$C144="内訳代価",$C144="明細書",$C144="明細代価",$C144="代価表",$C144="単価表"),データ!W141,"")</f>
        <v/>
      </c>
      <c r="AA144" s="11" t="str">
        <f t="shared" si="16"/>
        <v/>
      </c>
      <c r="AB144" s="46" t="e">
        <f t="shared" si="17"/>
        <v>#DIV/0!</v>
      </c>
      <c r="AC144" s="40" t="str">
        <f>IF(データ!X141="","",データ!X141)</f>
        <v/>
      </c>
      <c r="AD144" s="41" t="str">
        <f>IF(データ!Y141="","",データ!Y141)</f>
        <v/>
      </c>
      <c r="AE144" s="47" t="str">
        <f>TRIM(データ!B141)</f>
        <v/>
      </c>
      <c r="AF144" s="43" t="str">
        <f>TRIM(データ!Z141)</f>
        <v/>
      </c>
    </row>
    <row r="145" spans="1:32" x14ac:dyDescent="0.15">
      <c r="A145" s="47">
        <f>データ!A142</f>
        <v>2</v>
      </c>
      <c r="B145" s="47" t="str">
        <f>TRIM(データ!C142)</f>
        <v/>
      </c>
      <c r="C145" s="47" t="str">
        <f>TRIM(データ!D142)</f>
        <v>運搬費</v>
      </c>
      <c r="D145" s="36" t="str">
        <f>REPT("｜",$A145)&amp;TRIM(データ!E142)</f>
        <v>｜｜6t回送費</v>
      </c>
      <c r="E145" s="37" t="str">
        <f>TRIM(データ!F142)</f>
        <v>BH</v>
      </c>
      <c r="F145" s="38" t="str">
        <f>TRIM(データ!G142)</f>
        <v>回</v>
      </c>
      <c r="G145" s="50">
        <f>データ!H142</f>
        <v>2</v>
      </c>
      <c r="H145" s="48">
        <f>データ!I142</f>
        <v>16000</v>
      </c>
      <c r="I145" s="48">
        <f>データ!J142</f>
        <v>32000</v>
      </c>
      <c r="J145" s="39" t="str">
        <f>IF(OR($C145="総括",$C145="内訳書",$C145="内訳代価",$C145="明細書",$C145="明細代価",$C145="代価表",$C145="単価表"),データ!K142,"")</f>
        <v/>
      </c>
      <c r="K145" s="11" t="str">
        <f t="shared" si="12"/>
        <v/>
      </c>
      <c r="L145" s="46">
        <f t="shared" si="13"/>
        <v>1.7299756668110115E-3</v>
      </c>
      <c r="M145" s="40" t="str">
        <f>IF(データ!L142="","",データ!L142)</f>
        <v/>
      </c>
      <c r="N145" s="41" t="str">
        <f>IF(データ!M142="","",データ!M142)</f>
        <v/>
      </c>
      <c r="O145" s="42">
        <f>データ!N142</f>
        <v>0</v>
      </c>
      <c r="P145" s="48">
        <f>IF($C145="集計行","",データ!O142)</f>
        <v>0</v>
      </c>
      <c r="Q145" s="48">
        <f>データ!P142</f>
        <v>0</v>
      </c>
      <c r="R145" s="39" t="str">
        <f>IF(OR($C145="総括",$C145="内訳書",$C145="内訳代価",$C145="明細書",$C145="明細代価",$C145="代価表",$C145="単価表"),データ!Q142,"")</f>
        <v/>
      </c>
      <c r="S145" s="11" t="str">
        <f t="shared" si="14"/>
        <v/>
      </c>
      <c r="T145" s="46" t="e">
        <f t="shared" si="15"/>
        <v>#DIV/0!</v>
      </c>
      <c r="U145" s="40" t="str">
        <f>IF(データ!R142="","",データ!R142)</f>
        <v/>
      </c>
      <c r="V145" s="41" t="str">
        <f>IF(データ!S142="","",データ!S142)</f>
        <v/>
      </c>
      <c r="W145" s="42">
        <f>データ!T142</f>
        <v>0</v>
      </c>
      <c r="X145" s="48">
        <f>IF($C145="集計行","",データ!U142)</f>
        <v>0</v>
      </c>
      <c r="Y145" s="48">
        <f>データ!V142</f>
        <v>0</v>
      </c>
      <c r="Z145" s="39" t="str">
        <f>IF(OR($C145="総括",$C145="内訳書",$C145="内訳代価",$C145="明細書",$C145="明細代価",$C145="代価表",$C145="単価表"),データ!W142,"")</f>
        <v/>
      </c>
      <c r="AA145" s="11" t="str">
        <f t="shared" si="16"/>
        <v/>
      </c>
      <c r="AB145" s="46" t="e">
        <f t="shared" si="17"/>
        <v>#DIV/0!</v>
      </c>
      <c r="AC145" s="40" t="str">
        <f>IF(データ!X142="","",データ!X142)</f>
        <v/>
      </c>
      <c r="AD145" s="41" t="str">
        <f>IF(データ!Y142="","",データ!Y142)</f>
        <v/>
      </c>
      <c r="AE145" s="47" t="str">
        <f>TRIM(データ!B142)</f>
        <v/>
      </c>
      <c r="AF145" s="43" t="str">
        <f>TRIM(データ!Z142)</f>
        <v/>
      </c>
    </row>
    <row r="146" spans="1:32" x14ac:dyDescent="0.15">
      <c r="A146" s="47">
        <f>データ!A143</f>
        <v>2</v>
      </c>
      <c r="B146" s="47" t="str">
        <f>TRIM(データ!C143)</f>
        <v/>
      </c>
      <c r="C146" s="47" t="str">
        <f>TRIM(データ!D143)</f>
        <v>運搬費</v>
      </c>
      <c r="D146" s="36" t="str">
        <f>REPT("｜",$A146)&amp;TRIM(データ!E143)</f>
        <v>｜｜2tダンプ</v>
      </c>
      <c r="E146" s="37" t="str">
        <f>TRIM(データ!F143)</f>
        <v/>
      </c>
      <c r="F146" s="38" t="str">
        <f>TRIM(データ!G143)</f>
        <v>台</v>
      </c>
      <c r="G146" s="50">
        <f>データ!H143</f>
        <v>2</v>
      </c>
      <c r="H146" s="48">
        <f>データ!I143</f>
        <v>8000</v>
      </c>
      <c r="I146" s="48">
        <f>データ!J143</f>
        <v>16000</v>
      </c>
      <c r="J146" s="39" t="str">
        <f>IF(OR($C146="総括",$C146="内訳書",$C146="内訳代価",$C146="明細書",$C146="明細代価",$C146="代価表",$C146="単価表"),データ!K143,"")</f>
        <v/>
      </c>
      <c r="K146" s="11" t="str">
        <f t="shared" si="12"/>
        <v/>
      </c>
      <c r="L146" s="46">
        <f t="shared" si="13"/>
        <v>8.6498783340550574E-4</v>
      </c>
      <c r="M146" s="40" t="str">
        <f>IF(データ!L143="","",データ!L143)</f>
        <v/>
      </c>
      <c r="N146" s="41" t="str">
        <f>IF(データ!M143="","",データ!M143)</f>
        <v/>
      </c>
      <c r="O146" s="42">
        <f>データ!N143</f>
        <v>0</v>
      </c>
      <c r="P146" s="48">
        <f>IF($C146="集計行","",データ!O143)</f>
        <v>0</v>
      </c>
      <c r="Q146" s="48">
        <f>データ!P143</f>
        <v>0</v>
      </c>
      <c r="R146" s="39" t="str">
        <f>IF(OR($C146="総括",$C146="内訳書",$C146="内訳代価",$C146="明細書",$C146="明細代価",$C146="代価表",$C146="単価表"),データ!Q143,"")</f>
        <v/>
      </c>
      <c r="S146" s="11" t="str">
        <f t="shared" si="14"/>
        <v/>
      </c>
      <c r="T146" s="46" t="e">
        <f t="shared" si="15"/>
        <v>#DIV/0!</v>
      </c>
      <c r="U146" s="40" t="str">
        <f>IF(データ!R143="","",データ!R143)</f>
        <v/>
      </c>
      <c r="V146" s="41" t="str">
        <f>IF(データ!S143="","",データ!S143)</f>
        <v/>
      </c>
      <c r="W146" s="42">
        <f>データ!T143</f>
        <v>0</v>
      </c>
      <c r="X146" s="48">
        <f>IF($C146="集計行","",データ!U143)</f>
        <v>0</v>
      </c>
      <c r="Y146" s="48">
        <f>データ!V143</f>
        <v>0</v>
      </c>
      <c r="Z146" s="39" t="str">
        <f>IF(OR($C146="総括",$C146="内訳書",$C146="内訳代価",$C146="明細書",$C146="明細代価",$C146="代価表",$C146="単価表"),データ!W143,"")</f>
        <v/>
      </c>
      <c r="AA146" s="11" t="str">
        <f t="shared" si="16"/>
        <v/>
      </c>
      <c r="AB146" s="46" t="e">
        <f t="shared" si="17"/>
        <v>#DIV/0!</v>
      </c>
      <c r="AC146" s="40" t="str">
        <f>IF(データ!X143="","",データ!X143)</f>
        <v/>
      </c>
      <c r="AD146" s="41" t="str">
        <f>IF(データ!Y143="","",データ!Y143)</f>
        <v/>
      </c>
      <c r="AE146" s="47" t="str">
        <f>TRIM(データ!B143)</f>
        <v/>
      </c>
      <c r="AF146" s="43" t="str">
        <f>TRIM(データ!Z143)</f>
        <v/>
      </c>
    </row>
    <row r="147" spans="1:32" x14ac:dyDescent="0.15">
      <c r="A147" s="47">
        <f>データ!A144</f>
        <v>2</v>
      </c>
      <c r="B147" s="47" t="str">
        <f>TRIM(データ!C144)</f>
        <v/>
      </c>
      <c r="C147" s="47" t="str">
        <f>TRIM(データ!D144)</f>
        <v>運搬費</v>
      </c>
      <c r="D147" s="36" t="str">
        <f>REPT("｜",$A147)&amp;TRIM(データ!E144)</f>
        <v>｜｜WP</v>
      </c>
      <c r="E147" s="37" t="str">
        <f>TRIM(データ!F144)</f>
        <v/>
      </c>
      <c r="F147" s="38" t="str">
        <f>TRIM(データ!G144)</f>
        <v>台</v>
      </c>
      <c r="G147" s="50">
        <f>データ!H144</f>
        <v>1</v>
      </c>
      <c r="H147" s="48">
        <f>データ!I144</f>
        <v>8000</v>
      </c>
      <c r="I147" s="48">
        <f>データ!J144</f>
        <v>8000</v>
      </c>
      <c r="J147" s="39" t="str">
        <f>IF(OR($C147="総括",$C147="内訳書",$C147="内訳代価",$C147="明細書",$C147="明細代価",$C147="代価表",$C147="単価表"),データ!K144,"")</f>
        <v/>
      </c>
      <c r="K147" s="11" t="str">
        <f t="shared" si="12"/>
        <v/>
      </c>
      <c r="L147" s="46">
        <f t="shared" si="13"/>
        <v>4.3249391670275287E-4</v>
      </c>
      <c r="M147" s="40" t="str">
        <f>IF(データ!L144="","",データ!L144)</f>
        <v/>
      </c>
      <c r="N147" s="41" t="str">
        <f>IF(データ!M144="","",データ!M144)</f>
        <v/>
      </c>
      <c r="O147" s="42">
        <f>データ!N144</f>
        <v>0</v>
      </c>
      <c r="P147" s="48">
        <f>IF($C147="集計行","",データ!O144)</f>
        <v>0</v>
      </c>
      <c r="Q147" s="48">
        <f>データ!P144</f>
        <v>0</v>
      </c>
      <c r="R147" s="39" t="str">
        <f>IF(OR($C147="総括",$C147="内訳書",$C147="内訳代価",$C147="明細書",$C147="明細代価",$C147="代価表",$C147="単価表"),データ!Q144,"")</f>
        <v/>
      </c>
      <c r="S147" s="11" t="str">
        <f t="shared" si="14"/>
        <v/>
      </c>
      <c r="T147" s="46" t="e">
        <f t="shared" si="15"/>
        <v>#DIV/0!</v>
      </c>
      <c r="U147" s="40" t="str">
        <f>IF(データ!R144="","",データ!R144)</f>
        <v/>
      </c>
      <c r="V147" s="41" t="str">
        <f>IF(データ!S144="","",データ!S144)</f>
        <v/>
      </c>
      <c r="W147" s="42">
        <f>データ!T144</f>
        <v>0</v>
      </c>
      <c r="X147" s="48">
        <f>IF($C147="集計行","",データ!U144)</f>
        <v>0</v>
      </c>
      <c r="Y147" s="48">
        <f>データ!V144</f>
        <v>0</v>
      </c>
      <c r="Z147" s="39" t="str">
        <f>IF(OR($C147="総括",$C147="内訳書",$C147="内訳代価",$C147="明細書",$C147="明細代価",$C147="代価表",$C147="単価表"),データ!W144,"")</f>
        <v/>
      </c>
      <c r="AA147" s="11" t="str">
        <f t="shared" si="16"/>
        <v/>
      </c>
      <c r="AB147" s="46" t="e">
        <f t="shared" si="17"/>
        <v>#DIV/0!</v>
      </c>
      <c r="AC147" s="40" t="str">
        <f>IF(データ!X144="","",データ!X144)</f>
        <v/>
      </c>
      <c r="AD147" s="41" t="str">
        <f>IF(データ!Y144="","",データ!Y144)</f>
        <v/>
      </c>
      <c r="AE147" s="47" t="str">
        <f>TRIM(データ!B144)</f>
        <v/>
      </c>
      <c r="AF147" s="43" t="str">
        <f>TRIM(データ!Z144)</f>
        <v/>
      </c>
    </row>
    <row r="148" spans="1:32" x14ac:dyDescent="0.15">
      <c r="A148" s="47">
        <f>データ!A145</f>
        <v>2</v>
      </c>
      <c r="B148" s="47" t="str">
        <f>TRIM(データ!C145)</f>
        <v/>
      </c>
      <c r="C148" s="47" t="str">
        <f>TRIM(データ!D145)</f>
        <v>外注費</v>
      </c>
      <c r="D148" s="36" t="str">
        <f>REPT("｜",$A148)&amp;TRIM(データ!E145)</f>
        <v>｜｜諸経費</v>
      </c>
      <c r="E148" s="37" t="str">
        <f>TRIM(データ!F145)</f>
        <v/>
      </c>
      <c r="F148" s="38" t="str">
        <f>TRIM(データ!G145)</f>
        <v>式</v>
      </c>
      <c r="G148" s="50">
        <f>データ!H145</f>
        <v>1</v>
      </c>
      <c r="H148" s="48">
        <f>データ!I145</f>
        <v>35800</v>
      </c>
      <c r="I148" s="48">
        <f>データ!J145</f>
        <v>35800</v>
      </c>
      <c r="J148" s="39" t="str">
        <f>IF(OR($C148="総括",$C148="内訳書",$C148="内訳代価",$C148="明細書",$C148="明細代価",$C148="代価表",$C148="単価表"),データ!K145,"")</f>
        <v/>
      </c>
      <c r="K148" s="11" t="str">
        <f t="shared" si="12"/>
        <v/>
      </c>
      <c r="L148" s="46">
        <f t="shared" si="13"/>
        <v>1.9354102772448192E-3</v>
      </c>
      <c r="M148" s="40" t="str">
        <f>IF(データ!L145="","",データ!L145)</f>
        <v/>
      </c>
      <c r="N148" s="41" t="str">
        <f>IF(データ!M145="","",データ!M145)</f>
        <v/>
      </c>
      <c r="O148" s="42">
        <f>データ!N145</f>
        <v>0</v>
      </c>
      <c r="P148" s="48">
        <f>IF($C148="集計行","",データ!O145)</f>
        <v>0</v>
      </c>
      <c r="Q148" s="48">
        <f>データ!P145</f>
        <v>0</v>
      </c>
      <c r="R148" s="39" t="str">
        <f>IF(OR($C148="総括",$C148="内訳書",$C148="内訳代価",$C148="明細書",$C148="明細代価",$C148="代価表",$C148="単価表"),データ!Q145,"")</f>
        <v/>
      </c>
      <c r="S148" s="11" t="str">
        <f t="shared" si="14"/>
        <v/>
      </c>
      <c r="T148" s="46" t="e">
        <f t="shared" si="15"/>
        <v>#DIV/0!</v>
      </c>
      <c r="U148" s="40" t="str">
        <f>IF(データ!R145="","",データ!R145)</f>
        <v/>
      </c>
      <c r="V148" s="41" t="str">
        <f>IF(データ!S145="","",データ!S145)</f>
        <v/>
      </c>
      <c r="W148" s="42">
        <f>データ!T145</f>
        <v>0</v>
      </c>
      <c r="X148" s="48">
        <f>IF($C148="集計行","",データ!U145)</f>
        <v>0</v>
      </c>
      <c r="Y148" s="48">
        <f>データ!V145</f>
        <v>0</v>
      </c>
      <c r="Z148" s="39" t="str">
        <f>IF(OR($C148="総括",$C148="内訳書",$C148="内訳代価",$C148="明細書",$C148="明細代価",$C148="代価表",$C148="単価表"),データ!W145,"")</f>
        <v/>
      </c>
      <c r="AA148" s="11" t="str">
        <f t="shared" si="16"/>
        <v/>
      </c>
      <c r="AB148" s="46" t="e">
        <f t="shared" si="17"/>
        <v>#DIV/0!</v>
      </c>
      <c r="AC148" s="40" t="str">
        <f>IF(データ!X145="","",データ!X145)</f>
        <v/>
      </c>
      <c r="AD148" s="41" t="str">
        <f>IF(データ!Y145="","",データ!Y145)</f>
        <v/>
      </c>
      <c r="AE148" s="47" t="str">
        <f>TRIM(データ!B145)</f>
        <v/>
      </c>
      <c r="AF148" s="43" t="str">
        <f>TRIM(データ!Z145)</f>
        <v/>
      </c>
    </row>
    <row r="149" spans="1:32" x14ac:dyDescent="0.15">
      <c r="A149" s="47">
        <f>データ!A146</f>
        <v>2</v>
      </c>
      <c r="B149" s="47" t="str">
        <f>TRIM(データ!C146)</f>
        <v/>
      </c>
      <c r="C149" s="47" t="str">
        <f>TRIM(データ!D146)</f>
        <v>外注費</v>
      </c>
      <c r="D149" s="36" t="str">
        <f>REPT("｜",$A149)&amp;TRIM(データ!E146)</f>
        <v>｜｜法定福利費</v>
      </c>
      <c r="E149" s="37" t="str">
        <f>TRIM(データ!F146)</f>
        <v/>
      </c>
      <c r="F149" s="38" t="str">
        <f>TRIM(データ!G146)</f>
        <v>式</v>
      </c>
      <c r="G149" s="50">
        <f>データ!H146</f>
        <v>1</v>
      </c>
      <c r="H149" s="48">
        <f>データ!I146</f>
        <v>29900</v>
      </c>
      <c r="I149" s="48">
        <f>データ!J146</f>
        <v>29900</v>
      </c>
      <c r="J149" s="39" t="str">
        <f>IF(OR($C149="総括",$C149="内訳書",$C149="内訳代価",$C149="明細書",$C149="明細代価",$C149="代価表",$C149="単価表"),データ!K146,"")</f>
        <v/>
      </c>
      <c r="K149" s="11" t="str">
        <f t="shared" si="12"/>
        <v/>
      </c>
      <c r="L149" s="46">
        <f t="shared" si="13"/>
        <v>1.616446013676539E-3</v>
      </c>
      <c r="M149" s="40" t="str">
        <f>IF(データ!L146="","",データ!L146)</f>
        <v/>
      </c>
      <c r="N149" s="41" t="str">
        <f>IF(データ!M146="","",データ!M146)</f>
        <v/>
      </c>
      <c r="O149" s="42">
        <f>データ!N146</f>
        <v>0</v>
      </c>
      <c r="P149" s="48">
        <f>IF($C149="集計行","",データ!O146)</f>
        <v>0</v>
      </c>
      <c r="Q149" s="48">
        <f>データ!P146</f>
        <v>0</v>
      </c>
      <c r="R149" s="39" t="str">
        <f>IF(OR($C149="総括",$C149="内訳書",$C149="内訳代価",$C149="明細書",$C149="明細代価",$C149="代価表",$C149="単価表"),データ!Q146,"")</f>
        <v/>
      </c>
      <c r="S149" s="11" t="str">
        <f t="shared" si="14"/>
        <v/>
      </c>
      <c r="T149" s="46" t="e">
        <f t="shared" si="15"/>
        <v>#DIV/0!</v>
      </c>
      <c r="U149" s="40" t="str">
        <f>IF(データ!R146="","",データ!R146)</f>
        <v/>
      </c>
      <c r="V149" s="41" t="str">
        <f>IF(データ!S146="","",データ!S146)</f>
        <v/>
      </c>
      <c r="W149" s="42">
        <f>データ!T146</f>
        <v>0</v>
      </c>
      <c r="X149" s="48">
        <f>IF($C149="集計行","",データ!U146)</f>
        <v>0</v>
      </c>
      <c r="Y149" s="48">
        <f>データ!V146</f>
        <v>0</v>
      </c>
      <c r="Z149" s="39" t="str">
        <f>IF(OR($C149="総括",$C149="内訳書",$C149="内訳代価",$C149="明細書",$C149="明細代価",$C149="代価表",$C149="単価表"),データ!W146,"")</f>
        <v/>
      </c>
      <c r="AA149" s="11" t="str">
        <f t="shared" si="16"/>
        <v/>
      </c>
      <c r="AB149" s="46" t="e">
        <f t="shared" si="17"/>
        <v>#DIV/0!</v>
      </c>
      <c r="AC149" s="40" t="str">
        <f>IF(データ!X146="","",データ!X146)</f>
        <v/>
      </c>
      <c r="AD149" s="41" t="str">
        <f>IF(データ!Y146="","",データ!Y146)</f>
        <v/>
      </c>
      <c r="AE149" s="47" t="str">
        <f>TRIM(データ!B146)</f>
        <v/>
      </c>
      <c r="AF149" s="43" t="str">
        <f>TRIM(データ!Z146)</f>
        <v/>
      </c>
    </row>
    <row r="150" spans="1:32" x14ac:dyDescent="0.15">
      <c r="A150" s="47">
        <f>データ!A147</f>
        <v>2</v>
      </c>
      <c r="B150" s="47" t="str">
        <f>TRIM(データ!C147)</f>
        <v/>
      </c>
      <c r="C150" s="47" t="str">
        <f>TRIM(データ!D147)</f>
        <v>外注費</v>
      </c>
      <c r="D150" s="36" t="str">
        <f>REPT("｜",$A150)&amp;TRIM(データ!E147)</f>
        <v>｜｜交通誘導員</v>
      </c>
      <c r="E150" s="37" t="str">
        <f>TRIM(データ!F147)</f>
        <v/>
      </c>
      <c r="F150" s="38" t="str">
        <f>TRIM(データ!G147)</f>
        <v>人</v>
      </c>
      <c r="G150" s="50">
        <f>データ!H147</f>
        <v>4</v>
      </c>
      <c r="H150" s="48">
        <f>データ!I147</f>
        <v>18000</v>
      </c>
      <c r="I150" s="48">
        <f>データ!J147</f>
        <v>72000</v>
      </c>
      <c r="J150" s="39" t="str">
        <f>IF(OR($C150="総括",$C150="内訳書",$C150="内訳代価",$C150="明細書",$C150="明細代価",$C150="代価表",$C150="単価表"),データ!K147,"")</f>
        <v/>
      </c>
      <c r="K150" s="11" t="str">
        <f t="shared" si="12"/>
        <v/>
      </c>
      <c r="L150" s="46">
        <f t="shared" si="13"/>
        <v>3.8924452503247757E-3</v>
      </c>
      <c r="M150" s="40" t="str">
        <f>IF(データ!L147="","",データ!L147)</f>
        <v/>
      </c>
      <c r="N150" s="41" t="str">
        <f>IF(データ!M147="","",データ!M147)</f>
        <v/>
      </c>
      <c r="O150" s="42">
        <f>データ!N147</f>
        <v>0</v>
      </c>
      <c r="P150" s="48">
        <f>IF($C150="集計行","",データ!O147)</f>
        <v>0</v>
      </c>
      <c r="Q150" s="48">
        <f>データ!P147</f>
        <v>0</v>
      </c>
      <c r="R150" s="39" t="str">
        <f>IF(OR($C150="総括",$C150="内訳書",$C150="内訳代価",$C150="明細書",$C150="明細代価",$C150="代価表",$C150="単価表"),データ!Q147,"")</f>
        <v/>
      </c>
      <c r="S150" s="11" t="str">
        <f t="shared" si="14"/>
        <v/>
      </c>
      <c r="T150" s="46" t="e">
        <f t="shared" si="15"/>
        <v>#DIV/0!</v>
      </c>
      <c r="U150" s="40" t="str">
        <f>IF(データ!R147="","",データ!R147)</f>
        <v/>
      </c>
      <c r="V150" s="41" t="str">
        <f>IF(データ!S147="","",データ!S147)</f>
        <v/>
      </c>
      <c r="W150" s="42">
        <f>データ!T147</f>
        <v>0</v>
      </c>
      <c r="X150" s="48">
        <f>IF($C150="集計行","",データ!U147)</f>
        <v>0</v>
      </c>
      <c r="Y150" s="48">
        <f>データ!V147</f>
        <v>0</v>
      </c>
      <c r="Z150" s="39" t="str">
        <f>IF(OR($C150="総括",$C150="内訳書",$C150="内訳代価",$C150="明細書",$C150="明細代価",$C150="代価表",$C150="単価表"),データ!W147,"")</f>
        <v/>
      </c>
      <c r="AA150" s="11" t="str">
        <f t="shared" si="16"/>
        <v/>
      </c>
      <c r="AB150" s="46" t="e">
        <f t="shared" si="17"/>
        <v>#DIV/0!</v>
      </c>
      <c r="AC150" s="40" t="str">
        <f>IF(データ!X147="","",データ!X147)</f>
        <v/>
      </c>
      <c r="AD150" s="41" t="str">
        <f>IF(データ!Y147="","",データ!Y147)</f>
        <v/>
      </c>
      <c r="AE150" s="47" t="str">
        <f>TRIM(データ!B147)</f>
        <v/>
      </c>
      <c r="AF150" s="43" t="str">
        <f>TRIM(データ!Z147)</f>
        <v/>
      </c>
    </row>
    <row r="151" spans="1:32" x14ac:dyDescent="0.15">
      <c r="A151" s="47">
        <f>データ!A148</f>
        <v>2</v>
      </c>
      <c r="B151" s="47" t="str">
        <f>TRIM(データ!C148)</f>
        <v/>
      </c>
      <c r="C151" s="47" t="str">
        <f>TRIM(データ!D148)</f>
        <v>機械費</v>
      </c>
      <c r="D151" s="36" t="str">
        <f>REPT("｜",$A151)&amp;TRIM(データ!E148)</f>
        <v>｜｜軽トラ規制車　保安材含</v>
      </c>
      <c r="E151" s="37" t="str">
        <f>TRIM(データ!F148)</f>
        <v/>
      </c>
      <c r="F151" s="38" t="str">
        <f>TRIM(データ!G148)</f>
        <v>台</v>
      </c>
      <c r="G151" s="50">
        <f>データ!H148</f>
        <v>1</v>
      </c>
      <c r="H151" s="48">
        <f>データ!I148</f>
        <v>15000</v>
      </c>
      <c r="I151" s="48">
        <f>データ!J148</f>
        <v>15000</v>
      </c>
      <c r="J151" s="39" t="str">
        <f>IF(OR($C151="総括",$C151="内訳書",$C151="内訳代価",$C151="明細書",$C151="明細代価",$C151="代価表",$C151="単価表"),データ!K148,"")</f>
        <v/>
      </c>
      <c r="K151" s="11" t="str">
        <f t="shared" si="12"/>
        <v/>
      </c>
      <c r="L151" s="46">
        <f t="shared" si="13"/>
        <v>8.1092609381766166E-4</v>
      </c>
      <c r="M151" s="40" t="str">
        <f>IF(データ!L148="","",データ!L148)</f>
        <v/>
      </c>
      <c r="N151" s="41" t="str">
        <f>IF(データ!M148="","",データ!M148)</f>
        <v/>
      </c>
      <c r="O151" s="42">
        <f>データ!N148</f>
        <v>0</v>
      </c>
      <c r="P151" s="48">
        <f>IF($C151="集計行","",データ!O148)</f>
        <v>0</v>
      </c>
      <c r="Q151" s="48">
        <f>データ!P148</f>
        <v>0</v>
      </c>
      <c r="R151" s="39" t="str">
        <f>IF(OR($C151="総括",$C151="内訳書",$C151="内訳代価",$C151="明細書",$C151="明細代価",$C151="代価表",$C151="単価表"),データ!Q148,"")</f>
        <v/>
      </c>
      <c r="S151" s="11" t="str">
        <f t="shared" si="14"/>
        <v/>
      </c>
      <c r="T151" s="46" t="e">
        <f t="shared" si="15"/>
        <v>#DIV/0!</v>
      </c>
      <c r="U151" s="40" t="str">
        <f>IF(データ!R148="","",データ!R148)</f>
        <v/>
      </c>
      <c r="V151" s="41" t="str">
        <f>IF(データ!S148="","",データ!S148)</f>
        <v/>
      </c>
      <c r="W151" s="42">
        <f>データ!T148</f>
        <v>0</v>
      </c>
      <c r="X151" s="48">
        <f>IF($C151="集計行","",データ!U148)</f>
        <v>0</v>
      </c>
      <c r="Y151" s="48">
        <f>データ!V148</f>
        <v>0</v>
      </c>
      <c r="Z151" s="39" t="str">
        <f>IF(OR($C151="総括",$C151="内訳書",$C151="内訳代価",$C151="明細書",$C151="明細代価",$C151="代価表",$C151="単価表"),データ!W148,"")</f>
        <v/>
      </c>
      <c r="AA151" s="11" t="str">
        <f t="shared" si="16"/>
        <v/>
      </c>
      <c r="AB151" s="46" t="e">
        <f t="shared" si="17"/>
        <v>#DIV/0!</v>
      </c>
      <c r="AC151" s="40" t="str">
        <f>IF(データ!X148="","",データ!X148)</f>
        <v/>
      </c>
      <c r="AD151" s="41" t="str">
        <f>IF(データ!Y148="","",データ!Y148)</f>
        <v/>
      </c>
      <c r="AE151" s="47" t="str">
        <f>TRIM(データ!B148)</f>
        <v/>
      </c>
      <c r="AF151" s="43" t="str">
        <f>TRIM(データ!Z148)</f>
        <v/>
      </c>
    </row>
    <row r="152" spans="1:32" x14ac:dyDescent="0.15">
      <c r="A152" s="47">
        <f>データ!A149</f>
        <v>1</v>
      </c>
      <c r="B152" s="47" t="str">
        <f>TRIM(データ!C149)</f>
        <v/>
      </c>
      <c r="C152" s="47" t="str">
        <f>TRIM(データ!D149)</f>
        <v>内訳書</v>
      </c>
      <c r="D152" s="36" t="str">
        <f>REPT("｜",$A152)&amp;TRIM(データ!E149)</f>
        <v>｜路面補修工No.7</v>
      </c>
      <c r="E152" s="37" t="str">
        <f>TRIM(データ!F149)</f>
        <v>路面パッチング補修</v>
      </c>
      <c r="F152" s="38" t="str">
        <f>TRIM(データ!G149)</f>
        <v>m2</v>
      </c>
      <c r="G152" s="50">
        <f>データ!H149</f>
        <v>3.7</v>
      </c>
      <c r="H152" s="48">
        <f>データ!I149</f>
        <v>36000</v>
      </c>
      <c r="I152" s="48">
        <f>データ!J149</f>
        <v>133200</v>
      </c>
      <c r="J152" s="39">
        <f>IF(OR($C152="総括",$C152="内訳書",$C152="内訳代価",$C152="明細書",$C152="明細代価",$C152="代価表",$C152="単価表"),データ!K149,"")</f>
        <v>3.7</v>
      </c>
      <c r="K152" s="11" t="str">
        <f t="shared" si="12"/>
        <v/>
      </c>
      <c r="L152" s="46">
        <f t="shared" si="13"/>
        <v>7.2010237131008353E-3</v>
      </c>
      <c r="M152" s="40" t="str">
        <f>IF(データ!L149="","",データ!L149)</f>
        <v/>
      </c>
      <c r="N152" s="41" t="str">
        <f>IF(データ!M149="","",データ!M149)</f>
        <v>21号内訳書</v>
      </c>
      <c r="O152" s="42">
        <f>データ!N149</f>
        <v>0</v>
      </c>
      <c r="P152" s="48">
        <f>IF($C152="集計行","",データ!O149)</f>
        <v>0</v>
      </c>
      <c r="Q152" s="48">
        <f>データ!P149</f>
        <v>0</v>
      </c>
      <c r="R152" s="39">
        <f>IF(OR($C152="総括",$C152="内訳書",$C152="内訳代価",$C152="明細書",$C152="明細代価",$C152="代価表",$C152="単価表"),データ!Q149,"")</f>
        <v>0</v>
      </c>
      <c r="S152" s="11" t="str">
        <f t="shared" si="14"/>
        <v/>
      </c>
      <c r="T152" s="46" t="e">
        <f t="shared" si="15"/>
        <v>#DIV/0!</v>
      </c>
      <c r="U152" s="40" t="str">
        <f>IF(データ!R149="","",データ!R149)</f>
        <v/>
      </c>
      <c r="V152" s="41" t="str">
        <f>IF(データ!S149="","",データ!S149)</f>
        <v/>
      </c>
      <c r="W152" s="42">
        <f>データ!T149</f>
        <v>0</v>
      </c>
      <c r="X152" s="48">
        <f>IF($C152="集計行","",データ!U149)</f>
        <v>0</v>
      </c>
      <c r="Y152" s="48">
        <f>データ!V149</f>
        <v>0</v>
      </c>
      <c r="Z152" s="39">
        <f>IF(OR($C152="総括",$C152="内訳書",$C152="内訳代価",$C152="明細書",$C152="明細代価",$C152="代価表",$C152="単価表"),データ!W149,"")</f>
        <v>0</v>
      </c>
      <c r="AA152" s="11" t="str">
        <f t="shared" si="16"/>
        <v/>
      </c>
      <c r="AB152" s="46" t="e">
        <f t="shared" si="17"/>
        <v>#DIV/0!</v>
      </c>
      <c r="AC152" s="40" t="str">
        <f>IF(データ!X149="","",データ!X149)</f>
        <v/>
      </c>
      <c r="AD152" s="41" t="str">
        <f>IF(データ!Y149="","",データ!Y149)</f>
        <v/>
      </c>
      <c r="AE152" s="47" t="str">
        <f>TRIM(データ!B149)</f>
        <v/>
      </c>
      <c r="AF152" s="43" t="str">
        <f>TRIM(データ!Z149)</f>
        <v/>
      </c>
    </row>
    <row r="153" spans="1:32" x14ac:dyDescent="0.15">
      <c r="A153" s="47">
        <f>データ!A150</f>
        <v>2</v>
      </c>
      <c r="B153" s="47" t="str">
        <f>TRIM(データ!C150)</f>
        <v/>
      </c>
      <c r="C153" s="47" t="str">
        <f>TRIM(データ!D150)</f>
        <v>材料費</v>
      </c>
      <c r="D153" s="36" t="str">
        <f>REPT("｜",$A153)&amp;TRIM(データ!E150)</f>
        <v>｜｜細粒5mm</v>
      </c>
      <c r="E153" s="37" t="str">
        <f>TRIM(データ!F150)</f>
        <v/>
      </c>
      <c r="F153" s="38" t="str">
        <f>TRIM(データ!G150)</f>
        <v>ｔ</v>
      </c>
      <c r="G153" s="50">
        <f>データ!H150</f>
        <v>1</v>
      </c>
      <c r="H153" s="48">
        <f>データ!I150</f>
        <v>13000</v>
      </c>
      <c r="I153" s="48">
        <f>データ!J150</f>
        <v>13000</v>
      </c>
      <c r="J153" s="39" t="str">
        <f>IF(OR($C153="総括",$C153="内訳書",$C153="内訳代価",$C153="明細書",$C153="明細代価",$C153="代価表",$C153="単価表"),データ!K150,"")</f>
        <v/>
      </c>
      <c r="K153" s="11" t="str">
        <f t="shared" si="12"/>
        <v/>
      </c>
      <c r="L153" s="46">
        <f t="shared" si="13"/>
        <v>7.0280261464197348E-4</v>
      </c>
      <c r="M153" s="40" t="str">
        <f>IF(データ!L150="","",データ!L150)</f>
        <v/>
      </c>
      <c r="N153" s="41" t="str">
        <f>IF(データ!M150="","",データ!M150)</f>
        <v/>
      </c>
      <c r="O153" s="42">
        <f>データ!N150</f>
        <v>0</v>
      </c>
      <c r="P153" s="48">
        <f>IF($C153="集計行","",データ!O150)</f>
        <v>0</v>
      </c>
      <c r="Q153" s="48">
        <f>データ!P150</f>
        <v>0</v>
      </c>
      <c r="R153" s="39" t="str">
        <f>IF(OR($C153="総括",$C153="内訳書",$C153="内訳代価",$C153="明細書",$C153="明細代価",$C153="代価表",$C153="単価表"),データ!Q150,"")</f>
        <v/>
      </c>
      <c r="S153" s="11" t="str">
        <f t="shared" si="14"/>
        <v/>
      </c>
      <c r="T153" s="46" t="e">
        <f t="shared" si="15"/>
        <v>#DIV/0!</v>
      </c>
      <c r="U153" s="40" t="str">
        <f>IF(データ!R150="","",データ!R150)</f>
        <v/>
      </c>
      <c r="V153" s="41" t="str">
        <f>IF(データ!S150="","",データ!S150)</f>
        <v/>
      </c>
      <c r="W153" s="42">
        <f>データ!T150</f>
        <v>0</v>
      </c>
      <c r="X153" s="48">
        <f>IF($C153="集計行","",データ!U150)</f>
        <v>0</v>
      </c>
      <c r="Y153" s="48">
        <f>データ!V150</f>
        <v>0</v>
      </c>
      <c r="Z153" s="39" t="str">
        <f>IF(OR($C153="総括",$C153="内訳書",$C153="内訳代価",$C153="明細書",$C153="明細代価",$C153="代価表",$C153="単価表"),データ!W150,"")</f>
        <v/>
      </c>
      <c r="AA153" s="11" t="str">
        <f t="shared" si="16"/>
        <v/>
      </c>
      <c r="AB153" s="46" t="e">
        <f t="shared" si="17"/>
        <v>#DIV/0!</v>
      </c>
      <c r="AC153" s="40" t="str">
        <f>IF(データ!X150="","",データ!X150)</f>
        <v/>
      </c>
      <c r="AD153" s="41" t="str">
        <f>IF(データ!Y150="","",データ!Y150)</f>
        <v/>
      </c>
      <c r="AE153" s="47" t="str">
        <f>TRIM(データ!B150)</f>
        <v/>
      </c>
      <c r="AF153" s="43" t="str">
        <f>TRIM(データ!Z150)</f>
        <v/>
      </c>
    </row>
    <row r="154" spans="1:32" x14ac:dyDescent="0.15">
      <c r="A154" s="47">
        <f>データ!A151</f>
        <v>2</v>
      </c>
      <c r="B154" s="47" t="str">
        <f>TRIM(データ!C151)</f>
        <v/>
      </c>
      <c r="C154" s="47" t="str">
        <f>TRIM(データ!D151)</f>
        <v>材料費</v>
      </c>
      <c r="D154" s="36" t="str">
        <f>REPT("｜",$A154)&amp;TRIM(データ!E151)</f>
        <v>｜｜アスファルト乳剤</v>
      </c>
      <c r="E154" s="37" t="str">
        <f>TRIM(データ!F151)</f>
        <v/>
      </c>
      <c r="F154" s="38" t="str">
        <f>TRIM(データ!G151)</f>
        <v>缶</v>
      </c>
      <c r="G154" s="50">
        <f>データ!H151</f>
        <v>0.5</v>
      </c>
      <c r="H154" s="48">
        <f>データ!I151</f>
        <v>7000</v>
      </c>
      <c r="I154" s="48">
        <f>データ!J151</f>
        <v>3500</v>
      </c>
      <c r="J154" s="39" t="str">
        <f>IF(OR($C154="総括",$C154="内訳書",$C154="内訳代価",$C154="明細書",$C154="明細代価",$C154="代価表",$C154="単価表"),データ!K151,"")</f>
        <v/>
      </c>
      <c r="K154" s="11" t="str">
        <f t="shared" si="12"/>
        <v/>
      </c>
      <c r="L154" s="46">
        <f t="shared" si="13"/>
        <v>1.8921608855745439E-4</v>
      </c>
      <c r="M154" s="40" t="str">
        <f>IF(データ!L151="","",データ!L151)</f>
        <v/>
      </c>
      <c r="N154" s="41" t="str">
        <f>IF(データ!M151="","",データ!M151)</f>
        <v/>
      </c>
      <c r="O154" s="42">
        <f>データ!N151</f>
        <v>0</v>
      </c>
      <c r="P154" s="48">
        <f>IF($C154="集計行","",データ!O151)</f>
        <v>0</v>
      </c>
      <c r="Q154" s="48">
        <f>データ!P151</f>
        <v>0</v>
      </c>
      <c r="R154" s="39" t="str">
        <f>IF(OR($C154="総括",$C154="内訳書",$C154="内訳代価",$C154="明細書",$C154="明細代価",$C154="代価表",$C154="単価表"),データ!Q151,"")</f>
        <v/>
      </c>
      <c r="S154" s="11" t="str">
        <f t="shared" si="14"/>
        <v/>
      </c>
      <c r="T154" s="46" t="e">
        <f t="shared" si="15"/>
        <v>#DIV/0!</v>
      </c>
      <c r="U154" s="40" t="str">
        <f>IF(データ!R151="","",データ!R151)</f>
        <v/>
      </c>
      <c r="V154" s="41" t="str">
        <f>IF(データ!S151="","",データ!S151)</f>
        <v/>
      </c>
      <c r="W154" s="42">
        <f>データ!T151</f>
        <v>0</v>
      </c>
      <c r="X154" s="48">
        <f>IF($C154="集計行","",データ!U151)</f>
        <v>0</v>
      </c>
      <c r="Y154" s="48">
        <f>データ!V151</f>
        <v>0</v>
      </c>
      <c r="Z154" s="39" t="str">
        <f>IF(OR($C154="総括",$C154="内訳書",$C154="内訳代価",$C154="明細書",$C154="明細代価",$C154="代価表",$C154="単価表"),データ!W151,"")</f>
        <v/>
      </c>
      <c r="AA154" s="11" t="str">
        <f t="shared" si="16"/>
        <v/>
      </c>
      <c r="AB154" s="46" t="e">
        <f t="shared" si="17"/>
        <v>#DIV/0!</v>
      </c>
      <c r="AC154" s="40" t="str">
        <f>IF(データ!X151="","",データ!X151)</f>
        <v/>
      </c>
      <c r="AD154" s="41" t="str">
        <f>IF(データ!Y151="","",データ!Y151)</f>
        <v/>
      </c>
      <c r="AE154" s="47" t="str">
        <f>TRIM(データ!B151)</f>
        <v/>
      </c>
      <c r="AF154" s="43" t="str">
        <f>TRIM(データ!Z151)</f>
        <v/>
      </c>
    </row>
    <row r="155" spans="1:32" x14ac:dyDescent="0.15">
      <c r="A155" s="47">
        <f>データ!A152</f>
        <v>2</v>
      </c>
      <c r="B155" s="47" t="str">
        <f>TRIM(データ!C152)</f>
        <v/>
      </c>
      <c r="C155" s="47" t="str">
        <f>TRIM(データ!D152)</f>
        <v>材料費</v>
      </c>
      <c r="D155" s="36" t="str">
        <f>REPT("｜",$A155)&amp;TRIM(データ!E152)</f>
        <v>｜｜雑材</v>
      </c>
      <c r="E155" s="37" t="str">
        <f>TRIM(データ!F152)</f>
        <v/>
      </c>
      <c r="F155" s="38" t="str">
        <f>TRIM(データ!G152)</f>
        <v>式</v>
      </c>
      <c r="G155" s="50">
        <f>データ!H152</f>
        <v>1</v>
      </c>
      <c r="H155" s="48">
        <f>データ!I152</f>
        <v>2500</v>
      </c>
      <c r="I155" s="48">
        <f>データ!J152</f>
        <v>2500</v>
      </c>
      <c r="J155" s="39" t="str">
        <f>IF(OR($C155="総括",$C155="内訳書",$C155="内訳代価",$C155="明細書",$C155="明細代価",$C155="代価表",$C155="単価表"),データ!K152,"")</f>
        <v/>
      </c>
      <c r="K155" s="11" t="str">
        <f t="shared" si="12"/>
        <v/>
      </c>
      <c r="L155" s="46">
        <f t="shared" si="13"/>
        <v>1.3515434896961028E-4</v>
      </c>
      <c r="M155" s="40" t="str">
        <f>IF(データ!L152="","",データ!L152)</f>
        <v/>
      </c>
      <c r="N155" s="41" t="str">
        <f>IF(データ!M152="","",データ!M152)</f>
        <v/>
      </c>
      <c r="O155" s="42">
        <f>データ!N152</f>
        <v>0</v>
      </c>
      <c r="P155" s="48">
        <f>IF($C155="集計行","",データ!O152)</f>
        <v>0</v>
      </c>
      <c r="Q155" s="48">
        <f>データ!P152</f>
        <v>0</v>
      </c>
      <c r="R155" s="39" t="str">
        <f>IF(OR($C155="総括",$C155="内訳書",$C155="内訳代価",$C155="明細書",$C155="明細代価",$C155="代価表",$C155="単価表"),データ!Q152,"")</f>
        <v/>
      </c>
      <c r="S155" s="11" t="str">
        <f t="shared" si="14"/>
        <v/>
      </c>
      <c r="T155" s="46" t="e">
        <f t="shared" si="15"/>
        <v>#DIV/0!</v>
      </c>
      <c r="U155" s="40" t="str">
        <f>IF(データ!R152="","",データ!R152)</f>
        <v/>
      </c>
      <c r="V155" s="41" t="str">
        <f>IF(データ!S152="","",データ!S152)</f>
        <v/>
      </c>
      <c r="W155" s="42">
        <f>データ!T152</f>
        <v>0</v>
      </c>
      <c r="X155" s="48">
        <f>IF($C155="集計行","",データ!U152)</f>
        <v>0</v>
      </c>
      <c r="Y155" s="48">
        <f>データ!V152</f>
        <v>0</v>
      </c>
      <c r="Z155" s="39" t="str">
        <f>IF(OR($C155="総括",$C155="内訳書",$C155="内訳代価",$C155="明細書",$C155="明細代価",$C155="代価表",$C155="単価表"),データ!W152,"")</f>
        <v/>
      </c>
      <c r="AA155" s="11" t="str">
        <f t="shared" si="16"/>
        <v/>
      </c>
      <c r="AB155" s="46" t="e">
        <f t="shared" si="17"/>
        <v>#DIV/0!</v>
      </c>
      <c r="AC155" s="40" t="str">
        <f>IF(データ!X152="","",データ!X152)</f>
        <v/>
      </c>
      <c r="AD155" s="41" t="str">
        <f>IF(データ!Y152="","",データ!Y152)</f>
        <v/>
      </c>
      <c r="AE155" s="47" t="str">
        <f>TRIM(データ!B152)</f>
        <v/>
      </c>
      <c r="AF155" s="43" t="str">
        <f>TRIM(データ!Z152)</f>
        <v/>
      </c>
    </row>
    <row r="156" spans="1:32" x14ac:dyDescent="0.15">
      <c r="A156" s="47">
        <f>データ!A153</f>
        <v>2</v>
      </c>
      <c r="B156" s="47" t="str">
        <f>TRIM(データ!C153)</f>
        <v/>
      </c>
      <c r="C156" s="47" t="str">
        <f>TRIM(データ!D153)</f>
        <v>労務費</v>
      </c>
      <c r="D156" s="36" t="str">
        <f>REPT("｜",$A156)&amp;TRIM(データ!E153)</f>
        <v>｜｜土工</v>
      </c>
      <c r="E156" s="37" t="str">
        <f>TRIM(データ!F153)</f>
        <v/>
      </c>
      <c r="F156" s="38" t="str">
        <f>TRIM(データ!G153)</f>
        <v>人</v>
      </c>
      <c r="G156" s="50">
        <f>データ!H153</f>
        <v>2</v>
      </c>
      <c r="H156" s="48">
        <f>データ!I153</f>
        <v>23000</v>
      </c>
      <c r="I156" s="48">
        <f>データ!J153</f>
        <v>46000</v>
      </c>
      <c r="J156" s="39" t="str">
        <f>IF(OR($C156="総括",$C156="内訳書",$C156="内訳代価",$C156="明細書",$C156="明細代価",$C156="代価表",$C156="単価表"),データ!K153,"")</f>
        <v/>
      </c>
      <c r="K156" s="11" t="str">
        <f t="shared" si="12"/>
        <v/>
      </c>
      <c r="L156" s="46">
        <f t="shared" si="13"/>
        <v>2.4868400210408289E-3</v>
      </c>
      <c r="M156" s="40" t="str">
        <f>IF(データ!L153="","",データ!L153)</f>
        <v/>
      </c>
      <c r="N156" s="41" t="str">
        <f>IF(データ!M153="","",データ!M153)</f>
        <v/>
      </c>
      <c r="O156" s="42">
        <f>データ!N153</f>
        <v>0</v>
      </c>
      <c r="P156" s="48">
        <f>IF($C156="集計行","",データ!O153)</f>
        <v>0</v>
      </c>
      <c r="Q156" s="48">
        <f>データ!P153</f>
        <v>0</v>
      </c>
      <c r="R156" s="39" t="str">
        <f>IF(OR($C156="総括",$C156="内訳書",$C156="内訳代価",$C156="明細書",$C156="明細代価",$C156="代価表",$C156="単価表"),データ!Q153,"")</f>
        <v/>
      </c>
      <c r="S156" s="11" t="str">
        <f t="shared" si="14"/>
        <v/>
      </c>
      <c r="T156" s="46" t="e">
        <f t="shared" si="15"/>
        <v>#DIV/0!</v>
      </c>
      <c r="U156" s="40" t="str">
        <f>IF(データ!R153="","",データ!R153)</f>
        <v/>
      </c>
      <c r="V156" s="41" t="str">
        <f>IF(データ!S153="","",データ!S153)</f>
        <v/>
      </c>
      <c r="W156" s="42">
        <f>データ!T153</f>
        <v>0</v>
      </c>
      <c r="X156" s="48">
        <f>IF($C156="集計行","",データ!U153)</f>
        <v>0</v>
      </c>
      <c r="Y156" s="48">
        <f>データ!V153</f>
        <v>0</v>
      </c>
      <c r="Z156" s="39" t="str">
        <f>IF(OR($C156="総括",$C156="内訳書",$C156="内訳代価",$C156="明細書",$C156="明細代価",$C156="代価表",$C156="単価表"),データ!W153,"")</f>
        <v/>
      </c>
      <c r="AA156" s="11" t="str">
        <f t="shared" si="16"/>
        <v/>
      </c>
      <c r="AB156" s="46" t="e">
        <f t="shared" si="17"/>
        <v>#DIV/0!</v>
      </c>
      <c r="AC156" s="40" t="str">
        <f>IF(データ!X153="","",データ!X153)</f>
        <v/>
      </c>
      <c r="AD156" s="41" t="str">
        <f>IF(データ!Y153="","",データ!Y153)</f>
        <v/>
      </c>
      <c r="AE156" s="47" t="str">
        <f>TRIM(データ!B153)</f>
        <v/>
      </c>
      <c r="AF156" s="43" t="str">
        <f>TRIM(データ!Z153)</f>
        <v/>
      </c>
    </row>
    <row r="157" spans="1:32" x14ac:dyDescent="0.15">
      <c r="A157" s="47">
        <f>データ!A154</f>
        <v>2</v>
      </c>
      <c r="B157" s="47" t="str">
        <f>TRIM(データ!C154)</f>
        <v/>
      </c>
      <c r="C157" s="47" t="str">
        <f>TRIM(データ!D154)</f>
        <v>機械費</v>
      </c>
      <c r="D157" s="36" t="str">
        <f>REPT("｜",$A157)&amp;TRIM(データ!E154)</f>
        <v>｜｜小物機械</v>
      </c>
      <c r="E157" s="37" t="str">
        <f>TRIM(データ!F154)</f>
        <v/>
      </c>
      <c r="F157" s="38" t="str">
        <f>TRIM(データ!G154)</f>
        <v>台</v>
      </c>
      <c r="G157" s="50">
        <f>データ!H154</f>
        <v>1</v>
      </c>
      <c r="H157" s="48">
        <f>データ!I154</f>
        <v>3000</v>
      </c>
      <c r="I157" s="48">
        <f>データ!J154</f>
        <v>3000</v>
      </c>
      <c r="J157" s="39" t="str">
        <f>IF(OR($C157="総括",$C157="内訳書",$C157="内訳代価",$C157="明細書",$C157="明細代価",$C157="代価表",$C157="単価表"),データ!K154,"")</f>
        <v/>
      </c>
      <c r="K157" s="11" t="str">
        <f t="shared" si="12"/>
        <v/>
      </c>
      <c r="L157" s="46">
        <f t="shared" si="13"/>
        <v>1.6218521876353232E-4</v>
      </c>
      <c r="M157" s="40" t="str">
        <f>IF(データ!L154="","",データ!L154)</f>
        <v/>
      </c>
      <c r="N157" s="41" t="str">
        <f>IF(データ!M154="","",データ!M154)</f>
        <v/>
      </c>
      <c r="O157" s="42">
        <f>データ!N154</f>
        <v>0</v>
      </c>
      <c r="P157" s="48">
        <f>IF($C157="集計行","",データ!O154)</f>
        <v>0</v>
      </c>
      <c r="Q157" s="48">
        <f>データ!P154</f>
        <v>0</v>
      </c>
      <c r="R157" s="39" t="str">
        <f>IF(OR($C157="総括",$C157="内訳書",$C157="内訳代価",$C157="明細書",$C157="明細代価",$C157="代価表",$C157="単価表"),データ!Q154,"")</f>
        <v/>
      </c>
      <c r="S157" s="11" t="str">
        <f t="shared" si="14"/>
        <v/>
      </c>
      <c r="T157" s="46" t="e">
        <f t="shared" si="15"/>
        <v>#DIV/0!</v>
      </c>
      <c r="U157" s="40" t="str">
        <f>IF(データ!R154="","",データ!R154)</f>
        <v/>
      </c>
      <c r="V157" s="41" t="str">
        <f>IF(データ!S154="","",データ!S154)</f>
        <v/>
      </c>
      <c r="W157" s="42">
        <f>データ!T154</f>
        <v>0</v>
      </c>
      <c r="X157" s="48">
        <f>IF($C157="集計行","",データ!U154)</f>
        <v>0</v>
      </c>
      <c r="Y157" s="48">
        <f>データ!V154</f>
        <v>0</v>
      </c>
      <c r="Z157" s="39" t="str">
        <f>IF(OR($C157="総括",$C157="内訳書",$C157="内訳代価",$C157="明細書",$C157="明細代価",$C157="代価表",$C157="単価表"),データ!W154,"")</f>
        <v/>
      </c>
      <c r="AA157" s="11" t="str">
        <f t="shared" si="16"/>
        <v/>
      </c>
      <c r="AB157" s="46" t="e">
        <f t="shared" si="17"/>
        <v>#DIV/0!</v>
      </c>
      <c r="AC157" s="40" t="str">
        <f>IF(データ!X154="","",データ!X154)</f>
        <v/>
      </c>
      <c r="AD157" s="41" t="str">
        <f>IF(データ!Y154="","",データ!Y154)</f>
        <v/>
      </c>
      <c r="AE157" s="47" t="str">
        <f>TRIM(データ!B154)</f>
        <v/>
      </c>
      <c r="AF157" s="43" t="str">
        <f>TRIM(データ!Z154)</f>
        <v/>
      </c>
    </row>
    <row r="158" spans="1:32" x14ac:dyDescent="0.15">
      <c r="A158" s="47">
        <f>データ!A155</f>
        <v>2</v>
      </c>
      <c r="B158" s="47" t="str">
        <f>TRIM(データ!C155)</f>
        <v/>
      </c>
      <c r="C158" s="47" t="str">
        <f>TRIM(データ!D155)</f>
        <v>運搬費</v>
      </c>
      <c r="D158" s="36" t="str">
        <f>REPT("｜",$A158)&amp;TRIM(データ!E155)</f>
        <v>｜｜2tダンプ</v>
      </c>
      <c r="E158" s="37" t="str">
        <f>TRIM(データ!F155)</f>
        <v/>
      </c>
      <c r="F158" s="38" t="str">
        <f>TRIM(データ!G155)</f>
        <v>台</v>
      </c>
      <c r="G158" s="50">
        <f>データ!H155</f>
        <v>0.5</v>
      </c>
      <c r="H158" s="48">
        <f>データ!I155</f>
        <v>8000</v>
      </c>
      <c r="I158" s="48">
        <f>データ!J155</f>
        <v>4000</v>
      </c>
      <c r="J158" s="39" t="str">
        <f>IF(OR($C158="総括",$C158="内訳書",$C158="内訳代価",$C158="明細書",$C158="明細代価",$C158="代価表",$C158="単価表"),データ!K155,"")</f>
        <v/>
      </c>
      <c r="K158" s="11" t="str">
        <f t="shared" si="12"/>
        <v/>
      </c>
      <c r="L158" s="46">
        <f t="shared" si="13"/>
        <v>2.1624695835137644E-4</v>
      </c>
      <c r="M158" s="40" t="str">
        <f>IF(データ!L155="","",データ!L155)</f>
        <v/>
      </c>
      <c r="N158" s="41" t="str">
        <f>IF(データ!M155="","",データ!M155)</f>
        <v/>
      </c>
      <c r="O158" s="42">
        <f>データ!N155</f>
        <v>0</v>
      </c>
      <c r="P158" s="48">
        <f>IF($C158="集計行","",データ!O155)</f>
        <v>0</v>
      </c>
      <c r="Q158" s="48">
        <f>データ!P155</f>
        <v>0</v>
      </c>
      <c r="R158" s="39" t="str">
        <f>IF(OR($C158="総括",$C158="内訳書",$C158="内訳代価",$C158="明細書",$C158="明細代価",$C158="代価表",$C158="単価表"),データ!Q155,"")</f>
        <v/>
      </c>
      <c r="S158" s="11" t="str">
        <f t="shared" si="14"/>
        <v/>
      </c>
      <c r="T158" s="46" t="e">
        <f t="shared" si="15"/>
        <v>#DIV/0!</v>
      </c>
      <c r="U158" s="40" t="str">
        <f>IF(データ!R155="","",データ!R155)</f>
        <v/>
      </c>
      <c r="V158" s="41" t="str">
        <f>IF(データ!S155="","",データ!S155)</f>
        <v/>
      </c>
      <c r="W158" s="42">
        <f>データ!T155</f>
        <v>0</v>
      </c>
      <c r="X158" s="48">
        <f>IF($C158="集計行","",データ!U155)</f>
        <v>0</v>
      </c>
      <c r="Y158" s="48">
        <f>データ!V155</f>
        <v>0</v>
      </c>
      <c r="Z158" s="39" t="str">
        <f>IF(OR($C158="総括",$C158="内訳書",$C158="内訳代価",$C158="明細書",$C158="明細代価",$C158="代価表",$C158="単価表"),データ!W155,"")</f>
        <v/>
      </c>
      <c r="AA158" s="11" t="str">
        <f t="shared" si="16"/>
        <v/>
      </c>
      <c r="AB158" s="46" t="e">
        <f t="shared" si="17"/>
        <v>#DIV/0!</v>
      </c>
      <c r="AC158" s="40" t="str">
        <f>IF(データ!X155="","",データ!X155)</f>
        <v/>
      </c>
      <c r="AD158" s="41" t="str">
        <f>IF(データ!Y155="","",データ!Y155)</f>
        <v/>
      </c>
      <c r="AE158" s="47" t="str">
        <f>TRIM(データ!B155)</f>
        <v/>
      </c>
      <c r="AF158" s="43" t="str">
        <f>TRIM(データ!Z155)</f>
        <v/>
      </c>
    </row>
    <row r="159" spans="1:32" x14ac:dyDescent="0.15">
      <c r="A159" s="47">
        <f>データ!A156</f>
        <v>2</v>
      </c>
      <c r="B159" s="47" t="str">
        <f>TRIM(データ!C156)</f>
        <v/>
      </c>
      <c r="C159" s="47" t="str">
        <f>TRIM(データ!D156)</f>
        <v>運搬費</v>
      </c>
      <c r="D159" s="36" t="str">
        <f>REPT("｜",$A159)&amp;TRIM(データ!E156)</f>
        <v>｜｜WP</v>
      </c>
      <c r="E159" s="37" t="str">
        <f>TRIM(データ!F156)</f>
        <v/>
      </c>
      <c r="F159" s="38" t="str">
        <f>TRIM(データ!G156)</f>
        <v>台</v>
      </c>
      <c r="G159" s="50">
        <f>データ!H156</f>
        <v>0.5</v>
      </c>
      <c r="H159" s="48">
        <f>データ!I156</f>
        <v>8000</v>
      </c>
      <c r="I159" s="48">
        <f>データ!J156</f>
        <v>4000</v>
      </c>
      <c r="J159" s="39" t="str">
        <f>IF(OR($C159="総括",$C159="内訳書",$C159="内訳代価",$C159="明細書",$C159="明細代価",$C159="代価表",$C159="単価表"),データ!K156,"")</f>
        <v/>
      </c>
      <c r="K159" s="11" t="str">
        <f t="shared" si="12"/>
        <v/>
      </c>
      <c r="L159" s="46">
        <f t="shared" si="13"/>
        <v>2.1624695835137644E-4</v>
      </c>
      <c r="M159" s="40" t="str">
        <f>IF(データ!L156="","",データ!L156)</f>
        <v/>
      </c>
      <c r="N159" s="41" t="str">
        <f>IF(データ!M156="","",データ!M156)</f>
        <v/>
      </c>
      <c r="O159" s="42">
        <f>データ!N156</f>
        <v>0</v>
      </c>
      <c r="P159" s="48">
        <f>IF($C159="集計行","",データ!O156)</f>
        <v>0</v>
      </c>
      <c r="Q159" s="48">
        <f>データ!P156</f>
        <v>0</v>
      </c>
      <c r="R159" s="39" t="str">
        <f>IF(OR($C159="総括",$C159="内訳書",$C159="内訳代価",$C159="明細書",$C159="明細代価",$C159="代価表",$C159="単価表"),データ!Q156,"")</f>
        <v/>
      </c>
      <c r="S159" s="11" t="str">
        <f t="shared" si="14"/>
        <v/>
      </c>
      <c r="T159" s="46" t="e">
        <f t="shared" si="15"/>
        <v>#DIV/0!</v>
      </c>
      <c r="U159" s="40" t="str">
        <f>IF(データ!R156="","",データ!R156)</f>
        <v/>
      </c>
      <c r="V159" s="41" t="str">
        <f>IF(データ!S156="","",データ!S156)</f>
        <v/>
      </c>
      <c r="W159" s="42">
        <f>データ!T156</f>
        <v>0</v>
      </c>
      <c r="X159" s="48">
        <f>IF($C159="集計行","",データ!U156)</f>
        <v>0</v>
      </c>
      <c r="Y159" s="48">
        <f>データ!V156</f>
        <v>0</v>
      </c>
      <c r="Z159" s="39" t="str">
        <f>IF(OR($C159="総括",$C159="内訳書",$C159="内訳代価",$C159="明細書",$C159="明細代価",$C159="代価表",$C159="単価表"),データ!W156,"")</f>
        <v/>
      </c>
      <c r="AA159" s="11" t="str">
        <f t="shared" si="16"/>
        <v/>
      </c>
      <c r="AB159" s="46" t="e">
        <f t="shared" si="17"/>
        <v>#DIV/0!</v>
      </c>
      <c r="AC159" s="40" t="str">
        <f>IF(データ!X156="","",データ!X156)</f>
        <v/>
      </c>
      <c r="AD159" s="41" t="str">
        <f>IF(データ!Y156="","",データ!Y156)</f>
        <v/>
      </c>
      <c r="AE159" s="47" t="str">
        <f>TRIM(データ!B156)</f>
        <v/>
      </c>
      <c r="AF159" s="43" t="str">
        <f>TRIM(データ!Z156)</f>
        <v/>
      </c>
    </row>
    <row r="160" spans="1:32" x14ac:dyDescent="0.15">
      <c r="A160" s="47">
        <f>データ!A157</f>
        <v>2</v>
      </c>
      <c r="B160" s="47" t="str">
        <f>TRIM(データ!C157)</f>
        <v/>
      </c>
      <c r="C160" s="47" t="str">
        <f>TRIM(データ!D157)</f>
        <v>外注費</v>
      </c>
      <c r="D160" s="36" t="str">
        <f>REPT("｜",$A160)&amp;TRIM(データ!E157)</f>
        <v>｜｜諸経費</v>
      </c>
      <c r="E160" s="37" t="str">
        <f>TRIM(データ!F157)</f>
        <v/>
      </c>
      <c r="F160" s="38" t="str">
        <f>TRIM(データ!G157)</f>
        <v>式</v>
      </c>
      <c r="G160" s="50">
        <f>データ!H157</f>
        <v>1</v>
      </c>
      <c r="H160" s="48">
        <f>データ!I157</f>
        <v>6200</v>
      </c>
      <c r="I160" s="48">
        <f>データ!J157</f>
        <v>6200</v>
      </c>
      <c r="J160" s="39" t="str">
        <f>IF(OR($C160="総括",$C160="内訳書",$C160="内訳代価",$C160="明細書",$C160="明細代価",$C160="代価表",$C160="単価表"),データ!K157,"")</f>
        <v/>
      </c>
      <c r="K160" s="11" t="str">
        <f t="shared" si="12"/>
        <v/>
      </c>
      <c r="L160" s="46">
        <f t="shared" si="13"/>
        <v>3.3518278544463349E-4</v>
      </c>
      <c r="M160" s="40" t="str">
        <f>IF(データ!L157="","",データ!L157)</f>
        <v/>
      </c>
      <c r="N160" s="41" t="str">
        <f>IF(データ!M157="","",データ!M157)</f>
        <v/>
      </c>
      <c r="O160" s="42">
        <f>データ!N157</f>
        <v>0</v>
      </c>
      <c r="P160" s="48">
        <f>IF($C160="集計行","",データ!O157)</f>
        <v>0</v>
      </c>
      <c r="Q160" s="48">
        <f>データ!P157</f>
        <v>0</v>
      </c>
      <c r="R160" s="39" t="str">
        <f>IF(OR($C160="総括",$C160="内訳書",$C160="内訳代価",$C160="明細書",$C160="明細代価",$C160="代価表",$C160="単価表"),データ!Q157,"")</f>
        <v/>
      </c>
      <c r="S160" s="11" t="str">
        <f t="shared" si="14"/>
        <v/>
      </c>
      <c r="T160" s="46" t="e">
        <f t="shared" si="15"/>
        <v>#DIV/0!</v>
      </c>
      <c r="U160" s="40" t="str">
        <f>IF(データ!R157="","",データ!R157)</f>
        <v/>
      </c>
      <c r="V160" s="41" t="str">
        <f>IF(データ!S157="","",データ!S157)</f>
        <v/>
      </c>
      <c r="W160" s="42">
        <f>データ!T157</f>
        <v>0</v>
      </c>
      <c r="X160" s="48">
        <f>IF($C160="集計行","",データ!U157)</f>
        <v>0</v>
      </c>
      <c r="Y160" s="48">
        <f>データ!V157</f>
        <v>0</v>
      </c>
      <c r="Z160" s="39" t="str">
        <f>IF(OR($C160="総括",$C160="内訳書",$C160="内訳代価",$C160="明細書",$C160="明細代価",$C160="代価表",$C160="単価表"),データ!W157,"")</f>
        <v/>
      </c>
      <c r="AA160" s="11" t="str">
        <f t="shared" si="16"/>
        <v/>
      </c>
      <c r="AB160" s="46" t="e">
        <f t="shared" si="17"/>
        <v>#DIV/0!</v>
      </c>
      <c r="AC160" s="40" t="str">
        <f>IF(データ!X157="","",データ!X157)</f>
        <v/>
      </c>
      <c r="AD160" s="41" t="str">
        <f>IF(データ!Y157="","",データ!Y157)</f>
        <v/>
      </c>
      <c r="AE160" s="47" t="str">
        <f>TRIM(データ!B157)</f>
        <v/>
      </c>
      <c r="AF160" s="43" t="str">
        <f>TRIM(データ!Z157)</f>
        <v/>
      </c>
    </row>
    <row r="161" spans="1:32" x14ac:dyDescent="0.15">
      <c r="A161" s="47">
        <f>データ!A158</f>
        <v>2</v>
      </c>
      <c r="B161" s="47" t="str">
        <f>TRIM(データ!C158)</f>
        <v/>
      </c>
      <c r="C161" s="47" t="str">
        <f>TRIM(データ!D158)</f>
        <v>外注費</v>
      </c>
      <c r="D161" s="36" t="str">
        <f>REPT("｜",$A161)&amp;TRIM(データ!E158)</f>
        <v>｜｜法定福利費</v>
      </c>
      <c r="E161" s="37" t="str">
        <f>TRIM(データ!F158)</f>
        <v/>
      </c>
      <c r="F161" s="38" t="str">
        <f>TRIM(データ!G158)</f>
        <v>式</v>
      </c>
      <c r="G161" s="50">
        <f>データ!H158</f>
        <v>1</v>
      </c>
      <c r="H161" s="48">
        <f>データ!I158</f>
        <v>7500</v>
      </c>
      <c r="I161" s="48">
        <f>データ!J158</f>
        <v>7500</v>
      </c>
      <c r="J161" s="39" t="str">
        <f>IF(OR($C161="総括",$C161="内訳書",$C161="内訳代価",$C161="明細書",$C161="明細代価",$C161="代価表",$C161="単価表"),データ!K158,"")</f>
        <v/>
      </c>
      <c r="K161" s="11" t="str">
        <f t="shared" si="12"/>
        <v/>
      </c>
      <c r="L161" s="46">
        <f t="shared" si="13"/>
        <v>4.0546304690883083E-4</v>
      </c>
      <c r="M161" s="40" t="str">
        <f>IF(データ!L158="","",データ!L158)</f>
        <v/>
      </c>
      <c r="N161" s="41" t="str">
        <f>IF(データ!M158="","",データ!M158)</f>
        <v/>
      </c>
      <c r="O161" s="42">
        <f>データ!N158</f>
        <v>0</v>
      </c>
      <c r="P161" s="48">
        <f>IF($C161="集計行","",データ!O158)</f>
        <v>0</v>
      </c>
      <c r="Q161" s="48">
        <f>データ!P158</f>
        <v>0</v>
      </c>
      <c r="R161" s="39" t="str">
        <f>IF(OR($C161="総括",$C161="内訳書",$C161="内訳代価",$C161="明細書",$C161="明細代価",$C161="代価表",$C161="単価表"),データ!Q158,"")</f>
        <v/>
      </c>
      <c r="S161" s="11" t="str">
        <f t="shared" si="14"/>
        <v/>
      </c>
      <c r="T161" s="46" t="e">
        <f t="shared" si="15"/>
        <v>#DIV/0!</v>
      </c>
      <c r="U161" s="40" t="str">
        <f>IF(データ!R158="","",データ!R158)</f>
        <v/>
      </c>
      <c r="V161" s="41" t="str">
        <f>IF(データ!S158="","",データ!S158)</f>
        <v/>
      </c>
      <c r="W161" s="42">
        <f>データ!T158</f>
        <v>0</v>
      </c>
      <c r="X161" s="48">
        <f>IF($C161="集計行","",データ!U158)</f>
        <v>0</v>
      </c>
      <c r="Y161" s="48">
        <f>データ!V158</f>
        <v>0</v>
      </c>
      <c r="Z161" s="39" t="str">
        <f>IF(OR($C161="総括",$C161="内訳書",$C161="内訳代価",$C161="明細書",$C161="明細代価",$C161="代価表",$C161="単価表"),データ!W158,"")</f>
        <v/>
      </c>
      <c r="AA161" s="11" t="str">
        <f t="shared" si="16"/>
        <v/>
      </c>
      <c r="AB161" s="46" t="e">
        <f t="shared" si="17"/>
        <v>#DIV/0!</v>
      </c>
      <c r="AC161" s="40" t="str">
        <f>IF(データ!X158="","",データ!X158)</f>
        <v/>
      </c>
      <c r="AD161" s="41" t="str">
        <f>IF(データ!Y158="","",データ!Y158)</f>
        <v/>
      </c>
      <c r="AE161" s="47" t="str">
        <f>TRIM(データ!B158)</f>
        <v/>
      </c>
      <c r="AF161" s="43" t="str">
        <f>TRIM(データ!Z158)</f>
        <v/>
      </c>
    </row>
    <row r="162" spans="1:32" x14ac:dyDescent="0.15">
      <c r="A162" s="47">
        <f>データ!A159</f>
        <v>2</v>
      </c>
      <c r="B162" s="47" t="str">
        <f>TRIM(データ!C159)</f>
        <v/>
      </c>
      <c r="C162" s="47" t="str">
        <f>TRIM(データ!D159)</f>
        <v>外注費</v>
      </c>
      <c r="D162" s="36" t="str">
        <f>REPT("｜",$A162)&amp;TRIM(データ!E159)</f>
        <v>｜｜交通誘導員</v>
      </c>
      <c r="E162" s="37" t="str">
        <f>TRIM(データ!F159)</f>
        <v/>
      </c>
      <c r="F162" s="38" t="str">
        <f>TRIM(データ!G159)</f>
        <v>人</v>
      </c>
      <c r="G162" s="50">
        <f>データ!H159</f>
        <v>2</v>
      </c>
      <c r="H162" s="48">
        <f>データ!I159</f>
        <v>18000</v>
      </c>
      <c r="I162" s="48">
        <f>データ!J159</f>
        <v>36000</v>
      </c>
      <c r="J162" s="39" t="str">
        <f>IF(OR($C162="総括",$C162="内訳書",$C162="内訳代価",$C162="明細書",$C162="明細代価",$C162="代価表",$C162="単価表"),データ!K159,"")</f>
        <v/>
      </c>
      <c r="K162" s="11" t="str">
        <f t="shared" si="12"/>
        <v/>
      </c>
      <c r="L162" s="46">
        <f t="shared" si="13"/>
        <v>1.9462226251623878E-3</v>
      </c>
      <c r="M162" s="40" t="str">
        <f>IF(データ!L159="","",データ!L159)</f>
        <v/>
      </c>
      <c r="N162" s="41" t="str">
        <f>IF(データ!M159="","",データ!M159)</f>
        <v/>
      </c>
      <c r="O162" s="42">
        <f>データ!N159</f>
        <v>0</v>
      </c>
      <c r="P162" s="48">
        <f>IF($C162="集計行","",データ!O159)</f>
        <v>0</v>
      </c>
      <c r="Q162" s="48">
        <f>データ!P159</f>
        <v>0</v>
      </c>
      <c r="R162" s="39" t="str">
        <f>IF(OR($C162="総括",$C162="内訳書",$C162="内訳代価",$C162="明細書",$C162="明細代価",$C162="代価表",$C162="単価表"),データ!Q159,"")</f>
        <v/>
      </c>
      <c r="S162" s="11" t="str">
        <f t="shared" si="14"/>
        <v/>
      </c>
      <c r="T162" s="46" t="e">
        <f t="shared" si="15"/>
        <v>#DIV/0!</v>
      </c>
      <c r="U162" s="40" t="str">
        <f>IF(データ!R159="","",データ!R159)</f>
        <v/>
      </c>
      <c r="V162" s="41" t="str">
        <f>IF(データ!S159="","",データ!S159)</f>
        <v/>
      </c>
      <c r="W162" s="42">
        <f>データ!T159</f>
        <v>0</v>
      </c>
      <c r="X162" s="48">
        <f>IF($C162="集計行","",データ!U159)</f>
        <v>0</v>
      </c>
      <c r="Y162" s="48">
        <f>データ!V159</f>
        <v>0</v>
      </c>
      <c r="Z162" s="39" t="str">
        <f>IF(OR($C162="総括",$C162="内訳書",$C162="内訳代価",$C162="明細書",$C162="明細代価",$C162="代価表",$C162="単価表"),データ!W159,"")</f>
        <v/>
      </c>
      <c r="AA162" s="11" t="str">
        <f t="shared" si="16"/>
        <v/>
      </c>
      <c r="AB162" s="46" t="e">
        <f t="shared" si="17"/>
        <v>#DIV/0!</v>
      </c>
      <c r="AC162" s="40" t="str">
        <f>IF(データ!X159="","",データ!X159)</f>
        <v/>
      </c>
      <c r="AD162" s="41" t="str">
        <f>IF(データ!Y159="","",データ!Y159)</f>
        <v/>
      </c>
      <c r="AE162" s="47" t="str">
        <f>TRIM(データ!B159)</f>
        <v/>
      </c>
      <c r="AF162" s="43" t="str">
        <f>TRIM(データ!Z159)</f>
        <v/>
      </c>
    </row>
    <row r="163" spans="1:32" x14ac:dyDescent="0.15">
      <c r="A163" s="47">
        <f>データ!A160</f>
        <v>2</v>
      </c>
      <c r="B163" s="47" t="str">
        <f>TRIM(データ!C160)</f>
        <v/>
      </c>
      <c r="C163" s="47" t="str">
        <f>TRIM(データ!D160)</f>
        <v>機械費</v>
      </c>
      <c r="D163" s="36" t="str">
        <f>REPT("｜",$A163)&amp;TRIM(データ!E160)</f>
        <v>｜｜軽トラ規制車　保安材含</v>
      </c>
      <c r="E163" s="37" t="str">
        <f>TRIM(データ!F160)</f>
        <v/>
      </c>
      <c r="F163" s="38" t="str">
        <f>TRIM(データ!G160)</f>
        <v>台</v>
      </c>
      <c r="G163" s="50">
        <f>データ!H160</f>
        <v>0.5</v>
      </c>
      <c r="H163" s="48">
        <f>データ!I160</f>
        <v>15000</v>
      </c>
      <c r="I163" s="48">
        <f>データ!J160</f>
        <v>7500</v>
      </c>
      <c r="J163" s="39" t="str">
        <f>IF(OR($C163="総括",$C163="内訳書",$C163="内訳代価",$C163="明細書",$C163="明細代価",$C163="代価表",$C163="単価表"),データ!K160,"")</f>
        <v/>
      </c>
      <c r="K163" s="11" t="str">
        <f t="shared" si="12"/>
        <v/>
      </c>
      <c r="L163" s="46">
        <f t="shared" si="13"/>
        <v>4.0546304690883083E-4</v>
      </c>
      <c r="M163" s="40" t="str">
        <f>IF(データ!L160="","",データ!L160)</f>
        <v/>
      </c>
      <c r="N163" s="41" t="str">
        <f>IF(データ!M160="","",データ!M160)</f>
        <v/>
      </c>
      <c r="O163" s="42">
        <f>データ!N160</f>
        <v>0</v>
      </c>
      <c r="P163" s="48">
        <f>IF($C163="集計行","",データ!O160)</f>
        <v>0</v>
      </c>
      <c r="Q163" s="48">
        <f>データ!P160</f>
        <v>0</v>
      </c>
      <c r="R163" s="39" t="str">
        <f>IF(OR($C163="総括",$C163="内訳書",$C163="内訳代価",$C163="明細書",$C163="明細代価",$C163="代価表",$C163="単価表"),データ!Q160,"")</f>
        <v/>
      </c>
      <c r="S163" s="11" t="str">
        <f t="shared" si="14"/>
        <v/>
      </c>
      <c r="T163" s="46" t="e">
        <f t="shared" si="15"/>
        <v>#DIV/0!</v>
      </c>
      <c r="U163" s="40" t="str">
        <f>IF(データ!R160="","",データ!R160)</f>
        <v/>
      </c>
      <c r="V163" s="41" t="str">
        <f>IF(データ!S160="","",データ!S160)</f>
        <v/>
      </c>
      <c r="W163" s="42">
        <f>データ!T160</f>
        <v>0</v>
      </c>
      <c r="X163" s="48">
        <f>IF($C163="集計行","",データ!U160)</f>
        <v>0</v>
      </c>
      <c r="Y163" s="48">
        <f>データ!V160</f>
        <v>0</v>
      </c>
      <c r="Z163" s="39" t="str">
        <f>IF(OR($C163="総括",$C163="内訳書",$C163="内訳代価",$C163="明細書",$C163="明細代価",$C163="代価表",$C163="単価表"),データ!W160,"")</f>
        <v/>
      </c>
      <c r="AA163" s="11" t="str">
        <f t="shared" si="16"/>
        <v/>
      </c>
      <c r="AB163" s="46" t="e">
        <f t="shared" si="17"/>
        <v>#DIV/0!</v>
      </c>
      <c r="AC163" s="40" t="str">
        <f>IF(データ!X160="","",データ!X160)</f>
        <v/>
      </c>
      <c r="AD163" s="41" t="str">
        <f>IF(データ!Y160="","",データ!Y160)</f>
        <v/>
      </c>
      <c r="AE163" s="47" t="str">
        <f>TRIM(データ!B160)</f>
        <v/>
      </c>
      <c r="AF163" s="43" t="str">
        <f>TRIM(データ!Z160)</f>
        <v/>
      </c>
    </row>
    <row r="164" spans="1:32" x14ac:dyDescent="0.15">
      <c r="A164" s="47">
        <f>データ!A161</f>
        <v>1</v>
      </c>
      <c r="B164" s="47" t="str">
        <f>TRIM(データ!C161)</f>
        <v/>
      </c>
      <c r="C164" s="47" t="str">
        <f>TRIM(データ!D161)</f>
        <v>内訳書</v>
      </c>
      <c r="D164" s="36" t="str">
        <f>REPT("｜",$A164)&amp;TRIM(データ!E161)</f>
        <v>｜路面補修工No.8</v>
      </c>
      <c r="E164" s="37" t="str">
        <f>TRIM(データ!F161)</f>
        <v>路面パッチング補修</v>
      </c>
      <c r="F164" s="38" t="str">
        <f>TRIM(データ!G161)</f>
        <v>m2</v>
      </c>
      <c r="G164" s="50">
        <f>データ!H161</f>
        <v>23.8</v>
      </c>
      <c r="H164" s="48">
        <f>データ!I161</f>
        <v>8800</v>
      </c>
      <c r="I164" s="48">
        <f>データ!J161</f>
        <v>209440</v>
      </c>
      <c r="J164" s="39">
        <f>IF(OR($C164="総括",$C164="内訳書",$C164="内訳代価",$C164="明細書",$C164="明細代価",$C164="代価表",$C164="単価表"),データ!K161,"")</f>
        <v>23.8</v>
      </c>
      <c r="K164" s="11" t="str">
        <f t="shared" si="12"/>
        <v/>
      </c>
      <c r="L164" s="46">
        <f t="shared" si="13"/>
        <v>1.1322690739278071E-2</v>
      </c>
      <c r="M164" s="40" t="str">
        <f>IF(データ!L161="","",データ!L161)</f>
        <v/>
      </c>
      <c r="N164" s="41" t="str">
        <f>IF(データ!M161="","",データ!M161)</f>
        <v>22号内訳書</v>
      </c>
      <c r="O164" s="42">
        <f>データ!N161</f>
        <v>0</v>
      </c>
      <c r="P164" s="48">
        <f>IF($C164="集計行","",データ!O161)</f>
        <v>0</v>
      </c>
      <c r="Q164" s="48">
        <f>データ!P161</f>
        <v>0</v>
      </c>
      <c r="R164" s="39">
        <f>IF(OR($C164="総括",$C164="内訳書",$C164="内訳代価",$C164="明細書",$C164="明細代価",$C164="代価表",$C164="単価表"),データ!Q161,"")</f>
        <v>0</v>
      </c>
      <c r="S164" s="11" t="str">
        <f t="shared" si="14"/>
        <v/>
      </c>
      <c r="T164" s="46" t="e">
        <f t="shared" si="15"/>
        <v>#DIV/0!</v>
      </c>
      <c r="U164" s="40" t="str">
        <f>IF(データ!R161="","",データ!R161)</f>
        <v/>
      </c>
      <c r="V164" s="41" t="str">
        <f>IF(データ!S161="","",データ!S161)</f>
        <v/>
      </c>
      <c r="W164" s="42">
        <f>データ!T161</f>
        <v>0</v>
      </c>
      <c r="X164" s="48">
        <f>IF($C164="集計行","",データ!U161)</f>
        <v>0</v>
      </c>
      <c r="Y164" s="48">
        <f>データ!V161</f>
        <v>0</v>
      </c>
      <c r="Z164" s="39">
        <f>IF(OR($C164="総括",$C164="内訳書",$C164="内訳代価",$C164="明細書",$C164="明細代価",$C164="代価表",$C164="単価表"),データ!W161,"")</f>
        <v>0</v>
      </c>
      <c r="AA164" s="11" t="str">
        <f t="shared" si="16"/>
        <v/>
      </c>
      <c r="AB164" s="46" t="e">
        <f t="shared" si="17"/>
        <v>#DIV/0!</v>
      </c>
      <c r="AC164" s="40" t="str">
        <f>IF(データ!X161="","",データ!X161)</f>
        <v/>
      </c>
      <c r="AD164" s="41" t="str">
        <f>IF(データ!Y161="","",データ!Y161)</f>
        <v/>
      </c>
      <c r="AE164" s="47" t="str">
        <f>TRIM(データ!B161)</f>
        <v/>
      </c>
      <c r="AF164" s="43" t="str">
        <f>TRIM(データ!Z161)</f>
        <v/>
      </c>
    </row>
    <row r="165" spans="1:32" x14ac:dyDescent="0.15">
      <c r="A165" s="47">
        <f>データ!A162</f>
        <v>2</v>
      </c>
      <c r="B165" s="47" t="str">
        <f>TRIM(データ!C162)</f>
        <v/>
      </c>
      <c r="C165" s="47" t="str">
        <f>TRIM(データ!D162)</f>
        <v>材料費</v>
      </c>
      <c r="D165" s="36" t="str">
        <f>REPT("｜",$A165)&amp;TRIM(データ!E162)</f>
        <v>｜｜細粒度5mm</v>
      </c>
      <c r="E165" s="37" t="str">
        <f>TRIM(データ!F162)</f>
        <v/>
      </c>
      <c r="F165" s="38" t="str">
        <f>TRIM(データ!G162)</f>
        <v>ｔ</v>
      </c>
      <c r="G165" s="50">
        <f>データ!H162</f>
        <v>2</v>
      </c>
      <c r="H165" s="48">
        <f>データ!I162</f>
        <v>13000</v>
      </c>
      <c r="I165" s="48">
        <f>データ!J162</f>
        <v>26000</v>
      </c>
      <c r="J165" s="39" t="str">
        <f>IF(OR($C165="総括",$C165="内訳書",$C165="内訳代価",$C165="明細書",$C165="明細代価",$C165="代価表",$C165="単価表"),データ!K162,"")</f>
        <v/>
      </c>
      <c r="K165" s="11" t="str">
        <f t="shared" si="12"/>
        <v/>
      </c>
      <c r="L165" s="46">
        <f t="shared" si="13"/>
        <v>1.405605229283947E-3</v>
      </c>
      <c r="M165" s="40" t="str">
        <f>IF(データ!L162="","",データ!L162)</f>
        <v/>
      </c>
      <c r="N165" s="41" t="str">
        <f>IF(データ!M162="","",データ!M162)</f>
        <v/>
      </c>
      <c r="O165" s="42">
        <f>データ!N162</f>
        <v>0</v>
      </c>
      <c r="P165" s="48">
        <f>IF($C165="集計行","",データ!O162)</f>
        <v>0</v>
      </c>
      <c r="Q165" s="48">
        <f>データ!P162</f>
        <v>0</v>
      </c>
      <c r="R165" s="39" t="str">
        <f>IF(OR($C165="総括",$C165="内訳書",$C165="内訳代価",$C165="明細書",$C165="明細代価",$C165="代価表",$C165="単価表"),データ!Q162,"")</f>
        <v/>
      </c>
      <c r="S165" s="11" t="str">
        <f t="shared" si="14"/>
        <v/>
      </c>
      <c r="T165" s="46" t="e">
        <f t="shared" si="15"/>
        <v>#DIV/0!</v>
      </c>
      <c r="U165" s="40" t="str">
        <f>IF(データ!R162="","",データ!R162)</f>
        <v/>
      </c>
      <c r="V165" s="41" t="str">
        <f>IF(データ!S162="","",データ!S162)</f>
        <v/>
      </c>
      <c r="W165" s="42">
        <f>データ!T162</f>
        <v>0</v>
      </c>
      <c r="X165" s="48">
        <f>IF($C165="集計行","",データ!U162)</f>
        <v>0</v>
      </c>
      <c r="Y165" s="48">
        <f>データ!V162</f>
        <v>0</v>
      </c>
      <c r="Z165" s="39" t="str">
        <f>IF(OR($C165="総括",$C165="内訳書",$C165="内訳代価",$C165="明細書",$C165="明細代価",$C165="代価表",$C165="単価表"),データ!W162,"")</f>
        <v/>
      </c>
      <c r="AA165" s="11" t="str">
        <f t="shared" si="16"/>
        <v/>
      </c>
      <c r="AB165" s="46" t="e">
        <f t="shared" si="17"/>
        <v>#DIV/0!</v>
      </c>
      <c r="AC165" s="40" t="str">
        <f>IF(データ!X162="","",データ!X162)</f>
        <v/>
      </c>
      <c r="AD165" s="41" t="str">
        <f>IF(データ!Y162="","",データ!Y162)</f>
        <v/>
      </c>
      <c r="AE165" s="47" t="str">
        <f>TRIM(データ!B162)</f>
        <v/>
      </c>
      <c r="AF165" s="43" t="str">
        <f>TRIM(データ!Z162)</f>
        <v/>
      </c>
    </row>
    <row r="166" spans="1:32" x14ac:dyDescent="0.15">
      <c r="A166" s="47">
        <f>データ!A163</f>
        <v>2</v>
      </c>
      <c r="B166" s="47" t="str">
        <f>TRIM(データ!C163)</f>
        <v/>
      </c>
      <c r="C166" s="47" t="str">
        <f>TRIM(データ!D163)</f>
        <v>材料費</v>
      </c>
      <c r="D166" s="36" t="str">
        <f>REPT("｜",$A166)&amp;TRIM(データ!E163)</f>
        <v>｜｜アスファルト乳剤</v>
      </c>
      <c r="E166" s="37" t="str">
        <f>TRIM(データ!F163)</f>
        <v/>
      </c>
      <c r="F166" s="38" t="str">
        <f>TRIM(データ!G163)</f>
        <v>缶</v>
      </c>
      <c r="G166" s="50">
        <f>データ!H163</f>
        <v>1</v>
      </c>
      <c r="H166" s="48">
        <f>データ!I163</f>
        <v>7000</v>
      </c>
      <c r="I166" s="48">
        <f>データ!J163</f>
        <v>7000</v>
      </c>
      <c r="J166" s="39" t="str">
        <f>IF(OR($C166="総括",$C166="内訳書",$C166="内訳代価",$C166="明細書",$C166="明細代価",$C166="代価表",$C166="単価表"),データ!K163,"")</f>
        <v/>
      </c>
      <c r="K166" s="11" t="str">
        <f t="shared" si="12"/>
        <v/>
      </c>
      <c r="L166" s="46">
        <f t="shared" si="13"/>
        <v>3.7843217711490878E-4</v>
      </c>
      <c r="M166" s="40" t="str">
        <f>IF(データ!L163="","",データ!L163)</f>
        <v/>
      </c>
      <c r="N166" s="41" t="str">
        <f>IF(データ!M163="","",データ!M163)</f>
        <v/>
      </c>
      <c r="O166" s="42">
        <f>データ!N163</f>
        <v>0</v>
      </c>
      <c r="P166" s="48">
        <f>IF($C166="集計行","",データ!O163)</f>
        <v>0</v>
      </c>
      <c r="Q166" s="48">
        <f>データ!P163</f>
        <v>0</v>
      </c>
      <c r="R166" s="39" t="str">
        <f>IF(OR($C166="総括",$C166="内訳書",$C166="内訳代価",$C166="明細書",$C166="明細代価",$C166="代価表",$C166="単価表"),データ!Q163,"")</f>
        <v/>
      </c>
      <c r="S166" s="11" t="str">
        <f t="shared" si="14"/>
        <v/>
      </c>
      <c r="T166" s="46" t="e">
        <f t="shared" si="15"/>
        <v>#DIV/0!</v>
      </c>
      <c r="U166" s="40" t="str">
        <f>IF(データ!R163="","",データ!R163)</f>
        <v/>
      </c>
      <c r="V166" s="41" t="str">
        <f>IF(データ!S163="","",データ!S163)</f>
        <v/>
      </c>
      <c r="W166" s="42">
        <f>データ!T163</f>
        <v>0</v>
      </c>
      <c r="X166" s="48">
        <f>IF($C166="集計行","",データ!U163)</f>
        <v>0</v>
      </c>
      <c r="Y166" s="48">
        <f>データ!V163</f>
        <v>0</v>
      </c>
      <c r="Z166" s="39" t="str">
        <f>IF(OR($C166="総括",$C166="内訳書",$C166="内訳代価",$C166="明細書",$C166="明細代価",$C166="代価表",$C166="単価表"),データ!W163,"")</f>
        <v/>
      </c>
      <c r="AA166" s="11" t="str">
        <f t="shared" si="16"/>
        <v/>
      </c>
      <c r="AB166" s="46" t="e">
        <f t="shared" si="17"/>
        <v>#DIV/0!</v>
      </c>
      <c r="AC166" s="40" t="str">
        <f>IF(データ!X163="","",データ!X163)</f>
        <v/>
      </c>
      <c r="AD166" s="41" t="str">
        <f>IF(データ!Y163="","",データ!Y163)</f>
        <v/>
      </c>
      <c r="AE166" s="47" t="str">
        <f>TRIM(データ!B163)</f>
        <v/>
      </c>
      <c r="AF166" s="43" t="str">
        <f>TRIM(データ!Z163)</f>
        <v/>
      </c>
    </row>
    <row r="167" spans="1:32" x14ac:dyDescent="0.15">
      <c r="A167" s="47">
        <f>データ!A164</f>
        <v>2</v>
      </c>
      <c r="B167" s="47" t="str">
        <f>TRIM(データ!C164)</f>
        <v/>
      </c>
      <c r="C167" s="47" t="str">
        <f>TRIM(データ!D164)</f>
        <v>材料費</v>
      </c>
      <c r="D167" s="36" t="str">
        <f>REPT("｜",$A167)&amp;TRIM(データ!E164)</f>
        <v>｜｜雑材</v>
      </c>
      <c r="E167" s="37" t="str">
        <f>TRIM(データ!F164)</f>
        <v/>
      </c>
      <c r="F167" s="38" t="str">
        <f>TRIM(データ!G164)</f>
        <v>式</v>
      </c>
      <c r="G167" s="50">
        <f>データ!H164</f>
        <v>1</v>
      </c>
      <c r="H167" s="48">
        <f>データ!I164</f>
        <v>3990</v>
      </c>
      <c r="I167" s="48">
        <f>データ!J164</f>
        <v>3990</v>
      </c>
      <c r="J167" s="39" t="str">
        <f>IF(OR($C167="総括",$C167="内訳書",$C167="内訳代価",$C167="明細書",$C167="明細代価",$C167="代価表",$C167="単価表"),データ!K164,"")</f>
        <v/>
      </c>
      <c r="K167" s="11" t="str">
        <f t="shared" si="12"/>
        <v/>
      </c>
      <c r="L167" s="46">
        <f t="shared" si="13"/>
        <v>2.1570634095549799E-4</v>
      </c>
      <c r="M167" s="40" t="str">
        <f>IF(データ!L164="","",データ!L164)</f>
        <v/>
      </c>
      <c r="N167" s="41" t="str">
        <f>IF(データ!M164="","",データ!M164)</f>
        <v/>
      </c>
      <c r="O167" s="42">
        <f>データ!N164</f>
        <v>0</v>
      </c>
      <c r="P167" s="48">
        <f>IF($C167="集計行","",データ!O164)</f>
        <v>0</v>
      </c>
      <c r="Q167" s="48">
        <f>データ!P164</f>
        <v>0</v>
      </c>
      <c r="R167" s="39" t="str">
        <f>IF(OR($C167="総括",$C167="内訳書",$C167="内訳代価",$C167="明細書",$C167="明細代価",$C167="代価表",$C167="単価表"),データ!Q164,"")</f>
        <v/>
      </c>
      <c r="S167" s="11" t="str">
        <f t="shared" si="14"/>
        <v/>
      </c>
      <c r="T167" s="46" t="e">
        <f t="shared" si="15"/>
        <v>#DIV/0!</v>
      </c>
      <c r="U167" s="40" t="str">
        <f>IF(データ!R164="","",データ!R164)</f>
        <v/>
      </c>
      <c r="V167" s="41" t="str">
        <f>IF(データ!S164="","",データ!S164)</f>
        <v/>
      </c>
      <c r="W167" s="42">
        <f>データ!T164</f>
        <v>0</v>
      </c>
      <c r="X167" s="48">
        <f>IF($C167="集計行","",データ!U164)</f>
        <v>0</v>
      </c>
      <c r="Y167" s="48">
        <f>データ!V164</f>
        <v>0</v>
      </c>
      <c r="Z167" s="39" t="str">
        <f>IF(OR($C167="総括",$C167="内訳書",$C167="内訳代価",$C167="明細書",$C167="明細代価",$C167="代価表",$C167="単価表"),データ!W164,"")</f>
        <v/>
      </c>
      <c r="AA167" s="11" t="str">
        <f t="shared" si="16"/>
        <v/>
      </c>
      <c r="AB167" s="46" t="e">
        <f t="shared" si="17"/>
        <v>#DIV/0!</v>
      </c>
      <c r="AC167" s="40" t="str">
        <f>IF(データ!X164="","",データ!X164)</f>
        <v/>
      </c>
      <c r="AD167" s="41" t="str">
        <f>IF(データ!Y164="","",データ!Y164)</f>
        <v/>
      </c>
      <c r="AE167" s="47" t="str">
        <f>TRIM(データ!B164)</f>
        <v/>
      </c>
      <c r="AF167" s="43" t="str">
        <f>TRIM(データ!Z164)</f>
        <v/>
      </c>
    </row>
    <row r="168" spans="1:32" x14ac:dyDescent="0.15">
      <c r="A168" s="47">
        <f>データ!A165</f>
        <v>2</v>
      </c>
      <c r="B168" s="47" t="str">
        <f>TRIM(データ!C165)</f>
        <v/>
      </c>
      <c r="C168" s="47" t="str">
        <f>TRIM(データ!D165)</f>
        <v>労務費</v>
      </c>
      <c r="D168" s="36" t="str">
        <f>REPT("｜",$A168)&amp;TRIM(データ!E165)</f>
        <v>｜｜土工</v>
      </c>
      <c r="E168" s="37" t="str">
        <f>TRIM(データ!F165)</f>
        <v/>
      </c>
      <c r="F168" s="38" t="str">
        <f>TRIM(データ!G165)</f>
        <v>人</v>
      </c>
      <c r="G168" s="50">
        <f>データ!H165</f>
        <v>4</v>
      </c>
      <c r="H168" s="48">
        <f>データ!I165</f>
        <v>23000</v>
      </c>
      <c r="I168" s="48">
        <f>データ!J165</f>
        <v>92000</v>
      </c>
      <c r="J168" s="39" t="str">
        <f>IF(OR($C168="総括",$C168="内訳書",$C168="内訳代価",$C168="明細書",$C168="明細代価",$C168="代価表",$C168="単価表"),データ!K165,"")</f>
        <v/>
      </c>
      <c r="K168" s="11" t="str">
        <f t="shared" si="12"/>
        <v/>
      </c>
      <c r="L168" s="46">
        <f t="shared" si="13"/>
        <v>4.9736800420816579E-3</v>
      </c>
      <c r="M168" s="40" t="str">
        <f>IF(データ!L165="","",データ!L165)</f>
        <v/>
      </c>
      <c r="N168" s="41" t="str">
        <f>IF(データ!M165="","",データ!M165)</f>
        <v/>
      </c>
      <c r="O168" s="42">
        <f>データ!N165</f>
        <v>0</v>
      </c>
      <c r="P168" s="48">
        <f>IF($C168="集計行","",データ!O165)</f>
        <v>0</v>
      </c>
      <c r="Q168" s="48">
        <f>データ!P165</f>
        <v>0</v>
      </c>
      <c r="R168" s="39" t="str">
        <f>IF(OR($C168="総括",$C168="内訳書",$C168="内訳代価",$C168="明細書",$C168="明細代価",$C168="代価表",$C168="単価表"),データ!Q165,"")</f>
        <v/>
      </c>
      <c r="S168" s="11" t="str">
        <f t="shared" si="14"/>
        <v/>
      </c>
      <c r="T168" s="46" t="e">
        <f t="shared" si="15"/>
        <v>#DIV/0!</v>
      </c>
      <c r="U168" s="40" t="str">
        <f>IF(データ!R165="","",データ!R165)</f>
        <v/>
      </c>
      <c r="V168" s="41" t="str">
        <f>IF(データ!S165="","",データ!S165)</f>
        <v/>
      </c>
      <c r="W168" s="42">
        <f>データ!T165</f>
        <v>0</v>
      </c>
      <c r="X168" s="48">
        <f>IF($C168="集計行","",データ!U165)</f>
        <v>0</v>
      </c>
      <c r="Y168" s="48">
        <f>データ!V165</f>
        <v>0</v>
      </c>
      <c r="Z168" s="39" t="str">
        <f>IF(OR($C168="総括",$C168="内訳書",$C168="内訳代価",$C168="明細書",$C168="明細代価",$C168="代価表",$C168="単価表"),データ!W165,"")</f>
        <v/>
      </c>
      <c r="AA168" s="11" t="str">
        <f t="shared" si="16"/>
        <v/>
      </c>
      <c r="AB168" s="46" t="e">
        <f t="shared" si="17"/>
        <v>#DIV/0!</v>
      </c>
      <c r="AC168" s="40" t="str">
        <f>IF(データ!X165="","",データ!X165)</f>
        <v/>
      </c>
      <c r="AD168" s="41" t="str">
        <f>IF(データ!Y165="","",データ!Y165)</f>
        <v/>
      </c>
      <c r="AE168" s="47" t="str">
        <f>TRIM(データ!B165)</f>
        <v/>
      </c>
      <c r="AF168" s="43" t="str">
        <f>TRIM(データ!Z165)</f>
        <v/>
      </c>
    </row>
    <row r="169" spans="1:32" x14ac:dyDescent="0.15">
      <c r="A169" s="47">
        <f>データ!A166</f>
        <v>2</v>
      </c>
      <c r="B169" s="47" t="str">
        <f>TRIM(データ!C166)</f>
        <v/>
      </c>
      <c r="C169" s="47" t="str">
        <f>TRIM(データ!D166)</f>
        <v>機械費</v>
      </c>
      <c r="D169" s="36" t="str">
        <f>REPT("｜",$A169)&amp;TRIM(データ!E166)</f>
        <v>｜｜小物機械</v>
      </c>
      <c r="E169" s="37" t="str">
        <f>TRIM(データ!F166)</f>
        <v/>
      </c>
      <c r="F169" s="38" t="str">
        <f>TRIM(データ!G166)</f>
        <v>台</v>
      </c>
      <c r="G169" s="50">
        <f>データ!H166</f>
        <v>1</v>
      </c>
      <c r="H169" s="48">
        <f>データ!I166</f>
        <v>3000</v>
      </c>
      <c r="I169" s="48">
        <f>データ!J166</f>
        <v>3000</v>
      </c>
      <c r="J169" s="39" t="str">
        <f>IF(OR($C169="総括",$C169="内訳書",$C169="内訳代価",$C169="明細書",$C169="明細代価",$C169="代価表",$C169="単価表"),データ!K166,"")</f>
        <v/>
      </c>
      <c r="K169" s="11" t="str">
        <f t="shared" si="12"/>
        <v/>
      </c>
      <c r="L169" s="46">
        <f t="shared" si="13"/>
        <v>1.6218521876353232E-4</v>
      </c>
      <c r="M169" s="40" t="str">
        <f>IF(データ!L166="","",データ!L166)</f>
        <v/>
      </c>
      <c r="N169" s="41" t="str">
        <f>IF(データ!M166="","",データ!M166)</f>
        <v/>
      </c>
      <c r="O169" s="42">
        <f>データ!N166</f>
        <v>0</v>
      </c>
      <c r="P169" s="48">
        <f>IF($C169="集計行","",データ!O166)</f>
        <v>0</v>
      </c>
      <c r="Q169" s="48">
        <f>データ!P166</f>
        <v>0</v>
      </c>
      <c r="R169" s="39" t="str">
        <f>IF(OR($C169="総括",$C169="内訳書",$C169="内訳代価",$C169="明細書",$C169="明細代価",$C169="代価表",$C169="単価表"),データ!Q166,"")</f>
        <v/>
      </c>
      <c r="S169" s="11" t="str">
        <f t="shared" si="14"/>
        <v/>
      </c>
      <c r="T169" s="46" t="e">
        <f t="shared" si="15"/>
        <v>#DIV/0!</v>
      </c>
      <c r="U169" s="40" t="str">
        <f>IF(データ!R166="","",データ!R166)</f>
        <v/>
      </c>
      <c r="V169" s="41" t="str">
        <f>IF(データ!S166="","",データ!S166)</f>
        <v/>
      </c>
      <c r="W169" s="42">
        <f>データ!T166</f>
        <v>0</v>
      </c>
      <c r="X169" s="48">
        <f>IF($C169="集計行","",データ!U166)</f>
        <v>0</v>
      </c>
      <c r="Y169" s="48">
        <f>データ!V166</f>
        <v>0</v>
      </c>
      <c r="Z169" s="39" t="str">
        <f>IF(OR($C169="総括",$C169="内訳書",$C169="内訳代価",$C169="明細書",$C169="明細代価",$C169="代価表",$C169="単価表"),データ!W166,"")</f>
        <v/>
      </c>
      <c r="AA169" s="11" t="str">
        <f t="shared" si="16"/>
        <v/>
      </c>
      <c r="AB169" s="46" t="e">
        <f t="shared" si="17"/>
        <v>#DIV/0!</v>
      </c>
      <c r="AC169" s="40" t="str">
        <f>IF(データ!X166="","",データ!X166)</f>
        <v/>
      </c>
      <c r="AD169" s="41" t="str">
        <f>IF(データ!Y166="","",データ!Y166)</f>
        <v/>
      </c>
      <c r="AE169" s="47" t="str">
        <f>TRIM(データ!B166)</f>
        <v/>
      </c>
      <c r="AF169" s="43" t="str">
        <f>TRIM(データ!Z166)</f>
        <v/>
      </c>
    </row>
    <row r="170" spans="1:32" x14ac:dyDescent="0.15">
      <c r="A170" s="47">
        <f>データ!A167</f>
        <v>2</v>
      </c>
      <c r="B170" s="47" t="str">
        <f>TRIM(データ!C167)</f>
        <v/>
      </c>
      <c r="C170" s="47" t="str">
        <f>TRIM(データ!D167)</f>
        <v>運搬費</v>
      </c>
      <c r="D170" s="36" t="str">
        <f>REPT("｜",$A170)&amp;TRIM(データ!E167)</f>
        <v>｜｜2tダンプ</v>
      </c>
      <c r="E170" s="37" t="str">
        <f>TRIM(データ!F167)</f>
        <v/>
      </c>
      <c r="F170" s="38" t="str">
        <f>TRIM(データ!G167)</f>
        <v>台</v>
      </c>
      <c r="G170" s="50">
        <f>データ!H167</f>
        <v>1</v>
      </c>
      <c r="H170" s="48">
        <f>データ!I167</f>
        <v>8000</v>
      </c>
      <c r="I170" s="48">
        <f>データ!J167</f>
        <v>8000</v>
      </c>
      <c r="J170" s="39" t="str">
        <f>IF(OR($C170="総括",$C170="内訳書",$C170="内訳代価",$C170="明細書",$C170="明細代価",$C170="代価表",$C170="単価表"),データ!K167,"")</f>
        <v/>
      </c>
      <c r="K170" s="11" t="str">
        <f t="shared" si="12"/>
        <v/>
      </c>
      <c r="L170" s="46">
        <f t="shared" si="13"/>
        <v>4.3249391670275287E-4</v>
      </c>
      <c r="M170" s="40" t="str">
        <f>IF(データ!L167="","",データ!L167)</f>
        <v/>
      </c>
      <c r="N170" s="41" t="str">
        <f>IF(データ!M167="","",データ!M167)</f>
        <v/>
      </c>
      <c r="O170" s="42">
        <f>データ!N167</f>
        <v>0</v>
      </c>
      <c r="P170" s="48">
        <f>IF($C170="集計行","",データ!O167)</f>
        <v>0</v>
      </c>
      <c r="Q170" s="48">
        <f>データ!P167</f>
        <v>0</v>
      </c>
      <c r="R170" s="39" t="str">
        <f>IF(OR($C170="総括",$C170="内訳書",$C170="内訳代価",$C170="明細書",$C170="明細代価",$C170="代価表",$C170="単価表"),データ!Q167,"")</f>
        <v/>
      </c>
      <c r="S170" s="11" t="str">
        <f t="shared" si="14"/>
        <v/>
      </c>
      <c r="T170" s="46" t="e">
        <f t="shared" si="15"/>
        <v>#DIV/0!</v>
      </c>
      <c r="U170" s="40" t="str">
        <f>IF(データ!R167="","",データ!R167)</f>
        <v/>
      </c>
      <c r="V170" s="41" t="str">
        <f>IF(データ!S167="","",データ!S167)</f>
        <v/>
      </c>
      <c r="W170" s="42">
        <f>データ!T167</f>
        <v>0</v>
      </c>
      <c r="X170" s="48">
        <f>IF($C170="集計行","",データ!U167)</f>
        <v>0</v>
      </c>
      <c r="Y170" s="48">
        <f>データ!V167</f>
        <v>0</v>
      </c>
      <c r="Z170" s="39" t="str">
        <f>IF(OR($C170="総括",$C170="内訳書",$C170="内訳代価",$C170="明細書",$C170="明細代価",$C170="代価表",$C170="単価表"),データ!W167,"")</f>
        <v/>
      </c>
      <c r="AA170" s="11" t="str">
        <f t="shared" si="16"/>
        <v/>
      </c>
      <c r="AB170" s="46" t="e">
        <f t="shared" si="17"/>
        <v>#DIV/0!</v>
      </c>
      <c r="AC170" s="40" t="str">
        <f>IF(データ!X167="","",データ!X167)</f>
        <v/>
      </c>
      <c r="AD170" s="41" t="str">
        <f>IF(データ!Y167="","",データ!Y167)</f>
        <v/>
      </c>
      <c r="AE170" s="47" t="str">
        <f>TRIM(データ!B167)</f>
        <v/>
      </c>
      <c r="AF170" s="43" t="str">
        <f>TRIM(データ!Z167)</f>
        <v/>
      </c>
    </row>
    <row r="171" spans="1:32" x14ac:dyDescent="0.15">
      <c r="A171" s="47">
        <f>データ!A168</f>
        <v>2</v>
      </c>
      <c r="B171" s="47" t="str">
        <f>TRIM(データ!C168)</f>
        <v/>
      </c>
      <c r="C171" s="47" t="str">
        <f>TRIM(データ!D168)</f>
        <v>運搬費</v>
      </c>
      <c r="D171" s="36" t="str">
        <f>REPT("｜",$A171)&amp;TRIM(データ!E168)</f>
        <v>｜｜WP</v>
      </c>
      <c r="E171" s="37" t="str">
        <f>TRIM(データ!F168)</f>
        <v/>
      </c>
      <c r="F171" s="38" t="str">
        <f>TRIM(データ!G168)</f>
        <v>台</v>
      </c>
      <c r="G171" s="50">
        <f>データ!H168</f>
        <v>1</v>
      </c>
      <c r="H171" s="48">
        <f>データ!I168</f>
        <v>8000</v>
      </c>
      <c r="I171" s="48">
        <f>データ!J168</f>
        <v>8000</v>
      </c>
      <c r="J171" s="39" t="str">
        <f>IF(OR($C171="総括",$C171="内訳書",$C171="内訳代価",$C171="明細書",$C171="明細代価",$C171="代価表",$C171="単価表"),データ!K168,"")</f>
        <v/>
      </c>
      <c r="K171" s="11" t="str">
        <f t="shared" si="12"/>
        <v/>
      </c>
      <c r="L171" s="46">
        <f t="shared" si="13"/>
        <v>4.3249391670275287E-4</v>
      </c>
      <c r="M171" s="40" t="str">
        <f>IF(データ!L168="","",データ!L168)</f>
        <v/>
      </c>
      <c r="N171" s="41" t="str">
        <f>IF(データ!M168="","",データ!M168)</f>
        <v/>
      </c>
      <c r="O171" s="42">
        <f>データ!N168</f>
        <v>0</v>
      </c>
      <c r="P171" s="48">
        <f>IF($C171="集計行","",データ!O168)</f>
        <v>0</v>
      </c>
      <c r="Q171" s="48">
        <f>データ!P168</f>
        <v>0</v>
      </c>
      <c r="R171" s="39" t="str">
        <f>IF(OR($C171="総括",$C171="内訳書",$C171="内訳代価",$C171="明細書",$C171="明細代価",$C171="代価表",$C171="単価表"),データ!Q168,"")</f>
        <v/>
      </c>
      <c r="S171" s="11" t="str">
        <f t="shared" si="14"/>
        <v/>
      </c>
      <c r="T171" s="46" t="e">
        <f t="shared" si="15"/>
        <v>#DIV/0!</v>
      </c>
      <c r="U171" s="40" t="str">
        <f>IF(データ!R168="","",データ!R168)</f>
        <v/>
      </c>
      <c r="V171" s="41" t="str">
        <f>IF(データ!S168="","",データ!S168)</f>
        <v/>
      </c>
      <c r="W171" s="42">
        <f>データ!T168</f>
        <v>0</v>
      </c>
      <c r="X171" s="48">
        <f>IF($C171="集計行","",データ!U168)</f>
        <v>0</v>
      </c>
      <c r="Y171" s="48">
        <f>データ!V168</f>
        <v>0</v>
      </c>
      <c r="Z171" s="39" t="str">
        <f>IF(OR($C171="総括",$C171="内訳書",$C171="内訳代価",$C171="明細書",$C171="明細代価",$C171="代価表",$C171="単価表"),データ!W168,"")</f>
        <v/>
      </c>
      <c r="AA171" s="11" t="str">
        <f t="shared" si="16"/>
        <v/>
      </c>
      <c r="AB171" s="46" t="e">
        <f t="shared" si="17"/>
        <v>#DIV/0!</v>
      </c>
      <c r="AC171" s="40" t="str">
        <f>IF(データ!X168="","",データ!X168)</f>
        <v/>
      </c>
      <c r="AD171" s="41" t="str">
        <f>IF(データ!Y168="","",データ!Y168)</f>
        <v/>
      </c>
      <c r="AE171" s="47" t="str">
        <f>TRIM(データ!B168)</f>
        <v/>
      </c>
      <c r="AF171" s="43" t="str">
        <f>TRIM(データ!Z168)</f>
        <v/>
      </c>
    </row>
    <row r="172" spans="1:32" x14ac:dyDescent="0.15">
      <c r="A172" s="47">
        <f>データ!A169</f>
        <v>2</v>
      </c>
      <c r="B172" s="47" t="str">
        <f>TRIM(データ!C169)</f>
        <v/>
      </c>
      <c r="C172" s="47" t="str">
        <f>TRIM(データ!D169)</f>
        <v>外注費</v>
      </c>
      <c r="D172" s="36" t="str">
        <f>REPT("｜",$A172)&amp;TRIM(データ!E169)</f>
        <v>｜｜諸経費</v>
      </c>
      <c r="E172" s="37" t="str">
        <f>TRIM(データ!F169)</f>
        <v/>
      </c>
      <c r="F172" s="38" t="str">
        <f>TRIM(データ!G169)</f>
        <v>式</v>
      </c>
      <c r="G172" s="50">
        <f>データ!H169</f>
        <v>1</v>
      </c>
      <c r="H172" s="48">
        <f>データ!I169</f>
        <v>12000</v>
      </c>
      <c r="I172" s="48">
        <f>データ!J169</f>
        <v>12000</v>
      </c>
      <c r="J172" s="39" t="str">
        <f>IF(OR($C172="総括",$C172="内訳書",$C172="内訳代価",$C172="明細書",$C172="明細代価",$C172="代価表",$C172="単価表"),データ!K169,"")</f>
        <v/>
      </c>
      <c r="K172" s="11" t="str">
        <f t="shared" si="12"/>
        <v/>
      </c>
      <c r="L172" s="46">
        <f t="shared" si="13"/>
        <v>6.4874087505412928E-4</v>
      </c>
      <c r="M172" s="40" t="str">
        <f>IF(データ!L169="","",データ!L169)</f>
        <v/>
      </c>
      <c r="N172" s="41" t="str">
        <f>IF(データ!M169="","",データ!M169)</f>
        <v/>
      </c>
      <c r="O172" s="42">
        <f>データ!N169</f>
        <v>0</v>
      </c>
      <c r="P172" s="48">
        <f>IF($C172="集計行","",データ!O169)</f>
        <v>0</v>
      </c>
      <c r="Q172" s="48">
        <f>データ!P169</f>
        <v>0</v>
      </c>
      <c r="R172" s="39" t="str">
        <f>IF(OR($C172="総括",$C172="内訳書",$C172="内訳代価",$C172="明細書",$C172="明細代価",$C172="代価表",$C172="単価表"),データ!Q169,"")</f>
        <v/>
      </c>
      <c r="S172" s="11" t="str">
        <f t="shared" si="14"/>
        <v/>
      </c>
      <c r="T172" s="46" t="e">
        <f t="shared" si="15"/>
        <v>#DIV/0!</v>
      </c>
      <c r="U172" s="40" t="str">
        <f>IF(データ!R169="","",データ!R169)</f>
        <v/>
      </c>
      <c r="V172" s="41" t="str">
        <f>IF(データ!S169="","",データ!S169)</f>
        <v/>
      </c>
      <c r="W172" s="42">
        <f>データ!T169</f>
        <v>0</v>
      </c>
      <c r="X172" s="48">
        <f>IF($C172="集計行","",データ!U169)</f>
        <v>0</v>
      </c>
      <c r="Y172" s="48">
        <f>データ!V169</f>
        <v>0</v>
      </c>
      <c r="Z172" s="39" t="str">
        <f>IF(OR($C172="総括",$C172="内訳書",$C172="内訳代価",$C172="明細書",$C172="明細代価",$C172="代価表",$C172="単価表"),データ!W169,"")</f>
        <v/>
      </c>
      <c r="AA172" s="11" t="str">
        <f t="shared" si="16"/>
        <v/>
      </c>
      <c r="AB172" s="46" t="e">
        <f t="shared" si="17"/>
        <v>#DIV/0!</v>
      </c>
      <c r="AC172" s="40" t="str">
        <f>IF(データ!X169="","",データ!X169)</f>
        <v/>
      </c>
      <c r="AD172" s="41" t="str">
        <f>IF(データ!Y169="","",データ!Y169)</f>
        <v/>
      </c>
      <c r="AE172" s="47" t="str">
        <f>TRIM(データ!B169)</f>
        <v/>
      </c>
      <c r="AF172" s="43" t="str">
        <f>TRIM(データ!Z169)</f>
        <v/>
      </c>
    </row>
    <row r="173" spans="1:32" x14ac:dyDescent="0.15">
      <c r="A173" s="47">
        <f>データ!A170</f>
        <v>2</v>
      </c>
      <c r="B173" s="47" t="str">
        <f>TRIM(データ!C170)</f>
        <v/>
      </c>
      <c r="C173" s="47" t="str">
        <f>TRIM(データ!D170)</f>
        <v>外注費</v>
      </c>
      <c r="D173" s="36" t="str">
        <f>REPT("｜",$A173)&amp;TRIM(データ!E170)</f>
        <v>｜｜法定福利費</v>
      </c>
      <c r="E173" s="37" t="str">
        <f>TRIM(データ!F170)</f>
        <v/>
      </c>
      <c r="F173" s="38" t="str">
        <f>TRIM(データ!G170)</f>
        <v>式</v>
      </c>
      <c r="G173" s="50">
        <f>データ!H170</f>
        <v>1</v>
      </c>
      <c r="H173" s="48">
        <f>データ!I170</f>
        <v>14950</v>
      </c>
      <c r="I173" s="48">
        <f>データ!J170</f>
        <v>14950</v>
      </c>
      <c r="J173" s="39" t="str">
        <f>IF(OR($C173="総括",$C173="内訳書",$C173="内訳代価",$C173="明細書",$C173="明細代価",$C173="代価表",$C173="単価表"),データ!K170,"")</f>
        <v/>
      </c>
      <c r="K173" s="11" t="str">
        <f t="shared" si="12"/>
        <v/>
      </c>
      <c r="L173" s="46">
        <f t="shared" si="13"/>
        <v>8.0822300683826948E-4</v>
      </c>
      <c r="M173" s="40" t="str">
        <f>IF(データ!L170="","",データ!L170)</f>
        <v/>
      </c>
      <c r="N173" s="41" t="str">
        <f>IF(データ!M170="","",データ!M170)</f>
        <v/>
      </c>
      <c r="O173" s="42">
        <f>データ!N170</f>
        <v>0</v>
      </c>
      <c r="P173" s="48">
        <f>IF($C173="集計行","",データ!O170)</f>
        <v>0</v>
      </c>
      <c r="Q173" s="48">
        <f>データ!P170</f>
        <v>0</v>
      </c>
      <c r="R173" s="39" t="str">
        <f>IF(OR($C173="総括",$C173="内訳書",$C173="内訳代価",$C173="明細書",$C173="明細代価",$C173="代価表",$C173="単価表"),データ!Q170,"")</f>
        <v/>
      </c>
      <c r="S173" s="11" t="str">
        <f t="shared" si="14"/>
        <v/>
      </c>
      <c r="T173" s="46" t="e">
        <f t="shared" si="15"/>
        <v>#DIV/0!</v>
      </c>
      <c r="U173" s="40" t="str">
        <f>IF(データ!R170="","",データ!R170)</f>
        <v/>
      </c>
      <c r="V173" s="41" t="str">
        <f>IF(データ!S170="","",データ!S170)</f>
        <v/>
      </c>
      <c r="W173" s="42">
        <f>データ!T170</f>
        <v>0</v>
      </c>
      <c r="X173" s="48">
        <f>IF($C173="集計行","",データ!U170)</f>
        <v>0</v>
      </c>
      <c r="Y173" s="48">
        <f>データ!V170</f>
        <v>0</v>
      </c>
      <c r="Z173" s="39" t="str">
        <f>IF(OR($C173="総括",$C173="内訳書",$C173="内訳代価",$C173="明細書",$C173="明細代価",$C173="代価表",$C173="単価表"),データ!W170,"")</f>
        <v/>
      </c>
      <c r="AA173" s="11" t="str">
        <f t="shared" si="16"/>
        <v/>
      </c>
      <c r="AB173" s="46" t="e">
        <f t="shared" si="17"/>
        <v>#DIV/0!</v>
      </c>
      <c r="AC173" s="40" t="str">
        <f>IF(データ!X170="","",データ!X170)</f>
        <v/>
      </c>
      <c r="AD173" s="41" t="str">
        <f>IF(データ!Y170="","",データ!Y170)</f>
        <v/>
      </c>
      <c r="AE173" s="47" t="str">
        <f>TRIM(データ!B170)</f>
        <v/>
      </c>
      <c r="AF173" s="43" t="str">
        <f>TRIM(データ!Z170)</f>
        <v/>
      </c>
    </row>
    <row r="174" spans="1:32" x14ac:dyDescent="0.15">
      <c r="A174" s="47">
        <f>データ!A171</f>
        <v>2</v>
      </c>
      <c r="B174" s="47" t="str">
        <f>TRIM(データ!C171)</f>
        <v/>
      </c>
      <c r="C174" s="47" t="str">
        <f>TRIM(データ!D171)</f>
        <v>外注費</v>
      </c>
      <c r="D174" s="36" t="str">
        <f>REPT("｜",$A174)&amp;TRIM(データ!E171)</f>
        <v>｜｜交通誘導員</v>
      </c>
      <c r="E174" s="37" t="str">
        <f>TRIM(データ!F171)</f>
        <v/>
      </c>
      <c r="F174" s="38" t="str">
        <f>TRIM(データ!G171)</f>
        <v>人</v>
      </c>
      <c r="G174" s="50">
        <f>データ!H171</f>
        <v>1.5</v>
      </c>
      <c r="H174" s="48">
        <f>データ!I171</f>
        <v>18000</v>
      </c>
      <c r="I174" s="48">
        <f>データ!J171</f>
        <v>27000</v>
      </c>
      <c r="J174" s="39" t="str">
        <f>IF(OR($C174="総括",$C174="内訳書",$C174="内訳代価",$C174="明細書",$C174="明細代価",$C174="代価表",$C174="単価表"),データ!K171,"")</f>
        <v/>
      </c>
      <c r="K174" s="11" t="str">
        <f t="shared" si="12"/>
        <v/>
      </c>
      <c r="L174" s="46">
        <f t="shared" si="13"/>
        <v>1.459666968871791E-3</v>
      </c>
      <c r="M174" s="40" t="str">
        <f>IF(データ!L171="","",データ!L171)</f>
        <v/>
      </c>
      <c r="N174" s="41" t="str">
        <f>IF(データ!M171="","",データ!M171)</f>
        <v/>
      </c>
      <c r="O174" s="42">
        <f>データ!N171</f>
        <v>0</v>
      </c>
      <c r="P174" s="48">
        <f>IF($C174="集計行","",データ!O171)</f>
        <v>0</v>
      </c>
      <c r="Q174" s="48">
        <f>データ!P171</f>
        <v>0</v>
      </c>
      <c r="R174" s="39" t="str">
        <f>IF(OR($C174="総括",$C174="内訳書",$C174="内訳代価",$C174="明細書",$C174="明細代価",$C174="代価表",$C174="単価表"),データ!Q171,"")</f>
        <v/>
      </c>
      <c r="S174" s="11" t="str">
        <f t="shared" si="14"/>
        <v/>
      </c>
      <c r="T174" s="46" t="e">
        <f t="shared" si="15"/>
        <v>#DIV/0!</v>
      </c>
      <c r="U174" s="40" t="str">
        <f>IF(データ!R171="","",データ!R171)</f>
        <v/>
      </c>
      <c r="V174" s="41" t="str">
        <f>IF(データ!S171="","",データ!S171)</f>
        <v/>
      </c>
      <c r="W174" s="42">
        <f>データ!T171</f>
        <v>0</v>
      </c>
      <c r="X174" s="48">
        <f>IF($C174="集計行","",データ!U171)</f>
        <v>0</v>
      </c>
      <c r="Y174" s="48">
        <f>データ!V171</f>
        <v>0</v>
      </c>
      <c r="Z174" s="39" t="str">
        <f>IF(OR($C174="総括",$C174="内訳書",$C174="内訳代価",$C174="明細書",$C174="明細代価",$C174="代価表",$C174="単価表"),データ!W171,"")</f>
        <v/>
      </c>
      <c r="AA174" s="11" t="str">
        <f t="shared" si="16"/>
        <v/>
      </c>
      <c r="AB174" s="46" t="e">
        <f t="shared" si="17"/>
        <v>#DIV/0!</v>
      </c>
      <c r="AC174" s="40" t="str">
        <f>IF(データ!X171="","",データ!X171)</f>
        <v/>
      </c>
      <c r="AD174" s="41" t="str">
        <f>IF(データ!Y171="","",データ!Y171)</f>
        <v/>
      </c>
      <c r="AE174" s="47" t="str">
        <f>TRIM(データ!B171)</f>
        <v/>
      </c>
      <c r="AF174" s="43" t="str">
        <f>TRIM(データ!Z171)</f>
        <v/>
      </c>
    </row>
    <row r="175" spans="1:32" x14ac:dyDescent="0.15">
      <c r="A175" s="47">
        <f>データ!A172</f>
        <v>2</v>
      </c>
      <c r="B175" s="47" t="str">
        <f>TRIM(データ!C172)</f>
        <v/>
      </c>
      <c r="C175" s="47" t="str">
        <f>TRIM(データ!D172)</f>
        <v>機械費</v>
      </c>
      <c r="D175" s="36" t="str">
        <f>REPT("｜",$A175)&amp;TRIM(データ!E172)</f>
        <v>｜｜軽トラ規制車　保安材含</v>
      </c>
      <c r="E175" s="37" t="str">
        <f>TRIM(データ!F172)</f>
        <v/>
      </c>
      <c r="F175" s="38" t="str">
        <f>TRIM(データ!G172)</f>
        <v>台</v>
      </c>
      <c r="G175" s="50">
        <f>データ!H172</f>
        <v>0.5</v>
      </c>
      <c r="H175" s="48">
        <f>データ!I172</f>
        <v>15000</v>
      </c>
      <c r="I175" s="48">
        <f>データ!J172</f>
        <v>7500</v>
      </c>
      <c r="J175" s="39" t="str">
        <f>IF(OR($C175="総括",$C175="内訳書",$C175="内訳代価",$C175="明細書",$C175="明細代価",$C175="代価表",$C175="単価表"),データ!K172,"")</f>
        <v/>
      </c>
      <c r="K175" s="11" t="str">
        <f t="shared" si="12"/>
        <v/>
      </c>
      <c r="L175" s="46">
        <f t="shared" si="13"/>
        <v>4.0546304690883083E-4</v>
      </c>
      <c r="M175" s="40" t="str">
        <f>IF(データ!L172="","",データ!L172)</f>
        <v/>
      </c>
      <c r="N175" s="41" t="str">
        <f>IF(データ!M172="","",データ!M172)</f>
        <v/>
      </c>
      <c r="O175" s="42">
        <f>データ!N172</f>
        <v>0</v>
      </c>
      <c r="P175" s="48">
        <f>IF($C175="集計行","",データ!O172)</f>
        <v>0</v>
      </c>
      <c r="Q175" s="48">
        <f>データ!P172</f>
        <v>0</v>
      </c>
      <c r="R175" s="39" t="str">
        <f>IF(OR($C175="総括",$C175="内訳書",$C175="内訳代価",$C175="明細書",$C175="明細代価",$C175="代価表",$C175="単価表"),データ!Q172,"")</f>
        <v/>
      </c>
      <c r="S175" s="11" t="str">
        <f t="shared" si="14"/>
        <v/>
      </c>
      <c r="T175" s="46" t="e">
        <f t="shared" si="15"/>
        <v>#DIV/0!</v>
      </c>
      <c r="U175" s="40" t="str">
        <f>IF(データ!R172="","",データ!R172)</f>
        <v/>
      </c>
      <c r="V175" s="41" t="str">
        <f>IF(データ!S172="","",データ!S172)</f>
        <v/>
      </c>
      <c r="W175" s="42">
        <f>データ!T172</f>
        <v>0</v>
      </c>
      <c r="X175" s="48">
        <f>IF($C175="集計行","",データ!U172)</f>
        <v>0</v>
      </c>
      <c r="Y175" s="48">
        <f>データ!V172</f>
        <v>0</v>
      </c>
      <c r="Z175" s="39" t="str">
        <f>IF(OR($C175="総括",$C175="内訳書",$C175="内訳代価",$C175="明細書",$C175="明細代価",$C175="代価表",$C175="単価表"),データ!W172,"")</f>
        <v/>
      </c>
      <c r="AA175" s="11" t="str">
        <f t="shared" si="16"/>
        <v/>
      </c>
      <c r="AB175" s="46" t="e">
        <f t="shared" si="17"/>
        <v>#DIV/0!</v>
      </c>
      <c r="AC175" s="40" t="str">
        <f>IF(データ!X172="","",データ!X172)</f>
        <v/>
      </c>
      <c r="AD175" s="41" t="str">
        <f>IF(データ!Y172="","",データ!Y172)</f>
        <v/>
      </c>
      <c r="AE175" s="47" t="str">
        <f>TRIM(データ!B172)</f>
        <v/>
      </c>
      <c r="AF175" s="43" t="str">
        <f>TRIM(データ!Z172)</f>
        <v/>
      </c>
    </row>
    <row r="176" spans="1:32" x14ac:dyDescent="0.15">
      <c r="A176" s="47">
        <f>データ!A173</f>
        <v>1</v>
      </c>
      <c r="B176" s="47" t="str">
        <f>TRIM(データ!C173)</f>
        <v/>
      </c>
      <c r="C176" s="47" t="str">
        <f>TRIM(データ!D173)</f>
        <v>内訳書</v>
      </c>
      <c r="D176" s="36" t="str">
        <f>REPT("｜",$A176)&amp;TRIM(データ!E173)</f>
        <v>｜路面補修工No.9</v>
      </c>
      <c r="E176" s="37" t="str">
        <f>TRIM(データ!F173)</f>
        <v>路面パッチング補修</v>
      </c>
      <c r="F176" s="38" t="str">
        <f>TRIM(データ!G173)</f>
        <v>m2</v>
      </c>
      <c r="G176" s="50">
        <f>データ!H173</f>
        <v>50</v>
      </c>
      <c r="H176" s="48">
        <f>データ!I173</f>
        <v>6800</v>
      </c>
      <c r="I176" s="48">
        <f>データ!J173</f>
        <v>340000</v>
      </c>
      <c r="J176" s="39">
        <f>IF(OR($C176="総括",$C176="内訳書",$C176="内訳代価",$C176="明細書",$C176="明細代価",$C176="代価表",$C176="単価表"),データ!K173,"")</f>
        <v>50</v>
      </c>
      <c r="K176" s="11" t="str">
        <f t="shared" si="12"/>
        <v/>
      </c>
      <c r="L176" s="46">
        <f t="shared" si="13"/>
        <v>1.8380991459866998E-2</v>
      </c>
      <c r="M176" s="40" t="str">
        <f>IF(データ!L173="","",データ!L173)</f>
        <v/>
      </c>
      <c r="N176" s="41" t="str">
        <f>IF(データ!M173="","",データ!M173)</f>
        <v>23号内訳書</v>
      </c>
      <c r="O176" s="42">
        <f>データ!N173</f>
        <v>0</v>
      </c>
      <c r="P176" s="48">
        <f>IF($C176="集計行","",データ!O173)</f>
        <v>0</v>
      </c>
      <c r="Q176" s="48">
        <f>データ!P173</f>
        <v>0</v>
      </c>
      <c r="R176" s="39">
        <f>IF(OR($C176="総括",$C176="内訳書",$C176="内訳代価",$C176="明細書",$C176="明細代価",$C176="代価表",$C176="単価表"),データ!Q173,"")</f>
        <v>0</v>
      </c>
      <c r="S176" s="11" t="str">
        <f t="shared" si="14"/>
        <v/>
      </c>
      <c r="T176" s="46" t="e">
        <f t="shared" si="15"/>
        <v>#DIV/0!</v>
      </c>
      <c r="U176" s="40" t="str">
        <f>IF(データ!R173="","",データ!R173)</f>
        <v/>
      </c>
      <c r="V176" s="41" t="str">
        <f>IF(データ!S173="","",データ!S173)</f>
        <v/>
      </c>
      <c r="W176" s="42">
        <f>データ!T173</f>
        <v>0</v>
      </c>
      <c r="X176" s="48">
        <f>IF($C176="集計行","",データ!U173)</f>
        <v>0</v>
      </c>
      <c r="Y176" s="48">
        <f>データ!V173</f>
        <v>0</v>
      </c>
      <c r="Z176" s="39">
        <f>IF(OR($C176="総括",$C176="内訳書",$C176="内訳代価",$C176="明細書",$C176="明細代価",$C176="代価表",$C176="単価表"),データ!W173,"")</f>
        <v>0</v>
      </c>
      <c r="AA176" s="11" t="str">
        <f t="shared" si="16"/>
        <v/>
      </c>
      <c r="AB176" s="46" t="e">
        <f t="shared" si="17"/>
        <v>#DIV/0!</v>
      </c>
      <c r="AC176" s="40" t="str">
        <f>IF(データ!X173="","",データ!X173)</f>
        <v/>
      </c>
      <c r="AD176" s="41" t="str">
        <f>IF(データ!Y173="","",データ!Y173)</f>
        <v/>
      </c>
      <c r="AE176" s="47" t="str">
        <f>TRIM(データ!B173)</f>
        <v/>
      </c>
      <c r="AF176" s="43" t="str">
        <f>TRIM(データ!Z173)</f>
        <v/>
      </c>
    </row>
    <row r="177" spans="1:32" x14ac:dyDescent="0.15">
      <c r="A177" s="47">
        <f>データ!A174</f>
        <v>2</v>
      </c>
      <c r="B177" s="47" t="str">
        <f>TRIM(データ!C174)</f>
        <v/>
      </c>
      <c r="C177" s="47" t="str">
        <f>TRIM(データ!D174)</f>
        <v>材料費</v>
      </c>
      <c r="D177" s="36" t="str">
        <f>REPT("｜",$A177)&amp;TRIM(データ!E174)</f>
        <v>｜｜細粒度5mm</v>
      </c>
      <c r="E177" s="37" t="str">
        <f>TRIM(データ!F174)</f>
        <v/>
      </c>
      <c r="F177" s="38" t="str">
        <f>TRIM(データ!G174)</f>
        <v>ｔ</v>
      </c>
      <c r="G177" s="50">
        <f>データ!H174</f>
        <v>3</v>
      </c>
      <c r="H177" s="48">
        <f>データ!I174</f>
        <v>13000</v>
      </c>
      <c r="I177" s="48">
        <f>データ!J174</f>
        <v>39000</v>
      </c>
      <c r="J177" s="39" t="str">
        <f>IF(OR($C177="総括",$C177="内訳書",$C177="内訳代価",$C177="明細書",$C177="明細代価",$C177="代価表",$C177="単価表"),データ!K174,"")</f>
        <v/>
      </c>
      <c r="K177" s="11" t="str">
        <f t="shared" si="12"/>
        <v/>
      </c>
      <c r="L177" s="46">
        <f t="shared" si="13"/>
        <v>2.1084078439259201E-3</v>
      </c>
      <c r="M177" s="40" t="str">
        <f>IF(データ!L174="","",データ!L174)</f>
        <v/>
      </c>
      <c r="N177" s="41" t="str">
        <f>IF(データ!M174="","",データ!M174)</f>
        <v/>
      </c>
      <c r="O177" s="42">
        <f>データ!N174</f>
        <v>0</v>
      </c>
      <c r="P177" s="48">
        <f>IF($C177="集計行","",データ!O174)</f>
        <v>0</v>
      </c>
      <c r="Q177" s="48">
        <f>データ!P174</f>
        <v>0</v>
      </c>
      <c r="R177" s="39" t="str">
        <f>IF(OR($C177="総括",$C177="内訳書",$C177="内訳代価",$C177="明細書",$C177="明細代価",$C177="代価表",$C177="単価表"),データ!Q174,"")</f>
        <v/>
      </c>
      <c r="S177" s="11" t="str">
        <f t="shared" si="14"/>
        <v/>
      </c>
      <c r="T177" s="46" t="e">
        <f t="shared" si="15"/>
        <v>#DIV/0!</v>
      </c>
      <c r="U177" s="40" t="str">
        <f>IF(データ!R174="","",データ!R174)</f>
        <v/>
      </c>
      <c r="V177" s="41" t="str">
        <f>IF(データ!S174="","",データ!S174)</f>
        <v/>
      </c>
      <c r="W177" s="42">
        <f>データ!T174</f>
        <v>0</v>
      </c>
      <c r="X177" s="48">
        <f>IF($C177="集計行","",データ!U174)</f>
        <v>0</v>
      </c>
      <c r="Y177" s="48">
        <f>データ!V174</f>
        <v>0</v>
      </c>
      <c r="Z177" s="39" t="str">
        <f>IF(OR($C177="総括",$C177="内訳書",$C177="内訳代価",$C177="明細書",$C177="明細代価",$C177="代価表",$C177="単価表"),データ!W174,"")</f>
        <v/>
      </c>
      <c r="AA177" s="11" t="str">
        <f t="shared" si="16"/>
        <v/>
      </c>
      <c r="AB177" s="46" t="e">
        <f t="shared" si="17"/>
        <v>#DIV/0!</v>
      </c>
      <c r="AC177" s="40" t="str">
        <f>IF(データ!X174="","",データ!X174)</f>
        <v/>
      </c>
      <c r="AD177" s="41" t="str">
        <f>IF(データ!Y174="","",データ!Y174)</f>
        <v/>
      </c>
      <c r="AE177" s="47" t="str">
        <f>TRIM(データ!B174)</f>
        <v/>
      </c>
      <c r="AF177" s="43" t="str">
        <f>TRIM(データ!Z174)</f>
        <v/>
      </c>
    </row>
    <row r="178" spans="1:32" x14ac:dyDescent="0.15">
      <c r="A178" s="47">
        <f>データ!A175</f>
        <v>2</v>
      </c>
      <c r="B178" s="47" t="str">
        <f>TRIM(データ!C175)</f>
        <v/>
      </c>
      <c r="C178" s="47" t="str">
        <f>TRIM(データ!D175)</f>
        <v>材料費</v>
      </c>
      <c r="D178" s="36" t="str">
        <f>REPT("｜",$A178)&amp;TRIM(データ!E175)</f>
        <v>｜｜アスファルト乳剤</v>
      </c>
      <c r="E178" s="37" t="str">
        <f>TRIM(データ!F175)</f>
        <v/>
      </c>
      <c r="F178" s="38" t="str">
        <f>TRIM(データ!G175)</f>
        <v>缶</v>
      </c>
      <c r="G178" s="50">
        <f>データ!H175</f>
        <v>2</v>
      </c>
      <c r="H178" s="48">
        <f>データ!I175</f>
        <v>7000</v>
      </c>
      <c r="I178" s="48">
        <f>データ!J175</f>
        <v>14000</v>
      </c>
      <c r="J178" s="39" t="str">
        <f>IF(OR($C178="総括",$C178="内訳書",$C178="内訳代価",$C178="明細書",$C178="明細代価",$C178="代価表",$C178="単価表"),データ!K175,"")</f>
        <v/>
      </c>
      <c r="K178" s="11" t="str">
        <f t="shared" si="12"/>
        <v/>
      </c>
      <c r="L178" s="46">
        <f t="shared" si="13"/>
        <v>7.5686435422981757E-4</v>
      </c>
      <c r="M178" s="40" t="str">
        <f>IF(データ!L175="","",データ!L175)</f>
        <v/>
      </c>
      <c r="N178" s="41" t="str">
        <f>IF(データ!M175="","",データ!M175)</f>
        <v/>
      </c>
      <c r="O178" s="42">
        <f>データ!N175</f>
        <v>0</v>
      </c>
      <c r="P178" s="48">
        <f>IF($C178="集計行","",データ!O175)</f>
        <v>0</v>
      </c>
      <c r="Q178" s="48">
        <f>データ!P175</f>
        <v>0</v>
      </c>
      <c r="R178" s="39" t="str">
        <f>IF(OR($C178="総括",$C178="内訳書",$C178="内訳代価",$C178="明細書",$C178="明細代価",$C178="代価表",$C178="単価表"),データ!Q175,"")</f>
        <v/>
      </c>
      <c r="S178" s="11" t="str">
        <f t="shared" si="14"/>
        <v/>
      </c>
      <c r="T178" s="46" t="e">
        <f t="shared" si="15"/>
        <v>#DIV/0!</v>
      </c>
      <c r="U178" s="40" t="str">
        <f>IF(データ!R175="","",データ!R175)</f>
        <v/>
      </c>
      <c r="V178" s="41" t="str">
        <f>IF(データ!S175="","",データ!S175)</f>
        <v/>
      </c>
      <c r="W178" s="42">
        <f>データ!T175</f>
        <v>0</v>
      </c>
      <c r="X178" s="48">
        <f>IF($C178="集計行","",データ!U175)</f>
        <v>0</v>
      </c>
      <c r="Y178" s="48">
        <f>データ!V175</f>
        <v>0</v>
      </c>
      <c r="Z178" s="39" t="str">
        <f>IF(OR($C178="総括",$C178="内訳書",$C178="内訳代価",$C178="明細書",$C178="明細代価",$C178="代価表",$C178="単価表"),データ!W175,"")</f>
        <v/>
      </c>
      <c r="AA178" s="11" t="str">
        <f t="shared" si="16"/>
        <v/>
      </c>
      <c r="AB178" s="46" t="e">
        <f t="shared" si="17"/>
        <v>#DIV/0!</v>
      </c>
      <c r="AC178" s="40" t="str">
        <f>IF(データ!X175="","",データ!X175)</f>
        <v/>
      </c>
      <c r="AD178" s="41" t="str">
        <f>IF(データ!Y175="","",データ!Y175)</f>
        <v/>
      </c>
      <c r="AE178" s="47" t="str">
        <f>TRIM(データ!B175)</f>
        <v/>
      </c>
      <c r="AF178" s="43" t="str">
        <f>TRIM(データ!Z175)</f>
        <v/>
      </c>
    </row>
    <row r="179" spans="1:32" x14ac:dyDescent="0.15">
      <c r="A179" s="47">
        <f>データ!A176</f>
        <v>2</v>
      </c>
      <c r="B179" s="47" t="str">
        <f>TRIM(データ!C176)</f>
        <v/>
      </c>
      <c r="C179" s="47" t="str">
        <f>TRIM(データ!D176)</f>
        <v>材料費</v>
      </c>
      <c r="D179" s="36" t="str">
        <f>REPT("｜",$A179)&amp;TRIM(データ!E176)</f>
        <v>｜｜雑材</v>
      </c>
      <c r="E179" s="37" t="str">
        <f>TRIM(データ!F176)</f>
        <v/>
      </c>
      <c r="F179" s="38" t="str">
        <f>TRIM(データ!G176)</f>
        <v>式</v>
      </c>
      <c r="G179" s="50">
        <f>データ!H176</f>
        <v>1</v>
      </c>
      <c r="H179" s="48">
        <f>データ!I176</f>
        <v>4200</v>
      </c>
      <c r="I179" s="48">
        <f>データ!J176</f>
        <v>4200</v>
      </c>
      <c r="J179" s="39" t="str">
        <f>IF(OR($C179="総括",$C179="内訳書",$C179="内訳代価",$C179="明細書",$C179="明細代価",$C179="代価表",$C179="単価表"),データ!K176,"")</f>
        <v/>
      </c>
      <c r="K179" s="11" t="str">
        <f t="shared" si="12"/>
        <v/>
      </c>
      <c r="L179" s="46">
        <f t="shared" si="13"/>
        <v>2.2705930626894526E-4</v>
      </c>
      <c r="M179" s="40" t="str">
        <f>IF(データ!L176="","",データ!L176)</f>
        <v/>
      </c>
      <c r="N179" s="41" t="str">
        <f>IF(データ!M176="","",データ!M176)</f>
        <v/>
      </c>
      <c r="O179" s="42">
        <f>データ!N176</f>
        <v>0</v>
      </c>
      <c r="P179" s="48">
        <f>IF($C179="集計行","",データ!O176)</f>
        <v>0</v>
      </c>
      <c r="Q179" s="48">
        <f>データ!P176</f>
        <v>0</v>
      </c>
      <c r="R179" s="39" t="str">
        <f>IF(OR($C179="総括",$C179="内訳書",$C179="内訳代価",$C179="明細書",$C179="明細代価",$C179="代価表",$C179="単価表"),データ!Q176,"")</f>
        <v/>
      </c>
      <c r="S179" s="11" t="str">
        <f t="shared" si="14"/>
        <v/>
      </c>
      <c r="T179" s="46" t="e">
        <f t="shared" si="15"/>
        <v>#DIV/0!</v>
      </c>
      <c r="U179" s="40" t="str">
        <f>IF(データ!R176="","",データ!R176)</f>
        <v/>
      </c>
      <c r="V179" s="41" t="str">
        <f>IF(データ!S176="","",データ!S176)</f>
        <v/>
      </c>
      <c r="W179" s="42">
        <f>データ!T176</f>
        <v>0</v>
      </c>
      <c r="X179" s="48">
        <f>IF($C179="集計行","",データ!U176)</f>
        <v>0</v>
      </c>
      <c r="Y179" s="48">
        <f>データ!V176</f>
        <v>0</v>
      </c>
      <c r="Z179" s="39" t="str">
        <f>IF(OR($C179="総括",$C179="内訳書",$C179="内訳代価",$C179="明細書",$C179="明細代価",$C179="代価表",$C179="単価表"),データ!W176,"")</f>
        <v/>
      </c>
      <c r="AA179" s="11" t="str">
        <f t="shared" si="16"/>
        <v/>
      </c>
      <c r="AB179" s="46" t="e">
        <f t="shared" si="17"/>
        <v>#DIV/0!</v>
      </c>
      <c r="AC179" s="40" t="str">
        <f>IF(データ!X176="","",データ!X176)</f>
        <v/>
      </c>
      <c r="AD179" s="41" t="str">
        <f>IF(データ!Y176="","",データ!Y176)</f>
        <v/>
      </c>
      <c r="AE179" s="47" t="str">
        <f>TRIM(データ!B176)</f>
        <v/>
      </c>
      <c r="AF179" s="43" t="str">
        <f>TRIM(データ!Z176)</f>
        <v/>
      </c>
    </row>
    <row r="180" spans="1:32" x14ac:dyDescent="0.15">
      <c r="A180" s="47">
        <f>データ!A177</f>
        <v>2</v>
      </c>
      <c r="B180" s="47" t="str">
        <f>TRIM(データ!C177)</f>
        <v/>
      </c>
      <c r="C180" s="47" t="str">
        <f>TRIM(データ!D177)</f>
        <v>労務費</v>
      </c>
      <c r="D180" s="36" t="str">
        <f>REPT("｜",$A180)&amp;TRIM(データ!E177)</f>
        <v>｜｜土工</v>
      </c>
      <c r="E180" s="37" t="str">
        <f>TRIM(データ!F177)</f>
        <v/>
      </c>
      <c r="F180" s="38" t="str">
        <f>TRIM(データ!G177)</f>
        <v>人</v>
      </c>
      <c r="G180" s="50">
        <f>データ!H177</f>
        <v>6</v>
      </c>
      <c r="H180" s="48">
        <f>データ!I177</f>
        <v>23000</v>
      </c>
      <c r="I180" s="48">
        <f>データ!J177</f>
        <v>138000</v>
      </c>
      <c r="J180" s="39" t="str">
        <f>IF(OR($C180="総括",$C180="内訳書",$C180="内訳代価",$C180="明細書",$C180="明細代価",$C180="代価表",$C180="単価表"),データ!K177,"")</f>
        <v/>
      </c>
      <c r="K180" s="11" t="str">
        <f t="shared" si="12"/>
        <v/>
      </c>
      <c r="L180" s="46">
        <f t="shared" si="13"/>
        <v>7.4605200631224873E-3</v>
      </c>
      <c r="M180" s="40" t="str">
        <f>IF(データ!L177="","",データ!L177)</f>
        <v/>
      </c>
      <c r="N180" s="41" t="str">
        <f>IF(データ!M177="","",データ!M177)</f>
        <v/>
      </c>
      <c r="O180" s="42">
        <f>データ!N177</f>
        <v>0</v>
      </c>
      <c r="P180" s="48">
        <f>IF($C180="集計行","",データ!O177)</f>
        <v>0</v>
      </c>
      <c r="Q180" s="48">
        <f>データ!P177</f>
        <v>0</v>
      </c>
      <c r="R180" s="39" t="str">
        <f>IF(OR($C180="総括",$C180="内訳書",$C180="内訳代価",$C180="明細書",$C180="明細代価",$C180="代価表",$C180="単価表"),データ!Q177,"")</f>
        <v/>
      </c>
      <c r="S180" s="11" t="str">
        <f t="shared" si="14"/>
        <v/>
      </c>
      <c r="T180" s="46" t="e">
        <f t="shared" si="15"/>
        <v>#DIV/0!</v>
      </c>
      <c r="U180" s="40" t="str">
        <f>IF(データ!R177="","",データ!R177)</f>
        <v/>
      </c>
      <c r="V180" s="41" t="str">
        <f>IF(データ!S177="","",データ!S177)</f>
        <v/>
      </c>
      <c r="W180" s="42">
        <f>データ!T177</f>
        <v>0</v>
      </c>
      <c r="X180" s="48">
        <f>IF($C180="集計行","",データ!U177)</f>
        <v>0</v>
      </c>
      <c r="Y180" s="48">
        <f>データ!V177</f>
        <v>0</v>
      </c>
      <c r="Z180" s="39" t="str">
        <f>IF(OR($C180="総括",$C180="内訳書",$C180="内訳代価",$C180="明細書",$C180="明細代価",$C180="代価表",$C180="単価表"),データ!W177,"")</f>
        <v/>
      </c>
      <c r="AA180" s="11" t="str">
        <f t="shared" si="16"/>
        <v/>
      </c>
      <c r="AB180" s="46" t="e">
        <f t="shared" si="17"/>
        <v>#DIV/0!</v>
      </c>
      <c r="AC180" s="40" t="str">
        <f>IF(データ!X177="","",データ!X177)</f>
        <v/>
      </c>
      <c r="AD180" s="41" t="str">
        <f>IF(データ!Y177="","",データ!Y177)</f>
        <v/>
      </c>
      <c r="AE180" s="47" t="str">
        <f>TRIM(データ!B177)</f>
        <v/>
      </c>
      <c r="AF180" s="43" t="str">
        <f>TRIM(データ!Z177)</f>
        <v/>
      </c>
    </row>
    <row r="181" spans="1:32" x14ac:dyDescent="0.15">
      <c r="A181" s="47">
        <f>データ!A178</f>
        <v>2</v>
      </c>
      <c r="B181" s="47" t="str">
        <f>TRIM(データ!C178)</f>
        <v/>
      </c>
      <c r="C181" s="47" t="str">
        <f>TRIM(データ!D178)</f>
        <v>機械費</v>
      </c>
      <c r="D181" s="36" t="str">
        <f>REPT("｜",$A181)&amp;TRIM(データ!E178)</f>
        <v>｜｜小物機械</v>
      </c>
      <c r="E181" s="37" t="str">
        <f>TRIM(データ!F178)</f>
        <v/>
      </c>
      <c r="F181" s="38" t="str">
        <f>TRIM(データ!G178)</f>
        <v>台</v>
      </c>
      <c r="G181" s="50">
        <f>データ!H178</f>
        <v>1</v>
      </c>
      <c r="H181" s="48">
        <f>データ!I178</f>
        <v>3000</v>
      </c>
      <c r="I181" s="48">
        <f>データ!J178</f>
        <v>3000</v>
      </c>
      <c r="J181" s="39" t="str">
        <f>IF(OR($C181="総括",$C181="内訳書",$C181="内訳代価",$C181="明細書",$C181="明細代価",$C181="代価表",$C181="単価表"),データ!K178,"")</f>
        <v/>
      </c>
      <c r="K181" s="11" t="str">
        <f t="shared" si="12"/>
        <v/>
      </c>
      <c r="L181" s="46">
        <f t="shared" si="13"/>
        <v>1.6218521876353232E-4</v>
      </c>
      <c r="M181" s="40" t="str">
        <f>IF(データ!L178="","",データ!L178)</f>
        <v/>
      </c>
      <c r="N181" s="41" t="str">
        <f>IF(データ!M178="","",データ!M178)</f>
        <v/>
      </c>
      <c r="O181" s="42">
        <f>データ!N178</f>
        <v>0</v>
      </c>
      <c r="P181" s="48">
        <f>IF($C181="集計行","",データ!O178)</f>
        <v>0</v>
      </c>
      <c r="Q181" s="48">
        <f>データ!P178</f>
        <v>0</v>
      </c>
      <c r="R181" s="39" t="str">
        <f>IF(OR($C181="総括",$C181="内訳書",$C181="内訳代価",$C181="明細書",$C181="明細代価",$C181="代価表",$C181="単価表"),データ!Q178,"")</f>
        <v/>
      </c>
      <c r="S181" s="11" t="str">
        <f t="shared" si="14"/>
        <v/>
      </c>
      <c r="T181" s="46" t="e">
        <f t="shared" si="15"/>
        <v>#DIV/0!</v>
      </c>
      <c r="U181" s="40" t="str">
        <f>IF(データ!R178="","",データ!R178)</f>
        <v/>
      </c>
      <c r="V181" s="41" t="str">
        <f>IF(データ!S178="","",データ!S178)</f>
        <v/>
      </c>
      <c r="W181" s="42">
        <f>データ!T178</f>
        <v>0</v>
      </c>
      <c r="X181" s="48">
        <f>IF($C181="集計行","",データ!U178)</f>
        <v>0</v>
      </c>
      <c r="Y181" s="48">
        <f>データ!V178</f>
        <v>0</v>
      </c>
      <c r="Z181" s="39" t="str">
        <f>IF(OR($C181="総括",$C181="内訳書",$C181="内訳代価",$C181="明細書",$C181="明細代価",$C181="代価表",$C181="単価表"),データ!W178,"")</f>
        <v/>
      </c>
      <c r="AA181" s="11" t="str">
        <f t="shared" si="16"/>
        <v/>
      </c>
      <c r="AB181" s="46" t="e">
        <f t="shared" si="17"/>
        <v>#DIV/0!</v>
      </c>
      <c r="AC181" s="40" t="str">
        <f>IF(データ!X178="","",データ!X178)</f>
        <v/>
      </c>
      <c r="AD181" s="41" t="str">
        <f>IF(データ!Y178="","",データ!Y178)</f>
        <v/>
      </c>
      <c r="AE181" s="47" t="str">
        <f>TRIM(データ!B178)</f>
        <v/>
      </c>
      <c r="AF181" s="43" t="str">
        <f>TRIM(データ!Z178)</f>
        <v/>
      </c>
    </row>
    <row r="182" spans="1:32" x14ac:dyDescent="0.15">
      <c r="A182" s="47">
        <f>データ!A179</f>
        <v>2</v>
      </c>
      <c r="B182" s="47" t="str">
        <f>TRIM(データ!C179)</f>
        <v/>
      </c>
      <c r="C182" s="47" t="str">
        <f>TRIM(データ!D179)</f>
        <v>運搬費</v>
      </c>
      <c r="D182" s="36" t="str">
        <f>REPT("｜",$A182)&amp;TRIM(データ!E179)</f>
        <v>｜｜2tダンプ</v>
      </c>
      <c r="E182" s="37" t="str">
        <f>TRIM(データ!F179)</f>
        <v/>
      </c>
      <c r="F182" s="38" t="str">
        <f>TRIM(データ!G179)</f>
        <v>台</v>
      </c>
      <c r="G182" s="50">
        <f>データ!H179</f>
        <v>1</v>
      </c>
      <c r="H182" s="48">
        <f>データ!I179</f>
        <v>8000</v>
      </c>
      <c r="I182" s="48">
        <f>データ!J179</f>
        <v>8000</v>
      </c>
      <c r="J182" s="39" t="str">
        <f>IF(OR($C182="総括",$C182="内訳書",$C182="内訳代価",$C182="明細書",$C182="明細代価",$C182="代価表",$C182="単価表"),データ!K179,"")</f>
        <v/>
      </c>
      <c r="K182" s="11" t="str">
        <f t="shared" si="12"/>
        <v/>
      </c>
      <c r="L182" s="46">
        <f t="shared" si="13"/>
        <v>4.3249391670275287E-4</v>
      </c>
      <c r="M182" s="40" t="str">
        <f>IF(データ!L179="","",データ!L179)</f>
        <v/>
      </c>
      <c r="N182" s="41" t="str">
        <f>IF(データ!M179="","",データ!M179)</f>
        <v/>
      </c>
      <c r="O182" s="42">
        <f>データ!N179</f>
        <v>0</v>
      </c>
      <c r="P182" s="48">
        <f>IF($C182="集計行","",データ!O179)</f>
        <v>0</v>
      </c>
      <c r="Q182" s="48">
        <f>データ!P179</f>
        <v>0</v>
      </c>
      <c r="R182" s="39" t="str">
        <f>IF(OR($C182="総括",$C182="内訳書",$C182="内訳代価",$C182="明細書",$C182="明細代価",$C182="代価表",$C182="単価表"),データ!Q179,"")</f>
        <v/>
      </c>
      <c r="S182" s="11" t="str">
        <f t="shared" si="14"/>
        <v/>
      </c>
      <c r="T182" s="46" t="e">
        <f t="shared" si="15"/>
        <v>#DIV/0!</v>
      </c>
      <c r="U182" s="40" t="str">
        <f>IF(データ!R179="","",データ!R179)</f>
        <v/>
      </c>
      <c r="V182" s="41" t="str">
        <f>IF(データ!S179="","",データ!S179)</f>
        <v/>
      </c>
      <c r="W182" s="42">
        <f>データ!T179</f>
        <v>0</v>
      </c>
      <c r="X182" s="48">
        <f>IF($C182="集計行","",データ!U179)</f>
        <v>0</v>
      </c>
      <c r="Y182" s="48">
        <f>データ!V179</f>
        <v>0</v>
      </c>
      <c r="Z182" s="39" t="str">
        <f>IF(OR($C182="総括",$C182="内訳書",$C182="内訳代価",$C182="明細書",$C182="明細代価",$C182="代価表",$C182="単価表"),データ!W179,"")</f>
        <v/>
      </c>
      <c r="AA182" s="11" t="str">
        <f t="shared" si="16"/>
        <v/>
      </c>
      <c r="AB182" s="46" t="e">
        <f t="shared" si="17"/>
        <v>#DIV/0!</v>
      </c>
      <c r="AC182" s="40" t="str">
        <f>IF(データ!X179="","",データ!X179)</f>
        <v/>
      </c>
      <c r="AD182" s="41" t="str">
        <f>IF(データ!Y179="","",データ!Y179)</f>
        <v/>
      </c>
      <c r="AE182" s="47" t="str">
        <f>TRIM(データ!B179)</f>
        <v/>
      </c>
      <c r="AF182" s="43" t="str">
        <f>TRIM(データ!Z179)</f>
        <v/>
      </c>
    </row>
    <row r="183" spans="1:32" x14ac:dyDescent="0.15">
      <c r="A183" s="47">
        <f>データ!A180</f>
        <v>2</v>
      </c>
      <c r="B183" s="47" t="str">
        <f>TRIM(データ!C180)</f>
        <v/>
      </c>
      <c r="C183" s="47" t="str">
        <f>TRIM(データ!D180)</f>
        <v>運搬費</v>
      </c>
      <c r="D183" s="36" t="str">
        <f>REPT("｜",$A183)&amp;TRIM(データ!E180)</f>
        <v>｜｜WP</v>
      </c>
      <c r="E183" s="37" t="str">
        <f>TRIM(データ!F180)</f>
        <v/>
      </c>
      <c r="F183" s="38" t="str">
        <f>TRIM(データ!G180)</f>
        <v>台</v>
      </c>
      <c r="G183" s="50">
        <f>データ!H180</f>
        <v>1</v>
      </c>
      <c r="H183" s="48">
        <f>データ!I180</f>
        <v>8000</v>
      </c>
      <c r="I183" s="48">
        <f>データ!J180</f>
        <v>8000</v>
      </c>
      <c r="J183" s="39" t="str">
        <f>IF(OR($C183="総括",$C183="内訳書",$C183="内訳代価",$C183="明細書",$C183="明細代価",$C183="代価表",$C183="単価表"),データ!K180,"")</f>
        <v/>
      </c>
      <c r="K183" s="11" t="str">
        <f t="shared" si="12"/>
        <v/>
      </c>
      <c r="L183" s="46">
        <f t="shared" si="13"/>
        <v>4.3249391670275287E-4</v>
      </c>
      <c r="M183" s="40" t="str">
        <f>IF(データ!L180="","",データ!L180)</f>
        <v/>
      </c>
      <c r="N183" s="41" t="str">
        <f>IF(データ!M180="","",データ!M180)</f>
        <v/>
      </c>
      <c r="O183" s="42">
        <f>データ!N180</f>
        <v>0</v>
      </c>
      <c r="P183" s="48">
        <f>IF($C183="集計行","",データ!O180)</f>
        <v>0</v>
      </c>
      <c r="Q183" s="48">
        <f>データ!P180</f>
        <v>0</v>
      </c>
      <c r="R183" s="39" t="str">
        <f>IF(OR($C183="総括",$C183="内訳書",$C183="内訳代価",$C183="明細書",$C183="明細代価",$C183="代価表",$C183="単価表"),データ!Q180,"")</f>
        <v/>
      </c>
      <c r="S183" s="11" t="str">
        <f t="shared" si="14"/>
        <v/>
      </c>
      <c r="T183" s="46" t="e">
        <f t="shared" si="15"/>
        <v>#DIV/0!</v>
      </c>
      <c r="U183" s="40" t="str">
        <f>IF(データ!R180="","",データ!R180)</f>
        <v/>
      </c>
      <c r="V183" s="41" t="str">
        <f>IF(データ!S180="","",データ!S180)</f>
        <v/>
      </c>
      <c r="W183" s="42">
        <f>データ!T180</f>
        <v>0</v>
      </c>
      <c r="X183" s="48">
        <f>IF($C183="集計行","",データ!U180)</f>
        <v>0</v>
      </c>
      <c r="Y183" s="48">
        <f>データ!V180</f>
        <v>0</v>
      </c>
      <c r="Z183" s="39" t="str">
        <f>IF(OR($C183="総括",$C183="内訳書",$C183="内訳代価",$C183="明細書",$C183="明細代価",$C183="代価表",$C183="単価表"),データ!W180,"")</f>
        <v/>
      </c>
      <c r="AA183" s="11" t="str">
        <f t="shared" si="16"/>
        <v/>
      </c>
      <c r="AB183" s="46" t="e">
        <f t="shared" si="17"/>
        <v>#DIV/0!</v>
      </c>
      <c r="AC183" s="40" t="str">
        <f>IF(データ!X180="","",データ!X180)</f>
        <v/>
      </c>
      <c r="AD183" s="41" t="str">
        <f>IF(データ!Y180="","",データ!Y180)</f>
        <v/>
      </c>
      <c r="AE183" s="47" t="str">
        <f>TRIM(データ!B180)</f>
        <v/>
      </c>
      <c r="AF183" s="43" t="str">
        <f>TRIM(データ!Z180)</f>
        <v/>
      </c>
    </row>
    <row r="184" spans="1:32" x14ac:dyDescent="0.15">
      <c r="A184" s="47">
        <f>データ!A181</f>
        <v>2</v>
      </c>
      <c r="B184" s="47" t="str">
        <f>TRIM(データ!C181)</f>
        <v/>
      </c>
      <c r="C184" s="47" t="str">
        <f>TRIM(データ!D181)</f>
        <v>外注費</v>
      </c>
      <c r="D184" s="36" t="str">
        <f>REPT("｜",$A184)&amp;TRIM(データ!E181)</f>
        <v>｜｜諸経費</v>
      </c>
      <c r="E184" s="37" t="str">
        <f>TRIM(データ!F181)</f>
        <v/>
      </c>
      <c r="F184" s="38" t="str">
        <f>TRIM(データ!G181)</f>
        <v>式</v>
      </c>
      <c r="G184" s="50">
        <f>データ!H181</f>
        <v>1</v>
      </c>
      <c r="H184" s="48">
        <f>データ!I181</f>
        <v>16300</v>
      </c>
      <c r="I184" s="48">
        <f>データ!J181</f>
        <v>16300</v>
      </c>
      <c r="J184" s="39" t="str">
        <f>IF(OR($C184="総括",$C184="内訳書",$C184="内訳代価",$C184="明細書",$C184="明細代価",$C184="代価表",$C184="単価表"),データ!K181,"")</f>
        <v/>
      </c>
      <c r="K184" s="11" t="str">
        <f t="shared" si="12"/>
        <v/>
      </c>
      <c r="L184" s="46">
        <f t="shared" si="13"/>
        <v>8.8120635528185899E-4</v>
      </c>
      <c r="M184" s="40" t="str">
        <f>IF(データ!L181="","",データ!L181)</f>
        <v/>
      </c>
      <c r="N184" s="41" t="str">
        <f>IF(データ!M181="","",データ!M181)</f>
        <v/>
      </c>
      <c r="O184" s="42">
        <f>データ!N181</f>
        <v>0</v>
      </c>
      <c r="P184" s="48">
        <f>IF($C184="集計行","",データ!O181)</f>
        <v>0</v>
      </c>
      <c r="Q184" s="48">
        <f>データ!P181</f>
        <v>0</v>
      </c>
      <c r="R184" s="39" t="str">
        <f>IF(OR($C184="総括",$C184="内訳書",$C184="内訳代価",$C184="明細書",$C184="明細代価",$C184="代価表",$C184="単価表"),データ!Q181,"")</f>
        <v/>
      </c>
      <c r="S184" s="11" t="str">
        <f t="shared" si="14"/>
        <v/>
      </c>
      <c r="T184" s="46" t="e">
        <f t="shared" si="15"/>
        <v>#DIV/0!</v>
      </c>
      <c r="U184" s="40" t="str">
        <f>IF(データ!R181="","",データ!R181)</f>
        <v/>
      </c>
      <c r="V184" s="41" t="str">
        <f>IF(データ!S181="","",データ!S181)</f>
        <v/>
      </c>
      <c r="W184" s="42">
        <f>データ!T181</f>
        <v>0</v>
      </c>
      <c r="X184" s="48">
        <f>IF($C184="集計行","",データ!U181)</f>
        <v>0</v>
      </c>
      <c r="Y184" s="48">
        <f>データ!V181</f>
        <v>0</v>
      </c>
      <c r="Z184" s="39" t="str">
        <f>IF(OR($C184="総括",$C184="内訳書",$C184="内訳代価",$C184="明細書",$C184="明細代価",$C184="代価表",$C184="単価表"),データ!W181,"")</f>
        <v/>
      </c>
      <c r="AA184" s="11" t="str">
        <f t="shared" si="16"/>
        <v/>
      </c>
      <c r="AB184" s="46" t="e">
        <f t="shared" si="17"/>
        <v>#DIV/0!</v>
      </c>
      <c r="AC184" s="40" t="str">
        <f>IF(データ!X181="","",データ!X181)</f>
        <v/>
      </c>
      <c r="AD184" s="41" t="str">
        <f>IF(データ!Y181="","",データ!Y181)</f>
        <v/>
      </c>
      <c r="AE184" s="47" t="str">
        <f>TRIM(データ!B181)</f>
        <v/>
      </c>
      <c r="AF184" s="43" t="str">
        <f>TRIM(データ!Z181)</f>
        <v/>
      </c>
    </row>
    <row r="185" spans="1:32" x14ac:dyDescent="0.15">
      <c r="A185" s="47">
        <f>データ!A182</f>
        <v>2</v>
      </c>
      <c r="B185" s="47" t="str">
        <f>TRIM(データ!C182)</f>
        <v/>
      </c>
      <c r="C185" s="47" t="str">
        <f>TRIM(データ!D182)</f>
        <v>外注費</v>
      </c>
      <c r="D185" s="36" t="str">
        <f>REPT("｜",$A185)&amp;TRIM(データ!E182)</f>
        <v>｜｜法定福利費</v>
      </c>
      <c r="E185" s="37" t="str">
        <f>TRIM(データ!F182)</f>
        <v/>
      </c>
      <c r="F185" s="38" t="str">
        <f>TRIM(データ!G182)</f>
        <v>式</v>
      </c>
      <c r="G185" s="50">
        <f>データ!H182</f>
        <v>1</v>
      </c>
      <c r="H185" s="48">
        <f>データ!I182</f>
        <v>22500</v>
      </c>
      <c r="I185" s="48">
        <f>データ!J182</f>
        <v>22500</v>
      </c>
      <c r="J185" s="39" t="str">
        <f>IF(OR($C185="総括",$C185="内訳書",$C185="内訳代価",$C185="明細書",$C185="明細代価",$C185="代価表",$C185="単価表"),データ!K182,"")</f>
        <v/>
      </c>
      <c r="K185" s="11" t="str">
        <f t="shared" si="12"/>
        <v/>
      </c>
      <c r="L185" s="46">
        <f t="shared" si="13"/>
        <v>1.2163891407264925E-3</v>
      </c>
      <c r="M185" s="40" t="str">
        <f>IF(データ!L182="","",データ!L182)</f>
        <v/>
      </c>
      <c r="N185" s="41" t="str">
        <f>IF(データ!M182="","",データ!M182)</f>
        <v/>
      </c>
      <c r="O185" s="42">
        <f>データ!N182</f>
        <v>0</v>
      </c>
      <c r="P185" s="48">
        <f>IF($C185="集計行","",データ!O182)</f>
        <v>0</v>
      </c>
      <c r="Q185" s="48">
        <f>データ!P182</f>
        <v>0</v>
      </c>
      <c r="R185" s="39" t="str">
        <f>IF(OR($C185="総括",$C185="内訳書",$C185="内訳代価",$C185="明細書",$C185="明細代価",$C185="代価表",$C185="単価表"),データ!Q182,"")</f>
        <v/>
      </c>
      <c r="S185" s="11" t="str">
        <f t="shared" si="14"/>
        <v/>
      </c>
      <c r="T185" s="46" t="e">
        <f t="shared" si="15"/>
        <v>#DIV/0!</v>
      </c>
      <c r="U185" s="40" t="str">
        <f>IF(データ!R182="","",データ!R182)</f>
        <v/>
      </c>
      <c r="V185" s="41" t="str">
        <f>IF(データ!S182="","",データ!S182)</f>
        <v/>
      </c>
      <c r="W185" s="42">
        <f>データ!T182</f>
        <v>0</v>
      </c>
      <c r="X185" s="48">
        <f>IF($C185="集計行","",データ!U182)</f>
        <v>0</v>
      </c>
      <c r="Y185" s="48">
        <f>データ!V182</f>
        <v>0</v>
      </c>
      <c r="Z185" s="39" t="str">
        <f>IF(OR($C185="総括",$C185="内訳書",$C185="内訳代価",$C185="明細書",$C185="明細代価",$C185="代価表",$C185="単価表"),データ!W182,"")</f>
        <v/>
      </c>
      <c r="AA185" s="11" t="str">
        <f t="shared" si="16"/>
        <v/>
      </c>
      <c r="AB185" s="46" t="e">
        <f t="shared" si="17"/>
        <v>#DIV/0!</v>
      </c>
      <c r="AC185" s="40" t="str">
        <f>IF(データ!X182="","",データ!X182)</f>
        <v/>
      </c>
      <c r="AD185" s="41" t="str">
        <f>IF(データ!Y182="","",データ!Y182)</f>
        <v/>
      </c>
      <c r="AE185" s="47" t="str">
        <f>TRIM(データ!B182)</f>
        <v/>
      </c>
      <c r="AF185" s="43" t="str">
        <f>TRIM(データ!Z182)</f>
        <v/>
      </c>
    </row>
    <row r="186" spans="1:32" x14ac:dyDescent="0.15">
      <c r="A186" s="47">
        <f>データ!A183</f>
        <v>2</v>
      </c>
      <c r="B186" s="47" t="str">
        <f>TRIM(データ!C183)</f>
        <v/>
      </c>
      <c r="C186" s="47" t="str">
        <f>TRIM(データ!D183)</f>
        <v>外注費</v>
      </c>
      <c r="D186" s="36" t="str">
        <f>REPT("｜",$A186)&amp;TRIM(データ!E183)</f>
        <v>｜｜交通誘導員</v>
      </c>
      <c r="E186" s="37" t="str">
        <f>TRIM(データ!F183)</f>
        <v/>
      </c>
      <c r="F186" s="38" t="str">
        <f>TRIM(データ!G183)</f>
        <v>人</v>
      </c>
      <c r="G186" s="50">
        <f>データ!H183</f>
        <v>4</v>
      </c>
      <c r="H186" s="48">
        <f>データ!I183</f>
        <v>18000</v>
      </c>
      <c r="I186" s="48">
        <f>データ!J183</f>
        <v>72000</v>
      </c>
      <c r="J186" s="39" t="str">
        <f>IF(OR($C186="総括",$C186="内訳書",$C186="内訳代価",$C186="明細書",$C186="明細代価",$C186="代価表",$C186="単価表"),データ!K183,"")</f>
        <v/>
      </c>
      <c r="K186" s="11" t="str">
        <f t="shared" si="12"/>
        <v/>
      </c>
      <c r="L186" s="46">
        <f t="shared" si="13"/>
        <v>3.8924452503247757E-3</v>
      </c>
      <c r="M186" s="40" t="str">
        <f>IF(データ!L183="","",データ!L183)</f>
        <v/>
      </c>
      <c r="N186" s="41" t="str">
        <f>IF(データ!M183="","",データ!M183)</f>
        <v/>
      </c>
      <c r="O186" s="42">
        <f>データ!N183</f>
        <v>0</v>
      </c>
      <c r="P186" s="48">
        <f>IF($C186="集計行","",データ!O183)</f>
        <v>0</v>
      </c>
      <c r="Q186" s="48">
        <f>データ!P183</f>
        <v>0</v>
      </c>
      <c r="R186" s="39" t="str">
        <f>IF(OR($C186="総括",$C186="内訳書",$C186="内訳代価",$C186="明細書",$C186="明細代価",$C186="代価表",$C186="単価表"),データ!Q183,"")</f>
        <v/>
      </c>
      <c r="S186" s="11" t="str">
        <f t="shared" si="14"/>
        <v/>
      </c>
      <c r="T186" s="46" t="e">
        <f t="shared" si="15"/>
        <v>#DIV/0!</v>
      </c>
      <c r="U186" s="40" t="str">
        <f>IF(データ!R183="","",データ!R183)</f>
        <v/>
      </c>
      <c r="V186" s="41" t="str">
        <f>IF(データ!S183="","",データ!S183)</f>
        <v/>
      </c>
      <c r="W186" s="42">
        <f>データ!T183</f>
        <v>0</v>
      </c>
      <c r="X186" s="48">
        <f>IF($C186="集計行","",データ!U183)</f>
        <v>0</v>
      </c>
      <c r="Y186" s="48">
        <f>データ!V183</f>
        <v>0</v>
      </c>
      <c r="Z186" s="39" t="str">
        <f>IF(OR($C186="総括",$C186="内訳書",$C186="内訳代価",$C186="明細書",$C186="明細代価",$C186="代価表",$C186="単価表"),データ!W183,"")</f>
        <v/>
      </c>
      <c r="AA186" s="11" t="str">
        <f t="shared" si="16"/>
        <v/>
      </c>
      <c r="AB186" s="46" t="e">
        <f t="shared" si="17"/>
        <v>#DIV/0!</v>
      </c>
      <c r="AC186" s="40" t="str">
        <f>IF(データ!X183="","",データ!X183)</f>
        <v/>
      </c>
      <c r="AD186" s="41" t="str">
        <f>IF(データ!Y183="","",データ!Y183)</f>
        <v/>
      </c>
      <c r="AE186" s="47" t="str">
        <f>TRIM(データ!B183)</f>
        <v/>
      </c>
      <c r="AF186" s="43" t="str">
        <f>TRIM(データ!Z183)</f>
        <v/>
      </c>
    </row>
    <row r="187" spans="1:32" x14ac:dyDescent="0.15">
      <c r="A187" s="47">
        <f>データ!A184</f>
        <v>2</v>
      </c>
      <c r="B187" s="47" t="str">
        <f>TRIM(データ!C184)</f>
        <v/>
      </c>
      <c r="C187" s="47" t="str">
        <f>TRIM(データ!D184)</f>
        <v>機械費</v>
      </c>
      <c r="D187" s="36" t="str">
        <f>REPT("｜",$A187)&amp;TRIM(データ!E184)</f>
        <v>｜｜軽トラ規制車　保安材含</v>
      </c>
      <c r="E187" s="37" t="str">
        <f>TRIM(データ!F184)</f>
        <v/>
      </c>
      <c r="F187" s="38" t="str">
        <f>TRIM(データ!G184)</f>
        <v>台</v>
      </c>
      <c r="G187" s="50">
        <f>データ!H184</f>
        <v>1</v>
      </c>
      <c r="H187" s="48">
        <f>データ!I184</f>
        <v>15000</v>
      </c>
      <c r="I187" s="48">
        <f>データ!J184</f>
        <v>15000</v>
      </c>
      <c r="J187" s="39" t="str">
        <f>IF(OR($C187="総括",$C187="内訳書",$C187="内訳代価",$C187="明細書",$C187="明細代価",$C187="代価表",$C187="単価表"),データ!K184,"")</f>
        <v/>
      </c>
      <c r="K187" s="11" t="str">
        <f t="shared" si="12"/>
        <v/>
      </c>
      <c r="L187" s="46">
        <f t="shared" si="13"/>
        <v>8.1092609381766166E-4</v>
      </c>
      <c r="M187" s="40" t="str">
        <f>IF(データ!L184="","",データ!L184)</f>
        <v/>
      </c>
      <c r="N187" s="41" t="str">
        <f>IF(データ!M184="","",データ!M184)</f>
        <v/>
      </c>
      <c r="O187" s="42">
        <f>データ!N184</f>
        <v>0</v>
      </c>
      <c r="P187" s="48">
        <f>IF($C187="集計行","",データ!O184)</f>
        <v>0</v>
      </c>
      <c r="Q187" s="48">
        <f>データ!P184</f>
        <v>0</v>
      </c>
      <c r="R187" s="39" t="str">
        <f>IF(OR($C187="総括",$C187="内訳書",$C187="内訳代価",$C187="明細書",$C187="明細代価",$C187="代価表",$C187="単価表"),データ!Q184,"")</f>
        <v/>
      </c>
      <c r="S187" s="11" t="str">
        <f t="shared" si="14"/>
        <v/>
      </c>
      <c r="T187" s="46" t="e">
        <f t="shared" si="15"/>
        <v>#DIV/0!</v>
      </c>
      <c r="U187" s="40" t="str">
        <f>IF(データ!R184="","",データ!R184)</f>
        <v/>
      </c>
      <c r="V187" s="41" t="str">
        <f>IF(データ!S184="","",データ!S184)</f>
        <v/>
      </c>
      <c r="W187" s="42">
        <f>データ!T184</f>
        <v>0</v>
      </c>
      <c r="X187" s="48">
        <f>IF($C187="集計行","",データ!U184)</f>
        <v>0</v>
      </c>
      <c r="Y187" s="48">
        <f>データ!V184</f>
        <v>0</v>
      </c>
      <c r="Z187" s="39" t="str">
        <f>IF(OR($C187="総括",$C187="内訳書",$C187="内訳代価",$C187="明細書",$C187="明細代価",$C187="代価表",$C187="単価表"),データ!W184,"")</f>
        <v/>
      </c>
      <c r="AA187" s="11" t="str">
        <f t="shared" si="16"/>
        <v/>
      </c>
      <c r="AB187" s="46" t="e">
        <f t="shared" si="17"/>
        <v>#DIV/0!</v>
      </c>
      <c r="AC187" s="40" t="str">
        <f>IF(データ!X184="","",データ!X184)</f>
        <v/>
      </c>
      <c r="AD187" s="41" t="str">
        <f>IF(データ!Y184="","",データ!Y184)</f>
        <v/>
      </c>
      <c r="AE187" s="47" t="str">
        <f>TRIM(データ!B184)</f>
        <v/>
      </c>
      <c r="AF187" s="43" t="str">
        <f>TRIM(データ!Z184)</f>
        <v/>
      </c>
    </row>
    <row r="188" spans="1:32" x14ac:dyDescent="0.15">
      <c r="A188" s="47">
        <f>データ!A185</f>
        <v>1</v>
      </c>
      <c r="B188" s="47" t="str">
        <f>TRIM(データ!C185)</f>
        <v/>
      </c>
      <c r="C188" s="47" t="str">
        <f>TRIM(データ!D185)</f>
        <v>内訳書</v>
      </c>
      <c r="D188" s="36" t="str">
        <f>REPT("｜",$A188)&amp;TRIM(データ!E185)</f>
        <v>｜路面補修工No.10</v>
      </c>
      <c r="E188" s="37" t="str">
        <f>TRIM(データ!F185)</f>
        <v/>
      </c>
      <c r="F188" s="38" t="str">
        <f>TRIM(データ!G185)</f>
        <v>m2</v>
      </c>
      <c r="G188" s="50">
        <f>データ!H185</f>
        <v>40.9</v>
      </c>
      <c r="H188" s="48">
        <f>データ!I185</f>
        <v>17200</v>
      </c>
      <c r="I188" s="48">
        <f>データ!J185</f>
        <v>703480</v>
      </c>
      <c r="J188" s="39">
        <f>IF(OR($C188="総括",$C188="内訳書",$C188="内訳代価",$C188="明細書",$C188="明細代価",$C188="代価表",$C188="単価表"),データ!K185,"")</f>
        <v>40.9</v>
      </c>
      <c r="K188" s="11" t="str">
        <f t="shared" si="12"/>
        <v/>
      </c>
      <c r="L188" s="46">
        <f t="shared" si="13"/>
        <v>3.8031352565256575E-2</v>
      </c>
      <c r="M188" s="40" t="str">
        <f>IF(データ!L185="","",データ!L185)</f>
        <v/>
      </c>
      <c r="N188" s="41" t="str">
        <f>IF(データ!M185="","",データ!M185)</f>
        <v>24号内訳書</v>
      </c>
      <c r="O188" s="42">
        <f>データ!N185</f>
        <v>0</v>
      </c>
      <c r="P188" s="48">
        <f>IF($C188="集計行","",データ!O185)</f>
        <v>0</v>
      </c>
      <c r="Q188" s="48">
        <f>データ!P185</f>
        <v>0</v>
      </c>
      <c r="R188" s="39">
        <f>IF(OR($C188="総括",$C188="内訳書",$C188="内訳代価",$C188="明細書",$C188="明細代価",$C188="代価表",$C188="単価表"),データ!Q185,"")</f>
        <v>0</v>
      </c>
      <c r="S188" s="11" t="str">
        <f t="shared" si="14"/>
        <v/>
      </c>
      <c r="T188" s="46" t="e">
        <f t="shared" si="15"/>
        <v>#DIV/0!</v>
      </c>
      <c r="U188" s="40" t="str">
        <f>IF(データ!R185="","",データ!R185)</f>
        <v/>
      </c>
      <c r="V188" s="41" t="str">
        <f>IF(データ!S185="","",データ!S185)</f>
        <v/>
      </c>
      <c r="W188" s="42">
        <f>データ!T185</f>
        <v>0</v>
      </c>
      <c r="X188" s="48">
        <f>IF($C188="集計行","",データ!U185)</f>
        <v>0</v>
      </c>
      <c r="Y188" s="48">
        <f>データ!V185</f>
        <v>0</v>
      </c>
      <c r="Z188" s="39">
        <f>IF(OR($C188="総括",$C188="内訳書",$C188="内訳代価",$C188="明細書",$C188="明細代価",$C188="代価表",$C188="単価表"),データ!W185,"")</f>
        <v>0</v>
      </c>
      <c r="AA188" s="11" t="str">
        <f t="shared" si="16"/>
        <v/>
      </c>
      <c r="AB188" s="46" t="e">
        <f t="shared" si="17"/>
        <v>#DIV/0!</v>
      </c>
      <c r="AC188" s="40" t="str">
        <f>IF(データ!X185="","",データ!X185)</f>
        <v/>
      </c>
      <c r="AD188" s="41" t="str">
        <f>IF(データ!Y185="","",データ!Y185)</f>
        <v/>
      </c>
      <c r="AE188" s="47" t="str">
        <f>TRIM(データ!B185)</f>
        <v/>
      </c>
      <c r="AF188" s="43" t="str">
        <f>TRIM(データ!Z185)</f>
        <v/>
      </c>
    </row>
    <row r="189" spans="1:32" x14ac:dyDescent="0.15">
      <c r="A189" s="47">
        <f>データ!A186</f>
        <v>2</v>
      </c>
      <c r="B189" s="47" t="str">
        <f>TRIM(データ!C186)</f>
        <v/>
      </c>
      <c r="C189" s="47" t="str">
        <f>TRIM(データ!D186)</f>
        <v>材料費</v>
      </c>
      <c r="D189" s="36" t="str">
        <f>REPT("｜",$A189)&amp;TRIM(データ!E186)</f>
        <v>｜｜細粒度5mm</v>
      </c>
      <c r="E189" s="37" t="str">
        <f>TRIM(データ!F186)</f>
        <v/>
      </c>
      <c r="F189" s="38" t="str">
        <f>TRIM(データ!G186)</f>
        <v>ｔ</v>
      </c>
      <c r="G189" s="50">
        <f>データ!H186</f>
        <v>1</v>
      </c>
      <c r="H189" s="48">
        <f>データ!I186</f>
        <v>13000</v>
      </c>
      <c r="I189" s="48">
        <f>データ!J186</f>
        <v>13000</v>
      </c>
      <c r="J189" s="39" t="str">
        <f>IF(OR($C189="総括",$C189="内訳書",$C189="内訳代価",$C189="明細書",$C189="明細代価",$C189="代価表",$C189="単価表"),データ!K186,"")</f>
        <v/>
      </c>
      <c r="K189" s="11" t="str">
        <f t="shared" si="12"/>
        <v/>
      </c>
      <c r="L189" s="46">
        <f t="shared" si="13"/>
        <v>7.0280261464197348E-4</v>
      </c>
      <c r="M189" s="40" t="str">
        <f>IF(データ!L186="","",データ!L186)</f>
        <v/>
      </c>
      <c r="N189" s="41" t="str">
        <f>IF(データ!M186="","",データ!M186)</f>
        <v/>
      </c>
      <c r="O189" s="42">
        <f>データ!N186</f>
        <v>0</v>
      </c>
      <c r="P189" s="48">
        <f>IF($C189="集計行","",データ!O186)</f>
        <v>0</v>
      </c>
      <c r="Q189" s="48">
        <f>データ!P186</f>
        <v>0</v>
      </c>
      <c r="R189" s="39" t="str">
        <f>IF(OR($C189="総括",$C189="内訳書",$C189="内訳代価",$C189="明細書",$C189="明細代価",$C189="代価表",$C189="単価表"),データ!Q186,"")</f>
        <v/>
      </c>
      <c r="S189" s="11" t="str">
        <f t="shared" si="14"/>
        <v/>
      </c>
      <c r="T189" s="46" t="e">
        <f t="shared" si="15"/>
        <v>#DIV/0!</v>
      </c>
      <c r="U189" s="40" t="str">
        <f>IF(データ!R186="","",データ!R186)</f>
        <v/>
      </c>
      <c r="V189" s="41" t="str">
        <f>IF(データ!S186="","",データ!S186)</f>
        <v/>
      </c>
      <c r="W189" s="42">
        <f>データ!T186</f>
        <v>0</v>
      </c>
      <c r="X189" s="48">
        <f>IF($C189="集計行","",データ!U186)</f>
        <v>0</v>
      </c>
      <c r="Y189" s="48">
        <f>データ!V186</f>
        <v>0</v>
      </c>
      <c r="Z189" s="39" t="str">
        <f>IF(OR($C189="総括",$C189="内訳書",$C189="内訳代価",$C189="明細書",$C189="明細代価",$C189="代価表",$C189="単価表"),データ!W186,"")</f>
        <v/>
      </c>
      <c r="AA189" s="11" t="str">
        <f t="shared" si="16"/>
        <v/>
      </c>
      <c r="AB189" s="46" t="e">
        <f t="shared" si="17"/>
        <v>#DIV/0!</v>
      </c>
      <c r="AC189" s="40" t="str">
        <f>IF(データ!X186="","",データ!X186)</f>
        <v/>
      </c>
      <c r="AD189" s="41" t="str">
        <f>IF(データ!Y186="","",データ!Y186)</f>
        <v/>
      </c>
      <c r="AE189" s="47" t="str">
        <f>TRIM(データ!B186)</f>
        <v/>
      </c>
      <c r="AF189" s="43" t="str">
        <f>TRIM(データ!Z186)</f>
        <v/>
      </c>
    </row>
    <row r="190" spans="1:32" x14ac:dyDescent="0.15">
      <c r="A190" s="47">
        <f>データ!A187</f>
        <v>2</v>
      </c>
      <c r="B190" s="47" t="str">
        <f>TRIM(データ!C187)</f>
        <v/>
      </c>
      <c r="C190" s="47" t="str">
        <f>TRIM(データ!D187)</f>
        <v>材料費</v>
      </c>
      <c r="D190" s="36" t="str">
        <f>REPT("｜",$A190)&amp;TRIM(データ!E187)</f>
        <v>｜｜パッチグー</v>
      </c>
      <c r="E190" s="37" t="str">
        <f>TRIM(データ!F187)</f>
        <v/>
      </c>
      <c r="F190" s="38" t="str">
        <f>TRIM(データ!G187)</f>
        <v>個</v>
      </c>
      <c r="G190" s="50">
        <f>データ!H187</f>
        <v>27</v>
      </c>
      <c r="H190" s="48">
        <f>データ!I187</f>
        <v>9000</v>
      </c>
      <c r="I190" s="48">
        <f>データ!J187</f>
        <v>243000</v>
      </c>
      <c r="J190" s="39" t="str">
        <f>IF(OR($C190="総括",$C190="内訳書",$C190="内訳代価",$C190="明細書",$C190="明細代価",$C190="代価表",$C190="単価表"),データ!K187,"")</f>
        <v/>
      </c>
      <c r="K190" s="11" t="str">
        <f t="shared" si="12"/>
        <v/>
      </c>
      <c r="L190" s="46">
        <f t="shared" si="13"/>
        <v>1.3137002719846119E-2</v>
      </c>
      <c r="M190" s="40" t="str">
        <f>IF(データ!L187="","",データ!L187)</f>
        <v/>
      </c>
      <c r="N190" s="41" t="str">
        <f>IF(データ!M187="","",データ!M187)</f>
        <v/>
      </c>
      <c r="O190" s="42">
        <f>データ!N187</f>
        <v>0</v>
      </c>
      <c r="P190" s="48">
        <f>IF($C190="集計行","",データ!O187)</f>
        <v>0</v>
      </c>
      <c r="Q190" s="48">
        <f>データ!P187</f>
        <v>0</v>
      </c>
      <c r="R190" s="39" t="str">
        <f>IF(OR($C190="総括",$C190="内訳書",$C190="内訳代価",$C190="明細書",$C190="明細代価",$C190="代価表",$C190="単価表"),データ!Q187,"")</f>
        <v/>
      </c>
      <c r="S190" s="11" t="str">
        <f t="shared" si="14"/>
        <v/>
      </c>
      <c r="T190" s="46" t="e">
        <f t="shared" si="15"/>
        <v>#DIV/0!</v>
      </c>
      <c r="U190" s="40" t="str">
        <f>IF(データ!R187="","",データ!R187)</f>
        <v/>
      </c>
      <c r="V190" s="41" t="str">
        <f>IF(データ!S187="","",データ!S187)</f>
        <v/>
      </c>
      <c r="W190" s="42">
        <f>データ!T187</f>
        <v>0</v>
      </c>
      <c r="X190" s="48">
        <f>IF($C190="集計行","",データ!U187)</f>
        <v>0</v>
      </c>
      <c r="Y190" s="48">
        <f>データ!V187</f>
        <v>0</v>
      </c>
      <c r="Z190" s="39" t="str">
        <f>IF(OR($C190="総括",$C190="内訳書",$C190="内訳代価",$C190="明細書",$C190="明細代価",$C190="代価表",$C190="単価表"),データ!W187,"")</f>
        <v/>
      </c>
      <c r="AA190" s="11" t="str">
        <f t="shared" si="16"/>
        <v/>
      </c>
      <c r="AB190" s="46" t="e">
        <f t="shared" si="17"/>
        <v>#DIV/0!</v>
      </c>
      <c r="AC190" s="40" t="str">
        <f>IF(データ!X187="","",データ!X187)</f>
        <v/>
      </c>
      <c r="AD190" s="41" t="str">
        <f>IF(データ!Y187="","",データ!Y187)</f>
        <v/>
      </c>
      <c r="AE190" s="47" t="str">
        <f>TRIM(データ!B187)</f>
        <v/>
      </c>
      <c r="AF190" s="43" t="str">
        <f>TRIM(データ!Z187)</f>
        <v/>
      </c>
    </row>
    <row r="191" spans="1:32" x14ac:dyDescent="0.15">
      <c r="A191" s="47">
        <f>データ!A188</f>
        <v>2</v>
      </c>
      <c r="B191" s="47" t="str">
        <f>TRIM(データ!C188)</f>
        <v/>
      </c>
      <c r="C191" s="47" t="str">
        <f>TRIM(データ!D188)</f>
        <v>材料費</v>
      </c>
      <c r="D191" s="36" t="str">
        <f>REPT("｜",$A191)&amp;TRIM(データ!E188)</f>
        <v>｜｜アスファルト乳剤</v>
      </c>
      <c r="E191" s="37" t="str">
        <f>TRIM(データ!F188)</f>
        <v/>
      </c>
      <c r="F191" s="38" t="str">
        <f>TRIM(データ!G188)</f>
        <v>缶</v>
      </c>
      <c r="G191" s="50">
        <f>データ!H188</f>
        <v>1</v>
      </c>
      <c r="H191" s="48">
        <f>データ!I188</f>
        <v>7000</v>
      </c>
      <c r="I191" s="48">
        <f>データ!J188</f>
        <v>7000</v>
      </c>
      <c r="J191" s="39" t="str">
        <f>IF(OR($C191="総括",$C191="内訳書",$C191="内訳代価",$C191="明細書",$C191="明細代価",$C191="代価表",$C191="単価表"),データ!K188,"")</f>
        <v/>
      </c>
      <c r="K191" s="11" t="str">
        <f t="shared" si="12"/>
        <v/>
      </c>
      <c r="L191" s="46">
        <f t="shared" si="13"/>
        <v>3.7843217711490878E-4</v>
      </c>
      <c r="M191" s="40" t="str">
        <f>IF(データ!L188="","",データ!L188)</f>
        <v/>
      </c>
      <c r="N191" s="41" t="str">
        <f>IF(データ!M188="","",データ!M188)</f>
        <v/>
      </c>
      <c r="O191" s="42">
        <f>データ!N188</f>
        <v>0</v>
      </c>
      <c r="P191" s="48">
        <f>IF($C191="集計行","",データ!O188)</f>
        <v>0</v>
      </c>
      <c r="Q191" s="48">
        <f>データ!P188</f>
        <v>0</v>
      </c>
      <c r="R191" s="39" t="str">
        <f>IF(OR($C191="総括",$C191="内訳書",$C191="内訳代価",$C191="明細書",$C191="明細代価",$C191="代価表",$C191="単価表"),データ!Q188,"")</f>
        <v/>
      </c>
      <c r="S191" s="11" t="str">
        <f t="shared" si="14"/>
        <v/>
      </c>
      <c r="T191" s="46" t="e">
        <f t="shared" si="15"/>
        <v>#DIV/0!</v>
      </c>
      <c r="U191" s="40" t="str">
        <f>IF(データ!R188="","",データ!R188)</f>
        <v/>
      </c>
      <c r="V191" s="41" t="str">
        <f>IF(データ!S188="","",データ!S188)</f>
        <v/>
      </c>
      <c r="W191" s="42">
        <f>データ!T188</f>
        <v>0</v>
      </c>
      <c r="X191" s="48">
        <f>IF($C191="集計行","",データ!U188)</f>
        <v>0</v>
      </c>
      <c r="Y191" s="48">
        <f>データ!V188</f>
        <v>0</v>
      </c>
      <c r="Z191" s="39" t="str">
        <f>IF(OR($C191="総括",$C191="内訳書",$C191="内訳代価",$C191="明細書",$C191="明細代価",$C191="代価表",$C191="単価表"),データ!W188,"")</f>
        <v/>
      </c>
      <c r="AA191" s="11" t="str">
        <f t="shared" si="16"/>
        <v/>
      </c>
      <c r="AB191" s="46" t="e">
        <f t="shared" si="17"/>
        <v>#DIV/0!</v>
      </c>
      <c r="AC191" s="40" t="str">
        <f>IF(データ!X188="","",データ!X188)</f>
        <v/>
      </c>
      <c r="AD191" s="41" t="str">
        <f>IF(データ!Y188="","",データ!Y188)</f>
        <v/>
      </c>
      <c r="AE191" s="47" t="str">
        <f>TRIM(データ!B188)</f>
        <v/>
      </c>
      <c r="AF191" s="43" t="str">
        <f>TRIM(データ!Z188)</f>
        <v/>
      </c>
    </row>
    <row r="192" spans="1:32" x14ac:dyDescent="0.15">
      <c r="A192" s="47">
        <f>データ!A189</f>
        <v>2</v>
      </c>
      <c r="B192" s="47" t="str">
        <f>TRIM(データ!C189)</f>
        <v/>
      </c>
      <c r="C192" s="47" t="str">
        <f>TRIM(データ!D189)</f>
        <v>材料費</v>
      </c>
      <c r="D192" s="36" t="str">
        <f>REPT("｜",$A192)&amp;TRIM(データ!E189)</f>
        <v>｜｜養生材</v>
      </c>
      <c r="E192" s="37" t="str">
        <f>TRIM(データ!F189)</f>
        <v/>
      </c>
      <c r="F192" s="38" t="str">
        <f>TRIM(データ!G189)</f>
        <v>式</v>
      </c>
      <c r="G192" s="50">
        <f>データ!H189</f>
        <v>1</v>
      </c>
      <c r="H192" s="48">
        <f>データ!I189</f>
        <v>20000</v>
      </c>
      <c r="I192" s="48">
        <f>データ!J189</f>
        <v>20000</v>
      </c>
      <c r="J192" s="39" t="str">
        <f>IF(OR($C192="総括",$C192="内訳書",$C192="内訳代価",$C192="明細書",$C192="明細代価",$C192="代価表",$C192="単価表"),データ!K189,"")</f>
        <v/>
      </c>
      <c r="K192" s="11" t="str">
        <f t="shared" si="12"/>
        <v/>
      </c>
      <c r="L192" s="46">
        <f t="shared" si="13"/>
        <v>1.0812347917568822E-3</v>
      </c>
      <c r="M192" s="40" t="str">
        <f>IF(データ!L189="","",データ!L189)</f>
        <v/>
      </c>
      <c r="N192" s="41" t="str">
        <f>IF(データ!M189="","",データ!M189)</f>
        <v/>
      </c>
      <c r="O192" s="42">
        <f>データ!N189</f>
        <v>0</v>
      </c>
      <c r="P192" s="48">
        <f>IF($C192="集計行","",データ!O189)</f>
        <v>0</v>
      </c>
      <c r="Q192" s="48">
        <f>データ!P189</f>
        <v>0</v>
      </c>
      <c r="R192" s="39" t="str">
        <f>IF(OR($C192="総括",$C192="内訳書",$C192="内訳代価",$C192="明細書",$C192="明細代価",$C192="代価表",$C192="単価表"),データ!Q189,"")</f>
        <v/>
      </c>
      <c r="S192" s="11" t="str">
        <f t="shared" si="14"/>
        <v/>
      </c>
      <c r="T192" s="46" t="e">
        <f t="shared" si="15"/>
        <v>#DIV/0!</v>
      </c>
      <c r="U192" s="40" t="str">
        <f>IF(データ!R189="","",データ!R189)</f>
        <v/>
      </c>
      <c r="V192" s="41" t="str">
        <f>IF(データ!S189="","",データ!S189)</f>
        <v/>
      </c>
      <c r="W192" s="42">
        <f>データ!T189</f>
        <v>0</v>
      </c>
      <c r="X192" s="48">
        <f>IF($C192="集計行","",データ!U189)</f>
        <v>0</v>
      </c>
      <c r="Y192" s="48">
        <f>データ!V189</f>
        <v>0</v>
      </c>
      <c r="Z192" s="39" t="str">
        <f>IF(OR($C192="総括",$C192="内訳書",$C192="内訳代価",$C192="明細書",$C192="明細代価",$C192="代価表",$C192="単価表"),データ!W189,"")</f>
        <v/>
      </c>
      <c r="AA192" s="11" t="str">
        <f t="shared" si="16"/>
        <v/>
      </c>
      <c r="AB192" s="46" t="e">
        <f t="shared" si="17"/>
        <v>#DIV/0!</v>
      </c>
      <c r="AC192" s="40" t="str">
        <f>IF(データ!X189="","",データ!X189)</f>
        <v/>
      </c>
      <c r="AD192" s="41" t="str">
        <f>IF(データ!Y189="","",データ!Y189)</f>
        <v/>
      </c>
      <c r="AE192" s="47" t="str">
        <f>TRIM(データ!B189)</f>
        <v/>
      </c>
      <c r="AF192" s="43" t="str">
        <f>TRIM(データ!Z189)</f>
        <v/>
      </c>
    </row>
    <row r="193" spans="1:32" x14ac:dyDescent="0.15">
      <c r="A193" s="47">
        <f>データ!A190</f>
        <v>2</v>
      </c>
      <c r="B193" s="47" t="str">
        <f>TRIM(データ!C190)</f>
        <v/>
      </c>
      <c r="C193" s="47" t="str">
        <f>TRIM(データ!D190)</f>
        <v>材料費</v>
      </c>
      <c r="D193" s="36" t="str">
        <f>REPT("｜",$A193)&amp;TRIM(データ!E190)</f>
        <v>｜｜雑材</v>
      </c>
      <c r="E193" s="37" t="str">
        <f>TRIM(データ!F190)</f>
        <v/>
      </c>
      <c r="F193" s="38" t="str">
        <f>TRIM(データ!G190)</f>
        <v>式</v>
      </c>
      <c r="G193" s="50">
        <f>データ!H190</f>
        <v>1</v>
      </c>
      <c r="H193" s="48">
        <f>データ!I190</f>
        <v>4080</v>
      </c>
      <c r="I193" s="48">
        <f>データ!J190</f>
        <v>4080</v>
      </c>
      <c r="J193" s="39" t="str">
        <f>IF(OR($C193="総括",$C193="内訳書",$C193="内訳代価",$C193="明細書",$C193="明細代価",$C193="代価表",$C193="単価表"),データ!K190,"")</f>
        <v/>
      </c>
      <c r="K193" s="11" t="str">
        <f t="shared" si="12"/>
        <v/>
      </c>
      <c r="L193" s="46">
        <f t="shared" si="13"/>
        <v>2.2057189751840397E-4</v>
      </c>
      <c r="M193" s="40" t="str">
        <f>IF(データ!L190="","",データ!L190)</f>
        <v/>
      </c>
      <c r="N193" s="41" t="str">
        <f>IF(データ!M190="","",データ!M190)</f>
        <v/>
      </c>
      <c r="O193" s="42">
        <f>データ!N190</f>
        <v>0</v>
      </c>
      <c r="P193" s="48">
        <f>IF($C193="集計行","",データ!O190)</f>
        <v>0</v>
      </c>
      <c r="Q193" s="48">
        <f>データ!P190</f>
        <v>0</v>
      </c>
      <c r="R193" s="39" t="str">
        <f>IF(OR($C193="総括",$C193="内訳書",$C193="内訳代価",$C193="明細書",$C193="明細代価",$C193="代価表",$C193="単価表"),データ!Q190,"")</f>
        <v/>
      </c>
      <c r="S193" s="11" t="str">
        <f t="shared" si="14"/>
        <v/>
      </c>
      <c r="T193" s="46" t="e">
        <f t="shared" si="15"/>
        <v>#DIV/0!</v>
      </c>
      <c r="U193" s="40" t="str">
        <f>IF(データ!R190="","",データ!R190)</f>
        <v/>
      </c>
      <c r="V193" s="41" t="str">
        <f>IF(データ!S190="","",データ!S190)</f>
        <v/>
      </c>
      <c r="W193" s="42">
        <f>データ!T190</f>
        <v>0</v>
      </c>
      <c r="X193" s="48">
        <f>IF($C193="集計行","",データ!U190)</f>
        <v>0</v>
      </c>
      <c r="Y193" s="48">
        <f>データ!V190</f>
        <v>0</v>
      </c>
      <c r="Z193" s="39" t="str">
        <f>IF(OR($C193="総括",$C193="内訳書",$C193="内訳代価",$C193="明細書",$C193="明細代価",$C193="代価表",$C193="単価表"),データ!W190,"")</f>
        <v/>
      </c>
      <c r="AA193" s="11" t="str">
        <f t="shared" si="16"/>
        <v/>
      </c>
      <c r="AB193" s="46" t="e">
        <f t="shared" si="17"/>
        <v>#DIV/0!</v>
      </c>
      <c r="AC193" s="40" t="str">
        <f>IF(データ!X190="","",データ!X190)</f>
        <v/>
      </c>
      <c r="AD193" s="41" t="str">
        <f>IF(データ!Y190="","",データ!Y190)</f>
        <v/>
      </c>
      <c r="AE193" s="47" t="str">
        <f>TRIM(データ!B190)</f>
        <v/>
      </c>
      <c r="AF193" s="43" t="str">
        <f>TRIM(データ!Z190)</f>
        <v/>
      </c>
    </row>
    <row r="194" spans="1:32" x14ac:dyDescent="0.15">
      <c r="A194" s="47">
        <f>データ!A191</f>
        <v>2</v>
      </c>
      <c r="B194" s="47" t="str">
        <f>TRIM(データ!C191)</f>
        <v/>
      </c>
      <c r="C194" s="47" t="str">
        <f>TRIM(データ!D191)</f>
        <v>労務費</v>
      </c>
      <c r="D194" s="36" t="str">
        <f>REPT("｜",$A194)&amp;TRIM(データ!E191)</f>
        <v>｜｜土工</v>
      </c>
      <c r="E194" s="37" t="str">
        <f>TRIM(データ!F191)</f>
        <v>舗装</v>
      </c>
      <c r="F194" s="38" t="str">
        <f>TRIM(データ!G191)</f>
        <v>人</v>
      </c>
      <c r="G194" s="50">
        <f>データ!H191</f>
        <v>2</v>
      </c>
      <c r="H194" s="48">
        <f>データ!I191</f>
        <v>23000</v>
      </c>
      <c r="I194" s="48">
        <f>データ!J191</f>
        <v>46000</v>
      </c>
      <c r="J194" s="39" t="str">
        <f>IF(OR($C194="総括",$C194="内訳書",$C194="内訳代価",$C194="明細書",$C194="明細代価",$C194="代価表",$C194="単価表"),データ!K191,"")</f>
        <v/>
      </c>
      <c r="K194" s="11" t="str">
        <f t="shared" si="12"/>
        <v/>
      </c>
      <c r="L194" s="46">
        <f t="shared" si="13"/>
        <v>2.4868400210408289E-3</v>
      </c>
      <c r="M194" s="40" t="str">
        <f>IF(データ!L191="","",データ!L191)</f>
        <v/>
      </c>
      <c r="N194" s="41" t="str">
        <f>IF(データ!M191="","",データ!M191)</f>
        <v/>
      </c>
      <c r="O194" s="42">
        <f>データ!N191</f>
        <v>0</v>
      </c>
      <c r="P194" s="48">
        <f>IF($C194="集計行","",データ!O191)</f>
        <v>0</v>
      </c>
      <c r="Q194" s="48">
        <f>データ!P191</f>
        <v>0</v>
      </c>
      <c r="R194" s="39" t="str">
        <f>IF(OR($C194="総括",$C194="内訳書",$C194="内訳代価",$C194="明細書",$C194="明細代価",$C194="代価表",$C194="単価表"),データ!Q191,"")</f>
        <v/>
      </c>
      <c r="S194" s="11" t="str">
        <f t="shared" si="14"/>
        <v/>
      </c>
      <c r="T194" s="46" t="e">
        <f t="shared" si="15"/>
        <v>#DIV/0!</v>
      </c>
      <c r="U194" s="40" t="str">
        <f>IF(データ!R191="","",データ!R191)</f>
        <v/>
      </c>
      <c r="V194" s="41" t="str">
        <f>IF(データ!S191="","",データ!S191)</f>
        <v/>
      </c>
      <c r="W194" s="42">
        <f>データ!T191</f>
        <v>0</v>
      </c>
      <c r="X194" s="48">
        <f>IF($C194="集計行","",データ!U191)</f>
        <v>0</v>
      </c>
      <c r="Y194" s="48">
        <f>データ!V191</f>
        <v>0</v>
      </c>
      <c r="Z194" s="39" t="str">
        <f>IF(OR($C194="総括",$C194="内訳書",$C194="内訳代価",$C194="明細書",$C194="明細代価",$C194="代価表",$C194="単価表"),データ!W191,"")</f>
        <v/>
      </c>
      <c r="AA194" s="11" t="str">
        <f t="shared" si="16"/>
        <v/>
      </c>
      <c r="AB194" s="46" t="e">
        <f t="shared" si="17"/>
        <v>#DIV/0!</v>
      </c>
      <c r="AC194" s="40" t="str">
        <f>IF(データ!X191="","",データ!X191)</f>
        <v/>
      </c>
      <c r="AD194" s="41" t="str">
        <f>IF(データ!Y191="","",データ!Y191)</f>
        <v/>
      </c>
      <c r="AE194" s="47" t="str">
        <f>TRIM(データ!B191)</f>
        <v/>
      </c>
      <c r="AF194" s="43" t="str">
        <f>TRIM(データ!Z191)</f>
        <v/>
      </c>
    </row>
    <row r="195" spans="1:32" x14ac:dyDescent="0.15">
      <c r="A195" s="47">
        <f>データ!A192</f>
        <v>2</v>
      </c>
      <c r="B195" s="47" t="str">
        <f>TRIM(データ!C192)</f>
        <v/>
      </c>
      <c r="C195" s="47" t="str">
        <f>TRIM(データ!D192)</f>
        <v>労務費</v>
      </c>
      <c r="D195" s="36" t="str">
        <f>REPT("｜",$A195)&amp;TRIM(データ!E192)</f>
        <v>｜｜土工</v>
      </c>
      <c r="E195" s="37" t="str">
        <f>TRIM(データ!F192)</f>
        <v>パッチグー</v>
      </c>
      <c r="F195" s="38" t="str">
        <f>TRIM(データ!G192)</f>
        <v>人</v>
      </c>
      <c r="G195" s="50">
        <f>データ!H192</f>
        <v>6</v>
      </c>
      <c r="H195" s="48">
        <f>データ!I192</f>
        <v>23000</v>
      </c>
      <c r="I195" s="48">
        <f>データ!J192</f>
        <v>138000</v>
      </c>
      <c r="J195" s="39" t="str">
        <f>IF(OR($C195="総括",$C195="内訳書",$C195="内訳代価",$C195="明細書",$C195="明細代価",$C195="代価表",$C195="単価表"),データ!K192,"")</f>
        <v/>
      </c>
      <c r="K195" s="11" t="str">
        <f t="shared" si="12"/>
        <v/>
      </c>
      <c r="L195" s="46">
        <f t="shared" si="13"/>
        <v>7.4605200631224873E-3</v>
      </c>
      <c r="M195" s="40" t="str">
        <f>IF(データ!L192="","",データ!L192)</f>
        <v/>
      </c>
      <c r="N195" s="41" t="str">
        <f>IF(データ!M192="","",データ!M192)</f>
        <v/>
      </c>
      <c r="O195" s="42">
        <f>データ!N192</f>
        <v>0</v>
      </c>
      <c r="P195" s="48">
        <f>IF($C195="集計行","",データ!O192)</f>
        <v>0</v>
      </c>
      <c r="Q195" s="48">
        <f>データ!P192</f>
        <v>0</v>
      </c>
      <c r="R195" s="39" t="str">
        <f>IF(OR($C195="総括",$C195="内訳書",$C195="内訳代価",$C195="明細書",$C195="明細代価",$C195="代価表",$C195="単価表"),データ!Q192,"")</f>
        <v/>
      </c>
      <c r="S195" s="11" t="str">
        <f t="shared" si="14"/>
        <v/>
      </c>
      <c r="T195" s="46" t="e">
        <f t="shared" si="15"/>
        <v>#DIV/0!</v>
      </c>
      <c r="U195" s="40" t="str">
        <f>IF(データ!R192="","",データ!R192)</f>
        <v/>
      </c>
      <c r="V195" s="41" t="str">
        <f>IF(データ!S192="","",データ!S192)</f>
        <v/>
      </c>
      <c r="W195" s="42">
        <f>データ!T192</f>
        <v>0</v>
      </c>
      <c r="X195" s="48">
        <f>IF($C195="集計行","",データ!U192)</f>
        <v>0</v>
      </c>
      <c r="Y195" s="48">
        <f>データ!V192</f>
        <v>0</v>
      </c>
      <c r="Z195" s="39" t="str">
        <f>IF(OR($C195="総括",$C195="内訳書",$C195="内訳代価",$C195="明細書",$C195="明細代価",$C195="代価表",$C195="単価表"),データ!W192,"")</f>
        <v/>
      </c>
      <c r="AA195" s="11" t="str">
        <f t="shared" si="16"/>
        <v/>
      </c>
      <c r="AB195" s="46" t="e">
        <f t="shared" si="17"/>
        <v>#DIV/0!</v>
      </c>
      <c r="AC195" s="40" t="str">
        <f>IF(データ!X192="","",データ!X192)</f>
        <v/>
      </c>
      <c r="AD195" s="41" t="str">
        <f>IF(データ!Y192="","",データ!Y192)</f>
        <v/>
      </c>
      <c r="AE195" s="47" t="str">
        <f>TRIM(データ!B192)</f>
        <v/>
      </c>
      <c r="AF195" s="43" t="str">
        <f>TRIM(データ!Z192)</f>
        <v/>
      </c>
    </row>
    <row r="196" spans="1:32" x14ac:dyDescent="0.15">
      <c r="A196" s="47">
        <f>データ!A193</f>
        <v>2</v>
      </c>
      <c r="B196" s="47" t="str">
        <f>TRIM(データ!C193)</f>
        <v/>
      </c>
      <c r="C196" s="47" t="str">
        <f>TRIM(データ!D193)</f>
        <v>機械費</v>
      </c>
      <c r="D196" s="36" t="str">
        <f>REPT("｜",$A196)&amp;TRIM(データ!E193)</f>
        <v>｜｜小物機械</v>
      </c>
      <c r="E196" s="37" t="str">
        <f>TRIM(データ!F193)</f>
        <v/>
      </c>
      <c r="F196" s="38" t="str">
        <f>TRIM(データ!G193)</f>
        <v>台</v>
      </c>
      <c r="G196" s="50">
        <f>データ!H193</f>
        <v>2</v>
      </c>
      <c r="H196" s="48">
        <f>データ!I193</f>
        <v>3000</v>
      </c>
      <c r="I196" s="48">
        <f>データ!J193</f>
        <v>6000</v>
      </c>
      <c r="J196" s="39" t="str">
        <f>IF(OR($C196="総括",$C196="内訳書",$C196="内訳代価",$C196="明細書",$C196="明細代価",$C196="代価表",$C196="単価表"),データ!K193,"")</f>
        <v/>
      </c>
      <c r="K196" s="11" t="str">
        <f t="shared" si="12"/>
        <v/>
      </c>
      <c r="L196" s="46">
        <f t="shared" si="13"/>
        <v>3.2437043752706464E-4</v>
      </c>
      <c r="M196" s="40" t="str">
        <f>IF(データ!L193="","",データ!L193)</f>
        <v/>
      </c>
      <c r="N196" s="41" t="str">
        <f>IF(データ!M193="","",データ!M193)</f>
        <v/>
      </c>
      <c r="O196" s="42">
        <f>データ!N193</f>
        <v>0</v>
      </c>
      <c r="P196" s="48">
        <f>IF($C196="集計行","",データ!O193)</f>
        <v>0</v>
      </c>
      <c r="Q196" s="48">
        <f>データ!P193</f>
        <v>0</v>
      </c>
      <c r="R196" s="39" t="str">
        <f>IF(OR($C196="総括",$C196="内訳書",$C196="内訳代価",$C196="明細書",$C196="明細代価",$C196="代価表",$C196="単価表"),データ!Q193,"")</f>
        <v/>
      </c>
      <c r="S196" s="11" t="str">
        <f t="shared" si="14"/>
        <v/>
      </c>
      <c r="T196" s="46" t="e">
        <f t="shared" si="15"/>
        <v>#DIV/0!</v>
      </c>
      <c r="U196" s="40" t="str">
        <f>IF(データ!R193="","",データ!R193)</f>
        <v/>
      </c>
      <c r="V196" s="41" t="str">
        <f>IF(データ!S193="","",データ!S193)</f>
        <v/>
      </c>
      <c r="W196" s="42">
        <f>データ!T193</f>
        <v>0</v>
      </c>
      <c r="X196" s="48">
        <f>IF($C196="集計行","",データ!U193)</f>
        <v>0</v>
      </c>
      <c r="Y196" s="48">
        <f>データ!V193</f>
        <v>0</v>
      </c>
      <c r="Z196" s="39" t="str">
        <f>IF(OR($C196="総括",$C196="内訳書",$C196="内訳代価",$C196="明細書",$C196="明細代価",$C196="代価表",$C196="単価表"),データ!W193,"")</f>
        <v/>
      </c>
      <c r="AA196" s="11" t="str">
        <f t="shared" si="16"/>
        <v/>
      </c>
      <c r="AB196" s="46" t="e">
        <f t="shared" si="17"/>
        <v>#DIV/0!</v>
      </c>
      <c r="AC196" s="40" t="str">
        <f>IF(データ!X193="","",データ!X193)</f>
        <v/>
      </c>
      <c r="AD196" s="41" t="str">
        <f>IF(データ!Y193="","",データ!Y193)</f>
        <v/>
      </c>
      <c r="AE196" s="47" t="str">
        <f>TRIM(データ!B193)</f>
        <v/>
      </c>
      <c r="AF196" s="43" t="str">
        <f>TRIM(データ!Z193)</f>
        <v/>
      </c>
    </row>
    <row r="197" spans="1:32" x14ac:dyDescent="0.15">
      <c r="A197" s="47">
        <f>データ!A194</f>
        <v>2</v>
      </c>
      <c r="B197" s="47" t="str">
        <f>TRIM(データ!C194)</f>
        <v/>
      </c>
      <c r="C197" s="47" t="str">
        <f>TRIM(データ!D194)</f>
        <v>運搬費</v>
      </c>
      <c r="D197" s="36" t="str">
        <f>REPT("｜",$A197)&amp;TRIM(データ!E194)</f>
        <v>｜｜2tダンプ</v>
      </c>
      <c r="E197" s="37" t="str">
        <f>TRIM(データ!F194)</f>
        <v/>
      </c>
      <c r="F197" s="38" t="str">
        <f>TRIM(データ!G194)</f>
        <v>台</v>
      </c>
      <c r="G197" s="50">
        <f>データ!H194</f>
        <v>3</v>
      </c>
      <c r="H197" s="48">
        <f>データ!I194</f>
        <v>8000</v>
      </c>
      <c r="I197" s="48">
        <f>データ!J194</f>
        <v>24000</v>
      </c>
      <c r="J197" s="39" t="str">
        <f>IF(OR($C197="総括",$C197="内訳書",$C197="内訳代価",$C197="明細書",$C197="明細代価",$C197="代価表",$C197="単価表"),データ!K194,"")</f>
        <v/>
      </c>
      <c r="K197" s="11" t="str">
        <f t="shared" ref="K197:K260" si="18">IF(OR(J197="",G197=J197),"","*")</f>
        <v/>
      </c>
      <c r="L197" s="46">
        <f t="shared" ref="L197:L260" si="19">IF($A197&lt;=L$1,I197/I$4,"")</f>
        <v>1.2974817501082586E-3</v>
      </c>
      <c r="M197" s="40" t="str">
        <f>IF(データ!L194="","",データ!L194)</f>
        <v/>
      </c>
      <c r="N197" s="41" t="str">
        <f>IF(データ!M194="","",データ!M194)</f>
        <v/>
      </c>
      <c r="O197" s="42">
        <f>データ!N194</f>
        <v>0</v>
      </c>
      <c r="P197" s="48">
        <f>IF($C197="集計行","",データ!O194)</f>
        <v>0</v>
      </c>
      <c r="Q197" s="48">
        <f>データ!P194</f>
        <v>0</v>
      </c>
      <c r="R197" s="39" t="str">
        <f>IF(OR($C197="総括",$C197="内訳書",$C197="内訳代価",$C197="明細書",$C197="明細代価",$C197="代価表",$C197="単価表"),データ!Q194,"")</f>
        <v/>
      </c>
      <c r="S197" s="11" t="str">
        <f t="shared" ref="S197:S260" si="20">IF(OR(R197="",O197=R197),"","*")</f>
        <v/>
      </c>
      <c r="T197" s="46" t="e">
        <f t="shared" ref="T197:T260" si="21">IF($A197&lt;=T$1,Q197/Q$4,"")</f>
        <v>#DIV/0!</v>
      </c>
      <c r="U197" s="40" t="str">
        <f>IF(データ!R194="","",データ!R194)</f>
        <v/>
      </c>
      <c r="V197" s="41" t="str">
        <f>IF(データ!S194="","",データ!S194)</f>
        <v/>
      </c>
      <c r="W197" s="42">
        <f>データ!T194</f>
        <v>0</v>
      </c>
      <c r="X197" s="48">
        <f>IF($C197="集計行","",データ!U194)</f>
        <v>0</v>
      </c>
      <c r="Y197" s="48">
        <f>データ!V194</f>
        <v>0</v>
      </c>
      <c r="Z197" s="39" t="str">
        <f>IF(OR($C197="総括",$C197="内訳書",$C197="内訳代価",$C197="明細書",$C197="明細代価",$C197="代価表",$C197="単価表"),データ!W194,"")</f>
        <v/>
      </c>
      <c r="AA197" s="11" t="str">
        <f t="shared" ref="AA197:AA260" si="22">IF(OR(Z197="",W197=Z197),"","*")</f>
        <v/>
      </c>
      <c r="AB197" s="46" t="e">
        <f t="shared" ref="AB197:AB260" si="23">IF($A197&lt;=AB$1,Y197/Y$4,"")</f>
        <v>#DIV/0!</v>
      </c>
      <c r="AC197" s="40" t="str">
        <f>IF(データ!X194="","",データ!X194)</f>
        <v/>
      </c>
      <c r="AD197" s="41" t="str">
        <f>IF(データ!Y194="","",データ!Y194)</f>
        <v/>
      </c>
      <c r="AE197" s="47" t="str">
        <f>TRIM(データ!B194)</f>
        <v/>
      </c>
      <c r="AF197" s="43" t="str">
        <f>TRIM(データ!Z194)</f>
        <v/>
      </c>
    </row>
    <row r="198" spans="1:32" x14ac:dyDescent="0.15">
      <c r="A198" s="47">
        <f>データ!A195</f>
        <v>2</v>
      </c>
      <c r="B198" s="47" t="str">
        <f>TRIM(データ!C195)</f>
        <v/>
      </c>
      <c r="C198" s="47" t="str">
        <f>TRIM(データ!D195)</f>
        <v>運搬費</v>
      </c>
      <c r="D198" s="36" t="str">
        <f>REPT("｜",$A198)&amp;TRIM(データ!E195)</f>
        <v>｜｜WP</v>
      </c>
      <c r="E198" s="37" t="str">
        <f>TRIM(データ!F195)</f>
        <v/>
      </c>
      <c r="F198" s="38" t="str">
        <f>TRIM(データ!G195)</f>
        <v>台</v>
      </c>
      <c r="G198" s="50">
        <f>データ!H195</f>
        <v>2</v>
      </c>
      <c r="H198" s="48">
        <f>データ!I195</f>
        <v>8000</v>
      </c>
      <c r="I198" s="48">
        <f>データ!J195</f>
        <v>16000</v>
      </c>
      <c r="J198" s="39" t="str">
        <f>IF(OR($C198="総括",$C198="内訳書",$C198="内訳代価",$C198="明細書",$C198="明細代価",$C198="代価表",$C198="単価表"),データ!K195,"")</f>
        <v/>
      </c>
      <c r="K198" s="11" t="str">
        <f t="shared" si="18"/>
        <v/>
      </c>
      <c r="L198" s="46">
        <f t="shared" si="19"/>
        <v>8.6498783340550574E-4</v>
      </c>
      <c r="M198" s="40" t="str">
        <f>IF(データ!L195="","",データ!L195)</f>
        <v/>
      </c>
      <c r="N198" s="41" t="str">
        <f>IF(データ!M195="","",データ!M195)</f>
        <v/>
      </c>
      <c r="O198" s="42">
        <f>データ!N195</f>
        <v>0</v>
      </c>
      <c r="P198" s="48">
        <f>IF($C198="集計行","",データ!O195)</f>
        <v>0</v>
      </c>
      <c r="Q198" s="48">
        <f>データ!P195</f>
        <v>0</v>
      </c>
      <c r="R198" s="39" t="str">
        <f>IF(OR($C198="総括",$C198="内訳書",$C198="内訳代価",$C198="明細書",$C198="明細代価",$C198="代価表",$C198="単価表"),データ!Q195,"")</f>
        <v/>
      </c>
      <c r="S198" s="11" t="str">
        <f t="shared" si="20"/>
        <v/>
      </c>
      <c r="T198" s="46" t="e">
        <f t="shared" si="21"/>
        <v>#DIV/0!</v>
      </c>
      <c r="U198" s="40" t="str">
        <f>IF(データ!R195="","",データ!R195)</f>
        <v/>
      </c>
      <c r="V198" s="41" t="str">
        <f>IF(データ!S195="","",データ!S195)</f>
        <v/>
      </c>
      <c r="W198" s="42">
        <f>データ!T195</f>
        <v>0</v>
      </c>
      <c r="X198" s="48">
        <f>IF($C198="集計行","",データ!U195)</f>
        <v>0</v>
      </c>
      <c r="Y198" s="48">
        <f>データ!V195</f>
        <v>0</v>
      </c>
      <c r="Z198" s="39" t="str">
        <f>IF(OR($C198="総括",$C198="内訳書",$C198="内訳代価",$C198="明細書",$C198="明細代価",$C198="代価表",$C198="単価表"),データ!W195,"")</f>
        <v/>
      </c>
      <c r="AA198" s="11" t="str">
        <f t="shared" si="22"/>
        <v/>
      </c>
      <c r="AB198" s="46" t="e">
        <f t="shared" si="23"/>
        <v>#DIV/0!</v>
      </c>
      <c r="AC198" s="40" t="str">
        <f>IF(データ!X195="","",データ!X195)</f>
        <v/>
      </c>
      <c r="AD198" s="41" t="str">
        <f>IF(データ!Y195="","",データ!Y195)</f>
        <v/>
      </c>
      <c r="AE198" s="47" t="str">
        <f>TRIM(データ!B195)</f>
        <v/>
      </c>
      <c r="AF198" s="43" t="str">
        <f>TRIM(データ!Z195)</f>
        <v/>
      </c>
    </row>
    <row r="199" spans="1:32" x14ac:dyDescent="0.15">
      <c r="A199" s="47">
        <f>データ!A196</f>
        <v>2</v>
      </c>
      <c r="B199" s="47" t="str">
        <f>TRIM(データ!C196)</f>
        <v/>
      </c>
      <c r="C199" s="47" t="str">
        <f>TRIM(データ!D196)</f>
        <v>外注費</v>
      </c>
      <c r="D199" s="36" t="str">
        <f>REPT("｜",$A199)&amp;TRIM(データ!E196)</f>
        <v>｜｜諸経費</v>
      </c>
      <c r="E199" s="37" t="str">
        <f>TRIM(データ!F196)</f>
        <v/>
      </c>
      <c r="F199" s="38" t="str">
        <f>TRIM(データ!G196)</f>
        <v>式</v>
      </c>
      <c r="G199" s="50">
        <f>データ!H196</f>
        <v>1</v>
      </c>
      <c r="H199" s="48">
        <f>データ!I196</f>
        <v>26000</v>
      </c>
      <c r="I199" s="48">
        <f>データ!J196</f>
        <v>26000</v>
      </c>
      <c r="J199" s="39" t="str">
        <f>IF(OR($C199="総括",$C199="内訳書",$C199="内訳代価",$C199="明細書",$C199="明細代価",$C199="代価表",$C199="単価表"),データ!K196,"")</f>
        <v/>
      </c>
      <c r="K199" s="11" t="str">
        <f t="shared" si="18"/>
        <v/>
      </c>
      <c r="L199" s="46">
        <f t="shared" si="19"/>
        <v>1.405605229283947E-3</v>
      </c>
      <c r="M199" s="40" t="str">
        <f>IF(データ!L196="","",データ!L196)</f>
        <v/>
      </c>
      <c r="N199" s="41" t="str">
        <f>IF(データ!M196="","",データ!M196)</f>
        <v/>
      </c>
      <c r="O199" s="42">
        <f>データ!N196</f>
        <v>0</v>
      </c>
      <c r="P199" s="48">
        <f>IF($C199="集計行","",データ!O196)</f>
        <v>0</v>
      </c>
      <c r="Q199" s="48">
        <f>データ!P196</f>
        <v>0</v>
      </c>
      <c r="R199" s="39" t="str">
        <f>IF(OR($C199="総括",$C199="内訳書",$C199="内訳代価",$C199="明細書",$C199="明細代価",$C199="代価表",$C199="単価表"),データ!Q196,"")</f>
        <v/>
      </c>
      <c r="S199" s="11" t="str">
        <f t="shared" si="20"/>
        <v/>
      </c>
      <c r="T199" s="46" t="e">
        <f t="shared" si="21"/>
        <v>#DIV/0!</v>
      </c>
      <c r="U199" s="40" t="str">
        <f>IF(データ!R196="","",データ!R196)</f>
        <v/>
      </c>
      <c r="V199" s="41" t="str">
        <f>IF(データ!S196="","",データ!S196)</f>
        <v/>
      </c>
      <c r="W199" s="42">
        <f>データ!T196</f>
        <v>0</v>
      </c>
      <c r="X199" s="48">
        <f>IF($C199="集計行","",データ!U196)</f>
        <v>0</v>
      </c>
      <c r="Y199" s="48">
        <f>データ!V196</f>
        <v>0</v>
      </c>
      <c r="Z199" s="39" t="str">
        <f>IF(OR($C199="総括",$C199="内訳書",$C199="内訳代価",$C199="明細書",$C199="明細代価",$C199="代価表",$C199="単価表"),データ!W196,"")</f>
        <v/>
      </c>
      <c r="AA199" s="11" t="str">
        <f t="shared" si="22"/>
        <v/>
      </c>
      <c r="AB199" s="46" t="e">
        <f t="shared" si="23"/>
        <v>#DIV/0!</v>
      </c>
      <c r="AC199" s="40" t="str">
        <f>IF(データ!X196="","",データ!X196)</f>
        <v/>
      </c>
      <c r="AD199" s="41" t="str">
        <f>IF(データ!Y196="","",データ!Y196)</f>
        <v/>
      </c>
      <c r="AE199" s="47" t="str">
        <f>TRIM(データ!B196)</f>
        <v/>
      </c>
      <c r="AF199" s="43" t="str">
        <f>TRIM(データ!Z196)</f>
        <v/>
      </c>
    </row>
    <row r="200" spans="1:32" x14ac:dyDescent="0.15">
      <c r="A200" s="47">
        <f>データ!A197</f>
        <v>2</v>
      </c>
      <c r="B200" s="47" t="str">
        <f>TRIM(データ!C197)</f>
        <v/>
      </c>
      <c r="C200" s="47" t="str">
        <f>TRIM(データ!D197)</f>
        <v>外注費</v>
      </c>
      <c r="D200" s="36" t="str">
        <f>REPT("｜",$A200)&amp;TRIM(データ!E197)</f>
        <v>｜｜法定福利費</v>
      </c>
      <c r="E200" s="37" t="str">
        <f>TRIM(データ!F197)</f>
        <v/>
      </c>
      <c r="F200" s="38" t="str">
        <f>TRIM(データ!G197)</f>
        <v>式</v>
      </c>
      <c r="G200" s="50">
        <f>データ!H197</f>
        <v>1</v>
      </c>
      <c r="H200" s="48">
        <f>データ!I197</f>
        <v>29900</v>
      </c>
      <c r="I200" s="48">
        <f>データ!J197</f>
        <v>29900</v>
      </c>
      <c r="J200" s="39" t="str">
        <f>IF(OR($C200="総括",$C200="内訳書",$C200="内訳代価",$C200="明細書",$C200="明細代価",$C200="代価表",$C200="単価表"),データ!K197,"")</f>
        <v/>
      </c>
      <c r="K200" s="11" t="str">
        <f t="shared" si="18"/>
        <v/>
      </c>
      <c r="L200" s="46">
        <f t="shared" si="19"/>
        <v>1.616446013676539E-3</v>
      </c>
      <c r="M200" s="40" t="str">
        <f>IF(データ!L197="","",データ!L197)</f>
        <v/>
      </c>
      <c r="N200" s="41" t="str">
        <f>IF(データ!M197="","",データ!M197)</f>
        <v/>
      </c>
      <c r="O200" s="42">
        <f>データ!N197</f>
        <v>0</v>
      </c>
      <c r="P200" s="48">
        <f>IF($C200="集計行","",データ!O197)</f>
        <v>0</v>
      </c>
      <c r="Q200" s="48">
        <f>データ!P197</f>
        <v>0</v>
      </c>
      <c r="R200" s="39" t="str">
        <f>IF(OR($C200="総括",$C200="内訳書",$C200="内訳代価",$C200="明細書",$C200="明細代価",$C200="代価表",$C200="単価表"),データ!Q197,"")</f>
        <v/>
      </c>
      <c r="S200" s="11" t="str">
        <f t="shared" si="20"/>
        <v/>
      </c>
      <c r="T200" s="46" t="e">
        <f t="shared" si="21"/>
        <v>#DIV/0!</v>
      </c>
      <c r="U200" s="40" t="str">
        <f>IF(データ!R197="","",データ!R197)</f>
        <v/>
      </c>
      <c r="V200" s="41" t="str">
        <f>IF(データ!S197="","",データ!S197)</f>
        <v/>
      </c>
      <c r="W200" s="42">
        <f>データ!T197</f>
        <v>0</v>
      </c>
      <c r="X200" s="48">
        <f>IF($C200="集計行","",データ!U197)</f>
        <v>0</v>
      </c>
      <c r="Y200" s="48">
        <f>データ!V197</f>
        <v>0</v>
      </c>
      <c r="Z200" s="39" t="str">
        <f>IF(OR($C200="総括",$C200="内訳書",$C200="内訳代価",$C200="明細書",$C200="明細代価",$C200="代価表",$C200="単価表"),データ!W197,"")</f>
        <v/>
      </c>
      <c r="AA200" s="11" t="str">
        <f t="shared" si="22"/>
        <v/>
      </c>
      <c r="AB200" s="46" t="e">
        <f t="shared" si="23"/>
        <v>#DIV/0!</v>
      </c>
      <c r="AC200" s="40" t="str">
        <f>IF(データ!X197="","",データ!X197)</f>
        <v/>
      </c>
      <c r="AD200" s="41" t="str">
        <f>IF(データ!Y197="","",データ!Y197)</f>
        <v/>
      </c>
      <c r="AE200" s="47" t="str">
        <f>TRIM(データ!B197)</f>
        <v/>
      </c>
      <c r="AF200" s="43" t="str">
        <f>TRIM(データ!Z197)</f>
        <v/>
      </c>
    </row>
    <row r="201" spans="1:32" x14ac:dyDescent="0.15">
      <c r="A201" s="47">
        <f>データ!A198</f>
        <v>2</v>
      </c>
      <c r="B201" s="47" t="str">
        <f>TRIM(データ!C198)</f>
        <v/>
      </c>
      <c r="C201" s="47" t="str">
        <f>TRIM(データ!D198)</f>
        <v>外注費</v>
      </c>
      <c r="D201" s="36" t="str">
        <f>REPT("｜",$A201)&amp;TRIM(データ!E198)</f>
        <v>｜｜交通誘導員　舗装</v>
      </c>
      <c r="E201" s="37" t="str">
        <f>TRIM(データ!F198)</f>
        <v/>
      </c>
      <c r="F201" s="38" t="str">
        <f>TRIM(データ!G198)</f>
        <v>人</v>
      </c>
      <c r="G201" s="50">
        <f>データ!H198</f>
        <v>2</v>
      </c>
      <c r="H201" s="48">
        <f>データ!I198</f>
        <v>18000</v>
      </c>
      <c r="I201" s="48">
        <f>データ!J198</f>
        <v>36000</v>
      </c>
      <c r="J201" s="39" t="str">
        <f>IF(OR($C201="総括",$C201="内訳書",$C201="内訳代価",$C201="明細書",$C201="明細代価",$C201="代価表",$C201="単価表"),データ!K198,"")</f>
        <v/>
      </c>
      <c r="K201" s="11" t="str">
        <f t="shared" si="18"/>
        <v/>
      </c>
      <c r="L201" s="46">
        <f t="shared" si="19"/>
        <v>1.9462226251623878E-3</v>
      </c>
      <c r="M201" s="40" t="str">
        <f>IF(データ!L198="","",データ!L198)</f>
        <v/>
      </c>
      <c r="N201" s="41" t="str">
        <f>IF(データ!M198="","",データ!M198)</f>
        <v/>
      </c>
      <c r="O201" s="42">
        <f>データ!N198</f>
        <v>0</v>
      </c>
      <c r="P201" s="48">
        <f>IF($C201="集計行","",データ!O198)</f>
        <v>0</v>
      </c>
      <c r="Q201" s="48">
        <f>データ!P198</f>
        <v>0</v>
      </c>
      <c r="R201" s="39" t="str">
        <f>IF(OR($C201="総括",$C201="内訳書",$C201="内訳代価",$C201="明細書",$C201="明細代価",$C201="代価表",$C201="単価表"),データ!Q198,"")</f>
        <v/>
      </c>
      <c r="S201" s="11" t="str">
        <f t="shared" si="20"/>
        <v/>
      </c>
      <c r="T201" s="46" t="e">
        <f t="shared" si="21"/>
        <v>#DIV/0!</v>
      </c>
      <c r="U201" s="40" t="str">
        <f>IF(データ!R198="","",データ!R198)</f>
        <v/>
      </c>
      <c r="V201" s="41" t="str">
        <f>IF(データ!S198="","",データ!S198)</f>
        <v/>
      </c>
      <c r="W201" s="42">
        <f>データ!T198</f>
        <v>0</v>
      </c>
      <c r="X201" s="48">
        <f>IF($C201="集計行","",データ!U198)</f>
        <v>0</v>
      </c>
      <c r="Y201" s="48">
        <f>データ!V198</f>
        <v>0</v>
      </c>
      <c r="Z201" s="39" t="str">
        <f>IF(OR($C201="総括",$C201="内訳書",$C201="内訳代価",$C201="明細書",$C201="明細代価",$C201="代価表",$C201="単価表"),データ!W198,"")</f>
        <v/>
      </c>
      <c r="AA201" s="11" t="str">
        <f t="shared" si="22"/>
        <v/>
      </c>
      <c r="AB201" s="46" t="e">
        <f t="shared" si="23"/>
        <v>#DIV/0!</v>
      </c>
      <c r="AC201" s="40" t="str">
        <f>IF(データ!X198="","",データ!X198)</f>
        <v/>
      </c>
      <c r="AD201" s="41" t="str">
        <f>IF(データ!Y198="","",データ!Y198)</f>
        <v/>
      </c>
      <c r="AE201" s="47" t="str">
        <f>TRIM(データ!B198)</f>
        <v/>
      </c>
      <c r="AF201" s="43" t="str">
        <f>TRIM(データ!Z198)</f>
        <v/>
      </c>
    </row>
    <row r="202" spans="1:32" x14ac:dyDescent="0.15">
      <c r="A202" s="47">
        <f>データ!A199</f>
        <v>2</v>
      </c>
      <c r="B202" s="47" t="str">
        <f>TRIM(データ!C199)</f>
        <v/>
      </c>
      <c r="C202" s="47" t="str">
        <f>TRIM(データ!D199)</f>
        <v>外注費</v>
      </c>
      <c r="D202" s="36" t="str">
        <f>REPT("｜",$A202)&amp;TRIM(データ!E199)</f>
        <v>｜｜交通誘導員　パッチグー</v>
      </c>
      <c r="E202" s="37" t="str">
        <f>TRIM(データ!F199)</f>
        <v/>
      </c>
      <c r="F202" s="38" t="str">
        <f>TRIM(データ!G199)</f>
        <v>人</v>
      </c>
      <c r="G202" s="50">
        <f>データ!H199</f>
        <v>4</v>
      </c>
      <c r="H202" s="48">
        <f>データ!I199</f>
        <v>18000</v>
      </c>
      <c r="I202" s="48">
        <f>データ!J199</f>
        <v>72000</v>
      </c>
      <c r="J202" s="39" t="str">
        <f>IF(OR($C202="総括",$C202="内訳書",$C202="内訳代価",$C202="明細書",$C202="明細代価",$C202="代価表",$C202="単価表"),データ!K199,"")</f>
        <v/>
      </c>
      <c r="K202" s="11" t="str">
        <f t="shared" si="18"/>
        <v/>
      </c>
      <c r="L202" s="46">
        <f t="shared" si="19"/>
        <v>3.8924452503247757E-3</v>
      </c>
      <c r="M202" s="40" t="str">
        <f>IF(データ!L199="","",データ!L199)</f>
        <v/>
      </c>
      <c r="N202" s="41" t="str">
        <f>IF(データ!M199="","",データ!M199)</f>
        <v/>
      </c>
      <c r="O202" s="42">
        <f>データ!N199</f>
        <v>0</v>
      </c>
      <c r="P202" s="48">
        <f>IF($C202="集計行","",データ!O199)</f>
        <v>0</v>
      </c>
      <c r="Q202" s="48">
        <f>データ!P199</f>
        <v>0</v>
      </c>
      <c r="R202" s="39" t="str">
        <f>IF(OR($C202="総括",$C202="内訳書",$C202="内訳代価",$C202="明細書",$C202="明細代価",$C202="代価表",$C202="単価表"),データ!Q199,"")</f>
        <v/>
      </c>
      <c r="S202" s="11" t="str">
        <f t="shared" si="20"/>
        <v/>
      </c>
      <c r="T202" s="46" t="e">
        <f t="shared" si="21"/>
        <v>#DIV/0!</v>
      </c>
      <c r="U202" s="40" t="str">
        <f>IF(データ!R199="","",データ!R199)</f>
        <v/>
      </c>
      <c r="V202" s="41" t="str">
        <f>IF(データ!S199="","",データ!S199)</f>
        <v/>
      </c>
      <c r="W202" s="42">
        <f>データ!T199</f>
        <v>0</v>
      </c>
      <c r="X202" s="48">
        <f>IF($C202="集計行","",データ!U199)</f>
        <v>0</v>
      </c>
      <c r="Y202" s="48">
        <f>データ!V199</f>
        <v>0</v>
      </c>
      <c r="Z202" s="39" t="str">
        <f>IF(OR($C202="総括",$C202="内訳書",$C202="内訳代価",$C202="明細書",$C202="明細代価",$C202="代価表",$C202="単価表"),データ!W199,"")</f>
        <v/>
      </c>
      <c r="AA202" s="11" t="str">
        <f t="shared" si="22"/>
        <v/>
      </c>
      <c r="AB202" s="46" t="e">
        <f t="shared" si="23"/>
        <v>#DIV/0!</v>
      </c>
      <c r="AC202" s="40" t="str">
        <f>IF(データ!X199="","",データ!X199)</f>
        <v/>
      </c>
      <c r="AD202" s="41" t="str">
        <f>IF(データ!Y199="","",データ!Y199)</f>
        <v/>
      </c>
      <c r="AE202" s="47" t="str">
        <f>TRIM(データ!B199)</f>
        <v/>
      </c>
      <c r="AF202" s="43" t="str">
        <f>TRIM(データ!Z199)</f>
        <v/>
      </c>
    </row>
    <row r="203" spans="1:32" x14ac:dyDescent="0.15">
      <c r="A203" s="47">
        <f>データ!A200</f>
        <v>2</v>
      </c>
      <c r="B203" s="47" t="str">
        <f>TRIM(データ!C200)</f>
        <v/>
      </c>
      <c r="C203" s="47" t="str">
        <f>TRIM(データ!D200)</f>
        <v>機械費</v>
      </c>
      <c r="D203" s="36" t="str">
        <f>REPT("｜",$A203)&amp;TRIM(データ!E200)</f>
        <v>｜｜軽トラ規制車　保安材含</v>
      </c>
      <c r="E203" s="37" t="str">
        <f>TRIM(データ!F200)</f>
        <v/>
      </c>
      <c r="F203" s="38" t="str">
        <f>TRIM(データ!G200)</f>
        <v>台</v>
      </c>
      <c r="G203" s="50">
        <f>データ!H200</f>
        <v>1.5</v>
      </c>
      <c r="H203" s="48">
        <f>データ!I200</f>
        <v>15000</v>
      </c>
      <c r="I203" s="48">
        <f>データ!J200</f>
        <v>22500</v>
      </c>
      <c r="J203" s="39" t="str">
        <f>IF(OR($C203="総括",$C203="内訳書",$C203="内訳代価",$C203="明細書",$C203="明細代価",$C203="代価表",$C203="単価表"),データ!K200,"")</f>
        <v/>
      </c>
      <c r="K203" s="11" t="str">
        <f t="shared" si="18"/>
        <v/>
      </c>
      <c r="L203" s="46">
        <f t="shared" si="19"/>
        <v>1.2163891407264925E-3</v>
      </c>
      <c r="M203" s="40" t="str">
        <f>IF(データ!L200="","",データ!L200)</f>
        <v/>
      </c>
      <c r="N203" s="41" t="str">
        <f>IF(データ!M200="","",データ!M200)</f>
        <v/>
      </c>
      <c r="O203" s="42">
        <f>データ!N200</f>
        <v>0</v>
      </c>
      <c r="P203" s="48">
        <f>IF($C203="集計行","",データ!O200)</f>
        <v>0</v>
      </c>
      <c r="Q203" s="48">
        <f>データ!P200</f>
        <v>0</v>
      </c>
      <c r="R203" s="39" t="str">
        <f>IF(OR($C203="総括",$C203="内訳書",$C203="内訳代価",$C203="明細書",$C203="明細代価",$C203="代価表",$C203="単価表"),データ!Q200,"")</f>
        <v/>
      </c>
      <c r="S203" s="11" t="str">
        <f t="shared" si="20"/>
        <v/>
      </c>
      <c r="T203" s="46" t="e">
        <f t="shared" si="21"/>
        <v>#DIV/0!</v>
      </c>
      <c r="U203" s="40" t="str">
        <f>IF(データ!R200="","",データ!R200)</f>
        <v/>
      </c>
      <c r="V203" s="41" t="str">
        <f>IF(データ!S200="","",データ!S200)</f>
        <v/>
      </c>
      <c r="W203" s="42">
        <f>データ!T200</f>
        <v>0</v>
      </c>
      <c r="X203" s="48">
        <f>IF($C203="集計行","",データ!U200)</f>
        <v>0</v>
      </c>
      <c r="Y203" s="48">
        <f>データ!V200</f>
        <v>0</v>
      </c>
      <c r="Z203" s="39" t="str">
        <f>IF(OR($C203="総括",$C203="内訳書",$C203="内訳代価",$C203="明細書",$C203="明細代価",$C203="代価表",$C203="単価表"),データ!W200,"")</f>
        <v/>
      </c>
      <c r="AA203" s="11" t="str">
        <f t="shared" si="22"/>
        <v/>
      </c>
      <c r="AB203" s="46" t="e">
        <f t="shared" si="23"/>
        <v>#DIV/0!</v>
      </c>
      <c r="AC203" s="40" t="str">
        <f>IF(データ!X200="","",データ!X200)</f>
        <v/>
      </c>
      <c r="AD203" s="41" t="str">
        <f>IF(データ!Y200="","",データ!Y200)</f>
        <v/>
      </c>
      <c r="AE203" s="47" t="str">
        <f>TRIM(データ!B200)</f>
        <v/>
      </c>
      <c r="AF203" s="43" t="str">
        <f>TRIM(データ!Z200)</f>
        <v/>
      </c>
    </row>
    <row r="204" spans="1:32" x14ac:dyDescent="0.15">
      <c r="A204" s="47">
        <f>データ!A201</f>
        <v>1</v>
      </c>
      <c r="B204" s="47" t="str">
        <f>TRIM(データ!C201)</f>
        <v/>
      </c>
      <c r="C204" s="47" t="str">
        <f>TRIM(データ!D201)</f>
        <v>内訳書</v>
      </c>
      <c r="D204" s="36" t="str">
        <f>REPT("｜",$A204)&amp;TRIM(データ!E201)</f>
        <v>｜舗装版切断工</v>
      </c>
      <c r="E204" s="37" t="str">
        <f>TRIM(データ!F201)</f>
        <v/>
      </c>
      <c r="F204" s="38" t="str">
        <f>TRIM(データ!G201)</f>
        <v>式</v>
      </c>
      <c r="G204" s="50">
        <f>データ!H201</f>
        <v>1</v>
      </c>
      <c r="H204" s="48">
        <f>データ!I201</f>
        <v>134050</v>
      </c>
      <c r="I204" s="48">
        <f>データ!J201</f>
        <v>134050</v>
      </c>
      <c r="J204" s="39">
        <f>IF(OR($C204="総括",$C204="内訳書",$C204="内訳代価",$C204="明細書",$C204="明細代価",$C204="代価表",$C204="単価表"),データ!K201,"")</f>
        <v>1</v>
      </c>
      <c r="K204" s="11" t="str">
        <f t="shared" si="18"/>
        <v/>
      </c>
      <c r="L204" s="46">
        <f t="shared" si="19"/>
        <v>7.2469761917505031E-3</v>
      </c>
      <c r="M204" s="40" t="str">
        <f>IF(データ!L201="","",データ!L201)</f>
        <v/>
      </c>
      <c r="N204" s="41" t="str">
        <f>IF(データ!M201="","",データ!M201)</f>
        <v>25号内訳書</v>
      </c>
      <c r="O204" s="42">
        <f>データ!N201</f>
        <v>0</v>
      </c>
      <c r="P204" s="48">
        <f>IF($C204="集計行","",データ!O201)</f>
        <v>0</v>
      </c>
      <c r="Q204" s="48">
        <f>データ!P201</f>
        <v>0</v>
      </c>
      <c r="R204" s="39">
        <f>IF(OR($C204="総括",$C204="内訳書",$C204="内訳代価",$C204="明細書",$C204="明細代価",$C204="代価表",$C204="単価表"),データ!Q201,"")</f>
        <v>0</v>
      </c>
      <c r="S204" s="11" t="str">
        <f t="shared" si="20"/>
        <v/>
      </c>
      <c r="T204" s="46" t="e">
        <f t="shared" si="21"/>
        <v>#DIV/0!</v>
      </c>
      <c r="U204" s="40" t="str">
        <f>IF(データ!R201="","",データ!R201)</f>
        <v/>
      </c>
      <c r="V204" s="41" t="str">
        <f>IF(データ!S201="","",データ!S201)</f>
        <v/>
      </c>
      <c r="W204" s="42">
        <f>データ!T201</f>
        <v>0</v>
      </c>
      <c r="X204" s="48">
        <f>IF($C204="集計行","",データ!U201)</f>
        <v>0</v>
      </c>
      <c r="Y204" s="48">
        <f>データ!V201</f>
        <v>0</v>
      </c>
      <c r="Z204" s="39">
        <f>IF(OR($C204="総括",$C204="内訳書",$C204="内訳代価",$C204="明細書",$C204="明細代価",$C204="代価表",$C204="単価表"),データ!W201,"")</f>
        <v>0</v>
      </c>
      <c r="AA204" s="11" t="str">
        <f t="shared" si="22"/>
        <v/>
      </c>
      <c r="AB204" s="46" t="e">
        <f t="shared" si="23"/>
        <v>#DIV/0!</v>
      </c>
      <c r="AC204" s="40" t="str">
        <f>IF(データ!X201="","",データ!X201)</f>
        <v/>
      </c>
      <c r="AD204" s="41" t="str">
        <f>IF(データ!Y201="","",データ!Y201)</f>
        <v/>
      </c>
      <c r="AE204" s="47" t="str">
        <f>TRIM(データ!B201)</f>
        <v/>
      </c>
      <c r="AF204" s="43" t="str">
        <f>TRIM(データ!Z201)</f>
        <v/>
      </c>
    </row>
    <row r="205" spans="1:32" x14ac:dyDescent="0.15">
      <c r="A205" s="47">
        <f>データ!A202</f>
        <v>2</v>
      </c>
      <c r="B205" s="47" t="str">
        <f>TRIM(データ!C202)</f>
        <v/>
      </c>
      <c r="C205" s="47" t="str">
        <f>TRIM(データ!D202)</f>
        <v>外注費</v>
      </c>
      <c r="D205" s="36" t="str">
        <f>REPT("｜",$A205)&amp;TRIM(データ!E202)</f>
        <v>｜｜舗装版切断工No.1</v>
      </c>
      <c r="E205" s="37" t="str">
        <f>TRIM(データ!F202)</f>
        <v/>
      </c>
      <c r="F205" s="38" t="str">
        <f>TRIM(データ!G202)</f>
        <v>式</v>
      </c>
      <c r="G205" s="50">
        <f>データ!H202</f>
        <v>1</v>
      </c>
      <c r="H205" s="48">
        <f>データ!I202</f>
        <v>15000</v>
      </c>
      <c r="I205" s="48">
        <f>データ!J202</f>
        <v>15000</v>
      </c>
      <c r="J205" s="39" t="str">
        <f>IF(OR($C205="総括",$C205="内訳書",$C205="内訳代価",$C205="明細書",$C205="明細代価",$C205="代価表",$C205="単価表"),データ!K202,"")</f>
        <v/>
      </c>
      <c r="K205" s="11" t="str">
        <f t="shared" si="18"/>
        <v/>
      </c>
      <c r="L205" s="46">
        <f t="shared" si="19"/>
        <v>8.1092609381766166E-4</v>
      </c>
      <c r="M205" s="40" t="str">
        <f>IF(データ!L202="","",データ!L202)</f>
        <v/>
      </c>
      <c r="N205" s="41" t="str">
        <f>IF(データ!M202="","",データ!M202)</f>
        <v/>
      </c>
      <c r="O205" s="42">
        <f>データ!N202</f>
        <v>0</v>
      </c>
      <c r="P205" s="48">
        <f>IF($C205="集計行","",データ!O202)</f>
        <v>0</v>
      </c>
      <c r="Q205" s="48">
        <f>データ!P202</f>
        <v>0</v>
      </c>
      <c r="R205" s="39" t="str">
        <f>IF(OR($C205="総括",$C205="内訳書",$C205="内訳代価",$C205="明細書",$C205="明細代価",$C205="代価表",$C205="単価表"),データ!Q202,"")</f>
        <v/>
      </c>
      <c r="S205" s="11" t="str">
        <f t="shared" si="20"/>
        <v/>
      </c>
      <c r="T205" s="46" t="e">
        <f t="shared" si="21"/>
        <v>#DIV/0!</v>
      </c>
      <c r="U205" s="40" t="str">
        <f>IF(データ!R202="","",データ!R202)</f>
        <v/>
      </c>
      <c r="V205" s="41" t="str">
        <f>IF(データ!S202="","",データ!S202)</f>
        <v/>
      </c>
      <c r="W205" s="42">
        <f>データ!T202</f>
        <v>0</v>
      </c>
      <c r="X205" s="48">
        <f>IF($C205="集計行","",データ!U202)</f>
        <v>0</v>
      </c>
      <c r="Y205" s="48">
        <f>データ!V202</f>
        <v>0</v>
      </c>
      <c r="Z205" s="39" t="str">
        <f>IF(OR($C205="総括",$C205="内訳書",$C205="内訳代価",$C205="明細書",$C205="明細代価",$C205="代価表",$C205="単価表"),データ!W202,"")</f>
        <v/>
      </c>
      <c r="AA205" s="11" t="str">
        <f t="shared" si="22"/>
        <v/>
      </c>
      <c r="AB205" s="46" t="e">
        <f t="shared" si="23"/>
        <v>#DIV/0!</v>
      </c>
      <c r="AC205" s="40" t="str">
        <f>IF(データ!X202="","",データ!X202)</f>
        <v/>
      </c>
      <c r="AD205" s="41" t="str">
        <f>IF(データ!Y202="","",データ!Y202)</f>
        <v/>
      </c>
      <c r="AE205" s="47" t="str">
        <f>TRIM(データ!B202)</f>
        <v/>
      </c>
      <c r="AF205" s="43" t="str">
        <f>TRIM(データ!Z202)</f>
        <v/>
      </c>
    </row>
    <row r="206" spans="1:32" x14ac:dyDescent="0.15">
      <c r="A206" s="47">
        <f>データ!A203</f>
        <v>2</v>
      </c>
      <c r="B206" s="47" t="str">
        <f>TRIM(データ!C203)</f>
        <v/>
      </c>
      <c r="C206" s="47" t="str">
        <f>TRIM(データ!D203)</f>
        <v>外注費</v>
      </c>
      <c r="D206" s="36" t="str">
        <f>REPT("｜",$A206)&amp;TRIM(データ!E203)</f>
        <v>｜｜汚泥運搬</v>
      </c>
      <c r="E206" s="37" t="str">
        <f>TRIM(データ!F203)</f>
        <v/>
      </c>
      <c r="F206" s="38" t="str">
        <f>TRIM(データ!G203)</f>
        <v>台</v>
      </c>
      <c r="G206" s="50">
        <f>データ!H203</f>
        <v>0.5</v>
      </c>
      <c r="H206" s="48">
        <f>データ!I203</f>
        <v>20000</v>
      </c>
      <c r="I206" s="48">
        <f>データ!J203</f>
        <v>10000</v>
      </c>
      <c r="J206" s="39" t="str">
        <f>IF(OR($C206="総括",$C206="内訳書",$C206="内訳代価",$C206="明細書",$C206="明細代価",$C206="代価表",$C206="単価表"),データ!K203,"")</f>
        <v/>
      </c>
      <c r="K206" s="11" t="str">
        <f t="shared" si="18"/>
        <v/>
      </c>
      <c r="L206" s="46">
        <f t="shared" si="19"/>
        <v>5.406173958784411E-4</v>
      </c>
      <c r="M206" s="40" t="str">
        <f>IF(データ!L203="","",データ!L203)</f>
        <v/>
      </c>
      <c r="N206" s="41" t="str">
        <f>IF(データ!M203="","",データ!M203)</f>
        <v/>
      </c>
      <c r="O206" s="42">
        <f>データ!N203</f>
        <v>0</v>
      </c>
      <c r="P206" s="48">
        <f>IF($C206="集計行","",データ!O203)</f>
        <v>0</v>
      </c>
      <c r="Q206" s="48">
        <f>データ!P203</f>
        <v>0</v>
      </c>
      <c r="R206" s="39" t="str">
        <f>IF(OR($C206="総括",$C206="内訳書",$C206="内訳代価",$C206="明細書",$C206="明細代価",$C206="代価表",$C206="単価表"),データ!Q203,"")</f>
        <v/>
      </c>
      <c r="S206" s="11" t="str">
        <f t="shared" si="20"/>
        <v/>
      </c>
      <c r="T206" s="46" t="e">
        <f t="shared" si="21"/>
        <v>#DIV/0!</v>
      </c>
      <c r="U206" s="40" t="str">
        <f>IF(データ!R203="","",データ!R203)</f>
        <v/>
      </c>
      <c r="V206" s="41" t="str">
        <f>IF(データ!S203="","",データ!S203)</f>
        <v/>
      </c>
      <c r="W206" s="42">
        <f>データ!T203</f>
        <v>0</v>
      </c>
      <c r="X206" s="48">
        <f>IF($C206="集計行","",データ!U203)</f>
        <v>0</v>
      </c>
      <c r="Y206" s="48">
        <f>データ!V203</f>
        <v>0</v>
      </c>
      <c r="Z206" s="39" t="str">
        <f>IF(OR($C206="総括",$C206="内訳書",$C206="内訳代価",$C206="明細書",$C206="明細代価",$C206="代価表",$C206="単価表"),データ!W203,"")</f>
        <v/>
      </c>
      <c r="AA206" s="11" t="str">
        <f t="shared" si="22"/>
        <v/>
      </c>
      <c r="AB206" s="46" t="e">
        <f t="shared" si="23"/>
        <v>#DIV/0!</v>
      </c>
      <c r="AC206" s="40" t="str">
        <f>IF(データ!X203="","",データ!X203)</f>
        <v/>
      </c>
      <c r="AD206" s="41" t="str">
        <f>IF(データ!Y203="","",データ!Y203)</f>
        <v/>
      </c>
      <c r="AE206" s="47" t="str">
        <f>TRIM(データ!B203)</f>
        <v/>
      </c>
      <c r="AF206" s="43" t="str">
        <f>TRIM(データ!Z203)</f>
        <v/>
      </c>
    </row>
    <row r="207" spans="1:32" x14ac:dyDescent="0.15">
      <c r="A207" s="47">
        <f>データ!A204</f>
        <v>2</v>
      </c>
      <c r="B207" s="47" t="str">
        <f>TRIM(データ!C204)</f>
        <v/>
      </c>
      <c r="C207" s="47" t="str">
        <f>TRIM(データ!D204)</f>
        <v>外注費</v>
      </c>
      <c r="D207" s="36" t="str">
        <f>REPT("｜",$A207)&amp;TRIM(データ!E204)</f>
        <v>｜｜汚泥処理</v>
      </c>
      <c r="E207" s="37" t="str">
        <f>TRIM(データ!F204)</f>
        <v/>
      </c>
      <c r="F207" s="38" t="str">
        <f>TRIM(データ!G204)</f>
        <v>式</v>
      </c>
      <c r="G207" s="50">
        <f>データ!H204</f>
        <v>1</v>
      </c>
      <c r="H207" s="48">
        <f>データ!I204</f>
        <v>5000</v>
      </c>
      <c r="I207" s="48">
        <f>データ!J204</f>
        <v>5000</v>
      </c>
      <c r="J207" s="39" t="str">
        <f>IF(OR($C207="総括",$C207="内訳書",$C207="内訳代価",$C207="明細書",$C207="明細代価",$C207="代価表",$C207="単価表"),データ!K204,"")</f>
        <v/>
      </c>
      <c r="K207" s="11" t="str">
        <f t="shared" si="18"/>
        <v/>
      </c>
      <c r="L207" s="46">
        <f t="shared" si="19"/>
        <v>2.7030869793922055E-4</v>
      </c>
      <c r="M207" s="40" t="str">
        <f>IF(データ!L204="","",データ!L204)</f>
        <v/>
      </c>
      <c r="N207" s="41" t="str">
        <f>IF(データ!M204="","",データ!M204)</f>
        <v/>
      </c>
      <c r="O207" s="42">
        <f>データ!N204</f>
        <v>0</v>
      </c>
      <c r="P207" s="48">
        <f>IF($C207="集計行","",データ!O204)</f>
        <v>0</v>
      </c>
      <c r="Q207" s="48">
        <f>データ!P204</f>
        <v>0</v>
      </c>
      <c r="R207" s="39" t="str">
        <f>IF(OR($C207="総括",$C207="内訳書",$C207="内訳代価",$C207="明細書",$C207="明細代価",$C207="代価表",$C207="単価表"),データ!Q204,"")</f>
        <v/>
      </c>
      <c r="S207" s="11" t="str">
        <f t="shared" si="20"/>
        <v/>
      </c>
      <c r="T207" s="46" t="e">
        <f t="shared" si="21"/>
        <v>#DIV/0!</v>
      </c>
      <c r="U207" s="40" t="str">
        <f>IF(データ!R204="","",データ!R204)</f>
        <v/>
      </c>
      <c r="V207" s="41" t="str">
        <f>IF(データ!S204="","",データ!S204)</f>
        <v/>
      </c>
      <c r="W207" s="42">
        <f>データ!T204</f>
        <v>0</v>
      </c>
      <c r="X207" s="48">
        <f>IF($C207="集計行","",データ!U204)</f>
        <v>0</v>
      </c>
      <c r="Y207" s="48">
        <f>データ!V204</f>
        <v>0</v>
      </c>
      <c r="Z207" s="39" t="str">
        <f>IF(OR($C207="総括",$C207="内訳書",$C207="内訳代価",$C207="明細書",$C207="明細代価",$C207="代価表",$C207="単価表"),データ!W204,"")</f>
        <v/>
      </c>
      <c r="AA207" s="11" t="str">
        <f t="shared" si="22"/>
        <v/>
      </c>
      <c r="AB207" s="46" t="e">
        <f t="shared" si="23"/>
        <v>#DIV/0!</v>
      </c>
      <c r="AC207" s="40" t="str">
        <f>IF(データ!X204="","",データ!X204)</f>
        <v/>
      </c>
      <c r="AD207" s="41" t="str">
        <f>IF(データ!Y204="","",データ!Y204)</f>
        <v/>
      </c>
      <c r="AE207" s="47" t="str">
        <f>TRIM(データ!B204)</f>
        <v/>
      </c>
      <c r="AF207" s="43" t="str">
        <f>TRIM(データ!Z204)</f>
        <v/>
      </c>
    </row>
    <row r="208" spans="1:32" x14ac:dyDescent="0.15">
      <c r="A208" s="47">
        <f>データ!A205</f>
        <v>2</v>
      </c>
      <c r="B208" s="47" t="str">
        <f>TRIM(データ!C205)</f>
        <v/>
      </c>
      <c r="C208" s="47" t="str">
        <f>TRIM(データ!D205)</f>
        <v>外注費</v>
      </c>
      <c r="D208" s="36" t="str">
        <f>REPT("｜",$A208)&amp;TRIM(データ!E205)</f>
        <v>｜｜舗装版切断工No.1-1</v>
      </c>
      <c r="E208" s="37" t="str">
        <f>TRIM(データ!F205)</f>
        <v/>
      </c>
      <c r="F208" s="38" t="str">
        <f>TRIM(データ!G205)</f>
        <v>式</v>
      </c>
      <c r="G208" s="50">
        <f>データ!H205</f>
        <v>1</v>
      </c>
      <c r="H208" s="48">
        <f>データ!I205</f>
        <v>20000</v>
      </c>
      <c r="I208" s="48">
        <f>データ!J205</f>
        <v>20000</v>
      </c>
      <c r="J208" s="39" t="str">
        <f>IF(OR($C208="総括",$C208="内訳書",$C208="内訳代価",$C208="明細書",$C208="明細代価",$C208="代価表",$C208="単価表"),データ!K205,"")</f>
        <v/>
      </c>
      <c r="K208" s="11" t="str">
        <f t="shared" si="18"/>
        <v/>
      </c>
      <c r="L208" s="46">
        <f t="shared" si="19"/>
        <v>1.0812347917568822E-3</v>
      </c>
      <c r="M208" s="40" t="str">
        <f>IF(データ!L205="","",データ!L205)</f>
        <v/>
      </c>
      <c r="N208" s="41" t="str">
        <f>IF(データ!M205="","",データ!M205)</f>
        <v/>
      </c>
      <c r="O208" s="42">
        <f>データ!N205</f>
        <v>0</v>
      </c>
      <c r="P208" s="48">
        <f>IF($C208="集計行","",データ!O205)</f>
        <v>0</v>
      </c>
      <c r="Q208" s="48">
        <f>データ!P205</f>
        <v>0</v>
      </c>
      <c r="R208" s="39" t="str">
        <f>IF(OR($C208="総括",$C208="内訳書",$C208="内訳代価",$C208="明細書",$C208="明細代価",$C208="代価表",$C208="単価表"),データ!Q205,"")</f>
        <v/>
      </c>
      <c r="S208" s="11" t="str">
        <f t="shared" si="20"/>
        <v/>
      </c>
      <c r="T208" s="46" t="e">
        <f t="shared" si="21"/>
        <v>#DIV/0!</v>
      </c>
      <c r="U208" s="40" t="str">
        <f>IF(データ!R205="","",データ!R205)</f>
        <v/>
      </c>
      <c r="V208" s="41" t="str">
        <f>IF(データ!S205="","",データ!S205)</f>
        <v/>
      </c>
      <c r="W208" s="42">
        <f>データ!T205</f>
        <v>0</v>
      </c>
      <c r="X208" s="48">
        <f>IF($C208="集計行","",データ!U205)</f>
        <v>0</v>
      </c>
      <c r="Y208" s="48">
        <f>データ!V205</f>
        <v>0</v>
      </c>
      <c r="Z208" s="39" t="str">
        <f>IF(OR($C208="総括",$C208="内訳書",$C208="内訳代価",$C208="明細書",$C208="明細代価",$C208="代価表",$C208="単価表"),データ!W205,"")</f>
        <v/>
      </c>
      <c r="AA208" s="11" t="str">
        <f t="shared" si="22"/>
        <v/>
      </c>
      <c r="AB208" s="46" t="e">
        <f t="shared" si="23"/>
        <v>#DIV/0!</v>
      </c>
      <c r="AC208" s="40" t="str">
        <f>IF(データ!X205="","",データ!X205)</f>
        <v/>
      </c>
      <c r="AD208" s="41" t="str">
        <f>IF(データ!Y205="","",データ!Y205)</f>
        <v/>
      </c>
      <c r="AE208" s="47" t="str">
        <f>TRIM(データ!B205)</f>
        <v/>
      </c>
      <c r="AF208" s="43" t="str">
        <f>TRIM(データ!Z205)</f>
        <v/>
      </c>
    </row>
    <row r="209" spans="1:32" x14ac:dyDescent="0.15">
      <c r="A209" s="47">
        <f>データ!A206</f>
        <v>2</v>
      </c>
      <c r="B209" s="47" t="str">
        <f>TRIM(データ!C206)</f>
        <v/>
      </c>
      <c r="C209" s="47" t="str">
        <f>TRIM(データ!D206)</f>
        <v>外注費</v>
      </c>
      <c r="D209" s="36" t="str">
        <f>REPT("｜",$A209)&amp;TRIM(データ!E206)</f>
        <v>｜｜汚泥運搬</v>
      </c>
      <c r="E209" s="37" t="str">
        <f>TRIM(データ!F206)</f>
        <v/>
      </c>
      <c r="F209" s="38" t="str">
        <f>TRIM(データ!G206)</f>
        <v>台</v>
      </c>
      <c r="G209" s="50">
        <f>データ!H206</f>
        <v>0.5</v>
      </c>
      <c r="H209" s="48">
        <f>データ!I206</f>
        <v>20000</v>
      </c>
      <c r="I209" s="48">
        <f>データ!J206</f>
        <v>10000</v>
      </c>
      <c r="J209" s="39" t="str">
        <f>IF(OR($C209="総括",$C209="内訳書",$C209="内訳代価",$C209="明細書",$C209="明細代価",$C209="代価表",$C209="単価表"),データ!K206,"")</f>
        <v/>
      </c>
      <c r="K209" s="11" t="str">
        <f t="shared" si="18"/>
        <v/>
      </c>
      <c r="L209" s="46">
        <f t="shared" si="19"/>
        <v>5.406173958784411E-4</v>
      </c>
      <c r="M209" s="40" t="str">
        <f>IF(データ!L206="","",データ!L206)</f>
        <v/>
      </c>
      <c r="N209" s="41" t="str">
        <f>IF(データ!M206="","",データ!M206)</f>
        <v/>
      </c>
      <c r="O209" s="42">
        <f>データ!N206</f>
        <v>0</v>
      </c>
      <c r="P209" s="48">
        <f>IF($C209="集計行","",データ!O206)</f>
        <v>0</v>
      </c>
      <c r="Q209" s="48">
        <f>データ!P206</f>
        <v>0</v>
      </c>
      <c r="R209" s="39" t="str">
        <f>IF(OR($C209="総括",$C209="内訳書",$C209="内訳代価",$C209="明細書",$C209="明細代価",$C209="代価表",$C209="単価表"),データ!Q206,"")</f>
        <v/>
      </c>
      <c r="S209" s="11" t="str">
        <f t="shared" si="20"/>
        <v/>
      </c>
      <c r="T209" s="46" t="e">
        <f t="shared" si="21"/>
        <v>#DIV/0!</v>
      </c>
      <c r="U209" s="40" t="str">
        <f>IF(データ!R206="","",データ!R206)</f>
        <v/>
      </c>
      <c r="V209" s="41" t="str">
        <f>IF(データ!S206="","",データ!S206)</f>
        <v/>
      </c>
      <c r="W209" s="42">
        <f>データ!T206</f>
        <v>0</v>
      </c>
      <c r="X209" s="48">
        <f>IF($C209="集計行","",データ!U206)</f>
        <v>0</v>
      </c>
      <c r="Y209" s="48">
        <f>データ!V206</f>
        <v>0</v>
      </c>
      <c r="Z209" s="39" t="str">
        <f>IF(OR($C209="総括",$C209="内訳書",$C209="内訳代価",$C209="明細書",$C209="明細代価",$C209="代価表",$C209="単価表"),データ!W206,"")</f>
        <v/>
      </c>
      <c r="AA209" s="11" t="str">
        <f t="shared" si="22"/>
        <v/>
      </c>
      <c r="AB209" s="46" t="e">
        <f t="shared" si="23"/>
        <v>#DIV/0!</v>
      </c>
      <c r="AC209" s="40" t="str">
        <f>IF(データ!X206="","",データ!X206)</f>
        <v/>
      </c>
      <c r="AD209" s="41" t="str">
        <f>IF(データ!Y206="","",データ!Y206)</f>
        <v/>
      </c>
      <c r="AE209" s="47" t="str">
        <f>TRIM(データ!B206)</f>
        <v/>
      </c>
      <c r="AF209" s="43" t="str">
        <f>TRIM(データ!Z206)</f>
        <v/>
      </c>
    </row>
    <row r="210" spans="1:32" x14ac:dyDescent="0.15">
      <c r="A210" s="47">
        <f>データ!A207</f>
        <v>2</v>
      </c>
      <c r="B210" s="47" t="str">
        <f>TRIM(データ!C207)</f>
        <v/>
      </c>
      <c r="C210" s="47" t="str">
        <f>TRIM(データ!D207)</f>
        <v>外注費</v>
      </c>
      <c r="D210" s="36" t="str">
        <f>REPT("｜",$A210)&amp;TRIM(データ!E207)</f>
        <v>｜｜汚泥処理</v>
      </c>
      <c r="E210" s="37" t="str">
        <f>TRIM(データ!F207)</f>
        <v/>
      </c>
      <c r="F210" s="38" t="str">
        <f>TRIM(データ!G207)</f>
        <v>リットル</v>
      </c>
      <c r="G210" s="50">
        <f>データ!H207</f>
        <v>300</v>
      </c>
      <c r="H210" s="48">
        <f>データ!I207</f>
        <v>45</v>
      </c>
      <c r="I210" s="48">
        <f>データ!J207</f>
        <v>13500</v>
      </c>
      <c r="J210" s="39" t="str">
        <f>IF(OR($C210="総括",$C210="内訳書",$C210="内訳代価",$C210="明細書",$C210="明細代価",$C210="代価表",$C210="単価表"),データ!K207,"")</f>
        <v/>
      </c>
      <c r="K210" s="11" t="str">
        <f t="shared" si="18"/>
        <v/>
      </c>
      <c r="L210" s="46">
        <f t="shared" si="19"/>
        <v>7.2983348443589552E-4</v>
      </c>
      <c r="M210" s="40" t="str">
        <f>IF(データ!L207="","",データ!L207)</f>
        <v/>
      </c>
      <c r="N210" s="41" t="str">
        <f>IF(データ!M207="","",データ!M207)</f>
        <v/>
      </c>
      <c r="O210" s="42">
        <f>データ!N207</f>
        <v>0</v>
      </c>
      <c r="P210" s="48">
        <f>IF($C210="集計行","",データ!O207)</f>
        <v>0</v>
      </c>
      <c r="Q210" s="48">
        <f>データ!P207</f>
        <v>0</v>
      </c>
      <c r="R210" s="39" t="str">
        <f>IF(OR($C210="総括",$C210="内訳書",$C210="内訳代価",$C210="明細書",$C210="明細代価",$C210="代価表",$C210="単価表"),データ!Q207,"")</f>
        <v/>
      </c>
      <c r="S210" s="11" t="str">
        <f t="shared" si="20"/>
        <v/>
      </c>
      <c r="T210" s="46" t="e">
        <f t="shared" si="21"/>
        <v>#DIV/0!</v>
      </c>
      <c r="U210" s="40" t="str">
        <f>IF(データ!R207="","",データ!R207)</f>
        <v/>
      </c>
      <c r="V210" s="41" t="str">
        <f>IF(データ!S207="","",データ!S207)</f>
        <v/>
      </c>
      <c r="W210" s="42">
        <f>データ!T207</f>
        <v>0</v>
      </c>
      <c r="X210" s="48">
        <f>IF($C210="集計行","",データ!U207)</f>
        <v>0</v>
      </c>
      <c r="Y210" s="48">
        <f>データ!V207</f>
        <v>0</v>
      </c>
      <c r="Z210" s="39" t="str">
        <f>IF(OR($C210="総括",$C210="内訳書",$C210="内訳代価",$C210="明細書",$C210="明細代価",$C210="代価表",$C210="単価表"),データ!W207,"")</f>
        <v/>
      </c>
      <c r="AA210" s="11" t="str">
        <f t="shared" si="22"/>
        <v/>
      </c>
      <c r="AB210" s="46" t="e">
        <f t="shared" si="23"/>
        <v>#DIV/0!</v>
      </c>
      <c r="AC210" s="40" t="str">
        <f>IF(データ!X207="","",データ!X207)</f>
        <v/>
      </c>
      <c r="AD210" s="41" t="str">
        <f>IF(データ!Y207="","",データ!Y207)</f>
        <v/>
      </c>
      <c r="AE210" s="47" t="str">
        <f>TRIM(データ!B207)</f>
        <v/>
      </c>
      <c r="AF210" s="43" t="str">
        <f>TRIM(データ!Z207)</f>
        <v/>
      </c>
    </row>
    <row r="211" spans="1:32" x14ac:dyDescent="0.15">
      <c r="A211" s="47">
        <f>データ!A208</f>
        <v>2</v>
      </c>
      <c r="B211" s="47" t="str">
        <f>TRIM(データ!C208)</f>
        <v/>
      </c>
      <c r="C211" s="47" t="str">
        <f>TRIM(データ!D208)</f>
        <v>外注費</v>
      </c>
      <c r="D211" s="36" t="str">
        <f>REPT("｜",$A211)&amp;TRIM(データ!E208)</f>
        <v>｜｜舗装版切断工No.1-1</v>
      </c>
      <c r="E211" s="37" t="str">
        <f>TRIM(データ!F208)</f>
        <v/>
      </c>
      <c r="F211" s="38" t="str">
        <f>TRIM(データ!G208)</f>
        <v>式</v>
      </c>
      <c r="G211" s="50">
        <f>データ!H208</f>
        <v>1</v>
      </c>
      <c r="H211" s="48">
        <f>データ!I208</f>
        <v>20000</v>
      </c>
      <c r="I211" s="48">
        <f>データ!J208</f>
        <v>20000</v>
      </c>
      <c r="J211" s="39" t="str">
        <f>IF(OR($C211="総括",$C211="内訳書",$C211="内訳代価",$C211="明細書",$C211="明細代価",$C211="代価表",$C211="単価表"),データ!K208,"")</f>
        <v/>
      </c>
      <c r="K211" s="11" t="str">
        <f t="shared" si="18"/>
        <v/>
      </c>
      <c r="L211" s="46">
        <f t="shared" si="19"/>
        <v>1.0812347917568822E-3</v>
      </c>
      <c r="M211" s="40" t="str">
        <f>IF(データ!L208="","",データ!L208)</f>
        <v/>
      </c>
      <c r="N211" s="41" t="str">
        <f>IF(データ!M208="","",データ!M208)</f>
        <v/>
      </c>
      <c r="O211" s="42">
        <f>データ!N208</f>
        <v>0</v>
      </c>
      <c r="P211" s="48">
        <f>IF($C211="集計行","",データ!O208)</f>
        <v>0</v>
      </c>
      <c r="Q211" s="48">
        <f>データ!P208</f>
        <v>0</v>
      </c>
      <c r="R211" s="39" t="str">
        <f>IF(OR($C211="総括",$C211="内訳書",$C211="内訳代価",$C211="明細書",$C211="明細代価",$C211="代価表",$C211="単価表"),データ!Q208,"")</f>
        <v/>
      </c>
      <c r="S211" s="11" t="str">
        <f t="shared" si="20"/>
        <v/>
      </c>
      <c r="T211" s="46" t="e">
        <f t="shared" si="21"/>
        <v>#DIV/0!</v>
      </c>
      <c r="U211" s="40" t="str">
        <f>IF(データ!R208="","",データ!R208)</f>
        <v/>
      </c>
      <c r="V211" s="41" t="str">
        <f>IF(データ!S208="","",データ!S208)</f>
        <v/>
      </c>
      <c r="W211" s="42">
        <f>データ!T208</f>
        <v>0</v>
      </c>
      <c r="X211" s="48">
        <f>IF($C211="集計行","",データ!U208)</f>
        <v>0</v>
      </c>
      <c r="Y211" s="48">
        <f>データ!V208</f>
        <v>0</v>
      </c>
      <c r="Z211" s="39" t="str">
        <f>IF(OR($C211="総括",$C211="内訳書",$C211="内訳代価",$C211="明細書",$C211="明細代価",$C211="代価表",$C211="単価表"),データ!W208,"")</f>
        <v/>
      </c>
      <c r="AA211" s="11" t="str">
        <f t="shared" si="22"/>
        <v/>
      </c>
      <c r="AB211" s="46" t="e">
        <f t="shared" si="23"/>
        <v>#DIV/0!</v>
      </c>
      <c r="AC211" s="40" t="str">
        <f>IF(データ!X208="","",データ!X208)</f>
        <v/>
      </c>
      <c r="AD211" s="41" t="str">
        <f>IF(データ!Y208="","",データ!Y208)</f>
        <v/>
      </c>
      <c r="AE211" s="47" t="str">
        <f>TRIM(データ!B208)</f>
        <v/>
      </c>
      <c r="AF211" s="43" t="str">
        <f>TRIM(データ!Z208)</f>
        <v/>
      </c>
    </row>
    <row r="212" spans="1:32" x14ac:dyDescent="0.15">
      <c r="A212" s="47">
        <f>データ!A209</f>
        <v>2</v>
      </c>
      <c r="B212" s="47" t="str">
        <f>TRIM(データ!C209)</f>
        <v/>
      </c>
      <c r="C212" s="47" t="str">
        <f>TRIM(データ!D209)</f>
        <v>外注費</v>
      </c>
      <c r="D212" s="36" t="str">
        <f>REPT("｜",$A212)&amp;TRIM(データ!E209)</f>
        <v>｜｜汚泥運搬</v>
      </c>
      <c r="E212" s="37" t="str">
        <f>TRIM(データ!F209)</f>
        <v/>
      </c>
      <c r="F212" s="38" t="str">
        <f>TRIM(データ!G209)</f>
        <v>台</v>
      </c>
      <c r="G212" s="50">
        <f>データ!H209</f>
        <v>1</v>
      </c>
      <c r="H212" s="48">
        <f>データ!I209</f>
        <v>20000</v>
      </c>
      <c r="I212" s="48">
        <f>データ!J209</f>
        <v>20000</v>
      </c>
      <c r="J212" s="39" t="str">
        <f>IF(OR($C212="総括",$C212="内訳書",$C212="内訳代価",$C212="明細書",$C212="明細代価",$C212="代価表",$C212="単価表"),データ!K209,"")</f>
        <v/>
      </c>
      <c r="K212" s="11" t="str">
        <f t="shared" si="18"/>
        <v/>
      </c>
      <c r="L212" s="46">
        <f t="shared" si="19"/>
        <v>1.0812347917568822E-3</v>
      </c>
      <c r="M212" s="40" t="str">
        <f>IF(データ!L209="","",データ!L209)</f>
        <v/>
      </c>
      <c r="N212" s="41" t="str">
        <f>IF(データ!M209="","",データ!M209)</f>
        <v/>
      </c>
      <c r="O212" s="42">
        <f>データ!N209</f>
        <v>0</v>
      </c>
      <c r="P212" s="48">
        <f>IF($C212="集計行","",データ!O209)</f>
        <v>0</v>
      </c>
      <c r="Q212" s="48">
        <f>データ!P209</f>
        <v>0</v>
      </c>
      <c r="R212" s="39" t="str">
        <f>IF(OR($C212="総括",$C212="内訳書",$C212="内訳代価",$C212="明細書",$C212="明細代価",$C212="代価表",$C212="単価表"),データ!Q209,"")</f>
        <v/>
      </c>
      <c r="S212" s="11" t="str">
        <f t="shared" si="20"/>
        <v/>
      </c>
      <c r="T212" s="46" t="e">
        <f t="shared" si="21"/>
        <v>#DIV/0!</v>
      </c>
      <c r="U212" s="40" t="str">
        <f>IF(データ!R209="","",データ!R209)</f>
        <v/>
      </c>
      <c r="V212" s="41" t="str">
        <f>IF(データ!S209="","",データ!S209)</f>
        <v/>
      </c>
      <c r="W212" s="42">
        <f>データ!T209</f>
        <v>0</v>
      </c>
      <c r="X212" s="48">
        <f>IF($C212="集計行","",データ!U209)</f>
        <v>0</v>
      </c>
      <c r="Y212" s="48">
        <f>データ!V209</f>
        <v>0</v>
      </c>
      <c r="Z212" s="39" t="str">
        <f>IF(OR($C212="総括",$C212="内訳書",$C212="内訳代価",$C212="明細書",$C212="明細代価",$C212="代価表",$C212="単価表"),データ!W209,"")</f>
        <v/>
      </c>
      <c r="AA212" s="11" t="str">
        <f t="shared" si="22"/>
        <v/>
      </c>
      <c r="AB212" s="46" t="e">
        <f t="shared" si="23"/>
        <v>#DIV/0!</v>
      </c>
      <c r="AC212" s="40" t="str">
        <f>IF(データ!X209="","",データ!X209)</f>
        <v/>
      </c>
      <c r="AD212" s="41" t="str">
        <f>IF(データ!Y209="","",データ!Y209)</f>
        <v/>
      </c>
      <c r="AE212" s="47" t="str">
        <f>TRIM(データ!B209)</f>
        <v/>
      </c>
      <c r="AF212" s="43" t="str">
        <f>TRIM(データ!Z209)</f>
        <v/>
      </c>
    </row>
    <row r="213" spans="1:32" x14ac:dyDescent="0.15">
      <c r="A213" s="47">
        <f>データ!A210</f>
        <v>2</v>
      </c>
      <c r="B213" s="47" t="str">
        <f>TRIM(データ!C210)</f>
        <v/>
      </c>
      <c r="C213" s="47" t="str">
        <f>TRIM(データ!D210)</f>
        <v>外注費</v>
      </c>
      <c r="D213" s="36" t="str">
        <f>REPT("｜",$A213)&amp;TRIM(データ!E210)</f>
        <v>｜｜汚泥処理</v>
      </c>
      <c r="E213" s="37" t="str">
        <f>TRIM(データ!F210)</f>
        <v/>
      </c>
      <c r="F213" s="38" t="str">
        <f>TRIM(データ!G210)</f>
        <v>リットル</v>
      </c>
      <c r="G213" s="50">
        <f>データ!H210</f>
        <v>190</v>
      </c>
      <c r="H213" s="48">
        <f>データ!I210</f>
        <v>45</v>
      </c>
      <c r="I213" s="48">
        <f>データ!J210</f>
        <v>8550</v>
      </c>
      <c r="J213" s="39" t="str">
        <f>IF(OR($C213="総括",$C213="内訳書",$C213="内訳代価",$C213="明細書",$C213="明細代価",$C213="代価表",$C213="単価表"),データ!K210,"")</f>
        <v/>
      </c>
      <c r="K213" s="11" t="str">
        <f t="shared" si="18"/>
        <v/>
      </c>
      <c r="L213" s="46">
        <f t="shared" si="19"/>
        <v>4.6222787347606714E-4</v>
      </c>
      <c r="M213" s="40" t="str">
        <f>IF(データ!L210="","",データ!L210)</f>
        <v/>
      </c>
      <c r="N213" s="41" t="str">
        <f>IF(データ!M210="","",データ!M210)</f>
        <v/>
      </c>
      <c r="O213" s="42">
        <f>データ!N210</f>
        <v>0</v>
      </c>
      <c r="P213" s="48">
        <f>IF($C213="集計行","",データ!O210)</f>
        <v>0</v>
      </c>
      <c r="Q213" s="48">
        <f>データ!P210</f>
        <v>0</v>
      </c>
      <c r="R213" s="39" t="str">
        <f>IF(OR($C213="総括",$C213="内訳書",$C213="内訳代価",$C213="明細書",$C213="明細代価",$C213="代価表",$C213="単価表"),データ!Q210,"")</f>
        <v/>
      </c>
      <c r="S213" s="11" t="str">
        <f t="shared" si="20"/>
        <v/>
      </c>
      <c r="T213" s="46" t="e">
        <f t="shared" si="21"/>
        <v>#DIV/0!</v>
      </c>
      <c r="U213" s="40" t="str">
        <f>IF(データ!R210="","",データ!R210)</f>
        <v/>
      </c>
      <c r="V213" s="41" t="str">
        <f>IF(データ!S210="","",データ!S210)</f>
        <v/>
      </c>
      <c r="W213" s="42">
        <f>データ!T210</f>
        <v>0</v>
      </c>
      <c r="X213" s="48">
        <f>IF($C213="集計行","",データ!U210)</f>
        <v>0</v>
      </c>
      <c r="Y213" s="48">
        <f>データ!V210</f>
        <v>0</v>
      </c>
      <c r="Z213" s="39" t="str">
        <f>IF(OR($C213="総括",$C213="内訳書",$C213="内訳代価",$C213="明細書",$C213="明細代価",$C213="代価表",$C213="単価表"),データ!W210,"")</f>
        <v/>
      </c>
      <c r="AA213" s="11" t="str">
        <f t="shared" si="22"/>
        <v/>
      </c>
      <c r="AB213" s="46" t="e">
        <f t="shared" si="23"/>
        <v>#DIV/0!</v>
      </c>
      <c r="AC213" s="40" t="str">
        <f>IF(データ!X210="","",データ!X210)</f>
        <v/>
      </c>
      <c r="AD213" s="41" t="str">
        <f>IF(データ!Y210="","",データ!Y210)</f>
        <v/>
      </c>
      <c r="AE213" s="47" t="str">
        <f>TRIM(データ!B210)</f>
        <v/>
      </c>
      <c r="AF213" s="43" t="str">
        <f>TRIM(データ!Z210)</f>
        <v/>
      </c>
    </row>
    <row r="214" spans="1:32" x14ac:dyDescent="0.15">
      <c r="A214" s="47">
        <f>データ!A211</f>
        <v>2</v>
      </c>
      <c r="B214" s="47" t="str">
        <f>TRIM(データ!C211)</f>
        <v/>
      </c>
      <c r="C214" s="47" t="str">
        <f>TRIM(データ!D211)</f>
        <v>外注費</v>
      </c>
      <c r="D214" s="36" t="str">
        <f>REPT("｜",$A214)&amp;TRIM(データ!E211)</f>
        <v>｜｜コアー採取　No.4</v>
      </c>
      <c r="E214" s="37" t="str">
        <f>TRIM(データ!F211)</f>
        <v/>
      </c>
      <c r="F214" s="38" t="str">
        <f>TRIM(データ!G211)</f>
        <v>式</v>
      </c>
      <c r="G214" s="50">
        <f>データ!H211</f>
        <v>1</v>
      </c>
      <c r="H214" s="48">
        <f>データ!I211</f>
        <v>12000</v>
      </c>
      <c r="I214" s="48">
        <f>データ!J211</f>
        <v>12000</v>
      </c>
      <c r="J214" s="39" t="str">
        <f>IF(OR($C214="総括",$C214="内訳書",$C214="内訳代価",$C214="明細書",$C214="明細代価",$C214="代価表",$C214="単価表"),データ!K211,"")</f>
        <v/>
      </c>
      <c r="K214" s="11" t="str">
        <f t="shared" si="18"/>
        <v/>
      </c>
      <c r="L214" s="46">
        <f t="shared" si="19"/>
        <v>6.4874087505412928E-4</v>
      </c>
      <c r="M214" s="40" t="str">
        <f>IF(データ!L211="","",データ!L211)</f>
        <v/>
      </c>
      <c r="N214" s="41" t="str">
        <f>IF(データ!M211="","",データ!M211)</f>
        <v/>
      </c>
      <c r="O214" s="42">
        <f>データ!N211</f>
        <v>0</v>
      </c>
      <c r="P214" s="48">
        <f>IF($C214="集計行","",データ!O211)</f>
        <v>0</v>
      </c>
      <c r="Q214" s="48">
        <f>データ!P211</f>
        <v>0</v>
      </c>
      <c r="R214" s="39" t="str">
        <f>IF(OR($C214="総括",$C214="内訳書",$C214="内訳代価",$C214="明細書",$C214="明細代価",$C214="代価表",$C214="単価表"),データ!Q211,"")</f>
        <v/>
      </c>
      <c r="S214" s="11" t="str">
        <f t="shared" si="20"/>
        <v/>
      </c>
      <c r="T214" s="46" t="e">
        <f t="shared" si="21"/>
        <v>#DIV/0!</v>
      </c>
      <c r="U214" s="40" t="str">
        <f>IF(データ!R211="","",データ!R211)</f>
        <v/>
      </c>
      <c r="V214" s="41" t="str">
        <f>IF(データ!S211="","",データ!S211)</f>
        <v/>
      </c>
      <c r="W214" s="42">
        <f>データ!T211</f>
        <v>0</v>
      </c>
      <c r="X214" s="48">
        <f>IF($C214="集計行","",データ!U211)</f>
        <v>0</v>
      </c>
      <c r="Y214" s="48">
        <f>データ!V211</f>
        <v>0</v>
      </c>
      <c r="Z214" s="39" t="str">
        <f>IF(OR($C214="総括",$C214="内訳書",$C214="内訳代価",$C214="明細書",$C214="明細代価",$C214="代価表",$C214="単価表"),データ!W211,"")</f>
        <v/>
      </c>
      <c r="AA214" s="11" t="str">
        <f t="shared" si="22"/>
        <v/>
      </c>
      <c r="AB214" s="46" t="e">
        <f t="shared" si="23"/>
        <v>#DIV/0!</v>
      </c>
      <c r="AC214" s="40" t="str">
        <f>IF(データ!X211="","",データ!X211)</f>
        <v/>
      </c>
      <c r="AD214" s="41" t="str">
        <f>IF(データ!Y211="","",データ!Y211)</f>
        <v/>
      </c>
      <c r="AE214" s="47" t="str">
        <f>TRIM(データ!B211)</f>
        <v/>
      </c>
      <c r="AF214" s="43" t="str">
        <f>TRIM(データ!Z211)</f>
        <v/>
      </c>
    </row>
    <row r="215" spans="1:32" x14ac:dyDescent="0.15">
      <c r="A215" s="47">
        <f>データ!A212</f>
        <v>1</v>
      </c>
      <c r="B215" s="47" t="str">
        <f>TRIM(データ!C212)</f>
        <v/>
      </c>
      <c r="C215" s="47" t="str">
        <f>TRIM(データ!D212)</f>
        <v>内訳書</v>
      </c>
      <c r="D215" s="36" t="str">
        <f>REPT("｜",$A215)&amp;TRIM(データ!E212)</f>
        <v>｜準備工</v>
      </c>
      <c r="E215" s="37" t="str">
        <f>TRIM(データ!F212)</f>
        <v/>
      </c>
      <c r="F215" s="38" t="str">
        <f>TRIM(データ!G212)</f>
        <v>式</v>
      </c>
      <c r="G215" s="50">
        <f>データ!H212</f>
        <v>1</v>
      </c>
      <c r="H215" s="48">
        <f>データ!I212</f>
        <v>282750</v>
      </c>
      <c r="I215" s="48">
        <f>データ!J212</f>
        <v>282750</v>
      </c>
      <c r="J215" s="39">
        <f>IF(OR($C215="総括",$C215="内訳書",$C215="内訳代価",$C215="明細書",$C215="明細代価",$C215="代価表",$C215="単価表"),データ!K212,"")</f>
        <v>1</v>
      </c>
      <c r="K215" s="11" t="str">
        <f t="shared" si="18"/>
        <v/>
      </c>
      <c r="L215" s="46">
        <f t="shared" si="19"/>
        <v>1.5285956868462921E-2</v>
      </c>
      <c r="M215" s="40" t="str">
        <f>IF(データ!L212="","",データ!L212)</f>
        <v/>
      </c>
      <c r="N215" s="41" t="str">
        <f>IF(データ!M212="","",データ!M212)</f>
        <v>26号内訳書</v>
      </c>
      <c r="O215" s="42">
        <f>データ!N212</f>
        <v>0</v>
      </c>
      <c r="P215" s="48">
        <f>IF($C215="集計行","",データ!O212)</f>
        <v>0</v>
      </c>
      <c r="Q215" s="48">
        <f>データ!P212</f>
        <v>0</v>
      </c>
      <c r="R215" s="39">
        <f>IF(OR($C215="総括",$C215="内訳書",$C215="内訳代価",$C215="明細書",$C215="明細代価",$C215="代価表",$C215="単価表"),データ!Q212,"")</f>
        <v>0</v>
      </c>
      <c r="S215" s="11" t="str">
        <f t="shared" si="20"/>
        <v/>
      </c>
      <c r="T215" s="46" t="e">
        <f t="shared" si="21"/>
        <v>#DIV/0!</v>
      </c>
      <c r="U215" s="40" t="str">
        <f>IF(データ!R212="","",データ!R212)</f>
        <v/>
      </c>
      <c r="V215" s="41" t="str">
        <f>IF(データ!S212="","",データ!S212)</f>
        <v/>
      </c>
      <c r="W215" s="42">
        <f>データ!T212</f>
        <v>0</v>
      </c>
      <c r="X215" s="48">
        <f>IF($C215="集計行","",データ!U212)</f>
        <v>0</v>
      </c>
      <c r="Y215" s="48">
        <f>データ!V212</f>
        <v>0</v>
      </c>
      <c r="Z215" s="39">
        <f>IF(OR($C215="総括",$C215="内訳書",$C215="内訳代価",$C215="明細書",$C215="明細代価",$C215="代価表",$C215="単価表"),データ!W212,"")</f>
        <v>0</v>
      </c>
      <c r="AA215" s="11" t="str">
        <f t="shared" si="22"/>
        <v/>
      </c>
      <c r="AB215" s="46" t="e">
        <f t="shared" si="23"/>
        <v>#DIV/0!</v>
      </c>
      <c r="AC215" s="40" t="str">
        <f>IF(データ!X212="","",データ!X212)</f>
        <v/>
      </c>
      <c r="AD215" s="41" t="str">
        <f>IF(データ!Y212="","",データ!Y212)</f>
        <v/>
      </c>
      <c r="AE215" s="47" t="str">
        <f>TRIM(データ!B212)</f>
        <v/>
      </c>
      <c r="AF215" s="43" t="str">
        <f>TRIM(データ!Z212)</f>
        <v/>
      </c>
    </row>
    <row r="216" spans="1:32" x14ac:dyDescent="0.15">
      <c r="A216" s="47">
        <f>データ!A213</f>
        <v>2</v>
      </c>
      <c r="B216" s="47" t="str">
        <f>TRIM(データ!C213)</f>
        <v/>
      </c>
      <c r="C216" s="47" t="str">
        <f>TRIM(データ!D213)</f>
        <v>労務費</v>
      </c>
      <c r="D216" s="36" t="str">
        <f>REPT("｜",$A216)&amp;TRIM(データ!E213)</f>
        <v>｜｜土工</v>
      </c>
      <c r="E216" s="37" t="str">
        <f>TRIM(データ!F213)</f>
        <v/>
      </c>
      <c r="F216" s="38" t="str">
        <f>TRIM(データ!G213)</f>
        <v>人</v>
      </c>
      <c r="G216" s="50">
        <f>データ!H213</f>
        <v>4</v>
      </c>
      <c r="H216" s="48">
        <f>データ!I213</f>
        <v>23000</v>
      </c>
      <c r="I216" s="48">
        <f>データ!J213</f>
        <v>92000</v>
      </c>
      <c r="J216" s="39" t="str">
        <f>IF(OR($C216="総括",$C216="内訳書",$C216="内訳代価",$C216="明細書",$C216="明細代価",$C216="代価表",$C216="単価表"),データ!K213,"")</f>
        <v/>
      </c>
      <c r="K216" s="11" t="str">
        <f t="shared" si="18"/>
        <v/>
      </c>
      <c r="L216" s="46">
        <f t="shared" si="19"/>
        <v>4.9736800420816579E-3</v>
      </c>
      <c r="M216" s="40" t="str">
        <f>IF(データ!L213="","",データ!L213)</f>
        <v/>
      </c>
      <c r="N216" s="41" t="str">
        <f>IF(データ!M213="","",データ!M213)</f>
        <v/>
      </c>
      <c r="O216" s="42">
        <f>データ!N213</f>
        <v>0</v>
      </c>
      <c r="P216" s="48">
        <f>IF($C216="集計行","",データ!O213)</f>
        <v>0</v>
      </c>
      <c r="Q216" s="48">
        <f>データ!P213</f>
        <v>0</v>
      </c>
      <c r="R216" s="39" t="str">
        <f>IF(OR($C216="総括",$C216="内訳書",$C216="内訳代価",$C216="明細書",$C216="明細代価",$C216="代価表",$C216="単価表"),データ!Q213,"")</f>
        <v/>
      </c>
      <c r="S216" s="11" t="str">
        <f t="shared" si="20"/>
        <v/>
      </c>
      <c r="T216" s="46" t="e">
        <f t="shared" si="21"/>
        <v>#DIV/0!</v>
      </c>
      <c r="U216" s="40" t="str">
        <f>IF(データ!R213="","",データ!R213)</f>
        <v/>
      </c>
      <c r="V216" s="41" t="str">
        <f>IF(データ!S213="","",データ!S213)</f>
        <v/>
      </c>
      <c r="W216" s="42">
        <f>データ!T213</f>
        <v>0</v>
      </c>
      <c r="X216" s="48">
        <f>IF($C216="集計行","",データ!U213)</f>
        <v>0</v>
      </c>
      <c r="Y216" s="48">
        <f>データ!V213</f>
        <v>0</v>
      </c>
      <c r="Z216" s="39" t="str">
        <f>IF(OR($C216="総括",$C216="内訳書",$C216="内訳代価",$C216="明細書",$C216="明細代価",$C216="代価表",$C216="単価表"),データ!W213,"")</f>
        <v/>
      </c>
      <c r="AA216" s="11" t="str">
        <f t="shared" si="22"/>
        <v/>
      </c>
      <c r="AB216" s="46" t="e">
        <f t="shared" si="23"/>
        <v>#DIV/0!</v>
      </c>
      <c r="AC216" s="40" t="str">
        <f>IF(データ!X213="","",データ!X213)</f>
        <v/>
      </c>
      <c r="AD216" s="41" t="str">
        <f>IF(データ!Y213="","",データ!Y213)</f>
        <v/>
      </c>
      <c r="AE216" s="47" t="str">
        <f>TRIM(データ!B213)</f>
        <v/>
      </c>
      <c r="AF216" s="43" t="str">
        <f>TRIM(データ!Z213)</f>
        <v/>
      </c>
    </row>
    <row r="217" spans="1:32" x14ac:dyDescent="0.15">
      <c r="A217" s="47">
        <f>データ!A214</f>
        <v>2</v>
      </c>
      <c r="B217" s="47" t="str">
        <f>TRIM(データ!C214)</f>
        <v/>
      </c>
      <c r="C217" s="47" t="str">
        <f>TRIM(データ!D214)</f>
        <v>機械費</v>
      </c>
      <c r="D217" s="36" t="str">
        <f>REPT("｜",$A217)&amp;TRIM(データ!E214)</f>
        <v>｜｜パートナーカッター</v>
      </c>
      <c r="E217" s="37" t="str">
        <f>TRIM(データ!F214)</f>
        <v/>
      </c>
      <c r="F217" s="38" t="str">
        <f>TRIM(データ!G214)</f>
        <v>台</v>
      </c>
      <c r="G217" s="50">
        <f>データ!H214</f>
        <v>2</v>
      </c>
      <c r="H217" s="48">
        <f>データ!I214</f>
        <v>5000</v>
      </c>
      <c r="I217" s="48">
        <f>データ!J214</f>
        <v>10000</v>
      </c>
      <c r="J217" s="39" t="str">
        <f>IF(OR($C217="総括",$C217="内訳書",$C217="内訳代価",$C217="明細書",$C217="明細代価",$C217="代価表",$C217="単価表"),データ!K214,"")</f>
        <v/>
      </c>
      <c r="K217" s="11" t="str">
        <f t="shared" si="18"/>
        <v/>
      </c>
      <c r="L217" s="46">
        <f t="shared" si="19"/>
        <v>5.406173958784411E-4</v>
      </c>
      <c r="M217" s="40" t="str">
        <f>IF(データ!L214="","",データ!L214)</f>
        <v/>
      </c>
      <c r="N217" s="41" t="str">
        <f>IF(データ!M214="","",データ!M214)</f>
        <v/>
      </c>
      <c r="O217" s="42">
        <f>データ!N214</f>
        <v>0</v>
      </c>
      <c r="P217" s="48">
        <f>IF($C217="集計行","",データ!O214)</f>
        <v>0</v>
      </c>
      <c r="Q217" s="48">
        <f>データ!P214</f>
        <v>0</v>
      </c>
      <c r="R217" s="39" t="str">
        <f>IF(OR($C217="総括",$C217="内訳書",$C217="内訳代価",$C217="明細書",$C217="明細代価",$C217="代価表",$C217="単価表"),データ!Q214,"")</f>
        <v/>
      </c>
      <c r="S217" s="11" t="str">
        <f t="shared" si="20"/>
        <v/>
      </c>
      <c r="T217" s="46" t="e">
        <f t="shared" si="21"/>
        <v>#DIV/0!</v>
      </c>
      <c r="U217" s="40" t="str">
        <f>IF(データ!R214="","",データ!R214)</f>
        <v/>
      </c>
      <c r="V217" s="41" t="str">
        <f>IF(データ!S214="","",データ!S214)</f>
        <v/>
      </c>
      <c r="W217" s="42">
        <f>データ!T214</f>
        <v>0</v>
      </c>
      <c r="X217" s="48">
        <f>IF($C217="集計行","",データ!U214)</f>
        <v>0</v>
      </c>
      <c r="Y217" s="48">
        <f>データ!V214</f>
        <v>0</v>
      </c>
      <c r="Z217" s="39" t="str">
        <f>IF(OR($C217="総括",$C217="内訳書",$C217="内訳代価",$C217="明細書",$C217="明細代価",$C217="代価表",$C217="単価表"),データ!W214,"")</f>
        <v/>
      </c>
      <c r="AA217" s="11" t="str">
        <f t="shared" si="22"/>
        <v/>
      </c>
      <c r="AB217" s="46" t="e">
        <f t="shared" si="23"/>
        <v>#DIV/0!</v>
      </c>
      <c r="AC217" s="40" t="str">
        <f>IF(データ!X214="","",データ!X214)</f>
        <v/>
      </c>
      <c r="AD217" s="41" t="str">
        <f>IF(データ!Y214="","",データ!Y214)</f>
        <v/>
      </c>
      <c r="AE217" s="47" t="str">
        <f>TRIM(データ!B214)</f>
        <v/>
      </c>
      <c r="AF217" s="43" t="str">
        <f>TRIM(データ!Z214)</f>
        <v/>
      </c>
    </row>
    <row r="218" spans="1:32" x14ac:dyDescent="0.15">
      <c r="A218" s="47">
        <f>データ!A215</f>
        <v>2</v>
      </c>
      <c r="B218" s="47" t="str">
        <f>TRIM(データ!C215)</f>
        <v/>
      </c>
      <c r="C218" s="47" t="str">
        <f>TRIM(データ!D215)</f>
        <v>運搬費</v>
      </c>
      <c r="D218" s="36" t="str">
        <f>REPT("｜",$A218)&amp;TRIM(データ!E215)</f>
        <v>｜｜WP</v>
      </c>
      <c r="E218" s="37" t="str">
        <f>TRIM(データ!F215)</f>
        <v/>
      </c>
      <c r="F218" s="38" t="str">
        <f>TRIM(データ!G215)</f>
        <v>台</v>
      </c>
      <c r="G218" s="50">
        <f>データ!H215</f>
        <v>2</v>
      </c>
      <c r="H218" s="48">
        <f>データ!I215</f>
        <v>8000</v>
      </c>
      <c r="I218" s="48">
        <f>データ!J215</f>
        <v>16000</v>
      </c>
      <c r="J218" s="39" t="str">
        <f>IF(OR($C218="総括",$C218="内訳書",$C218="内訳代価",$C218="明細書",$C218="明細代価",$C218="代価表",$C218="単価表"),データ!K215,"")</f>
        <v/>
      </c>
      <c r="K218" s="11" t="str">
        <f t="shared" si="18"/>
        <v/>
      </c>
      <c r="L218" s="46">
        <f t="shared" si="19"/>
        <v>8.6498783340550574E-4</v>
      </c>
      <c r="M218" s="40" t="str">
        <f>IF(データ!L215="","",データ!L215)</f>
        <v/>
      </c>
      <c r="N218" s="41" t="str">
        <f>IF(データ!M215="","",データ!M215)</f>
        <v/>
      </c>
      <c r="O218" s="42">
        <f>データ!N215</f>
        <v>0</v>
      </c>
      <c r="P218" s="48">
        <f>IF($C218="集計行","",データ!O215)</f>
        <v>0</v>
      </c>
      <c r="Q218" s="48">
        <f>データ!P215</f>
        <v>0</v>
      </c>
      <c r="R218" s="39" t="str">
        <f>IF(OR($C218="総括",$C218="内訳書",$C218="内訳代価",$C218="明細書",$C218="明細代価",$C218="代価表",$C218="単価表"),データ!Q215,"")</f>
        <v/>
      </c>
      <c r="S218" s="11" t="str">
        <f t="shared" si="20"/>
        <v/>
      </c>
      <c r="T218" s="46" t="e">
        <f t="shared" si="21"/>
        <v>#DIV/0!</v>
      </c>
      <c r="U218" s="40" t="str">
        <f>IF(データ!R215="","",データ!R215)</f>
        <v/>
      </c>
      <c r="V218" s="41" t="str">
        <f>IF(データ!S215="","",データ!S215)</f>
        <v/>
      </c>
      <c r="W218" s="42">
        <f>データ!T215</f>
        <v>0</v>
      </c>
      <c r="X218" s="48">
        <f>IF($C218="集計行","",データ!U215)</f>
        <v>0</v>
      </c>
      <c r="Y218" s="48">
        <f>データ!V215</f>
        <v>0</v>
      </c>
      <c r="Z218" s="39" t="str">
        <f>IF(OR($C218="総括",$C218="内訳書",$C218="内訳代価",$C218="明細書",$C218="明細代価",$C218="代価表",$C218="単価表"),データ!W215,"")</f>
        <v/>
      </c>
      <c r="AA218" s="11" t="str">
        <f t="shared" si="22"/>
        <v/>
      </c>
      <c r="AB218" s="46" t="e">
        <f t="shared" si="23"/>
        <v>#DIV/0!</v>
      </c>
      <c r="AC218" s="40" t="str">
        <f>IF(データ!X215="","",データ!X215)</f>
        <v/>
      </c>
      <c r="AD218" s="41" t="str">
        <f>IF(データ!Y215="","",データ!Y215)</f>
        <v/>
      </c>
      <c r="AE218" s="47" t="str">
        <f>TRIM(データ!B215)</f>
        <v/>
      </c>
      <c r="AF218" s="43" t="str">
        <f>TRIM(データ!Z215)</f>
        <v/>
      </c>
    </row>
    <row r="219" spans="1:32" x14ac:dyDescent="0.15">
      <c r="A219" s="47">
        <f>データ!A216</f>
        <v>2</v>
      </c>
      <c r="B219" s="47" t="str">
        <f>TRIM(データ!C216)</f>
        <v/>
      </c>
      <c r="C219" s="47" t="str">
        <f>TRIM(データ!D216)</f>
        <v>外注費</v>
      </c>
      <c r="D219" s="36" t="str">
        <f>REPT("｜",$A219)&amp;TRIM(データ!E216)</f>
        <v>｜｜諸経費</v>
      </c>
      <c r="E219" s="37" t="str">
        <f>TRIM(データ!F216)</f>
        <v/>
      </c>
      <c r="F219" s="38" t="str">
        <f>TRIM(データ!G216)</f>
        <v>式</v>
      </c>
      <c r="G219" s="50">
        <f>データ!H216</f>
        <v>1</v>
      </c>
      <c r="H219" s="48">
        <f>データ!I216</f>
        <v>11800</v>
      </c>
      <c r="I219" s="48">
        <f>データ!J216</f>
        <v>11800</v>
      </c>
      <c r="J219" s="39" t="str">
        <f>IF(OR($C219="総括",$C219="内訳書",$C219="内訳代価",$C219="明細書",$C219="明細代価",$C219="代価表",$C219="単価表"),データ!K216,"")</f>
        <v/>
      </c>
      <c r="K219" s="11" t="str">
        <f t="shared" si="18"/>
        <v/>
      </c>
      <c r="L219" s="46">
        <f t="shared" si="19"/>
        <v>6.3792852713656048E-4</v>
      </c>
      <c r="M219" s="40" t="str">
        <f>IF(データ!L216="","",データ!L216)</f>
        <v/>
      </c>
      <c r="N219" s="41" t="str">
        <f>IF(データ!M216="","",データ!M216)</f>
        <v/>
      </c>
      <c r="O219" s="42">
        <f>データ!N216</f>
        <v>0</v>
      </c>
      <c r="P219" s="48">
        <f>IF($C219="集計行","",データ!O216)</f>
        <v>0</v>
      </c>
      <c r="Q219" s="48">
        <f>データ!P216</f>
        <v>0</v>
      </c>
      <c r="R219" s="39" t="str">
        <f>IF(OR($C219="総括",$C219="内訳書",$C219="内訳代価",$C219="明細書",$C219="明細代価",$C219="代価表",$C219="単価表"),データ!Q216,"")</f>
        <v/>
      </c>
      <c r="S219" s="11" t="str">
        <f t="shared" si="20"/>
        <v/>
      </c>
      <c r="T219" s="46" t="e">
        <f t="shared" si="21"/>
        <v>#DIV/0!</v>
      </c>
      <c r="U219" s="40" t="str">
        <f>IF(データ!R216="","",データ!R216)</f>
        <v/>
      </c>
      <c r="V219" s="41" t="str">
        <f>IF(データ!S216="","",データ!S216)</f>
        <v/>
      </c>
      <c r="W219" s="42">
        <f>データ!T216</f>
        <v>0</v>
      </c>
      <c r="X219" s="48">
        <f>IF($C219="集計行","",データ!U216)</f>
        <v>0</v>
      </c>
      <c r="Y219" s="48">
        <f>データ!V216</f>
        <v>0</v>
      </c>
      <c r="Z219" s="39" t="str">
        <f>IF(OR($C219="総括",$C219="内訳書",$C219="内訳代価",$C219="明細書",$C219="明細代価",$C219="代価表",$C219="単価表"),データ!W216,"")</f>
        <v/>
      </c>
      <c r="AA219" s="11" t="str">
        <f t="shared" si="22"/>
        <v/>
      </c>
      <c r="AB219" s="46" t="e">
        <f t="shared" si="23"/>
        <v>#DIV/0!</v>
      </c>
      <c r="AC219" s="40" t="str">
        <f>IF(データ!X216="","",データ!X216)</f>
        <v/>
      </c>
      <c r="AD219" s="41" t="str">
        <f>IF(データ!Y216="","",データ!Y216)</f>
        <v/>
      </c>
      <c r="AE219" s="47" t="str">
        <f>TRIM(データ!B216)</f>
        <v/>
      </c>
      <c r="AF219" s="43" t="str">
        <f>TRIM(データ!Z216)</f>
        <v/>
      </c>
    </row>
    <row r="220" spans="1:32" x14ac:dyDescent="0.15">
      <c r="A220" s="47">
        <f>データ!A217</f>
        <v>2</v>
      </c>
      <c r="B220" s="47" t="str">
        <f>TRIM(データ!C217)</f>
        <v/>
      </c>
      <c r="C220" s="47" t="str">
        <f>TRIM(データ!D217)</f>
        <v>外注費</v>
      </c>
      <c r="D220" s="36" t="str">
        <f>REPT("｜",$A220)&amp;TRIM(データ!E217)</f>
        <v>｜｜法定福利費</v>
      </c>
      <c r="E220" s="37" t="str">
        <f>TRIM(データ!F217)</f>
        <v/>
      </c>
      <c r="F220" s="38" t="str">
        <f>TRIM(データ!G217)</f>
        <v>式</v>
      </c>
      <c r="G220" s="50">
        <f>データ!H217</f>
        <v>1</v>
      </c>
      <c r="H220" s="48">
        <f>データ!I217</f>
        <v>14950</v>
      </c>
      <c r="I220" s="48">
        <f>データ!J217</f>
        <v>14950</v>
      </c>
      <c r="J220" s="39" t="str">
        <f>IF(OR($C220="総括",$C220="内訳書",$C220="内訳代価",$C220="明細書",$C220="明細代価",$C220="代価表",$C220="単価表"),データ!K217,"")</f>
        <v/>
      </c>
      <c r="K220" s="11" t="str">
        <f t="shared" si="18"/>
        <v/>
      </c>
      <c r="L220" s="46">
        <f t="shared" si="19"/>
        <v>8.0822300683826948E-4</v>
      </c>
      <c r="M220" s="40" t="str">
        <f>IF(データ!L217="","",データ!L217)</f>
        <v/>
      </c>
      <c r="N220" s="41" t="str">
        <f>IF(データ!M217="","",データ!M217)</f>
        <v/>
      </c>
      <c r="O220" s="42">
        <f>データ!N217</f>
        <v>0</v>
      </c>
      <c r="P220" s="48">
        <f>IF($C220="集計行","",データ!O217)</f>
        <v>0</v>
      </c>
      <c r="Q220" s="48">
        <f>データ!P217</f>
        <v>0</v>
      </c>
      <c r="R220" s="39" t="str">
        <f>IF(OR($C220="総括",$C220="内訳書",$C220="内訳代価",$C220="明細書",$C220="明細代価",$C220="代価表",$C220="単価表"),データ!Q217,"")</f>
        <v/>
      </c>
      <c r="S220" s="11" t="str">
        <f t="shared" si="20"/>
        <v/>
      </c>
      <c r="T220" s="46" t="e">
        <f t="shared" si="21"/>
        <v>#DIV/0!</v>
      </c>
      <c r="U220" s="40" t="str">
        <f>IF(データ!R217="","",データ!R217)</f>
        <v/>
      </c>
      <c r="V220" s="41" t="str">
        <f>IF(データ!S217="","",データ!S217)</f>
        <v/>
      </c>
      <c r="W220" s="42">
        <f>データ!T217</f>
        <v>0</v>
      </c>
      <c r="X220" s="48">
        <f>IF($C220="集計行","",データ!U217)</f>
        <v>0</v>
      </c>
      <c r="Y220" s="48">
        <f>データ!V217</f>
        <v>0</v>
      </c>
      <c r="Z220" s="39" t="str">
        <f>IF(OR($C220="総括",$C220="内訳書",$C220="内訳代価",$C220="明細書",$C220="明細代価",$C220="代価表",$C220="単価表"),データ!W217,"")</f>
        <v/>
      </c>
      <c r="AA220" s="11" t="str">
        <f t="shared" si="22"/>
        <v/>
      </c>
      <c r="AB220" s="46" t="e">
        <f t="shared" si="23"/>
        <v>#DIV/0!</v>
      </c>
      <c r="AC220" s="40" t="str">
        <f>IF(データ!X217="","",データ!X217)</f>
        <v/>
      </c>
      <c r="AD220" s="41" t="str">
        <f>IF(データ!Y217="","",データ!Y217)</f>
        <v/>
      </c>
      <c r="AE220" s="47" t="str">
        <f>TRIM(データ!B217)</f>
        <v/>
      </c>
      <c r="AF220" s="43" t="str">
        <f>TRIM(データ!Z217)</f>
        <v/>
      </c>
    </row>
    <row r="221" spans="1:32" x14ac:dyDescent="0.15">
      <c r="A221" s="47">
        <f>データ!A218</f>
        <v>2</v>
      </c>
      <c r="B221" s="47" t="str">
        <f>TRIM(データ!C218)</f>
        <v/>
      </c>
      <c r="C221" s="47" t="str">
        <f>TRIM(データ!D218)</f>
        <v>外注費</v>
      </c>
      <c r="D221" s="36" t="str">
        <f>REPT("｜",$A221)&amp;TRIM(データ!E218)</f>
        <v>｜｜交通誘導員</v>
      </c>
      <c r="E221" s="37" t="str">
        <f>TRIM(データ!F218)</f>
        <v/>
      </c>
      <c r="F221" s="38" t="str">
        <f>TRIM(データ!G218)</f>
        <v>人</v>
      </c>
      <c r="G221" s="50">
        <f>データ!H218</f>
        <v>6</v>
      </c>
      <c r="H221" s="48">
        <f>データ!I218</f>
        <v>18000</v>
      </c>
      <c r="I221" s="48">
        <f>データ!J218</f>
        <v>108000</v>
      </c>
      <c r="J221" s="39" t="str">
        <f>IF(OR($C221="総括",$C221="内訳書",$C221="内訳代価",$C221="明細書",$C221="明細代価",$C221="代価表",$C221="単価表"),データ!K218,"")</f>
        <v/>
      </c>
      <c r="K221" s="11" t="str">
        <f t="shared" si="18"/>
        <v/>
      </c>
      <c r="L221" s="46">
        <f t="shared" si="19"/>
        <v>5.8386678754871642E-3</v>
      </c>
      <c r="M221" s="40" t="str">
        <f>IF(データ!L218="","",データ!L218)</f>
        <v/>
      </c>
      <c r="N221" s="41" t="str">
        <f>IF(データ!M218="","",データ!M218)</f>
        <v/>
      </c>
      <c r="O221" s="42">
        <f>データ!N218</f>
        <v>0</v>
      </c>
      <c r="P221" s="48">
        <f>IF($C221="集計行","",データ!O218)</f>
        <v>0</v>
      </c>
      <c r="Q221" s="48">
        <f>データ!P218</f>
        <v>0</v>
      </c>
      <c r="R221" s="39" t="str">
        <f>IF(OR($C221="総括",$C221="内訳書",$C221="内訳代価",$C221="明細書",$C221="明細代価",$C221="代価表",$C221="単価表"),データ!Q218,"")</f>
        <v/>
      </c>
      <c r="S221" s="11" t="str">
        <f t="shared" si="20"/>
        <v/>
      </c>
      <c r="T221" s="46" t="e">
        <f t="shared" si="21"/>
        <v>#DIV/0!</v>
      </c>
      <c r="U221" s="40" t="str">
        <f>IF(データ!R218="","",データ!R218)</f>
        <v/>
      </c>
      <c r="V221" s="41" t="str">
        <f>IF(データ!S218="","",データ!S218)</f>
        <v/>
      </c>
      <c r="W221" s="42">
        <f>データ!T218</f>
        <v>0</v>
      </c>
      <c r="X221" s="48">
        <f>IF($C221="集計行","",データ!U218)</f>
        <v>0</v>
      </c>
      <c r="Y221" s="48">
        <f>データ!V218</f>
        <v>0</v>
      </c>
      <c r="Z221" s="39" t="str">
        <f>IF(OR($C221="総括",$C221="内訳書",$C221="内訳代価",$C221="明細書",$C221="明細代価",$C221="代価表",$C221="単価表"),データ!W218,"")</f>
        <v/>
      </c>
      <c r="AA221" s="11" t="str">
        <f t="shared" si="22"/>
        <v/>
      </c>
      <c r="AB221" s="46" t="e">
        <f t="shared" si="23"/>
        <v>#DIV/0!</v>
      </c>
      <c r="AC221" s="40" t="str">
        <f>IF(データ!X218="","",データ!X218)</f>
        <v/>
      </c>
      <c r="AD221" s="41" t="str">
        <f>IF(データ!Y218="","",データ!Y218)</f>
        <v/>
      </c>
      <c r="AE221" s="47" t="str">
        <f>TRIM(データ!B218)</f>
        <v/>
      </c>
      <c r="AF221" s="43" t="str">
        <f>TRIM(データ!Z218)</f>
        <v/>
      </c>
    </row>
    <row r="222" spans="1:32" x14ac:dyDescent="0.15">
      <c r="A222" s="47">
        <f>データ!A219</f>
        <v>2</v>
      </c>
      <c r="B222" s="47" t="str">
        <f>TRIM(データ!C219)</f>
        <v/>
      </c>
      <c r="C222" s="47" t="str">
        <f>TRIM(データ!D219)</f>
        <v>機械費</v>
      </c>
      <c r="D222" s="36" t="str">
        <f>REPT("｜",$A222)&amp;TRIM(データ!E219)</f>
        <v>｜｜軽トラ規制車保安材含1式</v>
      </c>
      <c r="E222" s="37" t="str">
        <f>TRIM(データ!F219)</f>
        <v/>
      </c>
      <c r="F222" s="38" t="str">
        <f>TRIM(データ!G219)</f>
        <v>台</v>
      </c>
      <c r="G222" s="50">
        <f>データ!H219</f>
        <v>2</v>
      </c>
      <c r="H222" s="48">
        <f>データ!I219</f>
        <v>15000</v>
      </c>
      <c r="I222" s="48">
        <f>データ!J219</f>
        <v>30000</v>
      </c>
      <c r="J222" s="39" t="str">
        <f>IF(OR($C222="総括",$C222="内訳書",$C222="内訳代価",$C222="明細書",$C222="明細代価",$C222="代価表",$C222="単価表"),データ!K219,"")</f>
        <v/>
      </c>
      <c r="K222" s="11" t="str">
        <f t="shared" si="18"/>
        <v/>
      </c>
      <c r="L222" s="46">
        <f t="shared" si="19"/>
        <v>1.6218521876353233E-3</v>
      </c>
      <c r="M222" s="40" t="str">
        <f>IF(データ!L219="","",データ!L219)</f>
        <v/>
      </c>
      <c r="N222" s="41" t="str">
        <f>IF(データ!M219="","",データ!M219)</f>
        <v/>
      </c>
      <c r="O222" s="42">
        <f>データ!N219</f>
        <v>0</v>
      </c>
      <c r="P222" s="48">
        <f>IF($C222="集計行","",データ!O219)</f>
        <v>0</v>
      </c>
      <c r="Q222" s="48">
        <f>データ!P219</f>
        <v>0</v>
      </c>
      <c r="R222" s="39" t="str">
        <f>IF(OR($C222="総括",$C222="内訳書",$C222="内訳代価",$C222="明細書",$C222="明細代価",$C222="代価表",$C222="単価表"),データ!Q219,"")</f>
        <v/>
      </c>
      <c r="S222" s="11" t="str">
        <f t="shared" si="20"/>
        <v/>
      </c>
      <c r="T222" s="46" t="e">
        <f t="shared" si="21"/>
        <v>#DIV/0!</v>
      </c>
      <c r="U222" s="40" t="str">
        <f>IF(データ!R219="","",データ!R219)</f>
        <v/>
      </c>
      <c r="V222" s="41" t="str">
        <f>IF(データ!S219="","",データ!S219)</f>
        <v/>
      </c>
      <c r="W222" s="42">
        <f>データ!T219</f>
        <v>0</v>
      </c>
      <c r="X222" s="48">
        <f>IF($C222="集計行","",データ!U219)</f>
        <v>0</v>
      </c>
      <c r="Y222" s="48">
        <f>データ!V219</f>
        <v>0</v>
      </c>
      <c r="Z222" s="39" t="str">
        <f>IF(OR($C222="総括",$C222="内訳書",$C222="内訳代価",$C222="明細書",$C222="明細代価",$C222="代価表",$C222="単価表"),データ!W219,"")</f>
        <v/>
      </c>
      <c r="AA222" s="11" t="str">
        <f t="shared" si="22"/>
        <v/>
      </c>
      <c r="AB222" s="46" t="e">
        <f t="shared" si="23"/>
        <v>#DIV/0!</v>
      </c>
      <c r="AC222" s="40" t="str">
        <f>IF(データ!X219="","",データ!X219)</f>
        <v/>
      </c>
      <c r="AD222" s="41" t="str">
        <f>IF(データ!Y219="","",データ!Y219)</f>
        <v/>
      </c>
      <c r="AE222" s="47" t="str">
        <f>TRIM(データ!B219)</f>
        <v/>
      </c>
      <c r="AF222" s="43" t="str">
        <f>TRIM(データ!Z219)</f>
        <v/>
      </c>
    </row>
    <row r="223" spans="1:32" x14ac:dyDescent="0.15">
      <c r="A223" s="47">
        <f>データ!A220</f>
        <v>1</v>
      </c>
      <c r="B223" s="47" t="str">
        <f>TRIM(データ!C220)</f>
        <v/>
      </c>
      <c r="C223" s="47" t="str">
        <f>TRIM(データ!D220)</f>
        <v>内訳書</v>
      </c>
      <c r="D223" s="36" t="str">
        <f>REPT("｜",$A223)&amp;TRIM(データ!E220)</f>
        <v>｜路面補修工No.2</v>
      </c>
      <c r="E223" s="37" t="str">
        <f>TRIM(データ!F220)</f>
        <v>切削オーバレイ　3層</v>
      </c>
      <c r="F223" s="38" t="str">
        <f>TRIM(データ!G220)</f>
        <v>m2</v>
      </c>
      <c r="G223" s="50">
        <f>データ!H220</f>
        <v>100</v>
      </c>
      <c r="H223" s="48">
        <f>データ!I220</f>
        <v>27200</v>
      </c>
      <c r="I223" s="48">
        <f>データ!J220</f>
        <v>2720000</v>
      </c>
      <c r="J223" s="39">
        <f>IF(OR($C223="総括",$C223="内訳書",$C223="内訳代価",$C223="明細書",$C223="明細代価",$C223="代価表",$C223="単価表"),データ!K220,"")</f>
        <v>100</v>
      </c>
      <c r="K223" s="11" t="str">
        <f t="shared" si="18"/>
        <v/>
      </c>
      <c r="L223" s="46">
        <f t="shared" si="19"/>
        <v>0.14704793167893598</v>
      </c>
      <c r="M223" s="40" t="str">
        <f>IF(データ!L220="","",データ!L220)</f>
        <v/>
      </c>
      <c r="N223" s="41" t="str">
        <f>IF(データ!M220="","",データ!M220)</f>
        <v>27号内訳書</v>
      </c>
      <c r="O223" s="42">
        <f>データ!N220</f>
        <v>0</v>
      </c>
      <c r="P223" s="48">
        <f>IF($C223="集計行","",データ!O220)</f>
        <v>0</v>
      </c>
      <c r="Q223" s="48">
        <f>データ!P220</f>
        <v>0</v>
      </c>
      <c r="R223" s="39">
        <f>IF(OR($C223="総括",$C223="内訳書",$C223="内訳代価",$C223="明細書",$C223="明細代価",$C223="代価表",$C223="単価表"),データ!Q220,"")</f>
        <v>0</v>
      </c>
      <c r="S223" s="11" t="str">
        <f t="shared" si="20"/>
        <v/>
      </c>
      <c r="T223" s="46" t="e">
        <f t="shared" si="21"/>
        <v>#DIV/0!</v>
      </c>
      <c r="U223" s="40" t="str">
        <f>IF(データ!R220="","",データ!R220)</f>
        <v/>
      </c>
      <c r="V223" s="41" t="str">
        <f>IF(データ!S220="","",データ!S220)</f>
        <v/>
      </c>
      <c r="W223" s="42">
        <f>データ!T220</f>
        <v>0</v>
      </c>
      <c r="X223" s="48">
        <f>IF($C223="集計行","",データ!U220)</f>
        <v>0</v>
      </c>
      <c r="Y223" s="48">
        <f>データ!V220</f>
        <v>0</v>
      </c>
      <c r="Z223" s="39">
        <f>IF(OR($C223="総括",$C223="内訳書",$C223="内訳代価",$C223="明細書",$C223="明細代価",$C223="代価表",$C223="単価表"),データ!W220,"")</f>
        <v>0</v>
      </c>
      <c r="AA223" s="11" t="str">
        <f t="shared" si="22"/>
        <v/>
      </c>
      <c r="AB223" s="46" t="e">
        <f t="shared" si="23"/>
        <v>#DIV/0!</v>
      </c>
      <c r="AC223" s="40" t="str">
        <f>IF(データ!X220="","",データ!X220)</f>
        <v/>
      </c>
      <c r="AD223" s="41" t="str">
        <f>IF(データ!Y220="","",データ!Y220)</f>
        <v/>
      </c>
      <c r="AE223" s="47" t="str">
        <f>TRIM(データ!B220)</f>
        <v/>
      </c>
      <c r="AF223" s="43" t="str">
        <f>TRIM(データ!Z220)</f>
        <v/>
      </c>
    </row>
    <row r="224" spans="1:32" x14ac:dyDescent="0.15">
      <c r="A224" s="47">
        <f>データ!A221</f>
        <v>2</v>
      </c>
      <c r="B224" s="47" t="str">
        <f>TRIM(データ!C221)</f>
        <v/>
      </c>
      <c r="C224" s="47" t="str">
        <f>TRIM(データ!D221)</f>
        <v>材料費</v>
      </c>
      <c r="D224" s="36" t="str">
        <f>REPT("｜",$A224)&amp;TRIM(データ!E221)</f>
        <v>｜｜再生密粒(20)改質Ⅱ型</v>
      </c>
      <c r="E224" s="37" t="str">
        <f>TRIM(データ!F221)</f>
        <v/>
      </c>
      <c r="F224" s="38" t="str">
        <f>TRIM(データ!G221)</f>
        <v>ｔ</v>
      </c>
      <c r="G224" s="50">
        <f>データ!H221</f>
        <v>14</v>
      </c>
      <c r="H224" s="48">
        <f>データ!I221</f>
        <v>10500</v>
      </c>
      <c r="I224" s="48">
        <f>データ!J221</f>
        <v>147000</v>
      </c>
      <c r="J224" s="39" t="str">
        <f>IF(OR($C224="総括",$C224="内訳書",$C224="内訳代価",$C224="明細書",$C224="明細代価",$C224="代価表",$C224="単価表"),データ!K221,"")</f>
        <v/>
      </c>
      <c r="K224" s="11" t="str">
        <f t="shared" si="18"/>
        <v/>
      </c>
      <c r="L224" s="46">
        <f t="shared" si="19"/>
        <v>7.9470757194130843E-3</v>
      </c>
      <c r="M224" s="40" t="str">
        <f>IF(データ!L221="","",データ!L221)</f>
        <v/>
      </c>
      <c r="N224" s="41" t="str">
        <f>IF(データ!M221="","",データ!M221)</f>
        <v/>
      </c>
      <c r="O224" s="42">
        <f>データ!N221</f>
        <v>0</v>
      </c>
      <c r="P224" s="48">
        <f>IF($C224="集計行","",データ!O221)</f>
        <v>0</v>
      </c>
      <c r="Q224" s="48">
        <f>データ!P221</f>
        <v>0</v>
      </c>
      <c r="R224" s="39" t="str">
        <f>IF(OR($C224="総括",$C224="内訳書",$C224="内訳代価",$C224="明細書",$C224="明細代価",$C224="代価表",$C224="単価表"),データ!Q221,"")</f>
        <v/>
      </c>
      <c r="S224" s="11" t="str">
        <f t="shared" si="20"/>
        <v/>
      </c>
      <c r="T224" s="46" t="e">
        <f t="shared" si="21"/>
        <v>#DIV/0!</v>
      </c>
      <c r="U224" s="40" t="str">
        <f>IF(データ!R221="","",データ!R221)</f>
        <v/>
      </c>
      <c r="V224" s="41" t="str">
        <f>IF(データ!S221="","",データ!S221)</f>
        <v/>
      </c>
      <c r="W224" s="42">
        <f>データ!T221</f>
        <v>0</v>
      </c>
      <c r="X224" s="48">
        <f>IF($C224="集計行","",データ!U221)</f>
        <v>0</v>
      </c>
      <c r="Y224" s="48">
        <f>データ!V221</f>
        <v>0</v>
      </c>
      <c r="Z224" s="39" t="str">
        <f>IF(OR($C224="総括",$C224="内訳書",$C224="内訳代価",$C224="明細書",$C224="明細代価",$C224="代価表",$C224="単価表"),データ!W221,"")</f>
        <v/>
      </c>
      <c r="AA224" s="11" t="str">
        <f t="shared" si="22"/>
        <v/>
      </c>
      <c r="AB224" s="46" t="e">
        <f t="shared" si="23"/>
        <v>#DIV/0!</v>
      </c>
      <c r="AC224" s="40" t="str">
        <f>IF(データ!X221="","",データ!X221)</f>
        <v/>
      </c>
      <c r="AD224" s="41" t="str">
        <f>IF(データ!Y221="","",データ!Y221)</f>
        <v/>
      </c>
      <c r="AE224" s="47" t="str">
        <f>TRIM(データ!B221)</f>
        <v/>
      </c>
      <c r="AF224" s="43" t="str">
        <f>TRIM(データ!Z221)</f>
        <v/>
      </c>
    </row>
    <row r="225" spans="1:32" x14ac:dyDescent="0.15">
      <c r="A225" s="47">
        <f>データ!A222</f>
        <v>2</v>
      </c>
      <c r="B225" s="47" t="str">
        <f>TRIM(データ!C222)</f>
        <v/>
      </c>
      <c r="C225" s="47" t="str">
        <f>TRIM(データ!D222)</f>
        <v>材料費</v>
      </c>
      <c r="D225" s="36" t="str">
        <f>REPT("｜",$A225)&amp;TRIM(データ!E222)</f>
        <v>｜｜再生粗粒(20)改質Ⅱ型</v>
      </c>
      <c r="E225" s="37" t="str">
        <f>TRIM(データ!F222)</f>
        <v/>
      </c>
      <c r="F225" s="38" t="str">
        <f>TRIM(データ!G222)</f>
        <v>ｔ</v>
      </c>
      <c r="G225" s="50">
        <f>データ!H222</f>
        <v>28</v>
      </c>
      <c r="H225" s="48">
        <f>データ!I222</f>
        <v>10300</v>
      </c>
      <c r="I225" s="48">
        <f>データ!J222</f>
        <v>288400</v>
      </c>
      <c r="J225" s="39" t="str">
        <f>IF(OR($C225="総括",$C225="内訳書",$C225="内訳代価",$C225="明細書",$C225="明細代価",$C225="代価表",$C225="単価表"),データ!K222,"")</f>
        <v/>
      </c>
      <c r="K225" s="11" t="str">
        <f t="shared" si="18"/>
        <v/>
      </c>
      <c r="L225" s="46">
        <f t="shared" si="19"/>
        <v>1.5591405697134242E-2</v>
      </c>
      <c r="M225" s="40" t="str">
        <f>IF(データ!L222="","",データ!L222)</f>
        <v/>
      </c>
      <c r="N225" s="41" t="str">
        <f>IF(データ!M222="","",データ!M222)</f>
        <v/>
      </c>
      <c r="O225" s="42">
        <f>データ!N222</f>
        <v>0</v>
      </c>
      <c r="P225" s="48">
        <f>IF($C225="集計行","",データ!O222)</f>
        <v>0</v>
      </c>
      <c r="Q225" s="48">
        <f>データ!P222</f>
        <v>0</v>
      </c>
      <c r="R225" s="39" t="str">
        <f>IF(OR($C225="総括",$C225="内訳書",$C225="内訳代価",$C225="明細書",$C225="明細代価",$C225="代価表",$C225="単価表"),データ!Q222,"")</f>
        <v/>
      </c>
      <c r="S225" s="11" t="str">
        <f t="shared" si="20"/>
        <v/>
      </c>
      <c r="T225" s="46" t="e">
        <f t="shared" si="21"/>
        <v>#DIV/0!</v>
      </c>
      <c r="U225" s="40" t="str">
        <f>IF(データ!R222="","",データ!R222)</f>
        <v/>
      </c>
      <c r="V225" s="41" t="str">
        <f>IF(データ!S222="","",データ!S222)</f>
        <v/>
      </c>
      <c r="W225" s="42">
        <f>データ!T222</f>
        <v>0</v>
      </c>
      <c r="X225" s="48">
        <f>IF($C225="集計行","",データ!U222)</f>
        <v>0</v>
      </c>
      <c r="Y225" s="48">
        <f>データ!V222</f>
        <v>0</v>
      </c>
      <c r="Z225" s="39" t="str">
        <f>IF(OR($C225="総括",$C225="内訳書",$C225="内訳代価",$C225="明細書",$C225="明細代価",$C225="代価表",$C225="単価表"),データ!W222,"")</f>
        <v/>
      </c>
      <c r="AA225" s="11" t="str">
        <f t="shared" si="22"/>
        <v/>
      </c>
      <c r="AB225" s="46" t="e">
        <f t="shared" si="23"/>
        <v>#DIV/0!</v>
      </c>
      <c r="AC225" s="40" t="str">
        <f>IF(データ!X222="","",データ!X222)</f>
        <v/>
      </c>
      <c r="AD225" s="41" t="str">
        <f>IF(データ!Y222="","",データ!Y222)</f>
        <v/>
      </c>
      <c r="AE225" s="47" t="str">
        <f>TRIM(データ!B222)</f>
        <v/>
      </c>
      <c r="AF225" s="43" t="str">
        <f>TRIM(データ!Z222)</f>
        <v/>
      </c>
    </row>
    <row r="226" spans="1:32" x14ac:dyDescent="0.15">
      <c r="A226" s="47">
        <f>データ!A223</f>
        <v>2</v>
      </c>
      <c r="B226" s="47" t="str">
        <f>TRIM(データ!C223)</f>
        <v/>
      </c>
      <c r="C226" s="47" t="str">
        <f>TRIM(データ!D223)</f>
        <v>材料費</v>
      </c>
      <c r="D226" s="36" t="str">
        <f>REPT("｜",$A226)&amp;TRIM(データ!E223)</f>
        <v>｜｜アスファルト乳剤タックファイン</v>
      </c>
      <c r="E226" s="37" t="str">
        <f>TRIM(データ!F223)</f>
        <v/>
      </c>
      <c r="F226" s="38" t="str">
        <f>TRIM(データ!G223)</f>
        <v>リットル</v>
      </c>
      <c r="G226" s="50">
        <f>データ!H223</f>
        <v>200</v>
      </c>
      <c r="H226" s="48">
        <f>データ!I223</f>
        <v>155</v>
      </c>
      <c r="I226" s="48">
        <f>データ!J223</f>
        <v>31000</v>
      </c>
      <c r="J226" s="39" t="str">
        <f>IF(OR($C226="総括",$C226="内訳書",$C226="内訳代価",$C226="明細書",$C226="明細代価",$C226="代価表",$C226="単価表"),データ!K223,"")</f>
        <v/>
      </c>
      <c r="K226" s="11" t="str">
        <f t="shared" si="18"/>
        <v/>
      </c>
      <c r="L226" s="46">
        <f t="shared" si="19"/>
        <v>1.6759139272231674E-3</v>
      </c>
      <c r="M226" s="40" t="str">
        <f>IF(データ!L223="","",データ!L223)</f>
        <v/>
      </c>
      <c r="N226" s="41" t="str">
        <f>IF(データ!M223="","",データ!M223)</f>
        <v/>
      </c>
      <c r="O226" s="42">
        <f>データ!N223</f>
        <v>0</v>
      </c>
      <c r="P226" s="48">
        <f>IF($C226="集計行","",データ!O223)</f>
        <v>0</v>
      </c>
      <c r="Q226" s="48">
        <f>データ!P223</f>
        <v>0</v>
      </c>
      <c r="R226" s="39" t="str">
        <f>IF(OR($C226="総括",$C226="内訳書",$C226="内訳代価",$C226="明細書",$C226="明細代価",$C226="代価表",$C226="単価表"),データ!Q223,"")</f>
        <v/>
      </c>
      <c r="S226" s="11" t="str">
        <f t="shared" si="20"/>
        <v/>
      </c>
      <c r="T226" s="46" t="e">
        <f t="shared" si="21"/>
        <v>#DIV/0!</v>
      </c>
      <c r="U226" s="40" t="str">
        <f>IF(データ!R223="","",データ!R223)</f>
        <v/>
      </c>
      <c r="V226" s="41" t="str">
        <f>IF(データ!S223="","",データ!S223)</f>
        <v/>
      </c>
      <c r="W226" s="42">
        <f>データ!T223</f>
        <v>0</v>
      </c>
      <c r="X226" s="48">
        <f>IF($C226="集計行","",データ!U223)</f>
        <v>0</v>
      </c>
      <c r="Y226" s="48">
        <f>データ!V223</f>
        <v>0</v>
      </c>
      <c r="Z226" s="39" t="str">
        <f>IF(OR($C226="総括",$C226="内訳書",$C226="内訳代価",$C226="明細書",$C226="明細代価",$C226="代価表",$C226="単価表"),データ!W223,"")</f>
        <v/>
      </c>
      <c r="AA226" s="11" t="str">
        <f t="shared" si="22"/>
        <v/>
      </c>
      <c r="AB226" s="46" t="e">
        <f t="shared" si="23"/>
        <v>#DIV/0!</v>
      </c>
      <c r="AC226" s="40" t="str">
        <f>IF(データ!X223="","",データ!X223)</f>
        <v/>
      </c>
      <c r="AD226" s="41" t="str">
        <f>IF(データ!Y223="","",データ!Y223)</f>
        <v/>
      </c>
      <c r="AE226" s="47" t="str">
        <f>TRIM(データ!B223)</f>
        <v/>
      </c>
      <c r="AF226" s="43" t="str">
        <f>TRIM(データ!Z223)</f>
        <v/>
      </c>
    </row>
    <row r="227" spans="1:32" x14ac:dyDescent="0.15">
      <c r="A227" s="47">
        <f>データ!A224</f>
        <v>2</v>
      </c>
      <c r="B227" s="47" t="str">
        <f>TRIM(データ!C224)</f>
        <v/>
      </c>
      <c r="C227" s="47" t="str">
        <f>TRIM(データ!D224)</f>
        <v>材料費</v>
      </c>
      <c r="D227" s="36" t="str">
        <f>REPT("｜",$A227)&amp;TRIM(データ!E224)</f>
        <v>｜｜軽油</v>
      </c>
      <c r="E227" s="37" t="str">
        <f>TRIM(データ!F224)</f>
        <v/>
      </c>
      <c r="F227" s="38" t="str">
        <f>TRIM(データ!G224)</f>
        <v>リットル</v>
      </c>
      <c r="G227" s="50">
        <f>データ!H224</f>
        <v>150</v>
      </c>
      <c r="H227" s="48">
        <f>データ!I224</f>
        <v>160</v>
      </c>
      <c r="I227" s="48">
        <f>データ!J224</f>
        <v>24000</v>
      </c>
      <c r="J227" s="39" t="str">
        <f>IF(OR($C227="総括",$C227="内訳書",$C227="内訳代価",$C227="明細書",$C227="明細代価",$C227="代価表",$C227="単価表"),データ!K224,"")</f>
        <v/>
      </c>
      <c r="K227" s="11" t="str">
        <f t="shared" si="18"/>
        <v/>
      </c>
      <c r="L227" s="46">
        <f t="shared" si="19"/>
        <v>1.2974817501082586E-3</v>
      </c>
      <c r="M227" s="40" t="str">
        <f>IF(データ!L224="","",データ!L224)</f>
        <v/>
      </c>
      <c r="N227" s="41" t="str">
        <f>IF(データ!M224="","",データ!M224)</f>
        <v/>
      </c>
      <c r="O227" s="42">
        <f>データ!N224</f>
        <v>0</v>
      </c>
      <c r="P227" s="48">
        <f>IF($C227="集計行","",データ!O224)</f>
        <v>0</v>
      </c>
      <c r="Q227" s="48">
        <f>データ!P224</f>
        <v>0</v>
      </c>
      <c r="R227" s="39" t="str">
        <f>IF(OR($C227="総括",$C227="内訳書",$C227="内訳代価",$C227="明細書",$C227="明細代価",$C227="代価表",$C227="単価表"),データ!Q224,"")</f>
        <v/>
      </c>
      <c r="S227" s="11" t="str">
        <f t="shared" si="20"/>
        <v/>
      </c>
      <c r="T227" s="46" t="e">
        <f t="shared" si="21"/>
        <v>#DIV/0!</v>
      </c>
      <c r="U227" s="40" t="str">
        <f>IF(データ!R224="","",データ!R224)</f>
        <v/>
      </c>
      <c r="V227" s="41" t="str">
        <f>IF(データ!S224="","",データ!S224)</f>
        <v/>
      </c>
      <c r="W227" s="42">
        <f>データ!T224</f>
        <v>0</v>
      </c>
      <c r="X227" s="48">
        <f>IF($C227="集計行","",データ!U224)</f>
        <v>0</v>
      </c>
      <c r="Y227" s="48">
        <f>データ!V224</f>
        <v>0</v>
      </c>
      <c r="Z227" s="39" t="str">
        <f>IF(OR($C227="総括",$C227="内訳書",$C227="内訳代価",$C227="明細書",$C227="明細代価",$C227="代価表",$C227="単価表"),データ!W224,"")</f>
        <v/>
      </c>
      <c r="AA227" s="11" t="str">
        <f t="shared" si="22"/>
        <v/>
      </c>
      <c r="AB227" s="46" t="e">
        <f t="shared" si="23"/>
        <v>#DIV/0!</v>
      </c>
      <c r="AC227" s="40" t="str">
        <f>IF(データ!X224="","",データ!X224)</f>
        <v/>
      </c>
      <c r="AD227" s="41" t="str">
        <f>IF(データ!Y224="","",データ!Y224)</f>
        <v/>
      </c>
      <c r="AE227" s="47" t="str">
        <f>TRIM(データ!B224)</f>
        <v/>
      </c>
      <c r="AF227" s="43" t="str">
        <f>TRIM(データ!Z224)</f>
        <v/>
      </c>
    </row>
    <row r="228" spans="1:32" x14ac:dyDescent="0.15">
      <c r="A228" s="47">
        <f>データ!A225</f>
        <v>2</v>
      </c>
      <c r="B228" s="47" t="str">
        <f>TRIM(データ!C225)</f>
        <v/>
      </c>
      <c r="C228" s="47" t="str">
        <f>TRIM(データ!D225)</f>
        <v>材料費</v>
      </c>
      <c r="D228" s="36" t="str">
        <f>REPT("｜",$A228)&amp;TRIM(データ!E225)</f>
        <v>｜｜ガソリン</v>
      </c>
      <c r="E228" s="37" t="str">
        <f>TRIM(データ!F225)</f>
        <v/>
      </c>
      <c r="F228" s="38" t="str">
        <f>TRIM(データ!G225)</f>
        <v>リットル</v>
      </c>
      <c r="G228" s="50">
        <f>データ!H225</f>
        <v>20</v>
      </c>
      <c r="H228" s="48">
        <f>データ!I225</f>
        <v>180</v>
      </c>
      <c r="I228" s="48">
        <f>データ!J225</f>
        <v>3600</v>
      </c>
      <c r="J228" s="39" t="str">
        <f>IF(OR($C228="総括",$C228="内訳書",$C228="内訳代価",$C228="明細書",$C228="明細代価",$C228="代価表",$C228="単価表"),データ!K225,"")</f>
        <v/>
      </c>
      <c r="K228" s="11" t="str">
        <f t="shared" si="18"/>
        <v/>
      </c>
      <c r="L228" s="46">
        <f t="shared" si="19"/>
        <v>1.9462226251623879E-4</v>
      </c>
      <c r="M228" s="40" t="str">
        <f>IF(データ!L225="","",データ!L225)</f>
        <v/>
      </c>
      <c r="N228" s="41" t="str">
        <f>IF(データ!M225="","",データ!M225)</f>
        <v/>
      </c>
      <c r="O228" s="42">
        <f>データ!N225</f>
        <v>0</v>
      </c>
      <c r="P228" s="48">
        <f>IF($C228="集計行","",データ!O225)</f>
        <v>0</v>
      </c>
      <c r="Q228" s="48">
        <f>データ!P225</f>
        <v>0</v>
      </c>
      <c r="R228" s="39" t="str">
        <f>IF(OR($C228="総括",$C228="内訳書",$C228="内訳代価",$C228="明細書",$C228="明細代価",$C228="代価表",$C228="単価表"),データ!Q225,"")</f>
        <v/>
      </c>
      <c r="S228" s="11" t="str">
        <f t="shared" si="20"/>
        <v/>
      </c>
      <c r="T228" s="46" t="e">
        <f t="shared" si="21"/>
        <v>#DIV/0!</v>
      </c>
      <c r="U228" s="40" t="str">
        <f>IF(データ!R225="","",データ!R225)</f>
        <v/>
      </c>
      <c r="V228" s="41" t="str">
        <f>IF(データ!S225="","",データ!S225)</f>
        <v/>
      </c>
      <c r="W228" s="42">
        <f>データ!T225</f>
        <v>0</v>
      </c>
      <c r="X228" s="48">
        <f>IF($C228="集計行","",データ!U225)</f>
        <v>0</v>
      </c>
      <c r="Y228" s="48">
        <f>データ!V225</f>
        <v>0</v>
      </c>
      <c r="Z228" s="39" t="str">
        <f>IF(OR($C228="総括",$C228="内訳書",$C228="内訳代価",$C228="明細書",$C228="明細代価",$C228="代価表",$C228="単価表"),データ!W225,"")</f>
        <v/>
      </c>
      <c r="AA228" s="11" t="str">
        <f t="shared" si="22"/>
        <v/>
      </c>
      <c r="AB228" s="46" t="e">
        <f t="shared" si="23"/>
        <v>#DIV/0!</v>
      </c>
      <c r="AC228" s="40" t="str">
        <f>IF(データ!X225="","",データ!X225)</f>
        <v/>
      </c>
      <c r="AD228" s="41" t="str">
        <f>IF(データ!Y225="","",データ!Y225)</f>
        <v/>
      </c>
      <c r="AE228" s="47" t="str">
        <f>TRIM(データ!B225)</f>
        <v/>
      </c>
      <c r="AF228" s="43" t="str">
        <f>TRIM(データ!Z225)</f>
        <v/>
      </c>
    </row>
    <row r="229" spans="1:32" x14ac:dyDescent="0.15">
      <c r="A229" s="47">
        <f>データ!A226</f>
        <v>2</v>
      </c>
      <c r="B229" s="47" t="str">
        <f>TRIM(データ!C226)</f>
        <v/>
      </c>
      <c r="C229" s="47" t="str">
        <f>TRIM(データ!D226)</f>
        <v>材料費</v>
      </c>
      <c r="D229" s="36" t="str">
        <f>REPT("｜",$A229)&amp;TRIM(データ!E226)</f>
        <v>｜｜雑材</v>
      </c>
      <c r="E229" s="37" t="str">
        <f>TRIM(データ!F226)</f>
        <v/>
      </c>
      <c r="F229" s="38" t="str">
        <f>TRIM(データ!G226)</f>
        <v>式</v>
      </c>
      <c r="G229" s="50">
        <f>データ!H226</f>
        <v>1</v>
      </c>
      <c r="H229" s="48">
        <f>データ!I226</f>
        <v>21220</v>
      </c>
      <c r="I229" s="48">
        <f>データ!J226</f>
        <v>21220</v>
      </c>
      <c r="J229" s="39" t="str">
        <f>IF(OR($C229="総括",$C229="内訳書",$C229="内訳代価",$C229="明細書",$C229="明細代価",$C229="代価表",$C229="単価表"),データ!K226,"")</f>
        <v/>
      </c>
      <c r="K229" s="11" t="str">
        <f t="shared" si="18"/>
        <v/>
      </c>
      <c r="L229" s="46">
        <f t="shared" si="19"/>
        <v>1.147190114054052E-3</v>
      </c>
      <c r="M229" s="40" t="str">
        <f>IF(データ!L226="","",データ!L226)</f>
        <v/>
      </c>
      <c r="N229" s="41" t="str">
        <f>IF(データ!M226="","",データ!M226)</f>
        <v/>
      </c>
      <c r="O229" s="42">
        <f>データ!N226</f>
        <v>0</v>
      </c>
      <c r="P229" s="48">
        <f>IF($C229="集計行","",データ!O226)</f>
        <v>0</v>
      </c>
      <c r="Q229" s="48">
        <f>データ!P226</f>
        <v>0</v>
      </c>
      <c r="R229" s="39" t="str">
        <f>IF(OR($C229="総括",$C229="内訳書",$C229="内訳代価",$C229="明細書",$C229="明細代価",$C229="代価表",$C229="単価表"),データ!Q226,"")</f>
        <v/>
      </c>
      <c r="S229" s="11" t="str">
        <f t="shared" si="20"/>
        <v/>
      </c>
      <c r="T229" s="46" t="e">
        <f t="shared" si="21"/>
        <v>#DIV/0!</v>
      </c>
      <c r="U229" s="40" t="str">
        <f>IF(データ!R226="","",データ!R226)</f>
        <v/>
      </c>
      <c r="V229" s="41" t="str">
        <f>IF(データ!S226="","",データ!S226)</f>
        <v/>
      </c>
      <c r="W229" s="42">
        <f>データ!T226</f>
        <v>0</v>
      </c>
      <c r="X229" s="48">
        <f>IF($C229="集計行","",データ!U226)</f>
        <v>0</v>
      </c>
      <c r="Y229" s="48">
        <f>データ!V226</f>
        <v>0</v>
      </c>
      <c r="Z229" s="39" t="str">
        <f>IF(OR($C229="総括",$C229="内訳書",$C229="内訳代価",$C229="明細書",$C229="明細代価",$C229="代価表",$C229="単価表"),データ!W226,"")</f>
        <v/>
      </c>
      <c r="AA229" s="11" t="str">
        <f t="shared" si="22"/>
        <v/>
      </c>
      <c r="AB229" s="46" t="e">
        <f t="shared" si="23"/>
        <v>#DIV/0!</v>
      </c>
      <c r="AC229" s="40" t="str">
        <f>IF(データ!X226="","",データ!X226)</f>
        <v/>
      </c>
      <c r="AD229" s="41" t="str">
        <f>IF(データ!Y226="","",データ!Y226)</f>
        <v/>
      </c>
      <c r="AE229" s="47" t="str">
        <f>TRIM(データ!B226)</f>
        <v/>
      </c>
      <c r="AF229" s="43" t="str">
        <f>TRIM(データ!Z226)</f>
        <v/>
      </c>
    </row>
    <row r="230" spans="1:32" x14ac:dyDescent="0.15">
      <c r="A230" s="47">
        <f>データ!A227</f>
        <v>2</v>
      </c>
      <c r="B230" s="47" t="str">
        <f>TRIM(データ!C227)</f>
        <v/>
      </c>
      <c r="C230" s="47" t="str">
        <f>TRIM(データ!D227)</f>
        <v>労務費</v>
      </c>
      <c r="D230" s="36" t="str">
        <f>REPT("｜",$A230)&amp;TRIM(データ!E227)</f>
        <v>｜｜土工</v>
      </c>
      <c r="E230" s="37" t="str">
        <f>TRIM(データ!F227)</f>
        <v/>
      </c>
      <c r="F230" s="38" t="str">
        <f>TRIM(データ!G227)</f>
        <v>人</v>
      </c>
      <c r="G230" s="50">
        <f>データ!H227</f>
        <v>16</v>
      </c>
      <c r="H230" s="48">
        <f>データ!I227</f>
        <v>23000</v>
      </c>
      <c r="I230" s="48">
        <f>データ!J227</f>
        <v>368000</v>
      </c>
      <c r="J230" s="39" t="str">
        <f>IF(OR($C230="総括",$C230="内訳書",$C230="内訳代価",$C230="明細書",$C230="明細代価",$C230="代価表",$C230="単価表"),データ!K227,"")</f>
        <v/>
      </c>
      <c r="K230" s="11" t="str">
        <f t="shared" si="18"/>
        <v/>
      </c>
      <c r="L230" s="46">
        <f t="shared" si="19"/>
        <v>1.9894720168326632E-2</v>
      </c>
      <c r="M230" s="40" t="str">
        <f>IF(データ!L227="","",データ!L227)</f>
        <v/>
      </c>
      <c r="N230" s="41" t="str">
        <f>IF(データ!M227="","",データ!M227)</f>
        <v/>
      </c>
      <c r="O230" s="42">
        <f>データ!N227</f>
        <v>0</v>
      </c>
      <c r="P230" s="48">
        <f>IF($C230="集計行","",データ!O227)</f>
        <v>0</v>
      </c>
      <c r="Q230" s="48">
        <f>データ!P227</f>
        <v>0</v>
      </c>
      <c r="R230" s="39" t="str">
        <f>IF(OR($C230="総括",$C230="内訳書",$C230="内訳代価",$C230="明細書",$C230="明細代価",$C230="代価表",$C230="単価表"),データ!Q227,"")</f>
        <v/>
      </c>
      <c r="S230" s="11" t="str">
        <f t="shared" si="20"/>
        <v/>
      </c>
      <c r="T230" s="46" t="e">
        <f t="shared" si="21"/>
        <v>#DIV/0!</v>
      </c>
      <c r="U230" s="40" t="str">
        <f>IF(データ!R227="","",データ!R227)</f>
        <v/>
      </c>
      <c r="V230" s="41" t="str">
        <f>IF(データ!S227="","",データ!S227)</f>
        <v/>
      </c>
      <c r="W230" s="42">
        <f>データ!T227</f>
        <v>0</v>
      </c>
      <c r="X230" s="48">
        <f>IF($C230="集計行","",データ!U227)</f>
        <v>0</v>
      </c>
      <c r="Y230" s="48">
        <f>データ!V227</f>
        <v>0</v>
      </c>
      <c r="Z230" s="39" t="str">
        <f>IF(OR($C230="総括",$C230="内訳書",$C230="内訳代価",$C230="明細書",$C230="明細代価",$C230="代価表",$C230="単価表"),データ!W227,"")</f>
        <v/>
      </c>
      <c r="AA230" s="11" t="str">
        <f t="shared" si="22"/>
        <v/>
      </c>
      <c r="AB230" s="46" t="e">
        <f t="shared" si="23"/>
        <v>#DIV/0!</v>
      </c>
      <c r="AC230" s="40" t="str">
        <f>IF(データ!X227="","",データ!X227)</f>
        <v/>
      </c>
      <c r="AD230" s="41" t="str">
        <f>IF(データ!Y227="","",データ!Y227)</f>
        <v/>
      </c>
      <c r="AE230" s="47" t="str">
        <f>TRIM(データ!B227)</f>
        <v/>
      </c>
      <c r="AF230" s="43" t="str">
        <f>TRIM(データ!Z227)</f>
        <v/>
      </c>
    </row>
    <row r="231" spans="1:32" x14ac:dyDescent="0.15">
      <c r="A231" s="47">
        <f>データ!A228</f>
        <v>2</v>
      </c>
      <c r="B231" s="47" t="str">
        <f>TRIM(データ!C228)</f>
        <v/>
      </c>
      <c r="C231" s="47" t="str">
        <f>TRIM(データ!D228)</f>
        <v>機械費</v>
      </c>
      <c r="D231" s="36" t="str">
        <f>REPT("｜",$A231)&amp;TRIM(データ!E228)</f>
        <v>｜｜フィニッシャー4.5m</v>
      </c>
      <c r="E231" s="37" t="str">
        <f>TRIM(データ!F228)</f>
        <v/>
      </c>
      <c r="F231" s="38" t="str">
        <f>TRIM(データ!G228)</f>
        <v>台</v>
      </c>
      <c r="G231" s="50">
        <f>データ!H228</f>
        <v>2</v>
      </c>
      <c r="H231" s="48">
        <f>データ!I228</f>
        <v>80000</v>
      </c>
      <c r="I231" s="48">
        <f>データ!J228</f>
        <v>160000</v>
      </c>
      <c r="J231" s="39" t="str">
        <f>IF(OR($C231="総括",$C231="内訳書",$C231="内訳代価",$C231="明細書",$C231="明細代価",$C231="代価表",$C231="単価表"),データ!K228,"")</f>
        <v/>
      </c>
      <c r="K231" s="11" t="str">
        <f t="shared" si="18"/>
        <v/>
      </c>
      <c r="L231" s="46">
        <f t="shared" si="19"/>
        <v>8.6498783340550577E-3</v>
      </c>
      <c r="M231" s="40" t="str">
        <f>IF(データ!L228="","",データ!L228)</f>
        <v/>
      </c>
      <c r="N231" s="41" t="str">
        <f>IF(データ!M228="","",データ!M228)</f>
        <v/>
      </c>
      <c r="O231" s="42">
        <f>データ!N228</f>
        <v>0</v>
      </c>
      <c r="P231" s="48">
        <f>IF($C231="集計行","",データ!O228)</f>
        <v>0</v>
      </c>
      <c r="Q231" s="48">
        <f>データ!P228</f>
        <v>0</v>
      </c>
      <c r="R231" s="39" t="str">
        <f>IF(OR($C231="総括",$C231="内訳書",$C231="内訳代価",$C231="明細書",$C231="明細代価",$C231="代価表",$C231="単価表"),データ!Q228,"")</f>
        <v/>
      </c>
      <c r="S231" s="11" t="str">
        <f t="shared" si="20"/>
        <v/>
      </c>
      <c r="T231" s="46" t="e">
        <f t="shared" si="21"/>
        <v>#DIV/0!</v>
      </c>
      <c r="U231" s="40" t="str">
        <f>IF(データ!R228="","",データ!R228)</f>
        <v/>
      </c>
      <c r="V231" s="41" t="str">
        <f>IF(データ!S228="","",データ!S228)</f>
        <v/>
      </c>
      <c r="W231" s="42">
        <f>データ!T228</f>
        <v>0</v>
      </c>
      <c r="X231" s="48">
        <f>IF($C231="集計行","",データ!U228)</f>
        <v>0</v>
      </c>
      <c r="Y231" s="48">
        <f>データ!V228</f>
        <v>0</v>
      </c>
      <c r="Z231" s="39" t="str">
        <f>IF(OR($C231="総括",$C231="内訳書",$C231="内訳代価",$C231="明細書",$C231="明細代価",$C231="代価表",$C231="単価表"),データ!W228,"")</f>
        <v/>
      </c>
      <c r="AA231" s="11" t="str">
        <f t="shared" si="22"/>
        <v/>
      </c>
      <c r="AB231" s="46" t="e">
        <f t="shared" si="23"/>
        <v>#DIV/0!</v>
      </c>
      <c r="AC231" s="40" t="str">
        <f>IF(データ!X228="","",データ!X228)</f>
        <v/>
      </c>
      <c r="AD231" s="41" t="str">
        <f>IF(データ!Y228="","",データ!Y228)</f>
        <v/>
      </c>
      <c r="AE231" s="47" t="str">
        <f>TRIM(データ!B228)</f>
        <v/>
      </c>
      <c r="AF231" s="43" t="str">
        <f>TRIM(データ!Z228)</f>
        <v/>
      </c>
    </row>
    <row r="232" spans="1:32" x14ac:dyDescent="0.15">
      <c r="A232" s="47">
        <f>データ!A229</f>
        <v>2</v>
      </c>
      <c r="B232" s="47" t="str">
        <f>TRIM(データ!C229)</f>
        <v/>
      </c>
      <c r="C232" s="47" t="str">
        <f>TRIM(データ!D229)</f>
        <v>機械費</v>
      </c>
      <c r="D232" s="36" t="str">
        <f>REPT("｜",$A232)&amp;TRIM(データ!E229)</f>
        <v>｜｜コンバインドローラ</v>
      </c>
      <c r="E232" s="37" t="str">
        <f>TRIM(データ!F229)</f>
        <v/>
      </c>
      <c r="F232" s="38" t="str">
        <f>TRIM(データ!G229)</f>
        <v>台</v>
      </c>
      <c r="G232" s="50">
        <f>データ!H229</f>
        <v>2</v>
      </c>
      <c r="H232" s="48">
        <f>データ!I229</f>
        <v>6000</v>
      </c>
      <c r="I232" s="48">
        <f>データ!J229</f>
        <v>12000</v>
      </c>
      <c r="J232" s="39" t="str">
        <f>IF(OR($C232="総括",$C232="内訳書",$C232="内訳代価",$C232="明細書",$C232="明細代価",$C232="代価表",$C232="単価表"),データ!K229,"")</f>
        <v/>
      </c>
      <c r="K232" s="11" t="str">
        <f t="shared" si="18"/>
        <v/>
      </c>
      <c r="L232" s="46">
        <f t="shared" si="19"/>
        <v>6.4874087505412928E-4</v>
      </c>
      <c r="M232" s="40" t="str">
        <f>IF(データ!L229="","",データ!L229)</f>
        <v/>
      </c>
      <c r="N232" s="41" t="str">
        <f>IF(データ!M229="","",データ!M229)</f>
        <v/>
      </c>
      <c r="O232" s="42">
        <f>データ!N229</f>
        <v>0</v>
      </c>
      <c r="P232" s="48">
        <f>IF($C232="集計行","",データ!O229)</f>
        <v>0</v>
      </c>
      <c r="Q232" s="48">
        <f>データ!P229</f>
        <v>0</v>
      </c>
      <c r="R232" s="39" t="str">
        <f>IF(OR($C232="総括",$C232="内訳書",$C232="内訳代価",$C232="明細書",$C232="明細代価",$C232="代価表",$C232="単価表"),データ!Q229,"")</f>
        <v/>
      </c>
      <c r="S232" s="11" t="str">
        <f t="shared" si="20"/>
        <v/>
      </c>
      <c r="T232" s="46" t="e">
        <f t="shared" si="21"/>
        <v>#DIV/0!</v>
      </c>
      <c r="U232" s="40" t="str">
        <f>IF(データ!R229="","",データ!R229)</f>
        <v/>
      </c>
      <c r="V232" s="41" t="str">
        <f>IF(データ!S229="","",データ!S229)</f>
        <v/>
      </c>
      <c r="W232" s="42">
        <f>データ!T229</f>
        <v>0</v>
      </c>
      <c r="X232" s="48">
        <f>IF($C232="集計行","",データ!U229)</f>
        <v>0</v>
      </c>
      <c r="Y232" s="48">
        <f>データ!V229</f>
        <v>0</v>
      </c>
      <c r="Z232" s="39" t="str">
        <f>IF(OR($C232="総括",$C232="内訳書",$C232="内訳代価",$C232="明細書",$C232="明細代価",$C232="代価表",$C232="単価表"),データ!W229,"")</f>
        <v/>
      </c>
      <c r="AA232" s="11" t="str">
        <f t="shared" si="22"/>
        <v/>
      </c>
      <c r="AB232" s="46" t="e">
        <f t="shared" si="23"/>
        <v>#DIV/0!</v>
      </c>
      <c r="AC232" s="40" t="str">
        <f>IF(データ!X229="","",データ!X229)</f>
        <v/>
      </c>
      <c r="AD232" s="41" t="str">
        <f>IF(データ!Y229="","",データ!Y229)</f>
        <v/>
      </c>
      <c r="AE232" s="47" t="str">
        <f>TRIM(データ!B229)</f>
        <v/>
      </c>
      <c r="AF232" s="43" t="str">
        <f>TRIM(データ!Z229)</f>
        <v/>
      </c>
    </row>
    <row r="233" spans="1:32" x14ac:dyDescent="0.15">
      <c r="A233" s="47">
        <f>データ!A230</f>
        <v>2</v>
      </c>
      <c r="B233" s="47" t="str">
        <f>TRIM(データ!C230)</f>
        <v/>
      </c>
      <c r="C233" s="47" t="str">
        <f>TRIM(データ!D230)</f>
        <v>機械費</v>
      </c>
      <c r="D233" s="36" t="str">
        <f>REPT("｜",$A233)&amp;TRIM(データ!E230)</f>
        <v>｜｜ミニバックホウ</v>
      </c>
      <c r="E233" s="37" t="str">
        <f>TRIM(データ!F230)</f>
        <v/>
      </c>
      <c r="F233" s="38" t="str">
        <f>TRIM(データ!G230)</f>
        <v>台</v>
      </c>
      <c r="G233" s="50">
        <f>データ!H230</f>
        <v>2</v>
      </c>
      <c r="H233" s="48">
        <f>データ!I230</f>
        <v>8000</v>
      </c>
      <c r="I233" s="48">
        <f>データ!J230</f>
        <v>16000</v>
      </c>
      <c r="J233" s="39" t="str">
        <f>IF(OR($C233="総括",$C233="内訳書",$C233="内訳代価",$C233="明細書",$C233="明細代価",$C233="代価表",$C233="単価表"),データ!K230,"")</f>
        <v/>
      </c>
      <c r="K233" s="11" t="str">
        <f t="shared" si="18"/>
        <v/>
      </c>
      <c r="L233" s="46">
        <f t="shared" si="19"/>
        <v>8.6498783340550574E-4</v>
      </c>
      <c r="M233" s="40" t="str">
        <f>IF(データ!L230="","",データ!L230)</f>
        <v/>
      </c>
      <c r="N233" s="41" t="str">
        <f>IF(データ!M230="","",データ!M230)</f>
        <v/>
      </c>
      <c r="O233" s="42">
        <f>データ!N230</f>
        <v>0</v>
      </c>
      <c r="P233" s="48">
        <f>IF($C233="集計行","",データ!O230)</f>
        <v>0</v>
      </c>
      <c r="Q233" s="48">
        <f>データ!P230</f>
        <v>0</v>
      </c>
      <c r="R233" s="39" t="str">
        <f>IF(OR($C233="総括",$C233="内訳書",$C233="内訳代価",$C233="明細書",$C233="明細代価",$C233="代価表",$C233="単価表"),データ!Q230,"")</f>
        <v/>
      </c>
      <c r="S233" s="11" t="str">
        <f t="shared" si="20"/>
        <v/>
      </c>
      <c r="T233" s="46" t="e">
        <f t="shared" si="21"/>
        <v>#DIV/0!</v>
      </c>
      <c r="U233" s="40" t="str">
        <f>IF(データ!R230="","",データ!R230)</f>
        <v/>
      </c>
      <c r="V233" s="41" t="str">
        <f>IF(データ!S230="","",データ!S230)</f>
        <v/>
      </c>
      <c r="W233" s="42">
        <f>データ!T230</f>
        <v>0</v>
      </c>
      <c r="X233" s="48">
        <f>IF($C233="集計行","",データ!U230)</f>
        <v>0</v>
      </c>
      <c r="Y233" s="48">
        <f>データ!V230</f>
        <v>0</v>
      </c>
      <c r="Z233" s="39" t="str">
        <f>IF(OR($C233="総括",$C233="内訳書",$C233="内訳代価",$C233="明細書",$C233="明細代価",$C233="代価表",$C233="単価表"),データ!W230,"")</f>
        <v/>
      </c>
      <c r="AA233" s="11" t="str">
        <f t="shared" si="22"/>
        <v/>
      </c>
      <c r="AB233" s="46" t="e">
        <f t="shared" si="23"/>
        <v>#DIV/0!</v>
      </c>
      <c r="AC233" s="40" t="str">
        <f>IF(データ!X230="","",データ!X230)</f>
        <v/>
      </c>
      <c r="AD233" s="41" t="str">
        <f>IF(データ!Y230="","",データ!Y230)</f>
        <v/>
      </c>
      <c r="AE233" s="47" t="str">
        <f>TRIM(データ!B230)</f>
        <v/>
      </c>
      <c r="AF233" s="43" t="str">
        <f>TRIM(データ!Z230)</f>
        <v/>
      </c>
    </row>
    <row r="234" spans="1:32" x14ac:dyDescent="0.15">
      <c r="A234" s="47">
        <f>データ!A231</f>
        <v>2</v>
      </c>
      <c r="B234" s="47" t="str">
        <f>TRIM(データ!C231)</f>
        <v/>
      </c>
      <c r="C234" s="47" t="str">
        <f>TRIM(データ!D231)</f>
        <v>機械費</v>
      </c>
      <c r="D234" s="36" t="str">
        <f>REPT("｜",$A234)&amp;TRIM(データ!E231)</f>
        <v>｜｜タイヤショベル</v>
      </c>
      <c r="E234" s="37" t="str">
        <f>TRIM(データ!F231)</f>
        <v/>
      </c>
      <c r="F234" s="38" t="str">
        <f>TRIM(データ!G231)</f>
        <v>台</v>
      </c>
      <c r="G234" s="50">
        <f>データ!H231</f>
        <v>2</v>
      </c>
      <c r="H234" s="48">
        <f>データ!I231</f>
        <v>6000</v>
      </c>
      <c r="I234" s="48">
        <f>データ!J231</f>
        <v>12000</v>
      </c>
      <c r="J234" s="39" t="str">
        <f>IF(OR($C234="総括",$C234="内訳書",$C234="内訳代価",$C234="明細書",$C234="明細代価",$C234="代価表",$C234="単価表"),データ!K231,"")</f>
        <v/>
      </c>
      <c r="K234" s="11" t="str">
        <f t="shared" si="18"/>
        <v/>
      </c>
      <c r="L234" s="46">
        <f t="shared" si="19"/>
        <v>6.4874087505412928E-4</v>
      </c>
      <c r="M234" s="40" t="str">
        <f>IF(データ!L231="","",データ!L231)</f>
        <v/>
      </c>
      <c r="N234" s="41" t="str">
        <f>IF(データ!M231="","",データ!M231)</f>
        <v/>
      </c>
      <c r="O234" s="42">
        <f>データ!N231</f>
        <v>0</v>
      </c>
      <c r="P234" s="48">
        <f>IF($C234="集計行","",データ!O231)</f>
        <v>0</v>
      </c>
      <c r="Q234" s="48">
        <f>データ!P231</f>
        <v>0</v>
      </c>
      <c r="R234" s="39" t="str">
        <f>IF(OR($C234="総括",$C234="内訳書",$C234="内訳代価",$C234="明細書",$C234="明細代価",$C234="代価表",$C234="単価表"),データ!Q231,"")</f>
        <v/>
      </c>
      <c r="S234" s="11" t="str">
        <f t="shared" si="20"/>
        <v/>
      </c>
      <c r="T234" s="46" t="e">
        <f t="shared" si="21"/>
        <v>#DIV/0!</v>
      </c>
      <c r="U234" s="40" t="str">
        <f>IF(データ!R231="","",データ!R231)</f>
        <v/>
      </c>
      <c r="V234" s="41" t="str">
        <f>IF(データ!S231="","",データ!S231)</f>
        <v/>
      </c>
      <c r="W234" s="42">
        <f>データ!T231</f>
        <v>0</v>
      </c>
      <c r="X234" s="48">
        <f>IF($C234="集計行","",データ!U231)</f>
        <v>0</v>
      </c>
      <c r="Y234" s="48">
        <f>データ!V231</f>
        <v>0</v>
      </c>
      <c r="Z234" s="39" t="str">
        <f>IF(OR($C234="総括",$C234="内訳書",$C234="内訳代価",$C234="明細書",$C234="明細代価",$C234="代価表",$C234="単価表"),データ!W231,"")</f>
        <v/>
      </c>
      <c r="AA234" s="11" t="str">
        <f t="shared" si="22"/>
        <v/>
      </c>
      <c r="AB234" s="46" t="e">
        <f t="shared" si="23"/>
        <v>#DIV/0!</v>
      </c>
      <c r="AC234" s="40" t="str">
        <f>IF(データ!X231="","",データ!X231)</f>
        <v/>
      </c>
      <c r="AD234" s="41" t="str">
        <f>IF(データ!Y231="","",データ!Y231)</f>
        <v/>
      </c>
      <c r="AE234" s="47" t="str">
        <f>TRIM(データ!B231)</f>
        <v/>
      </c>
      <c r="AF234" s="43" t="str">
        <f>TRIM(データ!Z231)</f>
        <v/>
      </c>
    </row>
    <row r="235" spans="1:32" x14ac:dyDescent="0.15">
      <c r="A235" s="47">
        <f>データ!A232</f>
        <v>2</v>
      </c>
      <c r="B235" s="47" t="str">
        <f>TRIM(データ!C232)</f>
        <v/>
      </c>
      <c r="C235" s="47" t="str">
        <f>TRIM(データ!D232)</f>
        <v>機械費</v>
      </c>
      <c r="D235" s="36" t="str">
        <f>REPT("｜",$A235)&amp;TRIM(データ!E232)</f>
        <v>｜｜タイヤローラ</v>
      </c>
      <c r="E235" s="37" t="str">
        <f>TRIM(データ!F232)</f>
        <v/>
      </c>
      <c r="F235" s="38" t="str">
        <f>TRIM(データ!G232)</f>
        <v>台</v>
      </c>
      <c r="G235" s="50">
        <f>データ!H232</f>
        <v>2</v>
      </c>
      <c r="H235" s="48">
        <f>データ!I232</f>
        <v>8000</v>
      </c>
      <c r="I235" s="48">
        <f>データ!J232</f>
        <v>16000</v>
      </c>
      <c r="J235" s="39" t="str">
        <f>IF(OR($C235="総括",$C235="内訳書",$C235="内訳代価",$C235="明細書",$C235="明細代価",$C235="代価表",$C235="単価表"),データ!K232,"")</f>
        <v/>
      </c>
      <c r="K235" s="11" t="str">
        <f t="shared" si="18"/>
        <v/>
      </c>
      <c r="L235" s="46">
        <f t="shared" si="19"/>
        <v>8.6498783340550574E-4</v>
      </c>
      <c r="M235" s="40" t="str">
        <f>IF(データ!L232="","",データ!L232)</f>
        <v/>
      </c>
      <c r="N235" s="41" t="str">
        <f>IF(データ!M232="","",データ!M232)</f>
        <v/>
      </c>
      <c r="O235" s="42">
        <f>データ!N232</f>
        <v>0</v>
      </c>
      <c r="P235" s="48">
        <f>IF($C235="集計行","",データ!O232)</f>
        <v>0</v>
      </c>
      <c r="Q235" s="48">
        <f>データ!P232</f>
        <v>0</v>
      </c>
      <c r="R235" s="39" t="str">
        <f>IF(OR($C235="総括",$C235="内訳書",$C235="内訳代価",$C235="明細書",$C235="明細代価",$C235="代価表",$C235="単価表"),データ!Q232,"")</f>
        <v/>
      </c>
      <c r="S235" s="11" t="str">
        <f t="shared" si="20"/>
        <v/>
      </c>
      <c r="T235" s="46" t="e">
        <f t="shared" si="21"/>
        <v>#DIV/0!</v>
      </c>
      <c r="U235" s="40" t="str">
        <f>IF(データ!R232="","",データ!R232)</f>
        <v/>
      </c>
      <c r="V235" s="41" t="str">
        <f>IF(データ!S232="","",データ!S232)</f>
        <v/>
      </c>
      <c r="W235" s="42">
        <f>データ!T232</f>
        <v>0</v>
      </c>
      <c r="X235" s="48">
        <f>IF($C235="集計行","",データ!U232)</f>
        <v>0</v>
      </c>
      <c r="Y235" s="48">
        <f>データ!V232</f>
        <v>0</v>
      </c>
      <c r="Z235" s="39" t="str">
        <f>IF(OR($C235="総括",$C235="内訳書",$C235="内訳代価",$C235="明細書",$C235="明細代価",$C235="代価表",$C235="単価表"),データ!W232,"")</f>
        <v/>
      </c>
      <c r="AA235" s="11" t="str">
        <f t="shared" si="22"/>
        <v/>
      </c>
      <c r="AB235" s="46" t="e">
        <f t="shared" si="23"/>
        <v>#DIV/0!</v>
      </c>
      <c r="AC235" s="40" t="str">
        <f>IF(データ!X232="","",データ!X232)</f>
        <v/>
      </c>
      <c r="AD235" s="41" t="str">
        <f>IF(データ!Y232="","",データ!Y232)</f>
        <v/>
      </c>
      <c r="AE235" s="47" t="str">
        <f>TRIM(データ!B232)</f>
        <v/>
      </c>
      <c r="AF235" s="43" t="str">
        <f>TRIM(データ!Z232)</f>
        <v/>
      </c>
    </row>
    <row r="236" spans="1:32" x14ac:dyDescent="0.15">
      <c r="A236" s="47">
        <f>データ!A233</f>
        <v>2</v>
      </c>
      <c r="B236" s="47" t="str">
        <f>TRIM(データ!C233)</f>
        <v/>
      </c>
      <c r="C236" s="47" t="str">
        <f>TRIM(データ!D233)</f>
        <v>機械費</v>
      </c>
      <c r="D236" s="36" t="str">
        <f>REPT("｜",$A236)&amp;TRIM(データ!E233)</f>
        <v>｜｜トラコン車ダンプ</v>
      </c>
      <c r="E236" s="37" t="str">
        <f>TRIM(データ!F233)</f>
        <v/>
      </c>
      <c r="F236" s="38" t="str">
        <f>TRIM(データ!G233)</f>
        <v>台</v>
      </c>
      <c r="G236" s="50">
        <f>データ!H233</f>
        <v>2</v>
      </c>
      <c r="H236" s="48">
        <f>データ!I233</f>
        <v>15000</v>
      </c>
      <c r="I236" s="48">
        <f>データ!J233</f>
        <v>30000</v>
      </c>
      <c r="J236" s="39" t="str">
        <f>IF(OR($C236="総括",$C236="内訳書",$C236="内訳代価",$C236="明細書",$C236="明細代価",$C236="代価表",$C236="単価表"),データ!K233,"")</f>
        <v/>
      </c>
      <c r="K236" s="11" t="str">
        <f t="shared" si="18"/>
        <v/>
      </c>
      <c r="L236" s="46">
        <f t="shared" si="19"/>
        <v>1.6218521876353233E-3</v>
      </c>
      <c r="M236" s="40" t="str">
        <f>IF(データ!L233="","",データ!L233)</f>
        <v/>
      </c>
      <c r="N236" s="41" t="str">
        <f>IF(データ!M233="","",データ!M233)</f>
        <v/>
      </c>
      <c r="O236" s="42">
        <f>データ!N233</f>
        <v>0</v>
      </c>
      <c r="P236" s="48">
        <f>IF($C236="集計行","",データ!O233)</f>
        <v>0</v>
      </c>
      <c r="Q236" s="48">
        <f>データ!P233</f>
        <v>0</v>
      </c>
      <c r="R236" s="39" t="str">
        <f>IF(OR($C236="総括",$C236="内訳書",$C236="内訳代価",$C236="明細書",$C236="明細代価",$C236="代価表",$C236="単価表"),データ!Q233,"")</f>
        <v/>
      </c>
      <c r="S236" s="11" t="str">
        <f t="shared" si="20"/>
        <v/>
      </c>
      <c r="T236" s="46" t="e">
        <f t="shared" si="21"/>
        <v>#DIV/0!</v>
      </c>
      <c r="U236" s="40" t="str">
        <f>IF(データ!R233="","",データ!R233)</f>
        <v/>
      </c>
      <c r="V236" s="41" t="str">
        <f>IF(データ!S233="","",データ!S233)</f>
        <v/>
      </c>
      <c r="W236" s="42">
        <f>データ!T233</f>
        <v>0</v>
      </c>
      <c r="X236" s="48">
        <f>IF($C236="集計行","",データ!U233)</f>
        <v>0</v>
      </c>
      <c r="Y236" s="48">
        <f>データ!V233</f>
        <v>0</v>
      </c>
      <c r="Z236" s="39" t="str">
        <f>IF(OR($C236="総括",$C236="内訳書",$C236="内訳代価",$C236="明細書",$C236="明細代価",$C236="代価表",$C236="単価表"),データ!W233,"")</f>
        <v/>
      </c>
      <c r="AA236" s="11" t="str">
        <f t="shared" si="22"/>
        <v/>
      </c>
      <c r="AB236" s="46" t="e">
        <f t="shared" si="23"/>
        <v>#DIV/0!</v>
      </c>
      <c r="AC236" s="40" t="str">
        <f>IF(データ!X233="","",データ!X233)</f>
        <v/>
      </c>
      <c r="AD236" s="41" t="str">
        <f>IF(データ!Y233="","",データ!Y233)</f>
        <v/>
      </c>
      <c r="AE236" s="47" t="str">
        <f>TRIM(データ!B233)</f>
        <v/>
      </c>
      <c r="AF236" s="43" t="str">
        <f>TRIM(データ!Z233)</f>
        <v/>
      </c>
    </row>
    <row r="237" spans="1:32" x14ac:dyDescent="0.15">
      <c r="A237" s="47">
        <f>データ!A234</f>
        <v>2</v>
      </c>
      <c r="B237" s="47" t="str">
        <f>TRIM(データ!C234)</f>
        <v/>
      </c>
      <c r="C237" s="47" t="str">
        <f>TRIM(データ!D234)</f>
        <v>機械費</v>
      </c>
      <c r="D237" s="36" t="str">
        <f>REPT("｜",$A237)&amp;TRIM(データ!E234)</f>
        <v>｜｜切削機1.0m</v>
      </c>
      <c r="E237" s="37" t="str">
        <f>TRIM(データ!F234)</f>
        <v/>
      </c>
      <c r="F237" s="38" t="str">
        <f>TRIM(データ!G234)</f>
        <v>台</v>
      </c>
      <c r="G237" s="50">
        <f>データ!H234</f>
        <v>2</v>
      </c>
      <c r="H237" s="48">
        <f>データ!I234</f>
        <v>130000</v>
      </c>
      <c r="I237" s="48">
        <f>データ!J234</f>
        <v>260000</v>
      </c>
      <c r="J237" s="39" t="str">
        <f>IF(OR($C237="総括",$C237="内訳書",$C237="内訳代価",$C237="明細書",$C237="明細代価",$C237="代価表",$C237="単価表"),データ!K234,"")</f>
        <v/>
      </c>
      <c r="K237" s="11" t="str">
        <f t="shared" si="18"/>
        <v/>
      </c>
      <c r="L237" s="46">
        <f t="shared" si="19"/>
        <v>1.4056052292839469E-2</v>
      </c>
      <c r="M237" s="40" t="str">
        <f>IF(データ!L234="","",データ!L234)</f>
        <v/>
      </c>
      <c r="N237" s="41" t="str">
        <f>IF(データ!M234="","",データ!M234)</f>
        <v/>
      </c>
      <c r="O237" s="42">
        <f>データ!N234</f>
        <v>0</v>
      </c>
      <c r="P237" s="48">
        <f>IF($C237="集計行","",データ!O234)</f>
        <v>0</v>
      </c>
      <c r="Q237" s="48">
        <f>データ!P234</f>
        <v>0</v>
      </c>
      <c r="R237" s="39" t="str">
        <f>IF(OR($C237="総括",$C237="内訳書",$C237="内訳代価",$C237="明細書",$C237="明細代価",$C237="代価表",$C237="単価表"),データ!Q234,"")</f>
        <v/>
      </c>
      <c r="S237" s="11" t="str">
        <f t="shared" si="20"/>
        <v/>
      </c>
      <c r="T237" s="46" t="e">
        <f t="shared" si="21"/>
        <v>#DIV/0!</v>
      </c>
      <c r="U237" s="40" t="str">
        <f>IF(データ!R234="","",データ!R234)</f>
        <v/>
      </c>
      <c r="V237" s="41" t="str">
        <f>IF(データ!S234="","",データ!S234)</f>
        <v/>
      </c>
      <c r="W237" s="42">
        <f>データ!T234</f>
        <v>0</v>
      </c>
      <c r="X237" s="48">
        <f>IF($C237="集計行","",データ!U234)</f>
        <v>0</v>
      </c>
      <c r="Y237" s="48">
        <f>データ!V234</f>
        <v>0</v>
      </c>
      <c r="Z237" s="39" t="str">
        <f>IF(OR($C237="総括",$C237="内訳書",$C237="内訳代価",$C237="明細書",$C237="明細代価",$C237="代価表",$C237="単価表"),データ!W234,"")</f>
        <v/>
      </c>
      <c r="AA237" s="11" t="str">
        <f t="shared" si="22"/>
        <v/>
      </c>
      <c r="AB237" s="46" t="e">
        <f t="shared" si="23"/>
        <v>#DIV/0!</v>
      </c>
      <c r="AC237" s="40" t="str">
        <f>IF(データ!X234="","",データ!X234)</f>
        <v/>
      </c>
      <c r="AD237" s="41" t="str">
        <f>IF(データ!Y234="","",データ!Y234)</f>
        <v/>
      </c>
      <c r="AE237" s="47" t="str">
        <f>TRIM(データ!B234)</f>
        <v/>
      </c>
      <c r="AF237" s="43" t="str">
        <f>TRIM(データ!Z234)</f>
        <v/>
      </c>
    </row>
    <row r="238" spans="1:32" x14ac:dyDescent="0.15">
      <c r="A238" s="47">
        <f>データ!A235</f>
        <v>2</v>
      </c>
      <c r="B238" s="47" t="str">
        <f>TRIM(データ!C235)</f>
        <v/>
      </c>
      <c r="C238" s="47" t="str">
        <f>TRIM(データ!D235)</f>
        <v>機械費</v>
      </c>
      <c r="D238" s="36" t="str">
        <f>REPT("｜",$A238)&amp;TRIM(データ!E235)</f>
        <v>｜｜散水車</v>
      </c>
      <c r="E238" s="37" t="str">
        <f>TRIM(データ!F235)</f>
        <v/>
      </c>
      <c r="F238" s="38" t="str">
        <f>TRIM(データ!G235)</f>
        <v>台</v>
      </c>
      <c r="G238" s="50">
        <f>データ!H235</f>
        <v>2</v>
      </c>
      <c r="H238" s="48">
        <f>データ!I235</f>
        <v>12000</v>
      </c>
      <c r="I238" s="48">
        <f>データ!J235</f>
        <v>24000</v>
      </c>
      <c r="J238" s="39" t="str">
        <f>IF(OR($C238="総括",$C238="内訳書",$C238="内訳代価",$C238="明細書",$C238="明細代価",$C238="代価表",$C238="単価表"),データ!K235,"")</f>
        <v/>
      </c>
      <c r="K238" s="11" t="str">
        <f t="shared" si="18"/>
        <v/>
      </c>
      <c r="L238" s="46">
        <f t="shared" si="19"/>
        <v>1.2974817501082586E-3</v>
      </c>
      <c r="M238" s="40" t="str">
        <f>IF(データ!L235="","",データ!L235)</f>
        <v/>
      </c>
      <c r="N238" s="41" t="str">
        <f>IF(データ!M235="","",データ!M235)</f>
        <v/>
      </c>
      <c r="O238" s="42">
        <f>データ!N235</f>
        <v>0</v>
      </c>
      <c r="P238" s="48">
        <f>IF($C238="集計行","",データ!O235)</f>
        <v>0</v>
      </c>
      <c r="Q238" s="48">
        <f>データ!P235</f>
        <v>0</v>
      </c>
      <c r="R238" s="39" t="str">
        <f>IF(OR($C238="総括",$C238="内訳書",$C238="内訳代価",$C238="明細書",$C238="明細代価",$C238="代価表",$C238="単価表"),データ!Q235,"")</f>
        <v/>
      </c>
      <c r="S238" s="11" t="str">
        <f t="shared" si="20"/>
        <v/>
      </c>
      <c r="T238" s="46" t="e">
        <f t="shared" si="21"/>
        <v>#DIV/0!</v>
      </c>
      <c r="U238" s="40" t="str">
        <f>IF(データ!R235="","",データ!R235)</f>
        <v/>
      </c>
      <c r="V238" s="41" t="str">
        <f>IF(データ!S235="","",データ!S235)</f>
        <v/>
      </c>
      <c r="W238" s="42">
        <f>データ!T235</f>
        <v>0</v>
      </c>
      <c r="X238" s="48">
        <f>IF($C238="集計行","",データ!U235)</f>
        <v>0</v>
      </c>
      <c r="Y238" s="48">
        <f>データ!V235</f>
        <v>0</v>
      </c>
      <c r="Z238" s="39" t="str">
        <f>IF(OR($C238="総括",$C238="内訳書",$C238="内訳代価",$C238="明細書",$C238="明細代価",$C238="代価表",$C238="単価表"),データ!W235,"")</f>
        <v/>
      </c>
      <c r="AA238" s="11" t="str">
        <f t="shared" si="22"/>
        <v/>
      </c>
      <c r="AB238" s="46" t="e">
        <f t="shared" si="23"/>
        <v>#DIV/0!</v>
      </c>
      <c r="AC238" s="40" t="str">
        <f>IF(データ!X235="","",データ!X235)</f>
        <v/>
      </c>
      <c r="AD238" s="41" t="str">
        <f>IF(データ!Y235="","",データ!Y235)</f>
        <v/>
      </c>
      <c r="AE238" s="47" t="str">
        <f>TRIM(データ!B235)</f>
        <v/>
      </c>
      <c r="AF238" s="43" t="str">
        <f>TRIM(データ!Z235)</f>
        <v/>
      </c>
    </row>
    <row r="239" spans="1:32" x14ac:dyDescent="0.15">
      <c r="A239" s="47">
        <f>データ!A236</f>
        <v>2</v>
      </c>
      <c r="B239" s="47" t="str">
        <f>TRIM(データ!C236)</f>
        <v/>
      </c>
      <c r="C239" s="47" t="str">
        <f>TRIM(データ!D236)</f>
        <v>機械費</v>
      </c>
      <c r="D239" s="36" t="str">
        <f>REPT("｜",$A239)&amp;TRIM(データ!E236)</f>
        <v>｜｜デスビ</v>
      </c>
      <c r="E239" s="37" t="str">
        <f>TRIM(データ!F236)</f>
        <v/>
      </c>
      <c r="F239" s="38" t="str">
        <f>TRIM(データ!G236)</f>
        <v>台</v>
      </c>
      <c r="G239" s="50">
        <f>データ!H236</f>
        <v>2</v>
      </c>
      <c r="H239" s="48">
        <f>データ!I236</f>
        <v>50000</v>
      </c>
      <c r="I239" s="48">
        <f>データ!J236</f>
        <v>100000</v>
      </c>
      <c r="J239" s="39" t="str">
        <f>IF(OR($C239="総括",$C239="内訳書",$C239="内訳代価",$C239="明細書",$C239="明細代価",$C239="代価表",$C239="単価表"),データ!K236,"")</f>
        <v/>
      </c>
      <c r="K239" s="11" t="str">
        <f t="shared" si="18"/>
        <v/>
      </c>
      <c r="L239" s="46">
        <f t="shared" si="19"/>
        <v>5.4061739587844106E-3</v>
      </c>
      <c r="M239" s="40" t="str">
        <f>IF(データ!L236="","",データ!L236)</f>
        <v/>
      </c>
      <c r="N239" s="41" t="str">
        <f>IF(データ!M236="","",データ!M236)</f>
        <v/>
      </c>
      <c r="O239" s="42">
        <f>データ!N236</f>
        <v>0</v>
      </c>
      <c r="P239" s="48">
        <f>IF($C239="集計行","",データ!O236)</f>
        <v>0</v>
      </c>
      <c r="Q239" s="48">
        <f>データ!P236</f>
        <v>0</v>
      </c>
      <c r="R239" s="39" t="str">
        <f>IF(OR($C239="総括",$C239="内訳書",$C239="内訳代価",$C239="明細書",$C239="明細代価",$C239="代価表",$C239="単価表"),データ!Q236,"")</f>
        <v/>
      </c>
      <c r="S239" s="11" t="str">
        <f t="shared" si="20"/>
        <v/>
      </c>
      <c r="T239" s="46" t="e">
        <f t="shared" si="21"/>
        <v>#DIV/0!</v>
      </c>
      <c r="U239" s="40" t="str">
        <f>IF(データ!R236="","",データ!R236)</f>
        <v/>
      </c>
      <c r="V239" s="41" t="str">
        <f>IF(データ!S236="","",データ!S236)</f>
        <v/>
      </c>
      <c r="W239" s="42">
        <f>データ!T236</f>
        <v>0</v>
      </c>
      <c r="X239" s="48">
        <f>IF($C239="集計行","",データ!U236)</f>
        <v>0</v>
      </c>
      <c r="Y239" s="48">
        <f>データ!V236</f>
        <v>0</v>
      </c>
      <c r="Z239" s="39" t="str">
        <f>IF(OR($C239="総括",$C239="内訳書",$C239="内訳代価",$C239="明細書",$C239="明細代価",$C239="代価表",$C239="単価表"),データ!W236,"")</f>
        <v/>
      </c>
      <c r="AA239" s="11" t="str">
        <f t="shared" si="22"/>
        <v/>
      </c>
      <c r="AB239" s="46" t="e">
        <f t="shared" si="23"/>
        <v>#DIV/0!</v>
      </c>
      <c r="AC239" s="40" t="str">
        <f>IF(データ!X236="","",データ!X236)</f>
        <v/>
      </c>
      <c r="AD239" s="41" t="str">
        <f>IF(データ!Y236="","",データ!Y236)</f>
        <v/>
      </c>
      <c r="AE239" s="47" t="str">
        <f>TRIM(データ!B236)</f>
        <v/>
      </c>
      <c r="AF239" s="43" t="str">
        <f>TRIM(データ!Z236)</f>
        <v/>
      </c>
    </row>
    <row r="240" spans="1:32" x14ac:dyDescent="0.15">
      <c r="A240" s="47">
        <f>データ!A237</f>
        <v>2</v>
      </c>
      <c r="B240" s="47" t="str">
        <f>TRIM(データ!C237)</f>
        <v/>
      </c>
      <c r="C240" s="47" t="str">
        <f>TRIM(データ!D237)</f>
        <v>機械費</v>
      </c>
      <c r="D240" s="36" t="str">
        <f>REPT("｜",$A240)&amp;TRIM(データ!E237)</f>
        <v>｜｜小物機械</v>
      </c>
      <c r="E240" s="37" t="str">
        <f>TRIM(データ!F237)</f>
        <v/>
      </c>
      <c r="F240" s="38" t="str">
        <f>TRIM(データ!G237)</f>
        <v>台</v>
      </c>
      <c r="G240" s="50">
        <f>データ!H237</f>
        <v>4</v>
      </c>
      <c r="H240" s="48">
        <f>データ!I237</f>
        <v>3000</v>
      </c>
      <c r="I240" s="48">
        <f>データ!J237</f>
        <v>12000</v>
      </c>
      <c r="J240" s="39" t="str">
        <f>IF(OR($C240="総括",$C240="内訳書",$C240="内訳代価",$C240="明細書",$C240="明細代価",$C240="代価表",$C240="単価表"),データ!K237,"")</f>
        <v/>
      </c>
      <c r="K240" s="11" t="str">
        <f t="shared" si="18"/>
        <v/>
      </c>
      <c r="L240" s="46">
        <f t="shared" si="19"/>
        <v>6.4874087505412928E-4</v>
      </c>
      <c r="M240" s="40" t="str">
        <f>IF(データ!L237="","",データ!L237)</f>
        <v/>
      </c>
      <c r="N240" s="41" t="str">
        <f>IF(データ!M237="","",データ!M237)</f>
        <v/>
      </c>
      <c r="O240" s="42">
        <f>データ!N237</f>
        <v>0</v>
      </c>
      <c r="P240" s="48">
        <f>IF($C240="集計行","",データ!O237)</f>
        <v>0</v>
      </c>
      <c r="Q240" s="48">
        <f>データ!P237</f>
        <v>0</v>
      </c>
      <c r="R240" s="39" t="str">
        <f>IF(OR($C240="総括",$C240="内訳書",$C240="内訳代価",$C240="明細書",$C240="明細代価",$C240="代価表",$C240="単価表"),データ!Q237,"")</f>
        <v/>
      </c>
      <c r="S240" s="11" t="str">
        <f t="shared" si="20"/>
        <v/>
      </c>
      <c r="T240" s="46" t="e">
        <f t="shared" si="21"/>
        <v>#DIV/0!</v>
      </c>
      <c r="U240" s="40" t="str">
        <f>IF(データ!R237="","",データ!R237)</f>
        <v/>
      </c>
      <c r="V240" s="41" t="str">
        <f>IF(データ!S237="","",データ!S237)</f>
        <v/>
      </c>
      <c r="W240" s="42">
        <f>データ!T237</f>
        <v>0</v>
      </c>
      <c r="X240" s="48">
        <f>IF($C240="集計行","",データ!U237)</f>
        <v>0</v>
      </c>
      <c r="Y240" s="48">
        <f>データ!V237</f>
        <v>0</v>
      </c>
      <c r="Z240" s="39" t="str">
        <f>IF(OR($C240="総括",$C240="内訳書",$C240="内訳代価",$C240="明細書",$C240="明細代価",$C240="代価表",$C240="単価表"),データ!W237,"")</f>
        <v/>
      </c>
      <c r="AA240" s="11" t="str">
        <f t="shared" si="22"/>
        <v/>
      </c>
      <c r="AB240" s="46" t="e">
        <f t="shared" si="23"/>
        <v>#DIV/0!</v>
      </c>
      <c r="AC240" s="40" t="str">
        <f>IF(データ!X237="","",データ!X237)</f>
        <v/>
      </c>
      <c r="AD240" s="41" t="str">
        <f>IF(データ!Y237="","",データ!Y237)</f>
        <v/>
      </c>
      <c r="AE240" s="47" t="str">
        <f>TRIM(データ!B237)</f>
        <v/>
      </c>
      <c r="AF240" s="43" t="str">
        <f>TRIM(データ!Z237)</f>
        <v/>
      </c>
    </row>
    <row r="241" spans="1:32" x14ac:dyDescent="0.15">
      <c r="A241" s="47">
        <f>データ!A238</f>
        <v>2</v>
      </c>
      <c r="B241" s="47" t="str">
        <f>TRIM(データ!C238)</f>
        <v/>
      </c>
      <c r="C241" s="47" t="str">
        <f>TRIM(データ!D238)</f>
        <v>運搬費</v>
      </c>
      <c r="D241" s="36" t="str">
        <f>REPT("｜",$A241)&amp;TRIM(データ!E238)</f>
        <v>｜｜8tダンプ</v>
      </c>
      <c r="E241" s="37" t="str">
        <f>TRIM(データ!F238)</f>
        <v/>
      </c>
      <c r="F241" s="38" t="str">
        <f>TRIM(データ!G238)</f>
        <v>台</v>
      </c>
      <c r="G241" s="50">
        <f>データ!H238</f>
        <v>6</v>
      </c>
      <c r="H241" s="48">
        <f>データ!I238</f>
        <v>43000</v>
      </c>
      <c r="I241" s="48">
        <f>データ!J238</f>
        <v>258000</v>
      </c>
      <c r="J241" s="39" t="str">
        <f>IF(OR($C241="総括",$C241="内訳書",$C241="内訳代価",$C241="明細書",$C241="明細代価",$C241="代価表",$C241="単価表"),データ!K238,"")</f>
        <v/>
      </c>
      <c r="K241" s="11" t="str">
        <f t="shared" si="18"/>
        <v/>
      </c>
      <c r="L241" s="46">
        <f t="shared" si="19"/>
        <v>1.3947928813663781E-2</v>
      </c>
      <c r="M241" s="40" t="str">
        <f>IF(データ!L238="","",データ!L238)</f>
        <v/>
      </c>
      <c r="N241" s="41" t="str">
        <f>IF(データ!M238="","",データ!M238)</f>
        <v/>
      </c>
      <c r="O241" s="42">
        <f>データ!N238</f>
        <v>0</v>
      </c>
      <c r="P241" s="48">
        <f>IF($C241="集計行","",データ!O238)</f>
        <v>0</v>
      </c>
      <c r="Q241" s="48">
        <f>データ!P238</f>
        <v>0</v>
      </c>
      <c r="R241" s="39" t="str">
        <f>IF(OR($C241="総括",$C241="内訳書",$C241="内訳代価",$C241="明細書",$C241="明細代価",$C241="代価表",$C241="単価表"),データ!Q238,"")</f>
        <v/>
      </c>
      <c r="S241" s="11" t="str">
        <f t="shared" si="20"/>
        <v/>
      </c>
      <c r="T241" s="46" t="e">
        <f t="shared" si="21"/>
        <v>#DIV/0!</v>
      </c>
      <c r="U241" s="40" t="str">
        <f>IF(データ!R238="","",データ!R238)</f>
        <v/>
      </c>
      <c r="V241" s="41" t="str">
        <f>IF(データ!S238="","",データ!S238)</f>
        <v/>
      </c>
      <c r="W241" s="42">
        <f>データ!T238</f>
        <v>0</v>
      </c>
      <c r="X241" s="48">
        <f>IF($C241="集計行","",データ!U238)</f>
        <v>0</v>
      </c>
      <c r="Y241" s="48">
        <f>データ!V238</f>
        <v>0</v>
      </c>
      <c r="Z241" s="39" t="str">
        <f>IF(OR($C241="総括",$C241="内訳書",$C241="内訳代価",$C241="明細書",$C241="明細代価",$C241="代価表",$C241="単価表"),データ!W238,"")</f>
        <v/>
      </c>
      <c r="AA241" s="11" t="str">
        <f t="shared" si="22"/>
        <v/>
      </c>
      <c r="AB241" s="46" t="e">
        <f t="shared" si="23"/>
        <v>#DIV/0!</v>
      </c>
      <c r="AC241" s="40" t="str">
        <f>IF(データ!X238="","",データ!X238)</f>
        <v/>
      </c>
      <c r="AD241" s="41" t="str">
        <f>IF(データ!Y238="","",データ!Y238)</f>
        <v/>
      </c>
      <c r="AE241" s="47" t="str">
        <f>TRIM(データ!B238)</f>
        <v/>
      </c>
      <c r="AF241" s="43" t="str">
        <f>TRIM(データ!Z238)</f>
        <v/>
      </c>
    </row>
    <row r="242" spans="1:32" x14ac:dyDescent="0.15">
      <c r="A242" s="47">
        <f>データ!A239</f>
        <v>2</v>
      </c>
      <c r="B242" s="47" t="str">
        <f>TRIM(データ!C239)</f>
        <v/>
      </c>
      <c r="C242" s="47" t="str">
        <f>TRIM(データ!D239)</f>
        <v>運搬費</v>
      </c>
      <c r="D242" s="36" t="str">
        <f>REPT("｜",$A242)&amp;TRIM(データ!E239)</f>
        <v>｜｜AS処理費</v>
      </c>
      <c r="E242" s="37" t="str">
        <f>TRIM(データ!F239)</f>
        <v/>
      </c>
      <c r="F242" s="38" t="str">
        <f>TRIM(データ!G239)</f>
        <v>ｔ</v>
      </c>
      <c r="G242" s="50">
        <f>データ!H239</f>
        <v>24</v>
      </c>
      <c r="H242" s="48">
        <f>データ!I239</f>
        <v>400</v>
      </c>
      <c r="I242" s="48">
        <f>データ!J239</f>
        <v>9600</v>
      </c>
      <c r="J242" s="39" t="str">
        <f>IF(OR($C242="総括",$C242="内訳書",$C242="内訳代価",$C242="明細書",$C242="明細代価",$C242="代価表",$C242="単価表"),データ!K239,"")</f>
        <v/>
      </c>
      <c r="K242" s="11" t="str">
        <f t="shared" si="18"/>
        <v/>
      </c>
      <c r="L242" s="46">
        <f t="shared" si="19"/>
        <v>5.189927000433034E-4</v>
      </c>
      <c r="M242" s="40" t="str">
        <f>IF(データ!L239="","",データ!L239)</f>
        <v/>
      </c>
      <c r="N242" s="41" t="str">
        <f>IF(データ!M239="","",データ!M239)</f>
        <v/>
      </c>
      <c r="O242" s="42">
        <f>データ!N239</f>
        <v>0</v>
      </c>
      <c r="P242" s="48">
        <f>IF($C242="集計行","",データ!O239)</f>
        <v>0</v>
      </c>
      <c r="Q242" s="48">
        <f>データ!P239</f>
        <v>0</v>
      </c>
      <c r="R242" s="39" t="str">
        <f>IF(OR($C242="総括",$C242="内訳書",$C242="内訳代価",$C242="明細書",$C242="明細代価",$C242="代価表",$C242="単価表"),データ!Q239,"")</f>
        <v/>
      </c>
      <c r="S242" s="11" t="str">
        <f t="shared" si="20"/>
        <v/>
      </c>
      <c r="T242" s="46" t="e">
        <f t="shared" si="21"/>
        <v>#DIV/0!</v>
      </c>
      <c r="U242" s="40" t="str">
        <f>IF(データ!R239="","",データ!R239)</f>
        <v/>
      </c>
      <c r="V242" s="41" t="str">
        <f>IF(データ!S239="","",データ!S239)</f>
        <v/>
      </c>
      <c r="W242" s="42">
        <f>データ!T239</f>
        <v>0</v>
      </c>
      <c r="X242" s="48">
        <f>IF($C242="集計行","",データ!U239)</f>
        <v>0</v>
      </c>
      <c r="Y242" s="48">
        <f>データ!V239</f>
        <v>0</v>
      </c>
      <c r="Z242" s="39" t="str">
        <f>IF(OR($C242="総括",$C242="内訳書",$C242="内訳代価",$C242="明細書",$C242="明細代価",$C242="代価表",$C242="単価表"),データ!W239,"")</f>
        <v/>
      </c>
      <c r="AA242" s="11" t="str">
        <f t="shared" si="22"/>
        <v/>
      </c>
      <c r="AB242" s="46" t="e">
        <f t="shared" si="23"/>
        <v>#DIV/0!</v>
      </c>
      <c r="AC242" s="40" t="str">
        <f>IF(データ!X239="","",データ!X239)</f>
        <v/>
      </c>
      <c r="AD242" s="41" t="str">
        <f>IF(データ!Y239="","",データ!Y239)</f>
        <v/>
      </c>
      <c r="AE242" s="47" t="str">
        <f>TRIM(データ!B239)</f>
        <v/>
      </c>
      <c r="AF242" s="43" t="str">
        <f>TRIM(データ!Z239)</f>
        <v/>
      </c>
    </row>
    <row r="243" spans="1:32" x14ac:dyDescent="0.15">
      <c r="A243" s="47">
        <f>データ!A240</f>
        <v>2</v>
      </c>
      <c r="B243" s="47" t="str">
        <f>TRIM(データ!C240)</f>
        <v/>
      </c>
      <c r="C243" s="47" t="str">
        <f>TRIM(データ!D240)</f>
        <v>運搬費</v>
      </c>
      <c r="D243" s="36" t="str">
        <f>REPT("｜",$A243)&amp;TRIM(データ!E240)</f>
        <v>｜｜10t回送費</v>
      </c>
      <c r="E243" s="37" t="str">
        <f>TRIM(データ!F240)</f>
        <v/>
      </c>
      <c r="F243" s="38" t="str">
        <f>TRIM(データ!G240)</f>
        <v>回</v>
      </c>
      <c r="G243" s="50">
        <f>データ!H240</f>
        <v>4</v>
      </c>
      <c r="H243" s="48">
        <f>データ!I240</f>
        <v>35000</v>
      </c>
      <c r="I243" s="48">
        <f>データ!J240</f>
        <v>140000</v>
      </c>
      <c r="J243" s="39" t="str">
        <f>IF(OR($C243="総括",$C243="内訳書",$C243="内訳代価",$C243="明細書",$C243="明細代価",$C243="代価表",$C243="単価表"),データ!K240,"")</f>
        <v/>
      </c>
      <c r="K243" s="11" t="str">
        <f t="shared" si="18"/>
        <v/>
      </c>
      <c r="L243" s="46">
        <f t="shared" si="19"/>
        <v>7.568643542298175E-3</v>
      </c>
      <c r="M243" s="40" t="str">
        <f>IF(データ!L240="","",データ!L240)</f>
        <v/>
      </c>
      <c r="N243" s="41" t="str">
        <f>IF(データ!M240="","",データ!M240)</f>
        <v/>
      </c>
      <c r="O243" s="42">
        <f>データ!N240</f>
        <v>0</v>
      </c>
      <c r="P243" s="48">
        <f>IF($C243="集計行","",データ!O240)</f>
        <v>0</v>
      </c>
      <c r="Q243" s="48">
        <f>データ!P240</f>
        <v>0</v>
      </c>
      <c r="R243" s="39" t="str">
        <f>IF(OR($C243="総括",$C243="内訳書",$C243="内訳代価",$C243="明細書",$C243="明細代価",$C243="代価表",$C243="単価表"),データ!Q240,"")</f>
        <v/>
      </c>
      <c r="S243" s="11" t="str">
        <f t="shared" si="20"/>
        <v/>
      </c>
      <c r="T243" s="46" t="e">
        <f t="shared" si="21"/>
        <v>#DIV/0!</v>
      </c>
      <c r="U243" s="40" t="str">
        <f>IF(データ!R240="","",データ!R240)</f>
        <v/>
      </c>
      <c r="V243" s="41" t="str">
        <f>IF(データ!S240="","",データ!S240)</f>
        <v/>
      </c>
      <c r="W243" s="42">
        <f>データ!T240</f>
        <v>0</v>
      </c>
      <c r="X243" s="48">
        <f>IF($C243="集計行","",データ!U240)</f>
        <v>0</v>
      </c>
      <c r="Y243" s="48">
        <f>データ!V240</f>
        <v>0</v>
      </c>
      <c r="Z243" s="39" t="str">
        <f>IF(OR($C243="総括",$C243="内訳書",$C243="内訳代価",$C243="明細書",$C243="明細代価",$C243="代価表",$C243="単価表"),データ!W240,"")</f>
        <v/>
      </c>
      <c r="AA243" s="11" t="str">
        <f t="shared" si="22"/>
        <v/>
      </c>
      <c r="AB243" s="46" t="e">
        <f t="shared" si="23"/>
        <v>#DIV/0!</v>
      </c>
      <c r="AC243" s="40" t="str">
        <f>IF(データ!X240="","",データ!X240)</f>
        <v/>
      </c>
      <c r="AD243" s="41" t="str">
        <f>IF(データ!Y240="","",データ!Y240)</f>
        <v/>
      </c>
      <c r="AE243" s="47" t="str">
        <f>TRIM(データ!B240)</f>
        <v/>
      </c>
      <c r="AF243" s="43" t="str">
        <f>TRIM(データ!Z240)</f>
        <v/>
      </c>
    </row>
    <row r="244" spans="1:32" x14ac:dyDescent="0.15">
      <c r="A244" s="47">
        <f>データ!A241</f>
        <v>2</v>
      </c>
      <c r="B244" s="47" t="str">
        <f>TRIM(データ!C241)</f>
        <v/>
      </c>
      <c r="C244" s="47" t="str">
        <f>TRIM(データ!D241)</f>
        <v>運搬費</v>
      </c>
      <c r="D244" s="36" t="str">
        <f>REPT("｜",$A244)&amp;TRIM(データ!E241)</f>
        <v>｜｜10t回送費</v>
      </c>
      <c r="E244" s="37" t="str">
        <f>TRIM(データ!F241)</f>
        <v>AF</v>
      </c>
      <c r="F244" s="38" t="str">
        <f>TRIM(データ!G241)</f>
        <v>回</v>
      </c>
      <c r="G244" s="50">
        <f>データ!H241</f>
        <v>4</v>
      </c>
      <c r="H244" s="48">
        <f>データ!I241</f>
        <v>30000</v>
      </c>
      <c r="I244" s="48">
        <f>データ!J241</f>
        <v>120000</v>
      </c>
      <c r="J244" s="39" t="str">
        <f>IF(OR($C244="総括",$C244="内訳書",$C244="内訳代価",$C244="明細書",$C244="明細代価",$C244="代価表",$C244="単価表"),データ!K241,"")</f>
        <v/>
      </c>
      <c r="K244" s="11" t="str">
        <f t="shared" si="18"/>
        <v/>
      </c>
      <c r="L244" s="46">
        <f t="shared" si="19"/>
        <v>6.4874087505412932E-3</v>
      </c>
      <c r="M244" s="40" t="str">
        <f>IF(データ!L241="","",データ!L241)</f>
        <v/>
      </c>
      <c r="N244" s="41" t="str">
        <f>IF(データ!M241="","",データ!M241)</f>
        <v/>
      </c>
      <c r="O244" s="42">
        <f>データ!N241</f>
        <v>0</v>
      </c>
      <c r="P244" s="48">
        <f>IF($C244="集計行","",データ!O241)</f>
        <v>0</v>
      </c>
      <c r="Q244" s="48">
        <f>データ!P241</f>
        <v>0</v>
      </c>
      <c r="R244" s="39" t="str">
        <f>IF(OR($C244="総括",$C244="内訳書",$C244="内訳代価",$C244="明細書",$C244="明細代価",$C244="代価表",$C244="単価表"),データ!Q241,"")</f>
        <v/>
      </c>
      <c r="S244" s="11" t="str">
        <f t="shared" si="20"/>
        <v/>
      </c>
      <c r="T244" s="46" t="e">
        <f t="shared" si="21"/>
        <v>#DIV/0!</v>
      </c>
      <c r="U244" s="40" t="str">
        <f>IF(データ!R241="","",データ!R241)</f>
        <v/>
      </c>
      <c r="V244" s="41" t="str">
        <f>IF(データ!S241="","",データ!S241)</f>
        <v/>
      </c>
      <c r="W244" s="42">
        <f>データ!T241</f>
        <v>0</v>
      </c>
      <c r="X244" s="48">
        <f>IF($C244="集計行","",データ!U241)</f>
        <v>0</v>
      </c>
      <c r="Y244" s="48">
        <f>データ!V241</f>
        <v>0</v>
      </c>
      <c r="Z244" s="39" t="str">
        <f>IF(OR($C244="総括",$C244="内訳書",$C244="内訳代価",$C244="明細書",$C244="明細代価",$C244="代価表",$C244="単価表"),データ!W241,"")</f>
        <v/>
      </c>
      <c r="AA244" s="11" t="str">
        <f t="shared" si="22"/>
        <v/>
      </c>
      <c r="AB244" s="46" t="e">
        <f t="shared" si="23"/>
        <v>#DIV/0!</v>
      </c>
      <c r="AC244" s="40" t="str">
        <f>IF(データ!X241="","",データ!X241)</f>
        <v/>
      </c>
      <c r="AD244" s="41" t="str">
        <f>IF(データ!Y241="","",データ!Y241)</f>
        <v/>
      </c>
      <c r="AE244" s="47" t="str">
        <f>TRIM(データ!B241)</f>
        <v/>
      </c>
      <c r="AF244" s="43" t="str">
        <f>TRIM(データ!Z241)</f>
        <v/>
      </c>
    </row>
    <row r="245" spans="1:32" x14ac:dyDescent="0.15">
      <c r="A245" s="47">
        <f>データ!A242</f>
        <v>2</v>
      </c>
      <c r="B245" s="47" t="str">
        <f>TRIM(データ!C242)</f>
        <v/>
      </c>
      <c r="C245" s="47" t="str">
        <f>TRIM(データ!D242)</f>
        <v>運搬費</v>
      </c>
      <c r="D245" s="36" t="str">
        <f>REPT("｜",$A245)&amp;TRIM(データ!E242)</f>
        <v>｜｜10t回送費</v>
      </c>
      <c r="E245" s="37" t="str">
        <f>TRIM(データ!F242)</f>
        <v>CR,TR,TS</v>
      </c>
      <c r="F245" s="38" t="str">
        <f>TRIM(データ!G242)</f>
        <v>回</v>
      </c>
      <c r="G245" s="50">
        <f>データ!H242</f>
        <v>4</v>
      </c>
      <c r="H245" s="48">
        <f>データ!I242</f>
        <v>22000</v>
      </c>
      <c r="I245" s="48">
        <f>データ!J242</f>
        <v>88000</v>
      </c>
      <c r="J245" s="39" t="str">
        <f>IF(OR($C245="総括",$C245="内訳書",$C245="内訳代価",$C245="明細書",$C245="明細代価",$C245="代価表",$C245="単価表"),データ!K242,"")</f>
        <v/>
      </c>
      <c r="K245" s="11" t="str">
        <f t="shared" si="18"/>
        <v/>
      </c>
      <c r="L245" s="46">
        <f t="shared" si="19"/>
        <v>4.7574330837302815E-3</v>
      </c>
      <c r="M245" s="40" t="str">
        <f>IF(データ!L242="","",データ!L242)</f>
        <v/>
      </c>
      <c r="N245" s="41" t="str">
        <f>IF(データ!M242="","",データ!M242)</f>
        <v/>
      </c>
      <c r="O245" s="42">
        <f>データ!N242</f>
        <v>0</v>
      </c>
      <c r="P245" s="48">
        <f>IF($C245="集計行","",データ!O242)</f>
        <v>0</v>
      </c>
      <c r="Q245" s="48">
        <f>データ!P242</f>
        <v>0</v>
      </c>
      <c r="R245" s="39" t="str">
        <f>IF(OR($C245="総括",$C245="内訳書",$C245="内訳代価",$C245="明細書",$C245="明細代価",$C245="代価表",$C245="単価表"),データ!Q242,"")</f>
        <v/>
      </c>
      <c r="S245" s="11" t="str">
        <f t="shared" si="20"/>
        <v/>
      </c>
      <c r="T245" s="46" t="e">
        <f t="shared" si="21"/>
        <v>#DIV/0!</v>
      </c>
      <c r="U245" s="40" t="str">
        <f>IF(データ!R242="","",データ!R242)</f>
        <v/>
      </c>
      <c r="V245" s="41" t="str">
        <f>IF(データ!S242="","",データ!S242)</f>
        <v/>
      </c>
      <c r="W245" s="42">
        <f>データ!T242</f>
        <v>0</v>
      </c>
      <c r="X245" s="48">
        <f>IF($C245="集計行","",データ!U242)</f>
        <v>0</v>
      </c>
      <c r="Y245" s="48">
        <f>データ!V242</f>
        <v>0</v>
      </c>
      <c r="Z245" s="39" t="str">
        <f>IF(OR($C245="総括",$C245="内訳書",$C245="内訳代価",$C245="明細書",$C245="明細代価",$C245="代価表",$C245="単価表"),データ!W242,"")</f>
        <v/>
      </c>
      <c r="AA245" s="11" t="str">
        <f t="shared" si="22"/>
        <v/>
      </c>
      <c r="AB245" s="46" t="e">
        <f t="shared" si="23"/>
        <v>#DIV/0!</v>
      </c>
      <c r="AC245" s="40" t="str">
        <f>IF(データ!X242="","",データ!X242)</f>
        <v/>
      </c>
      <c r="AD245" s="41" t="str">
        <f>IF(データ!Y242="","",データ!Y242)</f>
        <v/>
      </c>
      <c r="AE245" s="47" t="str">
        <f>TRIM(データ!B242)</f>
        <v/>
      </c>
      <c r="AF245" s="43" t="str">
        <f>TRIM(データ!Z242)</f>
        <v/>
      </c>
    </row>
    <row r="246" spans="1:32" x14ac:dyDescent="0.15">
      <c r="A246" s="47">
        <f>データ!A243</f>
        <v>2</v>
      </c>
      <c r="B246" s="47" t="str">
        <f>TRIM(データ!C243)</f>
        <v/>
      </c>
      <c r="C246" s="47" t="str">
        <f>TRIM(データ!D243)</f>
        <v>運搬費</v>
      </c>
      <c r="D246" s="36" t="str">
        <f>REPT("｜",$A246)&amp;TRIM(データ!E243)</f>
        <v>｜｜6t回送費</v>
      </c>
      <c r="E246" s="37" t="str">
        <f>TRIM(データ!F243)</f>
        <v>BH</v>
      </c>
      <c r="F246" s="38" t="str">
        <f>TRIM(データ!G243)</f>
        <v>回</v>
      </c>
      <c r="G246" s="50">
        <f>データ!H243</f>
        <v>4</v>
      </c>
      <c r="H246" s="48">
        <f>データ!I243</f>
        <v>16000</v>
      </c>
      <c r="I246" s="48">
        <f>データ!J243</f>
        <v>64000</v>
      </c>
      <c r="J246" s="39" t="str">
        <f>IF(OR($C246="総括",$C246="内訳書",$C246="内訳代価",$C246="明細書",$C246="明細代価",$C246="代価表",$C246="単価表"),データ!K243,"")</f>
        <v/>
      </c>
      <c r="K246" s="11" t="str">
        <f t="shared" si="18"/>
        <v/>
      </c>
      <c r="L246" s="46">
        <f t="shared" si="19"/>
        <v>3.459951333622023E-3</v>
      </c>
      <c r="M246" s="40" t="str">
        <f>IF(データ!L243="","",データ!L243)</f>
        <v/>
      </c>
      <c r="N246" s="41" t="str">
        <f>IF(データ!M243="","",データ!M243)</f>
        <v/>
      </c>
      <c r="O246" s="42">
        <f>データ!N243</f>
        <v>0</v>
      </c>
      <c r="P246" s="48">
        <f>IF($C246="集計行","",データ!O243)</f>
        <v>0</v>
      </c>
      <c r="Q246" s="48">
        <f>データ!P243</f>
        <v>0</v>
      </c>
      <c r="R246" s="39" t="str">
        <f>IF(OR($C246="総括",$C246="内訳書",$C246="内訳代価",$C246="明細書",$C246="明細代価",$C246="代価表",$C246="単価表"),データ!Q243,"")</f>
        <v/>
      </c>
      <c r="S246" s="11" t="str">
        <f t="shared" si="20"/>
        <v/>
      </c>
      <c r="T246" s="46" t="e">
        <f t="shared" si="21"/>
        <v>#DIV/0!</v>
      </c>
      <c r="U246" s="40" t="str">
        <f>IF(データ!R243="","",データ!R243)</f>
        <v/>
      </c>
      <c r="V246" s="41" t="str">
        <f>IF(データ!S243="","",データ!S243)</f>
        <v/>
      </c>
      <c r="W246" s="42">
        <f>データ!T243</f>
        <v>0</v>
      </c>
      <c r="X246" s="48">
        <f>IF($C246="集計行","",データ!U243)</f>
        <v>0</v>
      </c>
      <c r="Y246" s="48">
        <f>データ!V243</f>
        <v>0</v>
      </c>
      <c r="Z246" s="39" t="str">
        <f>IF(OR($C246="総括",$C246="内訳書",$C246="内訳代価",$C246="明細書",$C246="明細代価",$C246="代価表",$C246="単価表"),データ!W243,"")</f>
        <v/>
      </c>
      <c r="AA246" s="11" t="str">
        <f t="shared" si="22"/>
        <v/>
      </c>
      <c r="AB246" s="46" t="e">
        <f t="shared" si="23"/>
        <v>#DIV/0!</v>
      </c>
      <c r="AC246" s="40" t="str">
        <f>IF(データ!X243="","",データ!X243)</f>
        <v/>
      </c>
      <c r="AD246" s="41" t="str">
        <f>IF(データ!Y243="","",データ!Y243)</f>
        <v/>
      </c>
      <c r="AE246" s="47" t="str">
        <f>TRIM(データ!B243)</f>
        <v/>
      </c>
      <c r="AF246" s="43" t="str">
        <f>TRIM(データ!Z243)</f>
        <v/>
      </c>
    </row>
    <row r="247" spans="1:32" x14ac:dyDescent="0.15">
      <c r="A247" s="47">
        <f>データ!A244</f>
        <v>2</v>
      </c>
      <c r="B247" s="47" t="str">
        <f>TRIM(データ!C244)</f>
        <v/>
      </c>
      <c r="C247" s="47" t="str">
        <f>TRIM(データ!D244)</f>
        <v>運搬費</v>
      </c>
      <c r="D247" s="36" t="str">
        <f>REPT("｜",$A247)&amp;TRIM(データ!E244)</f>
        <v>｜｜2tダンプ</v>
      </c>
      <c r="E247" s="37" t="str">
        <f>TRIM(データ!F244)</f>
        <v/>
      </c>
      <c r="F247" s="38" t="str">
        <f>TRIM(データ!G244)</f>
        <v>台</v>
      </c>
      <c r="G247" s="50">
        <f>データ!H244</f>
        <v>4</v>
      </c>
      <c r="H247" s="48">
        <f>データ!I244</f>
        <v>8000</v>
      </c>
      <c r="I247" s="48">
        <f>データ!J244</f>
        <v>32000</v>
      </c>
      <c r="J247" s="39" t="str">
        <f>IF(OR($C247="総括",$C247="内訳書",$C247="内訳代価",$C247="明細書",$C247="明細代価",$C247="代価表",$C247="単価表"),データ!K244,"")</f>
        <v/>
      </c>
      <c r="K247" s="11" t="str">
        <f t="shared" si="18"/>
        <v/>
      </c>
      <c r="L247" s="46">
        <f t="shared" si="19"/>
        <v>1.7299756668110115E-3</v>
      </c>
      <c r="M247" s="40" t="str">
        <f>IF(データ!L244="","",データ!L244)</f>
        <v/>
      </c>
      <c r="N247" s="41" t="str">
        <f>IF(データ!M244="","",データ!M244)</f>
        <v/>
      </c>
      <c r="O247" s="42">
        <f>データ!N244</f>
        <v>0</v>
      </c>
      <c r="P247" s="48">
        <f>IF($C247="集計行","",データ!O244)</f>
        <v>0</v>
      </c>
      <c r="Q247" s="48">
        <f>データ!P244</f>
        <v>0</v>
      </c>
      <c r="R247" s="39" t="str">
        <f>IF(OR($C247="総括",$C247="内訳書",$C247="内訳代価",$C247="明細書",$C247="明細代価",$C247="代価表",$C247="単価表"),データ!Q244,"")</f>
        <v/>
      </c>
      <c r="S247" s="11" t="str">
        <f t="shared" si="20"/>
        <v/>
      </c>
      <c r="T247" s="46" t="e">
        <f t="shared" si="21"/>
        <v>#DIV/0!</v>
      </c>
      <c r="U247" s="40" t="str">
        <f>IF(データ!R244="","",データ!R244)</f>
        <v/>
      </c>
      <c r="V247" s="41" t="str">
        <f>IF(データ!S244="","",データ!S244)</f>
        <v/>
      </c>
      <c r="W247" s="42">
        <f>データ!T244</f>
        <v>0</v>
      </c>
      <c r="X247" s="48">
        <f>IF($C247="集計行","",データ!U244)</f>
        <v>0</v>
      </c>
      <c r="Y247" s="48">
        <f>データ!V244</f>
        <v>0</v>
      </c>
      <c r="Z247" s="39" t="str">
        <f>IF(OR($C247="総括",$C247="内訳書",$C247="内訳代価",$C247="明細書",$C247="明細代価",$C247="代価表",$C247="単価表"),データ!W244,"")</f>
        <v/>
      </c>
      <c r="AA247" s="11" t="str">
        <f t="shared" si="22"/>
        <v/>
      </c>
      <c r="AB247" s="46" t="e">
        <f t="shared" si="23"/>
        <v>#DIV/0!</v>
      </c>
      <c r="AC247" s="40" t="str">
        <f>IF(データ!X244="","",データ!X244)</f>
        <v/>
      </c>
      <c r="AD247" s="41" t="str">
        <f>IF(データ!Y244="","",データ!Y244)</f>
        <v/>
      </c>
      <c r="AE247" s="47" t="str">
        <f>TRIM(データ!B244)</f>
        <v/>
      </c>
      <c r="AF247" s="43" t="str">
        <f>TRIM(データ!Z244)</f>
        <v/>
      </c>
    </row>
    <row r="248" spans="1:32" x14ac:dyDescent="0.15">
      <c r="A248" s="47">
        <f>データ!A245</f>
        <v>2</v>
      </c>
      <c r="B248" s="47" t="str">
        <f>TRIM(データ!C245)</f>
        <v/>
      </c>
      <c r="C248" s="47" t="str">
        <f>TRIM(データ!D245)</f>
        <v>運搬費</v>
      </c>
      <c r="D248" s="36" t="str">
        <f>REPT("｜",$A248)&amp;TRIM(データ!E245)</f>
        <v>｜｜WP</v>
      </c>
      <c r="E248" s="37" t="str">
        <f>TRIM(データ!F245)</f>
        <v/>
      </c>
      <c r="F248" s="38" t="str">
        <f>TRIM(データ!G245)</f>
        <v>台</v>
      </c>
      <c r="G248" s="50">
        <f>データ!H245</f>
        <v>4</v>
      </c>
      <c r="H248" s="48">
        <f>データ!I245</f>
        <v>8000</v>
      </c>
      <c r="I248" s="48">
        <f>データ!J245</f>
        <v>32000</v>
      </c>
      <c r="J248" s="39" t="str">
        <f>IF(OR($C248="総括",$C248="内訳書",$C248="内訳代価",$C248="明細書",$C248="明細代価",$C248="代価表",$C248="単価表"),データ!K245,"")</f>
        <v/>
      </c>
      <c r="K248" s="11" t="str">
        <f t="shared" si="18"/>
        <v/>
      </c>
      <c r="L248" s="46">
        <f t="shared" si="19"/>
        <v>1.7299756668110115E-3</v>
      </c>
      <c r="M248" s="40" t="str">
        <f>IF(データ!L245="","",データ!L245)</f>
        <v/>
      </c>
      <c r="N248" s="41" t="str">
        <f>IF(データ!M245="","",データ!M245)</f>
        <v/>
      </c>
      <c r="O248" s="42">
        <f>データ!N245</f>
        <v>0</v>
      </c>
      <c r="P248" s="48">
        <f>IF($C248="集計行","",データ!O245)</f>
        <v>0</v>
      </c>
      <c r="Q248" s="48">
        <f>データ!P245</f>
        <v>0</v>
      </c>
      <c r="R248" s="39" t="str">
        <f>IF(OR($C248="総括",$C248="内訳書",$C248="内訳代価",$C248="明細書",$C248="明細代価",$C248="代価表",$C248="単価表"),データ!Q245,"")</f>
        <v/>
      </c>
      <c r="S248" s="11" t="str">
        <f t="shared" si="20"/>
        <v/>
      </c>
      <c r="T248" s="46" t="e">
        <f t="shared" si="21"/>
        <v>#DIV/0!</v>
      </c>
      <c r="U248" s="40" t="str">
        <f>IF(データ!R245="","",データ!R245)</f>
        <v/>
      </c>
      <c r="V248" s="41" t="str">
        <f>IF(データ!S245="","",データ!S245)</f>
        <v/>
      </c>
      <c r="W248" s="42">
        <f>データ!T245</f>
        <v>0</v>
      </c>
      <c r="X248" s="48">
        <f>IF($C248="集計行","",データ!U245)</f>
        <v>0</v>
      </c>
      <c r="Y248" s="48">
        <f>データ!V245</f>
        <v>0</v>
      </c>
      <c r="Z248" s="39" t="str">
        <f>IF(OR($C248="総括",$C248="内訳書",$C248="内訳代価",$C248="明細書",$C248="明細代価",$C248="代価表",$C248="単価表"),データ!W245,"")</f>
        <v/>
      </c>
      <c r="AA248" s="11" t="str">
        <f t="shared" si="22"/>
        <v/>
      </c>
      <c r="AB248" s="46" t="e">
        <f t="shared" si="23"/>
        <v>#DIV/0!</v>
      </c>
      <c r="AC248" s="40" t="str">
        <f>IF(データ!X245="","",データ!X245)</f>
        <v/>
      </c>
      <c r="AD248" s="41" t="str">
        <f>IF(データ!Y245="","",データ!Y245)</f>
        <v/>
      </c>
      <c r="AE248" s="47" t="str">
        <f>TRIM(データ!B245)</f>
        <v/>
      </c>
      <c r="AF248" s="43" t="str">
        <f>TRIM(データ!Z245)</f>
        <v/>
      </c>
    </row>
    <row r="249" spans="1:32" x14ac:dyDescent="0.15">
      <c r="A249" s="47">
        <f>データ!A246</f>
        <v>2</v>
      </c>
      <c r="B249" s="47" t="str">
        <f>TRIM(データ!C246)</f>
        <v/>
      </c>
      <c r="C249" s="47" t="str">
        <f>TRIM(データ!D246)</f>
        <v>外注費</v>
      </c>
      <c r="D249" s="36" t="str">
        <f>REPT("｜",$A249)&amp;TRIM(データ!E246)</f>
        <v>｜｜諸経費</v>
      </c>
      <c r="E249" s="37" t="str">
        <f>TRIM(データ!F246)</f>
        <v/>
      </c>
      <c r="F249" s="38" t="str">
        <f>TRIM(データ!G246)</f>
        <v>式</v>
      </c>
      <c r="G249" s="50">
        <f>データ!H246</f>
        <v>1</v>
      </c>
      <c r="H249" s="48">
        <f>データ!I246</f>
        <v>100000</v>
      </c>
      <c r="I249" s="48">
        <f>データ!J246</f>
        <v>100000</v>
      </c>
      <c r="J249" s="39" t="str">
        <f>IF(OR($C249="総括",$C249="内訳書",$C249="内訳代価",$C249="明細書",$C249="明細代価",$C249="代価表",$C249="単価表"),データ!K246,"")</f>
        <v/>
      </c>
      <c r="K249" s="11" t="str">
        <f t="shared" si="18"/>
        <v/>
      </c>
      <c r="L249" s="46">
        <f t="shared" si="19"/>
        <v>5.4061739587844106E-3</v>
      </c>
      <c r="M249" s="40" t="str">
        <f>IF(データ!L246="","",データ!L246)</f>
        <v/>
      </c>
      <c r="N249" s="41" t="str">
        <f>IF(データ!M246="","",データ!M246)</f>
        <v/>
      </c>
      <c r="O249" s="42">
        <f>データ!N246</f>
        <v>0</v>
      </c>
      <c r="P249" s="48">
        <f>IF($C249="集計行","",データ!O246)</f>
        <v>0</v>
      </c>
      <c r="Q249" s="48">
        <f>データ!P246</f>
        <v>0</v>
      </c>
      <c r="R249" s="39" t="str">
        <f>IF(OR($C249="総括",$C249="内訳書",$C249="内訳代価",$C249="明細書",$C249="明細代価",$C249="代価表",$C249="単価表"),データ!Q246,"")</f>
        <v/>
      </c>
      <c r="S249" s="11" t="str">
        <f t="shared" si="20"/>
        <v/>
      </c>
      <c r="T249" s="46" t="e">
        <f t="shared" si="21"/>
        <v>#DIV/0!</v>
      </c>
      <c r="U249" s="40" t="str">
        <f>IF(データ!R246="","",データ!R246)</f>
        <v/>
      </c>
      <c r="V249" s="41" t="str">
        <f>IF(データ!S246="","",データ!S246)</f>
        <v/>
      </c>
      <c r="W249" s="42">
        <f>データ!T246</f>
        <v>0</v>
      </c>
      <c r="X249" s="48">
        <f>IF($C249="集計行","",データ!U246)</f>
        <v>0</v>
      </c>
      <c r="Y249" s="48">
        <f>データ!V246</f>
        <v>0</v>
      </c>
      <c r="Z249" s="39" t="str">
        <f>IF(OR($C249="総括",$C249="内訳書",$C249="内訳代価",$C249="明細書",$C249="明細代価",$C249="代価表",$C249="単価表"),データ!W246,"")</f>
        <v/>
      </c>
      <c r="AA249" s="11" t="str">
        <f t="shared" si="22"/>
        <v/>
      </c>
      <c r="AB249" s="46" t="e">
        <f t="shared" si="23"/>
        <v>#DIV/0!</v>
      </c>
      <c r="AC249" s="40" t="str">
        <f>IF(データ!X246="","",データ!X246)</f>
        <v/>
      </c>
      <c r="AD249" s="41" t="str">
        <f>IF(データ!Y246="","",データ!Y246)</f>
        <v/>
      </c>
      <c r="AE249" s="47" t="str">
        <f>TRIM(データ!B246)</f>
        <v/>
      </c>
      <c r="AF249" s="43" t="str">
        <f>TRIM(データ!Z246)</f>
        <v/>
      </c>
    </row>
    <row r="250" spans="1:32" x14ac:dyDescent="0.15">
      <c r="A250" s="47">
        <f>データ!A247</f>
        <v>2</v>
      </c>
      <c r="B250" s="47" t="str">
        <f>TRIM(データ!C247)</f>
        <v/>
      </c>
      <c r="C250" s="47" t="str">
        <f>TRIM(データ!D247)</f>
        <v>外注費</v>
      </c>
      <c r="D250" s="36" t="str">
        <f>REPT("｜",$A250)&amp;TRIM(データ!E247)</f>
        <v>｜｜法定福利費舗装</v>
      </c>
      <c r="E250" s="37" t="str">
        <f>TRIM(データ!F247)</f>
        <v/>
      </c>
      <c r="F250" s="38" t="str">
        <f>TRIM(データ!G247)</f>
        <v>式</v>
      </c>
      <c r="G250" s="50">
        <f>データ!H247</f>
        <v>1</v>
      </c>
      <c r="H250" s="48">
        <f>データ!I247</f>
        <v>58880</v>
      </c>
      <c r="I250" s="48">
        <f>データ!J247</f>
        <v>58880</v>
      </c>
      <c r="J250" s="39" t="str">
        <f>IF(OR($C250="総括",$C250="内訳書",$C250="内訳代価",$C250="明細書",$C250="明細代価",$C250="代価表",$C250="単価表"),データ!K247,"")</f>
        <v/>
      </c>
      <c r="K250" s="11" t="str">
        <f t="shared" si="18"/>
        <v/>
      </c>
      <c r="L250" s="46">
        <f t="shared" si="19"/>
        <v>3.1831552269322612E-3</v>
      </c>
      <c r="M250" s="40" t="str">
        <f>IF(データ!L247="","",データ!L247)</f>
        <v/>
      </c>
      <c r="N250" s="41" t="str">
        <f>IF(データ!M247="","",データ!M247)</f>
        <v/>
      </c>
      <c r="O250" s="42">
        <f>データ!N247</f>
        <v>0</v>
      </c>
      <c r="P250" s="48">
        <f>IF($C250="集計行","",データ!O247)</f>
        <v>0</v>
      </c>
      <c r="Q250" s="48">
        <f>データ!P247</f>
        <v>0</v>
      </c>
      <c r="R250" s="39" t="str">
        <f>IF(OR($C250="総括",$C250="内訳書",$C250="内訳代価",$C250="明細書",$C250="明細代価",$C250="代価表",$C250="単価表"),データ!Q247,"")</f>
        <v/>
      </c>
      <c r="S250" s="11" t="str">
        <f t="shared" si="20"/>
        <v/>
      </c>
      <c r="T250" s="46" t="e">
        <f t="shared" si="21"/>
        <v>#DIV/0!</v>
      </c>
      <c r="U250" s="40" t="str">
        <f>IF(データ!R247="","",データ!R247)</f>
        <v/>
      </c>
      <c r="V250" s="41" t="str">
        <f>IF(データ!S247="","",データ!S247)</f>
        <v/>
      </c>
      <c r="W250" s="42">
        <f>データ!T247</f>
        <v>0</v>
      </c>
      <c r="X250" s="48">
        <f>IF($C250="集計行","",データ!U247)</f>
        <v>0</v>
      </c>
      <c r="Y250" s="48">
        <f>データ!V247</f>
        <v>0</v>
      </c>
      <c r="Z250" s="39" t="str">
        <f>IF(OR($C250="総括",$C250="内訳書",$C250="内訳代価",$C250="明細書",$C250="明細代価",$C250="代価表",$C250="単価表"),データ!W247,"")</f>
        <v/>
      </c>
      <c r="AA250" s="11" t="str">
        <f t="shared" si="22"/>
        <v/>
      </c>
      <c r="AB250" s="46" t="e">
        <f t="shared" si="23"/>
        <v>#DIV/0!</v>
      </c>
      <c r="AC250" s="40" t="str">
        <f>IF(データ!X247="","",データ!X247)</f>
        <v/>
      </c>
      <c r="AD250" s="41" t="str">
        <f>IF(データ!Y247="","",データ!Y247)</f>
        <v/>
      </c>
      <c r="AE250" s="47" t="str">
        <f>TRIM(データ!B247)</f>
        <v/>
      </c>
      <c r="AF250" s="43" t="str">
        <f>TRIM(データ!Z247)</f>
        <v/>
      </c>
    </row>
    <row r="251" spans="1:32" x14ac:dyDescent="0.15">
      <c r="A251" s="47">
        <f>データ!A248</f>
        <v>2</v>
      </c>
      <c r="B251" s="47" t="str">
        <f>TRIM(データ!C248)</f>
        <v/>
      </c>
      <c r="C251" s="47" t="str">
        <f>TRIM(データ!D248)</f>
        <v>外注費</v>
      </c>
      <c r="D251" s="36" t="str">
        <f>REPT("｜",$A251)&amp;TRIM(データ!E248)</f>
        <v>｜｜法定福利費切削</v>
      </c>
      <c r="E251" s="37" t="str">
        <f>TRIM(データ!F248)</f>
        <v/>
      </c>
      <c r="F251" s="38" t="str">
        <f>TRIM(データ!G248)</f>
        <v>式</v>
      </c>
      <c r="G251" s="50">
        <f>データ!H248</f>
        <v>1</v>
      </c>
      <c r="H251" s="48">
        <f>データ!I248</f>
        <v>10300</v>
      </c>
      <c r="I251" s="48">
        <f>データ!J248</f>
        <v>10300</v>
      </c>
      <c r="J251" s="39" t="str">
        <f>IF(OR($C251="総括",$C251="内訳書",$C251="内訳代価",$C251="明細書",$C251="明細代価",$C251="代価表",$C251="単価表"),データ!K248,"")</f>
        <v/>
      </c>
      <c r="K251" s="11" t="str">
        <f t="shared" si="18"/>
        <v/>
      </c>
      <c r="L251" s="46">
        <f t="shared" si="19"/>
        <v>5.5683591775479435E-4</v>
      </c>
      <c r="M251" s="40" t="str">
        <f>IF(データ!L248="","",データ!L248)</f>
        <v/>
      </c>
      <c r="N251" s="41" t="str">
        <f>IF(データ!M248="","",データ!M248)</f>
        <v/>
      </c>
      <c r="O251" s="42">
        <f>データ!N248</f>
        <v>0</v>
      </c>
      <c r="P251" s="48">
        <f>IF($C251="集計行","",データ!O248)</f>
        <v>0</v>
      </c>
      <c r="Q251" s="48">
        <f>データ!P248</f>
        <v>0</v>
      </c>
      <c r="R251" s="39" t="str">
        <f>IF(OR($C251="総括",$C251="内訳書",$C251="内訳代価",$C251="明細書",$C251="明細代価",$C251="代価表",$C251="単価表"),データ!Q248,"")</f>
        <v/>
      </c>
      <c r="S251" s="11" t="str">
        <f t="shared" si="20"/>
        <v/>
      </c>
      <c r="T251" s="46" t="e">
        <f t="shared" si="21"/>
        <v>#DIV/0!</v>
      </c>
      <c r="U251" s="40" t="str">
        <f>IF(データ!R248="","",データ!R248)</f>
        <v/>
      </c>
      <c r="V251" s="41" t="str">
        <f>IF(データ!S248="","",データ!S248)</f>
        <v/>
      </c>
      <c r="W251" s="42">
        <f>データ!T248</f>
        <v>0</v>
      </c>
      <c r="X251" s="48">
        <f>IF($C251="集計行","",データ!U248)</f>
        <v>0</v>
      </c>
      <c r="Y251" s="48">
        <f>データ!V248</f>
        <v>0</v>
      </c>
      <c r="Z251" s="39" t="str">
        <f>IF(OR($C251="総括",$C251="内訳書",$C251="内訳代価",$C251="明細書",$C251="明細代価",$C251="代価表",$C251="単価表"),データ!W248,"")</f>
        <v/>
      </c>
      <c r="AA251" s="11" t="str">
        <f t="shared" si="22"/>
        <v/>
      </c>
      <c r="AB251" s="46" t="e">
        <f t="shared" si="23"/>
        <v>#DIV/0!</v>
      </c>
      <c r="AC251" s="40" t="str">
        <f>IF(データ!X248="","",データ!X248)</f>
        <v/>
      </c>
      <c r="AD251" s="41" t="str">
        <f>IF(データ!Y248="","",データ!Y248)</f>
        <v/>
      </c>
      <c r="AE251" s="47" t="str">
        <f>TRIM(データ!B248)</f>
        <v/>
      </c>
      <c r="AF251" s="43" t="str">
        <f>TRIM(データ!Z248)</f>
        <v/>
      </c>
    </row>
    <row r="252" spans="1:32" x14ac:dyDescent="0.15">
      <c r="A252" s="47">
        <f>データ!A249</f>
        <v>2</v>
      </c>
      <c r="B252" s="47" t="str">
        <f>TRIM(データ!C249)</f>
        <v/>
      </c>
      <c r="C252" s="47" t="str">
        <f>TRIM(データ!D249)</f>
        <v>外注費</v>
      </c>
      <c r="D252" s="36" t="str">
        <f>REPT("｜",$A252)&amp;TRIM(データ!E249)</f>
        <v>｜｜交通誘導員</v>
      </c>
      <c r="E252" s="37" t="str">
        <f>TRIM(データ!F249)</f>
        <v/>
      </c>
      <c r="F252" s="38" t="str">
        <f>TRIM(データ!G249)</f>
        <v>人</v>
      </c>
      <c r="G252" s="50">
        <f>データ!H249</f>
        <v>14</v>
      </c>
      <c r="H252" s="48">
        <f>データ!I249</f>
        <v>18000</v>
      </c>
      <c r="I252" s="48">
        <f>データ!J249</f>
        <v>252000</v>
      </c>
      <c r="J252" s="39" t="str">
        <f>IF(OR($C252="総括",$C252="内訳書",$C252="内訳代価",$C252="明細書",$C252="明細代価",$C252="代価表",$C252="単価表"),データ!K249,"")</f>
        <v/>
      </c>
      <c r="K252" s="11" t="str">
        <f t="shared" si="18"/>
        <v/>
      </c>
      <c r="L252" s="46">
        <f t="shared" si="19"/>
        <v>1.3623558376136716E-2</v>
      </c>
      <c r="M252" s="40" t="str">
        <f>IF(データ!L249="","",データ!L249)</f>
        <v/>
      </c>
      <c r="N252" s="41" t="str">
        <f>IF(データ!M249="","",データ!M249)</f>
        <v/>
      </c>
      <c r="O252" s="42">
        <f>データ!N249</f>
        <v>0</v>
      </c>
      <c r="P252" s="48">
        <f>IF($C252="集計行","",データ!O249)</f>
        <v>0</v>
      </c>
      <c r="Q252" s="48">
        <f>データ!P249</f>
        <v>0</v>
      </c>
      <c r="R252" s="39" t="str">
        <f>IF(OR($C252="総括",$C252="内訳書",$C252="内訳代価",$C252="明細書",$C252="明細代価",$C252="代価表",$C252="単価表"),データ!Q249,"")</f>
        <v/>
      </c>
      <c r="S252" s="11" t="str">
        <f t="shared" si="20"/>
        <v/>
      </c>
      <c r="T252" s="46" t="e">
        <f t="shared" si="21"/>
        <v>#DIV/0!</v>
      </c>
      <c r="U252" s="40" t="str">
        <f>IF(データ!R249="","",データ!R249)</f>
        <v/>
      </c>
      <c r="V252" s="41" t="str">
        <f>IF(データ!S249="","",データ!S249)</f>
        <v/>
      </c>
      <c r="W252" s="42">
        <f>データ!T249</f>
        <v>0</v>
      </c>
      <c r="X252" s="48">
        <f>IF($C252="集計行","",データ!U249)</f>
        <v>0</v>
      </c>
      <c r="Y252" s="48">
        <f>データ!V249</f>
        <v>0</v>
      </c>
      <c r="Z252" s="39" t="str">
        <f>IF(OR($C252="総括",$C252="内訳書",$C252="内訳代価",$C252="明細書",$C252="明細代価",$C252="代価表",$C252="単価表"),データ!W249,"")</f>
        <v/>
      </c>
      <c r="AA252" s="11" t="str">
        <f t="shared" si="22"/>
        <v/>
      </c>
      <c r="AB252" s="46" t="e">
        <f t="shared" si="23"/>
        <v>#DIV/0!</v>
      </c>
      <c r="AC252" s="40" t="str">
        <f>IF(データ!X249="","",データ!X249)</f>
        <v/>
      </c>
      <c r="AD252" s="41" t="str">
        <f>IF(データ!Y249="","",データ!Y249)</f>
        <v/>
      </c>
      <c r="AE252" s="47" t="str">
        <f>TRIM(データ!B249)</f>
        <v/>
      </c>
      <c r="AF252" s="43" t="str">
        <f>TRIM(データ!Z249)</f>
        <v/>
      </c>
    </row>
    <row r="253" spans="1:32" x14ac:dyDescent="0.15">
      <c r="A253" s="47">
        <f>データ!A250</f>
        <v>2</v>
      </c>
      <c r="B253" s="47" t="str">
        <f>TRIM(データ!C250)</f>
        <v/>
      </c>
      <c r="C253" s="47" t="str">
        <f>TRIM(データ!D250)</f>
        <v>機械費</v>
      </c>
      <c r="D253" s="36" t="str">
        <f>REPT("｜",$A253)&amp;TRIM(データ!E250)</f>
        <v>｜｜軽トラ規制車　保安材含</v>
      </c>
      <c r="E253" s="37" t="str">
        <f>TRIM(データ!F250)</f>
        <v/>
      </c>
      <c r="F253" s="38" t="str">
        <f>TRIM(データ!G250)</f>
        <v>台</v>
      </c>
      <c r="G253" s="50">
        <f>データ!H250</f>
        <v>2</v>
      </c>
      <c r="H253" s="48">
        <f>データ!I250</f>
        <v>15000</v>
      </c>
      <c r="I253" s="48">
        <f>データ!J250</f>
        <v>30000</v>
      </c>
      <c r="J253" s="39" t="str">
        <f>IF(OR($C253="総括",$C253="内訳書",$C253="内訳代価",$C253="明細書",$C253="明細代価",$C253="代価表",$C253="単価表"),データ!K250,"")</f>
        <v/>
      </c>
      <c r="K253" s="11" t="str">
        <f t="shared" si="18"/>
        <v/>
      </c>
      <c r="L253" s="46">
        <f t="shared" si="19"/>
        <v>1.6218521876353233E-3</v>
      </c>
      <c r="M253" s="40" t="str">
        <f>IF(データ!L250="","",データ!L250)</f>
        <v/>
      </c>
      <c r="N253" s="41" t="str">
        <f>IF(データ!M250="","",データ!M250)</f>
        <v/>
      </c>
      <c r="O253" s="42">
        <f>データ!N250</f>
        <v>0</v>
      </c>
      <c r="P253" s="48">
        <f>IF($C253="集計行","",データ!O250)</f>
        <v>0</v>
      </c>
      <c r="Q253" s="48">
        <f>データ!P250</f>
        <v>0</v>
      </c>
      <c r="R253" s="39" t="str">
        <f>IF(OR($C253="総括",$C253="内訳書",$C253="内訳代価",$C253="明細書",$C253="明細代価",$C253="代価表",$C253="単価表"),データ!Q250,"")</f>
        <v/>
      </c>
      <c r="S253" s="11" t="str">
        <f t="shared" si="20"/>
        <v/>
      </c>
      <c r="T253" s="46" t="e">
        <f t="shared" si="21"/>
        <v>#DIV/0!</v>
      </c>
      <c r="U253" s="40" t="str">
        <f>IF(データ!R250="","",データ!R250)</f>
        <v/>
      </c>
      <c r="V253" s="41" t="str">
        <f>IF(データ!S250="","",データ!S250)</f>
        <v/>
      </c>
      <c r="W253" s="42">
        <f>データ!T250</f>
        <v>0</v>
      </c>
      <c r="X253" s="48">
        <f>IF($C253="集計行","",データ!U250)</f>
        <v>0</v>
      </c>
      <c r="Y253" s="48">
        <f>データ!V250</f>
        <v>0</v>
      </c>
      <c r="Z253" s="39" t="str">
        <f>IF(OR($C253="総括",$C253="内訳書",$C253="内訳代価",$C253="明細書",$C253="明細代価",$C253="代価表",$C253="単価表"),データ!W250,"")</f>
        <v/>
      </c>
      <c r="AA253" s="11" t="str">
        <f t="shared" si="22"/>
        <v/>
      </c>
      <c r="AB253" s="46" t="e">
        <f t="shared" si="23"/>
        <v>#DIV/0!</v>
      </c>
      <c r="AC253" s="40" t="str">
        <f>IF(データ!X250="","",データ!X250)</f>
        <v/>
      </c>
      <c r="AD253" s="41" t="str">
        <f>IF(データ!Y250="","",データ!Y250)</f>
        <v/>
      </c>
      <c r="AE253" s="47" t="str">
        <f>TRIM(データ!B250)</f>
        <v/>
      </c>
      <c r="AF253" s="43" t="str">
        <f>TRIM(データ!Z250)</f>
        <v/>
      </c>
    </row>
    <row r="254" spans="1:32" x14ac:dyDescent="0.15">
      <c r="A254" s="47">
        <f>データ!A251</f>
        <v>1</v>
      </c>
      <c r="B254" s="47" t="str">
        <f>TRIM(データ!C251)</f>
        <v/>
      </c>
      <c r="C254" s="47" t="str">
        <f>TRIM(データ!D251)</f>
        <v>内訳書</v>
      </c>
      <c r="D254" s="36" t="str">
        <f>REPT("｜",$A254)&amp;TRIM(データ!E251)</f>
        <v>｜路面補修工No.4(夜間)</v>
      </c>
      <c r="E254" s="37" t="str">
        <f>TRIM(データ!F251)</f>
        <v>切削オーバレイ　2層</v>
      </c>
      <c r="F254" s="38" t="str">
        <f>TRIM(データ!G251)</f>
        <v>m2</v>
      </c>
      <c r="G254" s="50">
        <f>データ!H251</f>
        <v>168</v>
      </c>
      <c r="H254" s="48">
        <f>データ!I251</f>
        <v>12700</v>
      </c>
      <c r="I254" s="48">
        <f>データ!J251</f>
        <v>2133600</v>
      </c>
      <c r="J254" s="39">
        <f>IF(OR($C254="総括",$C254="内訳書",$C254="内訳代価",$C254="明細書",$C254="明細代価",$C254="代価表",$C254="単価表"),データ!K251,"")</f>
        <v>168</v>
      </c>
      <c r="K254" s="11" t="str">
        <f t="shared" si="18"/>
        <v/>
      </c>
      <c r="L254" s="46">
        <f t="shared" si="19"/>
        <v>0.11534612758462419</v>
      </c>
      <c r="M254" s="40" t="str">
        <f>IF(データ!L251="","",データ!L251)</f>
        <v/>
      </c>
      <c r="N254" s="41" t="str">
        <f>IF(データ!M251="","",データ!M251)</f>
        <v>28号内訳書</v>
      </c>
      <c r="O254" s="42">
        <f>データ!N251</f>
        <v>0</v>
      </c>
      <c r="P254" s="48">
        <f>IF($C254="集計行","",データ!O251)</f>
        <v>0</v>
      </c>
      <c r="Q254" s="48">
        <f>データ!P251</f>
        <v>0</v>
      </c>
      <c r="R254" s="39">
        <f>IF(OR($C254="総括",$C254="内訳書",$C254="内訳代価",$C254="明細書",$C254="明細代価",$C254="代価表",$C254="単価表"),データ!Q251,"")</f>
        <v>0</v>
      </c>
      <c r="S254" s="11" t="str">
        <f t="shared" si="20"/>
        <v/>
      </c>
      <c r="T254" s="46" t="e">
        <f t="shared" si="21"/>
        <v>#DIV/0!</v>
      </c>
      <c r="U254" s="40" t="str">
        <f>IF(データ!R251="","",データ!R251)</f>
        <v/>
      </c>
      <c r="V254" s="41" t="str">
        <f>IF(データ!S251="","",データ!S251)</f>
        <v/>
      </c>
      <c r="W254" s="42">
        <f>データ!T251</f>
        <v>0</v>
      </c>
      <c r="X254" s="48">
        <f>IF($C254="集計行","",データ!U251)</f>
        <v>0</v>
      </c>
      <c r="Y254" s="48">
        <f>データ!V251</f>
        <v>0</v>
      </c>
      <c r="Z254" s="39">
        <f>IF(OR($C254="総括",$C254="内訳書",$C254="内訳代価",$C254="明細書",$C254="明細代価",$C254="代価表",$C254="単価表"),データ!W251,"")</f>
        <v>0</v>
      </c>
      <c r="AA254" s="11" t="str">
        <f t="shared" si="22"/>
        <v/>
      </c>
      <c r="AB254" s="46" t="e">
        <f t="shared" si="23"/>
        <v>#DIV/0!</v>
      </c>
      <c r="AC254" s="40" t="str">
        <f>IF(データ!X251="","",データ!X251)</f>
        <v/>
      </c>
      <c r="AD254" s="41" t="str">
        <f>IF(データ!Y251="","",データ!Y251)</f>
        <v/>
      </c>
      <c r="AE254" s="47" t="str">
        <f>TRIM(データ!B251)</f>
        <v/>
      </c>
      <c r="AF254" s="43" t="str">
        <f>TRIM(データ!Z251)</f>
        <v/>
      </c>
    </row>
    <row r="255" spans="1:32" x14ac:dyDescent="0.15">
      <c r="A255" s="47">
        <f>データ!A252</f>
        <v>2</v>
      </c>
      <c r="B255" s="47" t="str">
        <f>TRIM(データ!C252)</f>
        <v/>
      </c>
      <c r="C255" s="47" t="str">
        <f>TRIM(データ!D252)</f>
        <v>材料費</v>
      </c>
      <c r="D255" s="36" t="str">
        <f>REPT("｜",$A255)&amp;TRIM(データ!E252)</f>
        <v>｜｜再生密粒(20)改質Ⅱ型 t=50</v>
      </c>
      <c r="E255" s="37" t="str">
        <f>TRIM(データ!F252)</f>
        <v/>
      </c>
      <c r="F255" s="38" t="str">
        <f>TRIM(データ!G252)</f>
        <v>ｔ</v>
      </c>
      <c r="G255" s="50">
        <f>データ!H252</f>
        <v>24</v>
      </c>
      <c r="H255" s="48">
        <f>データ!I252</f>
        <v>10800</v>
      </c>
      <c r="I255" s="48">
        <f>データ!J252</f>
        <v>259200</v>
      </c>
      <c r="J255" s="39" t="str">
        <f>IF(OR($C255="総括",$C255="内訳書",$C255="内訳代価",$C255="明細書",$C255="明細代価",$C255="代価表",$C255="単価表"),データ!K252,"")</f>
        <v/>
      </c>
      <c r="K255" s="11" t="str">
        <f t="shared" si="18"/>
        <v/>
      </c>
      <c r="L255" s="46">
        <f t="shared" si="19"/>
        <v>1.4012802901169193E-2</v>
      </c>
      <c r="M255" s="40" t="str">
        <f>IF(データ!L252="","",データ!L252)</f>
        <v/>
      </c>
      <c r="N255" s="41" t="str">
        <f>IF(データ!M252="","",データ!M252)</f>
        <v/>
      </c>
      <c r="O255" s="42">
        <f>データ!N252</f>
        <v>0</v>
      </c>
      <c r="P255" s="48">
        <f>IF($C255="集計行","",データ!O252)</f>
        <v>0</v>
      </c>
      <c r="Q255" s="48">
        <f>データ!P252</f>
        <v>0</v>
      </c>
      <c r="R255" s="39" t="str">
        <f>IF(OR($C255="総括",$C255="内訳書",$C255="内訳代価",$C255="明細書",$C255="明細代価",$C255="代価表",$C255="単価表"),データ!Q252,"")</f>
        <v/>
      </c>
      <c r="S255" s="11" t="str">
        <f t="shared" si="20"/>
        <v/>
      </c>
      <c r="T255" s="46" t="e">
        <f t="shared" si="21"/>
        <v>#DIV/0!</v>
      </c>
      <c r="U255" s="40" t="str">
        <f>IF(データ!R252="","",データ!R252)</f>
        <v/>
      </c>
      <c r="V255" s="41" t="str">
        <f>IF(データ!S252="","",データ!S252)</f>
        <v/>
      </c>
      <c r="W255" s="42">
        <f>データ!T252</f>
        <v>0</v>
      </c>
      <c r="X255" s="48">
        <f>IF($C255="集計行","",データ!U252)</f>
        <v>0</v>
      </c>
      <c r="Y255" s="48">
        <f>データ!V252</f>
        <v>0</v>
      </c>
      <c r="Z255" s="39" t="str">
        <f>IF(OR($C255="総括",$C255="内訳書",$C255="内訳代価",$C255="明細書",$C255="明細代価",$C255="代価表",$C255="単価表"),データ!W252,"")</f>
        <v/>
      </c>
      <c r="AA255" s="11" t="str">
        <f t="shared" si="22"/>
        <v/>
      </c>
      <c r="AB255" s="46" t="e">
        <f t="shared" si="23"/>
        <v>#DIV/0!</v>
      </c>
      <c r="AC255" s="40" t="str">
        <f>IF(データ!X252="","",データ!X252)</f>
        <v/>
      </c>
      <c r="AD255" s="41" t="str">
        <f>IF(データ!Y252="","",データ!Y252)</f>
        <v/>
      </c>
      <c r="AE255" s="47" t="str">
        <f>TRIM(データ!B252)</f>
        <v/>
      </c>
      <c r="AF255" s="43" t="str">
        <f>TRIM(データ!Z252)</f>
        <v/>
      </c>
    </row>
    <row r="256" spans="1:32" x14ac:dyDescent="0.15">
      <c r="A256" s="47">
        <f>データ!A253</f>
        <v>2</v>
      </c>
      <c r="B256" s="47" t="str">
        <f>TRIM(データ!C253)</f>
        <v/>
      </c>
      <c r="C256" s="47" t="str">
        <f>TRIM(データ!D253)</f>
        <v>材料費</v>
      </c>
      <c r="D256" s="36" t="str">
        <f>REPT("｜",$A256)&amp;TRIM(データ!E253)</f>
        <v>｜｜再生粗粒(20) t=50</v>
      </c>
      <c r="E256" s="37" t="str">
        <f>TRIM(データ!F253)</f>
        <v/>
      </c>
      <c r="F256" s="38" t="str">
        <f>TRIM(データ!G253)</f>
        <v>ｔ</v>
      </c>
      <c r="G256" s="50">
        <f>データ!H253</f>
        <v>22</v>
      </c>
      <c r="H256" s="48">
        <f>データ!I253</f>
        <v>9100</v>
      </c>
      <c r="I256" s="48">
        <f>データ!J253</f>
        <v>200200</v>
      </c>
      <c r="J256" s="39" t="str">
        <f>IF(OR($C256="総括",$C256="内訳書",$C256="内訳代価",$C256="明細書",$C256="明細代価",$C256="代価表",$C256="単価表"),データ!K253,"")</f>
        <v/>
      </c>
      <c r="K256" s="11" t="str">
        <f t="shared" si="18"/>
        <v/>
      </c>
      <c r="L256" s="46">
        <f t="shared" si="19"/>
        <v>1.0823160265486392E-2</v>
      </c>
      <c r="M256" s="40" t="str">
        <f>IF(データ!L253="","",データ!L253)</f>
        <v/>
      </c>
      <c r="N256" s="41" t="str">
        <f>IF(データ!M253="","",データ!M253)</f>
        <v/>
      </c>
      <c r="O256" s="42">
        <f>データ!N253</f>
        <v>0</v>
      </c>
      <c r="P256" s="48">
        <f>IF($C256="集計行","",データ!O253)</f>
        <v>0</v>
      </c>
      <c r="Q256" s="48">
        <f>データ!P253</f>
        <v>0</v>
      </c>
      <c r="R256" s="39" t="str">
        <f>IF(OR($C256="総括",$C256="内訳書",$C256="内訳代価",$C256="明細書",$C256="明細代価",$C256="代価表",$C256="単価表"),データ!Q253,"")</f>
        <v/>
      </c>
      <c r="S256" s="11" t="str">
        <f t="shared" si="20"/>
        <v/>
      </c>
      <c r="T256" s="46" t="e">
        <f t="shared" si="21"/>
        <v>#DIV/0!</v>
      </c>
      <c r="U256" s="40" t="str">
        <f>IF(データ!R253="","",データ!R253)</f>
        <v/>
      </c>
      <c r="V256" s="41" t="str">
        <f>IF(データ!S253="","",データ!S253)</f>
        <v/>
      </c>
      <c r="W256" s="42">
        <f>データ!T253</f>
        <v>0</v>
      </c>
      <c r="X256" s="48">
        <f>IF($C256="集計行","",データ!U253)</f>
        <v>0</v>
      </c>
      <c r="Y256" s="48">
        <f>データ!V253</f>
        <v>0</v>
      </c>
      <c r="Z256" s="39" t="str">
        <f>IF(OR($C256="総括",$C256="内訳書",$C256="内訳代価",$C256="明細書",$C256="明細代価",$C256="代価表",$C256="単価表"),データ!W253,"")</f>
        <v/>
      </c>
      <c r="AA256" s="11" t="str">
        <f t="shared" si="22"/>
        <v/>
      </c>
      <c r="AB256" s="46" t="e">
        <f t="shared" si="23"/>
        <v>#DIV/0!</v>
      </c>
      <c r="AC256" s="40" t="str">
        <f>IF(データ!X253="","",データ!X253)</f>
        <v/>
      </c>
      <c r="AD256" s="41" t="str">
        <f>IF(データ!Y253="","",データ!Y253)</f>
        <v/>
      </c>
      <c r="AE256" s="47" t="str">
        <f>TRIM(データ!B253)</f>
        <v/>
      </c>
      <c r="AF256" s="43" t="str">
        <f>TRIM(データ!Z253)</f>
        <v/>
      </c>
    </row>
    <row r="257" spans="1:32" x14ac:dyDescent="0.15">
      <c r="A257" s="47">
        <f>データ!A254</f>
        <v>2</v>
      </c>
      <c r="B257" s="47" t="str">
        <f>TRIM(データ!C254)</f>
        <v/>
      </c>
      <c r="C257" s="47" t="str">
        <f>TRIM(データ!D254)</f>
        <v>材料費</v>
      </c>
      <c r="D257" s="36" t="str">
        <f>REPT("｜",$A257)&amp;TRIM(データ!E254)</f>
        <v>｜｜アスファルト乳剤タックファイン</v>
      </c>
      <c r="E257" s="37" t="str">
        <f>TRIM(データ!F254)</f>
        <v/>
      </c>
      <c r="F257" s="38" t="str">
        <f>TRIM(データ!G254)</f>
        <v>リットル</v>
      </c>
      <c r="G257" s="50">
        <f>データ!H254</f>
        <v>210</v>
      </c>
      <c r="H257" s="48">
        <f>データ!I254</f>
        <v>155</v>
      </c>
      <c r="I257" s="48">
        <f>データ!J254</f>
        <v>32550</v>
      </c>
      <c r="J257" s="39" t="str">
        <f>IF(OR($C257="総括",$C257="内訳書",$C257="内訳代価",$C257="明細書",$C257="明細代価",$C257="代価表",$C257="単価表"),データ!K254,"")</f>
        <v/>
      </c>
      <c r="K257" s="11" t="str">
        <f t="shared" si="18"/>
        <v/>
      </c>
      <c r="L257" s="46">
        <f t="shared" si="19"/>
        <v>1.7597096235843258E-3</v>
      </c>
      <c r="M257" s="40" t="str">
        <f>IF(データ!L254="","",データ!L254)</f>
        <v/>
      </c>
      <c r="N257" s="41" t="str">
        <f>IF(データ!M254="","",データ!M254)</f>
        <v/>
      </c>
      <c r="O257" s="42">
        <f>データ!N254</f>
        <v>0</v>
      </c>
      <c r="P257" s="48">
        <f>IF($C257="集計行","",データ!O254)</f>
        <v>0</v>
      </c>
      <c r="Q257" s="48">
        <f>データ!P254</f>
        <v>0</v>
      </c>
      <c r="R257" s="39" t="str">
        <f>IF(OR($C257="総括",$C257="内訳書",$C257="内訳代価",$C257="明細書",$C257="明細代価",$C257="代価表",$C257="単価表"),データ!Q254,"")</f>
        <v/>
      </c>
      <c r="S257" s="11" t="str">
        <f t="shared" si="20"/>
        <v/>
      </c>
      <c r="T257" s="46" t="e">
        <f t="shared" si="21"/>
        <v>#DIV/0!</v>
      </c>
      <c r="U257" s="40" t="str">
        <f>IF(データ!R254="","",データ!R254)</f>
        <v/>
      </c>
      <c r="V257" s="41" t="str">
        <f>IF(データ!S254="","",データ!S254)</f>
        <v/>
      </c>
      <c r="W257" s="42">
        <f>データ!T254</f>
        <v>0</v>
      </c>
      <c r="X257" s="48">
        <f>IF($C257="集計行","",データ!U254)</f>
        <v>0</v>
      </c>
      <c r="Y257" s="48">
        <f>データ!V254</f>
        <v>0</v>
      </c>
      <c r="Z257" s="39" t="str">
        <f>IF(OR($C257="総括",$C257="内訳書",$C257="内訳代価",$C257="明細書",$C257="明細代価",$C257="代価表",$C257="単価表"),データ!W254,"")</f>
        <v/>
      </c>
      <c r="AA257" s="11" t="str">
        <f t="shared" si="22"/>
        <v/>
      </c>
      <c r="AB257" s="46" t="e">
        <f t="shared" si="23"/>
        <v>#DIV/0!</v>
      </c>
      <c r="AC257" s="40" t="str">
        <f>IF(データ!X254="","",データ!X254)</f>
        <v/>
      </c>
      <c r="AD257" s="41" t="str">
        <f>IF(データ!Y254="","",データ!Y254)</f>
        <v/>
      </c>
      <c r="AE257" s="47" t="str">
        <f>TRIM(データ!B254)</f>
        <v/>
      </c>
      <c r="AF257" s="43" t="str">
        <f>TRIM(データ!Z254)</f>
        <v/>
      </c>
    </row>
    <row r="258" spans="1:32" x14ac:dyDescent="0.15">
      <c r="A258" s="47">
        <f>データ!A255</f>
        <v>2</v>
      </c>
      <c r="B258" s="47" t="str">
        <f>TRIM(データ!C255)</f>
        <v/>
      </c>
      <c r="C258" s="47" t="str">
        <f>TRIM(データ!D255)</f>
        <v>材料費</v>
      </c>
      <c r="D258" s="36" t="str">
        <f>REPT("｜",$A258)&amp;TRIM(データ!E255)</f>
        <v>｜｜軽油</v>
      </c>
      <c r="E258" s="37" t="str">
        <f>TRIM(データ!F255)</f>
        <v/>
      </c>
      <c r="F258" s="38" t="str">
        <f>TRIM(データ!G255)</f>
        <v>リットル</v>
      </c>
      <c r="G258" s="50">
        <f>データ!H255</f>
        <v>100</v>
      </c>
      <c r="H258" s="48">
        <f>データ!I255</f>
        <v>160</v>
      </c>
      <c r="I258" s="48">
        <f>データ!J255</f>
        <v>16000</v>
      </c>
      <c r="J258" s="39" t="str">
        <f>IF(OR($C258="総括",$C258="内訳書",$C258="内訳代価",$C258="明細書",$C258="明細代価",$C258="代価表",$C258="単価表"),データ!K255,"")</f>
        <v/>
      </c>
      <c r="K258" s="11" t="str">
        <f t="shared" si="18"/>
        <v/>
      </c>
      <c r="L258" s="46">
        <f t="shared" si="19"/>
        <v>8.6498783340550574E-4</v>
      </c>
      <c r="M258" s="40" t="str">
        <f>IF(データ!L255="","",データ!L255)</f>
        <v/>
      </c>
      <c r="N258" s="41" t="str">
        <f>IF(データ!M255="","",データ!M255)</f>
        <v/>
      </c>
      <c r="O258" s="42">
        <f>データ!N255</f>
        <v>0</v>
      </c>
      <c r="P258" s="48">
        <f>IF($C258="集計行","",データ!O255)</f>
        <v>0</v>
      </c>
      <c r="Q258" s="48">
        <f>データ!P255</f>
        <v>0</v>
      </c>
      <c r="R258" s="39" t="str">
        <f>IF(OR($C258="総括",$C258="内訳書",$C258="内訳代価",$C258="明細書",$C258="明細代価",$C258="代価表",$C258="単価表"),データ!Q255,"")</f>
        <v/>
      </c>
      <c r="S258" s="11" t="str">
        <f t="shared" si="20"/>
        <v/>
      </c>
      <c r="T258" s="46" t="e">
        <f t="shared" si="21"/>
        <v>#DIV/0!</v>
      </c>
      <c r="U258" s="40" t="str">
        <f>IF(データ!R255="","",データ!R255)</f>
        <v/>
      </c>
      <c r="V258" s="41" t="str">
        <f>IF(データ!S255="","",データ!S255)</f>
        <v/>
      </c>
      <c r="W258" s="42">
        <f>データ!T255</f>
        <v>0</v>
      </c>
      <c r="X258" s="48">
        <f>IF($C258="集計行","",データ!U255)</f>
        <v>0</v>
      </c>
      <c r="Y258" s="48">
        <f>データ!V255</f>
        <v>0</v>
      </c>
      <c r="Z258" s="39" t="str">
        <f>IF(OR($C258="総括",$C258="内訳書",$C258="内訳代価",$C258="明細書",$C258="明細代価",$C258="代価表",$C258="単価表"),データ!W255,"")</f>
        <v/>
      </c>
      <c r="AA258" s="11" t="str">
        <f t="shared" si="22"/>
        <v/>
      </c>
      <c r="AB258" s="46" t="e">
        <f t="shared" si="23"/>
        <v>#DIV/0!</v>
      </c>
      <c r="AC258" s="40" t="str">
        <f>IF(データ!X255="","",データ!X255)</f>
        <v/>
      </c>
      <c r="AD258" s="41" t="str">
        <f>IF(データ!Y255="","",データ!Y255)</f>
        <v/>
      </c>
      <c r="AE258" s="47" t="str">
        <f>TRIM(データ!B255)</f>
        <v/>
      </c>
      <c r="AF258" s="43" t="str">
        <f>TRIM(データ!Z255)</f>
        <v/>
      </c>
    </row>
    <row r="259" spans="1:32" x14ac:dyDescent="0.15">
      <c r="A259" s="47">
        <f>データ!A256</f>
        <v>2</v>
      </c>
      <c r="B259" s="47" t="str">
        <f>TRIM(データ!C256)</f>
        <v/>
      </c>
      <c r="C259" s="47" t="str">
        <f>TRIM(データ!D256)</f>
        <v>材料費</v>
      </c>
      <c r="D259" s="36" t="str">
        <f>REPT("｜",$A259)&amp;TRIM(データ!E256)</f>
        <v>｜｜ガソリン</v>
      </c>
      <c r="E259" s="37" t="str">
        <f>TRIM(データ!F256)</f>
        <v/>
      </c>
      <c r="F259" s="38" t="str">
        <f>TRIM(データ!G256)</f>
        <v>リットル</v>
      </c>
      <c r="G259" s="50">
        <f>データ!H256</f>
        <v>60</v>
      </c>
      <c r="H259" s="48">
        <f>データ!I256</f>
        <v>180</v>
      </c>
      <c r="I259" s="48">
        <f>データ!J256</f>
        <v>10800</v>
      </c>
      <c r="J259" s="39" t="str">
        <f>IF(OR($C259="総括",$C259="内訳書",$C259="内訳代価",$C259="明細書",$C259="明細代価",$C259="代価表",$C259="単価表"),データ!K256,"")</f>
        <v/>
      </c>
      <c r="K259" s="11" t="str">
        <f t="shared" si="18"/>
        <v/>
      </c>
      <c r="L259" s="46">
        <f t="shared" si="19"/>
        <v>5.838667875487164E-4</v>
      </c>
      <c r="M259" s="40" t="str">
        <f>IF(データ!L256="","",データ!L256)</f>
        <v/>
      </c>
      <c r="N259" s="41" t="str">
        <f>IF(データ!M256="","",データ!M256)</f>
        <v/>
      </c>
      <c r="O259" s="42">
        <f>データ!N256</f>
        <v>0</v>
      </c>
      <c r="P259" s="48">
        <f>IF($C259="集計行","",データ!O256)</f>
        <v>0</v>
      </c>
      <c r="Q259" s="48">
        <f>データ!P256</f>
        <v>0</v>
      </c>
      <c r="R259" s="39" t="str">
        <f>IF(OR($C259="総括",$C259="内訳書",$C259="内訳代価",$C259="明細書",$C259="明細代価",$C259="代価表",$C259="単価表"),データ!Q256,"")</f>
        <v/>
      </c>
      <c r="S259" s="11" t="str">
        <f t="shared" si="20"/>
        <v/>
      </c>
      <c r="T259" s="46" t="e">
        <f t="shared" si="21"/>
        <v>#DIV/0!</v>
      </c>
      <c r="U259" s="40" t="str">
        <f>IF(データ!R256="","",データ!R256)</f>
        <v/>
      </c>
      <c r="V259" s="41" t="str">
        <f>IF(データ!S256="","",データ!S256)</f>
        <v/>
      </c>
      <c r="W259" s="42">
        <f>データ!T256</f>
        <v>0</v>
      </c>
      <c r="X259" s="48">
        <f>IF($C259="集計行","",データ!U256)</f>
        <v>0</v>
      </c>
      <c r="Y259" s="48">
        <f>データ!V256</f>
        <v>0</v>
      </c>
      <c r="Z259" s="39" t="str">
        <f>IF(OR($C259="総括",$C259="内訳書",$C259="内訳代価",$C259="明細書",$C259="明細代価",$C259="代価表",$C259="単価表"),データ!W256,"")</f>
        <v/>
      </c>
      <c r="AA259" s="11" t="str">
        <f t="shared" si="22"/>
        <v/>
      </c>
      <c r="AB259" s="46" t="e">
        <f t="shared" si="23"/>
        <v>#DIV/0!</v>
      </c>
      <c r="AC259" s="40" t="str">
        <f>IF(データ!X256="","",データ!X256)</f>
        <v/>
      </c>
      <c r="AD259" s="41" t="str">
        <f>IF(データ!Y256="","",データ!Y256)</f>
        <v/>
      </c>
      <c r="AE259" s="47" t="str">
        <f>TRIM(データ!B256)</f>
        <v/>
      </c>
      <c r="AF259" s="43" t="str">
        <f>TRIM(データ!Z256)</f>
        <v/>
      </c>
    </row>
    <row r="260" spans="1:32" x14ac:dyDescent="0.15">
      <c r="A260" s="47">
        <f>データ!A257</f>
        <v>2</v>
      </c>
      <c r="B260" s="47" t="str">
        <f>TRIM(データ!C257)</f>
        <v/>
      </c>
      <c r="C260" s="47" t="str">
        <f>TRIM(データ!D257)</f>
        <v>材料費</v>
      </c>
      <c r="D260" s="36" t="str">
        <f>REPT("｜",$A260)&amp;TRIM(データ!E257)</f>
        <v>｜｜雑材</v>
      </c>
      <c r="E260" s="37" t="str">
        <f>TRIM(データ!F257)</f>
        <v/>
      </c>
      <c r="F260" s="38" t="str">
        <f>TRIM(データ!G257)</f>
        <v>式</v>
      </c>
      <c r="G260" s="50">
        <f>データ!H257</f>
        <v>1</v>
      </c>
      <c r="H260" s="48">
        <f>データ!I257</f>
        <v>650</v>
      </c>
      <c r="I260" s="48">
        <f>データ!J257</f>
        <v>650</v>
      </c>
      <c r="J260" s="39" t="str">
        <f>IF(OR($C260="総括",$C260="内訳書",$C260="内訳代価",$C260="明細書",$C260="明細代価",$C260="代価表",$C260="単価表"),データ!K257,"")</f>
        <v/>
      </c>
      <c r="K260" s="11" t="str">
        <f t="shared" si="18"/>
        <v/>
      </c>
      <c r="L260" s="46">
        <f t="shared" si="19"/>
        <v>3.5140130732098668E-5</v>
      </c>
      <c r="M260" s="40" t="str">
        <f>IF(データ!L257="","",データ!L257)</f>
        <v/>
      </c>
      <c r="N260" s="41" t="str">
        <f>IF(データ!M257="","",データ!M257)</f>
        <v/>
      </c>
      <c r="O260" s="42">
        <f>データ!N257</f>
        <v>0</v>
      </c>
      <c r="P260" s="48">
        <f>IF($C260="集計行","",データ!O257)</f>
        <v>0</v>
      </c>
      <c r="Q260" s="48">
        <f>データ!P257</f>
        <v>0</v>
      </c>
      <c r="R260" s="39" t="str">
        <f>IF(OR($C260="総括",$C260="内訳書",$C260="内訳代価",$C260="明細書",$C260="明細代価",$C260="代価表",$C260="単価表"),データ!Q257,"")</f>
        <v/>
      </c>
      <c r="S260" s="11" t="str">
        <f t="shared" si="20"/>
        <v/>
      </c>
      <c r="T260" s="46" t="e">
        <f t="shared" si="21"/>
        <v>#DIV/0!</v>
      </c>
      <c r="U260" s="40" t="str">
        <f>IF(データ!R257="","",データ!R257)</f>
        <v/>
      </c>
      <c r="V260" s="41" t="str">
        <f>IF(データ!S257="","",データ!S257)</f>
        <v/>
      </c>
      <c r="W260" s="42">
        <f>データ!T257</f>
        <v>0</v>
      </c>
      <c r="X260" s="48">
        <f>IF($C260="集計行","",データ!U257)</f>
        <v>0</v>
      </c>
      <c r="Y260" s="48">
        <f>データ!V257</f>
        <v>0</v>
      </c>
      <c r="Z260" s="39" t="str">
        <f>IF(OR($C260="総括",$C260="内訳書",$C260="内訳代価",$C260="明細書",$C260="明細代価",$C260="代価表",$C260="単価表"),データ!W257,"")</f>
        <v/>
      </c>
      <c r="AA260" s="11" t="str">
        <f t="shared" si="22"/>
        <v/>
      </c>
      <c r="AB260" s="46" t="e">
        <f t="shared" si="23"/>
        <v>#DIV/0!</v>
      </c>
      <c r="AC260" s="40" t="str">
        <f>IF(データ!X257="","",データ!X257)</f>
        <v/>
      </c>
      <c r="AD260" s="41" t="str">
        <f>IF(データ!Y257="","",データ!Y257)</f>
        <v/>
      </c>
      <c r="AE260" s="47" t="str">
        <f>TRIM(データ!B257)</f>
        <v/>
      </c>
      <c r="AF260" s="43" t="str">
        <f>TRIM(データ!Z257)</f>
        <v/>
      </c>
    </row>
    <row r="261" spans="1:32" x14ac:dyDescent="0.15">
      <c r="A261" s="47">
        <f>データ!A258</f>
        <v>2</v>
      </c>
      <c r="B261" s="47" t="str">
        <f>TRIM(データ!C258)</f>
        <v/>
      </c>
      <c r="C261" s="47" t="str">
        <f>TRIM(データ!D258)</f>
        <v>労務費</v>
      </c>
      <c r="D261" s="36" t="str">
        <f>REPT("｜",$A261)&amp;TRIM(データ!E258)</f>
        <v>｜｜土工</v>
      </c>
      <c r="E261" s="37" t="str">
        <f>TRIM(データ!F258)</f>
        <v/>
      </c>
      <c r="F261" s="38" t="str">
        <f>TRIM(データ!G258)</f>
        <v>人</v>
      </c>
      <c r="G261" s="50">
        <f>データ!H258</f>
        <v>8</v>
      </c>
      <c r="H261" s="48">
        <f>データ!I258</f>
        <v>30000</v>
      </c>
      <c r="I261" s="48">
        <f>データ!J258</f>
        <v>240000</v>
      </c>
      <c r="J261" s="39" t="str">
        <f>IF(OR($C261="総括",$C261="内訳書",$C261="内訳代価",$C261="明細書",$C261="明細代価",$C261="代価表",$C261="単価表"),データ!K258,"")</f>
        <v/>
      </c>
      <c r="K261" s="11" t="str">
        <f t="shared" ref="K261:K324" si="24">IF(OR(J261="",G261=J261),"","*")</f>
        <v/>
      </c>
      <c r="L261" s="46">
        <f t="shared" ref="L261:L324" si="25">IF($A261&lt;=L$1,I261/I$4,"")</f>
        <v>1.2974817501082586E-2</v>
      </c>
      <c r="M261" s="40" t="str">
        <f>IF(データ!L258="","",データ!L258)</f>
        <v/>
      </c>
      <c r="N261" s="41" t="str">
        <f>IF(データ!M258="","",データ!M258)</f>
        <v/>
      </c>
      <c r="O261" s="42">
        <f>データ!N258</f>
        <v>0</v>
      </c>
      <c r="P261" s="48">
        <f>IF($C261="集計行","",データ!O258)</f>
        <v>0</v>
      </c>
      <c r="Q261" s="48">
        <f>データ!P258</f>
        <v>0</v>
      </c>
      <c r="R261" s="39" t="str">
        <f>IF(OR($C261="総括",$C261="内訳書",$C261="内訳代価",$C261="明細書",$C261="明細代価",$C261="代価表",$C261="単価表"),データ!Q258,"")</f>
        <v/>
      </c>
      <c r="S261" s="11" t="str">
        <f t="shared" ref="S261:S324" si="26">IF(OR(R261="",O261=R261),"","*")</f>
        <v/>
      </c>
      <c r="T261" s="46" t="e">
        <f t="shared" ref="T261:T324" si="27">IF($A261&lt;=T$1,Q261/Q$4,"")</f>
        <v>#DIV/0!</v>
      </c>
      <c r="U261" s="40" t="str">
        <f>IF(データ!R258="","",データ!R258)</f>
        <v/>
      </c>
      <c r="V261" s="41" t="str">
        <f>IF(データ!S258="","",データ!S258)</f>
        <v/>
      </c>
      <c r="W261" s="42">
        <f>データ!T258</f>
        <v>0</v>
      </c>
      <c r="X261" s="48">
        <f>IF($C261="集計行","",データ!U258)</f>
        <v>0</v>
      </c>
      <c r="Y261" s="48">
        <f>データ!V258</f>
        <v>0</v>
      </c>
      <c r="Z261" s="39" t="str">
        <f>IF(OR($C261="総括",$C261="内訳書",$C261="内訳代価",$C261="明細書",$C261="明細代価",$C261="代価表",$C261="単価表"),データ!W258,"")</f>
        <v/>
      </c>
      <c r="AA261" s="11" t="str">
        <f t="shared" ref="AA261:AA324" si="28">IF(OR(Z261="",W261=Z261),"","*")</f>
        <v/>
      </c>
      <c r="AB261" s="46" t="e">
        <f t="shared" ref="AB261:AB324" si="29">IF($A261&lt;=AB$1,Y261/Y$4,"")</f>
        <v>#DIV/0!</v>
      </c>
      <c r="AC261" s="40" t="str">
        <f>IF(データ!X258="","",データ!X258)</f>
        <v/>
      </c>
      <c r="AD261" s="41" t="str">
        <f>IF(データ!Y258="","",データ!Y258)</f>
        <v/>
      </c>
      <c r="AE261" s="47" t="str">
        <f>TRIM(データ!B258)</f>
        <v/>
      </c>
      <c r="AF261" s="43" t="str">
        <f>TRIM(データ!Z258)</f>
        <v/>
      </c>
    </row>
    <row r="262" spans="1:32" x14ac:dyDescent="0.15">
      <c r="A262" s="47">
        <f>データ!A259</f>
        <v>2</v>
      </c>
      <c r="B262" s="47" t="str">
        <f>TRIM(データ!C259)</f>
        <v/>
      </c>
      <c r="C262" s="47" t="str">
        <f>TRIM(データ!D259)</f>
        <v>機械費</v>
      </c>
      <c r="D262" s="36" t="str">
        <f>REPT("｜",$A262)&amp;TRIM(データ!E259)</f>
        <v>｜｜フィニッシャー4.5m</v>
      </c>
      <c r="E262" s="37" t="str">
        <f>TRIM(データ!F259)</f>
        <v/>
      </c>
      <c r="F262" s="38" t="str">
        <f>TRIM(データ!G259)</f>
        <v>台</v>
      </c>
      <c r="G262" s="50">
        <f>データ!H259</f>
        <v>1</v>
      </c>
      <c r="H262" s="48">
        <f>データ!I259</f>
        <v>86000</v>
      </c>
      <c r="I262" s="48">
        <f>データ!J259</f>
        <v>86000</v>
      </c>
      <c r="J262" s="39" t="str">
        <f>IF(OR($C262="総括",$C262="内訳書",$C262="内訳代価",$C262="明細書",$C262="明細代価",$C262="代価表",$C262="単価表"),データ!K259,"")</f>
        <v/>
      </c>
      <c r="K262" s="11" t="str">
        <f t="shared" si="24"/>
        <v/>
      </c>
      <c r="L262" s="46">
        <f t="shared" si="25"/>
        <v>4.6493096045545938E-3</v>
      </c>
      <c r="M262" s="40" t="str">
        <f>IF(データ!L259="","",データ!L259)</f>
        <v/>
      </c>
      <c r="N262" s="41" t="str">
        <f>IF(データ!M259="","",データ!M259)</f>
        <v/>
      </c>
      <c r="O262" s="42">
        <f>データ!N259</f>
        <v>0</v>
      </c>
      <c r="P262" s="48">
        <f>IF($C262="集計行","",データ!O259)</f>
        <v>0</v>
      </c>
      <c r="Q262" s="48">
        <f>データ!P259</f>
        <v>0</v>
      </c>
      <c r="R262" s="39" t="str">
        <f>IF(OR($C262="総括",$C262="内訳書",$C262="内訳代価",$C262="明細書",$C262="明細代価",$C262="代価表",$C262="単価表"),データ!Q259,"")</f>
        <v/>
      </c>
      <c r="S262" s="11" t="str">
        <f t="shared" si="26"/>
        <v/>
      </c>
      <c r="T262" s="46" t="e">
        <f t="shared" si="27"/>
        <v>#DIV/0!</v>
      </c>
      <c r="U262" s="40" t="str">
        <f>IF(データ!R259="","",データ!R259)</f>
        <v/>
      </c>
      <c r="V262" s="41" t="str">
        <f>IF(データ!S259="","",データ!S259)</f>
        <v/>
      </c>
      <c r="W262" s="42">
        <f>データ!T259</f>
        <v>0</v>
      </c>
      <c r="X262" s="48">
        <f>IF($C262="集計行","",データ!U259)</f>
        <v>0</v>
      </c>
      <c r="Y262" s="48">
        <f>データ!V259</f>
        <v>0</v>
      </c>
      <c r="Z262" s="39" t="str">
        <f>IF(OR($C262="総括",$C262="内訳書",$C262="内訳代価",$C262="明細書",$C262="明細代価",$C262="代価表",$C262="単価表"),データ!W259,"")</f>
        <v/>
      </c>
      <c r="AA262" s="11" t="str">
        <f t="shared" si="28"/>
        <v/>
      </c>
      <c r="AB262" s="46" t="e">
        <f t="shared" si="29"/>
        <v>#DIV/0!</v>
      </c>
      <c r="AC262" s="40" t="str">
        <f>IF(データ!X259="","",データ!X259)</f>
        <v/>
      </c>
      <c r="AD262" s="41" t="str">
        <f>IF(データ!Y259="","",データ!Y259)</f>
        <v/>
      </c>
      <c r="AE262" s="47" t="str">
        <f>TRIM(データ!B259)</f>
        <v/>
      </c>
      <c r="AF262" s="43" t="str">
        <f>TRIM(データ!Z259)</f>
        <v/>
      </c>
    </row>
    <row r="263" spans="1:32" x14ac:dyDescent="0.15">
      <c r="A263" s="47">
        <f>データ!A260</f>
        <v>2</v>
      </c>
      <c r="B263" s="47" t="str">
        <f>TRIM(データ!C260)</f>
        <v/>
      </c>
      <c r="C263" s="47" t="str">
        <f>TRIM(データ!D260)</f>
        <v>機械費</v>
      </c>
      <c r="D263" s="36" t="str">
        <f>REPT("｜",$A263)&amp;TRIM(データ!E260)</f>
        <v>｜｜コンバインドローラ</v>
      </c>
      <c r="E263" s="37" t="str">
        <f>TRIM(データ!F260)</f>
        <v/>
      </c>
      <c r="F263" s="38" t="str">
        <f>TRIM(データ!G260)</f>
        <v>台</v>
      </c>
      <c r="G263" s="50">
        <f>データ!H260</f>
        <v>1</v>
      </c>
      <c r="H263" s="48">
        <f>データ!I260</f>
        <v>6000</v>
      </c>
      <c r="I263" s="48">
        <f>データ!J260</f>
        <v>6000</v>
      </c>
      <c r="J263" s="39" t="str">
        <f>IF(OR($C263="総括",$C263="内訳書",$C263="内訳代価",$C263="明細書",$C263="明細代価",$C263="代価表",$C263="単価表"),データ!K260,"")</f>
        <v/>
      </c>
      <c r="K263" s="11" t="str">
        <f t="shared" si="24"/>
        <v/>
      </c>
      <c r="L263" s="46">
        <f t="shared" si="25"/>
        <v>3.2437043752706464E-4</v>
      </c>
      <c r="M263" s="40" t="str">
        <f>IF(データ!L260="","",データ!L260)</f>
        <v/>
      </c>
      <c r="N263" s="41" t="str">
        <f>IF(データ!M260="","",データ!M260)</f>
        <v/>
      </c>
      <c r="O263" s="42">
        <f>データ!N260</f>
        <v>0</v>
      </c>
      <c r="P263" s="48">
        <f>IF($C263="集計行","",データ!O260)</f>
        <v>0</v>
      </c>
      <c r="Q263" s="48">
        <f>データ!P260</f>
        <v>0</v>
      </c>
      <c r="R263" s="39" t="str">
        <f>IF(OR($C263="総括",$C263="内訳書",$C263="内訳代価",$C263="明細書",$C263="明細代価",$C263="代価表",$C263="単価表"),データ!Q260,"")</f>
        <v/>
      </c>
      <c r="S263" s="11" t="str">
        <f t="shared" si="26"/>
        <v/>
      </c>
      <c r="T263" s="46" t="e">
        <f t="shared" si="27"/>
        <v>#DIV/0!</v>
      </c>
      <c r="U263" s="40" t="str">
        <f>IF(データ!R260="","",データ!R260)</f>
        <v/>
      </c>
      <c r="V263" s="41" t="str">
        <f>IF(データ!S260="","",データ!S260)</f>
        <v/>
      </c>
      <c r="W263" s="42">
        <f>データ!T260</f>
        <v>0</v>
      </c>
      <c r="X263" s="48">
        <f>IF($C263="集計行","",データ!U260)</f>
        <v>0</v>
      </c>
      <c r="Y263" s="48">
        <f>データ!V260</f>
        <v>0</v>
      </c>
      <c r="Z263" s="39" t="str">
        <f>IF(OR($C263="総括",$C263="内訳書",$C263="内訳代価",$C263="明細書",$C263="明細代価",$C263="代価表",$C263="単価表"),データ!W260,"")</f>
        <v/>
      </c>
      <c r="AA263" s="11" t="str">
        <f t="shared" si="28"/>
        <v/>
      </c>
      <c r="AB263" s="46" t="e">
        <f t="shared" si="29"/>
        <v>#DIV/0!</v>
      </c>
      <c r="AC263" s="40" t="str">
        <f>IF(データ!X260="","",データ!X260)</f>
        <v/>
      </c>
      <c r="AD263" s="41" t="str">
        <f>IF(データ!Y260="","",データ!Y260)</f>
        <v/>
      </c>
      <c r="AE263" s="47" t="str">
        <f>TRIM(データ!B260)</f>
        <v/>
      </c>
      <c r="AF263" s="43" t="str">
        <f>TRIM(データ!Z260)</f>
        <v/>
      </c>
    </row>
    <row r="264" spans="1:32" x14ac:dyDescent="0.15">
      <c r="A264" s="47">
        <f>データ!A261</f>
        <v>2</v>
      </c>
      <c r="B264" s="47" t="str">
        <f>TRIM(データ!C261)</f>
        <v/>
      </c>
      <c r="C264" s="47" t="str">
        <f>TRIM(データ!D261)</f>
        <v>機械費</v>
      </c>
      <c r="D264" s="36" t="str">
        <f>REPT("｜",$A264)&amp;TRIM(データ!E261)</f>
        <v>｜｜ミニバックホウ</v>
      </c>
      <c r="E264" s="37" t="str">
        <f>TRIM(データ!F261)</f>
        <v/>
      </c>
      <c r="F264" s="38" t="str">
        <f>TRIM(データ!G261)</f>
        <v>台</v>
      </c>
      <c r="G264" s="50">
        <f>データ!H261</f>
        <v>1</v>
      </c>
      <c r="H264" s="48">
        <f>データ!I261</f>
        <v>8000</v>
      </c>
      <c r="I264" s="48">
        <f>データ!J261</f>
        <v>8000</v>
      </c>
      <c r="J264" s="39" t="str">
        <f>IF(OR($C264="総括",$C264="内訳書",$C264="内訳代価",$C264="明細書",$C264="明細代価",$C264="代価表",$C264="単価表"),データ!K261,"")</f>
        <v/>
      </c>
      <c r="K264" s="11" t="str">
        <f t="shared" si="24"/>
        <v/>
      </c>
      <c r="L264" s="46">
        <f t="shared" si="25"/>
        <v>4.3249391670275287E-4</v>
      </c>
      <c r="M264" s="40" t="str">
        <f>IF(データ!L261="","",データ!L261)</f>
        <v/>
      </c>
      <c r="N264" s="41" t="str">
        <f>IF(データ!M261="","",データ!M261)</f>
        <v/>
      </c>
      <c r="O264" s="42">
        <f>データ!N261</f>
        <v>0</v>
      </c>
      <c r="P264" s="48">
        <f>IF($C264="集計行","",データ!O261)</f>
        <v>0</v>
      </c>
      <c r="Q264" s="48">
        <f>データ!P261</f>
        <v>0</v>
      </c>
      <c r="R264" s="39" t="str">
        <f>IF(OR($C264="総括",$C264="内訳書",$C264="内訳代価",$C264="明細書",$C264="明細代価",$C264="代価表",$C264="単価表"),データ!Q261,"")</f>
        <v/>
      </c>
      <c r="S264" s="11" t="str">
        <f t="shared" si="26"/>
        <v/>
      </c>
      <c r="T264" s="46" t="e">
        <f t="shared" si="27"/>
        <v>#DIV/0!</v>
      </c>
      <c r="U264" s="40" t="str">
        <f>IF(データ!R261="","",データ!R261)</f>
        <v/>
      </c>
      <c r="V264" s="41" t="str">
        <f>IF(データ!S261="","",データ!S261)</f>
        <v/>
      </c>
      <c r="W264" s="42">
        <f>データ!T261</f>
        <v>0</v>
      </c>
      <c r="X264" s="48">
        <f>IF($C264="集計行","",データ!U261)</f>
        <v>0</v>
      </c>
      <c r="Y264" s="48">
        <f>データ!V261</f>
        <v>0</v>
      </c>
      <c r="Z264" s="39" t="str">
        <f>IF(OR($C264="総括",$C264="内訳書",$C264="内訳代価",$C264="明細書",$C264="明細代価",$C264="代価表",$C264="単価表"),データ!W261,"")</f>
        <v/>
      </c>
      <c r="AA264" s="11" t="str">
        <f t="shared" si="28"/>
        <v/>
      </c>
      <c r="AB264" s="46" t="e">
        <f t="shared" si="29"/>
        <v>#DIV/0!</v>
      </c>
      <c r="AC264" s="40" t="str">
        <f>IF(データ!X261="","",データ!X261)</f>
        <v/>
      </c>
      <c r="AD264" s="41" t="str">
        <f>IF(データ!Y261="","",データ!Y261)</f>
        <v/>
      </c>
      <c r="AE264" s="47" t="str">
        <f>TRIM(データ!B261)</f>
        <v/>
      </c>
      <c r="AF264" s="43" t="str">
        <f>TRIM(データ!Z261)</f>
        <v/>
      </c>
    </row>
    <row r="265" spans="1:32" x14ac:dyDescent="0.15">
      <c r="A265" s="47">
        <f>データ!A262</f>
        <v>2</v>
      </c>
      <c r="B265" s="47" t="str">
        <f>TRIM(データ!C262)</f>
        <v/>
      </c>
      <c r="C265" s="47" t="str">
        <f>TRIM(データ!D262)</f>
        <v>機械費</v>
      </c>
      <c r="D265" s="36" t="str">
        <f>REPT("｜",$A265)&amp;TRIM(データ!E262)</f>
        <v>｜｜タイヤショベル</v>
      </c>
      <c r="E265" s="37" t="str">
        <f>TRIM(データ!F262)</f>
        <v/>
      </c>
      <c r="F265" s="38" t="str">
        <f>TRIM(データ!G262)</f>
        <v>台</v>
      </c>
      <c r="G265" s="50">
        <f>データ!H262</f>
        <v>1</v>
      </c>
      <c r="H265" s="48">
        <f>データ!I262</f>
        <v>6000</v>
      </c>
      <c r="I265" s="48">
        <f>データ!J262</f>
        <v>6000</v>
      </c>
      <c r="J265" s="39" t="str">
        <f>IF(OR($C265="総括",$C265="内訳書",$C265="内訳代価",$C265="明細書",$C265="明細代価",$C265="代価表",$C265="単価表"),データ!K262,"")</f>
        <v/>
      </c>
      <c r="K265" s="11" t="str">
        <f t="shared" si="24"/>
        <v/>
      </c>
      <c r="L265" s="46">
        <f t="shared" si="25"/>
        <v>3.2437043752706464E-4</v>
      </c>
      <c r="M265" s="40" t="str">
        <f>IF(データ!L262="","",データ!L262)</f>
        <v/>
      </c>
      <c r="N265" s="41" t="str">
        <f>IF(データ!M262="","",データ!M262)</f>
        <v/>
      </c>
      <c r="O265" s="42">
        <f>データ!N262</f>
        <v>0</v>
      </c>
      <c r="P265" s="48">
        <f>IF($C265="集計行","",データ!O262)</f>
        <v>0</v>
      </c>
      <c r="Q265" s="48">
        <f>データ!P262</f>
        <v>0</v>
      </c>
      <c r="R265" s="39" t="str">
        <f>IF(OR($C265="総括",$C265="内訳書",$C265="内訳代価",$C265="明細書",$C265="明細代価",$C265="代価表",$C265="単価表"),データ!Q262,"")</f>
        <v/>
      </c>
      <c r="S265" s="11" t="str">
        <f t="shared" si="26"/>
        <v/>
      </c>
      <c r="T265" s="46" t="e">
        <f t="shared" si="27"/>
        <v>#DIV/0!</v>
      </c>
      <c r="U265" s="40" t="str">
        <f>IF(データ!R262="","",データ!R262)</f>
        <v/>
      </c>
      <c r="V265" s="41" t="str">
        <f>IF(データ!S262="","",データ!S262)</f>
        <v/>
      </c>
      <c r="W265" s="42">
        <f>データ!T262</f>
        <v>0</v>
      </c>
      <c r="X265" s="48">
        <f>IF($C265="集計行","",データ!U262)</f>
        <v>0</v>
      </c>
      <c r="Y265" s="48">
        <f>データ!V262</f>
        <v>0</v>
      </c>
      <c r="Z265" s="39" t="str">
        <f>IF(OR($C265="総括",$C265="内訳書",$C265="内訳代価",$C265="明細書",$C265="明細代価",$C265="代価表",$C265="単価表"),データ!W262,"")</f>
        <v/>
      </c>
      <c r="AA265" s="11" t="str">
        <f t="shared" si="28"/>
        <v/>
      </c>
      <c r="AB265" s="46" t="e">
        <f t="shared" si="29"/>
        <v>#DIV/0!</v>
      </c>
      <c r="AC265" s="40" t="str">
        <f>IF(データ!X262="","",データ!X262)</f>
        <v/>
      </c>
      <c r="AD265" s="41" t="str">
        <f>IF(データ!Y262="","",データ!Y262)</f>
        <v/>
      </c>
      <c r="AE265" s="47" t="str">
        <f>TRIM(データ!B262)</f>
        <v/>
      </c>
      <c r="AF265" s="43" t="str">
        <f>TRIM(データ!Z262)</f>
        <v/>
      </c>
    </row>
    <row r="266" spans="1:32" x14ac:dyDescent="0.15">
      <c r="A266" s="47">
        <f>データ!A263</f>
        <v>2</v>
      </c>
      <c r="B266" s="47" t="str">
        <f>TRIM(データ!C263)</f>
        <v/>
      </c>
      <c r="C266" s="47" t="str">
        <f>TRIM(データ!D263)</f>
        <v>機械費</v>
      </c>
      <c r="D266" s="36" t="str">
        <f>REPT("｜",$A266)&amp;TRIM(データ!E263)</f>
        <v>｜｜タイヤローラ</v>
      </c>
      <c r="E266" s="37" t="str">
        <f>TRIM(データ!F263)</f>
        <v/>
      </c>
      <c r="F266" s="38" t="str">
        <f>TRIM(データ!G263)</f>
        <v>台</v>
      </c>
      <c r="G266" s="50">
        <f>データ!H263</f>
        <v>1</v>
      </c>
      <c r="H266" s="48">
        <f>データ!I263</f>
        <v>8000</v>
      </c>
      <c r="I266" s="48">
        <f>データ!J263</f>
        <v>8000</v>
      </c>
      <c r="J266" s="39" t="str">
        <f>IF(OR($C266="総括",$C266="内訳書",$C266="内訳代価",$C266="明細書",$C266="明細代価",$C266="代価表",$C266="単価表"),データ!K263,"")</f>
        <v/>
      </c>
      <c r="K266" s="11" t="str">
        <f t="shared" si="24"/>
        <v/>
      </c>
      <c r="L266" s="46">
        <f t="shared" si="25"/>
        <v>4.3249391670275287E-4</v>
      </c>
      <c r="M266" s="40" t="str">
        <f>IF(データ!L263="","",データ!L263)</f>
        <v/>
      </c>
      <c r="N266" s="41" t="str">
        <f>IF(データ!M263="","",データ!M263)</f>
        <v/>
      </c>
      <c r="O266" s="42">
        <f>データ!N263</f>
        <v>0</v>
      </c>
      <c r="P266" s="48">
        <f>IF($C266="集計行","",データ!O263)</f>
        <v>0</v>
      </c>
      <c r="Q266" s="48">
        <f>データ!P263</f>
        <v>0</v>
      </c>
      <c r="R266" s="39" t="str">
        <f>IF(OR($C266="総括",$C266="内訳書",$C266="内訳代価",$C266="明細書",$C266="明細代価",$C266="代価表",$C266="単価表"),データ!Q263,"")</f>
        <v/>
      </c>
      <c r="S266" s="11" t="str">
        <f t="shared" si="26"/>
        <v/>
      </c>
      <c r="T266" s="46" t="e">
        <f t="shared" si="27"/>
        <v>#DIV/0!</v>
      </c>
      <c r="U266" s="40" t="str">
        <f>IF(データ!R263="","",データ!R263)</f>
        <v/>
      </c>
      <c r="V266" s="41" t="str">
        <f>IF(データ!S263="","",データ!S263)</f>
        <v/>
      </c>
      <c r="W266" s="42">
        <f>データ!T263</f>
        <v>0</v>
      </c>
      <c r="X266" s="48">
        <f>IF($C266="集計行","",データ!U263)</f>
        <v>0</v>
      </c>
      <c r="Y266" s="48">
        <f>データ!V263</f>
        <v>0</v>
      </c>
      <c r="Z266" s="39" t="str">
        <f>IF(OR($C266="総括",$C266="内訳書",$C266="内訳代価",$C266="明細書",$C266="明細代価",$C266="代価表",$C266="単価表"),データ!W263,"")</f>
        <v/>
      </c>
      <c r="AA266" s="11" t="str">
        <f t="shared" si="28"/>
        <v/>
      </c>
      <c r="AB266" s="46" t="e">
        <f t="shared" si="29"/>
        <v>#DIV/0!</v>
      </c>
      <c r="AC266" s="40" t="str">
        <f>IF(データ!X263="","",データ!X263)</f>
        <v/>
      </c>
      <c r="AD266" s="41" t="str">
        <f>IF(データ!Y263="","",データ!Y263)</f>
        <v/>
      </c>
      <c r="AE266" s="47" t="str">
        <f>TRIM(データ!B263)</f>
        <v/>
      </c>
      <c r="AF266" s="43" t="str">
        <f>TRIM(データ!Z263)</f>
        <v/>
      </c>
    </row>
    <row r="267" spans="1:32" x14ac:dyDescent="0.15">
      <c r="A267" s="47">
        <f>データ!A264</f>
        <v>2</v>
      </c>
      <c r="B267" s="47" t="str">
        <f>TRIM(データ!C264)</f>
        <v/>
      </c>
      <c r="C267" s="47" t="str">
        <f>TRIM(データ!D264)</f>
        <v>機械費</v>
      </c>
      <c r="D267" s="36" t="str">
        <f>REPT("｜",$A267)&amp;TRIM(データ!E264)</f>
        <v>｜｜トラコン車ダンプ</v>
      </c>
      <c r="E267" s="37" t="str">
        <f>TRIM(データ!F264)</f>
        <v/>
      </c>
      <c r="F267" s="38" t="str">
        <f>TRIM(データ!G264)</f>
        <v>台</v>
      </c>
      <c r="G267" s="50">
        <f>データ!H264</f>
        <v>1</v>
      </c>
      <c r="H267" s="48">
        <f>データ!I264</f>
        <v>15000</v>
      </c>
      <c r="I267" s="48">
        <f>データ!J264</f>
        <v>15000</v>
      </c>
      <c r="J267" s="39" t="str">
        <f>IF(OR($C267="総括",$C267="内訳書",$C267="内訳代価",$C267="明細書",$C267="明細代価",$C267="代価表",$C267="単価表"),データ!K264,"")</f>
        <v/>
      </c>
      <c r="K267" s="11" t="str">
        <f t="shared" si="24"/>
        <v/>
      </c>
      <c r="L267" s="46">
        <f t="shared" si="25"/>
        <v>8.1092609381766166E-4</v>
      </c>
      <c r="M267" s="40" t="str">
        <f>IF(データ!L264="","",データ!L264)</f>
        <v/>
      </c>
      <c r="N267" s="41" t="str">
        <f>IF(データ!M264="","",データ!M264)</f>
        <v/>
      </c>
      <c r="O267" s="42">
        <f>データ!N264</f>
        <v>0</v>
      </c>
      <c r="P267" s="48">
        <f>IF($C267="集計行","",データ!O264)</f>
        <v>0</v>
      </c>
      <c r="Q267" s="48">
        <f>データ!P264</f>
        <v>0</v>
      </c>
      <c r="R267" s="39" t="str">
        <f>IF(OR($C267="総括",$C267="内訳書",$C267="内訳代価",$C267="明細書",$C267="明細代価",$C267="代価表",$C267="単価表"),データ!Q264,"")</f>
        <v/>
      </c>
      <c r="S267" s="11" t="str">
        <f t="shared" si="26"/>
        <v/>
      </c>
      <c r="T267" s="46" t="e">
        <f t="shared" si="27"/>
        <v>#DIV/0!</v>
      </c>
      <c r="U267" s="40" t="str">
        <f>IF(データ!R264="","",データ!R264)</f>
        <v/>
      </c>
      <c r="V267" s="41" t="str">
        <f>IF(データ!S264="","",データ!S264)</f>
        <v/>
      </c>
      <c r="W267" s="42">
        <f>データ!T264</f>
        <v>0</v>
      </c>
      <c r="X267" s="48">
        <f>IF($C267="集計行","",データ!U264)</f>
        <v>0</v>
      </c>
      <c r="Y267" s="48">
        <f>データ!V264</f>
        <v>0</v>
      </c>
      <c r="Z267" s="39" t="str">
        <f>IF(OR($C267="総括",$C267="内訳書",$C267="内訳代価",$C267="明細書",$C267="明細代価",$C267="代価表",$C267="単価表"),データ!W264,"")</f>
        <v/>
      </c>
      <c r="AA267" s="11" t="str">
        <f t="shared" si="28"/>
        <v/>
      </c>
      <c r="AB267" s="46" t="e">
        <f t="shared" si="29"/>
        <v>#DIV/0!</v>
      </c>
      <c r="AC267" s="40" t="str">
        <f>IF(データ!X264="","",データ!X264)</f>
        <v/>
      </c>
      <c r="AD267" s="41" t="str">
        <f>IF(データ!Y264="","",データ!Y264)</f>
        <v/>
      </c>
      <c r="AE267" s="47" t="str">
        <f>TRIM(データ!B264)</f>
        <v/>
      </c>
      <c r="AF267" s="43" t="str">
        <f>TRIM(データ!Z264)</f>
        <v/>
      </c>
    </row>
    <row r="268" spans="1:32" x14ac:dyDescent="0.15">
      <c r="A268" s="47">
        <f>データ!A265</f>
        <v>2</v>
      </c>
      <c r="B268" s="47" t="str">
        <f>TRIM(データ!C265)</f>
        <v/>
      </c>
      <c r="C268" s="47" t="str">
        <f>TRIM(データ!D265)</f>
        <v>機械費</v>
      </c>
      <c r="D268" s="36" t="str">
        <f>REPT("｜",$A268)&amp;TRIM(データ!E265)</f>
        <v>｜｜切削機2.0m</v>
      </c>
      <c r="E268" s="37" t="str">
        <f>TRIM(データ!F265)</f>
        <v/>
      </c>
      <c r="F268" s="38" t="str">
        <f>TRIM(データ!G265)</f>
        <v>台</v>
      </c>
      <c r="G268" s="50">
        <f>データ!H265</f>
        <v>1</v>
      </c>
      <c r="H268" s="48">
        <f>データ!I265</f>
        <v>250000</v>
      </c>
      <c r="I268" s="48">
        <f>データ!J265</f>
        <v>250000</v>
      </c>
      <c r="J268" s="39" t="str">
        <f>IF(OR($C268="総括",$C268="内訳書",$C268="内訳代価",$C268="明細書",$C268="明細代価",$C268="代価表",$C268="単価表"),データ!K265,"")</f>
        <v/>
      </c>
      <c r="K268" s="11" t="str">
        <f t="shared" si="24"/>
        <v/>
      </c>
      <c r="L268" s="46">
        <f t="shared" si="25"/>
        <v>1.3515434896961028E-2</v>
      </c>
      <c r="M268" s="40" t="str">
        <f>IF(データ!L265="","",データ!L265)</f>
        <v/>
      </c>
      <c r="N268" s="41" t="str">
        <f>IF(データ!M265="","",データ!M265)</f>
        <v/>
      </c>
      <c r="O268" s="42">
        <f>データ!N265</f>
        <v>0</v>
      </c>
      <c r="P268" s="48">
        <f>IF($C268="集計行","",データ!O265)</f>
        <v>0</v>
      </c>
      <c r="Q268" s="48">
        <f>データ!P265</f>
        <v>0</v>
      </c>
      <c r="R268" s="39" t="str">
        <f>IF(OR($C268="総括",$C268="内訳書",$C268="内訳代価",$C268="明細書",$C268="明細代価",$C268="代価表",$C268="単価表"),データ!Q265,"")</f>
        <v/>
      </c>
      <c r="S268" s="11" t="str">
        <f t="shared" si="26"/>
        <v/>
      </c>
      <c r="T268" s="46" t="e">
        <f t="shared" si="27"/>
        <v>#DIV/0!</v>
      </c>
      <c r="U268" s="40" t="str">
        <f>IF(データ!R265="","",データ!R265)</f>
        <v/>
      </c>
      <c r="V268" s="41" t="str">
        <f>IF(データ!S265="","",データ!S265)</f>
        <v/>
      </c>
      <c r="W268" s="42">
        <f>データ!T265</f>
        <v>0</v>
      </c>
      <c r="X268" s="48">
        <f>IF($C268="集計行","",データ!U265)</f>
        <v>0</v>
      </c>
      <c r="Y268" s="48">
        <f>データ!V265</f>
        <v>0</v>
      </c>
      <c r="Z268" s="39" t="str">
        <f>IF(OR($C268="総括",$C268="内訳書",$C268="内訳代価",$C268="明細書",$C268="明細代価",$C268="代価表",$C268="単価表"),データ!W265,"")</f>
        <v/>
      </c>
      <c r="AA268" s="11" t="str">
        <f t="shared" si="28"/>
        <v/>
      </c>
      <c r="AB268" s="46" t="e">
        <f t="shared" si="29"/>
        <v>#DIV/0!</v>
      </c>
      <c r="AC268" s="40" t="str">
        <f>IF(データ!X265="","",データ!X265)</f>
        <v/>
      </c>
      <c r="AD268" s="41" t="str">
        <f>IF(データ!Y265="","",データ!Y265)</f>
        <v/>
      </c>
      <c r="AE268" s="47" t="str">
        <f>TRIM(データ!B265)</f>
        <v/>
      </c>
      <c r="AF268" s="43" t="str">
        <f>TRIM(データ!Z265)</f>
        <v/>
      </c>
    </row>
    <row r="269" spans="1:32" x14ac:dyDescent="0.15">
      <c r="A269" s="47">
        <f>データ!A266</f>
        <v>2</v>
      </c>
      <c r="B269" s="47" t="str">
        <f>TRIM(データ!C266)</f>
        <v/>
      </c>
      <c r="C269" s="47" t="str">
        <f>TRIM(データ!D266)</f>
        <v>機械費</v>
      </c>
      <c r="D269" s="36" t="str">
        <f>REPT("｜",$A269)&amp;TRIM(データ!E266)</f>
        <v>｜｜散水車</v>
      </c>
      <c r="E269" s="37" t="str">
        <f>TRIM(データ!F266)</f>
        <v/>
      </c>
      <c r="F269" s="38" t="str">
        <f>TRIM(データ!G266)</f>
        <v>台</v>
      </c>
      <c r="G269" s="50">
        <f>データ!H266</f>
        <v>1</v>
      </c>
      <c r="H269" s="48">
        <f>データ!I266</f>
        <v>12000</v>
      </c>
      <c r="I269" s="48">
        <f>データ!J266</f>
        <v>12000</v>
      </c>
      <c r="J269" s="39" t="str">
        <f>IF(OR($C269="総括",$C269="内訳書",$C269="内訳代価",$C269="明細書",$C269="明細代価",$C269="代価表",$C269="単価表"),データ!K266,"")</f>
        <v/>
      </c>
      <c r="K269" s="11" t="str">
        <f t="shared" si="24"/>
        <v/>
      </c>
      <c r="L269" s="46">
        <f t="shared" si="25"/>
        <v>6.4874087505412928E-4</v>
      </c>
      <c r="M269" s="40" t="str">
        <f>IF(データ!L266="","",データ!L266)</f>
        <v/>
      </c>
      <c r="N269" s="41" t="str">
        <f>IF(データ!M266="","",データ!M266)</f>
        <v/>
      </c>
      <c r="O269" s="42">
        <f>データ!N266</f>
        <v>0</v>
      </c>
      <c r="P269" s="48">
        <f>IF($C269="集計行","",データ!O266)</f>
        <v>0</v>
      </c>
      <c r="Q269" s="48">
        <f>データ!P266</f>
        <v>0</v>
      </c>
      <c r="R269" s="39" t="str">
        <f>IF(OR($C269="総括",$C269="内訳書",$C269="内訳代価",$C269="明細書",$C269="明細代価",$C269="代価表",$C269="単価表"),データ!Q266,"")</f>
        <v/>
      </c>
      <c r="S269" s="11" t="str">
        <f t="shared" si="26"/>
        <v/>
      </c>
      <c r="T269" s="46" t="e">
        <f t="shared" si="27"/>
        <v>#DIV/0!</v>
      </c>
      <c r="U269" s="40" t="str">
        <f>IF(データ!R266="","",データ!R266)</f>
        <v/>
      </c>
      <c r="V269" s="41" t="str">
        <f>IF(データ!S266="","",データ!S266)</f>
        <v/>
      </c>
      <c r="W269" s="42">
        <f>データ!T266</f>
        <v>0</v>
      </c>
      <c r="X269" s="48">
        <f>IF($C269="集計行","",データ!U266)</f>
        <v>0</v>
      </c>
      <c r="Y269" s="48">
        <f>データ!V266</f>
        <v>0</v>
      </c>
      <c r="Z269" s="39" t="str">
        <f>IF(OR($C269="総括",$C269="内訳書",$C269="内訳代価",$C269="明細書",$C269="明細代価",$C269="代価表",$C269="単価表"),データ!W266,"")</f>
        <v/>
      </c>
      <c r="AA269" s="11" t="str">
        <f t="shared" si="28"/>
        <v/>
      </c>
      <c r="AB269" s="46" t="e">
        <f t="shared" si="29"/>
        <v>#DIV/0!</v>
      </c>
      <c r="AC269" s="40" t="str">
        <f>IF(データ!X266="","",データ!X266)</f>
        <v/>
      </c>
      <c r="AD269" s="41" t="str">
        <f>IF(データ!Y266="","",データ!Y266)</f>
        <v/>
      </c>
      <c r="AE269" s="47" t="str">
        <f>TRIM(データ!B266)</f>
        <v/>
      </c>
      <c r="AF269" s="43" t="str">
        <f>TRIM(データ!Z266)</f>
        <v/>
      </c>
    </row>
    <row r="270" spans="1:32" x14ac:dyDescent="0.15">
      <c r="A270" s="47">
        <f>データ!A267</f>
        <v>2</v>
      </c>
      <c r="B270" s="47" t="str">
        <f>TRIM(データ!C267)</f>
        <v/>
      </c>
      <c r="C270" s="47" t="str">
        <f>TRIM(データ!D267)</f>
        <v>機械費</v>
      </c>
      <c r="D270" s="36" t="str">
        <f>REPT("｜",$A270)&amp;TRIM(データ!E267)</f>
        <v>｜｜デスビ</v>
      </c>
      <c r="E270" s="37" t="str">
        <f>TRIM(データ!F267)</f>
        <v/>
      </c>
      <c r="F270" s="38" t="str">
        <f>TRIM(データ!G267)</f>
        <v>台</v>
      </c>
      <c r="G270" s="50">
        <f>データ!H267</f>
        <v>1</v>
      </c>
      <c r="H270" s="48">
        <f>データ!I267</f>
        <v>60000</v>
      </c>
      <c r="I270" s="48">
        <f>データ!J267</f>
        <v>60000</v>
      </c>
      <c r="J270" s="39" t="str">
        <f>IF(OR($C270="総括",$C270="内訳書",$C270="内訳代価",$C270="明細書",$C270="明細代価",$C270="代価表",$C270="単価表"),データ!K267,"")</f>
        <v/>
      </c>
      <c r="K270" s="11" t="str">
        <f t="shared" si="24"/>
        <v/>
      </c>
      <c r="L270" s="46">
        <f t="shared" si="25"/>
        <v>3.2437043752706466E-3</v>
      </c>
      <c r="M270" s="40" t="str">
        <f>IF(データ!L267="","",データ!L267)</f>
        <v/>
      </c>
      <c r="N270" s="41" t="str">
        <f>IF(データ!M267="","",データ!M267)</f>
        <v/>
      </c>
      <c r="O270" s="42">
        <f>データ!N267</f>
        <v>0</v>
      </c>
      <c r="P270" s="48">
        <f>IF($C270="集計行","",データ!O267)</f>
        <v>0</v>
      </c>
      <c r="Q270" s="48">
        <f>データ!P267</f>
        <v>0</v>
      </c>
      <c r="R270" s="39" t="str">
        <f>IF(OR($C270="総括",$C270="内訳書",$C270="内訳代価",$C270="明細書",$C270="明細代価",$C270="代価表",$C270="単価表"),データ!Q267,"")</f>
        <v/>
      </c>
      <c r="S270" s="11" t="str">
        <f t="shared" si="26"/>
        <v/>
      </c>
      <c r="T270" s="46" t="e">
        <f t="shared" si="27"/>
        <v>#DIV/0!</v>
      </c>
      <c r="U270" s="40" t="str">
        <f>IF(データ!R267="","",データ!R267)</f>
        <v/>
      </c>
      <c r="V270" s="41" t="str">
        <f>IF(データ!S267="","",データ!S267)</f>
        <v/>
      </c>
      <c r="W270" s="42">
        <f>データ!T267</f>
        <v>0</v>
      </c>
      <c r="X270" s="48">
        <f>IF($C270="集計行","",データ!U267)</f>
        <v>0</v>
      </c>
      <c r="Y270" s="48">
        <f>データ!V267</f>
        <v>0</v>
      </c>
      <c r="Z270" s="39" t="str">
        <f>IF(OR($C270="総括",$C270="内訳書",$C270="内訳代価",$C270="明細書",$C270="明細代価",$C270="代価表",$C270="単価表"),データ!W267,"")</f>
        <v/>
      </c>
      <c r="AA270" s="11" t="str">
        <f t="shared" si="28"/>
        <v/>
      </c>
      <c r="AB270" s="46" t="e">
        <f t="shared" si="29"/>
        <v>#DIV/0!</v>
      </c>
      <c r="AC270" s="40" t="str">
        <f>IF(データ!X267="","",データ!X267)</f>
        <v/>
      </c>
      <c r="AD270" s="41" t="str">
        <f>IF(データ!Y267="","",データ!Y267)</f>
        <v/>
      </c>
      <c r="AE270" s="47" t="str">
        <f>TRIM(データ!B267)</f>
        <v/>
      </c>
      <c r="AF270" s="43" t="str">
        <f>TRIM(データ!Z267)</f>
        <v/>
      </c>
    </row>
    <row r="271" spans="1:32" x14ac:dyDescent="0.15">
      <c r="A271" s="47">
        <f>データ!A268</f>
        <v>2</v>
      </c>
      <c r="B271" s="47" t="str">
        <f>TRIM(データ!C268)</f>
        <v/>
      </c>
      <c r="C271" s="47" t="str">
        <f>TRIM(データ!D268)</f>
        <v>機械費</v>
      </c>
      <c r="D271" s="36" t="str">
        <f>REPT("｜",$A271)&amp;TRIM(データ!E268)</f>
        <v>｜｜小物機械</v>
      </c>
      <c r="E271" s="37" t="str">
        <f>TRIM(データ!F268)</f>
        <v/>
      </c>
      <c r="F271" s="38" t="str">
        <f>TRIM(データ!G268)</f>
        <v>台</v>
      </c>
      <c r="G271" s="50">
        <f>データ!H268</f>
        <v>3</v>
      </c>
      <c r="H271" s="48">
        <f>データ!I268</f>
        <v>3000</v>
      </c>
      <c r="I271" s="48">
        <f>データ!J268</f>
        <v>9000</v>
      </c>
      <c r="J271" s="39" t="str">
        <f>IF(OR($C271="総括",$C271="内訳書",$C271="内訳代価",$C271="明細書",$C271="明細代価",$C271="代価表",$C271="単価表"),データ!K268,"")</f>
        <v/>
      </c>
      <c r="K271" s="11" t="str">
        <f t="shared" si="24"/>
        <v/>
      </c>
      <c r="L271" s="46">
        <f t="shared" si="25"/>
        <v>4.8655565629059696E-4</v>
      </c>
      <c r="M271" s="40" t="str">
        <f>IF(データ!L268="","",データ!L268)</f>
        <v/>
      </c>
      <c r="N271" s="41" t="str">
        <f>IF(データ!M268="","",データ!M268)</f>
        <v/>
      </c>
      <c r="O271" s="42">
        <f>データ!N268</f>
        <v>0</v>
      </c>
      <c r="P271" s="48">
        <f>IF($C271="集計行","",データ!O268)</f>
        <v>0</v>
      </c>
      <c r="Q271" s="48">
        <f>データ!P268</f>
        <v>0</v>
      </c>
      <c r="R271" s="39" t="str">
        <f>IF(OR($C271="総括",$C271="内訳書",$C271="内訳代価",$C271="明細書",$C271="明細代価",$C271="代価表",$C271="単価表"),データ!Q268,"")</f>
        <v/>
      </c>
      <c r="S271" s="11" t="str">
        <f t="shared" si="26"/>
        <v/>
      </c>
      <c r="T271" s="46" t="e">
        <f t="shared" si="27"/>
        <v>#DIV/0!</v>
      </c>
      <c r="U271" s="40" t="str">
        <f>IF(データ!R268="","",データ!R268)</f>
        <v/>
      </c>
      <c r="V271" s="41" t="str">
        <f>IF(データ!S268="","",データ!S268)</f>
        <v/>
      </c>
      <c r="W271" s="42">
        <f>データ!T268</f>
        <v>0</v>
      </c>
      <c r="X271" s="48">
        <f>IF($C271="集計行","",データ!U268)</f>
        <v>0</v>
      </c>
      <c r="Y271" s="48">
        <f>データ!V268</f>
        <v>0</v>
      </c>
      <c r="Z271" s="39" t="str">
        <f>IF(OR($C271="総括",$C271="内訳書",$C271="内訳代価",$C271="明細書",$C271="明細代価",$C271="代価表",$C271="単価表"),データ!W268,"")</f>
        <v/>
      </c>
      <c r="AA271" s="11" t="str">
        <f t="shared" si="28"/>
        <v/>
      </c>
      <c r="AB271" s="46" t="e">
        <f t="shared" si="29"/>
        <v>#DIV/0!</v>
      </c>
      <c r="AC271" s="40" t="str">
        <f>IF(データ!X268="","",データ!X268)</f>
        <v/>
      </c>
      <c r="AD271" s="41" t="str">
        <f>IF(データ!Y268="","",データ!Y268)</f>
        <v/>
      </c>
      <c r="AE271" s="47" t="str">
        <f>TRIM(データ!B268)</f>
        <v/>
      </c>
      <c r="AF271" s="43" t="str">
        <f>TRIM(データ!Z268)</f>
        <v/>
      </c>
    </row>
    <row r="272" spans="1:32" x14ac:dyDescent="0.15">
      <c r="A272" s="47">
        <f>データ!A269</f>
        <v>2</v>
      </c>
      <c r="B272" s="47" t="str">
        <f>TRIM(データ!C269)</f>
        <v/>
      </c>
      <c r="C272" s="47" t="str">
        <f>TRIM(データ!D269)</f>
        <v>機械費</v>
      </c>
      <c r="D272" s="36" t="str">
        <f>REPT("｜",$A272)&amp;TRIM(データ!E269)</f>
        <v>｜｜夜間照明</v>
      </c>
      <c r="E272" s="37" t="str">
        <f>TRIM(データ!F269)</f>
        <v/>
      </c>
      <c r="F272" s="38" t="str">
        <f>TRIM(データ!G269)</f>
        <v>台</v>
      </c>
      <c r="G272" s="50">
        <f>データ!H269</f>
        <v>6</v>
      </c>
      <c r="H272" s="48">
        <f>データ!I269</f>
        <v>5000</v>
      </c>
      <c r="I272" s="48">
        <f>データ!J269</f>
        <v>30000</v>
      </c>
      <c r="J272" s="39" t="str">
        <f>IF(OR($C272="総括",$C272="内訳書",$C272="内訳代価",$C272="明細書",$C272="明細代価",$C272="代価表",$C272="単価表"),データ!K269,"")</f>
        <v/>
      </c>
      <c r="K272" s="11" t="str">
        <f t="shared" si="24"/>
        <v/>
      </c>
      <c r="L272" s="46">
        <f t="shared" si="25"/>
        <v>1.6218521876353233E-3</v>
      </c>
      <c r="M272" s="40" t="str">
        <f>IF(データ!L269="","",データ!L269)</f>
        <v/>
      </c>
      <c r="N272" s="41" t="str">
        <f>IF(データ!M269="","",データ!M269)</f>
        <v/>
      </c>
      <c r="O272" s="42">
        <f>データ!N269</f>
        <v>0</v>
      </c>
      <c r="P272" s="48">
        <f>IF($C272="集計行","",データ!O269)</f>
        <v>0</v>
      </c>
      <c r="Q272" s="48">
        <f>データ!P269</f>
        <v>0</v>
      </c>
      <c r="R272" s="39" t="str">
        <f>IF(OR($C272="総括",$C272="内訳書",$C272="内訳代価",$C272="明細書",$C272="明細代価",$C272="代価表",$C272="単価表"),データ!Q269,"")</f>
        <v/>
      </c>
      <c r="S272" s="11" t="str">
        <f t="shared" si="26"/>
        <v/>
      </c>
      <c r="T272" s="46" t="e">
        <f t="shared" si="27"/>
        <v>#DIV/0!</v>
      </c>
      <c r="U272" s="40" t="str">
        <f>IF(データ!R269="","",データ!R269)</f>
        <v/>
      </c>
      <c r="V272" s="41" t="str">
        <f>IF(データ!S269="","",データ!S269)</f>
        <v/>
      </c>
      <c r="W272" s="42">
        <f>データ!T269</f>
        <v>0</v>
      </c>
      <c r="X272" s="48">
        <f>IF($C272="集計行","",データ!U269)</f>
        <v>0</v>
      </c>
      <c r="Y272" s="48">
        <f>データ!V269</f>
        <v>0</v>
      </c>
      <c r="Z272" s="39" t="str">
        <f>IF(OR($C272="総括",$C272="内訳書",$C272="内訳代価",$C272="明細書",$C272="明細代価",$C272="代価表",$C272="単価表"),データ!W269,"")</f>
        <v/>
      </c>
      <c r="AA272" s="11" t="str">
        <f t="shared" si="28"/>
        <v/>
      </c>
      <c r="AB272" s="46" t="e">
        <f t="shared" si="29"/>
        <v>#DIV/0!</v>
      </c>
      <c r="AC272" s="40" t="str">
        <f>IF(データ!X269="","",データ!X269)</f>
        <v/>
      </c>
      <c r="AD272" s="41" t="str">
        <f>IF(データ!Y269="","",データ!Y269)</f>
        <v/>
      </c>
      <c r="AE272" s="47" t="str">
        <f>TRIM(データ!B269)</f>
        <v/>
      </c>
      <c r="AF272" s="43" t="str">
        <f>TRIM(データ!Z269)</f>
        <v/>
      </c>
    </row>
    <row r="273" spans="1:32" x14ac:dyDescent="0.15">
      <c r="A273" s="47">
        <f>データ!A270</f>
        <v>2</v>
      </c>
      <c r="B273" s="47" t="str">
        <f>TRIM(データ!C270)</f>
        <v/>
      </c>
      <c r="C273" s="47" t="str">
        <f>TRIM(データ!D270)</f>
        <v>運搬費</v>
      </c>
      <c r="D273" s="36" t="str">
        <f>REPT("｜",$A273)&amp;TRIM(データ!E270)</f>
        <v>｜｜8tダンプ</v>
      </c>
      <c r="E273" s="37" t="str">
        <f>TRIM(データ!F270)</f>
        <v/>
      </c>
      <c r="F273" s="38" t="str">
        <f>TRIM(データ!G270)</f>
        <v>台</v>
      </c>
      <c r="G273" s="50">
        <f>データ!H270</f>
        <v>3</v>
      </c>
      <c r="H273" s="48">
        <f>データ!I270</f>
        <v>43000</v>
      </c>
      <c r="I273" s="48">
        <f>データ!J270</f>
        <v>129000</v>
      </c>
      <c r="J273" s="39" t="str">
        <f>IF(OR($C273="総括",$C273="内訳書",$C273="内訳代価",$C273="明細書",$C273="明細代価",$C273="代価表",$C273="単価表"),データ!K270,"")</f>
        <v/>
      </c>
      <c r="K273" s="11" t="str">
        <f t="shared" si="24"/>
        <v/>
      </c>
      <c r="L273" s="46">
        <f t="shared" si="25"/>
        <v>6.9739644068318903E-3</v>
      </c>
      <c r="M273" s="40" t="str">
        <f>IF(データ!L270="","",データ!L270)</f>
        <v/>
      </c>
      <c r="N273" s="41" t="str">
        <f>IF(データ!M270="","",データ!M270)</f>
        <v/>
      </c>
      <c r="O273" s="42">
        <f>データ!N270</f>
        <v>0</v>
      </c>
      <c r="P273" s="48">
        <f>IF($C273="集計行","",データ!O270)</f>
        <v>0</v>
      </c>
      <c r="Q273" s="48">
        <f>データ!P270</f>
        <v>0</v>
      </c>
      <c r="R273" s="39" t="str">
        <f>IF(OR($C273="総括",$C273="内訳書",$C273="内訳代価",$C273="明細書",$C273="明細代価",$C273="代価表",$C273="単価表"),データ!Q270,"")</f>
        <v/>
      </c>
      <c r="S273" s="11" t="str">
        <f t="shared" si="26"/>
        <v/>
      </c>
      <c r="T273" s="46" t="e">
        <f t="shared" si="27"/>
        <v>#DIV/0!</v>
      </c>
      <c r="U273" s="40" t="str">
        <f>IF(データ!R270="","",データ!R270)</f>
        <v/>
      </c>
      <c r="V273" s="41" t="str">
        <f>IF(データ!S270="","",データ!S270)</f>
        <v/>
      </c>
      <c r="W273" s="42">
        <f>データ!T270</f>
        <v>0</v>
      </c>
      <c r="X273" s="48">
        <f>IF($C273="集計行","",データ!U270)</f>
        <v>0</v>
      </c>
      <c r="Y273" s="48">
        <f>データ!V270</f>
        <v>0</v>
      </c>
      <c r="Z273" s="39" t="str">
        <f>IF(OR($C273="総括",$C273="内訳書",$C273="内訳代価",$C273="明細書",$C273="明細代価",$C273="代価表",$C273="単価表"),データ!W270,"")</f>
        <v/>
      </c>
      <c r="AA273" s="11" t="str">
        <f t="shared" si="28"/>
        <v/>
      </c>
      <c r="AB273" s="46" t="e">
        <f t="shared" si="29"/>
        <v>#DIV/0!</v>
      </c>
      <c r="AC273" s="40" t="str">
        <f>IF(データ!X270="","",データ!X270)</f>
        <v/>
      </c>
      <c r="AD273" s="41" t="str">
        <f>IF(データ!Y270="","",データ!Y270)</f>
        <v/>
      </c>
      <c r="AE273" s="47" t="str">
        <f>TRIM(データ!B270)</f>
        <v/>
      </c>
      <c r="AF273" s="43" t="str">
        <f>TRIM(データ!Z270)</f>
        <v/>
      </c>
    </row>
    <row r="274" spans="1:32" x14ac:dyDescent="0.15">
      <c r="A274" s="47">
        <f>データ!A271</f>
        <v>2</v>
      </c>
      <c r="B274" s="47" t="str">
        <f>TRIM(データ!C271)</f>
        <v/>
      </c>
      <c r="C274" s="47" t="str">
        <f>TRIM(データ!D271)</f>
        <v>運搬費</v>
      </c>
      <c r="D274" s="36" t="str">
        <f>REPT("｜",$A274)&amp;TRIM(データ!E271)</f>
        <v>｜｜10tダンプ</v>
      </c>
      <c r="E274" s="37" t="str">
        <f>TRIM(データ!F271)</f>
        <v/>
      </c>
      <c r="F274" s="38" t="str">
        <f>TRIM(データ!G271)</f>
        <v>台</v>
      </c>
      <c r="G274" s="50">
        <f>データ!H271</f>
        <v>1</v>
      </c>
      <c r="H274" s="48">
        <f>データ!I271</f>
        <v>47000</v>
      </c>
      <c r="I274" s="48">
        <f>データ!J271</f>
        <v>47000</v>
      </c>
      <c r="J274" s="39" t="str">
        <f>IF(OR($C274="総括",$C274="内訳書",$C274="内訳代価",$C274="明細書",$C274="明細代価",$C274="代価表",$C274="単価表"),データ!K271,"")</f>
        <v/>
      </c>
      <c r="K274" s="11" t="str">
        <f t="shared" si="24"/>
        <v/>
      </c>
      <c r="L274" s="46">
        <f t="shared" si="25"/>
        <v>2.5409017606286733E-3</v>
      </c>
      <c r="M274" s="40" t="str">
        <f>IF(データ!L271="","",データ!L271)</f>
        <v/>
      </c>
      <c r="N274" s="41" t="str">
        <f>IF(データ!M271="","",データ!M271)</f>
        <v/>
      </c>
      <c r="O274" s="42">
        <f>データ!N271</f>
        <v>0</v>
      </c>
      <c r="P274" s="48">
        <f>IF($C274="集計行","",データ!O271)</f>
        <v>0</v>
      </c>
      <c r="Q274" s="48">
        <f>データ!P271</f>
        <v>0</v>
      </c>
      <c r="R274" s="39" t="str">
        <f>IF(OR($C274="総括",$C274="内訳書",$C274="内訳代価",$C274="明細書",$C274="明細代価",$C274="代価表",$C274="単価表"),データ!Q271,"")</f>
        <v/>
      </c>
      <c r="S274" s="11" t="str">
        <f t="shared" si="26"/>
        <v/>
      </c>
      <c r="T274" s="46" t="e">
        <f t="shared" si="27"/>
        <v>#DIV/0!</v>
      </c>
      <c r="U274" s="40" t="str">
        <f>IF(データ!R271="","",データ!R271)</f>
        <v/>
      </c>
      <c r="V274" s="41" t="str">
        <f>IF(データ!S271="","",データ!S271)</f>
        <v/>
      </c>
      <c r="W274" s="42">
        <f>データ!T271</f>
        <v>0</v>
      </c>
      <c r="X274" s="48">
        <f>IF($C274="集計行","",データ!U271)</f>
        <v>0</v>
      </c>
      <c r="Y274" s="48">
        <f>データ!V271</f>
        <v>0</v>
      </c>
      <c r="Z274" s="39" t="str">
        <f>IF(OR($C274="総括",$C274="内訳書",$C274="内訳代価",$C274="明細書",$C274="明細代価",$C274="代価表",$C274="単価表"),データ!W271,"")</f>
        <v/>
      </c>
      <c r="AA274" s="11" t="str">
        <f t="shared" si="28"/>
        <v/>
      </c>
      <c r="AB274" s="46" t="e">
        <f t="shared" si="29"/>
        <v>#DIV/0!</v>
      </c>
      <c r="AC274" s="40" t="str">
        <f>IF(データ!X271="","",データ!X271)</f>
        <v/>
      </c>
      <c r="AD274" s="41" t="str">
        <f>IF(データ!Y271="","",データ!Y271)</f>
        <v/>
      </c>
      <c r="AE274" s="47" t="str">
        <f>TRIM(データ!B271)</f>
        <v/>
      </c>
      <c r="AF274" s="43" t="str">
        <f>TRIM(データ!Z271)</f>
        <v/>
      </c>
    </row>
    <row r="275" spans="1:32" x14ac:dyDescent="0.15">
      <c r="A275" s="47">
        <f>データ!A272</f>
        <v>2</v>
      </c>
      <c r="B275" s="47" t="str">
        <f>TRIM(データ!C272)</f>
        <v/>
      </c>
      <c r="C275" s="47" t="str">
        <f>TRIM(データ!D272)</f>
        <v>運搬費</v>
      </c>
      <c r="D275" s="36" t="str">
        <f>REPT("｜",$A275)&amp;TRIM(データ!E272)</f>
        <v>｜｜AS処理費</v>
      </c>
      <c r="E275" s="37" t="str">
        <f>TRIM(データ!F272)</f>
        <v/>
      </c>
      <c r="F275" s="38" t="str">
        <f>TRIM(データ!G272)</f>
        <v>ｔ</v>
      </c>
      <c r="G275" s="50">
        <f>データ!H272</f>
        <v>22</v>
      </c>
      <c r="H275" s="48">
        <f>データ!I272</f>
        <v>400</v>
      </c>
      <c r="I275" s="48">
        <f>データ!J272</f>
        <v>8800</v>
      </c>
      <c r="J275" s="39" t="str">
        <f>IF(OR($C275="総括",$C275="内訳書",$C275="内訳代価",$C275="明細書",$C275="明細代価",$C275="代価表",$C275="単価表"),データ!K272,"")</f>
        <v/>
      </c>
      <c r="K275" s="11" t="str">
        <f t="shared" si="24"/>
        <v/>
      </c>
      <c r="L275" s="46">
        <f t="shared" si="25"/>
        <v>4.7574330837302816E-4</v>
      </c>
      <c r="M275" s="40" t="str">
        <f>IF(データ!L272="","",データ!L272)</f>
        <v/>
      </c>
      <c r="N275" s="41" t="str">
        <f>IF(データ!M272="","",データ!M272)</f>
        <v/>
      </c>
      <c r="O275" s="42">
        <f>データ!N272</f>
        <v>0</v>
      </c>
      <c r="P275" s="48">
        <f>IF($C275="集計行","",データ!O272)</f>
        <v>0</v>
      </c>
      <c r="Q275" s="48">
        <f>データ!P272</f>
        <v>0</v>
      </c>
      <c r="R275" s="39" t="str">
        <f>IF(OR($C275="総括",$C275="内訳書",$C275="内訳代価",$C275="明細書",$C275="明細代価",$C275="代価表",$C275="単価表"),データ!Q272,"")</f>
        <v/>
      </c>
      <c r="S275" s="11" t="str">
        <f t="shared" si="26"/>
        <v/>
      </c>
      <c r="T275" s="46" t="e">
        <f t="shared" si="27"/>
        <v>#DIV/0!</v>
      </c>
      <c r="U275" s="40" t="str">
        <f>IF(データ!R272="","",データ!R272)</f>
        <v/>
      </c>
      <c r="V275" s="41" t="str">
        <f>IF(データ!S272="","",データ!S272)</f>
        <v/>
      </c>
      <c r="W275" s="42">
        <f>データ!T272</f>
        <v>0</v>
      </c>
      <c r="X275" s="48">
        <f>IF($C275="集計行","",データ!U272)</f>
        <v>0</v>
      </c>
      <c r="Y275" s="48">
        <f>データ!V272</f>
        <v>0</v>
      </c>
      <c r="Z275" s="39" t="str">
        <f>IF(OR($C275="総括",$C275="内訳書",$C275="内訳代価",$C275="明細書",$C275="明細代価",$C275="代価表",$C275="単価表"),データ!W272,"")</f>
        <v/>
      </c>
      <c r="AA275" s="11" t="str">
        <f t="shared" si="28"/>
        <v/>
      </c>
      <c r="AB275" s="46" t="e">
        <f t="shared" si="29"/>
        <v>#DIV/0!</v>
      </c>
      <c r="AC275" s="40" t="str">
        <f>IF(データ!X272="","",データ!X272)</f>
        <v/>
      </c>
      <c r="AD275" s="41" t="str">
        <f>IF(データ!Y272="","",データ!Y272)</f>
        <v/>
      </c>
      <c r="AE275" s="47" t="str">
        <f>TRIM(データ!B272)</f>
        <v/>
      </c>
      <c r="AF275" s="43" t="str">
        <f>TRIM(データ!Z272)</f>
        <v/>
      </c>
    </row>
    <row r="276" spans="1:32" x14ac:dyDescent="0.15">
      <c r="A276" s="47">
        <f>データ!A273</f>
        <v>2</v>
      </c>
      <c r="B276" s="47" t="str">
        <f>TRIM(データ!C273)</f>
        <v/>
      </c>
      <c r="C276" s="47" t="str">
        <f>TRIM(データ!D273)</f>
        <v>運搬費</v>
      </c>
      <c r="D276" s="36" t="str">
        <f>REPT("｜",$A276)&amp;TRIM(データ!E273)</f>
        <v>｜｜路盤廃材</v>
      </c>
      <c r="E276" s="37" t="str">
        <f>TRIM(データ!F273)</f>
        <v/>
      </c>
      <c r="F276" s="38" t="str">
        <f>TRIM(データ!G273)</f>
        <v>ｔ</v>
      </c>
      <c r="G276" s="50">
        <f>データ!H273</f>
        <v>16</v>
      </c>
      <c r="H276" s="48">
        <f>データ!I273</f>
        <v>1500</v>
      </c>
      <c r="I276" s="48">
        <f>データ!J273</f>
        <v>24000</v>
      </c>
      <c r="J276" s="39" t="str">
        <f>IF(OR($C276="総括",$C276="内訳書",$C276="内訳代価",$C276="明細書",$C276="明細代価",$C276="代価表",$C276="単価表"),データ!K273,"")</f>
        <v/>
      </c>
      <c r="K276" s="11" t="str">
        <f t="shared" si="24"/>
        <v/>
      </c>
      <c r="L276" s="46">
        <f t="shared" si="25"/>
        <v>1.2974817501082586E-3</v>
      </c>
      <c r="M276" s="40" t="str">
        <f>IF(データ!L273="","",データ!L273)</f>
        <v/>
      </c>
      <c r="N276" s="41" t="str">
        <f>IF(データ!M273="","",データ!M273)</f>
        <v/>
      </c>
      <c r="O276" s="42">
        <f>データ!N273</f>
        <v>0</v>
      </c>
      <c r="P276" s="48">
        <f>IF($C276="集計行","",データ!O273)</f>
        <v>0</v>
      </c>
      <c r="Q276" s="48">
        <f>データ!P273</f>
        <v>0</v>
      </c>
      <c r="R276" s="39" t="str">
        <f>IF(OR($C276="総括",$C276="内訳書",$C276="内訳代価",$C276="明細書",$C276="明細代価",$C276="代価表",$C276="単価表"),データ!Q273,"")</f>
        <v/>
      </c>
      <c r="S276" s="11" t="str">
        <f t="shared" si="26"/>
        <v/>
      </c>
      <c r="T276" s="46" t="e">
        <f t="shared" si="27"/>
        <v>#DIV/0!</v>
      </c>
      <c r="U276" s="40" t="str">
        <f>IF(データ!R273="","",データ!R273)</f>
        <v/>
      </c>
      <c r="V276" s="41" t="str">
        <f>IF(データ!S273="","",データ!S273)</f>
        <v/>
      </c>
      <c r="W276" s="42">
        <f>データ!T273</f>
        <v>0</v>
      </c>
      <c r="X276" s="48">
        <f>IF($C276="集計行","",データ!U273)</f>
        <v>0</v>
      </c>
      <c r="Y276" s="48">
        <f>データ!V273</f>
        <v>0</v>
      </c>
      <c r="Z276" s="39" t="str">
        <f>IF(OR($C276="総括",$C276="内訳書",$C276="内訳代価",$C276="明細書",$C276="明細代価",$C276="代価表",$C276="単価表"),データ!W273,"")</f>
        <v/>
      </c>
      <c r="AA276" s="11" t="str">
        <f t="shared" si="28"/>
        <v/>
      </c>
      <c r="AB276" s="46" t="e">
        <f t="shared" si="29"/>
        <v>#DIV/0!</v>
      </c>
      <c r="AC276" s="40" t="str">
        <f>IF(データ!X273="","",データ!X273)</f>
        <v/>
      </c>
      <c r="AD276" s="41" t="str">
        <f>IF(データ!Y273="","",データ!Y273)</f>
        <v/>
      </c>
      <c r="AE276" s="47" t="str">
        <f>TRIM(データ!B273)</f>
        <v/>
      </c>
      <c r="AF276" s="43" t="str">
        <f>TRIM(データ!Z273)</f>
        <v/>
      </c>
    </row>
    <row r="277" spans="1:32" x14ac:dyDescent="0.15">
      <c r="A277" s="47">
        <f>データ!A274</f>
        <v>2</v>
      </c>
      <c r="B277" s="47" t="str">
        <f>TRIM(データ!C274)</f>
        <v/>
      </c>
      <c r="C277" s="47" t="str">
        <f>TRIM(データ!D274)</f>
        <v>運搬費</v>
      </c>
      <c r="D277" s="36" t="str">
        <f>REPT("｜",$A277)&amp;TRIM(データ!E274)</f>
        <v>｜｜トレーラー切削機</v>
      </c>
      <c r="E277" s="37" t="str">
        <f>TRIM(データ!F274)</f>
        <v/>
      </c>
      <c r="F277" s="38" t="str">
        <f>TRIM(データ!G274)</f>
        <v>回</v>
      </c>
      <c r="G277" s="50">
        <f>データ!H274</f>
        <v>2</v>
      </c>
      <c r="H277" s="48">
        <f>データ!I274</f>
        <v>65000</v>
      </c>
      <c r="I277" s="48">
        <f>データ!J274</f>
        <v>130000</v>
      </c>
      <c r="J277" s="39" t="str">
        <f>IF(OR($C277="総括",$C277="内訳書",$C277="内訳代価",$C277="明細書",$C277="明細代価",$C277="代価表",$C277="単価表"),データ!K274,"")</f>
        <v/>
      </c>
      <c r="K277" s="11" t="str">
        <f t="shared" si="24"/>
        <v/>
      </c>
      <c r="L277" s="46">
        <f t="shared" si="25"/>
        <v>7.0280261464197346E-3</v>
      </c>
      <c r="M277" s="40" t="str">
        <f>IF(データ!L274="","",データ!L274)</f>
        <v/>
      </c>
      <c r="N277" s="41" t="str">
        <f>IF(データ!M274="","",データ!M274)</f>
        <v/>
      </c>
      <c r="O277" s="42">
        <f>データ!N274</f>
        <v>0</v>
      </c>
      <c r="P277" s="48">
        <f>IF($C277="集計行","",データ!O274)</f>
        <v>0</v>
      </c>
      <c r="Q277" s="48">
        <f>データ!P274</f>
        <v>0</v>
      </c>
      <c r="R277" s="39" t="str">
        <f>IF(OR($C277="総括",$C277="内訳書",$C277="内訳代価",$C277="明細書",$C277="明細代価",$C277="代価表",$C277="単価表"),データ!Q274,"")</f>
        <v/>
      </c>
      <c r="S277" s="11" t="str">
        <f t="shared" si="26"/>
        <v/>
      </c>
      <c r="T277" s="46" t="e">
        <f t="shared" si="27"/>
        <v>#DIV/0!</v>
      </c>
      <c r="U277" s="40" t="str">
        <f>IF(データ!R274="","",データ!R274)</f>
        <v/>
      </c>
      <c r="V277" s="41" t="str">
        <f>IF(データ!S274="","",データ!S274)</f>
        <v/>
      </c>
      <c r="W277" s="42">
        <f>データ!T274</f>
        <v>0</v>
      </c>
      <c r="X277" s="48">
        <f>IF($C277="集計行","",データ!U274)</f>
        <v>0</v>
      </c>
      <c r="Y277" s="48">
        <f>データ!V274</f>
        <v>0</v>
      </c>
      <c r="Z277" s="39" t="str">
        <f>IF(OR($C277="総括",$C277="内訳書",$C277="内訳代価",$C277="明細書",$C277="明細代価",$C277="代価表",$C277="単価表"),データ!W274,"")</f>
        <v/>
      </c>
      <c r="AA277" s="11" t="str">
        <f t="shared" si="28"/>
        <v/>
      </c>
      <c r="AB277" s="46" t="e">
        <f t="shared" si="29"/>
        <v>#DIV/0!</v>
      </c>
      <c r="AC277" s="40" t="str">
        <f>IF(データ!X274="","",データ!X274)</f>
        <v/>
      </c>
      <c r="AD277" s="41" t="str">
        <f>IF(データ!Y274="","",データ!Y274)</f>
        <v/>
      </c>
      <c r="AE277" s="47" t="str">
        <f>TRIM(データ!B274)</f>
        <v/>
      </c>
      <c r="AF277" s="43" t="str">
        <f>TRIM(データ!Z274)</f>
        <v/>
      </c>
    </row>
    <row r="278" spans="1:32" x14ac:dyDescent="0.15">
      <c r="A278" s="47">
        <f>データ!A275</f>
        <v>2</v>
      </c>
      <c r="B278" s="47" t="str">
        <f>TRIM(データ!C275)</f>
        <v/>
      </c>
      <c r="C278" s="47" t="str">
        <f>TRIM(データ!D275)</f>
        <v>運搬費</v>
      </c>
      <c r="D278" s="36" t="str">
        <f>REPT("｜",$A278)&amp;TRIM(データ!E275)</f>
        <v>｜｜10t回送費</v>
      </c>
      <c r="E278" s="37" t="str">
        <f>TRIM(データ!F275)</f>
        <v>AF</v>
      </c>
      <c r="F278" s="38" t="str">
        <f>TRIM(データ!G275)</f>
        <v>回</v>
      </c>
      <c r="G278" s="50">
        <f>データ!H275</f>
        <v>2</v>
      </c>
      <c r="H278" s="48">
        <f>データ!I275</f>
        <v>33000</v>
      </c>
      <c r="I278" s="48">
        <f>データ!J275</f>
        <v>66000</v>
      </c>
      <c r="J278" s="39" t="str">
        <f>IF(OR($C278="総括",$C278="内訳書",$C278="内訳代価",$C278="明細書",$C278="明細代価",$C278="代価表",$C278="単価表"),データ!K275,"")</f>
        <v/>
      </c>
      <c r="K278" s="11" t="str">
        <f t="shared" si="24"/>
        <v/>
      </c>
      <c r="L278" s="46">
        <f t="shared" si="25"/>
        <v>3.5680748127977112E-3</v>
      </c>
      <c r="M278" s="40" t="str">
        <f>IF(データ!L275="","",データ!L275)</f>
        <v/>
      </c>
      <c r="N278" s="41" t="str">
        <f>IF(データ!M275="","",データ!M275)</f>
        <v/>
      </c>
      <c r="O278" s="42">
        <f>データ!N275</f>
        <v>0</v>
      </c>
      <c r="P278" s="48">
        <f>IF($C278="集計行","",データ!O275)</f>
        <v>0</v>
      </c>
      <c r="Q278" s="48">
        <f>データ!P275</f>
        <v>0</v>
      </c>
      <c r="R278" s="39" t="str">
        <f>IF(OR($C278="総括",$C278="内訳書",$C278="内訳代価",$C278="明細書",$C278="明細代価",$C278="代価表",$C278="単価表"),データ!Q275,"")</f>
        <v/>
      </c>
      <c r="S278" s="11" t="str">
        <f t="shared" si="26"/>
        <v/>
      </c>
      <c r="T278" s="46" t="e">
        <f t="shared" si="27"/>
        <v>#DIV/0!</v>
      </c>
      <c r="U278" s="40" t="str">
        <f>IF(データ!R275="","",データ!R275)</f>
        <v/>
      </c>
      <c r="V278" s="41" t="str">
        <f>IF(データ!S275="","",データ!S275)</f>
        <v/>
      </c>
      <c r="W278" s="42">
        <f>データ!T275</f>
        <v>0</v>
      </c>
      <c r="X278" s="48">
        <f>IF($C278="集計行","",データ!U275)</f>
        <v>0</v>
      </c>
      <c r="Y278" s="48">
        <f>データ!V275</f>
        <v>0</v>
      </c>
      <c r="Z278" s="39" t="str">
        <f>IF(OR($C278="総括",$C278="内訳書",$C278="内訳代価",$C278="明細書",$C278="明細代価",$C278="代価表",$C278="単価表"),データ!W275,"")</f>
        <v/>
      </c>
      <c r="AA278" s="11" t="str">
        <f t="shared" si="28"/>
        <v/>
      </c>
      <c r="AB278" s="46" t="e">
        <f t="shared" si="29"/>
        <v>#DIV/0!</v>
      </c>
      <c r="AC278" s="40" t="str">
        <f>IF(データ!X275="","",データ!X275)</f>
        <v/>
      </c>
      <c r="AD278" s="41" t="str">
        <f>IF(データ!Y275="","",データ!Y275)</f>
        <v/>
      </c>
      <c r="AE278" s="47" t="str">
        <f>TRIM(データ!B275)</f>
        <v/>
      </c>
      <c r="AF278" s="43" t="str">
        <f>TRIM(データ!Z275)</f>
        <v/>
      </c>
    </row>
    <row r="279" spans="1:32" x14ac:dyDescent="0.15">
      <c r="A279" s="47">
        <f>データ!A276</f>
        <v>2</v>
      </c>
      <c r="B279" s="47" t="str">
        <f>TRIM(データ!C276)</f>
        <v/>
      </c>
      <c r="C279" s="47" t="str">
        <f>TRIM(データ!D276)</f>
        <v>運搬費</v>
      </c>
      <c r="D279" s="36" t="str">
        <f>REPT("｜",$A279)&amp;TRIM(データ!E276)</f>
        <v>｜｜10t回送費</v>
      </c>
      <c r="E279" s="37" t="str">
        <f>TRIM(データ!F276)</f>
        <v>TR</v>
      </c>
      <c r="F279" s="38" t="str">
        <f>TRIM(データ!G276)</f>
        <v>回</v>
      </c>
      <c r="G279" s="50">
        <f>データ!H276</f>
        <v>2</v>
      </c>
      <c r="H279" s="48">
        <f>データ!I276</f>
        <v>26000</v>
      </c>
      <c r="I279" s="48">
        <f>データ!J276</f>
        <v>52000</v>
      </c>
      <c r="J279" s="39" t="str">
        <f>IF(OR($C279="総括",$C279="内訳書",$C279="内訳代価",$C279="明細書",$C279="明細代価",$C279="代価表",$C279="単価表"),データ!K276,"")</f>
        <v/>
      </c>
      <c r="K279" s="11" t="str">
        <f t="shared" si="24"/>
        <v/>
      </c>
      <c r="L279" s="46">
        <f t="shared" si="25"/>
        <v>2.8112104585678939E-3</v>
      </c>
      <c r="M279" s="40" t="str">
        <f>IF(データ!L276="","",データ!L276)</f>
        <v/>
      </c>
      <c r="N279" s="41" t="str">
        <f>IF(データ!M276="","",データ!M276)</f>
        <v/>
      </c>
      <c r="O279" s="42">
        <f>データ!N276</f>
        <v>0</v>
      </c>
      <c r="P279" s="48">
        <f>IF($C279="集計行","",データ!O276)</f>
        <v>0</v>
      </c>
      <c r="Q279" s="48">
        <f>データ!P276</f>
        <v>0</v>
      </c>
      <c r="R279" s="39" t="str">
        <f>IF(OR($C279="総括",$C279="内訳書",$C279="内訳代価",$C279="明細書",$C279="明細代価",$C279="代価表",$C279="単価表"),データ!Q276,"")</f>
        <v/>
      </c>
      <c r="S279" s="11" t="str">
        <f t="shared" si="26"/>
        <v/>
      </c>
      <c r="T279" s="46" t="e">
        <f t="shared" si="27"/>
        <v>#DIV/0!</v>
      </c>
      <c r="U279" s="40" t="str">
        <f>IF(データ!R276="","",データ!R276)</f>
        <v/>
      </c>
      <c r="V279" s="41" t="str">
        <f>IF(データ!S276="","",データ!S276)</f>
        <v/>
      </c>
      <c r="W279" s="42">
        <f>データ!T276</f>
        <v>0</v>
      </c>
      <c r="X279" s="48">
        <f>IF($C279="集計行","",データ!U276)</f>
        <v>0</v>
      </c>
      <c r="Y279" s="48">
        <f>データ!V276</f>
        <v>0</v>
      </c>
      <c r="Z279" s="39" t="str">
        <f>IF(OR($C279="総括",$C279="内訳書",$C279="内訳代価",$C279="明細書",$C279="明細代価",$C279="代価表",$C279="単価表"),データ!W276,"")</f>
        <v/>
      </c>
      <c r="AA279" s="11" t="str">
        <f t="shared" si="28"/>
        <v/>
      </c>
      <c r="AB279" s="46" t="e">
        <f t="shared" si="29"/>
        <v>#DIV/0!</v>
      </c>
      <c r="AC279" s="40" t="str">
        <f>IF(データ!X276="","",データ!X276)</f>
        <v/>
      </c>
      <c r="AD279" s="41" t="str">
        <f>IF(データ!Y276="","",データ!Y276)</f>
        <v/>
      </c>
      <c r="AE279" s="47" t="str">
        <f>TRIM(データ!B276)</f>
        <v/>
      </c>
      <c r="AF279" s="43" t="str">
        <f>TRIM(データ!Z276)</f>
        <v/>
      </c>
    </row>
    <row r="280" spans="1:32" x14ac:dyDescent="0.15">
      <c r="A280" s="47">
        <f>データ!A277</f>
        <v>2</v>
      </c>
      <c r="B280" s="47" t="str">
        <f>TRIM(データ!C277)</f>
        <v/>
      </c>
      <c r="C280" s="47" t="str">
        <f>TRIM(データ!D277)</f>
        <v>運搬費</v>
      </c>
      <c r="D280" s="36" t="str">
        <f>REPT("｜",$A280)&amp;TRIM(データ!E277)</f>
        <v>｜｜10t回送費</v>
      </c>
      <c r="E280" s="37" t="str">
        <f>TRIM(データ!F277)</f>
        <v>BH,CR</v>
      </c>
      <c r="F280" s="38" t="str">
        <f>TRIM(データ!G277)</f>
        <v>回</v>
      </c>
      <c r="G280" s="50">
        <f>データ!H277</f>
        <v>2</v>
      </c>
      <c r="H280" s="48">
        <f>データ!I277</f>
        <v>26000</v>
      </c>
      <c r="I280" s="48">
        <f>データ!J277</f>
        <v>52000</v>
      </c>
      <c r="J280" s="39" t="str">
        <f>IF(OR($C280="総括",$C280="内訳書",$C280="内訳代価",$C280="明細書",$C280="明細代価",$C280="代価表",$C280="単価表"),データ!K277,"")</f>
        <v/>
      </c>
      <c r="K280" s="11" t="str">
        <f t="shared" si="24"/>
        <v/>
      </c>
      <c r="L280" s="46">
        <f t="shared" si="25"/>
        <v>2.8112104585678939E-3</v>
      </c>
      <c r="M280" s="40" t="str">
        <f>IF(データ!L277="","",データ!L277)</f>
        <v/>
      </c>
      <c r="N280" s="41" t="str">
        <f>IF(データ!M277="","",データ!M277)</f>
        <v/>
      </c>
      <c r="O280" s="42">
        <f>データ!N277</f>
        <v>0</v>
      </c>
      <c r="P280" s="48">
        <f>IF($C280="集計行","",データ!O277)</f>
        <v>0</v>
      </c>
      <c r="Q280" s="48">
        <f>データ!P277</f>
        <v>0</v>
      </c>
      <c r="R280" s="39" t="str">
        <f>IF(OR($C280="総括",$C280="内訳書",$C280="内訳代価",$C280="明細書",$C280="明細代価",$C280="代価表",$C280="単価表"),データ!Q277,"")</f>
        <v/>
      </c>
      <c r="S280" s="11" t="str">
        <f t="shared" si="26"/>
        <v/>
      </c>
      <c r="T280" s="46" t="e">
        <f t="shared" si="27"/>
        <v>#DIV/0!</v>
      </c>
      <c r="U280" s="40" t="str">
        <f>IF(データ!R277="","",データ!R277)</f>
        <v/>
      </c>
      <c r="V280" s="41" t="str">
        <f>IF(データ!S277="","",データ!S277)</f>
        <v/>
      </c>
      <c r="W280" s="42">
        <f>データ!T277</f>
        <v>0</v>
      </c>
      <c r="X280" s="48">
        <f>IF($C280="集計行","",データ!U277)</f>
        <v>0</v>
      </c>
      <c r="Y280" s="48">
        <f>データ!V277</f>
        <v>0</v>
      </c>
      <c r="Z280" s="39" t="str">
        <f>IF(OR($C280="総括",$C280="内訳書",$C280="内訳代価",$C280="明細書",$C280="明細代価",$C280="代価表",$C280="単価表"),データ!W277,"")</f>
        <v/>
      </c>
      <c r="AA280" s="11" t="str">
        <f t="shared" si="28"/>
        <v/>
      </c>
      <c r="AB280" s="46" t="e">
        <f t="shared" si="29"/>
        <v>#DIV/0!</v>
      </c>
      <c r="AC280" s="40" t="str">
        <f>IF(データ!X277="","",データ!X277)</f>
        <v/>
      </c>
      <c r="AD280" s="41" t="str">
        <f>IF(データ!Y277="","",データ!Y277)</f>
        <v/>
      </c>
      <c r="AE280" s="47" t="str">
        <f>TRIM(データ!B277)</f>
        <v/>
      </c>
      <c r="AF280" s="43" t="str">
        <f>TRIM(データ!Z277)</f>
        <v/>
      </c>
    </row>
    <row r="281" spans="1:32" x14ac:dyDescent="0.15">
      <c r="A281" s="47">
        <f>データ!A278</f>
        <v>2</v>
      </c>
      <c r="B281" s="47" t="str">
        <f>TRIM(データ!C278)</f>
        <v/>
      </c>
      <c r="C281" s="47" t="str">
        <f>TRIM(データ!D278)</f>
        <v>運搬費</v>
      </c>
      <c r="D281" s="36" t="str">
        <f>REPT("｜",$A281)&amp;TRIM(データ!E278)</f>
        <v>｜｜2tダンプ</v>
      </c>
      <c r="E281" s="37" t="str">
        <f>TRIM(データ!F278)</f>
        <v/>
      </c>
      <c r="F281" s="38" t="str">
        <f>TRIM(データ!G278)</f>
        <v>台</v>
      </c>
      <c r="G281" s="50">
        <f>データ!H278</f>
        <v>3</v>
      </c>
      <c r="H281" s="48">
        <f>データ!I278</f>
        <v>8000</v>
      </c>
      <c r="I281" s="48">
        <f>データ!J278</f>
        <v>24000</v>
      </c>
      <c r="J281" s="39" t="str">
        <f>IF(OR($C281="総括",$C281="内訳書",$C281="内訳代価",$C281="明細書",$C281="明細代価",$C281="代価表",$C281="単価表"),データ!K278,"")</f>
        <v/>
      </c>
      <c r="K281" s="11" t="str">
        <f t="shared" si="24"/>
        <v/>
      </c>
      <c r="L281" s="46">
        <f t="shared" si="25"/>
        <v>1.2974817501082586E-3</v>
      </c>
      <c r="M281" s="40" t="str">
        <f>IF(データ!L278="","",データ!L278)</f>
        <v/>
      </c>
      <c r="N281" s="41" t="str">
        <f>IF(データ!M278="","",データ!M278)</f>
        <v/>
      </c>
      <c r="O281" s="42">
        <f>データ!N278</f>
        <v>0</v>
      </c>
      <c r="P281" s="48">
        <f>IF($C281="集計行","",データ!O278)</f>
        <v>0</v>
      </c>
      <c r="Q281" s="48">
        <f>データ!P278</f>
        <v>0</v>
      </c>
      <c r="R281" s="39" t="str">
        <f>IF(OR($C281="総括",$C281="内訳書",$C281="内訳代価",$C281="明細書",$C281="明細代価",$C281="代価表",$C281="単価表"),データ!Q278,"")</f>
        <v/>
      </c>
      <c r="S281" s="11" t="str">
        <f t="shared" si="26"/>
        <v/>
      </c>
      <c r="T281" s="46" t="e">
        <f t="shared" si="27"/>
        <v>#DIV/0!</v>
      </c>
      <c r="U281" s="40" t="str">
        <f>IF(データ!R278="","",データ!R278)</f>
        <v/>
      </c>
      <c r="V281" s="41" t="str">
        <f>IF(データ!S278="","",データ!S278)</f>
        <v/>
      </c>
      <c r="W281" s="42">
        <f>データ!T278</f>
        <v>0</v>
      </c>
      <c r="X281" s="48">
        <f>IF($C281="集計行","",データ!U278)</f>
        <v>0</v>
      </c>
      <c r="Y281" s="48">
        <f>データ!V278</f>
        <v>0</v>
      </c>
      <c r="Z281" s="39" t="str">
        <f>IF(OR($C281="総括",$C281="内訳書",$C281="内訳代価",$C281="明細書",$C281="明細代価",$C281="代価表",$C281="単価表"),データ!W278,"")</f>
        <v/>
      </c>
      <c r="AA281" s="11" t="str">
        <f t="shared" si="28"/>
        <v/>
      </c>
      <c r="AB281" s="46" t="e">
        <f t="shared" si="29"/>
        <v>#DIV/0!</v>
      </c>
      <c r="AC281" s="40" t="str">
        <f>IF(データ!X278="","",データ!X278)</f>
        <v/>
      </c>
      <c r="AD281" s="41" t="str">
        <f>IF(データ!Y278="","",データ!Y278)</f>
        <v/>
      </c>
      <c r="AE281" s="47" t="str">
        <f>TRIM(データ!B278)</f>
        <v/>
      </c>
      <c r="AF281" s="43" t="str">
        <f>TRIM(データ!Z278)</f>
        <v/>
      </c>
    </row>
    <row r="282" spans="1:32" x14ac:dyDescent="0.15">
      <c r="A282" s="47">
        <f>データ!A279</f>
        <v>2</v>
      </c>
      <c r="B282" s="47" t="str">
        <f>TRIM(データ!C279)</f>
        <v/>
      </c>
      <c r="C282" s="47" t="str">
        <f>TRIM(データ!D279)</f>
        <v>運搬費</v>
      </c>
      <c r="D282" s="36" t="str">
        <f>REPT("｜",$A282)&amp;TRIM(データ!E279)</f>
        <v>｜｜WP</v>
      </c>
      <c r="E282" s="37" t="str">
        <f>TRIM(データ!F279)</f>
        <v/>
      </c>
      <c r="F282" s="38" t="str">
        <f>TRIM(データ!G279)</f>
        <v>台</v>
      </c>
      <c r="G282" s="50">
        <f>データ!H279</f>
        <v>2</v>
      </c>
      <c r="H282" s="48">
        <f>データ!I279</f>
        <v>8000</v>
      </c>
      <c r="I282" s="48">
        <f>データ!J279</f>
        <v>16000</v>
      </c>
      <c r="J282" s="39" t="str">
        <f>IF(OR($C282="総括",$C282="内訳書",$C282="内訳代価",$C282="明細書",$C282="明細代価",$C282="代価表",$C282="単価表"),データ!K279,"")</f>
        <v/>
      </c>
      <c r="K282" s="11" t="str">
        <f t="shared" si="24"/>
        <v/>
      </c>
      <c r="L282" s="46">
        <f t="shared" si="25"/>
        <v>8.6498783340550574E-4</v>
      </c>
      <c r="M282" s="40" t="str">
        <f>IF(データ!L279="","",データ!L279)</f>
        <v/>
      </c>
      <c r="N282" s="41" t="str">
        <f>IF(データ!M279="","",データ!M279)</f>
        <v/>
      </c>
      <c r="O282" s="42">
        <f>データ!N279</f>
        <v>0</v>
      </c>
      <c r="P282" s="48">
        <f>IF($C282="集計行","",データ!O279)</f>
        <v>0</v>
      </c>
      <c r="Q282" s="48">
        <f>データ!P279</f>
        <v>0</v>
      </c>
      <c r="R282" s="39" t="str">
        <f>IF(OR($C282="総括",$C282="内訳書",$C282="内訳代価",$C282="明細書",$C282="明細代価",$C282="代価表",$C282="単価表"),データ!Q279,"")</f>
        <v/>
      </c>
      <c r="S282" s="11" t="str">
        <f t="shared" si="26"/>
        <v/>
      </c>
      <c r="T282" s="46" t="e">
        <f t="shared" si="27"/>
        <v>#DIV/0!</v>
      </c>
      <c r="U282" s="40" t="str">
        <f>IF(データ!R279="","",データ!R279)</f>
        <v/>
      </c>
      <c r="V282" s="41" t="str">
        <f>IF(データ!S279="","",データ!S279)</f>
        <v/>
      </c>
      <c r="W282" s="42">
        <f>データ!T279</f>
        <v>0</v>
      </c>
      <c r="X282" s="48">
        <f>IF($C282="集計行","",データ!U279)</f>
        <v>0</v>
      </c>
      <c r="Y282" s="48">
        <f>データ!V279</f>
        <v>0</v>
      </c>
      <c r="Z282" s="39" t="str">
        <f>IF(OR($C282="総括",$C282="内訳書",$C282="内訳代価",$C282="明細書",$C282="明細代価",$C282="代価表",$C282="単価表"),データ!W279,"")</f>
        <v/>
      </c>
      <c r="AA282" s="11" t="str">
        <f t="shared" si="28"/>
        <v/>
      </c>
      <c r="AB282" s="46" t="e">
        <f t="shared" si="29"/>
        <v>#DIV/0!</v>
      </c>
      <c r="AC282" s="40" t="str">
        <f>IF(データ!X279="","",データ!X279)</f>
        <v/>
      </c>
      <c r="AD282" s="41" t="str">
        <f>IF(データ!Y279="","",データ!Y279)</f>
        <v/>
      </c>
      <c r="AE282" s="47" t="str">
        <f>TRIM(データ!B279)</f>
        <v/>
      </c>
      <c r="AF282" s="43" t="str">
        <f>TRIM(データ!Z279)</f>
        <v/>
      </c>
    </row>
    <row r="283" spans="1:32" x14ac:dyDescent="0.15">
      <c r="A283" s="47">
        <f>データ!A280</f>
        <v>2</v>
      </c>
      <c r="B283" s="47" t="str">
        <f>TRIM(データ!C280)</f>
        <v/>
      </c>
      <c r="C283" s="47" t="str">
        <f>TRIM(データ!D280)</f>
        <v>運搬費</v>
      </c>
      <c r="D283" s="36" t="str">
        <f>REPT("｜",$A283)&amp;TRIM(データ!E280)</f>
        <v>｜｜1tトラック</v>
      </c>
      <c r="E283" s="37" t="str">
        <f>TRIM(データ!F280)</f>
        <v/>
      </c>
      <c r="F283" s="38" t="str">
        <f>TRIM(データ!G280)</f>
        <v>台</v>
      </c>
      <c r="G283" s="50">
        <f>データ!H280</f>
        <v>1</v>
      </c>
      <c r="H283" s="48">
        <f>データ!I280</f>
        <v>7000</v>
      </c>
      <c r="I283" s="48">
        <f>データ!J280</f>
        <v>7000</v>
      </c>
      <c r="J283" s="39" t="str">
        <f>IF(OR($C283="総括",$C283="内訳書",$C283="内訳代価",$C283="明細書",$C283="明細代価",$C283="代価表",$C283="単価表"),データ!K280,"")</f>
        <v/>
      </c>
      <c r="K283" s="11" t="str">
        <f t="shared" si="24"/>
        <v/>
      </c>
      <c r="L283" s="46">
        <f t="shared" si="25"/>
        <v>3.7843217711490878E-4</v>
      </c>
      <c r="M283" s="40" t="str">
        <f>IF(データ!L280="","",データ!L280)</f>
        <v/>
      </c>
      <c r="N283" s="41" t="str">
        <f>IF(データ!M280="","",データ!M280)</f>
        <v/>
      </c>
      <c r="O283" s="42">
        <f>データ!N280</f>
        <v>0</v>
      </c>
      <c r="P283" s="48">
        <f>IF($C283="集計行","",データ!O280)</f>
        <v>0</v>
      </c>
      <c r="Q283" s="48">
        <f>データ!P280</f>
        <v>0</v>
      </c>
      <c r="R283" s="39" t="str">
        <f>IF(OR($C283="総括",$C283="内訳書",$C283="内訳代価",$C283="明細書",$C283="明細代価",$C283="代価表",$C283="単価表"),データ!Q280,"")</f>
        <v/>
      </c>
      <c r="S283" s="11" t="str">
        <f t="shared" si="26"/>
        <v/>
      </c>
      <c r="T283" s="46" t="e">
        <f t="shared" si="27"/>
        <v>#DIV/0!</v>
      </c>
      <c r="U283" s="40" t="str">
        <f>IF(データ!R280="","",データ!R280)</f>
        <v/>
      </c>
      <c r="V283" s="41" t="str">
        <f>IF(データ!S280="","",データ!S280)</f>
        <v/>
      </c>
      <c r="W283" s="42">
        <f>データ!T280</f>
        <v>0</v>
      </c>
      <c r="X283" s="48">
        <f>IF($C283="集計行","",データ!U280)</f>
        <v>0</v>
      </c>
      <c r="Y283" s="48">
        <f>データ!V280</f>
        <v>0</v>
      </c>
      <c r="Z283" s="39" t="str">
        <f>IF(OR($C283="総括",$C283="内訳書",$C283="内訳代価",$C283="明細書",$C283="明細代価",$C283="代価表",$C283="単価表"),データ!W280,"")</f>
        <v/>
      </c>
      <c r="AA283" s="11" t="str">
        <f t="shared" si="28"/>
        <v/>
      </c>
      <c r="AB283" s="46" t="e">
        <f t="shared" si="29"/>
        <v>#DIV/0!</v>
      </c>
      <c r="AC283" s="40" t="str">
        <f>IF(データ!X280="","",データ!X280)</f>
        <v/>
      </c>
      <c r="AD283" s="41" t="str">
        <f>IF(データ!Y280="","",データ!Y280)</f>
        <v/>
      </c>
      <c r="AE283" s="47" t="str">
        <f>TRIM(データ!B280)</f>
        <v/>
      </c>
      <c r="AF283" s="43" t="str">
        <f>TRIM(データ!Z280)</f>
        <v/>
      </c>
    </row>
    <row r="284" spans="1:32" x14ac:dyDescent="0.15">
      <c r="A284" s="47">
        <f>データ!A281</f>
        <v>2</v>
      </c>
      <c r="B284" s="47" t="str">
        <f>TRIM(データ!C281)</f>
        <v/>
      </c>
      <c r="C284" s="47" t="str">
        <f>TRIM(データ!D281)</f>
        <v>外注費</v>
      </c>
      <c r="D284" s="36" t="str">
        <f>REPT("｜",$A284)&amp;TRIM(データ!E281)</f>
        <v>｜｜諸経費</v>
      </c>
      <c r="E284" s="37" t="str">
        <f>TRIM(データ!F281)</f>
        <v/>
      </c>
      <c r="F284" s="38" t="str">
        <f>TRIM(データ!G281)</f>
        <v>式</v>
      </c>
      <c r="G284" s="50">
        <f>データ!H281</f>
        <v>1</v>
      </c>
      <c r="H284" s="48">
        <f>データ!I281</f>
        <v>64000</v>
      </c>
      <c r="I284" s="48">
        <f>データ!J281</f>
        <v>64000</v>
      </c>
      <c r="J284" s="39" t="str">
        <f>IF(OR($C284="総括",$C284="内訳書",$C284="内訳代価",$C284="明細書",$C284="明細代価",$C284="代価表",$C284="単価表"),データ!K281,"")</f>
        <v/>
      </c>
      <c r="K284" s="11" t="str">
        <f t="shared" si="24"/>
        <v/>
      </c>
      <c r="L284" s="46">
        <f t="shared" si="25"/>
        <v>3.459951333622023E-3</v>
      </c>
      <c r="M284" s="40" t="str">
        <f>IF(データ!L281="","",データ!L281)</f>
        <v/>
      </c>
      <c r="N284" s="41" t="str">
        <f>IF(データ!M281="","",データ!M281)</f>
        <v/>
      </c>
      <c r="O284" s="42">
        <f>データ!N281</f>
        <v>0</v>
      </c>
      <c r="P284" s="48">
        <f>IF($C284="集計行","",データ!O281)</f>
        <v>0</v>
      </c>
      <c r="Q284" s="48">
        <f>データ!P281</f>
        <v>0</v>
      </c>
      <c r="R284" s="39" t="str">
        <f>IF(OR($C284="総括",$C284="内訳書",$C284="内訳代価",$C284="明細書",$C284="明細代価",$C284="代価表",$C284="単価表"),データ!Q281,"")</f>
        <v/>
      </c>
      <c r="S284" s="11" t="str">
        <f t="shared" si="26"/>
        <v/>
      </c>
      <c r="T284" s="46" t="e">
        <f t="shared" si="27"/>
        <v>#DIV/0!</v>
      </c>
      <c r="U284" s="40" t="str">
        <f>IF(データ!R281="","",データ!R281)</f>
        <v/>
      </c>
      <c r="V284" s="41" t="str">
        <f>IF(データ!S281="","",データ!S281)</f>
        <v/>
      </c>
      <c r="W284" s="42">
        <f>データ!T281</f>
        <v>0</v>
      </c>
      <c r="X284" s="48">
        <f>IF($C284="集計行","",データ!U281)</f>
        <v>0</v>
      </c>
      <c r="Y284" s="48">
        <f>データ!V281</f>
        <v>0</v>
      </c>
      <c r="Z284" s="39" t="str">
        <f>IF(OR($C284="総括",$C284="内訳書",$C284="内訳代価",$C284="明細書",$C284="明細代価",$C284="代価表",$C284="単価表"),データ!W281,"")</f>
        <v/>
      </c>
      <c r="AA284" s="11" t="str">
        <f t="shared" si="28"/>
        <v/>
      </c>
      <c r="AB284" s="46" t="e">
        <f t="shared" si="29"/>
        <v>#DIV/0!</v>
      </c>
      <c r="AC284" s="40" t="str">
        <f>IF(データ!X281="","",データ!X281)</f>
        <v/>
      </c>
      <c r="AD284" s="41" t="str">
        <f>IF(データ!Y281="","",データ!Y281)</f>
        <v/>
      </c>
      <c r="AE284" s="47" t="str">
        <f>TRIM(データ!B281)</f>
        <v/>
      </c>
      <c r="AF284" s="43" t="str">
        <f>TRIM(データ!Z281)</f>
        <v/>
      </c>
    </row>
    <row r="285" spans="1:32" x14ac:dyDescent="0.15">
      <c r="A285" s="47">
        <f>データ!A282</f>
        <v>2</v>
      </c>
      <c r="B285" s="47" t="str">
        <f>TRIM(データ!C282)</f>
        <v/>
      </c>
      <c r="C285" s="47" t="str">
        <f>TRIM(データ!D282)</f>
        <v>外注費</v>
      </c>
      <c r="D285" s="36" t="str">
        <f>REPT("｜",$A285)&amp;TRIM(データ!E282)</f>
        <v>｜｜法定福利費舗装</v>
      </c>
      <c r="E285" s="37" t="str">
        <f>TRIM(データ!F282)</f>
        <v/>
      </c>
      <c r="F285" s="38" t="str">
        <f>TRIM(データ!G282)</f>
        <v>式</v>
      </c>
      <c r="G285" s="50">
        <f>データ!H282</f>
        <v>1</v>
      </c>
      <c r="H285" s="48">
        <f>データ!I282</f>
        <v>38400</v>
      </c>
      <c r="I285" s="48">
        <f>データ!J282</f>
        <v>38400</v>
      </c>
      <c r="J285" s="39" t="str">
        <f>IF(OR($C285="総括",$C285="内訳書",$C285="内訳代価",$C285="明細書",$C285="明細代価",$C285="代価表",$C285="単価表"),データ!K282,"")</f>
        <v/>
      </c>
      <c r="K285" s="11" t="str">
        <f t="shared" si="24"/>
        <v/>
      </c>
      <c r="L285" s="46">
        <f t="shared" si="25"/>
        <v>2.0759708001732136E-3</v>
      </c>
      <c r="M285" s="40" t="str">
        <f>IF(データ!L282="","",データ!L282)</f>
        <v/>
      </c>
      <c r="N285" s="41" t="str">
        <f>IF(データ!M282="","",データ!M282)</f>
        <v/>
      </c>
      <c r="O285" s="42">
        <f>データ!N282</f>
        <v>0</v>
      </c>
      <c r="P285" s="48">
        <f>IF($C285="集計行","",データ!O282)</f>
        <v>0</v>
      </c>
      <c r="Q285" s="48">
        <f>データ!P282</f>
        <v>0</v>
      </c>
      <c r="R285" s="39" t="str">
        <f>IF(OR($C285="総括",$C285="内訳書",$C285="内訳代価",$C285="明細書",$C285="明細代価",$C285="代価表",$C285="単価表"),データ!Q282,"")</f>
        <v/>
      </c>
      <c r="S285" s="11" t="str">
        <f t="shared" si="26"/>
        <v/>
      </c>
      <c r="T285" s="46" t="e">
        <f t="shared" si="27"/>
        <v>#DIV/0!</v>
      </c>
      <c r="U285" s="40" t="str">
        <f>IF(データ!R282="","",データ!R282)</f>
        <v/>
      </c>
      <c r="V285" s="41" t="str">
        <f>IF(データ!S282="","",データ!S282)</f>
        <v/>
      </c>
      <c r="W285" s="42">
        <f>データ!T282</f>
        <v>0</v>
      </c>
      <c r="X285" s="48">
        <f>IF($C285="集計行","",データ!U282)</f>
        <v>0</v>
      </c>
      <c r="Y285" s="48">
        <f>データ!V282</f>
        <v>0</v>
      </c>
      <c r="Z285" s="39" t="str">
        <f>IF(OR($C285="総括",$C285="内訳書",$C285="内訳代価",$C285="明細書",$C285="明細代価",$C285="代価表",$C285="単価表"),データ!W282,"")</f>
        <v/>
      </c>
      <c r="AA285" s="11" t="str">
        <f t="shared" si="28"/>
        <v/>
      </c>
      <c r="AB285" s="46" t="e">
        <f t="shared" si="29"/>
        <v>#DIV/0!</v>
      </c>
      <c r="AC285" s="40" t="str">
        <f>IF(データ!X282="","",データ!X282)</f>
        <v/>
      </c>
      <c r="AD285" s="41" t="str">
        <f>IF(データ!Y282="","",データ!Y282)</f>
        <v/>
      </c>
      <c r="AE285" s="47" t="str">
        <f>TRIM(データ!B282)</f>
        <v/>
      </c>
      <c r="AF285" s="43" t="str">
        <f>TRIM(データ!Z282)</f>
        <v/>
      </c>
    </row>
    <row r="286" spans="1:32" x14ac:dyDescent="0.15">
      <c r="A286" s="47">
        <f>データ!A283</f>
        <v>2</v>
      </c>
      <c r="B286" s="47" t="str">
        <f>TRIM(データ!C283)</f>
        <v/>
      </c>
      <c r="C286" s="47" t="str">
        <f>TRIM(データ!D283)</f>
        <v>外注費</v>
      </c>
      <c r="D286" s="36" t="str">
        <f>REPT("｜",$A286)&amp;TRIM(データ!E283)</f>
        <v>｜｜法定福利費切削</v>
      </c>
      <c r="E286" s="37" t="str">
        <f>TRIM(データ!F283)</f>
        <v/>
      </c>
      <c r="F286" s="38" t="str">
        <f>TRIM(データ!G283)</f>
        <v>式</v>
      </c>
      <c r="G286" s="50">
        <f>データ!H283</f>
        <v>1</v>
      </c>
      <c r="H286" s="48">
        <f>データ!I283</f>
        <v>12000</v>
      </c>
      <c r="I286" s="48">
        <f>データ!J283</f>
        <v>12000</v>
      </c>
      <c r="J286" s="39" t="str">
        <f>IF(OR($C286="総括",$C286="内訳書",$C286="内訳代価",$C286="明細書",$C286="明細代価",$C286="代価表",$C286="単価表"),データ!K283,"")</f>
        <v/>
      </c>
      <c r="K286" s="11" t="str">
        <f t="shared" si="24"/>
        <v/>
      </c>
      <c r="L286" s="46">
        <f t="shared" si="25"/>
        <v>6.4874087505412928E-4</v>
      </c>
      <c r="M286" s="40" t="str">
        <f>IF(データ!L283="","",データ!L283)</f>
        <v/>
      </c>
      <c r="N286" s="41" t="str">
        <f>IF(データ!M283="","",データ!M283)</f>
        <v/>
      </c>
      <c r="O286" s="42">
        <f>データ!N283</f>
        <v>0</v>
      </c>
      <c r="P286" s="48">
        <f>IF($C286="集計行","",データ!O283)</f>
        <v>0</v>
      </c>
      <c r="Q286" s="48">
        <f>データ!P283</f>
        <v>0</v>
      </c>
      <c r="R286" s="39" t="str">
        <f>IF(OR($C286="総括",$C286="内訳書",$C286="内訳代価",$C286="明細書",$C286="明細代価",$C286="代価表",$C286="単価表"),データ!Q283,"")</f>
        <v/>
      </c>
      <c r="S286" s="11" t="str">
        <f t="shared" si="26"/>
        <v/>
      </c>
      <c r="T286" s="46" t="e">
        <f t="shared" si="27"/>
        <v>#DIV/0!</v>
      </c>
      <c r="U286" s="40" t="str">
        <f>IF(データ!R283="","",データ!R283)</f>
        <v/>
      </c>
      <c r="V286" s="41" t="str">
        <f>IF(データ!S283="","",データ!S283)</f>
        <v/>
      </c>
      <c r="W286" s="42">
        <f>データ!T283</f>
        <v>0</v>
      </c>
      <c r="X286" s="48">
        <f>IF($C286="集計行","",データ!U283)</f>
        <v>0</v>
      </c>
      <c r="Y286" s="48">
        <f>データ!V283</f>
        <v>0</v>
      </c>
      <c r="Z286" s="39" t="str">
        <f>IF(OR($C286="総括",$C286="内訳書",$C286="内訳代価",$C286="明細書",$C286="明細代価",$C286="代価表",$C286="単価表"),データ!W283,"")</f>
        <v/>
      </c>
      <c r="AA286" s="11" t="str">
        <f t="shared" si="28"/>
        <v/>
      </c>
      <c r="AB286" s="46" t="e">
        <f t="shared" si="29"/>
        <v>#DIV/0!</v>
      </c>
      <c r="AC286" s="40" t="str">
        <f>IF(データ!X283="","",データ!X283)</f>
        <v/>
      </c>
      <c r="AD286" s="41" t="str">
        <f>IF(データ!Y283="","",データ!Y283)</f>
        <v/>
      </c>
      <c r="AE286" s="47" t="str">
        <f>TRIM(データ!B283)</f>
        <v/>
      </c>
      <c r="AF286" s="43" t="str">
        <f>TRIM(データ!Z283)</f>
        <v/>
      </c>
    </row>
    <row r="287" spans="1:32" x14ac:dyDescent="0.15">
      <c r="A287" s="47">
        <f>データ!A284</f>
        <v>2</v>
      </c>
      <c r="B287" s="47" t="str">
        <f>TRIM(データ!C284)</f>
        <v/>
      </c>
      <c r="C287" s="47" t="str">
        <f>TRIM(データ!D284)</f>
        <v>外注費</v>
      </c>
      <c r="D287" s="36" t="str">
        <f>REPT("｜",$A287)&amp;TRIM(データ!E284)</f>
        <v>｜｜交通誘導員</v>
      </c>
      <c r="E287" s="37" t="str">
        <f>TRIM(データ!F284)</f>
        <v/>
      </c>
      <c r="F287" s="38" t="str">
        <f>TRIM(データ!G284)</f>
        <v>人</v>
      </c>
      <c r="G287" s="50">
        <f>データ!H284</f>
        <v>8</v>
      </c>
      <c r="H287" s="48">
        <f>データ!I284</f>
        <v>23000</v>
      </c>
      <c r="I287" s="48">
        <f>データ!J284</f>
        <v>184000</v>
      </c>
      <c r="J287" s="39" t="str">
        <f>IF(OR($C287="総括",$C287="内訳書",$C287="内訳代価",$C287="明細書",$C287="明細代価",$C287="代価表",$C287="単価表"),データ!K284,"")</f>
        <v/>
      </c>
      <c r="K287" s="11" t="str">
        <f t="shared" si="24"/>
        <v/>
      </c>
      <c r="L287" s="46">
        <f t="shared" si="25"/>
        <v>9.9473600841633158E-3</v>
      </c>
      <c r="M287" s="40" t="str">
        <f>IF(データ!L284="","",データ!L284)</f>
        <v/>
      </c>
      <c r="N287" s="41" t="str">
        <f>IF(データ!M284="","",データ!M284)</f>
        <v/>
      </c>
      <c r="O287" s="42">
        <f>データ!N284</f>
        <v>0</v>
      </c>
      <c r="P287" s="48">
        <f>IF($C287="集計行","",データ!O284)</f>
        <v>0</v>
      </c>
      <c r="Q287" s="48">
        <f>データ!P284</f>
        <v>0</v>
      </c>
      <c r="R287" s="39" t="str">
        <f>IF(OR($C287="総括",$C287="内訳書",$C287="内訳代価",$C287="明細書",$C287="明細代価",$C287="代価表",$C287="単価表"),データ!Q284,"")</f>
        <v/>
      </c>
      <c r="S287" s="11" t="str">
        <f t="shared" si="26"/>
        <v/>
      </c>
      <c r="T287" s="46" t="e">
        <f t="shared" si="27"/>
        <v>#DIV/0!</v>
      </c>
      <c r="U287" s="40" t="str">
        <f>IF(データ!R284="","",データ!R284)</f>
        <v/>
      </c>
      <c r="V287" s="41" t="str">
        <f>IF(データ!S284="","",データ!S284)</f>
        <v/>
      </c>
      <c r="W287" s="42">
        <f>データ!T284</f>
        <v>0</v>
      </c>
      <c r="X287" s="48">
        <f>IF($C287="集計行","",データ!U284)</f>
        <v>0</v>
      </c>
      <c r="Y287" s="48">
        <f>データ!V284</f>
        <v>0</v>
      </c>
      <c r="Z287" s="39" t="str">
        <f>IF(OR($C287="総括",$C287="内訳書",$C287="内訳代価",$C287="明細書",$C287="明細代価",$C287="代価表",$C287="単価表"),データ!W284,"")</f>
        <v/>
      </c>
      <c r="AA287" s="11" t="str">
        <f t="shared" si="28"/>
        <v/>
      </c>
      <c r="AB287" s="46" t="e">
        <f t="shared" si="29"/>
        <v>#DIV/0!</v>
      </c>
      <c r="AC287" s="40" t="str">
        <f>IF(データ!X284="","",データ!X284)</f>
        <v/>
      </c>
      <c r="AD287" s="41" t="str">
        <f>IF(データ!Y284="","",データ!Y284)</f>
        <v/>
      </c>
      <c r="AE287" s="47" t="str">
        <f>TRIM(データ!B284)</f>
        <v/>
      </c>
      <c r="AF287" s="43" t="str">
        <f>TRIM(データ!Z284)</f>
        <v/>
      </c>
    </row>
    <row r="288" spans="1:32" x14ac:dyDescent="0.15">
      <c r="A288" s="47">
        <f>データ!A285</f>
        <v>2</v>
      </c>
      <c r="B288" s="47" t="str">
        <f>TRIM(データ!C285)</f>
        <v/>
      </c>
      <c r="C288" s="47" t="str">
        <f>TRIM(データ!D285)</f>
        <v>機械費</v>
      </c>
      <c r="D288" s="36" t="str">
        <f>REPT("｜",$A288)&amp;TRIM(データ!E285)</f>
        <v>｜｜軽トラ規制車　保安材含</v>
      </c>
      <c r="E288" s="37" t="str">
        <f>TRIM(データ!F285)</f>
        <v/>
      </c>
      <c r="F288" s="38" t="str">
        <f>TRIM(データ!G285)</f>
        <v>台</v>
      </c>
      <c r="G288" s="50">
        <f>データ!H285</f>
        <v>2</v>
      </c>
      <c r="H288" s="48">
        <f>データ!I285</f>
        <v>15000</v>
      </c>
      <c r="I288" s="48">
        <f>データ!J285</f>
        <v>30000</v>
      </c>
      <c r="J288" s="39" t="str">
        <f>IF(OR($C288="総括",$C288="内訳書",$C288="内訳代価",$C288="明細書",$C288="明細代価",$C288="代価表",$C288="単価表"),データ!K285,"")</f>
        <v/>
      </c>
      <c r="K288" s="11" t="str">
        <f t="shared" si="24"/>
        <v/>
      </c>
      <c r="L288" s="46">
        <f t="shared" si="25"/>
        <v>1.6218521876353233E-3</v>
      </c>
      <c r="M288" s="40" t="str">
        <f>IF(データ!L285="","",データ!L285)</f>
        <v/>
      </c>
      <c r="N288" s="41" t="str">
        <f>IF(データ!M285="","",データ!M285)</f>
        <v/>
      </c>
      <c r="O288" s="42">
        <f>データ!N285</f>
        <v>0</v>
      </c>
      <c r="P288" s="48">
        <f>IF($C288="集計行","",データ!O285)</f>
        <v>0</v>
      </c>
      <c r="Q288" s="48">
        <f>データ!P285</f>
        <v>0</v>
      </c>
      <c r="R288" s="39" t="str">
        <f>IF(OR($C288="総括",$C288="内訳書",$C288="内訳代価",$C288="明細書",$C288="明細代価",$C288="代価表",$C288="単価表"),データ!Q285,"")</f>
        <v/>
      </c>
      <c r="S288" s="11" t="str">
        <f t="shared" si="26"/>
        <v/>
      </c>
      <c r="T288" s="46" t="e">
        <f t="shared" si="27"/>
        <v>#DIV/0!</v>
      </c>
      <c r="U288" s="40" t="str">
        <f>IF(データ!R285="","",データ!R285)</f>
        <v/>
      </c>
      <c r="V288" s="41" t="str">
        <f>IF(データ!S285="","",データ!S285)</f>
        <v/>
      </c>
      <c r="W288" s="42">
        <f>データ!T285</f>
        <v>0</v>
      </c>
      <c r="X288" s="48">
        <f>IF($C288="集計行","",データ!U285)</f>
        <v>0</v>
      </c>
      <c r="Y288" s="48">
        <f>データ!V285</f>
        <v>0</v>
      </c>
      <c r="Z288" s="39" t="str">
        <f>IF(OR($C288="総括",$C288="内訳書",$C288="内訳代価",$C288="明細書",$C288="明細代価",$C288="代価表",$C288="単価表"),データ!W285,"")</f>
        <v/>
      </c>
      <c r="AA288" s="11" t="str">
        <f t="shared" si="28"/>
        <v/>
      </c>
      <c r="AB288" s="46" t="e">
        <f t="shared" si="29"/>
        <v>#DIV/0!</v>
      </c>
      <c r="AC288" s="40" t="str">
        <f>IF(データ!X285="","",データ!X285)</f>
        <v/>
      </c>
      <c r="AD288" s="41" t="str">
        <f>IF(データ!Y285="","",データ!Y285)</f>
        <v/>
      </c>
      <c r="AE288" s="47" t="str">
        <f>TRIM(データ!B285)</f>
        <v/>
      </c>
      <c r="AF288" s="43" t="str">
        <f>TRIM(データ!Z285)</f>
        <v/>
      </c>
    </row>
    <row r="289" spans="1:32" x14ac:dyDescent="0.15">
      <c r="A289" s="47">
        <f>データ!A286</f>
        <v>1</v>
      </c>
      <c r="B289" s="47" t="str">
        <f>TRIM(データ!C286)</f>
        <v/>
      </c>
      <c r="C289" s="47" t="str">
        <f>TRIM(データ!D286)</f>
        <v>内訳書</v>
      </c>
      <c r="D289" s="36" t="str">
        <f>REPT("｜",$A289)&amp;TRIM(データ!E286)</f>
        <v>｜路面補修工No.12</v>
      </c>
      <c r="E289" s="37" t="str">
        <f>TRIM(データ!F286)</f>
        <v>舗装打換工　1層</v>
      </c>
      <c r="F289" s="38" t="str">
        <f>TRIM(データ!G286)</f>
        <v>m2</v>
      </c>
      <c r="G289" s="50">
        <f>データ!H286</f>
        <v>73</v>
      </c>
      <c r="H289" s="48">
        <f>データ!I286</f>
        <v>11200</v>
      </c>
      <c r="I289" s="48">
        <f>データ!J286</f>
        <v>817600</v>
      </c>
      <c r="J289" s="39">
        <f>IF(OR($C289="総括",$C289="内訳書",$C289="内訳代価",$C289="明細書",$C289="明細代価",$C289="代価表",$C289="単価表"),データ!K286,"")</f>
        <v>73</v>
      </c>
      <c r="K289" s="11" t="str">
        <f t="shared" si="24"/>
        <v/>
      </c>
      <c r="L289" s="46">
        <f t="shared" si="25"/>
        <v>4.4200878287021343E-2</v>
      </c>
      <c r="M289" s="40" t="str">
        <f>IF(データ!L286="","",データ!L286)</f>
        <v/>
      </c>
      <c r="N289" s="41" t="str">
        <f>IF(データ!M286="","",データ!M286)</f>
        <v>29号内訳書</v>
      </c>
      <c r="O289" s="42">
        <f>データ!N286</f>
        <v>0</v>
      </c>
      <c r="P289" s="48">
        <f>IF($C289="集計行","",データ!O286)</f>
        <v>0</v>
      </c>
      <c r="Q289" s="48">
        <f>データ!P286</f>
        <v>0</v>
      </c>
      <c r="R289" s="39">
        <f>IF(OR($C289="総括",$C289="内訳書",$C289="内訳代価",$C289="明細書",$C289="明細代価",$C289="代価表",$C289="単価表"),データ!Q286,"")</f>
        <v>0</v>
      </c>
      <c r="S289" s="11" t="str">
        <f t="shared" si="26"/>
        <v/>
      </c>
      <c r="T289" s="46" t="e">
        <f t="shared" si="27"/>
        <v>#DIV/0!</v>
      </c>
      <c r="U289" s="40" t="str">
        <f>IF(データ!R286="","",データ!R286)</f>
        <v/>
      </c>
      <c r="V289" s="41" t="str">
        <f>IF(データ!S286="","",データ!S286)</f>
        <v/>
      </c>
      <c r="W289" s="42">
        <f>データ!T286</f>
        <v>0</v>
      </c>
      <c r="X289" s="48">
        <f>IF($C289="集計行","",データ!U286)</f>
        <v>0</v>
      </c>
      <c r="Y289" s="48">
        <f>データ!V286</f>
        <v>0</v>
      </c>
      <c r="Z289" s="39">
        <f>IF(OR($C289="総括",$C289="内訳書",$C289="内訳代価",$C289="明細書",$C289="明細代価",$C289="代価表",$C289="単価表"),データ!W286,"")</f>
        <v>0</v>
      </c>
      <c r="AA289" s="11" t="str">
        <f t="shared" si="28"/>
        <v/>
      </c>
      <c r="AB289" s="46" t="e">
        <f t="shared" si="29"/>
        <v>#DIV/0!</v>
      </c>
      <c r="AC289" s="40" t="str">
        <f>IF(データ!X286="","",データ!X286)</f>
        <v/>
      </c>
      <c r="AD289" s="41" t="str">
        <f>IF(データ!Y286="","",データ!Y286)</f>
        <v/>
      </c>
      <c r="AE289" s="47" t="str">
        <f>TRIM(データ!B286)</f>
        <v/>
      </c>
      <c r="AF289" s="43" t="str">
        <f>TRIM(データ!Z286)</f>
        <v/>
      </c>
    </row>
    <row r="290" spans="1:32" x14ac:dyDescent="0.15">
      <c r="A290" s="47">
        <f>データ!A287</f>
        <v>2</v>
      </c>
      <c r="B290" s="47" t="str">
        <f>TRIM(データ!C287)</f>
        <v/>
      </c>
      <c r="C290" s="47" t="str">
        <f>TRIM(データ!D287)</f>
        <v>材料費</v>
      </c>
      <c r="D290" s="36" t="str">
        <f>REPT("｜",$A290)&amp;TRIM(データ!E287)</f>
        <v>｜｜開粒度アスコン(13)</v>
      </c>
      <c r="E290" s="37" t="str">
        <f>TRIM(データ!F287)</f>
        <v/>
      </c>
      <c r="F290" s="38" t="str">
        <f>TRIM(データ!G287)</f>
        <v>ｔ</v>
      </c>
      <c r="G290" s="50">
        <f>データ!H287</f>
        <v>10</v>
      </c>
      <c r="H290" s="48">
        <f>データ!I287</f>
        <v>12500</v>
      </c>
      <c r="I290" s="48">
        <f>データ!J287</f>
        <v>125000</v>
      </c>
      <c r="J290" s="39" t="str">
        <f>IF(OR($C290="総括",$C290="内訳書",$C290="内訳代価",$C290="明細書",$C290="明細代価",$C290="代価表",$C290="単価表"),データ!K287,"")</f>
        <v/>
      </c>
      <c r="K290" s="11" t="str">
        <f t="shared" si="24"/>
        <v/>
      </c>
      <c r="L290" s="46">
        <f t="shared" si="25"/>
        <v>6.7577174484805139E-3</v>
      </c>
      <c r="M290" s="40" t="str">
        <f>IF(データ!L287="","",データ!L287)</f>
        <v/>
      </c>
      <c r="N290" s="41" t="str">
        <f>IF(データ!M287="","",データ!M287)</f>
        <v/>
      </c>
      <c r="O290" s="42">
        <f>データ!N287</f>
        <v>0</v>
      </c>
      <c r="P290" s="48">
        <f>IF($C290="集計行","",データ!O287)</f>
        <v>0</v>
      </c>
      <c r="Q290" s="48">
        <f>データ!P287</f>
        <v>0</v>
      </c>
      <c r="R290" s="39" t="str">
        <f>IF(OR($C290="総括",$C290="内訳書",$C290="内訳代価",$C290="明細書",$C290="明細代価",$C290="代価表",$C290="単価表"),データ!Q287,"")</f>
        <v/>
      </c>
      <c r="S290" s="11" t="str">
        <f t="shared" si="26"/>
        <v/>
      </c>
      <c r="T290" s="46" t="e">
        <f t="shared" si="27"/>
        <v>#DIV/0!</v>
      </c>
      <c r="U290" s="40" t="str">
        <f>IF(データ!R287="","",データ!R287)</f>
        <v/>
      </c>
      <c r="V290" s="41" t="str">
        <f>IF(データ!S287="","",データ!S287)</f>
        <v/>
      </c>
      <c r="W290" s="42">
        <f>データ!T287</f>
        <v>0</v>
      </c>
      <c r="X290" s="48">
        <f>IF($C290="集計行","",データ!U287)</f>
        <v>0</v>
      </c>
      <c r="Y290" s="48">
        <f>データ!V287</f>
        <v>0</v>
      </c>
      <c r="Z290" s="39" t="str">
        <f>IF(OR($C290="総括",$C290="内訳書",$C290="内訳代価",$C290="明細書",$C290="明細代価",$C290="代価表",$C290="単価表"),データ!W287,"")</f>
        <v/>
      </c>
      <c r="AA290" s="11" t="str">
        <f t="shared" si="28"/>
        <v/>
      </c>
      <c r="AB290" s="46" t="e">
        <f t="shared" si="29"/>
        <v>#DIV/0!</v>
      </c>
      <c r="AC290" s="40" t="str">
        <f>IF(データ!X287="","",データ!X287)</f>
        <v/>
      </c>
      <c r="AD290" s="41" t="str">
        <f>IF(データ!Y287="","",データ!Y287)</f>
        <v/>
      </c>
      <c r="AE290" s="47" t="str">
        <f>TRIM(データ!B287)</f>
        <v/>
      </c>
      <c r="AF290" s="43" t="str">
        <f>TRIM(データ!Z287)</f>
        <v/>
      </c>
    </row>
    <row r="291" spans="1:32" x14ac:dyDescent="0.15">
      <c r="A291" s="47">
        <f>データ!A288</f>
        <v>2</v>
      </c>
      <c r="B291" s="47" t="str">
        <f>TRIM(データ!C288)</f>
        <v/>
      </c>
      <c r="C291" s="47" t="str">
        <f>TRIM(データ!D288)</f>
        <v>材料費</v>
      </c>
      <c r="D291" s="36" t="str">
        <f>REPT("｜",$A291)&amp;TRIM(データ!E288)</f>
        <v>｜｜RC-40</v>
      </c>
      <c r="E291" s="37" t="str">
        <f>TRIM(データ!F288)</f>
        <v/>
      </c>
      <c r="F291" s="38" t="str">
        <f>TRIM(データ!G288)</f>
        <v>m3</v>
      </c>
      <c r="G291" s="50">
        <f>データ!H288</f>
        <v>2</v>
      </c>
      <c r="H291" s="48">
        <f>データ!I288</f>
        <v>2000</v>
      </c>
      <c r="I291" s="48">
        <f>データ!J288</f>
        <v>4000</v>
      </c>
      <c r="J291" s="39" t="str">
        <f>IF(OR($C291="総括",$C291="内訳書",$C291="内訳代価",$C291="明細書",$C291="明細代価",$C291="代価表",$C291="単価表"),データ!K288,"")</f>
        <v/>
      </c>
      <c r="K291" s="11" t="str">
        <f t="shared" si="24"/>
        <v/>
      </c>
      <c r="L291" s="46">
        <f t="shared" si="25"/>
        <v>2.1624695835137644E-4</v>
      </c>
      <c r="M291" s="40" t="str">
        <f>IF(データ!L288="","",データ!L288)</f>
        <v/>
      </c>
      <c r="N291" s="41" t="str">
        <f>IF(データ!M288="","",データ!M288)</f>
        <v/>
      </c>
      <c r="O291" s="42">
        <f>データ!N288</f>
        <v>0</v>
      </c>
      <c r="P291" s="48">
        <f>IF($C291="集計行","",データ!O288)</f>
        <v>0</v>
      </c>
      <c r="Q291" s="48">
        <f>データ!P288</f>
        <v>0</v>
      </c>
      <c r="R291" s="39" t="str">
        <f>IF(OR($C291="総括",$C291="内訳書",$C291="内訳代価",$C291="明細書",$C291="明細代価",$C291="代価表",$C291="単価表"),データ!Q288,"")</f>
        <v/>
      </c>
      <c r="S291" s="11" t="str">
        <f t="shared" si="26"/>
        <v/>
      </c>
      <c r="T291" s="46" t="e">
        <f t="shared" si="27"/>
        <v>#DIV/0!</v>
      </c>
      <c r="U291" s="40" t="str">
        <f>IF(データ!R288="","",データ!R288)</f>
        <v/>
      </c>
      <c r="V291" s="41" t="str">
        <f>IF(データ!S288="","",データ!S288)</f>
        <v/>
      </c>
      <c r="W291" s="42">
        <f>データ!T288</f>
        <v>0</v>
      </c>
      <c r="X291" s="48">
        <f>IF($C291="集計行","",データ!U288)</f>
        <v>0</v>
      </c>
      <c r="Y291" s="48">
        <f>データ!V288</f>
        <v>0</v>
      </c>
      <c r="Z291" s="39" t="str">
        <f>IF(OR($C291="総括",$C291="内訳書",$C291="内訳代価",$C291="明細書",$C291="明細代価",$C291="代価表",$C291="単価表"),データ!W288,"")</f>
        <v/>
      </c>
      <c r="AA291" s="11" t="str">
        <f t="shared" si="28"/>
        <v/>
      </c>
      <c r="AB291" s="46" t="e">
        <f t="shared" si="29"/>
        <v>#DIV/0!</v>
      </c>
      <c r="AC291" s="40" t="str">
        <f>IF(データ!X288="","",データ!X288)</f>
        <v/>
      </c>
      <c r="AD291" s="41" t="str">
        <f>IF(データ!Y288="","",データ!Y288)</f>
        <v/>
      </c>
      <c r="AE291" s="47" t="str">
        <f>TRIM(データ!B288)</f>
        <v/>
      </c>
      <c r="AF291" s="43" t="str">
        <f>TRIM(データ!Z288)</f>
        <v/>
      </c>
    </row>
    <row r="292" spans="1:32" x14ac:dyDescent="0.15">
      <c r="A292" s="47">
        <f>データ!A289</f>
        <v>2</v>
      </c>
      <c r="B292" s="47" t="str">
        <f>TRIM(データ!C289)</f>
        <v/>
      </c>
      <c r="C292" s="47" t="str">
        <f>TRIM(データ!D289)</f>
        <v>材料費</v>
      </c>
      <c r="D292" s="36" t="str">
        <f>REPT("｜",$A292)&amp;TRIM(データ!E289)</f>
        <v>｜｜軽油</v>
      </c>
      <c r="E292" s="37" t="str">
        <f>TRIM(データ!F289)</f>
        <v/>
      </c>
      <c r="F292" s="38" t="str">
        <f>TRIM(データ!G289)</f>
        <v>リットル</v>
      </c>
      <c r="G292" s="50">
        <f>データ!H289</f>
        <v>80</v>
      </c>
      <c r="H292" s="48">
        <f>データ!I289</f>
        <v>160</v>
      </c>
      <c r="I292" s="48">
        <f>データ!J289</f>
        <v>12800</v>
      </c>
      <c r="J292" s="39" t="str">
        <f>IF(OR($C292="総括",$C292="内訳書",$C292="内訳代価",$C292="明細書",$C292="明細代価",$C292="代価表",$C292="単価表"),データ!K289,"")</f>
        <v/>
      </c>
      <c r="K292" s="11" t="str">
        <f t="shared" si="24"/>
        <v/>
      </c>
      <c r="L292" s="46">
        <f t="shared" si="25"/>
        <v>6.9199026672440457E-4</v>
      </c>
      <c r="M292" s="40" t="str">
        <f>IF(データ!L289="","",データ!L289)</f>
        <v/>
      </c>
      <c r="N292" s="41" t="str">
        <f>IF(データ!M289="","",データ!M289)</f>
        <v/>
      </c>
      <c r="O292" s="42">
        <f>データ!N289</f>
        <v>0</v>
      </c>
      <c r="P292" s="48">
        <f>IF($C292="集計行","",データ!O289)</f>
        <v>0</v>
      </c>
      <c r="Q292" s="48">
        <f>データ!P289</f>
        <v>0</v>
      </c>
      <c r="R292" s="39" t="str">
        <f>IF(OR($C292="総括",$C292="内訳書",$C292="内訳代価",$C292="明細書",$C292="明細代価",$C292="代価表",$C292="単価表"),データ!Q289,"")</f>
        <v/>
      </c>
      <c r="S292" s="11" t="str">
        <f t="shared" si="26"/>
        <v/>
      </c>
      <c r="T292" s="46" t="e">
        <f t="shared" si="27"/>
        <v>#DIV/0!</v>
      </c>
      <c r="U292" s="40" t="str">
        <f>IF(データ!R289="","",データ!R289)</f>
        <v/>
      </c>
      <c r="V292" s="41" t="str">
        <f>IF(データ!S289="","",データ!S289)</f>
        <v/>
      </c>
      <c r="W292" s="42">
        <f>データ!T289</f>
        <v>0</v>
      </c>
      <c r="X292" s="48">
        <f>IF($C292="集計行","",データ!U289)</f>
        <v>0</v>
      </c>
      <c r="Y292" s="48">
        <f>データ!V289</f>
        <v>0</v>
      </c>
      <c r="Z292" s="39" t="str">
        <f>IF(OR($C292="総括",$C292="内訳書",$C292="内訳代価",$C292="明細書",$C292="明細代価",$C292="代価表",$C292="単価表"),データ!W289,"")</f>
        <v/>
      </c>
      <c r="AA292" s="11" t="str">
        <f t="shared" si="28"/>
        <v/>
      </c>
      <c r="AB292" s="46" t="e">
        <f t="shared" si="29"/>
        <v>#DIV/0!</v>
      </c>
      <c r="AC292" s="40" t="str">
        <f>IF(データ!X289="","",データ!X289)</f>
        <v/>
      </c>
      <c r="AD292" s="41" t="str">
        <f>IF(データ!Y289="","",データ!Y289)</f>
        <v/>
      </c>
      <c r="AE292" s="47" t="str">
        <f>TRIM(データ!B289)</f>
        <v/>
      </c>
      <c r="AF292" s="43" t="str">
        <f>TRIM(データ!Z289)</f>
        <v/>
      </c>
    </row>
    <row r="293" spans="1:32" x14ac:dyDescent="0.15">
      <c r="A293" s="47">
        <f>データ!A290</f>
        <v>2</v>
      </c>
      <c r="B293" s="47" t="str">
        <f>TRIM(データ!C290)</f>
        <v/>
      </c>
      <c r="C293" s="47" t="str">
        <f>TRIM(データ!D290)</f>
        <v>材料費</v>
      </c>
      <c r="D293" s="36" t="str">
        <f>REPT("｜",$A293)&amp;TRIM(データ!E290)</f>
        <v>｜｜ガソリン</v>
      </c>
      <c r="E293" s="37" t="str">
        <f>TRIM(データ!F290)</f>
        <v/>
      </c>
      <c r="F293" s="38" t="str">
        <f>TRIM(データ!G290)</f>
        <v>リットル</v>
      </c>
      <c r="G293" s="50">
        <f>データ!H290</f>
        <v>20</v>
      </c>
      <c r="H293" s="48">
        <f>データ!I290</f>
        <v>180</v>
      </c>
      <c r="I293" s="48">
        <f>データ!J290</f>
        <v>3600</v>
      </c>
      <c r="J293" s="39" t="str">
        <f>IF(OR($C293="総括",$C293="内訳書",$C293="内訳代価",$C293="明細書",$C293="明細代価",$C293="代価表",$C293="単価表"),データ!K290,"")</f>
        <v/>
      </c>
      <c r="K293" s="11" t="str">
        <f t="shared" si="24"/>
        <v/>
      </c>
      <c r="L293" s="46">
        <f t="shared" si="25"/>
        <v>1.9462226251623879E-4</v>
      </c>
      <c r="M293" s="40" t="str">
        <f>IF(データ!L290="","",データ!L290)</f>
        <v/>
      </c>
      <c r="N293" s="41" t="str">
        <f>IF(データ!M290="","",データ!M290)</f>
        <v/>
      </c>
      <c r="O293" s="42">
        <f>データ!N290</f>
        <v>0</v>
      </c>
      <c r="P293" s="48">
        <f>IF($C293="集計行","",データ!O290)</f>
        <v>0</v>
      </c>
      <c r="Q293" s="48">
        <f>データ!P290</f>
        <v>0</v>
      </c>
      <c r="R293" s="39" t="str">
        <f>IF(OR($C293="総括",$C293="内訳書",$C293="内訳代価",$C293="明細書",$C293="明細代価",$C293="代価表",$C293="単価表"),データ!Q290,"")</f>
        <v/>
      </c>
      <c r="S293" s="11" t="str">
        <f t="shared" si="26"/>
        <v/>
      </c>
      <c r="T293" s="46" t="e">
        <f t="shared" si="27"/>
        <v>#DIV/0!</v>
      </c>
      <c r="U293" s="40" t="str">
        <f>IF(データ!R290="","",データ!R290)</f>
        <v/>
      </c>
      <c r="V293" s="41" t="str">
        <f>IF(データ!S290="","",データ!S290)</f>
        <v/>
      </c>
      <c r="W293" s="42">
        <f>データ!T290</f>
        <v>0</v>
      </c>
      <c r="X293" s="48">
        <f>IF($C293="集計行","",データ!U290)</f>
        <v>0</v>
      </c>
      <c r="Y293" s="48">
        <f>データ!V290</f>
        <v>0</v>
      </c>
      <c r="Z293" s="39" t="str">
        <f>IF(OR($C293="総括",$C293="内訳書",$C293="内訳代価",$C293="明細書",$C293="明細代価",$C293="代価表",$C293="単価表"),データ!W290,"")</f>
        <v/>
      </c>
      <c r="AA293" s="11" t="str">
        <f t="shared" si="28"/>
        <v/>
      </c>
      <c r="AB293" s="46" t="e">
        <f t="shared" si="29"/>
        <v>#DIV/0!</v>
      </c>
      <c r="AC293" s="40" t="str">
        <f>IF(データ!X290="","",データ!X290)</f>
        <v/>
      </c>
      <c r="AD293" s="41" t="str">
        <f>IF(データ!Y290="","",データ!Y290)</f>
        <v/>
      </c>
      <c r="AE293" s="47" t="str">
        <f>TRIM(データ!B290)</f>
        <v/>
      </c>
      <c r="AF293" s="43" t="str">
        <f>TRIM(データ!Z290)</f>
        <v/>
      </c>
    </row>
    <row r="294" spans="1:32" x14ac:dyDescent="0.15">
      <c r="A294" s="47">
        <f>データ!A291</f>
        <v>2</v>
      </c>
      <c r="B294" s="47" t="str">
        <f>TRIM(データ!C291)</f>
        <v/>
      </c>
      <c r="C294" s="47" t="str">
        <f>TRIM(データ!D291)</f>
        <v>材料費</v>
      </c>
      <c r="D294" s="36" t="str">
        <f>REPT("｜",$A294)&amp;TRIM(データ!E291)</f>
        <v>｜｜雑材</v>
      </c>
      <c r="E294" s="37" t="str">
        <f>TRIM(データ!F291)</f>
        <v/>
      </c>
      <c r="F294" s="38" t="str">
        <f>TRIM(データ!G291)</f>
        <v>式</v>
      </c>
      <c r="G294" s="50">
        <f>データ!H291</f>
        <v>1</v>
      </c>
      <c r="H294" s="48">
        <f>データ!I291</f>
        <v>2300</v>
      </c>
      <c r="I294" s="48">
        <f>データ!J291</f>
        <v>2300</v>
      </c>
      <c r="J294" s="39" t="str">
        <f>IF(OR($C294="総括",$C294="内訳書",$C294="内訳代価",$C294="明細書",$C294="明細代価",$C294="代価表",$C294="単価表"),データ!K291,"")</f>
        <v/>
      </c>
      <c r="K294" s="11" t="str">
        <f t="shared" si="24"/>
        <v/>
      </c>
      <c r="L294" s="46">
        <f t="shared" si="25"/>
        <v>1.2434200105204145E-4</v>
      </c>
      <c r="M294" s="40" t="str">
        <f>IF(データ!L291="","",データ!L291)</f>
        <v/>
      </c>
      <c r="N294" s="41" t="str">
        <f>IF(データ!M291="","",データ!M291)</f>
        <v/>
      </c>
      <c r="O294" s="42">
        <f>データ!N291</f>
        <v>0</v>
      </c>
      <c r="P294" s="48">
        <f>IF($C294="集計行","",データ!O291)</f>
        <v>0</v>
      </c>
      <c r="Q294" s="48">
        <f>データ!P291</f>
        <v>0</v>
      </c>
      <c r="R294" s="39" t="str">
        <f>IF(OR($C294="総括",$C294="内訳書",$C294="内訳代価",$C294="明細書",$C294="明細代価",$C294="代価表",$C294="単価表"),データ!Q291,"")</f>
        <v/>
      </c>
      <c r="S294" s="11" t="str">
        <f t="shared" si="26"/>
        <v/>
      </c>
      <c r="T294" s="46" t="e">
        <f t="shared" si="27"/>
        <v>#DIV/0!</v>
      </c>
      <c r="U294" s="40" t="str">
        <f>IF(データ!R291="","",データ!R291)</f>
        <v/>
      </c>
      <c r="V294" s="41" t="str">
        <f>IF(データ!S291="","",データ!S291)</f>
        <v/>
      </c>
      <c r="W294" s="42">
        <f>データ!T291</f>
        <v>0</v>
      </c>
      <c r="X294" s="48">
        <f>IF($C294="集計行","",データ!U291)</f>
        <v>0</v>
      </c>
      <c r="Y294" s="48">
        <f>データ!V291</f>
        <v>0</v>
      </c>
      <c r="Z294" s="39" t="str">
        <f>IF(OR($C294="総括",$C294="内訳書",$C294="内訳代価",$C294="明細書",$C294="明細代価",$C294="代価表",$C294="単価表"),データ!W291,"")</f>
        <v/>
      </c>
      <c r="AA294" s="11" t="str">
        <f t="shared" si="28"/>
        <v/>
      </c>
      <c r="AB294" s="46" t="e">
        <f t="shared" si="29"/>
        <v>#DIV/0!</v>
      </c>
      <c r="AC294" s="40" t="str">
        <f>IF(データ!X291="","",データ!X291)</f>
        <v/>
      </c>
      <c r="AD294" s="41" t="str">
        <f>IF(データ!Y291="","",データ!Y291)</f>
        <v/>
      </c>
      <c r="AE294" s="47" t="str">
        <f>TRIM(データ!B291)</f>
        <v/>
      </c>
      <c r="AF294" s="43" t="str">
        <f>TRIM(データ!Z291)</f>
        <v/>
      </c>
    </row>
    <row r="295" spans="1:32" x14ac:dyDescent="0.15">
      <c r="A295" s="47">
        <f>データ!A292</f>
        <v>2</v>
      </c>
      <c r="B295" s="47" t="str">
        <f>TRIM(データ!C292)</f>
        <v/>
      </c>
      <c r="C295" s="47" t="str">
        <f>TRIM(データ!D292)</f>
        <v>労務費</v>
      </c>
      <c r="D295" s="36" t="str">
        <f>REPT("｜",$A295)&amp;TRIM(データ!E292)</f>
        <v>｜｜土工</v>
      </c>
      <c r="E295" s="37" t="str">
        <f>TRIM(データ!F292)</f>
        <v/>
      </c>
      <c r="F295" s="38" t="str">
        <f>TRIM(データ!G292)</f>
        <v>人</v>
      </c>
      <c r="G295" s="50">
        <f>データ!H292</f>
        <v>8</v>
      </c>
      <c r="H295" s="48">
        <f>データ!I292</f>
        <v>23000</v>
      </c>
      <c r="I295" s="48">
        <f>データ!J292</f>
        <v>184000</v>
      </c>
      <c r="J295" s="39" t="str">
        <f>IF(OR($C295="総括",$C295="内訳書",$C295="内訳代価",$C295="明細書",$C295="明細代価",$C295="代価表",$C295="単価表"),データ!K292,"")</f>
        <v/>
      </c>
      <c r="K295" s="11" t="str">
        <f t="shared" si="24"/>
        <v/>
      </c>
      <c r="L295" s="46">
        <f t="shared" si="25"/>
        <v>9.9473600841633158E-3</v>
      </c>
      <c r="M295" s="40" t="str">
        <f>IF(データ!L292="","",データ!L292)</f>
        <v/>
      </c>
      <c r="N295" s="41" t="str">
        <f>IF(データ!M292="","",データ!M292)</f>
        <v/>
      </c>
      <c r="O295" s="42">
        <f>データ!N292</f>
        <v>0</v>
      </c>
      <c r="P295" s="48">
        <f>IF($C295="集計行","",データ!O292)</f>
        <v>0</v>
      </c>
      <c r="Q295" s="48">
        <f>データ!P292</f>
        <v>0</v>
      </c>
      <c r="R295" s="39" t="str">
        <f>IF(OR($C295="総括",$C295="内訳書",$C295="内訳代価",$C295="明細書",$C295="明細代価",$C295="代価表",$C295="単価表"),データ!Q292,"")</f>
        <v/>
      </c>
      <c r="S295" s="11" t="str">
        <f t="shared" si="26"/>
        <v/>
      </c>
      <c r="T295" s="46" t="e">
        <f t="shared" si="27"/>
        <v>#DIV/0!</v>
      </c>
      <c r="U295" s="40" t="str">
        <f>IF(データ!R292="","",データ!R292)</f>
        <v/>
      </c>
      <c r="V295" s="41" t="str">
        <f>IF(データ!S292="","",データ!S292)</f>
        <v/>
      </c>
      <c r="W295" s="42">
        <f>データ!T292</f>
        <v>0</v>
      </c>
      <c r="X295" s="48">
        <f>IF($C295="集計行","",データ!U292)</f>
        <v>0</v>
      </c>
      <c r="Y295" s="48">
        <f>データ!V292</f>
        <v>0</v>
      </c>
      <c r="Z295" s="39" t="str">
        <f>IF(OR($C295="総括",$C295="内訳書",$C295="内訳代価",$C295="明細書",$C295="明細代価",$C295="代価表",$C295="単価表"),データ!W292,"")</f>
        <v/>
      </c>
      <c r="AA295" s="11" t="str">
        <f t="shared" si="28"/>
        <v/>
      </c>
      <c r="AB295" s="46" t="e">
        <f t="shared" si="29"/>
        <v>#DIV/0!</v>
      </c>
      <c r="AC295" s="40" t="str">
        <f>IF(データ!X292="","",データ!X292)</f>
        <v/>
      </c>
      <c r="AD295" s="41" t="str">
        <f>IF(データ!Y292="","",データ!Y292)</f>
        <v/>
      </c>
      <c r="AE295" s="47" t="str">
        <f>TRIM(データ!B292)</f>
        <v/>
      </c>
      <c r="AF295" s="43" t="str">
        <f>TRIM(データ!Z292)</f>
        <v/>
      </c>
    </row>
    <row r="296" spans="1:32" x14ac:dyDescent="0.15">
      <c r="A296" s="47">
        <f>データ!A293</f>
        <v>2</v>
      </c>
      <c r="B296" s="47" t="str">
        <f>TRIM(データ!C293)</f>
        <v/>
      </c>
      <c r="C296" s="47" t="str">
        <f>TRIM(データ!D293)</f>
        <v>機械費</v>
      </c>
      <c r="D296" s="36" t="str">
        <f>REPT("｜",$A296)&amp;TRIM(データ!E293)</f>
        <v>｜｜フィニッシャー4.5m</v>
      </c>
      <c r="E296" s="37" t="str">
        <f>TRIM(データ!F293)</f>
        <v/>
      </c>
      <c r="F296" s="38" t="str">
        <f>TRIM(データ!G293)</f>
        <v>台</v>
      </c>
      <c r="G296" s="50">
        <f>データ!H293</f>
        <v>1</v>
      </c>
      <c r="H296" s="48">
        <f>データ!I293</f>
        <v>80000</v>
      </c>
      <c r="I296" s="48">
        <f>データ!J293</f>
        <v>80000</v>
      </c>
      <c r="J296" s="39" t="str">
        <f>IF(OR($C296="総括",$C296="内訳書",$C296="内訳代価",$C296="明細書",$C296="明細代価",$C296="代価表",$C296="単価表"),データ!K293,"")</f>
        <v/>
      </c>
      <c r="K296" s="11" t="str">
        <f t="shared" si="24"/>
        <v/>
      </c>
      <c r="L296" s="46">
        <f t="shared" si="25"/>
        <v>4.3249391670275288E-3</v>
      </c>
      <c r="M296" s="40" t="str">
        <f>IF(データ!L293="","",データ!L293)</f>
        <v/>
      </c>
      <c r="N296" s="41" t="str">
        <f>IF(データ!M293="","",データ!M293)</f>
        <v/>
      </c>
      <c r="O296" s="42">
        <f>データ!N293</f>
        <v>0</v>
      </c>
      <c r="P296" s="48">
        <f>IF($C296="集計行","",データ!O293)</f>
        <v>0</v>
      </c>
      <c r="Q296" s="48">
        <f>データ!P293</f>
        <v>0</v>
      </c>
      <c r="R296" s="39" t="str">
        <f>IF(OR($C296="総括",$C296="内訳書",$C296="内訳代価",$C296="明細書",$C296="明細代価",$C296="代価表",$C296="単価表"),データ!Q293,"")</f>
        <v/>
      </c>
      <c r="S296" s="11" t="str">
        <f t="shared" si="26"/>
        <v/>
      </c>
      <c r="T296" s="46" t="e">
        <f t="shared" si="27"/>
        <v>#DIV/0!</v>
      </c>
      <c r="U296" s="40" t="str">
        <f>IF(データ!R293="","",データ!R293)</f>
        <v/>
      </c>
      <c r="V296" s="41" t="str">
        <f>IF(データ!S293="","",データ!S293)</f>
        <v/>
      </c>
      <c r="W296" s="42">
        <f>データ!T293</f>
        <v>0</v>
      </c>
      <c r="X296" s="48">
        <f>IF($C296="集計行","",データ!U293)</f>
        <v>0</v>
      </c>
      <c r="Y296" s="48">
        <f>データ!V293</f>
        <v>0</v>
      </c>
      <c r="Z296" s="39" t="str">
        <f>IF(OR($C296="総括",$C296="内訳書",$C296="内訳代価",$C296="明細書",$C296="明細代価",$C296="代価表",$C296="単価表"),データ!W293,"")</f>
        <v/>
      </c>
      <c r="AA296" s="11" t="str">
        <f t="shared" si="28"/>
        <v/>
      </c>
      <c r="AB296" s="46" t="e">
        <f t="shared" si="29"/>
        <v>#DIV/0!</v>
      </c>
      <c r="AC296" s="40" t="str">
        <f>IF(データ!X293="","",データ!X293)</f>
        <v/>
      </c>
      <c r="AD296" s="41" t="str">
        <f>IF(データ!Y293="","",データ!Y293)</f>
        <v/>
      </c>
      <c r="AE296" s="47" t="str">
        <f>TRIM(データ!B293)</f>
        <v/>
      </c>
      <c r="AF296" s="43" t="str">
        <f>TRIM(データ!Z293)</f>
        <v/>
      </c>
    </row>
    <row r="297" spans="1:32" x14ac:dyDescent="0.15">
      <c r="A297" s="47">
        <f>データ!A294</f>
        <v>2</v>
      </c>
      <c r="B297" s="47" t="str">
        <f>TRIM(データ!C294)</f>
        <v/>
      </c>
      <c r="C297" s="47" t="str">
        <f>TRIM(データ!D294)</f>
        <v>機械費</v>
      </c>
      <c r="D297" s="36" t="str">
        <f>REPT("｜",$A297)&amp;TRIM(データ!E294)</f>
        <v>｜｜コンバインドローラ</v>
      </c>
      <c r="E297" s="37" t="str">
        <f>TRIM(データ!F294)</f>
        <v/>
      </c>
      <c r="F297" s="38" t="str">
        <f>TRIM(データ!G294)</f>
        <v>台</v>
      </c>
      <c r="G297" s="50">
        <f>データ!H294</f>
        <v>1</v>
      </c>
      <c r="H297" s="48">
        <f>データ!I294</f>
        <v>6000</v>
      </c>
      <c r="I297" s="48">
        <f>データ!J294</f>
        <v>6000</v>
      </c>
      <c r="J297" s="39" t="str">
        <f>IF(OR($C297="総括",$C297="内訳書",$C297="内訳代価",$C297="明細書",$C297="明細代価",$C297="代価表",$C297="単価表"),データ!K294,"")</f>
        <v/>
      </c>
      <c r="K297" s="11" t="str">
        <f t="shared" si="24"/>
        <v/>
      </c>
      <c r="L297" s="46">
        <f t="shared" si="25"/>
        <v>3.2437043752706464E-4</v>
      </c>
      <c r="M297" s="40" t="str">
        <f>IF(データ!L294="","",データ!L294)</f>
        <v/>
      </c>
      <c r="N297" s="41" t="str">
        <f>IF(データ!M294="","",データ!M294)</f>
        <v/>
      </c>
      <c r="O297" s="42">
        <f>データ!N294</f>
        <v>0</v>
      </c>
      <c r="P297" s="48">
        <f>IF($C297="集計行","",データ!O294)</f>
        <v>0</v>
      </c>
      <c r="Q297" s="48">
        <f>データ!P294</f>
        <v>0</v>
      </c>
      <c r="R297" s="39" t="str">
        <f>IF(OR($C297="総括",$C297="内訳書",$C297="内訳代価",$C297="明細書",$C297="明細代価",$C297="代価表",$C297="単価表"),データ!Q294,"")</f>
        <v/>
      </c>
      <c r="S297" s="11" t="str">
        <f t="shared" si="26"/>
        <v/>
      </c>
      <c r="T297" s="46" t="e">
        <f t="shared" si="27"/>
        <v>#DIV/0!</v>
      </c>
      <c r="U297" s="40" t="str">
        <f>IF(データ!R294="","",データ!R294)</f>
        <v/>
      </c>
      <c r="V297" s="41" t="str">
        <f>IF(データ!S294="","",データ!S294)</f>
        <v/>
      </c>
      <c r="W297" s="42">
        <f>データ!T294</f>
        <v>0</v>
      </c>
      <c r="X297" s="48">
        <f>IF($C297="集計行","",データ!U294)</f>
        <v>0</v>
      </c>
      <c r="Y297" s="48">
        <f>データ!V294</f>
        <v>0</v>
      </c>
      <c r="Z297" s="39" t="str">
        <f>IF(OR($C297="総括",$C297="内訳書",$C297="内訳代価",$C297="明細書",$C297="明細代価",$C297="代価表",$C297="単価表"),データ!W294,"")</f>
        <v/>
      </c>
      <c r="AA297" s="11" t="str">
        <f t="shared" si="28"/>
        <v/>
      </c>
      <c r="AB297" s="46" t="e">
        <f t="shared" si="29"/>
        <v>#DIV/0!</v>
      </c>
      <c r="AC297" s="40" t="str">
        <f>IF(データ!X294="","",データ!X294)</f>
        <v/>
      </c>
      <c r="AD297" s="41" t="str">
        <f>IF(データ!Y294="","",データ!Y294)</f>
        <v/>
      </c>
      <c r="AE297" s="47" t="str">
        <f>TRIM(データ!B294)</f>
        <v/>
      </c>
      <c r="AF297" s="43" t="str">
        <f>TRIM(データ!Z294)</f>
        <v/>
      </c>
    </row>
    <row r="298" spans="1:32" x14ac:dyDescent="0.15">
      <c r="A298" s="47">
        <f>データ!A295</f>
        <v>2</v>
      </c>
      <c r="B298" s="47" t="str">
        <f>TRIM(データ!C295)</f>
        <v/>
      </c>
      <c r="C298" s="47" t="str">
        <f>TRIM(データ!D295)</f>
        <v>機械費</v>
      </c>
      <c r="D298" s="36" t="str">
        <f>REPT("｜",$A298)&amp;TRIM(データ!E295)</f>
        <v>｜｜ミニバックホウ</v>
      </c>
      <c r="E298" s="37" t="str">
        <f>TRIM(データ!F295)</f>
        <v/>
      </c>
      <c r="F298" s="38" t="str">
        <f>TRIM(データ!G295)</f>
        <v>台</v>
      </c>
      <c r="G298" s="50">
        <f>データ!H295</f>
        <v>1</v>
      </c>
      <c r="H298" s="48">
        <f>データ!I295</f>
        <v>8000</v>
      </c>
      <c r="I298" s="48">
        <f>データ!J295</f>
        <v>8000</v>
      </c>
      <c r="J298" s="39" t="str">
        <f>IF(OR($C298="総括",$C298="内訳書",$C298="内訳代価",$C298="明細書",$C298="明細代価",$C298="代価表",$C298="単価表"),データ!K295,"")</f>
        <v/>
      </c>
      <c r="K298" s="11" t="str">
        <f t="shared" si="24"/>
        <v/>
      </c>
      <c r="L298" s="46">
        <f t="shared" si="25"/>
        <v>4.3249391670275287E-4</v>
      </c>
      <c r="M298" s="40" t="str">
        <f>IF(データ!L295="","",データ!L295)</f>
        <v/>
      </c>
      <c r="N298" s="41" t="str">
        <f>IF(データ!M295="","",データ!M295)</f>
        <v/>
      </c>
      <c r="O298" s="42">
        <f>データ!N295</f>
        <v>0</v>
      </c>
      <c r="P298" s="48">
        <f>IF($C298="集計行","",データ!O295)</f>
        <v>0</v>
      </c>
      <c r="Q298" s="48">
        <f>データ!P295</f>
        <v>0</v>
      </c>
      <c r="R298" s="39" t="str">
        <f>IF(OR($C298="総括",$C298="内訳書",$C298="内訳代価",$C298="明細書",$C298="明細代価",$C298="代価表",$C298="単価表"),データ!Q295,"")</f>
        <v/>
      </c>
      <c r="S298" s="11" t="str">
        <f t="shared" si="26"/>
        <v/>
      </c>
      <c r="T298" s="46" t="e">
        <f t="shared" si="27"/>
        <v>#DIV/0!</v>
      </c>
      <c r="U298" s="40" t="str">
        <f>IF(データ!R295="","",データ!R295)</f>
        <v/>
      </c>
      <c r="V298" s="41" t="str">
        <f>IF(データ!S295="","",データ!S295)</f>
        <v/>
      </c>
      <c r="W298" s="42">
        <f>データ!T295</f>
        <v>0</v>
      </c>
      <c r="X298" s="48">
        <f>IF($C298="集計行","",データ!U295)</f>
        <v>0</v>
      </c>
      <c r="Y298" s="48">
        <f>データ!V295</f>
        <v>0</v>
      </c>
      <c r="Z298" s="39" t="str">
        <f>IF(OR($C298="総括",$C298="内訳書",$C298="内訳代価",$C298="明細書",$C298="明細代価",$C298="代価表",$C298="単価表"),データ!W295,"")</f>
        <v/>
      </c>
      <c r="AA298" s="11" t="str">
        <f t="shared" si="28"/>
        <v/>
      </c>
      <c r="AB298" s="46" t="e">
        <f t="shared" si="29"/>
        <v>#DIV/0!</v>
      </c>
      <c r="AC298" s="40" t="str">
        <f>IF(データ!X295="","",データ!X295)</f>
        <v/>
      </c>
      <c r="AD298" s="41" t="str">
        <f>IF(データ!Y295="","",データ!Y295)</f>
        <v/>
      </c>
      <c r="AE298" s="47" t="str">
        <f>TRIM(データ!B295)</f>
        <v/>
      </c>
      <c r="AF298" s="43" t="str">
        <f>TRIM(データ!Z295)</f>
        <v/>
      </c>
    </row>
    <row r="299" spans="1:32" x14ac:dyDescent="0.15">
      <c r="A299" s="47">
        <f>データ!A296</f>
        <v>2</v>
      </c>
      <c r="B299" s="47" t="str">
        <f>TRIM(データ!C296)</f>
        <v/>
      </c>
      <c r="C299" s="47" t="str">
        <f>TRIM(データ!D296)</f>
        <v>機械費</v>
      </c>
      <c r="D299" s="36" t="str">
        <f>REPT("｜",$A299)&amp;TRIM(データ!E296)</f>
        <v>｜｜エンジンスプレイヤ</v>
      </c>
      <c r="E299" s="37" t="str">
        <f>TRIM(データ!F296)</f>
        <v/>
      </c>
      <c r="F299" s="38" t="str">
        <f>TRIM(データ!G296)</f>
        <v>台</v>
      </c>
      <c r="G299" s="50">
        <f>データ!H296</f>
        <v>1</v>
      </c>
      <c r="H299" s="48">
        <f>データ!I296</f>
        <v>3000</v>
      </c>
      <c r="I299" s="48">
        <f>データ!J296</f>
        <v>3000</v>
      </c>
      <c r="J299" s="39" t="str">
        <f>IF(OR($C299="総括",$C299="内訳書",$C299="内訳代価",$C299="明細書",$C299="明細代価",$C299="代価表",$C299="単価表"),データ!K296,"")</f>
        <v/>
      </c>
      <c r="K299" s="11" t="str">
        <f t="shared" si="24"/>
        <v/>
      </c>
      <c r="L299" s="46">
        <f t="shared" si="25"/>
        <v>1.6218521876353232E-4</v>
      </c>
      <c r="M299" s="40" t="str">
        <f>IF(データ!L296="","",データ!L296)</f>
        <v/>
      </c>
      <c r="N299" s="41" t="str">
        <f>IF(データ!M296="","",データ!M296)</f>
        <v/>
      </c>
      <c r="O299" s="42">
        <f>データ!N296</f>
        <v>0</v>
      </c>
      <c r="P299" s="48">
        <f>IF($C299="集計行","",データ!O296)</f>
        <v>0</v>
      </c>
      <c r="Q299" s="48">
        <f>データ!P296</f>
        <v>0</v>
      </c>
      <c r="R299" s="39" t="str">
        <f>IF(OR($C299="総括",$C299="内訳書",$C299="内訳代価",$C299="明細書",$C299="明細代価",$C299="代価表",$C299="単価表"),データ!Q296,"")</f>
        <v/>
      </c>
      <c r="S299" s="11" t="str">
        <f t="shared" si="26"/>
        <v/>
      </c>
      <c r="T299" s="46" t="e">
        <f t="shared" si="27"/>
        <v>#DIV/0!</v>
      </c>
      <c r="U299" s="40" t="str">
        <f>IF(データ!R296="","",データ!R296)</f>
        <v/>
      </c>
      <c r="V299" s="41" t="str">
        <f>IF(データ!S296="","",データ!S296)</f>
        <v/>
      </c>
      <c r="W299" s="42">
        <f>データ!T296</f>
        <v>0</v>
      </c>
      <c r="X299" s="48">
        <f>IF($C299="集計行","",データ!U296)</f>
        <v>0</v>
      </c>
      <c r="Y299" s="48">
        <f>データ!V296</f>
        <v>0</v>
      </c>
      <c r="Z299" s="39" t="str">
        <f>IF(OR($C299="総括",$C299="内訳書",$C299="内訳代価",$C299="明細書",$C299="明細代価",$C299="代価表",$C299="単価表"),データ!W296,"")</f>
        <v/>
      </c>
      <c r="AA299" s="11" t="str">
        <f t="shared" si="28"/>
        <v/>
      </c>
      <c r="AB299" s="46" t="e">
        <f t="shared" si="29"/>
        <v>#DIV/0!</v>
      </c>
      <c r="AC299" s="40" t="str">
        <f>IF(データ!X296="","",データ!X296)</f>
        <v/>
      </c>
      <c r="AD299" s="41" t="str">
        <f>IF(データ!Y296="","",データ!Y296)</f>
        <v/>
      </c>
      <c r="AE299" s="47" t="str">
        <f>TRIM(データ!B296)</f>
        <v/>
      </c>
      <c r="AF299" s="43" t="str">
        <f>TRIM(データ!Z296)</f>
        <v/>
      </c>
    </row>
    <row r="300" spans="1:32" x14ac:dyDescent="0.15">
      <c r="A300" s="47">
        <f>データ!A297</f>
        <v>2</v>
      </c>
      <c r="B300" s="47" t="str">
        <f>TRIM(データ!C297)</f>
        <v/>
      </c>
      <c r="C300" s="47" t="str">
        <f>TRIM(データ!D297)</f>
        <v>機械費</v>
      </c>
      <c r="D300" s="36" t="str">
        <f>REPT("｜",$A300)&amp;TRIM(データ!E297)</f>
        <v>｜｜小物機械</v>
      </c>
      <c r="E300" s="37" t="str">
        <f>TRIM(データ!F297)</f>
        <v/>
      </c>
      <c r="F300" s="38" t="str">
        <f>TRIM(データ!G297)</f>
        <v>台</v>
      </c>
      <c r="G300" s="50">
        <f>データ!H297</f>
        <v>3</v>
      </c>
      <c r="H300" s="48">
        <f>データ!I297</f>
        <v>3000</v>
      </c>
      <c r="I300" s="48">
        <f>データ!J297</f>
        <v>9000</v>
      </c>
      <c r="J300" s="39" t="str">
        <f>IF(OR($C300="総括",$C300="内訳書",$C300="内訳代価",$C300="明細書",$C300="明細代価",$C300="代価表",$C300="単価表"),データ!K297,"")</f>
        <v/>
      </c>
      <c r="K300" s="11" t="str">
        <f t="shared" si="24"/>
        <v/>
      </c>
      <c r="L300" s="46">
        <f t="shared" si="25"/>
        <v>4.8655565629059696E-4</v>
      </c>
      <c r="M300" s="40" t="str">
        <f>IF(データ!L297="","",データ!L297)</f>
        <v/>
      </c>
      <c r="N300" s="41" t="str">
        <f>IF(データ!M297="","",データ!M297)</f>
        <v/>
      </c>
      <c r="O300" s="42">
        <f>データ!N297</f>
        <v>0</v>
      </c>
      <c r="P300" s="48">
        <f>IF($C300="集計行","",データ!O297)</f>
        <v>0</v>
      </c>
      <c r="Q300" s="48">
        <f>データ!P297</f>
        <v>0</v>
      </c>
      <c r="R300" s="39" t="str">
        <f>IF(OR($C300="総括",$C300="内訳書",$C300="内訳代価",$C300="明細書",$C300="明細代価",$C300="代価表",$C300="単価表"),データ!Q297,"")</f>
        <v/>
      </c>
      <c r="S300" s="11" t="str">
        <f t="shared" si="26"/>
        <v/>
      </c>
      <c r="T300" s="46" t="e">
        <f t="shared" si="27"/>
        <v>#DIV/0!</v>
      </c>
      <c r="U300" s="40" t="str">
        <f>IF(データ!R297="","",データ!R297)</f>
        <v/>
      </c>
      <c r="V300" s="41" t="str">
        <f>IF(データ!S297="","",データ!S297)</f>
        <v/>
      </c>
      <c r="W300" s="42">
        <f>データ!T297</f>
        <v>0</v>
      </c>
      <c r="X300" s="48">
        <f>IF($C300="集計行","",データ!U297)</f>
        <v>0</v>
      </c>
      <c r="Y300" s="48">
        <f>データ!V297</f>
        <v>0</v>
      </c>
      <c r="Z300" s="39" t="str">
        <f>IF(OR($C300="総括",$C300="内訳書",$C300="内訳代価",$C300="明細書",$C300="明細代価",$C300="代価表",$C300="単価表"),データ!W297,"")</f>
        <v/>
      </c>
      <c r="AA300" s="11" t="str">
        <f t="shared" si="28"/>
        <v/>
      </c>
      <c r="AB300" s="46" t="e">
        <f t="shared" si="29"/>
        <v>#DIV/0!</v>
      </c>
      <c r="AC300" s="40" t="str">
        <f>IF(データ!X297="","",データ!X297)</f>
        <v/>
      </c>
      <c r="AD300" s="41" t="str">
        <f>IF(データ!Y297="","",データ!Y297)</f>
        <v/>
      </c>
      <c r="AE300" s="47" t="str">
        <f>TRIM(データ!B297)</f>
        <v/>
      </c>
      <c r="AF300" s="43" t="str">
        <f>TRIM(データ!Z297)</f>
        <v/>
      </c>
    </row>
    <row r="301" spans="1:32" x14ac:dyDescent="0.15">
      <c r="A301" s="47">
        <f>データ!A298</f>
        <v>2</v>
      </c>
      <c r="B301" s="47" t="str">
        <f>TRIM(データ!C298)</f>
        <v/>
      </c>
      <c r="C301" s="47" t="str">
        <f>TRIM(データ!D298)</f>
        <v>運搬費</v>
      </c>
      <c r="D301" s="36" t="str">
        <f>REPT("｜",$A301)&amp;TRIM(データ!E298)</f>
        <v>｜｜3tダンプ</v>
      </c>
      <c r="E301" s="37" t="str">
        <f>TRIM(データ!F298)</f>
        <v/>
      </c>
      <c r="F301" s="38" t="str">
        <f>TRIM(データ!G298)</f>
        <v>台</v>
      </c>
      <c r="G301" s="50">
        <f>データ!H298</f>
        <v>3</v>
      </c>
      <c r="H301" s="48">
        <f>データ!I298</f>
        <v>33000</v>
      </c>
      <c r="I301" s="48">
        <f>データ!J298</f>
        <v>99000</v>
      </c>
      <c r="J301" s="39" t="str">
        <f>IF(OR($C301="総括",$C301="内訳書",$C301="内訳代価",$C301="明細書",$C301="明細代価",$C301="代価表",$C301="単価表"),データ!K298,"")</f>
        <v/>
      </c>
      <c r="K301" s="11" t="str">
        <f t="shared" si="24"/>
        <v/>
      </c>
      <c r="L301" s="46">
        <f t="shared" si="25"/>
        <v>5.3521122191965672E-3</v>
      </c>
      <c r="M301" s="40" t="str">
        <f>IF(データ!L298="","",データ!L298)</f>
        <v/>
      </c>
      <c r="N301" s="41" t="str">
        <f>IF(データ!M298="","",データ!M298)</f>
        <v/>
      </c>
      <c r="O301" s="42">
        <f>データ!N298</f>
        <v>0</v>
      </c>
      <c r="P301" s="48">
        <f>IF($C301="集計行","",データ!O298)</f>
        <v>0</v>
      </c>
      <c r="Q301" s="48">
        <f>データ!P298</f>
        <v>0</v>
      </c>
      <c r="R301" s="39" t="str">
        <f>IF(OR($C301="総括",$C301="内訳書",$C301="内訳代価",$C301="明細書",$C301="明細代価",$C301="代価表",$C301="単価表"),データ!Q298,"")</f>
        <v/>
      </c>
      <c r="S301" s="11" t="str">
        <f t="shared" si="26"/>
        <v/>
      </c>
      <c r="T301" s="46" t="e">
        <f t="shared" si="27"/>
        <v>#DIV/0!</v>
      </c>
      <c r="U301" s="40" t="str">
        <f>IF(データ!R298="","",データ!R298)</f>
        <v/>
      </c>
      <c r="V301" s="41" t="str">
        <f>IF(データ!S298="","",データ!S298)</f>
        <v/>
      </c>
      <c r="W301" s="42">
        <f>データ!T298</f>
        <v>0</v>
      </c>
      <c r="X301" s="48">
        <f>IF($C301="集計行","",データ!U298)</f>
        <v>0</v>
      </c>
      <c r="Y301" s="48">
        <f>データ!V298</f>
        <v>0</v>
      </c>
      <c r="Z301" s="39" t="str">
        <f>IF(OR($C301="総括",$C301="内訳書",$C301="内訳代価",$C301="明細書",$C301="明細代価",$C301="代価表",$C301="単価表"),データ!W298,"")</f>
        <v/>
      </c>
      <c r="AA301" s="11" t="str">
        <f t="shared" si="28"/>
        <v/>
      </c>
      <c r="AB301" s="46" t="e">
        <f t="shared" si="29"/>
        <v>#DIV/0!</v>
      </c>
      <c r="AC301" s="40" t="str">
        <f>IF(データ!X298="","",データ!X298)</f>
        <v/>
      </c>
      <c r="AD301" s="41" t="str">
        <f>IF(データ!Y298="","",データ!Y298)</f>
        <v/>
      </c>
      <c r="AE301" s="47" t="str">
        <f>TRIM(データ!B298)</f>
        <v/>
      </c>
      <c r="AF301" s="43" t="str">
        <f>TRIM(データ!Z298)</f>
        <v/>
      </c>
    </row>
    <row r="302" spans="1:32" x14ac:dyDescent="0.15">
      <c r="A302" s="47">
        <f>データ!A299</f>
        <v>2</v>
      </c>
      <c r="B302" s="47" t="str">
        <f>TRIM(データ!C299)</f>
        <v/>
      </c>
      <c r="C302" s="47" t="str">
        <f>TRIM(データ!D299)</f>
        <v>運搬費</v>
      </c>
      <c r="D302" s="36" t="str">
        <f>REPT("｜",$A302)&amp;TRIM(データ!E299)</f>
        <v>｜｜AS処理費</v>
      </c>
      <c r="E302" s="37" t="str">
        <f>TRIM(データ!F299)</f>
        <v/>
      </c>
      <c r="F302" s="38" t="str">
        <f>TRIM(データ!G299)</f>
        <v>ｔ</v>
      </c>
      <c r="G302" s="50">
        <f>データ!H299</f>
        <v>10</v>
      </c>
      <c r="H302" s="48">
        <f>データ!I299</f>
        <v>400</v>
      </c>
      <c r="I302" s="48">
        <f>データ!J299</f>
        <v>4000</v>
      </c>
      <c r="J302" s="39" t="str">
        <f>IF(OR($C302="総括",$C302="内訳書",$C302="内訳代価",$C302="明細書",$C302="明細代価",$C302="代価表",$C302="単価表"),データ!K299,"")</f>
        <v/>
      </c>
      <c r="K302" s="11" t="str">
        <f t="shared" si="24"/>
        <v/>
      </c>
      <c r="L302" s="46">
        <f t="shared" si="25"/>
        <v>2.1624695835137644E-4</v>
      </c>
      <c r="M302" s="40" t="str">
        <f>IF(データ!L299="","",データ!L299)</f>
        <v/>
      </c>
      <c r="N302" s="41" t="str">
        <f>IF(データ!M299="","",データ!M299)</f>
        <v/>
      </c>
      <c r="O302" s="42">
        <f>データ!N299</f>
        <v>0</v>
      </c>
      <c r="P302" s="48">
        <f>IF($C302="集計行","",データ!O299)</f>
        <v>0</v>
      </c>
      <c r="Q302" s="48">
        <f>データ!P299</f>
        <v>0</v>
      </c>
      <c r="R302" s="39" t="str">
        <f>IF(OR($C302="総括",$C302="内訳書",$C302="内訳代価",$C302="明細書",$C302="明細代価",$C302="代価表",$C302="単価表"),データ!Q299,"")</f>
        <v/>
      </c>
      <c r="S302" s="11" t="str">
        <f t="shared" si="26"/>
        <v/>
      </c>
      <c r="T302" s="46" t="e">
        <f t="shared" si="27"/>
        <v>#DIV/0!</v>
      </c>
      <c r="U302" s="40" t="str">
        <f>IF(データ!R299="","",データ!R299)</f>
        <v/>
      </c>
      <c r="V302" s="41" t="str">
        <f>IF(データ!S299="","",データ!S299)</f>
        <v/>
      </c>
      <c r="W302" s="42">
        <f>データ!T299</f>
        <v>0</v>
      </c>
      <c r="X302" s="48">
        <f>IF($C302="集計行","",データ!U299)</f>
        <v>0</v>
      </c>
      <c r="Y302" s="48">
        <f>データ!V299</f>
        <v>0</v>
      </c>
      <c r="Z302" s="39" t="str">
        <f>IF(OR($C302="総括",$C302="内訳書",$C302="内訳代価",$C302="明細書",$C302="明細代価",$C302="代価表",$C302="単価表"),データ!W299,"")</f>
        <v/>
      </c>
      <c r="AA302" s="11" t="str">
        <f t="shared" si="28"/>
        <v/>
      </c>
      <c r="AB302" s="46" t="e">
        <f t="shared" si="29"/>
        <v>#DIV/0!</v>
      </c>
      <c r="AC302" s="40" t="str">
        <f>IF(データ!X299="","",データ!X299)</f>
        <v/>
      </c>
      <c r="AD302" s="41" t="str">
        <f>IF(データ!Y299="","",データ!Y299)</f>
        <v/>
      </c>
      <c r="AE302" s="47" t="str">
        <f>TRIM(データ!B299)</f>
        <v/>
      </c>
      <c r="AF302" s="43" t="str">
        <f>TRIM(データ!Z299)</f>
        <v/>
      </c>
    </row>
    <row r="303" spans="1:32" x14ac:dyDescent="0.15">
      <c r="A303" s="47">
        <f>データ!A300</f>
        <v>2</v>
      </c>
      <c r="B303" s="47" t="str">
        <f>TRIM(データ!C300)</f>
        <v/>
      </c>
      <c r="C303" s="47" t="str">
        <f>TRIM(データ!D300)</f>
        <v>運搬費</v>
      </c>
      <c r="D303" s="36" t="str">
        <f>REPT("｜",$A303)&amp;TRIM(データ!E300)</f>
        <v>｜｜10t回送費</v>
      </c>
      <c r="E303" s="37" t="str">
        <f>TRIM(データ!F300)</f>
        <v>AF</v>
      </c>
      <c r="F303" s="38" t="str">
        <f>TRIM(データ!G300)</f>
        <v>回</v>
      </c>
      <c r="G303" s="50">
        <f>データ!H300</f>
        <v>2</v>
      </c>
      <c r="H303" s="48">
        <f>データ!I300</f>
        <v>30000</v>
      </c>
      <c r="I303" s="48">
        <f>データ!J300</f>
        <v>60000</v>
      </c>
      <c r="J303" s="39" t="str">
        <f>IF(OR($C303="総括",$C303="内訳書",$C303="内訳代価",$C303="明細書",$C303="明細代価",$C303="代価表",$C303="単価表"),データ!K300,"")</f>
        <v/>
      </c>
      <c r="K303" s="11" t="str">
        <f t="shared" si="24"/>
        <v/>
      </c>
      <c r="L303" s="46">
        <f t="shared" si="25"/>
        <v>3.2437043752706466E-3</v>
      </c>
      <c r="M303" s="40" t="str">
        <f>IF(データ!L300="","",データ!L300)</f>
        <v/>
      </c>
      <c r="N303" s="41" t="str">
        <f>IF(データ!M300="","",データ!M300)</f>
        <v/>
      </c>
      <c r="O303" s="42">
        <f>データ!N300</f>
        <v>0</v>
      </c>
      <c r="P303" s="48">
        <f>IF($C303="集計行","",データ!O300)</f>
        <v>0</v>
      </c>
      <c r="Q303" s="48">
        <f>データ!P300</f>
        <v>0</v>
      </c>
      <c r="R303" s="39" t="str">
        <f>IF(OR($C303="総括",$C303="内訳書",$C303="内訳代価",$C303="明細書",$C303="明細代価",$C303="代価表",$C303="単価表"),データ!Q300,"")</f>
        <v/>
      </c>
      <c r="S303" s="11" t="str">
        <f t="shared" si="26"/>
        <v/>
      </c>
      <c r="T303" s="46" t="e">
        <f t="shared" si="27"/>
        <v>#DIV/0!</v>
      </c>
      <c r="U303" s="40" t="str">
        <f>IF(データ!R300="","",データ!R300)</f>
        <v/>
      </c>
      <c r="V303" s="41" t="str">
        <f>IF(データ!S300="","",データ!S300)</f>
        <v/>
      </c>
      <c r="W303" s="42">
        <f>データ!T300</f>
        <v>0</v>
      </c>
      <c r="X303" s="48">
        <f>IF($C303="集計行","",データ!U300)</f>
        <v>0</v>
      </c>
      <c r="Y303" s="48">
        <f>データ!V300</f>
        <v>0</v>
      </c>
      <c r="Z303" s="39" t="str">
        <f>IF(OR($C303="総括",$C303="内訳書",$C303="内訳代価",$C303="明細書",$C303="明細代価",$C303="代価表",$C303="単価表"),データ!W300,"")</f>
        <v/>
      </c>
      <c r="AA303" s="11" t="str">
        <f t="shared" si="28"/>
        <v/>
      </c>
      <c r="AB303" s="46" t="e">
        <f t="shared" si="29"/>
        <v>#DIV/0!</v>
      </c>
      <c r="AC303" s="40" t="str">
        <f>IF(データ!X300="","",データ!X300)</f>
        <v/>
      </c>
      <c r="AD303" s="41" t="str">
        <f>IF(データ!Y300="","",データ!Y300)</f>
        <v/>
      </c>
      <c r="AE303" s="47" t="str">
        <f>TRIM(データ!B300)</f>
        <v/>
      </c>
      <c r="AF303" s="43" t="str">
        <f>TRIM(データ!Z300)</f>
        <v/>
      </c>
    </row>
    <row r="304" spans="1:32" x14ac:dyDescent="0.15">
      <c r="A304" s="47">
        <f>データ!A301</f>
        <v>2</v>
      </c>
      <c r="B304" s="47" t="str">
        <f>TRIM(データ!C301)</f>
        <v/>
      </c>
      <c r="C304" s="47" t="str">
        <f>TRIM(データ!D301)</f>
        <v>運搬費</v>
      </c>
      <c r="D304" s="36" t="str">
        <f>REPT("｜",$A304)&amp;TRIM(データ!E301)</f>
        <v>｜｜10t回送費</v>
      </c>
      <c r="E304" s="37" t="str">
        <f>TRIM(データ!F301)</f>
        <v>BH,CR</v>
      </c>
      <c r="F304" s="38" t="str">
        <f>TRIM(データ!G301)</f>
        <v>回</v>
      </c>
      <c r="G304" s="50">
        <f>データ!H301</f>
        <v>2</v>
      </c>
      <c r="H304" s="48">
        <f>データ!I301</f>
        <v>22000</v>
      </c>
      <c r="I304" s="48">
        <f>データ!J301</f>
        <v>44000</v>
      </c>
      <c r="J304" s="39" t="str">
        <f>IF(OR($C304="総括",$C304="内訳書",$C304="内訳代価",$C304="明細書",$C304="明細代価",$C304="代価表",$C304="単価表"),データ!K301,"")</f>
        <v/>
      </c>
      <c r="K304" s="11" t="str">
        <f t="shared" si="24"/>
        <v/>
      </c>
      <c r="L304" s="46">
        <f t="shared" si="25"/>
        <v>2.3787165418651408E-3</v>
      </c>
      <c r="M304" s="40" t="str">
        <f>IF(データ!L301="","",データ!L301)</f>
        <v/>
      </c>
      <c r="N304" s="41" t="str">
        <f>IF(データ!M301="","",データ!M301)</f>
        <v/>
      </c>
      <c r="O304" s="42">
        <f>データ!N301</f>
        <v>0</v>
      </c>
      <c r="P304" s="48">
        <f>IF($C304="集計行","",データ!O301)</f>
        <v>0</v>
      </c>
      <c r="Q304" s="48">
        <f>データ!P301</f>
        <v>0</v>
      </c>
      <c r="R304" s="39" t="str">
        <f>IF(OR($C304="総括",$C304="内訳書",$C304="内訳代価",$C304="明細書",$C304="明細代価",$C304="代価表",$C304="単価表"),データ!Q301,"")</f>
        <v/>
      </c>
      <c r="S304" s="11" t="str">
        <f t="shared" si="26"/>
        <v/>
      </c>
      <c r="T304" s="46" t="e">
        <f t="shared" si="27"/>
        <v>#DIV/0!</v>
      </c>
      <c r="U304" s="40" t="str">
        <f>IF(データ!R301="","",データ!R301)</f>
        <v/>
      </c>
      <c r="V304" s="41" t="str">
        <f>IF(データ!S301="","",データ!S301)</f>
        <v/>
      </c>
      <c r="W304" s="42">
        <f>データ!T301</f>
        <v>0</v>
      </c>
      <c r="X304" s="48">
        <f>IF($C304="集計行","",データ!U301)</f>
        <v>0</v>
      </c>
      <c r="Y304" s="48">
        <f>データ!V301</f>
        <v>0</v>
      </c>
      <c r="Z304" s="39" t="str">
        <f>IF(OR($C304="総括",$C304="内訳書",$C304="内訳代価",$C304="明細書",$C304="明細代価",$C304="代価表",$C304="単価表"),データ!W301,"")</f>
        <v/>
      </c>
      <c r="AA304" s="11" t="str">
        <f t="shared" si="28"/>
        <v/>
      </c>
      <c r="AB304" s="46" t="e">
        <f t="shared" si="29"/>
        <v>#DIV/0!</v>
      </c>
      <c r="AC304" s="40" t="str">
        <f>IF(データ!X301="","",データ!X301)</f>
        <v/>
      </c>
      <c r="AD304" s="41" t="str">
        <f>IF(データ!Y301="","",データ!Y301)</f>
        <v/>
      </c>
      <c r="AE304" s="47" t="str">
        <f>TRIM(データ!B301)</f>
        <v/>
      </c>
      <c r="AF304" s="43" t="str">
        <f>TRIM(データ!Z301)</f>
        <v/>
      </c>
    </row>
    <row r="305" spans="1:32" x14ac:dyDescent="0.15">
      <c r="A305" s="47">
        <f>データ!A302</f>
        <v>2</v>
      </c>
      <c r="B305" s="47" t="str">
        <f>TRIM(データ!C302)</f>
        <v/>
      </c>
      <c r="C305" s="47" t="str">
        <f>TRIM(データ!D302)</f>
        <v>運搬費</v>
      </c>
      <c r="D305" s="36" t="str">
        <f>REPT("｜",$A305)&amp;TRIM(データ!E302)</f>
        <v>｜｜2tダンプ</v>
      </c>
      <c r="E305" s="37" t="str">
        <f>TRIM(データ!F302)</f>
        <v/>
      </c>
      <c r="F305" s="38" t="str">
        <f>TRIM(データ!G302)</f>
        <v>台</v>
      </c>
      <c r="G305" s="50">
        <f>データ!H302</f>
        <v>2</v>
      </c>
      <c r="H305" s="48">
        <f>データ!I302</f>
        <v>8000</v>
      </c>
      <c r="I305" s="48">
        <f>データ!J302</f>
        <v>16000</v>
      </c>
      <c r="J305" s="39" t="str">
        <f>IF(OR($C305="総括",$C305="内訳書",$C305="内訳代価",$C305="明細書",$C305="明細代価",$C305="代価表",$C305="単価表"),データ!K302,"")</f>
        <v/>
      </c>
      <c r="K305" s="11" t="str">
        <f t="shared" si="24"/>
        <v/>
      </c>
      <c r="L305" s="46">
        <f t="shared" si="25"/>
        <v>8.6498783340550574E-4</v>
      </c>
      <c r="M305" s="40" t="str">
        <f>IF(データ!L302="","",データ!L302)</f>
        <v/>
      </c>
      <c r="N305" s="41" t="str">
        <f>IF(データ!M302="","",データ!M302)</f>
        <v/>
      </c>
      <c r="O305" s="42">
        <f>データ!N302</f>
        <v>0</v>
      </c>
      <c r="P305" s="48">
        <f>IF($C305="集計行","",データ!O302)</f>
        <v>0</v>
      </c>
      <c r="Q305" s="48">
        <f>データ!P302</f>
        <v>0</v>
      </c>
      <c r="R305" s="39" t="str">
        <f>IF(OR($C305="総括",$C305="内訳書",$C305="内訳代価",$C305="明細書",$C305="明細代価",$C305="代価表",$C305="単価表"),データ!Q302,"")</f>
        <v/>
      </c>
      <c r="S305" s="11" t="str">
        <f t="shared" si="26"/>
        <v/>
      </c>
      <c r="T305" s="46" t="e">
        <f t="shared" si="27"/>
        <v>#DIV/0!</v>
      </c>
      <c r="U305" s="40" t="str">
        <f>IF(データ!R302="","",データ!R302)</f>
        <v/>
      </c>
      <c r="V305" s="41" t="str">
        <f>IF(データ!S302="","",データ!S302)</f>
        <v/>
      </c>
      <c r="W305" s="42">
        <f>データ!T302</f>
        <v>0</v>
      </c>
      <c r="X305" s="48">
        <f>IF($C305="集計行","",データ!U302)</f>
        <v>0</v>
      </c>
      <c r="Y305" s="48">
        <f>データ!V302</f>
        <v>0</v>
      </c>
      <c r="Z305" s="39" t="str">
        <f>IF(OR($C305="総括",$C305="内訳書",$C305="内訳代価",$C305="明細書",$C305="明細代価",$C305="代価表",$C305="単価表"),データ!W302,"")</f>
        <v/>
      </c>
      <c r="AA305" s="11" t="str">
        <f t="shared" si="28"/>
        <v/>
      </c>
      <c r="AB305" s="46" t="e">
        <f t="shared" si="29"/>
        <v>#DIV/0!</v>
      </c>
      <c r="AC305" s="40" t="str">
        <f>IF(データ!X302="","",データ!X302)</f>
        <v/>
      </c>
      <c r="AD305" s="41" t="str">
        <f>IF(データ!Y302="","",データ!Y302)</f>
        <v/>
      </c>
      <c r="AE305" s="47" t="str">
        <f>TRIM(データ!B302)</f>
        <v/>
      </c>
      <c r="AF305" s="43" t="str">
        <f>TRIM(データ!Z302)</f>
        <v/>
      </c>
    </row>
    <row r="306" spans="1:32" x14ac:dyDescent="0.15">
      <c r="A306" s="47">
        <f>データ!A303</f>
        <v>2</v>
      </c>
      <c r="B306" s="47" t="str">
        <f>TRIM(データ!C303)</f>
        <v/>
      </c>
      <c r="C306" s="47" t="str">
        <f>TRIM(データ!D303)</f>
        <v>運搬費</v>
      </c>
      <c r="D306" s="36" t="str">
        <f>REPT("｜",$A306)&amp;TRIM(データ!E303)</f>
        <v>｜｜WP</v>
      </c>
      <c r="E306" s="37" t="str">
        <f>TRIM(データ!F303)</f>
        <v/>
      </c>
      <c r="F306" s="38" t="str">
        <f>TRIM(データ!G303)</f>
        <v>台</v>
      </c>
      <c r="G306" s="50">
        <f>データ!H303</f>
        <v>1</v>
      </c>
      <c r="H306" s="48">
        <f>データ!I303</f>
        <v>8000</v>
      </c>
      <c r="I306" s="48">
        <f>データ!J303</f>
        <v>8000</v>
      </c>
      <c r="J306" s="39" t="str">
        <f>IF(OR($C306="総括",$C306="内訳書",$C306="内訳代価",$C306="明細書",$C306="明細代価",$C306="代価表",$C306="単価表"),データ!K303,"")</f>
        <v/>
      </c>
      <c r="K306" s="11" t="str">
        <f t="shared" si="24"/>
        <v/>
      </c>
      <c r="L306" s="46">
        <f t="shared" si="25"/>
        <v>4.3249391670275287E-4</v>
      </c>
      <c r="M306" s="40" t="str">
        <f>IF(データ!L303="","",データ!L303)</f>
        <v/>
      </c>
      <c r="N306" s="41" t="str">
        <f>IF(データ!M303="","",データ!M303)</f>
        <v/>
      </c>
      <c r="O306" s="42">
        <f>データ!N303</f>
        <v>0</v>
      </c>
      <c r="P306" s="48">
        <f>IF($C306="集計行","",データ!O303)</f>
        <v>0</v>
      </c>
      <c r="Q306" s="48">
        <f>データ!P303</f>
        <v>0</v>
      </c>
      <c r="R306" s="39" t="str">
        <f>IF(OR($C306="総括",$C306="内訳書",$C306="内訳代価",$C306="明細書",$C306="明細代価",$C306="代価表",$C306="単価表"),データ!Q303,"")</f>
        <v/>
      </c>
      <c r="S306" s="11" t="str">
        <f t="shared" si="26"/>
        <v/>
      </c>
      <c r="T306" s="46" t="e">
        <f t="shared" si="27"/>
        <v>#DIV/0!</v>
      </c>
      <c r="U306" s="40" t="str">
        <f>IF(データ!R303="","",データ!R303)</f>
        <v/>
      </c>
      <c r="V306" s="41" t="str">
        <f>IF(データ!S303="","",データ!S303)</f>
        <v/>
      </c>
      <c r="W306" s="42">
        <f>データ!T303</f>
        <v>0</v>
      </c>
      <c r="X306" s="48">
        <f>IF($C306="集計行","",データ!U303)</f>
        <v>0</v>
      </c>
      <c r="Y306" s="48">
        <f>データ!V303</f>
        <v>0</v>
      </c>
      <c r="Z306" s="39" t="str">
        <f>IF(OR($C306="総括",$C306="内訳書",$C306="内訳代価",$C306="明細書",$C306="明細代価",$C306="代価表",$C306="単価表"),データ!W303,"")</f>
        <v/>
      </c>
      <c r="AA306" s="11" t="str">
        <f t="shared" si="28"/>
        <v/>
      </c>
      <c r="AB306" s="46" t="e">
        <f t="shared" si="29"/>
        <v>#DIV/0!</v>
      </c>
      <c r="AC306" s="40" t="str">
        <f>IF(データ!X303="","",データ!X303)</f>
        <v/>
      </c>
      <c r="AD306" s="41" t="str">
        <f>IF(データ!Y303="","",データ!Y303)</f>
        <v/>
      </c>
      <c r="AE306" s="47" t="str">
        <f>TRIM(データ!B303)</f>
        <v/>
      </c>
      <c r="AF306" s="43" t="str">
        <f>TRIM(データ!Z303)</f>
        <v/>
      </c>
    </row>
    <row r="307" spans="1:32" x14ac:dyDescent="0.15">
      <c r="A307" s="47">
        <f>データ!A304</f>
        <v>2</v>
      </c>
      <c r="B307" s="47" t="str">
        <f>TRIM(データ!C304)</f>
        <v/>
      </c>
      <c r="C307" s="47" t="str">
        <f>TRIM(データ!D304)</f>
        <v>外注費</v>
      </c>
      <c r="D307" s="36" t="str">
        <f>REPT("｜",$A307)&amp;TRIM(データ!E304)</f>
        <v>｜｜諸経費</v>
      </c>
      <c r="E307" s="37" t="str">
        <f>TRIM(データ!F304)</f>
        <v/>
      </c>
      <c r="F307" s="38" t="str">
        <f>TRIM(データ!G304)</f>
        <v>式</v>
      </c>
      <c r="G307" s="50">
        <f>データ!H304</f>
        <v>1</v>
      </c>
      <c r="H307" s="48">
        <f>データ!I304</f>
        <v>32000</v>
      </c>
      <c r="I307" s="48">
        <f>データ!J304</f>
        <v>32000</v>
      </c>
      <c r="J307" s="39" t="str">
        <f>IF(OR($C307="総括",$C307="内訳書",$C307="内訳代価",$C307="明細書",$C307="明細代価",$C307="代価表",$C307="単価表"),データ!K304,"")</f>
        <v/>
      </c>
      <c r="K307" s="11" t="str">
        <f t="shared" si="24"/>
        <v/>
      </c>
      <c r="L307" s="46">
        <f t="shared" si="25"/>
        <v>1.7299756668110115E-3</v>
      </c>
      <c r="M307" s="40" t="str">
        <f>IF(データ!L304="","",データ!L304)</f>
        <v/>
      </c>
      <c r="N307" s="41" t="str">
        <f>IF(データ!M304="","",データ!M304)</f>
        <v/>
      </c>
      <c r="O307" s="42">
        <f>データ!N304</f>
        <v>0</v>
      </c>
      <c r="P307" s="48">
        <f>IF($C307="集計行","",データ!O304)</f>
        <v>0</v>
      </c>
      <c r="Q307" s="48">
        <f>データ!P304</f>
        <v>0</v>
      </c>
      <c r="R307" s="39" t="str">
        <f>IF(OR($C307="総括",$C307="内訳書",$C307="内訳代価",$C307="明細書",$C307="明細代価",$C307="代価表",$C307="単価表"),データ!Q304,"")</f>
        <v/>
      </c>
      <c r="S307" s="11" t="str">
        <f t="shared" si="26"/>
        <v/>
      </c>
      <c r="T307" s="46" t="e">
        <f t="shared" si="27"/>
        <v>#DIV/0!</v>
      </c>
      <c r="U307" s="40" t="str">
        <f>IF(データ!R304="","",データ!R304)</f>
        <v/>
      </c>
      <c r="V307" s="41" t="str">
        <f>IF(データ!S304="","",データ!S304)</f>
        <v/>
      </c>
      <c r="W307" s="42">
        <f>データ!T304</f>
        <v>0</v>
      </c>
      <c r="X307" s="48">
        <f>IF($C307="集計行","",データ!U304)</f>
        <v>0</v>
      </c>
      <c r="Y307" s="48">
        <f>データ!V304</f>
        <v>0</v>
      </c>
      <c r="Z307" s="39" t="str">
        <f>IF(OR($C307="総括",$C307="内訳書",$C307="内訳代価",$C307="明細書",$C307="明細代価",$C307="代価表",$C307="単価表"),データ!W304,"")</f>
        <v/>
      </c>
      <c r="AA307" s="11" t="str">
        <f t="shared" si="28"/>
        <v/>
      </c>
      <c r="AB307" s="46" t="e">
        <f t="shared" si="29"/>
        <v>#DIV/0!</v>
      </c>
      <c r="AC307" s="40" t="str">
        <f>IF(データ!X304="","",データ!X304)</f>
        <v/>
      </c>
      <c r="AD307" s="41" t="str">
        <f>IF(データ!Y304="","",データ!Y304)</f>
        <v/>
      </c>
      <c r="AE307" s="47" t="str">
        <f>TRIM(データ!B304)</f>
        <v/>
      </c>
      <c r="AF307" s="43" t="str">
        <f>TRIM(データ!Z304)</f>
        <v/>
      </c>
    </row>
    <row r="308" spans="1:32" x14ac:dyDescent="0.15">
      <c r="A308" s="47">
        <f>データ!A305</f>
        <v>2</v>
      </c>
      <c r="B308" s="47" t="str">
        <f>TRIM(データ!C305)</f>
        <v/>
      </c>
      <c r="C308" s="47" t="str">
        <f>TRIM(データ!D305)</f>
        <v>外注費</v>
      </c>
      <c r="D308" s="36" t="str">
        <f>REPT("｜",$A308)&amp;TRIM(データ!E305)</f>
        <v>｜｜法定福利費</v>
      </c>
      <c r="E308" s="37" t="str">
        <f>TRIM(データ!F305)</f>
        <v/>
      </c>
      <c r="F308" s="38" t="str">
        <f>TRIM(データ!G305)</f>
        <v>式</v>
      </c>
      <c r="G308" s="50">
        <f>データ!H305</f>
        <v>1</v>
      </c>
      <c r="H308" s="48">
        <f>データ!I305</f>
        <v>29900</v>
      </c>
      <c r="I308" s="48">
        <f>データ!J305</f>
        <v>29900</v>
      </c>
      <c r="J308" s="39" t="str">
        <f>IF(OR($C308="総括",$C308="内訳書",$C308="内訳代価",$C308="明細書",$C308="明細代価",$C308="代価表",$C308="単価表"),データ!K305,"")</f>
        <v/>
      </c>
      <c r="K308" s="11" t="str">
        <f t="shared" si="24"/>
        <v/>
      </c>
      <c r="L308" s="46">
        <f t="shared" si="25"/>
        <v>1.616446013676539E-3</v>
      </c>
      <c r="M308" s="40" t="str">
        <f>IF(データ!L305="","",データ!L305)</f>
        <v/>
      </c>
      <c r="N308" s="41" t="str">
        <f>IF(データ!M305="","",データ!M305)</f>
        <v/>
      </c>
      <c r="O308" s="42">
        <f>データ!N305</f>
        <v>0</v>
      </c>
      <c r="P308" s="48">
        <f>IF($C308="集計行","",データ!O305)</f>
        <v>0</v>
      </c>
      <c r="Q308" s="48">
        <f>データ!P305</f>
        <v>0</v>
      </c>
      <c r="R308" s="39" t="str">
        <f>IF(OR($C308="総括",$C308="内訳書",$C308="内訳代価",$C308="明細書",$C308="明細代価",$C308="代価表",$C308="単価表"),データ!Q305,"")</f>
        <v/>
      </c>
      <c r="S308" s="11" t="str">
        <f t="shared" si="26"/>
        <v/>
      </c>
      <c r="T308" s="46" t="e">
        <f t="shared" si="27"/>
        <v>#DIV/0!</v>
      </c>
      <c r="U308" s="40" t="str">
        <f>IF(データ!R305="","",データ!R305)</f>
        <v/>
      </c>
      <c r="V308" s="41" t="str">
        <f>IF(データ!S305="","",データ!S305)</f>
        <v/>
      </c>
      <c r="W308" s="42">
        <f>データ!T305</f>
        <v>0</v>
      </c>
      <c r="X308" s="48">
        <f>IF($C308="集計行","",データ!U305)</f>
        <v>0</v>
      </c>
      <c r="Y308" s="48">
        <f>データ!V305</f>
        <v>0</v>
      </c>
      <c r="Z308" s="39" t="str">
        <f>IF(OR($C308="総括",$C308="内訳書",$C308="内訳代価",$C308="明細書",$C308="明細代価",$C308="代価表",$C308="単価表"),データ!W305,"")</f>
        <v/>
      </c>
      <c r="AA308" s="11" t="str">
        <f t="shared" si="28"/>
        <v/>
      </c>
      <c r="AB308" s="46" t="e">
        <f t="shared" si="29"/>
        <v>#DIV/0!</v>
      </c>
      <c r="AC308" s="40" t="str">
        <f>IF(データ!X305="","",データ!X305)</f>
        <v/>
      </c>
      <c r="AD308" s="41" t="str">
        <f>IF(データ!Y305="","",データ!Y305)</f>
        <v/>
      </c>
      <c r="AE308" s="47" t="str">
        <f>TRIM(データ!B305)</f>
        <v/>
      </c>
      <c r="AF308" s="43" t="str">
        <f>TRIM(データ!Z305)</f>
        <v/>
      </c>
    </row>
    <row r="309" spans="1:32" x14ac:dyDescent="0.15">
      <c r="A309" s="47">
        <f>データ!A306</f>
        <v>2</v>
      </c>
      <c r="B309" s="47" t="str">
        <f>TRIM(データ!C306)</f>
        <v/>
      </c>
      <c r="C309" s="47" t="str">
        <f>TRIM(データ!D306)</f>
        <v>外注費</v>
      </c>
      <c r="D309" s="36" t="str">
        <f>REPT("｜",$A309)&amp;TRIM(データ!E306)</f>
        <v>｜｜交通誘導員</v>
      </c>
      <c r="E309" s="37" t="str">
        <f>TRIM(データ!F306)</f>
        <v/>
      </c>
      <c r="F309" s="38" t="str">
        <f>TRIM(データ!G306)</f>
        <v>人</v>
      </c>
      <c r="G309" s="50">
        <f>データ!H306</f>
        <v>4</v>
      </c>
      <c r="H309" s="48">
        <f>データ!I306</f>
        <v>18000</v>
      </c>
      <c r="I309" s="48">
        <f>データ!J306</f>
        <v>72000</v>
      </c>
      <c r="J309" s="39" t="str">
        <f>IF(OR($C309="総括",$C309="内訳書",$C309="内訳代価",$C309="明細書",$C309="明細代価",$C309="代価表",$C309="単価表"),データ!K306,"")</f>
        <v/>
      </c>
      <c r="K309" s="11" t="str">
        <f t="shared" si="24"/>
        <v/>
      </c>
      <c r="L309" s="46">
        <f t="shared" si="25"/>
        <v>3.8924452503247757E-3</v>
      </c>
      <c r="M309" s="40" t="str">
        <f>IF(データ!L306="","",データ!L306)</f>
        <v/>
      </c>
      <c r="N309" s="41" t="str">
        <f>IF(データ!M306="","",データ!M306)</f>
        <v/>
      </c>
      <c r="O309" s="42">
        <f>データ!N306</f>
        <v>0</v>
      </c>
      <c r="P309" s="48">
        <f>IF($C309="集計行","",データ!O306)</f>
        <v>0</v>
      </c>
      <c r="Q309" s="48">
        <f>データ!P306</f>
        <v>0</v>
      </c>
      <c r="R309" s="39" t="str">
        <f>IF(OR($C309="総括",$C309="内訳書",$C309="内訳代価",$C309="明細書",$C309="明細代価",$C309="代価表",$C309="単価表"),データ!Q306,"")</f>
        <v/>
      </c>
      <c r="S309" s="11" t="str">
        <f t="shared" si="26"/>
        <v/>
      </c>
      <c r="T309" s="46" t="e">
        <f t="shared" si="27"/>
        <v>#DIV/0!</v>
      </c>
      <c r="U309" s="40" t="str">
        <f>IF(データ!R306="","",データ!R306)</f>
        <v/>
      </c>
      <c r="V309" s="41" t="str">
        <f>IF(データ!S306="","",データ!S306)</f>
        <v/>
      </c>
      <c r="W309" s="42">
        <f>データ!T306</f>
        <v>0</v>
      </c>
      <c r="X309" s="48">
        <f>IF($C309="集計行","",データ!U306)</f>
        <v>0</v>
      </c>
      <c r="Y309" s="48">
        <f>データ!V306</f>
        <v>0</v>
      </c>
      <c r="Z309" s="39" t="str">
        <f>IF(OR($C309="総括",$C309="内訳書",$C309="内訳代価",$C309="明細書",$C309="明細代価",$C309="代価表",$C309="単価表"),データ!W306,"")</f>
        <v/>
      </c>
      <c r="AA309" s="11" t="str">
        <f t="shared" si="28"/>
        <v/>
      </c>
      <c r="AB309" s="46" t="e">
        <f t="shared" si="29"/>
        <v>#DIV/0!</v>
      </c>
      <c r="AC309" s="40" t="str">
        <f>IF(データ!X306="","",データ!X306)</f>
        <v/>
      </c>
      <c r="AD309" s="41" t="str">
        <f>IF(データ!Y306="","",データ!Y306)</f>
        <v/>
      </c>
      <c r="AE309" s="47" t="str">
        <f>TRIM(データ!B306)</f>
        <v/>
      </c>
      <c r="AF309" s="43" t="str">
        <f>TRIM(データ!Z306)</f>
        <v/>
      </c>
    </row>
    <row r="310" spans="1:32" x14ac:dyDescent="0.15">
      <c r="A310" s="47">
        <f>データ!A307</f>
        <v>2</v>
      </c>
      <c r="B310" s="47" t="str">
        <f>TRIM(データ!C307)</f>
        <v/>
      </c>
      <c r="C310" s="47" t="str">
        <f>TRIM(データ!D307)</f>
        <v>機械費</v>
      </c>
      <c r="D310" s="36" t="str">
        <f>REPT("｜",$A310)&amp;TRIM(データ!E307)</f>
        <v>｜｜軽トラ規制車　保安材含</v>
      </c>
      <c r="E310" s="37" t="str">
        <f>TRIM(データ!F307)</f>
        <v/>
      </c>
      <c r="F310" s="38" t="str">
        <f>TRIM(データ!G307)</f>
        <v>台</v>
      </c>
      <c r="G310" s="50">
        <f>データ!H307</f>
        <v>1</v>
      </c>
      <c r="H310" s="48">
        <f>データ!I307</f>
        <v>15000</v>
      </c>
      <c r="I310" s="48">
        <f>データ!J307</f>
        <v>15000</v>
      </c>
      <c r="J310" s="39" t="str">
        <f>IF(OR($C310="総括",$C310="内訳書",$C310="内訳代価",$C310="明細書",$C310="明細代価",$C310="代価表",$C310="単価表"),データ!K307,"")</f>
        <v/>
      </c>
      <c r="K310" s="11" t="str">
        <f t="shared" si="24"/>
        <v/>
      </c>
      <c r="L310" s="46">
        <f t="shared" si="25"/>
        <v>8.1092609381766166E-4</v>
      </c>
      <c r="M310" s="40" t="str">
        <f>IF(データ!L307="","",データ!L307)</f>
        <v/>
      </c>
      <c r="N310" s="41" t="str">
        <f>IF(データ!M307="","",データ!M307)</f>
        <v/>
      </c>
      <c r="O310" s="42">
        <f>データ!N307</f>
        <v>0</v>
      </c>
      <c r="P310" s="48">
        <f>IF($C310="集計行","",データ!O307)</f>
        <v>0</v>
      </c>
      <c r="Q310" s="48">
        <f>データ!P307</f>
        <v>0</v>
      </c>
      <c r="R310" s="39" t="str">
        <f>IF(OR($C310="総括",$C310="内訳書",$C310="内訳代価",$C310="明細書",$C310="明細代価",$C310="代価表",$C310="単価表"),データ!Q307,"")</f>
        <v/>
      </c>
      <c r="S310" s="11" t="str">
        <f t="shared" si="26"/>
        <v/>
      </c>
      <c r="T310" s="46" t="e">
        <f t="shared" si="27"/>
        <v>#DIV/0!</v>
      </c>
      <c r="U310" s="40" t="str">
        <f>IF(データ!R307="","",データ!R307)</f>
        <v/>
      </c>
      <c r="V310" s="41" t="str">
        <f>IF(データ!S307="","",データ!S307)</f>
        <v/>
      </c>
      <c r="W310" s="42">
        <f>データ!T307</f>
        <v>0</v>
      </c>
      <c r="X310" s="48">
        <f>IF($C310="集計行","",データ!U307)</f>
        <v>0</v>
      </c>
      <c r="Y310" s="48">
        <f>データ!V307</f>
        <v>0</v>
      </c>
      <c r="Z310" s="39" t="str">
        <f>IF(OR($C310="総括",$C310="内訳書",$C310="内訳代価",$C310="明細書",$C310="明細代価",$C310="代価表",$C310="単価表"),データ!W307,"")</f>
        <v/>
      </c>
      <c r="AA310" s="11" t="str">
        <f t="shared" si="28"/>
        <v/>
      </c>
      <c r="AB310" s="46" t="e">
        <f t="shared" si="29"/>
        <v>#DIV/0!</v>
      </c>
      <c r="AC310" s="40" t="str">
        <f>IF(データ!X307="","",データ!X307)</f>
        <v/>
      </c>
      <c r="AD310" s="41" t="str">
        <f>IF(データ!Y307="","",データ!Y307)</f>
        <v/>
      </c>
      <c r="AE310" s="47" t="str">
        <f>TRIM(データ!B307)</f>
        <v/>
      </c>
      <c r="AF310" s="43" t="str">
        <f>TRIM(データ!Z307)</f>
        <v/>
      </c>
    </row>
    <row r="311" spans="1:32" x14ac:dyDescent="0.15">
      <c r="A311" s="47">
        <f>データ!A308</f>
        <v>1</v>
      </c>
      <c r="B311" s="47" t="str">
        <f>TRIM(データ!C308)</f>
        <v/>
      </c>
      <c r="C311" s="47" t="str">
        <f>TRIM(データ!D308)</f>
        <v>内訳書</v>
      </c>
      <c r="D311" s="36" t="str">
        <f>REPT("｜",$A311)&amp;TRIM(データ!E308)</f>
        <v>｜路面補修工　パッチグー</v>
      </c>
      <c r="E311" s="37" t="str">
        <f>TRIM(データ!F308)</f>
        <v/>
      </c>
      <c r="F311" s="38" t="str">
        <f>TRIM(データ!G308)</f>
        <v>個</v>
      </c>
      <c r="G311" s="50">
        <f>データ!H308</f>
        <v>20</v>
      </c>
      <c r="H311" s="48">
        <f>データ!I308</f>
        <v>9000</v>
      </c>
      <c r="I311" s="48">
        <f>データ!J308</f>
        <v>180000</v>
      </c>
      <c r="J311" s="39">
        <f>IF(OR($C311="総括",$C311="内訳書",$C311="内訳代価",$C311="明細書",$C311="明細代価",$C311="代価表",$C311="単価表"),データ!K308,"")</f>
        <v>20</v>
      </c>
      <c r="K311" s="11" t="str">
        <f t="shared" si="24"/>
        <v/>
      </c>
      <c r="L311" s="46">
        <f t="shared" si="25"/>
        <v>9.7311131258119403E-3</v>
      </c>
      <c r="M311" s="40" t="str">
        <f>IF(データ!L308="","",データ!L308)</f>
        <v/>
      </c>
      <c r="N311" s="41" t="str">
        <f>IF(データ!M308="","",データ!M308)</f>
        <v>30号内訳書</v>
      </c>
      <c r="O311" s="42">
        <f>データ!N308</f>
        <v>0</v>
      </c>
      <c r="P311" s="48">
        <f>IF($C311="集計行","",データ!O308)</f>
        <v>0</v>
      </c>
      <c r="Q311" s="48">
        <f>データ!P308</f>
        <v>0</v>
      </c>
      <c r="R311" s="39">
        <f>IF(OR($C311="総括",$C311="内訳書",$C311="内訳代価",$C311="明細書",$C311="明細代価",$C311="代価表",$C311="単価表"),データ!Q308,"")</f>
        <v>0</v>
      </c>
      <c r="S311" s="11" t="str">
        <f t="shared" si="26"/>
        <v/>
      </c>
      <c r="T311" s="46" t="e">
        <f t="shared" si="27"/>
        <v>#DIV/0!</v>
      </c>
      <c r="U311" s="40" t="str">
        <f>IF(データ!R308="","",データ!R308)</f>
        <v/>
      </c>
      <c r="V311" s="41" t="str">
        <f>IF(データ!S308="","",データ!S308)</f>
        <v/>
      </c>
      <c r="W311" s="42">
        <f>データ!T308</f>
        <v>0</v>
      </c>
      <c r="X311" s="48">
        <f>IF($C311="集計行","",データ!U308)</f>
        <v>0</v>
      </c>
      <c r="Y311" s="48">
        <f>データ!V308</f>
        <v>0</v>
      </c>
      <c r="Z311" s="39">
        <f>IF(OR($C311="総括",$C311="内訳書",$C311="内訳代価",$C311="明細書",$C311="明細代価",$C311="代価表",$C311="単価表"),データ!W308,"")</f>
        <v>0</v>
      </c>
      <c r="AA311" s="11" t="str">
        <f t="shared" si="28"/>
        <v/>
      </c>
      <c r="AB311" s="46" t="e">
        <f t="shared" si="29"/>
        <v>#DIV/0!</v>
      </c>
      <c r="AC311" s="40" t="str">
        <f>IF(データ!X308="","",データ!X308)</f>
        <v/>
      </c>
      <c r="AD311" s="41" t="str">
        <f>IF(データ!Y308="","",データ!Y308)</f>
        <v/>
      </c>
      <c r="AE311" s="47" t="str">
        <f>TRIM(データ!B308)</f>
        <v/>
      </c>
      <c r="AF311" s="43" t="str">
        <f>TRIM(データ!Z308)</f>
        <v/>
      </c>
    </row>
    <row r="312" spans="1:32" x14ac:dyDescent="0.15">
      <c r="A312" s="47">
        <f>データ!A309</f>
        <v>2</v>
      </c>
      <c r="B312" s="47" t="str">
        <f>TRIM(データ!C309)</f>
        <v/>
      </c>
      <c r="C312" s="47" t="str">
        <f>TRIM(データ!D309)</f>
        <v>材料費</v>
      </c>
      <c r="D312" s="36" t="str">
        <f>REPT("｜",$A312)&amp;TRIM(データ!E309)</f>
        <v>｜｜パッチグー</v>
      </c>
      <c r="E312" s="37" t="str">
        <f>TRIM(データ!F309)</f>
        <v/>
      </c>
      <c r="F312" s="38" t="str">
        <f>TRIM(データ!G309)</f>
        <v>個</v>
      </c>
      <c r="G312" s="50">
        <f>データ!H309</f>
        <v>20</v>
      </c>
      <c r="H312" s="48">
        <f>データ!I309</f>
        <v>9000</v>
      </c>
      <c r="I312" s="48">
        <f>データ!J309</f>
        <v>180000</v>
      </c>
      <c r="J312" s="39" t="str">
        <f>IF(OR($C312="総括",$C312="内訳書",$C312="内訳代価",$C312="明細書",$C312="明細代価",$C312="代価表",$C312="単価表"),データ!K309,"")</f>
        <v/>
      </c>
      <c r="K312" s="11" t="str">
        <f t="shared" si="24"/>
        <v/>
      </c>
      <c r="L312" s="46">
        <f t="shared" si="25"/>
        <v>9.7311131258119403E-3</v>
      </c>
      <c r="M312" s="40" t="str">
        <f>IF(データ!L309="","",データ!L309)</f>
        <v/>
      </c>
      <c r="N312" s="41" t="str">
        <f>IF(データ!M309="","",データ!M309)</f>
        <v/>
      </c>
      <c r="O312" s="42">
        <f>データ!N309</f>
        <v>0</v>
      </c>
      <c r="P312" s="48">
        <f>IF($C312="集計行","",データ!O309)</f>
        <v>0</v>
      </c>
      <c r="Q312" s="48">
        <f>データ!P309</f>
        <v>0</v>
      </c>
      <c r="R312" s="39" t="str">
        <f>IF(OR($C312="総括",$C312="内訳書",$C312="内訳代価",$C312="明細書",$C312="明細代価",$C312="代価表",$C312="単価表"),データ!Q309,"")</f>
        <v/>
      </c>
      <c r="S312" s="11" t="str">
        <f t="shared" si="26"/>
        <v/>
      </c>
      <c r="T312" s="46" t="e">
        <f t="shared" si="27"/>
        <v>#DIV/0!</v>
      </c>
      <c r="U312" s="40" t="str">
        <f>IF(データ!R309="","",データ!R309)</f>
        <v/>
      </c>
      <c r="V312" s="41" t="str">
        <f>IF(データ!S309="","",データ!S309)</f>
        <v/>
      </c>
      <c r="W312" s="42">
        <f>データ!T309</f>
        <v>0</v>
      </c>
      <c r="X312" s="48">
        <f>IF($C312="集計行","",データ!U309)</f>
        <v>0</v>
      </c>
      <c r="Y312" s="48">
        <f>データ!V309</f>
        <v>0</v>
      </c>
      <c r="Z312" s="39" t="str">
        <f>IF(OR($C312="総括",$C312="内訳書",$C312="内訳代価",$C312="明細書",$C312="明細代価",$C312="代価表",$C312="単価表"),データ!W309,"")</f>
        <v/>
      </c>
      <c r="AA312" s="11" t="str">
        <f t="shared" si="28"/>
        <v/>
      </c>
      <c r="AB312" s="46" t="e">
        <f t="shared" si="29"/>
        <v>#DIV/0!</v>
      </c>
      <c r="AC312" s="40" t="str">
        <f>IF(データ!X309="","",データ!X309)</f>
        <v/>
      </c>
      <c r="AD312" s="41" t="str">
        <f>IF(データ!Y309="","",データ!Y309)</f>
        <v/>
      </c>
      <c r="AE312" s="47" t="str">
        <f>TRIM(データ!B309)</f>
        <v/>
      </c>
      <c r="AF312" s="43" t="str">
        <f>TRIM(データ!Z309)</f>
        <v/>
      </c>
    </row>
    <row r="313" spans="1:32" x14ac:dyDescent="0.15">
      <c r="A313" s="47">
        <f>データ!A310</f>
        <v>1</v>
      </c>
      <c r="B313" s="47" t="str">
        <f>TRIM(データ!C310)</f>
        <v/>
      </c>
      <c r="C313" s="47" t="str">
        <f>TRIM(データ!D310)</f>
        <v>内訳書</v>
      </c>
      <c r="D313" s="36" t="str">
        <f>REPT("｜",$A313)&amp;TRIM(データ!E310)</f>
        <v>｜舗装版切断工　3箇所</v>
      </c>
      <c r="E313" s="37" t="str">
        <f>TRIM(データ!F310)</f>
        <v/>
      </c>
      <c r="F313" s="38" t="str">
        <f>TRIM(データ!G310)</f>
        <v>日</v>
      </c>
      <c r="G313" s="50">
        <f>データ!H310</f>
        <v>2</v>
      </c>
      <c r="H313" s="48">
        <f>データ!I310</f>
        <v>30250</v>
      </c>
      <c r="I313" s="48">
        <f>データ!J310</f>
        <v>60500</v>
      </c>
      <c r="J313" s="39">
        <f>IF(OR($C313="総括",$C313="内訳書",$C313="内訳代価",$C313="明細書",$C313="明細代価",$C313="代価表",$C313="単価表"),データ!K310,"")</f>
        <v>2</v>
      </c>
      <c r="K313" s="11" t="str">
        <f t="shared" si="24"/>
        <v/>
      </c>
      <c r="L313" s="46">
        <f t="shared" si="25"/>
        <v>3.2707352450645688E-3</v>
      </c>
      <c r="M313" s="40" t="str">
        <f>IF(データ!L310="","",データ!L310)</f>
        <v/>
      </c>
      <c r="N313" s="41" t="str">
        <f>IF(データ!M310="","",データ!M310)</f>
        <v>31号内訳書</v>
      </c>
      <c r="O313" s="42">
        <f>データ!N310</f>
        <v>0</v>
      </c>
      <c r="P313" s="48">
        <f>IF($C313="集計行","",データ!O310)</f>
        <v>0</v>
      </c>
      <c r="Q313" s="48">
        <f>データ!P310</f>
        <v>0</v>
      </c>
      <c r="R313" s="39">
        <f>IF(OR($C313="総括",$C313="内訳書",$C313="内訳代価",$C313="明細書",$C313="明細代価",$C313="代価表",$C313="単価表"),データ!Q310,"")</f>
        <v>0</v>
      </c>
      <c r="S313" s="11" t="str">
        <f t="shared" si="26"/>
        <v/>
      </c>
      <c r="T313" s="46" t="e">
        <f t="shared" si="27"/>
        <v>#DIV/0!</v>
      </c>
      <c r="U313" s="40" t="str">
        <f>IF(データ!R310="","",データ!R310)</f>
        <v/>
      </c>
      <c r="V313" s="41" t="str">
        <f>IF(データ!S310="","",データ!S310)</f>
        <v/>
      </c>
      <c r="W313" s="42">
        <f>データ!T310</f>
        <v>0</v>
      </c>
      <c r="X313" s="48">
        <f>IF($C313="集計行","",データ!U310)</f>
        <v>0</v>
      </c>
      <c r="Y313" s="48">
        <f>データ!V310</f>
        <v>0</v>
      </c>
      <c r="Z313" s="39">
        <f>IF(OR($C313="総括",$C313="内訳書",$C313="内訳代価",$C313="明細書",$C313="明細代価",$C313="代価表",$C313="単価表"),データ!W310,"")</f>
        <v>0</v>
      </c>
      <c r="AA313" s="11" t="str">
        <f t="shared" si="28"/>
        <v/>
      </c>
      <c r="AB313" s="46" t="e">
        <f t="shared" si="29"/>
        <v>#DIV/0!</v>
      </c>
      <c r="AC313" s="40" t="str">
        <f>IF(データ!X310="","",データ!X310)</f>
        <v/>
      </c>
      <c r="AD313" s="41" t="str">
        <f>IF(データ!Y310="","",データ!Y310)</f>
        <v/>
      </c>
      <c r="AE313" s="47" t="str">
        <f>TRIM(データ!B310)</f>
        <v/>
      </c>
      <c r="AF313" s="43" t="str">
        <f>TRIM(データ!Z310)</f>
        <v/>
      </c>
    </row>
    <row r="314" spans="1:32" x14ac:dyDescent="0.15">
      <c r="A314" s="47">
        <f>データ!A311</f>
        <v>2</v>
      </c>
      <c r="B314" s="47" t="str">
        <f>TRIM(データ!C311)</f>
        <v/>
      </c>
      <c r="C314" s="47" t="str">
        <f>TRIM(データ!D311)</f>
        <v>外注費</v>
      </c>
      <c r="D314" s="36" t="str">
        <f>REPT("｜",$A314)&amp;TRIM(データ!E311)</f>
        <v>｜｜舗装版切断工No.2</v>
      </c>
      <c r="E314" s="37" t="str">
        <f>TRIM(データ!F311)</f>
        <v/>
      </c>
      <c r="F314" s="38" t="str">
        <f>TRIM(データ!G311)</f>
        <v>回</v>
      </c>
      <c r="G314" s="50">
        <f>データ!H311</f>
        <v>1</v>
      </c>
      <c r="H314" s="48">
        <f>データ!I311</f>
        <v>12000</v>
      </c>
      <c r="I314" s="48">
        <f>データ!J311</f>
        <v>12000</v>
      </c>
      <c r="J314" s="39" t="str">
        <f>IF(OR($C314="総括",$C314="内訳書",$C314="内訳代価",$C314="明細書",$C314="明細代価",$C314="代価表",$C314="単価表"),データ!K311,"")</f>
        <v/>
      </c>
      <c r="K314" s="11" t="str">
        <f t="shared" si="24"/>
        <v/>
      </c>
      <c r="L314" s="46">
        <f t="shared" si="25"/>
        <v>6.4874087505412928E-4</v>
      </c>
      <c r="M314" s="40" t="str">
        <f>IF(データ!L311="","",データ!L311)</f>
        <v/>
      </c>
      <c r="N314" s="41" t="str">
        <f>IF(データ!M311="","",データ!M311)</f>
        <v/>
      </c>
      <c r="O314" s="42">
        <f>データ!N311</f>
        <v>0</v>
      </c>
      <c r="P314" s="48">
        <f>IF($C314="集計行","",データ!O311)</f>
        <v>0</v>
      </c>
      <c r="Q314" s="48">
        <f>データ!P311</f>
        <v>0</v>
      </c>
      <c r="R314" s="39" t="str">
        <f>IF(OR($C314="総括",$C314="内訳書",$C314="内訳代価",$C314="明細書",$C314="明細代価",$C314="代価表",$C314="単価表"),データ!Q311,"")</f>
        <v/>
      </c>
      <c r="S314" s="11" t="str">
        <f t="shared" si="26"/>
        <v/>
      </c>
      <c r="T314" s="46" t="e">
        <f t="shared" si="27"/>
        <v>#DIV/0!</v>
      </c>
      <c r="U314" s="40" t="str">
        <f>IF(データ!R311="","",データ!R311)</f>
        <v/>
      </c>
      <c r="V314" s="41" t="str">
        <f>IF(データ!S311="","",データ!S311)</f>
        <v/>
      </c>
      <c r="W314" s="42">
        <f>データ!T311</f>
        <v>0</v>
      </c>
      <c r="X314" s="48">
        <f>IF($C314="集計行","",データ!U311)</f>
        <v>0</v>
      </c>
      <c r="Y314" s="48">
        <f>データ!V311</f>
        <v>0</v>
      </c>
      <c r="Z314" s="39" t="str">
        <f>IF(OR($C314="総括",$C314="内訳書",$C314="内訳代価",$C314="明細書",$C314="明細代価",$C314="代価表",$C314="単価表"),データ!W311,"")</f>
        <v/>
      </c>
      <c r="AA314" s="11" t="str">
        <f t="shared" si="28"/>
        <v/>
      </c>
      <c r="AB314" s="46" t="e">
        <f t="shared" si="29"/>
        <v>#DIV/0!</v>
      </c>
      <c r="AC314" s="40" t="str">
        <f>IF(データ!X311="","",データ!X311)</f>
        <v/>
      </c>
      <c r="AD314" s="41" t="str">
        <f>IF(データ!Y311="","",データ!Y311)</f>
        <v/>
      </c>
      <c r="AE314" s="47" t="str">
        <f>TRIM(データ!B311)</f>
        <v/>
      </c>
      <c r="AF314" s="43" t="str">
        <f>TRIM(データ!Z311)</f>
        <v/>
      </c>
    </row>
    <row r="315" spans="1:32" x14ac:dyDescent="0.15">
      <c r="A315" s="47">
        <f>データ!A312</f>
        <v>2</v>
      </c>
      <c r="B315" s="47" t="str">
        <f>TRIM(データ!C312)</f>
        <v/>
      </c>
      <c r="C315" s="47" t="str">
        <f>TRIM(データ!D312)</f>
        <v>外注費</v>
      </c>
      <c r="D315" s="36" t="str">
        <f>REPT("｜",$A315)&amp;TRIM(データ!E312)</f>
        <v>｜｜舗装版切断工No.4</v>
      </c>
      <c r="E315" s="37" t="str">
        <f>TRIM(データ!F312)</f>
        <v/>
      </c>
      <c r="F315" s="38" t="str">
        <f>TRIM(データ!G312)</f>
        <v>回</v>
      </c>
      <c r="G315" s="50">
        <f>データ!H312</f>
        <v>1</v>
      </c>
      <c r="H315" s="48">
        <f>データ!I312</f>
        <v>12000</v>
      </c>
      <c r="I315" s="48">
        <f>データ!J312</f>
        <v>12000</v>
      </c>
      <c r="J315" s="39" t="str">
        <f>IF(OR($C315="総括",$C315="内訳書",$C315="内訳代価",$C315="明細書",$C315="明細代価",$C315="代価表",$C315="単価表"),データ!K312,"")</f>
        <v/>
      </c>
      <c r="K315" s="11" t="str">
        <f t="shared" si="24"/>
        <v/>
      </c>
      <c r="L315" s="46">
        <f t="shared" si="25"/>
        <v>6.4874087505412928E-4</v>
      </c>
      <c r="M315" s="40" t="str">
        <f>IF(データ!L312="","",データ!L312)</f>
        <v/>
      </c>
      <c r="N315" s="41" t="str">
        <f>IF(データ!M312="","",データ!M312)</f>
        <v/>
      </c>
      <c r="O315" s="42">
        <f>データ!N312</f>
        <v>0</v>
      </c>
      <c r="P315" s="48">
        <f>IF($C315="集計行","",データ!O312)</f>
        <v>0</v>
      </c>
      <c r="Q315" s="48">
        <f>データ!P312</f>
        <v>0</v>
      </c>
      <c r="R315" s="39" t="str">
        <f>IF(OR($C315="総括",$C315="内訳書",$C315="内訳代価",$C315="明細書",$C315="明細代価",$C315="代価表",$C315="単価表"),データ!Q312,"")</f>
        <v/>
      </c>
      <c r="S315" s="11" t="str">
        <f t="shared" si="26"/>
        <v/>
      </c>
      <c r="T315" s="46" t="e">
        <f t="shared" si="27"/>
        <v>#DIV/0!</v>
      </c>
      <c r="U315" s="40" t="str">
        <f>IF(データ!R312="","",データ!R312)</f>
        <v/>
      </c>
      <c r="V315" s="41" t="str">
        <f>IF(データ!S312="","",データ!S312)</f>
        <v/>
      </c>
      <c r="W315" s="42">
        <f>データ!T312</f>
        <v>0</v>
      </c>
      <c r="X315" s="48">
        <f>IF($C315="集計行","",データ!U312)</f>
        <v>0</v>
      </c>
      <c r="Y315" s="48">
        <f>データ!V312</f>
        <v>0</v>
      </c>
      <c r="Z315" s="39" t="str">
        <f>IF(OR($C315="総括",$C315="内訳書",$C315="内訳代価",$C315="明細書",$C315="明細代価",$C315="代価表",$C315="単価表"),データ!W312,"")</f>
        <v/>
      </c>
      <c r="AA315" s="11" t="str">
        <f t="shared" si="28"/>
        <v/>
      </c>
      <c r="AB315" s="46" t="e">
        <f t="shared" si="29"/>
        <v>#DIV/0!</v>
      </c>
      <c r="AC315" s="40" t="str">
        <f>IF(データ!X312="","",データ!X312)</f>
        <v/>
      </c>
      <c r="AD315" s="41" t="str">
        <f>IF(データ!Y312="","",データ!Y312)</f>
        <v/>
      </c>
      <c r="AE315" s="47" t="str">
        <f>TRIM(データ!B312)</f>
        <v/>
      </c>
      <c r="AF315" s="43" t="str">
        <f>TRIM(データ!Z312)</f>
        <v/>
      </c>
    </row>
    <row r="316" spans="1:32" x14ac:dyDescent="0.15">
      <c r="A316" s="47">
        <f>データ!A313</f>
        <v>2</v>
      </c>
      <c r="B316" s="47" t="str">
        <f>TRIM(データ!C313)</f>
        <v/>
      </c>
      <c r="C316" s="47" t="str">
        <f>TRIM(データ!D313)</f>
        <v>外注費</v>
      </c>
      <c r="D316" s="36" t="str">
        <f>REPT("｜",$A316)&amp;TRIM(データ!E313)</f>
        <v>｜｜舗装版切断工No.12</v>
      </c>
      <c r="E316" s="37" t="str">
        <f>TRIM(データ!F313)</f>
        <v/>
      </c>
      <c r="F316" s="38" t="str">
        <f>TRIM(データ!G313)</f>
        <v>回</v>
      </c>
      <c r="G316" s="50">
        <f>データ!H313</f>
        <v>1</v>
      </c>
      <c r="H316" s="48">
        <f>データ!I313</f>
        <v>12000</v>
      </c>
      <c r="I316" s="48">
        <f>データ!J313</f>
        <v>12000</v>
      </c>
      <c r="J316" s="39" t="str">
        <f>IF(OR($C316="総括",$C316="内訳書",$C316="内訳代価",$C316="明細書",$C316="明細代価",$C316="代価表",$C316="単価表"),データ!K313,"")</f>
        <v/>
      </c>
      <c r="K316" s="11" t="str">
        <f t="shared" si="24"/>
        <v/>
      </c>
      <c r="L316" s="46">
        <f t="shared" si="25"/>
        <v>6.4874087505412928E-4</v>
      </c>
      <c r="M316" s="40" t="str">
        <f>IF(データ!L313="","",データ!L313)</f>
        <v/>
      </c>
      <c r="N316" s="41" t="str">
        <f>IF(データ!M313="","",データ!M313)</f>
        <v/>
      </c>
      <c r="O316" s="42">
        <f>データ!N313</f>
        <v>0</v>
      </c>
      <c r="P316" s="48">
        <f>IF($C316="集計行","",データ!O313)</f>
        <v>0</v>
      </c>
      <c r="Q316" s="48">
        <f>データ!P313</f>
        <v>0</v>
      </c>
      <c r="R316" s="39" t="str">
        <f>IF(OR($C316="総括",$C316="内訳書",$C316="内訳代価",$C316="明細書",$C316="明細代価",$C316="代価表",$C316="単価表"),データ!Q313,"")</f>
        <v/>
      </c>
      <c r="S316" s="11" t="str">
        <f t="shared" si="26"/>
        <v/>
      </c>
      <c r="T316" s="46" t="e">
        <f t="shared" si="27"/>
        <v>#DIV/0!</v>
      </c>
      <c r="U316" s="40" t="str">
        <f>IF(データ!R313="","",データ!R313)</f>
        <v/>
      </c>
      <c r="V316" s="41" t="str">
        <f>IF(データ!S313="","",データ!S313)</f>
        <v/>
      </c>
      <c r="W316" s="42">
        <f>データ!T313</f>
        <v>0</v>
      </c>
      <c r="X316" s="48">
        <f>IF($C316="集計行","",データ!U313)</f>
        <v>0</v>
      </c>
      <c r="Y316" s="48">
        <f>データ!V313</f>
        <v>0</v>
      </c>
      <c r="Z316" s="39" t="str">
        <f>IF(OR($C316="総括",$C316="内訳書",$C316="内訳代価",$C316="明細書",$C316="明細代価",$C316="代価表",$C316="単価表"),データ!W313,"")</f>
        <v/>
      </c>
      <c r="AA316" s="11" t="str">
        <f t="shared" si="28"/>
        <v/>
      </c>
      <c r="AB316" s="46" t="e">
        <f t="shared" si="29"/>
        <v>#DIV/0!</v>
      </c>
      <c r="AC316" s="40" t="str">
        <f>IF(データ!X313="","",データ!X313)</f>
        <v/>
      </c>
      <c r="AD316" s="41" t="str">
        <f>IF(データ!Y313="","",データ!Y313)</f>
        <v/>
      </c>
      <c r="AE316" s="47" t="str">
        <f>TRIM(データ!B313)</f>
        <v/>
      </c>
      <c r="AF316" s="43" t="str">
        <f>TRIM(データ!Z313)</f>
        <v/>
      </c>
    </row>
    <row r="317" spans="1:32" x14ac:dyDescent="0.15">
      <c r="A317" s="47">
        <f>データ!A314</f>
        <v>2</v>
      </c>
      <c r="B317" s="47" t="str">
        <f>TRIM(データ!C314)</f>
        <v/>
      </c>
      <c r="C317" s="47" t="str">
        <f>TRIM(データ!D314)</f>
        <v>外注費</v>
      </c>
      <c r="D317" s="36" t="str">
        <f>REPT("｜",$A317)&amp;TRIM(データ!E314)</f>
        <v>｜｜汚泥運搬</v>
      </c>
      <c r="E317" s="37" t="str">
        <f>TRIM(データ!F314)</f>
        <v/>
      </c>
      <c r="F317" s="38" t="str">
        <f>TRIM(データ!G314)</f>
        <v>台</v>
      </c>
      <c r="G317" s="50">
        <f>データ!H314</f>
        <v>1</v>
      </c>
      <c r="H317" s="48">
        <f>データ!I314</f>
        <v>20000</v>
      </c>
      <c r="I317" s="48">
        <f>データ!J314</f>
        <v>20000</v>
      </c>
      <c r="J317" s="39" t="str">
        <f>IF(OR($C317="総括",$C317="内訳書",$C317="内訳代価",$C317="明細書",$C317="明細代価",$C317="代価表",$C317="単価表"),データ!K314,"")</f>
        <v/>
      </c>
      <c r="K317" s="11" t="str">
        <f t="shared" si="24"/>
        <v/>
      </c>
      <c r="L317" s="46">
        <f t="shared" si="25"/>
        <v>1.0812347917568822E-3</v>
      </c>
      <c r="M317" s="40" t="str">
        <f>IF(データ!L314="","",データ!L314)</f>
        <v/>
      </c>
      <c r="N317" s="41" t="str">
        <f>IF(データ!M314="","",データ!M314)</f>
        <v/>
      </c>
      <c r="O317" s="42">
        <f>データ!N314</f>
        <v>0</v>
      </c>
      <c r="P317" s="48">
        <f>IF($C317="集計行","",データ!O314)</f>
        <v>0</v>
      </c>
      <c r="Q317" s="48">
        <f>データ!P314</f>
        <v>0</v>
      </c>
      <c r="R317" s="39" t="str">
        <f>IF(OR($C317="総括",$C317="内訳書",$C317="内訳代価",$C317="明細書",$C317="明細代価",$C317="代価表",$C317="単価表"),データ!Q314,"")</f>
        <v/>
      </c>
      <c r="S317" s="11" t="str">
        <f t="shared" si="26"/>
        <v/>
      </c>
      <c r="T317" s="46" t="e">
        <f t="shared" si="27"/>
        <v>#DIV/0!</v>
      </c>
      <c r="U317" s="40" t="str">
        <f>IF(データ!R314="","",データ!R314)</f>
        <v/>
      </c>
      <c r="V317" s="41" t="str">
        <f>IF(データ!S314="","",データ!S314)</f>
        <v/>
      </c>
      <c r="W317" s="42">
        <f>データ!T314</f>
        <v>0</v>
      </c>
      <c r="X317" s="48">
        <f>IF($C317="集計行","",データ!U314)</f>
        <v>0</v>
      </c>
      <c r="Y317" s="48">
        <f>データ!V314</f>
        <v>0</v>
      </c>
      <c r="Z317" s="39" t="str">
        <f>IF(OR($C317="総括",$C317="内訳書",$C317="内訳代価",$C317="明細書",$C317="明細代価",$C317="代価表",$C317="単価表"),データ!W314,"")</f>
        <v/>
      </c>
      <c r="AA317" s="11" t="str">
        <f t="shared" si="28"/>
        <v/>
      </c>
      <c r="AB317" s="46" t="e">
        <f t="shared" si="29"/>
        <v>#DIV/0!</v>
      </c>
      <c r="AC317" s="40" t="str">
        <f>IF(データ!X314="","",データ!X314)</f>
        <v/>
      </c>
      <c r="AD317" s="41" t="str">
        <f>IF(データ!Y314="","",データ!Y314)</f>
        <v/>
      </c>
      <c r="AE317" s="47" t="str">
        <f>TRIM(データ!B314)</f>
        <v/>
      </c>
      <c r="AF317" s="43" t="str">
        <f>TRIM(データ!Z314)</f>
        <v/>
      </c>
    </row>
    <row r="318" spans="1:32" x14ac:dyDescent="0.15">
      <c r="A318" s="47">
        <f>データ!A315</f>
        <v>2</v>
      </c>
      <c r="B318" s="47" t="str">
        <f>TRIM(データ!C315)</f>
        <v/>
      </c>
      <c r="C318" s="47" t="str">
        <f>TRIM(データ!D315)</f>
        <v>外注費</v>
      </c>
      <c r="D318" s="36" t="str">
        <f>REPT("｜",$A318)&amp;TRIM(データ!E315)</f>
        <v>｜｜汚泥処理</v>
      </c>
      <c r="E318" s="37" t="str">
        <f>TRIM(データ!F315)</f>
        <v/>
      </c>
      <c r="F318" s="38" t="str">
        <f>TRIM(データ!G315)</f>
        <v>リットル</v>
      </c>
      <c r="G318" s="50">
        <f>データ!H315</f>
        <v>100</v>
      </c>
      <c r="H318" s="48">
        <f>データ!I315</f>
        <v>45</v>
      </c>
      <c r="I318" s="48">
        <f>データ!J315</f>
        <v>4500</v>
      </c>
      <c r="J318" s="39" t="str">
        <f>IF(OR($C318="総括",$C318="内訳書",$C318="内訳代価",$C318="明細書",$C318="明細代価",$C318="代価表",$C318="単価表"),データ!K315,"")</f>
        <v/>
      </c>
      <c r="K318" s="11" t="str">
        <f t="shared" si="24"/>
        <v/>
      </c>
      <c r="L318" s="46">
        <f t="shared" si="25"/>
        <v>2.4327782814529848E-4</v>
      </c>
      <c r="M318" s="40" t="str">
        <f>IF(データ!L315="","",データ!L315)</f>
        <v/>
      </c>
      <c r="N318" s="41" t="str">
        <f>IF(データ!M315="","",データ!M315)</f>
        <v/>
      </c>
      <c r="O318" s="42">
        <f>データ!N315</f>
        <v>0</v>
      </c>
      <c r="P318" s="48">
        <f>IF($C318="集計行","",データ!O315)</f>
        <v>0</v>
      </c>
      <c r="Q318" s="48">
        <f>データ!P315</f>
        <v>0</v>
      </c>
      <c r="R318" s="39" t="str">
        <f>IF(OR($C318="総括",$C318="内訳書",$C318="内訳代価",$C318="明細書",$C318="明細代価",$C318="代価表",$C318="単価表"),データ!Q315,"")</f>
        <v/>
      </c>
      <c r="S318" s="11" t="str">
        <f t="shared" si="26"/>
        <v/>
      </c>
      <c r="T318" s="46" t="e">
        <f t="shared" si="27"/>
        <v>#DIV/0!</v>
      </c>
      <c r="U318" s="40" t="str">
        <f>IF(データ!R315="","",データ!R315)</f>
        <v/>
      </c>
      <c r="V318" s="41" t="str">
        <f>IF(データ!S315="","",データ!S315)</f>
        <v/>
      </c>
      <c r="W318" s="42">
        <f>データ!T315</f>
        <v>0</v>
      </c>
      <c r="X318" s="48">
        <f>IF($C318="集計行","",データ!U315)</f>
        <v>0</v>
      </c>
      <c r="Y318" s="48">
        <f>データ!V315</f>
        <v>0</v>
      </c>
      <c r="Z318" s="39" t="str">
        <f>IF(OR($C318="総括",$C318="内訳書",$C318="内訳代価",$C318="明細書",$C318="明細代価",$C318="代価表",$C318="単価表"),データ!W315,"")</f>
        <v/>
      </c>
      <c r="AA318" s="11" t="str">
        <f t="shared" si="28"/>
        <v/>
      </c>
      <c r="AB318" s="46" t="e">
        <f t="shared" si="29"/>
        <v>#DIV/0!</v>
      </c>
      <c r="AC318" s="40" t="str">
        <f>IF(データ!X315="","",データ!X315)</f>
        <v/>
      </c>
      <c r="AD318" s="41" t="str">
        <f>IF(データ!Y315="","",データ!Y315)</f>
        <v/>
      </c>
      <c r="AE318" s="47" t="str">
        <f>TRIM(データ!B315)</f>
        <v/>
      </c>
      <c r="AF318" s="43" t="str">
        <f>TRIM(データ!Z315)</f>
        <v/>
      </c>
    </row>
    <row r="319" spans="1:32" x14ac:dyDescent="0.15">
      <c r="A319" s="47">
        <f>データ!A316</f>
        <v>1</v>
      </c>
      <c r="B319" s="47" t="str">
        <f>TRIM(データ!C316)</f>
        <v/>
      </c>
      <c r="C319" s="47" t="str">
        <f>TRIM(データ!D316)</f>
        <v>内訳書</v>
      </c>
      <c r="D319" s="36" t="str">
        <f>REPT("｜",$A319)&amp;TRIM(データ!E316)</f>
        <v>｜準備工</v>
      </c>
      <c r="E319" s="37" t="str">
        <f>TRIM(データ!F316)</f>
        <v/>
      </c>
      <c r="F319" s="38" t="str">
        <f>TRIM(データ!G316)</f>
        <v>日</v>
      </c>
      <c r="G319" s="50">
        <f>データ!H316</f>
        <v>1</v>
      </c>
      <c r="H319" s="48">
        <f>データ!I316</f>
        <v>51000</v>
      </c>
      <c r="I319" s="48">
        <f>データ!J316</f>
        <v>51000</v>
      </c>
      <c r="J319" s="39">
        <f>IF(OR($C319="総括",$C319="内訳書",$C319="内訳代価",$C319="明細書",$C319="明細代価",$C319="代価表",$C319="単価表"),データ!K316,"")</f>
        <v>1</v>
      </c>
      <c r="K319" s="11" t="str">
        <f t="shared" si="24"/>
        <v/>
      </c>
      <c r="L319" s="46">
        <f t="shared" si="25"/>
        <v>2.7571487189800496E-3</v>
      </c>
      <c r="M319" s="40" t="str">
        <f>IF(データ!L316="","",データ!L316)</f>
        <v/>
      </c>
      <c r="N319" s="41" t="str">
        <f>IF(データ!M316="","",データ!M316)</f>
        <v>32号内訳書</v>
      </c>
      <c r="O319" s="42">
        <f>データ!N316</f>
        <v>0</v>
      </c>
      <c r="P319" s="48">
        <f>IF($C319="集計行","",データ!O316)</f>
        <v>0</v>
      </c>
      <c r="Q319" s="48">
        <f>データ!P316</f>
        <v>0</v>
      </c>
      <c r="R319" s="39">
        <f>IF(OR($C319="総括",$C319="内訳書",$C319="内訳代価",$C319="明細書",$C319="明細代価",$C319="代価表",$C319="単価表"),データ!Q316,"")</f>
        <v>0</v>
      </c>
      <c r="S319" s="11" t="str">
        <f t="shared" si="26"/>
        <v/>
      </c>
      <c r="T319" s="46" t="e">
        <f t="shared" si="27"/>
        <v>#DIV/0!</v>
      </c>
      <c r="U319" s="40" t="str">
        <f>IF(データ!R316="","",データ!R316)</f>
        <v/>
      </c>
      <c r="V319" s="41" t="str">
        <f>IF(データ!S316="","",データ!S316)</f>
        <v/>
      </c>
      <c r="W319" s="42">
        <f>データ!T316</f>
        <v>0</v>
      </c>
      <c r="X319" s="48">
        <f>IF($C319="集計行","",データ!U316)</f>
        <v>0</v>
      </c>
      <c r="Y319" s="48">
        <f>データ!V316</f>
        <v>0</v>
      </c>
      <c r="Z319" s="39">
        <f>IF(OR($C319="総括",$C319="内訳書",$C319="内訳代価",$C319="明細書",$C319="明細代価",$C319="代価表",$C319="単価表"),データ!W316,"")</f>
        <v>0</v>
      </c>
      <c r="AA319" s="11" t="str">
        <f t="shared" si="28"/>
        <v/>
      </c>
      <c r="AB319" s="46" t="e">
        <f t="shared" si="29"/>
        <v>#DIV/0!</v>
      </c>
      <c r="AC319" s="40" t="str">
        <f>IF(データ!X316="","",データ!X316)</f>
        <v/>
      </c>
      <c r="AD319" s="41" t="str">
        <f>IF(データ!Y316="","",データ!Y316)</f>
        <v/>
      </c>
      <c r="AE319" s="47" t="str">
        <f>TRIM(データ!B316)</f>
        <v/>
      </c>
      <c r="AF319" s="43" t="str">
        <f>TRIM(データ!Z316)</f>
        <v/>
      </c>
    </row>
    <row r="320" spans="1:32" x14ac:dyDescent="0.15">
      <c r="A320" s="47">
        <f>データ!A317</f>
        <v>2</v>
      </c>
      <c r="B320" s="47" t="str">
        <f>TRIM(データ!C317)</f>
        <v/>
      </c>
      <c r="C320" s="47" t="str">
        <f>TRIM(データ!D317)</f>
        <v>外注費</v>
      </c>
      <c r="D320" s="36" t="str">
        <f>REPT("｜",$A320)&amp;TRIM(データ!E317)</f>
        <v>｜｜交通誘導員</v>
      </c>
      <c r="E320" s="37" t="str">
        <f>TRIM(データ!F317)</f>
        <v/>
      </c>
      <c r="F320" s="38" t="str">
        <f>TRIM(データ!G317)</f>
        <v>人</v>
      </c>
      <c r="G320" s="50">
        <f>データ!H317</f>
        <v>2</v>
      </c>
      <c r="H320" s="48">
        <f>データ!I317</f>
        <v>18000</v>
      </c>
      <c r="I320" s="48">
        <f>データ!J317</f>
        <v>36000</v>
      </c>
      <c r="J320" s="39" t="str">
        <f>IF(OR($C320="総括",$C320="内訳書",$C320="内訳代価",$C320="明細書",$C320="明細代価",$C320="代価表",$C320="単価表"),データ!K317,"")</f>
        <v/>
      </c>
      <c r="K320" s="11" t="str">
        <f t="shared" si="24"/>
        <v/>
      </c>
      <c r="L320" s="46">
        <f t="shared" si="25"/>
        <v>1.9462226251623878E-3</v>
      </c>
      <c r="M320" s="40" t="str">
        <f>IF(データ!L317="","",データ!L317)</f>
        <v/>
      </c>
      <c r="N320" s="41" t="str">
        <f>IF(データ!M317="","",データ!M317)</f>
        <v/>
      </c>
      <c r="O320" s="42">
        <f>データ!N317</f>
        <v>0</v>
      </c>
      <c r="P320" s="48">
        <f>IF($C320="集計行","",データ!O317)</f>
        <v>0</v>
      </c>
      <c r="Q320" s="48">
        <f>データ!P317</f>
        <v>0</v>
      </c>
      <c r="R320" s="39" t="str">
        <f>IF(OR($C320="総括",$C320="内訳書",$C320="内訳代価",$C320="明細書",$C320="明細代価",$C320="代価表",$C320="単価表"),データ!Q317,"")</f>
        <v/>
      </c>
      <c r="S320" s="11" t="str">
        <f t="shared" si="26"/>
        <v/>
      </c>
      <c r="T320" s="46" t="e">
        <f t="shared" si="27"/>
        <v>#DIV/0!</v>
      </c>
      <c r="U320" s="40" t="str">
        <f>IF(データ!R317="","",データ!R317)</f>
        <v/>
      </c>
      <c r="V320" s="41" t="str">
        <f>IF(データ!S317="","",データ!S317)</f>
        <v/>
      </c>
      <c r="W320" s="42">
        <f>データ!T317</f>
        <v>0</v>
      </c>
      <c r="X320" s="48">
        <f>IF($C320="集計行","",データ!U317)</f>
        <v>0</v>
      </c>
      <c r="Y320" s="48">
        <f>データ!V317</f>
        <v>0</v>
      </c>
      <c r="Z320" s="39" t="str">
        <f>IF(OR($C320="総括",$C320="内訳書",$C320="内訳代価",$C320="明細書",$C320="明細代価",$C320="代価表",$C320="単価表"),データ!W317,"")</f>
        <v/>
      </c>
      <c r="AA320" s="11" t="str">
        <f t="shared" si="28"/>
        <v/>
      </c>
      <c r="AB320" s="46" t="e">
        <f t="shared" si="29"/>
        <v>#DIV/0!</v>
      </c>
      <c r="AC320" s="40" t="str">
        <f>IF(データ!X317="","",データ!X317)</f>
        <v/>
      </c>
      <c r="AD320" s="41" t="str">
        <f>IF(データ!Y317="","",データ!Y317)</f>
        <v/>
      </c>
      <c r="AE320" s="47" t="str">
        <f>TRIM(データ!B317)</f>
        <v/>
      </c>
      <c r="AF320" s="43" t="str">
        <f>TRIM(データ!Z317)</f>
        <v/>
      </c>
    </row>
    <row r="321" spans="1:32" x14ac:dyDescent="0.15">
      <c r="A321" s="47">
        <f>データ!A318</f>
        <v>2</v>
      </c>
      <c r="B321" s="47" t="str">
        <f>TRIM(データ!C318)</f>
        <v/>
      </c>
      <c r="C321" s="47" t="str">
        <f>TRIM(データ!D318)</f>
        <v>機械費</v>
      </c>
      <c r="D321" s="36" t="str">
        <f>REPT("｜",$A321)&amp;TRIM(データ!E318)</f>
        <v>｜｜軽トラ規制車　保安材1式</v>
      </c>
      <c r="E321" s="37" t="str">
        <f>TRIM(データ!F318)</f>
        <v/>
      </c>
      <c r="F321" s="38" t="str">
        <f>TRIM(データ!G318)</f>
        <v>台</v>
      </c>
      <c r="G321" s="50">
        <f>データ!H318</f>
        <v>1</v>
      </c>
      <c r="H321" s="48">
        <f>データ!I318</f>
        <v>15000</v>
      </c>
      <c r="I321" s="48">
        <f>データ!J318</f>
        <v>15000</v>
      </c>
      <c r="J321" s="39" t="str">
        <f>IF(OR($C321="総括",$C321="内訳書",$C321="内訳代価",$C321="明細書",$C321="明細代価",$C321="代価表",$C321="単価表"),データ!K318,"")</f>
        <v/>
      </c>
      <c r="K321" s="11" t="str">
        <f t="shared" si="24"/>
        <v/>
      </c>
      <c r="L321" s="46">
        <f t="shared" si="25"/>
        <v>8.1092609381766166E-4</v>
      </c>
      <c r="M321" s="40" t="str">
        <f>IF(データ!L318="","",データ!L318)</f>
        <v/>
      </c>
      <c r="N321" s="41" t="str">
        <f>IF(データ!M318="","",データ!M318)</f>
        <v/>
      </c>
      <c r="O321" s="42">
        <f>データ!N318</f>
        <v>0</v>
      </c>
      <c r="P321" s="48">
        <f>IF($C321="集計行","",データ!O318)</f>
        <v>0</v>
      </c>
      <c r="Q321" s="48">
        <f>データ!P318</f>
        <v>0</v>
      </c>
      <c r="R321" s="39" t="str">
        <f>IF(OR($C321="総括",$C321="内訳書",$C321="内訳代価",$C321="明細書",$C321="明細代価",$C321="代価表",$C321="単価表"),データ!Q318,"")</f>
        <v/>
      </c>
      <c r="S321" s="11" t="str">
        <f t="shared" si="26"/>
        <v/>
      </c>
      <c r="T321" s="46" t="e">
        <f t="shared" si="27"/>
        <v>#DIV/0!</v>
      </c>
      <c r="U321" s="40" t="str">
        <f>IF(データ!R318="","",データ!R318)</f>
        <v/>
      </c>
      <c r="V321" s="41" t="str">
        <f>IF(データ!S318="","",データ!S318)</f>
        <v/>
      </c>
      <c r="W321" s="42">
        <f>データ!T318</f>
        <v>0</v>
      </c>
      <c r="X321" s="48">
        <f>IF($C321="集計行","",データ!U318)</f>
        <v>0</v>
      </c>
      <c r="Y321" s="48">
        <f>データ!V318</f>
        <v>0</v>
      </c>
      <c r="Z321" s="39" t="str">
        <f>IF(OR($C321="総括",$C321="内訳書",$C321="内訳代価",$C321="明細書",$C321="明細代価",$C321="代価表",$C321="単価表"),データ!W318,"")</f>
        <v/>
      </c>
      <c r="AA321" s="11" t="str">
        <f t="shared" si="28"/>
        <v/>
      </c>
      <c r="AB321" s="46" t="e">
        <f t="shared" si="29"/>
        <v>#DIV/0!</v>
      </c>
      <c r="AC321" s="40" t="str">
        <f>IF(データ!X318="","",データ!X318)</f>
        <v/>
      </c>
      <c r="AD321" s="41" t="str">
        <f>IF(データ!Y318="","",データ!Y318)</f>
        <v/>
      </c>
      <c r="AE321" s="47" t="str">
        <f>TRIM(データ!B318)</f>
        <v/>
      </c>
      <c r="AF321" s="43" t="str">
        <f>TRIM(データ!Z318)</f>
        <v/>
      </c>
    </row>
    <row r="322" spans="1:32" x14ac:dyDescent="0.15">
      <c r="A322" s="47">
        <f>データ!A319</f>
        <v>1</v>
      </c>
      <c r="B322" s="47" t="str">
        <f>TRIM(データ!C319)</f>
        <v/>
      </c>
      <c r="C322" s="47" t="str">
        <f>TRIM(データ!D319)</f>
        <v>内訳書</v>
      </c>
      <c r="D322" s="36" t="str">
        <f>REPT("｜",$A322)&amp;TRIM(データ!E319)</f>
        <v>｜路肩舗装工　t=150 人力 2日</v>
      </c>
      <c r="E322" s="37" t="str">
        <f>TRIM(データ!F319)</f>
        <v/>
      </c>
      <c r="F322" s="38" t="str">
        <f>TRIM(データ!G319)</f>
        <v>m2</v>
      </c>
      <c r="G322" s="50">
        <f>データ!H319</f>
        <v>17</v>
      </c>
      <c r="H322" s="48">
        <f>データ!I319</f>
        <v>37000</v>
      </c>
      <c r="I322" s="48">
        <f>データ!J319</f>
        <v>629000</v>
      </c>
      <c r="J322" s="39">
        <f>IF(OR($C322="総括",$C322="内訳書",$C322="内訳代価",$C322="明細書",$C322="明細代価",$C322="代価表",$C322="単価表"),データ!K319,"")</f>
        <v>17</v>
      </c>
      <c r="K322" s="11" t="str">
        <f t="shared" si="24"/>
        <v/>
      </c>
      <c r="L322" s="46">
        <f t="shared" si="25"/>
        <v>3.4004834200753946E-2</v>
      </c>
      <c r="M322" s="40" t="str">
        <f>IF(データ!L319="","",データ!L319)</f>
        <v/>
      </c>
      <c r="N322" s="41" t="str">
        <f>IF(データ!M319="","",データ!M319)</f>
        <v>33号内訳書</v>
      </c>
      <c r="O322" s="42">
        <f>データ!N319</f>
        <v>0</v>
      </c>
      <c r="P322" s="48">
        <f>IF($C322="集計行","",データ!O319)</f>
        <v>0</v>
      </c>
      <c r="Q322" s="48">
        <f>データ!P319</f>
        <v>0</v>
      </c>
      <c r="R322" s="39">
        <f>IF(OR($C322="総括",$C322="内訳書",$C322="内訳代価",$C322="明細書",$C322="明細代価",$C322="代価表",$C322="単価表"),データ!Q319,"")</f>
        <v>0</v>
      </c>
      <c r="S322" s="11" t="str">
        <f t="shared" si="26"/>
        <v/>
      </c>
      <c r="T322" s="46" t="e">
        <f t="shared" si="27"/>
        <v>#DIV/0!</v>
      </c>
      <c r="U322" s="40" t="str">
        <f>IF(データ!R319="","",データ!R319)</f>
        <v/>
      </c>
      <c r="V322" s="41" t="str">
        <f>IF(データ!S319="","",データ!S319)</f>
        <v/>
      </c>
      <c r="W322" s="42">
        <f>データ!T319</f>
        <v>0</v>
      </c>
      <c r="X322" s="48">
        <f>IF($C322="集計行","",データ!U319)</f>
        <v>0</v>
      </c>
      <c r="Y322" s="48">
        <f>データ!V319</f>
        <v>0</v>
      </c>
      <c r="Z322" s="39">
        <f>IF(OR($C322="総括",$C322="内訳書",$C322="内訳代価",$C322="明細書",$C322="明細代価",$C322="代価表",$C322="単価表"),データ!W319,"")</f>
        <v>0</v>
      </c>
      <c r="AA322" s="11" t="str">
        <f t="shared" si="28"/>
        <v/>
      </c>
      <c r="AB322" s="46" t="e">
        <f t="shared" si="29"/>
        <v>#DIV/0!</v>
      </c>
      <c r="AC322" s="40" t="str">
        <f>IF(データ!X319="","",データ!X319)</f>
        <v/>
      </c>
      <c r="AD322" s="41" t="str">
        <f>IF(データ!Y319="","",データ!Y319)</f>
        <v/>
      </c>
      <c r="AE322" s="47" t="str">
        <f>TRIM(データ!B319)</f>
        <v/>
      </c>
      <c r="AF322" s="43" t="str">
        <f>TRIM(データ!Z319)</f>
        <v/>
      </c>
    </row>
    <row r="323" spans="1:32" x14ac:dyDescent="0.15">
      <c r="A323" s="47">
        <f>データ!A320</f>
        <v>2</v>
      </c>
      <c r="B323" s="47" t="str">
        <f>TRIM(データ!C320)</f>
        <v/>
      </c>
      <c r="C323" s="47" t="str">
        <f>TRIM(データ!D320)</f>
        <v>材料費</v>
      </c>
      <c r="D323" s="36" t="str">
        <f>REPT("｜",$A323)&amp;TRIM(データ!E320)</f>
        <v>｜｜再生砕石RC-40</v>
      </c>
      <c r="E323" s="37" t="str">
        <f>TRIM(データ!F320)</f>
        <v/>
      </c>
      <c r="F323" s="38" t="str">
        <f>TRIM(データ!G320)</f>
        <v>m3</v>
      </c>
      <c r="G323" s="50">
        <f>データ!H320</f>
        <v>3</v>
      </c>
      <c r="H323" s="48">
        <f>データ!I320</f>
        <v>2000</v>
      </c>
      <c r="I323" s="48">
        <f>データ!J320</f>
        <v>6000</v>
      </c>
      <c r="J323" s="39" t="str">
        <f>IF(OR($C323="総括",$C323="内訳書",$C323="内訳代価",$C323="明細書",$C323="明細代価",$C323="代価表",$C323="単価表"),データ!K320,"")</f>
        <v/>
      </c>
      <c r="K323" s="11" t="str">
        <f t="shared" si="24"/>
        <v/>
      </c>
      <c r="L323" s="46">
        <f t="shared" si="25"/>
        <v>3.2437043752706464E-4</v>
      </c>
      <c r="M323" s="40" t="str">
        <f>IF(データ!L320="","",データ!L320)</f>
        <v/>
      </c>
      <c r="N323" s="41" t="str">
        <f>IF(データ!M320="","",データ!M320)</f>
        <v/>
      </c>
      <c r="O323" s="42">
        <f>データ!N320</f>
        <v>0</v>
      </c>
      <c r="P323" s="48">
        <f>IF($C323="集計行","",データ!O320)</f>
        <v>0</v>
      </c>
      <c r="Q323" s="48">
        <f>データ!P320</f>
        <v>0</v>
      </c>
      <c r="R323" s="39" t="str">
        <f>IF(OR($C323="総括",$C323="内訳書",$C323="内訳代価",$C323="明細書",$C323="明細代価",$C323="代価表",$C323="単価表"),データ!Q320,"")</f>
        <v/>
      </c>
      <c r="S323" s="11" t="str">
        <f t="shared" si="26"/>
        <v/>
      </c>
      <c r="T323" s="46" t="e">
        <f t="shared" si="27"/>
        <v>#DIV/0!</v>
      </c>
      <c r="U323" s="40" t="str">
        <f>IF(データ!R320="","",データ!R320)</f>
        <v/>
      </c>
      <c r="V323" s="41" t="str">
        <f>IF(データ!S320="","",データ!S320)</f>
        <v/>
      </c>
      <c r="W323" s="42">
        <f>データ!T320</f>
        <v>0</v>
      </c>
      <c r="X323" s="48">
        <f>IF($C323="集計行","",データ!U320)</f>
        <v>0</v>
      </c>
      <c r="Y323" s="48">
        <f>データ!V320</f>
        <v>0</v>
      </c>
      <c r="Z323" s="39" t="str">
        <f>IF(OR($C323="総括",$C323="内訳書",$C323="内訳代価",$C323="明細書",$C323="明細代価",$C323="代価表",$C323="単価表"),データ!W320,"")</f>
        <v/>
      </c>
      <c r="AA323" s="11" t="str">
        <f t="shared" si="28"/>
        <v/>
      </c>
      <c r="AB323" s="46" t="e">
        <f t="shared" si="29"/>
        <v>#DIV/0!</v>
      </c>
      <c r="AC323" s="40" t="str">
        <f>IF(データ!X320="","",データ!X320)</f>
        <v/>
      </c>
      <c r="AD323" s="41" t="str">
        <f>IF(データ!Y320="","",データ!Y320)</f>
        <v/>
      </c>
      <c r="AE323" s="47" t="str">
        <f>TRIM(データ!B320)</f>
        <v/>
      </c>
      <c r="AF323" s="43" t="str">
        <f>TRIM(データ!Z320)</f>
        <v/>
      </c>
    </row>
    <row r="324" spans="1:32" x14ac:dyDescent="0.15">
      <c r="A324" s="47">
        <f>データ!A321</f>
        <v>2</v>
      </c>
      <c r="B324" s="47" t="str">
        <f>TRIM(データ!C321)</f>
        <v/>
      </c>
      <c r="C324" s="47" t="str">
        <f>TRIM(データ!D321)</f>
        <v>材料費</v>
      </c>
      <c r="D324" s="36" t="str">
        <f>REPT("｜",$A324)&amp;TRIM(データ!E321)</f>
        <v>｜｜開立度アスコン(13)</v>
      </c>
      <c r="E324" s="37" t="str">
        <f>TRIM(データ!F321)</f>
        <v/>
      </c>
      <c r="F324" s="38" t="str">
        <f>TRIM(データ!G321)</f>
        <v>ｔ</v>
      </c>
      <c r="G324" s="50">
        <f>データ!H321</f>
        <v>3</v>
      </c>
      <c r="H324" s="48">
        <f>データ!I321</f>
        <v>11500</v>
      </c>
      <c r="I324" s="48">
        <f>データ!J321</f>
        <v>34500</v>
      </c>
      <c r="J324" s="39" t="str">
        <f>IF(OR($C324="総括",$C324="内訳書",$C324="内訳代価",$C324="明細書",$C324="明細代価",$C324="代価表",$C324="単価表"),データ!K321,"")</f>
        <v/>
      </c>
      <c r="K324" s="11" t="str">
        <f t="shared" si="24"/>
        <v/>
      </c>
      <c r="L324" s="46">
        <f t="shared" si="25"/>
        <v>1.8651300157806218E-3</v>
      </c>
      <c r="M324" s="40" t="str">
        <f>IF(データ!L321="","",データ!L321)</f>
        <v/>
      </c>
      <c r="N324" s="41" t="str">
        <f>IF(データ!M321="","",データ!M321)</f>
        <v/>
      </c>
      <c r="O324" s="42">
        <f>データ!N321</f>
        <v>0</v>
      </c>
      <c r="P324" s="48">
        <f>IF($C324="集計行","",データ!O321)</f>
        <v>0</v>
      </c>
      <c r="Q324" s="48">
        <f>データ!P321</f>
        <v>0</v>
      </c>
      <c r="R324" s="39" t="str">
        <f>IF(OR($C324="総括",$C324="内訳書",$C324="内訳代価",$C324="明細書",$C324="明細代価",$C324="代価表",$C324="単価表"),データ!Q321,"")</f>
        <v/>
      </c>
      <c r="S324" s="11" t="str">
        <f t="shared" si="26"/>
        <v/>
      </c>
      <c r="T324" s="46" t="e">
        <f t="shared" si="27"/>
        <v>#DIV/0!</v>
      </c>
      <c r="U324" s="40" t="str">
        <f>IF(データ!R321="","",データ!R321)</f>
        <v/>
      </c>
      <c r="V324" s="41" t="str">
        <f>IF(データ!S321="","",データ!S321)</f>
        <v/>
      </c>
      <c r="W324" s="42">
        <f>データ!T321</f>
        <v>0</v>
      </c>
      <c r="X324" s="48">
        <f>IF($C324="集計行","",データ!U321)</f>
        <v>0</v>
      </c>
      <c r="Y324" s="48">
        <f>データ!V321</f>
        <v>0</v>
      </c>
      <c r="Z324" s="39" t="str">
        <f>IF(OR($C324="総括",$C324="内訳書",$C324="内訳代価",$C324="明細書",$C324="明細代価",$C324="代価表",$C324="単価表"),データ!W321,"")</f>
        <v/>
      </c>
      <c r="AA324" s="11" t="str">
        <f t="shared" si="28"/>
        <v/>
      </c>
      <c r="AB324" s="46" t="e">
        <f t="shared" si="29"/>
        <v>#DIV/0!</v>
      </c>
      <c r="AC324" s="40" t="str">
        <f>IF(データ!X321="","",データ!X321)</f>
        <v/>
      </c>
      <c r="AD324" s="41" t="str">
        <f>IF(データ!Y321="","",データ!Y321)</f>
        <v/>
      </c>
      <c r="AE324" s="47" t="str">
        <f>TRIM(データ!B321)</f>
        <v/>
      </c>
      <c r="AF324" s="43" t="str">
        <f>TRIM(データ!Z321)</f>
        <v/>
      </c>
    </row>
    <row r="325" spans="1:32" x14ac:dyDescent="0.15">
      <c r="A325" s="47">
        <f>データ!A322</f>
        <v>2</v>
      </c>
      <c r="B325" s="47" t="str">
        <f>TRIM(データ!C322)</f>
        <v/>
      </c>
      <c r="C325" s="47" t="str">
        <f>TRIM(データ!D322)</f>
        <v>材料費</v>
      </c>
      <c r="D325" s="36" t="str">
        <f>REPT("｜",$A325)&amp;TRIM(データ!E322)</f>
        <v>｜｜軽油</v>
      </c>
      <c r="E325" s="37" t="str">
        <f>TRIM(データ!F322)</f>
        <v/>
      </c>
      <c r="F325" s="38" t="str">
        <f>TRIM(データ!G322)</f>
        <v>リットル</v>
      </c>
      <c r="G325" s="50">
        <f>データ!H322</f>
        <v>80</v>
      </c>
      <c r="H325" s="48">
        <f>データ!I322</f>
        <v>160</v>
      </c>
      <c r="I325" s="48">
        <f>データ!J322</f>
        <v>12800</v>
      </c>
      <c r="J325" s="39" t="str">
        <f>IF(OR($C325="総括",$C325="内訳書",$C325="内訳代価",$C325="明細書",$C325="明細代価",$C325="代価表",$C325="単価表"),データ!K322,"")</f>
        <v/>
      </c>
      <c r="K325" s="11" t="str">
        <f t="shared" ref="K325:K388" si="30">IF(OR(J325="",G325=J325),"","*")</f>
        <v/>
      </c>
      <c r="L325" s="46">
        <f t="shared" ref="L325:L388" si="31">IF($A325&lt;=L$1,I325/I$4,"")</f>
        <v>6.9199026672440457E-4</v>
      </c>
      <c r="M325" s="40" t="str">
        <f>IF(データ!L322="","",データ!L322)</f>
        <v/>
      </c>
      <c r="N325" s="41" t="str">
        <f>IF(データ!M322="","",データ!M322)</f>
        <v/>
      </c>
      <c r="O325" s="42">
        <f>データ!N322</f>
        <v>0</v>
      </c>
      <c r="P325" s="48">
        <f>IF($C325="集計行","",データ!O322)</f>
        <v>0</v>
      </c>
      <c r="Q325" s="48">
        <f>データ!P322</f>
        <v>0</v>
      </c>
      <c r="R325" s="39" t="str">
        <f>IF(OR($C325="総括",$C325="内訳書",$C325="内訳代価",$C325="明細書",$C325="明細代価",$C325="代価表",$C325="単価表"),データ!Q322,"")</f>
        <v/>
      </c>
      <c r="S325" s="11" t="str">
        <f t="shared" ref="S325:S388" si="32">IF(OR(R325="",O325=R325),"","*")</f>
        <v/>
      </c>
      <c r="T325" s="46" t="e">
        <f t="shared" ref="T325:T388" si="33">IF($A325&lt;=T$1,Q325/Q$4,"")</f>
        <v>#DIV/0!</v>
      </c>
      <c r="U325" s="40" t="str">
        <f>IF(データ!R322="","",データ!R322)</f>
        <v/>
      </c>
      <c r="V325" s="41" t="str">
        <f>IF(データ!S322="","",データ!S322)</f>
        <v/>
      </c>
      <c r="W325" s="42">
        <f>データ!T322</f>
        <v>0</v>
      </c>
      <c r="X325" s="48">
        <f>IF($C325="集計行","",データ!U322)</f>
        <v>0</v>
      </c>
      <c r="Y325" s="48">
        <f>データ!V322</f>
        <v>0</v>
      </c>
      <c r="Z325" s="39" t="str">
        <f>IF(OR($C325="総括",$C325="内訳書",$C325="内訳代価",$C325="明細書",$C325="明細代価",$C325="代価表",$C325="単価表"),データ!W322,"")</f>
        <v/>
      </c>
      <c r="AA325" s="11" t="str">
        <f t="shared" ref="AA325:AA388" si="34">IF(OR(Z325="",W325=Z325),"","*")</f>
        <v/>
      </c>
      <c r="AB325" s="46" t="e">
        <f t="shared" ref="AB325:AB388" si="35">IF($A325&lt;=AB$1,Y325/Y$4,"")</f>
        <v>#DIV/0!</v>
      </c>
      <c r="AC325" s="40" t="str">
        <f>IF(データ!X322="","",データ!X322)</f>
        <v/>
      </c>
      <c r="AD325" s="41" t="str">
        <f>IF(データ!Y322="","",データ!Y322)</f>
        <v/>
      </c>
      <c r="AE325" s="47" t="str">
        <f>TRIM(データ!B322)</f>
        <v/>
      </c>
      <c r="AF325" s="43" t="str">
        <f>TRIM(データ!Z322)</f>
        <v/>
      </c>
    </row>
    <row r="326" spans="1:32" x14ac:dyDescent="0.15">
      <c r="A326" s="47">
        <f>データ!A323</f>
        <v>2</v>
      </c>
      <c r="B326" s="47" t="str">
        <f>TRIM(データ!C323)</f>
        <v/>
      </c>
      <c r="C326" s="47" t="str">
        <f>TRIM(データ!D323)</f>
        <v>材料費</v>
      </c>
      <c r="D326" s="36" t="str">
        <f>REPT("｜",$A326)&amp;TRIM(データ!E323)</f>
        <v>｜｜ガソリン</v>
      </c>
      <c r="E326" s="37" t="str">
        <f>TRIM(データ!F323)</f>
        <v/>
      </c>
      <c r="F326" s="38" t="str">
        <f>TRIM(データ!G323)</f>
        <v>リットル</v>
      </c>
      <c r="G326" s="50">
        <f>データ!H323</f>
        <v>20</v>
      </c>
      <c r="H326" s="48">
        <f>データ!I323</f>
        <v>180</v>
      </c>
      <c r="I326" s="48">
        <f>データ!J323</f>
        <v>3600</v>
      </c>
      <c r="J326" s="39" t="str">
        <f>IF(OR($C326="総括",$C326="内訳書",$C326="内訳代価",$C326="明細書",$C326="明細代価",$C326="代価表",$C326="単価表"),データ!K323,"")</f>
        <v/>
      </c>
      <c r="K326" s="11" t="str">
        <f t="shared" si="30"/>
        <v/>
      </c>
      <c r="L326" s="46">
        <f t="shared" si="31"/>
        <v>1.9462226251623879E-4</v>
      </c>
      <c r="M326" s="40" t="str">
        <f>IF(データ!L323="","",データ!L323)</f>
        <v/>
      </c>
      <c r="N326" s="41" t="str">
        <f>IF(データ!M323="","",データ!M323)</f>
        <v/>
      </c>
      <c r="O326" s="42">
        <f>データ!N323</f>
        <v>0</v>
      </c>
      <c r="P326" s="48">
        <f>IF($C326="集計行","",データ!O323)</f>
        <v>0</v>
      </c>
      <c r="Q326" s="48">
        <f>データ!P323</f>
        <v>0</v>
      </c>
      <c r="R326" s="39" t="str">
        <f>IF(OR($C326="総括",$C326="内訳書",$C326="内訳代価",$C326="明細書",$C326="明細代価",$C326="代価表",$C326="単価表"),データ!Q323,"")</f>
        <v/>
      </c>
      <c r="S326" s="11" t="str">
        <f t="shared" si="32"/>
        <v/>
      </c>
      <c r="T326" s="46" t="e">
        <f t="shared" si="33"/>
        <v>#DIV/0!</v>
      </c>
      <c r="U326" s="40" t="str">
        <f>IF(データ!R323="","",データ!R323)</f>
        <v/>
      </c>
      <c r="V326" s="41" t="str">
        <f>IF(データ!S323="","",データ!S323)</f>
        <v/>
      </c>
      <c r="W326" s="42">
        <f>データ!T323</f>
        <v>0</v>
      </c>
      <c r="X326" s="48">
        <f>IF($C326="集計行","",データ!U323)</f>
        <v>0</v>
      </c>
      <c r="Y326" s="48">
        <f>データ!V323</f>
        <v>0</v>
      </c>
      <c r="Z326" s="39" t="str">
        <f>IF(OR($C326="総括",$C326="内訳書",$C326="内訳代価",$C326="明細書",$C326="明細代価",$C326="代価表",$C326="単価表"),データ!W323,"")</f>
        <v/>
      </c>
      <c r="AA326" s="11" t="str">
        <f t="shared" si="34"/>
        <v/>
      </c>
      <c r="AB326" s="46" t="e">
        <f t="shared" si="35"/>
        <v>#DIV/0!</v>
      </c>
      <c r="AC326" s="40" t="str">
        <f>IF(データ!X323="","",データ!X323)</f>
        <v/>
      </c>
      <c r="AD326" s="41" t="str">
        <f>IF(データ!Y323="","",データ!Y323)</f>
        <v/>
      </c>
      <c r="AE326" s="47" t="str">
        <f>TRIM(データ!B323)</f>
        <v/>
      </c>
      <c r="AF326" s="43" t="str">
        <f>TRIM(データ!Z323)</f>
        <v/>
      </c>
    </row>
    <row r="327" spans="1:32" x14ac:dyDescent="0.15">
      <c r="A327" s="47">
        <f>データ!A324</f>
        <v>2</v>
      </c>
      <c r="B327" s="47" t="str">
        <f>TRIM(データ!C324)</f>
        <v/>
      </c>
      <c r="C327" s="47" t="str">
        <f>TRIM(データ!D324)</f>
        <v>材料費</v>
      </c>
      <c r="D327" s="36" t="str">
        <f>REPT("｜",$A327)&amp;TRIM(データ!E324)</f>
        <v>｜｜養生材</v>
      </c>
      <c r="E327" s="37" t="str">
        <f>TRIM(データ!F324)</f>
        <v/>
      </c>
      <c r="F327" s="38" t="str">
        <f>TRIM(データ!G324)</f>
        <v>式</v>
      </c>
      <c r="G327" s="50">
        <f>データ!H324</f>
        <v>1</v>
      </c>
      <c r="H327" s="48">
        <f>データ!I324</f>
        <v>3100</v>
      </c>
      <c r="I327" s="48">
        <f>データ!J324</f>
        <v>3100</v>
      </c>
      <c r="J327" s="39" t="str">
        <f>IF(OR($C327="総括",$C327="内訳書",$C327="内訳代価",$C327="明細書",$C327="明細代価",$C327="代価表",$C327="単価表"),データ!K324,"")</f>
        <v/>
      </c>
      <c r="K327" s="11" t="str">
        <f t="shared" si="30"/>
        <v/>
      </c>
      <c r="L327" s="46">
        <f t="shared" si="31"/>
        <v>1.6759139272231675E-4</v>
      </c>
      <c r="M327" s="40" t="str">
        <f>IF(データ!L324="","",データ!L324)</f>
        <v/>
      </c>
      <c r="N327" s="41" t="str">
        <f>IF(データ!M324="","",データ!M324)</f>
        <v/>
      </c>
      <c r="O327" s="42">
        <f>データ!N324</f>
        <v>0</v>
      </c>
      <c r="P327" s="48">
        <f>IF($C327="集計行","",データ!O324)</f>
        <v>0</v>
      </c>
      <c r="Q327" s="48">
        <f>データ!P324</f>
        <v>0</v>
      </c>
      <c r="R327" s="39" t="str">
        <f>IF(OR($C327="総括",$C327="内訳書",$C327="内訳代価",$C327="明細書",$C327="明細代価",$C327="代価表",$C327="単価表"),データ!Q324,"")</f>
        <v/>
      </c>
      <c r="S327" s="11" t="str">
        <f t="shared" si="32"/>
        <v/>
      </c>
      <c r="T327" s="46" t="e">
        <f t="shared" si="33"/>
        <v>#DIV/0!</v>
      </c>
      <c r="U327" s="40" t="str">
        <f>IF(データ!R324="","",データ!R324)</f>
        <v/>
      </c>
      <c r="V327" s="41" t="str">
        <f>IF(データ!S324="","",データ!S324)</f>
        <v/>
      </c>
      <c r="W327" s="42">
        <f>データ!T324</f>
        <v>0</v>
      </c>
      <c r="X327" s="48">
        <f>IF($C327="集計行","",データ!U324)</f>
        <v>0</v>
      </c>
      <c r="Y327" s="48">
        <f>データ!V324</f>
        <v>0</v>
      </c>
      <c r="Z327" s="39" t="str">
        <f>IF(OR($C327="総括",$C327="内訳書",$C327="内訳代価",$C327="明細書",$C327="明細代価",$C327="代価表",$C327="単価表"),データ!W324,"")</f>
        <v/>
      </c>
      <c r="AA327" s="11" t="str">
        <f t="shared" si="34"/>
        <v/>
      </c>
      <c r="AB327" s="46" t="e">
        <f t="shared" si="35"/>
        <v>#DIV/0!</v>
      </c>
      <c r="AC327" s="40" t="str">
        <f>IF(データ!X324="","",データ!X324)</f>
        <v/>
      </c>
      <c r="AD327" s="41" t="str">
        <f>IF(データ!Y324="","",データ!Y324)</f>
        <v/>
      </c>
      <c r="AE327" s="47" t="str">
        <f>TRIM(データ!B324)</f>
        <v/>
      </c>
      <c r="AF327" s="43" t="str">
        <f>TRIM(データ!Z324)</f>
        <v/>
      </c>
    </row>
    <row r="328" spans="1:32" x14ac:dyDescent="0.15">
      <c r="A328" s="47">
        <f>データ!A325</f>
        <v>2</v>
      </c>
      <c r="B328" s="47" t="str">
        <f>TRIM(データ!C325)</f>
        <v/>
      </c>
      <c r="C328" s="47" t="str">
        <f>TRIM(データ!D325)</f>
        <v>労務費</v>
      </c>
      <c r="D328" s="36" t="str">
        <f>REPT("｜",$A328)&amp;TRIM(データ!E325)</f>
        <v>｜｜土工</v>
      </c>
      <c r="E328" s="37" t="str">
        <f>TRIM(データ!F325)</f>
        <v/>
      </c>
      <c r="F328" s="38" t="str">
        <f>TRIM(データ!G325)</f>
        <v>人</v>
      </c>
      <c r="G328" s="50">
        <f>データ!H325</f>
        <v>10</v>
      </c>
      <c r="H328" s="48">
        <f>データ!I325</f>
        <v>25000</v>
      </c>
      <c r="I328" s="48">
        <f>データ!J325</f>
        <v>250000</v>
      </c>
      <c r="J328" s="39" t="str">
        <f>IF(OR($C328="総括",$C328="内訳書",$C328="内訳代価",$C328="明細書",$C328="明細代価",$C328="代価表",$C328="単価表"),データ!K325,"")</f>
        <v/>
      </c>
      <c r="K328" s="11" t="str">
        <f t="shared" si="30"/>
        <v/>
      </c>
      <c r="L328" s="46">
        <f t="shared" si="31"/>
        <v>1.3515434896961028E-2</v>
      </c>
      <c r="M328" s="40" t="str">
        <f>IF(データ!L325="","",データ!L325)</f>
        <v/>
      </c>
      <c r="N328" s="41" t="str">
        <f>IF(データ!M325="","",データ!M325)</f>
        <v/>
      </c>
      <c r="O328" s="42">
        <f>データ!N325</f>
        <v>0</v>
      </c>
      <c r="P328" s="48">
        <f>IF($C328="集計行","",データ!O325)</f>
        <v>0</v>
      </c>
      <c r="Q328" s="48">
        <f>データ!P325</f>
        <v>0</v>
      </c>
      <c r="R328" s="39" t="str">
        <f>IF(OR($C328="総括",$C328="内訳書",$C328="内訳代価",$C328="明細書",$C328="明細代価",$C328="代価表",$C328="単価表"),データ!Q325,"")</f>
        <v/>
      </c>
      <c r="S328" s="11" t="str">
        <f t="shared" si="32"/>
        <v/>
      </c>
      <c r="T328" s="46" t="e">
        <f t="shared" si="33"/>
        <v>#DIV/0!</v>
      </c>
      <c r="U328" s="40" t="str">
        <f>IF(データ!R325="","",データ!R325)</f>
        <v/>
      </c>
      <c r="V328" s="41" t="str">
        <f>IF(データ!S325="","",データ!S325)</f>
        <v/>
      </c>
      <c r="W328" s="42">
        <f>データ!T325</f>
        <v>0</v>
      </c>
      <c r="X328" s="48">
        <f>IF($C328="集計行","",データ!U325)</f>
        <v>0</v>
      </c>
      <c r="Y328" s="48">
        <f>データ!V325</f>
        <v>0</v>
      </c>
      <c r="Z328" s="39" t="str">
        <f>IF(OR($C328="総括",$C328="内訳書",$C328="内訳代価",$C328="明細書",$C328="明細代価",$C328="代価表",$C328="単価表"),データ!W325,"")</f>
        <v/>
      </c>
      <c r="AA328" s="11" t="str">
        <f t="shared" si="34"/>
        <v/>
      </c>
      <c r="AB328" s="46" t="e">
        <f t="shared" si="35"/>
        <v>#DIV/0!</v>
      </c>
      <c r="AC328" s="40" t="str">
        <f>IF(データ!X325="","",データ!X325)</f>
        <v/>
      </c>
      <c r="AD328" s="41" t="str">
        <f>IF(データ!Y325="","",データ!Y325)</f>
        <v/>
      </c>
      <c r="AE328" s="47" t="str">
        <f>TRIM(データ!B325)</f>
        <v/>
      </c>
      <c r="AF328" s="43" t="str">
        <f>TRIM(データ!Z325)</f>
        <v/>
      </c>
    </row>
    <row r="329" spans="1:32" x14ac:dyDescent="0.15">
      <c r="A329" s="47">
        <f>データ!A326</f>
        <v>2</v>
      </c>
      <c r="B329" s="47" t="str">
        <f>TRIM(データ!C326)</f>
        <v/>
      </c>
      <c r="C329" s="47" t="str">
        <f>TRIM(データ!D326)</f>
        <v>機械費</v>
      </c>
      <c r="D329" s="36" t="str">
        <f>REPT("｜",$A329)&amp;TRIM(データ!E326)</f>
        <v>｜｜ミニバックホウ</v>
      </c>
      <c r="E329" s="37" t="str">
        <f>TRIM(データ!F326)</f>
        <v/>
      </c>
      <c r="F329" s="38" t="str">
        <f>TRIM(データ!G326)</f>
        <v>式</v>
      </c>
      <c r="G329" s="50">
        <f>データ!H326</f>
        <v>2</v>
      </c>
      <c r="H329" s="48">
        <f>データ!I326</f>
        <v>8000</v>
      </c>
      <c r="I329" s="48">
        <f>データ!J326</f>
        <v>16000</v>
      </c>
      <c r="J329" s="39" t="str">
        <f>IF(OR($C329="総括",$C329="内訳書",$C329="内訳代価",$C329="明細書",$C329="明細代価",$C329="代価表",$C329="単価表"),データ!K326,"")</f>
        <v/>
      </c>
      <c r="K329" s="11" t="str">
        <f t="shared" si="30"/>
        <v/>
      </c>
      <c r="L329" s="46">
        <f t="shared" si="31"/>
        <v>8.6498783340550574E-4</v>
      </c>
      <c r="M329" s="40" t="str">
        <f>IF(データ!L326="","",データ!L326)</f>
        <v/>
      </c>
      <c r="N329" s="41" t="str">
        <f>IF(データ!M326="","",データ!M326)</f>
        <v/>
      </c>
      <c r="O329" s="42">
        <f>データ!N326</f>
        <v>0</v>
      </c>
      <c r="P329" s="48">
        <f>IF($C329="集計行","",データ!O326)</f>
        <v>0</v>
      </c>
      <c r="Q329" s="48">
        <f>データ!P326</f>
        <v>0</v>
      </c>
      <c r="R329" s="39" t="str">
        <f>IF(OR($C329="総括",$C329="内訳書",$C329="内訳代価",$C329="明細書",$C329="明細代価",$C329="代価表",$C329="単価表"),データ!Q326,"")</f>
        <v/>
      </c>
      <c r="S329" s="11" t="str">
        <f t="shared" si="32"/>
        <v/>
      </c>
      <c r="T329" s="46" t="e">
        <f t="shared" si="33"/>
        <v>#DIV/0!</v>
      </c>
      <c r="U329" s="40" t="str">
        <f>IF(データ!R326="","",データ!R326)</f>
        <v/>
      </c>
      <c r="V329" s="41" t="str">
        <f>IF(データ!S326="","",データ!S326)</f>
        <v/>
      </c>
      <c r="W329" s="42">
        <f>データ!T326</f>
        <v>0</v>
      </c>
      <c r="X329" s="48">
        <f>IF($C329="集計行","",データ!U326)</f>
        <v>0</v>
      </c>
      <c r="Y329" s="48">
        <f>データ!V326</f>
        <v>0</v>
      </c>
      <c r="Z329" s="39" t="str">
        <f>IF(OR($C329="総括",$C329="内訳書",$C329="内訳代価",$C329="明細書",$C329="明細代価",$C329="代価表",$C329="単価表"),データ!W326,"")</f>
        <v/>
      </c>
      <c r="AA329" s="11" t="str">
        <f t="shared" si="34"/>
        <v/>
      </c>
      <c r="AB329" s="46" t="e">
        <f t="shared" si="35"/>
        <v>#DIV/0!</v>
      </c>
      <c r="AC329" s="40" t="str">
        <f>IF(データ!X326="","",データ!X326)</f>
        <v/>
      </c>
      <c r="AD329" s="41" t="str">
        <f>IF(データ!Y326="","",データ!Y326)</f>
        <v/>
      </c>
      <c r="AE329" s="47" t="str">
        <f>TRIM(データ!B326)</f>
        <v/>
      </c>
      <c r="AF329" s="43" t="str">
        <f>TRIM(データ!Z326)</f>
        <v/>
      </c>
    </row>
    <row r="330" spans="1:32" x14ac:dyDescent="0.15">
      <c r="A330" s="47">
        <f>データ!A327</f>
        <v>2</v>
      </c>
      <c r="B330" s="47" t="str">
        <f>TRIM(データ!C327)</f>
        <v/>
      </c>
      <c r="C330" s="47" t="str">
        <f>TRIM(データ!D327)</f>
        <v>機械費</v>
      </c>
      <c r="D330" s="36" t="str">
        <f>REPT("｜",$A330)&amp;TRIM(データ!E327)</f>
        <v>｜｜パートナーカッター</v>
      </c>
      <c r="E330" s="37" t="str">
        <f>TRIM(データ!F327)</f>
        <v/>
      </c>
      <c r="F330" s="38" t="str">
        <f>TRIM(データ!G327)</f>
        <v>台</v>
      </c>
      <c r="G330" s="50">
        <f>データ!H327</f>
        <v>1</v>
      </c>
      <c r="H330" s="48">
        <f>データ!I327</f>
        <v>5000</v>
      </c>
      <c r="I330" s="48">
        <f>データ!J327</f>
        <v>5000</v>
      </c>
      <c r="J330" s="39" t="str">
        <f>IF(OR($C330="総括",$C330="内訳書",$C330="内訳代価",$C330="明細書",$C330="明細代価",$C330="代価表",$C330="単価表"),データ!K327,"")</f>
        <v/>
      </c>
      <c r="K330" s="11" t="str">
        <f t="shared" si="30"/>
        <v/>
      </c>
      <c r="L330" s="46">
        <f t="shared" si="31"/>
        <v>2.7030869793922055E-4</v>
      </c>
      <c r="M330" s="40" t="str">
        <f>IF(データ!L327="","",データ!L327)</f>
        <v/>
      </c>
      <c r="N330" s="41" t="str">
        <f>IF(データ!M327="","",データ!M327)</f>
        <v/>
      </c>
      <c r="O330" s="42">
        <f>データ!N327</f>
        <v>0</v>
      </c>
      <c r="P330" s="48">
        <f>IF($C330="集計行","",データ!O327)</f>
        <v>0</v>
      </c>
      <c r="Q330" s="48">
        <f>データ!P327</f>
        <v>0</v>
      </c>
      <c r="R330" s="39" t="str">
        <f>IF(OR($C330="総括",$C330="内訳書",$C330="内訳代価",$C330="明細書",$C330="明細代価",$C330="代価表",$C330="単価表"),データ!Q327,"")</f>
        <v/>
      </c>
      <c r="S330" s="11" t="str">
        <f t="shared" si="32"/>
        <v/>
      </c>
      <c r="T330" s="46" t="e">
        <f t="shared" si="33"/>
        <v>#DIV/0!</v>
      </c>
      <c r="U330" s="40" t="str">
        <f>IF(データ!R327="","",データ!R327)</f>
        <v/>
      </c>
      <c r="V330" s="41" t="str">
        <f>IF(データ!S327="","",データ!S327)</f>
        <v/>
      </c>
      <c r="W330" s="42">
        <f>データ!T327</f>
        <v>0</v>
      </c>
      <c r="X330" s="48">
        <f>IF($C330="集計行","",データ!U327)</f>
        <v>0</v>
      </c>
      <c r="Y330" s="48">
        <f>データ!V327</f>
        <v>0</v>
      </c>
      <c r="Z330" s="39" t="str">
        <f>IF(OR($C330="総括",$C330="内訳書",$C330="内訳代価",$C330="明細書",$C330="明細代価",$C330="代価表",$C330="単価表"),データ!W327,"")</f>
        <v/>
      </c>
      <c r="AA330" s="11" t="str">
        <f t="shared" si="34"/>
        <v/>
      </c>
      <c r="AB330" s="46" t="e">
        <f t="shared" si="35"/>
        <v>#DIV/0!</v>
      </c>
      <c r="AC330" s="40" t="str">
        <f>IF(データ!X327="","",データ!X327)</f>
        <v/>
      </c>
      <c r="AD330" s="41" t="str">
        <f>IF(データ!Y327="","",データ!Y327)</f>
        <v/>
      </c>
      <c r="AE330" s="47" t="str">
        <f>TRIM(データ!B327)</f>
        <v/>
      </c>
      <c r="AF330" s="43" t="str">
        <f>TRIM(データ!Z327)</f>
        <v/>
      </c>
    </row>
    <row r="331" spans="1:32" x14ac:dyDescent="0.15">
      <c r="A331" s="47">
        <f>データ!A328</f>
        <v>2</v>
      </c>
      <c r="B331" s="47" t="str">
        <f>TRIM(データ!C328)</f>
        <v/>
      </c>
      <c r="C331" s="47" t="str">
        <f>TRIM(データ!D328)</f>
        <v>機械費</v>
      </c>
      <c r="D331" s="36" t="str">
        <f>REPT("｜",$A331)&amp;TRIM(データ!E328)</f>
        <v>｜｜小物機械</v>
      </c>
      <c r="E331" s="37" t="str">
        <f>TRIM(データ!F328)</f>
        <v/>
      </c>
      <c r="F331" s="38" t="str">
        <f>TRIM(データ!G328)</f>
        <v>台</v>
      </c>
      <c r="G331" s="50">
        <f>データ!H328</f>
        <v>4</v>
      </c>
      <c r="H331" s="48">
        <f>データ!I328</f>
        <v>3000</v>
      </c>
      <c r="I331" s="48">
        <f>データ!J328</f>
        <v>12000</v>
      </c>
      <c r="J331" s="39" t="str">
        <f>IF(OR($C331="総括",$C331="内訳書",$C331="内訳代価",$C331="明細書",$C331="明細代価",$C331="代価表",$C331="単価表"),データ!K328,"")</f>
        <v/>
      </c>
      <c r="K331" s="11" t="str">
        <f t="shared" si="30"/>
        <v/>
      </c>
      <c r="L331" s="46">
        <f t="shared" si="31"/>
        <v>6.4874087505412928E-4</v>
      </c>
      <c r="M331" s="40" t="str">
        <f>IF(データ!L328="","",データ!L328)</f>
        <v/>
      </c>
      <c r="N331" s="41" t="str">
        <f>IF(データ!M328="","",データ!M328)</f>
        <v/>
      </c>
      <c r="O331" s="42">
        <f>データ!N328</f>
        <v>0</v>
      </c>
      <c r="P331" s="48">
        <f>IF($C331="集計行","",データ!O328)</f>
        <v>0</v>
      </c>
      <c r="Q331" s="48">
        <f>データ!P328</f>
        <v>0</v>
      </c>
      <c r="R331" s="39" t="str">
        <f>IF(OR($C331="総括",$C331="内訳書",$C331="内訳代価",$C331="明細書",$C331="明細代価",$C331="代価表",$C331="単価表"),データ!Q328,"")</f>
        <v/>
      </c>
      <c r="S331" s="11" t="str">
        <f t="shared" si="32"/>
        <v/>
      </c>
      <c r="T331" s="46" t="e">
        <f t="shared" si="33"/>
        <v>#DIV/0!</v>
      </c>
      <c r="U331" s="40" t="str">
        <f>IF(データ!R328="","",データ!R328)</f>
        <v/>
      </c>
      <c r="V331" s="41" t="str">
        <f>IF(データ!S328="","",データ!S328)</f>
        <v/>
      </c>
      <c r="W331" s="42">
        <f>データ!T328</f>
        <v>0</v>
      </c>
      <c r="X331" s="48">
        <f>IF($C331="集計行","",データ!U328)</f>
        <v>0</v>
      </c>
      <c r="Y331" s="48">
        <f>データ!V328</f>
        <v>0</v>
      </c>
      <c r="Z331" s="39" t="str">
        <f>IF(OR($C331="総括",$C331="内訳書",$C331="内訳代価",$C331="明細書",$C331="明細代価",$C331="代価表",$C331="単価表"),データ!W328,"")</f>
        <v/>
      </c>
      <c r="AA331" s="11" t="str">
        <f t="shared" si="34"/>
        <v/>
      </c>
      <c r="AB331" s="46" t="e">
        <f t="shared" si="35"/>
        <v>#DIV/0!</v>
      </c>
      <c r="AC331" s="40" t="str">
        <f>IF(データ!X328="","",データ!X328)</f>
        <v/>
      </c>
      <c r="AD331" s="41" t="str">
        <f>IF(データ!Y328="","",データ!Y328)</f>
        <v/>
      </c>
      <c r="AE331" s="47" t="str">
        <f>TRIM(データ!B328)</f>
        <v/>
      </c>
      <c r="AF331" s="43" t="str">
        <f>TRIM(データ!Z328)</f>
        <v/>
      </c>
    </row>
    <row r="332" spans="1:32" x14ac:dyDescent="0.15">
      <c r="A332" s="47">
        <f>データ!A329</f>
        <v>2</v>
      </c>
      <c r="B332" s="47" t="str">
        <f>TRIM(データ!C329)</f>
        <v/>
      </c>
      <c r="C332" s="47" t="str">
        <f>TRIM(データ!D329)</f>
        <v>運搬費</v>
      </c>
      <c r="D332" s="36" t="str">
        <f>REPT("｜",$A332)&amp;TRIM(データ!E329)</f>
        <v>｜｜3tダンプ</v>
      </c>
      <c r="E332" s="37" t="str">
        <f>TRIM(データ!F329)</f>
        <v/>
      </c>
      <c r="F332" s="38" t="str">
        <f>TRIM(データ!G329)</f>
        <v>台</v>
      </c>
      <c r="G332" s="50">
        <f>データ!H329</f>
        <v>4</v>
      </c>
      <c r="H332" s="48">
        <f>データ!I329</f>
        <v>8000</v>
      </c>
      <c r="I332" s="48">
        <f>データ!J329</f>
        <v>32000</v>
      </c>
      <c r="J332" s="39" t="str">
        <f>IF(OR($C332="総括",$C332="内訳書",$C332="内訳代価",$C332="明細書",$C332="明細代価",$C332="代価表",$C332="単価表"),データ!K329,"")</f>
        <v/>
      </c>
      <c r="K332" s="11" t="str">
        <f t="shared" si="30"/>
        <v/>
      </c>
      <c r="L332" s="46">
        <f t="shared" si="31"/>
        <v>1.7299756668110115E-3</v>
      </c>
      <c r="M332" s="40" t="str">
        <f>IF(データ!L329="","",データ!L329)</f>
        <v/>
      </c>
      <c r="N332" s="41" t="str">
        <f>IF(データ!M329="","",データ!M329)</f>
        <v/>
      </c>
      <c r="O332" s="42">
        <f>データ!N329</f>
        <v>0</v>
      </c>
      <c r="P332" s="48">
        <f>IF($C332="集計行","",データ!O329)</f>
        <v>0</v>
      </c>
      <c r="Q332" s="48">
        <f>データ!P329</f>
        <v>0</v>
      </c>
      <c r="R332" s="39" t="str">
        <f>IF(OR($C332="総括",$C332="内訳書",$C332="内訳代価",$C332="明細書",$C332="明細代価",$C332="代価表",$C332="単価表"),データ!Q329,"")</f>
        <v/>
      </c>
      <c r="S332" s="11" t="str">
        <f t="shared" si="32"/>
        <v/>
      </c>
      <c r="T332" s="46" t="e">
        <f t="shared" si="33"/>
        <v>#DIV/0!</v>
      </c>
      <c r="U332" s="40" t="str">
        <f>IF(データ!R329="","",データ!R329)</f>
        <v/>
      </c>
      <c r="V332" s="41" t="str">
        <f>IF(データ!S329="","",データ!S329)</f>
        <v/>
      </c>
      <c r="W332" s="42">
        <f>データ!T329</f>
        <v>0</v>
      </c>
      <c r="X332" s="48">
        <f>IF($C332="集計行","",データ!U329)</f>
        <v>0</v>
      </c>
      <c r="Y332" s="48">
        <f>データ!V329</f>
        <v>0</v>
      </c>
      <c r="Z332" s="39" t="str">
        <f>IF(OR($C332="総括",$C332="内訳書",$C332="内訳代価",$C332="明細書",$C332="明細代価",$C332="代価表",$C332="単価表"),データ!W329,"")</f>
        <v/>
      </c>
      <c r="AA332" s="11" t="str">
        <f t="shared" si="34"/>
        <v/>
      </c>
      <c r="AB332" s="46" t="e">
        <f t="shared" si="35"/>
        <v>#DIV/0!</v>
      </c>
      <c r="AC332" s="40" t="str">
        <f>IF(データ!X329="","",データ!X329)</f>
        <v/>
      </c>
      <c r="AD332" s="41" t="str">
        <f>IF(データ!Y329="","",データ!Y329)</f>
        <v/>
      </c>
      <c r="AE332" s="47" t="str">
        <f>TRIM(データ!B329)</f>
        <v/>
      </c>
      <c r="AF332" s="43" t="str">
        <f>TRIM(データ!Z329)</f>
        <v/>
      </c>
    </row>
    <row r="333" spans="1:32" x14ac:dyDescent="0.15">
      <c r="A333" s="47">
        <f>データ!A330</f>
        <v>2</v>
      </c>
      <c r="B333" s="47" t="str">
        <f>TRIM(データ!C330)</f>
        <v/>
      </c>
      <c r="C333" s="47" t="str">
        <f>TRIM(データ!D330)</f>
        <v>運搬費</v>
      </c>
      <c r="D333" s="36" t="str">
        <f>REPT("｜",$A333)&amp;TRIM(データ!E330)</f>
        <v>｜｜WP</v>
      </c>
      <c r="E333" s="37" t="str">
        <f>TRIM(データ!F330)</f>
        <v/>
      </c>
      <c r="F333" s="38" t="str">
        <f>TRIM(データ!G330)</f>
        <v>台</v>
      </c>
      <c r="G333" s="50">
        <f>データ!H330</f>
        <v>2</v>
      </c>
      <c r="H333" s="48">
        <f>データ!I330</f>
        <v>8000</v>
      </c>
      <c r="I333" s="48">
        <f>データ!J330</f>
        <v>16000</v>
      </c>
      <c r="J333" s="39" t="str">
        <f>IF(OR($C333="総括",$C333="内訳書",$C333="内訳代価",$C333="明細書",$C333="明細代価",$C333="代価表",$C333="単価表"),データ!K330,"")</f>
        <v/>
      </c>
      <c r="K333" s="11" t="str">
        <f t="shared" si="30"/>
        <v/>
      </c>
      <c r="L333" s="46">
        <f t="shared" si="31"/>
        <v>8.6498783340550574E-4</v>
      </c>
      <c r="M333" s="40" t="str">
        <f>IF(データ!L330="","",データ!L330)</f>
        <v/>
      </c>
      <c r="N333" s="41" t="str">
        <f>IF(データ!M330="","",データ!M330)</f>
        <v/>
      </c>
      <c r="O333" s="42">
        <f>データ!N330</f>
        <v>0</v>
      </c>
      <c r="P333" s="48">
        <f>IF($C333="集計行","",データ!O330)</f>
        <v>0</v>
      </c>
      <c r="Q333" s="48">
        <f>データ!P330</f>
        <v>0</v>
      </c>
      <c r="R333" s="39" t="str">
        <f>IF(OR($C333="総括",$C333="内訳書",$C333="内訳代価",$C333="明細書",$C333="明細代価",$C333="代価表",$C333="単価表"),データ!Q330,"")</f>
        <v/>
      </c>
      <c r="S333" s="11" t="str">
        <f t="shared" si="32"/>
        <v/>
      </c>
      <c r="T333" s="46" t="e">
        <f t="shared" si="33"/>
        <v>#DIV/0!</v>
      </c>
      <c r="U333" s="40" t="str">
        <f>IF(データ!R330="","",データ!R330)</f>
        <v/>
      </c>
      <c r="V333" s="41" t="str">
        <f>IF(データ!S330="","",データ!S330)</f>
        <v/>
      </c>
      <c r="W333" s="42">
        <f>データ!T330</f>
        <v>0</v>
      </c>
      <c r="X333" s="48">
        <f>IF($C333="集計行","",データ!U330)</f>
        <v>0</v>
      </c>
      <c r="Y333" s="48">
        <f>データ!V330</f>
        <v>0</v>
      </c>
      <c r="Z333" s="39" t="str">
        <f>IF(OR($C333="総括",$C333="内訳書",$C333="内訳代価",$C333="明細書",$C333="明細代価",$C333="代価表",$C333="単価表"),データ!W330,"")</f>
        <v/>
      </c>
      <c r="AA333" s="11" t="str">
        <f t="shared" si="34"/>
        <v/>
      </c>
      <c r="AB333" s="46" t="e">
        <f t="shared" si="35"/>
        <v>#DIV/0!</v>
      </c>
      <c r="AC333" s="40" t="str">
        <f>IF(データ!X330="","",データ!X330)</f>
        <v/>
      </c>
      <c r="AD333" s="41" t="str">
        <f>IF(データ!Y330="","",データ!Y330)</f>
        <v/>
      </c>
      <c r="AE333" s="47" t="str">
        <f>TRIM(データ!B330)</f>
        <v/>
      </c>
      <c r="AF333" s="43" t="str">
        <f>TRIM(データ!Z330)</f>
        <v/>
      </c>
    </row>
    <row r="334" spans="1:32" x14ac:dyDescent="0.15">
      <c r="A334" s="47">
        <f>データ!A331</f>
        <v>2</v>
      </c>
      <c r="B334" s="47" t="str">
        <f>TRIM(データ!C331)</f>
        <v/>
      </c>
      <c r="C334" s="47" t="str">
        <f>TRIM(データ!D331)</f>
        <v>運搬費</v>
      </c>
      <c r="D334" s="36" t="str">
        <f>REPT("｜",$A334)&amp;TRIM(データ!E331)</f>
        <v>｜｜4t車回送費</v>
      </c>
      <c r="E334" s="37" t="str">
        <f>TRIM(データ!F331)</f>
        <v/>
      </c>
      <c r="F334" s="38" t="str">
        <f>TRIM(データ!G331)</f>
        <v>回</v>
      </c>
      <c r="G334" s="50">
        <f>データ!H331</f>
        <v>4</v>
      </c>
      <c r="H334" s="48">
        <f>データ!I331</f>
        <v>10000</v>
      </c>
      <c r="I334" s="48">
        <f>データ!J331</f>
        <v>40000</v>
      </c>
      <c r="J334" s="39" t="str">
        <f>IF(OR($C334="総括",$C334="内訳書",$C334="内訳代価",$C334="明細書",$C334="明細代価",$C334="代価表",$C334="単価表"),データ!K331,"")</f>
        <v/>
      </c>
      <c r="K334" s="11" t="str">
        <f t="shared" si="30"/>
        <v/>
      </c>
      <c r="L334" s="46">
        <f t="shared" si="31"/>
        <v>2.1624695835137644E-3</v>
      </c>
      <c r="M334" s="40" t="str">
        <f>IF(データ!L331="","",データ!L331)</f>
        <v/>
      </c>
      <c r="N334" s="41" t="str">
        <f>IF(データ!M331="","",データ!M331)</f>
        <v/>
      </c>
      <c r="O334" s="42">
        <f>データ!N331</f>
        <v>0</v>
      </c>
      <c r="P334" s="48">
        <f>IF($C334="集計行","",データ!O331)</f>
        <v>0</v>
      </c>
      <c r="Q334" s="48">
        <f>データ!P331</f>
        <v>0</v>
      </c>
      <c r="R334" s="39" t="str">
        <f>IF(OR($C334="総括",$C334="内訳書",$C334="内訳代価",$C334="明細書",$C334="明細代価",$C334="代価表",$C334="単価表"),データ!Q331,"")</f>
        <v/>
      </c>
      <c r="S334" s="11" t="str">
        <f t="shared" si="32"/>
        <v/>
      </c>
      <c r="T334" s="46" t="e">
        <f t="shared" si="33"/>
        <v>#DIV/0!</v>
      </c>
      <c r="U334" s="40" t="str">
        <f>IF(データ!R331="","",データ!R331)</f>
        <v/>
      </c>
      <c r="V334" s="41" t="str">
        <f>IF(データ!S331="","",データ!S331)</f>
        <v/>
      </c>
      <c r="W334" s="42">
        <f>データ!T331</f>
        <v>0</v>
      </c>
      <c r="X334" s="48">
        <f>IF($C334="集計行","",データ!U331)</f>
        <v>0</v>
      </c>
      <c r="Y334" s="48">
        <f>データ!V331</f>
        <v>0</v>
      </c>
      <c r="Z334" s="39" t="str">
        <f>IF(OR($C334="総括",$C334="内訳書",$C334="内訳代価",$C334="明細書",$C334="明細代価",$C334="代価表",$C334="単価表"),データ!W331,"")</f>
        <v/>
      </c>
      <c r="AA334" s="11" t="str">
        <f t="shared" si="34"/>
        <v/>
      </c>
      <c r="AB334" s="46" t="e">
        <f t="shared" si="35"/>
        <v>#DIV/0!</v>
      </c>
      <c r="AC334" s="40" t="str">
        <f>IF(データ!X331="","",データ!X331)</f>
        <v/>
      </c>
      <c r="AD334" s="41" t="str">
        <f>IF(データ!Y331="","",データ!Y331)</f>
        <v/>
      </c>
      <c r="AE334" s="47" t="str">
        <f>TRIM(データ!B331)</f>
        <v/>
      </c>
      <c r="AF334" s="43" t="str">
        <f>TRIM(データ!Z331)</f>
        <v/>
      </c>
    </row>
    <row r="335" spans="1:32" x14ac:dyDescent="0.15">
      <c r="A335" s="47">
        <f>データ!A332</f>
        <v>2</v>
      </c>
      <c r="B335" s="47" t="str">
        <f>TRIM(データ!C332)</f>
        <v/>
      </c>
      <c r="C335" s="47" t="str">
        <f>TRIM(データ!D332)</f>
        <v>外注費</v>
      </c>
      <c r="D335" s="36" t="str">
        <f>REPT("｜",$A335)&amp;TRIM(データ!E332)</f>
        <v>｜｜諸経費</v>
      </c>
      <c r="E335" s="37" t="str">
        <f>TRIM(データ!F332)</f>
        <v/>
      </c>
      <c r="F335" s="38" t="str">
        <f>TRIM(データ!G332)</f>
        <v>式</v>
      </c>
      <c r="G335" s="50">
        <f>データ!H332</f>
        <v>1</v>
      </c>
      <c r="H335" s="48">
        <f>データ!I332</f>
        <v>40000</v>
      </c>
      <c r="I335" s="48">
        <f>データ!J332</f>
        <v>40000</v>
      </c>
      <c r="J335" s="39" t="str">
        <f>IF(OR($C335="総括",$C335="内訳書",$C335="内訳代価",$C335="明細書",$C335="明細代価",$C335="代価表",$C335="単価表"),データ!K332,"")</f>
        <v/>
      </c>
      <c r="K335" s="11" t="str">
        <f t="shared" si="30"/>
        <v/>
      </c>
      <c r="L335" s="46">
        <f t="shared" si="31"/>
        <v>2.1624695835137644E-3</v>
      </c>
      <c r="M335" s="40" t="str">
        <f>IF(データ!L332="","",データ!L332)</f>
        <v/>
      </c>
      <c r="N335" s="41" t="str">
        <f>IF(データ!M332="","",データ!M332)</f>
        <v/>
      </c>
      <c r="O335" s="42">
        <f>データ!N332</f>
        <v>0</v>
      </c>
      <c r="P335" s="48">
        <f>IF($C335="集計行","",データ!O332)</f>
        <v>0</v>
      </c>
      <c r="Q335" s="48">
        <f>データ!P332</f>
        <v>0</v>
      </c>
      <c r="R335" s="39" t="str">
        <f>IF(OR($C335="総括",$C335="内訳書",$C335="内訳代価",$C335="明細書",$C335="明細代価",$C335="代価表",$C335="単価表"),データ!Q332,"")</f>
        <v/>
      </c>
      <c r="S335" s="11" t="str">
        <f t="shared" si="32"/>
        <v/>
      </c>
      <c r="T335" s="46" t="e">
        <f t="shared" si="33"/>
        <v>#DIV/0!</v>
      </c>
      <c r="U335" s="40" t="str">
        <f>IF(データ!R332="","",データ!R332)</f>
        <v/>
      </c>
      <c r="V335" s="41" t="str">
        <f>IF(データ!S332="","",データ!S332)</f>
        <v/>
      </c>
      <c r="W335" s="42">
        <f>データ!T332</f>
        <v>0</v>
      </c>
      <c r="X335" s="48">
        <f>IF($C335="集計行","",データ!U332)</f>
        <v>0</v>
      </c>
      <c r="Y335" s="48">
        <f>データ!V332</f>
        <v>0</v>
      </c>
      <c r="Z335" s="39" t="str">
        <f>IF(OR($C335="総括",$C335="内訳書",$C335="内訳代価",$C335="明細書",$C335="明細代価",$C335="代価表",$C335="単価表"),データ!W332,"")</f>
        <v/>
      </c>
      <c r="AA335" s="11" t="str">
        <f t="shared" si="34"/>
        <v/>
      </c>
      <c r="AB335" s="46" t="e">
        <f t="shared" si="35"/>
        <v>#DIV/0!</v>
      </c>
      <c r="AC335" s="40" t="str">
        <f>IF(データ!X332="","",データ!X332)</f>
        <v/>
      </c>
      <c r="AD335" s="41" t="str">
        <f>IF(データ!Y332="","",データ!Y332)</f>
        <v/>
      </c>
      <c r="AE335" s="47" t="str">
        <f>TRIM(データ!B332)</f>
        <v/>
      </c>
      <c r="AF335" s="43" t="str">
        <f>TRIM(データ!Z332)</f>
        <v/>
      </c>
    </row>
    <row r="336" spans="1:32" x14ac:dyDescent="0.15">
      <c r="A336" s="47">
        <f>データ!A333</f>
        <v>2</v>
      </c>
      <c r="B336" s="47" t="str">
        <f>TRIM(データ!C333)</f>
        <v/>
      </c>
      <c r="C336" s="47" t="str">
        <f>TRIM(データ!D333)</f>
        <v>外注費</v>
      </c>
      <c r="D336" s="36" t="str">
        <f>REPT("｜",$A336)&amp;TRIM(データ!E333)</f>
        <v>｜｜法定福利費</v>
      </c>
      <c r="E336" s="37" t="str">
        <f>TRIM(データ!F333)</f>
        <v/>
      </c>
      <c r="F336" s="38" t="str">
        <f>TRIM(データ!G333)</f>
        <v>式</v>
      </c>
      <c r="G336" s="50">
        <f>データ!H333</f>
        <v>1</v>
      </c>
      <c r="H336" s="48">
        <f>データ!I333</f>
        <v>30000</v>
      </c>
      <c r="I336" s="48">
        <f>データ!J333</f>
        <v>30000</v>
      </c>
      <c r="J336" s="39" t="str">
        <f>IF(OR($C336="総括",$C336="内訳書",$C336="内訳代価",$C336="明細書",$C336="明細代価",$C336="代価表",$C336="単価表"),データ!K333,"")</f>
        <v/>
      </c>
      <c r="K336" s="11" t="str">
        <f t="shared" si="30"/>
        <v/>
      </c>
      <c r="L336" s="46">
        <f t="shared" si="31"/>
        <v>1.6218521876353233E-3</v>
      </c>
      <c r="M336" s="40" t="str">
        <f>IF(データ!L333="","",データ!L333)</f>
        <v/>
      </c>
      <c r="N336" s="41" t="str">
        <f>IF(データ!M333="","",データ!M333)</f>
        <v/>
      </c>
      <c r="O336" s="42">
        <f>データ!N333</f>
        <v>0</v>
      </c>
      <c r="P336" s="48">
        <f>IF($C336="集計行","",データ!O333)</f>
        <v>0</v>
      </c>
      <c r="Q336" s="48">
        <f>データ!P333</f>
        <v>0</v>
      </c>
      <c r="R336" s="39" t="str">
        <f>IF(OR($C336="総括",$C336="内訳書",$C336="内訳代価",$C336="明細書",$C336="明細代価",$C336="代価表",$C336="単価表"),データ!Q333,"")</f>
        <v/>
      </c>
      <c r="S336" s="11" t="str">
        <f t="shared" si="32"/>
        <v/>
      </c>
      <c r="T336" s="46" t="e">
        <f t="shared" si="33"/>
        <v>#DIV/0!</v>
      </c>
      <c r="U336" s="40" t="str">
        <f>IF(データ!R333="","",データ!R333)</f>
        <v/>
      </c>
      <c r="V336" s="41" t="str">
        <f>IF(データ!S333="","",データ!S333)</f>
        <v/>
      </c>
      <c r="W336" s="42">
        <f>データ!T333</f>
        <v>0</v>
      </c>
      <c r="X336" s="48">
        <f>IF($C336="集計行","",データ!U333)</f>
        <v>0</v>
      </c>
      <c r="Y336" s="48">
        <f>データ!V333</f>
        <v>0</v>
      </c>
      <c r="Z336" s="39" t="str">
        <f>IF(OR($C336="総括",$C336="内訳書",$C336="内訳代価",$C336="明細書",$C336="明細代価",$C336="代価表",$C336="単価表"),データ!W333,"")</f>
        <v/>
      </c>
      <c r="AA336" s="11" t="str">
        <f t="shared" si="34"/>
        <v/>
      </c>
      <c r="AB336" s="46" t="e">
        <f t="shared" si="35"/>
        <v>#DIV/0!</v>
      </c>
      <c r="AC336" s="40" t="str">
        <f>IF(データ!X333="","",データ!X333)</f>
        <v/>
      </c>
      <c r="AD336" s="41" t="str">
        <f>IF(データ!Y333="","",データ!Y333)</f>
        <v/>
      </c>
      <c r="AE336" s="47" t="str">
        <f>TRIM(データ!B333)</f>
        <v/>
      </c>
      <c r="AF336" s="43" t="str">
        <f>TRIM(データ!Z333)</f>
        <v/>
      </c>
    </row>
    <row r="337" spans="1:32" x14ac:dyDescent="0.15">
      <c r="A337" s="47">
        <f>データ!A334</f>
        <v>2</v>
      </c>
      <c r="B337" s="47" t="str">
        <f>TRIM(データ!C334)</f>
        <v/>
      </c>
      <c r="C337" s="47" t="str">
        <f>TRIM(データ!D334)</f>
        <v>外注費</v>
      </c>
      <c r="D337" s="36" t="str">
        <f>REPT("｜",$A337)&amp;TRIM(データ!E334)</f>
        <v>｜｜交通誘導員</v>
      </c>
      <c r="E337" s="37" t="str">
        <f>TRIM(データ!F334)</f>
        <v/>
      </c>
      <c r="F337" s="38" t="str">
        <f>TRIM(データ!G334)</f>
        <v>人</v>
      </c>
      <c r="G337" s="50">
        <f>データ!H334</f>
        <v>6</v>
      </c>
      <c r="H337" s="48">
        <f>データ!I334</f>
        <v>18000</v>
      </c>
      <c r="I337" s="48">
        <f>データ!J334</f>
        <v>108000</v>
      </c>
      <c r="J337" s="39" t="str">
        <f>IF(OR($C337="総括",$C337="内訳書",$C337="内訳代価",$C337="明細書",$C337="明細代価",$C337="代価表",$C337="単価表"),データ!K334,"")</f>
        <v/>
      </c>
      <c r="K337" s="11" t="str">
        <f t="shared" si="30"/>
        <v/>
      </c>
      <c r="L337" s="46">
        <f t="shared" si="31"/>
        <v>5.8386678754871642E-3</v>
      </c>
      <c r="M337" s="40" t="str">
        <f>IF(データ!L334="","",データ!L334)</f>
        <v/>
      </c>
      <c r="N337" s="41" t="str">
        <f>IF(データ!M334="","",データ!M334)</f>
        <v/>
      </c>
      <c r="O337" s="42">
        <f>データ!N334</f>
        <v>0</v>
      </c>
      <c r="P337" s="48">
        <f>IF($C337="集計行","",データ!O334)</f>
        <v>0</v>
      </c>
      <c r="Q337" s="48">
        <f>データ!P334</f>
        <v>0</v>
      </c>
      <c r="R337" s="39" t="str">
        <f>IF(OR($C337="総括",$C337="内訳書",$C337="内訳代価",$C337="明細書",$C337="明細代価",$C337="代価表",$C337="単価表"),データ!Q334,"")</f>
        <v/>
      </c>
      <c r="S337" s="11" t="str">
        <f t="shared" si="32"/>
        <v/>
      </c>
      <c r="T337" s="46" t="e">
        <f t="shared" si="33"/>
        <v>#DIV/0!</v>
      </c>
      <c r="U337" s="40" t="str">
        <f>IF(データ!R334="","",データ!R334)</f>
        <v/>
      </c>
      <c r="V337" s="41" t="str">
        <f>IF(データ!S334="","",データ!S334)</f>
        <v/>
      </c>
      <c r="W337" s="42">
        <f>データ!T334</f>
        <v>0</v>
      </c>
      <c r="X337" s="48">
        <f>IF($C337="集計行","",データ!U334)</f>
        <v>0</v>
      </c>
      <c r="Y337" s="48">
        <f>データ!V334</f>
        <v>0</v>
      </c>
      <c r="Z337" s="39" t="str">
        <f>IF(OR($C337="総括",$C337="内訳書",$C337="内訳代価",$C337="明細書",$C337="明細代価",$C337="代価表",$C337="単価表"),データ!W334,"")</f>
        <v/>
      </c>
      <c r="AA337" s="11" t="str">
        <f t="shared" si="34"/>
        <v/>
      </c>
      <c r="AB337" s="46" t="e">
        <f t="shared" si="35"/>
        <v>#DIV/0!</v>
      </c>
      <c r="AC337" s="40" t="str">
        <f>IF(データ!X334="","",データ!X334)</f>
        <v/>
      </c>
      <c r="AD337" s="41" t="str">
        <f>IF(データ!Y334="","",データ!Y334)</f>
        <v/>
      </c>
      <c r="AE337" s="47" t="str">
        <f>TRIM(データ!B334)</f>
        <v/>
      </c>
      <c r="AF337" s="43" t="str">
        <f>TRIM(データ!Z334)</f>
        <v/>
      </c>
    </row>
    <row r="338" spans="1:32" x14ac:dyDescent="0.15">
      <c r="A338" s="47">
        <f>データ!A335</f>
        <v>2</v>
      </c>
      <c r="B338" s="47" t="str">
        <f>TRIM(データ!C335)</f>
        <v/>
      </c>
      <c r="C338" s="47" t="str">
        <f>TRIM(データ!D335)</f>
        <v>機械費</v>
      </c>
      <c r="D338" s="36" t="str">
        <f>REPT("｜",$A338)&amp;TRIM(データ!E335)</f>
        <v>｜｜軽トラ規制車</v>
      </c>
      <c r="E338" s="37" t="str">
        <f>TRIM(データ!F335)</f>
        <v/>
      </c>
      <c r="F338" s="38" t="str">
        <f>TRIM(データ!G335)</f>
        <v>台</v>
      </c>
      <c r="G338" s="50">
        <f>データ!H335</f>
        <v>2</v>
      </c>
      <c r="H338" s="48">
        <f>データ!I335</f>
        <v>10000</v>
      </c>
      <c r="I338" s="48">
        <f>データ!J335</f>
        <v>20000</v>
      </c>
      <c r="J338" s="39" t="str">
        <f>IF(OR($C338="総括",$C338="内訳書",$C338="内訳代価",$C338="明細書",$C338="明細代価",$C338="代価表",$C338="単価表"),データ!K335,"")</f>
        <v/>
      </c>
      <c r="K338" s="11" t="str">
        <f t="shared" si="30"/>
        <v/>
      </c>
      <c r="L338" s="46">
        <f t="shared" si="31"/>
        <v>1.0812347917568822E-3</v>
      </c>
      <c r="M338" s="40" t="str">
        <f>IF(データ!L335="","",データ!L335)</f>
        <v/>
      </c>
      <c r="N338" s="41" t="str">
        <f>IF(データ!M335="","",データ!M335)</f>
        <v/>
      </c>
      <c r="O338" s="42">
        <f>データ!N335</f>
        <v>0</v>
      </c>
      <c r="P338" s="48">
        <f>IF($C338="集計行","",データ!O335)</f>
        <v>0</v>
      </c>
      <c r="Q338" s="48">
        <f>データ!P335</f>
        <v>0</v>
      </c>
      <c r="R338" s="39" t="str">
        <f>IF(OR($C338="総括",$C338="内訳書",$C338="内訳代価",$C338="明細書",$C338="明細代価",$C338="代価表",$C338="単価表"),データ!Q335,"")</f>
        <v/>
      </c>
      <c r="S338" s="11" t="str">
        <f t="shared" si="32"/>
        <v/>
      </c>
      <c r="T338" s="46" t="e">
        <f t="shared" si="33"/>
        <v>#DIV/0!</v>
      </c>
      <c r="U338" s="40" t="str">
        <f>IF(データ!R335="","",データ!R335)</f>
        <v/>
      </c>
      <c r="V338" s="41" t="str">
        <f>IF(データ!S335="","",データ!S335)</f>
        <v/>
      </c>
      <c r="W338" s="42">
        <f>データ!T335</f>
        <v>0</v>
      </c>
      <c r="X338" s="48">
        <f>IF($C338="集計行","",データ!U335)</f>
        <v>0</v>
      </c>
      <c r="Y338" s="48">
        <f>データ!V335</f>
        <v>0</v>
      </c>
      <c r="Z338" s="39" t="str">
        <f>IF(OR($C338="総括",$C338="内訳書",$C338="内訳代価",$C338="明細書",$C338="明細代価",$C338="代価表",$C338="単価表"),データ!W335,"")</f>
        <v/>
      </c>
      <c r="AA338" s="11" t="str">
        <f t="shared" si="34"/>
        <v/>
      </c>
      <c r="AB338" s="46" t="e">
        <f t="shared" si="35"/>
        <v>#DIV/0!</v>
      </c>
      <c r="AC338" s="40" t="str">
        <f>IF(データ!X335="","",データ!X335)</f>
        <v/>
      </c>
      <c r="AD338" s="41" t="str">
        <f>IF(データ!Y335="","",データ!Y335)</f>
        <v/>
      </c>
      <c r="AE338" s="47" t="str">
        <f>TRIM(データ!B335)</f>
        <v/>
      </c>
      <c r="AF338" s="43" t="str">
        <f>TRIM(データ!Z335)</f>
        <v/>
      </c>
    </row>
    <row r="339" spans="1:32" x14ac:dyDescent="0.15">
      <c r="A339" s="47">
        <f>データ!A336</f>
        <v>1</v>
      </c>
      <c r="B339" s="47" t="str">
        <f>TRIM(データ!C336)</f>
        <v/>
      </c>
      <c r="C339" s="47" t="str">
        <f>TRIM(データ!D336)</f>
        <v>内訳書</v>
      </c>
      <c r="D339" s="36" t="str">
        <f>REPT("｜",$A339)&amp;TRIM(データ!E336)</f>
        <v>｜舗装打換工　2層t=100　1日</v>
      </c>
      <c r="E339" s="37" t="str">
        <f>TRIM(データ!F336)</f>
        <v/>
      </c>
      <c r="F339" s="38" t="str">
        <f>TRIM(データ!G336)</f>
        <v>m2</v>
      </c>
      <c r="G339" s="50">
        <f>データ!H336</f>
        <v>150</v>
      </c>
      <c r="H339" s="48">
        <f>データ!I336</f>
        <v>9550</v>
      </c>
      <c r="I339" s="48">
        <f>データ!J336</f>
        <v>1432500</v>
      </c>
      <c r="J339" s="39">
        <f>IF(OR($C339="総括",$C339="内訳書",$C339="内訳代価",$C339="明細書",$C339="明細代価",$C339="代価表",$C339="単価表"),データ!K336,"")</f>
        <v>150</v>
      </c>
      <c r="K339" s="11" t="str">
        <f t="shared" si="30"/>
        <v/>
      </c>
      <c r="L339" s="46">
        <f t="shared" si="31"/>
        <v>7.744344195958669E-2</v>
      </c>
      <c r="M339" s="40" t="str">
        <f>IF(データ!L336="","",データ!L336)</f>
        <v/>
      </c>
      <c r="N339" s="41" t="str">
        <f>IF(データ!M336="","",データ!M336)</f>
        <v>34号内訳書</v>
      </c>
      <c r="O339" s="42">
        <f>データ!N336</f>
        <v>0</v>
      </c>
      <c r="P339" s="48">
        <f>IF($C339="集計行","",データ!O336)</f>
        <v>0</v>
      </c>
      <c r="Q339" s="48">
        <f>データ!P336</f>
        <v>0</v>
      </c>
      <c r="R339" s="39">
        <f>IF(OR($C339="総括",$C339="内訳書",$C339="内訳代価",$C339="明細書",$C339="明細代価",$C339="代価表",$C339="単価表"),データ!Q336,"")</f>
        <v>0</v>
      </c>
      <c r="S339" s="11" t="str">
        <f t="shared" si="32"/>
        <v/>
      </c>
      <c r="T339" s="46" t="e">
        <f t="shared" si="33"/>
        <v>#DIV/0!</v>
      </c>
      <c r="U339" s="40" t="str">
        <f>IF(データ!R336="","",データ!R336)</f>
        <v/>
      </c>
      <c r="V339" s="41" t="str">
        <f>IF(データ!S336="","",データ!S336)</f>
        <v/>
      </c>
      <c r="W339" s="42">
        <f>データ!T336</f>
        <v>0</v>
      </c>
      <c r="X339" s="48">
        <f>IF($C339="集計行","",データ!U336)</f>
        <v>0</v>
      </c>
      <c r="Y339" s="48">
        <f>データ!V336</f>
        <v>0</v>
      </c>
      <c r="Z339" s="39">
        <f>IF(OR($C339="総括",$C339="内訳書",$C339="内訳代価",$C339="明細書",$C339="明細代価",$C339="代価表",$C339="単価表"),データ!W336,"")</f>
        <v>0</v>
      </c>
      <c r="AA339" s="11" t="str">
        <f t="shared" si="34"/>
        <v/>
      </c>
      <c r="AB339" s="46" t="e">
        <f t="shared" si="35"/>
        <v>#DIV/0!</v>
      </c>
      <c r="AC339" s="40" t="str">
        <f>IF(データ!X336="","",データ!X336)</f>
        <v/>
      </c>
      <c r="AD339" s="41" t="str">
        <f>IF(データ!Y336="","",データ!Y336)</f>
        <v/>
      </c>
      <c r="AE339" s="47" t="str">
        <f>TRIM(データ!B336)</f>
        <v/>
      </c>
      <c r="AF339" s="43" t="str">
        <f>TRIM(データ!Z336)</f>
        <v/>
      </c>
    </row>
    <row r="340" spans="1:32" x14ac:dyDescent="0.15">
      <c r="A340" s="47">
        <f>データ!A337</f>
        <v>2</v>
      </c>
      <c r="B340" s="47" t="str">
        <f>TRIM(データ!C337)</f>
        <v/>
      </c>
      <c r="C340" s="47" t="str">
        <f>TRIM(データ!D337)</f>
        <v>材料費</v>
      </c>
      <c r="D340" s="36" t="str">
        <f>REPT("｜",$A340)&amp;TRIM(データ!E337)</f>
        <v>｜｜再生粗粒(20)t=50</v>
      </c>
      <c r="E340" s="37" t="str">
        <f>TRIM(データ!F337)</f>
        <v/>
      </c>
      <c r="F340" s="38" t="str">
        <f>TRIM(データ!G337)</f>
        <v>ｔ</v>
      </c>
      <c r="G340" s="50">
        <f>データ!H337</f>
        <v>21</v>
      </c>
      <c r="H340" s="48">
        <f>データ!I337</f>
        <v>8800</v>
      </c>
      <c r="I340" s="48">
        <f>データ!J337</f>
        <v>184800</v>
      </c>
      <c r="J340" s="39" t="str">
        <f>IF(OR($C340="総括",$C340="内訳書",$C340="内訳代価",$C340="明細書",$C340="明細代価",$C340="代価表",$C340="単価表"),データ!K337,"")</f>
        <v/>
      </c>
      <c r="K340" s="11" t="str">
        <f t="shared" si="30"/>
        <v/>
      </c>
      <c r="L340" s="46">
        <f t="shared" si="31"/>
        <v>9.9906094758335923E-3</v>
      </c>
      <c r="M340" s="40" t="str">
        <f>IF(データ!L337="","",データ!L337)</f>
        <v/>
      </c>
      <c r="N340" s="41" t="str">
        <f>IF(データ!M337="","",データ!M337)</f>
        <v/>
      </c>
      <c r="O340" s="42">
        <f>データ!N337</f>
        <v>0</v>
      </c>
      <c r="P340" s="48">
        <f>IF($C340="集計行","",データ!O337)</f>
        <v>0</v>
      </c>
      <c r="Q340" s="48">
        <f>データ!P337</f>
        <v>0</v>
      </c>
      <c r="R340" s="39" t="str">
        <f>IF(OR($C340="総括",$C340="内訳書",$C340="内訳代価",$C340="明細書",$C340="明細代価",$C340="代価表",$C340="単価表"),データ!Q337,"")</f>
        <v/>
      </c>
      <c r="S340" s="11" t="str">
        <f t="shared" si="32"/>
        <v/>
      </c>
      <c r="T340" s="46" t="e">
        <f t="shared" si="33"/>
        <v>#DIV/0!</v>
      </c>
      <c r="U340" s="40" t="str">
        <f>IF(データ!R337="","",データ!R337)</f>
        <v/>
      </c>
      <c r="V340" s="41" t="str">
        <f>IF(データ!S337="","",データ!S337)</f>
        <v/>
      </c>
      <c r="W340" s="42">
        <f>データ!T337</f>
        <v>0</v>
      </c>
      <c r="X340" s="48">
        <f>IF($C340="集計行","",データ!U337)</f>
        <v>0</v>
      </c>
      <c r="Y340" s="48">
        <f>データ!V337</f>
        <v>0</v>
      </c>
      <c r="Z340" s="39" t="str">
        <f>IF(OR($C340="総括",$C340="内訳書",$C340="内訳代価",$C340="明細書",$C340="明細代価",$C340="代価表",$C340="単価表"),データ!W337,"")</f>
        <v/>
      </c>
      <c r="AA340" s="11" t="str">
        <f t="shared" si="34"/>
        <v/>
      </c>
      <c r="AB340" s="46" t="e">
        <f t="shared" si="35"/>
        <v>#DIV/0!</v>
      </c>
      <c r="AC340" s="40" t="str">
        <f>IF(データ!X337="","",データ!X337)</f>
        <v/>
      </c>
      <c r="AD340" s="41" t="str">
        <f>IF(データ!Y337="","",データ!Y337)</f>
        <v/>
      </c>
      <c r="AE340" s="47" t="str">
        <f>TRIM(データ!B337)</f>
        <v/>
      </c>
      <c r="AF340" s="43" t="str">
        <f>TRIM(データ!Z337)</f>
        <v/>
      </c>
    </row>
    <row r="341" spans="1:32" x14ac:dyDescent="0.15">
      <c r="A341" s="47">
        <f>データ!A338</f>
        <v>2</v>
      </c>
      <c r="B341" s="47" t="str">
        <f>TRIM(データ!C338)</f>
        <v/>
      </c>
      <c r="C341" s="47" t="str">
        <f>TRIM(データ!D338)</f>
        <v>材料費</v>
      </c>
      <c r="D341" s="36" t="str">
        <f>REPT("｜",$A341)&amp;TRIM(データ!E338)</f>
        <v>｜｜再生密粒(20)改質Ⅱ型t=50</v>
      </c>
      <c r="E341" s="37" t="str">
        <f>TRIM(データ!F338)</f>
        <v/>
      </c>
      <c r="F341" s="38" t="str">
        <f>TRIM(データ!G338)</f>
        <v>ｔ</v>
      </c>
      <c r="G341" s="50">
        <f>データ!H338</f>
        <v>21</v>
      </c>
      <c r="H341" s="48">
        <f>データ!I338</f>
        <v>10500</v>
      </c>
      <c r="I341" s="48">
        <f>データ!J338</f>
        <v>220500</v>
      </c>
      <c r="J341" s="39" t="str">
        <f>IF(OR($C341="総括",$C341="内訳書",$C341="内訳代価",$C341="明細書",$C341="明細代価",$C341="代価表",$C341="単価表"),データ!K338,"")</f>
        <v/>
      </c>
      <c r="K341" s="11" t="str">
        <f t="shared" si="30"/>
        <v/>
      </c>
      <c r="L341" s="46">
        <f t="shared" si="31"/>
        <v>1.1920613579119626E-2</v>
      </c>
      <c r="M341" s="40" t="str">
        <f>IF(データ!L338="","",データ!L338)</f>
        <v/>
      </c>
      <c r="N341" s="41" t="str">
        <f>IF(データ!M338="","",データ!M338)</f>
        <v/>
      </c>
      <c r="O341" s="42">
        <f>データ!N338</f>
        <v>0</v>
      </c>
      <c r="P341" s="48">
        <f>IF($C341="集計行","",データ!O338)</f>
        <v>0</v>
      </c>
      <c r="Q341" s="48">
        <f>データ!P338</f>
        <v>0</v>
      </c>
      <c r="R341" s="39" t="str">
        <f>IF(OR($C341="総括",$C341="内訳書",$C341="内訳代価",$C341="明細書",$C341="明細代価",$C341="代価表",$C341="単価表"),データ!Q338,"")</f>
        <v/>
      </c>
      <c r="S341" s="11" t="str">
        <f t="shared" si="32"/>
        <v/>
      </c>
      <c r="T341" s="46" t="e">
        <f t="shared" si="33"/>
        <v>#DIV/0!</v>
      </c>
      <c r="U341" s="40" t="str">
        <f>IF(データ!R338="","",データ!R338)</f>
        <v/>
      </c>
      <c r="V341" s="41" t="str">
        <f>IF(データ!S338="","",データ!S338)</f>
        <v/>
      </c>
      <c r="W341" s="42">
        <f>データ!T338</f>
        <v>0</v>
      </c>
      <c r="X341" s="48">
        <f>IF($C341="集計行","",データ!U338)</f>
        <v>0</v>
      </c>
      <c r="Y341" s="48">
        <f>データ!V338</f>
        <v>0</v>
      </c>
      <c r="Z341" s="39" t="str">
        <f>IF(OR($C341="総括",$C341="内訳書",$C341="内訳代価",$C341="明細書",$C341="明細代価",$C341="代価表",$C341="単価表"),データ!W338,"")</f>
        <v/>
      </c>
      <c r="AA341" s="11" t="str">
        <f t="shared" si="34"/>
        <v/>
      </c>
      <c r="AB341" s="46" t="e">
        <f t="shared" si="35"/>
        <v>#DIV/0!</v>
      </c>
      <c r="AC341" s="40" t="str">
        <f>IF(データ!X338="","",データ!X338)</f>
        <v/>
      </c>
      <c r="AD341" s="41" t="str">
        <f>IF(データ!Y338="","",データ!Y338)</f>
        <v/>
      </c>
      <c r="AE341" s="47" t="str">
        <f>TRIM(データ!B338)</f>
        <v/>
      </c>
      <c r="AF341" s="43" t="str">
        <f>TRIM(データ!Z338)</f>
        <v/>
      </c>
    </row>
    <row r="342" spans="1:32" x14ac:dyDescent="0.15">
      <c r="A342" s="47">
        <f>データ!A339</f>
        <v>2</v>
      </c>
      <c r="B342" s="47" t="str">
        <f>TRIM(データ!C339)</f>
        <v/>
      </c>
      <c r="C342" s="47" t="str">
        <f>TRIM(データ!D339)</f>
        <v>材料費</v>
      </c>
      <c r="D342" s="36" t="str">
        <f>REPT("｜",$A342)&amp;TRIM(データ!E339)</f>
        <v>｜｜再生砕石RC-40</v>
      </c>
      <c r="E342" s="37" t="str">
        <f>TRIM(データ!F339)</f>
        <v/>
      </c>
      <c r="F342" s="38" t="str">
        <f>TRIM(データ!G339)</f>
        <v>m3</v>
      </c>
      <c r="G342" s="50">
        <f>データ!H339</f>
        <v>4</v>
      </c>
      <c r="H342" s="48">
        <f>データ!I339</f>
        <v>2000</v>
      </c>
      <c r="I342" s="48">
        <f>データ!J339</f>
        <v>8000</v>
      </c>
      <c r="J342" s="39" t="str">
        <f>IF(OR($C342="総括",$C342="内訳書",$C342="内訳代価",$C342="明細書",$C342="明細代価",$C342="代価表",$C342="単価表"),データ!K339,"")</f>
        <v/>
      </c>
      <c r="K342" s="11" t="str">
        <f t="shared" si="30"/>
        <v/>
      </c>
      <c r="L342" s="46">
        <f t="shared" si="31"/>
        <v>4.3249391670275287E-4</v>
      </c>
      <c r="M342" s="40" t="str">
        <f>IF(データ!L339="","",データ!L339)</f>
        <v/>
      </c>
      <c r="N342" s="41" t="str">
        <f>IF(データ!M339="","",データ!M339)</f>
        <v/>
      </c>
      <c r="O342" s="42">
        <f>データ!N339</f>
        <v>0</v>
      </c>
      <c r="P342" s="48">
        <f>IF($C342="集計行","",データ!O339)</f>
        <v>0</v>
      </c>
      <c r="Q342" s="48">
        <f>データ!P339</f>
        <v>0</v>
      </c>
      <c r="R342" s="39" t="str">
        <f>IF(OR($C342="総括",$C342="内訳書",$C342="内訳代価",$C342="明細書",$C342="明細代価",$C342="代価表",$C342="単価表"),データ!Q339,"")</f>
        <v/>
      </c>
      <c r="S342" s="11" t="str">
        <f t="shared" si="32"/>
        <v/>
      </c>
      <c r="T342" s="46" t="e">
        <f t="shared" si="33"/>
        <v>#DIV/0!</v>
      </c>
      <c r="U342" s="40" t="str">
        <f>IF(データ!R339="","",データ!R339)</f>
        <v/>
      </c>
      <c r="V342" s="41" t="str">
        <f>IF(データ!S339="","",データ!S339)</f>
        <v/>
      </c>
      <c r="W342" s="42">
        <f>データ!T339</f>
        <v>0</v>
      </c>
      <c r="X342" s="48">
        <f>IF($C342="集計行","",データ!U339)</f>
        <v>0</v>
      </c>
      <c r="Y342" s="48">
        <f>データ!V339</f>
        <v>0</v>
      </c>
      <c r="Z342" s="39" t="str">
        <f>IF(OR($C342="総括",$C342="内訳書",$C342="内訳代価",$C342="明細書",$C342="明細代価",$C342="代価表",$C342="単価表"),データ!W339,"")</f>
        <v/>
      </c>
      <c r="AA342" s="11" t="str">
        <f t="shared" si="34"/>
        <v/>
      </c>
      <c r="AB342" s="46" t="e">
        <f t="shared" si="35"/>
        <v>#DIV/0!</v>
      </c>
      <c r="AC342" s="40" t="str">
        <f>IF(データ!X339="","",データ!X339)</f>
        <v/>
      </c>
      <c r="AD342" s="41" t="str">
        <f>IF(データ!Y339="","",データ!Y339)</f>
        <v/>
      </c>
      <c r="AE342" s="47" t="str">
        <f>TRIM(データ!B339)</f>
        <v/>
      </c>
      <c r="AF342" s="43" t="str">
        <f>TRIM(データ!Z339)</f>
        <v/>
      </c>
    </row>
    <row r="343" spans="1:32" x14ac:dyDescent="0.15">
      <c r="A343" s="47">
        <f>データ!A340</f>
        <v>2</v>
      </c>
      <c r="B343" s="47" t="str">
        <f>TRIM(データ!C340)</f>
        <v/>
      </c>
      <c r="C343" s="47" t="str">
        <f>TRIM(データ!D340)</f>
        <v>材料費</v>
      </c>
      <c r="D343" s="36" t="str">
        <f>REPT("｜",$A343)&amp;TRIM(データ!E340)</f>
        <v>｜｜養生砂</v>
      </c>
      <c r="E343" s="37" t="str">
        <f>TRIM(データ!F340)</f>
        <v/>
      </c>
      <c r="F343" s="38" t="str">
        <f>TRIM(データ!G340)</f>
        <v>m3</v>
      </c>
      <c r="G343" s="50">
        <f>データ!H340</f>
        <v>0.5</v>
      </c>
      <c r="H343" s="48">
        <f>データ!I340</f>
        <v>8000</v>
      </c>
      <c r="I343" s="48">
        <f>データ!J340</f>
        <v>4000</v>
      </c>
      <c r="J343" s="39" t="str">
        <f>IF(OR($C343="総括",$C343="内訳書",$C343="内訳代価",$C343="明細書",$C343="明細代価",$C343="代価表",$C343="単価表"),データ!K340,"")</f>
        <v/>
      </c>
      <c r="K343" s="11" t="str">
        <f t="shared" si="30"/>
        <v/>
      </c>
      <c r="L343" s="46">
        <f t="shared" si="31"/>
        <v>2.1624695835137644E-4</v>
      </c>
      <c r="M343" s="40" t="str">
        <f>IF(データ!L340="","",データ!L340)</f>
        <v/>
      </c>
      <c r="N343" s="41" t="str">
        <f>IF(データ!M340="","",データ!M340)</f>
        <v/>
      </c>
      <c r="O343" s="42">
        <f>データ!N340</f>
        <v>0</v>
      </c>
      <c r="P343" s="48">
        <f>IF($C343="集計行","",データ!O340)</f>
        <v>0</v>
      </c>
      <c r="Q343" s="48">
        <f>データ!P340</f>
        <v>0</v>
      </c>
      <c r="R343" s="39" t="str">
        <f>IF(OR($C343="総括",$C343="内訳書",$C343="内訳代価",$C343="明細書",$C343="明細代価",$C343="代価表",$C343="単価表"),データ!Q340,"")</f>
        <v/>
      </c>
      <c r="S343" s="11" t="str">
        <f t="shared" si="32"/>
        <v/>
      </c>
      <c r="T343" s="46" t="e">
        <f t="shared" si="33"/>
        <v>#DIV/0!</v>
      </c>
      <c r="U343" s="40" t="str">
        <f>IF(データ!R340="","",データ!R340)</f>
        <v/>
      </c>
      <c r="V343" s="41" t="str">
        <f>IF(データ!S340="","",データ!S340)</f>
        <v/>
      </c>
      <c r="W343" s="42">
        <f>データ!T340</f>
        <v>0</v>
      </c>
      <c r="X343" s="48">
        <f>IF($C343="集計行","",データ!U340)</f>
        <v>0</v>
      </c>
      <c r="Y343" s="48">
        <f>データ!V340</f>
        <v>0</v>
      </c>
      <c r="Z343" s="39" t="str">
        <f>IF(OR($C343="総括",$C343="内訳書",$C343="内訳代価",$C343="明細書",$C343="明細代価",$C343="代価表",$C343="単価表"),データ!W340,"")</f>
        <v/>
      </c>
      <c r="AA343" s="11" t="str">
        <f t="shared" si="34"/>
        <v/>
      </c>
      <c r="AB343" s="46" t="e">
        <f t="shared" si="35"/>
        <v>#DIV/0!</v>
      </c>
      <c r="AC343" s="40" t="str">
        <f>IF(データ!X340="","",データ!X340)</f>
        <v/>
      </c>
      <c r="AD343" s="41" t="str">
        <f>IF(データ!Y340="","",データ!Y340)</f>
        <v/>
      </c>
      <c r="AE343" s="47" t="str">
        <f>TRIM(データ!B340)</f>
        <v/>
      </c>
      <c r="AF343" s="43" t="str">
        <f>TRIM(データ!Z340)</f>
        <v/>
      </c>
    </row>
    <row r="344" spans="1:32" x14ac:dyDescent="0.15">
      <c r="A344" s="47">
        <f>データ!A341</f>
        <v>2</v>
      </c>
      <c r="B344" s="47" t="str">
        <f>TRIM(データ!C341)</f>
        <v/>
      </c>
      <c r="C344" s="47" t="str">
        <f>TRIM(データ!D341)</f>
        <v>材料費</v>
      </c>
      <c r="D344" s="36" t="str">
        <f>REPT("｜",$A344)&amp;TRIM(データ!E341)</f>
        <v>｜｜アスファルト乳剤PK-3</v>
      </c>
      <c r="E344" s="37" t="str">
        <f>TRIM(データ!F341)</f>
        <v/>
      </c>
      <c r="F344" s="38" t="str">
        <f>TRIM(データ!G341)</f>
        <v>リットル</v>
      </c>
      <c r="G344" s="50">
        <f>データ!H341</f>
        <v>180</v>
      </c>
      <c r="H344" s="48">
        <f>データ!I341</f>
        <v>155</v>
      </c>
      <c r="I344" s="48">
        <f>データ!J341</f>
        <v>27900</v>
      </c>
      <c r="J344" s="39" t="str">
        <f>IF(OR($C344="総括",$C344="内訳書",$C344="内訳代価",$C344="明細書",$C344="明細代価",$C344="代価表",$C344="単価表"),データ!K341,"")</f>
        <v/>
      </c>
      <c r="K344" s="11" t="str">
        <f t="shared" si="30"/>
        <v/>
      </c>
      <c r="L344" s="46">
        <f t="shared" si="31"/>
        <v>1.5083225345008506E-3</v>
      </c>
      <c r="M344" s="40" t="str">
        <f>IF(データ!L341="","",データ!L341)</f>
        <v/>
      </c>
      <c r="N344" s="41" t="str">
        <f>IF(データ!M341="","",データ!M341)</f>
        <v/>
      </c>
      <c r="O344" s="42">
        <f>データ!N341</f>
        <v>0</v>
      </c>
      <c r="P344" s="48">
        <f>IF($C344="集計行","",データ!O341)</f>
        <v>0</v>
      </c>
      <c r="Q344" s="48">
        <f>データ!P341</f>
        <v>0</v>
      </c>
      <c r="R344" s="39" t="str">
        <f>IF(OR($C344="総括",$C344="内訳書",$C344="内訳代価",$C344="明細書",$C344="明細代価",$C344="代価表",$C344="単価表"),データ!Q341,"")</f>
        <v/>
      </c>
      <c r="S344" s="11" t="str">
        <f t="shared" si="32"/>
        <v/>
      </c>
      <c r="T344" s="46" t="e">
        <f t="shared" si="33"/>
        <v>#DIV/0!</v>
      </c>
      <c r="U344" s="40" t="str">
        <f>IF(データ!R341="","",データ!R341)</f>
        <v/>
      </c>
      <c r="V344" s="41" t="str">
        <f>IF(データ!S341="","",データ!S341)</f>
        <v/>
      </c>
      <c r="W344" s="42">
        <f>データ!T341</f>
        <v>0</v>
      </c>
      <c r="X344" s="48">
        <f>IF($C344="集計行","",データ!U341)</f>
        <v>0</v>
      </c>
      <c r="Y344" s="48">
        <f>データ!V341</f>
        <v>0</v>
      </c>
      <c r="Z344" s="39" t="str">
        <f>IF(OR($C344="総括",$C344="内訳書",$C344="内訳代価",$C344="明細書",$C344="明細代価",$C344="代価表",$C344="単価表"),データ!W341,"")</f>
        <v/>
      </c>
      <c r="AA344" s="11" t="str">
        <f t="shared" si="34"/>
        <v/>
      </c>
      <c r="AB344" s="46" t="e">
        <f t="shared" si="35"/>
        <v>#DIV/0!</v>
      </c>
      <c r="AC344" s="40" t="str">
        <f>IF(データ!X341="","",データ!X341)</f>
        <v/>
      </c>
      <c r="AD344" s="41" t="str">
        <f>IF(データ!Y341="","",データ!Y341)</f>
        <v/>
      </c>
      <c r="AE344" s="47" t="str">
        <f>TRIM(データ!B341)</f>
        <v/>
      </c>
      <c r="AF344" s="43" t="str">
        <f>TRIM(データ!Z341)</f>
        <v/>
      </c>
    </row>
    <row r="345" spans="1:32" x14ac:dyDescent="0.15">
      <c r="A345" s="47">
        <f>データ!A342</f>
        <v>2</v>
      </c>
      <c r="B345" s="47" t="str">
        <f>TRIM(データ!C342)</f>
        <v/>
      </c>
      <c r="C345" s="47" t="str">
        <f>TRIM(データ!D342)</f>
        <v>材料費</v>
      </c>
      <c r="D345" s="36" t="str">
        <f>REPT("｜",$A345)&amp;TRIM(データ!E342)</f>
        <v>｜｜軽油</v>
      </c>
      <c r="E345" s="37" t="str">
        <f>TRIM(データ!F342)</f>
        <v/>
      </c>
      <c r="F345" s="38" t="str">
        <f>TRIM(データ!G342)</f>
        <v>リットル</v>
      </c>
      <c r="G345" s="50">
        <f>データ!H342</f>
        <v>80</v>
      </c>
      <c r="H345" s="48">
        <f>データ!I342</f>
        <v>160</v>
      </c>
      <c r="I345" s="48">
        <f>データ!J342</f>
        <v>12800</v>
      </c>
      <c r="J345" s="39" t="str">
        <f>IF(OR($C345="総括",$C345="内訳書",$C345="内訳代価",$C345="明細書",$C345="明細代価",$C345="代価表",$C345="単価表"),データ!K342,"")</f>
        <v/>
      </c>
      <c r="K345" s="11" t="str">
        <f t="shared" si="30"/>
        <v/>
      </c>
      <c r="L345" s="46">
        <f t="shared" si="31"/>
        <v>6.9199026672440457E-4</v>
      </c>
      <c r="M345" s="40" t="str">
        <f>IF(データ!L342="","",データ!L342)</f>
        <v/>
      </c>
      <c r="N345" s="41" t="str">
        <f>IF(データ!M342="","",データ!M342)</f>
        <v/>
      </c>
      <c r="O345" s="42">
        <f>データ!N342</f>
        <v>0</v>
      </c>
      <c r="P345" s="48">
        <f>IF($C345="集計行","",データ!O342)</f>
        <v>0</v>
      </c>
      <c r="Q345" s="48">
        <f>データ!P342</f>
        <v>0</v>
      </c>
      <c r="R345" s="39" t="str">
        <f>IF(OR($C345="総括",$C345="内訳書",$C345="内訳代価",$C345="明細書",$C345="明細代価",$C345="代価表",$C345="単価表"),データ!Q342,"")</f>
        <v/>
      </c>
      <c r="S345" s="11" t="str">
        <f t="shared" si="32"/>
        <v/>
      </c>
      <c r="T345" s="46" t="e">
        <f t="shared" si="33"/>
        <v>#DIV/0!</v>
      </c>
      <c r="U345" s="40" t="str">
        <f>IF(データ!R342="","",データ!R342)</f>
        <v/>
      </c>
      <c r="V345" s="41" t="str">
        <f>IF(データ!S342="","",データ!S342)</f>
        <v/>
      </c>
      <c r="W345" s="42">
        <f>データ!T342</f>
        <v>0</v>
      </c>
      <c r="X345" s="48">
        <f>IF($C345="集計行","",データ!U342)</f>
        <v>0</v>
      </c>
      <c r="Y345" s="48">
        <f>データ!V342</f>
        <v>0</v>
      </c>
      <c r="Z345" s="39" t="str">
        <f>IF(OR($C345="総括",$C345="内訳書",$C345="内訳代価",$C345="明細書",$C345="明細代価",$C345="代価表",$C345="単価表"),データ!W342,"")</f>
        <v/>
      </c>
      <c r="AA345" s="11" t="str">
        <f t="shared" si="34"/>
        <v/>
      </c>
      <c r="AB345" s="46" t="e">
        <f t="shared" si="35"/>
        <v>#DIV/0!</v>
      </c>
      <c r="AC345" s="40" t="str">
        <f>IF(データ!X342="","",データ!X342)</f>
        <v/>
      </c>
      <c r="AD345" s="41" t="str">
        <f>IF(データ!Y342="","",データ!Y342)</f>
        <v/>
      </c>
      <c r="AE345" s="47" t="str">
        <f>TRIM(データ!B342)</f>
        <v/>
      </c>
      <c r="AF345" s="43" t="str">
        <f>TRIM(データ!Z342)</f>
        <v/>
      </c>
    </row>
    <row r="346" spans="1:32" x14ac:dyDescent="0.15">
      <c r="A346" s="47">
        <f>データ!A343</f>
        <v>2</v>
      </c>
      <c r="B346" s="47" t="str">
        <f>TRIM(データ!C343)</f>
        <v/>
      </c>
      <c r="C346" s="47" t="str">
        <f>TRIM(データ!D343)</f>
        <v>材料費</v>
      </c>
      <c r="D346" s="36" t="str">
        <f>REPT("｜",$A346)&amp;TRIM(データ!E343)</f>
        <v>｜｜ガソリン</v>
      </c>
      <c r="E346" s="37" t="str">
        <f>TRIM(データ!F343)</f>
        <v/>
      </c>
      <c r="F346" s="38" t="str">
        <f>TRIM(データ!G343)</f>
        <v>リットル</v>
      </c>
      <c r="G346" s="50">
        <f>データ!H343</f>
        <v>20</v>
      </c>
      <c r="H346" s="48">
        <f>データ!I343</f>
        <v>180</v>
      </c>
      <c r="I346" s="48">
        <f>データ!J343</f>
        <v>3600</v>
      </c>
      <c r="J346" s="39" t="str">
        <f>IF(OR($C346="総括",$C346="内訳書",$C346="内訳代価",$C346="明細書",$C346="明細代価",$C346="代価表",$C346="単価表"),データ!K343,"")</f>
        <v/>
      </c>
      <c r="K346" s="11" t="str">
        <f t="shared" si="30"/>
        <v/>
      </c>
      <c r="L346" s="46">
        <f t="shared" si="31"/>
        <v>1.9462226251623879E-4</v>
      </c>
      <c r="M346" s="40" t="str">
        <f>IF(データ!L343="","",データ!L343)</f>
        <v/>
      </c>
      <c r="N346" s="41" t="str">
        <f>IF(データ!M343="","",データ!M343)</f>
        <v/>
      </c>
      <c r="O346" s="42">
        <f>データ!N343</f>
        <v>0</v>
      </c>
      <c r="P346" s="48">
        <f>IF($C346="集計行","",データ!O343)</f>
        <v>0</v>
      </c>
      <c r="Q346" s="48">
        <f>データ!P343</f>
        <v>0</v>
      </c>
      <c r="R346" s="39" t="str">
        <f>IF(OR($C346="総括",$C346="内訳書",$C346="内訳代価",$C346="明細書",$C346="明細代価",$C346="代価表",$C346="単価表"),データ!Q343,"")</f>
        <v/>
      </c>
      <c r="S346" s="11" t="str">
        <f t="shared" si="32"/>
        <v/>
      </c>
      <c r="T346" s="46" t="e">
        <f t="shared" si="33"/>
        <v>#DIV/0!</v>
      </c>
      <c r="U346" s="40" t="str">
        <f>IF(データ!R343="","",データ!R343)</f>
        <v/>
      </c>
      <c r="V346" s="41" t="str">
        <f>IF(データ!S343="","",データ!S343)</f>
        <v/>
      </c>
      <c r="W346" s="42">
        <f>データ!T343</f>
        <v>0</v>
      </c>
      <c r="X346" s="48">
        <f>IF($C346="集計行","",データ!U343)</f>
        <v>0</v>
      </c>
      <c r="Y346" s="48">
        <f>データ!V343</f>
        <v>0</v>
      </c>
      <c r="Z346" s="39" t="str">
        <f>IF(OR($C346="総括",$C346="内訳書",$C346="内訳代価",$C346="明細書",$C346="明細代価",$C346="代価表",$C346="単価表"),データ!W343,"")</f>
        <v/>
      </c>
      <c r="AA346" s="11" t="str">
        <f t="shared" si="34"/>
        <v/>
      </c>
      <c r="AB346" s="46" t="e">
        <f t="shared" si="35"/>
        <v>#DIV/0!</v>
      </c>
      <c r="AC346" s="40" t="str">
        <f>IF(データ!X343="","",データ!X343)</f>
        <v/>
      </c>
      <c r="AD346" s="41" t="str">
        <f>IF(データ!Y343="","",データ!Y343)</f>
        <v/>
      </c>
      <c r="AE346" s="47" t="str">
        <f>TRIM(データ!B343)</f>
        <v/>
      </c>
      <c r="AF346" s="43" t="str">
        <f>TRIM(データ!Z343)</f>
        <v/>
      </c>
    </row>
    <row r="347" spans="1:32" x14ac:dyDescent="0.15">
      <c r="A347" s="47">
        <f>データ!A344</f>
        <v>2</v>
      </c>
      <c r="B347" s="47" t="str">
        <f>TRIM(データ!C344)</f>
        <v/>
      </c>
      <c r="C347" s="47" t="str">
        <f>TRIM(データ!D344)</f>
        <v>材料費</v>
      </c>
      <c r="D347" s="36" t="str">
        <f>REPT("｜",$A347)&amp;TRIM(データ!E344)</f>
        <v>｜｜養生材</v>
      </c>
      <c r="E347" s="37" t="str">
        <f>TRIM(データ!F344)</f>
        <v/>
      </c>
      <c r="F347" s="38" t="str">
        <f>TRIM(データ!G344)</f>
        <v>式</v>
      </c>
      <c r="G347" s="50">
        <f>データ!H344</f>
        <v>1</v>
      </c>
      <c r="H347" s="48">
        <f>データ!I344</f>
        <v>7900</v>
      </c>
      <c r="I347" s="48">
        <f>データ!J344</f>
        <v>7900</v>
      </c>
      <c r="J347" s="39" t="str">
        <f>IF(OR($C347="総括",$C347="内訳書",$C347="内訳代価",$C347="明細書",$C347="明細代価",$C347="代価表",$C347="単価表"),データ!K344,"")</f>
        <v/>
      </c>
      <c r="K347" s="11" t="str">
        <f t="shared" si="30"/>
        <v/>
      </c>
      <c r="L347" s="46">
        <f t="shared" si="31"/>
        <v>4.2708774274396847E-4</v>
      </c>
      <c r="M347" s="40" t="str">
        <f>IF(データ!L344="","",データ!L344)</f>
        <v/>
      </c>
      <c r="N347" s="41" t="str">
        <f>IF(データ!M344="","",データ!M344)</f>
        <v/>
      </c>
      <c r="O347" s="42">
        <f>データ!N344</f>
        <v>0</v>
      </c>
      <c r="P347" s="48">
        <f>IF($C347="集計行","",データ!O344)</f>
        <v>0</v>
      </c>
      <c r="Q347" s="48">
        <f>データ!P344</f>
        <v>0</v>
      </c>
      <c r="R347" s="39" t="str">
        <f>IF(OR($C347="総括",$C347="内訳書",$C347="内訳代価",$C347="明細書",$C347="明細代価",$C347="代価表",$C347="単価表"),データ!Q344,"")</f>
        <v/>
      </c>
      <c r="S347" s="11" t="str">
        <f t="shared" si="32"/>
        <v/>
      </c>
      <c r="T347" s="46" t="e">
        <f t="shared" si="33"/>
        <v>#DIV/0!</v>
      </c>
      <c r="U347" s="40" t="str">
        <f>IF(データ!R344="","",データ!R344)</f>
        <v/>
      </c>
      <c r="V347" s="41" t="str">
        <f>IF(データ!S344="","",データ!S344)</f>
        <v/>
      </c>
      <c r="W347" s="42">
        <f>データ!T344</f>
        <v>0</v>
      </c>
      <c r="X347" s="48">
        <f>IF($C347="集計行","",データ!U344)</f>
        <v>0</v>
      </c>
      <c r="Y347" s="48">
        <f>データ!V344</f>
        <v>0</v>
      </c>
      <c r="Z347" s="39" t="str">
        <f>IF(OR($C347="総括",$C347="内訳書",$C347="内訳代価",$C347="明細書",$C347="明細代価",$C347="代価表",$C347="単価表"),データ!W344,"")</f>
        <v/>
      </c>
      <c r="AA347" s="11" t="str">
        <f t="shared" si="34"/>
        <v/>
      </c>
      <c r="AB347" s="46" t="e">
        <f t="shared" si="35"/>
        <v>#DIV/0!</v>
      </c>
      <c r="AC347" s="40" t="str">
        <f>IF(データ!X344="","",データ!X344)</f>
        <v/>
      </c>
      <c r="AD347" s="41" t="str">
        <f>IF(データ!Y344="","",データ!Y344)</f>
        <v/>
      </c>
      <c r="AE347" s="47" t="str">
        <f>TRIM(データ!B344)</f>
        <v/>
      </c>
      <c r="AF347" s="43" t="str">
        <f>TRIM(データ!Z344)</f>
        <v/>
      </c>
    </row>
    <row r="348" spans="1:32" x14ac:dyDescent="0.15">
      <c r="A348" s="47">
        <f>データ!A345</f>
        <v>2</v>
      </c>
      <c r="B348" s="47" t="str">
        <f>TRIM(データ!C345)</f>
        <v/>
      </c>
      <c r="C348" s="47" t="str">
        <f>TRIM(データ!D345)</f>
        <v>労務費</v>
      </c>
      <c r="D348" s="36" t="str">
        <f>REPT("｜",$A348)&amp;TRIM(データ!E345)</f>
        <v>｜｜土工</v>
      </c>
      <c r="E348" s="37" t="str">
        <f>TRIM(データ!F345)</f>
        <v/>
      </c>
      <c r="F348" s="38" t="str">
        <f>TRIM(データ!G345)</f>
        <v>人</v>
      </c>
      <c r="G348" s="50">
        <f>データ!H345</f>
        <v>8</v>
      </c>
      <c r="H348" s="48">
        <f>データ!I345</f>
        <v>25000</v>
      </c>
      <c r="I348" s="48">
        <f>データ!J345</f>
        <v>200000</v>
      </c>
      <c r="J348" s="39" t="str">
        <f>IF(OR($C348="総括",$C348="内訳書",$C348="内訳代価",$C348="明細書",$C348="明細代価",$C348="代価表",$C348="単価表"),データ!K345,"")</f>
        <v/>
      </c>
      <c r="K348" s="11" t="str">
        <f t="shared" si="30"/>
        <v/>
      </c>
      <c r="L348" s="46">
        <f t="shared" si="31"/>
        <v>1.0812347917568821E-2</v>
      </c>
      <c r="M348" s="40" t="str">
        <f>IF(データ!L345="","",データ!L345)</f>
        <v/>
      </c>
      <c r="N348" s="41" t="str">
        <f>IF(データ!M345="","",データ!M345)</f>
        <v/>
      </c>
      <c r="O348" s="42">
        <f>データ!N345</f>
        <v>0</v>
      </c>
      <c r="P348" s="48">
        <f>IF($C348="集計行","",データ!O345)</f>
        <v>0</v>
      </c>
      <c r="Q348" s="48">
        <f>データ!P345</f>
        <v>0</v>
      </c>
      <c r="R348" s="39" t="str">
        <f>IF(OR($C348="総括",$C348="内訳書",$C348="内訳代価",$C348="明細書",$C348="明細代価",$C348="代価表",$C348="単価表"),データ!Q345,"")</f>
        <v/>
      </c>
      <c r="S348" s="11" t="str">
        <f t="shared" si="32"/>
        <v/>
      </c>
      <c r="T348" s="46" t="e">
        <f t="shared" si="33"/>
        <v>#DIV/0!</v>
      </c>
      <c r="U348" s="40" t="str">
        <f>IF(データ!R345="","",データ!R345)</f>
        <v/>
      </c>
      <c r="V348" s="41" t="str">
        <f>IF(データ!S345="","",データ!S345)</f>
        <v/>
      </c>
      <c r="W348" s="42">
        <f>データ!T345</f>
        <v>0</v>
      </c>
      <c r="X348" s="48">
        <f>IF($C348="集計行","",データ!U345)</f>
        <v>0</v>
      </c>
      <c r="Y348" s="48">
        <f>データ!V345</f>
        <v>0</v>
      </c>
      <c r="Z348" s="39" t="str">
        <f>IF(OR($C348="総括",$C348="内訳書",$C348="内訳代価",$C348="明細書",$C348="明細代価",$C348="代価表",$C348="単価表"),データ!W345,"")</f>
        <v/>
      </c>
      <c r="AA348" s="11" t="str">
        <f t="shared" si="34"/>
        <v/>
      </c>
      <c r="AB348" s="46" t="e">
        <f t="shared" si="35"/>
        <v>#DIV/0!</v>
      </c>
      <c r="AC348" s="40" t="str">
        <f>IF(データ!X345="","",データ!X345)</f>
        <v/>
      </c>
      <c r="AD348" s="41" t="str">
        <f>IF(データ!Y345="","",データ!Y345)</f>
        <v/>
      </c>
      <c r="AE348" s="47" t="str">
        <f>TRIM(データ!B345)</f>
        <v/>
      </c>
      <c r="AF348" s="43" t="str">
        <f>TRIM(データ!Z345)</f>
        <v/>
      </c>
    </row>
    <row r="349" spans="1:32" x14ac:dyDescent="0.15">
      <c r="A349" s="47">
        <f>データ!A346</f>
        <v>2</v>
      </c>
      <c r="B349" s="47" t="str">
        <f>TRIM(データ!C346)</f>
        <v/>
      </c>
      <c r="C349" s="47" t="str">
        <f>TRIM(データ!D346)</f>
        <v>機械費</v>
      </c>
      <c r="D349" s="36" t="str">
        <f>REPT("｜",$A349)&amp;TRIM(データ!E346)</f>
        <v>｜｜フィニッシャー4.5m</v>
      </c>
      <c r="E349" s="37" t="str">
        <f>TRIM(データ!F346)</f>
        <v/>
      </c>
      <c r="F349" s="38" t="str">
        <f>TRIM(データ!G346)</f>
        <v>台</v>
      </c>
      <c r="G349" s="50">
        <f>データ!H346</f>
        <v>1</v>
      </c>
      <c r="H349" s="48">
        <f>データ!I346</f>
        <v>85000</v>
      </c>
      <c r="I349" s="48">
        <f>データ!J346</f>
        <v>85000</v>
      </c>
      <c r="J349" s="39" t="str">
        <f>IF(OR($C349="総括",$C349="内訳書",$C349="内訳代価",$C349="明細書",$C349="明細代価",$C349="代価表",$C349="単価表"),データ!K346,"")</f>
        <v/>
      </c>
      <c r="K349" s="11" t="str">
        <f t="shared" si="30"/>
        <v/>
      </c>
      <c r="L349" s="46">
        <f t="shared" si="31"/>
        <v>4.5952478649667495E-3</v>
      </c>
      <c r="M349" s="40" t="str">
        <f>IF(データ!L346="","",データ!L346)</f>
        <v/>
      </c>
      <c r="N349" s="41" t="str">
        <f>IF(データ!M346="","",データ!M346)</f>
        <v/>
      </c>
      <c r="O349" s="42">
        <f>データ!N346</f>
        <v>0</v>
      </c>
      <c r="P349" s="48">
        <f>IF($C349="集計行","",データ!O346)</f>
        <v>0</v>
      </c>
      <c r="Q349" s="48">
        <f>データ!P346</f>
        <v>0</v>
      </c>
      <c r="R349" s="39" t="str">
        <f>IF(OR($C349="総括",$C349="内訳書",$C349="内訳代価",$C349="明細書",$C349="明細代価",$C349="代価表",$C349="単価表"),データ!Q346,"")</f>
        <v/>
      </c>
      <c r="S349" s="11" t="str">
        <f t="shared" si="32"/>
        <v/>
      </c>
      <c r="T349" s="46" t="e">
        <f t="shared" si="33"/>
        <v>#DIV/0!</v>
      </c>
      <c r="U349" s="40" t="str">
        <f>IF(データ!R346="","",データ!R346)</f>
        <v/>
      </c>
      <c r="V349" s="41" t="str">
        <f>IF(データ!S346="","",データ!S346)</f>
        <v/>
      </c>
      <c r="W349" s="42">
        <f>データ!T346</f>
        <v>0</v>
      </c>
      <c r="X349" s="48">
        <f>IF($C349="集計行","",データ!U346)</f>
        <v>0</v>
      </c>
      <c r="Y349" s="48">
        <f>データ!V346</f>
        <v>0</v>
      </c>
      <c r="Z349" s="39" t="str">
        <f>IF(OR($C349="総括",$C349="内訳書",$C349="内訳代価",$C349="明細書",$C349="明細代価",$C349="代価表",$C349="単価表"),データ!W346,"")</f>
        <v/>
      </c>
      <c r="AA349" s="11" t="str">
        <f t="shared" si="34"/>
        <v/>
      </c>
      <c r="AB349" s="46" t="e">
        <f t="shared" si="35"/>
        <v>#DIV/0!</v>
      </c>
      <c r="AC349" s="40" t="str">
        <f>IF(データ!X346="","",データ!X346)</f>
        <v/>
      </c>
      <c r="AD349" s="41" t="str">
        <f>IF(データ!Y346="","",データ!Y346)</f>
        <v/>
      </c>
      <c r="AE349" s="47" t="str">
        <f>TRIM(データ!B346)</f>
        <v/>
      </c>
      <c r="AF349" s="43" t="str">
        <f>TRIM(データ!Z346)</f>
        <v/>
      </c>
    </row>
    <row r="350" spans="1:32" x14ac:dyDescent="0.15">
      <c r="A350" s="47">
        <f>データ!A347</f>
        <v>2</v>
      </c>
      <c r="B350" s="47" t="str">
        <f>TRIM(データ!C347)</f>
        <v/>
      </c>
      <c r="C350" s="47" t="str">
        <f>TRIM(データ!D347)</f>
        <v>機械費</v>
      </c>
      <c r="D350" s="36" t="str">
        <f>REPT("｜",$A350)&amp;TRIM(データ!E347)</f>
        <v>｜｜コンバインドローラ</v>
      </c>
      <c r="E350" s="37" t="str">
        <f>TRIM(データ!F347)</f>
        <v/>
      </c>
      <c r="F350" s="38" t="str">
        <f>TRIM(データ!G347)</f>
        <v>台</v>
      </c>
      <c r="G350" s="50">
        <f>データ!H347</f>
        <v>1</v>
      </c>
      <c r="H350" s="48">
        <f>データ!I347</f>
        <v>6000</v>
      </c>
      <c r="I350" s="48">
        <f>データ!J347</f>
        <v>6000</v>
      </c>
      <c r="J350" s="39" t="str">
        <f>IF(OR($C350="総括",$C350="内訳書",$C350="内訳代価",$C350="明細書",$C350="明細代価",$C350="代価表",$C350="単価表"),データ!K347,"")</f>
        <v/>
      </c>
      <c r="K350" s="11" t="str">
        <f t="shared" si="30"/>
        <v/>
      </c>
      <c r="L350" s="46">
        <f t="shared" si="31"/>
        <v>3.2437043752706464E-4</v>
      </c>
      <c r="M350" s="40" t="str">
        <f>IF(データ!L347="","",データ!L347)</f>
        <v/>
      </c>
      <c r="N350" s="41" t="str">
        <f>IF(データ!M347="","",データ!M347)</f>
        <v/>
      </c>
      <c r="O350" s="42">
        <f>データ!N347</f>
        <v>0</v>
      </c>
      <c r="P350" s="48">
        <f>IF($C350="集計行","",データ!O347)</f>
        <v>0</v>
      </c>
      <c r="Q350" s="48">
        <f>データ!P347</f>
        <v>0</v>
      </c>
      <c r="R350" s="39" t="str">
        <f>IF(OR($C350="総括",$C350="内訳書",$C350="内訳代価",$C350="明細書",$C350="明細代価",$C350="代価表",$C350="単価表"),データ!Q347,"")</f>
        <v/>
      </c>
      <c r="S350" s="11" t="str">
        <f t="shared" si="32"/>
        <v/>
      </c>
      <c r="T350" s="46" t="e">
        <f t="shared" si="33"/>
        <v>#DIV/0!</v>
      </c>
      <c r="U350" s="40" t="str">
        <f>IF(データ!R347="","",データ!R347)</f>
        <v/>
      </c>
      <c r="V350" s="41" t="str">
        <f>IF(データ!S347="","",データ!S347)</f>
        <v/>
      </c>
      <c r="W350" s="42">
        <f>データ!T347</f>
        <v>0</v>
      </c>
      <c r="X350" s="48">
        <f>IF($C350="集計行","",データ!U347)</f>
        <v>0</v>
      </c>
      <c r="Y350" s="48">
        <f>データ!V347</f>
        <v>0</v>
      </c>
      <c r="Z350" s="39" t="str">
        <f>IF(OR($C350="総括",$C350="内訳書",$C350="内訳代価",$C350="明細書",$C350="明細代価",$C350="代価表",$C350="単価表"),データ!W347,"")</f>
        <v/>
      </c>
      <c r="AA350" s="11" t="str">
        <f t="shared" si="34"/>
        <v/>
      </c>
      <c r="AB350" s="46" t="e">
        <f t="shared" si="35"/>
        <v>#DIV/0!</v>
      </c>
      <c r="AC350" s="40" t="str">
        <f>IF(データ!X347="","",データ!X347)</f>
        <v/>
      </c>
      <c r="AD350" s="41" t="str">
        <f>IF(データ!Y347="","",データ!Y347)</f>
        <v/>
      </c>
      <c r="AE350" s="47" t="str">
        <f>TRIM(データ!B347)</f>
        <v/>
      </c>
      <c r="AF350" s="43" t="str">
        <f>TRIM(データ!Z347)</f>
        <v/>
      </c>
    </row>
    <row r="351" spans="1:32" x14ac:dyDescent="0.15">
      <c r="A351" s="47">
        <f>データ!A348</f>
        <v>2</v>
      </c>
      <c r="B351" s="47" t="str">
        <f>TRIM(データ!C348)</f>
        <v/>
      </c>
      <c r="C351" s="47" t="str">
        <f>TRIM(データ!D348)</f>
        <v>機械費</v>
      </c>
      <c r="D351" s="36" t="str">
        <f>REPT("｜",$A351)&amp;TRIM(データ!E348)</f>
        <v>｜｜タイヤローラ</v>
      </c>
      <c r="E351" s="37" t="str">
        <f>TRIM(データ!F348)</f>
        <v/>
      </c>
      <c r="F351" s="38" t="str">
        <f>TRIM(データ!G348)</f>
        <v>台</v>
      </c>
      <c r="G351" s="50">
        <f>データ!H348</f>
        <v>1</v>
      </c>
      <c r="H351" s="48">
        <f>データ!I348</f>
        <v>8000</v>
      </c>
      <c r="I351" s="48">
        <f>データ!J348</f>
        <v>8000</v>
      </c>
      <c r="J351" s="39" t="str">
        <f>IF(OR($C351="総括",$C351="内訳書",$C351="内訳代価",$C351="明細書",$C351="明細代価",$C351="代価表",$C351="単価表"),データ!K348,"")</f>
        <v/>
      </c>
      <c r="K351" s="11" t="str">
        <f t="shared" si="30"/>
        <v/>
      </c>
      <c r="L351" s="46">
        <f t="shared" si="31"/>
        <v>4.3249391670275287E-4</v>
      </c>
      <c r="M351" s="40" t="str">
        <f>IF(データ!L348="","",データ!L348)</f>
        <v/>
      </c>
      <c r="N351" s="41" t="str">
        <f>IF(データ!M348="","",データ!M348)</f>
        <v/>
      </c>
      <c r="O351" s="42">
        <f>データ!N348</f>
        <v>0</v>
      </c>
      <c r="P351" s="48">
        <f>IF($C351="集計行","",データ!O348)</f>
        <v>0</v>
      </c>
      <c r="Q351" s="48">
        <f>データ!P348</f>
        <v>0</v>
      </c>
      <c r="R351" s="39" t="str">
        <f>IF(OR($C351="総括",$C351="内訳書",$C351="内訳代価",$C351="明細書",$C351="明細代価",$C351="代価表",$C351="単価表"),データ!Q348,"")</f>
        <v/>
      </c>
      <c r="S351" s="11" t="str">
        <f t="shared" si="32"/>
        <v/>
      </c>
      <c r="T351" s="46" t="e">
        <f t="shared" si="33"/>
        <v>#DIV/0!</v>
      </c>
      <c r="U351" s="40" t="str">
        <f>IF(データ!R348="","",データ!R348)</f>
        <v/>
      </c>
      <c r="V351" s="41" t="str">
        <f>IF(データ!S348="","",データ!S348)</f>
        <v/>
      </c>
      <c r="W351" s="42">
        <f>データ!T348</f>
        <v>0</v>
      </c>
      <c r="X351" s="48">
        <f>IF($C351="集計行","",データ!U348)</f>
        <v>0</v>
      </c>
      <c r="Y351" s="48">
        <f>データ!V348</f>
        <v>0</v>
      </c>
      <c r="Z351" s="39" t="str">
        <f>IF(OR($C351="総括",$C351="内訳書",$C351="内訳代価",$C351="明細書",$C351="明細代価",$C351="代価表",$C351="単価表"),データ!W348,"")</f>
        <v/>
      </c>
      <c r="AA351" s="11" t="str">
        <f t="shared" si="34"/>
        <v/>
      </c>
      <c r="AB351" s="46" t="e">
        <f t="shared" si="35"/>
        <v>#DIV/0!</v>
      </c>
      <c r="AC351" s="40" t="str">
        <f>IF(データ!X348="","",データ!X348)</f>
        <v/>
      </c>
      <c r="AD351" s="41" t="str">
        <f>IF(データ!Y348="","",データ!Y348)</f>
        <v/>
      </c>
      <c r="AE351" s="47" t="str">
        <f>TRIM(データ!B348)</f>
        <v/>
      </c>
      <c r="AF351" s="43" t="str">
        <f>TRIM(データ!Z348)</f>
        <v/>
      </c>
    </row>
    <row r="352" spans="1:32" x14ac:dyDescent="0.15">
      <c r="A352" s="47">
        <f>データ!A349</f>
        <v>2</v>
      </c>
      <c r="B352" s="47" t="str">
        <f>TRIM(データ!C349)</f>
        <v/>
      </c>
      <c r="C352" s="47" t="str">
        <f>TRIM(データ!D349)</f>
        <v>機械費</v>
      </c>
      <c r="D352" s="36" t="str">
        <f>REPT("｜",$A352)&amp;TRIM(データ!E349)</f>
        <v>｜｜ミニバックホウ</v>
      </c>
      <c r="E352" s="37" t="str">
        <f>TRIM(データ!F349)</f>
        <v/>
      </c>
      <c r="F352" s="38" t="str">
        <f>TRIM(データ!G349)</f>
        <v>台</v>
      </c>
      <c r="G352" s="50">
        <f>データ!H349</f>
        <v>1</v>
      </c>
      <c r="H352" s="48">
        <f>データ!I349</f>
        <v>8000</v>
      </c>
      <c r="I352" s="48">
        <f>データ!J349</f>
        <v>8000</v>
      </c>
      <c r="J352" s="39" t="str">
        <f>IF(OR($C352="総括",$C352="内訳書",$C352="内訳代価",$C352="明細書",$C352="明細代価",$C352="代価表",$C352="単価表"),データ!K349,"")</f>
        <v/>
      </c>
      <c r="K352" s="11" t="str">
        <f t="shared" si="30"/>
        <v/>
      </c>
      <c r="L352" s="46">
        <f t="shared" si="31"/>
        <v>4.3249391670275287E-4</v>
      </c>
      <c r="M352" s="40" t="str">
        <f>IF(データ!L349="","",データ!L349)</f>
        <v/>
      </c>
      <c r="N352" s="41" t="str">
        <f>IF(データ!M349="","",データ!M349)</f>
        <v/>
      </c>
      <c r="O352" s="42">
        <f>データ!N349</f>
        <v>0</v>
      </c>
      <c r="P352" s="48">
        <f>IF($C352="集計行","",データ!O349)</f>
        <v>0</v>
      </c>
      <c r="Q352" s="48">
        <f>データ!P349</f>
        <v>0</v>
      </c>
      <c r="R352" s="39" t="str">
        <f>IF(OR($C352="総括",$C352="内訳書",$C352="内訳代価",$C352="明細書",$C352="明細代価",$C352="代価表",$C352="単価表"),データ!Q349,"")</f>
        <v/>
      </c>
      <c r="S352" s="11" t="str">
        <f t="shared" si="32"/>
        <v/>
      </c>
      <c r="T352" s="46" t="e">
        <f t="shared" si="33"/>
        <v>#DIV/0!</v>
      </c>
      <c r="U352" s="40" t="str">
        <f>IF(データ!R349="","",データ!R349)</f>
        <v/>
      </c>
      <c r="V352" s="41" t="str">
        <f>IF(データ!S349="","",データ!S349)</f>
        <v/>
      </c>
      <c r="W352" s="42">
        <f>データ!T349</f>
        <v>0</v>
      </c>
      <c r="X352" s="48">
        <f>IF($C352="集計行","",データ!U349)</f>
        <v>0</v>
      </c>
      <c r="Y352" s="48">
        <f>データ!V349</f>
        <v>0</v>
      </c>
      <c r="Z352" s="39" t="str">
        <f>IF(OR($C352="総括",$C352="内訳書",$C352="内訳代価",$C352="明細書",$C352="明細代価",$C352="代価表",$C352="単価表"),データ!W349,"")</f>
        <v/>
      </c>
      <c r="AA352" s="11" t="str">
        <f t="shared" si="34"/>
        <v/>
      </c>
      <c r="AB352" s="46" t="e">
        <f t="shared" si="35"/>
        <v>#DIV/0!</v>
      </c>
      <c r="AC352" s="40" t="str">
        <f>IF(データ!X349="","",データ!X349)</f>
        <v/>
      </c>
      <c r="AD352" s="41" t="str">
        <f>IF(データ!Y349="","",データ!Y349)</f>
        <v/>
      </c>
      <c r="AE352" s="47" t="str">
        <f>TRIM(データ!B349)</f>
        <v/>
      </c>
      <c r="AF352" s="43" t="str">
        <f>TRIM(データ!Z349)</f>
        <v/>
      </c>
    </row>
    <row r="353" spans="1:32" x14ac:dyDescent="0.15">
      <c r="A353" s="47">
        <f>データ!A350</f>
        <v>2</v>
      </c>
      <c r="B353" s="47" t="str">
        <f>TRIM(データ!C350)</f>
        <v/>
      </c>
      <c r="C353" s="47" t="str">
        <f>TRIM(データ!D350)</f>
        <v>機械費</v>
      </c>
      <c r="D353" s="36" t="str">
        <f>REPT("｜",$A353)&amp;TRIM(データ!E350)</f>
        <v>｜｜タイヤバックホウ0.4m3</v>
      </c>
      <c r="E353" s="37" t="str">
        <f>TRIM(データ!F350)</f>
        <v/>
      </c>
      <c r="F353" s="38" t="str">
        <f>TRIM(データ!G350)</f>
        <v>台</v>
      </c>
      <c r="G353" s="50">
        <f>データ!H350</f>
        <v>1</v>
      </c>
      <c r="H353" s="48">
        <f>データ!I350</f>
        <v>55000</v>
      </c>
      <c r="I353" s="48">
        <f>データ!J350</f>
        <v>55000</v>
      </c>
      <c r="J353" s="39" t="str">
        <f>IF(OR($C353="総括",$C353="内訳書",$C353="内訳代価",$C353="明細書",$C353="明細代価",$C353="代価表",$C353="単価表"),データ!K350,"")</f>
        <v/>
      </c>
      <c r="K353" s="11" t="str">
        <f t="shared" si="30"/>
        <v/>
      </c>
      <c r="L353" s="46">
        <f t="shared" si="31"/>
        <v>2.973395677331426E-3</v>
      </c>
      <c r="M353" s="40" t="str">
        <f>IF(データ!L350="","",データ!L350)</f>
        <v/>
      </c>
      <c r="N353" s="41" t="str">
        <f>IF(データ!M350="","",データ!M350)</f>
        <v/>
      </c>
      <c r="O353" s="42">
        <f>データ!N350</f>
        <v>0</v>
      </c>
      <c r="P353" s="48">
        <f>IF($C353="集計行","",データ!O350)</f>
        <v>0</v>
      </c>
      <c r="Q353" s="48">
        <f>データ!P350</f>
        <v>0</v>
      </c>
      <c r="R353" s="39" t="str">
        <f>IF(OR($C353="総括",$C353="内訳書",$C353="内訳代価",$C353="明細書",$C353="明細代価",$C353="代価表",$C353="単価表"),データ!Q350,"")</f>
        <v/>
      </c>
      <c r="S353" s="11" t="str">
        <f t="shared" si="32"/>
        <v/>
      </c>
      <c r="T353" s="46" t="e">
        <f t="shared" si="33"/>
        <v>#DIV/0!</v>
      </c>
      <c r="U353" s="40" t="str">
        <f>IF(データ!R350="","",データ!R350)</f>
        <v/>
      </c>
      <c r="V353" s="41" t="str">
        <f>IF(データ!S350="","",データ!S350)</f>
        <v/>
      </c>
      <c r="W353" s="42">
        <f>データ!T350</f>
        <v>0</v>
      </c>
      <c r="X353" s="48">
        <f>IF($C353="集計行","",データ!U350)</f>
        <v>0</v>
      </c>
      <c r="Y353" s="48">
        <f>データ!V350</f>
        <v>0</v>
      </c>
      <c r="Z353" s="39" t="str">
        <f>IF(OR($C353="総括",$C353="内訳書",$C353="内訳代価",$C353="明細書",$C353="明細代価",$C353="代価表",$C353="単価表"),データ!W350,"")</f>
        <v/>
      </c>
      <c r="AA353" s="11" t="str">
        <f t="shared" si="34"/>
        <v/>
      </c>
      <c r="AB353" s="46" t="e">
        <f t="shared" si="35"/>
        <v>#DIV/0!</v>
      </c>
      <c r="AC353" s="40" t="str">
        <f>IF(データ!X350="","",データ!X350)</f>
        <v/>
      </c>
      <c r="AD353" s="41" t="str">
        <f>IF(データ!Y350="","",データ!Y350)</f>
        <v/>
      </c>
      <c r="AE353" s="47" t="str">
        <f>TRIM(データ!B350)</f>
        <v/>
      </c>
      <c r="AF353" s="43" t="str">
        <f>TRIM(データ!Z350)</f>
        <v/>
      </c>
    </row>
    <row r="354" spans="1:32" x14ac:dyDescent="0.15">
      <c r="A354" s="47">
        <f>データ!A351</f>
        <v>2</v>
      </c>
      <c r="B354" s="47" t="str">
        <f>TRIM(データ!C351)</f>
        <v/>
      </c>
      <c r="C354" s="47" t="str">
        <f>TRIM(データ!D351)</f>
        <v>機械費</v>
      </c>
      <c r="D354" s="36" t="str">
        <f>REPT("｜",$A354)&amp;TRIM(データ!E351)</f>
        <v>｜｜デスビ</v>
      </c>
      <c r="E354" s="37" t="str">
        <f>TRIM(データ!F351)</f>
        <v/>
      </c>
      <c r="F354" s="38" t="str">
        <f>TRIM(データ!G351)</f>
        <v>台</v>
      </c>
      <c r="G354" s="50">
        <f>データ!H351</f>
        <v>1</v>
      </c>
      <c r="H354" s="48">
        <f>データ!I351</f>
        <v>50000</v>
      </c>
      <c r="I354" s="48">
        <f>データ!J351</f>
        <v>50000</v>
      </c>
      <c r="J354" s="39" t="str">
        <f>IF(OR($C354="総括",$C354="内訳書",$C354="内訳代価",$C354="明細書",$C354="明細代価",$C354="代価表",$C354="単価表"),データ!K351,"")</f>
        <v/>
      </c>
      <c r="K354" s="11" t="str">
        <f t="shared" si="30"/>
        <v/>
      </c>
      <c r="L354" s="46">
        <f t="shared" si="31"/>
        <v>2.7030869793922053E-3</v>
      </c>
      <c r="M354" s="40" t="str">
        <f>IF(データ!L351="","",データ!L351)</f>
        <v/>
      </c>
      <c r="N354" s="41" t="str">
        <f>IF(データ!M351="","",データ!M351)</f>
        <v/>
      </c>
      <c r="O354" s="42">
        <f>データ!N351</f>
        <v>0</v>
      </c>
      <c r="P354" s="48">
        <f>IF($C354="集計行","",データ!O351)</f>
        <v>0</v>
      </c>
      <c r="Q354" s="48">
        <f>データ!P351</f>
        <v>0</v>
      </c>
      <c r="R354" s="39" t="str">
        <f>IF(OR($C354="総括",$C354="内訳書",$C354="内訳代価",$C354="明細書",$C354="明細代価",$C354="代価表",$C354="単価表"),データ!Q351,"")</f>
        <v/>
      </c>
      <c r="S354" s="11" t="str">
        <f t="shared" si="32"/>
        <v/>
      </c>
      <c r="T354" s="46" t="e">
        <f t="shared" si="33"/>
        <v>#DIV/0!</v>
      </c>
      <c r="U354" s="40" t="str">
        <f>IF(データ!R351="","",データ!R351)</f>
        <v/>
      </c>
      <c r="V354" s="41" t="str">
        <f>IF(データ!S351="","",データ!S351)</f>
        <v/>
      </c>
      <c r="W354" s="42">
        <f>データ!T351</f>
        <v>0</v>
      </c>
      <c r="X354" s="48">
        <f>IF($C354="集計行","",データ!U351)</f>
        <v>0</v>
      </c>
      <c r="Y354" s="48">
        <f>データ!V351</f>
        <v>0</v>
      </c>
      <c r="Z354" s="39" t="str">
        <f>IF(OR($C354="総括",$C354="内訳書",$C354="内訳代価",$C354="明細書",$C354="明細代価",$C354="代価表",$C354="単価表"),データ!W351,"")</f>
        <v/>
      </c>
      <c r="AA354" s="11" t="str">
        <f t="shared" si="34"/>
        <v/>
      </c>
      <c r="AB354" s="46" t="e">
        <f t="shared" si="35"/>
        <v>#DIV/0!</v>
      </c>
      <c r="AC354" s="40" t="str">
        <f>IF(データ!X351="","",データ!X351)</f>
        <v/>
      </c>
      <c r="AD354" s="41" t="str">
        <f>IF(データ!Y351="","",データ!Y351)</f>
        <v/>
      </c>
      <c r="AE354" s="47" t="str">
        <f>TRIM(データ!B351)</f>
        <v/>
      </c>
      <c r="AF354" s="43" t="str">
        <f>TRIM(データ!Z351)</f>
        <v/>
      </c>
    </row>
    <row r="355" spans="1:32" x14ac:dyDescent="0.15">
      <c r="A355" s="47">
        <f>データ!A352</f>
        <v>2</v>
      </c>
      <c r="B355" s="47" t="str">
        <f>TRIM(データ!C352)</f>
        <v/>
      </c>
      <c r="C355" s="47" t="str">
        <f>TRIM(データ!D352)</f>
        <v>機械費</v>
      </c>
      <c r="D355" s="36" t="str">
        <f>REPT("｜",$A355)&amp;TRIM(データ!E352)</f>
        <v>｜｜小物機械</v>
      </c>
      <c r="E355" s="37" t="str">
        <f>TRIM(データ!F352)</f>
        <v/>
      </c>
      <c r="F355" s="38" t="str">
        <f>TRIM(データ!G352)</f>
        <v>台</v>
      </c>
      <c r="G355" s="50">
        <f>データ!H352</f>
        <v>2</v>
      </c>
      <c r="H355" s="48">
        <f>データ!I352</f>
        <v>3000</v>
      </c>
      <c r="I355" s="48">
        <f>データ!J352</f>
        <v>6000</v>
      </c>
      <c r="J355" s="39" t="str">
        <f>IF(OR($C355="総括",$C355="内訳書",$C355="内訳代価",$C355="明細書",$C355="明細代価",$C355="代価表",$C355="単価表"),データ!K352,"")</f>
        <v/>
      </c>
      <c r="K355" s="11" t="str">
        <f t="shared" si="30"/>
        <v/>
      </c>
      <c r="L355" s="46">
        <f t="shared" si="31"/>
        <v>3.2437043752706464E-4</v>
      </c>
      <c r="M355" s="40" t="str">
        <f>IF(データ!L352="","",データ!L352)</f>
        <v/>
      </c>
      <c r="N355" s="41" t="str">
        <f>IF(データ!M352="","",データ!M352)</f>
        <v/>
      </c>
      <c r="O355" s="42">
        <f>データ!N352</f>
        <v>0</v>
      </c>
      <c r="P355" s="48">
        <f>IF($C355="集計行","",データ!O352)</f>
        <v>0</v>
      </c>
      <c r="Q355" s="48">
        <f>データ!P352</f>
        <v>0</v>
      </c>
      <c r="R355" s="39" t="str">
        <f>IF(OR($C355="総括",$C355="内訳書",$C355="内訳代価",$C355="明細書",$C355="明細代価",$C355="代価表",$C355="単価表"),データ!Q352,"")</f>
        <v/>
      </c>
      <c r="S355" s="11" t="str">
        <f t="shared" si="32"/>
        <v/>
      </c>
      <c r="T355" s="46" t="e">
        <f t="shared" si="33"/>
        <v>#DIV/0!</v>
      </c>
      <c r="U355" s="40" t="str">
        <f>IF(データ!R352="","",データ!R352)</f>
        <v/>
      </c>
      <c r="V355" s="41" t="str">
        <f>IF(データ!S352="","",データ!S352)</f>
        <v/>
      </c>
      <c r="W355" s="42">
        <f>データ!T352</f>
        <v>0</v>
      </c>
      <c r="X355" s="48">
        <f>IF($C355="集計行","",データ!U352)</f>
        <v>0</v>
      </c>
      <c r="Y355" s="48">
        <f>データ!V352</f>
        <v>0</v>
      </c>
      <c r="Z355" s="39" t="str">
        <f>IF(OR($C355="総括",$C355="内訳書",$C355="内訳代価",$C355="明細書",$C355="明細代価",$C355="代価表",$C355="単価表"),データ!W352,"")</f>
        <v/>
      </c>
      <c r="AA355" s="11" t="str">
        <f t="shared" si="34"/>
        <v/>
      </c>
      <c r="AB355" s="46" t="e">
        <f t="shared" si="35"/>
        <v>#DIV/0!</v>
      </c>
      <c r="AC355" s="40" t="str">
        <f>IF(データ!X352="","",データ!X352)</f>
        <v/>
      </c>
      <c r="AD355" s="41" t="str">
        <f>IF(データ!Y352="","",データ!Y352)</f>
        <v/>
      </c>
      <c r="AE355" s="47" t="str">
        <f>TRIM(データ!B352)</f>
        <v/>
      </c>
      <c r="AF355" s="43" t="str">
        <f>TRIM(データ!Z352)</f>
        <v/>
      </c>
    </row>
    <row r="356" spans="1:32" x14ac:dyDescent="0.15">
      <c r="A356" s="47">
        <f>データ!A353</f>
        <v>2</v>
      </c>
      <c r="B356" s="47" t="str">
        <f>TRIM(データ!C353)</f>
        <v/>
      </c>
      <c r="C356" s="47" t="str">
        <f>TRIM(データ!D353)</f>
        <v>運搬費</v>
      </c>
      <c r="D356" s="36" t="str">
        <f>REPT("｜",$A356)&amp;TRIM(データ!E353)</f>
        <v>｜｜8tダンプ</v>
      </c>
      <c r="E356" s="37" t="str">
        <f>TRIM(データ!F353)</f>
        <v/>
      </c>
      <c r="F356" s="38" t="str">
        <f>TRIM(データ!G353)</f>
        <v>台</v>
      </c>
      <c r="G356" s="50">
        <f>データ!H353</f>
        <v>3</v>
      </c>
      <c r="H356" s="48">
        <f>データ!I353</f>
        <v>43000</v>
      </c>
      <c r="I356" s="48">
        <f>データ!J353</f>
        <v>129000</v>
      </c>
      <c r="J356" s="39" t="str">
        <f>IF(OR($C356="総括",$C356="内訳書",$C356="内訳代価",$C356="明細書",$C356="明細代価",$C356="代価表",$C356="単価表"),データ!K353,"")</f>
        <v/>
      </c>
      <c r="K356" s="11" t="str">
        <f t="shared" si="30"/>
        <v/>
      </c>
      <c r="L356" s="46">
        <f t="shared" si="31"/>
        <v>6.9739644068318903E-3</v>
      </c>
      <c r="M356" s="40" t="str">
        <f>IF(データ!L353="","",データ!L353)</f>
        <v/>
      </c>
      <c r="N356" s="41" t="str">
        <f>IF(データ!M353="","",データ!M353)</f>
        <v/>
      </c>
      <c r="O356" s="42">
        <f>データ!N353</f>
        <v>0</v>
      </c>
      <c r="P356" s="48">
        <f>IF($C356="集計行","",データ!O353)</f>
        <v>0</v>
      </c>
      <c r="Q356" s="48">
        <f>データ!P353</f>
        <v>0</v>
      </c>
      <c r="R356" s="39" t="str">
        <f>IF(OR($C356="総括",$C356="内訳書",$C356="内訳代価",$C356="明細書",$C356="明細代価",$C356="代価表",$C356="単価表"),データ!Q353,"")</f>
        <v/>
      </c>
      <c r="S356" s="11" t="str">
        <f t="shared" si="32"/>
        <v/>
      </c>
      <c r="T356" s="46" t="e">
        <f t="shared" si="33"/>
        <v>#DIV/0!</v>
      </c>
      <c r="U356" s="40" t="str">
        <f>IF(データ!R353="","",データ!R353)</f>
        <v/>
      </c>
      <c r="V356" s="41" t="str">
        <f>IF(データ!S353="","",データ!S353)</f>
        <v/>
      </c>
      <c r="W356" s="42">
        <f>データ!T353</f>
        <v>0</v>
      </c>
      <c r="X356" s="48">
        <f>IF($C356="集計行","",データ!U353)</f>
        <v>0</v>
      </c>
      <c r="Y356" s="48">
        <f>データ!V353</f>
        <v>0</v>
      </c>
      <c r="Z356" s="39" t="str">
        <f>IF(OR($C356="総括",$C356="内訳書",$C356="内訳代価",$C356="明細書",$C356="明細代価",$C356="代価表",$C356="単価表"),データ!W353,"")</f>
        <v/>
      </c>
      <c r="AA356" s="11" t="str">
        <f t="shared" si="34"/>
        <v/>
      </c>
      <c r="AB356" s="46" t="e">
        <f t="shared" si="35"/>
        <v>#DIV/0!</v>
      </c>
      <c r="AC356" s="40" t="str">
        <f>IF(データ!X353="","",データ!X353)</f>
        <v/>
      </c>
      <c r="AD356" s="41" t="str">
        <f>IF(データ!Y353="","",データ!Y353)</f>
        <v/>
      </c>
      <c r="AE356" s="47" t="str">
        <f>TRIM(データ!B353)</f>
        <v/>
      </c>
      <c r="AF356" s="43" t="str">
        <f>TRIM(データ!Z353)</f>
        <v/>
      </c>
    </row>
    <row r="357" spans="1:32" x14ac:dyDescent="0.15">
      <c r="A357" s="47">
        <f>データ!A354</f>
        <v>2</v>
      </c>
      <c r="B357" s="47" t="str">
        <f>TRIM(データ!C354)</f>
        <v/>
      </c>
      <c r="C357" s="47" t="str">
        <f>TRIM(データ!D354)</f>
        <v>運搬費</v>
      </c>
      <c r="D357" s="36" t="str">
        <f>REPT("｜",$A357)&amp;TRIM(データ!E354)</f>
        <v>｜｜As処理費</v>
      </c>
      <c r="E357" s="37" t="str">
        <f>TRIM(データ!F354)</f>
        <v/>
      </c>
      <c r="F357" s="38" t="str">
        <f>TRIM(データ!G354)</f>
        <v>ｔ</v>
      </c>
      <c r="G357" s="50">
        <f>データ!H354</f>
        <v>40</v>
      </c>
      <c r="H357" s="48">
        <f>データ!I354</f>
        <v>500</v>
      </c>
      <c r="I357" s="48">
        <f>データ!J354</f>
        <v>20000</v>
      </c>
      <c r="J357" s="39" t="str">
        <f>IF(OR($C357="総括",$C357="内訳書",$C357="内訳代価",$C357="明細書",$C357="明細代価",$C357="代価表",$C357="単価表"),データ!K354,"")</f>
        <v/>
      </c>
      <c r="K357" s="11" t="str">
        <f t="shared" si="30"/>
        <v/>
      </c>
      <c r="L357" s="46">
        <f t="shared" si="31"/>
        <v>1.0812347917568822E-3</v>
      </c>
      <c r="M357" s="40" t="str">
        <f>IF(データ!L354="","",データ!L354)</f>
        <v/>
      </c>
      <c r="N357" s="41" t="str">
        <f>IF(データ!M354="","",データ!M354)</f>
        <v/>
      </c>
      <c r="O357" s="42">
        <f>データ!N354</f>
        <v>0</v>
      </c>
      <c r="P357" s="48">
        <f>IF($C357="集計行","",データ!O354)</f>
        <v>0</v>
      </c>
      <c r="Q357" s="48">
        <f>データ!P354</f>
        <v>0</v>
      </c>
      <c r="R357" s="39" t="str">
        <f>IF(OR($C357="総括",$C357="内訳書",$C357="内訳代価",$C357="明細書",$C357="明細代価",$C357="代価表",$C357="単価表"),データ!Q354,"")</f>
        <v/>
      </c>
      <c r="S357" s="11" t="str">
        <f t="shared" si="32"/>
        <v/>
      </c>
      <c r="T357" s="46" t="e">
        <f t="shared" si="33"/>
        <v>#DIV/0!</v>
      </c>
      <c r="U357" s="40" t="str">
        <f>IF(データ!R354="","",データ!R354)</f>
        <v/>
      </c>
      <c r="V357" s="41" t="str">
        <f>IF(データ!S354="","",データ!S354)</f>
        <v/>
      </c>
      <c r="W357" s="42">
        <f>データ!T354</f>
        <v>0</v>
      </c>
      <c r="X357" s="48">
        <f>IF($C357="集計行","",データ!U354)</f>
        <v>0</v>
      </c>
      <c r="Y357" s="48">
        <f>データ!V354</f>
        <v>0</v>
      </c>
      <c r="Z357" s="39" t="str">
        <f>IF(OR($C357="総括",$C357="内訳書",$C357="内訳代価",$C357="明細書",$C357="明細代価",$C357="代価表",$C357="単価表"),データ!W354,"")</f>
        <v/>
      </c>
      <c r="AA357" s="11" t="str">
        <f t="shared" si="34"/>
        <v/>
      </c>
      <c r="AB357" s="46" t="e">
        <f t="shared" si="35"/>
        <v>#DIV/0!</v>
      </c>
      <c r="AC357" s="40" t="str">
        <f>IF(データ!X354="","",データ!X354)</f>
        <v/>
      </c>
      <c r="AD357" s="41" t="str">
        <f>IF(データ!Y354="","",データ!Y354)</f>
        <v/>
      </c>
      <c r="AE357" s="47" t="str">
        <f>TRIM(データ!B354)</f>
        <v/>
      </c>
      <c r="AF357" s="43" t="str">
        <f>TRIM(データ!Z354)</f>
        <v/>
      </c>
    </row>
    <row r="358" spans="1:32" x14ac:dyDescent="0.15">
      <c r="A358" s="47">
        <f>データ!A355</f>
        <v>2</v>
      </c>
      <c r="B358" s="47" t="str">
        <f>TRIM(データ!C355)</f>
        <v/>
      </c>
      <c r="C358" s="47" t="str">
        <f>TRIM(データ!D355)</f>
        <v>運搬費</v>
      </c>
      <c r="D358" s="36" t="str">
        <f>REPT("｜",$A358)&amp;TRIM(データ!E355)</f>
        <v>｜｜10t回送費　AF</v>
      </c>
      <c r="E358" s="37" t="str">
        <f>TRIM(データ!F355)</f>
        <v/>
      </c>
      <c r="F358" s="38" t="str">
        <f>TRIM(データ!G355)</f>
        <v>回</v>
      </c>
      <c r="G358" s="50">
        <f>データ!H355</f>
        <v>2</v>
      </c>
      <c r="H358" s="48">
        <f>データ!I355</f>
        <v>30000</v>
      </c>
      <c r="I358" s="48">
        <f>データ!J355</f>
        <v>60000</v>
      </c>
      <c r="J358" s="39" t="str">
        <f>IF(OR($C358="総括",$C358="内訳書",$C358="内訳代価",$C358="明細書",$C358="明細代価",$C358="代価表",$C358="単価表"),データ!K355,"")</f>
        <v/>
      </c>
      <c r="K358" s="11" t="str">
        <f t="shared" si="30"/>
        <v/>
      </c>
      <c r="L358" s="46">
        <f t="shared" si="31"/>
        <v>3.2437043752706466E-3</v>
      </c>
      <c r="M358" s="40" t="str">
        <f>IF(データ!L355="","",データ!L355)</f>
        <v/>
      </c>
      <c r="N358" s="41" t="str">
        <f>IF(データ!M355="","",データ!M355)</f>
        <v/>
      </c>
      <c r="O358" s="42">
        <f>データ!N355</f>
        <v>0</v>
      </c>
      <c r="P358" s="48">
        <f>IF($C358="集計行","",データ!O355)</f>
        <v>0</v>
      </c>
      <c r="Q358" s="48">
        <f>データ!P355</f>
        <v>0</v>
      </c>
      <c r="R358" s="39" t="str">
        <f>IF(OR($C358="総括",$C358="内訳書",$C358="内訳代価",$C358="明細書",$C358="明細代価",$C358="代価表",$C358="単価表"),データ!Q355,"")</f>
        <v/>
      </c>
      <c r="S358" s="11" t="str">
        <f t="shared" si="32"/>
        <v/>
      </c>
      <c r="T358" s="46" t="e">
        <f t="shared" si="33"/>
        <v>#DIV/0!</v>
      </c>
      <c r="U358" s="40" t="str">
        <f>IF(データ!R355="","",データ!R355)</f>
        <v/>
      </c>
      <c r="V358" s="41" t="str">
        <f>IF(データ!S355="","",データ!S355)</f>
        <v/>
      </c>
      <c r="W358" s="42">
        <f>データ!T355</f>
        <v>0</v>
      </c>
      <c r="X358" s="48">
        <f>IF($C358="集計行","",データ!U355)</f>
        <v>0</v>
      </c>
      <c r="Y358" s="48">
        <f>データ!V355</f>
        <v>0</v>
      </c>
      <c r="Z358" s="39" t="str">
        <f>IF(OR($C358="総括",$C358="内訳書",$C358="内訳代価",$C358="明細書",$C358="明細代価",$C358="代価表",$C358="単価表"),データ!W355,"")</f>
        <v/>
      </c>
      <c r="AA358" s="11" t="str">
        <f t="shared" si="34"/>
        <v/>
      </c>
      <c r="AB358" s="46" t="e">
        <f t="shared" si="35"/>
        <v>#DIV/0!</v>
      </c>
      <c r="AC358" s="40" t="str">
        <f>IF(データ!X355="","",データ!X355)</f>
        <v/>
      </c>
      <c r="AD358" s="41" t="str">
        <f>IF(データ!Y355="","",データ!Y355)</f>
        <v/>
      </c>
      <c r="AE358" s="47" t="str">
        <f>TRIM(データ!B355)</f>
        <v/>
      </c>
      <c r="AF358" s="43" t="str">
        <f>TRIM(データ!Z355)</f>
        <v/>
      </c>
    </row>
    <row r="359" spans="1:32" x14ac:dyDescent="0.15">
      <c r="A359" s="47">
        <f>データ!A356</f>
        <v>2</v>
      </c>
      <c r="B359" s="47" t="str">
        <f>TRIM(データ!C356)</f>
        <v/>
      </c>
      <c r="C359" s="47" t="str">
        <f>TRIM(データ!D356)</f>
        <v>運搬費</v>
      </c>
      <c r="D359" s="36" t="str">
        <f>REPT("｜",$A359)&amp;TRIM(データ!E356)</f>
        <v>｜｜10t回送費　TR</v>
      </c>
      <c r="E359" s="37" t="str">
        <f>TRIM(データ!F356)</f>
        <v/>
      </c>
      <c r="F359" s="38" t="str">
        <f>TRIM(データ!G356)</f>
        <v>回</v>
      </c>
      <c r="G359" s="50">
        <f>データ!H356</f>
        <v>2</v>
      </c>
      <c r="H359" s="48">
        <f>データ!I356</f>
        <v>20000</v>
      </c>
      <c r="I359" s="48">
        <f>データ!J356</f>
        <v>40000</v>
      </c>
      <c r="J359" s="39" t="str">
        <f>IF(OR($C359="総括",$C359="内訳書",$C359="内訳代価",$C359="明細書",$C359="明細代価",$C359="代価表",$C359="単価表"),データ!K356,"")</f>
        <v/>
      </c>
      <c r="K359" s="11" t="str">
        <f t="shared" si="30"/>
        <v/>
      </c>
      <c r="L359" s="46">
        <f t="shared" si="31"/>
        <v>2.1624695835137644E-3</v>
      </c>
      <c r="M359" s="40" t="str">
        <f>IF(データ!L356="","",データ!L356)</f>
        <v/>
      </c>
      <c r="N359" s="41" t="str">
        <f>IF(データ!M356="","",データ!M356)</f>
        <v/>
      </c>
      <c r="O359" s="42">
        <f>データ!N356</f>
        <v>0</v>
      </c>
      <c r="P359" s="48">
        <f>IF($C359="集計行","",データ!O356)</f>
        <v>0</v>
      </c>
      <c r="Q359" s="48">
        <f>データ!P356</f>
        <v>0</v>
      </c>
      <c r="R359" s="39" t="str">
        <f>IF(OR($C359="総括",$C359="内訳書",$C359="内訳代価",$C359="明細書",$C359="明細代価",$C359="代価表",$C359="単価表"),データ!Q356,"")</f>
        <v/>
      </c>
      <c r="S359" s="11" t="str">
        <f t="shared" si="32"/>
        <v/>
      </c>
      <c r="T359" s="46" t="e">
        <f t="shared" si="33"/>
        <v>#DIV/0!</v>
      </c>
      <c r="U359" s="40" t="str">
        <f>IF(データ!R356="","",データ!R356)</f>
        <v/>
      </c>
      <c r="V359" s="41" t="str">
        <f>IF(データ!S356="","",データ!S356)</f>
        <v/>
      </c>
      <c r="W359" s="42">
        <f>データ!T356</f>
        <v>0</v>
      </c>
      <c r="X359" s="48">
        <f>IF($C359="集計行","",データ!U356)</f>
        <v>0</v>
      </c>
      <c r="Y359" s="48">
        <f>データ!V356</f>
        <v>0</v>
      </c>
      <c r="Z359" s="39" t="str">
        <f>IF(OR($C359="総括",$C359="内訳書",$C359="内訳代価",$C359="明細書",$C359="明細代価",$C359="代価表",$C359="単価表"),データ!W356,"")</f>
        <v/>
      </c>
      <c r="AA359" s="11" t="str">
        <f t="shared" si="34"/>
        <v/>
      </c>
      <c r="AB359" s="46" t="e">
        <f t="shared" si="35"/>
        <v>#DIV/0!</v>
      </c>
      <c r="AC359" s="40" t="str">
        <f>IF(データ!X356="","",データ!X356)</f>
        <v/>
      </c>
      <c r="AD359" s="41" t="str">
        <f>IF(データ!Y356="","",データ!Y356)</f>
        <v/>
      </c>
      <c r="AE359" s="47" t="str">
        <f>TRIM(データ!B356)</f>
        <v/>
      </c>
      <c r="AF359" s="43" t="str">
        <f>TRIM(データ!Z356)</f>
        <v/>
      </c>
    </row>
    <row r="360" spans="1:32" x14ac:dyDescent="0.15">
      <c r="A360" s="47">
        <f>データ!A357</f>
        <v>2</v>
      </c>
      <c r="B360" s="47" t="str">
        <f>TRIM(データ!C357)</f>
        <v/>
      </c>
      <c r="C360" s="47" t="str">
        <f>TRIM(データ!D357)</f>
        <v>運搬費</v>
      </c>
      <c r="D360" s="36" t="str">
        <f>REPT("｜",$A360)&amp;TRIM(データ!E357)</f>
        <v>｜｜6t回送費　BH,CR</v>
      </c>
      <c r="E360" s="37" t="str">
        <f>TRIM(データ!F357)</f>
        <v/>
      </c>
      <c r="F360" s="38" t="str">
        <f>TRIM(データ!G357)</f>
        <v>回</v>
      </c>
      <c r="G360" s="50">
        <f>データ!H357</f>
        <v>2</v>
      </c>
      <c r="H360" s="48">
        <f>データ!I357</f>
        <v>20000</v>
      </c>
      <c r="I360" s="48">
        <f>データ!J357</f>
        <v>40000</v>
      </c>
      <c r="J360" s="39" t="str">
        <f>IF(OR($C360="総括",$C360="内訳書",$C360="内訳代価",$C360="明細書",$C360="明細代価",$C360="代価表",$C360="単価表"),データ!K357,"")</f>
        <v/>
      </c>
      <c r="K360" s="11" t="str">
        <f t="shared" si="30"/>
        <v/>
      </c>
      <c r="L360" s="46">
        <f t="shared" si="31"/>
        <v>2.1624695835137644E-3</v>
      </c>
      <c r="M360" s="40" t="str">
        <f>IF(データ!L357="","",データ!L357)</f>
        <v/>
      </c>
      <c r="N360" s="41" t="str">
        <f>IF(データ!M357="","",データ!M357)</f>
        <v/>
      </c>
      <c r="O360" s="42">
        <f>データ!N357</f>
        <v>0</v>
      </c>
      <c r="P360" s="48">
        <f>IF($C360="集計行","",データ!O357)</f>
        <v>0</v>
      </c>
      <c r="Q360" s="48">
        <f>データ!P357</f>
        <v>0</v>
      </c>
      <c r="R360" s="39" t="str">
        <f>IF(OR($C360="総括",$C360="内訳書",$C360="内訳代価",$C360="明細書",$C360="明細代価",$C360="代価表",$C360="単価表"),データ!Q357,"")</f>
        <v/>
      </c>
      <c r="S360" s="11" t="str">
        <f t="shared" si="32"/>
        <v/>
      </c>
      <c r="T360" s="46" t="e">
        <f t="shared" si="33"/>
        <v>#DIV/0!</v>
      </c>
      <c r="U360" s="40" t="str">
        <f>IF(データ!R357="","",データ!R357)</f>
        <v/>
      </c>
      <c r="V360" s="41" t="str">
        <f>IF(データ!S357="","",データ!S357)</f>
        <v/>
      </c>
      <c r="W360" s="42">
        <f>データ!T357</f>
        <v>0</v>
      </c>
      <c r="X360" s="48">
        <f>IF($C360="集計行","",データ!U357)</f>
        <v>0</v>
      </c>
      <c r="Y360" s="48">
        <f>データ!V357</f>
        <v>0</v>
      </c>
      <c r="Z360" s="39" t="str">
        <f>IF(OR($C360="総括",$C360="内訳書",$C360="内訳代価",$C360="明細書",$C360="明細代価",$C360="代価表",$C360="単価表"),データ!W357,"")</f>
        <v/>
      </c>
      <c r="AA360" s="11" t="str">
        <f t="shared" si="34"/>
        <v/>
      </c>
      <c r="AB360" s="46" t="e">
        <f t="shared" si="35"/>
        <v>#DIV/0!</v>
      </c>
      <c r="AC360" s="40" t="str">
        <f>IF(データ!X357="","",データ!X357)</f>
        <v/>
      </c>
      <c r="AD360" s="41" t="str">
        <f>IF(データ!Y357="","",データ!Y357)</f>
        <v/>
      </c>
      <c r="AE360" s="47" t="str">
        <f>TRIM(データ!B357)</f>
        <v/>
      </c>
      <c r="AF360" s="43" t="str">
        <f>TRIM(データ!Z357)</f>
        <v/>
      </c>
    </row>
    <row r="361" spans="1:32" x14ac:dyDescent="0.15">
      <c r="A361" s="47">
        <f>データ!A358</f>
        <v>2</v>
      </c>
      <c r="B361" s="47" t="str">
        <f>TRIM(データ!C358)</f>
        <v/>
      </c>
      <c r="C361" s="47" t="str">
        <f>TRIM(データ!D358)</f>
        <v>運搬費</v>
      </c>
      <c r="D361" s="36" t="str">
        <f>REPT("｜",$A361)&amp;TRIM(データ!E358)</f>
        <v>｜｜2tダンプ</v>
      </c>
      <c r="E361" s="37" t="str">
        <f>TRIM(データ!F358)</f>
        <v/>
      </c>
      <c r="F361" s="38" t="str">
        <f>TRIM(データ!G358)</f>
        <v>台</v>
      </c>
      <c r="G361" s="50">
        <f>データ!H358</f>
        <v>1</v>
      </c>
      <c r="H361" s="48">
        <f>データ!I358</f>
        <v>8000</v>
      </c>
      <c r="I361" s="48">
        <f>データ!J358</f>
        <v>8000</v>
      </c>
      <c r="J361" s="39" t="str">
        <f>IF(OR($C361="総括",$C361="内訳書",$C361="内訳代価",$C361="明細書",$C361="明細代価",$C361="代価表",$C361="単価表"),データ!K358,"")</f>
        <v/>
      </c>
      <c r="K361" s="11" t="str">
        <f t="shared" si="30"/>
        <v/>
      </c>
      <c r="L361" s="46">
        <f t="shared" si="31"/>
        <v>4.3249391670275287E-4</v>
      </c>
      <c r="M361" s="40" t="str">
        <f>IF(データ!L358="","",データ!L358)</f>
        <v/>
      </c>
      <c r="N361" s="41" t="str">
        <f>IF(データ!M358="","",データ!M358)</f>
        <v/>
      </c>
      <c r="O361" s="42">
        <f>データ!N358</f>
        <v>0</v>
      </c>
      <c r="P361" s="48">
        <f>IF($C361="集計行","",データ!O358)</f>
        <v>0</v>
      </c>
      <c r="Q361" s="48">
        <f>データ!P358</f>
        <v>0</v>
      </c>
      <c r="R361" s="39" t="str">
        <f>IF(OR($C361="総括",$C361="内訳書",$C361="内訳代価",$C361="明細書",$C361="明細代価",$C361="代価表",$C361="単価表"),データ!Q358,"")</f>
        <v/>
      </c>
      <c r="S361" s="11" t="str">
        <f t="shared" si="32"/>
        <v/>
      </c>
      <c r="T361" s="46" t="e">
        <f t="shared" si="33"/>
        <v>#DIV/0!</v>
      </c>
      <c r="U361" s="40" t="str">
        <f>IF(データ!R358="","",データ!R358)</f>
        <v/>
      </c>
      <c r="V361" s="41" t="str">
        <f>IF(データ!S358="","",データ!S358)</f>
        <v/>
      </c>
      <c r="W361" s="42">
        <f>データ!T358</f>
        <v>0</v>
      </c>
      <c r="X361" s="48">
        <f>IF($C361="集計行","",データ!U358)</f>
        <v>0</v>
      </c>
      <c r="Y361" s="48">
        <f>データ!V358</f>
        <v>0</v>
      </c>
      <c r="Z361" s="39" t="str">
        <f>IF(OR($C361="総括",$C361="内訳書",$C361="内訳代価",$C361="明細書",$C361="明細代価",$C361="代価表",$C361="単価表"),データ!W358,"")</f>
        <v/>
      </c>
      <c r="AA361" s="11" t="str">
        <f t="shared" si="34"/>
        <v/>
      </c>
      <c r="AB361" s="46" t="e">
        <f t="shared" si="35"/>
        <v>#DIV/0!</v>
      </c>
      <c r="AC361" s="40" t="str">
        <f>IF(データ!X358="","",データ!X358)</f>
        <v/>
      </c>
      <c r="AD361" s="41" t="str">
        <f>IF(データ!Y358="","",データ!Y358)</f>
        <v/>
      </c>
      <c r="AE361" s="47" t="str">
        <f>TRIM(データ!B358)</f>
        <v/>
      </c>
      <c r="AF361" s="43" t="str">
        <f>TRIM(データ!Z358)</f>
        <v/>
      </c>
    </row>
    <row r="362" spans="1:32" x14ac:dyDescent="0.15">
      <c r="A362" s="47">
        <f>データ!A359</f>
        <v>2</v>
      </c>
      <c r="B362" s="47" t="str">
        <f>TRIM(データ!C359)</f>
        <v/>
      </c>
      <c r="C362" s="47" t="str">
        <f>TRIM(データ!D359)</f>
        <v>運搬費</v>
      </c>
      <c r="D362" s="36" t="str">
        <f>REPT("｜",$A362)&amp;TRIM(データ!E359)</f>
        <v>｜｜4tダンプ</v>
      </c>
      <c r="E362" s="37" t="str">
        <f>TRIM(データ!F359)</f>
        <v/>
      </c>
      <c r="F362" s="38" t="str">
        <f>TRIM(データ!G359)</f>
        <v>台</v>
      </c>
      <c r="G362" s="50">
        <f>データ!H359</f>
        <v>1</v>
      </c>
      <c r="H362" s="48">
        <f>データ!I359</f>
        <v>10000</v>
      </c>
      <c r="I362" s="48">
        <f>データ!J359</f>
        <v>10000</v>
      </c>
      <c r="J362" s="39" t="str">
        <f>IF(OR($C362="総括",$C362="内訳書",$C362="内訳代価",$C362="明細書",$C362="明細代価",$C362="代価表",$C362="単価表"),データ!K359,"")</f>
        <v/>
      </c>
      <c r="K362" s="11" t="str">
        <f t="shared" si="30"/>
        <v/>
      </c>
      <c r="L362" s="46">
        <f t="shared" si="31"/>
        <v>5.406173958784411E-4</v>
      </c>
      <c r="M362" s="40" t="str">
        <f>IF(データ!L359="","",データ!L359)</f>
        <v/>
      </c>
      <c r="N362" s="41" t="str">
        <f>IF(データ!M359="","",データ!M359)</f>
        <v/>
      </c>
      <c r="O362" s="42">
        <f>データ!N359</f>
        <v>0</v>
      </c>
      <c r="P362" s="48">
        <f>IF($C362="集計行","",データ!O359)</f>
        <v>0</v>
      </c>
      <c r="Q362" s="48">
        <f>データ!P359</f>
        <v>0</v>
      </c>
      <c r="R362" s="39" t="str">
        <f>IF(OR($C362="総括",$C362="内訳書",$C362="内訳代価",$C362="明細書",$C362="明細代価",$C362="代価表",$C362="単価表"),データ!Q359,"")</f>
        <v/>
      </c>
      <c r="S362" s="11" t="str">
        <f t="shared" si="32"/>
        <v/>
      </c>
      <c r="T362" s="46" t="e">
        <f t="shared" si="33"/>
        <v>#DIV/0!</v>
      </c>
      <c r="U362" s="40" t="str">
        <f>IF(データ!R359="","",データ!R359)</f>
        <v/>
      </c>
      <c r="V362" s="41" t="str">
        <f>IF(データ!S359="","",データ!S359)</f>
        <v/>
      </c>
      <c r="W362" s="42">
        <f>データ!T359</f>
        <v>0</v>
      </c>
      <c r="X362" s="48">
        <f>IF($C362="集計行","",データ!U359)</f>
        <v>0</v>
      </c>
      <c r="Y362" s="48">
        <f>データ!V359</f>
        <v>0</v>
      </c>
      <c r="Z362" s="39" t="str">
        <f>IF(OR($C362="総括",$C362="内訳書",$C362="内訳代価",$C362="明細書",$C362="明細代価",$C362="代価表",$C362="単価表"),データ!W359,"")</f>
        <v/>
      </c>
      <c r="AA362" s="11" t="str">
        <f t="shared" si="34"/>
        <v/>
      </c>
      <c r="AB362" s="46" t="e">
        <f t="shared" si="35"/>
        <v>#DIV/0!</v>
      </c>
      <c r="AC362" s="40" t="str">
        <f>IF(データ!X359="","",データ!X359)</f>
        <v/>
      </c>
      <c r="AD362" s="41" t="str">
        <f>IF(データ!Y359="","",データ!Y359)</f>
        <v/>
      </c>
      <c r="AE362" s="47" t="str">
        <f>TRIM(データ!B359)</f>
        <v/>
      </c>
      <c r="AF362" s="43" t="str">
        <f>TRIM(データ!Z359)</f>
        <v/>
      </c>
    </row>
    <row r="363" spans="1:32" x14ac:dyDescent="0.15">
      <c r="A363" s="47">
        <f>データ!A360</f>
        <v>2</v>
      </c>
      <c r="B363" s="47" t="str">
        <f>TRIM(データ!C360)</f>
        <v/>
      </c>
      <c r="C363" s="47" t="str">
        <f>TRIM(データ!D360)</f>
        <v>運搬費</v>
      </c>
      <c r="D363" s="36" t="str">
        <f>REPT("｜",$A363)&amp;TRIM(データ!E360)</f>
        <v>｜｜WP</v>
      </c>
      <c r="E363" s="37" t="str">
        <f>TRIM(データ!F360)</f>
        <v/>
      </c>
      <c r="F363" s="38" t="str">
        <f>TRIM(データ!G360)</f>
        <v>台</v>
      </c>
      <c r="G363" s="50">
        <f>データ!H360</f>
        <v>1</v>
      </c>
      <c r="H363" s="48">
        <f>データ!I360</f>
        <v>8000</v>
      </c>
      <c r="I363" s="48">
        <f>データ!J360</f>
        <v>8000</v>
      </c>
      <c r="J363" s="39" t="str">
        <f>IF(OR($C363="総括",$C363="内訳書",$C363="内訳代価",$C363="明細書",$C363="明細代価",$C363="代価表",$C363="単価表"),データ!K360,"")</f>
        <v/>
      </c>
      <c r="K363" s="11" t="str">
        <f t="shared" si="30"/>
        <v/>
      </c>
      <c r="L363" s="46">
        <f t="shared" si="31"/>
        <v>4.3249391670275287E-4</v>
      </c>
      <c r="M363" s="40" t="str">
        <f>IF(データ!L360="","",データ!L360)</f>
        <v/>
      </c>
      <c r="N363" s="41" t="str">
        <f>IF(データ!M360="","",データ!M360)</f>
        <v/>
      </c>
      <c r="O363" s="42">
        <f>データ!N360</f>
        <v>0</v>
      </c>
      <c r="P363" s="48">
        <f>IF($C363="集計行","",データ!O360)</f>
        <v>0</v>
      </c>
      <c r="Q363" s="48">
        <f>データ!P360</f>
        <v>0</v>
      </c>
      <c r="R363" s="39" t="str">
        <f>IF(OR($C363="総括",$C363="内訳書",$C363="内訳代価",$C363="明細書",$C363="明細代価",$C363="代価表",$C363="単価表"),データ!Q360,"")</f>
        <v/>
      </c>
      <c r="S363" s="11" t="str">
        <f t="shared" si="32"/>
        <v/>
      </c>
      <c r="T363" s="46" t="e">
        <f t="shared" si="33"/>
        <v>#DIV/0!</v>
      </c>
      <c r="U363" s="40" t="str">
        <f>IF(データ!R360="","",データ!R360)</f>
        <v/>
      </c>
      <c r="V363" s="41" t="str">
        <f>IF(データ!S360="","",データ!S360)</f>
        <v/>
      </c>
      <c r="W363" s="42">
        <f>データ!T360</f>
        <v>0</v>
      </c>
      <c r="X363" s="48">
        <f>IF($C363="集計行","",データ!U360)</f>
        <v>0</v>
      </c>
      <c r="Y363" s="48">
        <f>データ!V360</f>
        <v>0</v>
      </c>
      <c r="Z363" s="39" t="str">
        <f>IF(OR($C363="総括",$C363="内訳書",$C363="内訳代価",$C363="明細書",$C363="明細代価",$C363="代価表",$C363="単価表"),データ!W360,"")</f>
        <v/>
      </c>
      <c r="AA363" s="11" t="str">
        <f t="shared" si="34"/>
        <v/>
      </c>
      <c r="AB363" s="46" t="e">
        <f t="shared" si="35"/>
        <v>#DIV/0!</v>
      </c>
      <c r="AC363" s="40" t="str">
        <f>IF(データ!X360="","",データ!X360)</f>
        <v/>
      </c>
      <c r="AD363" s="41" t="str">
        <f>IF(データ!Y360="","",データ!Y360)</f>
        <v/>
      </c>
      <c r="AE363" s="47" t="str">
        <f>TRIM(データ!B360)</f>
        <v/>
      </c>
      <c r="AF363" s="43" t="str">
        <f>TRIM(データ!Z360)</f>
        <v/>
      </c>
    </row>
    <row r="364" spans="1:32" x14ac:dyDescent="0.15">
      <c r="A364" s="47">
        <f>データ!A361</f>
        <v>2</v>
      </c>
      <c r="B364" s="47" t="str">
        <f>TRIM(データ!C361)</f>
        <v/>
      </c>
      <c r="C364" s="47" t="str">
        <f>TRIM(データ!D361)</f>
        <v>外注費</v>
      </c>
      <c r="D364" s="36" t="str">
        <f>REPT("｜",$A364)&amp;TRIM(データ!E361)</f>
        <v>｜｜諸経費</v>
      </c>
      <c r="E364" s="37" t="str">
        <f>TRIM(データ!F361)</f>
        <v/>
      </c>
      <c r="F364" s="38" t="str">
        <f>TRIM(データ!G361)</f>
        <v>式</v>
      </c>
      <c r="G364" s="50">
        <f>データ!H361</f>
        <v>1</v>
      </c>
      <c r="H364" s="48">
        <f>データ!I361</f>
        <v>80000</v>
      </c>
      <c r="I364" s="48">
        <f>データ!J361</f>
        <v>80000</v>
      </c>
      <c r="J364" s="39" t="str">
        <f>IF(OR($C364="総括",$C364="内訳書",$C364="内訳代価",$C364="明細書",$C364="明細代価",$C364="代価表",$C364="単価表"),データ!K361,"")</f>
        <v/>
      </c>
      <c r="K364" s="11" t="str">
        <f t="shared" si="30"/>
        <v/>
      </c>
      <c r="L364" s="46">
        <f t="shared" si="31"/>
        <v>4.3249391670275288E-3</v>
      </c>
      <c r="M364" s="40" t="str">
        <f>IF(データ!L361="","",データ!L361)</f>
        <v/>
      </c>
      <c r="N364" s="41" t="str">
        <f>IF(データ!M361="","",データ!M361)</f>
        <v/>
      </c>
      <c r="O364" s="42">
        <f>データ!N361</f>
        <v>0</v>
      </c>
      <c r="P364" s="48">
        <f>IF($C364="集計行","",データ!O361)</f>
        <v>0</v>
      </c>
      <c r="Q364" s="48">
        <f>データ!P361</f>
        <v>0</v>
      </c>
      <c r="R364" s="39" t="str">
        <f>IF(OR($C364="総括",$C364="内訳書",$C364="内訳代価",$C364="明細書",$C364="明細代価",$C364="代価表",$C364="単価表"),データ!Q361,"")</f>
        <v/>
      </c>
      <c r="S364" s="11" t="str">
        <f t="shared" si="32"/>
        <v/>
      </c>
      <c r="T364" s="46" t="e">
        <f t="shared" si="33"/>
        <v>#DIV/0!</v>
      </c>
      <c r="U364" s="40" t="str">
        <f>IF(データ!R361="","",データ!R361)</f>
        <v/>
      </c>
      <c r="V364" s="41" t="str">
        <f>IF(データ!S361="","",データ!S361)</f>
        <v/>
      </c>
      <c r="W364" s="42">
        <f>データ!T361</f>
        <v>0</v>
      </c>
      <c r="X364" s="48">
        <f>IF($C364="集計行","",データ!U361)</f>
        <v>0</v>
      </c>
      <c r="Y364" s="48">
        <f>データ!V361</f>
        <v>0</v>
      </c>
      <c r="Z364" s="39" t="str">
        <f>IF(OR($C364="総括",$C364="内訳書",$C364="内訳代価",$C364="明細書",$C364="明細代価",$C364="代価表",$C364="単価表"),データ!W361,"")</f>
        <v/>
      </c>
      <c r="AA364" s="11" t="str">
        <f t="shared" si="34"/>
        <v/>
      </c>
      <c r="AB364" s="46" t="e">
        <f t="shared" si="35"/>
        <v>#DIV/0!</v>
      </c>
      <c r="AC364" s="40" t="str">
        <f>IF(データ!X361="","",データ!X361)</f>
        <v/>
      </c>
      <c r="AD364" s="41" t="str">
        <f>IF(データ!Y361="","",データ!Y361)</f>
        <v/>
      </c>
      <c r="AE364" s="47" t="str">
        <f>TRIM(データ!B361)</f>
        <v/>
      </c>
      <c r="AF364" s="43" t="str">
        <f>TRIM(データ!Z361)</f>
        <v/>
      </c>
    </row>
    <row r="365" spans="1:32" x14ac:dyDescent="0.15">
      <c r="A365" s="47">
        <f>データ!A362</f>
        <v>2</v>
      </c>
      <c r="B365" s="47" t="str">
        <f>TRIM(データ!C362)</f>
        <v/>
      </c>
      <c r="C365" s="47" t="str">
        <f>TRIM(データ!D362)</f>
        <v>外注費</v>
      </c>
      <c r="D365" s="36" t="str">
        <f>REPT("｜",$A365)&amp;TRIM(データ!E362)</f>
        <v>｜｜法定福利費</v>
      </c>
      <c r="E365" s="37" t="str">
        <f>TRIM(データ!F362)</f>
        <v/>
      </c>
      <c r="F365" s="38" t="str">
        <f>TRIM(データ!G362)</f>
        <v>式</v>
      </c>
      <c r="G365" s="50">
        <f>データ!H362</f>
        <v>1</v>
      </c>
      <c r="H365" s="48">
        <f>データ!I362</f>
        <v>32000</v>
      </c>
      <c r="I365" s="48">
        <f>データ!J362</f>
        <v>32000</v>
      </c>
      <c r="J365" s="39" t="str">
        <f>IF(OR($C365="総括",$C365="内訳書",$C365="内訳代価",$C365="明細書",$C365="明細代価",$C365="代価表",$C365="単価表"),データ!K362,"")</f>
        <v/>
      </c>
      <c r="K365" s="11" t="str">
        <f t="shared" si="30"/>
        <v/>
      </c>
      <c r="L365" s="46">
        <f t="shared" si="31"/>
        <v>1.7299756668110115E-3</v>
      </c>
      <c r="M365" s="40" t="str">
        <f>IF(データ!L362="","",データ!L362)</f>
        <v/>
      </c>
      <c r="N365" s="41" t="str">
        <f>IF(データ!M362="","",データ!M362)</f>
        <v/>
      </c>
      <c r="O365" s="42">
        <f>データ!N362</f>
        <v>0</v>
      </c>
      <c r="P365" s="48">
        <f>IF($C365="集計行","",データ!O362)</f>
        <v>0</v>
      </c>
      <c r="Q365" s="48">
        <f>データ!P362</f>
        <v>0</v>
      </c>
      <c r="R365" s="39" t="str">
        <f>IF(OR($C365="総括",$C365="内訳書",$C365="内訳代価",$C365="明細書",$C365="明細代価",$C365="代価表",$C365="単価表"),データ!Q362,"")</f>
        <v/>
      </c>
      <c r="S365" s="11" t="str">
        <f t="shared" si="32"/>
        <v/>
      </c>
      <c r="T365" s="46" t="e">
        <f t="shared" si="33"/>
        <v>#DIV/0!</v>
      </c>
      <c r="U365" s="40" t="str">
        <f>IF(データ!R362="","",データ!R362)</f>
        <v/>
      </c>
      <c r="V365" s="41" t="str">
        <f>IF(データ!S362="","",データ!S362)</f>
        <v/>
      </c>
      <c r="W365" s="42">
        <f>データ!T362</f>
        <v>0</v>
      </c>
      <c r="X365" s="48">
        <f>IF($C365="集計行","",データ!U362)</f>
        <v>0</v>
      </c>
      <c r="Y365" s="48">
        <f>データ!V362</f>
        <v>0</v>
      </c>
      <c r="Z365" s="39" t="str">
        <f>IF(OR($C365="総括",$C365="内訳書",$C365="内訳代価",$C365="明細書",$C365="明細代価",$C365="代価表",$C365="単価表"),データ!W362,"")</f>
        <v/>
      </c>
      <c r="AA365" s="11" t="str">
        <f t="shared" si="34"/>
        <v/>
      </c>
      <c r="AB365" s="46" t="e">
        <f t="shared" si="35"/>
        <v>#DIV/0!</v>
      </c>
      <c r="AC365" s="40" t="str">
        <f>IF(データ!X362="","",データ!X362)</f>
        <v/>
      </c>
      <c r="AD365" s="41" t="str">
        <f>IF(データ!Y362="","",データ!Y362)</f>
        <v/>
      </c>
      <c r="AE365" s="47" t="str">
        <f>TRIM(データ!B362)</f>
        <v/>
      </c>
      <c r="AF365" s="43" t="str">
        <f>TRIM(データ!Z362)</f>
        <v/>
      </c>
    </row>
    <row r="366" spans="1:32" x14ac:dyDescent="0.15">
      <c r="A366" s="47">
        <f>データ!A363</f>
        <v>2</v>
      </c>
      <c r="B366" s="47" t="str">
        <f>TRIM(データ!C363)</f>
        <v/>
      </c>
      <c r="C366" s="47" t="str">
        <f>TRIM(データ!D363)</f>
        <v>外注費</v>
      </c>
      <c r="D366" s="36" t="str">
        <f>REPT("｜",$A366)&amp;TRIM(データ!E363)</f>
        <v>｜｜交通誘導員</v>
      </c>
      <c r="E366" s="37" t="str">
        <f>TRIM(データ!F363)</f>
        <v/>
      </c>
      <c r="F366" s="38" t="str">
        <f>TRIM(データ!G363)</f>
        <v>人</v>
      </c>
      <c r="G366" s="50">
        <f>データ!H363</f>
        <v>6</v>
      </c>
      <c r="H366" s="48">
        <f>データ!I363</f>
        <v>18000</v>
      </c>
      <c r="I366" s="48">
        <f>データ!J363</f>
        <v>108000</v>
      </c>
      <c r="J366" s="39" t="str">
        <f>IF(OR($C366="総括",$C366="内訳書",$C366="内訳代価",$C366="明細書",$C366="明細代価",$C366="代価表",$C366="単価表"),データ!K363,"")</f>
        <v/>
      </c>
      <c r="K366" s="11" t="str">
        <f t="shared" si="30"/>
        <v/>
      </c>
      <c r="L366" s="46">
        <f t="shared" si="31"/>
        <v>5.8386678754871642E-3</v>
      </c>
      <c r="M366" s="40" t="str">
        <f>IF(データ!L363="","",データ!L363)</f>
        <v/>
      </c>
      <c r="N366" s="41" t="str">
        <f>IF(データ!M363="","",データ!M363)</f>
        <v/>
      </c>
      <c r="O366" s="42">
        <f>データ!N363</f>
        <v>0</v>
      </c>
      <c r="P366" s="48">
        <f>IF($C366="集計行","",データ!O363)</f>
        <v>0</v>
      </c>
      <c r="Q366" s="48">
        <f>データ!P363</f>
        <v>0</v>
      </c>
      <c r="R366" s="39" t="str">
        <f>IF(OR($C366="総括",$C366="内訳書",$C366="内訳代価",$C366="明細書",$C366="明細代価",$C366="代価表",$C366="単価表"),データ!Q363,"")</f>
        <v/>
      </c>
      <c r="S366" s="11" t="str">
        <f t="shared" si="32"/>
        <v/>
      </c>
      <c r="T366" s="46" t="e">
        <f t="shared" si="33"/>
        <v>#DIV/0!</v>
      </c>
      <c r="U366" s="40" t="str">
        <f>IF(データ!R363="","",データ!R363)</f>
        <v/>
      </c>
      <c r="V366" s="41" t="str">
        <f>IF(データ!S363="","",データ!S363)</f>
        <v/>
      </c>
      <c r="W366" s="42">
        <f>データ!T363</f>
        <v>0</v>
      </c>
      <c r="X366" s="48">
        <f>IF($C366="集計行","",データ!U363)</f>
        <v>0</v>
      </c>
      <c r="Y366" s="48">
        <f>データ!V363</f>
        <v>0</v>
      </c>
      <c r="Z366" s="39" t="str">
        <f>IF(OR($C366="総括",$C366="内訳書",$C366="内訳代価",$C366="明細書",$C366="明細代価",$C366="代価表",$C366="単価表"),データ!W363,"")</f>
        <v/>
      </c>
      <c r="AA366" s="11" t="str">
        <f t="shared" si="34"/>
        <v/>
      </c>
      <c r="AB366" s="46" t="e">
        <f t="shared" si="35"/>
        <v>#DIV/0!</v>
      </c>
      <c r="AC366" s="40" t="str">
        <f>IF(データ!X363="","",データ!X363)</f>
        <v/>
      </c>
      <c r="AD366" s="41" t="str">
        <f>IF(データ!Y363="","",データ!Y363)</f>
        <v/>
      </c>
      <c r="AE366" s="47" t="str">
        <f>TRIM(データ!B363)</f>
        <v/>
      </c>
      <c r="AF366" s="43" t="str">
        <f>TRIM(データ!Z363)</f>
        <v/>
      </c>
    </row>
    <row r="367" spans="1:32" x14ac:dyDescent="0.15">
      <c r="A367" s="47">
        <f>データ!A364</f>
        <v>2</v>
      </c>
      <c r="B367" s="47" t="str">
        <f>TRIM(データ!C364)</f>
        <v/>
      </c>
      <c r="C367" s="47" t="str">
        <f>TRIM(データ!D364)</f>
        <v>機械費</v>
      </c>
      <c r="D367" s="36" t="str">
        <f>REPT("｜",$A367)&amp;TRIM(データ!E364)</f>
        <v>｜｜軽トラ規制車</v>
      </c>
      <c r="E367" s="37" t="str">
        <f>TRIM(データ!F364)</f>
        <v/>
      </c>
      <c r="F367" s="38" t="str">
        <f>TRIM(データ!G364)</f>
        <v>台</v>
      </c>
      <c r="G367" s="50">
        <f>データ!H364</f>
        <v>1</v>
      </c>
      <c r="H367" s="48">
        <f>データ!I364</f>
        <v>10000</v>
      </c>
      <c r="I367" s="48">
        <f>データ!J364</f>
        <v>10000</v>
      </c>
      <c r="J367" s="39" t="str">
        <f>IF(OR($C367="総括",$C367="内訳書",$C367="内訳代価",$C367="明細書",$C367="明細代価",$C367="代価表",$C367="単価表"),データ!K364,"")</f>
        <v/>
      </c>
      <c r="K367" s="11" t="str">
        <f t="shared" si="30"/>
        <v/>
      </c>
      <c r="L367" s="46">
        <f t="shared" si="31"/>
        <v>5.406173958784411E-4</v>
      </c>
      <c r="M367" s="40" t="str">
        <f>IF(データ!L364="","",データ!L364)</f>
        <v/>
      </c>
      <c r="N367" s="41" t="str">
        <f>IF(データ!M364="","",データ!M364)</f>
        <v/>
      </c>
      <c r="O367" s="42">
        <f>データ!N364</f>
        <v>0</v>
      </c>
      <c r="P367" s="48">
        <f>IF($C367="集計行","",データ!O364)</f>
        <v>0</v>
      </c>
      <c r="Q367" s="48">
        <f>データ!P364</f>
        <v>0</v>
      </c>
      <c r="R367" s="39" t="str">
        <f>IF(OR($C367="総括",$C367="内訳書",$C367="内訳代価",$C367="明細書",$C367="明細代価",$C367="代価表",$C367="単価表"),データ!Q364,"")</f>
        <v/>
      </c>
      <c r="S367" s="11" t="str">
        <f t="shared" si="32"/>
        <v/>
      </c>
      <c r="T367" s="46" t="e">
        <f t="shared" si="33"/>
        <v>#DIV/0!</v>
      </c>
      <c r="U367" s="40" t="str">
        <f>IF(データ!R364="","",データ!R364)</f>
        <v/>
      </c>
      <c r="V367" s="41" t="str">
        <f>IF(データ!S364="","",データ!S364)</f>
        <v/>
      </c>
      <c r="W367" s="42">
        <f>データ!T364</f>
        <v>0</v>
      </c>
      <c r="X367" s="48">
        <f>IF($C367="集計行","",データ!U364)</f>
        <v>0</v>
      </c>
      <c r="Y367" s="48">
        <f>データ!V364</f>
        <v>0</v>
      </c>
      <c r="Z367" s="39" t="str">
        <f>IF(OR($C367="総括",$C367="内訳書",$C367="内訳代価",$C367="明細書",$C367="明細代価",$C367="代価表",$C367="単価表"),データ!W364,"")</f>
        <v/>
      </c>
      <c r="AA367" s="11" t="str">
        <f t="shared" si="34"/>
        <v/>
      </c>
      <c r="AB367" s="46" t="e">
        <f t="shared" si="35"/>
        <v>#DIV/0!</v>
      </c>
      <c r="AC367" s="40" t="str">
        <f>IF(データ!X364="","",データ!X364)</f>
        <v/>
      </c>
      <c r="AD367" s="41" t="str">
        <f>IF(データ!Y364="","",データ!Y364)</f>
        <v/>
      </c>
      <c r="AE367" s="47" t="str">
        <f>TRIM(データ!B364)</f>
        <v/>
      </c>
      <c r="AF367" s="43" t="str">
        <f>TRIM(データ!Z364)</f>
        <v/>
      </c>
    </row>
    <row r="368" spans="1:32" x14ac:dyDescent="0.15">
      <c r="A368" s="47">
        <f>データ!A365</f>
        <v>1</v>
      </c>
      <c r="B368" s="47" t="str">
        <f>TRIM(データ!C365)</f>
        <v/>
      </c>
      <c r="C368" s="47" t="str">
        <f>TRIM(データ!D365)</f>
        <v>内訳書</v>
      </c>
      <c r="D368" s="36" t="str">
        <f>REPT("｜",$A368)&amp;TRIM(データ!E365)</f>
        <v>｜舗装打換工　t=50 2日</v>
      </c>
      <c r="E368" s="37" t="str">
        <f>TRIM(データ!F365)</f>
        <v/>
      </c>
      <c r="F368" s="38" t="str">
        <f>TRIM(データ!G365)</f>
        <v>m2</v>
      </c>
      <c r="G368" s="50">
        <f>データ!H365</f>
        <v>317</v>
      </c>
      <c r="H368" s="48">
        <f>データ!I365</f>
        <v>5950</v>
      </c>
      <c r="I368" s="48">
        <f>データ!J365</f>
        <v>1886150</v>
      </c>
      <c r="J368" s="39">
        <f>IF(OR($C368="総括",$C368="内訳書",$C368="内訳代価",$C368="明細書",$C368="明細代価",$C368="代価表",$C368="単価表"),データ!K365,"")</f>
        <v>317</v>
      </c>
      <c r="K368" s="11" t="str">
        <f t="shared" si="30"/>
        <v/>
      </c>
      <c r="L368" s="46">
        <f t="shared" si="31"/>
        <v>0.10196855012361217</v>
      </c>
      <c r="M368" s="40" t="str">
        <f>IF(データ!L365="","",データ!L365)</f>
        <v/>
      </c>
      <c r="N368" s="41" t="str">
        <f>IF(データ!M365="","",データ!M365)</f>
        <v>35号内訳書</v>
      </c>
      <c r="O368" s="42">
        <f>データ!N365</f>
        <v>0</v>
      </c>
      <c r="P368" s="48">
        <f>IF($C368="集計行","",データ!O365)</f>
        <v>0</v>
      </c>
      <c r="Q368" s="48">
        <f>データ!P365</f>
        <v>0</v>
      </c>
      <c r="R368" s="39">
        <f>IF(OR($C368="総括",$C368="内訳書",$C368="内訳代価",$C368="明細書",$C368="明細代価",$C368="代価表",$C368="単価表"),データ!Q365,"")</f>
        <v>0</v>
      </c>
      <c r="S368" s="11" t="str">
        <f t="shared" si="32"/>
        <v/>
      </c>
      <c r="T368" s="46" t="e">
        <f t="shared" si="33"/>
        <v>#DIV/0!</v>
      </c>
      <c r="U368" s="40" t="str">
        <f>IF(データ!R365="","",データ!R365)</f>
        <v/>
      </c>
      <c r="V368" s="41" t="str">
        <f>IF(データ!S365="","",データ!S365)</f>
        <v/>
      </c>
      <c r="W368" s="42">
        <f>データ!T365</f>
        <v>0</v>
      </c>
      <c r="X368" s="48">
        <f>IF($C368="集計行","",データ!U365)</f>
        <v>0</v>
      </c>
      <c r="Y368" s="48">
        <f>データ!V365</f>
        <v>0</v>
      </c>
      <c r="Z368" s="39">
        <f>IF(OR($C368="総括",$C368="内訳書",$C368="内訳代価",$C368="明細書",$C368="明細代価",$C368="代価表",$C368="単価表"),データ!W365,"")</f>
        <v>0</v>
      </c>
      <c r="AA368" s="11" t="str">
        <f t="shared" si="34"/>
        <v/>
      </c>
      <c r="AB368" s="46" t="e">
        <f t="shared" si="35"/>
        <v>#DIV/0!</v>
      </c>
      <c r="AC368" s="40" t="str">
        <f>IF(データ!X365="","",データ!X365)</f>
        <v/>
      </c>
      <c r="AD368" s="41" t="str">
        <f>IF(データ!Y365="","",データ!Y365)</f>
        <v/>
      </c>
      <c r="AE368" s="47" t="str">
        <f>TRIM(データ!B365)</f>
        <v/>
      </c>
      <c r="AF368" s="43" t="str">
        <f>TRIM(データ!Z365)</f>
        <v/>
      </c>
    </row>
    <row r="369" spans="1:32" x14ac:dyDescent="0.15">
      <c r="A369" s="47">
        <f>データ!A366</f>
        <v>2</v>
      </c>
      <c r="B369" s="47" t="str">
        <f>TRIM(データ!C366)</f>
        <v/>
      </c>
      <c r="C369" s="47" t="str">
        <f>TRIM(データ!D366)</f>
        <v>材料費</v>
      </c>
      <c r="D369" s="36" t="str">
        <f>REPT("｜",$A369)&amp;TRIM(データ!E366)</f>
        <v>｜｜再生密粒(13) t=50</v>
      </c>
      <c r="E369" s="37" t="str">
        <f>TRIM(データ!F366)</f>
        <v/>
      </c>
      <c r="F369" s="38" t="str">
        <f>TRIM(データ!G366)</f>
        <v>ｔ</v>
      </c>
      <c r="G369" s="50">
        <f>データ!H366</f>
        <v>42</v>
      </c>
      <c r="H369" s="48">
        <f>データ!I366</f>
        <v>9000</v>
      </c>
      <c r="I369" s="48">
        <f>データ!J366</f>
        <v>378000</v>
      </c>
      <c r="J369" s="39" t="str">
        <f>IF(OR($C369="総括",$C369="内訳書",$C369="内訳代価",$C369="明細書",$C369="明細代価",$C369="代価表",$C369="単価表"),データ!K366,"")</f>
        <v/>
      </c>
      <c r="K369" s="11" t="str">
        <f t="shared" si="30"/>
        <v/>
      </c>
      <c r="L369" s="46">
        <f t="shared" si="31"/>
        <v>2.0435337564205073E-2</v>
      </c>
      <c r="M369" s="40" t="str">
        <f>IF(データ!L366="","",データ!L366)</f>
        <v/>
      </c>
      <c r="N369" s="41" t="str">
        <f>IF(データ!M366="","",データ!M366)</f>
        <v/>
      </c>
      <c r="O369" s="42">
        <f>データ!N366</f>
        <v>0</v>
      </c>
      <c r="P369" s="48">
        <f>IF($C369="集計行","",データ!O366)</f>
        <v>0</v>
      </c>
      <c r="Q369" s="48">
        <f>データ!P366</f>
        <v>0</v>
      </c>
      <c r="R369" s="39" t="str">
        <f>IF(OR($C369="総括",$C369="内訳書",$C369="内訳代価",$C369="明細書",$C369="明細代価",$C369="代価表",$C369="単価表"),データ!Q366,"")</f>
        <v/>
      </c>
      <c r="S369" s="11" t="str">
        <f t="shared" si="32"/>
        <v/>
      </c>
      <c r="T369" s="46" t="e">
        <f t="shared" si="33"/>
        <v>#DIV/0!</v>
      </c>
      <c r="U369" s="40" t="str">
        <f>IF(データ!R366="","",データ!R366)</f>
        <v/>
      </c>
      <c r="V369" s="41" t="str">
        <f>IF(データ!S366="","",データ!S366)</f>
        <v/>
      </c>
      <c r="W369" s="42">
        <f>データ!T366</f>
        <v>0</v>
      </c>
      <c r="X369" s="48">
        <f>IF($C369="集計行","",データ!U366)</f>
        <v>0</v>
      </c>
      <c r="Y369" s="48">
        <f>データ!V366</f>
        <v>0</v>
      </c>
      <c r="Z369" s="39" t="str">
        <f>IF(OR($C369="総括",$C369="内訳書",$C369="内訳代価",$C369="明細書",$C369="明細代価",$C369="代価表",$C369="単価表"),データ!W366,"")</f>
        <v/>
      </c>
      <c r="AA369" s="11" t="str">
        <f t="shared" si="34"/>
        <v/>
      </c>
      <c r="AB369" s="46" t="e">
        <f t="shared" si="35"/>
        <v>#DIV/0!</v>
      </c>
      <c r="AC369" s="40" t="str">
        <f>IF(データ!X366="","",データ!X366)</f>
        <v/>
      </c>
      <c r="AD369" s="41" t="str">
        <f>IF(データ!Y366="","",データ!Y366)</f>
        <v/>
      </c>
      <c r="AE369" s="47" t="str">
        <f>TRIM(データ!B366)</f>
        <v/>
      </c>
      <c r="AF369" s="43" t="str">
        <f>TRIM(データ!Z366)</f>
        <v/>
      </c>
    </row>
    <row r="370" spans="1:32" x14ac:dyDescent="0.15">
      <c r="A370" s="47">
        <f>データ!A367</f>
        <v>2</v>
      </c>
      <c r="B370" s="47" t="str">
        <f>TRIM(データ!C367)</f>
        <v/>
      </c>
      <c r="C370" s="47" t="str">
        <f>TRIM(データ!D367)</f>
        <v>材料費</v>
      </c>
      <c r="D370" s="36" t="str">
        <f>REPT("｜",$A370)&amp;TRIM(データ!E367)</f>
        <v>｜｜再生砕石RC-40</v>
      </c>
      <c r="E370" s="37" t="str">
        <f>TRIM(データ!F367)</f>
        <v/>
      </c>
      <c r="F370" s="38" t="str">
        <f>TRIM(データ!G367)</f>
        <v>m3</v>
      </c>
      <c r="G370" s="50">
        <f>データ!H367</f>
        <v>8</v>
      </c>
      <c r="H370" s="48">
        <f>データ!I367</f>
        <v>2000</v>
      </c>
      <c r="I370" s="48">
        <f>データ!J367</f>
        <v>16000</v>
      </c>
      <c r="J370" s="39" t="str">
        <f>IF(OR($C370="総括",$C370="内訳書",$C370="内訳代価",$C370="明細書",$C370="明細代価",$C370="代価表",$C370="単価表"),データ!K367,"")</f>
        <v/>
      </c>
      <c r="K370" s="11" t="str">
        <f t="shared" si="30"/>
        <v/>
      </c>
      <c r="L370" s="46">
        <f t="shared" si="31"/>
        <v>8.6498783340550574E-4</v>
      </c>
      <c r="M370" s="40" t="str">
        <f>IF(データ!L367="","",データ!L367)</f>
        <v/>
      </c>
      <c r="N370" s="41" t="str">
        <f>IF(データ!M367="","",データ!M367)</f>
        <v/>
      </c>
      <c r="O370" s="42">
        <f>データ!N367</f>
        <v>0</v>
      </c>
      <c r="P370" s="48">
        <f>IF($C370="集計行","",データ!O367)</f>
        <v>0</v>
      </c>
      <c r="Q370" s="48">
        <f>データ!P367</f>
        <v>0</v>
      </c>
      <c r="R370" s="39" t="str">
        <f>IF(OR($C370="総括",$C370="内訳書",$C370="内訳代価",$C370="明細書",$C370="明細代価",$C370="代価表",$C370="単価表"),データ!Q367,"")</f>
        <v/>
      </c>
      <c r="S370" s="11" t="str">
        <f t="shared" si="32"/>
        <v/>
      </c>
      <c r="T370" s="46" t="e">
        <f t="shared" si="33"/>
        <v>#DIV/0!</v>
      </c>
      <c r="U370" s="40" t="str">
        <f>IF(データ!R367="","",データ!R367)</f>
        <v/>
      </c>
      <c r="V370" s="41" t="str">
        <f>IF(データ!S367="","",データ!S367)</f>
        <v/>
      </c>
      <c r="W370" s="42">
        <f>データ!T367</f>
        <v>0</v>
      </c>
      <c r="X370" s="48">
        <f>IF($C370="集計行","",データ!U367)</f>
        <v>0</v>
      </c>
      <c r="Y370" s="48">
        <f>データ!V367</f>
        <v>0</v>
      </c>
      <c r="Z370" s="39" t="str">
        <f>IF(OR($C370="総括",$C370="内訳書",$C370="内訳代価",$C370="明細書",$C370="明細代価",$C370="代価表",$C370="単価表"),データ!W367,"")</f>
        <v/>
      </c>
      <c r="AA370" s="11" t="str">
        <f t="shared" si="34"/>
        <v/>
      </c>
      <c r="AB370" s="46" t="e">
        <f t="shared" si="35"/>
        <v>#DIV/0!</v>
      </c>
      <c r="AC370" s="40" t="str">
        <f>IF(データ!X367="","",データ!X367)</f>
        <v/>
      </c>
      <c r="AD370" s="41" t="str">
        <f>IF(データ!Y367="","",データ!Y367)</f>
        <v/>
      </c>
      <c r="AE370" s="47" t="str">
        <f>TRIM(データ!B367)</f>
        <v/>
      </c>
      <c r="AF370" s="43" t="str">
        <f>TRIM(データ!Z367)</f>
        <v/>
      </c>
    </row>
    <row r="371" spans="1:32" x14ac:dyDescent="0.15">
      <c r="A371" s="47">
        <f>データ!A368</f>
        <v>2</v>
      </c>
      <c r="B371" s="47" t="str">
        <f>TRIM(データ!C368)</f>
        <v/>
      </c>
      <c r="C371" s="47" t="str">
        <f>TRIM(データ!D368)</f>
        <v>材料費</v>
      </c>
      <c r="D371" s="36" t="str">
        <f>REPT("｜",$A371)&amp;TRIM(データ!E368)</f>
        <v>｜｜養生砂</v>
      </c>
      <c r="E371" s="37" t="str">
        <f>TRIM(データ!F368)</f>
        <v/>
      </c>
      <c r="F371" s="38" t="str">
        <f>TRIM(データ!G368)</f>
        <v>m3</v>
      </c>
      <c r="G371" s="50">
        <f>データ!H368</f>
        <v>1</v>
      </c>
      <c r="H371" s="48">
        <f>データ!I368</f>
        <v>8000</v>
      </c>
      <c r="I371" s="48">
        <f>データ!J368</f>
        <v>8000</v>
      </c>
      <c r="J371" s="39" t="str">
        <f>IF(OR($C371="総括",$C371="内訳書",$C371="内訳代価",$C371="明細書",$C371="明細代価",$C371="代価表",$C371="単価表"),データ!K368,"")</f>
        <v/>
      </c>
      <c r="K371" s="11" t="str">
        <f t="shared" si="30"/>
        <v/>
      </c>
      <c r="L371" s="46">
        <f t="shared" si="31"/>
        <v>4.3249391670275287E-4</v>
      </c>
      <c r="M371" s="40" t="str">
        <f>IF(データ!L368="","",データ!L368)</f>
        <v/>
      </c>
      <c r="N371" s="41" t="str">
        <f>IF(データ!M368="","",データ!M368)</f>
        <v/>
      </c>
      <c r="O371" s="42">
        <f>データ!N368</f>
        <v>0</v>
      </c>
      <c r="P371" s="48">
        <f>IF($C371="集計行","",データ!O368)</f>
        <v>0</v>
      </c>
      <c r="Q371" s="48">
        <f>データ!P368</f>
        <v>0</v>
      </c>
      <c r="R371" s="39" t="str">
        <f>IF(OR($C371="総括",$C371="内訳書",$C371="内訳代価",$C371="明細書",$C371="明細代価",$C371="代価表",$C371="単価表"),データ!Q368,"")</f>
        <v/>
      </c>
      <c r="S371" s="11" t="str">
        <f t="shared" si="32"/>
        <v/>
      </c>
      <c r="T371" s="46" t="e">
        <f t="shared" si="33"/>
        <v>#DIV/0!</v>
      </c>
      <c r="U371" s="40" t="str">
        <f>IF(データ!R368="","",データ!R368)</f>
        <v/>
      </c>
      <c r="V371" s="41" t="str">
        <f>IF(データ!S368="","",データ!S368)</f>
        <v/>
      </c>
      <c r="W371" s="42">
        <f>データ!T368</f>
        <v>0</v>
      </c>
      <c r="X371" s="48">
        <f>IF($C371="集計行","",データ!U368)</f>
        <v>0</v>
      </c>
      <c r="Y371" s="48">
        <f>データ!V368</f>
        <v>0</v>
      </c>
      <c r="Z371" s="39" t="str">
        <f>IF(OR($C371="総括",$C371="内訳書",$C371="内訳代価",$C371="明細書",$C371="明細代価",$C371="代価表",$C371="単価表"),データ!W368,"")</f>
        <v/>
      </c>
      <c r="AA371" s="11" t="str">
        <f t="shared" si="34"/>
        <v/>
      </c>
      <c r="AB371" s="46" t="e">
        <f t="shared" si="35"/>
        <v>#DIV/0!</v>
      </c>
      <c r="AC371" s="40" t="str">
        <f>IF(データ!X368="","",データ!X368)</f>
        <v/>
      </c>
      <c r="AD371" s="41" t="str">
        <f>IF(データ!Y368="","",データ!Y368)</f>
        <v/>
      </c>
      <c r="AE371" s="47" t="str">
        <f>TRIM(データ!B368)</f>
        <v/>
      </c>
      <c r="AF371" s="43" t="str">
        <f>TRIM(データ!Z368)</f>
        <v/>
      </c>
    </row>
    <row r="372" spans="1:32" x14ac:dyDescent="0.15">
      <c r="A372" s="47">
        <f>データ!A369</f>
        <v>2</v>
      </c>
      <c r="B372" s="47" t="str">
        <f>TRIM(データ!C369)</f>
        <v/>
      </c>
      <c r="C372" s="47" t="str">
        <f>TRIM(データ!D369)</f>
        <v>材料費</v>
      </c>
      <c r="D372" s="36" t="str">
        <f>REPT("｜",$A372)&amp;TRIM(データ!E369)</f>
        <v>｜｜アスファルト乳剤PK-3</v>
      </c>
      <c r="E372" s="37" t="str">
        <f>TRIM(データ!F369)</f>
        <v/>
      </c>
      <c r="F372" s="38" t="str">
        <f>TRIM(データ!G369)</f>
        <v>リットル</v>
      </c>
      <c r="G372" s="50">
        <f>データ!H369</f>
        <v>260</v>
      </c>
      <c r="H372" s="48">
        <f>データ!I369</f>
        <v>99</v>
      </c>
      <c r="I372" s="48">
        <f>データ!J369</f>
        <v>25740</v>
      </c>
      <c r="J372" s="39" t="str">
        <f>IF(OR($C372="総括",$C372="内訳書",$C372="内訳代価",$C372="明細書",$C372="明細代価",$C372="代価表",$C372="単価表"),データ!K369,"")</f>
        <v/>
      </c>
      <c r="K372" s="11" t="str">
        <f t="shared" si="30"/>
        <v/>
      </c>
      <c r="L372" s="46">
        <f t="shared" si="31"/>
        <v>1.3915491769911075E-3</v>
      </c>
      <c r="M372" s="40" t="str">
        <f>IF(データ!L369="","",データ!L369)</f>
        <v/>
      </c>
      <c r="N372" s="41" t="str">
        <f>IF(データ!M369="","",データ!M369)</f>
        <v/>
      </c>
      <c r="O372" s="42">
        <f>データ!N369</f>
        <v>0</v>
      </c>
      <c r="P372" s="48">
        <f>IF($C372="集計行","",データ!O369)</f>
        <v>0</v>
      </c>
      <c r="Q372" s="48">
        <f>データ!P369</f>
        <v>0</v>
      </c>
      <c r="R372" s="39" t="str">
        <f>IF(OR($C372="総括",$C372="内訳書",$C372="内訳代価",$C372="明細書",$C372="明細代価",$C372="代価表",$C372="単価表"),データ!Q369,"")</f>
        <v/>
      </c>
      <c r="S372" s="11" t="str">
        <f t="shared" si="32"/>
        <v/>
      </c>
      <c r="T372" s="46" t="e">
        <f t="shared" si="33"/>
        <v>#DIV/0!</v>
      </c>
      <c r="U372" s="40" t="str">
        <f>IF(データ!R369="","",データ!R369)</f>
        <v/>
      </c>
      <c r="V372" s="41" t="str">
        <f>IF(データ!S369="","",データ!S369)</f>
        <v/>
      </c>
      <c r="W372" s="42">
        <f>データ!T369</f>
        <v>0</v>
      </c>
      <c r="X372" s="48">
        <f>IF($C372="集計行","",データ!U369)</f>
        <v>0</v>
      </c>
      <c r="Y372" s="48">
        <f>データ!V369</f>
        <v>0</v>
      </c>
      <c r="Z372" s="39" t="str">
        <f>IF(OR($C372="総括",$C372="内訳書",$C372="内訳代価",$C372="明細書",$C372="明細代価",$C372="代価表",$C372="単価表"),データ!W369,"")</f>
        <v/>
      </c>
      <c r="AA372" s="11" t="str">
        <f t="shared" si="34"/>
        <v/>
      </c>
      <c r="AB372" s="46" t="e">
        <f t="shared" si="35"/>
        <v>#DIV/0!</v>
      </c>
      <c r="AC372" s="40" t="str">
        <f>IF(データ!X369="","",データ!X369)</f>
        <v/>
      </c>
      <c r="AD372" s="41" t="str">
        <f>IF(データ!Y369="","",データ!Y369)</f>
        <v/>
      </c>
      <c r="AE372" s="47" t="str">
        <f>TRIM(データ!B369)</f>
        <v/>
      </c>
      <c r="AF372" s="43" t="str">
        <f>TRIM(データ!Z369)</f>
        <v/>
      </c>
    </row>
    <row r="373" spans="1:32" x14ac:dyDescent="0.15">
      <c r="A373" s="47">
        <f>データ!A370</f>
        <v>2</v>
      </c>
      <c r="B373" s="47" t="str">
        <f>TRIM(データ!C370)</f>
        <v/>
      </c>
      <c r="C373" s="47" t="str">
        <f>TRIM(データ!D370)</f>
        <v>材料費</v>
      </c>
      <c r="D373" s="36" t="str">
        <f>REPT("｜",$A373)&amp;TRIM(データ!E370)</f>
        <v>｜｜軽油</v>
      </c>
      <c r="E373" s="37" t="str">
        <f>TRIM(データ!F370)</f>
        <v/>
      </c>
      <c r="F373" s="38" t="str">
        <f>TRIM(データ!G370)</f>
        <v>リットル</v>
      </c>
      <c r="G373" s="50">
        <f>データ!H370</f>
        <v>100</v>
      </c>
      <c r="H373" s="48">
        <f>データ!I370</f>
        <v>160</v>
      </c>
      <c r="I373" s="48">
        <f>データ!J370</f>
        <v>16000</v>
      </c>
      <c r="J373" s="39" t="str">
        <f>IF(OR($C373="総括",$C373="内訳書",$C373="内訳代価",$C373="明細書",$C373="明細代価",$C373="代価表",$C373="単価表"),データ!K370,"")</f>
        <v/>
      </c>
      <c r="K373" s="11" t="str">
        <f t="shared" si="30"/>
        <v/>
      </c>
      <c r="L373" s="46">
        <f t="shared" si="31"/>
        <v>8.6498783340550574E-4</v>
      </c>
      <c r="M373" s="40" t="str">
        <f>IF(データ!L370="","",データ!L370)</f>
        <v/>
      </c>
      <c r="N373" s="41" t="str">
        <f>IF(データ!M370="","",データ!M370)</f>
        <v/>
      </c>
      <c r="O373" s="42">
        <f>データ!N370</f>
        <v>0</v>
      </c>
      <c r="P373" s="48">
        <f>IF($C373="集計行","",データ!O370)</f>
        <v>0</v>
      </c>
      <c r="Q373" s="48">
        <f>データ!P370</f>
        <v>0</v>
      </c>
      <c r="R373" s="39" t="str">
        <f>IF(OR($C373="総括",$C373="内訳書",$C373="内訳代価",$C373="明細書",$C373="明細代価",$C373="代価表",$C373="単価表"),データ!Q370,"")</f>
        <v/>
      </c>
      <c r="S373" s="11" t="str">
        <f t="shared" si="32"/>
        <v/>
      </c>
      <c r="T373" s="46" t="e">
        <f t="shared" si="33"/>
        <v>#DIV/0!</v>
      </c>
      <c r="U373" s="40" t="str">
        <f>IF(データ!R370="","",データ!R370)</f>
        <v/>
      </c>
      <c r="V373" s="41" t="str">
        <f>IF(データ!S370="","",データ!S370)</f>
        <v/>
      </c>
      <c r="W373" s="42">
        <f>データ!T370</f>
        <v>0</v>
      </c>
      <c r="X373" s="48">
        <f>IF($C373="集計行","",データ!U370)</f>
        <v>0</v>
      </c>
      <c r="Y373" s="48">
        <f>データ!V370</f>
        <v>0</v>
      </c>
      <c r="Z373" s="39" t="str">
        <f>IF(OR($C373="総括",$C373="内訳書",$C373="内訳代価",$C373="明細書",$C373="明細代価",$C373="代価表",$C373="単価表"),データ!W370,"")</f>
        <v/>
      </c>
      <c r="AA373" s="11" t="str">
        <f t="shared" si="34"/>
        <v/>
      </c>
      <c r="AB373" s="46" t="e">
        <f t="shared" si="35"/>
        <v>#DIV/0!</v>
      </c>
      <c r="AC373" s="40" t="str">
        <f>IF(データ!X370="","",データ!X370)</f>
        <v/>
      </c>
      <c r="AD373" s="41" t="str">
        <f>IF(データ!Y370="","",データ!Y370)</f>
        <v/>
      </c>
      <c r="AE373" s="47" t="str">
        <f>TRIM(データ!B370)</f>
        <v/>
      </c>
      <c r="AF373" s="43" t="str">
        <f>TRIM(データ!Z370)</f>
        <v/>
      </c>
    </row>
    <row r="374" spans="1:32" x14ac:dyDescent="0.15">
      <c r="A374" s="47">
        <f>データ!A371</f>
        <v>2</v>
      </c>
      <c r="B374" s="47" t="str">
        <f>TRIM(データ!C371)</f>
        <v/>
      </c>
      <c r="C374" s="47" t="str">
        <f>TRIM(データ!D371)</f>
        <v>材料費</v>
      </c>
      <c r="D374" s="36" t="str">
        <f>REPT("｜",$A374)&amp;TRIM(データ!E371)</f>
        <v>｜｜ガソリン</v>
      </c>
      <c r="E374" s="37" t="str">
        <f>TRIM(データ!F371)</f>
        <v/>
      </c>
      <c r="F374" s="38" t="str">
        <f>TRIM(データ!G371)</f>
        <v>リットル</v>
      </c>
      <c r="G374" s="50">
        <f>データ!H371</f>
        <v>40</v>
      </c>
      <c r="H374" s="48">
        <f>データ!I371</f>
        <v>180</v>
      </c>
      <c r="I374" s="48">
        <f>データ!J371</f>
        <v>7200</v>
      </c>
      <c r="J374" s="39" t="str">
        <f>IF(OR($C374="総括",$C374="内訳書",$C374="内訳代価",$C374="明細書",$C374="明細代価",$C374="代価表",$C374="単価表"),データ!K371,"")</f>
        <v/>
      </c>
      <c r="K374" s="11" t="str">
        <f t="shared" si="30"/>
        <v/>
      </c>
      <c r="L374" s="46">
        <f t="shared" si="31"/>
        <v>3.8924452503247758E-4</v>
      </c>
      <c r="M374" s="40" t="str">
        <f>IF(データ!L371="","",データ!L371)</f>
        <v/>
      </c>
      <c r="N374" s="41" t="str">
        <f>IF(データ!M371="","",データ!M371)</f>
        <v/>
      </c>
      <c r="O374" s="42">
        <f>データ!N371</f>
        <v>0</v>
      </c>
      <c r="P374" s="48">
        <f>IF($C374="集計行","",データ!O371)</f>
        <v>0</v>
      </c>
      <c r="Q374" s="48">
        <f>データ!P371</f>
        <v>0</v>
      </c>
      <c r="R374" s="39" t="str">
        <f>IF(OR($C374="総括",$C374="内訳書",$C374="内訳代価",$C374="明細書",$C374="明細代価",$C374="代価表",$C374="単価表"),データ!Q371,"")</f>
        <v/>
      </c>
      <c r="S374" s="11" t="str">
        <f t="shared" si="32"/>
        <v/>
      </c>
      <c r="T374" s="46" t="e">
        <f t="shared" si="33"/>
        <v>#DIV/0!</v>
      </c>
      <c r="U374" s="40" t="str">
        <f>IF(データ!R371="","",データ!R371)</f>
        <v/>
      </c>
      <c r="V374" s="41" t="str">
        <f>IF(データ!S371="","",データ!S371)</f>
        <v/>
      </c>
      <c r="W374" s="42">
        <f>データ!T371</f>
        <v>0</v>
      </c>
      <c r="X374" s="48">
        <f>IF($C374="集計行","",データ!U371)</f>
        <v>0</v>
      </c>
      <c r="Y374" s="48">
        <f>データ!V371</f>
        <v>0</v>
      </c>
      <c r="Z374" s="39" t="str">
        <f>IF(OR($C374="総括",$C374="内訳書",$C374="内訳代価",$C374="明細書",$C374="明細代価",$C374="代価表",$C374="単価表"),データ!W371,"")</f>
        <v/>
      </c>
      <c r="AA374" s="11" t="str">
        <f t="shared" si="34"/>
        <v/>
      </c>
      <c r="AB374" s="46" t="e">
        <f t="shared" si="35"/>
        <v>#DIV/0!</v>
      </c>
      <c r="AC374" s="40" t="str">
        <f>IF(データ!X371="","",データ!X371)</f>
        <v/>
      </c>
      <c r="AD374" s="41" t="str">
        <f>IF(データ!Y371="","",データ!Y371)</f>
        <v/>
      </c>
      <c r="AE374" s="47" t="str">
        <f>TRIM(データ!B371)</f>
        <v/>
      </c>
      <c r="AF374" s="43" t="str">
        <f>TRIM(データ!Z371)</f>
        <v/>
      </c>
    </row>
    <row r="375" spans="1:32" x14ac:dyDescent="0.15">
      <c r="A375" s="47">
        <f>データ!A372</f>
        <v>2</v>
      </c>
      <c r="B375" s="47" t="str">
        <f>TRIM(データ!C372)</f>
        <v/>
      </c>
      <c r="C375" s="47" t="str">
        <f>TRIM(データ!D372)</f>
        <v>材料費</v>
      </c>
      <c r="D375" s="36" t="str">
        <f>REPT("｜",$A375)&amp;TRIM(データ!E372)</f>
        <v>｜｜養生材</v>
      </c>
      <c r="E375" s="37" t="str">
        <f>TRIM(データ!F372)</f>
        <v/>
      </c>
      <c r="F375" s="38" t="str">
        <f>TRIM(データ!G372)</f>
        <v>式</v>
      </c>
      <c r="G375" s="50">
        <f>データ!H372</f>
        <v>1</v>
      </c>
      <c r="H375" s="48">
        <f>データ!I372</f>
        <v>9210</v>
      </c>
      <c r="I375" s="48">
        <f>データ!J372</f>
        <v>9210</v>
      </c>
      <c r="J375" s="39" t="str">
        <f>IF(OR($C375="総括",$C375="内訳書",$C375="内訳代価",$C375="明細書",$C375="明細代価",$C375="代価表",$C375="単価表"),データ!K372,"")</f>
        <v/>
      </c>
      <c r="K375" s="11" t="str">
        <f t="shared" si="30"/>
        <v/>
      </c>
      <c r="L375" s="46">
        <f t="shared" si="31"/>
        <v>4.979086216040442E-4</v>
      </c>
      <c r="M375" s="40" t="str">
        <f>IF(データ!L372="","",データ!L372)</f>
        <v/>
      </c>
      <c r="N375" s="41" t="str">
        <f>IF(データ!M372="","",データ!M372)</f>
        <v/>
      </c>
      <c r="O375" s="42">
        <f>データ!N372</f>
        <v>0</v>
      </c>
      <c r="P375" s="48">
        <f>IF($C375="集計行","",データ!O372)</f>
        <v>0</v>
      </c>
      <c r="Q375" s="48">
        <f>データ!P372</f>
        <v>0</v>
      </c>
      <c r="R375" s="39" t="str">
        <f>IF(OR($C375="総括",$C375="内訳書",$C375="内訳代価",$C375="明細書",$C375="明細代価",$C375="代価表",$C375="単価表"),データ!Q372,"")</f>
        <v/>
      </c>
      <c r="S375" s="11" t="str">
        <f t="shared" si="32"/>
        <v/>
      </c>
      <c r="T375" s="46" t="e">
        <f t="shared" si="33"/>
        <v>#DIV/0!</v>
      </c>
      <c r="U375" s="40" t="str">
        <f>IF(データ!R372="","",データ!R372)</f>
        <v/>
      </c>
      <c r="V375" s="41" t="str">
        <f>IF(データ!S372="","",データ!S372)</f>
        <v/>
      </c>
      <c r="W375" s="42">
        <f>データ!T372</f>
        <v>0</v>
      </c>
      <c r="X375" s="48">
        <f>IF($C375="集計行","",データ!U372)</f>
        <v>0</v>
      </c>
      <c r="Y375" s="48">
        <f>データ!V372</f>
        <v>0</v>
      </c>
      <c r="Z375" s="39" t="str">
        <f>IF(OR($C375="総括",$C375="内訳書",$C375="内訳代価",$C375="明細書",$C375="明細代価",$C375="代価表",$C375="単価表"),データ!W372,"")</f>
        <v/>
      </c>
      <c r="AA375" s="11" t="str">
        <f t="shared" si="34"/>
        <v/>
      </c>
      <c r="AB375" s="46" t="e">
        <f t="shared" si="35"/>
        <v>#DIV/0!</v>
      </c>
      <c r="AC375" s="40" t="str">
        <f>IF(データ!X372="","",データ!X372)</f>
        <v/>
      </c>
      <c r="AD375" s="41" t="str">
        <f>IF(データ!Y372="","",データ!Y372)</f>
        <v/>
      </c>
      <c r="AE375" s="47" t="str">
        <f>TRIM(データ!B372)</f>
        <v/>
      </c>
      <c r="AF375" s="43" t="str">
        <f>TRIM(データ!Z372)</f>
        <v/>
      </c>
    </row>
    <row r="376" spans="1:32" x14ac:dyDescent="0.15">
      <c r="A376" s="47">
        <f>データ!A373</f>
        <v>2</v>
      </c>
      <c r="B376" s="47" t="str">
        <f>TRIM(データ!C373)</f>
        <v/>
      </c>
      <c r="C376" s="47" t="str">
        <f>TRIM(データ!D373)</f>
        <v>労務費</v>
      </c>
      <c r="D376" s="36" t="str">
        <f>REPT("｜",$A376)&amp;TRIM(データ!E373)</f>
        <v>｜｜土工</v>
      </c>
      <c r="E376" s="37" t="str">
        <f>TRIM(データ!F373)</f>
        <v/>
      </c>
      <c r="F376" s="38" t="str">
        <f>TRIM(データ!G373)</f>
        <v>人</v>
      </c>
      <c r="G376" s="50">
        <f>データ!H373</f>
        <v>16</v>
      </c>
      <c r="H376" s="48">
        <f>データ!I373</f>
        <v>25000</v>
      </c>
      <c r="I376" s="48">
        <f>データ!J373</f>
        <v>400000</v>
      </c>
      <c r="J376" s="39" t="str">
        <f>IF(OR($C376="総括",$C376="内訳書",$C376="内訳代価",$C376="明細書",$C376="明細代価",$C376="代価表",$C376="単価表"),データ!K373,"")</f>
        <v/>
      </c>
      <c r="K376" s="11" t="str">
        <f t="shared" si="30"/>
        <v/>
      </c>
      <c r="L376" s="46">
        <f t="shared" si="31"/>
        <v>2.1624695835137642E-2</v>
      </c>
      <c r="M376" s="40" t="str">
        <f>IF(データ!L373="","",データ!L373)</f>
        <v/>
      </c>
      <c r="N376" s="41" t="str">
        <f>IF(データ!M373="","",データ!M373)</f>
        <v/>
      </c>
      <c r="O376" s="42">
        <f>データ!N373</f>
        <v>0</v>
      </c>
      <c r="P376" s="48">
        <f>IF($C376="集計行","",データ!O373)</f>
        <v>0</v>
      </c>
      <c r="Q376" s="48">
        <f>データ!P373</f>
        <v>0</v>
      </c>
      <c r="R376" s="39" t="str">
        <f>IF(OR($C376="総括",$C376="内訳書",$C376="内訳代価",$C376="明細書",$C376="明細代価",$C376="代価表",$C376="単価表"),データ!Q373,"")</f>
        <v/>
      </c>
      <c r="S376" s="11" t="str">
        <f t="shared" si="32"/>
        <v/>
      </c>
      <c r="T376" s="46" t="e">
        <f t="shared" si="33"/>
        <v>#DIV/0!</v>
      </c>
      <c r="U376" s="40" t="str">
        <f>IF(データ!R373="","",データ!R373)</f>
        <v/>
      </c>
      <c r="V376" s="41" t="str">
        <f>IF(データ!S373="","",データ!S373)</f>
        <v/>
      </c>
      <c r="W376" s="42">
        <f>データ!T373</f>
        <v>0</v>
      </c>
      <c r="X376" s="48">
        <f>IF($C376="集計行","",データ!U373)</f>
        <v>0</v>
      </c>
      <c r="Y376" s="48">
        <f>データ!V373</f>
        <v>0</v>
      </c>
      <c r="Z376" s="39" t="str">
        <f>IF(OR($C376="総括",$C376="内訳書",$C376="内訳代価",$C376="明細書",$C376="明細代価",$C376="代価表",$C376="単価表"),データ!W373,"")</f>
        <v/>
      </c>
      <c r="AA376" s="11" t="str">
        <f t="shared" si="34"/>
        <v/>
      </c>
      <c r="AB376" s="46" t="e">
        <f t="shared" si="35"/>
        <v>#DIV/0!</v>
      </c>
      <c r="AC376" s="40" t="str">
        <f>IF(データ!X373="","",データ!X373)</f>
        <v/>
      </c>
      <c r="AD376" s="41" t="str">
        <f>IF(データ!Y373="","",データ!Y373)</f>
        <v/>
      </c>
      <c r="AE376" s="47" t="str">
        <f>TRIM(データ!B373)</f>
        <v/>
      </c>
      <c r="AF376" s="43" t="str">
        <f>TRIM(データ!Z373)</f>
        <v/>
      </c>
    </row>
    <row r="377" spans="1:32" x14ac:dyDescent="0.15">
      <c r="A377" s="47">
        <f>データ!A374</f>
        <v>2</v>
      </c>
      <c r="B377" s="47" t="str">
        <f>TRIM(データ!C374)</f>
        <v/>
      </c>
      <c r="C377" s="47" t="str">
        <f>TRIM(データ!D374)</f>
        <v>機械費</v>
      </c>
      <c r="D377" s="36" t="str">
        <f>REPT("｜",$A377)&amp;TRIM(データ!E374)</f>
        <v>｜｜フィニッシャー4.5m</v>
      </c>
      <c r="E377" s="37" t="str">
        <f>TRIM(データ!F374)</f>
        <v/>
      </c>
      <c r="F377" s="38" t="str">
        <f>TRIM(データ!G374)</f>
        <v>台</v>
      </c>
      <c r="G377" s="50">
        <f>データ!H374</f>
        <v>1</v>
      </c>
      <c r="H377" s="48">
        <f>データ!I374</f>
        <v>85000</v>
      </c>
      <c r="I377" s="48">
        <f>データ!J374</f>
        <v>85000</v>
      </c>
      <c r="J377" s="39" t="str">
        <f>IF(OR($C377="総括",$C377="内訳書",$C377="内訳代価",$C377="明細書",$C377="明細代価",$C377="代価表",$C377="単価表"),データ!K374,"")</f>
        <v/>
      </c>
      <c r="K377" s="11" t="str">
        <f t="shared" si="30"/>
        <v/>
      </c>
      <c r="L377" s="46">
        <f t="shared" si="31"/>
        <v>4.5952478649667495E-3</v>
      </c>
      <c r="M377" s="40" t="str">
        <f>IF(データ!L374="","",データ!L374)</f>
        <v/>
      </c>
      <c r="N377" s="41" t="str">
        <f>IF(データ!M374="","",データ!M374)</f>
        <v/>
      </c>
      <c r="O377" s="42">
        <f>データ!N374</f>
        <v>0</v>
      </c>
      <c r="P377" s="48">
        <f>IF($C377="集計行","",データ!O374)</f>
        <v>0</v>
      </c>
      <c r="Q377" s="48">
        <f>データ!P374</f>
        <v>0</v>
      </c>
      <c r="R377" s="39" t="str">
        <f>IF(OR($C377="総括",$C377="内訳書",$C377="内訳代価",$C377="明細書",$C377="明細代価",$C377="代価表",$C377="単価表"),データ!Q374,"")</f>
        <v/>
      </c>
      <c r="S377" s="11" t="str">
        <f t="shared" si="32"/>
        <v/>
      </c>
      <c r="T377" s="46" t="e">
        <f t="shared" si="33"/>
        <v>#DIV/0!</v>
      </c>
      <c r="U377" s="40" t="str">
        <f>IF(データ!R374="","",データ!R374)</f>
        <v/>
      </c>
      <c r="V377" s="41" t="str">
        <f>IF(データ!S374="","",データ!S374)</f>
        <v/>
      </c>
      <c r="W377" s="42">
        <f>データ!T374</f>
        <v>0</v>
      </c>
      <c r="X377" s="48">
        <f>IF($C377="集計行","",データ!U374)</f>
        <v>0</v>
      </c>
      <c r="Y377" s="48">
        <f>データ!V374</f>
        <v>0</v>
      </c>
      <c r="Z377" s="39" t="str">
        <f>IF(OR($C377="総括",$C377="内訳書",$C377="内訳代価",$C377="明細書",$C377="明細代価",$C377="代価表",$C377="単価表"),データ!W374,"")</f>
        <v/>
      </c>
      <c r="AA377" s="11" t="str">
        <f t="shared" si="34"/>
        <v/>
      </c>
      <c r="AB377" s="46" t="e">
        <f t="shared" si="35"/>
        <v>#DIV/0!</v>
      </c>
      <c r="AC377" s="40" t="str">
        <f>IF(データ!X374="","",データ!X374)</f>
        <v/>
      </c>
      <c r="AD377" s="41" t="str">
        <f>IF(データ!Y374="","",データ!Y374)</f>
        <v/>
      </c>
      <c r="AE377" s="47" t="str">
        <f>TRIM(データ!B374)</f>
        <v/>
      </c>
      <c r="AF377" s="43" t="str">
        <f>TRIM(データ!Z374)</f>
        <v/>
      </c>
    </row>
    <row r="378" spans="1:32" x14ac:dyDescent="0.15">
      <c r="A378" s="47">
        <f>データ!A375</f>
        <v>2</v>
      </c>
      <c r="B378" s="47" t="str">
        <f>TRIM(データ!C375)</f>
        <v/>
      </c>
      <c r="C378" s="47" t="str">
        <f>TRIM(データ!D375)</f>
        <v>機械費</v>
      </c>
      <c r="D378" s="36" t="str">
        <f>REPT("｜",$A378)&amp;TRIM(データ!E375)</f>
        <v>｜｜コンバインドローラ</v>
      </c>
      <c r="E378" s="37" t="str">
        <f>TRIM(データ!F375)</f>
        <v/>
      </c>
      <c r="F378" s="38" t="str">
        <f>TRIM(データ!G375)</f>
        <v>台</v>
      </c>
      <c r="G378" s="50">
        <f>データ!H375</f>
        <v>2</v>
      </c>
      <c r="H378" s="48">
        <f>データ!I375</f>
        <v>6000</v>
      </c>
      <c r="I378" s="48">
        <f>データ!J375</f>
        <v>12000</v>
      </c>
      <c r="J378" s="39" t="str">
        <f>IF(OR($C378="総括",$C378="内訳書",$C378="内訳代価",$C378="明細書",$C378="明細代価",$C378="代価表",$C378="単価表"),データ!K375,"")</f>
        <v/>
      </c>
      <c r="K378" s="11" t="str">
        <f t="shared" si="30"/>
        <v/>
      </c>
      <c r="L378" s="46">
        <f t="shared" si="31"/>
        <v>6.4874087505412928E-4</v>
      </c>
      <c r="M378" s="40" t="str">
        <f>IF(データ!L375="","",データ!L375)</f>
        <v/>
      </c>
      <c r="N378" s="41" t="str">
        <f>IF(データ!M375="","",データ!M375)</f>
        <v/>
      </c>
      <c r="O378" s="42">
        <f>データ!N375</f>
        <v>0</v>
      </c>
      <c r="P378" s="48">
        <f>IF($C378="集計行","",データ!O375)</f>
        <v>0</v>
      </c>
      <c r="Q378" s="48">
        <f>データ!P375</f>
        <v>0</v>
      </c>
      <c r="R378" s="39" t="str">
        <f>IF(OR($C378="総括",$C378="内訳書",$C378="内訳代価",$C378="明細書",$C378="明細代価",$C378="代価表",$C378="単価表"),データ!Q375,"")</f>
        <v/>
      </c>
      <c r="S378" s="11" t="str">
        <f t="shared" si="32"/>
        <v/>
      </c>
      <c r="T378" s="46" t="e">
        <f t="shared" si="33"/>
        <v>#DIV/0!</v>
      </c>
      <c r="U378" s="40" t="str">
        <f>IF(データ!R375="","",データ!R375)</f>
        <v/>
      </c>
      <c r="V378" s="41" t="str">
        <f>IF(データ!S375="","",データ!S375)</f>
        <v/>
      </c>
      <c r="W378" s="42">
        <f>データ!T375</f>
        <v>0</v>
      </c>
      <c r="X378" s="48">
        <f>IF($C378="集計行","",データ!U375)</f>
        <v>0</v>
      </c>
      <c r="Y378" s="48">
        <f>データ!V375</f>
        <v>0</v>
      </c>
      <c r="Z378" s="39" t="str">
        <f>IF(OR($C378="総括",$C378="内訳書",$C378="内訳代価",$C378="明細書",$C378="明細代価",$C378="代価表",$C378="単価表"),データ!W375,"")</f>
        <v/>
      </c>
      <c r="AA378" s="11" t="str">
        <f t="shared" si="34"/>
        <v/>
      </c>
      <c r="AB378" s="46" t="e">
        <f t="shared" si="35"/>
        <v>#DIV/0!</v>
      </c>
      <c r="AC378" s="40" t="str">
        <f>IF(データ!X375="","",データ!X375)</f>
        <v/>
      </c>
      <c r="AD378" s="41" t="str">
        <f>IF(データ!Y375="","",データ!Y375)</f>
        <v/>
      </c>
      <c r="AE378" s="47" t="str">
        <f>TRIM(データ!B375)</f>
        <v/>
      </c>
      <c r="AF378" s="43" t="str">
        <f>TRIM(データ!Z375)</f>
        <v/>
      </c>
    </row>
    <row r="379" spans="1:32" x14ac:dyDescent="0.15">
      <c r="A379" s="47">
        <f>データ!A376</f>
        <v>2</v>
      </c>
      <c r="B379" s="47" t="str">
        <f>TRIM(データ!C376)</f>
        <v/>
      </c>
      <c r="C379" s="47" t="str">
        <f>TRIM(データ!D376)</f>
        <v>機械費</v>
      </c>
      <c r="D379" s="36" t="str">
        <f>REPT("｜",$A379)&amp;TRIM(データ!E376)</f>
        <v>｜｜ミニバックホウ</v>
      </c>
      <c r="E379" s="37" t="str">
        <f>TRIM(データ!F376)</f>
        <v/>
      </c>
      <c r="F379" s="38" t="str">
        <f>TRIM(データ!G376)</f>
        <v>台</v>
      </c>
      <c r="G379" s="50">
        <f>データ!H376</f>
        <v>4</v>
      </c>
      <c r="H379" s="48">
        <f>データ!I376</f>
        <v>8000</v>
      </c>
      <c r="I379" s="48">
        <f>データ!J376</f>
        <v>32000</v>
      </c>
      <c r="J379" s="39" t="str">
        <f>IF(OR($C379="総括",$C379="内訳書",$C379="内訳代価",$C379="明細書",$C379="明細代価",$C379="代価表",$C379="単価表"),データ!K376,"")</f>
        <v/>
      </c>
      <c r="K379" s="11" t="str">
        <f t="shared" si="30"/>
        <v/>
      </c>
      <c r="L379" s="46">
        <f t="shared" si="31"/>
        <v>1.7299756668110115E-3</v>
      </c>
      <c r="M379" s="40" t="str">
        <f>IF(データ!L376="","",データ!L376)</f>
        <v/>
      </c>
      <c r="N379" s="41" t="str">
        <f>IF(データ!M376="","",データ!M376)</f>
        <v/>
      </c>
      <c r="O379" s="42">
        <f>データ!N376</f>
        <v>0</v>
      </c>
      <c r="P379" s="48">
        <f>IF($C379="集計行","",データ!O376)</f>
        <v>0</v>
      </c>
      <c r="Q379" s="48">
        <f>データ!P376</f>
        <v>0</v>
      </c>
      <c r="R379" s="39" t="str">
        <f>IF(OR($C379="総括",$C379="内訳書",$C379="内訳代価",$C379="明細書",$C379="明細代価",$C379="代価表",$C379="単価表"),データ!Q376,"")</f>
        <v/>
      </c>
      <c r="S379" s="11" t="str">
        <f t="shared" si="32"/>
        <v/>
      </c>
      <c r="T379" s="46" t="e">
        <f t="shared" si="33"/>
        <v>#DIV/0!</v>
      </c>
      <c r="U379" s="40" t="str">
        <f>IF(データ!R376="","",データ!R376)</f>
        <v/>
      </c>
      <c r="V379" s="41" t="str">
        <f>IF(データ!S376="","",データ!S376)</f>
        <v/>
      </c>
      <c r="W379" s="42">
        <f>データ!T376</f>
        <v>0</v>
      </c>
      <c r="X379" s="48">
        <f>IF($C379="集計行","",データ!U376)</f>
        <v>0</v>
      </c>
      <c r="Y379" s="48">
        <f>データ!V376</f>
        <v>0</v>
      </c>
      <c r="Z379" s="39" t="str">
        <f>IF(OR($C379="総括",$C379="内訳書",$C379="内訳代価",$C379="明細書",$C379="明細代価",$C379="代価表",$C379="単価表"),データ!W376,"")</f>
        <v/>
      </c>
      <c r="AA379" s="11" t="str">
        <f t="shared" si="34"/>
        <v/>
      </c>
      <c r="AB379" s="46" t="e">
        <f t="shared" si="35"/>
        <v>#DIV/0!</v>
      </c>
      <c r="AC379" s="40" t="str">
        <f>IF(データ!X376="","",データ!X376)</f>
        <v/>
      </c>
      <c r="AD379" s="41" t="str">
        <f>IF(データ!Y376="","",データ!Y376)</f>
        <v/>
      </c>
      <c r="AE379" s="47" t="str">
        <f>TRIM(データ!B376)</f>
        <v/>
      </c>
      <c r="AF379" s="43" t="str">
        <f>TRIM(データ!Z376)</f>
        <v/>
      </c>
    </row>
    <row r="380" spans="1:32" x14ac:dyDescent="0.15">
      <c r="A380" s="47">
        <f>データ!A377</f>
        <v>2</v>
      </c>
      <c r="B380" s="47" t="str">
        <f>TRIM(データ!C377)</f>
        <v/>
      </c>
      <c r="C380" s="47" t="str">
        <f>TRIM(データ!D377)</f>
        <v>機械費</v>
      </c>
      <c r="D380" s="36" t="str">
        <f>REPT("｜",$A380)&amp;TRIM(データ!E377)</f>
        <v>｜｜デスビ</v>
      </c>
      <c r="E380" s="37" t="str">
        <f>TRIM(データ!F377)</f>
        <v/>
      </c>
      <c r="F380" s="38" t="str">
        <f>TRIM(データ!G377)</f>
        <v>台</v>
      </c>
      <c r="G380" s="50">
        <f>データ!H377</f>
        <v>1</v>
      </c>
      <c r="H380" s="48">
        <f>データ!I377</f>
        <v>50000</v>
      </c>
      <c r="I380" s="48">
        <f>データ!J377</f>
        <v>50000</v>
      </c>
      <c r="J380" s="39" t="str">
        <f>IF(OR($C380="総括",$C380="内訳書",$C380="内訳代価",$C380="明細書",$C380="明細代価",$C380="代価表",$C380="単価表"),データ!K377,"")</f>
        <v/>
      </c>
      <c r="K380" s="11" t="str">
        <f t="shared" si="30"/>
        <v/>
      </c>
      <c r="L380" s="46">
        <f t="shared" si="31"/>
        <v>2.7030869793922053E-3</v>
      </c>
      <c r="M380" s="40" t="str">
        <f>IF(データ!L377="","",データ!L377)</f>
        <v/>
      </c>
      <c r="N380" s="41" t="str">
        <f>IF(データ!M377="","",データ!M377)</f>
        <v/>
      </c>
      <c r="O380" s="42">
        <f>データ!N377</f>
        <v>0</v>
      </c>
      <c r="P380" s="48">
        <f>IF($C380="集計行","",データ!O377)</f>
        <v>0</v>
      </c>
      <c r="Q380" s="48">
        <f>データ!P377</f>
        <v>0</v>
      </c>
      <c r="R380" s="39" t="str">
        <f>IF(OR($C380="総括",$C380="内訳書",$C380="内訳代価",$C380="明細書",$C380="明細代価",$C380="代価表",$C380="単価表"),データ!Q377,"")</f>
        <v/>
      </c>
      <c r="S380" s="11" t="str">
        <f t="shared" si="32"/>
        <v/>
      </c>
      <c r="T380" s="46" t="e">
        <f t="shared" si="33"/>
        <v>#DIV/0!</v>
      </c>
      <c r="U380" s="40" t="str">
        <f>IF(データ!R377="","",データ!R377)</f>
        <v/>
      </c>
      <c r="V380" s="41" t="str">
        <f>IF(データ!S377="","",データ!S377)</f>
        <v/>
      </c>
      <c r="W380" s="42">
        <f>データ!T377</f>
        <v>0</v>
      </c>
      <c r="X380" s="48">
        <f>IF($C380="集計行","",データ!U377)</f>
        <v>0</v>
      </c>
      <c r="Y380" s="48">
        <f>データ!V377</f>
        <v>0</v>
      </c>
      <c r="Z380" s="39" t="str">
        <f>IF(OR($C380="総括",$C380="内訳書",$C380="内訳代価",$C380="明細書",$C380="明細代価",$C380="代価表",$C380="単価表"),データ!W377,"")</f>
        <v/>
      </c>
      <c r="AA380" s="11" t="str">
        <f t="shared" si="34"/>
        <v/>
      </c>
      <c r="AB380" s="46" t="e">
        <f t="shared" si="35"/>
        <v>#DIV/0!</v>
      </c>
      <c r="AC380" s="40" t="str">
        <f>IF(データ!X377="","",データ!X377)</f>
        <v/>
      </c>
      <c r="AD380" s="41" t="str">
        <f>IF(データ!Y377="","",データ!Y377)</f>
        <v/>
      </c>
      <c r="AE380" s="47" t="str">
        <f>TRIM(データ!B377)</f>
        <v/>
      </c>
      <c r="AF380" s="43" t="str">
        <f>TRIM(データ!Z377)</f>
        <v/>
      </c>
    </row>
    <row r="381" spans="1:32" x14ac:dyDescent="0.15">
      <c r="A381" s="47">
        <f>データ!A378</f>
        <v>2</v>
      </c>
      <c r="B381" s="47" t="str">
        <f>TRIM(データ!C378)</f>
        <v/>
      </c>
      <c r="C381" s="47" t="str">
        <f>TRIM(データ!D378)</f>
        <v>機械費</v>
      </c>
      <c r="D381" s="36" t="str">
        <f>REPT("｜",$A381)&amp;TRIM(データ!E378)</f>
        <v>｜｜小物機械</v>
      </c>
      <c r="E381" s="37" t="str">
        <f>TRIM(データ!F378)</f>
        <v/>
      </c>
      <c r="F381" s="38" t="str">
        <f>TRIM(データ!G378)</f>
        <v>台</v>
      </c>
      <c r="G381" s="50">
        <f>データ!H378</f>
        <v>4</v>
      </c>
      <c r="H381" s="48">
        <f>データ!I378</f>
        <v>3000</v>
      </c>
      <c r="I381" s="48">
        <f>データ!J378</f>
        <v>12000</v>
      </c>
      <c r="J381" s="39" t="str">
        <f>IF(OR($C381="総括",$C381="内訳書",$C381="内訳代価",$C381="明細書",$C381="明細代価",$C381="代価表",$C381="単価表"),データ!K378,"")</f>
        <v/>
      </c>
      <c r="K381" s="11" t="str">
        <f t="shared" si="30"/>
        <v/>
      </c>
      <c r="L381" s="46">
        <f t="shared" si="31"/>
        <v>6.4874087505412928E-4</v>
      </c>
      <c r="M381" s="40" t="str">
        <f>IF(データ!L378="","",データ!L378)</f>
        <v/>
      </c>
      <c r="N381" s="41" t="str">
        <f>IF(データ!M378="","",データ!M378)</f>
        <v/>
      </c>
      <c r="O381" s="42">
        <f>データ!N378</f>
        <v>0</v>
      </c>
      <c r="P381" s="48">
        <f>IF($C381="集計行","",データ!O378)</f>
        <v>0</v>
      </c>
      <c r="Q381" s="48">
        <f>データ!P378</f>
        <v>0</v>
      </c>
      <c r="R381" s="39" t="str">
        <f>IF(OR($C381="総括",$C381="内訳書",$C381="内訳代価",$C381="明細書",$C381="明細代価",$C381="代価表",$C381="単価表"),データ!Q378,"")</f>
        <v/>
      </c>
      <c r="S381" s="11" t="str">
        <f t="shared" si="32"/>
        <v/>
      </c>
      <c r="T381" s="46" t="e">
        <f t="shared" si="33"/>
        <v>#DIV/0!</v>
      </c>
      <c r="U381" s="40" t="str">
        <f>IF(データ!R378="","",データ!R378)</f>
        <v/>
      </c>
      <c r="V381" s="41" t="str">
        <f>IF(データ!S378="","",データ!S378)</f>
        <v/>
      </c>
      <c r="W381" s="42">
        <f>データ!T378</f>
        <v>0</v>
      </c>
      <c r="X381" s="48">
        <f>IF($C381="集計行","",データ!U378)</f>
        <v>0</v>
      </c>
      <c r="Y381" s="48">
        <f>データ!V378</f>
        <v>0</v>
      </c>
      <c r="Z381" s="39" t="str">
        <f>IF(OR($C381="総括",$C381="内訳書",$C381="内訳代価",$C381="明細書",$C381="明細代価",$C381="代価表",$C381="単価表"),データ!W378,"")</f>
        <v/>
      </c>
      <c r="AA381" s="11" t="str">
        <f t="shared" si="34"/>
        <v/>
      </c>
      <c r="AB381" s="46" t="e">
        <f t="shared" si="35"/>
        <v>#DIV/0!</v>
      </c>
      <c r="AC381" s="40" t="str">
        <f>IF(データ!X378="","",データ!X378)</f>
        <v/>
      </c>
      <c r="AD381" s="41" t="str">
        <f>IF(データ!Y378="","",データ!Y378)</f>
        <v/>
      </c>
      <c r="AE381" s="47" t="str">
        <f>TRIM(データ!B378)</f>
        <v/>
      </c>
      <c r="AF381" s="43" t="str">
        <f>TRIM(データ!Z378)</f>
        <v/>
      </c>
    </row>
    <row r="382" spans="1:32" x14ac:dyDescent="0.15">
      <c r="A382" s="47">
        <f>データ!A379</f>
        <v>2</v>
      </c>
      <c r="B382" s="47" t="str">
        <f>TRIM(データ!C379)</f>
        <v/>
      </c>
      <c r="C382" s="47" t="str">
        <f>TRIM(データ!D379)</f>
        <v>運搬費</v>
      </c>
      <c r="D382" s="36" t="str">
        <f>REPT("｜",$A382)&amp;TRIM(データ!E379)</f>
        <v>｜｜4tダンプ</v>
      </c>
      <c r="E382" s="37" t="str">
        <f>TRIM(データ!F379)</f>
        <v/>
      </c>
      <c r="F382" s="38" t="str">
        <f>TRIM(データ!G379)</f>
        <v>台</v>
      </c>
      <c r="G382" s="50">
        <f>データ!H379</f>
        <v>7</v>
      </c>
      <c r="H382" s="48">
        <f>データ!I379</f>
        <v>37000</v>
      </c>
      <c r="I382" s="48">
        <f>データ!J379</f>
        <v>259000</v>
      </c>
      <c r="J382" s="39" t="str">
        <f>IF(OR($C382="総括",$C382="内訳書",$C382="内訳代価",$C382="明細書",$C382="明細代価",$C382="代価表",$C382="単価表"),データ!K379,"")</f>
        <v/>
      </c>
      <c r="K382" s="11" t="str">
        <f t="shared" si="30"/>
        <v/>
      </c>
      <c r="L382" s="46">
        <f t="shared" si="31"/>
        <v>1.4001990553251624E-2</v>
      </c>
      <c r="M382" s="40" t="str">
        <f>IF(データ!L379="","",データ!L379)</f>
        <v/>
      </c>
      <c r="N382" s="41" t="str">
        <f>IF(データ!M379="","",データ!M379)</f>
        <v/>
      </c>
      <c r="O382" s="42">
        <f>データ!N379</f>
        <v>0</v>
      </c>
      <c r="P382" s="48">
        <f>IF($C382="集計行","",データ!O379)</f>
        <v>0</v>
      </c>
      <c r="Q382" s="48">
        <f>データ!P379</f>
        <v>0</v>
      </c>
      <c r="R382" s="39" t="str">
        <f>IF(OR($C382="総括",$C382="内訳書",$C382="内訳代価",$C382="明細書",$C382="明細代価",$C382="代価表",$C382="単価表"),データ!Q379,"")</f>
        <v/>
      </c>
      <c r="S382" s="11" t="str">
        <f t="shared" si="32"/>
        <v/>
      </c>
      <c r="T382" s="46" t="e">
        <f t="shared" si="33"/>
        <v>#DIV/0!</v>
      </c>
      <c r="U382" s="40" t="str">
        <f>IF(データ!R379="","",データ!R379)</f>
        <v/>
      </c>
      <c r="V382" s="41" t="str">
        <f>IF(データ!S379="","",データ!S379)</f>
        <v/>
      </c>
      <c r="W382" s="42">
        <f>データ!T379</f>
        <v>0</v>
      </c>
      <c r="X382" s="48">
        <f>IF($C382="集計行","",データ!U379)</f>
        <v>0</v>
      </c>
      <c r="Y382" s="48">
        <f>データ!V379</f>
        <v>0</v>
      </c>
      <c r="Z382" s="39" t="str">
        <f>IF(OR($C382="総括",$C382="内訳書",$C382="内訳代価",$C382="明細書",$C382="明細代価",$C382="代価表",$C382="単価表"),データ!W379,"")</f>
        <v/>
      </c>
      <c r="AA382" s="11" t="str">
        <f t="shared" si="34"/>
        <v/>
      </c>
      <c r="AB382" s="46" t="e">
        <f t="shared" si="35"/>
        <v>#DIV/0!</v>
      </c>
      <c r="AC382" s="40" t="str">
        <f>IF(データ!X379="","",データ!X379)</f>
        <v/>
      </c>
      <c r="AD382" s="41" t="str">
        <f>IF(データ!Y379="","",データ!Y379)</f>
        <v/>
      </c>
      <c r="AE382" s="47" t="str">
        <f>TRIM(データ!B379)</f>
        <v/>
      </c>
      <c r="AF382" s="43" t="str">
        <f>TRIM(データ!Z379)</f>
        <v/>
      </c>
    </row>
    <row r="383" spans="1:32" x14ac:dyDescent="0.15">
      <c r="A383" s="47">
        <f>データ!A380</f>
        <v>2</v>
      </c>
      <c r="B383" s="47" t="str">
        <f>TRIM(データ!C380)</f>
        <v/>
      </c>
      <c r="C383" s="47" t="str">
        <f>TRIM(データ!D380)</f>
        <v>運搬費</v>
      </c>
      <c r="D383" s="36" t="str">
        <f>REPT("｜",$A383)&amp;TRIM(データ!E380)</f>
        <v>｜｜As処理費</v>
      </c>
      <c r="E383" s="37" t="str">
        <f>TRIM(データ!F380)</f>
        <v/>
      </c>
      <c r="F383" s="38" t="str">
        <f>TRIM(データ!G380)</f>
        <v>ｔ</v>
      </c>
      <c r="G383" s="50">
        <f>データ!H380</f>
        <v>40</v>
      </c>
      <c r="H383" s="48">
        <f>データ!I380</f>
        <v>500</v>
      </c>
      <c r="I383" s="48">
        <f>データ!J380</f>
        <v>20000</v>
      </c>
      <c r="J383" s="39" t="str">
        <f>IF(OR($C383="総括",$C383="内訳書",$C383="内訳代価",$C383="明細書",$C383="明細代価",$C383="代価表",$C383="単価表"),データ!K380,"")</f>
        <v/>
      </c>
      <c r="K383" s="11" t="str">
        <f t="shared" si="30"/>
        <v/>
      </c>
      <c r="L383" s="46">
        <f t="shared" si="31"/>
        <v>1.0812347917568822E-3</v>
      </c>
      <c r="M383" s="40" t="str">
        <f>IF(データ!L380="","",データ!L380)</f>
        <v/>
      </c>
      <c r="N383" s="41" t="str">
        <f>IF(データ!M380="","",データ!M380)</f>
        <v/>
      </c>
      <c r="O383" s="42">
        <f>データ!N380</f>
        <v>0</v>
      </c>
      <c r="P383" s="48">
        <f>IF($C383="集計行","",データ!O380)</f>
        <v>0</v>
      </c>
      <c r="Q383" s="48">
        <f>データ!P380</f>
        <v>0</v>
      </c>
      <c r="R383" s="39" t="str">
        <f>IF(OR($C383="総括",$C383="内訳書",$C383="内訳代価",$C383="明細書",$C383="明細代価",$C383="代価表",$C383="単価表"),データ!Q380,"")</f>
        <v/>
      </c>
      <c r="S383" s="11" t="str">
        <f t="shared" si="32"/>
        <v/>
      </c>
      <c r="T383" s="46" t="e">
        <f t="shared" si="33"/>
        <v>#DIV/0!</v>
      </c>
      <c r="U383" s="40" t="str">
        <f>IF(データ!R380="","",データ!R380)</f>
        <v/>
      </c>
      <c r="V383" s="41" t="str">
        <f>IF(データ!S380="","",データ!S380)</f>
        <v/>
      </c>
      <c r="W383" s="42">
        <f>データ!T380</f>
        <v>0</v>
      </c>
      <c r="X383" s="48">
        <f>IF($C383="集計行","",データ!U380)</f>
        <v>0</v>
      </c>
      <c r="Y383" s="48">
        <f>データ!V380</f>
        <v>0</v>
      </c>
      <c r="Z383" s="39" t="str">
        <f>IF(OR($C383="総括",$C383="内訳書",$C383="内訳代価",$C383="明細書",$C383="明細代価",$C383="代価表",$C383="単価表"),データ!W380,"")</f>
        <v/>
      </c>
      <c r="AA383" s="11" t="str">
        <f t="shared" si="34"/>
        <v/>
      </c>
      <c r="AB383" s="46" t="e">
        <f t="shared" si="35"/>
        <v>#DIV/0!</v>
      </c>
      <c r="AC383" s="40" t="str">
        <f>IF(データ!X380="","",データ!X380)</f>
        <v/>
      </c>
      <c r="AD383" s="41" t="str">
        <f>IF(データ!Y380="","",データ!Y380)</f>
        <v/>
      </c>
      <c r="AE383" s="47" t="str">
        <f>TRIM(データ!B380)</f>
        <v/>
      </c>
      <c r="AF383" s="43" t="str">
        <f>TRIM(データ!Z380)</f>
        <v/>
      </c>
    </row>
    <row r="384" spans="1:32" x14ac:dyDescent="0.15">
      <c r="A384" s="47">
        <f>データ!A381</f>
        <v>2</v>
      </c>
      <c r="B384" s="47" t="str">
        <f>TRIM(データ!C381)</f>
        <v/>
      </c>
      <c r="C384" s="47" t="str">
        <f>TRIM(データ!D381)</f>
        <v>運搬費</v>
      </c>
      <c r="D384" s="36" t="str">
        <f>REPT("｜",$A384)&amp;TRIM(データ!E381)</f>
        <v>｜｜10t回送費　AF</v>
      </c>
      <c r="E384" s="37" t="str">
        <f>TRIM(データ!F381)</f>
        <v/>
      </c>
      <c r="F384" s="38" t="str">
        <f>TRIM(データ!G381)</f>
        <v>回</v>
      </c>
      <c r="G384" s="50">
        <f>データ!H381</f>
        <v>2</v>
      </c>
      <c r="H384" s="48">
        <f>データ!I381</f>
        <v>30000</v>
      </c>
      <c r="I384" s="48">
        <f>データ!J381</f>
        <v>60000</v>
      </c>
      <c r="J384" s="39" t="str">
        <f>IF(OR($C384="総括",$C384="内訳書",$C384="内訳代価",$C384="明細書",$C384="明細代価",$C384="代価表",$C384="単価表"),データ!K381,"")</f>
        <v/>
      </c>
      <c r="K384" s="11" t="str">
        <f t="shared" si="30"/>
        <v/>
      </c>
      <c r="L384" s="46">
        <f t="shared" si="31"/>
        <v>3.2437043752706466E-3</v>
      </c>
      <c r="M384" s="40" t="str">
        <f>IF(データ!L381="","",データ!L381)</f>
        <v/>
      </c>
      <c r="N384" s="41" t="str">
        <f>IF(データ!M381="","",データ!M381)</f>
        <v/>
      </c>
      <c r="O384" s="42">
        <f>データ!N381</f>
        <v>0</v>
      </c>
      <c r="P384" s="48">
        <f>IF($C384="集計行","",データ!O381)</f>
        <v>0</v>
      </c>
      <c r="Q384" s="48">
        <f>データ!P381</f>
        <v>0</v>
      </c>
      <c r="R384" s="39" t="str">
        <f>IF(OR($C384="総括",$C384="内訳書",$C384="内訳代価",$C384="明細書",$C384="明細代価",$C384="代価表",$C384="単価表"),データ!Q381,"")</f>
        <v/>
      </c>
      <c r="S384" s="11" t="str">
        <f t="shared" si="32"/>
        <v/>
      </c>
      <c r="T384" s="46" t="e">
        <f t="shared" si="33"/>
        <v>#DIV/0!</v>
      </c>
      <c r="U384" s="40" t="str">
        <f>IF(データ!R381="","",データ!R381)</f>
        <v/>
      </c>
      <c r="V384" s="41" t="str">
        <f>IF(データ!S381="","",データ!S381)</f>
        <v/>
      </c>
      <c r="W384" s="42">
        <f>データ!T381</f>
        <v>0</v>
      </c>
      <c r="X384" s="48">
        <f>IF($C384="集計行","",データ!U381)</f>
        <v>0</v>
      </c>
      <c r="Y384" s="48">
        <f>データ!V381</f>
        <v>0</v>
      </c>
      <c r="Z384" s="39" t="str">
        <f>IF(OR($C384="総括",$C384="内訳書",$C384="内訳代価",$C384="明細書",$C384="明細代価",$C384="代価表",$C384="単価表"),データ!W381,"")</f>
        <v/>
      </c>
      <c r="AA384" s="11" t="str">
        <f t="shared" si="34"/>
        <v/>
      </c>
      <c r="AB384" s="46" t="e">
        <f t="shared" si="35"/>
        <v>#DIV/0!</v>
      </c>
      <c r="AC384" s="40" t="str">
        <f>IF(データ!X381="","",データ!X381)</f>
        <v/>
      </c>
      <c r="AD384" s="41" t="str">
        <f>IF(データ!Y381="","",データ!Y381)</f>
        <v/>
      </c>
      <c r="AE384" s="47" t="str">
        <f>TRIM(データ!B381)</f>
        <v/>
      </c>
      <c r="AF384" s="43" t="str">
        <f>TRIM(データ!Z381)</f>
        <v/>
      </c>
    </row>
    <row r="385" spans="1:32" x14ac:dyDescent="0.15">
      <c r="A385" s="47">
        <f>データ!A382</f>
        <v>2</v>
      </c>
      <c r="B385" s="47" t="str">
        <f>TRIM(データ!C382)</f>
        <v/>
      </c>
      <c r="C385" s="47" t="str">
        <f>TRIM(データ!D382)</f>
        <v>運搬費</v>
      </c>
      <c r="D385" s="36" t="str">
        <f>REPT("｜",$A385)&amp;TRIM(データ!E382)</f>
        <v>｜｜6t回送費　BH,CR</v>
      </c>
      <c r="E385" s="37" t="str">
        <f>TRIM(データ!F382)</f>
        <v/>
      </c>
      <c r="F385" s="38" t="str">
        <f>TRIM(データ!G382)</f>
        <v>回</v>
      </c>
      <c r="G385" s="50">
        <f>データ!H382</f>
        <v>4</v>
      </c>
      <c r="H385" s="48">
        <f>データ!I382</f>
        <v>20000</v>
      </c>
      <c r="I385" s="48">
        <f>データ!J382</f>
        <v>80000</v>
      </c>
      <c r="J385" s="39" t="str">
        <f>IF(OR($C385="総括",$C385="内訳書",$C385="内訳代価",$C385="明細書",$C385="明細代価",$C385="代価表",$C385="単価表"),データ!K382,"")</f>
        <v/>
      </c>
      <c r="K385" s="11" t="str">
        <f t="shared" si="30"/>
        <v/>
      </c>
      <c r="L385" s="46">
        <f t="shared" si="31"/>
        <v>4.3249391670275288E-3</v>
      </c>
      <c r="M385" s="40" t="str">
        <f>IF(データ!L382="","",データ!L382)</f>
        <v/>
      </c>
      <c r="N385" s="41" t="str">
        <f>IF(データ!M382="","",データ!M382)</f>
        <v/>
      </c>
      <c r="O385" s="42">
        <f>データ!N382</f>
        <v>0</v>
      </c>
      <c r="P385" s="48">
        <f>IF($C385="集計行","",データ!O382)</f>
        <v>0</v>
      </c>
      <c r="Q385" s="48">
        <f>データ!P382</f>
        <v>0</v>
      </c>
      <c r="R385" s="39" t="str">
        <f>IF(OR($C385="総括",$C385="内訳書",$C385="内訳代価",$C385="明細書",$C385="明細代価",$C385="代価表",$C385="単価表"),データ!Q382,"")</f>
        <v/>
      </c>
      <c r="S385" s="11" t="str">
        <f t="shared" si="32"/>
        <v/>
      </c>
      <c r="T385" s="46" t="e">
        <f t="shared" si="33"/>
        <v>#DIV/0!</v>
      </c>
      <c r="U385" s="40" t="str">
        <f>IF(データ!R382="","",データ!R382)</f>
        <v/>
      </c>
      <c r="V385" s="41" t="str">
        <f>IF(データ!S382="","",データ!S382)</f>
        <v/>
      </c>
      <c r="W385" s="42">
        <f>データ!T382</f>
        <v>0</v>
      </c>
      <c r="X385" s="48">
        <f>IF($C385="集計行","",データ!U382)</f>
        <v>0</v>
      </c>
      <c r="Y385" s="48">
        <f>データ!V382</f>
        <v>0</v>
      </c>
      <c r="Z385" s="39" t="str">
        <f>IF(OR($C385="総括",$C385="内訳書",$C385="内訳代価",$C385="明細書",$C385="明細代価",$C385="代価表",$C385="単価表"),データ!W382,"")</f>
        <v/>
      </c>
      <c r="AA385" s="11" t="str">
        <f t="shared" si="34"/>
        <v/>
      </c>
      <c r="AB385" s="46" t="e">
        <f t="shared" si="35"/>
        <v>#DIV/0!</v>
      </c>
      <c r="AC385" s="40" t="str">
        <f>IF(データ!X382="","",データ!X382)</f>
        <v/>
      </c>
      <c r="AD385" s="41" t="str">
        <f>IF(データ!Y382="","",データ!Y382)</f>
        <v/>
      </c>
      <c r="AE385" s="47" t="str">
        <f>TRIM(データ!B382)</f>
        <v/>
      </c>
      <c r="AF385" s="43" t="str">
        <f>TRIM(データ!Z382)</f>
        <v/>
      </c>
    </row>
    <row r="386" spans="1:32" x14ac:dyDescent="0.15">
      <c r="A386" s="47">
        <f>データ!A383</f>
        <v>2</v>
      </c>
      <c r="B386" s="47" t="str">
        <f>TRIM(データ!C383)</f>
        <v/>
      </c>
      <c r="C386" s="47" t="str">
        <f>TRIM(データ!D383)</f>
        <v>運搬費</v>
      </c>
      <c r="D386" s="36" t="str">
        <f>REPT("｜",$A386)&amp;TRIM(データ!E383)</f>
        <v>｜｜2tダンプ</v>
      </c>
      <c r="E386" s="37" t="str">
        <f>TRIM(データ!F383)</f>
        <v/>
      </c>
      <c r="F386" s="38" t="str">
        <f>TRIM(データ!G383)</f>
        <v>台</v>
      </c>
      <c r="G386" s="50">
        <f>データ!H383</f>
        <v>2</v>
      </c>
      <c r="H386" s="48">
        <f>データ!I383</f>
        <v>8000</v>
      </c>
      <c r="I386" s="48">
        <f>データ!J383</f>
        <v>16000</v>
      </c>
      <c r="J386" s="39" t="str">
        <f>IF(OR($C386="総括",$C386="内訳書",$C386="内訳代価",$C386="明細書",$C386="明細代価",$C386="代価表",$C386="単価表"),データ!K383,"")</f>
        <v/>
      </c>
      <c r="K386" s="11" t="str">
        <f t="shared" si="30"/>
        <v/>
      </c>
      <c r="L386" s="46">
        <f t="shared" si="31"/>
        <v>8.6498783340550574E-4</v>
      </c>
      <c r="M386" s="40" t="str">
        <f>IF(データ!L383="","",データ!L383)</f>
        <v/>
      </c>
      <c r="N386" s="41" t="str">
        <f>IF(データ!M383="","",データ!M383)</f>
        <v/>
      </c>
      <c r="O386" s="42">
        <f>データ!N383</f>
        <v>0</v>
      </c>
      <c r="P386" s="48">
        <f>IF($C386="集計行","",データ!O383)</f>
        <v>0</v>
      </c>
      <c r="Q386" s="48">
        <f>データ!P383</f>
        <v>0</v>
      </c>
      <c r="R386" s="39" t="str">
        <f>IF(OR($C386="総括",$C386="内訳書",$C386="内訳代価",$C386="明細書",$C386="明細代価",$C386="代価表",$C386="単価表"),データ!Q383,"")</f>
        <v/>
      </c>
      <c r="S386" s="11" t="str">
        <f t="shared" si="32"/>
        <v/>
      </c>
      <c r="T386" s="46" t="e">
        <f t="shared" si="33"/>
        <v>#DIV/0!</v>
      </c>
      <c r="U386" s="40" t="str">
        <f>IF(データ!R383="","",データ!R383)</f>
        <v/>
      </c>
      <c r="V386" s="41" t="str">
        <f>IF(データ!S383="","",データ!S383)</f>
        <v/>
      </c>
      <c r="W386" s="42">
        <f>データ!T383</f>
        <v>0</v>
      </c>
      <c r="X386" s="48">
        <f>IF($C386="集計行","",データ!U383)</f>
        <v>0</v>
      </c>
      <c r="Y386" s="48">
        <f>データ!V383</f>
        <v>0</v>
      </c>
      <c r="Z386" s="39" t="str">
        <f>IF(OR($C386="総括",$C386="内訳書",$C386="内訳代価",$C386="明細書",$C386="明細代価",$C386="代価表",$C386="単価表"),データ!W383,"")</f>
        <v/>
      </c>
      <c r="AA386" s="11" t="str">
        <f t="shared" si="34"/>
        <v/>
      </c>
      <c r="AB386" s="46" t="e">
        <f t="shared" si="35"/>
        <v>#DIV/0!</v>
      </c>
      <c r="AC386" s="40" t="str">
        <f>IF(データ!X383="","",データ!X383)</f>
        <v/>
      </c>
      <c r="AD386" s="41" t="str">
        <f>IF(データ!Y383="","",データ!Y383)</f>
        <v/>
      </c>
      <c r="AE386" s="47" t="str">
        <f>TRIM(データ!B383)</f>
        <v/>
      </c>
      <c r="AF386" s="43" t="str">
        <f>TRIM(データ!Z383)</f>
        <v/>
      </c>
    </row>
    <row r="387" spans="1:32" x14ac:dyDescent="0.15">
      <c r="A387" s="47">
        <f>データ!A384</f>
        <v>2</v>
      </c>
      <c r="B387" s="47" t="str">
        <f>TRIM(データ!C384)</f>
        <v/>
      </c>
      <c r="C387" s="47" t="str">
        <f>TRIM(データ!D384)</f>
        <v>運搬費</v>
      </c>
      <c r="D387" s="36" t="str">
        <f>REPT("｜",$A387)&amp;TRIM(データ!E384)</f>
        <v>｜｜4tダンプ</v>
      </c>
      <c r="E387" s="37" t="str">
        <f>TRIM(データ!F384)</f>
        <v/>
      </c>
      <c r="F387" s="38" t="str">
        <f>TRIM(データ!G384)</f>
        <v>台</v>
      </c>
      <c r="G387" s="50">
        <f>データ!H384</f>
        <v>2</v>
      </c>
      <c r="H387" s="48">
        <f>データ!I384</f>
        <v>10000</v>
      </c>
      <c r="I387" s="48">
        <f>データ!J384</f>
        <v>20000</v>
      </c>
      <c r="J387" s="39" t="str">
        <f>IF(OR($C387="総括",$C387="内訳書",$C387="内訳代価",$C387="明細書",$C387="明細代価",$C387="代価表",$C387="単価表"),データ!K384,"")</f>
        <v/>
      </c>
      <c r="K387" s="11" t="str">
        <f t="shared" si="30"/>
        <v/>
      </c>
      <c r="L387" s="46">
        <f t="shared" si="31"/>
        <v>1.0812347917568822E-3</v>
      </c>
      <c r="M387" s="40" t="str">
        <f>IF(データ!L384="","",データ!L384)</f>
        <v/>
      </c>
      <c r="N387" s="41" t="str">
        <f>IF(データ!M384="","",データ!M384)</f>
        <v/>
      </c>
      <c r="O387" s="42">
        <f>データ!N384</f>
        <v>0</v>
      </c>
      <c r="P387" s="48">
        <f>IF($C387="集計行","",データ!O384)</f>
        <v>0</v>
      </c>
      <c r="Q387" s="48">
        <f>データ!P384</f>
        <v>0</v>
      </c>
      <c r="R387" s="39" t="str">
        <f>IF(OR($C387="総括",$C387="内訳書",$C387="内訳代価",$C387="明細書",$C387="明細代価",$C387="代価表",$C387="単価表"),データ!Q384,"")</f>
        <v/>
      </c>
      <c r="S387" s="11" t="str">
        <f t="shared" si="32"/>
        <v/>
      </c>
      <c r="T387" s="46" t="e">
        <f t="shared" si="33"/>
        <v>#DIV/0!</v>
      </c>
      <c r="U387" s="40" t="str">
        <f>IF(データ!R384="","",データ!R384)</f>
        <v/>
      </c>
      <c r="V387" s="41" t="str">
        <f>IF(データ!S384="","",データ!S384)</f>
        <v/>
      </c>
      <c r="W387" s="42">
        <f>データ!T384</f>
        <v>0</v>
      </c>
      <c r="X387" s="48">
        <f>IF($C387="集計行","",データ!U384)</f>
        <v>0</v>
      </c>
      <c r="Y387" s="48">
        <f>データ!V384</f>
        <v>0</v>
      </c>
      <c r="Z387" s="39" t="str">
        <f>IF(OR($C387="総括",$C387="内訳書",$C387="内訳代価",$C387="明細書",$C387="明細代価",$C387="代価表",$C387="単価表"),データ!W384,"")</f>
        <v/>
      </c>
      <c r="AA387" s="11" t="str">
        <f t="shared" si="34"/>
        <v/>
      </c>
      <c r="AB387" s="46" t="e">
        <f t="shared" si="35"/>
        <v>#DIV/0!</v>
      </c>
      <c r="AC387" s="40" t="str">
        <f>IF(データ!X384="","",データ!X384)</f>
        <v/>
      </c>
      <c r="AD387" s="41" t="str">
        <f>IF(データ!Y384="","",データ!Y384)</f>
        <v/>
      </c>
      <c r="AE387" s="47" t="str">
        <f>TRIM(データ!B384)</f>
        <v/>
      </c>
      <c r="AF387" s="43" t="str">
        <f>TRIM(データ!Z384)</f>
        <v/>
      </c>
    </row>
    <row r="388" spans="1:32" x14ac:dyDescent="0.15">
      <c r="A388" s="47">
        <f>データ!A385</f>
        <v>2</v>
      </c>
      <c r="B388" s="47" t="str">
        <f>TRIM(データ!C385)</f>
        <v/>
      </c>
      <c r="C388" s="47" t="str">
        <f>TRIM(データ!D385)</f>
        <v>運搬費</v>
      </c>
      <c r="D388" s="36" t="str">
        <f>REPT("｜",$A388)&amp;TRIM(データ!E385)</f>
        <v>｜｜WP</v>
      </c>
      <c r="E388" s="37" t="str">
        <f>TRIM(データ!F385)</f>
        <v/>
      </c>
      <c r="F388" s="38" t="str">
        <f>TRIM(データ!G385)</f>
        <v>台</v>
      </c>
      <c r="G388" s="50">
        <f>データ!H385</f>
        <v>2</v>
      </c>
      <c r="H388" s="48">
        <f>データ!I385</f>
        <v>8000</v>
      </c>
      <c r="I388" s="48">
        <f>データ!J385</f>
        <v>16000</v>
      </c>
      <c r="J388" s="39" t="str">
        <f>IF(OR($C388="総括",$C388="内訳書",$C388="内訳代価",$C388="明細書",$C388="明細代価",$C388="代価表",$C388="単価表"),データ!K385,"")</f>
        <v/>
      </c>
      <c r="K388" s="11" t="str">
        <f t="shared" si="30"/>
        <v/>
      </c>
      <c r="L388" s="46">
        <f t="shared" si="31"/>
        <v>8.6498783340550574E-4</v>
      </c>
      <c r="M388" s="40" t="str">
        <f>IF(データ!L385="","",データ!L385)</f>
        <v/>
      </c>
      <c r="N388" s="41" t="str">
        <f>IF(データ!M385="","",データ!M385)</f>
        <v/>
      </c>
      <c r="O388" s="42">
        <f>データ!N385</f>
        <v>0</v>
      </c>
      <c r="P388" s="48">
        <f>IF($C388="集計行","",データ!O385)</f>
        <v>0</v>
      </c>
      <c r="Q388" s="48">
        <f>データ!P385</f>
        <v>0</v>
      </c>
      <c r="R388" s="39" t="str">
        <f>IF(OR($C388="総括",$C388="内訳書",$C388="内訳代価",$C388="明細書",$C388="明細代価",$C388="代価表",$C388="単価表"),データ!Q385,"")</f>
        <v/>
      </c>
      <c r="S388" s="11" t="str">
        <f t="shared" si="32"/>
        <v/>
      </c>
      <c r="T388" s="46" t="e">
        <f t="shared" si="33"/>
        <v>#DIV/0!</v>
      </c>
      <c r="U388" s="40" t="str">
        <f>IF(データ!R385="","",データ!R385)</f>
        <v/>
      </c>
      <c r="V388" s="41" t="str">
        <f>IF(データ!S385="","",データ!S385)</f>
        <v/>
      </c>
      <c r="W388" s="42">
        <f>データ!T385</f>
        <v>0</v>
      </c>
      <c r="X388" s="48">
        <f>IF($C388="集計行","",データ!U385)</f>
        <v>0</v>
      </c>
      <c r="Y388" s="48">
        <f>データ!V385</f>
        <v>0</v>
      </c>
      <c r="Z388" s="39" t="str">
        <f>IF(OR($C388="総括",$C388="内訳書",$C388="内訳代価",$C388="明細書",$C388="明細代価",$C388="代価表",$C388="単価表"),データ!W385,"")</f>
        <v/>
      </c>
      <c r="AA388" s="11" t="str">
        <f t="shared" si="34"/>
        <v/>
      </c>
      <c r="AB388" s="46" t="e">
        <f t="shared" si="35"/>
        <v>#DIV/0!</v>
      </c>
      <c r="AC388" s="40" t="str">
        <f>IF(データ!X385="","",データ!X385)</f>
        <v/>
      </c>
      <c r="AD388" s="41" t="str">
        <f>IF(データ!Y385="","",データ!Y385)</f>
        <v/>
      </c>
      <c r="AE388" s="47" t="str">
        <f>TRIM(データ!B385)</f>
        <v/>
      </c>
      <c r="AF388" s="43" t="str">
        <f>TRIM(データ!Z385)</f>
        <v/>
      </c>
    </row>
    <row r="389" spans="1:32" x14ac:dyDescent="0.15">
      <c r="A389" s="47">
        <f>データ!A386</f>
        <v>2</v>
      </c>
      <c r="B389" s="47" t="str">
        <f>TRIM(データ!C386)</f>
        <v/>
      </c>
      <c r="C389" s="47" t="str">
        <f>TRIM(データ!D386)</f>
        <v>外注費</v>
      </c>
      <c r="D389" s="36" t="str">
        <f>REPT("｜",$A389)&amp;TRIM(データ!E386)</f>
        <v>｜｜諸経費</v>
      </c>
      <c r="E389" s="37" t="str">
        <f>TRIM(データ!F386)</f>
        <v/>
      </c>
      <c r="F389" s="38" t="str">
        <f>TRIM(データ!G386)</f>
        <v>式</v>
      </c>
      <c r="G389" s="50">
        <f>データ!H386</f>
        <v>1</v>
      </c>
      <c r="H389" s="48">
        <f>データ!I386</f>
        <v>100000</v>
      </c>
      <c r="I389" s="48">
        <f>データ!J386</f>
        <v>100000</v>
      </c>
      <c r="J389" s="39" t="str">
        <f>IF(OR($C389="総括",$C389="内訳書",$C389="内訳代価",$C389="明細書",$C389="明細代価",$C389="代価表",$C389="単価表"),データ!K386,"")</f>
        <v/>
      </c>
      <c r="K389" s="11" t="str">
        <f t="shared" ref="K389:K401" si="36">IF(OR(J389="",G389=J389),"","*")</f>
        <v/>
      </c>
      <c r="L389" s="46">
        <f t="shared" ref="L389:L401" si="37">IF($A389&lt;=L$1,I389/I$4,"")</f>
        <v>5.4061739587844106E-3</v>
      </c>
      <c r="M389" s="40" t="str">
        <f>IF(データ!L386="","",データ!L386)</f>
        <v/>
      </c>
      <c r="N389" s="41" t="str">
        <f>IF(データ!M386="","",データ!M386)</f>
        <v/>
      </c>
      <c r="O389" s="42">
        <f>データ!N386</f>
        <v>0</v>
      </c>
      <c r="P389" s="48">
        <f>IF($C389="集計行","",データ!O386)</f>
        <v>0</v>
      </c>
      <c r="Q389" s="48">
        <f>データ!P386</f>
        <v>0</v>
      </c>
      <c r="R389" s="39" t="str">
        <f>IF(OR($C389="総括",$C389="内訳書",$C389="内訳代価",$C389="明細書",$C389="明細代価",$C389="代価表",$C389="単価表"),データ!Q386,"")</f>
        <v/>
      </c>
      <c r="S389" s="11" t="str">
        <f t="shared" ref="S389:S401" si="38">IF(OR(R389="",O389=R389),"","*")</f>
        <v/>
      </c>
      <c r="T389" s="46" t="e">
        <f t="shared" ref="T389:T401" si="39">IF($A389&lt;=T$1,Q389/Q$4,"")</f>
        <v>#DIV/0!</v>
      </c>
      <c r="U389" s="40" t="str">
        <f>IF(データ!R386="","",データ!R386)</f>
        <v/>
      </c>
      <c r="V389" s="41" t="str">
        <f>IF(データ!S386="","",データ!S386)</f>
        <v/>
      </c>
      <c r="W389" s="42">
        <f>データ!T386</f>
        <v>0</v>
      </c>
      <c r="X389" s="48">
        <f>IF($C389="集計行","",データ!U386)</f>
        <v>0</v>
      </c>
      <c r="Y389" s="48">
        <f>データ!V386</f>
        <v>0</v>
      </c>
      <c r="Z389" s="39" t="str">
        <f>IF(OR($C389="総括",$C389="内訳書",$C389="内訳代価",$C389="明細書",$C389="明細代価",$C389="代価表",$C389="単価表"),データ!W386,"")</f>
        <v/>
      </c>
      <c r="AA389" s="11" t="str">
        <f t="shared" ref="AA389:AA401" si="40">IF(OR(Z389="",W389=Z389),"","*")</f>
        <v/>
      </c>
      <c r="AB389" s="46" t="e">
        <f t="shared" ref="AB389:AB401" si="41">IF($A389&lt;=AB$1,Y389/Y$4,"")</f>
        <v>#DIV/0!</v>
      </c>
      <c r="AC389" s="40" t="str">
        <f>IF(データ!X386="","",データ!X386)</f>
        <v/>
      </c>
      <c r="AD389" s="41" t="str">
        <f>IF(データ!Y386="","",データ!Y386)</f>
        <v/>
      </c>
      <c r="AE389" s="47" t="str">
        <f>TRIM(データ!B386)</f>
        <v/>
      </c>
      <c r="AF389" s="43" t="str">
        <f>TRIM(データ!Z386)</f>
        <v/>
      </c>
    </row>
    <row r="390" spans="1:32" x14ac:dyDescent="0.15">
      <c r="A390" s="47">
        <f>データ!A387</f>
        <v>2</v>
      </c>
      <c r="B390" s="47" t="str">
        <f>TRIM(データ!C387)</f>
        <v/>
      </c>
      <c r="C390" s="47" t="str">
        <f>TRIM(データ!D387)</f>
        <v>外注費</v>
      </c>
      <c r="D390" s="36" t="str">
        <f>REPT("｜",$A390)&amp;TRIM(データ!E387)</f>
        <v>｜｜法定福利費</v>
      </c>
      <c r="E390" s="37" t="str">
        <f>TRIM(データ!F387)</f>
        <v/>
      </c>
      <c r="F390" s="38" t="str">
        <f>TRIM(データ!G387)</f>
        <v>式</v>
      </c>
      <c r="G390" s="50">
        <f>データ!H387</f>
        <v>1</v>
      </c>
      <c r="H390" s="48">
        <f>データ!I387</f>
        <v>64000</v>
      </c>
      <c r="I390" s="48">
        <f>データ!J387</f>
        <v>64000</v>
      </c>
      <c r="J390" s="39" t="str">
        <f>IF(OR($C390="総括",$C390="内訳書",$C390="内訳代価",$C390="明細書",$C390="明細代価",$C390="代価表",$C390="単価表"),データ!K387,"")</f>
        <v/>
      </c>
      <c r="K390" s="11" t="str">
        <f t="shared" si="36"/>
        <v/>
      </c>
      <c r="L390" s="46">
        <f t="shared" si="37"/>
        <v>3.459951333622023E-3</v>
      </c>
      <c r="M390" s="40" t="str">
        <f>IF(データ!L387="","",データ!L387)</f>
        <v/>
      </c>
      <c r="N390" s="41" t="str">
        <f>IF(データ!M387="","",データ!M387)</f>
        <v/>
      </c>
      <c r="O390" s="42">
        <f>データ!N387</f>
        <v>0</v>
      </c>
      <c r="P390" s="48">
        <f>IF($C390="集計行","",データ!O387)</f>
        <v>0</v>
      </c>
      <c r="Q390" s="48">
        <f>データ!P387</f>
        <v>0</v>
      </c>
      <c r="R390" s="39" t="str">
        <f>IF(OR($C390="総括",$C390="内訳書",$C390="内訳代価",$C390="明細書",$C390="明細代価",$C390="代価表",$C390="単価表"),データ!Q387,"")</f>
        <v/>
      </c>
      <c r="S390" s="11" t="str">
        <f t="shared" si="38"/>
        <v/>
      </c>
      <c r="T390" s="46" t="e">
        <f t="shared" si="39"/>
        <v>#DIV/0!</v>
      </c>
      <c r="U390" s="40" t="str">
        <f>IF(データ!R387="","",データ!R387)</f>
        <v/>
      </c>
      <c r="V390" s="41" t="str">
        <f>IF(データ!S387="","",データ!S387)</f>
        <v/>
      </c>
      <c r="W390" s="42">
        <f>データ!T387</f>
        <v>0</v>
      </c>
      <c r="X390" s="48">
        <f>IF($C390="集計行","",データ!U387)</f>
        <v>0</v>
      </c>
      <c r="Y390" s="48">
        <f>データ!V387</f>
        <v>0</v>
      </c>
      <c r="Z390" s="39" t="str">
        <f>IF(OR($C390="総括",$C390="内訳書",$C390="内訳代価",$C390="明細書",$C390="明細代価",$C390="代価表",$C390="単価表"),データ!W387,"")</f>
        <v/>
      </c>
      <c r="AA390" s="11" t="str">
        <f t="shared" si="40"/>
        <v/>
      </c>
      <c r="AB390" s="46" t="e">
        <f t="shared" si="41"/>
        <v>#DIV/0!</v>
      </c>
      <c r="AC390" s="40" t="str">
        <f>IF(データ!X387="","",データ!X387)</f>
        <v/>
      </c>
      <c r="AD390" s="41" t="str">
        <f>IF(データ!Y387="","",データ!Y387)</f>
        <v/>
      </c>
      <c r="AE390" s="47" t="str">
        <f>TRIM(データ!B387)</f>
        <v/>
      </c>
      <c r="AF390" s="43" t="str">
        <f>TRIM(データ!Z387)</f>
        <v/>
      </c>
    </row>
    <row r="391" spans="1:32" x14ac:dyDescent="0.15">
      <c r="A391" s="47">
        <f>データ!A388</f>
        <v>2</v>
      </c>
      <c r="B391" s="47" t="str">
        <f>TRIM(データ!C388)</f>
        <v/>
      </c>
      <c r="C391" s="47" t="str">
        <f>TRIM(データ!D388)</f>
        <v>外注費</v>
      </c>
      <c r="D391" s="36" t="str">
        <f>REPT("｜",$A391)&amp;TRIM(データ!E388)</f>
        <v>｜｜交通誘導員</v>
      </c>
      <c r="E391" s="37" t="str">
        <f>TRIM(データ!F388)</f>
        <v/>
      </c>
      <c r="F391" s="38" t="str">
        <f>TRIM(データ!G388)</f>
        <v>人</v>
      </c>
      <c r="G391" s="50">
        <f>データ!H388</f>
        <v>10</v>
      </c>
      <c r="H391" s="48">
        <f>データ!I388</f>
        <v>18000</v>
      </c>
      <c r="I391" s="48">
        <f>データ!J388</f>
        <v>180000</v>
      </c>
      <c r="J391" s="39" t="str">
        <f>IF(OR($C391="総括",$C391="内訳書",$C391="内訳代価",$C391="明細書",$C391="明細代価",$C391="代価表",$C391="単価表"),データ!K388,"")</f>
        <v/>
      </c>
      <c r="K391" s="11" t="str">
        <f t="shared" si="36"/>
        <v/>
      </c>
      <c r="L391" s="46">
        <f t="shared" si="37"/>
        <v>9.7311131258119403E-3</v>
      </c>
      <c r="M391" s="40" t="str">
        <f>IF(データ!L388="","",データ!L388)</f>
        <v/>
      </c>
      <c r="N391" s="41" t="str">
        <f>IF(データ!M388="","",データ!M388)</f>
        <v/>
      </c>
      <c r="O391" s="42">
        <f>データ!N388</f>
        <v>0</v>
      </c>
      <c r="P391" s="48">
        <f>IF($C391="集計行","",データ!O388)</f>
        <v>0</v>
      </c>
      <c r="Q391" s="48">
        <f>データ!P388</f>
        <v>0</v>
      </c>
      <c r="R391" s="39" t="str">
        <f>IF(OR($C391="総括",$C391="内訳書",$C391="内訳代価",$C391="明細書",$C391="明細代価",$C391="代価表",$C391="単価表"),データ!Q388,"")</f>
        <v/>
      </c>
      <c r="S391" s="11" t="str">
        <f t="shared" si="38"/>
        <v/>
      </c>
      <c r="T391" s="46" t="e">
        <f t="shared" si="39"/>
        <v>#DIV/0!</v>
      </c>
      <c r="U391" s="40" t="str">
        <f>IF(データ!R388="","",データ!R388)</f>
        <v/>
      </c>
      <c r="V391" s="41" t="str">
        <f>IF(データ!S388="","",データ!S388)</f>
        <v/>
      </c>
      <c r="W391" s="42">
        <f>データ!T388</f>
        <v>0</v>
      </c>
      <c r="X391" s="48">
        <f>IF($C391="集計行","",データ!U388)</f>
        <v>0</v>
      </c>
      <c r="Y391" s="48">
        <f>データ!V388</f>
        <v>0</v>
      </c>
      <c r="Z391" s="39" t="str">
        <f>IF(OR($C391="総括",$C391="内訳書",$C391="内訳代価",$C391="明細書",$C391="明細代価",$C391="代価表",$C391="単価表"),データ!W388,"")</f>
        <v/>
      </c>
      <c r="AA391" s="11" t="str">
        <f t="shared" si="40"/>
        <v/>
      </c>
      <c r="AB391" s="46" t="e">
        <f t="shared" si="41"/>
        <v>#DIV/0!</v>
      </c>
      <c r="AC391" s="40" t="str">
        <f>IF(データ!X388="","",データ!X388)</f>
        <v/>
      </c>
      <c r="AD391" s="41" t="str">
        <f>IF(データ!Y388="","",データ!Y388)</f>
        <v/>
      </c>
      <c r="AE391" s="47" t="str">
        <f>TRIM(データ!B388)</f>
        <v/>
      </c>
      <c r="AF391" s="43" t="str">
        <f>TRIM(データ!Z388)</f>
        <v/>
      </c>
    </row>
    <row r="392" spans="1:32" x14ac:dyDescent="0.15">
      <c r="A392" s="47">
        <f>データ!A389</f>
        <v>2</v>
      </c>
      <c r="B392" s="47" t="str">
        <f>TRIM(データ!C389)</f>
        <v/>
      </c>
      <c r="C392" s="47" t="str">
        <f>TRIM(データ!D389)</f>
        <v>機械費</v>
      </c>
      <c r="D392" s="36" t="str">
        <f>REPT("｜",$A392)&amp;TRIM(データ!E389)</f>
        <v>｜｜軽トラ規制車</v>
      </c>
      <c r="E392" s="37" t="str">
        <f>TRIM(データ!F389)</f>
        <v/>
      </c>
      <c r="F392" s="38" t="str">
        <f>TRIM(データ!G389)</f>
        <v>台</v>
      </c>
      <c r="G392" s="50">
        <f>データ!H389</f>
        <v>2</v>
      </c>
      <c r="H392" s="48">
        <f>データ!I389</f>
        <v>10000</v>
      </c>
      <c r="I392" s="48">
        <f>データ!J389</f>
        <v>20000</v>
      </c>
      <c r="J392" s="39" t="str">
        <f>IF(OR($C392="総括",$C392="内訳書",$C392="内訳代価",$C392="明細書",$C392="明細代価",$C392="代価表",$C392="単価表"),データ!K389,"")</f>
        <v/>
      </c>
      <c r="K392" s="11" t="str">
        <f t="shared" si="36"/>
        <v/>
      </c>
      <c r="L392" s="46">
        <f t="shared" si="37"/>
        <v>1.0812347917568822E-3</v>
      </c>
      <c r="M392" s="40" t="str">
        <f>IF(データ!L389="","",データ!L389)</f>
        <v/>
      </c>
      <c r="N392" s="41" t="str">
        <f>IF(データ!M389="","",データ!M389)</f>
        <v/>
      </c>
      <c r="O392" s="42">
        <f>データ!N389</f>
        <v>0</v>
      </c>
      <c r="P392" s="48">
        <f>IF($C392="集計行","",データ!O389)</f>
        <v>0</v>
      </c>
      <c r="Q392" s="48">
        <f>データ!P389</f>
        <v>0</v>
      </c>
      <c r="R392" s="39" t="str">
        <f>IF(OR($C392="総括",$C392="内訳書",$C392="内訳代価",$C392="明細書",$C392="明細代価",$C392="代価表",$C392="単価表"),データ!Q389,"")</f>
        <v/>
      </c>
      <c r="S392" s="11" t="str">
        <f t="shared" si="38"/>
        <v/>
      </c>
      <c r="T392" s="46" t="e">
        <f t="shared" si="39"/>
        <v>#DIV/0!</v>
      </c>
      <c r="U392" s="40" t="str">
        <f>IF(データ!R389="","",データ!R389)</f>
        <v/>
      </c>
      <c r="V392" s="41" t="str">
        <f>IF(データ!S389="","",データ!S389)</f>
        <v/>
      </c>
      <c r="W392" s="42">
        <f>データ!T389</f>
        <v>0</v>
      </c>
      <c r="X392" s="48">
        <f>IF($C392="集計行","",データ!U389)</f>
        <v>0</v>
      </c>
      <c r="Y392" s="48">
        <f>データ!V389</f>
        <v>0</v>
      </c>
      <c r="Z392" s="39" t="str">
        <f>IF(OR($C392="総括",$C392="内訳書",$C392="内訳代価",$C392="明細書",$C392="明細代価",$C392="代価表",$C392="単価表"),データ!W389,"")</f>
        <v/>
      </c>
      <c r="AA392" s="11" t="str">
        <f t="shared" si="40"/>
        <v/>
      </c>
      <c r="AB392" s="46" t="e">
        <f t="shared" si="41"/>
        <v>#DIV/0!</v>
      </c>
      <c r="AC392" s="40" t="str">
        <f>IF(データ!X389="","",データ!X389)</f>
        <v/>
      </c>
      <c r="AD392" s="41" t="str">
        <f>IF(データ!Y389="","",データ!Y389)</f>
        <v/>
      </c>
      <c r="AE392" s="47" t="str">
        <f>TRIM(データ!B389)</f>
        <v/>
      </c>
      <c r="AF392" s="43" t="str">
        <f>TRIM(データ!Z389)</f>
        <v/>
      </c>
    </row>
    <row r="393" spans="1:32" x14ac:dyDescent="0.15">
      <c r="A393" s="47">
        <f>データ!A390</f>
        <v>1</v>
      </c>
      <c r="B393" s="47" t="str">
        <f>TRIM(データ!C390)</f>
        <v/>
      </c>
      <c r="C393" s="47" t="str">
        <f>TRIM(データ!D390)</f>
        <v>内訳書</v>
      </c>
      <c r="D393" s="36" t="str">
        <f>REPT("｜",$A393)&amp;TRIM(データ!E390)</f>
        <v>｜準備工　舗装版切断工</v>
      </c>
      <c r="E393" s="37" t="str">
        <f>TRIM(データ!F390)</f>
        <v/>
      </c>
      <c r="F393" s="38" t="str">
        <f>TRIM(データ!G390)</f>
        <v>日</v>
      </c>
      <c r="G393" s="50">
        <f>データ!H390</f>
        <v>1</v>
      </c>
      <c r="H393" s="48">
        <f>データ!I390</f>
        <v>140700</v>
      </c>
      <c r="I393" s="48">
        <f>データ!J390</f>
        <v>140700</v>
      </c>
      <c r="J393" s="39">
        <f>IF(OR($C393="総括",$C393="内訳書",$C393="内訳代価",$C393="明細書",$C393="明細代価",$C393="代価表",$C393="単価表"),データ!K390,"")</f>
        <v>1</v>
      </c>
      <c r="K393" s="11" t="str">
        <f t="shared" si="36"/>
        <v/>
      </c>
      <c r="L393" s="46">
        <f t="shared" si="37"/>
        <v>7.6064867600096663E-3</v>
      </c>
      <c r="M393" s="40" t="str">
        <f>IF(データ!L390="","",データ!L390)</f>
        <v/>
      </c>
      <c r="N393" s="41" t="str">
        <f>IF(データ!M390="","",データ!M390)</f>
        <v>36号内訳書</v>
      </c>
      <c r="O393" s="42">
        <f>データ!N390</f>
        <v>0</v>
      </c>
      <c r="P393" s="48">
        <f>IF($C393="集計行","",データ!O390)</f>
        <v>0</v>
      </c>
      <c r="Q393" s="48">
        <f>データ!P390</f>
        <v>0</v>
      </c>
      <c r="R393" s="39">
        <f>IF(OR($C393="総括",$C393="内訳書",$C393="内訳代価",$C393="明細書",$C393="明細代価",$C393="代価表",$C393="単価表"),データ!Q390,"")</f>
        <v>0</v>
      </c>
      <c r="S393" s="11" t="str">
        <f t="shared" si="38"/>
        <v/>
      </c>
      <c r="T393" s="46" t="e">
        <f t="shared" si="39"/>
        <v>#DIV/0!</v>
      </c>
      <c r="U393" s="40" t="str">
        <f>IF(データ!R390="","",データ!R390)</f>
        <v/>
      </c>
      <c r="V393" s="41" t="str">
        <f>IF(データ!S390="","",データ!S390)</f>
        <v/>
      </c>
      <c r="W393" s="42">
        <f>データ!T390</f>
        <v>0</v>
      </c>
      <c r="X393" s="48">
        <f>IF($C393="集計行","",データ!U390)</f>
        <v>0</v>
      </c>
      <c r="Y393" s="48">
        <f>データ!V390</f>
        <v>0</v>
      </c>
      <c r="Z393" s="39">
        <f>IF(OR($C393="総括",$C393="内訳書",$C393="内訳代価",$C393="明細書",$C393="明細代価",$C393="代価表",$C393="単価表"),データ!W390,"")</f>
        <v>0</v>
      </c>
      <c r="AA393" s="11" t="str">
        <f t="shared" si="40"/>
        <v/>
      </c>
      <c r="AB393" s="46" t="e">
        <f t="shared" si="41"/>
        <v>#DIV/0!</v>
      </c>
      <c r="AC393" s="40" t="str">
        <f>IF(データ!X390="","",データ!X390)</f>
        <v/>
      </c>
      <c r="AD393" s="41" t="str">
        <f>IF(データ!Y390="","",データ!Y390)</f>
        <v/>
      </c>
      <c r="AE393" s="47" t="str">
        <f>TRIM(データ!B390)</f>
        <v/>
      </c>
      <c r="AF393" s="43" t="str">
        <f>TRIM(データ!Z390)</f>
        <v/>
      </c>
    </row>
    <row r="394" spans="1:32" x14ac:dyDescent="0.15">
      <c r="A394" s="47">
        <f>データ!A391</f>
        <v>2</v>
      </c>
      <c r="B394" s="47" t="str">
        <f>TRIM(データ!C391)</f>
        <v/>
      </c>
      <c r="C394" s="47" t="str">
        <f>TRIM(データ!D391)</f>
        <v>外注費</v>
      </c>
      <c r="D394" s="36" t="str">
        <f>REPT("｜",$A394)&amp;TRIM(データ!E391)</f>
        <v>｜｜舗装版切断工　t=100 久寺家</v>
      </c>
      <c r="E394" s="37" t="str">
        <f>TRIM(データ!F391)</f>
        <v/>
      </c>
      <c r="F394" s="38" t="str">
        <f>TRIM(データ!G391)</f>
        <v>ｍ</v>
      </c>
      <c r="G394" s="50">
        <f>データ!H391</f>
        <v>60</v>
      </c>
      <c r="H394" s="48">
        <f>データ!I391</f>
        <v>300</v>
      </c>
      <c r="I394" s="48">
        <f>データ!J391</f>
        <v>18000</v>
      </c>
      <c r="J394" s="39" t="str">
        <f>IF(OR($C394="総括",$C394="内訳書",$C394="内訳代価",$C394="明細書",$C394="明細代価",$C394="代価表",$C394="単価表"),データ!K391,"")</f>
        <v/>
      </c>
      <c r="K394" s="11" t="str">
        <f t="shared" si="36"/>
        <v/>
      </c>
      <c r="L394" s="46">
        <f t="shared" si="37"/>
        <v>9.7311131258119392E-4</v>
      </c>
      <c r="M394" s="40" t="str">
        <f>IF(データ!L391="","",データ!L391)</f>
        <v/>
      </c>
      <c r="N394" s="41" t="str">
        <f>IF(データ!M391="","",データ!M391)</f>
        <v/>
      </c>
      <c r="O394" s="42">
        <f>データ!N391</f>
        <v>0</v>
      </c>
      <c r="P394" s="48">
        <f>IF($C394="集計行","",データ!O391)</f>
        <v>0</v>
      </c>
      <c r="Q394" s="48">
        <f>データ!P391</f>
        <v>0</v>
      </c>
      <c r="R394" s="39" t="str">
        <f>IF(OR($C394="総括",$C394="内訳書",$C394="内訳代価",$C394="明細書",$C394="明細代価",$C394="代価表",$C394="単価表"),データ!Q391,"")</f>
        <v/>
      </c>
      <c r="S394" s="11" t="str">
        <f t="shared" si="38"/>
        <v/>
      </c>
      <c r="T394" s="46" t="e">
        <f t="shared" si="39"/>
        <v>#DIV/0!</v>
      </c>
      <c r="U394" s="40" t="str">
        <f>IF(データ!R391="","",データ!R391)</f>
        <v/>
      </c>
      <c r="V394" s="41" t="str">
        <f>IF(データ!S391="","",データ!S391)</f>
        <v/>
      </c>
      <c r="W394" s="42">
        <f>データ!T391</f>
        <v>0</v>
      </c>
      <c r="X394" s="48">
        <f>IF($C394="集計行","",データ!U391)</f>
        <v>0</v>
      </c>
      <c r="Y394" s="48">
        <f>データ!V391</f>
        <v>0</v>
      </c>
      <c r="Z394" s="39" t="str">
        <f>IF(OR($C394="総括",$C394="内訳書",$C394="内訳代価",$C394="明細書",$C394="明細代価",$C394="代価表",$C394="単価表"),データ!W391,"")</f>
        <v/>
      </c>
      <c r="AA394" s="11" t="str">
        <f t="shared" si="40"/>
        <v/>
      </c>
      <c r="AB394" s="46" t="e">
        <f t="shared" si="41"/>
        <v>#DIV/0!</v>
      </c>
      <c r="AC394" s="40" t="str">
        <f>IF(データ!X391="","",データ!X391)</f>
        <v/>
      </c>
      <c r="AD394" s="41" t="str">
        <f>IF(データ!Y391="","",データ!Y391)</f>
        <v/>
      </c>
      <c r="AE394" s="47" t="str">
        <f>TRIM(データ!B391)</f>
        <v/>
      </c>
      <c r="AF394" s="43" t="str">
        <f>TRIM(データ!Z391)</f>
        <v/>
      </c>
    </row>
    <row r="395" spans="1:32" x14ac:dyDescent="0.15">
      <c r="A395" s="47">
        <f>データ!A392</f>
        <v>2</v>
      </c>
      <c r="B395" s="47" t="str">
        <f>TRIM(データ!C392)</f>
        <v/>
      </c>
      <c r="C395" s="47" t="str">
        <f>TRIM(データ!D392)</f>
        <v>外注費</v>
      </c>
      <c r="D395" s="36" t="str">
        <f>REPT("｜",$A395)&amp;TRIM(データ!E392)</f>
        <v>｜｜汚泥運搬</v>
      </c>
      <c r="E395" s="37" t="str">
        <f>TRIM(データ!F392)</f>
        <v/>
      </c>
      <c r="F395" s="38" t="str">
        <f>TRIM(データ!G392)</f>
        <v>回</v>
      </c>
      <c r="G395" s="50">
        <f>データ!H392</f>
        <v>0.5</v>
      </c>
      <c r="H395" s="48">
        <f>データ!I392</f>
        <v>20000</v>
      </c>
      <c r="I395" s="48">
        <f>データ!J392</f>
        <v>10000</v>
      </c>
      <c r="J395" s="39" t="str">
        <f>IF(OR($C395="総括",$C395="内訳書",$C395="内訳代価",$C395="明細書",$C395="明細代価",$C395="代価表",$C395="単価表"),データ!K392,"")</f>
        <v/>
      </c>
      <c r="K395" s="11" t="str">
        <f t="shared" si="36"/>
        <v/>
      </c>
      <c r="L395" s="46">
        <f t="shared" si="37"/>
        <v>5.406173958784411E-4</v>
      </c>
      <c r="M395" s="40" t="str">
        <f>IF(データ!L392="","",データ!L392)</f>
        <v/>
      </c>
      <c r="N395" s="41" t="str">
        <f>IF(データ!M392="","",データ!M392)</f>
        <v/>
      </c>
      <c r="O395" s="42">
        <f>データ!N392</f>
        <v>0</v>
      </c>
      <c r="P395" s="48">
        <f>IF($C395="集計行","",データ!O392)</f>
        <v>0</v>
      </c>
      <c r="Q395" s="48">
        <f>データ!P392</f>
        <v>0</v>
      </c>
      <c r="R395" s="39" t="str">
        <f>IF(OR($C395="総括",$C395="内訳書",$C395="内訳代価",$C395="明細書",$C395="明細代価",$C395="代価表",$C395="単価表"),データ!Q392,"")</f>
        <v/>
      </c>
      <c r="S395" s="11" t="str">
        <f t="shared" si="38"/>
        <v/>
      </c>
      <c r="T395" s="46" t="e">
        <f t="shared" si="39"/>
        <v>#DIV/0!</v>
      </c>
      <c r="U395" s="40" t="str">
        <f>IF(データ!R392="","",データ!R392)</f>
        <v/>
      </c>
      <c r="V395" s="41" t="str">
        <f>IF(データ!S392="","",データ!S392)</f>
        <v/>
      </c>
      <c r="W395" s="42">
        <f>データ!T392</f>
        <v>0</v>
      </c>
      <c r="X395" s="48">
        <f>IF($C395="集計行","",データ!U392)</f>
        <v>0</v>
      </c>
      <c r="Y395" s="48">
        <f>データ!V392</f>
        <v>0</v>
      </c>
      <c r="Z395" s="39" t="str">
        <f>IF(OR($C395="総括",$C395="内訳書",$C395="内訳代価",$C395="明細書",$C395="明細代価",$C395="代価表",$C395="単価表"),データ!W392,"")</f>
        <v/>
      </c>
      <c r="AA395" s="11" t="str">
        <f t="shared" si="40"/>
        <v/>
      </c>
      <c r="AB395" s="46" t="e">
        <f t="shared" si="41"/>
        <v>#DIV/0!</v>
      </c>
      <c r="AC395" s="40" t="str">
        <f>IF(データ!X392="","",データ!X392)</f>
        <v/>
      </c>
      <c r="AD395" s="41" t="str">
        <f>IF(データ!Y392="","",データ!Y392)</f>
        <v/>
      </c>
      <c r="AE395" s="47" t="str">
        <f>TRIM(データ!B392)</f>
        <v/>
      </c>
      <c r="AF395" s="43" t="str">
        <f>TRIM(データ!Z392)</f>
        <v/>
      </c>
    </row>
    <row r="396" spans="1:32" x14ac:dyDescent="0.15">
      <c r="A396" s="47">
        <f>データ!A393</f>
        <v>2</v>
      </c>
      <c r="B396" s="47" t="str">
        <f>TRIM(データ!C393)</f>
        <v/>
      </c>
      <c r="C396" s="47" t="str">
        <f>TRIM(データ!D393)</f>
        <v>外注費</v>
      </c>
      <c r="D396" s="36" t="str">
        <f>REPT("｜",$A396)&amp;TRIM(データ!E393)</f>
        <v>｜｜汚泥処理</v>
      </c>
      <c r="E396" s="37" t="str">
        <f>TRIM(データ!F393)</f>
        <v/>
      </c>
      <c r="F396" s="38" t="str">
        <f>TRIM(データ!G393)</f>
        <v>リットル</v>
      </c>
      <c r="G396" s="50">
        <f>データ!H393</f>
        <v>100</v>
      </c>
      <c r="H396" s="48">
        <f>データ!I393</f>
        <v>50</v>
      </c>
      <c r="I396" s="48">
        <f>データ!J393</f>
        <v>5000</v>
      </c>
      <c r="J396" s="39" t="str">
        <f>IF(OR($C396="総括",$C396="内訳書",$C396="内訳代価",$C396="明細書",$C396="明細代価",$C396="代価表",$C396="単価表"),データ!K393,"")</f>
        <v/>
      </c>
      <c r="K396" s="11" t="str">
        <f t="shared" si="36"/>
        <v/>
      </c>
      <c r="L396" s="46">
        <f t="shared" si="37"/>
        <v>2.7030869793922055E-4</v>
      </c>
      <c r="M396" s="40" t="str">
        <f>IF(データ!L393="","",データ!L393)</f>
        <v/>
      </c>
      <c r="N396" s="41" t="str">
        <f>IF(データ!M393="","",データ!M393)</f>
        <v/>
      </c>
      <c r="O396" s="42">
        <f>データ!N393</f>
        <v>0</v>
      </c>
      <c r="P396" s="48">
        <f>IF($C396="集計行","",データ!O393)</f>
        <v>0</v>
      </c>
      <c r="Q396" s="48">
        <f>データ!P393</f>
        <v>0</v>
      </c>
      <c r="R396" s="39" t="str">
        <f>IF(OR($C396="総括",$C396="内訳書",$C396="内訳代価",$C396="明細書",$C396="明細代価",$C396="代価表",$C396="単価表"),データ!Q393,"")</f>
        <v/>
      </c>
      <c r="S396" s="11" t="str">
        <f t="shared" si="38"/>
        <v/>
      </c>
      <c r="T396" s="46" t="e">
        <f t="shared" si="39"/>
        <v>#DIV/0!</v>
      </c>
      <c r="U396" s="40" t="str">
        <f>IF(データ!R393="","",データ!R393)</f>
        <v/>
      </c>
      <c r="V396" s="41" t="str">
        <f>IF(データ!S393="","",データ!S393)</f>
        <v/>
      </c>
      <c r="W396" s="42">
        <f>データ!T393</f>
        <v>0</v>
      </c>
      <c r="X396" s="48">
        <f>IF($C396="集計行","",データ!U393)</f>
        <v>0</v>
      </c>
      <c r="Y396" s="48">
        <f>データ!V393</f>
        <v>0</v>
      </c>
      <c r="Z396" s="39" t="str">
        <f>IF(OR($C396="総括",$C396="内訳書",$C396="内訳代価",$C396="明細書",$C396="明細代価",$C396="代価表",$C396="単価表"),データ!W393,"")</f>
        <v/>
      </c>
      <c r="AA396" s="11" t="str">
        <f t="shared" si="40"/>
        <v/>
      </c>
      <c r="AB396" s="46" t="e">
        <f t="shared" si="41"/>
        <v>#DIV/0!</v>
      </c>
      <c r="AC396" s="40" t="str">
        <f>IF(データ!X393="","",データ!X393)</f>
        <v/>
      </c>
      <c r="AD396" s="41" t="str">
        <f>IF(データ!Y393="","",データ!Y393)</f>
        <v/>
      </c>
      <c r="AE396" s="47" t="str">
        <f>TRIM(データ!B393)</f>
        <v/>
      </c>
      <c r="AF396" s="43" t="str">
        <f>TRIM(データ!Z393)</f>
        <v/>
      </c>
    </row>
    <row r="397" spans="1:32" x14ac:dyDescent="0.15">
      <c r="A397" s="47">
        <f>データ!A394</f>
        <v>2</v>
      </c>
      <c r="B397" s="47" t="str">
        <f>TRIM(データ!C394)</f>
        <v/>
      </c>
      <c r="C397" s="47" t="str">
        <f>TRIM(データ!D394)</f>
        <v>外注費</v>
      </c>
      <c r="D397" s="36" t="str">
        <f>REPT("｜",$A397)&amp;TRIM(データ!E394)</f>
        <v>｜｜舗装版切断工　t=50 寿</v>
      </c>
      <c r="E397" s="37" t="str">
        <f>TRIM(データ!F394)</f>
        <v/>
      </c>
      <c r="F397" s="38" t="str">
        <f>TRIM(データ!G394)</f>
        <v>ｍ</v>
      </c>
      <c r="G397" s="50">
        <f>データ!H394</f>
        <v>140</v>
      </c>
      <c r="H397" s="48">
        <f>データ!I394</f>
        <v>180</v>
      </c>
      <c r="I397" s="48">
        <f>データ!J394</f>
        <v>25200</v>
      </c>
      <c r="J397" s="39" t="str">
        <f>IF(OR($C397="総括",$C397="内訳書",$C397="内訳代価",$C397="明細書",$C397="明細代価",$C397="代価表",$C397="単価表"),データ!K394,"")</f>
        <v/>
      </c>
      <c r="K397" s="11" t="str">
        <f t="shared" si="36"/>
        <v/>
      </c>
      <c r="L397" s="46">
        <f t="shared" si="37"/>
        <v>1.3623558376136716E-3</v>
      </c>
      <c r="M397" s="40" t="str">
        <f>IF(データ!L394="","",データ!L394)</f>
        <v/>
      </c>
      <c r="N397" s="41" t="str">
        <f>IF(データ!M394="","",データ!M394)</f>
        <v/>
      </c>
      <c r="O397" s="42">
        <f>データ!N394</f>
        <v>0</v>
      </c>
      <c r="P397" s="48">
        <f>IF($C397="集計行","",データ!O394)</f>
        <v>0</v>
      </c>
      <c r="Q397" s="48">
        <f>データ!P394</f>
        <v>0</v>
      </c>
      <c r="R397" s="39" t="str">
        <f>IF(OR($C397="総括",$C397="内訳書",$C397="内訳代価",$C397="明細書",$C397="明細代価",$C397="代価表",$C397="単価表"),データ!Q394,"")</f>
        <v/>
      </c>
      <c r="S397" s="11" t="str">
        <f t="shared" si="38"/>
        <v/>
      </c>
      <c r="T397" s="46" t="e">
        <f t="shared" si="39"/>
        <v>#DIV/0!</v>
      </c>
      <c r="U397" s="40" t="str">
        <f>IF(データ!R394="","",データ!R394)</f>
        <v/>
      </c>
      <c r="V397" s="41" t="str">
        <f>IF(データ!S394="","",データ!S394)</f>
        <v/>
      </c>
      <c r="W397" s="42">
        <f>データ!T394</f>
        <v>0</v>
      </c>
      <c r="X397" s="48">
        <f>IF($C397="集計行","",データ!U394)</f>
        <v>0</v>
      </c>
      <c r="Y397" s="48">
        <f>データ!V394</f>
        <v>0</v>
      </c>
      <c r="Z397" s="39" t="str">
        <f>IF(OR($C397="総括",$C397="内訳書",$C397="内訳代価",$C397="明細書",$C397="明細代価",$C397="代価表",$C397="単価表"),データ!W394,"")</f>
        <v/>
      </c>
      <c r="AA397" s="11" t="str">
        <f t="shared" si="40"/>
        <v/>
      </c>
      <c r="AB397" s="46" t="e">
        <f t="shared" si="41"/>
        <v>#DIV/0!</v>
      </c>
      <c r="AC397" s="40" t="str">
        <f>IF(データ!X394="","",データ!X394)</f>
        <v/>
      </c>
      <c r="AD397" s="41" t="str">
        <f>IF(データ!Y394="","",データ!Y394)</f>
        <v/>
      </c>
      <c r="AE397" s="47" t="str">
        <f>TRIM(データ!B394)</f>
        <v/>
      </c>
      <c r="AF397" s="43" t="str">
        <f>TRIM(データ!Z394)</f>
        <v/>
      </c>
    </row>
    <row r="398" spans="1:32" x14ac:dyDescent="0.15">
      <c r="A398" s="47">
        <f>データ!A395</f>
        <v>2</v>
      </c>
      <c r="B398" s="47" t="str">
        <f>TRIM(データ!C395)</f>
        <v/>
      </c>
      <c r="C398" s="47" t="str">
        <f>TRIM(データ!D395)</f>
        <v>外注費</v>
      </c>
      <c r="D398" s="36" t="str">
        <f>REPT("｜",$A398)&amp;TRIM(データ!E395)</f>
        <v>｜｜汚泥運搬</v>
      </c>
      <c r="E398" s="37" t="str">
        <f>TRIM(データ!F395)</f>
        <v/>
      </c>
      <c r="F398" s="38" t="str">
        <f>TRIM(データ!G395)</f>
        <v>回</v>
      </c>
      <c r="G398" s="50">
        <f>データ!H395</f>
        <v>0.5</v>
      </c>
      <c r="H398" s="48">
        <f>データ!I395</f>
        <v>20000</v>
      </c>
      <c r="I398" s="48">
        <f>データ!J395</f>
        <v>10000</v>
      </c>
      <c r="J398" s="39" t="str">
        <f>IF(OR($C398="総括",$C398="内訳書",$C398="内訳代価",$C398="明細書",$C398="明細代価",$C398="代価表",$C398="単価表"),データ!K395,"")</f>
        <v/>
      </c>
      <c r="K398" s="11" t="str">
        <f t="shared" si="36"/>
        <v/>
      </c>
      <c r="L398" s="46">
        <f t="shared" si="37"/>
        <v>5.406173958784411E-4</v>
      </c>
      <c r="M398" s="40" t="str">
        <f>IF(データ!L395="","",データ!L395)</f>
        <v/>
      </c>
      <c r="N398" s="41" t="str">
        <f>IF(データ!M395="","",データ!M395)</f>
        <v/>
      </c>
      <c r="O398" s="42">
        <f>データ!N395</f>
        <v>0</v>
      </c>
      <c r="P398" s="48">
        <f>IF($C398="集計行","",データ!O395)</f>
        <v>0</v>
      </c>
      <c r="Q398" s="48">
        <f>データ!P395</f>
        <v>0</v>
      </c>
      <c r="R398" s="39" t="str">
        <f>IF(OR($C398="総括",$C398="内訳書",$C398="内訳代価",$C398="明細書",$C398="明細代価",$C398="代価表",$C398="単価表"),データ!Q395,"")</f>
        <v/>
      </c>
      <c r="S398" s="11" t="str">
        <f t="shared" si="38"/>
        <v/>
      </c>
      <c r="T398" s="46" t="e">
        <f t="shared" si="39"/>
        <v>#DIV/0!</v>
      </c>
      <c r="U398" s="40" t="str">
        <f>IF(データ!R395="","",データ!R395)</f>
        <v/>
      </c>
      <c r="V398" s="41" t="str">
        <f>IF(データ!S395="","",データ!S395)</f>
        <v/>
      </c>
      <c r="W398" s="42">
        <f>データ!T395</f>
        <v>0</v>
      </c>
      <c r="X398" s="48">
        <f>IF($C398="集計行","",データ!U395)</f>
        <v>0</v>
      </c>
      <c r="Y398" s="48">
        <f>データ!V395</f>
        <v>0</v>
      </c>
      <c r="Z398" s="39" t="str">
        <f>IF(OR($C398="総括",$C398="内訳書",$C398="内訳代価",$C398="明細書",$C398="明細代価",$C398="代価表",$C398="単価表"),データ!W395,"")</f>
        <v/>
      </c>
      <c r="AA398" s="11" t="str">
        <f t="shared" si="40"/>
        <v/>
      </c>
      <c r="AB398" s="46" t="e">
        <f t="shared" si="41"/>
        <v>#DIV/0!</v>
      </c>
      <c r="AC398" s="40" t="str">
        <f>IF(データ!X395="","",データ!X395)</f>
        <v/>
      </c>
      <c r="AD398" s="41" t="str">
        <f>IF(データ!Y395="","",データ!Y395)</f>
        <v/>
      </c>
      <c r="AE398" s="47" t="str">
        <f>TRIM(データ!B395)</f>
        <v/>
      </c>
      <c r="AF398" s="43" t="str">
        <f>TRIM(データ!Z395)</f>
        <v/>
      </c>
    </row>
    <row r="399" spans="1:32" x14ac:dyDescent="0.15">
      <c r="A399" s="47">
        <f>データ!A396</f>
        <v>2</v>
      </c>
      <c r="B399" s="47" t="str">
        <f>TRIM(データ!C396)</f>
        <v/>
      </c>
      <c r="C399" s="47" t="str">
        <f>TRIM(データ!D396)</f>
        <v>外注費</v>
      </c>
      <c r="D399" s="36" t="str">
        <f>REPT("｜",$A399)&amp;TRIM(データ!E396)</f>
        <v>｜｜汚泥処理</v>
      </c>
      <c r="E399" s="37" t="str">
        <f>TRIM(データ!F396)</f>
        <v/>
      </c>
      <c r="F399" s="38" t="str">
        <f>TRIM(データ!G396)</f>
        <v>リットル</v>
      </c>
      <c r="G399" s="50">
        <f>データ!H396</f>
        <v>170</v>
      </c>
      <c r="H399" s="48">
        <f>データ!I396</f>
        <v>50</v>
      </c>
      <c r="I399" s="48">
        <f>データ!J396</f>
        <v>8500</v>
      </c>
      <c r="J399" s="39" t="str">
        <f>IF(OR($C399="総括",$C399="内訳書",$C399="内訳代価",$C399="明細書",$C399="明細代価",$C399="代価表",$C399="単価表"),データ!K396,"")</f>
        <v/>
      </c>
      <c r="K399" s="11" t="str">
        <f t="shared" si="36"/>
        <v/>
      </c>
      <c r="L399" s="46">
        <f t="shared" si="37"/>
        <v>4.5952478649667492E-4</v>
      </c>
      <c r="M399" s="40" t="str">
        <f>IF(データ!L396="","",データ!L396)</f>
        <v/>
      </c>
      <c r="N399" s="41" t="str">
        <f>IF(データ!M396="","",データ!M396)</f>
        <v/>
      </c>
      <c r="O399" s="42">
        <f>データ!N396</f>
        <v>0</v>
      </c>
      <c r="P399" s="48">
        <f>IF($C399="集計行","",データ!O396)</f>
        <v>0</v>
      </c>
      <c r="Q399" s="48">
        <f>データ!P396</f>
        <v>0</v>
      </c>
      <c r="R399" s="39" t="str">
        <f>IF(OR($C399="総括",$C399="内訳書",$C399="内訳代価",$C399="明細書",$C399="明細代価",$C399="代価表",$C399="単価表"),データ!Q396,"")</f>
        <v/>
      </c>
      <c r="S399" s="11" t="str">
        <f t="shared" si="38"/>
        <v/>
      </c>
      <c r="T399" s="46" t="e">
        <f t="shared" si="39"/>
        <v>#DIV/0!</v>
      </c>
      <c r="U399" s="40" t="str">
        <f>IF(データ!R396="","",データ!R396)</f>
        <v/>
      </c>
      <c r="V399" s="41" t="str">
        <f>IF(データ!S396="","",データ!S396)</f>
        <v/>
      </c>
      <c r="W399" s="42">
        <f>データ!T396</f>
        <v>0</v>
      </c>
      <c r="X399" s="48">
        <f>IF($C399="集計行","",データ!U396)</f>
        <v>0</v>
      </c>
      <c r="Y399" s="48">
        <f>データ!V396</f>
        <v>0</v>
      </c>
      <c r="Z399" s="39" t="str">
        <f>IF(OR($C399="総括",$C399="内訳書",$C399="内訳代価",$C399="明細書",$C399="明細代価",$C399="代価表",$C399="単価表"),データ!W396,"")</f>
        <v/>
      </c>
      <c r="AA399" s="11" t="str">
        <f t="shared" si="40"/>
        <v/>
      </c>
      <c r="AB399" s="46" t="e">
        <f t="shared" si="41"/>
        <v>#DIV/0!</v>
      </c>
      <c r="AC399" s="40" t="str">
        <f>IF(データ!X396="","",データ!X396)</f>
        <v/>
      </c>
      <c r="AD399" s="41" t="str">
        <f>IF(データ!Y396="","",データ!Y396)</f>
        <v/>
      </c>
      <c r="AE399" s="47" t="str">
        <f>TRIM(データ!B396)</f>
        <v/>
      </c>
      <c r="AF399" s="43" t="str">
        <f>TRIM(データ!Z396)</f>
        <v/>
      </c>
    </row>
    <row r="400" spans="1:32" x14ac:dyDescent="0.15">
      <c r="A400" s="47">
        <f>データ!A397</f>
        <v>2</v>
      </c>
      <c r="B400" s="47" t="str">
        <f>TRIM(データ!C397)</f>
        <v/>
      </c>
      <c r="C400" s="47" t="str">
        <f>TRIM(データ!D397)</f>
        <v>外注費</v>
      </c>
      <c r="D400" s="36" t="str">
        <f>REPT("｜",$A400)&amp;TRIM(データ!E397)</f>
        <v>｜｜交通誘導員</v>
      </c>
      <c r="E400" s="37" t="str">
        <f>TRIM(データ!F397)</f>
        <v/>
      </c>
      <c r="F400" s="38" t="str">
        <f>TRIM(データ!G397)</f>
        <v>人</v>
      </c>
      <c r="G400" s="50">
        <f>データ!H397</f>
        <v>3</v>
      </c>
      <c r="H400" s="48">
        <f>データ!I397</f>
        <v>18000</v>
      </c>
      <c r="I400" s="48">
        <f>データ!J397</f>
        <v>54000</v>
      </c>
      <c r="J400" s="39" t="str">
        <f>IF(OR($C400="総括",$C400="内訳書",$C400="内訳代価",$C400="明細書",$C400="明細代価",$C400="代価表",$C400="単価表"),データ!K397,"")</f>
        <v/>
      </c>
      <c r="K400" s="11" t="str">
        <f t="shared" si="36"/>
        <v/>
      </c>
      <c r="L400" s="46">
        <f t="shared" si="37"/>
        <v>2.9193339377435821E-3</v>
      </c>
      <c r="M400" s="40" t="str">
        <f>IF(データ!L397="","",データ!L397)</f>
        <v/>
      </c>
      <c r="N400" s="41" t="str">
        <f>IF(データ!M397="","",データ!M397)</f>
        <v/>
      </c>
      <c r="O400" s="42">
        <f>データ!N397</f>
        <v>0</v>
      </c>
      <c r="P400" s="48">
        <f>IF($C400="集計行","",データ!O397)</f>
        <v>0</v>
      </c>
      <c r="Q400" s="48">
        <f>データ!P397</f>
        <v>0</v>
      </c>
      <c r="R400" s="39" t="str">
        <f>IF(OR($C400="総括",$C400="内訳書",$C400="内訳代価",$C400="明細書",$C400="明細代価",$C400="代価表",$C400="単価表"),データ!Q397,"")</f>
        <v/>
      </c>
      <c r="S400" s="11" t="str">
        <f t="shared" si="38"/>
        <v/>
      </c>
      <c r="T400" s="46" t="e">
        <f t="shared" si="39"/>
        <v>#DIV/0!</v>
      </c>
      <c r="U400" s="40" t="str">
        <f>IF(データ!R397="","",データ!R397)</f>
        <v/>
      </c>
      <c r="V400" s="41" t="str">
        <f>IF(データ!S397="","",データ!S397)</f>
        <v/>
      </c>
      <c r="W400" s="42">
        <f>データ!T397</f>
        <v>0</v>
      </c>
      <c r="X400" s="48">
        <f>IF($C400="集計行","",データ!U397)</f>
        <v>0</v>
      </c>
      <c r="Y400" s="48">
        <f>データ!V397</f>
        <v>0</v>
      </c>
      <c r="Z400" s="39" t="str">
        <f>IF(OR($C400="総括",$C400="内訳書",$C400="内訳代価",$C400="明細書",$C400="明細代価",$C400="代価表",$C400="単価表"),データ!W397,"")</f>
        <v/>
      </c>
      <c r="AA400" s="11" t="str">
        <f t="shared" si="40"/>
        <v/>
      </c>
      <c r="AB400" s="46" t="e">
        <f t="shared" si="41"/>
        <v>#DIV/0!</v>
      </c>
      <c r="AC400" s="40" t="str">
        <f>IF(データ!X397="","",データ!X397)</f>
        <v/>
      </c>
      <c r="AD400" s="41" t="str">
        <f>IF(データ!Y397="","",データ!Y397)</f>
        <v/>
      </c>
      <c r="AE400" s="47" t="str">
        <f>TRIM(データ!B397)</f>
        <v/>
      </c>
      <c r="AF400" s="43" t="str">
        <f>TRIM(データ!Z397)</f>
        <v/>
      </c>
    </row>
    <row r="401" spans="1:32" x14ac:dyDescent="0.15">
      <c r="A401" s="47">
        <f>データ!A398</f>
        <v>2</v>
      </c>
      <c r="B401" s="47" t="str">
        <f>TRIM(データ!C398)</f>
        <v/>
      </c>
      <c r="C401" s="47" t="str">
        <f>TRIM(データ!D398)</f>
        <v>機械費</v>
      </c>
      <c r="D401" s="36" t="str">
        <f>REPT("｜",$A401)&amp;TRIM(データ!E398)</f>
        <v>｜｜軽トラ規制車</v>
      </c>
      <c r="E401" s="37" t="str">
        <f>TRIM(データ!F398)</f>
        <v/>
      </c>
      <c r="F401" s="38" t="str">
        <f>TRIM(データ!G398)</f>
        <v>台</v>
      </c>
      <c r="G401" s="50">
        <f>データ!H398</f>
        <v>1</v>
      </c>
      <c r="H401" s="48">
        <f>データ!I398</f>
        <v>10000</v>
      </c>
      <c r="I401" s="48">
        <f>データ!J398</f>
        <v>10000</v>
      </c>
      <c r="J401" s="39" t="str">
        <f>IF(OR($C401="総括",$C401="内訳書",$C401="内訳代価",$C401="明細書",$C401="明細代価",$C401="代価表",$C401="単価表"),データ!K398,"")</f>
        <v/>
      </c>
      <c r="K401" s="11" t="str">
        <f t="shared" si="36"/>
        <v/>
      </c>
      <c r="L401" s="46">
        <f t="shared" si="37"/>
        <v>5.406173958784411E-4</v>
      </c>
      <c r="M401" s="40" t="str">
        <f>IF(データ!L398="","",データ!L398)</f>
        <v/>
      </c>
      <c r="N401" s="41" t="str">
        <f>IF(データ!M398="","",データ!M398)</f>
        <v/>
      </c>
      <c r="O401" s="42">
        <f>データ!N398</f>
        <v>0</v>
      </c>
      <c r="P401" s="48">
        <f>IF($C401="集計行","",データ!O398)</f>
        <v>0</v>
      </c>
      <c r="Q401" s="48">
        <f>データ!P398</f>
        <v>0</v>
      </c>
      <c r="R401" s="39" t="str">
        <f>IF(OR($C401="総括",$C401="内訳書",$C401="内訳代価",$C401="明細書",$C401="明細代価",$C401="代価表",$C401="単価表"),データ!Q398,"")</f>
        <v/>
      </c>
      <c r="S401" s="11" t="str">
        <f t="shared" si="38"/>
        <v/>
      </c>
      <c r="T401" s="46" t="e">
        <f t="shared" si="39"/>
        <v>#DIV/0!</v>
      </c>
      <c r="U401" s="40" t="str">
        <f>IF(データ!R398="","",データ!R398)</f>
        <v/>
      </c>
      <c r="V401" s="41" t="str">
        <f>IF(データ!S398="","",データ!S398)</f>
        <v/>
      </c>
      <c r="W401" s="42">
        <f>データ!T398</f>
        <v>0</v>
      </c>
      <c r="X401" s="48">
        <f>IF($C401="集計行","",データ!U398)</f>
        <v>0</v>
      </c>
      <c r="Y401" s="48">
        <f>データ!V398</f>
        <v>0</v>
      </c>
      <c r="Z401" s="39" t="str">
        <f>IF(OR($C401="総括",$C401="内訳書",$C401="内訳代価",$C401="明細書",$C401="明細代価",$C401="代価表",$C401="単価表"),データ!W398,"")</f>
        <v/>
      </c>
      <c r="AA401" s="11" t="str">
        <f t="shared" si="40"/>
        <v/>
      </c>
      <c r="AB401" s="46" t="e">
        <f t="shared" si="41"/>
        <v>#DIV/0!</v>
      </c>
      <c r="AC401" s="40" t="str">
        <f>IF(データ!X398="","",データ!X398)</f>
        <v/>
      </c>
      <c r="AD401" s="41" t="str">
        <f>IF(データ!Y398="","",データ!Y398)</f>
        <v/>
      </c>
      <c r="AE401" s="47" t="str">
        <f>TRIM(データ!B398)</f>
        <v/>
      </c>
      <c r="AF401" s="43" t="str">
        <f>TRIM(データ!Z398)</f>
        <v/>
      </c>
    </row>
    <row r="402" spans="1:32" x14ac:dyDescent="0.15">
      <c r="A402" s="44"/>
      <c r="B402" s="44"/>
      <c r="C402" s="7"/>
      <c r="D402" s="44"/>
      <c r="E402" s="44"/>
      <c r="F402" s="45"/>
      <c r="G402" s="44"/>
      <c r="H402" s="44"/>
      <c r="I402" s="44"/>
      <c r="J402" s="44"/>
      <c r="K402" s="45"/>
      <c r="L402" s="44"/>
      <c r="M402" s="44"/>
      <c r="N402" s="44"/>
      <c r="O402" s="44"/>
      <c r="P402" s="44"/>
      <c r="Q402" s="44"/>
      <c r="R402" s="44"/>
      <c r="S402" s="45"/>
      <c r="T402" s="44"/>
      <c r="U402" s="44"/>
      <c r="V402" s="44"/>
      <c r="W402" s="44"/>
      <c r="X402" s="44"/>
      <c r="Y402" s="44"/>
      <c r="Z402" s="44"/>
      <c r="AA402" s="45"/>
      <c r="AB402" s="44"/>
      <c r="AC402" s="44"/>
      <c r="AD402" s="44"/>
      <c r="AE402" s="44"/>
      <c r="AF402" s="9"/>
    </row>
  </sheetData>
  <autoFilter ref="A3:AE402" xr:uid="{00000000-0001-0000-0100-000000000000}"/>
  <mergeCells count="4">
    <mergeCell ref="AF2:AF3"/>
    <mergeCell ref="G2:N2"/>
    <mergeCell ref="O2:V2"/>
    <mergeCell ref="W2:AD2"/>
  </mergeCells>
  <phoneticPr fontId="3"/>
  <conditionalFormatting sqref="A4:AF401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2026-01-19T02:16:54Z</dcterms:modified>
</cp:coreProperties>
</file>