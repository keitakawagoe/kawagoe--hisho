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75EE4854-680F-45B8-8D29-4A4F3B0EA6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内訳一覧!$A$3:$AE$176</definedName>
    <definedName name="_xlnm.Print_Area" localSheetId="1">内訳一覧!$A$1:$AF$176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75" i="4" l="1"/>
  <c r="AE175" i="4"/>
  <c r="AD175" i="4"/>
  <c r="AC175" i="4"/>
  <c r="Y175" i="4"/>
  <c r="W175" i="4"/>
  <c r="V175" i="4"/>
  <c r="U175" i="4"/>
  <c r="Q175" i="4"/>
  <c r="O175" i="4"/>
  <c r="N175" i="4"/>
  <c r="M175" i="4"/>
  <c r="I175" i="4"/>
  <c r="H175" i="4"/>
  <c r="G175" i="4"/>
  <c r="F175" i="4"/>
  <c r="E175" i="4"/>
  <c r="C175" i="4"/>
  <c r="B175" i="4"/>
  <c r="A175" i="4"/>
  <c r="AF174" i="4"/>
  <c r="AE174" i="4"/>
  <c r="AD174" i="4"/>
  <c r="AC174" i="4"/>
  <c r="Z174" i="4"/>
  <c r="Y174" i="4"/>
  <c r="W174" i="4"/>
  <c r="V174" i="4"/>
  <c r="U174" i="4"/>
  <c r="T174" i="4"/>
  <c r="R174" i="4"/>
  <c r="S174" i="4" s="1"/>
  <c r="Q174" i="4"/>
  <c r="O174" i="4"/>
  <c r="N174" i="4"/>
  <c r="M174" i="4"/>
  <c r="J174" i="4"/>
  <c r="I174" i="4"/>
  <c r="H174" i="4"/>
  <c r="G174" i="4"/>
  <c r="F174" i="4"/>
  <c r="E174" i="4"/>
  <c r="C174" i="4"/>
  <c r="P174" i="4" s="1"/>
  <c r="B174" i="4"/>
  <c r="A174" i="4"/>
  <c r="AF173" i="4"/>
  <c r="AE173" i="4"/>
  <c r="AD173" i="4"/>
  <c r="AC173" i="4"/>
  <c r="Z173" i="4"/>
  <c r="AA173" i="4" s="1"/>
  <c r="Y173" i="4"/>
  <c r="W173" i="4"/>
  <c r="V173" i="4"/>
  <c r="U173" i="4"/>
  <c r="Q173" i="4"/>
  <c r="P173" i="4"/>
  <c r="O173" i="4"/>
  <c r="N173" i="4"/>
  <c r="M173" i="4"/>
  <c r="I173" i="4"/>
  <c r="H173" i="4"/>
  <c r="G173" i="4"/>
  <c r="F173" i="4"/>
  <c r="E173" i="4"/>
  <c r="C173" i="4"/>
  <c r="B173" i="4"/>
  <c r="A173" i="4"/>
  <c r="AF172" i="4"/>
  <c r="AE172" i="4"/>
  <c r="AD172" i="4"/>
  <c r="AC172" i="4"/>
  <c r="Y172" i="4"/>
  <c r="W172" i="4"/>
  <c r="V172" i="4"/>
  <c r="U172" i="4"/>
  <c r="Q172" i="4"/>
  <c r="O172" i="4"/>
  <c r="N172" i="4"/>
  <c r="M172" i="4"/>
  <c r="I172" i="4"/>
  <c r="H172" i="4"/>
  <c r="G172" i="4"/>
  <c r="F172" i="4"/>
  <c r="E172" i="4"/>
  <c r="C172" i="4"/>
  <c r="R172" i="4" s="1"/>
  <c r="B172" i="4"/>
  <c r="A172" i="4"/>
  <c r="AF171" i="4"/>
  <c r="AE171" i="4"/>
  <c r="AD171" i="4"/>
  <c r="AC171" i="4"/>
  <c r="Z171" i="4"/>
  <c r="AA171" i="4" s="1"/>
  <c r="Y171" i="4"/>
  <c r="W171" i="4"/>
  <c r="V171" i="4"/>
  <c r="U171" i="4"/>
  <c r="S171" i="4"/>
  <c r="R171" i="4"/>
  <c r="Q171" i="4"/>
  <c r="O171" i="4"/>
  <c r="N171" i="4"/>
  <c r="M171" i="4"/>
  <c r="J171" i="4"/>
  <c r="I171" i="4"/>
  <c r="H171" i="4"/>
  <c r="G171" i="4"/>
  <c r="K171" i="4" s="1"/>
  <c r="F171" i="4"/>
  <c r="E171" i="4"/>
  <c r="C171" i="4"/>
  <c r="P171" i="4" s="1"/>
  <c r="B171" i="4"/>
  <c r="A171" i="4"/>
  <c r="AF170" i="4"/>
  <c r="AE170" i="4"/>
  <c r="AD170" i="4"/>
  <c r="AC170" i="4"/>
  <c r="Z170" i="4"/>
  <c r="AA170" i="4" s="1"/>
  <c r="Y170" i="4"/>
  <c r="W170" i="4"/>
  <c r="V170" i="4"/>
  <c r="U170" i="4"/>
  <c r="Q170" i="4"/>
  <c r="O170" i="4"/>
  <c r="N170" i="4"/>
  <c r="M170" i="4"/>
  <c r="J170" i="4"/>
  <c r="I170" i="4"/>
  <c r="H170" i="4"/>
  <c r="G170" i="4"/>
  <c r="F170" i="4"/>
  <c r="E170" i="4"/>
  <c r="C170" i="4"/>
  <c r="X170" i="4" s="1"/>
  <c r="B170" i="4"/>
  <c r="A170" i="4"/>
  <c r="AF169" i="4"/>
  <c r="AE169" i="4"/>
  <c r="AD169" i="4"/>
  <c r="AC169" i="4"/>
  <c r="Z169" i="4"/>
  <c r="AA169" i="4" s="1"/>
  <c r="Y169" i="4"/>
  <c r="X169" i="4"/>
  <c r="W169" i="4"/>
  <c r="V169" i="4"/>
  <c r="U169" i="4"/>
  <c r="R169" i="4"/>
  <c r="Q169" i="4"/>
  <c r="O169" i="4"/>
  <c r="N169" i="4"/>
  <c r="M169" i="4"/>
  <c r="J169" i="4"/>
  <c r="K169" i="4" s="1"/>
  <c r="I169" i="4"/>
  <c r="H169" i="4"/>
  <c r="G169" i="4"/>
  <c r="F169" i="4"/>
  <c r="E169" i="4"/>
  <c r="C169" i="4"/>
  <c r="P169" i="4" s="1"/>
  <c r="B169" i="4"/>
  <c r="A169" i="4"/>
  <c r="AF168" i="4"/>
  <c r="AE168" i="4"/>
  <c r="AD168" i="4"/>
  <c r="AC168" i="4"/>
  <c r="Z168" i="4"/>
  <c r="AA168" i="4" s="1"/>
  <c r="Y168" i="4"/>
  <c r="W168" i="4"/>
  <c r="V168" i="4"/>
  <c r="U168" i="4"/>
  <c r="R168" i="4"/>
  <c r="S168" i="4" s="1"/>
  <c r="Q168" i="4"/>
  <c r="O168" i="4"/>
  <c r="N168" i="4"/>
  <c r="M168" i="4"/>
  <c r="K168" i="4"/>
  <c r="J168" i="4"/>
  <c r="I168" i="4"/>
  <c r="H168" i="4"/>
  <c r="G168" i="4"/>
  <c r="F168" i="4"/>
  <c r="E168" i="4"/>
  <c r="C168" i="4"/>
  <c r="P168" i="4" s="1"/>
  <c r="B168" i="4"/>
  <c r="A168" i="4"/>
  <c r="AF167" i="4"/>
  <c r="AE167" i="4"/>
  <c r="AD167" i="4"/>
  <c r="AC167" i="4"/>
  <c r="Y167" i="4"/>
  <c r="W167" i="4"/>
  <c r="V167" i="4"/>
  <c r="U167" i="4"/>
  <c r="Q167" i="4"/>
  <c r="P167" i="4"/>
  <c r="O167" i="4"/>
  <c r="N167" i="4"/>
  <c r="M167" i="4"/>
  <c r="I167" i="4"/>
  <c r="H167" i="4"/>
  <c r="G167" i="4"/>
  <c r="F167" i="4"/>
  <c r="E167" i="4"/>
  <c r="D167" i="4"/>
  <c r="C167" i="4"/>
  <c r="B167" i="4"/>
  <c r="A167" i="4"/>
  <c r="AF166" i="4"/>
  <c r="AE166" i="4"/>
  <c r="AD166" i="4"/>
  <c r="AC166" i="4"/>
  <c r="Z166" i="4"/>
  <c r="AA166" i="4" s="1"/>
  <c r="Y166" i="4"/>
  <c r="X166" i="4"/>
  <c r="W166" i="4"/>
  <c r="V166" i="4"/>
  <c r="U166" i="4"/>
  <c r="Q166" i="4"/>
  <c r="O166" i="4"/>
  <c r="N166" i="4"/>
  <c r="M166" i="4"/>
  <c r="J166" i="4"/>
  <c r="K166" i="4" s="1"/>
  <c r="I166" i="4"/>
  <c r="H166" i="4"/>
  <c r="G166" i="4"/>
  <c r="F166" i="4"/>
  <c r="E166" i="4"/>
  <c r="C166" i="4"/>
  <c r="P166" i="4" s="1"/>
  <c r="B166" i="4"/>
  <c r="A166" i="4"/>
  <c r="AF165" i="4"/>
  <c r="AE165" i="4"/>
  <c r="AD165" i="4"/>
  <c r="AC165" i="4"/>
  <c r="Z165" i="4"/>
  <c r="AA165" i="4" s="1"/>
  <c r="Y165" i="4"/>
  <c r="W165" i="4"/>
  <c r="V165" i="4"/>
  <c r="U165" i="4"/>
  <c r="S165" i="4"/>
  <c r="R165" i="4"/>
  <c r="Q165" i="4"/>
  <c r="O165" i="4"/>
  <c r="N165" i="4"/>
  <c r="M165" i="4"/>
  <c r="J165" i="4"/>
  <c r="K165" i="4" s="1"/>
  <c r="I165" i="4"/>
  <c r="H165" i="4"/>
  <c r="G165" i="4"/>
  <c r="F165" i="4"/>
  <c r="E165" i="4"/>
  <c r="C165" i="4"/>
  <c r="P165" i="4" s="1"/>
  <c r="B165" i="4"/>
  <c r="A165" i="4"/>
  <c r="AF164" i="4"/>
  <c r="AE164" i="4"/>
  <c r="AD164" i="4"/>
  <c r="AC164" i="4"/>
  <c r="Y164" i="4"/>
  <c r="W164" i="4"/>
  <c r="V164" i="4"/>
  <c r="U164" i="4"/>
  <c r="Q164" i="4"/>
  <c r="O164" i="4"/>
  <c r="N164" i="4"/>
  <c r="M164" i="4"/>
  <c r="I164" i="4"/>
  <c r="H164" i="4"/>
  <c r="G164" i="4"/>
  <c r="F164" i="4"/>
  <c r="E164" i="4"/>
  <c r="C164" i="4"/>
  <c r="B164" i="4"/>
  <c r="A164" i="4"/>
  <c r="AB164" i="4" s="1"/>
  <c r="AF163" i="4"/>
  <c r="AE163" i="4"/>
  <c r="AD163" i="4"/>
  <c r="AC163" i="4"/>
  <c r="Y163" i="4"/>
  <c r="X163" i="4"/>
  <c r="W163" i="4"/>
  <c r="V163" i="4"/>
  <c r="U163" i="4"/>
  <c r="S163" i="4"/>
  <c r="R163" i="4"/>
  <c r="Q163" i="4"/>
  <c r="O163" i="4"/>
  <c r="N163" i="4"/>
  <c r="M163" i="4"/>
  <c r="J163" i="4"/>
  <c r="K163" i="4" s="1"/>
  <c r="I163" i="4"/>
  <c r="H163" i="4"/>
  <c r="G163" i="4"/>
  <c r="F163" i="4"/>
  <c r="E163" i="4"/>
  <c r="C163" i="4"/>
  <c r="P163" i="4" s="1"/>
  <c r="B163" i="4"/>
  <c r="A163" i="4"/>
  <c r="AF162" i="4"/>
  <c r="AE162" i="4"/>
  <c r="AD162" i="4"/>
  <c r="AC162" i="4"/>
  <c r="Z162" i="4"/>
  <c r="Y162" i="4"/>
  <c r="W162" i="4"/>
  <c r="V162" i="4"/>
  <c r="U162" i="4"/>
  <c r="Q162" i="4"/>
  <c r="O162" i="4"/>
  <c r="N162" i="4"/>
  <c r="M162" i="4"/>
  <c r="J162" i="4"/>
  <c r="K162" i="4" s="1"/>
  <c r="I162" i="4"/>
  <c r="H162" i="4"/>
  <c r="G162" i="4"/>
  <c r="F162" i="4"/>
  <c r="E162" i="4"/>
  <c r="C162" i="4"/>
  <c r="B162" i="4"/>
  <c r="A162" i="4"/>
  <c r="AF161" i="4"/>
  <c r="AE161" i="4"/>
  <c r="AD161" i="4"/>
  <c r="AC161" i="4"/>
  <c r="Y161" i="4"/>
  <c r="W161" i="4"/>
  <c r="V161" i="4"/>
  <c r="U161" i="4"/>
  <c r="Q161" i="4"/>
  <c r="P161" i="4"/>
  <c r="O161" i="4"/>
  <c r="N161" i="4"/>
  <c r="M161" i="4"/>
  <c r="I161" i="4"/>
  <c r="H161" i="4"/>
  <c r="G161" i="4"/>
  <c r="F161" i="4"/>
  <c r="E161" i="4"/>
  <c r="C161" i="4"/>
  <c r="B161" i="4"/>
  <c r="A161" i="4"/>
  <c r="AF160" i="4"/>
  <c r="AE160" i="4"/>
  <c r="AD160" i="4"/>
  <c r="AC160" i="4"/>
  <c r="Y160" i="4"/>
  <c r="X160" i="4"/>
  <c r="W160" i="4"/>
  <c r="V160" i="4"/>
  <c r="U160" i="4"/>
  <c r="S160" i="4"/>
  <c r="R160" i="4"/>
  <c r="Q160" i="4"/>
  <c r="O160" i="4"/>
  <c r="N160" i="4"/>
  <c r="M160" i="4"/>
  <c r="J160" i="4"/>
  <c r="I160" i="4"/>
  <c r="H160" i="4"/>
  <c r="G160" i="4"/>
  <c r="K160" i="4" s="1"/>
  <c r="F160" i="4"/>
  <c r="E160" i="4"/>
  <c r="C160" i="4"/>
  <c r="P160" i="4" s="1"/>
  <c r="B160" i="4"/>
  <c r="A160" i="4"/>
  <c r="AF159" i="4"/>
  <c r="AE159" i="4"/>
  <c r="AD159" i="4"/>
  <c r="AC159" i="4"/>
  <c r="Z159" i="4"/>
  <c r="AA159" i="4" s="1"/>
  <c r="Y159" i="4"/>
  <c r="W159" i="4"/>
  <c r="V159" i="4"/>
  <c r="U159" i="4"/>
  <c r="Q159" i="4"/>
  <c r="O159" i="4"/>
  <c r="N159" i="4"/>
  <c r="M159" i="4"/>
  <c r="K159" i="4"/>
  <c r="J159" i="4"/>
  <c r="I159" i="4"/>
  <c r="H159" i="4"/>
  <c r="G159" i="4"/>
  <c r="F159" i="4"/>
  <c r="E159" i="4"/>
  <c r="C159" i="4"/>
  <c r="B159" i="4"/>
  <c r="A159" i="4"/>
  <c r="AF158" i="4"/>
  <c r="AE158" i="4"/>
  <c r="AD158" i="4"/>
  <c r="AC158" i="4"/>
  <c r="Y158" i="4"/>
  <c r="W158" i="4"/>
  <c r="V158" i="4"/>
  <c r="U158" i="4"/>
  <c r="Q158" i="4"/>
  <c r="P158" i="4"/>
  <c r="O158" i="4"/>
  <c r="N158" i="4"/>
  <c r="M158" i="4"/>
  <c r="I158" i="4"/>
  <c r="H158" i="4"/>
  <c r="G158" i="4"/>
  <c r="F158" i="4"/>
  <c r="E158" i="4"/>
  <c r="D158" i="4"/>
  <c r="C158" i="4"/>
  <c r="B158" i="4"/>
  <c r="A158" i="4"/>
  <c r="AF157" i="4"/>
  <c r="AE157" i="4"/>
  <c r="AD157" i="4"/>
  <c r="AC157" i="4"/>
  <c r="Y157" i="4"/>
  <c r="X157" i="4"/>
  <c r="W157" i="4"/>
  <c r="V157" i="4"/>
  <c r="U157" i="4"/>
  <c r="R157" i="4"/>
  <c r="S157" i="4" s="1"/>
  <c r="Q157" i="4"/>
  <c r="O157" i="4"/>
  <c r="N157" i="4"/>
  <c r="M157" i="4"/>
  <c r="K157" i="4"/>
  <c r="J157" i="4"/>
  <c r="I157" i="4"/>
  <c r="H157" i="4"/>
  <c r="G157" i="4"/>
  <c r="F157" i="4"/>
  <c r="E157" i="4"/>
  <c r="C157" i="4"/>
  <c r="P157" i="4" s="1"/>
  <c r="B157" i="4"/>
  <c r="A157" i="4"/>
  <c r="AF156" i="4"/>
  <c r="AE156" i="4"/>
  <c r="AD156" i="4"/>
  <c r="AC156" i="4"/>
  <c r="AA156" i="4"/>
  <c r="Z156" i="4"/>
  <c r="Y156" i="4"/>
  <c r="W156" i="4"/>
  <c r="V156" i="4"/>
  <c r="U156" i="4"/>
  <c r="Q156" i="4"/>
  <c r="O156" i="4"/>
  <c r="N156" i="4"/>
  <c r="M156" i="4"/>
  <c r="K156" i="4"/>
  <c r="J156" i="4"/>
  <c r="I156" i="4"/>
  <c r="H156" i="4"/>
  <c r="G156" i="4"/>
  <c r="F156" i="4"/>
  <c r="E156" i="4"/>
  <c r="C156" i="4"/>
  <c r="B156" i="4"/>
  <c r="A156" i="4"/>
  <c r="AF155" i="4"/>
  <c r="AE155" i="4"/>
  <c r="AD155" i="4"/>
  <c r="AC155" i="4"/>
  <c r="Y155" i="4"/>
  <c r="W155" i="4"/>
  <c r="V155" i="4"/>
  <c r="U155" i="4"/>
  <c r="Q155" i="4"/>
  <c r="P155" i="4"/>
  <c r="O155" i="4"/>
  <c r="N155" i="4"/>
  <c r="M155" i="4"/>
  <c r="I155" i="4"/>
  <c r="H155" i="4"/>
  <c r="G155" i="4"/>
  <c r="F155" i="4"/>
  <c r="E155" i="4"/>
  <c r="C155" i="4"/>
  <c r="B155" i="4"/>
  <c r="A155" i="4"/>
  <c r="AF154" i="4"/>
  <c r="AE154" i="4"/>
  <c r="AD154" i="4"/>
  <c r="AC154" i="4"/>
  <c r="Y154" i="4"/>
  <c r="X154" i="4"/>
  <c r="W154" i="4"/>
  <c r="V154" i="4"/>
  <c r="U154" i="4"/>
  <c r="S154" i="4"/>
  <c r="R154" i="4"/>
  <c r="Q154" i="4"/>
  <c r="O154" i="4"/>
  <c r="N154" i="4"/>
  <c r="M154" i="4"/>
  <c r="K154" i="4"/>
  <c r="J154" i="4"/>
  <c r="I154" i="4"/>
  <c r="H154" i="4"/>
  <c r="G154" i="4"/>
  <c r="F154" i="4"/>
  <c r="E154" i="4"/>
  <c r="C154" i="4"/>
  <c r="P154" i="4" s="1"/>
  <c r="B154" i="4"/>
  <c r="A154" i="4"/>
  <c r="AF153" i="4"/>
  <c r="AE153" i="4"/>
  <c r="AD153" i="4"/>
  <c r="AC153" i="4"/>
  <c r="AA153" i="4"/>
  <c r="Z153" i="4"/>
  <c r="Y153" i="4"/>
  <c r="W153" i="4"/>
  <c r="V153" i="4"/>
  <c r="U153" i="4"/>
  <c r="Q153" i="4"/>
  <c r="O153" i="4"/>
  <c r="N153" i="4"/>
  <c r="M153" i="4"/>
  <c r="K153" i="4"/>
  <c r="J153" i="4"/>
  <c r="I153" i="4"/>
  <c r="H153" i="4"/>
  <c r="G153" i="4"/>
  <c r="F153" i="4"/>
  <c r="E153" i="4"/>
  <c r="C153" i="4"/>
  <c r="B153" i="4"/>
  <c r="A153" i="4"/>
  <c r="AF152" i="4"/>
  <c r="AE152" i="4"/>
  <c r="AD152" i="4"/>
  <c r="AC152" i="4"/>
  <c r="Y152" i="4"/>
  <c r="W152" i="4"/>
  <c r="V152" i="4"/>
  <c r="U152" i="4"/>
  <c r="R152" i="4"/>
  <c r="S152" i="4" s="1"/>
  <c r="Q152" i="4"/>
  <c r="O152" i="4"/>
  <c r="N152" i="4"/>
  <c r="M152" i="4"/>
  <c r="I152" i="4"/>
  <c r="H152" i="4"/>
  <c r="G152" i="4"/>
  <c r="F152" i="4"/>
  <c r="E152" i="4"/>
  <c r="C152" i="4"/>
  <c r="P152" i="4" s="1"/>
  <c r="B152" i="4"/>
  <c r="A152" i="4"/>
  <c r="AF151" i="4"/>
  <c r="AE151" i="4"/>
  <c r="AD151" i="4"/>
  <c r="AC151" i="4"/>
  <c r="Y151" i="4"/>
  <c r="X151" i="4"/>
  <c r="W151" i="4"/>
  <c r="V151" i="4"/>
  <c r="U151" i="4"/>
  <c r="T151" i="4"/>
  <c r="Q151" i="4"/>
  <c r="O151" i="4"/>
  <c r="N151" i="4"/>
  <c r="M151" i="4"/>
  <c r="J151" i="4"/>
  <c r="K151" i="4" s="1"/>
  <c r="I151" i="4"/>
  <c r="H151" i="4"/>
  <c r="G151" i="4"/>
  <c r="F151" i="4"/>
  <c r="E151" i="4"/>
  <c r="C151" i="4"/>
  <c r="P151" i="4" s="1"/>
  <c r="B151" i="4"/>
  <c r="A151" i="4"/>
  <c r="AF150" i="4"/>
  <c r="AE150" i="4"/>
  <c r="AD150" i="4"/>
  <c r="AC150" i="4"/>
  <c r="Z150" i="4"/>
  <c r="AA150" i="4" s="1"/>
  <c r="Y150" i="4"/>
  <c r="W150" i="4"/>
  <c r="V150" i="4"/>
  <c r="U150" i="4"/>
  <c r="R150" i="4"/>
  <c r="S150" i="4" s="1"/>
  <c r="Q150" i="4"/>
  <c r="O150" i="4"/>
  <c r="N150" i="4"/>
  <c r="M150" i="4"/>
  <c r="I150" i="4"/>
  <c r="H150" i="4"/>
  <c r="G150" i="4"/>
  <c r="F150" i="4"/>
  <c r="E150" i="4"/>
  <c r="D150" i="4"/>
  <c r="C150" i="4"/>
  <c r="B150" i="4"/>
  <c r="A150" i="4"/>
  <c r="AF149" i="4"/>
  <c r="AE149" i="4"/>
  <c r="AD149" i="4"/>
  <c r="AC149" i="4"/>
  <c r="Y149" i="4"/>
  <c r="AB149" i="4" s="1"/>
  <c r="X149" i="4"/>
  <c r="W149" i="4"/>
  <c r="V149" i="4"/>
  <c r="U149" i="4"/>
  <c r="S149" i="4"/>
  <c r="R149" i="4"/>
  <c r="Q149" i="4"/>
  <c r="O149" i="4"/>
  <c r="N149" i="4"/>
  <c r="M149" i="4"/>
  <c r="K149" i="4"/>
  <c r="J149" i="4"/>
  <c r="I149" i="4"/>
  <c r="H149" i="4"/>
  <c r="G149" i="4"/>
  <c r="F149" i="4"/>
  <c r="E149" i="4"/>
  <c r="D149" i="4"/>
  <c r="C149" i="4"/>
  <c r="P149" i="4" s="1"/>
  <c r="B149" i="4"/>
  <c r="A149" i="4"/>
  <c r="AF148" i="4"/>
  <c r="AE148" i="4"/>
  <c r="AD148" i="4"/>
  <c r="AC148" i="4"/>
  <c r="Z148" i="4"/>
  <c r="AA148" i="4" s="1"/>
  <c r="Y148" i="4"/>
  <c r="W148" i="4"/>
  <c r="V148" i="4"/>
  <c r="U148" i="4"/>
  <c r="Q148" i="4"/>
  <c r="O148" i="4"/>
  <c r="N148" i="4"/>
  <c r="M148" i="4"/>
  <c r="I148" i="4"/>
  <c r="H148" i="4"/>
  <c r="G148" i="4"/>
  <c r="F148" i="4"/>
  <c r="E148" i="4"/>
  <c r="C148" i="4"/>
  <c r="R148" i="4" s="1"/>
  <c r="S148" i="4" s="1"/>
  <c r="B148" i="4"/>
  <c r="A148" i="4"/>
  <c r="AF147" i="4"/>
  <c r="AE147" i="4"/>
  <c r="AD147" i="4"/>
  <c r="AC147" i="4"/>
  <c r="Y147" i="4"/>
  <c r="W147" i="4"/>
  <c r="V147" i="4"/>
  <c r="U147" i="4"/>
  <c r="S147" i="4"/>
  <c r="R147" i="4"/>
  <c r="Q147" i="4"/>
  <c r="O147" i="4"/>
  <c r="N147" i="4"/>
  <c r="M147" i="4"/>
  <c r="K147" i="4"/>
  <c r="J147" i="4"/>
  <c r="I147" i="4"/>
  <c r="H147" i="4"/>
  <c r="G147" i="4"/>
  <c r="F147" i="4"/>
  <c r="E147" i="4"/>
  <c r="C147" i="4"/>
  <c r="X147" i="4" s="1"/>
  <c r="B147" i="4"/>
  <c r="A147" i="4"/>
  <c r="AF146" i="4"/>
  <c r="AE146" i="4"/>
  <c r="AD146" i="4"/>
  <c r="AC146" i="4"/>
  <c r="Y146" i="4"/>
  <c r="W146" i="4"/>
  <c r="V146" i="4"/>
  <c r="U146" i="4"/>
  <c r="Q146" i="4"/>
  <c r="P146" i="4"/>
  <c r="O146" i="4"/>
  <c r="N146" i="4"/>
  <c r="M146" i="4"/>
  <c r="I146" i="4"/>
  <c r="H146" i="4"/>
  <c r="G146" i="4"/>
  <c r="F146" i="4"/>
  <c r="E146" i="4"/>
  <c r="C146" i="4"/>
  <c r="B146" i="4"/>
  <c r="A146" i="4"/>
  <c r="AF145" i="4"/>
  <c r="AE145" i="4"/>
  <c r="AD145" i="4"/>
  <c r="AC145" i="4"/>
  <c r="Y145" i="4"/>
  <c r="X145" i="4"/>
  <c r="W145" i="4"/>
  <c r="V145" i="4"/>
  <c r="U145" i="4"/>
  <c r="T145" i="4"/>
  <c r="Q145" i="4"/>
  <c r="O145" i="4"/>
  <c r="N145" i="4"/>
  <c r="M145" i="4"/>
  <c r="J145" i="4"/>
  <c r="I145" i="4"/>
  <c r="H145" i="4"/>
  <c r="G145" i="4"/>
  <c r="F145" i="4"/>
  <c r="E145" i="4"/>
  <c r="C145" i="4"/>
  <c r="P145" i="4" s="1"/>
  <c r="B145" i="4"/>
  <c r="A145" i="4"/>
  <c r="AF144" i="4"/>
  <c r="AE144" i="4"/>
  <c r="AD144" i="4"/>
  <c r="AC144" i="4"/>
  <c r="Z144" i="4"/>
  <c r="AA144" i="4" s="1"/>
  <c r="Y144" i="4"/>
  <c r="W144" i="4"/>
  <c r="V144" i="4"/>
  <c r="U144" i="4"/>
  <c r="R144" i="4"/>
  <c r="S144" i="4" s="1"/>
  <c r="Q144" i="4"/>
  <c r="P144" i="4"/>
  <c r="O144" i="4"/>
  <c r="N144" i="4"/>
  <c r="M144" i="4"/>
  <c r="I144" i="4"/>
  <c r="H144" i="4"/>
  <c r="G144" i="4"/>
  <c r="F144" i="4"/>
  <c r="E144" i="4"/>
  <c r="D144" i="4"/>
  <c r="C144" i="4"/>
  <c r="B144" i="4"/>
  <c r="A144" i="4"/>
  <c r="AB144" i="4" s="1"/>
  <c r="AF143" i="4"/>
  <c r="AE143" i="4"/>
  <c r="AD143" i="4"/>
  <c r="AC143" i="4"/>
  <c r="Y143" i="4"/>
  <c r="X143" i="4"/>
  <c r="W143" i="4"/>
  <c r="V143" i="4"/>
  <c r="U143" i="4"/>
  <c r="R143" i="4"/>
  <c r="S143" i="4" s="1"/>
  <c r="Q143" i="4"/>
  <c r="O143" i="4"/>
  <c r="N143" i="4"/>
  <c r="M143" i="4"/>
  <c r="J143" i="4"/>
  <c r="I143" i="4"/>
  <c r="H143" i="4"/>
  <c r="G143" i="4"/>
  <c r="F143" i="4"/>
  <c r="E143" i="4"/>
  <c r="D143" i="4"/>
  <c r="C143" i="4"/>
  <c r="P143" i="4" s="1"/>
  <c r="B143" i="4"/>
  <c r="A143" i="4"/>
  <c r="AF142" i="4"/>
  <c r="AE142" i="4"/>
  <c r="AD142" i="4"/>
  <c r="AC142" i="4"/>
  <c r="Z142" i="4"/>
  <c r="AA142" i="4" s="1"/>
  <c r="Y142" i="4"/>
  <c r="W142" i="4"/>
  <c r="V142" i="4"/>
  <c r="U142" i="4"/>
  <c r="R142" i="4"/>
  <c r="S142" i="4" s="1"/>
  <c r="Q142" i="4"/>
  <c r="O142" i="4"/>
  <c r="N142" i="4"/>
  <c r="M142" i="4"/>
  <c r="I142" i="4"/>
  <c r="H142" i="4"/>
  <c r="G142" i="4"/>
  <c r="F142" i="4"/>
  <c r="E142" i="4"/>
  <c r="C142" i="4"/>
  <c r="B142" i="4"/>
  <c r="A142" i="4"/>
  <c r="AF141" i="4"/>
  <c r="AE141" i="4"/>
  <c r="AD141" i="4"/>
  <c r="AC141" i="4"/>
  <c r="Y141" i="4"/>
  <c r="AB141" i="4" s="1"/>
  <c r="W141" i="4"/>
  <c r="V141" i="4"/>
  <c r="U141" i="4"/>
  <c r="R141" i="4"/>
  <c r="S141" i="4" s="1"/>
  <c r="Q141" i="4"/>
  <c r="O141" i="4"/>
  <c r="N141" i="4"/>
  <c r="M141" i="4"/>
  <c r="J141" i="4"/>
  <c r="K141" i="4" s="1"/>
  <c r="I141" i="4"/>
  <c r="H141" i="4"/>
  <c r="G141" i="4"/>
  <c r="F141" i="4"/>
  <c r="E141" i="4"/>
  <c r="C141" i="4"/>
  <c r="X141" i="4" s="1"/>
  <c r="B141" i="4"/>
  <c r="A141" i="4"/>
  <c r="AF140" i="4"/>
  <c r="AE140" i="4"/>
  <c r="AD140" i="4"/>
  <c r="AC140" i="4"/>
  <c r="Y140" i="4"/>
  <c r="W140" i="4"/>
  <c r="V140" i="4"/>
  <c r="U140" i="4"/>
  <c r="R140" i="4"/>
  <c r="S140" i="4" s="1"/>
  <c r="Q140" i="4"/>
  <c r="O140" i="4"/>
  <c r="N140" i="4"/>
  <c r="M140" i="4"/>
  <c r="I140" i="4"/>
  <c r="H140" i="4"/>
  <c r="G140" i="4"/>
  <c r="F140" i="4"/>
  <c r="E140" i="4"/>
  <c r="D140" i="4"/>
  <c r="C140" i="4"/>
  <c r="B140" i="4"/>
  <c r="A140" i="4"/>
  <c r="AF139" i="4"/>
  <c r="AE139" i="4"/>
  <c r="AD139" i="4"/>
  <c r="AC139" i="4"/>
  <c r="Y139" i="4"/>
  <c r="X139" i="4"/>
  <c r="W139" i="4"/>
  <c r="V139" i="4"/>
  <c r="U139" i="4"/>
  <c r="T139" i="4"/>
  <c r="Q139" i="4"/>
  <c r="O139" i="4"/>
  <c r="N139" i="4"/>
  <c r="M139" i="4"/>
  <c r="J139" i="4"/>
  <c r="I139" i="4"/>
  <c r="H139" i="4"/>
  <c r="G139" i="4"/>
  <c r="K139" i="4" s="1"/>
  <c r="F139" i="4"/>
  <c r="E139" i="4"/>
  <c r="C139" i="4"/>
  <c r="P139" i="4" s="1"/>
  <c r="B139" i="4"/>
  <c r="A139" i="4"/>
  <c r="AF138" i="4"/>
  <c r="AE138" i="4"/>
  <c r="AD138" i="4"/>
  <c r="AC138" i="4"/>
  <c r="Z138" i="4"/>
  <c r="AA138" i="4" s="1"/>
  <c r="Y138" i="4"/>
  <c r="AB138" i="4" s="1"/>
  <c r="W138" i="4"/>
  <c r="V138" i="4"/>
  <c r="U138" i="4"/>
  <c r="Q138" i="4"/>
  <c r="P138" i="4"/>
  <c r="O138" i="4"/>
  <c r="N138" i="4"/>
  <c r="M138" i="4"/>
  <c r="I138" i="4"/>
  <c r="H138" i="4"/>
  <c r="G138" i="4"/>
  <c r="F138" i="4"/>
  <c r="E138" i="4"/>
  <c r="C138" i="4"/>
  <c r="B138" i="4"/>
  <c r="A138" i="4"/>
  <c r="AF137" i="4"/>
  <c r="AE137" i="4"/>
  <c r="AD137" i="4"/>
  <c r="AC137" i="4"/>
  <c r="Y137" i="4"/>
  <c r="X137" i="4"/>
  <c r="W137" i="4"/>
  <c r="V137" i="4"/>
  <c r="U137" i="4"/>
  <c r="R137" i="4"/>
  <c r="S137" i="4" s="1"/>
  <c r="Q137" i="4"/>
  <c r="O137" i="4"/>
  <c r="N137" i="4"/>
  <c r="M137" i="4"/>
  <c r="K137" i="4"/>
  <c r="J137" i="4"/>
  <c r="I137" i="4"/>
  <c r="H137" i="4"/>
  <c r="G137" i="4"/>
  <c r="F137" i="4"/>
  <c r="E137" i="4"/>
  <c r="D137" i="4"/>
  <c r="C137" i="4"/>
  <c r="P137" i="4" s="1"/>
  <c r="B137" i="4"/>
  <c r="A137" i="4"/>
  <c r="AF136" i="4"/>
  <c r="AE136" i="4"/>
  <c r="AD136" i="4"/>
  <c r="AC136" i="4"/>
  <c r="Y136" i="4"/>
  <c r="W136" i="4"/>
  <c r="V136" i="4"/>
  <c r="U136" i="4"/>
  <c r="Q136" i="4"/>
  <c r="O136" i="4"/>
  <c r="N136" i="4"/>
  <c r="M136" i="4"/>
  <c r="I136" i="4"/>
  <c r="H136" i="4"/>
  <c r="G136" i="4"/>
  <c r="F136" i="4"/>
  <c r="E136" i="4"/>
  <c r="C136" i="4"/>
  <c r="B136" i="4"/>
  <c r="A136" i="4"/>
  <c r="AF135" i="4"/>
  <c r="AE135" i="4"/>
  <c r="AD135" i="4"/>
  <c r="AC135" i="4"/>
  <c r="Y135" i="4"/>
  <c r="W135" i="4"/>
  <c r="V135" i="4"/>
  <c r="U135" i="4"/>
  <c r="R135" i="4"/>
  <c r="S135" i="4" s="1"/>
  <c r="Q135" i="4"/>
  <c r="O135" i="4"/>
  <c r="N135" i="4"/>
  <c r="M135" i="4"/>
  <c r="K135" i="4"/>
  <c r="J135" i="4"/>
  <c r="I135" i="4"/>
  <c r="H135" i="4"/>
  <c r="G135" i="4"/>
  <c r="F135" i="4"/>
  <c r="E135" i="4"/>
  <c r="C135" i="4"/>
  <c r="X135" i="4" s="1"/>
  <c r="B135" i="4"/>
  <c r="A135" i="4"/>
  <c r="AF134" i="4"/>
  <c r="AE134" i="4"/>
  <c r="AD134" i="4"/>
  <c r="AC134" i="4"/>
  <c r="Y134" i="4"/>
  <c r="W134" i="4"/>
  <c r="V134" i="4"/>
  <c r="U134" i="4"/>
  <c r="Q134" i="4"/>
  <c r="O134" i="4"/>
  <c r="N134" i="4"/>
  <c r="M134" i="4"/>
  <c r="I134" i="4"/>
  <c r="H134" i="4"/>
  <c r="G134" i="4"/>
  <c r="F134" i="4"/>
  <c r="E134" i="4"/>
  <c r="D134" i="4"/>
  <c r="C134" i="4"/>
  <c r="B134" i="4"/>
  <c r="A134" i="4"/>
  <c r="AF133" i="4"/>
  <c r="AE133" i="4"/>
  <c r="AD133" i="4"/>
  <c r="AC133" i="4"/>
  <c r="Y133" i="4"/>
  <c r="X133" i="4"/>
  <c r="W133" i="4"/>
  <c r="V133" i="4"/>
  <c r="U133" i="4"/>
  <c r="T133" i="4"/>
  <c r="S133" i="4"/>
  <c r="Q133" i="4"/>
  <c r="P133" i="4"/>
  <c r="O133" i="4"/>
  <c r="N133" i="4"/>
  <c r="M133" i="4"/>
  <c r="J133" i="4"/>
  <c r="K133" i="4" s="1"/>
  <c r="I133" i="4"/>
  <c r="H133" i="4"/>
  <c r="G133" i="4"/>
  <c r="F133" i="4"/>
  <c r="E133" i="4"/>
  <c r="C133" i="4"/>
  <c r="R133" i="4" s="1"/>
  <c r="B133" i="4"/>
  <c r="A133" i="4"/>
  <c r="AF132" i="4"/>
  <c r="AE132" i="4"/>
  <c r="AD132" i="4"/>
  <c r="AC132" i="4"/>
  <c r="Y132" i="4"/>
  <c r="W132" i="4"/>
  <c r="V132" i="4"/>
  <c r="U132" i="4"/>
  <c r="Q132" i="4"/>
  <c r="P132" i="4"/>
  <c r="O132" i="4"/>
  <c r="N132" i="4"/>
  <c r="M132" i="4"/>
  <c r="I132" i="4"/>
  <c r="H132" i="4"/>
  <c r="G132" i="4"/>
  <c r="F132" i="4"/>
  <c r="E132" i="4"/>
  <c r="D132" i="4"/>
  <c r="C132" i="4"/>
  <c r="B132" i="4"/>
  <c r="A132" i="4"/>
  <c r="AF131" i="4"/>
  <c r="AE131" i="4"/>
  <c r="AD131" i="4"/>
  <c r="AC131" i="4"/>
  <c r="Y131" i="4"/>
  <c r="W131" i="4"/>
  <c r="V131" i="4"/>
  <c r="U131" i="4"/>
  <c r="Q131" i="4"/>
  <c r="P131" i="4"/>
  <c r="O131" i="4"/>
  <c r="N131" i="4"/>
  <c r="M131" i="4"/>
  <c r="I131" i="4"/>
  <c r="H131" i="4"/>
  <c r="G131" i="4"/>
  <c r="F131" i="4"/>
  <c r="E131" i="4"/>
  <c r="C131" i="4"/>
  <c r="B131" i="4"/>
  <c r="A131" i="4"/>
  <c r="AF130" i="4"/>
  <c r="AE130" i="4"/>
  <c r="AD130" i="4"/>
  <c r="AC130" i="4"/>
  <c r="Y130" i="4"/>
  <c r="X130" i="4"/>
  <c r="W130" i="4"/>
  <c r="V130" i="4"/>
  <c r="U130" i="4"/>
  <c r="Q130" i="4"/>
  <c r="P130" i="4"/>
  <c r="O130" i="4"/>
  <c r="N130" i="4"/>
  <c r="M130" i="4"/>
  <c r="J130" i="4"/>
  <c r="I130" i="4"/>
  <c r="H130" i="4"/>
  <c r="G130" i="4"/>
  <c r="K130" i="4" s="1"/>
  <c r="F130" i="4"/>
  <c r="E130" i="4"/>
  <c r="C130" i="4"/>
  <c r="R130" i="4" s="1"/>
  <c r="S130" i="4" s="1"/>
  <c r="B130" i="4"/>
  <c r="A130" i="4"/>
  <c r="AF129" i="4"/>
  <c r="AE129" i="4"/>
  <c r="AD129" i="4"/>
  <c r="AC129" i="4"/>
  <c r="Y129" i="4"/>
  <c r="W129" i="4"/>
  <c r="V129" i="4"/>
  <c r="U129" i="4"/>
  <c r="Q129" i="4"/>
  <c r="P129" i="4"/>
  <c r="O129" i="4"/>
  <c r="N129" i="4"/>
  <c r="M129" i="4"/>
  <c r="I129" i="4"/>
  <c r="H129" i="4"/>
  <c r="G129" i="4"/>
  <c r="F129" i="4"/>
  <c r="E129" i="4"/>
  <c r="D129" i="4"/>
  <c r="C129" i="4"/>
  <c r="B129" i="4"/>
  <c r="A129" i="4"/>
  <c r="AF128" i="4"/>
  <c r="AE128" i="4"/>
  <c r="AD128" i="4"/>
  <c r="AC128" i="4"/>
  <c r="Y128" i="4"/>
  <c r="W128" i="4"/>
  <c r="V128" i="4"/>
  <c r="U128" i="4"/>
  <c r="Q128" i="4"/>
  <c r="P128" i="4"/>
  <c r="O128" i="4"/>
  <c r="N128" i="4"/>
  <c r="M128" i="4"/>
  <c r="I128" i="4"/>
  <c r="H128" i="4"/>
  <c r="G128" i="4"/>
  <c r="F128" i="4"/>
  <c r="E128" i="4"/>
  <c r="C128" i="4"/>
  <c r="B128" i="4"/>
  <c r="A128" i="4"/>
  <c r="AF127" i="4"/>
  <c r="AE127" i="4"/>
  <c r="AD127" i="4"/>
  <c r="AC127" i="4"/>
  <c r="Y127" i="4"/>
  <c r="X127" i="4"/>
  <c r="W127" i="4"/>
  <c r="V127" i="4"/>
  <c r="U127" i="4"/>
  <c r="Q127" i="4"/>
  <c r="P127" i="4"/>
  <c r="O127" i="4"/>
  <c r="N127" i="4"/>
  <c r="M127" i="4"/>
  <c r="J127" i="4"/>
  <c r="I127" i="4"/>
  <c r="H127" i="4"/>
  <c r="G127" i="4"/>
  <c r="F127" i="4"/>
  <c r="E127" i="4"/>
  <c r="C127" i="4"/>
  <c r="R127" i="4" s="1"/>
  <c r="S127" i="4" s="1"/>
  <c r="B127" i="4"/>
  <c r="A127" i="4"/>
  <c r="AF126" i="4"/>
  <c r="AE126" i="4"/>
  <c r="AD126" i="4"/>
  <c r="AC126" i="4"/>
  <c r="Y126" i="4"/>
  <c r="W126" i="4"/>
  <c r="V126" i="4"/>
  <c r="U126" i="4"/>
  <c r="T126" i="4"/>
  <c r="Q126" i="4"/>
  <c r="O126" i="4"/>
  <c r="N126" i="4"/>
  <c r="M126" i="4"/>
  <c r="I126" i="4"/>
  <c r="H126" i="4"/>
  <c r="G126" i="4"/>
  <c r="F126" i="4"/>
  <c r="E126" i="4"/>
  <c r="D126" i="4"/>
  <c r="C126" i="4"/>
  <c r="B126" i="4"/>
  <c r="A126" i="4"/>
  <c r="AF125" i="4"/>
  <c r="AE125" i="4"/>
  <c r="AD125" i="4"/>
  <c r="AC125" i="4"/>
  <c r="Z125" i="4"/>
  <c r="AA125" i="4" s="1"/>
  <c r="Y125" i="4"/>
  <c r="X125" i="4"/>
  <c r="W125" i="4"/>
  <c r="V125" i="4"/>
  <c r="U125" i="4"/>
  <c r="Q125" i="4"/>
  <c r="O125" i="4"/>
  <c r="N125" i="4"/>
  <c r="M125" i="4"/>
  <c r="I125" i="4"/>
  <c r="H125" i="4"/>
  <c r="G125" i="4"/>
  <c r="F125" i="4"/>
  <c r="E125" i="4"/>
  <c r="C125" i="4"/>
  <c r="B125" i="4"/>
  <c r="A125" i="4"/>
  <c r="AF124" i="4"/>
  <c r="AE124" i="4"/>
  <c r="AD124" i="4"/>
  <c r="AC124" i="4"/>
  <c r="Y124" i="4"/>
  <c r="X124" i="4"/>
  <c r="W124" i="4"/>
  <c r="V124" i="4"/>
  <c r="U124" i="4"/>
  <c r="Q124" i="4"/>
  <c r="P124" i="4"/>
  <c r="O124" i="4"/>
  <c r="N124" i="4"/>
  <c r="M124" i="4"/>
  <c r="K124" i="4"/>
  <c r="J124" i="4"/>
  <c r="I124" i="4"/>
  <c r="H124" i="4"/>
  <c r="G124" i="4"/>
  <c r="F124" i="4"/>
  <c r="E124" i="4"/>
  <c r="C124" i="4"/>
  <c r="R124" i="4" s="1"/>
  <c r="S124" i="4" s="1"/>
  <c r="B124" i="4"/>
  <c r="A124" i="4"/>
  <c r="AF123" i="4"/>
  <c r="AE123" i="4"/>
  <c r="AD123" i="4"/>
  <c r="AC123" i="4"/>
  <c r="Y123" i="4"/>
  <c r="W123" i="4"/>
  <c r="V123" i="4"/>
  <c r="U123" i="4"/>
  <c r="R123" i="4"/>
  <c r="S123" i="4" s="1"/>
  <c r="Q123" i="4"/>
  <c r="T123" i="4" s="1"/>
  <c r="O123" i="4"/>
  <c r="N123" i="4"/>
  <c r="M123" i="4"/>
  <c r="I123" i="4"/>
  <c r="H123" i="4"/>
  <c r="G123" i="4"/>
  <c r="F123" i="4"/>
  <c r="E123" i="4"/>
  <c r="D123" i="4"/>
  <c r="C123" i="4"/>
  <c r="B123" i="4"/>
  <c r="A123" i="4"/>
  <c r="AF122" i="4"/>
  <c r="AE122" i="4"/>
  <c r="AD122" i="4"/>
  <c r="AC122" i="4"/>
  <c r="Z122" i="4"/>
  <c r="Y122" i="4"/>
  <c r="X122" i="4"/>
  <c r="W122" i="4"/>
  <c r="V122" i="4"/>
  <c r="U122" i="4"/>
  <c r="Q122" i="4"/>
  <c r="O122" i="4"/>
  <c r="N122" i="4"/>
  <c r="M122" i="4"/>
  <c r="I122" i="4"/>
  <c r="H122" i="4"/>
  <c r="G122" i="4"/>
  <c r="F122" i="4"/>
  <c r="E122" i="4"/>
  <c r="C122" i="4"/>
  <c r="B122" i="4"/>
  <c r="A122" i="4"/>
  <c r="AF121" i="4"/>
  <c r="AE121" i="4"/>
  <c r="AD121" i="4"/>
  <c r="AC121" i="4"/>
  <c r="Y121" i="4"/>
  <c r="X121" i="4"/>
  <c r="W121" i="4"/>
  <c r="V121" i="4"/>
  <c r="U121" i="4"/>
  <c r="S121" i="4"/>
  <c r="Q121" i="4"/>
  <c r="P121" i="4"/>
  <c r="O121" i="4"/>
  <c r="N121" i="4"/>
  <c r="M121" i="4"/>
  <c r="J121" i="4"/>
  <c r="K121" i="4" s="1"/>
  <c r="I121" i="4"/>
  <c r="H121" i="4"/>
  <c r="G121" i="4"/>
  <c r="F121" i="4"/>
  <c r="E121" i="4"/>
  <c r="C121" i="4"/>
  <c r="R121" i="4" s="1"/>
  <c r="B121" i="4"/>
  <c r="A121" i="4"/>
  <c r="AF120" i="4"/>
  <c r="AE120" i="4"/>
  <c r="AD120" i="4"/>
  <c r="AC120" i="4"/>
  <c r="AB120" i="4"/>
  <c r="Y120" i="4"/>
  <c r="W120" i="4"/>
  <c r="V120" i="4"/>
  <c r="U120" i="4"/>
  <c r="Q120" i="4"/>
  <c r="P120" i="4"/>
  <c r="O120" i="4"/>
  <c r="N120" i="4"/>
  <c r="M120" i="4"/>
  <c r="I120" i="4"/>
  <c r="H120" i="4"/>
  <c r="G120" i="4"/>
  <c r="F120" i="4"/>
  <c r="E120" i="4"/>
  <c r="D120" i="4"/>
  <c r="C120" i="4"/>
  <c r="B120" i="4"/>
  <c r="A120" i="4"/>
  <c r="AF119" i="4"/>
  <c r="AE119" i="4"/>
  <c r="AD119" i="4"/>
  <c r="AC119" i="4"/>
  <c r="Y119" i="4"/>
  <c r="X119" i="4"/>
  <c r="W119" i="4"/>
  <c r="V119" i="4"/>
  <c r="U119" i="4"/>
  <c r="Q119" i="4"/>
  <c r="O119" i="4"/>
  <c r="N119" i="4"/>
  <c r="M119" i="4"/>
  <c r="I119" i="4"/>
  <c r="H119" i="4"/>
  <c r="G119" i="4"/>
  <c r="F119" i="4"/>
  <c r="E119" i="4"/>
  <c r="D119" i="4"/>
  <c r="C119" i="4"/>
  <c r="P119" i="4" s="1"/>
  <c r="B119" i="4"/>
  <c r="A119" i="4"/>
  <c r="AF118" i="4"/>
  <c r="AE118" i="4"/>
  <c r="AD118" i="4"/>
  <c r="AC118" i="4"/>
  <c r="Y118" i="4"/>
  <c r="X118" i="4"/>
  <c r="W118" i="4"/>
  <c r="V118" i="4"/>
  <c r="U118" i="4"/>
  <c r="Q118" i="4"/>
  <c r="P118" i="4"/>
  <c r="O118" i="4"/>
  <c r="N118" i="4"/>
  <c r="M118" i="4"/>
  <c r="K118" i="4"/>
  <c r="J118" i="4"/>
  <c r="I118" i="4"/>
  <c r="H118" i="4"/>
  <c r="G118" i="4"/>
  <c r="F118" i="4"/>
  <c r="E118" i="4"/>
  <c r="C118" i="4"/>
  <c r="R118" i="4" s="1"/>
  <c r="S118" i="4" s="1"/>
  <c r="B118" i="4"/>
  <c r="A118" i="4"/>
  <c r="AF117" i="4"/>
  <c r="AE117" i="4"/>
  <c r="AD117" i="4"/>
  <c r="AC117" i="4"/>
  <c r="Y117" i="4"/>
  <c r="W117" i="4"/>
  <c r="V117" i="4"/>
  <c r="U117" i="4"/>
  <c r="Q117" i="4"/>
  <c r="T117" i="4" s="1"/>
  <c r="P117" i="4"/>
  <c r="O117" i="4"/>
  <c r="N117" i="4"/>
  <c r="M117" i="4"/>
  <c r="I117" i="4"/>
  <c r="H117" i="4"/>
  <c r="G117" i="4"/>
  <c r="F117" i="4"/>
  <c r="E117" i="4"/>
  <c r="D117" i="4"/>
  <c r="C117" i="4"/>
  <c r="B117" i="4"/>
  <c r="A117" i="4"/>
  <c r="AF116" i="4"/>
  <c r="AE116" i="4"/>
  <c r="AD116" i="4"/>
  <c r="AC116" i="4"/>
  <c r="Y116" i="4"/>
  <c r="W116" i="4"/>
  <c r="V116" i="4"/>
  <c r="U116" i="4"/>
  <c r="Q116" i="4"/>
  <c r="P116" i="4"/>
  <c r="O116" i="4"/>
  <c r="N116" i="4"/>
  <c r="M116" i="4"/>
  <c r="I116" i="4"/>
  <c r="H116" i="4"/>
  <c r="G116" i="4"/>
  <c r="F116" i="4"/>
  <c r="E116" i="4"/>
  <c r="C116" i="4"/>
  <c r="B116" i="4"/>
  <c r="A116" i="4"/>
  <c r="AF115" i="4"/>
  <c r="AE115" i="4"/>
  <c r="AD115" i="4"/>
  <c r="AC115" i="4"/>
  <c r="Y115" i="4"/>
  <c r="X115" i="4"/>
  <c r="W115" i="4"/>
  <c r="V115" i="4"/>
  <c r="U115" i="4"/>
  <c r="S115" i="4"/>
  <c r="Q115" i="4"/>
  <c r="P115" i="4"/>
  <c r="O115" i="4"/>
  <c r="N115" i="4"/>
  <c r="M115" i="4"/>
  <c r="J115" i="4"/>
  <c r="K115" i="4" s="1"/>
  <c r="I115" i="4"/>
  <c r="H115" i="4"/>
  <c r="G115" i="4"/>
  <c r="F115" i="4"/>
  <c r="E115" i="4"/>
  <c r="C115" i="4"/>
  <c r="R115" i="4" s="1"/>
  <c r="B115" i="4"/>
  <c r="A115" i="4"/>
  <c r="AF114" i="4"/>
  <c r="AE114" i="4"/>
  <c r="AD114" i="4"/>
  <c r="AC114" i="4"/>
  <c r="Y114" i="4"/>
  <c r="W114" i="4"/>
  <c r="V114" i="4"/>
  <c r="U114" i="4"/>
  <c r="Q114" i="4"/>
  <c r="P114" i="4"/>
  <c r="O114" i="4"/>
  <c r="N114" i="4"/>
  <c r="M114" i="4"/>
  <c r="I114" i="4"/>
  <c r="H114" i="4"/>
  <c r="G114" i="4"/>
  <c r="F114" i="4"/>
  <c r="E114" i="4"/>
  <c r="D114" i="4"/>
  <c r="C114" i="4"/>
  <c r="B114" i="4"/>
  <c r="A114" i="4"/>
  <c r="AF113" i="4"/>
  <c r="AE113" i="4"/>
  <c r="AD113" i="4"/>
  <c r="AC113" i="4"/>
  <c r="Y113" i="4"/>
  <c r="W113" i="4"/>
  <c r="V113" i="4"/>
  <c r="U113" i="4"/>
  <c r="Q113" i="4"/>
  <c r="P113" i="4"/>
  <c r="O113" i="4"/>
  <c r="N113" i="4"/>
  <c r="M113" i="4"/>
  <c r="I113" i="4"/>
  <c r="H113" i="4"/>
  <c r="G113" i="4"/>
  <c r="F113" i="4"/>
  <c r="E113" i="4"/>
  <c r="C113" i="4"/>
  <c r="B113" i="4"/>
  <c r="A113" i="4"/>
  <c r="AF112" i="4"/>
  <c r="AE112" i="4"/>
  <c r="AD112" i="4"/>
  <c r="AC112" i="4"/>
  <c r="Y112" i="4"/>
  <c r="X112" i="4"/>
  <c r="W112" i="4"/>
  <c r="V112" i="4"/>
  <c r="U112" i="4"/>
  <c r="T112" i="4"/>
  <c r="Q112" i="4"/>
  <c r="P112" i="4"/>
  <c r="O112" i="4"/>
  <c r="N112" i="4"/>
  <c r="M112" i="4"/>
  <c r="J112" i="4"/>
  <c r="I112" i="4"/>
  <c r="H112" i="4"/>
  <c r="G112" i="4"/>
  <c r="K112" i="4" s="1"/>
  <c r="F112" i="4"/>
  <c r="E112" i="4"/>
  <c r="C112" i="4"/>
  <c r="R112" i="4" s="1"/>
  <c r="S112" i="4" s="1"/>
  <c r="B112" i="4"/>
  <c r="A112" i="4"/>
  <c r="AF111" i="4"/>
  <c r="AE111" i="4"/>
  <c r="AD111" i="4"/>
  <c r="AC111" i="4"/>
  <c r="Y111" i="4"/>
  <c r="W111" i="4"/>
  <c r="V111" i="4"/>
  <c r="U111" i="4"/>
  <c r="T111" i="4"/>
  <c r="Q111" i="4"/>
  <c r="P111" i="4"/>
  <c r="O111" i="4"/>
  <c r="N111" i="4"/>
  <c r="M111" i="4"/>
  <c r="I111" i="4"/>
  <c r="H111" i="4"/>
  <c r="G111" i="4"/>
  <c r="F111" i="4"/>
  <c r="E111" i="4"/>
  <c r="D111" i="4"/>
  <c r="C111" i="4"/>
  <c r="B111" i="4"/>
  <c r="A111" i="4"/>
  <c r="AF110" i="4"/>
  <c r="AE110" i="4"/>
  <c r="AD110" i="4"/>
  <c r="AC110" i="4"/>
  <c r="Z110" i="4"/>
  <c r="AA110" i="4" s="1"/>
  <c r="Y110" i="4"/>
  <c r="AB110" i="4" s="1"/>
  <c r="W110" i="4"/>
  <c r="V110" i="4"/>
  <c r="U110" i="4"/>
  <c r="Q110" i="4"/>
  <c r="O110" i="4"/>
  <c r="N110" i="4"/>
  <c r="M110" i="4"/>
  <c r="I110" i="4"/>
  <c r="H110" i="4"/>
  <c r="G110" i="4"/>
  <c r="F110" i="4"/>
  <c r="E110" i="4"/>
  <c r="C110" i="4"/>
  <c r="P110" i="4" s="1"/>
  <c r="B110" i="4"/>
  <c r="A110" i="4"/>
  <c r="AF109" i="4"/>
  <c r="AE109" i="4"/>
  <c r="AD109" i="4"/>
  <c r="AC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J109" i="4"/>
  <c r="I109" i="4"/>
  <c r="H109" i="4"/>
  <c r="G109" i="4"/>
  <c r="F109" i="4"/>
  <c r="E109" i="4"/>
  <c r="C109" i="4"/>
  <c r="Z109" i="4" s="1"/>
  <c r="AA109" i="4" s="1"/>
  <c r="B109" i="4"/>
  <c r="A109" i="4"/>
  <c r="AF108" i="4"/>
  <c r="AE108" i="4"/>
  <c r="AD108" i="4"/>
  <c r="AC108" i="4"/>
  <c r="Y108" i="4"/>
  <c r="W108" i="4"/>
  <c r="V108" i="4"/>
  <c r="U108" i="4"/>
  <c r="Q108" i="4"/>
  <c r="P108" i="4"/>
  <c r="O108" i="4"/>
  <c r="N108" i="4"/>
  <c r="M108" i="4"/>
  <c r="I108" i="4"/>
  <c r="H108" i="4"/>
  <c r="G108" i="4"/>
  <c r="F108" i="4"/>
  <c r="E108" i="4"/>
  <c r="D108" i="4"/>
  <c r="C108" i="4"/>
  <c r="B108" i="4"/>
  <c r="A108" i="4"/>
  <c r="AF107" i="4"/>
  <c r="AE107" i="4"/>
  <c r="AD107" i="4"/>
  <c r="AC107" i="4"/>
  <c r="AA107" i="4"/>
  <c r="Z107" i="4"/>
  <c r="Y107" i="4"/>
  <c r="X107" i="4"/>
  <c r="W107" i="4"/>
  <c r="V107" i="4"/>
  <c r="U107" i="4"/>
  <c r="Q107" i="4"/>
  <c r="O107" i="4"/>
  <c r="N107" i="4"/>
  <c r="M107" i="4"/>
  <c r="I107" i="4"/>
  <c r="H107" i="4"/>
  <c r="G107" i="4"/>
  <c r="F107" i="4"/>
  <c r="E107" i="4"/>
  <c r="C107" i="4"/>
  <c r="B107" i="4"/>
  <c r="A107" i="4"/>
  <c r="AF106" i="4"/>
  <c r="AE106" i="4"/>
  <c r="AD106" i="4"/>
  <c r="AC106" i="4"/>
  <c r="Y106" i="4"/>
  <c r="X106" i="4"/>
  <c r="W106" i="4"/>
  <c r="V106" i="4"/>
  <c r="U106" i="4"/>
  <c r="S106" i="4"/>
  <c r="R106" i="4"/>
  <c r="Q106" i="4"/>
  <c r="P106" i="4"/>
  <c r="O106" i="4"/>
  <c r="N106" i="4"/>
  <c r="M106" i="4"/>
  <c r="J106" i="4"/>
  <c r="K106" i="4" s="1"/>
  <c r="I106" i="4"/>
  <c r="H106" i="4"/>
  <c r="G106" i="4"/>
  <c r="F106" i="4"/>
  <c r="E106" i="4"/>
  <c r="C106" i="4"/>
  <c r="Z106" i="4" s="1"/>
  <c r="AA106" i="4" s="1"/>
  <c r="B106" i="4"/>
  <c r="A106" i="4"/>
  <c r="AF105" i="4"/>
  <c r="AE105" i="4"/>
  <c r="AD105" i="4"/>
  <c r="AC105" i="4"/>
  <c r="Y105" i="4"/>
  <c r="W105" i="4"/>
  <c r="V105" i="4"/>
  <c r="U105" i="4"/>
  <c r="R105" i="4"/>
  <c r="S105" i="4" s="1"/>
  <c r="Q105" i="4"/>
  <c r="O105" i="4"/>
  <c r="N105" i="4"/>
  <c r="M105" i="4"/>
  <c r="I105" i="4"/>
  <c r="H105" i="4"/>
  <c r="G105" i="4"/>
  <c r="F105" i="4"/>
  <c r="E105" i="4"/>
  <c r="D105" i="4"/>
  <c r="C105" i="4"/>
  <c r="B105" i="4"/>
  <c r="A105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Q104" i="4"/>
  <c r="O104" i="4"/>
  <c r="N104" i="4"/>
  <c r="M104" i="4"/>
  <c r="L104" i="4"/>
  <c r="I104" i="4"/>
  <c r="H104" i="4"/>
  <c r="G104" i="4"/>
  <c r="F104" i="4"/>
  <c r="E104" i="4"/>
  <c r="C104" i="4"/>
  <c r="B104" i="4"/>
  <c r="A104" i="4"/>
  <c r="AF103" i="4"/>
  <c r="AE103" i="4"/>
  <c r="AD103" i="4"/>
  <c r="AC103" i="4"/>
  <c r="Z103" i="4"/>
  <c r="AA103" i="4" s="1"/>
  <c r="Y103" i="4"/>
  <c r="X103" i="4"/>
  <c r="W103" i="4"/>
  <c r="V103" i="4"/>
  <c r="U103" i="4"/>
  <c r="S103" i="4"/>
  <c r="R103" i="4"/>
  <c r="Q103" i="4"/>
  <c r="P103" i="4"/>
  <c r="O103" i="4"/>
  <c r="N103" i="4"/>
  <c r="M103" i="4"/>
  <c r="J103" i="4"/>
  <c r="I103" i="4"/>
  <c r="H103" i="4"/>
  <c r="G103" i="4"/>
  <c r="F103" i="4"/>
  <c r="E103" i="4"/>
  <c r="C103" i="4"/>
  <c r="B103" i="4"/>
  <c r="A103" i="4"/>
  <c r="AF102" i="4"/>
  <c r="AE102" i="4"/>
  <c r="AD102" i="4"/>
  <c r="AC102" i="4"/>
  <c r="Y102" i="4"/>
  <c r="W102" i="4"/>
  <c r="V102" i="4"/>
  <c r="U102" i="4"/>
  <c r="T102" i="4"/>
  <c r="Q102" i="4"/>
  <c r="O102" i="4"/>
  <c r="N102" i="4"/>
  <c r="M102" i="4"/>
  <c r="I102" i="4"/>
  <c r="H102" i="4"/>
  <c r="G102" i="4"/>
  <c r="F102" i="4"/>
  <c r="E102" i="4"/>
  <c r="D102" i="4"/>
  <c r="C102" i="4"/>
  <c r="R102" i="4" s="1"/>
  <c r="S102" i="4" s="1"/>
  <c r="B102" i="4"/>
  <c r="A102" i="4"/>
  <c r="AF101" i="4"/>
  <c r="AE101" i="4"/>
  <c r="AD101" i="4"/>
  <c r="AC101" i="4"/>
  <c r="Z101" i="4"/>
  <c r="AA101" i="4" s="1"/>
  <c r="Y101" i="4"/>
  <c r="X101" i="4"/>
  <c r="W101" i="4"/>
  <c r="V101" i="4"/>
  <c r="U101" i="4"/>
  <c r="Q101" i="4"/>
  <c r="O101" i="4"/>
  <c r="N101" i="4"/>
  <c r="M101" i="4"/>
  <c r="I101" i="4"/>
  <c r="H101" i="4"/>
  <c r="G101" i="4"/>
  <c r="F101" i="4"/>
  <c r="E101" i="4"/>
  <c r="C101" i="4"/>
  <c r="B101" i="4"/>
  <c r="A101" i="4"/>
  <c r="AF100" i="4"/>
  <c r="AE100" i="4"/>
  <c r="AD100" i="4"/>
  <c r="AC100" i="4"/>
  <c r="Z100" i="4"/>
  <c r="AA100" i="4" s="1"/>
  <c r="Y100" i="4"/>
  <c r="X100" i="4"/>
  <c r="W100" i="4"/>
  <c r="V100" i="4"/>
  <c r="U100" i="4"/>
  <c r="S100" i="4"/>
  <c r="R100" i="4"/>
  <c r="Q100" i="4"/>
  <c r="P100" i="4"/>
  <c r="O100" i="4"/>
  <c r="N100" i="4"/>
  <c r="M100" i="4"/>
  <c r="J100" i="4"/>
  <c r="K100" i="4" s="1"/>
  <c r="I100" i="4"/>
  <c r="H100" i="4"/>
  <c r="G100" i="4"/>
  <c r="F100" i="4"/>
  <c r="E100" i="4"/>
  <c r="C100" i="4"/>
  <c r="B100" i="4"/>
  <c r="A100" i="4"/>
  <c r="AF99" i="4"/>
  <c r="AE99" i="4"/>
  <c r="AD99" i="4"/>
  <c r="AC99" i="4"/>
  <c r="Y99" i="4"/>
  <c r="W99" i="4"/>
  <c r="V99" i="4"/>
  <c r="U99" i="4"/>
  <c r="T99" i="4"/>
  <c r="Q99" i="4"/>
  <c r="O99" i="4"/>
  <c r="N99" i="4"/>
  <c r="M99" i="4"/>
  <c r="I99" i="4"/>
  <c r="H99" i="4"/>
  <c r="G99" i="4"/>
  <c r="F99" i="4"/>
  <c r="E99" i="4"/>
  <c r="D99" i="4"/>
  <c r="C99" i="4"/>
  <c r="R99" i="4" s="1"/>
  <c r="S99" i="4" s="1"/>
  <c r="B99" i="4"/>
  <c r="A99" i="4"/>
  <c r="AF98" i="4"/>
  <c r="AE98" i="4"/>
  <c r="AD98" i="4"/>
  <c r="AC98" i="4"/>
  <c r="AB98" i="4"/>
  <c r="AA98" i="4"/>
  <c r="Z98" i="4"/>
  <c r="Y98" i="4"/>
  <c r="X98" i="4"/>
  <c r="W98" i="4"/>
  <c r="V98" i="4"/>
  <c r="U98" i="4"/>
  <c r="Q98" i="4"/>
  <c r="P98" i="4"/>
  <c r="O98" i="4"/>
  <c r="N98" i="4"/>
  <c r="M98" i="4"/>
  <c r="K98" i="4"/>
  <c r="J98" i="4"/>
  <c r="I98" i="4"/>
  <c r="H98" i="4"/>
  <c r="G98" i="4"/>
  <c r="F98" i="4"/>
  <c r="E98" i="4"/>
  <c r="C98" i="4"/>
  <c r="R98" i="4" s="1"/>
  <c r="S98" i="4" s="1"/>
  <c r="B98" i="4"/>
  <c r="A98" i="4"/>
  <c r="AF97" i="4"/>
  <c r="AE97" i="4"/>
  <c r="AD97" i="4"/>
  <c r="AC97" i="4"/>
  <c r="Z97" i="4"/>
  <c r="AA97" i="4" s="1"/>
  <c r="Y97" i="4"/>
  <c r="X97" i="4"/>
  <c r="W97" i="4"/>
  <c r="V97" i="4"/>
  <c r="U97" i="4"/>
  <c r="R97" i="4"/>
  <c r="S97" i="4" s="1"/>
  <c r="Q97" i="4"/>
  <c r="T97" i="4" s="1"/>
  <c r="P97" i="4"/>
  <c r="O97" i="4"/>
  <c r="N97" i="4"/>
  <c r="M97" i="4"/>
  <c r="J97" i="4"/>
  <c r="K97" i="4" s="1"/>
  <c r="I97" i="4"/>
  <c r="H97" i="4"/>
  <c r="G97" i="4"/>
  <c r="F97" i="4"/>
  <c r="E97" i="4"/>
  <c r="C97" i="4"/>
  <c r="B97" i="4"/>
  <c r="A97" i="4"/>
  <c r="AF96" i="4"/>
  <c r="AE96" i="4"/>
  <c r="AD96" i="4"/>
  <c r="AC96" i="4"/>
  <c r="Z96" i="4"/>
  <c r="AA96" i="4" s="1"/>
  <c r="Y96" i="4"/>
  <c r="W96" i="4"/>
  <c r="V96" i="4"/>
  <c r="U96" i="4"/>
  <c r="T96" i="4"/>
  <c r="Q96" i="4"/>
  <c r="P96" i="4"/>
  <c r="O96" i="4"/>
  <c r="N96" i="4"/>
  <c r="M96" i="4"/>
  <c r="J96" i="4"/>
  <c r="I96" i="4"/>
  <c r="H96" i="4"/>
  <c r="G96" i="4"/>
  <c r="F96" i="4"/>
  <c r="E96" i="4"/>
  <c r="D96" i="4"/>
  <c r="C96" i="4"/>
  <c r="X96" i="4" s="1"/>
  <c r="B96" i="4"/>
  <c r="A96" i="4"/>
  <c r="AF95" i="4"/>
  <c r="AE95" i="4"/>
  <c r="AD95" i="4"/>
  <c r="AC95" i="4"/>
  <c r="AA95" i="4"/>
  <c r="Z95" i="4"/>
  <c r="Y95" i="4"/>
  <c r="W95" i="4"/>
  <c r="V95" i="4"/>
  <c r="U95" i="4"/>
  <c r="R95" i="4"/>
  <c r="S95" i="4" s="1"/>
  <c r="Q95" i="4"/>
  <c r="O95" i="4"/>
  <c r="N95" i="4"/>
  <c r="M95" i="4"/>
  <c r="I95" i="4"/>
  <c r="H95" i="4"/>
  <c r="G95" i="4"/>
  <c r="F95" i="4"/>
  <c r="E95" i="4"/>
  <c r="D95" i="4"/>
  <c r="C95" i="4"/>
  <c r="P95" i="4" s="1"/>
  <c r="B95" i="4"/>
  <c r="A95" i="4"/>
  <c r="AF94" i="4"/>
  <c r="AE94" i="4"/>
  <c r="AD94" i="4"/>
  <c r="AC94" i="4"/>
  <c r="Z94" i="4"/>
  <c r="Y94" i="4"/>
  <c r="X94" i="4"/>
  <c r="W94" i="4"/>
  <c r="V94" i="4"/>
  <c r="U94" i="4"/>
  <c r="R94" i="4"/>
  <c r="S94" i="4" s="1"/>
  <c r="Q94" i="4"/>
  <c r="P94" i="4"/>
  <c r="O94" i="4"/>
  <c r="N94" i="4"/>
  <c r="M94" i="4"/>
  <c r="J94" i="4"/>
  <c r="K94" i="4" s="1"/>
  <c r="I94" i="4"/>
  <c r="H94" i="4"/>
  <c r="G94" i="4"/>
  <c r="F94" i="4"/>
  <c r="E94" i="4"/>
  <c r="C94" i="4"/>
  <c r="B94" i="4"/>
  <c r="A94" i="4"/>
  <c r="AF93" i="4"/>
  <c r="AE93" i="4"/>
  <c r="AD93" i="4"/>
  <c r="AC93" i="4"/>
  <c r="Y93" i="4"/>
  <c r="W93" i="4"/>
  <c r="V93" i="4"/>
  <c r="U93" i="4"/>
  <c r="Q93" i="4"/>
  <c r="P93" i="4"/>
  <c r="O93" i="4"/>
  <c r="N93" i="4"/>
  <c r="M93" i="4"/>
  <c r="I93" i="4"/>
  <c r="H93" i="4"/>
  <c r="G93" i="4"/>
  <c r="F93" i="4"/>
  <c r="E93" i="4"/>
  <c r="C93" i="4"/>
  <c r="B93" i="4"/>
  <c r="A93" i="4"/>
  <c r="AF92" i="4"/>
  <c r="AE92" i="4"/>
  <c r="AD92" i="4"/>
  <c r="AC92" i="4"/>
  <c r="Z92" i="4"/>
  <c r="Y92" i="4"/>
  <c r="X92" i="4"/>
  <c r="W92" i="4"/>
  <c r="V92" i="4"/>
  <c r="U92" i="4"/>
  <c r="R92" i="4"/>
  <c r="S92" i="4" s="1"/>
  <c r="Q92" i="4"/>
  <c r="P92" i="4"/>
  <c r="O92" i="4"/>
  <c r="N92" i="4"/>
  <c r="M92" i="4"/>
  <c r="J92" i="4"/>
  <c r="K92" i="4" s="1"/>
  <c r="I92" i="4"/>
  <c r="H92" i="4"/>
  <c r="G92" i="4"/>
  <c r="F92" i="4"/>
  <c r="E92" i="4"/>
  <c r="D92" i="4"/>
  <c r="C92" i="4"/>
  <c r="B92" i="4"/>
  <c r="A92" i="4"/>
  <c r="AF91" i="4"/>
  <c r="AE91" i="4"/>
  <c r="AD91" i="4"/>
  <c r="AC91" i="4"/>
  <c r="Z91" i="4"/>
  <c r="AA91" i="4" s="1"/>
  <c r="Y91" i="4"/>
  <c r="X91" i="4"/>
  <c r="W91" i="4"/>
  <c r="V91" i="4"/>
  <c r="U91" i="4"/>
  <c r="R91" i="4"/>
  <c r="S91" i="4" s="1"/>
  <c r="Q91" i="4"/>
  <c r="P91" i="4"/>
  <c r="O91" i="4"/>
  <c r="N91" i="4"/>
  <c r="M91" i="4"/>
  <c r="K91" i="4"/>
  <c r="J91" i="4"/>
  <c r="I91" i="4"/>
  <c r="H91" i="4"/>
  <c r="G91" i="4"/>
  <c r="F91" i="4"/>
  <c r="E91" i="4"/>
  <c r="D91" i="4"/>
  <c r="C91" i="4"/>
  <c r="B91" i="4"/>
  <c r="A91" i="4"/>
  <c r="AF90" i="4"/>
  <c r="AE90" i="4"/>
  <c r="AD90" i="4"/>
  <c r="AC90" i="4"/>
  <c r="Z90" i="4"/>
  <c r="AA90" i="4" s="1"/>
  <c r="Y90" i="4"/>
  <c r="X90" i="4"/>
  <c r="W90" i="4"/>
  <c r="V90" i="4"/>
  <c r="U90" i="4"/>
  <c r="R90" i="4"/>
  <c r="S90" i="4" s="1"/>
  <c r="Q90" i="4"/>
  <c r="O90" i="4"/>
  <c r="N90" i="4"/>
  <c r="M90" i="4"/>
  <c r="J90" i="4"/>
  <c r="K90" i="4" s="1"/>
  <c r="I90" i="4"/>
  <c r="H90" i="4"/>
  <c r="G90" i="4"/>
  <c r="F90" i="4"/>
  <c r="E90" i="4"/>
  <c r="C90" i="4"/>
  <c r="P90" i="4" s="1"/>
  <c r="B90" i="4"/>
  <c r="A90" i="4"/>
  <c r="D90" i="4" s="1"/>
  <c r="AF89" i="4"/>
  <c r="AE89" i="4"/>
  <c r="AD89" i="4"/>
  <c r="AC89" i="4"/>
  <c r="Y89" i="4"/>
  <c r="W89" i="4"/>
  <c r="V89" i="4"/>
  <c r="U89" i="4"/>
  <c r="Q89" i="4"/>
  <c r="P89" i="4"/>
  <c r="O89" i="4"/>
  <c r="N89" i="4"/>
  <c r="M89" i="4"/>
  <c r="I89" i="4"/>
  <c r="H89" i="4"/>
  <c r="G89" i="4"/>
  <c r="F89" i="4"/>
  <c r="E89" i="4"/>
  <c r="C89" i="4"/>
  <c r="B89" i="4"/>
  <c r="A89" i="4"/>
  <c r="AF88" i="4"/>
  <c r="AE88" i="4"/>
  <c r="AD88" i="4"/>
  <c r="AC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C88" i="4"/>
  <c r="B88" i="4"/>
  <c r="A88" i="4"/>
  <c r="AF87" i="4"/>
  <c r="AE87" i="4"/>
  <c r="AD87" i="4"/>
  <c r="AC87" i="4"/>
  <c r="AB87" i="4"/>
  <c r="Y87" i="4"/>
  <c r="W87" i="4"/>
  <c r="V87" i="4"/>
  <c r="U87" i="4"/>
  <c r="Q87" i="4"/>
  <c r="T87" i="4" s="1"/>
  <c r="P87" i="4"/>
  <c r="O87" i="4"/>
  <c r="N87" i="4"/>
  <c r="M87" i="4"/>
  <c r="I87" i="4"/>
  <c r="H87" i="4"/>
  <c r="G87" i="4"/>
  <c r="F87" i="4"/>
  <c r="E87" i="4"/>
  <c r="D87" i="4"/>
  <c r="C87" i="4"/>
  <c r="B87" i="4"/>
  <c r="A87" i="4"/>
  <c r="AF86" i="4"/>
  <c r="AE86" i="4"/>
  <c r="AD86" i="4"/>
  <c r="AC86" i="4"/>
  <c r="AB86" i="4"/>
  <c r="Y86" i="4"/>
  <c r="W86" i="4"/>
  <c r="V86" i="4"/>
  <c r="U86" i="4"/>
  <c r="Q86" i="4"/>
  <c r="O86" i="4"/>
  <c r="N86" i="4"/>
  <c r="M86" i="4"/>
  <c r="L86" i="4"/>
  <c r="I86" i="4"/>
  <c r="H86" i="4"/>
  <c r="G86" i="4"/>
  <c r="F86" i="4"/>
  <c r="E86" i="4"/>
  <c r="C86" i="4"/>
  <c r="B86" i="4"/>
  <c r="A86" i="4"/>
  <c r="AF85" i="4"/>
  <c r="AE85" i="4"/>
  <c r="AD85" i="4"/>
  <c r="AC85" i="4"/>
  <c r="Z85" i="4"/>
  <c r="AA85" i="4" s="1"/>
  <c r="Y85" i="4"/>
  <c r="X85" i="4"/>
  <c r="W85" i="4"/>
  <c r="V85" i="4"/>
  <c r="U85" i="4"/>
  <c r="T85" i="4"/>
  <c r="R85" i="4"/>
  <c r="S85" i="4" s="1"/>
  <c r="Q85" i="4"/>
  <c r="P85" i="4"/>
  <c r="O85" i="4"/>
  <c r="N85" i="4"/>
  <c r="M85" i="4"/>
  <c r="J85" i="4"/>
  <c r="I85" i="4"/>
  <c r="H85" i="4"/>
  <c r="G85" i="4"/>
  <c r="F85" i="4"/>
  <c r="E85" i="4"/>
  <c r="D85" i="4"/>
  <c r="C85" i="4"/>
  <c r="B85" i="4"/>
  <c r="A85" i="4"/>
  <c r="AF84" i="4"/>
  <c r="AE84" i="4"/>
  <c r="AD84" i="4"/>
  <c r="AC84" i="4"/>
  <c r="AA84" i="4"/>
  <c r="Z84" i="4"/>
  <c r="Y84" i="4"/>
  <c r="X84" i="4"/>
  <c r="W84" i="4"/>
  <c r="V84" i="4"/>
  <c r="U84" i="4"/>
  <c r="Q84" i="4"/>
  <c r="O84" i="4"/>
  <c r="N84" i="4"/>
  <c r="M84" i="4"/>
  <c r="I84" i="4"/>
  <c r="H84" i="4"/>
  <c r="G84" i="4"/>
  <c r="F84" i="4"/>
  <c r="E84" i="4"/>
  <c r="C84" i="4"/>
  <c r="J84" i="4" s="1"/>
  <c r="K84" i="4" s="1"/>
  <c r="B84" i="4"/>
  <c r="A84" i="4"/>
  <c r="AF83" i="4"/>
  <c r="AE83" i="4"/>
  <c r="AD83" i="4"/>
  <c r="AC83" i="4"/>
  <c r="Y83" i="4"/>
  <c r="X83" i="4"/>
  <c r="W83" i="4"/>
  <c r="V83" i="4"/>
  <c r="U83" i="4"/>
  <c r="Q83" i="4"/>
  <c r="O83" i="4"/>
  <c r="N83" i="4"/>
  <c r="M83" i="4"/>
  <c r="K83" i="4"/>
  <c r="J83" i="4"/>
  <c r="I83" i="4"/>
  <c r="H83" i="4"/>
  <c r="G83" i="4"/>
  <c r="F83" i="4"/>
  <c r="E83" i="4"/>
  <c r="C83" i="4"/>
  <c r="R83" i="4" s="1"/>
  <c r="S83" i="4" s="1"/>
  <c r="B83" i="4"/>
  <c r="A83" i="4"/>
  <c r="AF82" i="4"/>
  <c r="AE82" i="4"/>
  <c r="AD82" i="4"/>
  <c r="AC82" i="4"/>
  <c r="Y82" i="4"/>
  <c r="W82" i="4"/>
  <c r="V82" i="4"/>
  <c r="U82" i="4"/>
  <c r="R82" i="4"/>
  <c r="S82" i="4" s="1"/>
  <c r="Q82" i="4"/>
  <c r="T82" i="4" s="1"/>
  <c r="O82" i="4"/>
  <c r="N82" i="4"/>
  <c r="M82" i="4"/>
  <c r="I82" i="4"/>
  <c r="H82" i="4"/>
  <c r="G82" i="4"/>
  <c r="F82" i="4"/>
  <c r="E82" i="4"/>
  <c r="D82" i="4"/>
  <c r="C82" i="4"/>
  <c r="B82" i="4"/>
  <c r="A82" i="4"/>
  <c r="AF81" i="4"/>
  <c r="AE81" i="4"/>
  <c r="AD81" i="4"/>
  <c r="AC81" i="4"/>
  <c r="Z81" i="4"/>
  <c r="AA81" i="4" s="1"/>
  <c r="Y81" i="4"/>
  <c r="X81" i="4"/>
  <c r="W81" i="4"/>
  <c r="V81" i="4"/>
  <c r="U81" i="4"/>
  <c r="Q81" i="4"/>
  <c r="O81" i="4"/>
  <c r="N81" i="4"/>
  <c r="M81" i="4"/>
  <c r="I81" i="4"/>
  <c r="H81" i="4"/>
  <c r="G81" i="4"/>
  <c r="F81" i="4"/>
  <c r="E81" i="4"/>
  <c r="D81" i="4"/>
  <c r="C81" i="4"/>
  <c r="B81" i="4"/>
  <c r="A81" i="4"/>
  <c r="AF80" i="4"/>
  <c r="AE80" i="4"/>
  <c r="AD80" i="4"/>
  <c r="AC80" i="4"/>
  <c r="Y80" i="4"/>
  <c r="X80" i="4"/>
  <c r="W80" i="4"/>
  <c r="V80" i="4"/>
  <c r="U80" i="4"/>
  <c r="Q80" i="4"/>
  <c r="O80" i="4"/>
  <c r="N80" i="4"/>
  <c r="M80" i="4"/>
  <c r="J80" i="4"/>
  <c r="K80" i="4" s="1"/>
  <c r="I80" i="4"/>
  <c r="H80" i="4"/>
  <c r="G80" i="4"/>
  <c r="F80" i="4"/>
  <c r="E80" i="4"/>
  <c r="C80" i="4"/>
  <c r="R80" i="4" s="1"/>
  <c r="S80" i="4" s="1"/>
  <c r="B80" i="4"/>
  <c r="A80" i="4"/>
  <c r="AF79" i="4"/>
  <c r="AE79" i="4"/>
  <c r="AD79" i="4"/>
  <c r="AC79" i="4"/>
  <c r="Y79" i="4"/>
  <c r="W79" i="4"/>
  <c r="V79" i="4"/>
  <c r="U79" i="4"/>
  <c r="R79" i="4"/>
  <c r="Q79" i="4"/>
  <c r="T79" i="4" s="1"/>
  <c r="O79" i="4"/>
  <c r="N79" i="4"/>
  <c r="M79" i="4"/>
  <c r="I79" i="4"/>
  <c r="H79" i="4"/>
  <c r="G79" i="4"/>
  <c r="F79" i="4"/>
  <c r="E79" i="4"/>
  <c r="D79" i="4"/>
  <c r="C79" i="4"/>
  <c r="B79" i="4"/>
  <c r="A79" i="4"/>
  <c r="AF78" i="4"/>
  <c r="AE78" i="4"/>
  <c r="AD78" i="4"/>
  <c r="AC78" i="4"/>
  <c r="Y78" i="4"/>
  <c r="W78" i="4"/>
  <c r="V78" i="4"/>
  <c r="U78" i="4"/>
  <c r="Q78" i="4"/>
  <c r="P78" i="4"/>
  <c r="O78" i="4"/>
  <c r="N78" i="4"/>
  <c r="M78" i="4"/>
  <c r="I78" i="4"/>
  <c r="H78" i="4"/>
  <c r="G78" i="4"/>
  <c r="F78" i="4"/>
  <c r="E78" i="4"/>
  <c r="C78" i="4"/>
  <c r="B78" i="4"/>
  <c r="A78" i="4"/>
  <c r="AF77" i="4"/>
  <c r="AE77" i="4"/>
  <c r="AD77" i="4"/>
  <c r="AC77" i="4"/>
  <c r="Y77" i="4"/>
  <c r="X77" i="4"/>
  <c r="W77" i="4"/>
  <c r="V77" i="4"/>
  <c r="U77" i="4"/>
  <c r="T77" i="4"/>
  <c r="S77" i="4"/>
  <c r="Q77" i="4"/>
  <c r="O77" i="4"/>
  <c r="N77" i="4"/>
  <c r="M77" i="4"/>
  <c r="J77" i="4"/>
  <c r="K77" i="4" s="1"/>
  <c r="I77" i="4"/>
  <c r="H77" i="4"/>
  <c r="G77" i="4"/>
  <c r="F77" i="4"/>
  <c r="E77" i="4"/>
  <c r="C77" i="4"/>
  <c r="R77" i="4" s="1"/>
  <c r="B77" i="4"/>
  <c r="A77" i="4"/>
  <c r="AF76" i="4"/>
  <c r="AE76" i="4"/>
  <c r="AD76" i="4"/>
  <c r="AC76" i="4"/>
  <c r="AB76" i="4"/>
  <c r="Y76" i="4"/>
  <c r="W76" i="4"/>
  <c r="V76" i="4"/>
  <c r="U76" i="4"/>
  <c r="Q76" i="4"/>
  <c r="T76" i="4" s="1"/>
  <c r="O76" i="4"/>
  <c r="N76" i="4"/>
  <c r="M76" i="4"/>
  <c r="I76" i="4"/>
  <c r="H76" i="4"/>
  <c r="G76" i="4"/>
  <c r="F76" i="4"/>
  <c r="E76" i="4"/>
  <c r="D76" i="4"/>
  <c r="C76" i="4"/>
  <c r="P76" i="4" s="1"/>
  <c r="B76" i="4"/>
  <c r="A76" i="4"/>
  <c r="AF75" i="4"/>
  <c r="AE75" i="4"/>
  <c r="AD75" i="4"/>
  <c r="AC75" i="4"/>
  <c r="AB75" i="4"/>
  <c r="Y75" i="4"/>
  <c r="W75" i="4"/>
  <c r="V75" i="4"/>
  <c r="U75" i="4"/>
  <c r="Q75" i="4"/>
  <c r="O75" i="4"/>
  <c r="N75" i="4"/>
  <c r="M75" i="4"/>
  <c r="I75" i="4"/>
  <c r="H75" i="4"/>
  <c r="G75" i="4"/>
  <c r="F75" i="4"/>
  <c r="E75" i="4"/>
  <c r="D75" i="4"/>
  <c r="C75" i="4"/>
  <c r="B75" i="4"/>
  <c r="A75" i="4"/>
  <c r="AF74" i="4"/>
  <c r="AE74" i="4"/>
  <c r="AD74" i="4"/>
  <c r="AC74" i="4"/>
  <c r="Y74" i="4"/>
  <c r="X74" i="4"/>
  <c r="W74" i="4"/>
  <c r="V74" i="4"/>
  <c r="U74" i="4"/>
  <c r="T74" i="4"/>
  <c r="Q74" i="4"/>
  <c r="O74" i="4"/>
  <c r="N74" i="4"/>
  <c r="M74" i="4"/>
  <c r="J74" i="4"/>
  <c r="K74" i="4" s="1"/>
  <c r="I74" i="4"/>
  <c r="H74" i="4"/>
  <c r="G74" i="4"/>
  <c r="F74" i="4"/>
  <c r="E74" i="4"/>
  <c r="C74" i="4"/>
  <c r="R74" i="4" s="1"/>
  <c r="S74" i="4" s="1"/>
  <c r="B74" i="4"/>
  <c r="A74" i="4"/>
  <c r="AF73" i="4"/>
  <c r="AE73" i="4"/>
  <c r="AD73" i="4"/>
  <c r="AC73" i="4"/>
  <c r="Y73" i="4"/>
  <c r="W73" i="4"/>
  <c r="V73" i="4"/>
  <c r="U73" i="4"/>
  <c r="T73" i="4"/>
  <c r="Q73" i="4"/>
  <c r="O73" i="4"/>
  <c r="N73" i="4"/>
  <c r="M73" i="4"/>
  <c r="I73" i="4"/>
  <c r="H73" i="4"/>
  <c r="G73" i="4"/>
  <c r="F73" i="4"/>
  <c r="E73" i="4"/>
  <c r="D73" i="4"/>
  <c r="C73" i="4"/>
  <c r="B73" i="4"/>
  <c r="A73" i="4"/>
  <c r="AF72" i="4"/>
  <c r="AE72" i="4"/>
  <c r="AD72" i="4"/>
  <c r="AC72" i="4"/>
  <c r="Z72" i="4"/>
  <c r="AA72" i="4" s="1"/>
  <c r="Y72" i="4"/>
  <c r="X72" i="4"/>
  <c r="W72" i="4"/>
  <c r="V72" i="4"/>
  <c r="U72" i="4"/>
  <c r="Q72" i="4"/>
  <c r="O72" i="4"/>
  <c r="N72" i="4"/>
  <c r="M72" i="4"/>
  <c r="I72" i="4"/>
  <c r="H72" i="4"/>
  <c r="G72" i="4"/>
  <c r="F72" i="4"/>
  <c r="E72" i="4"/>
  <c r="C72" i="4"/>
  <c r="B72" i="4"/>
  <c r="A72" i="4"/>
  <c r="AF71" i="4"/>
  <c r="AE71" i="4"/>
  <c r="AD71" i="4"/>
  <c r="AC71" i="4"/>
  <c r="Y71" i="4"/>
  <c r="X71" i="4"/>
  <c r="W71" i="4"/>
  <c r="V71" i="4"/>
  <c r="U71" i="4"/>
  <c r="Q71" i="4"/>
  <c r="O71" i="4"/>
  <c r="N71" i="4"/>
  <c r="M71" i="4"/>
  <c r="J71" i="4"/>
  <c r="K71" i="4" s="1"/>
  <c r="I71" i="4"/>
  <c r="H71" i="4"/>
  <c r="G71" i="4"/>
  <c r="F71" i="4"/>
  <c r="E71" i="4"/>
  <c r="C71" i="4"/>
  <c r="R71" i="4" s="1"/>
  <c r="S71" i="4" s="1"/>
  <c r="B71" i="4"/>
  <c r="A71" i="4"/>
  <c r="AF70" i="4"/>
  <c r="AE70" i="4"/>
  <c r="AD70" i="4"/>
  <c r="AC70" i="4"/>
  <c r="Y70" i="4"/>
  <c r="W70" i="4"/>
  <c r="V70" i="4"/>
  <c r="U70" i="4"/>
  <c r="Q70" i="4"/>
  <c r="T70" i="4" s="1"/>
  <c r="O70" i="4"/>
  <c r="N70" i="4"/>
  <c r="M70" i="4"/>
  <c r="I70" i="4"/>
  <c r="H70" i="4"/>
  <c r="G70" i="4"/>
  <c r="F70" i="4"/>
  <c r="E70" i="4"/>
  <c r="D70" i="4"/>
  <c r="C70" i="4"/>
  <c r="P70" i="4" s="1"/>
  <c r="B70" i="4"/>
  <c r="A70" i="4"/>
  <c r="AF69" i="4"/>
  <c r="AE69" i="4"/>
  <c r="AD69" i="4"/>
  <c r="AC69" i="4"/>
  <c r="Z69" i="4"/>
  <c r="AA69" i="4" s="1"/>
  <c r="Y69" i="4"/>
  <c r="AB69" i="4" s="1"/>
  <c r="X69" i="4"/>
  <c r="W69" i="4"/>
  <c r="V69" i="4"/>
  <c r="U69" i="4"/>
  <c r="Q69" i="4"/>
  <c r="O69" i="4"/>
  <c r="N69" i="4"/>
  <c r="M69" i="4"/>
  <c r="I69" i="4"/>
  <c r="H69" i="4"/>
  <c r="G69" i="4"/>
  <c r="F69" i="4"/>
  <c r="E69" i="4"/>
  <c r="D69" i="4"/>
  <c r="C69" i="4"/>
  <c r="B69" i="4"/>
  <c r="A69" i="4"/>
  <c r="L69" i="4" s="1"/>
  <c r="AF68" i="4"/>
  <c r="AE68" i="4"/>
  <c r="AD68" i="4"/>
  <c r="AC68" i="4"/>
  <c r="Y68" i="4"/>
  <c r="X68" i="4"/>
  <c r="W68" i="4"/>
  <c r="V68" i="4"/>
  <c r="U68" i="4"/>
  <c r="Q68" i="4"/>
  <c r="O68" i="4"/>
  <c r="N68" i="4"/>
  <c r="M68" i="4"/>
  <c r="J68" i="4"/>
  <c r="I68" i="4"/>
  <c r="H68" i="4"/>
  <c r="G68" i="4"/>
  <c r="F68" i="4"/>
  <c r="E68" i="4"/>
  <c r="C68" i="4"/>
  <c r="R68" i="4" s="1"/>
  <c r="S68" i="4" s="1"/>
  <c r="B68" i="4"/>
  <c r="A68" i="4"/>
  <c r="AF67" i="4"/>
  <c r="AE67" i="4"/>
  <c r="AD67" i="4"/>
  <c r="AC67" i="4"/>
  <c r="AB67" i="4"/>
  <c r="Y67" i="4"/>
  <c r="W67" i="4"/>
  <c r="V67" i="4"/>
  <c r="U67" i="4"/>
  <c r="R67" i="4"/>
  <c r="S67" i="4" s="1"/>
  <c r="Q67" i="4"/>
  <c r="T67" i="4" s="1"/>
  <c r="O67" i="4"/>
  <c r="N67" i="4"/>
  <c r="M67" i="4"/>
  <c r="I67" i="4"/>
  <c r="H67" i="4"/>
  <c r="G67" i="4"/>
  <c r="F67" i="4"/>
  <c r="E67" i="4"/>
  <c r="D67" i="4"/>
  <c r="C67" i="4"/>
  <c r="B67" i="4"/>
  <c r="A67" i="4"/>
  <c r="AF66" i="4"/>
  <c r="AE66" i="4"/>
  <c r="AD66" i="4"/>
  <c r="AC66" i="4"/>
  <c r="Y66" i="4"/>
  <c r="W66" i="4"/>
  <c r="V66" i="4"/>
  <c r="U66" i="4"/>
  <c r="Q66" i="4"/>
  <c r="P66" i="4"/>
  <c r="O66" i="4"/>
  <c r="N66" i="4"/>
  <c r="M66" i="4"/>
  <c r="I66" i="4"/>
  <c r="H66" i="4"/>
  <c r="G66" i="4"/>
  <c r="F66" i="4"/>
  <c r="E66" i="4"/>
  <c r="C66" i="4"/>
  <c r="B66" i="4"/>
  <c r="A66" i="4"/>
  <c r="AF65" i="4"/>
  <c r="AE65" i="4"/>
  <c r="AD65" i="4"/>
  <c r="AC65" i="4"/>
  <c r="Y65" i="4"/>
  <c r="X65" i="4"/>
  <c r="W65" i="4"/>
  <c r="V65" i="4"/>
  <c r="U65" i="4"/>
  <c r="T65" i="4"/>
  <c r="S65" i="4"/>
  <c r="Q65" i="4"/>
  <c r="O65" i="4"/>
  <c r="N65" i="4"/>
  <c r="M65" i="4"/>
  <c r="J65" i="4"/>
  <c r="I65" i="4"/>
  <c r="H65" i="4"/>
  <c r="G65" i="4"/>
  <c r="F65" i="4"/>
  <c r="E65" i="4"/>
  <c r="C65" i="4"/>
  <c r="R65" i="4" s="1"/>
  <c r="B65" i="4"/>
  <c r="A65" i="4"/>
  <c r="AF64" i="4"/>
  <c r="AE64" i="4"/>
  <c r="AD64" i="4"/>
  <c r="AC64" i="4"/>
  <c r="Y64" i="4"/>
  <c r="W64" i="4"/>
  <c r="V64" i="4"/>
  <c r="U64" i="4"/>
  <c r="Q64" i="4"/>
  <c r="T64" i="4" s="1"/>
  <c r="O64" i="4"/>
  <c r="N64" i="4"/>
  <c r="M64" i="4"/>
  <c r="I64" i="4"/>
  <c r="H64" i="4"/>
  <c r="G64" i="4"/>
  <c r="F64" i="4"/>
  <c r="E64" i="4"/>
  <c r="D64" i="4"/>
  <c r="C64" i="4"/>
  <c r="P64" i="4" s="1"/>
  <c r="B64" i="4"/>
  <c r="A64" i="4"/>
  <c r="AF63" i="4"/>
  <c r="AE63" i="4"/>
  <c r="AD63" i="4"/>
  <c r="AC63" i="4"/>
  <c r="Y63" i="4"/>
  <c r="W63" i="4"/>
  <c r="V63" i="4"/>
  <c r="U63" i="4"/>
  <c r="Q63" i="4"/>
  <c r="O63" i="4"/>
  <c r="N63" i="4"/>
  <c r="M63" i="4"/>
  <c r="I63" i="4"/>
  <c r="H63" i="4"/>
  <c r="G63" i="4"/>
  <c r="F63" i="4"/>
  <c r="E63" i="4"/>
  <c r="D63" i="4"/>
  <c r="C63" i="4"/>
  <c r="P63" i="4" s="1"/>
  <c r="B63" i="4"/>
  <c r="A63" i="4"/>
  <c r="AB63" i="4" s="1"/>
  <c r="AF62" i="4"/>
  <c r="AE62" i="4"/>
  <c r="AD62" i="4"/>
  <c r="AC62" i="4"/>
  <c r="Y62" i="4"/>
  <c r="X62" i="4"/>
  <c r="W62" i="4"/>
  <c r="V62" i="4"/>
  <c r="U62" i="4"/>
  <c r="T62" i="4"/>
  <c r="Q62" i="4"/>
  <c r="O62" i="4"/>
  <c r="N62" i="4"/>
  <c r="M62" i="4"/>
  <c r="J62" i="4"/>
  <c r="K62" i="4" s="1"/>
  <c r="I62" i="4"/>
  <c r="H62" i="4"/>
  <c r="G62" i="4"/>
  <c r="F62" i="4"/>
  <c r="E62" i="4"/>
  <c r="C62" i="4"/>
  <c r="R62" i="4" s="1"/>
  <c r="S62" i="4" s="1"/>
  <c r="B62" i="4"/>
  <c r="A62" i="4"/>
  <c r="AF61" i="4"/>
  <c r="AE61" i="4"/>
  <c r="AD61" i="4"/>
  <c r="AC61" i="4"/>
  <c r="Y61" i="4"/>
  <c r="W61" i="4"/>
  <c r="V61" i="4"/>
  <c r="U61" i="4"/>
  <c r="T61" i="4"/>
  <c r="Q61" i="4"/>
  <c r="O61" i="4"/>
  <c r="N61" i="4"/>
  <c r="M61" i="4"/>
  <c r="I61" i="4"/>
  <c r="H61" i="4"/>
  <c r="G61" i="4"/>
  <c r="F61" i="4"/>
  <c r="E61" i="4"/>
  <c r="D61" i="4"/>
  <c r="C61" i="4"/>
  <c r="R61" i="4" s="1"/>
  <c r="S61" i="4" s="1"/>
  <c r="B61" i="4"/>
  <c r="A61" i="4"/>
  <c r="AF60" i="4"/>
  <c r="AE60" i="4"/>
  <c r="AD60" i="4"/>
  <c r="AC60" i="4"/>
  <c r="AB60" i="4"/>
  <c r="Z60" i="4"/>
  <c r="Y60" i="4"/>
  <c r="X60" i="4"/>
  <c r="W60" i="4"/>
  <c r="AA60" i="4" s="1"/>
  <c r="V60" i="4"/>
  <c r="U60" i="4"/>
  <c r="Q60" i="4"/>
  <c r="O60" i="4"/>
  <c r="N60" i="4"/>
  <c r="M60" i="4"/>
  <c r="I60" i="4"/>
  <c r="H60" i="4"/>
  <c r="G60" i="4"/>
  <c r="F60" i="4"/>
  <c r="E60" i="4"/>
  <c r="C60" i="4"/>
  <c r="B60" i="4"/>
  <c r="A60" i="4"/>
  <c r="AF59" i="4"/>
  <c r="AE59" i="4"/>
  <c r="AD59" i="4"/>
  <c r="AC59" i="4"/>
  <c r="Y59" i="4"/>
  <c r="X59" i="4"/>
  <c r="W59" i="4"/>
  <c r="V59" i="4"/>
  <c r="U59" i="4"/>
  <c r="Q59" i="4"/>
  <c r="O59" i="4"/>
  <c r="N59" i="4"/>
  <c r="M59" i="4"/>
  <c r="K59" i="4"/>
  <c r="J59" i="4"/>
  <c r="I59" i="4"/>
  <c r="H59" i="4"/>
  <c r="G59" i="4"/>
  <c r="F59" i="4"/>
  <c r="E59" i="4"/>
  <c r="C59" i="4"/>
  <c r="R59" i="4" s="1"/>
  <c r="S59" i="4" s="1"/>
  <c r="B59" i="4"/>
  <c r="A59" i="4"/>
  <c r="AF58" i="4"/>
  <c r="AE58" i="4"/>
  <c r="AD58" i="4"/>
  <c r="AC58" i="4"/>
  <c r="Y58" i="4"/>
  <c r="W58" i="4"/>
  <c r="V58" i="4"/>
  <c r="U58" i="4"/>
  <c r="T58" i="4"/>
  <c r="Q58" i="4"/>
  <c r="P58" i="4"/>
  <c r="O58" i="4"/>
  <c r="N58" i="4"/>
  <c r="M58" i="4"/>
  <c r="I58" i="4"/>
  <c r="H58" i="4"/>
  <c r="G58" i="4"/>
  <c r="F58" i="4"/>
  <c r="E58" i="4"/>
  <c r="D58" i="4"/>
  <c r="C58" i="4"/>
  <c r="B58" i="4"/>
  <c r="A58" i="4"/>
  <c r="AF57" i="4"/>
  <c r="AE57" i="4"/>
  <c r="AD57" i="4"/>
  <c r="AC57" i="4"/>
  <c r="Z57" i="4"/>
  <c r="Y57" i="4"/>
  <c r="AB57" i="4" s="1"/>
  <c r="X57" i="4"/>
  <c r="W57" i="4"/>
  <c r="V57" i="4"/>
  <c r="U57" i="4"/>
  <c r="Q57" i="4"/>
  <c r="O57" i="4"/>
  <c r="N57" i="4"/>
  <c r="M57" i="4"/>
  <c r="I57" i="4"/>
  <c r="H57" i="4"/>
  <c r="G57" i="4"/>
  <c r="F57" i="4"/>
  <c r="E57" i="4"/>
  <c r="D57" i="4"/>
  <c r="C57" i="4"/>
  <c r="B57" i="4"/>
  <c r="A57" i="4"/>
  <c r="AF56" i="4"/>
  <c r="AE56" i="4"/>
  <c r="AD56" i="4"/>
  <c r="AC56" i="4"/>
  <c r="Y56" i="4"/>
  <c r="X56" i="4"/>
  <c r="W56" i="4"/>
  <c r="V56" i="4"/>
  <c r="U56" i="4"/>
  <c r="Q56" i="4"/>
  <c r="O56" i="4"/>
  <c r="N56" i="4"/>
  <c r="M56" i="4"/>
  <c r="L56" i="4"/>
  <c r="K56" i="4"/>
  <c r="J56" i="4"/>
  <c r="I56" i="4"/>
  <c r="H56" i="4"/>
  <c r="G56" i="4"/>
  <c r="F56" i="4"/>
  <c r="E56" i="4"/>
  <c r="C56" i="4"/>
  <c r="R56" i="4" s="1"/>
  <c r="S56" i="4" s="1"/>
  <c r="B56" i="4"/>
  <c r="A56" i="4"/>
  <c r="AF55" i="4"/>
  <c r="AE55" i="4"/>
  <c r="AD55" i="4"/>
  <c r="AC55" i="4"/>
  <c r="AB55" i="4"/>
  <c r="Y55" i="4"/>
  <c r="W55" i="4"/>
  <c r="V55" i="4"/>
  <c r="U55" i="4"/>
  <c r="Q55" i="4"/>
  <c r="T55" i="4" s="1"/>
  <c r="P55" i="4"/>
  <c r="O55" i="4"/>
  <c r="N55" i="4"/>
  <c r="M55" i="4"/>
  <c r="I55" i="4"/>
  <c r="H55" i="4"/>
  <c r="G55" i="4"/>
  <c r="F55" i="4"/>
  <c r="E55" i="4"/>
  <c r="D55" i="4"/>
  <c r="C55" i="4"/>
  <c r="B55" i="4"/>
  <c r="A55" i="4"/>
  <c r="AF54" i="4"/>
  <c r="AE54" i="4"/>
  <c r="AD54" i="4"/>
  <c r="AC54" i="4"/>
  <c r="Y54" i="4"/>
  <c r="W54" i="4"/>
  <c r="V54" i="4"/>
  <c r="U54" i="4"/>
  <c r="Q54" i="4"/>
  <c r="O54" i="4"/>
  <c r="N54" i="4"/>
  <c r="M54" i="4"/>
  <c r="I54" i="4"/>
  <c r="H54" i="4"/>
  <c r="G54" i="4"/>
  <c r="F54" i="4"/>
  <c r="E54" i="4"/>
  <c r="D54" i="4"/>
  <c r="C54" i="4"/>
  <c r="P54" i="4" s="1"/>
  <c r="B54" i="4"/>
  <c r="A54" i="4"/>
  <c r="AF53" i="4"/>
  <c r="AE53" i="4"/>
  <c r="AD53" i="4"/>
  <c r="AC53" i="4"/>
  <c r="Y53" i="4"/>
  <c r="X53" i="4"/>
  <c r="W53" i="4"/>
  <c r="V53" i="4"/>
  <c r="U53" i="4"/>
  <c r="T53" i="4"/>
  <c r="Q53" i="4"/>
  <c r="O53" i="4"/>
  <c r="N53" i="4"/>
  <c r="M53" i="4"/>
  <c r="J53" i="4"/>
  <c r="I53" i="4"/>
  <c r="H53" i="4"/>
  <c r="G53" i="4"/>
  <c r="F53" i="4"/>
  <c r="E53" i="4"/>
  <c r="C53" i="4"/>
  <c r="R53" i="4" s="1"/>
  <c r="S53" i="4" s="1"/>
  <c r="B53" i="4"/>
  <c r="A53" i="4"/>
  <c r="AF52" i="4"/>
  <c r="AE52" i="4"/>
  <c r="AD52" i="4"/>
  <c r="AC52" i="4"/>
  <c r="Y52" i="4"/>
  <c r="W52" i="4"/>
  <c r="V52" i="4"/>
  <c r="U52" i="4"/>
  <c r="Q52" i="4"/>
  <c r="T52" i="4" s="1"/>
  <c r="O52" i="4"/>
  <c r="N52" i="4"/>
  <c r="M52" i="4"/>
  <c r="I52" i="4"/>
  <c r="H52" i="4"/>
  <c r="G52" i="4"/>
  <c r="F52" i="4"/>
  <c r="E52" i="4"/>
  <c r="D52" i="4"/>
  <c r="C52" i="4"/>
  <c r="P52" i="4" s="1"/>
  <c r="B52" i="4"/>
  <c r="A52" i="4"/>
  <c r="AF51" i="4"/>
  <c r="AE51" i="4"/>
  <c r="AD51" i="4"/>
  <c r="AC51" i="4"/>
  <c r="Y51" i="4"/>
  <c r="W51" i="4"/>
  <c r="V51" i="4"/>
  <c r="U51" i="4"/>
  <c r="Q51" i="4"/>
  <c r="P51" i="4"/>
  <c r="O51" i="4"/>
  <c r="N51" i="4"/>
  <c r="M51" i="4"/>
  <c r="I51" i="4"/>
  <c r="H51" i="4"/>
  <c r="G51" i="4"/>
  <c r="F51" i="4"/>
  <c r="E51" i="4"/>
  <c r="D51" i="4"/>
  <c r="C51" i="4"/>
  <c r="B51" i="4"/>
  <c r="A51" i="4"/>
  <c r="AB51" i="4" s="1"/>
  <c r="AF50" i="4"/>
  <c r="AE50" i="4"/>
  <c r="AD50" i="4"/>
  <c r="AC50" i="4"/>
  <c r="Y50" i="4"/>
  <c r="X50" i="4"/>
  <c r="W50" i="4"/>
  <c r="V50" i="4"/>
  <c r="U50" i="4"/>
  <c r="T50" i="4"/>
  <c r="Q50" i="4"/>
  <c r="O50" i="4"/>
  <c r="N50" i="4"/>
  <c r="M50" i="4"/>
  <c r="I50" i="4"/>
  <c r="H50" i="4"/>
  <c r="G50" i="4"/>
  <c r="F50" i="4"/>
  <c r="E50" i="4"/>
  <c r="C50" i="4"/>
  <c r="J50" i="4" s="1"/>
  <c r="B50" i="4"/>
  <c r="A50" i="4"/>
  <c r="AF49" i="4"/>
  <c r="AE49" i="4"/>
  <c r="AD49" i="4"/>
  <c r="AC49" i="4"/>
  <c r="AB49" i="4"/>
  <c r="Y49" i="4"/>
  <c r="W49" i="4"/>
  <c r="V49" i="4"/>
  <c r="U49" i="4"/>
  <c r="Q49" i="4"/>
  <c r="T49" i="4" s="1"/>
  <c r="O49" i="4"/>
  <c r="N49" i="4"/>
  <c r="M49" i="4"/>
  <c r="I49" i="4"/>
  <c r="H49" i="4"/>
  <c r="G49" i="4"/>
  <c r="F49" i="4"/>
  <c r="E49" i="4"/>
  <c r="D49" i="4"/>
  <c r="C49" i="4"/>
  <c r="P49" i="4" s="1"/>
  <c r="B49" i="4"/>
  <c r="A49" i="4"/>
  <c r="AF48" i="4"/>
  <c r="AE48" i="4"/>
  <c r="AD48" i="4"/>
  <c r="AC48" i="4"/>
  <c r="Y48" i="4"/>
  <c r="W48" i="4"/>
  <c r="V48" i="4"/>
  <c r="U48" i="4"/>
  <c r="Q48" i="4"/>
  <c r="P48" i="4"/>
  <c r="O48" i="4"/>
  <c r="N48" i="4"/>
  <c r="M48" i="4"/>
  <c r="I48" i="4"/>
  <c r="H48" i="4"/>
  <c r="G48" i="4"/>
  <c r="F48" i="4"/>
  <c r="E48" i="4"/>
  <c r="C48" i="4"/>
  <c r="B48" i="4"/>
  <c r="A48" i="4"/>
  <c r="AB48" i="4" s="1"/>
  <c r="AF47" i="4"/>
  <c r="AE47" i="4"/>
  <c r="AD47" i="4"/>
  <c r="AC47" i="4"/>
  <c r="Y47" i="4"/>
  <c r="X47" i="4"/>
  <c r="W47" i="4"/>
  <c r="V47" i="4"/>
  <c r="U47" i="4"/>
  <c r="T47" i="4"/>
  <c r="Q47" i="4"/>
  <c r="O47" i="4"/>
  <c r="N47" i="4"/>
  <c r="M47" i="4"/>
  <c r="J47" i="4"/>
  <c r="I47" i="4"/>
  <c r="H47" i="4"/>
  <c r="G47" i="4"/>
  <c r="F47" i="4"/>
  <c r="E47" i="4"/>
  <c r="C47" i="4"/>
  <c r="B47" i="4"/>
  <c r="A47" i="4"/>
  <c r="AF46" i="4"/>
  <c r="AE46" i="4"/>
  <c r="AD46" i="4"/>
  <c r="AC46" i="4"/>
  <c r="AB46" i="4"/>
  <c r="Y46" i="4"/>
  <c r="W46" i="4"/>
  <c r="V46" i="4"/>
  <c r="U46" i="4"/>
  <c r="Q46" i="4"/>
  <c r="T46" i="4" s="1"/>
  <c r="O46" i="4"/>
  <c r="N46" i="4"/>
  <c r="M46" i="4"/>
  <c r="I46" i="4"/>
  <c r="H46" i="4"/>
  <c r="G46" i="4"/>
  <c r="F46" i="4"/>
  <c r="E46" i="4"/>
  <c r="D46" i="4"/>
  <c r="C46" i="4"/>
  <c r="P46" i="4" s="1"/>
  <c r="B46" i="4"/>
  <c r="A46" i="4"/>
  <c r="AF45" i="4"/>
  <c r="AE45" i="4"/>
  <c r="AD45" i="4"/>
  <c r="AC45" i="4"/>
  <c r="AB45" i="4"/>
  <c r="Y45" i="4"/>
  <c r="W45" i="4"/>
  <c r="V45" i="4"/>
  <c r="U45" i="4"/>
  <c r="Q45" i="4"/>
  <c r="P45" i="4"/>
  <c r="O45" i="4"/>
  <c r="N45" i="4"/>
  <c r="M45" i="4"/>
  <c r="I45" i="4"/>
  <c r="H45" i="4"/>
  <c r="G45" i="4"/>
  <c r="F45" i="4"/>
  <c r="E45" i="4"/>
  <c r="C45" i="4"/>
  <c r="B45" i="4"/>
  <c r="A45" i="4"/>
  <c r="AF44" i="4"/>
  <c r="AE44" i="4"/>
  <c r="AD44" i="4"/>
  <c r="AC44" i="4"/>
  <c r="Y44" i="4"/>
  <c r="X44" i="4"/>
  <c r="W44" i="4"/>
  <c r="V44" i="4"/>
  <c r="U44" i="4"/>
  <c r="T44" i="4"/>
  <c r="R44" i="4"/>
  <c r="S44" i="4" s="1"/>
  <c r="Q44" i="4"/>
  <c r="O44" i="4"/>
  <c r="N44" i="4"/>
  <c r="M44" i="4"/>
  <c r="J44" i="4"/>
  <c r="K44" i="4" s="1"/>
  <c r="I44" i="4"/>
  <c r="H44" i="4"/>
  <c r="G44" i="4"/>
  <c r="F44" i="4"/>
  <c r="E44" i="4"/>
  <c r="C44" i="4"/>
  <c r="B44" i="4"/>
  <c r="A44" i="4"/>
  <c r="AF43" i="4"/>
  <c r="AE43" i="4"/>
  <c r="AD43" i="4"/>
  <c r="AC43" i="4"/>
  <c r="Y43" i="4"/>
  <c r="W43" i="4"/>
  <c r="V43" i="4"/>
  <c r="U43" i="4"/>
  <c r="Q43" i="4"/>
  <c r="O43" i="4"/>
  <c r="N43" i="4"/>
  <c r="M43" i="4"/>
  <c r="I43" i="4"/>
  <c r="H43" i="4"/>
  <c r="G43" i="4"/>
  <c r="F43" i="4"/>
  <c r="E43" i="4"/>
  <c r="C43" i="4"/>
  <c r="B43" i="4"/>
  <c r="A43" i="4"/>
  <c r="AF42" i="4"/>
  <c r="AE42" i="4"/>
  <c r="AD42" i="4"/>
  <c r="AC42" i="4"/>
  <c r="Z42" i="4"/>
  <c r="Y42" i="4"/>
  <c r="X42" i="4"/>
  <c r="W42" i="4"/>
  <c r="V42" i="4"/>
  <c r="U42" i="4"/>
  <c r="S42" i="4"/>
  <c r="R42" i="4"/>
  <c r="Q42" i="4"/>
  <c r="P42" i="4"/>
  <c r="O42" i="4"/>
  <c r="N42" i="4"/>
  <c r="M42" i="4"/>
  <c r="J42" i="4"/>
  <c r="K42" i="4" s="1"/>
  <c r="I42" i="4"/>
  <c r="H42" i="4"/>
  <c r="G42" i="4"/>
  <c r="F42" i="4"/>
  <c r="E42" i="4"/>
  <c r="C42" i="4"/>
  <c r="B42" i="4"/>
  <c r="A42" i="4"/>
  <c r="AF41" i="4"/>
  <c r="AE41" i="4"/>
  <c r="AD41" i="4"/>
  <c r="AC41" i="4"/>
  <c r="AA41" i="4"/>
  <c r="Y41" i="4"/>
  <c r="X41" i="4"/>
  <c r="W41" i="4"/>
  <c r="V41" i="4"/>
  <c r="U41" i="4"/>
  <c r="Q41" i="4"/>
  <c r="O41" i="4"/>
  <c r="N41" i="4"/>
  <c r="M41" i="4"/>
  <c r="I41" i="4"/>
  <c r="H41" i="4"/>
  <c r="G41" i="4"/>
  <c r="F41" i="4"/>
  <c r="E41" i="4"/>
  <c r="C41" i="4"/>
  <c r="Z41" i="4" s="1"/>
  <c r="B41" i="4"/>
  <c r="A41" i="4"/>
  <c r="AF40" i="4"/>
  <c r="AE40" i="4"/>
  <c r="AD40" i="4"/>
  <c r="AC40" i="4"/>
  <c r="Z40" i="4"/>
  <c r="AA40" i="4" s="1"/>
  <c r="Y40" i="4"/>
  <c r="X40" i="4"/>
  <c r="W40" i="4"/>
  <c r="V40" i="4"/>
  <c r="U40" i="4"/>
  <c r="T40" i="4"/>
  <c r="R40" i="4"/>
  <c r="S40" i="4" s="1"/>
  <c r="Q40" i="4"/>
  <c r="O40" i="4"/>
  <c r="N40" i="4"/>
  <c r="M40" i="4"/>
  <c r="K40" i="4"/>
  <c r="J40" i="4"/>
  <c r="I40" i="4"/>
  <c r="H40" i="4"/>
  <c r="G40" i="4"/>
  <c r="F40" i="4"/>
  <c r="E40" i="4"/>
  <c r="D40" i="4"/>
  <c r="C40" i="4"/>
  <c r="P40" i="4" s="1"/>
  <c r="B40" i="4"/>
  <c r="A40" i="4"/>
  <c r="AF39" i="4"/>
  <c r="AE39" i="4"/>
  <c r="AD39" i="4"/>
  <c r="AC39" i="4"/>
  <c r="Z39" i="4"/>
  <c r="AA39" i="4" s="1"/>
  <c r="Y39" i="4"/>
  <c r="W39" i="4"/>
  <c r="V39" i="4"/>
  <c r="U39" i="4"/>
  <c r="T39" i="4"/>
  <c r="R39" i="4"/>
  <c r="S39" i="4" s="1"/>
  <c r="Q39" i="4"/>
  <c r="O39" i="4"/>
  <c r="N39" i="4"/>
  <c r="M39" i="4"/>
  <c r="K39" i="4"/>
  <c r="J39" i="4"/>
  <c r="I39" i="4"/>
  <c r="H39" i="4"/>
  <c r="G39" i="4"/>
  <c r="F39" i="4"/>
  <c r="E39" i="4"/>
  <c r="D39" i="4"/>
  <c r="C39" i="4"/>
  <c r="X39" i="4" s="1"/>
  <c r="B39" i="4"/>
  <c r="A39" i="4"/>
  <c r="AF38" i="4"/>
  <c r="AE38" i="4"/>
  <c r="AD38" i="4"/>
  <c r="AC38" i="4"/>
  <c r="Z38" i="4"/>
  <c r="AA38" i="4" s="1"/>
  <c r="Y38" i="4"/>
  <c r="W38" i="4"/>
  <c r="V38" i="4"/>
  <c r="U38" i="4"/>
  <c r="R38" i="4"/>
  <c r="S38" i="4" s="1"/>
  <c r="Q38" i="4"/>
  <c r="O38" i="4"/>
  <c r="N38" i="4"/>
  <c r="M38" i="4"/>
  <c r="I38" i="4"/>
  <c r="H38" i="4"/>
  <c r="G38" i="4"/>
  <c r="F38" i="4"/>
  <c r="E38" i="4"/>
  <c r="C38" i="4"/>
  <c r="X38" i="4" s="1"/>
  <c r="B38" i="4"/>
  <c r="A38" i="4"/>
  <c r="AF37" i="4"/>
  <c r="AE37" i="4"/>
  <c r="AD37" i="4"/>
  <c r="AC37" i="4"/>
  <c r="Z37" i="4"/>
  <c r="AA37" i="4" s="1"/>
  <c r="Y37" i="4"/>
  <c r="X37" i="4"/>
  <c r="W37" i="4"/>
  <c r="V37" i="4"/>
  <c r="U37" i="4"/>
  <c r="T37" i="4"/>
  <c r="S37" i="4"/>
  <c r="R37" i="4"/>
  <c r="Q37" i="4"/>
  <c r="O37" i="4"/>
  <c r="N37" i="4"/>
  <c r="M37" i="4"/>
  <c r="I37" i="4"/>
  <c r="H37" i="4"/>
  <c r="G37" i="4"/>
  <c r="F37" i="4"/>
  <c r="E37" i="4"/>
  <c r="D37" i="4"/>
  <c r="C37" i="4"/>
  <c r="P37" i="4" s="1"/>
  <c r="B37" i="4"/>
  <c r="A37" i="4"/>
  <c r="AF36" i="4"/>
  <c r="AE36" i="4"/>
  <c r="AD36" i="4"/>
  <c r="AC36" i="4"/>
  <c r="AB36" i="4"/>
  <c r="Z36" i="4"/>
  <c r="AA36" i="4" s="1"/>
  <c r="Y36" i="4"/>
  <c r="W36" i="4"/>
  <c r="V36" i="4"/>
  <c r="U36" i="4"/>
  <c r="T36" i="4"/>
  <c r="R36" i="4"/>
  <c r="S36" i="4" s="1"/>
  <c r="Q36" i="4"/>
  <c r="O36" i="4"/>
  <c r="N36" i="4"/>
  <c r="M36" i="4"/>
  <c r="I36" i="4"/>
  <c r="H36" i="4"/>
  <c r="G36" i="4"/>
  <c r="F36" i="4"/>
  <c r="E36" i="4"/>
  <c r="D36" i="4"/>
  <c r="C36" i="4"/>
  <c r="B36" i="4"/>
  <c r="A36" i="4"/>
  <c r="AF35" i="4"/>
  <c r="AE35" i="4"/>
  <c r="AD35" i="4"/>
  <c r="AC35" i="4"/>
  <c r="Z35" i="4"/>
  <c r="AA35" i="4" s="1"/>
  <c r="Y35" i="4"/>
  <c r="W35" i="4"/>
  <c r="V35" i="4"/>
  <c r="U35" i="4"/>
  <c r="S35" i="4"/>
  <c r="R35" i="4"/>
  <c r="Q35" i="4"/>
  <c r="O35" i="4"/>
  <c r="N35" i="4"/>
  <c r="M35" i="4"/>
  <c r="J35" i="4"/>
  <c r="K35" i="4" s="1"/>
  <c r="I35" i="4"/>
  <c r="H35" i="4"/>
  <c r="G35" i="4"/>
  <c r="F35" i="4"/>
  <c r="E35" i="4"/>
  <c r="C35" i="4"/>
  <c r="P35" i="4" s="1"/>
  <c r="B35" i="4"/>
  <c r="A35" i="4"/>
  <c r="L35" i="4" s="1"/>
  <c r="AF34" i="4"/>
  <c r="AE34" i="4"/>
  <c r="AD34" i="4"/>
  <c r="AC34" i="4"/>
  <c r="Y34" i="4"/>
  <c r="W34" i="4"/>
  <c r="V34" i="4"/>
  <c r="U34" i="4"/>
  <c r="T34" i="4"/>
  <c r="Q34" i="4"/>
  <c r="O34" i="4"/>
  <c r="N34" i="4"/>
  <c r="M34" i="4"/>
  <c r="I34" i="4"/>
  <c r="H34" i="4"/>
  <c r="G34" i="4"/>
  <c r="F34" i="4"/>
  <c r="E34" i="4"/>
  <c r="D34" i="4"/>
  <c r="C34" i="4"/>
  <c r="B34" i="4"/>
  <c r="A34" i="4"/>
  <c r="AF33" i="4"/>
  <c r="AE33" i="4"/>
  <c r="AD33" i="4"/>
  <c r="AC33" i="4"/>
  <c r="AB33" i="4"/>
  <c r="Z33" i="4"/>
  <c r="AA33" i="4" s="1"/>
  <c r="Y33" i="4"/>
  <c r="W33" i="4"/>
  <c r="V33" i="4"/>
  <c r="U33" i="4"/>
  <c r="T33" i="4"/>
  <c r="Q33" i="4"/>
  <c r="O33" i="4"/>
  <c r="N33" i="4"/>
  <c r="M33" i="4"/>
  <c r="J33" i="4"/>
  <c r="K33" i="4" s="1"/>
  <c r="I33" i="4"/>
  <c r="H33" i="4"/>
  <c r="G33" i="4"/>
  <c r="F33" i="4"/>
  <c r="E33" i="4"/>
  <c r="D33" i="4"/>
  <c r="C33" i="4"/>
  <c r="X33" i="4" s="1"/>
  <c r="B33" i="4"/>
  <c r="A33" i="4"/>
  <c r="AF32" i="4"/>
  <c r="AE32" i="4"/>
  <c r="AD32" i="4"/>
  <c r="AC32" i="4"/>
  <c r="AB32" i="4"/>
  <c r="Y32" i="4"/>
  <c r="W32" i="4"/>
  <c r="V32" i="4"/>
  <c r="U32" i="4"/>
  <c r="Q32" i="4"/>
  <c r="P32" i="4"/>
  <c r="O32" i="4"/>
  <c r="N32" i="4"/>
  <c r="M32" i="4"/>
  <c r="I32" i="4"/>
  <c r="H32" i="4"/>
  <c r="G32" i="4"/>
  <c r="F32" i="4"/>
  <c r="E32" i="4"/>
  <c r="D32" i="4"/>
  <c r="C32" i="4"/>
  <c r="B32" i="4"/>
  <c r="A32" i="4"/>
  <c r="T32" i="4" s="1"/>
  <c r="AF31" i="4"/>
  <c r="AE31" i="4"/>
  <c r="AD31" i="4"/>
  <c r="AC31" i="4"/>
  <c r="Y31" i="4"/>
  <c r="W31" i="4"/>
  <c r="V31" i="4"/>
  <c r="U31" i="4"/>
  <c r="T31" i="4"/>
  <c r="Q31" i="4"/>
  <c r="O31" i="4"/>
  <c r="N31" i="4"/>
  <c r="M31" i="4"/>
  <c r="I31" i="4"/>
  <c r="H31" i="4"/>
  <c r="G31" i="4"/>
  <c r="F31" i="4"/>
  <c r="E31" i="4"/>
  <c r="D31" i="4"/>
  <c r="C31" i="4"/>
  <c r="B31" i="4"/>
  <c r="A31" i="4"/>
  <c r="AF30" i="4"/>
  <c r="AE30" i="4"/>
  <c r="AD30" i="4"/>
  <c r="AC30" i="4"/>
  <c r="AB30" i="4"/>
  <c r="Y30" i="4"/>
  <c r="W30" i="4"/>
  <c r="V30" i="4"/>
  <c r="U30" i="4"/>
  <c r="T30" i="4"/>
  <c r="Q30" i="4"/>
  <c r="O30" i="4"/>
  <c r="N30" i="4"/>
  <c r="M30" i="4"/>
  <c r="I30" i="4"/>
  <c r="H30" i="4"/>
  <c r="G30" i="4"/>
  <c r="F30" i="4"/>
  <c r="E30" i="4"/>
  <c r="D30" i="4"/>
  <c r="C30" i="4"/>
  <c r="P30" i="4" s="1"/>
  <c r="B30" i="4"/>
  <c r="A30" i="4"/>
  <c r="AF29" i="4"/>
  <c r="AE29" i="4"/>
  <c r="AD29" i="4"/>
  <c r="AC29" i="4"/>
  <c r="Y29" i="4"/>
  <c r="AB29" i="4" s="1"/>
  <c r="X29" i="4"/>
  <c r="W29" i="4"/>
  <c r="V29" i="4"/>
  <c r="U29" i="4"/>
  <c r="Q29" i="4"/>
  <c r="O29" i="4"/>
  <c r="N29" i="4"/>
  <c r="M29" i="4"/>
  <c r="J29" i="4"/>
  <c r="K29" i="4" s="1"/>
  <c r="I29" i="4"/>
  <c r="H29" i="4"/>
  <c r="G29" i="4"/>
  <c r="F29" i="4"/>
  <c r="E29" i="4"/>
  <c r="D29" i="4"/>
  <c r="C29" i="4"/>
  <c r="P29" i="4" s="1"/>
  <c r="B29" i="4"/>
  <c r="A29" i="4"/>
  <c r="T29" i="4" s="1"/>
  <c r="AF28" i="4"/>
  <c r="AE28" i="4"/>
  <c r="AD28" i="4"/>
  <c r="AC28" i="4"/>
  <c r="Y28" i="4"/>
  <c r="W28" i="4"/>
  <c r="V28" i="4"/>
  <c r="U28" i="4"/>
  <c r="T28" i="4"/>
  <c r="Q28" i="4"/>
  <c r="O28" i="4"/>
  <c r="N28" i="4"/>
  <c r="M28" i="4"/>
  <c r="J28" i="4"/>
  <c r="K28" i="4" s="1"/>
  <c r="I28" i="4"/>
  <c r="L28" i="4" s="1"/>
  <c r="H28" i="4"/>
  <c r="G28" i="4"/>
  <c r="F28" i="4"/>
  <c r="E28" i="4"/>
  <c r="D28" i="4"/>
  <c r="C28" i="4"/>
  <c r="B28" i="4"/>
  <c r="A28" i="4"/>
  <c r="AF27" i="4"/>
  <c r="AE27" i="4"/>
  <c r="AD27" i="4"/>
  <c r="AC27" i="4"/>
  <c r="AB27" i="4"/>
  <c r="Z27" i="4"/>
  <c r="Y27" i="4"/>
  <c r="W27" i="4"/>
  <c r="V27" i="4"/>
  <c r="U27" i="4"/>
  <c r="Q27" i="4"/>
  <c r="T27" i="4" s="1"/>
  <c r="O27" i="4"/>
  <c r="N27" i="4"/>
  <c r="M27" i="4"/>
  <c r="K27" i="4"/>
  <c r="J27" i="4"/>
  <c r="I27" i="4"/>
  <c r="H27" i="4"/>
  <c r="G27" i="4"/>
  <c r="F27" i="4"/>
  <c r="E27" i="4"/>
  <c r="D27" i="4"/>
  <c r="C27" i="4"/>
  <c r="B27" i="4"/>
  <c r="A27" i="4"/>
  <c r="AF26" i="4"/>
  <c r="AE26" i="4"/>
  <c r="AD26" i="4"/>
  <c r="AC26" i="4"/>
  <c r="AB26" i="4"/>
  <c r="Y26" i="4"/>
  <c r="X26" i="4"/>
  <c r="W26" i="4"/>
  <c r="V26" i="4"/>
  <c r="U26" i="4"/>
  <c r="R26" i="4"/>
  <c r="S26" i="4" s="1"/>
  <c r="Q26" i="4"/>
  <c r="P26" i="4"/>
  <c r="O26" i="4"/>
  <c r="N26" i="4"/>
  <c r="M26" i="4"/>
  <c r="J26" i="4"/>
  <c r="K26" i="4" s="1"/>
  <c r="I26" i="4"/>
  <c r="H26" i="4"/>
  <c r="G26" i="4"/>
  <c r="F26" i="4"/>
  <c r="E26" i="4"/>
  <c r="D26" i="4"/>
  <c r="C26" i="4"/>
  <c r="Z26" i="4" s="1"/>
  <c r="AA26" i="4" s="1"/>
  <c r="B26" i="4"/>
  <c r="A26" i="4"/>
  <c r="T26" i="4" s="1"/>
  <c r="AF25" i="4"/>
  <c r="AE25" i="4"/>
  <c r="AD25" i="4"/>
  <c r="AC25" i="4"/>
  <c r="Z25" i="4"/>
  <c r="AA25" i="4" s="1"/>
  <c r="Y25" i="4"/>
  <c r="X25" i="4"/>
  <c r="W25" i="4"/>
  <c r="V25" i="4"/>
  <c r="U25" i="4"/>
  <c r="T25" i="4"/>
  <c r="Q25" i="4"/>
  <c r="O25" i="4"/>
  <c r="N25" i="4"/>
  <c r="M25" i="4"/>
  <c r="L25" i="4"/>
  <c r="J25" i="4"/>
  <c r="K25" i="4" s="1"/>
  <c r="I25" i="4"/>
  <c r="H25" i="4"/>
  <c r="G25" i="4"/>
  <c r="F25" i="4"/>
  <c r="E25" i="4"/>
  <c r="D25" i="4"/>
  <c r="C25" i="4"/>
  <c r="P25" i="4" s="1"/>
  <c r="B25" i="4"/>
  <c r="A25" i="4"/>
  <c r="AF24" i="4"/>
  <c r="AE24" i="4"/>
  <c r="AD24" i="4"/>
  <c r="AC24" i="4"/>
  <c r="Y24" i="4"/>
  <c r="W24" i="4"/>
  <c r="V24" i="4"/>
  <c r="U24" i="4"/>
  <c r="R24" i="4"/>
  <c r="S24" i="4" s="1"/>
  <c r="Q24" i="4"/>
  <c r="T24" i="4" s="1"/>
  <c r="O24" i="4"/>
  <c r="N24" i="4"/>
  <c r="M24" i="4"/>
  <c r="J24" i="4"/>
  <c r="K24" i="4" s="1"/>
  <c r="I24" i="4"/>
  <c r="H24" i="4"/>
  <c r="G24" i="4"/>
  <c r="F24" i="4"/>
  <c r="E24" i="4"/>
  <c r="D24" i="4"/>
  <c r="C24" i="4"/>
  <c r="X24" i="4" s="1"/>
  <c r="B24" i="4"/>
  <c r="A24" i="4"/>
  <c r="AF23" i="4"/>
  <c r="AE23" i="4"/>
  <c r="AD23" i="4"/>
  <c r="AC23" i="4"/>
  <c r="AA23" i="4"/>
  <c r="Z23" i="4"/>
  <c r="Y23" i="4"/>
  <c r="X23" i="4"/>
  <c r="W23" i="4"/>
  <c r="V23" i="4"/>
  <c r="U23" i="4"/>
  <c r="R23" i="4"/>
  <c r="S23" i="4" s="1"/>
  <c r="Q23" i="4"/>
  <c r="P23" i="4"/>
  <c r="O23" i="4"/>
  <c r="N23" i="4"/>
  <c r="M23" i="4"/>
  <c r="K23" i="4"/>
  <c r="J23" i="4"/>
  <c r="I23" i="4"/>
  <c r="H23" i="4"/>
  <c r="G23" i="4"/>
  <c r="F23" i="4"/>
  <c r="E23" i="4"/>
  <c r="D23" i="4"/>
  <c r="C23" i="4"/>
  <c r="B23" i="4"/>
  <c r="A23" i="4"/>
  <c r="L23" i="4" s="1"/>
  <c r="AF22" i="4"/>
  <c r="AE22" i="4"/>
  <c r="AD22" i="4"/>
  <c r="AC22" i="4"/>
  <c r="Z22" i="4"/>
  <c r="AA22" i="4" s="1"/>
  <c r="Y22" i="4"/>
  <c r="X22" i="4"/>
  <c r="W22" i="4"/>
  <c r="V22" i="4"/>
  <c r="U22" i="4"/>
  <c r="T22" i="4"/>
  <c r="S22" i="4"/>
  <c r="R22" i="4"/>
  <c r="Q22" i="4"/>
  <c r="O22" i="4"/>
  <c r="N22" i="4"/>
  <c r="M22" i="4"/>
  <c r="L22" i="4"/>
  <c r="J22" i="4"/>
  <c r="I22" i="4"/>
  <c r="H22" i="4"/>
  <c r="G22" i="4"/>
  <c r="F22" i="4"/>
  <c r="E22" i="4"/>
  <c r="D22" i="4"/>
  <c r="C22" i="4"/>
  <c r="P22" i="4" s="1"/>
  <c r="B22" i="4"/>
  <c r="A22" i="4"/>
  <c r="AF21" i="4"/>
  <c r="AE21" i="4"/>
  <c r="AD21" i="4"/>
  <c r="AC21" i="4"/>
  <c r="AB21" i="4"/>
  <c r="Y21" i="4"/>
  <c r="W21" i="4"/>
  <c r="V21" i="4"/>
  <c r="U21" i="4"/>
  <c r="Q21" i="4"/>
  <c r="T21" i="4" s="1"/>
  <c r="P21" i="4"/>
  <c r="O21" i="4"/>
  <c r="N21" i="4"/>
  <c r="M21" i="4"/>
  <c r="J21" i="4"/>
  <c r="K21" i="4" s="1"/>
  <c r="I21" i="4"/>
  <c r="H21" i="4"/>
  <c r="G21" i="4"/>
  <c r="F21" i="4"/>
  <c r="E21" i="4"/>
  <c r="D21" i="4"/>
  <c r="C21" i="4"/>
  <c r="R21" i="4" s="1"/>
  <c r="S21" i="4" s="1"/>
  <c r="B21" i="4"/>
  <c r="A21" i="4"/>
  <c r="AF20" i="4"/>
  <c r="AE20" i="4"/>
  <c r="AD20" i="4"/>
  <c r="AC20" i="4"/>
  <c r="Z20" i="4"/>
  <c r="Y20" i="4"/>
  <c r="X20" i="4"/>
  <c r="W20" i="4"/>
  <c r="V20" i="4"/>
  <c r="U20" i="4"/>
  <c r="R20" i="4"/>
  <c r="S20" i="4" s="1"/>
  <c r="Q20" i="4"/>
  <c r="P20" i="4"/>
  <c r="O20" i="4"/>
  <c r="N20" i="4"/>
  <c r="M20" i="4"/>
  <c r="K20" i="4"/>
  <c r="J20" i="4"/>
  <c r="I20" i="4"/>
  <c r="H20" i="4"/>
  <c r="G20" i="4"/>
  <c r="F20" i="4"/>
  <c r="E20" i="4"/>
  <c r="D20" i="4"/>
  <c r="C20" i="4"/>
  <c r="B20" i="4"/>
  <c r="A20" i="4"/>
  <c r="T20" i="4" s="1"/>
  <c r="AF19" i="4"/>
  <c r="AE19" i="4"/>
  <c r="AD19" i="4"/>
  <c r="AC19" i="4"/>
  <c r="AB19" i="4"/>
  <c r="Z19" i="4"/>
  <c r="AA19" i="4" s="1"/>
  <c r="Y19" i="4"/>
  <c r="X19" i="4"/>
  <c r="W19" i="4"/>
  <c r="V19" i="4"/>
  <c r="U19" i="4"/>
  <c r="T19" i="4"/>
  <c r="S19" i="4"/>
  <c r="R19" i="4"/>
  <c r="Q19" i="4"/>
  <c r="O19" i="4"/>
  <c r="N19" i="4"/>
  <c r="M19" i="4"/>
  <c r="J19" i="4"/>
  <c r="I19" i="4"/>
  <c r="L19" i="4" s="1"/>
  <c r="H19" i="4"/>
  <c r="G19" i="4"/>
  <c r="F19" i="4"/>
  <c r="E19" i="4"/>
  <c r="D19" i="4"/>
  <c r="C19" i="4"/>
  <c r="P19" i="4" s="1"/>
  <c r="B19" i="4"/>
  <c r="A19" i="4"/>
  <c r="AF18" i="4"/>
  <c r="AE18" i="4"/>
  <c r="AD18" i="4"/>
  <c r="AC18" i="4"/>
  <c r="AB18" i="4"/>
  <c r="Y18" i="4"/>
  <c r="W18" i="4"/>
  <c r="V18" i="4"/>
  <c r="U18" i="4"/>
  <c r="Q18" i="4"/>
  <c r="T18" i="4" s="1"/>
  <c r="O18" i="4"/>
  <c r="N18" i="4"/>
  <c r="M18" i="4"/>
  <c r="J18" i="4"/>
  <c r="K18" i="4" s="1"/>
  <c r="I18" i="4"/>
  <c r="H18" i="4"/>
  <c r="G18" i="4"/>
  <c r="F18" i="4"/>
  <c r="E18" i="4"/>
  <c r="D18" i="4"/>
  <c r="C18" i="4"/>
  <c r="R18" i="4" s="1"/>
  <c r="S18" i="4" s="1"/>
  <c r="B18" i="4"/>
  <c r="A18" i="4"/>
  <c r="AF17" i="4"/>
  <c r="AE17" i="4"/>
  <c r="AD17" i="4"/>
  <c r="AC17" i="4"/>
  <c r="Z17" i="4"/>
  <c r="Y17" i="4"/>
  <c r="X17" i="4"/>
  <c r="W17" i="4"/>
  <c r="V17" i="4"/>
  <c r="U17" i="4"/>
  <c r="R17" i="4"/>
  <c r="S17" i="4" s="1"/>
  <c r="Q17" i="4"/>
  <c r="P17" i="4"/>
  <c r="O17" i="4"/>
  <c r="N17" i="4"/>
  <c r="M17" i="4"/>
  <c r="K17" i="4"/>
  <c r="J17" i="4"/>
  <c r="I17" i="4"/>
  <c r="H17" i="4"/>
  <c r="G17" i="4"/>
  <c r="F17" i="4"/>
  <c r="E17" i="4"/>
  <c r="D17" i="4"/>
  <c r="C17" i="4"/>
  <c r="B17" i="4"/>
  <c r="A17" i="4"/>
  <c r="T17" i="4" s="1"/>
  <c r="AF16" i="4"/>
  <c r="AE16" i="4"/>
  <c r="AD16" i="4"/>
  <c r="AC16" i="4"/>
  <c r="AB16" i="4"/>
  <c r="Z16" i="4"/>
  <c r="AA16" i="4" s="1"/>
  <c r="Y16" i="4"/>
  <c r="X16" i="4"/>
  <c r="W16" i="4"/>
  <c r="V16" i="4"/>
  <c r="U16" i="4"/>
  <c r="T16" i="4"/>
  <c r="S16" i="4"/>
  <c r="R16" i="4"/>
  <c r="Q16" i="4"/>
  <c r="O16" i="4"/>
  <c r="N16" i="4"/>
  <c r="M16" i="4"/>
  <c r="J16" i="4"/>
  <c r="K16" i="4" s="1"/>
  <c r="I16" i="4"/>
  <c r="L16" i="4" s="1"/>
  <c r="H16" i="4"/>
  <c r="G16" i="4"/>
  <c r="F16" i="4"/>
  <c r="E16" i="4"/>
  <c r="D16" i="4"/>
  <c r="C16" i="4"/>
  <c r="P16" i="4" s="1"/>
  <c r="B16" i="4"/>
  <c r="A16" i="4"/>
  <c r="AF15" i="4"/>
  <c r="AE15" i="4"/>
  <c r="AD15" i="4"/>
  <c r="AC15" i="4"/>
  <c r="AB15" i="4"/>
  <c r="Y15" i="4"/>
  <c r="W15" i="4"/>
  <c r="V15" i="4"/>
  <c r="U15" i="4"/>
  <c r="T15" i="4"/>
  <c r="R15" i="4"/>
  <c r="S15" i="4" s="1"/>
  <c r="Q15" i="4"/>
  <c r="P15" i="4"/>
  <c r="O15" i="4"/>
  <c r="N15" i="4"/>
  <c r="M15" i="4"/>
  <c r="J15" i="4"/>
  <c r="K15" i="4" s="1"/>
  <c r="I15" i="4"/>
  <c r="H15" i="4"/>
  <c r="G15" i="4"/>
  <c r="F15" i="4"/>
  <c r="E15" i="4"/>
  <c r="D15" i="4"/>
  <c r="C15" i="4"/>
  <c r="B15" i="4"/>
  <c r="A15" i="4"/>
  <c r="AF14" i="4"/>
  <c r="AE14" i="4"/>
  <c r="AD14" i="4"/>
  <c r="AC14" i="4"/>
  <c r="Z14" i="4"/>
  <c r="Y14" i="4"/>
  <c r="X14" i="4"/>
  <c r="W14" i="4"/>
  <c r="V14" i="4"/>
  <c r="U14" i="4"/>
  <c r="R14" i="4"/>
  <c r="S14" i="4" s="1"/>
  <c r="Q14" i="4"/>
  <c r="P14" i="4"/>
  <c r="O14" i="4"/>
  <c r="N14" i="4"/>
  <c r="M14" i="4"/>
  <c r="K14" i="4"/>
  <c r="J14" i="4"/>
  <c r="I14" i="4"/>
  <c r="H14" i="4"/>
  <c r="G14" i="4"/>
  <c r="F14" i="4"/>
  <c r="E14" i="4"/>
  <c r="D14" i="4"/>
  <c r="C14" i="4"/>
  <c r="B14" i="4"/>
  <c r="A14" i="4"/>
  <c r="T14" i="4" s="1"/>
  <c r="AF13" i="4"/>
  <c r="AE13" i="4"/>
  <c r="AD13" i="4"/>
  <c r="AC13" i="4"/>
  <c r="AB13" i="4"/>
  <c r="Z13" i="4"/>
  <c r="AA13" i="4" s="1"/>
  <c r="Y13" i="4"/>
  <c r="X13" i="4"/>
  <c r="W13" i="4"/>
  <c r="V13" i="4"/>
  <c r="U13" i="4"/>
  <c r="T13" i="4"/>
  <c r="S13" i="4"/>
  <c r="R13" i="4"/>
  <c r="Q13" i="4"/>
  <c r="O13" i="4"/>
  <c r="N13" i="4"/>
  <c r="M13" i="4"/>
  <c r="J13" i="4"/>
  <c r="K13" i="4" s="1"/>
  <c r="I13" i="4"/>
  <c r="L13" i="4" s="1"/>
  <c r="H13" i="4"/>
  <c r="G13" i="4"/>
  <c r="F13" i="4"/>
  <c r="E13" i="4"/>
  <c r="D13" i="4"/>
  <c r="C13" i="4"/>
  <c r="P13" i="4" s="1"/>
  <c r="B13" i="4"/>
  <c r="A13" i="4"/>
  <c r="AF12" i="4"/>
  <c r="AE12" i="4"/>
  <c r="AD12" i="4"/>
  <c r="AC12" i="4"/>
  <c r="AB12" i="4"/>
  <c r="Y12" i="4"/>
  <c r="W12" i="4"/>
  <c r="V12" i="4"/>
  <c r="U12" i="4"/>
  <c r="T12" i="4"/>
  <c r="Q12" i="4"/>
  <c r="P12" i="4"/>
  <c r="O12" i="4"/>
  <c r="N12" i="4"/>
  <c r="M12" i="4"/>
  <c r="I12" i="4"/>
  <c r="H12" i="4"/>
  <c r="G12" i="4"/>
  <c r="F12" i="4"/>
  <c r="E12" i="4"/>
  <c r="D12" i="4"/>
  <c r="C12" i="4"/>
  <c r="B12" i="4"/>
  <c r="A12" i="4"/>
  <c r="AF11" i="4"/>
  <c r="AE11" i="4"/>
  <c r="AD11" i="4"/>
  <c r="AC11" i="4"/>
  <c r="Z11" i="4"/>
  <c r="AA11" i="4" s="1"/>
  <c r="Y11" i="4"/>
  <c r="X11" i="4"/>
  <c r="W11" i="4"/>
  <c r="V11" i="4"/>
  <c r="U11" i="4"/>
  <c r="R11" i="4"/>
  <c r="S11" i="4" s="1"/>
  <c r="Q11" i="4"/>
  <c r="P11" i="4"/>
  <c r="O11" i="4"/>
  <c r="N11" i="4"/>
  <c r="M11" i="4"/>
  <c r="K11" i="4"/>
  <c r="J11" i="4"/>
  <c r="I11" i="4"/>
  <c r="H11" i="4"/>
  <c r="G11" i="4"/>
  <c r="F11" i="4"/>
  <c r="E11" i="4"/>
  <c r="D11" i="4"/>
  <c r="C11" i="4"/>
  <c r="B11" i="4"/>
  <c r="A11" i="4"/>
  <c r="T11" i="4" s="1"/>
  <c r="AF10" i="4"/>
  <c r="AE10" i="4"/>
  <c r="AD10" i="4"/>
  <c r="AC10" i="4"/>
  <c r="AB10" i="4"/>
  <c r="Z10" i="4"/>
  <c r="AA10" i="4" s="1"/>
  <c r="Y10" i="4"/>
  <c r="X10" i="4"/>
  <c r="W10" i="4"/>
  <c r="V10" i="4"/>
  <c r="U10" i="4"/>
  <c r="T10" i="4"/>
  <c r="S10" i="4"/>
  <c r="R10" i="4"/>
  <c r="Q10" i="4"/>
  <c r="O10" i="4"/>
  <c r="N10" i="4"/>
  <c r="M10" i="4"/>
  <c r="L10" i="4"/>
  <c r="J10" i="4"/>
  <c r="K10" i="4" s="1"/>
  <c r="I10" i="4"/>
  <c r="H10" i="4"/>
  <c r="G10" i="4"/>
  <c r="F10" i="4"/>
  <c r="E10" i="4"/>
  <c r="D10" i="4"/>
  <c r="C10" i="4"/>
  <c r="P10" i="4" s="1"/>
  <c r="B10" i="4"/>
  <c r="A10" i="4"/>
  <c r="AF9" i="4"/>
  <c r="AE9" i="4"/>
  <c r="AD9" i="4"/>
  <c r="AC9" i="4"/>
  <c r="AB9" i="4"/>
  <c r="Y9" i="4"/>
  <c r="W9" i="4"/>
  <c r="V9" i="4"/>
  <c r="U9" i="4"/>
  <c r="Q9" i="4"/>
  <c r="T9" i="4" s="1"/>
  <c r="P9" i="4"/>
  <c r="O9" i="4"/>
  <c r="N9" i="4"/>
  <c r="M9" i="4"/>
  <c r="I9" i="4"/>
  <c r="H9" i="4"/>
  <c r="G9" i="4"/>
  <c r="F9" i="4"/>
  <c r="E9" i="4"/>
  <c r="D9" i="4"/>
  <c r="C9" i="4"/>
  <c r="B9" i="4"/>
  <c r="A9" i="4"/>
  <c r="AF8" i="4"/>
  <c r="AE8" i="4"/>
  <c r="AD8" i="4"/>
  <c r="AC8" i="4"/>
  <c r="Z8" i="4"/>
  <c r="AA8" i="4" s="1"/>
  <c r="Y8" i="4"/>
  <c r="X8" i="4"/>
  <c r="W8" i="4"/>
  <c r="V8" i="4"/>
  <c r="U8" i="4"/>
  <c r="R8" i="4"/>
  <c r="S8" i="4" s="1"/>
  <c r="Q8" i="4"/>
  <c r="P8" i="4"/>
  <c r="O8" i="4"/>
  <c r="N8" i="4"/>
  <c r="M8" i="4"/>
  <c r="K8" i="4"/>
  <c r="J8" i="4"/>
  <c r="I8" i="4"/>
  <c r="H8" i="4"/>
  <c r="G8" i="4"/>
  <c r="F8" i="4"/>
  <c r="E8" i="4"/>
  <c r="C8" i="4"/>
  <c r="B8" i="4"/>
  <c r="A8" i="4"/>
  <c r="T8" i="4" s="1"/>
  <c r="AF7" i="4"/>
  <c r="AE7" i="4"/>
  <c r="AD7" i="4"/>
  <c r="AC7" i="4"/>
  <c r="AB7" i="4"/>
  <c r="Z7" i="4"/>
  <c r="AA7" i="4" s="1"/>
  <c r="Y7" i="4"/>
  <c r="X7" i="4"/>
  <c r="W7" i="4"/>
  <c r="V7" i="4"/>
  <c r="U7" i="4"/>
  <c r="T7" i="4"/>
  <c r="S7" i="4"/>
  <c r="R7" i="4"/>
  <c r="Q7" i="4"/>
  <c r="O7" i="4"/>
  <c r="N7" i="4"/>
  <c r="M7" i="4"/>
  <c r="L7" i="4"/>
  <c r="J7" i="4"/>
  <c r="K7" i="4" s="1"/>
  <c r="I7" i="4"/>
  <c r="H7" i="4"/>
  <c r="G7" i="4"/>
  <c r="F7" i="4"/>
  <c r="E7" i="4"/>
  <c r="D7" i="4"/>
  <c r="C7" i="4"/>
  <c r="P7" i="4" s="1"/>
  <c r="B7" i="4"/>
  <c r="A7" i="4"/>
  <c r="AF6" i="4"/>
  <c r="AE6" i="4"/>
  <c r="AD6" i="4"/>
  <c r="AC6" i="4"/>
  <c r="AB6" i="4"/>
  <c r="Y6" i="4"/>
  <c r="W6" i="4"/>
  <c r="V6" i="4"/>
  <c r="U6" i="4"/>
  <c r="Q6" i="4"/>
  <c r="T6" i="4" s="1"/>
  <c r="P6" i="4"/>
  <c r="O6" i="4"/>
  <c r="N6" i="4"/>
  <c r="M6" i="4"/>
  <c r="I6" i="4"/>
  <c r="H6" i="4"/>
  <c r="G6" i="4"/>
  <c r="F6" i="4"/>
  <c r="E6" i="4"/>
  <c r="D6" i="4"/>
  <c r="C6" i="4"/>
  <c r="R6" i="4" s="1"/>
  <c r="S6" i="4" s="1"/>
  <c r="B6" i="4"/>
  <c r="A6" i="4"/>
  <c r="AF5" i="4"/>
  <c r="AE5" i="4"/>
  <c r="AD5" i="4"/>
  <c r="AC5" i="4"/>
  <c r="Z5" i="4"/>
  <c r="AA5" i="4" s="1"/>
  <c r="Y5" i="4"/>
  <c r="X5" i="4"/>
  <c r="W5" i="4"/>
  <c r="V5" i="4"/>
  <c r="U5" i="4"/>
  <c r="R5" i="4"/>
  <c r="S5" i="4" s="1"/>
  <c r="Q5" i="4"/>
  <c r="P5" i="4"/>
  <c r="O5" i="4"/>
  <c r="N5" i="4"/>
  <c r="M5" i="4"/>
  <c r="L5" i="4"/>
  <c r="K5" i="4"/>
  <c r="J5" i="4"/>
  <c r="I5" i="4"/>
  <c r="H5" i="4"/>
  <c r="G5" i="4"/>
  <c r="F5" i="4"/>
  <c r="E5" i="4"/>
  <c r="C5" i="4"/>
  <c r="B5" i="4"/>
  <c r="A5" i="4"/>
  <c r="T5" i="4" s="1"/>
  <c r="B4" i="4"/>
  <c r="AD4" i="4"/>
  <c r="AC4" i="4"/>
  <c r="Y4" i="4"/>
  <c r="AB129" i="4" s="1"/>
  <c r="W4" i="4"/>
  <c r="V4" i="4"/>
  <c r="U4" i="4"/>
  <c r="Q4" i="4"/>
  <c r="O4" i="4"/>
  <c r="N4" i="4"/>
  <c r="M4" i="4"/>
  <c r="I4" i="4"/>
  <c r="L60" i="4" s="1"/>
  <c r="H4" i="4"/>
  <c r="G4" i="4"/>
  <c r="F4" i="4"/>
  <c r="E4" i="4"/>
  <c r="C4" i="4"/>
  <c r="Z4" i="4" s="1"/>
  <c r="AE4" i="4"/>
  <c r="AF4" i="4"/>
  <c r="A4" i="4"/>
  <c r="D4" i="4" s="1"/>
  <c r="T72" i="4" l="1"/>
  <c r="D72" i="4"/>
  <c r="AB72" i="4"/>
  <c r="L72" i="4"/>
  <c r="Z73" i="4"/>
  <c r="AA73" i="4" s="1"/>
  <c r="X73" i="4"/>
  <c r="J73" i="4"/>
  <c r="K73" i="4" s="1"/>
  <c r="P73" i="4"/>
  <c r="R73" i="4"/>
  <c r="S73" i="4" s="1"/>
  <c r="T84" i="4"/>
  <c r="D84" i="4"/>
  <c r="T98" i="4"/>
  <c r="D98" i="4"/>
  <c r="Z9" i="4"/>
  <c r="AA9" i="4" s="1"/>
  <c r="X9" i="4"/>
  <c r="L33" i="4"/>
  <c r="T38" i="4"/>
  <c r="D38" i="4"/>
  <c r="AB38" i="4"/>
  <c r="L68" i="4"/>
  <c r="L80" i="4"/>
  <c r="AB83" i="4"/>
  <c r="D83" i="4"/>
  <c r="T83" i="4"/>
  <c r="L83" i="4"/>
  <c r="L113" i="4"/>
  <c r="X134" i="4"/>
  <c r="J134" i="4"/>
  <c r="K134" i="4" s="1"/>
  <c r="Z134" i="4"/>
  <c r="AA134" i="4" s="1"/>
  <c r="P134" i="4"/>
  <c r="R134" i="4"/>
  <c r="S134" i="4" s="1"/>
  <c r="R9" i="4"/>
  <c r="S9" i="4" s="1"/>
  <c r="Z12" i="4"/>
  <c r="AA12" i="4" s="1"/>
  <c r="X12" i="4"/>
  <c r="K19" i="4"/>
  <c r="Z32" i="4"/>
  <c r="AA32" i="4" s="1"/>
  <c r="X32" i="4"/>
  <c r="J32" i="4"/>
  <c r="K32" i="4" s="1"/>
  <c r="R32" i="4"/>
  <c r="S32" i="4" s="1"/>
  <c r="K50" i="4"/>
  <c r="K53" i="4"/>
  <c r="K68" i="4"/>
  <c r="AB71" i="4"/>
  <c r="D71" i="4"/>
  <c r="T71" i="4"/>
  <c r="L71" i="4"/>
  <c r="L118" i="4"/>
  <c r="L149" i="4"/>
  <c r="R12" i="4"/>
  <c r="S12" i="4" s="1"/>
  <c r="Z15" i="4"/>
  <c r="AA15" i="4" s="1"/>
  <c r="X15" i="4"/>
  <c r="P18" i="4"/>
  <c r="K22" i="4"/>
  <c r="X27" i="4"/>
  <c r="R27" i="4"/>
  <c r="S27" i="4" s="1"/>
  <c r="P27" i="4"/>
  <c r="L29" i="4"/>
  <c r="L40" i="4"/>
  <c r="L77" i="4"/>
  <c r="L91" i="4"/>
  <c r="AB106" i="4"/>
  <c r="D106" i="4"/>
  <c r="L106" i="4"/>
  <c r="T106" i="4"/>
  <c r="L120" i="4"/>
  <c r="L155" i="4"/>
  <c r="T155" i="4"/>
  <c r="D155" i="4"/>
  <c r="AB155" i="4"/>
  <c r="P31" i="4"/>
  <c r="R31" i="4"/>
  <c r="S31" i="4" s="1"/>
  <c r="T125" i="4"/>
  <c r="D125" i="4"/>
  <c r="AB125" i="4"/>
  <c r="L125" i="4"/>
  <c r="J63" i="4"/>
  <c r="K63" i="4" s="1"/>
  <c r="R63" i="4"/>
  <c r="S63" i="4" s="1"/>
  <c r="X63" i="4"/>
  <c r="Z63" i="4"/>
  <c r="AA63" i="4" s="1"/>
  <c r="Z102" i="4"/>
  <c r="AA102" i="4" s="1"/>
  <c r="X102" i="4"/>
  <c r="J102" i="4"/>
  <c r="K102" i="4" s="1"/>
  <c r="P102" i="4"/>
  <c r="T104" i="4"/>
  <c r="D104" i="4"/>
  <c r="T107" i="4"/>
  <c r="D107" i="4"/>
  <c r="AB107" i="4"/>
  <c r="L107" i="4"/>
  <c r="L173" i="4"/>
  <c r="T173" i="4"/>
  <c r="D173" i="4"/>
  <c r="AB173" i="4"/>
  <c r="P28" i="4"/>
  <c r="Z28" i="4"/>
  <c r="AA28" i="4" s="1"/>
  <c r="X28" i="4"/>
  <c r="Z70" i="4"/>
  <c r="AA70" i="4" s="1"/>
  <c r="X70" i="4"/>
  <c r="J70" i="4"/>
  <c r="K70" i="4" s="1"/>
  <c r="Z82" i="4"/>
  <c r="AA82" i="4" s="1"/>
  <c r="X82" i="4"/>
  <c r="J82" i="4"/>
  <c r="K82" i="4" s="1"/>
  <c r="P82" i="4"/>
  <c r="S79" i="4"/>
  <c r="AB148" i="4"/>
  <c r="D148" i="4"/>
  <c r="T148" i="4"/>
  <c r="L148" i="4"/>
  <c r="L37" i="4"/>
  <c r="Z79" i="4"/>
  <c r="AA79" i="4" s="1"/>
  <c r="X79" i="4"/>
  <c r="J79" i="4"/>
  <c r="K79" i="4" s="1"/>
  <c r="P79" i="4"/>
  <c r="T89" i="4"/>
  <c r="AB89" i="4"/>
  <c r="L89" i="4"/>
  <c r="D89" i="4"/>
  <c r="AA122" i="4"/>
  <c r="Z6" i="4"/>
  <c r="AA6" i="4" s="1"/>
  <c r="X6" i="4"/>
  <c r="Z18" i="4"/>
  <c r="AA18" i="4" s="1"/>
  <c r="X18" i="4"/>
  <c r="Z61" i="4"/>
  <c r="AA61" i="4" s="1"/>
  <c r="X61" i="4"/>
  <c r="J61" i="4"/>
  <c r="K61" i="4" s="1"/>
  <c r="P61" i="4"/>
  <c r="P34" i="4"/>
  <c r="X34" i="4"/>
  <c r="J34" i="4"/>
  <c r="K34" i="4" s="1"/>
  <c r="R34" i="4"/>
  <c r="S34" i="4" s="1"/>
  <c r="R70" i="4"/>
  <c r="S70" i="4" s="1"/>
  <c r="L152" i="4"/>
  <c r="T152" i="4"/>
  <c r="D152" i="4"/>
  <c r="AB152" i="4"/>
  <c r="J31" i="4"/>
  <c r="K31" i="4" s="1"/>
  <c r="L36" i="4"/>
  <c r="R86" i="4"/>
  <c r="S86" i="4" s="1"/>
  <c r="P86" i="4"/>
  <c r="Z86" i="4"/>
  <c r="AA86" i="4" s="1"/>
  <c r="J86" i="4"/>
  <c r="K86" i="4" s="1"/>
  <c r="X86" i="4"/>
  <c r="J6" i="4"/>
  <c r="K6" i="4" s="1"/>
  <c r="L14" i="4"/>
  <c r="AB14" i="4"/>
  <c r="L17" i="4"/>
  <c r="AA17" i="4"/>
  <c r="X36" i="4"/>
  <c r="J36" i="4"/>
  <c r="K36" i="4" s="1"/>
  <c r="P36" i="4"/>
  <c r="L41" i="4"/>
  <c r="L43" i="4"/>
  <c r="T43" i="4"/>
  <c r="AB43" i="4"/>
  <c r="D43" i="4"/>
  <c r="Z67" i="4"/>
  <c r="AA67" i="4" s="1"/>
  <c r="X67" i="4"/>
  <c r="J67" i="4"/>
  <c r="K67" i="4" s="1"/>
  <c r="P67" i="4"/>
  <c r="T78" i="4"/>
  <c r="AB78" i="4"/>
  <c r="L78" i="4"/>
  <c r="D78" i="4"/>
  <c r="L84" i="4"/>
  <c r="AB84" i="4"/>
  <c r="L166" i="4"/>
  <c r="AB124" i="4"/>
  <c r="D124" i="4"/>
  <c r="T124" i="4"/>
  <c r="L124" i="4"/>
  <c r="T35" i="4"/>
  <c r="D35" i="4"/>
  <c r="AB35" i="4"/>
  <c r="R175" i="4"/>
  <c r="S175" i="4" s="1"/>
  <c r="P175" i="4"/>
  <c r="J175" i="4"/>
  <c r="K175" i="4" s="1"/>
  <c r="Z175" i="4"/>
  <c r="AA175" i="4" s="1"/>
  <c r="AB5" i="4"/>
  <c r="L8" i="4"/>
  <c r="Z21" i="4"/>
  <c r="AA21" i="4" s="1"/>
  <c r="X21" i="4"/>
  <c r="L31" i="4"/>
  <c r="T45" i="4"/>
  <c r="L45" i="4"/>
  <c r="D45" i="4"/>
  <c r="L95" i="4"/>
  <c r="AB8" i="4"/>
  <c r="L11" i="4"/>
  <c r="R29" i="4"/>
  <c r="S29" i="4" s="1"/>
  <c r="Z29" i="4"/>
  <c r="AA29" i="4" s="1"/>
  <c r="Z31" i="4"/>
  <c r="AA31" i="4" s="1"/>
  <c r="L75" i="4"/>
  <c r="L76" i="4"/>
  <c r="L117" i="4"/>
  <c r="AB162" i="4"/>
  <c r="D162" i="4"/>
  <c r="L162" i="4"/>
  <c r="T162" i="4"/>
  <c r="X164" i="4"/>
  <c r="Z164" i="4"/>
  <c r="AA164" i="4" s="1"/>
  <c r="J164" i="4"/>
  <c r="K164" i="4" s="1"/>
  <c r="R164" i="4"/>
  <c r="S164" i="4" s="1"/>
  <c r="P164" i="4"/>
  <c r="AB11" i="4"/>
  <c r="AA14" i="4"/>
  <c r="D5" i="4"/>
  <c r="J9" i="4"/>
  <c r="K9" i="4" s="1"/>
  <c r="D8" i="4"/>
  <c r="J12" i="4"/>
  <c r="K12" i="4" s="1"/>
  <c r="AB17" i="4"/>
  <c r="L20" i="4"/>
  <c r="AA20" i="4"/>
  <c r="R25" i="4"/>
  <c r="S25" i="4" s="1"/>
  <c r="AA27" i="4"/>
  <c r="L38" i="4"/>
  <c r="T66" i="4"/>
  <c r="AB66" i="4"/>
  <c r="L66" i="4"/>
  <c r="D66" i="4"/>
  <c r="L85" i="4"/>
  <c r="T116" i="4"/>
  <c r="AB116" i="4"/>
  <c r="L116" i="4"/>
  <c r="D116" i="4"/>
  <c r="L121" i="4"/>
  <c r="AB127" i="4"/>
  <c r="D127" i="4"/>
  <c r="L127" i="4"/>
  <c r="T127" i="4"/>
  <c r="T128" i="4"/>
  <c r="D128" i="4"/>
  <c r="L128" i="4"/>
  <c r="AB128" i="4"/>
  <c r="Z126" i="4"/>
  <c r="AA126" i="4" s="1"/>
  <c r="X126" i="4"/>
  <c r="J126" i="4"/>
  <c r="K126" i="4" s="1"/>
  <c r="P126" i="4"/>
  <c r="X31" i="4"/>
  <c r="J1" i="4"/>
  <c r="L145" i="4"/>
  <c r="L87" i="4"/>
  <c r="L119" i="4"/>
  <c r="L143" i="4"/>
  <c r="L27" i="4"/>
  <c r="L24" i="4"/>
  <c r="L110" i="4"/>
  <c r="L101" i="4"/>
  <c r="L122" i="4"/>
  <c r="L34" i="4"/>
  <c r="L18" i="4"/>
  <c r="L12" i="4"/>
  <c r="L59" i="4"/>
  <c r="L136" i="4"/>
  <c r="L131" i="4"/>
  <c r="L90" i="4"/>
  <c r="L21" i="4"/>
  <c r="L15" i="4"/>
  <c r="L9" i="4"/>
  <c r="L6" i="4"/>
  <c r="L26" i="4"/>
  <c r="L94" i="4"/>
  <c r="R28" i="4"/>
  <c r="S28" i="4" s="1"/>
  <c r="X140" i="4"/>
  <c r="J140" i="4"/>
  <c r="K140" i="4" s="1"/>
  <c r="Z140" i="4"/>
  <c r="AA140" i="4" s="1"/>
  <c r="P140" i="4"/>
  <c r="X175" i="4"/>
  <c r="AB20" i="4"/>
  <c r="T23" i="4"/>
  <c r="AB23" i="4"/>
  <c r="X30" i="4"/>
  <c r="Z30" i="4"/>
  <c r="AA30" i="4" s="1"/>
  <c r="J30" i="4"/>
  <c r="K30" i="4" s="1"/>
  <c r="R30" i="4"/>
  <c r="S30" i="4" s="1"/>
  <c r="Z34" i="4"/>
  <c r="AA34" i="4" s="1"/>
  <c r="L47" i="4"/>
  <c r="J75" i="4"/>
  <c r="K75" i="4" s="1"/>
  <c r="R75" i="4"/>
  <c r="S75" i="4" s="1"/>
  <c r="X75" i="4"/>
  <c r="Z75" i="4"/>
  <c r="AA75" i="4" s="1"/>
  <c r="P75" i="4"/>
  <c r="L98" i="4"/>
  <c r="L114" i="4"/>
  <c r="R126" i="4"/>
  <c r="S126" i="4" s="1"/>
  <c r="X43" i="4"/>
  <c r="R43" i="4"/>
  <c r="S43" i="4" s="1"/>
  <c r="P43" i="4"/>
  <c r="K47" i="4"/>
  <c r="L50" i="4"/>
  <c r="AA57" i="4"/>
  <c r="J66" i="4"/>
  <c r="K66" i="4" s="1"/>
  <c r="R66" i="4"/>
  <c r="S66" i="4" s="1"/>
  <c r="Z66" i="4"/>
  <c r="AA66" i="4" s="1"/>
  <c r="X66" i="4"/>
  <c r="AB74" i="4"/>
  <c r="D74" i="4"/>
  <c r="L74" i="4"/>
  <c r="T75" i="4"/>
  <c r="X89" i="4"/>
  <c r="J89" i="4"/>
  <c r="K89" i="4" s="1"/>
  <c r="Z89" i="4"/>
  <c r="AA89" i="4" s="1"/>
  <c r="R89" i="4"/>
  <c r="S89" i="4" s="1"/>
  <c r="K109" i="4"/>
  <c r="J128" i="4"/>
  <c r="K128" i="4" s="1"/>
  <c r="R128" i="4"/>
  <c r="S128" i="4" s="1"/>
  <c r="X128" i="4"/>
  <c r="Z128" i="4"/>
  <c r="AA128" i="4" s="1"/>
  <c r="P136" i="4"/>
  <c r="X136" i="4"/>
  <c r="J136" i="4"/>
  <c r="K136" i="4" s="1"/>
  <c r="Z136" i="4"/>
  <c r="AA136" i="4" s="1"/>
  <c r="R136" i="4"/>
  <c r="S136" i="4" s="1"/>
  <c r="L161" i="4"/>
  <c r="T161" i="4"/>
  <c r="AB161" i="4"/>
  <c r="D161" i="4"/>
  <c r="L175" i="4"/>
  <c r="X35" i="4"/>
  <c r="J37" i="4"/>
  <c r="K37" i="4" s="1"/>
  <c r="P38" i="4"/>
  <c r="L44" i="4"/>
  <c r="AB52" i="4"/>
  <c r="L53" i="4"/>
  <c r="L81" i="4"/>
  <c r="AB103" i="4"/>
  <c r="D103" i="4"/>
  <c r="L103" i="4"/>
  <c r="T103" i="4"/>
  <c r="L115" i="4"/>
  <c r="Z117" i="4"/>
  <c r="AA117" i="4" s="1"/>
  <c r="X117" i="4"/>
  <c r="J117" i="4"/>
  <c r="K117" i="4" s="1"/>
  <c r="R117" i="4"/>
  <c r="S117" i="4" s="1"/>
  <c r="Z123" i="4"/>
  <c r="AA123" i="4" s="1"/>
  <c r="X123" i="4"/>
  <c r="J123" i="4"/>
  <c r="K123" i="4" s="1"/>
  <c r="P123" i="4"/>
  <c r="K143" i="4"/>
  <c r="AB153" i="4"/>
  <c r="D153" i="4"/>
  <c r="L153" i="4"/>
  <c r="T153" i="4"/>
  <c r="L154" i="4"/>
  <c r="L46" i="4"/>
  <c r="L55" i="4"/>
  <c r="P33" i="4"/>
  <c r="AA42" i="4"/>
  <c r="J45" i="4"/>
  <c r="K45" i="4" s="1"/>
  <c r="R45" i="4"/>
  <c r="S45" i="4" s="1"/>
  <c r="Z45" i="4"/>
  <c r="AA45" i="4" s="1"/>
  <c r="X45" i="4"/>
  <c r="L49" i="4"/>
  <c r="T51" i="4"/>
  <c r="L51" i="4"/>
  <c r="L57" i="4"/>
  <c r="AB64" i="4"/>
  <c r="L65" i="4"/>
  <c r="AB119" i="4"/>
  <c r="AB131" i="4"/>
  <c r="AB132" i="4"/>
  <c r="L137" i="4"/>
  <c r="L142" i="4"/>
  <c r="AB41" i="4"/>
  <c r="D41" i="4"/>
  <c r="T48" i="4"/>
  <c r="L48" i="4"/>
  <c r="L61" i="4"/>
  <c r="T113" i="4"/>
  <c r="AB113" i="4"/>
  <c r="T146" i="4"/>
  <c r="L146" i="4"/>
  <c r="AB146" i="4"/>
  <c r="AB22" i="4"/>
  <c r="AB39" i="4"/>
  <c r="P41" i="4"/>
  <c r="J41" i="4"/>
  <c r="K41" i="4" s="1"/>
  <c r="R41" i="4"/>
  <c r="S41" i="4" s="1"/>
  <c r="Z43" i="4"/>
  <c r="AA43" i="4" s="1"/>
  <c r="R47" i="4"/>
  <c r="S47" i="4" s="1"/>
  <c r="P47" i="4"/>
  <c r="Z47" i="4"/>
  <c r="AA47" i="4" s="1"/>
  <c r="J48" i="4"/>
  <c r="K48" i="4" s="1"/>
  <c r="R48" i="4"/>
  <c r="S48" i="4" s="1"/>
  <c r="Z48" i="4"/>
  <c r="AA48" i="4" s="1"/>
  <c r="X48" i="4"/>
  <c r="L52" i="4"/>
  <c r="T54" i="4"/>
  <c r="AB54" i="4"/>
  <c r="L54" i="4"/>
  <c r="Z55" i="4"/>
  <c r="AA55" i="4" s="1"/>
  <c r="X55" i="4"/>
  <c r="J55" i="4"/>
  <c r="K55" i="4" s="1"/>
  <c r="R55" i="4"/>
  <c r="S55" i="4" s="1"/>
  <c r="AB59" i="4"/>
  <c r="D59" i="4"/>
  <c r="T59" i="4"/>
  <c r="T60" i="4"/>
  <c r="D60" i="4"/>
  <c r="L63" i="4"/>
  <c r="K65" i="4"/>
  <c r="X93" i="4"/>
  <c r="J93" i="4"/>
  <c r="K93" i="4" s="1"/>
  <c r="Z93" i="4"/>
  <c r="AA93" i="4" s="1"/>
  <c r="R93" i="4"/>
  <c r="S93" i="4" s="1"/>
  <c r="AB95" i="4"/>
  <c r="J113" i="4"/>
  <c r="K113" i="4" s="1"/>
  <c r="R113" i="4"/>
  <c r="S113" i="4" s="1"/>
  <c r="Z113" i="4"/>
  <c r="AA113" i="4" s="1"/>
  <c r="X113" i="4"/>
  <c r="AB117" i="4"/>
  <c r="L130" i="4"/>
  <c r="L132" i="4"/>
  <c r="X146" i="4"/>
  <c r="J146" i="4"/>
  <c r="K146" i="4" s="1"/>
  <c r="Z146" i="4"/>
  <c r="AA146" i="4" s="1"/>
  <c r="R146" i="4"/>
  <c r="S146" i="4" s="1"/>
  <c r="AB165" i="4"/>
  <c r="D165" i="4"/>
  <c r="L165" i="4"/>
  <c r="T165" i="4"/>
  <c r="AB171" i="4"/>
  <c r="D171" i="4"/>
  <c r="L171" i="4"/>
  <c r="T171" i="4"/>
  <c r="L67" i="4"/>
  <c r="J78" i="4"/>
  <c r="K78" i="4" s="1"/>
  <c r="R78" i="4"/>
  <c r="S78" i="4" s="1"/>
  <c r="Z78" i="4"/>
  <c r="AA78" i="4" s="1"/>
  <c r="X78" i="4"/>
  <c r="L93" i="4"/>
  <c r="T93" i="4"/>
  <c r="AB93" i="4"/>
  <c r="X152" i="4"/>
  <c r="Z152" i="4"/>
  <c r="AA152" i="4" s="1"/>
  <c r="J152" i="4"/>
  <c r="K152" i="4" s="1"/>
  <c r="Z24" i="4"/>
  <c r="AA24" i="4" s="1"/>
  <c r="L39" i="4"/>
  <c r="Z1" i="4"/>
  <c r="AB167" i="4"/>
  <c r="AB123" i="4"/>
  <c r="AB126" i="4"/>
  <c r="AB105" i="4"/>
  <c r="AB102" i="4"/>
  <c r="AB99" i="4"/>
  <c r="AB108" i="4"/>
  <c r="AB114" i="4"/>
  <c r="AB82" i="4"/>
  <c r="AB70" i="4"/>
  <c r="AB58" i="4"/>
  <c r="AB40" i="4"/>
  <c r="AB37" i="4"/>
  <c r="AB34" i="4"/>
  <c r="AB31" i="4"/>
  <c r="AB28" i="4"/>
  <c r="AB25" i="4"/>
  <c r="AB111" i="4"/>
  <c r="AB73" i="4"/>
  <c r="AB61" i="4"/>
  <c r="AB24" i="4"/>
  <c r="L32" i="4"/>
  <c r="R33" i="4"/>
  <c r="S33" i="4" s="1"/>
  <c r="J38" i="4"/>
  <c r="K38" i="4" s="1"/>
  <c r="P39" i="4"/>
  <c r="T41" i="4"/>
  <c r="T42" i="4"/>
  <c r="D42" i="4"/>
  <c r="AB42" i="4"/>
  <c r="L42" i="4"/>
  <c r="J43" i="4"/>
  <c r="K43" i="4" s="1"/>
  <c r="D48" i="4"/>
  <c r="R50" i="4"/>
  <c r="S50" i="4" s="1"/>
  <c r="P50" i="4"/>
  <c r="Z50" i="4"/>
  <c r="AA50" i="4" s="1"/>
  <c r="J51" i="4"/>
  <c r="K51" i="4" s="1"/>
  <c r="R51" i="4"/>
  <c r="S51" i="4" s="1"/>
  <c r="Z51" i="4"/>
  <c r="AA51" i="4" s="1"/>
  <c r="X51" i="4"/>
  <c r="Z58" i="4"/>
  <c r="AA58" i="4" s="1"/>
  <c r="X58" i="4"/>
  <c r="J58" i="4"/>
  <c r="K58" i="4" s="1"/>
  <c r="R58" i="4"/>
  <c r="S58" i="4" s="1"/>
  <c r="L64" i="4"/>
  <c r="AB81" i="4"/>
  <c r="T86" i="4"/>
  <c r="D86" i="4"/>
  <c r="D93" i="4"/>
  <c r="AB101" i="4"/>
  <c r="D113" i="4"/>
  <c r="D146" i="4"/>
  <c r="AB158" i="4"/>
  <c r="L163" i="4"/>
  <c r="L164" i="4"/>
  <c r="T164" i="4"/>
  <c r="D164" i="4"/>
  <c r="L169" i="4"/>
  <c r="P24" i="4"/>
  <c r="L30" i="4"/>
  <c r="J54" i="4"/>
  <c r="K54" i="4" s="1"/>
  <c r="R54" i="4"/>
  <c r="S54" i="4" s="1"/>
  <c r="Z54" i="4"/>
  <c r="AA54" i="4" s="1"/>
  <c r="X54" i="4"/>
  <c r="AB62" i="4"/>
  <c r="D62" i="4"/>
  <c r="L62" i="4"/>
  <c r="T63" i="4"/>
  <c r="L73" i="4"/>
  <c r="L79" i="4"/>
  <c r="AB79" i="4"/>
  <c r="AB97" i="4"/>
  <c r="D97" i="4"/>
  <c r="L97" i="4"/>
  <c r="J110" i="4"/>
  <c r="K110" i="4" s="1"/>
  <c r="R110" i="4"/>
  <c r="S110" i="4" s="1"/>
  <c r="X110" i="4"/>
  <c r="T140" i="4"/>
  <c r="AB140" i="4"/>
  <c r="L140" i="4"/>
  <c r="S172" i="4"/>
  <c r="R1" i="4"/>
  <c r="T132" i="4"/>
  <c r="T114" i="4"/>
  <c r="T147" i="4"/>
  <c r="T141" i="4"/>
  <c r="T135" i="4"/>
  <c r="AB56" i="4"/>
  <c r="D56" i="4"/>
  <c r="AB68" i="4"/>
  <c r="D68" i="4"/>
  <c r="AB80" i="4"/>
  <c r="D80" i="4"/>
  <c r="P84" i="4"/>
  <c r="K85" i="4"/>
  <c r="Z87" i="4"/>
  <c r="AA87" i="4" s="1"/>
  <c r="X87" i="4"/>
  <c r="J87" i="4"/>
  <c r="K87" i="4" s="1"/>
  <c r="R87" i="4"/>
  <c r="S87" i="4" s="1"/>
  <c r="AB91" i="4"/>
  <c r="T91" i="4"/>
  <c r="L92" i="4"/>
  <c r="Z105" i="4"/>
  <c r="AA105" i="4" s="1"/>
  <c r="X105" i="4"/>
  <c r="J105" i="4"/>
  <c r="K105" i="4" s="1"/>
  <c r="P105" i="4"/>
  <c r="AB137" i="4"/>
  <c r="X150" i="4"/>
  <c r="J150" i="4"/>
  <c r="K150" i="4" s="1"/>
  <c r="P150" i="4"/>
  <c r="AB170" i="4"/>
  <c r="T172" i="4"/>
  <c r="AB172" i="4"/>
  <c r="D172" i="4"/>
  <c r="L172" i="4"/>
  <c r="Z46" i="4"/>
  <c r="AA46" i="4" s="1"/>
  <c r="X46" i="4"/>
  <c r="J46" i="4"/>
  <c r="K46" i="4" s="1"/>
  <c r="Z49" i="4"/>
  <c r="AA49" i="4" s="1"/>
  <c r="X49" i="4"/>
  <c r="J49" i="4"/>
  <c r="K49" i="4" s="1"/>
  <c r="Z52" i="4"/>
  <c r="AA52" i="4" s="1"/>
  <c r="X52" i="4"/>
  <c r="J52" i="4"/>
  <c r="K52" i="4" s="1"/>
  <c r="J60" i="4"/>
  <c r="K60" i="4" s="1"/>
  <c r="R60" i="4"/>
  <c r="S60" i="4" s="1"/>
  <c r="P60" i="4"/>
  <c r="J72" i="4"/>
  <c r="K72" i="4" s="1"/>
  <c r="R72" i="4"/>
  <c r="S72" i="4" s="1"/>
  <c r="P72" i="4"/>
  <c r="D88" i="4"/>
  <c r="AB88" i="4"/>
  <c r="T90" i="4"/>
  <c r="AA92" i="4"/>
  <c r="T105" i="4"/>
  <c r="T115" i="4"/>
  <c r="J116" i="4"/>
  <c r="K116" i="4" s="1"/>
  <c r="R116" i="4"/>
  <c r="S116" i="4" s="1"/>
  <c r="Z116" i="4"/>
  <c r="AA116" i="4" s="1"/>
  <c r="X116" i="4"/>
  <c r="Z120" i="4"/>
  <c r="AA120" i="4" s="1"/>
  <c r="X120" i="4"/>
  <c r="J120" i="4"/>
  <c r="K120" i="4" s="1"/>
  <c r="R120" i="4"/>
  <c r="S120" i="4" s="1"/>
  <c r="AB121" i="4"/>
  <c r="D121" i="4"/>
  <c r="T121" i="4"/>
  <c r="T129" i="4"/>
  <c r="T131" i="4"/>
  <c r="L139" i="4"/>
  <c r="AB143" i="4"/>
  <c r="X161" i="4"/>
  <c r="Z161" i="4"/>
  <c r="AA161" i="4" s="1"/>
  <c r="J161" i="4"/>
  <c r="K161" i="4" s="1"/>
  <c r="R161" i="4"/>
  <c r="S161" i="4" s="1"/>
  <c r="AB44" i="4"/>
  <c r="D44" i="4"/>
  <c r="R46" i="4"/>
  <c r="S46" i="4" s="1"/>
  <c r="R49" i="4"/>
  <c r="S49" i="4" s="1"/>
  <c r="R52" i="4"/>
  <c r="S52" i="4" s="1"/>
  <c r="T57" i="4"/>
  <c r="L58" i="4"/>
  <c r="Z64" i="4"/>
  <c r="AA64" i="4" s="1"/>
  <c r="X64" i="4"/>
  <c r="J64" i="4"/>
  <c r="K64" i="4" s="1"/>
  <c r="R64" i="4"/>
  <c r="S64" i="4" s="1"/>
  <c r="T69" i="4"/>
  <c r="L70" i="4"/>
  <c r="Z76" i="4"/>
  <c r="AA76" i="4" s="1"/>
  <c r="X76" i="4"/>
  <c r="J76" i="4"/>
  <c r="K76" i="4" s="1"/>
  <c r="R76" i="4"/>
  <c r="S76" i="4" s="1"/>
  <c r="T81" i="4"/>
  <c r="L82" i="4"/>
  <c r="R84" i="4"/>
  <c r="S84" i="4" s="1"/>
  <c r="T95" i="4"/>
  <c r="K96" i="4"/>
  <c r="AB100" i="4"/>
  <c r="D100" i="4"/>
  <c r="L100" i="4"/>
  <c r="T100" i="4"/>
  <c r="K103" i="4"/>
  <c r="AB109" i="4"/>
  <c r="D109" i="4"/>
  <c r="L109" i="4"/>
  <c r="L112" i="4"/>
  <c r="T118" i="4"/>
  <c r="J119" i="4"/>
  <c r="K119" i="4" s="1"/>
  <c r="R119" i="4"/>
  <c r="S119" i="4" s="1"/>
  <c r="Z119" i="4"/>
  <c r="AA119" i="4" s="1"/>
  <c r="L133" i="4"/>
  <c r="P172" i="4"/>
  <c r="Z172" i="4"/>
  <c r="AA172" i="4" s="1"/>
  <c r="J172" i="4"/>
  <c r="K172" i="4" s="1"/>
  <c r="X172" i="4"/>
  <c r="AB47" i="4"/>
  <c r="D47" i="4"/>
  <c r="AB50" i="4"/>
  <c r="D50" i="4"/>
  <c r="AB53" i="4"/>
  <c r="D53" i="4"/>
  <c r="AB65" i="4"/>
  <c r="D65" i="4"/>
  <c r="AB77" i="4"/>
  <c r="D77" i="4"/>
  <c r="AB85" i="4"/>
  <c r="T94" i="4"/>
  <c r="T120" i="4"/>
  <c r="AB122" i="4"/>
  <c r="T130" i="4"/>
  <c r="J131" i="4"/>
  <c r="K131" i="4" s="1"/>
  <c r="R131" i="4"/>
  <c r="S131" i="4" s="1"/>
  <c r="Z131" i="4"/>
  <c r="AA131" i="4" s="1"/>
  <c r="X131" i="4"/>
  <c r="AB136" i="4"/>
  <c r="D136" i="4"/>
  <c r="T136" i="4"/>
  <c r="AB147" i="4"/>
  <c r="AB150" i="4"/>
  <c r="P44" i="4"/>
  <c r="Z44" i="4"/>
  <c r="AA44" i="4" s="1"/>
  <c r="T56" i="4"/>
  <c r="J57" i="4"/>
  <c r="K57" i="4" s="1"/>
  <c r="R57" i="4"/>
  <c r="S57" i="4" s="1"/>
  <c r="P57" i="4"/>
  <c r="T68" i="4"/>
  <c r="J69" i="4"/>
  <c r="K69" i="4" s="1"/>
  <c r="R69" i="4"/>
  <c r="S69" i="4" s="1"/>
  <c r="P69" i="4"/>
  <c r="T80" i="4"/>
  <c r="J81" i="4"/>
  <c r="K81" i="4" s="1"/>
  <c r="R81" i="4"/>
  <c r="S81" i="4" s="1"/>
  <c r="P81" i="4"/>
  <c r="X95" i="4"/>
  <c r="J95" i="4"/>
  <c r="K95" i="4" s="1"/>
  <c r="Z99" i="4"/>
  <c r="AA99" i="4" s="1"/>
  <c r="X99" i="4"/>
  <c r="J99" i="4"/>
  <c r="K99" i="4" s="1"/>
  <c r="P99" i="4"/>
  <c r="T101" i="4"/>
  <c r="D101" i="4"/>
  <c r="T108" i="4"/>
  <c r="T110" i="4"/>
  <c r="D110" i="4"/>
  <c r="L123" i="4"/>
  <c r="K127" i="4"/>
  <c r="D131" i="4"/>
  <c r="T134" i="4"/>
  <c r="AB134" i="4"/>
  <c r="L134" i="4"/>
  <c r="AB142" i="4"/>
  <c r="D142" i="4"/>
  <c r="T142" i="4"/>
  <c r="K145" i="4"/>
  <c r="L151" i="4"/>
  <c r="AA162" i="4"/>
  <c r="K174" i="4"/>
  <c r="Z53" i="4"/>
  <c r="AA53" i="4" s="1"/>
  <c r="Z56" i="4"/>
  <c r="AA56" i="4" s="1"/>
  <c r="Z59" i="4"/>
  <c r="AA59" i="4" s="1"/>
  <c r="Z62" i="4"/>
  <c r="AA62" i="4" s="1"/>
  <c r="Z65" i="4"/>
  <c r="AA65" i="4" s="1"/>
  <c r="Z68" i="4"/>
  <c r="AA68" i="4" s="1"/>
  <c r="Z71" i="4"/>
  <c r="AA71" i="4" s="1"/>
  <c r="Z74" i="4"/>
  <c r="AA74" i="4" s="1"/>
  <c r="Z77" i="4"/>
  <c r="AA77" i="4" s="1"/>
  <c r="Z80" i="4"/>
  <c r="AA80" i="4" s="1"/>
  <c r="Z83" i="4"/>
  <c r="AA83" i="4" s="1"/>
  <c r="AA88" i="4"/>
  <c r="L96" i="4"/>
  <c r="AB96" i="4"/>
  <c r="J107" i="4"/>
  <c r="K107" i="4" s="1"/>
  <c r="R107" i="4"/>
  <c r="S107" i="4" s="1"/>
  <c r="P107" i="4"/>
  <c r="AB118" i="4"/>
  <c r="D118" i="4"/>
  <c r="P142" i="4"/>
  <c r="X142" i="4"/>
  <c r="J142" i="4"/>
  <c r="K142" i="4" s="1"/>
  <c r="AB94" i="4"/>
  <c r="D94" i="4"/>
  <c r="AA94" i="4"/>
  <c r="J101" i="4"/>
  <c r="K101" i="4" s="1"/>
  <c r="R101" i="4"/>
  <c r="S101" i="4" s="1"/>
  <c r="P101" i="4"/>
  <c r="J104" i="4"/>
  <c r="K104" i="4" s="1"/>
  <c r="R104" i="4"/>
  <c r="S104" i="4" s="1"/>
  <c r="P104" i="4"/>
  <c r="L111" i="4"/>
  <c r="Z114" i="4"/>
  <c r="AA114" i="4" s="1"/>
  <c r="X114" i="4"/>
  <c r="J114" i="4"/>
  <c r="K114" i="4" s="1"/>
  <c r="R114" i="4"/>
  <c r="S114" i="4" s="1"/>
  <c r="T122" i="4"/>
  <c r="J125" i="4"/>
  <c r="K125" i="4" s="1"/>
  <c r="R125" i="4"/>
  <c r="S125" i="4" s="1"/>
  <c r="P125" i="4"/>
  <c r="L129" i="4"/>
  <c r="Z132" i="4"/>
  <c r="AA132" i="4" s="1"/>
  <c r="X132" i="4"/>
  <c r="J132" i="4"/>
  <c r="K132" i="4" s="1"/>
  <c r="R132" i="4"/>
  <c r="S132" i="4" s="1"/>
  <c r="L138" i="4"/>
  <c r="T138" i="4"/>
  <c r="P148" i="4"/>
  <c r="X148" i="4"/>
  <c r="J148" i="4"/>
  <c r="K148" i="4" s="1"/>
  <c r="X155" i="4"/>
  <c r="Z155" i="4"/>
  <c r="AA155" i="4" s="1"/>
  <c r="J155" i="4"/>
  <c r="K155" i="4" s="1"/>
  <c r="R155" i="4"/>
  <c r="S155" i="4" s="1"/>
  <c r="AB156" i="4"/>
  <c r="D156" i="4"/>
  <c r="L156" i="4"/>
  <c r="T156" i="4"/>
  <c r="L157" i="4"/>
  <c r="AB168" i="4"/>
  <c r="D168" i="4"/>
  <c r="L168" i="4"/>
  <c r="T168" i="4"/>
  <c r="K170" i="4"/>
  <c r="AA174" i="4"/>
  <c r="P53" i="4"/>
  <c r="P56" i="4"/>
  <c r="P59" i="4"/>
  <c r="P62" i="4"/>
  <c r="P65" i="4"/>
  <c r="P68" i="4"/>
  <c r="P71" i="4"/>
  <c r="P74" i="4"/>
  <c r="P77" i="4"/>
  <c r="P80" i="4"/>
  <c r="P83" i="4"/>
  <c r="T92" i="4"/>
  <c r="L108" i="4"/>
  <c r="AB115" i="4"/>
  <c r="D115" i="4"/>
  <c r="AB133" i="4"/>
  <c r="D133" i="4"/>
  <c r="L144" i="4"/>
  <c r="T144" i="4"/>
  <c r="L158" i="4"/>
  <c r="T158" i="4"/>
  <c r="T169" i="4"/>
  <c r="AB169" i="4"/>
  <c r="D169" i="4"/>
  <c r="AB90" i="4"/>
  <c r="AB92" i="4"/>
  <c r="R96" i="4"/>
  <c r="S96" i="4" s="1"/>
  <c r="L99" i="4"/>
  <c r="L102" i="4"/>
  <c r="L105" i="4"/>
  <c r="Z111" i="4"/>
  <c r="AA111" i="4" s="1"/>
  <c r="X111" i="4"/>
  <c r="J111" i="4"/>
  <c r="K111" i="4" s="1"/>
  <c r="R111" i="4"/>
  <c r="S111" i="4" s="1"/>
  <c r="T119" i="4"/>
  <c r="J122" i="4"/>
  <c r="K122" i="4" s="1"/>
  <c r="R122" i="4"/>
  <c r="S122" i="4" s="1"/>
  <c r="P122" i="4"/>
  <c r="L126" i="4"/>
  <c r="Z129" i="4"/>
  <c r="AA129" i="4" s="1"/>
  <c r="X129" i="4"/>
  <c r="J129" i="4"/>
  <c r="K129" i="4" s="1"/>
  <c r="R129" i="4"/>
  <c r="S129" i="4" s="1"/>
  <c r="X138" i="4"/>
  <c r="J138" i="4"/>
  <c r="K138" i="4" s="1"/>
  <c r="L150" i="4"/>
  <c r="T150" i="4"/>
  <c r="X167" i="4"/>
  <c r="Z167" i="4"/>
  <c r="AA167" i="4" s="1"/>
  <c r="J167" i="4"/>
  <c r="K167" i="4" s="1"/>
  <c r="R167" i="4"/>
  <c r="S167" i="4" s="1"/>
  <c r="Z108" i="4"/>
  <c r="AA108" i="4" s="1"/>
  <c r="X108" i="4"/>
  <c r="J108" i="4"/>
  <c r="K108" i="4" s="1"/>
  <c r="R108" i="4"/>
  <c r="S108" i="4" s="1"/>
  <c r="AB112" i="4"/>
  <c r="D112" i="4"/>
  <c r="D122" i="4"/>
  <c r="AB130" i="4"/>
  <c r="D130" i="4"/>
  <c r="AB135" i="4"/>
  <c r="D138" i="4"/>
  <c r="R138" i="4"/>
  <c r="S138" i="4" s="1"/>
  <c r="X144" i="4"/>
  <c r="J144" i="4"/>
  <c r="K144" i="4" s="1"/>
  <c r="X158" i="4"/>
  <c r="Z158" i="4"/>
  <c r="AA158" i="4" s="1"/>
  <c r="J158" i="4"/>
  <c r="K158" i="4" s="1"/>
  <c r="R158" i="4"/>
  <c r="S158" i="4" s="1"/>
  <c r="AB159" i="4"/>
  <c r="D159" i="4"/>
  <c r="L159" i="4"/>
  <c r="T159" i="4"/>
  <c r="L160" i="4"/>
  <c r="Z112" i="4"/>
  <c r="AA112" i="4" s="1"/>
  <c r="Z115" i="4"/>
  <c r="AA115" i="4" s="1"/>
  <c r="Z118" i="4"/>
  <c r="AA118" i="4" s="1"/>
  <c r="Z121" i="4"/>
  <c r="AA121" i="4" s="1"/>
  <c r="Z124" i="4"/>
  <c r="AA124" i="4" s="1"/>
  <c r="Z127" i="4"/>
  <c r="AA127" i="4" s="1"/>
  <c r="Z130" i="4"/>
  <c r="AA130" i="4" s="1"/>
  <c r="Z133" i="4"/>
  <c r="AA133" i="4" s="1"/>
  <c r="Z135" i="4"/>
  <c r="AA135" i="4" s="1"/>
  <c r="T137" i="4"/>
  <c r="Z137" i="4"/>
  <c r="AA137" i="4" s="1"/>
  <c r="Z139" i="4"/>
  <c r="AA139" i="4" s="1"/>
  <c r="Z141" i="4"/>
  <c r="AA141" i="4" s="1"/>
  <c r="T143" i="4"/>
  <c r="Z143" i="4"/>
  <c r="AA143" i="4" s="1"/>
  <c r="Z145" i="4"/>
  <c r="AA145" i="4" s="1"/>
  <c r="Z147" i="4"/>
  <c r="AA147" i="4" s="1"/>
  <c r="T149" i="4"/>
  <c r="Z149" i="4"/>
  <c r="AA149" i="4" s="1"/>
  <c r="Z151" i="4"/>
  <c r="AA151" i="4" s="1"/>
  <c r="Z154" i="4"/>
  <c r="AA154" i="4" s="1"/>
  <c r="Z157" i="4"/>
  <c r="AA157" i="4" s="1"/>
  <c r="Z160" i="4"/>
  <c r="AA160" i="4" s="1"/>
  <c r="Z163" i="4"/>
  <c r="AA163" i="4" s="1"/>
  <c r="X173" i="4"/>
  <c r="J173" i="4"/>
  <c r="K173" i="4" s="1"/>
  <c r="R173" i="4"/>
  <c r="S173" i="4" s="1"/>
  <c r="L135" i="4"/>
  <c r="AB139" i="4"/>
  <c r="D139" i="4"/>
  <c r="L141" i="4"/>
  <c r="AB145" i="4"/>
  <c r="D145" i="4"/>
  <c r="L147" i="4"/>
  <c r="AB151" i="4"/>
  <c r="D151" i="4"/>
  <c r="P153" i="4"/>
  <c r="X153" i="4"/>
  <c r="R153" i="4"/>
  <c r="S153" i="4" s="1"/>
  <c r="P156" i="4"/>
  <c r="X156" i="4"/>
  <c r="R156" i="4"/>
  <c r="S156" i="4" s="1"/>
  <c r="P159" i="4"/>
  <c r="X159" i="4"/>
  <c r="R159" i="4"/>
  <c r="S159" i="4" s="1"/>
  <c r="P162" i="4"/>
  <c r="X162" i="4"/>
  <c r="R162" i="4"/>
  <c r="S162" i="4" s="1"/>
  <c r="T166" i="4"/>
  <c r="AB166" i="4"/>
  <c r="D166" i="4"/>
  <c r="S169" i="4"/>
  <c r="L170" i="4"/>
  <c r="T170" i="4"/>
  <c r="AB174" i="4"/>
  <c r="T154" i="4"/>
  <c r="AB154" i="4"/>
  <c r="D154" i="4"/>
  <c r="T157" i="4"/>
  <c r="AB157" i="4"/>
  <c r="D157" i="4"/>
  <c r="T160" i="4"/>
  <c r="AB160" i="4"/>
  <c r="D160" i="4"/>
  <c r="T163" i="4"/>
  <c r="AB163" i="4"/>
  <c r="D163" i="4"/>
  <c r="P170" i="4"/>
  <c r="P135" i="4"/>
  <c r="P141" i="4"/>
  <c r="P147" i="4"/>
  <c r="T175" i="4"/>
  <c r="AB175" i="4"/>
  <c r="D175" i="4"/>
  <c r="D135" i="4"/>
  <c r="R139" i="4"/>
  <c r="S139" i="4" s="1"/>
  <c r="D141" i="4"/>
  <c r="R145" i="4"/>
  <c r="S145" i="4" s="1"/>
  <c r="D147" i="4"/>
  <c r="R151" i="4"/>
  <c r="S151" i="4" s="1"/>
  <c r="R166" i="4"/>
  <c r="S166" i="4" s="1"/>
  <c r="L167" i="4"/>
  <c r="T167" i="4"/>
  <c r="D170" i="4"/>
  <c r="R170" i="4"/>
  <c r="S170" i="4" s="1"/>
  <c r="X165" i="4"/>
  <c r="X168" i="4"/>
  <c r="X171" i="4"/>
  <c r="L174" i="4"/>
  <c r="X174" i="4"/>
  <c r="D174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<sst xmlns="http://schemas.openxmlformats.org/spreadsheetml/2006/main" count="793" uniqueCount="301">
  <si>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</si>
  <si>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</si>
  <si>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</si>
  <si>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</si>
  <si>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</si>
  <si>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</si>
  <si>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</si>
  <si>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</si>
  <si>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</si>
  <si>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</si>
  <si>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</si>
  <si>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</si>
  <si>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</si>
  <si>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</si>
  <si>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</si>
  <si>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</si>
  <si>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</si>
  <si>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</si>
  <si>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</si>
  <si>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</si>
  <si>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内訳代価</t>
  </si>
  <si>
    <t>磯辺茂呂町線外</t>
  </si>
  <si>
    <t>15号内訳書</t>
  </si>
  <si>
    <t>切削オーバーレイ工</t>
  </si>
  <si>
    <t>夜間施工   t=5cm</t>
  </si>
  <si>
    <t>m2</t>
  </si>
  <si>
    <t>16号内訳書</t>
  </si>
  <si>
    <t xml:space="preserve">s2008 </t>
  </si>
  <si>
    <t>材料費</t>
  </si>
  <si>
    <t>再生改質Ⅱ型密粒度As20スラグ</t>
  </si>
  <si>
    <t>t</t>
  </si>
  <si>
    <t xml:space="preserve">s1005 </t>
  </si>
  <si>
    <t>TFE(ﾀｯｸﾌｧｲﾝE)</t>
  </si>
  <si>
    <t>L</t>
  </si>
  <si>
    <t xml:space="preserve">s20718001 </t>
  </si>
  <si>
    <t>雑材</t>
  </si>
  <si>
    <t>/日</t>
  </si>
  <si>
    <t xml:space="preserve">s20718549 </t>
  </si>
  <si>
    <t>軽油</t>
  </si>
  <si>
    <t xml:space="preserve">r20718008 </t>
  </si>
  <si>
    <t>労務費</t>
  </si>
  <si>
    <t>運転工(夜間)</t>
  </si>
  <si>
    <t>8H</t>
  </si>
  <si>
    <t>人</t>
  </si>
  <si>
    <t xml:space="preserve">k20718110 </t>
  </si>
  <si>
    <t>機械費</t>
  </si>
  <si>
    <t>切削機ホイール</t>
  </si>
  <si>
    <t>ER550級</t>
  </si>
  <si>
    <t>日台</t>
  </si>
  <si>
    <t xml:space="preserve">k20718103 </t>
  </si>
  <si>
    <t>散水車</t>
  </si>
  <si>
    <t>4t</t>
  </si>
  <si>
    <t xml:space="preserve">k20718054 </t>
  </si>
  <si>
    <t>Asフィニッシャー6.0m</t>
  </si>
  <si>
    <t>低騒音</t>
  </si>
  <si>
    <t xml:space="preserve">k20718116 </t>
  </si>
  <si>
    <t>ミニ切削機350</t>
  </si>
  <si>
    <t>台</t>
  </si>
  <si>
    <t xml:space="preserve">k20718117 </t>
  </si>
  <si>
    <t>スィーパー</t>
  </si>
  <si>
    <t>大型</t>
  </si>
  <si>
    <t xml:space="preserve">k20718107 </t>
  </si>
  <si>
    <t>ディストリビューター(夜)</t>
  </si>
  <si>
    <t xml:space="preserve">k20718102 </t>
  </si>
  <si>
    <t>トラック積コンプレッサー</t>
  </si>
  <si>
    <t>ブレーカー・ホース込</t>
  </si>
  <si>
    <t xml:space="preserve">k20718043 </t>
  </si>
  <si>
    <t>タイヤR　8t</t>
  </si>
  <si>
    <t>8t　低騒音</t>
  </si>
  <si>
    <t xml:space="preserve">k20718039 </t>
  </si>
  <si>
    <t>マカダムR</t>
  </si>
  <si>
    <t>R2　低騒音</t>
  </si>
  <si>
    <t xml:space="preserve">k20718031 </t>
  </si>
  <si>
    <t>コンバインドR</t>
  </si>
  <si>
    <t>3t　4ｔ　低騒音</t>
  </si>
  <si>
    <t xml:space="preserve">k20718024 </t>
  </si>
  <si>
    <t>タイヤショベル0.5</t>
  </si>
  <si>
    <t xml:space="preserve">u20718008 </t>
  </si>
  <si>
    <t>運搬費</t>
  </si>
  <si>
    <t>WP</t>
  </si>
  <si>
    <t xml:space="preserve">u20718025 </t>
  </si>
  <si>
    <t>2tダンプ</t>
  </si>
  <si>
    <t>夜間施工　　t＝10cm</t>
  </si>
  <si>
    <t>18号内訳書</t>
  </si>
  <si>
    <t xml:space="preserve">s20718004 </t>
  </si>
  <si>
    <t>R粗粒度As20</t>
  </si>
  <si>
    <t>ｔ</t>
  </si>
  <si>
    <t xml:space="preserve">s20718015 </t>
  </si>
  <si>
    <t>乳剤PK-3・4</t>
  </si>
  <si>
    <t xml:space="preserve">s20718042 </t>
  </si>
  <si>
    <t>山砂</t>
  </si>
  <si>
    <t>m3</t>
  </si>
  <si>
    <t xml:space="preserve">k20718053 </t>
  </si>
  <si>
    <t>Asフィニッシャー4.4m</t>
  </si>
  <si>
    <t>材料　追加分</t>
  </si>
  <si>
    <t>41号内訳書</t>
  </si>
  <si>
    <t>R粗粒度Asスラグ入り</t>
  </si>
  <si>
    <t>殻運搬処分費</t>
  </si>
  <si>
    <t>19号内訳書</t>
  </si>
  <si>
    <t xml:space="preserve">u20718002 </t>
  </si>
  <si>
    <t>ダンプトラック常用10t　夜間</t>
  </si>
  <si>
    <t>オペ燃料付き</t>
  </si>
  <si>
    <t xml:space="preserve">u20718037 </t>
  </si>
  <si>
    <t>As塊処分</t>
  </si>
  <si>
    <t xml:space="preserve">u20718005 </t>
  </si>
  <si>
    <t>ダンプトラック常用8t　夜間</t>
  </si>
  <si>
    <t>道路付属施設工</t>
  </si>
  <si>
    <t>本</t>
  </si>
  <si>
    <t>27号内訳書</t>
  </si>
  <si>
    <t>車線分離標</t>
  </si>
  <si>
    <t>接着剤</t>
  </si>
  <si>
    <t>缶</t>
  </si>
  <si>
    <t>運賃</t>
  </si>
  <si>
    <t>回</t>
  </si>
  <si>
    <t xml:space="preserve">r20718024 </t>
  </si>
  <si>
    <t>技工</t>
  </si>
  <si>
    <t>夜</t>
  </si>
  <si>
    <t>道路鋲　縁石用</t>
  </si>
  <si>
    <t>個</t>
  </si>
  <si>
    <t>重機運搬費</t>
  </si>
  <si>
    <t>20号内訳書</t>
  </si>
  <si>
    <t xml:space="preserve">u20718021 </t>
  </si>
  <si>
    <t>切削機回送　トレーラー</t>
  </si>
  <si>
    <t xml:space="preserve">u20718022 </t>
  </si>
  <si>
    <t>ミニ切削機回送</t>
  </si>
  <si>
    <t>350(TOTAL)</t>
  </si>
  <si>
    <t xml:space="preserve">u20718017 </t>
  </si>
  <si>
    <t>AF回送　大型セルフ(60)</t>
  </si>
  <si>
    <t xml:space="preserve">u20718018 </t>
  </si>
  <si>
    <t>AF回送　大型セルフ(44)</t>
  </si>
  <si>
    <t xml:space="preserve">u20718012 </t>
  </si>
  <si>
    <t>回送　大型セルフ</t>
  </si>
  <si>
    <t>MR・TR</t>
  </si>
  <si>
    <t xml:space="preserve">u20718016 </t>
  </si>
  <si>
    <t>雑回送</t>
  </si>
  <si>
    <t>安全管理費</t>
  </si>
  <si>
    <t>交通誘導員・保安材</t>
  </si>
  <si>
    <t>21号内訳書</t>
  </si>
  <si>
    <t>規制車</t>
  </si>
  <si>
    <t>保安資材</t>
  </si>
  <si>
    <t>カラーコーン他</t>
  </si>
  <si>
    <t>/月</t>
  </si>
  <si>
    <t>トイレカー</t>
  </si>
  <si>
    <t>し尿処理</t>
  </si>
  <si>
    <t xml:space="preserve">g2001 </t>
  </si>
  <si>
    <t>外注費</t>
  </si>
  <si>
    <t>交通誘導員(昼間8h)</t>
  </si>
  <si>
    <t>測量・マーキング</t>
  </si>
  <si>
    <t xml:space="preserve">g2002 </t>
  </si>
  <si>
    <t>交通誘導員(夜間8h)</t>
  </si>
  <si>
    <t>中央分離帯工</t>
  </si>
  <si>
    <t>現場管理工</t>
  </si>
  <si>
    <t>コア穴埋め</t>
  </si>
  <si>
    <t>22号内訳書</t>
  </si>
  <si>
    <t xml:space="preserve">k20718001 </t>
  </si>
  <si>
    <t>小物機械　ﾊﾟｰﾄﾅ・丸ﾉｺ</t>
  </si>
  <si>
    <t>ｸﾞﾗｲﾝﾀﾞ-・ｺｱ抜きﾄﾞﾘﾙ・ﾌﾞﾛｱ　等</t>
  </si>
  <si>
    <t>安全管理費2</t>
  </si>
  <si>
    <t>夜間照明</t>
  </si>
  <si>
    <t>23号内訳書</t>
  </si>
  <si>
    <t xml:space="preserve">s20718550 </t>
  </si>
  <si>
    <t>ガソリン</t>
  </si>
  <si>
    <t xml:space="preserve">k20718073 </t>
  </si>
  <si>
    <t>バルーンライト</t>
  </si>
  <si>
    <t>PG</t>
  </si>
  <si>
    <t>技術管理工</t>
  </si>
  <si>
    <t>縦横断測量</t>
  </si>
  <si>
    <t>24号内訳書</t>
  </si>
  <si>
    <t>測量　縦横断測量</t>
  </si>
  <si>
    <t>技術管理工2</t>
  </si>
  <si>
    <t>26号内訳書</t>
  </si>
  <si>
    <t>測量資材</t>
  </si>
  <si>
    <t xml:space="preserve">g3001 </t>
  </si>
  <si>
    <t>舗装路面の平坦性測定</t>
  </si>
  <si>
    <t xml:space="preserve">g20718051 </t>
  </si>
  <si>
    <t>Asコア採取(最低)</t>
  </si>
  <si>
    <t>最低補償</t>
  </si>
  <si>
    <t>コアー試験</t>
  </si>
  <si>
    <t>公的機関</t>
  </si>
  <si>
    <t>測量機器</t>
  </si>
  <si>
    <t>外注工</t>
  </si>
  <si>
    <t>25号内訳書</t>
  </si>
  <si>
    <t xml:space="preserve">g20718107 </t>
  </si>
  <si>
    <t>外注経費</t>
  </si>
  <si>
    <t>材工5％</t>
  </si>
  <si>
    <t xml:space="preserve">g20718106 </t>
  </si>
  <si>
    <t>法定福利費</t>
  </si>
  <si>
    <t>労務費*15.15%</t>
  </si>
  <si>
    <t>ｍ</t>
  </si>
  <si>
    <t>38号内訳書</t>
  </si>
  <si>
    <t xml:space="preserve">s4005 </t>
  </si>
  <si>
    <t>歩車道境界ﾌﾞﾛｯｸ</t>
  </si>
  <si>
    <t>B片面　L=2.0m</t>
  </si>
  <si>
    <t xml:space="preserve">s3001 </t>
  </si>
  <si>
    <t>基礎コンクリート　生ｺﾝ</t>
  </si>
  <si>
    <t>18-8-25</t>
  </si>
  <si>
    <t>間詰コンクリート　　生ｺﾝ</t>
  </si>
  <si>
    <t xml:space="preserve">s20718534 </t>
  </si>
  <si>
    <t>型枠材</t>
  </si>
  <si>
    <t>210-30-4000　足場板</t>
  </si>
  <si>
    <t>さん木</t>
  </si>
  <si>
    <t xml:space="preserve">s20718020 </t>
  </si>
  <si>
    <t>ｺｰﾙﾄﾞﾊﾟｰﾐｸｽ</t>
  </si>
  <si>
    <t>袋</t>
  </si>
  <si>
    <t>R粗粒度As</t>
  </si>
  <si>
    <t xml:space="preserve">s20718006 </t>
  </si>
  <si>
    <t>R密粒度As</t>
  </si>
  <si>
    <t xml:space="preserve">s20718027 </t>
  </si>
  <si>
    <t>RM-30(㎥）</t>
  </si>
  <si>
    <t>舗装　雑材</t>
  </si>
  <si>
    <t xml:space="preserve">r20718003 </t>
  </si>
  <si>
    <t>世話役</t>
  </si>
  <si>
    <t xml:space="preserve">r20718005 </t>
  </si>
  <si>
    <t xml:space="preserve">g0002 </t>
  </si>
  <si>
    <t>As舗装版切断</t>
  </si>
  <si>
    <t>T=100</t>
  </si>
  <si>
    <t>m</t>
  </si>
  <si>
    <t xml:space="preserve">g20718049 </t>
  </si>
  <si>
    <t>ウォーターリサイクル(最低)</t>
  </si>
  <si>
    <t>昼</t>
  </si>
  <si>
    <t>日</t>
  </si>
  <si>
    <t xml:space="preserve">k20718014 </t>
  </si>
  <si>
    <t>BH0.15クレーン</t>
  </si>
  <si>
    <t>低騒音・超小</t>
  </si>
  <si>
    <t xml:space="preserve">k20718016 </t>
  </si>
  <si>
    <t>BH0.2クレーン</t>
  </si>
  <si>
    <t>発電機　モルタルミキサー</t>
  </si>
  <si>
    <t xml:space="preserve">k20718094 </t>
  </si>
  <si>
    <t>4tダンプ</t>
  </si>
  <si>
    <t>1tダンプ</t>
  </si>
  <si>
    <t>39号内訳書</t>
  </si>
  <si>
    <t>ダンプトラック常用8t</t>
  </si>
  <si>
    <t xml:space="preserve">u20718040 </t>
  </si>
  <si>
    <t>As塊運搬処分8t</t>
  </si>
  <si>
    <t xml:space="preserve">u20718041 </t>
  </si>
  <si>
    <t>Co塊処分　無筋</t>
  </si>
  <si>
    <t>路盤廃材</t>
  </si>
  <si>
    <t>40号内訳書</t>
  </si>
  <si>
    <t>日々回送</t>
  </si>
  <si>
    <t xml:space="preserve">u20718011 </t>
  </si>
  <si>
    <t>回送　4tセルフ</t>
  </si>
  <si>
    <t>千葉寺町73号線</t>
  </si>
  <si>
    <t>17号内訳書</t>
  </si>
  <si>
    <t>舗装版切断工</t>
  </si>
  <si>
    <t>28号内訳書</t>
  </si>
  <si>
    <t xml:space="preserve">g20718050 </t>
  </si>
  <si>
    <t>舗装切断(最低)</t>
  </si>
  <si>
    <t>舗装打ち替え工</t>
  </si>
  <si>
    <t>29号内訳書</t>
  </si>
  <si>
    <t xml:space="preserve">r20718007 </t>
  </si>
  <si>
    <t>運転工</t>
  </si>
  <si>
    <t xml:space="preserve">k20718012 </t>
  </si>
  <si>
    <t>BH0.1クレーン</t>
  </si>
  <si>
    <t>30号内訳書</t>
  </si>
  <si>
    <t xml:space="preserve">u20718001 </t>
  </si>
  <si>
    <t>ダンプトラック常用4t</t>
  </si>
  <si>
    <t>Co塊処分</t>
  </si>
  <si>
    <t>端数調整金</t>
  </si>
  <si>
    <t>歩道舗装工</t>
  </si>
  <si>
    <t>一般部</t>
  </si>
  <si>
    <t>31号内訳書</t>
  </si>
  <si>
    <t xml:space="preserve">s20718009 </t>
  </si>
  <si>
    <t>透水性開粒度As13</t>
  </si>
  <si>
    <t xml:space="preserve">s20718002 </t>
  </si>
  <si>
    <t>燃料　軽油</t>
  </si>
  <si>
    <t xml:space="preserve">k0003 </t>
  </si>
  <si>
    <t>ｱｽﾌｧﾙﾄﾌｨﾆｯｼｬ</t>
  </si>
  <si>
    <t>W=1.4m級</t>
  </si>
  <si>
    <t>乗り入れ部</t>
  </si>
  <si>
    <t>32号内訳書</t>
  </si>
  <si>
    <t>R粗粒度Asスラグ</t>
  </si>
  <si>
    <t>R密粒度As13</t>
  </si>
  <si>
    <t xml:space="preserve">s1002 </t>
  </si>
  <si>
    <t>RSK-3・4</t>
  </si>
  <si>
    <t xml:space="preserve">s0002 </t>
  </si>
  <si>
    <t>RC-40</t>
  </si>
  <si>
    <t>現着</t>
  </si>
  <si>
    <t>構造物設置工</t>
  </si>
  <si>
    <t>L型側溝・地先境界ブロック</t>
  </si>
  <si>
    <t>33号内訳書</t>
  </si>
  <si>
    <t xml:space="preserve">s4009 </t>
  </si>
  <si>
    <t>L型側溝</t>
  </si>
  <si>
    <t xml:space="preserve">s3009 </t>
  </si>
  <si>
    <t>ﾓﾙﾀﾙ</t>
  </si>
  <si>
    <t>1:3</t>
  </si>
  <si>
    <t xml:space="preserve">s4001 </t>
  </si>
  <si>
    <t>地先境界ﾌﾞﾛｯｸ</t>
  </si>
  <si>
    <t>A　L=600</t>
  </si>
  <si>
    <t>安全管理工</t>
  </si>
  <si>
    <t>交通誘導員</t>
  </si>
  <si>
    <t>34号内訳書</t>
  </si>
  <si>
    <t>35号内訳書</t>
  </si>
  <si>
    <t>AF14</t>
  </si>
  <si>
    <t>TS/CR</t>
  </si>
  <si>
    <t>品質管理</t>
  </si>
  <si>
    <t>36号内訳書</t>
  </si>
  <si>
    <t xml:space="preserve">g3010 </t>
  </si>
  <si>
    <t>アスファルト舗装の現場透水試験</t>
  </si>
  <si>
    <t>37号内訳書</t>
  </si>
  <si>
    <t>予算2</t>
    <phoneticPr fontId="3"/>
  </si>
  <si>
    <t>磯辺茂呂町線外1舗装改良工事(中5-2)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</si>
</sst>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72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300</v>
      </c>
      <c r="G1" s="51" t="s">
        <v>19</v>
      </c>
      <c r="H1">
        <v>1</v>
      </c>
      <c r="I1" s="58">
        <v>23550000</v>
      </c>
      <c r="J1" s="59">
        <v>23550000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G2" s="51" t="s">
        <v>19</v>
      </c>
      <c r="H2">
        <v>1</v>
      </c>
      <c r="I2" s="58">
        <v>20172920</v>
      </c>
      <c r="J2" s="59">
        <v>20172920</v>
      </c>
      <c r="K2">
        <v>1</v>
      </c>
      <c r="M2" s="51" t="s">
        <v>22</v>
      </c>
      <c r="O2" s="52"/>
    </row>
    <row r="3" spans="1:15" x14ac:dyDescent="0.15">
      <c r="A3">
        <v>2</v>
      </c>
      <c r="D3" s="51" t="s">
        <v>20</v>
      </c>
      <c r="E3" s="51" t="s">
        <v>23</v>
      </c>
      <c r="F3" s="51" t="s">
        <v>24</v>
      </c>
      <c r="G3" s="51" t="s">
        <v>25</v>
      </c>
      <c r="H3">
        <v>3970</v>
      </c>
      <c r="I3" s="58">
        <v>2125</v>
      </c>
      <c r="J3" s="59">
        <v>8436250</v>
      </c>
      <c r="K3">
        <v>3970</v>
      </c>
      <c r="M3" s="51" t="s">
        <v>26</v>
      </c>
      <c r="O3" s="52"/>
    </row>
    <row r="4" spans="1:15" x14ac:dyDescent="0.15">
      <c r="A4">
        <v>3</v>
      </c>
      <c r="B4" s="51" t="s">
        <v>27</v>
      </c>
      <c r="D4" s="51" t="s">
        <v>28</v>
      </c>
      <c r="E4" s="51" t="s">
        <v>29</v>
      </c>
      <c r="G4" s="51" t="s">
        <v>30</v>
      </c>
      <c r="H4">
        <v>500</v>
      </c>
      <c r="I4" s="58">
        <v>10200</v>
      </c>
      <c r="J4" s="59">
        <v>5100000</v>
      </c>
      <c r="K4">
        <v>1</v>
      </c>
      <c r="O4" s="52"/>
    </row>
    <row r="5" spans="1:15" x14ac:dyDescent="0.15">
      <c r="A5">
        <v>3</v>
      </c>
      <c r="B5" s="51" t="s">
        <v>31</v>
      </c>
      <c r="D5" s="51" t="s">
        <v>28</v>
      </c>
      <c r="E5" s="51" t="s">
        <v>32</v>
      </c>
      <c r="G5" s="51" t="s">
        <v>33</v>
      </c>
      <c r="H5">
        <v>1600</v>
      </c>
      <c r="I5" s="58">
        <v>155</v>
      </c>
      <c r="J5" s="59">
        <v>248000</v>
      </c>
      <c r="K5">
        <v>1</v>
      </c>
      <c r="O5" s="52"/>
    </row>
    <row r="6" spans="1:15" x14ac:dyDescent="0.15">
      <c r="A6">
        <v>3</v>
      </c>
      <c r="B6" s="51" t="s">
        <v>34</v>
      </c>
      <c r="D6" s="51" t="s">
        <v>28</v>
      </c>
      <c r="E6" s="51" t="s">
        <v>35</v>
      </c>
      <c r="G6" s="51" t="s">
        <v>36</v>
      </c>
      <c r="H6">
        <v>4</v>
      </c>
      <c r="I6" s="58">
        <v>5000</v>
      </c>
      <c r="J6" s="59">
        <v>20000</v>
      </c>
      <c r="K6">
        <v>1</v>
      </c>
      <c r="O6" s="52"/>
    </row>
    <row r="7" spans="1:15" x14ac:dyDescent="0.15">
      <c r="A7">
        <v>3</v>
      </c>
      <c r="B7" s="51" t="s">
        <v>34</v>
      </c>
      <c r="D7" s="51" t="s">
        <v>28</v>
      </c>
      <c r="E7" s="51" t="s">
        <v>35</v>
      </c>
      <c r="G7" s="51" t="s">
        <v>19</v>
      </c>
      <c r="H7">
        <v>1</v>
      </c>
      <c r="I7" s="58">
        <v>4250</v>
      </c>
      <c r="J7" s="59">
        <v>4250</v>
      </c>
      <c r="K7">
        <v>1</v>
      </c>
      <c r="O7" s="52"/>
    </row>
    <row r="8" spans="1:15" x14ac:dyDescent="0.15">
      <c r="A8">
        <v>3</v>
      </c>
      <c r="B8" s="51" t="s">
        <v>37</v>
      </c>
      <c r="D8" s="51" t="s">
        <v>28</v>
      </c>
      <c r="E8" s="51" t="s">
        <v>38</v>
      </c>
      <c r="G8" s="51" t="s">
        <v>33</v>
      </c>
      <c r="H8">
        <v>350</v>
      </c>
      <c r="I8" s="58">
        <v>160</v>
      </c>
      <c r="J8" s="59">
        <v>56000</v>
      </c>
      <c r="K8">
        <v>1</v>
      </c>
      <c r="O8" s="52"/>
    </row>
    <row r="9" spans="1:15" x14ac:dyDescent="0.15">
      <c r="A9">
        <v>3</v>
      </c>
      <c r="B9" s="51" t="s">
        <v>39</v>
      </c>
      <c r="D9" s="51" t="s">
        <v>40</v>
      </c>
      <c r="E9" s="51" t="s">
        <v>41</v>
      </c>
      <c r="F9" s="51" t="s">
        <v>42</v>
      </c>
      <c r="G9" s="51" t="s">
        <v>43</v>
      </c>
      <c r="H9">
        <v>20</v>
      </c>
      <c r="I9" s="58">
        <v>25000</v>
      </c>
      <c r="J9" s="59">
        <v>500000</v>
      </c>
      <c r="K9">
        <v>1</v>
      </c>
      <c r="O9" s="52"/>
    </row>
    <row r="10" spans="1:15" x14ac:dyDescent="0.15">
      <c r="A10">
        <v>3</v>
      </c>
      <c r="B10" s="51" t="s">
        <v>44</v>
      </c>
      <c r="D10" s="51" t="s">
        <v>45</v>
      </c>
      <c r="E10" s="51" t="s">
        <v>46</v>
      </c>
      <c r="F10" s="51" t="s">
        <v>47</v>
      </c>
      <c r="G10" s="51" t="s">
        <v>48</v>
      </c>
      <c r="H10">
        <v>4</v>
      </c>
      <c r="I10" s="58">
        <v>240000</v>
      </c>
      <c r="J10" s="59">
        <v>960000</v>
      </c>
      <c r="K10">
        <v>1</v>
      </c>
      <c r="O10" s="52"/>
    </row>
    <row r="11" spans="1:15" x14ac:dyDescent="0.15">
      <c r="A11">
        <v>3</v>
      </c>
      <c r="B11" s="51" t="s">
        <v>49</v>
      </c>
      <c r="D11" s="51" t="s">
        <v>45</v>
      </c>
      <c r="E11" s="51" t="s">
        <v>50</v>
      </c>
      <c r="F11" s="51" t="s">
        <v>51</v>
      </c>
      <c r="G11" s="51" t="s">
        <v>48</v>
      </c>
      <c r="H11">
        <v>4</v>
      </c>
      <c r="I11" s="58">
        <v>10000</v>
      </c>
      <c r="J11" s="59">
        <v>40000</v>
      </c>
      <c r="K11">
        <v>1</v>
      </c>
      <c r="O11" s="52"/>
    </row>
    <row r="12" spans="1:15" x14ac:dyDescent="0.15">
      <c r="A12">
        <v>3</v>
      </c>
      <c r="B12" s="51" t="s">
        <v>52</v>
      </c>
      <c r="D12" s="51" t="s">
        <v>45</v>
      </c>
      <c r="E12" s="51" t="s">
        <v>53</v>
      </c>
      <c r="F12" s="51" t="s">
        <v>54</v>
      </c>
      <c r="G12" s="51" t="s">
        <v>48</v>
      </c>
      <c r="H12">
        <v>4</v>
      </c>
      <c r="I12" s="58">
        <v>60000</v>
      </c>
      <c r="J12" s="59">
        <v>240000</v>
      </c>
      <c r="K12">
        <v>1</v>
      </c>
      <c r="O12" s="52"/>
    </row>
    <row r="13" spans="1:15" x14ac:dyDescent="0.15">
      <c r="A13">
        <v>3</v>
      </c>
      <c r="B13" s="51" t="s">
        <v>55</v>
      </c>
      <c r="D13" s="51" t="s">
        <v>45</v>
      </c>
      <c r="E13" s="51" t="s">
        <v>56</v>
      </c>
      <c r="G13" s="51" t="s">
        <v>57</v>
      </c>
      <c r="H13">
        <v>4</v>
      </c>
      <c r="I13" s="58">
        <v>120000</v>
      </c>
      <c r="J13" s="59">
        <v>480000</v>
      </c>
      <c r="K13">
        <v>1</v>
      </c>
      <c r="O13" s="52"/>
    </row>
    <row r="14" spans="1:15" x14ac:dyDescent="0.15">
      <c r="A14">
        <v>3</v>
      </c>
      <c r="B14" s="51" t="s">
        <v>58</v>
      </c>
      <c r="D14" s="51" t="s">
        <v>45</v>
      </c>
      <c r="E14" s="51" t="s">
        <v>59</v>
      </c>
      <c r="F14" s="51" t="s">
        <v>60</v>
      </c>
      <c r="G14" s="51" t="s">
        <v>48</v>
      </c>
      <c r="H14">
        <v>4</v>
      </c>
      <c r="I14" s="58">
        <v>80000</v>
      </c>
      <c r="J14" s="59">
        <v>320000</v>
      </c>
      <c r="K14">
        <v>1</v>
      </c>
      <c r="O14" s="52"/>
    </row>
    <row r="15" spans="1:15" x14ac:dyDescent="0.15">
      <c r="A15">
        <v>3</v>
      </c>
      <c r="B15" s="51" t="s">
        <v>61</v>
      </c>
      <c r="D15" s="51" t="s">
        <v>45</v>
      </c>
      <c r="E15" s="51" t="s">
        <v>62</v>
      </c>
      <c r="G15" s="51" t="s">
        <v>48</v>
      </c>
      <c r="H15">
        <v>4</v>
      </c>
      <c r="I15" s="58">
        <v>60000</v>
      </c>
      <c r="J15" s="59">
        <v>240000</v>
      </c>
      <c r="K15">
        <v>1</v>
      </c>
      <c r="O15" s="52"/>
    </row>
    <row r="16" spans="1:15" x14ac:dyDescent="0.15">
      <c r="A16">
        <v>3</v>
      </c>
      <c r="B16" s="51" t="s">
        <v>63</v>
      </c>
      <c r="D16" s="51" t="s">
        <v>45</v>
      </c>
      <c r="E16" s="51" t="s">
        <v>64</v>
      </c>
      <c r="F16" s="51" t="s">
        <v>65</v>
      </c>
      <c r="G16" s="51" t="s">
        <v>48</v>
      </c>
      <c r="H16">
        <v>4</v>
      </c>
      <c r="I16" s="58">
        <v>12000</v>
      </c>
      <c r="J16" s="59">
        <v>48000</v>
      </c>
      <c r="K16">
        <v>1</v>
      </c>
      <c r="O16" s="52"/>
    </row>
    <row r="17" spans="1:15" x14ac:dyDescent="0.15">
      <c r="A17">
        <v>3</v>
      </c>
      <c r="B17" s="51" t="s">
        <v>66</v>
      </c>
      <c r="D17" s="51" t="s">
        <v>45</v>
      </c>
      <c r="E17" s="51" t="s">
        <v>67</v>
      </c>
      <c r="F17" s="51" t="s">
        <v>68</v>
      </c>
      <c r="G17" s="51" t="s">
        <v>48</v>
      </c>
      <c r="H17">
        <v>4</v>
      </c>
      <c r="I17" s="58">
        <v>8000</v>
      </c>
      <c r="J17" s="59">
        <v>32000</v>
      </c>
      <c r="K17">
        <v>1</v>
      </c>
      <c r="O17" s="52"/>
    </row>
    <row r="18" spans="1:15" x14ac:dyDescent="0.15">
      <c r="A18">
        <v>3</v>
      </c>
      <c r="B18" s="51" t="s">
        <v>69</v>
      </c>
      <c r="D18" s="51" t="s">
        <v>45</v>
      </c>
      <c r="E18" s="51" t="s">
        <v>70</v>
      </c>
      <c r="F18" s="51" t="s">
        <v>71</v>
      </c>
      <c r="G18" s="51" t="s">
        <v>48</v>
      </c>
      <c r="H18">
        <v>4</v>
      </c>
      <c r="I18" s="58">
        <v>8000</v>
      </c>
      <c r="J18" s="59">
        <v>32000</v>
      </c>
      <c r="K18">
        <v>1</v>
      </c>
      <c r="O18" s="52"/>
    </row>
    <row r="19" spans="1:15" x14ac:dyDescent="0.15">
      <c r="A19">
        <v>3</v>
      </c>
      <c r="B19" s="51" t="s">
        <v>72</v>
      </c>
      <c r="D19" s="51" t="s">
        <v>45</v>
      </c>
      <c r="E19" s="51" t="s">
        <v>73</v>
      </c>
      <c r="F19" s="51" t="s">
        <v>74</v>
      </c>
      <c r="G19" s="51" t="s">
        <v>48</v>
      </c>
      <c r="H19">
        <v>4</v>
      </c>
      <c r="I19" s="58">
        <v>6000</v>
      </c>
      <c r="J19" s="59">
        <v>24000</v>
      </c>
      <c r="K19">
        <v>1</v>
      </c>
      <c r="O19" s="52"/>
    </row>
    <row r="20" spans="1:15" x14ac:dyDescent="0.15">
      <c r="A20">
        <v>3</v>
      </c>
      <c r="B20" s="51" t="s">
        <v>75</v>
      </c>
      <c r="D20" s="51" t="s">
        <v>45</v>
      </c>
      <c r="E20" s="51" t="s">
        <v>76</v>
      </c>
      <c r="F20" s="51" t="s">
        <v>54</v>
      </c>
      <c r="G20" s="51" t="s">
        <v>48</v>
      </c>
      <c r="H20">
        <v>4</v>
      </c>
      <c r="I20" s="58">
        <v>6000</v>
      </c>
      <c r="J20" s="59">
        <v>24000</v>
      </c>
      <c r="K20">
        <v>1</v>
      </c>
      <c r="O20" s="52"/>
    </row>
    <row r="21" spans="1:15" x14ac:dyDescent="0.15">
      <c r="A21">
        <v>3</v>
      </c>
      <c r="B21" s="51" t="s">
        <v>77</v>
      </c>
      <c r="D21" s="51" t="s">
        <v>78</v>
      </c>
      <c r="E21" s="51" t="s">
        <v>79</v>
      </c>
      <c r="G21" s="51" t="s">
        <v>57</v>
      </c>
      <c r="H21">
        <v>4</v>
      </c>
      <c r="I21" s="58">
        <v>5000</v>
      </c>
      <c r="J21" s="59">
        <v>20000</v>
      </c>
      <c r="K21">
        <v>1</v>
      </c>
      <c r="O21" s="52"/>
    </row>
    <row r="22" spans="1:15" x14ac:dyDescent="0.15">
      <c r="A22">
        <v>3</v>
      </c>
      <c r="B22" s="51" t="s">
        <v>80</v>
      </c>
      <c r="D22" s="51" t="s">
        <v>78</v>
      </c>
      <c r="E22" s="51" t="s">
        <v>81</v>
      </c>
      <c r="G22" s="51" t="s">
        <v>57</v>
      </c>
      <c r="H22">
        <v>8</v>
      </c>
      <c r="I22" s="58">
        <v>6000</v>
      </c>
      <c r="J22" s="59">
        <v>48000</v>
      </c>
      <c r="K22">
        <v>1</v>
      </c>
      <c r="O22" s="52"/>
    </row>
    <row r="23" spans="1:15" x14ac:dyDescent="0.15">
      <c r="A23">
        <v>2</v>
      </c>
      <c r="D23" s="51" t="s">
        <v>20</v>
      </c>
      <c r="E23" s="51" t="s">
        <v>23</v>
      </c>
      <c r="F23" s="51" t="s">
        <v>82</v>
      </c>
      <c r="G23" s="51" t="s">
        <v>25</v>
      </c>
      <c r="H23">
        <v>212</v>
      </c>
      <c r="I23" s="58">
        <v>4440</v>
      </c>
      <c r="J23" s="59">
        <v>941280</v>
      </c>
      <c r="K23">
        <v>212</v>
      </c>
      <c r="M23" s="51" t="s">
        <v>83</v>
      </c>
      <c r="O23" s="52"/>
    </row>
    <row r="24" spans="1:15" x14ac:dyDescent="0.15">
      <c r="A24">
        <v>3</v>
      </c>
      <c r="B24" s="51" t="s">
        <v>27</v>
      </c>
      <c r="D24" s="51" t="s">
        <v>28</v>
      </c>
      <c r="E24" s="51" t="s">
        <v>29</v>
      </c>
      <c r="G24" s="51" t="s">
        <v>30</v>
      </c>
      <c r="H24">
        <v>27</v>
      </c>
      <c r="I24" s="58">
        <v>10200</v>
      </c>
      <c r="J24" s="59">
        <v>275400</v>
      </c>
      <c r="K24">
        <v>1</v>
      </c>
      <c r="O24" s="52"/>
    </row>
    <row r="25" spans="1:15" x14ac:dyDescent="0.15">
      <c r="A25">
        <v>3</v>
      </c>
      <c r="B25" s="51" t="s">
        <v>84</v>
      </c>
      <c r="D25" s="51" t="s">
        <v>28</v>
      </c>
      <c r="E25" s="51" t="s">
        <v>85</v>
      </c>
      <c r="G25" s="51" t="s">
        <v>86</v>
      </c>
      <c r="H25">
        <v>27</v>
      </c>
      <c r="I25" s="58">
        <v>8800</v>
      </c>
      <c r="J25" s="59">
        <v>237600</v>
      </c>
      <c r="K25">
        <v>1</v>
      </c>
      <c r="O25" s="52"/>
    </row>
    <row r="26" spans="1:15" x14ac:dyDescent="0.15">
      <c r="A26">
        <v>3</v>
      </c>
      <c r="B26" s="51" t="s">
        <v>31</v>
      </c>
      <c r="D26" s="51" t="s">
        <v>28</v>
      </c>
      <c r="E26" s="51" t="s">
        <v>32</v>
      </c>
      <c r="G26" s="51" t="s">
        <v>33</v>
      </c>
      <c r="H26">
        <v>90</v>
      </c>
      <c r="I26" s="58">
        <v>155</v>
      </c>
      <c r="J26" s="59">
        <v>13950</v>
      </c>
      <c r="K26">
        <v>1</v>
      </c>
      <c r="O26" s="52"/>
    </row>
    <row r="27" spans="1:15" x14ac:dyDescent="0.15">
      <c r="A27">
        <v>3</v>
      </c>
      <c r="B27" s="51" t="s">
        <v>87</v>
      </c>
      <c r="D27" s="51" t="s">
        <v>28</v>
      </c>
      <c r="E27" s="51" t="s">
        <v>88</v>
      </c>
      <c r="G27" s="51" t="s">
        <v>33</v>
      </c>
      <c r="H27">
        <v>170</v>
      </c>
      <c r="I27" s="58">
        <v>100</v>
      </c>
      <c r="J27" s="59">
        <v>17000</v>
      </c>
      <c r="K27">
        <v>1</v>
      </c>
      <c r="O27" s="52"/>
    </row>
    <row r="28" spans="1:15" x14ac:dyDescent="0.15">
      <c r="A28">
        <v>3</v>
      </c>
      <c r="B28" s="51" t="s">
        <v>89</v>
      </c>
      <c r="D28" s="51" t="s">
        <v>28</v>
      </c>
      <c r="E28" s="51" t="s">
        <v>90</v>
      </c>
      <c r="G28" s="51" t="s">
        <v>91</v>
      </c>
      <c r="H28">
        <v>1</v>
      </c>
      <c r="I28" s="58">
        <v>5000</v>
      </c>
      <c r="J28" s="59">
        <v>5000</v>
      </c>
      <c r="K28">
        <v>1</v>
      </c>
      <c r="O28" s="52"/>
    </row>
    <row r="29" spans="1:15" x14ac:dyDescent="0.15">
      <c r="A29">
        <v>3</v>
      </c>
      <c r="B29" s="51" t="s">
        <v>34</v>
      </c>
      <c r="D29" s="51" t="s">
        <v>28</v>
      </c>
      <c r="E29" s="51" t="s">
        <v>35</v>
      </c>
      <c r="G29" s="51" t="s">
        <v>19</v>
      </c>
      <c r="H29">
        <v>1</v>
      </c>
      <c r="I29" s="58">
        <v>2330</v>
      </c>
      <c r="J29" s="59">
        <v>2330</v>
      </c>
      <c r="K29">
        <v>1</v>
      </c>
      <c r="O29" s="52"/>
    </row>
    <row r="30" spans="1:15" x14ac:dyDescent="0.15">
      <c r="A30">
        <v>3</v>
      </c>
      <c r="B30" s="51" t="s">
        <v>39</v>
      </c>
      <c r="D30" s="51" t="s">
        <v>40</v>
      </c>
      <c r="E30" s="51" t="s">
        <v>41</v>
      </c>
      <c r="F30" s="51" t="s">
        <v>42</v>
      </c>
      <c r="G30" s="51" t="s">
        <v>43</v>
      </c>
      <c r="H30">
        <v>12</v>
      </c>
      <c r="I30" s="58">
        <v>25000</v>
      </c>
      <c r="J30" s="59">
        <v>300000</v>
      </c>
      <c r="K30">
        <v>1</v>
      </c>
      <c r="O30" s="52"/>
    </row>
    <row r="31" spans="1:15" x14ac:dyDescent="0.15">
      <c r="A31">
        <v>3</v>
      </c>
      <c r="B31" s="51" t="s">
        <v>92</v>
      </c>
      <c r="D31" s="51" t="s">
        <v>45</v>
      </c>
      <c r="E31" s="51" t="s">
        <v>93</v>
      </c>
      <c r="F31" s="51" t="s">
        <v>54</v>
      </c>
      <c r="G31" s="51" t="s">
        <v>48</v>
      </c>
      <c r="H31">
        <v>2</v>
      </c>
      <c r="I31" s="58">
        <v>45000</v>
      </c>
      <c r="J31" s="59">
        <v>90000</v>
      </c>
      <c r="K31">
        <v>1</v>
      </c>
      <c r="O31" s="52"/>
    </row>
    <row r="32" spans="1:15" x14ac:dyDescent="0.15">
      <c r="A32">
        <v>2</v>
      </c>
      <c r="D32" s="51" t="s">
        <v>20</v>
      </c>
      <c r="E32" s="51" t="s">
        <v>23</v>
      </c>
      <c r="F32" s="51" t="s">
        <v>94</v>
      </c>
      <c r="G32" s="51" t="s">
        <v>19</v>
      </c>
      <c r="H32">
        <v>1</v>
      </c>
      <c r="I32" s="58">
        <v>718900</v>
      </c>
      <c r="J32" s="59">
        <v>718900</v>
      </c>
      <c r="K32">
        <v>1</v>
      </c>
      <c r="M32" s="51" t="s">
        <v>95</v>
      </c>
      <c r="O32" s="52"/>
    </row>
    <row r="33" spans="1:15" x14ac:dyDescent="0.15">
      <c r="A33">
        <v>3</v>
      </c>
      <c r="B33" s="51" t="s">
        <v>84</v>
      </c>
      <c r="D33" s="51" t="s">
        <v>28</v>
      </c>
      <c r="E33" s="51" t="s">
        <v>96</v>
      </c>
      <c r="G33" s="51" t="s">
        <v>86</v>
      </c>
      <c r="H33">
        <v>79</v>
      </c>
      <c r="I33" s="58">
        <v>9100</v>
      </c>
      <c r="J33" s="59">
        <v>718900</v>
      </c>
      <c r="K33">
        <v>1</v>
      </c>
      <c r="O33" s="52"/>
    </row>
    <row r="34" spans="1:15" x14ac:dyDescent="0.15">
      <c r="A34">
        <v>2</v>
      </c>
      <c r="D34" s="51" t="s">
        <v>20</v>
      </c>
      <c r="E34" s="51" t="s">
        <v>97</v>
      </c>
      <c r="G34" s="51" t="s">
        <v>91</v>
      </c>
      <c r="H34">
        <v>220</v>
      </c>
      <c r="I34" s="58">
        <v>8400</v>
      </c>
      <c r="J34" s="59">
        <v>1848000</v>
      </c>
      <c r="K34">
        <v>220</v>
      </c>
      <c r="M34" s="51" t="s">
        <v>98</v>
      </c>
      <c r="O34" s="52"/>
    </row>
    <row r="35" spans="1:15" x14ac:dyDescent="0.15">
      <c r="A35">
        <v>3</v>
      </c>
      <c r="B35" s="51" t="s">
        <v>99</v>
      </c>
      <c r="D35" s="51" t="s">
        <v>78</v>
      </c>
      <c r="E35" s="51" t="s">
        <v>100</v>
      </c>
      <c r="F35" s="51" t="s">
        <v>101</v>
      </c>
      <c r="G35" s="51" t="s">
        <v>48</v>
      </c>
      <c r="H35">
        <v>32</v>
      </c>
      <c r="I35" s="58">
        <v>48000</v>
      </c>
      <c r="J35" s="59">
        <v>1536000</v>
      </c>
      <c r="K35">
        <v>1</v>
      </c>
      <c r="O35" s="52"/>
    </row>
    <row r="36" spans="1:15" x14ac:dyDescent="0.15">
      <c r="A36">
        <v>3</v>
      </c>
      <c r="B36" s="51" t="s">
        <v>102</v>
      </c>
      <c r="D36" s="51" t="s">
        <v>78</v>
      </c>
      <c r="E36" s="51" t="s">
        <v>103</v>
      </c>
      <c r="G36" s="51" t="s">
        <v>30</v>
      </c>
      <c r="H36">
        <v>610</v>
      </c>
      <c r="I36" s="58">
        <v>300</v>
      </c>
      <c r="J36" s="59">
        <v>183000</v>
      </c>
      <c r="K36">
        <v>1</v>
      </c>
      <c r="O36" s="52"/>
    </row>
    <row r="37" spans="1:15" x14ac:dyDescent="0.15">
      <c r="A37">
        <v>3</v>
      </c>
      <c r="B37" s="51" t="s">
        <v>104</v>
      </c>
      <c r="D37" s="51" t="s">
        <v>78</v>
      </c>
      <c r="E37" s="51" t="s">
        <v>105</v>
      </c>
      <c r="F37" s="51" t="s">
        <v>101</v>
      </c>
      <c r="G37" s="51" t="s">
        <v>57</v>
      </c>
      <c r="H37">
        <v>3</v>
      </c>
      <c r="I37" s="58">
        <v>43000</v>
      </c>
      <c r="J37" s="59">
        <v>129000</v>
      </c>
      <c r="K37">
        <v>1</v>
      </c>
      <c r="O37" s="52"/>
    </row>
    <row r="38" spans="1:15" x14ac:dyDescent="0.15">
      <c r="A38">
        <v>2</v>
      </c>
      <c r="D38" s="51" t="s">
        <v>20</v>
      </c>
      <c r="E38" s="51" t="s">
        <v>106</v>
      </c>
      <c r="G38" s="51" t="s">
        <v>107</v>
      </c>
      <c r="H38">
        <v>5</v>
      </c>
      <c r="I38" s="58">
        <v>26900</v>
      </c>
      <c r="J38" s="59">
        <v>134500</v>
      </c>
      <c r="K38">
        <v>5</v>
      </c>
      <c r="M38" s="51" t="s">
        <v>108</v>
      </c>
      <c r="O38" s="52"/>
    </row>
    <row r="39" spans="1:15" x14ac:dyDescent="0.15">
      <c r="A39">
        <v>3</v>
      </c>
      <c r="D39" s="51" t="s">
        <v>28</v>
      </c>
      <c r="E39" s="51" t="s">
        <v>109</v>
      </c>
      <c r="G39" s="51" t="s">
        <v>107</v>
      </c>
      <c r="H39">
        <v>5</v>
      </c>
      <c r="I39" s="58">
        <v>18500</v>
      </c>
      <c r="J39" s="59">
        <v>92500</v>
      </c>
      <c r="K39">
        <v>1</v>
      </c>
      <c r="O39" s="52"/>
    </row>
    <row r="40" spans="1:15" x14ac:dyDescent="0.15">
      <c r="A40">
        <v>3</v>
      </c>
      <c r="D40" s="51" t="s">
        <v>28</v>
      </c>
      <c r="E40" s="51" t="s">
        <v>109</v>
      </c>
      <c r="F40" s="51" t="s">
        <v>110</v>
      </c>
      <c r="G40" s="51" t="s">
        <v>111</v>
      </c>
      <c r="H40">
        <v>2</v>
      </c>
      <c r="I40" s="58">
        <v>3000</v>
      </c>
      <c r="J40" s="59">
        <v>6000</v>
      </c>
      <c r="K40">
        <v>1</v>
      </c>
      <c r="O40" s="52"/>
    </row>
    <row r="41" spans="1:15" x14ac:dyDescent="0.15">
      <c r="A41">
        <v>3</v>
      </c>
      <c r="D41" s="51" t="s">
        <v>28</v>
      </c>
      <c r="E41" s="51" t="s">
        <v>109</v>
      </c>
      <c r="F41" s="51" t="s">
        <v>112</v>
      </c>
      <c r="G41" s="51" t="s">
        <v>113</v>
      </c>
      <c r="H41">
        <v>1</v>
      </c>
      <c r="I41" s="58">
        <v>2000</v>
      </c>
      <c r="J41" s="59">
        <v>2000</v>
      </c>
      <c r="K41">
        <v>1</v>
      </c>
      <c r="O41" s="52"/>
    </row>
    <row r="42" spans="1:15" x14ac:dyDescent="0.15">
      <c r="A42">
        <v>3</v>
      </c>
      <c r="B42" s="51" t="s">
        <v>114</v>
      </c>
      <c r="D42" s="51" t="s">
        <v>40</v>
      </c>
      <c r="E42" s="51" t="s">
        <v>115</v>
      </c>
      <c r="F42" s="51" t="s">
        <v>116</v>
      </c>
      <c r="G42" s="51" t="s">
        <v>43</v>
      </c>
      <c r="H42">
        <v>1</v>
      </c>
      <c r="I42" s="58">
        <v>26000</v>
      </c>
      <c r="J42" s="59">
        <v>26000</v>
      </c>
      <c r="K42">
        <v>1</v>
      </c>
      <c r="O42" s="52"/>
    </row>
    <row r="43" spans="1:15" x14ac:dyDescent="0.15">
      <c r="A43">
        <v>3</v>
      </c>
      <c r="D43" s="51" t="s">
        <v>28</v>
      </c>
      <c r="E43" s="51" t="s">
        <v>117</v>
      </c>
      <c r="G43" s="51" t="s">
        <v>118</v>
      </c>
      <c r="H43">
        <v>8</v>
      </c>
      <c r="I43" s="58">
        <v>1000</v>
      </c>
      <c r="J43" s="59">
        <v>8000</v>
      </c>
      <c r="K43">
        <v>1</v>
      </c>
      <c r="O43" s="52"/>
    </row>
    <row r="44" spans="1:15" x14ac:dyDescent="0.15">
      <c r="A44">
        <v>2</v>
      </c>
      <c r="D44" s="51" t="s">
        <v>20</v>
      </c>
      <c r="E44" s="51" t="s">
        <v>119</v>
      </c>
      <c r="G44" s="51" t="s">
        <v>19</v>
      </c>
      <c r="H44">
        <v>1</v>
      </c>
      <c r="I44" s="58">
        <v>1540000</v>
      </c>
      <c r="J44" s="59">
        <v>1540000</v>
      </c>
      <c r="K44">
        <v>1</v>
      </c>
      <c r="M44" s="51" t="s">
        <v>120</v>
      </c>
      <c r="O44" s="52"/>
    </row>
    <row r="45" spans="1:15" x14ac:dyDescent="0.15">
      <c r="A45">
        <v>3</v>
      </c>
      <c r="B45" s="51" t="s">
        <v>121</v>
      </c>
      <c r="D45" s="51" t="s">
        <v>78</v>
      </c>
      <c r="E45" s="51" t="s">
        <v>122</v>
      </c>
      <c r="G45" s="51" t="s">
        <v>113</v>
      </c>
      <c r="H45">
        <v>8</v>
      </c>
      <c r="I45" s="58">
        <v>60000</v>
      </c>
      <c r="J45" s="59">
        <v>480000</v>
      </c>
      <c r="K45">
        <v>1</v>
      </c>
      <c r="O45" s="52"/>
    </row>
    <row r="46" spans="1:15" x14ac:dyDescent="0.15">
      <c r="A46">
        <v>3</v>
      </c>
      <c r="B46" s="51" t="s">
        <v>123</v>
      </c>
      <c r="D46" s="51" t="s">
        <v>78</v>
      </c>
      <c r="E46" s="51" t="s">
        <v>124</v>
      </c>
      <c r="F46" s="51" t="s">
        <v>125</v>
      </c>
      <c r="G46" s="51" t="s">
        <v>113</v>
      </c>
      <c r="H46">
        <v>8</v>
      </c>
      <c r="I46" s="58">
        <v>30000</v>
      </c>
      <c r="J46" s="59">
        <v>240000</v>
      </c>
      <c r="K46">
        <v>1</v>
      </c>
      <c r="O46" s="52"/>
    </row>
    <row r="47" spans="1:15" x14ac:dyDescent="0.15">
      <c r="A47">
        <v>3</v>
      </c>
      <c r="B47" s="51" t="s">
        <v>126</v>
      </c>
      <c r="D47" s="51" t="s">
        <v>78</v>
      </c>
      <c r="E47" s="51" t="s">
        <v>127</v>
      </c>
      <c r="G47" s="51" t="s">
        <v>113</v>
      </c>
      <c r="H47">
        <v>8</v>
      </c>
      <c r="I47" s="58">
        <v>30000</v>
      </c>
      <c r="J47" s="59">
        <v>240000</v>
      </c>
      <c r="K47">
        <v>1</v>
      </c>
      <c r="O47" s="52"/>
    </row>
    <row r="48" spans="1:15" x14ac:dyDescent="0.15">
      <c r="A48">
        <v>3</v>
      </c>
      <c r="B48" s="51" t="s">
        <v>128</v>
      </c>
      <c r="D48" s="51" t="s">
        <v>78</v>
      </c>
      <c r="E48" s="51" t="s">
        <v>129</v>
      </c>
      <c r="G48" s="51" t="s">
        <v>113</v>
      </c>
      <c r="H48">
        <v>4</v>
      </c>
      <c r="I48" s="58">
        <v>25000</v>
      </c>
      <c r="J48" s="59">
        <v>100000</v>
      </c>
      <c r="K48">
        <v>1</v>
      </c>
      <c r="O48" s="52"/>
    </row>
    <row r="49" spans="1:15" x14ac:dyDescent="0.15">
      <c r="A49">
        <v>3</v>
      </c>
      <c r="B49" s="51" t="s">
        <v>130</v>
      </c>
      <c r="D49" s="51" t="s">
        <v>78</v>
      </c>
      <c r="E49" s="51" t="s">
        <v>131</v>
      </c>
      <c r="F49" s="51" t="s">
        <v>132</v>
      </c>
      <c r="G49" s="51" t="s">
        <v>113</v>
      </c>
      <c r="H49">
        <v>16</v>
      </c>
      <c r="I49" s="58">
        <v>25000</v>
      </c>
      <c r="J49" s="59">
        <v>400000</v>
      </c>
      <c r="K49">
        <v>1</v>
      </c>
      <c r="O49" s="52"/>
    </row>
    <row r="50" spans="1:15" x14ac:dyDescent="0.15">
      <c r="A50">
        <v>3</v>
      </c>
      <c r="B50" s="51" t="s">
        <v>133</v>
      </c>
      <c r="D50" s="51" t="s">
        <v>78</v>
      </c>
      <c r="E50" s="51" t="s">
        <v>134</v>
      </c>
      <c r="G50" s="51" t="s">
        <v>113</v>
      </c>
      <c r="H50">
        <v>8</v>
      </c>
      <c r="I50" s="58">
        <v>10000</v>
      </c>
      <c r="J50" s="59">
        <v>80000</v>
      </c>
      <c r="K50">
        <v>1</v>
      </c>
      <c r="O50" s="52"/>
    </row>
    <row r="51" spans="1:15" x14ac:dyDescent="0.15">
      <c r="A51">
        <v>2</v>
      </c>
      <c r="D51" s="51" t="s">
        <v>20</v>
      </c>
      <c r="E51" s="51" t="s">
        <v>135</v>
      </c>
      <c r="F51" s="51" t="s">
        <v>136</v>
      </c>
      <c r="G51" s="51" t="s">
        <v>19</v>
      </c>
      <c r="H51">
        <v>1</v>
      </c>
      <c r="I51" s="58">
        <v>1320000</v>
      </c>
      <c r="J51" s="59">
        <v>1320000</v>
      </c>
      <c r="K51">
        <v>1</v>
      </c>
      <c r="M51" s="51" t="s">
        <v>137</v>
      </c>
      <c r="O51" s="52"/>
    </row>
    <row r="52" spans="1:15" x14ac:dyDescent="0.15">
      <c r="A52">
        <v>3</v>
      </c>
      <c r="D52" s="51" t="s">
        <v>45</v>
      </c>
      <c r="E52" s="51" t="s">
        <v>138</v>
      </c>
      <c r="G52" s="51" t="s">
        <v>57</v>
      </c>
      <c r="H52">
        <v>15</v>
      </c>
      <c r="I52" s="58">
        <v>8000</v>
      </c>
      <c r="J52" s="59">
        <v>120000</v>
      </c>
      <c r="K52">
        <v>1</v>
      </c>
      <c r="O52" s="52"/>
    </row>
    <row r="53" spans="1:15" x14ac:dyDescent="0.15">
      <c r="A53">
        <v>3</v>
      </c>
      <c r="D53" s="51" t="s">
        <v>45</v>
      </c>
      <c r="E53" s="51" t="s">
        <v>139</v>
      </c>
      <c r="F53" s="51" t="s">
        <v>140</v>
      </c>
      <c r="G53" s="51" t="s">
        <v>141</v>
      </c>
      <c r="H53">
        <v>1</v>
      </c>
      <c r="I53" s="58">
        <v>60000</v>
      </c>
      <c r="J53" s="59">
        <v>60000</v>
      </c>
      <c r="K53">
        <v>1</v>
      </c>
      <c r="O53" s="52"/>
    </row>
    <row r="54" spans="1:15" x14ac:dyDescent="0.15">
      <c r="A54">
        <v>3</v>
      </c>
      <c r="D54" s="51" t="s">
        <v>45</v>
      </c>
      <c r="E54" s="51" t="s">
        <v>142</v>
      </c>
      <c r="G54" s="51" t="s">
        <v>141</v>
      </c>
      <c r="H54">
        <v>1</v>
      </c>
      <c r="I54" s="58">
        <v>100000</v>
      </c>
      <c r="J54" s="59">
        <v>100000</v>
      </c>
      <c r="K54">
        <v>1</v>
      </c>
      <c r="O54" s="52"/>
    </row>
    <row r="55" spans="1:15" x14ac:dyDescent="0.15">
      <c r="A55">
        <v>3</v>
      </c>
      <c r="D55" s="51" t="s">
        <v>45</v>
      </c>
      <c r="E55" s="51" t="s">
        <v>142</v>
      </c>
      <c r="F55" s="51" t="s">
        <v>143</v>
      </c>
      <c r="G55" s="51" t="s">
        <v>113</v>
      </c>
      <c r="H55">
        <v>1</v>
      </c>
      <c r="I55" s="58">
        <v>16000</v>
      </c>
      <c r="J55" s="59">
        <v>16000</v>
      </c>
      <c r="K55">
        <v>1</v>
      </c>
      <c r="O55" s="52"/>
    </row>
    <row r="56" spans="1:15" x14ac:dyDescent="0.15">
      <c r="A56">
        <v>3</v>
      </c>
      <c r="B56" s="51" t="s">
        <v>144</v>
      </c>
      <c r="D56" s="51" t="s">
        <v>145</v>
      </c>
      <c r="E56" s="51" t="s">
        <v>146</v>
      </c>
      <c r="F56" s="51" t="s">
        <v>147</v>
      </c>
      <c r="G56" s="51" t="s">
        <v>43</v>
      </c>
      <c r="H56">
        <v>5</v>
      </c>
      <c r="I56" s="58">
        <v>20000</v>
      </c>
      <c r="J56" s="59">
        <v>100000</v>
      </c>
      <c r="K56">
        <v>1</v>
      </c>
      <c r="O56" s="52"/>
    </row>
    <row r="57" spans="1:15" x14ac:dyDescent="0.15">
      <c r="A57">
        <v>3</v>
      </c>
      <c r="B57" s="51" t="s">
        <v>148</v>
      </c>
      <c r="D57" s="51" t="s">
        <v>145</v>
      </c>
      <c r="E57" s="51" t="s">
        <v>149</v>
      </c>
      <c r="G57" s="51" t="s">
        <v>43</v>
      </c>
      <c r="H57">
        <v>21</v>
      </c>
      <c r="I57" s="58">
        <v>24000</v>
      </c>
      <c r="J57" s="59">
        <v>504000</v>
      </c>
      <c r="K57">
        <v>1</v>
      </c>
      <c r="O57" s="52"/>
    </row>
    <row r="58" spans="1:15" x14ac:dyDescent="0.15">
      <c r="A58">
        <v>3</v>
      </c>
      <c r="B58" s="51" t="s">
        <v>144</v>
      </c>
      <c r="D58" s="51" t="s">
        <v>145</v>
      </c>
      <c r="E58" s="51" t="s">
        <v>146</v>
      </c>
      <c r="F58" s="51" t="s">
        <v>150</v>
      </c>
      <c r="G58" s="51" t="s">
        <v>43</v>
      </c>
      <c r="H58">
        <v>21</v>
      </c>
      <c r="I58" s="58">
        <v>20000</v>
      </c>
      <c r="J58" s="59">
        <v>420000</v>
      </c>
      <c r="K58">
        <v>1</v>
      </c>
      <c r="O58" s="52"/>
    </row>
    <row r="59" spans="1:15" x14ac:dyDescent="0.15">
      <c r="A59">
        <v>2</v>
      </c>
      <c r="D59" s="51" t="s">
        <v>20</v>
      </c>
      <c r="E59" s="51" t="s">
        <v>151</v>
      </c>
      <c r="F59" s="51" t="s">
        <v>152</v>
      </c>
      <c r="G59" s="51" t="s">
        <v>19</v>
      </c>
      <c r="H59">
        <v>1</v>
      </c>
      <c r="I59" s="58">
        <v>172000</v>
      </c>
      <c r="J59" s="59">
        <v>172000</v>
      </c>
      <c r="K59">
        <v>1</v>
      </c>
      <c r="M59" s="51" t="s">
        <v>153</v>
      </c>
      <c r="O59" s="52"/>
    </row>
    <row r="60" spans="1:15" x14ac:dyDescent="0.15">
      <c r="A60">
        <v>3</v>
      </c>
      <c r="B60" s="51" t="s">
        <v>39</v>
      </c>
      <c r="D60" s="51" t="s">
        <v>40</v>
      </c>
      <c r="E60" s="51" t="s">
        <v>41</v>
      </c>
      <c r="F60" s="51" t="s">
        <v>42</v>
      </c>
      <c r="G60" s="51" t="s">
        <v>43</v>
      </c>
      <c r="H60">
        <v>6</v>
      </c>
      <c r="I60" s="58">
        <v>25000</v>
      </c>
      <c r="J60" s="59">
        <v>150000</v>
      </c>
      <c r="K60">
        <v>1</v>
      </c>
      <c r="O60" s="52"/>
    </row>
    <row r="61" spans="1:15" x14ac:dyDescent="0.15">
      <c r="A61">
        <v>3</v>
      </c>
      <c r="B61" s="51" t="s">
        <v>154</v>
      </c>
      <c r="D61" s="51" t="s">
        <v>45</v>
      </c>
      <c r="E61" s="51" t="s">
        <v>155</v>
      </c>
      <c r="F61" s="51" t="s">
        <v>156</v>
      </c>
      <c r="G61" s="51" t="s">
        <v>57</v>
      </c>
      <c r="H61">
        <v>1</v>
      </c>
      <c r="I61" s="58">
        <v>5000</v>
      </c>
      <c r="J61" s="59">
        <v>5000</v>
      </c>
      <c r="K61">
        <v>1</v>
      </c>
      <c r="O61" s="52"/>
    </row>
    <row r="62" spans="1:15" x14ac:dyDescent="0.15">
      <c r="A62">
        <v>3</v>
      </c>
      <c r="B62" s="51" t="s">
        <v>77</v>
      </c>
      <c r="D62" s="51" t="s">
        <v>78</v>
      </c>
      <c r="E62" s="51" t="s">
        <v>79</v>
      </c>
      <c r="G62" s="51" t="s">
        <v>57</v>
      </c>
      <c r="H62">
        <v>1</v>
      </c>
      <c r="I62" s="58">
        <v>5000</v>
      </c>
      <c r="J62" s="59">
        <v>5000</v>
      </c>
      <c r="K62">
        <v>1</v>
      </c>
      <c r="O62" s="52"/>
    </row>
    <row r="63" spans="1:15" x14ac:dyDescent="0.15">
      <c r="A63">
        <v>3</v>
      </c>
      <c r="B63" s="51" t="s">
        <v>80</v>
      </c>
      <c r="D63" s="51" t="s">
        <v>78</v>
      </c>
      <c r="E63" s="51" t="s">
        <v>81</v>
      </c>
      <c r="G63" s="51" t="s">
        <v>57</v>
      </c>
      <c r="H63">
        <v>2</v>
      </c>
      <c r="I63" s="58">
        <v>6000</v>
      </c>
      <c r="J63" s="59">
        <v>12000</v>
      </c>
      <c r="K63">
        <v>1</v>
      </c>
      <c r="O63" s="52"/>
    </row>
    <row r="64" spans="1:15" x14ac:dyDescent="0.15">
      <c r="A64">
        <v>2</v>
      </c>
      <c r="D64" s="51" t="s">
        <v>20</v>
      </c>
      <c r="E64" s="51" t="s">
        <v>157</v>
      </c>
      <c r="F64" s="51" t="s">
        <v>158</v>
      </c>
      <c r="G64" s="51" t="s">
        <v>19</v>
      </c>
      <c r="H64">
        <v>1</v>
      </c>
      <c r="I64" s="58">
        <v>656000</v>
      </c>
      <c r="J64" s="59">
        <v>656000</v>
      </c>
      <c r="K64">
        <v>1</v>
      </c>
      <c r="M64" s="51" t="s">
        <v>159</v>
      </c>
      <c r="O64" s="52"/>
    </row>
    <row r="65" spans="1:15" x14ac:dyDescent="0.15">
      <c r="A65">
        <v>3</v>
      </c>
      <c r="B65" s="51" t="s">
        <v>160</v>
      </c>
      <c r="D65" s="51" t="s">
        <v>28</v>
      </c>
      <c r="E65" s="51" t="s">
        <v>161</v>
      </c>
      <c r="G65" s="51" t="s">
        <v>33</v>
      </c>
      <c r="H65">
        <v>200</v>
      </c>
      <c r="I65" s="58">
        <v>180</v>
      </c>
      <c r="J65" s="59">
        <v>36000</v>
      </c>
      <c r="K65">
        <v>1</v>
      </c>
      <c r="O65" s="52"/>
    </row>
    <row r="66" spans="1:15" x14ac:dyDescent="0.15">
      <c r="A66">
        <v>3</v>
      </c>
      <c r="B66" s="51" t="s">
        <v>39</v>
      </c>
      <c r="D66" s="51" t="s">
        <v>40</v>
      </c>
      <c r="E66" s="51" t="s">
        <v>41</v>
      </c>
      <c r="F66" s="51" t="s">
        <v>42</v>
      </c>
      <c r="G66" s="51" t="s">
        <v>43</v>
      </c>
      <c r="H66">
        <v>10</v>
      </c>
      <c r="I66" s="58">
        <v>25000</v>
      </c>
      <c r="J66" s="59">
        <v>250000</v>
      </c>
      <c r="K66">
        <v>1</v>
      </c>
      <c r="O66" s="52"/>
    </row>
    <row r="67" spans="1:15" x14ac:dyDescent="0.15">
      <c r="A67">
        <v>3</v>
      </c>
      <c r="B67" s="51" t="s">
        <v>162</v>
      </c>
      <c r="D67" s="51" t="s">
        <v>45</v>
      </c>
      <c r="E67" s="51" t="s">
        <v>163</v>
      </c>
      <c r="G67" s="51" t="s">
        <v>48</v>
      </c>
      <c r="H67">
        <v>75</v>
      </c>
      <c r="I67" s="58">
        <v>3600</v>
      </c>
      <c r="J67" s="59">
        <v>270000</v>
      </c>
      <c r="K67">
        <v>1</v>
      </c>
      <c r="O67" s="52"/>
    </row>
    <row r="68" spans="1:15" x14ac:dyDescent="0.15">
      <c r="A68">
        <v>3</v>
      </c>
      <c r="B68" s="51" t="s">
        <v>80</v>
      </c>
      <c r="D68" s="51" t="s">
        <v>78</v>
      </c>
      <c r="E68" s="51" t="s">
        <v>81</v>
      </c>
      <c r="F68" s="51" t="s">
        <v>164</v>
      </c>
      <c r="G68" s="51" t="s">
        <v>57</v>
      </c>
      <c r="H68">
        <v>10</v>
      </c>
      <c r="I68" s="58">
        <v>10000</v>
      </c>
      <c r="J68" s="59">
        <v>100000</v>
      </c>
      <c r="K68">
        <v>1</v>
      </c>
      <c r="O68" s="52"/>
    </row>
    <row r="69" spans="1:15" x14ac:dyDescent="0.15">
      <c r="A69">
        <v>2</v>
      </c>
      <c r="D69" s="51" t="s">
        <v>20</v>
      </c>
      <c r="E69" s="51" t="s">
        <v>165</v>
      </c>
      <c r="F69" s="51" t="s">
        <v>166</v>
      </c>
      <c r="G69" s="51" t="s">
        <v>19</v>
      </c>
      <c r="H69">
        <v>1</v>
      </c>
      <c r="I69" s="58">
        <v>450000</v>
      </c>
      <c r="J69" s="59">
        <v>450000</v>
      </c>
      <c r="K69">
        <v>1</v>
      </c>
      <c r="M69" s="51" t="s">
        <v>167</v>
      </c>
      <c r="O69" s="52"/>
    </row>
    <row r="70" spans="1:15" x14ac:dyDescent="0.15">
      <c r="A70">
        <v>3</v>
      </c>
      <c r="D70" s="51" t="s">
        <v>145</v>
      </c>
      <c r="E70" s="51" t="s">
        <v>168</v>
      </c>
      <c r="G70" s="51" t="s">
        <v>113</v>
      </c>
      <c r="H70">
        <v>1</v>
      </c>
      <c r="I70" s="58">
        <v>450000</v>
      </c>
      <c r="J70" s="59">
        <v>450000</v>
      </c>
      <c r="K70">
        <v>1</v>
      </c>
      <c r="O70" s="52"/>
    </row>
    <row r="71" spans="1:15" x14ac:dyDescent="0.15">
      <c r="A71">
        <v>2</v>
      </c>
      <c r="D71" s="51" t="s">
        <v>20</v>
      </c>
      <c r="E71" s="51" t="s">
        <v>169</v>
      </c>
      <c r="G71" s="51" t="s">
        <v>19</v>
      </c>
      <c r="H71">
        <v>1</v>
      </c>
      <c r="I71" s="58">
        <v>97990</v>
      </c>
      <c r="J71" s="59">
        <v>97990</v>
      </c>
      <c r="K71">
        <v>1</v>
      </c>
      <c r="M71" s="51" t="s">
        <v>170</v>
      </c>
      <c r="O71" s="52"/>
    </row>
    <row r="72" spans="1:15" x14ac:dyDescent="0.15">
      <c r="A72">
        <v>3</v>
      </c>
      <c r="D72" s="51" t="s">
        <v>28</v>
      </c>
      <c r="E72" s="51" t="s">
        <v>171</v>
      </c>
      <c r="G72" s="51" t="s">
        <v>19</v>
      </c>
      <c r="H72">
        <v>1</v>
      </c>
      <c r="I72" s="58">
        <v>8990</v>
      </c>
      <c r="J72" s="59">
        <v>8990</v>
      </c>
      <c r="K72">
        <v>1</v>
      </c>
      <c r="O72" s="52"/>
    </row>
    <row r="73" spans="1:15" x14ac:dyDescent="0.15">
      <c r="A73">
        <v>3</v>
      </c>
      <c r="B73" s="51" t="s">
        <v>172</v>
      </c>
      <c r="D73" s="51" t="s">
        <v>145</v>
      </c>
      <c r="E73" s="51" t="s">
        <v>173</v>
      </c>
      <c r="G73" s="51" t="s">
        <v>113</v>
      </c>
      <c r="H73">
        <v>1</v>
      </c>
      <c r="I73" s="58"/>
      <c r="J73" s="59"/>
      <c r="K73">
        <v>1</v>
      </c>
      <c r="O73" s="52"/>
    </row>
    <row r="74" spans="1:15" x14ac:dyDescent="0.15">
      <c r="A74">
        <v>3</v>
      </c>
      <c r="B74" s="51" t="s">
        <v>174</v>
      </c>
      <c r="D74" s="51" t="s">
        <v>145</v>
      </c>
      <c r="E74" s="51" t="s">
        <v>175</v>
      </c>
      <c r="F74" s="51" t="s">
        <v>176</v>
      </c>
      <c r="G74" s="51" t="s">
        <v>113</v>
      </c>
      <c r="H74">
        <v>1</v>
      </c>
      <c r="I74" s="58">
        <v>20000</v>
      </c>
      <c r="J74" s="59">
        <v>20000</v>
      </c>
      <c r="K74">
        <v>1</v>
      </c>
      <c r="O74" s="52"/>
    </row>
    <row r="75" spans="1:15" x14ac:dyDescent="0.15">
      <c r="A75">
        <v>3</v>
      </c>
      <c r="D75" s="51" t="s">
        <v>145</v>
      </c>
      <c r="E75" s="51" t="s">
        <v>177</v>
      </c>
      <c r="F75" s="51" t="s">
        <v>178</v>
      </c>
      <c r="G75" s="51" t="s">
        <v>107</v>
      </c>
      <c r="H75">
        <v>3</v>
      </c>
      <c r="I75" s="58">
        <v>19000</v>
      </c>
      <c r="J75" s="59">
        <v>57000</v>
      </c>
      <c r="K75">
        <v>1</v>
      </c>
      <c r="O75" s="52"/>
    </row>
    <row r="76" spans="1:15" x14ac:dyDescent="0.15">
      <c r="A76">
        <v>3</v>
      </c>
      <c r="D76" s="51" t="s">
        <v>45</v>
      </c>
      <c r="E76" s="51" t="s">
        <v>179</v>
      </c>
      <c r="G76" s="51" t="s">
        <v>19</v>
      </c>
      <c r="H76">
        <v>1</v>
      </c>
      <c r="I76" s="58">
        <v>12000</v>
      </c>
      <c r="J76" s="59">
        <v>12000</v>
      </c>
      <c r="K76">
        <v>1</v>
      </c>
      <c r="O76" s="52"/>
    </row>
    <row r="77" spans="1:15" x14ac:dyDescent="0.15">
      <c r="A77">
        <v>2</v>
      </c>
      <c r="D77" s="51" t="s">
        <v>20</v>
      </c>
      <c r="E77" s="51" t="s">
        <v>180</v>
      </c>
      <c r="G77" s="51" t="s">
        <v>19</v>
      </c>
      <c r="H77">
        <v>1</v>
      </c>
      <c r="I77" s="58">
        <v>780000</v>
      </c>
      <c r="J77" s="59">
        <v>780000</v>
      </c>
      <c r="K77">
        <v>1</v>
      </c>
      <c r="M77" s="51" t="s">
        <v>181</v>
      </c>
      <c r="O77" s="52"/>
    </row>
    <row r="78" spans="1:15" x14ac:dyDescent="0.15">
      <c r="A78">
        <v>3</v>
      </c>
      <c r="B78" s="51" t="s">
        <v>182</v>
      </c>
      <c r="D78" s="51" t="s">
        <v>145</v>
      </c>
      <c r="E78" s="51" t="s">
        <v>183</v>
      </c>
      <c r="F78" s="51" t="s">
        <v>184</v>
      </c>
      <c r="G78" s="51" t="s">
        <v>19</v>
      </c>
      <c r="H78">
        <v>1</v>
      </c>
      <c r="I78" s="58">
        <v>560000</v>
      </c>
      <c r="J78" s="59">
        <v>560000</v>
      </c>
      <c r="K78">
        <v>1</v>
      </c>
      <c r="O78" s="52"/>
    </row>
    <row r="79" spans="1:15" x14ac:dyDescent="0.15">
      <c r="A79">
        <v>3</v>
      </c>
      <c r="B79" s="51" t="s">
        <v>185</v>
      </c>
      <c r="D79" s="51" t="s">
        <v>145</v>
      </c>
      <c r="E79" s="51" t="s">
        <v>186</v>
      </c>
      <c r="F79" s="51" t="s">
        <v>187</v>
      </c>
      <c r="G79" s="51" t="s">
        <v>19</v>
      </c>
      <c r="H79">
        <v>1</v>
      </c>
      <c r="I79" s="58">
        <v>220000</v>
      </c>
      <c r="J79" s="59">
        <v>220000</v>
      </c>
      <c r="K79">
        <v>1</v>
      </c>
      <c r="O79" s="52"/>
    </row>
    <row r="80" spans="1:15" x14ac:dyDescent="0.15">
      <c r="A80">
        <v>2</v>
      </c>
      <c r="D80" s="51" t="s">
        <v>20</v>
      </c>
      <c r="E80" s="51" t="s">
        <v>150</v>
      </c>
      <c r="G80" s="51" t="s">
        <v>188</v>
      </c>
      <c r="H80">
        <v>80</v>
      </c>
      <c r="I80" s="58">
        <v>30600</v>
      </c>
      <c r="J80" s="59">
        <v>2448000</v>
      </c>
      <c r="K80">
        <v>80</v>
      </c>
      <c r="M80" s="51" t="s">
        <v>189</v>
      </c>
      <c r="O80" s="52"/>
    </row>
    <row r="81" spans="1:15" x14ac:dyDescent="0.15">
      <c r="A81">
        <v>3</v>
      </c>
      <c r="B81" s="51" t="s">
        <v>190</v>
      </c>
      <c r="D81" s="51" t="s">
        <v>28</v>
      </c>
      <c r="E81" s="51" t="s">
        <v>191</v>
      </c>
      <c r="F81" s="51" t="s">
        <v>192</v>
      </c>
      <c r="G81" s="51" t="s">
        <v>107</v>
      </c>
      <c r="H81">
        <v>266</v>
      </c>
      <c r="I81" s="58">
        <v>1950</v>
      </c>
      <c r="J81" s="59">
        <v>518700</v>
      </c>
      <c r="K81">
        <v>1</v>
      </c>
      <c r="O81" s="52"/>
    </row>
    <row r="82" spans="1:15" x14ac:dyDescent="0.15">
      <c r="A82">
        <v>3</v>
      </c>
      <c r="B82" s="51" t="s">
        <v>193</v>
      </c>
      <c r="D82" s="51" t="s">
        <v>28</v>
      </c>
      <c r="E82" s="51" t="s">
        <v>194</v>
      </c>
      <c r="F82" s="51" t="s">
        <v>195</v>
      </c>
      <c r="G82" s="51" t="s">
        <v>91</v>
      </c>
      <c r="H82">
        <v>5</v>
      </c>
      <c r="I82" s="58">
        <v>18500</v>
      </c>
      <c r="J82" s="59">
        <v>92500</v>
      </c>
      <c r="K82">
        <v>1</v>
      </c>
      <c r="O82" s="52"/>
    </row>
    <row r="83" spans="1:15" x14ac:dyDescent="0.15">
      <c r="A83">
        <v>3</v>
      </c>
      <c r="B83" s="51" t="s">
        <v>193</v>
      </c>
      <c r="D83" s="51" t="s">
        <v>28</v>
      </c>
      <c r="E83" s="51" t="s">
        <v>196</v>
      </c>
      <c r="F83" s="51" t="s">
        <v>195</v>
      </c>
      <c r="G83" s="51" t="s">
        <v>91</v>
      </c>
      <c r="H83">
        <v>2</v>
      </c>
      <c r="I83" s="58">
        <v>18500</v>
      </c>
      <c r="J83" s="59">
        <v>37000</v>
      </c>
      <c r="K83">
        <v>1</v>
      </c>
      <c r="O83" s="52"/>
    </row>
    <row r="84" spans="1:15" x14ac:dyDescent="0.15">
      <c r="A84">
        <v>3</v>
      </c>
      <c r="B84" s="51" t="s">
        <v>197</v>
      </c>
      <c r="D84" s="51" t="s">
        <v>28</v>
      </c>
      <c r="E84" s="51" t="s">
        <v>198</v>
      </c>
      <c r="F84" s="51" t="s">
        <v>199</v>
      </c>
      <c r="G84" s="51" t="s">
        <v>107</v>
      </c>
      <c r="H84">
        <v>40</v>
      </c>
      <c r="I84" s="58">
        <v>2500</v>
      </c>
      <c r="J84" s="59">
        <v>100000</v>
      </c>
      <c r="K84">
        <v>1</v>
      </c>
      <c r="O84" s="52"/>
    </row>
    <row r="85" spans="1:15" x14ac:dyDescent="0.15">
      <c r="A85">
        <v>3</v>
      </c>
      <c r="B85" s="51" t="s">
        <v>197</v>
      </c>
      <c r="D85" s="51" t="s">
        <v>28</v>
      </c>
      <c r="E85" s="51" t="s">
        <v>198</v>
      </c>
      <c r="F85" s="51" t="s">
        <v>200</v>
      </c>
      <c r="G85" s="51" t="s">
        <v>107</v>
      </c>
      <c r="H85">
        <v>20</v>
      </c>
      <c r="I85" s="58">
        <v>1200</v>
      </c>
      <c r="J85" s="59">
        <v>24000</v>
      </c>
      <c r="K85">
        <v>1</v>
      </c>
      <c r="O85" s="52"/>
    </row>
    <row r="86" spans="1:15" x14ac:dyDescent="0.15">
      <c r="A86">
        <v>3</v>
      </c>
      <c r="B86" s="51" t="s">
        <v>201</v>
      </c>
      <c r="D86" s="51" t="s">
        <v>28</v>
      </c>
      <c r="E86" s="51" t="s">
        <v>202</v>
      </c>
      <c r="G86" s="51" t="s">
        <v>203</v>
      </c>
      <c r="H86">
        <v>5</v>
      </c>
      <c r="I86" s="58">
        <v>2200</v>
      </c>
      <c r="J86" s="59">
        <v>11000</v>
      </c>
      <c r="K86">
        <v>1</v>
      </c>
      <c r="O86" s="52"/>
    </row>
    <row r="87" spans="1:15" x14ac:dyDescent="0.15">
      <c r="A87">
        <v>3</v>
      </c>
      <c r="B87" s="51" t="s">
        <v>84</v>
      </c>
      <c r="D87" s="51" t="s">
        <v>28</v>
      </c>
      <c r="E87" s="51" t="s">
        <v>204</v>
      </c>
      <c r="G87" s="51" t="s">
        <v>86</v>
      </c>
      <c r="H87">
        <v>12</v>
      </c>
      <c r="I87" s="58">
        <v>9100</v>
      </c>
      <c r="J87" s="59">
        <v>109200</v>
      </c>
      <c r="K87">
        <v>1</v>
      </c>
      <c r="O87" s="52"/>
    </row>
    <row r="88" spans="1:15" x14ac:dyDescent="0.15">
      <c r="A88">
        <v>3</v>
      </c>
      <c r="B88" s="51" t="s">
        <v>205</v>
      </c>
      <c r="D88" s="51" t="s">
        <v>28</v>
      </c>
      <c r="E88" s="51" t="s">
        <v>206</v>
      </c>
      <c r="G88" s="51" t="s">
        <v>86</v>
      </c>
      <c r="H88">
        <v>2</v>
      </c>
      <c r="I88" s="58">
        <v>10500</v>
      </c>
      <c r="J88" s="59">
        <v>21000</v>
      </c>
      <c r="K88">
        <v>1</v>
      </c>
      <c r="O88" s="52"/>
    </row>
    <row r="89" spans="1:15" x14ac:dyDescent="0.15">
      <c r="A89">
        <v>3</v>
      </c>
      <c r="B89" s="51" t="s">
        <v>207</v>
      </c>
      <c r="D89" s="51" t="s">
        <v>28</v>
      </c>
      <c r="E89" s="51" t="s">
        <v>208</v>
      </c>
      <c r="G89" s="51" t="s">
        <v>91</v>
      </c>
      <c r="H89">
        <v>16</v>
      </c>
      <c r="I89" s="58">
        <v>1000</v>
      </c>
      <c r="J89" s="59">
        <v>16000</v>
      </c>
      <c r="K89">
        <v>1</v>
      </c>
      <c r="O89" s="52"/>
    </row>
    <row r="90" spans="1:15" x14ac:dyDescent="0.15">
      <c r="A90">
        <v>3</v>
      </c>
      <c r="B90" s="51" t="s">
        <v>34</v>
      </c>
      <c r="D90" s="51" t="s">
        <v>28</v>
      </c>
      <c r="E90" s="51" t="s">
        <v>209</v>
      </c>
      <c r="G90" s="51" t="s">
        <v>19</v>
      </c>
      <c r="H90">
        <v>1</v>
      </c>
      <c r="I90" s="58">
        <v>5000</v>
      </c>
      <c r="J90" s="59">
        <v>5000</v>
      </c>
      <c r="K90">
        <v>1</v>
      </c>
      <c r="O90" s="52"/>
    </row>
    <row r="91" spans="1:15" x14ac:dyDescent="0.15">
      <c r="A91">
        <v>3</v>
      </c>
      <c r="B91" s="51" t="s">
        <v>37</v>
      </c>
      <c r="D91" s="51" t="s">
        <v>28</v>
      </c>
      <c r="E91" s="51" t="s">
        <v>38</v>
      </c>
      <c r="G91" s="51" t="s">
        <v>33</v>
      </c>
      <c r="H91">
        <v>50</v>
      </c>
      <c r="I91" s="58">
        <v>160</v>
      </c>
      <c r="J91" s="59">
        <v>8000</v>
      </c>
      <c r="K91">
        <v>1</v>
      </c>
      <c r="O91" s="52"/>
    </row>
    <row r="92" spans="1:15" x14ac:dyDescent="0.15">
      <c r="A92">
        <v>3</v>
      </c>
      <c r="B92" s="51" t="s">
        <v>34</v>
      </c>
      <c r="D92" s="51" t="s">
        <v>28</v>
      </c>
      <c r="E92" s="51" t="s">
        <v>35</v>
      </c>
      <c r="G92" s="51" t="s">
        <v>19</v>
      </c>
      <c r="H92">
        <v>1</v>
      </c>
      <c r="I92" s="58">
        <v>6600</v>
      </c>
      <c r="J92" s="59">
        <v>6600</v>
      </c>
      <c r="K92">
        <v>1</v>
      </c>
      <c r="O92" s="52"/>
    </row>
    <row r="93" spans="1:15" x14ac:dyDescent="0.15">
      <c r="A93">
        <v>3</v>
      </c>
      <c r="B93" s="51" t="s">
        <v>210</v>
      </c>
      <c r="D93" s="51" t="s">
        <v>40</v>
      </c>
      <c r="E93" s="51" t="s">
        <v>211</v>
      </c>
      <c r="F93" s="51" t="s">
        <v>42</v>
      </c>
      <c r="G93" s="51" t="s">
        <v>43</v>
      </c>
      <c r="H93">
        <v>6</v>
      </c>
      <c r="I93" s="58">
        <v>31000</v>
      </c>
      <c r="J93" s="59">
        <v>186000</v>
      </c>
      <c r="K93">
        <v>1</v>
      </c>
      <c r="O93" s="52"/>
    </row>
    <row r="94" spans="1:15" x14ac:dyDescent="0.15">
      <c r="A94">
        <v>3</v>
      </c>
      <c r="B94" s="51" t="s">
        <v>212</v>
      </c>
      <c r="D94" s="51" t="s">
        <v>40</v>
      </c>
      <c r="E94" s="51" t="s">
        <v>115</v>
      </c>
      <c r="F94" s="51" t="s">
        <v>42</v>
      </c>
      <c r="G94" s="51" t="s">
        <v>43</v>
      </c>
      <c r="H94">
        <v>25</v>
      </c>
      <c r="I94" s="58">
        <v>27000</v>
      </c>
      <c r="J94" s="59">
        <v>675000</v>
      </c>
      <c r="K94">
        <v>1</v>
      </c>
      <c r="O94" s="52"/>
    </row>
    <row r="95" spans="1:15" x14ac:dyDescent="0.15">
      <c r="A95">
        <v>3</v>
      </c>
      <c r="B95" s="51" t="s">
        <v>213</v>
      </c>
      <c r="D95" s="51" t="s">
        <v>145</v>
      </c>
      <c r="E95" s="51" t="s">
        <v>214</v>
      </c>
      <c r="F95" s="51" t="s">
        <v>215</v>
      </c>
      <c r="G95" s="51" t="s">
        <v>216</v>
      </c>
      <c r="H95">
        <v>240</v>
      </c>
      <c r="I95" s="58">
        <v>200</v>
      </c>
      <c r="J95" s="59">
        <v>48000</v>
      </c>
      <c r="K95">
        <v>1</v>
      </c>
      <c r="O95" s="52"/>
    </row>
    <row r="96" spans="1:15" x14ac:dyDescent="0.15">
      <c r="A96">
        <v>3</v>
      </c>
      <c r="B96" s="51" t="s">
        <v>217</v>
      </c>
      <c r="D96" s="51" t="s">
        <v>145</v>
      </c>
      <c r="E96" s="51" t="s">
        <v>218</v>
      </c>
      <c r="F96" s="51" t="s">
        <v>219</v>
      </c>
      <c r="G96" s="51" t="s">
        <v>220</v>
      </c>
      <c r="H96">
        <v>1</v>
      </c>
      <c r="I96" s="58">
        <v>35000</v>
      </c>
      <c r="J96" s="59">
        <v>35000</v>
      </c>
      <c r="K96">
        <v>1</v>
      </c>
      <c r="O96" s="52"/>
    </row>
    <row r="97" spans="1:15" x14ac:dyDescent="0.15">
      <c r="A97">
        <v>3</v>
      </c>
      <c r="B97" s="51" t="s">
        <v>221</v>
      </c>
      <c r="D97" s="51" t="s">
        <v>45</v>
      </c>
      <c r="E97" s="51" t="s">
        <v>222</v>
      </c>
      <c r="F97" s="51" t="s">
        <v>223</v>
      </c>
      <c r="G97" s="51" t="s">
        <v>48</v>
      </c>
      <c r="H97">
        <v>3</v>
      </c>
      <c r="I97" s="58">
        <v>8000</v>
      </c>
      <c r="J97" s="59">
        <v>24000</v>
      </c>
      <c r="K97">
        <v>1</v>
      </c>
      <c r="O97" s="52"/>
    </row>
    <row r="98" spans="1:15" x14ac:dyDescent="0.15">
      <c r="A98">
        <v>3</v>
      </c>
      <c r="B98" s="51" t="s">
        <v>224</v>
      </c>
      <c r="D98" s="51" t="s">
        <v>45</v>
      </c>
      <c r="E98" s="51" t="s">
        <v>225</v>
      </c>
      <c r="F98" s="51" t="s">
        <v>223</v>
      </c>
      <c r="G98" s="51" t="s">
        <v>48</v>
      </c>
      <c r="H98">
        <v>4</v>
      </c>
      <c r="I98" s="58">
        <v>11000</v>
      </c>
      <c r="J98" s="59">
        <v>44000</v>
      </c>
      <c r="K98">
        <v>1</v>
      </c>
      <c r="O98" s="52"/>
    </row>
    <row r="99" spans="1:15" x14ac:dyDescent="0.15">
      <c r="A99">
        <v>3</v>
      </c>
      <c r="B99" s="51" t="s">
        <v>154</v>
      </c>
      <c r="D99" s="51" t="s">
        <v>45</v>
      </c>
      <c r="E99" s="51" t="s">
        <v>155</v>
      </c>
      <c r="F99" s="51" t="s">
        <v>226</v>
      </c>
      <c r="G99" s="51" t="s">
        <v>57</v>
      </c>
      <c r="H99">
        <v>7</v>
      </c>
      <c r="I99" s="58">
        <v>25000</v>
      </c>
      <c r="J99" s="59">
        <v>175000</v>
      </c>
      <c r="K99">
        <v>1</v>
      </c>
      <c r="O99" s="52"/>
    </row>
    <row r="100" spans="1:15" x14ac:dyDescent="0.15">
      <c r="A100">
        <v>3</v>
      </c>
      <c r="B100" s="51" t="s">
        <v>154</v>
      </c>
      <c r="D100" s="51" t="s">
        <v>45</v>
      </c>
      <c r="E100" s="51" t="s">
        <v>155</v>
      </c>
      <c r="F100" s="51" t="s">
        <v>156</v>
      </c>
      <c r="G100" s="51" t="s">
        <v>57</v>
      </c>
      <c r="H100">
        <v>9</v>
      </c>
      <c r="I100" s="58">
        <v>5000</v>
      </c>
      <c r="J100" s="59">
        <v>45000</v>
      </c>
      <c r="K100">
        <v>1</v>
      </c>
      <c r="O100" s="52"/>
    </row>
    <row r="101" spans="1:15" x14ac:dyDescent="0.15">
      <c r="A101">
        <v>3</v>
      </c>
      <c r="B101" s="51" t="s">
        <v>227</v>
      </c>
      <c r="D101" s="51" t="s">
        <v>78</v>
      </c>
      <c r="E101" s="51" t="s">
        <v>228</v>
      </c>
      <c r="G101" s="51" t="s">
        <v>48</v>
      </c>
      <c r="H101">
        <v>5</v>
      </c>
      <c r="I101" s="58">
        <v>30000</v>
      </c>
      <c r="J101" s="59">
        <v>150000</v>
      </c>
      <c r="K101">
        <v>1</v>
      </c>
      <c r="O101" s="52"/>
    </row>
    <row r="102" spans="1:15" x14ac:dyDescent="0.15">
      <c r="A102">
        <v>3</v>
      </c>
      <c r="B102" s="51" t="s">
        <v>80</v>
      </c>
      <c r="D102" s="51" t="s">
        <v>78</v>
      </c>
      <c r="E102" s="51" t="s">
        <v>229</v>
      </c>
      <c r="G102" s="51" t="s">
        <v>141</v>
      </c>
      <c r="H102">
        <v>1</v>
      </c>
      <c r="I102" s="58">
        <v>80000</v>
      </c>
      <c r="J102" s="59">
        <v>80000</v>
      </c>
      <c r="K102">
        <v>1</v>
      </c>
      <c r="O102" s="52"/>
    </row>
    <row r="103" spans="1:15" x14ac:dyDescent="0.15">
      <c r="A103">
        <v>3</v>
      </c>
      <c r="B103" s="51" t="s">
        <v>77</v>
      </c>
      <c r="D103" s="51" t="s">
        <v>78</v>
      </c>
      <c r="E103" s="51" t="s">
        <v>79</v>
      </c>
      <c r="G103" s="51" t="s">
        <v>57</v>
      </c>
      <c r="H103">
        <v>6</v>
      </c>
      <c r="I103" s="58">
        <v>5000</v>
      </c>
      <c r="J103" s="59">
        <v>30000</v>
      </c>
      <c r="K103">
        <v>1</v>
      </c>
      <c r="O103" s="52"/>
    </row>
    <row r="104" spans="1:15" x14ac:dyDescent="0.15">
      <c r="A104">
        <v>3</v>
      </c>
      <c r="B104" s="51" t="s">
        <v>80</v>
      </c>
      <c r="D104" s="51" t="s">
        <v>78</v>
      </c>
      <c r="E104" s="51" t="s">
        <v>81</v>
      </c>
      <c r="G104" s="51" t="s">
        <v>57</v>
      </c>
      <c r="H104">
        <v>1</v>
      </c>
      <c r="I104" s="58">
        <v>7000</v>
      </c>
      <c r="J104" s="59">
        <v>7000</v>
      </c>
      <c r="K104">
        <v>1</v>
      </c>
      <c r="O104" s="52"/>
    </row>
    <row r="105" spans="1:15" x14ac:dyDescent="0.15">
      <c r="A105">
        <v>2</v>
      </c>
      <c r="D105" s="51" t="s">
        <v>20</v>
      </c>
      <c r="E105" s="51" t="s">
        <v>97</v>
      </c>
      <c r="F105" s="51" t="s">
        <v>150</v>
      </c>
      <c r="G105" s="51" t="s">
        <v>19</v>
      </c>
      <c r="H105">
        <v>1</v>
      </c>
      <c r="I105" s="58">
        <v>390000</v>
      </c>
      <c r="J105" s="59">
        <v>390000</v>
      </c>
      <c r="K105">
        <v>1</v>
      </c>
      <c r="M105" s="51" t="s">
        <v>230</v>
      </c>
      <c r="O105" s="52"/>
    </row>
    <row r="106" spans="1:15" x14ac:dyDescent="0.15">
      <c r="A106">
        <v>3</v>
      </c>
      <c r="B106" s="51" t="s">
        <v>104</v>
      </c>
      <c r="D106" s="51" t="s">
        <v>78</v>
      </c>
      <c r="E106" s="51" t="s">
        <v>231</v>
      </c>
      <c r="F106" s="51" t="s">
        <v>101</v>
      </c>
      <c r="G106" s="51" t="s">
        <v>57</v>
      </c>
      <c r="H106">
        <v>6</v>
      </c>
      <c r="I106" s="58">
        <v>40000</v>
      </c>
      <c r="J106" s="59">
        <v>240000</v>
      </c>
      <c r="K106">
        <v>1</v>
      </c>
      <c r="O106" s="52"/>
    </row>
    <row r="107" spans="1:15" x14ac:dyDescent="0.15">
      <c r="A107">
        <v>3</v>
      </c>
      <c r="B107" s="51" t="s">
        <v>232</v>
      </c>
      <c r="D107" s="51" t="s">
        <v>78</v>
      </c>
      <c r="E107" s="51" t="s">
        <v>233</v>
      </c>
      <c r="G107" s="51" t="s">
        <v>57</v>
      </c>
      <c r="H107">
        <v>1</v>
      </c>
      <c r="I107" s="58">
        <v>16000</v>
      </c>
      <c r="J107" s="59">
        <v>16000</v>
      </c>
      <c r="K107">
        <v>1</v>
      </c>
      <c r="O107" s="52"/>
    </row>
    <row r="108" spans="1:15" x14ac:dyDescent="0.15">
      <c r="A108">
        <v>3</v>
      </c>
      <c r="B108" s="51" t="s">
        <v>102</v>
      </c>
      <c r="D108" s="51" t="s">
        <v>78</v>
      </c>
      <c r="E108" s="51" t="s">
        <v>103</v>
      </c>
      <c r="G108" s="51" t="s">
        <v>30</v>
      </c>
      <c r="H108">
        <v>20</v>
      </c>
      <c r="I108" s="58">
        <v>300</v>
      </c>
      <c r="J108" s="59">
        <v>6000</v>
      </c>
      <c r="K108">
        <v>1</v>
      </c>
      <c r="O108" s="52"/>
    </row>
    <row r="109" spans="1:15" x14ac:dyDescent="0.15">
      <c r="A109">
        <v>3</v>
      </c>
      <c r="B109" s="51" t="s">
        <v>234</v>
      </c>
      <c r="D109" s="51" t="s">
        <v>78</v>
      </c>
      <c r="E109" s="51" t="s">
        <v>235</v>
      </c>
      <c r="G109" s="51" t="s">
        <v>30</v>
      </c>
      <c r="H109">
        <v>49</v>
      </c>
      <c r="I109" s="58">
        <v>2000</v>
      </c>
      <c r="J109" s="59">
        <v>98000</v>
      </c>
      <c r="K109">
        <v>1</v>
      </c>
      <c r="O109" s="52"/>
    </row>
    <row r="110" spans="1:15" x14ac:dyDescent="0.15">
      <c r="A110">
        <v>3</v>
      </c>
      <c r="D110" s="51" t="s">
        <v>78</v>
      </c>
      <c r="E110" s="51" t="s">
        <v>236</v>
      </c>
      <c r="G110" s="51" t="s">
        <v>86</v>
      </c>
      <c r="H110">
        <v>20</v>
      </c>
      <c r="I110" s="58">
        <v>1500</v>
      </c>
      <c r="J110" s="59">
        <v>30000</v>
      </c>
      <c r="K110">
        <v>1</v>
      </c>
      <c r="O110" s="52"/>
    </row>
    <row r="111" spans="1:15" x14ac:dyDescent="0.15">
      <c r="A111">
        <v>2</v>
      </c>
      <c r="D111" s="51" t="s">
        <v>20</v>
      </c>
      <c r="E111" s="51" t="s">
        <v>119</v>
      </c>
      <c r="F111" s="51" t="s">
        <v>150</v>
      </c>
      <c r="G111" s="51" t="s">
        <v>19</v>
      </c>
      <c r="H111">
        <v>1</v>
      </c>
      <c r="I111" s="58">
        <v>240000</v>
      </c>
      <c r="J111" s="59">
        <v>240000</v>
      </c>
      <c r="K111">
        <v>1</v>
      </c>
      <c r="M111" s="51" t="s">
        <v>237</v>
      </c>
      <c r="O111" s="52"/>
    </row>
    <row r="112" spans="1:15" x14ac:dyDescent="0.15">
      <c r="A112">
        <v>3</v>
      </c>
      <c r="B112" s="51" t="s">
        <v>130</v>
      </c>
      <c r="D112" s="51" t="s">
        <v>78</v>
      </c>
      <c r="E112" s="51" t="s">
        <v>131</v>
      </c>
      <c r="F112" s="51" t="s">
        <v>238</v>
      </c>
      <c r="G112" s="51" t="s">
        <v>113</v>
      </c>
      <c r="H112">
        <v>4</v>
      </c>
      <c r="I112" s="58">
        <v>25000</v>
      </c>
      <c r="J112" s="59">
        <v>100000</v>
      </c>
      <c r="K112">
        <v>1</v>
      </c>
      <c r="O112" s="52"/>
    </row>
    <row r="113" spans="1:15" x14ac:dyDescent="0.15">
      <c r="A113">
        <v>3</v>
      </c>
      <c r="B113" s="51" t="s">
        <v>239</v>
      </c>
      <c r="D113" s="51" t="s">
        <v>78</v>
      </c>
      <c r="E113" s="51" t="s">
        <v>240</v>
      </c>
      <c r="G113" s="51" t="s">
        <v>113</v>
      </c>
      <c r="H113">
        <v>7</v>
      </c>
      <c r="I113" s="58">
        <v>20000</v>
      </c>
      <c r="J113" s="59">
        <v>140000</v>
      </c>
      <c r="K113">
        <v>1</v>
      </c>
      <c r="O113" s="52"/>
    </row>
    <row r="114" spans="1:15" x14ac:dyDescent="0.15">
      <c r="A114">
        <v>1</v>
      </c>
      <c r="D114" s="51" t="s">
        <v>20</v>
      </c>
      <c r="E114" s="51" t="s">
        <v>241</v>
      </c>
      <c r="G114" s="51" t="s">
        <v>19</v>
      </c>
      <c r="H114">
        <v>1</v>
      </c>
      <c r="I114" s="58">
        <v>1617080</v>
      </c>
      <c r="J114" s="59">
        <v>1617080</v>
      </c>
      <c r="K114">
        <v>1</v>
      </c>
      <c r="M114" s="51" t="s">
        <v>242</v>
      </c>
      <c r="O114" s="52"/>
    </row>
    <row r="115" spans="1:15" x14ac:dyDescent="0.15">
      <c r="A115">
        <v>2</v>
      </c>
      <c r="D115" s="51" t="s">
        <v>20</v>
      </c>
      <c r="E115" s="51" t="s">
        <v>243</v>
      </c>
      <c r="G115" s="51" t="s">
        <v>188</v>
      </c>
      <c r="H115">
        <v>8</v>
      </c>
      <c r="I115" s="58">
        <v>8750</v>
      </c>
      <c r="J115" s="59">
        <v>70000</v>
      </c>
      <c r="K115">
        <v>8</v>
      </c>
      <c r="M115" s="51" t="s">
        <v>244</v>
      </c>
      <c r="O115" s="52"/>
    </row>
    <row r="116" spans="1:15" x14ac:dyDescent="0.15">
      <c r="A116">
        <v>3</v>
      </c>
      <c r="B116" s="51" t="s">
        <v>245</v>
      </c>
      <c r="D116" s="51" t="s">
        <v>145</v>
      </c>
      <c r="E116" s="51" t="s">
        <v>246</v>
      </c>
      <c r="F116" s="51" t="s">
        <v>176</v>
      </c>
      <c r="G116" s="51" t="s">
        <v>113</v>
      </c>
      <c r="H116">
        <v>1</v>
      </c>
      <c r="I116" s="58">
        <v>20000</v>
      </c>
      <c r="J116" s="59">
        <v>20000</v>
      </c>
      <c r="K116">
        <v>1</v>
      </c>
      <c r="O116" s="52"/>
    </row>
    <row r="117" spans="1:15" x14ac:dyDescent="0.15">
      <c r="A117">
        <v>3</v>
      </c>
      <c r="B117" s="51" t="s">
        <v>217</v>
      </c>
      <c r="D117" s="51" t="s">
        <v>145</v>
      </c>
      <c r="E117" s="51" t="s">
        <v>218</v>
      </c>
      <c r="F117" s="51" t="s">
        <v>219</v>
      </c>
      <c r="G117" s="51" t="s">
        <v>220</v>
      </c>
      <c r="H117">
        <v>1</v>
      </c>
      <c r="I117" s="58">
        <v>30000</v>
      </c>
      <c r="J117" s="59">
        <v>30000</v>
      </c>
      <c r="K117">
        <v>1</v>
      </c>
      <c r="O117" s="52"/>
    </row>
    <row r="118" spans="1:15" x14ac:dyDescent="0.15">
      <c r="A118">
        <v>3</v>
      </c>
      <c r="B118" s="51" t="s">
        <v>174</v>
      </c>
      <c r="D118" s="51" t="s">
        <v>145</v>
      </c>
      <c r="E118" s="51" t="s">
        <v>175</v>
      </c>
      <c r="F118" s="51" t="s">
        <v>176</v>
      </c>
      <c r="G118" s="51" t="s">
        <v>113</v>
      </c>
      <c r="H118">
        <v>1</v>
      </c>
      <c r="I118" s="58">
        <v>20000</v>
      </c>
      <c r="J118" s="59">
        <v>20000</v>
      </c>
      <c r="K118">
        <v>1</v>
      </c>
      <c r="O118" s="52"/>
    </row>
    <row r="119" spans="1:15" x14ac:dyDescent="0.15">
      <c r="A119">
        <v>2</v>
      </c>
      <c r="D119" s="51" t="s">
        <v>20</v>
      </c>
      <c r="E119" s="51" t="s">
        <v>247</v>
      </c>
      <c r="G119" s="51" t="s">
        <v>25</v>
      </c>
      <c r="H119">
        <v>337</v>
      </c>
      <c r="I119" s="58">
        <v>380</v>
      </c>
      <c r="J119" s="59">
        <v>128060</v>
      </c>
      <c r="K119">
        <v>337</v>
      </c>
      <c r="M119" s="51" t="s">
        <v>248</v>
      </c>
      <c r="O119" s="52"/>
    </row>
    <row r="120" spans="1:15" x14ac:dyDescent="0.15">
      <c r="A120">
        <v>3</v>
      </c>
      <c r="B120" s="51" t="s">
        <v>34</v>
      </c>
      <c r="D120" s="51" t="s">
        <v>28</v>
      </c>
      <c r="E120" s="51" t="s">
        <v>35</v>
      </c>
      <c r="G120" s="51" t="s">
        <v>19</v>
      </c>
      <c r="H120">
        <v>1</v>
      </c>
      <c r="I120" s="58">
        <v>4060</v>
      </c>
      <c r="J120" s="59">
        <v>4060</v>
      </c>
      <c r="K120">
        <v>1</v>
      </c>
      <c r="O120" s="52"/>
    </row>
    <row r="121" spans="1:15" x14ac:dyDescent="0.15">
      <c r="A121">
        <v>3</v>
      </c>
      <c r="B121" s="51" t="s">
        <v>37</v>
      </c>
      <c r="D121" s="51" t="s">
        <v>28</v>
      </c>
      <c r="E121" s="51" t="s">
        <v>38</v>
      </c>
      <c r="G121" s="51" t="s">
        <v>33</v>
      </c>
      <c r="H121">
        <v>100</v>
      </c>
      <c r="I121" s="58">
        <v>160</v>
      </c>
      <c r="J121" s="59">
        <v>16000</v>
      </c>
      <c r="K121">
        <v>1</v>
      </c>
      <c r="O121" s="52"/>
    </row>
    <row r="122" spans="1:15" x14ac:dyDescent="0.15">
      <c r="A122">
        <v>3</v>
      </c>
      <c r="B122" s="51" t="s">
        <v>249</v>
      </c>
      <c r="D122" s="51" t="s">
        <v>40</v>
      </c>
      <c r="E122" s="51" t="s">
        <v>250</v>
      </c>
      <c r="F122" s="51" t="s">
        <v>42</v>
      </c>
      <c r="G122" s="51" t="s">
        <v>43</v>
      </c>
      <c r="H122">
        <v>4</v>
      </c>
      <c r="I122" s="58">
        <v>23000</v>
      </c>
      <c r="J122" s="59">
        <v>92000</v>
      </c>
      <c r="K122">
        <v>1</v>
      </c>
      <c r="O122" s="52"/>
    </row>
    <row r="123" spans="1:15" x14ac:dyDescent="0.15">
      <c r="A123">
        <v>3</v>
      </c>
      <c r="B123" s="51" t="s">
        <v>251</v>
      </c>
      <c r="D123" s="51" t="s">
        <v>45</v>
      </c>
      <c r="E123" s="51" t="s">
        <v>252</v>
      </c>
      <c r="F123" s="51" t="s">
        <v>223</v>
      </c>
      <c r="G123" s="51" t="s">
        <v>48</v>
      </c>
      <c r="H123">
        <v>1</v>
      </c>
      <c r="I123" s="58">
        <v>6000</v>
      </c>
      <c r="J123" s="59">
        <v>6000</v>
      </c>
      <c r="K123">
        <v>1</v>
      </c>
      <c r="O123" s="52"/>
    </row>
    <row r="124" spans="1:15" x14ac:dyDescent="0.15">
      <c r="A124">
        <v>3</v>
      </c>
      <c r="B124" s="51" t="s">
        <v>75</v>
      </c>
      <c r="D124" s="51" t="s">
        <v>45</v>
      </c>
      <c r="E124" s="51" t="s">
        <v>76</v>
      </c>
      <c r="F124" s="51" t="s">
        <v>54</v>
      </c>
      <c r="G124" s="51" t="s">
        <v>48</v>
      </c>
      <c r="H124">
        <v>1</v>
      </c>
      <c r="I124" s="58">
        <v>5000</v>
      </c>
      <c r="J124" s="59">
        <v>5000</v>
      </c>
      <c r="K124">
        <v>1</v>
      </c>
      <c r="O124" s="52"/>
    </row>
    <row r="125" spans="1:15" x14ac:dyDescent="0.15">
      <c r="A125">
        <v>3</v>
      </c>
      <c r="B125" s="51" t="s">
        <v>154</v>
      </c>
      <c r="D125" s="51" t="s">
        <v>45</v>
      </c>
      <c r="E125" s="51" t="s">
        <v>155</v>
      </c>
      <c r="F125" s="51" t="s">
        <v>156</v>
      </c>
      <c r="G125" s="51" t="s">
        <v>57</v>
      </c>
      <c r="H125">
        <v>1</v>
      </c>
      <c r="I125" s="58">
        <v>5000</v>
      </c>
      <c r="J125" s="59">
        <v>5000</v>
      </c>
      <c r="K125">
        <v>1</v>
      </c>
      <c r="O125" s="52"/>
    </row>
    <row r="126" spans="1:15" x14ac:dyDescent="0.15">
      <c r="A126">
        <v>2</v>
      </c>
      <c r="D126" s="51" t="s">
        <v>20</v>
      </c>
      <c r="E126" s="51" t="s">
        <v>97</v>
      </c>
      <c r="G126" s="51" t="s">
        <v>91</v>
      </c>
      <c r="H126">
        <v>17</v>
      </c>
      <c r="I126" s="58">
        <v>9100</v>
      </c>
      <c r="J126" s="59">
        <v>154700</v>
      </c>
      <c r="K126">
        <v>17</v>
      </c>
      <c r="M126" s="51" t="s">
        <v>253</v>
      </c>
      <c r="O126" s="52"/>
    </row>
    <row r="127" spans="1:15" x14ac:dyDescent="0.15">
      <c r="A127">
        <v>3</v>
      </c>
      <c r="B127" s="51" t="s">
        <v>254</v>
      </c>
      <c r="D127" s="51" t="s">
        <v>78</v>
      </c>
      <c r="E127" s="51" t="s">
        <v>255</v>
      </c>
      <c r="F127" s="51" t="s">
        <v>101</v>
      </c>
      <c r="G127" s="51" t="s">
        <v>48</v>
      </c>
      <c r="H127">
        <v>4</v>
      </c>
      <c r="I127" s="58">
        <v>35000</v>
      </c>
      <c r="J127" s="59">
        <v>140000</v>
      </c>
      <c r="K127">
        <v>1</v>
      </c>
      <c r="O127" s="52"/>
    </row>
    <row r="128" spans="1:15" x14ac:dyDescent="0.15">
      <c r="A128">
        <v>3</v>
      </c>
      <c r="B128" s="51" t="s">
        <v>102</v>
      </c>
      <c r="D128" s="51" t="s">
        <v>78</v>
      </c>
      <c r="E128" s="51" t="s">
        <v>103</v>
      </c>
      <c r="G128" s="51" t="s">
        <v>30</v>
      </c>
      <c r="H128">
        <v>40</v>
      </c>
      <c r="I128" s="58">
        <v>300</v>
      </c>
      <c r="J128" s="59">
        <v>12000</v>
      </c>
      <c r="K128">
        <v>1</v>
      </c>
      <c r="O128" s="52"/>
    </row>
    <row r="129" spans="1:15" x14ac:dyDescent="0.15">
      <c r="A129">
        <v>3</v>
      </c>
      <c r="B129" s="51" t="s">
        <v>234</v>
      </c>
      <c r="D129" s="51" t="s">
        <v>78</v>
      </c>
      <c r="E129" s="51" t="s">
        <v>256</v>
      </c>
      <c r="G129" s="51" t="s">
        <v>30</v>
      </c>
      <c r="H129">
        <v>0.5</v>
      </c>
      <c r="I129" s="58">
        <v>3500</v>
      </c>
      <c r="J129" s="59">
        <v>1750</v>
      </c>
      <c r="K129">
        <v>1</v>
      </c>
      <c r="O129" s="52"/>
    </row>
    <row r="130" spans="1:15" x14ac:dyDescent="0.15">
      <c r="A130">
        <v>3</v>
      </c>
      <c r="D130" s="51" t="s">
        <v>78</v>
      </c>
      <c r="E130" s="51" t="s">
        <v>257</v>
      </c>
      <c r="G130" s="51" t="s">
        <v>19</v>
      </c>
      <c r="H130">
        <v>1</v>
      </c>
      <c r="I130" s="58">
        <v>950</v>
      </c>
      <c r="J130" s="59">
        <v>950</v>
      </c>
      <c r="K130">
        <v>1</v>
      </c>
      <c r="O130" s="52"/>
    </row>
    <row r="131" spans="1:15" x14ac:dyDescent="0.15">
      <c r="A131">
        <v>2</v>
      </c>
      <c r="D131" s="51" t="s">
        <v>20</v>
      </c>
      <c r="E131" s="51" t="s">
        <v>258</v>
      </c>
      <c r="F131" s="51" t="s">
        <v>259</v>
      </c>
      <c r="G131" s="51" t="s">
        <v>25</v>
      </c>
      <c r="H131">
        <v>254</v>
      </c>
      <c r="I131" s="58">
        <v>1730</v>
      </c>
      <c r="J131" s="59">
        <v>439420</v>
      </c>
      <c r="K131">
        <v>254</v>
      </c>
      <c r="M131" s="51" t="s">
        <v>260</v>
      </c>
      <c r="O131" s="52"/>
    </row>
    <row r="132" spans="1:15" x14ac:dyDescent="0.15">
      <c r="A132">
        <v>3</v>
      </c>
      <c r="B132" s="51" t="s">
        <v>261</v>
      </c>
      <c r="D132" s="51" t="s">
        <v>28</v>
      </c>
      <c r="E132" s="51" t="s">
        <v>262</v>
      </c>
      <c r="G132" s="51" t="s">
        <v>86</v>
      </c>
      <c r="H132">
        <v>22</v>
      </c>
      <c r="I132" s="58">
        <v>11500</v>
      </c>
      <c r="J132" s="59">
        <v>253000</v>
      </c>
      <c r="K132">
        <v>1</v>
      </c>
      <c r="O132" s="52"/>
    </row>
    <row r="133" spans="1:15" x14ac:dyDescent="0.15">
      <c r="A133">
        <v>3</v>
      </c>
      <c r="B133" s="51" t="s">
        <v>263</v>
      </c>
      <c r="D133" s="51" t="s">
        <v>28</v>
      </c>
      <c r="E133" s="51" t="s">
        <v>264</v>
      </c>
      <c r="G133" s="51" t="s">
        <v>33</v>
      </c>
      <c r="H133">
        <v>50</v>
      </c>
      <c r="I133" s="58">
        <v>160</v>
      </c>
      <c r="J133" s="59">
        <v>8000</v>
      </c>
      <c r="K133">
        <v>1</v>
      </c>
      <c r="O133" s="52"/>
    </row>
    <row r="134" spans="1:15" x14ac:dyDescent="0.15">
      <c r="A134">
        <v>3</v>
      </c>
      <c r="B134" s="51" t="s">
        <v>34</v>
      </c>
      <c r="D134" s="51" t="s">
        <v>28</v>
      </c>
      <c r="E134" s="51" t="s">
        <v>35</v>
      </c>
      <c r="G134" s="51" t="s">
        <v>19</v>
      </c>
      <c r="H134">
        <v>1</v>
      </c>
      <c r="I134" s="58">
        <v>1420</v>
      </c>
      <c r="J134" s="59">
        <v>1420</v>
      </c>
      <c r="K134">
        <v>1</v>
      </c>
      <c r="O134" s="52"/>
    </row>
    <row r="135" spans="1:15" x14ac:dyDescent="0.15">
      <c r="A135">
        <v>3</v>
      </c>
      <c r="B135" s="51" t="s">
        <v>249</v>
      </c>
      <c r="D135" s="51" t="s">
        <v>40</v>
      </c>
      <c r="E135" s="51" t="s">
        <v>250</v>
      </c>
      <c r="F135" s="51" t="s">
        <v>42</v>
      </c>
      <c r="G135" s="51" t="s">
        <v>43</v>
      </c>
      <c r="H135">
        <v>5</v>
      </c>
      <c r="I135" s="58">
        <v>23000</v>
      </c>
      <c r="J135" s="59">
        <v>115000</v>
      </c>
      <c r="K135">
        <v>1</v>
      </c>
      <c r="O135" s="52"/>
    </row>
    <row r="136" spans="1:15" x14ac:dyDescent="0.15">
      <c r="A136">
        <v>3</v>
      </c>
      <c r="B136" s="51" t="s">
        <v>251</v>
      </c>
      <c r="D136" s="51" t="s">
        <v>45</v>
      </c>
      <c r="E136" s="51" t="s">
        <v>252</v>
      </c>
      <c r="F136" s="51" t="s">
        <v>223</v>
      </c>
      <c r="G136" s="51" t="s">
        <v>48</v>
      </c>
      <c r="H136">
        <v>1</v>
      </c>
      <c r="I136" s="58">
        <v>6000</v>
      </c>
      <c r="J136" s="59">
        <v>6000</v>
      </c>
      <c r="K136">
        <v>1</v>
      </c>
      <c r="O136" s="52"/>
    </row>
    <row r="137" spans="1:15" x14ac:dyDescent="0.15">
      <c r="A137">
        <v>3</v>
      </c>
      <c r="B137" s="51" t="s">
        <v>75</v>
      </c>
      <c r="D137" s="51" t="s">
        <v>45</v>
      </c>
      <c r="E137" s="51" t="s">
        <v>76</v>
      </c>
      <c r="F137" s="51" t="s">
        <v>54</v>
      </c>
      <c r="G137" s="51" t="s">
        <v>48</v>
      </c>
      <c r="H137">
        <v>1</v>
      </c>
      <c r="I137" s="58">
        <v>5000</v>
      </c>
      <c r="J137" s="59">
        <v>5000</v>
      </c>
      <c r="K137">
        <v>1</v>
      </c>
      <c r="O137" s="52"/>
    </row>
    <row r="138" spans="1:15" x14ac:dyDescent="0.15">
      <c r="A138">
        <v>3</v>
      </c>
      <c r="B138" s="51" t="s">
        <v>72</v>
      </c>
      <c r="D138" s="51" t="s">
        <v>45</v>
      </c>
      <c r="E138" s="51" t="s">
        <v>73</v>
      </c>
      <c r="F138" s="51" t="s">
        <v>74</v>
      </c>
      <c r="G138" s="51" t="s">
        <v>48</v>
      </c>
      <c r="H138">
        <v>1</v>
      </c>
      <c r="I138" s="58">
        <v>6000</v>
      </c>
      <c r="J138" s="59">
        <v>6000</v>
      </c>
      <c r="K138">
        <v>1</v>
      </c>
      <c r="O138" s="52"/>
    </row>
    <row r="139" spans="1:15" x14ac:dyDescent="0.15">
      <c r="A139">
        <v>3</v>
      </c>
      <c r="B139" s="51" t="s">
        <v>265</v>
      </c>
      <c r="D139" s="51" t="s">
        <v>45</v>
      </c>
      <c r="E139" s="51" t="s">
        <v>266</v>
      </c>
      <c r="F139" s="51" t="s">
        <v>267</v>
      </c>
      <c r="G139" s="51" t="s">
        <v>57</v>
      </c>
      <c r="H139">
        <v>1</v>
      </c>
      <c r="I139" s="58">
        <v>33000</v>
      </c>
      <c r="J139" s="59">
        <v>33000</v>
      </c>
      <c r="K139">
        <v>1</v>
      </c>
      <c r="O139" s="52"/>
    </row>
    <row r="140" spans="1:15" x14ac:dyDescent="0.15">
      <c r="A140">
        <v>3</v>
      </c>
      <c r="B140" s="51" t="s">
        <v>80</v>
      </c>
      <c r="D140" s="51" t="s">
        <v>78</v>
      </c>
      <c r="E140" s="51" t="s">
        <v>81</v>
      </c>
      <c r="G140" s="51" t="s">
        <v>57</v>
      </c>
      <c r="H140">
        <v>2</v>
      </c>
      <c r="I140" s="58">
        <v>6000</v>
      </c>
      <c r="J140" s="59">
        <v>12000</v>
      </c>
      <c r="K140">
        <v>1</v>
      </c>
      <c r="O140" s="52"/>
    </row>
    <row r="141" spans="1:15" x14ac:dyDescent="0.15">
      <c r="A141">
        <v>2</v>
      </c>
      <c r="D141" s="51" t="s">
        <v>20</v>
      </c>
      <c r="E141" s="51" t="s">
        <v>258</v>
      </c>
      <c r="F141" s="51" t="s">
        <v>268</v>
      </c>
      <c r="G141" s="51" t="s">
        <v>25</v>
      </c>
      <c r="H141">
        <v>83</v>
      </c>
      <c r="I141" s="58">
        <v>2800</v>
      </c>
      <c r="J141" s="59">
        <v>232400</v>
      </c>
      <c r="K141">
        <v>83</v>
      </c>
      <c r="M141" s="51" t="s">
        <v>269</v>
      </c>
      <c r="O141" s="52"/>
    </row>
    <row r="142" spans="1:15" x14ac:dyDescent="0.15">
      <c r="A142">
        <v>3</v>
      </c>
      <c r="B142" s="51" t="s">
        <v>34</v>
      </c>
      <c r="D142" s="51" t="s">
        <v>28</v>
      </c>
      <c r="E142" s="51" t="s">
        <v>35</v>
      </c>
      <c r="G142" s="51" t="s">
        <v>19</v>
      </c>
      <c r="H142">
        <v>1</v>
      </c>
      <c r="I142" s="58">
        <v>850</v>
      </c>
      <c r="J142" s="59">
        <v>850</v>
      </c>
      <c r="K142">
        <v>1</v>
      </c>
      <c r="O142" s="52"/>
    </row>
    <row r="143" spans="1:15" x14ac:dyDescent="0.15">
      <c r="A143">
        <v>3</v>
      </c>
      <c r="B143" s="51" t="s">
        <v>84</v>
      </c>
      <c r="D143" s="51" t="s">
        <v>28</v>
      </c>
      <c r="E143" s="51" t="s">
        <v>270</v>
      </c>
      <c r="G143" s="51" t="s">
        <v>86</v>
      </c>
      <c r="H143">
        <v>6</v>
      </c>
      <c r="I143" s="58">
        <v>9100</v>
      </c>
      <c r="J143" s="59">
        <v>54600</v>
      </c>
      <c r="K143">
        <v>1</v>
      </c>
      <c r="O143" s="52"/>
    </row>
    <row r="144" spans="1:15" x14ac:dyDescent="0.15">
      <c r="A144">
        <v>3</v>
      </c>
      <c r="B144" s="51" t="s">
        <v>205</v>
      </c>
      <c r="D144" s="51" t="s">
        <v>28</v>
      </c>
      <c r="E144" s="51" t="s">
        <v>271</v>
      </c>
      <c r="G144" s="51" t="s">
        <v>86</v>
      </c>
      <c r="H144">
        <v>6</v>
      </c>
      <c r="I144" s="58">
        <v>9400</v>
      </c>
      <c r="J144" s="59">
        <v>56400</v>
      </c>
      <c r="K144">
        <v>1</v>
      </c>
      <c r="O144" s="52"/>
    </row>
    <row r="145" spans="1:15" x14ac:dyDescent="0.15">
      <c r="A145">
        <v>3</v>
      </c>
      <c r="B145" s="51" t="s">
        <v>272</v>
      </c>
      <c r="D145" s="51" t="s">
        <v>28</v>
      </c>
      <c r="E145" s="51" t="s">
        <v>273</v>
      </c>
      <c r="G145" s="51" t="s">
        <v>33</v>
      </c>
      <c r="H145">
        <v>40</v>
      </c>
      <c r="I145" s="58">
        <v>100</v>
      </c>
      <c r="J145" s="59">
        <v>4000</v>
      </c>
      <c r="K145">
        <v>1</v>
      </c>
      <c r="O145" s="52"/>
    </row>
    <row r="146" spans="1:15" x14ac:dyDescent="0.15">
      <c r="A146">
        <v>3</v>
      </c>
      <c r="B146" s="51" t="s">
        <v>31</v>
      </c>
      <c r="D146" s="51" t="s">
        <v>28</v>
      </c>
      <c r="E146" s="51" t="s">
        <v>32</v>
      </c>
      <c r="G146" s="51" t="s">
        <v>30</v>
      </c>
      <c r="H146">
        <v>30</v>
      </c>
      <c r="I146" s="58">
        <v>155</v>
      </c>
      <c r="J146" s="59">
        <v>4650</v>
      </c>
      <c r="K146">
        <v>1</v>
      </c>
      <c r="O146" s="52"/>
    </row>
    <row r="147" spans="1:15" x14ac:dyDescent="0.15">
      <c r="A147">
        <v>3</v>
      </c>
      <c r="B147" s="51" t="s">
        <v>274</v>
      </c>
      <c r="D147" s="51" t="s">
        <v>28</v>
      </c>
      <c r="E147" s="51" t="s">
        <v>275</v>
      </c>
      <c r="F147" s="51" t="s">
        <v>276</v>
      </c>
      <c r="G147" s="51" t="s">
        <v>91</v>
      </c>
      <c r="H147">
        <v>5</v>
      </c>
      <c r="I147" s="58">
        <v>500</v>
      </c>
      <c r="J147" s="59">
        <v>2500</v>
      </c>
      <c r="K147">
        <v>1</v>
      </c>
      <c r="O147" s="52"/>
    </row>
    <row r="148" spans="1:15" x14ac:dyDescent="0.15">
      <c r="A148">
        <v>3</v>
      </c>
      <c r="B148" s="51" t="s">
        <v>37</v>
      </c>
      <c r="D148" s="51" t="s">
        <v>28</v>
      </c>
      <c r="E148" s="51" t="s">
        <v>38</v>
      </c>
      <c r="G148" s="51" t="s">
        <v>33</v>
      </c>
      <c r="H148">
        <v>40</v>
      </c>
      <c r="I148" s="58">
        <v>160</v>
      </c>
      <c r="J148" s="59">
        <v>6400</v>
      </c>
      <c r="K148">
        <v>1</v>
      </c>
      <c r="O148" s="52"/>
    </row>
    <row r="149" spans="1:15" x14ac:dyDescent="0.15">
      <c r="A149">
        <v>3</v>
      </c>
      <c r="B149" s="51" t="s">
        <v>249</v>
      </c>
      <c r="D149" s="51" t="s">
        <v>40</v>
      </c>
      <c r="E149" s="51" t="s">
        <v>250</v>
      </c>
      <c r="F149" s="51" t="s">
        <v>42</v>
      </c>
      <c r="G149" s="51" t="s">
        <v>43</v>
      </c>
      <c r="H149">
        <v>2</v>
      </c>
      <c r="I149" s="58">
        <v>23000</v>
      </c>
      <c r="J149" s="59">
        <v>46000</v>
      </c>
      <c r="K149">
        <v>1</v>
      </c>
      <c r="O149" s="52"/>
    </row>
    <row r="150" spans="1:15" x14ac:dyDescent="0.15">
      <c r="A150">
        <v>3</v>
      </c>
      <c r="B150" s="51" t="s">
        <v>72</v>
      </c>
      <c r="D150" s="51" t="s">
        <v>45</v>
      </c>
      <c r="E150" s="51" t="s">
        <v>73</v>
      </c>
      <c r="F150" s="51" t="s">
        <v>74</v>
      </c>
      <c r="G150" s="51" t="s">
        <v>48</v>
      </c>
      <c r="H150">
        <v>1</v>
      </c>
      <c r="I150" s="58">
        <v>6000</v>
      </c>
      <c r="J150" s="59">
        <v>6000</v>
      </c>
      <c r="K150">
        <v>1</v>
      </c>
      <c r="O150" s="52"/>
    </row>
    <row r="151" spans="1:15" x14ac:dyDescent="0.15">
      <c r="A151">
        <v>3</v>
      </c>
      <c r="B151" s="51" t="s">
        <v>265</v>
      </c>
      <c r="D151" s="51" t="s">
        <v>45</v>
      </c>
      <c r="E151" s="51" t="s">
        <v>266</v>
      </c>
      <c r="F151" s="51" t="s">
        <v>267</v>
      </c>
      <c r="G151" s="51" t="s">
        <v>57</v>
      </c>
      <c r="H151">
        <v>1</v>
      </c>
      <c r="I151" s="58">
        <v>33000</v>
      </c>
      <c r="J151" s="59">
        <v>33000</v>
      </c>
      <c r="K151">
        <v>1</v>
      </c>
      <c r="O151" s="52"/>
    </row>
    <row r="152" spans="1:15" x14ac:dyDescent="0.15">
      <c r="A152">
        <v>3</v>
      </c>
      <c r="B152" s="51" t="s">
        <v>80</v>
      </c>
      <c r="D152" s="51" t="s">
        <v>78</v>
      </c>
      <c r="E152" s="51" t="s">
        <v>81</v>
      </c>
      <c r="G152" s="51" t="s">
        <v>57</v>
      </c>
      <c r="H152">
        <v>3</v>
      </c>
      <c r="I152" s="58">
        <v>6000</v>
      </c>
      <c r="J152" s="59">
        <v>18000</v>
      </c>
      <c r="K152">
        <v>1</v>
      </c>
      <c r="O152" s="52"/>
    </row>
    <row r="153" spans="1:15" x14ac:dyDescent="0.15">
      <c r="A153">
        <v>2</v>
      </c>
      <c r="D153" s="51" t="s">
        <v>20</v>
      </c>
      <c r="E153" s="51" t="s">
        <v>277</v>
      </c>
      <c r="F153" s="51" t="s">
        <v>278</v>
      </c>
      <c r="G153" s="51" t="s">
        <v>188</v>
      </c>
      <c r="H153">
        <v>5</v>
      </c>
      <c r="I153" s="58">
        <v>20500</v>
      </c>
      <c r="J153" s="59">
        <v>102500</v>
      </c>
      <c r="K153">
        <v>5</v>
      </c>
      <c r="M153" s="51" t="s">
        <v>279</v>
      </c>
      <c r="O153" s="52"/>
    </row>
    <row r="154" spans="1:15" x14ac:dyDescent="0.15">
      <c r="A154">
        <v>3</v>
      </c>
      <c r="B154" s="51" t="s">
        <v>280</v>
      </c>
      <c r="D154" s="51" t="s">
        <v>28</v>
      </c>
      <c r="E154" s="51" t="s">
        <v>281</v>
      </c>
      <c r="G154" s="51" t="s">
        <v>107</v>
      </c>
      <c r="H154">
        <v>10</v>
      </c>
      <c r="I154" s="58">
        <v>1800</v>
      </c>
      <c r="J154" s="59">
        <v>18000</v>
      </c>
      <c r="K154">
        <v>1</v>
      </c>
      <c r="O154" s="52"/>
    </row>
    <row r="155" spans="1:15" x14ac:dyDescent="0.15">
      <c r="A155">
        <v>3</v>
      </c>
      <c r="D155" s="51" t="s">
        <v>28</v>
      </c>
      <c r="E155" s="51" t="s">
        <v>112</v>
      </c>
      <c r="G155" s="51" t="s">
        <v>113</v>
      </c>
      <c r="H155">
        <v>1</v>
      </c>
      <c r="I155" s="58">
        <v>20000</v>
      </c>
      <c r="J155" s="59">
        <v>20000</v>
      </c>
      <c r="K155">
        <v>1</v>
      </c>
      <c r="O155" s="52"/>
    </row>
    <row r="156" spans="1:15" x14ac:dyDescent="0.15">
      <c r="A156">
        <v>3</v>
      </c>
      <c r="B156" s="51" t="s">
        <v>282</v>
      </c>
      <c r="D156" s="51" t="s">
        <v>28</v>
      </c>
      <c r="E156" s="51" t="s">
        <v>283</v>
      </c>
      <c r="F156" s="51" t="s">
        <v>284</v>
      </c>
      <c r="G156" s="51" t="s">
        <v>19</v>
      </c>
      <c r="H156">
        <v>1</v>
      </c>
      <c r="I156" s="58">
        <v>4000</v>
      </c>
      <c r="J156" s="59">
        <v>4000</v>
      </c>
      <c r="K156">
        <v>1</v>
      </c>
      <c r="O156" s="52"/>
    </row>
    <row r="157" spans="1:15" x14ac:dyDescent="0.15">
      <c r="A157">
        <v>3</v>
      </c>
      <c r="B157" s="51" t="s">
        <v>285</v>
      </c>
      <c r="D157" s="51" t="s">
        <v>28</v>
      </c>
      <c r="E157" s="51" t="s">
        <v>286</v>
      </c>
      <c r="F157" s="51" t="s">
        <v>287</v>
      </c>
      <c r="G157" s="51" t="s">
        <v>107</v>
      </c>
      <c r="H157">
        <v>7</v>
      </c>
      <c r="I157" s="58">
        <v>500</v>
      </c>
      <c r="J157" s="59">
        <v>3500</v>
      </c>
      <c r="K157">
        <v>1</v>
      </c>
      <c r="O157" s="52"/>
    </row>
    <row r="158" spans="1:15" x14ac:dyDescent="0.15">
      <c r="A158">
        <v>3</v>
      </c>
      <c r="B158" s="51" t="s">
        <v>212</v>
      </c>
      <c r="D158" s="51" t="s">
        <v>40</v>
      </c>
      <c r="E158" s="51" t="s">
        <v>115</v>
      </c>
      <c r="F158" s="51" t="s">
        <v>42</v>
      </c>
      <c r="G158" s="51" t="s">
        <v>43</v>
      </c>
      <c r="H158">
        <v>2</v>
      </c>
      <c r="I158" s="58">
        <v>23000</v>
      </c>
      <c r="J158" s="59">
        <v>46000</v>
      </c>
      <c r="K158">
        <v>1</v>
      </c>
      <c r="O158" s="52"/>
    </row>
    <row r="159" spans="1:15" x14ac:dyDescent="0.15">
      <c r="A159">
        <v>3</v>
      </c>
      <c r="B159" s="51" t="s">
        <v>154</v>
      </c>
      <c r="D159" s="51" t="s">
        <v>45</v>
      </c>
      <c r="E159" s="51" t="s">
        <v>155</v>
      </c>
      <c r="F159" s="51" t="s">
        <v>156</v>
      </c>
      <c r="G159" s="51" t="s">
        <v>57</v>
      </c>
      <c r="H159">
        <v>1</v>
      </c>
      <c r="I159" s="58">
        <v>5000</v>
      </c>
      <c r="J159" s="59">
        <v>5000</v>
      </c>
      <c r="K159">
        <v>1</v>
      </c>
      <c r="O159" s="52"/>
    </row>
    <row r="160" spans="1:15" x14ac:dyDescent="0.15">
      <c r="A160">
        <v>3</v>
      </c>
      <c r="B160" s="51" t="s">
        <v>80</v>
      </c>
      <c r="D160" s="51" t="s">
        <v>78</v>
      </c>
      <c r="E160" s="51" t="s">
        <v>81</v>
      </c>
      <c r="G160" s="51" t="s">
        <v>57</v>
      </c>
      <c r="H160">
        <v>1</v>
      </c>
      <c r="I160" s="58">
        <v>6000</v>
      </c>
      <c r="J160" s="59">
        <v>6000</v>
      </c>
      <c r="K160">
        <v>1</v>
      </c>
      <c r="O160" s="52"/>
    </row>
    <row r="161" spans="1:15" x14ac:dyDescent="0.15">
      <c r="A161">
        <v>2</v>
      </c>
      <c r="D161" s="51" t="s">
        <v>20</v>
      </c>
      <c r="E161" s="51" t="s">
        <v>288</v>
      </c>
      <c r="F161" s="51" t="s">
        <v>289</v>
      </c>
      <c r="G161" s="51" t="s">
        <v>19</v>
      </c>
      <c r="H161">
        <v>1</v>
      </c>
      <c r="I161" s="58">
        <v>220000</v>
      </c>
      <c r="J161" s="59">
        <v>220000</v>
      </c>
      <c r="K161">
        <v>1</v>
      </c>
      <c r="M161" s="51" t="s">
        <v>290</v>
      </c>
      <c r="O161" s="52"/>
    </row>
    <row r="162" spans="1:15" x14ac:dyDescent="0.15">
      <c r="A162">
        <v>3</v>
      </c>
      <c r="B162" s="51" t="s">
        <v>144</v>
      </c>
      <c r="D162" s="51" t="s">
        <v>145</v>
      </c>
      <c r="E162" s="51" t="s">
        <v>146</v>
      </c>
      <c r="G162" s="51" t="s">
        <v>43</v>
      </c>
      <c r="H162">
        <v>11</v>
      </c>
      <c r="I162" s="58">
        <v>20000</v>
      </c>
      <c r="J162" s="59">
        <v>220000</v>
      </c>
      <c r="K162">
        <v>1</v>
      </c>
      <c r="O162" s="52"/>
    </row>
    <row r="163" spans="1:15" x14ac:dyDescent="0.15">
      <c r="A163">
        <v>2</v>
      </c>
      <c r="D163" s="51" t="s">
        <v>20</v>
      </c>
      <c r="E163" s="51" t="s">
        <v>119</v>
      </c>
      <c r="G163" s="51" t="s">
        <v>19</v>
      </c>
      <c r="H163">
        <v>1</v>
      </c>
      <c r="I163" s="58">
        <v>130000</v>
      </c>
      <c r="J163" s="59">
        <v>130000</v>
      </c>
      <c r="K163">
        <v>1</v>
      </c>
      <c r="M163" s="51" t="s">
        <v>291</v>
      </c>
      <c r="O163" s="52"/>
    </row>
    <row r="164" spans="1:15" x14ac:dyDescent="0.15">
      <c r="A164">
        <v>3</v>
      </c>
      <c r="B164" s="51" t="s">
        <v>130</v>
      </c>
      <c r="D164" s="51" t="s">
        <v>78</v>
      </c>
      <c r="E164" s="51" t="s">
        <v>131</v>
      </c>
      <c r="F164" s="51" t="s">
        <v>292</v>
      </c>
      <c r="G164" s="51" t="s">
        <v>113</v>
      </c>
      <c r="H164">
        <v>2</v>
      </c>
      <c r="I164" s="58">
        <v>25000</v>
      </c>
      <c r="J164" s="59">
        <v>50000</v>
      </c>
      <c r="K164">
        <v>1</v>
      </c>
      <c r="O164" s="52"/>
    </row>
    <row r="165" spans="1:15" x14ac:dyDescent="0.15">
      <c r="A165">
        <v>3</v>
      </c>
      <c r="B165" s="51" t="s">
        <v>130</v>
      </c>
      <c r="D165" s="51" t="s">
        <v>78</v>
      </c>
      <c r="E165" s="51" t="s">
        <v>131</v>
      </c>
      <c r="F165" s="51" t="s">
        <v>293</v>
      </c>
      <c r="G165" s="51" t="s">
        <v>113</v>
      </c>
      <c r="H165">
        <v>2</v>
      </c>
      <c r="I165" s="58">
        <v>25000</v>
      </c>
      <c r="J165" s="59">
        <v>50000</v>
      </c>
      <c r="K165">
        <v>1</v>
      </c>
      <c r="O165" s="52"/>
    </row>
    <row r="166" spans="1:15" x14ac:dyDescent="0.15">
      <c r="A166">
        <v>3</v>
      </c>
      <c r="B166" s="51" t="s">
        <v>133</v>
      </c>
      <c r="D166" s="51" t="s">
        <v>78</v>
      </c>
      <c r="E166" s="51" t="s">
        <v>134</v>
      </c>
      <c r="G166" s="51" t="s">
        <v>113</v>
      </c>
      <c r="H166">
        <v>3</v>
      </c>
      <c r="I166" s="58">
        <v>10000</v>
      </c>
      <c r="J166" s="59">
        <v>30000</v>
      </c>
      <c r="K166">
        <v>1</v>
      </c>
      <c r="O166" s="52"/>
    </row>
    <row r="167" spans="1:15" x14ac:dyDescent="0.15">
      <c r="A167">
        <v>2</v>
      </c>
      <c r="D167" s="51" t="s">
        <v>20</v>
      </c>
      <c r="E167" s="51" t="s">
        <v>165</v>
      </c>
      <c r="F167" s="51" t="s">
        <v>294</v>
      </c>
      <c r="G167" s="51" t="s">
        <v>19</v>
      </c>
      <c r="H167">
        <v>1</v>
      </c>
      <c r="I167" s="58">
        <v>50000</v>
      </c>
      <c r="J167" s="59">
        <v>50000</v>
      </c>
      <c r="K167">
        <v>1</v>
      </c>
      <c r="M167" s="51" t="s">
        <v>295</v>
      </c>
      <c r="O167" s="52"/>
    </row>
    <row r="168" spans="1:15" x14ac:dyDescent="0.15">
      <c r="A168">
        <v>3</v>
      </c>
      <c r="B168" s="51" t="s">
        <v>174</v>
      </c>
      <c r="D168" s="51" t="s">
        <v>145</v>
      </c>
      <c r="E168" s="51" t="s">
        <v>175</v>
      </c>
      <c r="F168" s="51" t="s">
        <v>176</v>
      </c>
      <c r="G168" s="51" t="s">
        <v>113</v>
      </c>
      <c r="H168">
        <v>1</v>
      </c>
      <c r="I168" s="58">
        <v>15000</v>
      </c>
      <c r="J168" s="59">
        <v>15000</v>
      </c>
      <c r="K168">
        <v>1</v>
      </c>
      <c r="O168" s="52"/>
    </row>
    <row r="169" spans="1:15" x14ac:dyDescent="0.15">
      <c r="A169">
        <v>3</v>
      </c>
      <c r="B169" s="51" t="s">
        <v>296</v>
      </c>
      <c r="D169" s="51" t="s">
        <v>145</v>
      </c>
      <c r="E169" s="51" t="s">
        <v>297</v>
      </c>
      <c r="G169" s="51" t="s">
        <v>113</v>
      </c>
      <c r="H169">
        <v>1</v>
      </c>
      <c r="I169" s="58">
        <v>35000</v>
      </c>
      <c r="J169" s="59">
        <v>35000</v>
      </c>
      <c r="K169">
        <v>1</v>
      </c>
      <c r="O169" s="52"/>
    </row>
    <row r="170" spans="1:15" x14ac:dyDescent="0.15">
      <c r="A170">
        <v>2</v>
      </c>
      <c r="D170" s="51" t="s">
        <v>20</v>
      </c>
      <c r="E170" s="51" t="s">
        <v>180</v>
      </c>
      <c r="G170" s="51" t="s">
        <v>19</v>
      </c>
      <c r="H170">
        <v>1</v>
      </c>
      <c r="I170" s="58">
        <v>90000</v>
      </c>
      <c r="J170" s="59">
        <v>90000</v>
      </c>
      <c r="K170">
        <v>1</v>
      </c>
      <c r="M170" s="51" t="s">
        <v>298</v>
      </c>
      <c r="O170" s="52"/>
    </row>
    <row r="171" spans="1:15" x14ac:dyDescent="0.15">
      <c r="A171">
        <v>3</v>
      </c>
      <c r="B171" s="51" t="s">
        <v>182</v>
      </c>
      <c r="D171" s="51" t="s">
        <v>145</v>
      </c>
      <c r="E171" s="51" t="s">
        <v>183</v>
      </c>
      <c r="F171" s="51" t="s">
        <v>184</v>
      </c>
      <c r="G171" s="51" t="s">
        <v>19</v>
      </c>
      <c r="H171">
        <v>1</v>
      </c>
      <c r="I171" s="58">
        <v>50000</v>
      </c>
      <c r="J171" s="59">
        <v>50000</v>
      </c>
      <c r="K171">
        <v>1</v>
      </c>
      <c r="O171" s="52"/>
    </row>
    <row r="172" spans="1:15" x14ac:dyDescent="0.15">
      <c r="A172">
        <v>3</v>
      </c>
      <c r="B172" s="51" t="s">
        <v>185</v>
      </c>
      <c r="D172" s="51" t="s">
        <v>145</v>
      </c>
      <c r="E172" s="51" t="s">
        <v>186</v>
      </c>
      <c r="F172" s="51" t="s">
        <v>187</v>
      </c>
      <c r="G172" s="51" t="s">
        <v>19</v>
      </c>
      <c r="H172">
        <v>1</v>
      </c>
      <c r="I172" s="58">
        <v>40000</v>
      </c>
      <c r="J172" s="59">
        <v>40000</v>
      </c>
      <c r="K172">
        <v>1</v>
      </c>
      <c r="O172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176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磯辺茂呂町線外1舗装改良工事(中5-2)</v>
      </c>
      <c r="G1" s="4"/>
      <c r="H1" s="16" t="s">
        <v>15</v>
      </c>
      <c r="I1" s="13">
        <v>24900000</v>
      </c>
      <c r="J1" s="17">
        <f>I4/I$1</f>
        <v>0.94578313253012047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299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磯辺茂呂町線外1舗装改良工事(中5-2)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23550000</v>
      </c>
      <c r="I4" s="48">
        <f>データ!J1</f>
        <v>23550000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内訳代価</v>
      </c>
      <c r="D5" s="36" t="str">
        <f>REPT("｜",$A5)&amp;TRIM(データ!E2)</f>
        <v>｜磯辺茂呂町線外</v>
      </c>
      <c r="E5" s="37" t="str">
        <f>TRIM(データ!F2)</f>
        <v/>
      </c>
      <c r="F5" s="38" t="str">
        <f>TRIM(データ!G2)</f>
        <v>式</v>
      </c>
      <c r="G5" s="50">
        <f>データ!H2</f>
        <v>1</v>
      </c>
      <c r="H5" s="48">
        <f>データ!I2</f>
        <v>20172920</v>
      </c>
      <c r="I5" s="48">
        <f>データ!J2</f>
        <v>20172920</v>
      </c>
      <c r="J5" s="39">
        <f>IF(OR($C5="総括",$C5="内訳書",$C5="内訳代価",$C5="明細書",$C5="明細代価",$C5="代価表",$C5="単価表"),データ!K2,"")</f>
        <v>1</v>
      </c>
      <c r="K5" s="11" t="str">
        <f t="shared" ref="K5:K68" si="0">IF(OR(J5="",G5=J5),"","*")</f>
        <v/>
      </c>
      <c r="L5" s="46">
        <f t="shared" ref="L5:L68" si="1">IF($A5&lt;=L$1,I5/I$4,"")</f>
        <v>0.85659957537154985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内訳代価</v>
      </c>
      <c r="D6" s="36" t="str">
        <f>REPT("｜",$A6)&amp;TRIM(データ!E3)</f>
        <v>｜｜切削オーバーレイ工</v>
      </c>
      <c r="E6" s="37" t="str">
        <f>TRIM(データ!F3)</f>
        <v>夜間施工 t=5cm</v>
      </c>
      <c r="F6" s="38" t="str">
        <f>TRIM(データ!G3)</f>
        <v>m2</v>
      </c>
      <c r="G6" s="50">
        <f>データ!H3</f>
        <v>3970</v>
      </c>
      <c r="H6" s="48">
        <f>データ!I3</f>
        <v>2125</v>
      </c>
      <c r="I6" s="48">
        <f>データ!J3</f>
        <v>8436250</v>
      </c>
      <c r="J6" s="39">
        <f>IF(OR($C6="総括",$C6="内訳書",$C6="内訳代価",$C6="明細書",$C6="明細代価",$C6="代価表",$C6="単価表"),データ!K3,"")</f>
        <v>3970</v>
      </c>
      <c r="K6" s="11" t="str">
        <f t="shared" si="0"/>
        <v/>
      </c>
      <c r="L6" s="46">
        <f t="shared" si="1"/>
        <v>0.3582271762208068</v>
      </c>
      <c r="M6" s="40" t="str">
        <f>IF(データ!L3="","",データ!L3)</f>
        <v/>
      </c>
      <c r="N6" s="41" t="str">
        <f>IF(データ!M3="","",データ!M3)</f>
        <v>16号内訳書</v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>
        <f>IF(OR($C6="総括",$C6="内訳書",$C6="内訳代価",$C6="明細書",$C6="明細代価",$C6="代価表",$C6="単価表"),データ!Q3,"")</f>
        <v>0</v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>
        <f>IF(OR($C6="総括",$C6="内訳書",$C6="内訳代価",$C6="明細書",$C6="明細代価",$C6="代価表",$C6="単価表"),データ!W3,"")</f>
        <v>0</v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3</v>
      </c>
      <c r="B7" s="47" t="str">
        <f>TRIM(データ!C4)</f>
        <v/>
      </c>
      <c r="C7" s="47" t="str">
        <f>TRIM(データ!D4)</f>
        <v>材料費</v>
      </c>
      <c r="D7" s="36" t="str">
        <f>REPT("｜",$A7)&amp;TRIM(データ!E4)</f>
        <v>｜｜｜再生改質Ⅱ型密粒度As20スラグ</v>
      </c>
      <c r="E7" s="37" t="str">
        <f>TRIM(データ!F4)</f>
        <v/>
      </c>
      <c r="F7" s="38" t="str">
        <f>TRIM(データ!G4)</f>
        <v>t</v>
      </c>
      <c r="G7" s="50">
        <f>データ!H4</f>
        <v>500</v>
      </c>
      <c r="H7" s="48">
        <f>データ!I4</f>
        <v>10200</v>
      </c>
      <c r="I7" s="48">
        <f>データ!J4</f>
        <v>5100000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0.21656050955414013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>s2008</v>
      </c>
      <c r="AF7" s="43" t="str">
        <f>TRIM(データ!Z4)</f>
        <v/>
      </c>
    </row>
    <row r="8" spans="1:32" x14ac:dyDescent="0.15">
      <c r="A8" s="47">
        <f>データ!A5</f>
        <v>3</v>
      </c>
      <c r="B8" s="47" t="str">
        <f>TRIM(データ!C5)</f>
        <v/>
      </c>
      <c r="C8" s="47" t="str">
        <f>TRIM(データ!D5)</f>
        <v>材料費</v>
      </c>
      <c r="D8" s="36" t="str">
        <f>REPT("｜",$A8)&amp;TRIM(データ!E5)</f>
        <v>｜｜｜TFE(ﾀｯｸﾌｧｲﾝE)</v>
      </c>
      <c r="E8" s="37" t="str">
        <f>TRIM(データ!F5)</f>
        <v/>
      </c>
      <c r="F8" s="38" t="str">
        <f>TRIM(データ!G5)</f>
        <v>L</v>
      </c>
      <c r="G8" s="50">
        <f>データ!H5</f>
        <v>1600</v>
      </c>
      <c r="H8" s="48">
        <f>データ!I5</f>
        <v>155</v>
      </c>
      <c r="I8" s="48">
        <f>データ!J5</f>
        <v>248000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1.0530785562632696E-2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>s1005</v>
      </c>
      <c r="AF8" s="43" t="str">
        <f>TRIM(データ!Z5)</f>
        <v/>
      </c>
    </row>
    <row r="9" spans="1:32" x14ac:dyDescent="0.15">
      <c r="A9" s="47">
        <f>データ!A6</f>
        <v>3</v>
      </c>
      <c r="B9" s="47" t="str">
        <f>TRIM(データ!C6)</f>
        <v/>
      </c>
      <c r="C9" s="47" t="str">
        <f>TRIM(データ!D6)</f>
        <v>材料費</v>
      </c>
      <c r="D9" s="36" t="str">
        <f>REPT("｜",$A9)&amp;TRIM(データ!E6)</f>
        <v>｜｜｜雑材</v>
      </c>
      <c r="E9" s="37" t="str">
        <f>TRIM(データ!F6)</f>
        <v/>
      </c>
      <c r="F9" s="38" t="str">
        <f>TRIM(データ!G6)</f>
        <v>/日</v>
      </c>
      <c r="G9" s="50">
        <f>データ!H6</f>
        <v>4</v>
      </c>
      <c r="H9" s="48">
        <f>データ!I6</f>
        <v>5000</v>
      </c>
      <c r="I9" s="48">
        <f>データ!J6</f>
        <v>20000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8.4925690021231425E-4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>s20718001</v>
      </c>
      <c r="AF9" s="43" t="str">
        <f>TRIM(データ!Z6)</f>
        <v/>
      </c>
    </row>
    <row r="10" spans="1:32" x14ac:dyDescent="0.15">
      <c r="A10" s="47">
        <f>データ!A7</f>
        <v>3</v>
      </c>
      <c r="B10" s="47" t="str">
        <f>TRIM(データ!C7)</f>
        <v/>
      </c>
      <c r="C10" s="47" t="str">
        <f>TRIM(データ!D7)</f>
        <v>材料費</v>
      </c>
      <c r="D10" s="36" t="str">
        <f>REPT("｜",$A10)&amp;TRIM(データ!E7)</f>
        <v>｜｜｜雑材</v>
      </c>
      <c r="E10" s="37" t="str">
        <f>TRIM(データ!F7)</f>
        <v/>
      </c>
      <c r="F10" s="38" t="str">
        <f>TRIM(データ!G7)</f>
        <v>式</v>
      </c>
      <c r="G10" s="50">
        <f>データ!H7</f>
        <v>1</v>
      </c>
      <c r="H10" s="48">
        <f>データ!I7</f>
        <v>4250</v>
      </c>
      <c r="I10" s="48">
        <f>データ!J7</f>
        <v>4250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1.8046709129511678E-4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>s20718001</v>
      </c>
      <c r="AF10" s="43" t="str">
        <f>TRIM(データ!Z7)</f>
        <v/>
      </c>
    </row>
    <row r="11" spans="1:32" x14ac:dyDescent="0.15">
      <c r="A11" s="47">
        <f>データ!A8</f>
        <v>3</v>
      </c>
      <c r="B11" s="47" t="str">
        <f>TRIM(データ!C8)</f>
        <v/>
      </c>
      <c r="C11" s="47" t="str">
        <f>TRIM(データ!D8)</f>
        <v>材料費</v>
      </c>
      <c r="D11" s="36" t="str">
        <f>REPT("｜",$A11)&amp;TRIM(データ!E8)</f>
        <v>｜｜｜軽油</v>
      </c>
      <c r="E11" s="37" t="str">
        <f>TRIM(データ!F8)</f>
        <v/>
      </c>
      <c r="F11" s="38" t="str">
        <f>TRIM(データ!G8)</f>
        <v>L</v>
      </c>
      <c r="G11" s="50">
        <f>データ!H8</f>
        <v>350</v>
      </c>
      <c r="H11" s="48">
        <f>データ!I8</f>
        <v>160</v>
      </c>
      <c r="I11" s="48">
        <f>データ!J8</f>
        <v>56000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2.3779193205944798E-3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>s20718549</v>
      </c>
      <c r="AF11" s="43" t="str">
        <f>TRIM(データ!Z8)</f>
        <v/>
      </c>
    </row>
    <row r="12" spans="1:32" x14ac:dyDescent="0.15">
      <c r="A12" s="47">
        <f>データ!A9</f>
        <v>3</v>
      </c>
      <c r="B12" s="47" t="str">
        <f>TRIM(データ!C9)</f>
        <v/>
      </c>
      <c r="C12" s="47" t="str">
        <f>TRIM(データ!D9)</f>
        <v>労務費</v>
      </c>
      <c r="D12" s="36" t="str">
        <f>REPT("｜",$A12)&amp;TRIM(データ!E9)</f>
        <v>｜｜｜運転工(夜間)</v>
      </c>
      <c r="E12" s="37" t="str">
        <f>TRIM(データ!F9)</f>
        <v>8H</v>
      </c>
      <c r="F12" s="38" t="str">
        <f>TRIM(データ!G9)</f>
        <v>人</v>
      </c>
      <c r="G12" s="50">
        <f>データ!H9</f>
        <v>20</v>
      </c>
      <c r="H12" s="48">
        <f>データ!I9</f>
        <v>25000</v>
      </c>
      <c r="I12" s="48">
        <f>データ!J9</f>
        <v>500000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2.1231422505307854E-2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>r20718008</v>
      </c>
      <c r="AF12" s="43" t="str">
        <f>TRIM(データ!Z9)</f>
        <v/>
      </c>
    </row>
    <row r="13" spans="1:32" x14ac:dyDescent="0.15">
      <c r="A13" s="47">
        <f>データ!A10</f>
        <v>3</v>
      </c>
      <c r="B13" s="47" t="str">
        <f>TRIM(データ!C10)</f>
        <v/>
      </c>
      <c r="C13" s="47" t="str">
        <f>TRIM(データ!D10)</f>
        <v>機械費</v>
      </c>
      <c r="D13" s="36" t="str">
        <f>REPT("｜",$A13)&amp;TRIM(データ!E10)</f>
        <v>｜｜｜切削機ホイール</v>
      </c>
      <c r="E13" s="37" t="str">
        <f>TRIM(データ!F10)</f>
        <v>ER550級</v>
      </c>
      <c r="F13" s="38" t="str">
        <f>TRIM(データ!G10)</f>
        <v>日台</v>
      </c>
      <c r="G13" s="50">
        <f>データ!H10</f>
        <v>4</v>
      </c>
      <c r="H13" s="48">
        <f>データ!I10</f>
        <v>240000</v>
      </c>
      <c r="I13" s="48">
        <f>データ!J10</f>
        <v>960000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4.0764331210191081E-2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>k20718110</v>
      </c>
      <c r="AF13" s="43" t="str">
        <f>TRIM(データ!Z10)</f>
        <v/>
      </c>
    </row>
    <row r="14" spans="1:32" x14ac:dyDescent="0.15">
      <c r="A14" s="47">
        <f>データ!A11</f>
        <v>3</v>
      </c>
      <c r="B14" s="47" t="str">
        <f>TRIM(データ!C11)</f>
        <v/>
      </c>
      <c r="C14" s="47" t="str">
        <f>TRIM(データ!D11)</f>
        <v>機械費</v>
      </c>
      <c r="D14" s="36" t="str">
        <f>REPT("｜",$A14)&amp;TRIM(データ!E11)</f>
        <v>｜｜｜散水車</v>
      </c>
      <c r="E14" s="37" t="str">
        <f>TRIM(データ!F11)</f>
        <v>4t</v>
      </c>
      <c r="F14" s="38" t="str">
        <f>TRIM(データ!G11)</f>
        <v>日台</v>
      </c>
      <c r="G14" s="50">
        <f>データ!H11</f>
        <v>4</v>
      </c>
      <c r="H14" s="48">
        <f>データ!I11</f>
        <v>10000</v>
      </c>
      <c r="I14" s="48">
        <f>データ!J11</f>
        <v>40000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1.6985138004246285E-3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>k20718103</v>
      </c>
      <c r="AF14" s="43" t="str">
        <f>TRIM(データ!Z11)</f>
        <v/>
      </c>
    </row>
    <row r="15" spans="1:32" x14ac:dyDescent="0.15">
      <c r="A15" s="47">
        <f>データ!A12</f>
        <v>3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｜｜｜Asフィニッシャー6.0m</v>
      </c>
      <c r="E15" s="37" t="str">
        <f>TRIM(データ!F12)</f>
        <v>低騒音</v>
      </c>
      <c r="F15" s="38" t="str">
        <f>TRIM(データ!G12)</f>
        <v>日台</v>
      </c>
      <c r="G15" s="50">
        <f>データ!H12</f>
        <v>4</v>
      </c>
      <c r="H15" s="48">
        <f>データ!I12</f>
        <v>60000</v>
      </c>
      <c r="I15" s="48">
        <f>データ!J12</f>
        <v>240000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1.019108280254777E-2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>k20718054</v>
      </c>
      <c r="AF15" s="43" t="str">
        <f>TRIM(データ!Z12)</f>
        <v/>
      </c>
    </row>
    <row r="16" spans="1:32" x14ac:dyDescent="0.15">
      <c r="A16" s="47">
        <f>データ!A13</f>
        <v>3</v>
      </c>
      <c r="B16" s="47" t="str">
        <f>TRIM(データ!C13)</f>
        <v/>
      </c>
      <c r="C16" s="47" t="str">
        <f>TRIM(データ!D13)</f>
        <v>機械費</v>
      </c>
      <c r="D16" s="36" t="str">
        <f>REPT("｜",$A16)&amp;TRIM(データ!E13)</f>
        <v>｜｜｜ミニ切削機350</v>
      </c>
      <c r="E16" s="37" t="str">
        <f>TRIM(データ!F13)</f>
        <v/>
      </c>
      <c r="F16" s="38" t="str">
        <f>TRIM(データ!G13)</f>
        <v>台</v>
      </c>
      <c r="G16" s="50">
        <f>データ!H13</f>
        <v>4</v>
      </c>
      <c r="H16" s="48">
        <f>データ!I13</f>
        <v>120000</v>
      </c>
      <c r="I16" s="48">
        <f>データ!J13</f>
        <v>480000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2.038216560509554E-2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>k20718116</v>
      </c>
      <c r="AF16" s="43" t="str">
        <f>TRIM(データ!Z13)</f>
        <v/>
      </c>
    </row>
    <row r="17" spans="1:32" x14ac:dyDescent="0.15">
      <c r="A17" s="47">
        <f>データ!A14</f>
        <v>3</v>
      </c>
      <c r="B17" s="47" t="str">
        <f>TRIM(データ!C14)</f>
        <v/>
      </c>
      <c r="C17" s="47" t="str">
        <f>TRIM(データ!D14)</f>
        <v>機械費</v>
      </c>
      <c r="D17" s="36" t="str">
        <f>REPT("｜",$A17)&amp;TRIM(データ!E14)</f>
        <v>｜｜｜スィーパー</v>
      </c>
      <c r="E17" s="37" t="str">
        <f>TRIM(データ!F14)</f>
        <v>大型</v>
      </c>
      <c r="F17" s="38" t="str">
        <f>TRIM(データ!G14)</f>
        <v>日台</v>
      </c>
      <c r="G17" s="50">
        <f>データ!H14</f>
        <v>4</v>
      </c>
      <c r="H17" s="48">
        <f>データ!I14</f>
        <v>80000</v>
      </c>
      <c r="I17" s="48">
        <f>データ!J14</f>
        <v>320000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1.3588110403397028E-2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>k20718117</v>
      </c>
      <c r="AF17" s="43" t="str">
        <f>TRIM(データ!Z14)</f>
        <v/>
      </c>
    </row>
    <row r="18" spans="1:32" x14ac:dyDescent="0.15">
      <c r="A18" s="47">
        <f>データ!A15</f>
        <v>3</v>
      </c>
      <c r="B18" s="47" t="str">
        <f>TRIM(データ!C15)</f>
        <v/>
      </c>
      <c r="C18" s="47" t="str">
        <f>TRIM(データ!D15)</f>
        <v>機械費</v>
      </c>
      <c r="D18" s="36" t="str">
        <f>REPT("｜",$A18)&amp;TRIM(データ!E15)</f>
        <v>｜｜｜ディストリビューター(夜)</v>
      </c>
      <c r="E18" s="37" t="str">
        <f>TRIM(データ!F15)</f>
        <v/>
      </c>
      <c r="F18" s="38" t="str">
        <f>TRIM(データ!G15)</f>
        <v>日台</v>
      </c>
      <c r="G18" s="50">
        <f>データ!H15</f>
        <v>4</v>
      </c>
      <c r="H18" s="48">
        <f>データ!I15</f>
        <v>60000</v>
      </c>
      <c r="I18" s="48">
        <f>データ!J15</f>
        <v>240000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1.019108280254777E-2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>k20718107</v>
      </c>
      <c r="AF18" s="43" t="str">
        <f>TRIM(データ!Z15)</f>
        <v/>
      </c>
    </row>
    <row r="19" spans="1:32" x14ac:dyDescent="0.15">
      <c r="A19" s="47">
        <f>データ!A16</f>
        <v>3</v>
      </c>
      <c r="B19" s="47" t="str">
        <f>TRIM(データ!C16)</f>
        <v/>
      </c>
      <c r="C19" s="47" t="str">
        <f>TRIM(データ!D16)</f>
        <v>機械費</v>
      </c>
      <c r="D19" s="36" t="str">
        <f>REPT("｜",$A19)&amp;TRIM(データ!E16)</f>
        <v>｜｜｜トラック積コンプレッサー</v>
      </c>
      <c r="E19" s="37" t="str">
        <f>TRIM(データ!F16)</f>
        <v>ブレーカー・ホース込</v>
      </c>
      <c r="F19" s="38" t="str">
        <f>TRIM(データ!G16)</f>
        <v>日台</v>
      </c>
      <c r="G19" s="50">
        <f>データ!H16</f>
        <v>4</v>
      </c>
      <c r="H19" s="48">
        <f>データ!I16</f>
        <v>12000</v>
      </c>
      <c r="I19" s="48">
        <f>データ!J16</f>
        <v>48000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2.0382165605095539E-3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>k20718102</v>
      </c>
      <c r="AF19" s="43" t="str">
        <f>TRIM(データ!Z16)</f>
        <v/>
      </c>
    </row>
    <row r="20" spans="1:32" x14ac:dyDescent="0.15">
      <c r="A20" s="47">
        <f>データ!A17</f>
        <v>3</v>
      </c>
      <c r="B20" s="47" t="str">
        <f>TRIM(データ!C17)</f>
        <v/>
      </c>
      <c r="C20" s="47" t="str">
        <f>TRIM(データ!D17)</f>
        <v>機械費</v>
      </c>
      <c r="D20" s="36" t="str">
        <f>REPT("｜",$A20)&amp;TRIM(データ!E17)</f>
        <v>｜｜｜タイヤR　8t</v>
      </c>
      <c r="E20" s="37" t="str">
        <f>TRIM(データ!F17)</f>
        <v>8t　低騒音</v>
      </c>
      <c r="F20" s="38" t="str">
        <f>TRIM(データ!G17)</f>
        <v>日台</v>
      </c>
      <c r="G20" s="50">
        <f>データ!H17</f>
        <v>4</v>
      </c>
      <c r="H20" s="48">
        <f>データ!I17</f>
        <v>8000</v>
      </c>
      <c r="I20" s="48">
        <f>データ!J17</f>
        <v>32000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1.3588110403397028E-3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>k20718043</v>
      </c>
      <c r="AF20" s="43" t="str">
        <f>TRIM(データ!Z17)</f>
        <v/>
      </c>
    </row>
    <row r="21" spans="1:32" x14ac:dyDescent="0.15">
      <c r="A21" s="47">
        <f>データ!A18</f>
        <v>3</v>
      </c>
      <c r="B21" s="47" t="str">
        <f>TRIM(データ!C18)</f>
        <v/>
      </c>
      <c r="C21" s="47" t="str">
        <f>TRIM(データ!D18)</f>
        <v>機械費</v>
      </c>
      <c r="D21" s="36" t="str">
        <f>REPT("｜",$A21)&amp;TRIM(データ!E18)</f>
        <v>｜｜｜マカダムR</v>
      </c>
      <c r="E21" s="37" t="str">
        <f>TRIM(データ!F18)</f>
        <v>R2　低騒音</v>
      </c>
      <c r="F21" s="38" t="str">
        <f>TRIM(データ!G18)</f>
        <v>日台</v>
      </c>
      <c r="G21" s="50">
        <f>データ!H18</f>
        <v>4</v>
      </c>
      <c r="H21" s="48">
        <f>データ!I18</f>
        <v>8000</v>
      </c>
      <c r="I21" s="48">
        <f>データ!J18</f>
        <v>32000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1.3588110403397028E-3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>k20718039</v>
      </c>
      <c r="AF21" s="43" t="str">
        <f>TRIM(データ!Z18)</f>
        <v/>
      </c>
    </row>
    <row r="22" spans="1:32" x14ac:dyDescent="0.15">
      <c r="A22" s="47">
        <f>データ!A19</f>
        <v>3</v>
      </c>
      <c r="B22" s="47" t="str">
        <f>TRIM(データ!C19)</f>
        <v/>
      </c>
      <c r="C22" s="47" t="str">
        <f>TRIM(データ!D19)</f>
        <v>機械費</v>
      </c>
      <c r="D22" s="36" t="str">
        <f>REPT("｜",$A22)&amp;TRIM(データ!E19)</f>
        <v>｜｜｜コンバインドR</v>
      </c>
      <c r="E22" s="37" t="str">
        <f>TRIM(データ!F19)</f>
        <v>3t　4ｔ　低騒音</v>
      </c>
      <c r="F22" s="38" t="str">
        <f>TRIM(データ!G19)</f>
        <v>日台</v>
      </c>
      <c r="G22" s="50">
        <f>データ!H19</f>
        <v>4</v>
      </c>
      <c r="H22" s="48">
        <f>データ!I19</f>
        <v>6000</v>
      </c>
      <c r="I22" s="48">
        <f>データ!J19</f>
        <v>24000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1.019108280254777E-3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>k20718031</v>
      </c>
      <c r="AF22" s="43" t="str">
        <f>TRIM(データ!Z19)</f>
        <v/>
      </c>
    </row>
    <row r="23" spans="1:32" x14ac:dyDescent="0.15">
      <c r="A23" s="47">
        <f>データ!A20</f>
        <v>3</v>
      </c>
      <c r="B23" s="47" t="str">
        <f>TRIM(データ!C20)</f>
        <v/>
      </c>
      <c r="C23" s="47" t="str">
        <f>TRIM(データ!D20)</f>
        <v>機械費</v>
      </c>
      <c r="D23" s="36" t="str">
        <f>REPT("｜",$A23)&amp;TRIM(データ!E20)</f>
        <v>｜｜｜タイヤショベル0.5</v>
      </c>
      <c r="E23" s="37" t="str">
        <f>TRIM(データ!F20)</f>
        <v>低騒音</v>
      </c>
      <c r="F23" s="38" t="str">
        <f>TRIM(データ!G20)</f>
        <v>日台</v>
      </c>
      <c r="G23" s="50">
        <f>データ!H20</f>
        <v>4</v>
      </c>
      <c r="H23" s="48">
        <f>データ!I20</f>
        <v>6000</v>
      </c>
      <c r="I23" s="48">
        <f>データ!J20</f>
        <v>24000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1.019108280254777E-3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>k20718024</v>
      </c>
      <c r="AF23" s="43" t="str">
        <f>TRIM(データ!Z20)</f>
        <v/>
      </c>
    </row>
    <row r="24" spans="1:32" x14ac:dyDescent="0.15">
      <c r="A24" s="47">
        <f>データ!A21</f>
        <v>3</v>
      </c>
      <c r="B24" s="47" t="str">
        <f>TRIM(データ!C21)</f>
        <v/>
      </c>
      <c r="C24" s="47" t="str">
        <f>TRIM(データ!D21)</f>
        <v>運搬費</v>
      </c>
      <c r="D24" s="36" t="str">
        <f>REPT("｜",$A24)&amp;TRIM(データ!E21)</f>
        <v>｜｜｜WP</v>
      </c>
      <c r="E24" s="37" t="str">
        <f>TRIM(データ!F21)</f>
        <v/>
      </c>
      <c r="F24" s="38" t="str">
        <f>TRIM(データ!G21)</f>
        <v>台</v>
      </c>
      <c r="G24" s="50">
        <f>データ!H21</f>
        <v>4</v>
      </c>
      <c r="H24" s="48">
        <f>データ!I21</f>
        <v>5000</v>
      </c>
      <c r="I24" s="48">
        <f>データ!J21</f>
        <v>20000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8.4925690021231425E-4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>u20718008</v>
      </c>
      <c r="AF24" s="43" t="str">
        <f>TRIM(データ!Z21)</f>
        <v/>
      </c>
    </row>
    <row r="25" spans="1:32" x14ac:dyDescent="0.15">
      <c r="A25" s="47">
        <f>データ!A22</f>
        <v>3</v>
      </c>
      <c r="B25" s="47" t="str">
        <f>TRIM(データ!C22)</f>
        <v/>
      </c>
      <c r="C25" s="47" t="str">
        <f>TRIM(データ!D22)</f>
        <v>運搬費</v>
      </c>
      <c r="D25" s="36" t="str">
        <f>REPT("｜",$A25)&amp;TRIM(データ!E22)</f>
        <v>｜｜｜2tダンプ</v>
      </c>
      <c r="E25" s="37" t="str">
        <f>TRIM(データ!F22)</f>
        <v/>
      </c>
      <c r="F25" s="38" t="str">
        <f>TRIM(データ!G22)</f>
        <v>台</v>
      </c>
      <c r="G25" s="50">
        <f>データ!H22</f>
        <v>8</v>
      </c>
      <c r="H25" s="48">
        <f>データ!I22</f>
        <v>6000</v>
      </c>
      <c r="I25" s="48">
        <f>データ!J22</f>
        <v>48000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2.0382165605095539E-3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>u20718025</v>
      </c>
      <c r="AF25" s="43" t="str">
        <f>TRIM(データ!Z22)</f>
        <v/>
      </c>
    </row>
    <row r="26" spans="1:32" x14ac:dyDescent="0.15">
      <c r="A26" s="47">
        <f>データ!A23</f>
        <v>2</v>
      </c>
      <c r="B26" s="47" t="str">
        <f>TRIM(データ!C23)</f>
        <v/>
      </c>
      <c r="C26" s="47" t="str">
        <f>TRIM(データ!D23)</f>
        <v>内訳代価</v>
      </c>
      <c r="D26" s="36" t="str">
        <f>REPT("｜",$A26)&amp;TRIM(データ!E23)</f>
        <v>｜｜切削オーバーレイ工</v>
      </c>
      <c r="E26" s="37" t="str">
        <f>TRIM(データ!F23)</f>
        <v>夜間施工　t＝10cm</v>
      </c>
      <c r="F26" s="38" t="str">
        <f>TRIM(データ!G23)</f>
        <v>m2</v>
      </c>
      <c r="G26" s="50">
        <f>データ!H23</f>
        <v>212</v>
      </c>
      <c r="H26" s="48">
        <f>データ!I23</f>
        <v>4440</v>
      </c>
      <c r="I26" s="48">
        <f>データ!J23</f>
        <v>941280</v>
      </c>
      <c r="J26" s="39">
        <f>IF(OR($C26="総括",$C26="内訳書",$C26="内訳代価",$C26="明細書",$C26="明細代価",$C26="代価表",$C26="単価表"),データ!K23,"")</f>
        <v>212</v>
      </c>
      <c r="K26" s="11" t="str">
        <f t="shared" si="0"/>
        <v/>
      </c>
      <c r="L26" s="46">
        <f t="shared" si="1"/>
        <v>3.996942675159236E-2</v>
      </c>
      <c r="M26" s="40" t="str">
        <f>IF(データ!L23="","",データ!L23)</f>
        <v/>
      </c>
      <c r="N26" s="41" t="str">
        <f>IF(データ!M23="","",データ!M23)</f>
        <v>18号内訳書</v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>
        <f>IF(OR($C26="総括",$C26="内訳書",$C26="内訳代価",$C26="明細書",$C26="明細代価",$C26="代価表",$C26="単価表"),データ!Q23,"")</f>
        <v>0</v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>
        <f>IF(OR($C26="総括",$C26="内訳書",$C26="内訳代価",$C26="明細書",$C26="明細代価",$C26="代価表",$C26="単価表"),データ!W23,"")</f>
        <v>0</v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3</v>
      </c>
      <c r="B27" s="47" t="str">
        <f>TRIM(データ!C24)</f>
        <v/>
      </c>
      <c r="C27" s="47" t="str">
        <f>TRIM(データ!D24)</f>
        <v>材料費</v>
      </c>
      <c r="D27" s="36" t="str">
        <f>REPT("｜",$A27)&amp;TRIM(データ!E24)</f>
        <v>｜｜｜再生改質Ⅱ型密粒度As20スラグ</v>
      </c>
      <c r="E27" s="37" t="str">
        <f>TRIM(データ!F24)</f>
        <v/>
      </c>
      <c r="F27" s="38" t="str">
        <f>TRIM(データ!G24)</f>
        <v>t</v>
      </c>
      <c r="G27" s="50">
        <f>データ!H24</f>
        <v>27</v>
      </c>
      <c r="H27" s="48">
        <f>データ!I24</f>
        <v>10200</v>
      </c>
      <c r="I27" s="48">
        <f>データ!J24</f>
        <v>275400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1.1694267515923567E-2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>s2008</v>
      </c>
      <c r="AF27" s="43" t="str">
        <f>TRIM(データ!Z24)</f>
        <v/>
      </c>
    </row>
    <row r="28" spans="1:32" x14ac:dyDescent="0.15">
      <c r="A28" s="47">
        <f>データ!A25</f>
        <v>3</v>
      </c>
      <c r="B28" s="47" t="str">
        <f>TRIM(データ!C25)</f>
        <v/>
      </c>
      <c r="C28" s="47" t="str">
        <f>TRIM(データ!D25)</f>
        <v>材料費</v>
      </c>
      <c r="D28" s="36" t="str">
        <f>REPT("｜",$A28)&amp;TRIM(データ!E25)</f>
        <v>｜｜｜R粗粒度As20</v>
      </c>
      <c r="E28" s="37" t="str">
        <f>TRIM(データ!F25)</f>
        <v/>
      </c>
      <c r="F28" s="38" t="str">
        <f>TRIM(データ!G25)</f>
        <v>ｔ</v>
      </c>
      <c r="G28" s="50">
        <f>データ!H25</f>
        <v>27</v>
      </c>
      <c r="H28" s="48">
        <f>データ!I25</f>
        <v>8800</v>
      </c>
      <c r="I28" s="48">
        <f>データ!J25</f>
        <v>237600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1.0089171974522294E-2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>s20718004</v>
      </c>
      <c r="AF28" s="43" t="str">
        <f>TRIM(データ!Z25)</f>
        <v/>
      </c>
    </row>
    <row r="29" spans="1:32" x14ac:dyDescent="0.15">
      <c r="A29" s="47">
        <f>データ!A26</f>
        <v>3</v>
      </c>
      <c r="B29" s="47" t="str">
        <f>TRIM(データ!C26)</f>
        <v/>
      </c>
      <c r="C29" s="47" t="str">
        <f>TRIM(データ!D26)</f>
        <v>材料費</v>
      </c>
      <c r="D29" s="36" t="str">
        <f>REPT("｜",$A29)&amp;TRIM(データ!E26)</f>
        <v>｜｜｜TFE(ﾀｯｸﾌｧｲﾝE)</v>
      </c>
      <c r="E29" s="37" t="str">
        <f>TRIM(データ!F26)</f>
        <v/>
      </c>
      <c r="F29" s="38" t="str">
        <f>TRIM(データ!G26)</f>
        <v>L</v>
      </c>
      <c r="G29" s="50">
        <f>データ!H26</f>
        <v>90</v>
      </c>
      <c r="H29" s="48">
        <f>データ!I26</f>
        <v>155</v>
      </c>
      <c r="I29" s="48">
        <f>データ!J26</f>
        <v>13950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5.9235668789808912E-4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>s1005</v>
      </c>
      <c r="AF29" s="43" t="str">
        <f>TRIM(データ!Z26)</f>
        <v/>
      </c>
    </row>
    <row r="30" spans="1:32" x14ac:dyDescent="0.15">
      <c r="A30" s="47">
        <f>データ!A27</f>
        <v>3</v>
      </c>
      <c r="B30" s="47" t="str">
        <f>TRIM(データ!C27)</f>
        <v/>
      </c>
      <c r="C30" s="47" t="str">
        <f>TRIM(データ!D27)</f>
        <v>材料費</v>
      </c>
      <c r="D30" s="36" t="str">
        <f>REPT("｜",$A30)&amp;TRIM(データ!E27)</f>
        <v>｜｜｜乳剤PK-3・4</v>
      </c>
      <c r="E30" s="37" t="str">
        <f>TRIM(データ!F27)</f>
        <v/>
      </c>
      <c r="F30" s="38" t="str">
        <f>TRIM(データ!G27)</f>
        <v>L</v>
      </c>
      <c r="G30" s="50">
        <f>データ!H27</f>
        <v>170</v>
      </c>
      <c r="H30" s="48">
        <f>データ!I27</f>
        <v>100</v>
      </c>
      <c r="I30" s="48">
        <f>データ!J27</f>
        <v>17000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7.218683651804671E-4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>s20718015</v>
      </c>
      <c r="AF30" s="43" t="str">
        <f>TRIM(データ!Z27)</f>
        <v/>
      </c>
    </row>
    <row r="31" spans="1:32" x14ac:dyDescent="0.15">
      <c r="A31" s="47">
        <f>データ!A28</f>
        <v>3</v>
      </c>
      <c r="B31" s="47" t="str">
        <f>TRIM(データ!C28)</f>
        <v/>
      </c>
      <c r="C31" s="47" t="str">
        <f>TRIM(データ!D28)</f>
        <v>材料費</v>
      </c>
      <c r="D31" s="36" t="str">
        <f>REPT("｜",$A31)&amp;TRIM(データ!E28)</f>
        <v>｜｜｜山砂</v>
      </c>
      <c r="E31" s="37" t="str">
        <f>TRIM(データ!F28)</f>
        <v/>
      </c>
      <c r="F31" s="38" t="str">
        <f>TRIM(データ!G28)</f>
        <v>m3</v>
      </c>
      <c r="G31" s="50">
        <f>データ!H28</f>
        <v>1</v>
      </c>
      <c r="H31" s="48">
        <f>データ!I28</f>
        <v>5000</v>
      </c>
      <c r="I31" s="48">
        <f>データ!J28</f>
        <v>5000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2.1231422505307856E-4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>s20718042</v>
      </c>
      <c r="AF31" s="43" t="str">
        <f>TRIM(データ!Z28)</f>
        <v/>
      </c>
    </row>
    <row r="32" spans="1:32" x14ac:dyDescent="0.15">
      <c r="A32" s="47">
        <f>データ!A29</f>
        <v>3</v>
      </c>
      <c r="B32" s="47" t="str">
        <f>TRIM(データ!C29)</f>
        <v/>
      </c>
      <c r="C32" s="47" t="str">
        <f>TRIM(データ!D29)</f>
        <v>材料費</v>
      </c>
      <c r="D32" s="36" t="str">
        <f>REPT("｜",$A32)&amp;TRIM(データ!E29)</f>
        <v>｜｜｜雑材</v>
      </c>
      <c r="E32" s="37" t="str">
        <f>TRIM(データ!F29)</f>
        <v/>
      </c>
      <c r="F32" s="38" t="str">
        <f>TRIM(データ!G29)</f>
        <v>式</v>
      </c>
      <c r="G32" s="50">
        <f>データ!H29</f>
        <v>1</v>
      </c>
      <c r="H32" s="48">
        <f>データ!I29</f>
        <v>2330</v>
      </c>
      <c r="I32" s="48">
        <f>データ!J29</f>
        <v>2330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9.8938428874734602E-5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>s20718001</v>
      </c>
      <c r="AF32" s="43" t="str">
        <f>TRIM(データ!Z29)</f>
        <v/>
      </c>
    </row>
    <row r="33" spans="1:32" x14ac:dyDescent="0.15">
      <c r="A33" s="47">
        <f>データ!A30</f>
        <v>3</v>
      </c>
      <c r="B33" s="47" t="str">
        <f>TRIM(データ!C30)</f>
        <v/>
      </c>
      <c r="C33" s="47" t="str">
        <f>TRIM(データ!D30)</f>
        <v>労務費</v>
      </c>
      <c r="D33" s="36" t="str">
        <f>REPT("｜",$A33)&amp;TRIM(データ!E30)</f>
        <v>｜｜｜運転工(夜間)</v>
      </c>
      <c r="E33" s="37" t="str">
        <f>TRIM(データ!F30)</f>
        <v>8H</v>
      </c>
      <c r="F33" s="38" t="str">
        <f>TRIM(データ!G30)</f>
        <v>人</v>
      </c>
      <c r="G33" s="50">
        <f>データ!H30</f>
        <v>12</v>
      </c>
      <c r="H33" s="48">
        <f>データ!I30</f>
        <v>25000</v>
      </c>
      <c r="I33" s="48">
        <f>データ!J30</f>
        <v>300000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1.2738853503184714E-2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>r20718008</v>
      </c>
      <c r="AF33" s="43" t="str">
        <f>TRIM(データ!Z30)</f>
        <v/>
      </c>
    </row>
    <row r="34" spans="1:32" x14ac:dyDescent="0.15">
      <c r="A34" s="47">
        <f>データ!A31</f>
        <v>3</v>
      </c>
      <c r="B34" s="47" t="str">
        <f>TRIM(データ!C31)</f>
        <v/>
      </c>
      <c r="C34" s="47" t="str">
        <f>TRIM(データ!D31)</f>
        <v>機械費</v>
      </c>
      <c r="D34" s="36" t="str">
        <f>REPT("｜",$A34)&amp;TRIM(データ!E31)</f>
        <v>｜｜｜Asフィニッシャー4.4m</v>
      </c>
      <c r="E34" s="37" t="str">
        <f>TRIM(データ!F31)</f>
        <v>低騒音</v>
      </c>
      <c r="F34" s="38" t="str">
        <f>TRIM(データ!G31)</f>
        <v>日台</v>
      </c>
      <c r="G34" s="50">
        <f>データ!H31</f>
        <v>2</v>
      </c>
      <c r="H34" s="48">
        <f>データ!I31</f>
        <v>45000</v>
      </c>
      <c r="I34" s="48">
        <f>データ!J31</f>
        <v>90000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3.821656050955414E-3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>k20718053</v>
      </c>
      <c r="AF34" s="43" t="str">
        <f>TRIM(データ!Z31)</f>
        <v/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内訳代価</v>
      </c>
      <c r="D35" s="36" t="str">
        <f>REPT("｜",$A35)&amp;TRIM(データ!E32)</f>
        <v>｜｜切削オーバーレイ工</v>
      </c>
      <c r="E35" s="37" t="str">
        <f>TRIM(データ!F32)</f>
        <v>材料　追加分</v>
      </c>
      <c r="F35" s="38" t="str">
        <f>TRIM(データ!G32)</f>
        <v>式</v>
      </c>
      <c r="G35" s="50">
        <f>データ!H32</f>
        <v>1</v>
      </c>
      <c r="H35" s="48">
        <f>データ!I32</f>
        <v>718900</v>
      </c>
      <c r="I35" s="48">
        <f>データ!J32</f>
        <v>718900</v>
      </c>
      <c r="J35" s="39">
        <f>IF(OR($C35="総括",$C35="内訳書",$C35="内訳代価",$C35="明細書",$C35="明細代価",$C35="代価表",$C35="単価表"),データ!K32,"")</f>
        <v>1</v>
      </c>
      <c r="K35" s="11" t="str">
        <f t="shared" si="0"/>
        <v/>
      </c>
      <c r="L35" s="46">
        <f t="shared" si="1"/>
        <v>3.0526539278131634E-2</v>
      </c>
      <c r="M35" s="40" t="str">
        <f>IF(データ!L32="","",データ!L32)</f>
        <v/>
      </c>
      <c r="N35" s="41" t="str">
        <f>IF(データ!M32="","",データ!M32)</f>
        <v>41号内訳書</v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>
        <f>IF(OR($C35="総括",$C35="内訳書",$C35="内訳代価",$C35="明細書",$C35="明細代価",$C35="代価表",$C35="単価表"),データ!Q32,"")</f>
        <v>0</v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>
        <f>IF(OR($C35="総括",$C35="内訳書",$C35="内訳代価",$C35="明細書",$C35="明細代価",$C35="代価表",$C35="単価表"),データ!W32,"")</f>
        <v>0</v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/>
      </c>
    </row>
    <row r="36" spans="1:32" x14ac:dyDescent="0.15">
      <c r="A36" s="47">
        <f>データ!A33</f>
        <v>3</v>
      </c>
      <c r="B36" s="47" t="str">
        <f>TRIM(データ!C33)</f>
        <v/>
      </c>
      <c r="C36" s="47" t="str">
        <f>TRIM(データ!D33)</f>
        <v>材料費</v>
      </c>
      <c r="D36" s="36" t="str">
        <f>REPT("｜",$A36)&amp;TRIM(データ!E33)</f>
        <v>｜｜｜R粗粒度Asスラグ入り</v>
      </c>
      <c r="E36" s="37" t="str">
        <f>TRIM(データ!F33)</f>
        <v/>
      </c>
      <c r="F36" s="38" t="str">
        <f>TRIM(データ!G33)</f>
        <v>ｔ</v>
      </c>
      <c r="G36" s="50">
        <f>データ!H33</f>
        <v>79</v>
      </c>
      <c r="H36" s="48">
        <f>データ!I33</f>
        <v>9100</v>
      </c>
      <c r="I36" s="48">
        <f>データ!J33</f>
        <v>718900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3.0526539278131634E-2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>s20718004</v>
      </c>
      <c r="AF36" s="43" t="str">
        <f>TRIM(データ!Z33)</f>
        <v/>
      </c>
    </row>
    <row r="37" spans="1:32" x14ac:dyDescent="0.15">
      <c r="A37" s="47">
        <f>データ!A34</f>
        <v>2</v>
      </c>
      <c r="B37" s="47" t="str">
        <f>TRIM(データ!C34)</f>
        <v/>
      </c>
      <c r="C37" s="47" t="str">
        <f>TRIM(データ!D34)</f>
        <v>内訳代価</v>
      </c>
      <c r="D37" s="36" t="str">
        <f>REPT("｜",$A37)&amp;TRIM(データ!E34)</f>
        <v>｜｜殻運搬処分費</v>
      </c>
      <c r="E37" s="37" t="str">
        <f>TRIM(データ!F34)</f>
        <v/>
      </c>
      <c r="F37" s="38" t="str">
        <f>TRIM(データ!G34)</f>
        <v>m3</v>
      </c>
      <c r="G37" s="50">
        <f>データ!H34</f>
        <v>220</v>
      </c>
      <c r="H37" s="48">
        <f>データ!I34</f>
        <v>8400</v>
      </c>
      <c r="I37" s="48">
        <f>データ!J34</f>
        <v>1848000</v>
      </c>
      <c r="J37" s="39">
        <f>IF(OR($C37="総括",$C37="内訳書",$C37="内訳代価",$C37="明細書",$C37="明細代価",$C37="代価表",$C37="単価表"),データ!K34,"")</f>
        <v>220</v>
      </c>
      <c r="K37" s="11" t="str">
        <f t="shared" si="0"/>
        <v/>
      </c>
      <c r="L37" s="46">
        <f t="shared" si="1"/>
        <v>7.8471337579617828E-2</v>
      </c>
      <c r="M37" s="40" t="str">
        <f>IF(データ!L34="","",データ!L34)</f>
        <v/>
      </c>
      <c r="N37" s="41" t="str">
        <f>IF(データ!M34="","",データ!M34)</f>
        <v>19号内訳書</v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>
        <f>IF(OR($C37="総括",$C37="内訳書",$C37="内訳代価",$C37="明細書",$C37="明細代価",$C37="代価表",$C37="単価表"),データ!Q34,"")</f>
        <v>0</v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>
        <f>IF(OR($C37="総括",$C37="内訳書",$C37="内訳代価",$C37="明細書",$C37="明細代価",$C37="代価表",$C37="単価表"),データ!W34,"")</f>
        <v>0</v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3</v>
      </c>
      <c r="B38" s="47" t="str">
        <f>TRIM(データ!C35)</f>
        <v/>
      </c>
      <c r="C38" s="47" t="str">
        <f>TRIM(データ!D35)</f>
        <v>運搬費</v>
      </c>
      <c r="D38" s="36" t="str">
        <f>REPT("｜",$A38)&amp;TRIM(データ!E35)</f>
        <v>｜｜｜ダンプトラック常用10t　夜間</v>
      </c>
      <c r="E38" s="37" t="str">
        <f>TRIM(データ!F35)</f>
        <v>オペ燃料付き</v>
      </c>
      <c r="F38" s="38" t="str">
        <f>TRIM(データ!G35)</f>
        <v>日台</v>
      </c>
      <c r="G38" s="50">
        <f>データ!H35</f>
        <v>32</v>
      </c>
      <c r="H38" s="48">
        <f>データ!I35</f>
        <v>48000</v>
      </c>
      <c r="I38" s="48">
        <f>データ!J35</f>
        <v>1536000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6.5222929936305726E-2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>u20718002</v>
      </c>
      <c r="AF38" s="43" t="str">
        <f>TRIM(データ!Z35)</f>
        <v/>
      </c>
    </row>
    <row r="39" spans="1:32" x14ac:dyDescent="0.15">
      <c r="A39" s="47">
        <f>データ!A36</f>
        <v>3</v>
      </c>
      <c r="B39" s="47" t="str">
        <f>TRIM(データ!C36)</f>
        <v/>
      </c>
      <c r="C39" s="47" t="str">
        <f>TRIM(データ!D36)</f>
        <v>運搬費</v>
      </c>
      <c r="D39" s="36" t="str">
        <f>REPT("｜",$A39)&amp;TRIM(データ!E36)</f>
        <v>｜｜｜As塊処分</v>
      </c>
      <c r="E39" s="37" t="str">
        <f>TRIM(データ!F36)</f>
        <v/>
      </c>
      <c r="F39" s="38" t="str">
        <f>TRIM(データ!G36)</f>
        <v>t</v>
      </c>
      <c r="G39" s="50">
        <f>データ!H36</f>
        <v>610</v>
      </c>
      <c r="H39" s="48">
        <f>データ!I36</f>
        <v>300</v>
      </c>
      <c r="I39" s="48">
        <f>データ!J36</f>
        <v>183000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7.770700636942675E-3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>u20718037</v>
      </c>
      <c r="AF39" s="43" t="str">
        <f>TRIM(データ!Z36)</f>
        <v/>
      </c>
    </row>
    <row r="40" spans="1:32" x14ac:dyDescent="0.15">
      <c r="A40" s="47">
        <f>データ!A37</f>
        <v>3</v>
      </c>
      <c r="B40" s="47" t="str">
        <f>TRIM(データ!C37)</f>
        <v/>
      </c>
      <c r="C40" s="47" t="str">
        <f>TRIM(データ!D37)</f>
        <v>運搬費</v>
      </c>
      <c r="D40" s="36" t="str">
        <f>REPT("｜",$A40)&amp;TRIM(データ!E37)</f>
        <v>｜｜｜ダンプトラック常用8t　夜間</v>
      </c>
      <c r="E40" s="37" t="str">
        <f>TRIM(データ!F37)</f>
        <v>オペ燃料付き</v>
      </c>
      <c r="F40" s="38" t="str">
        <f>TRIM(データ!G37)</f>
        <v>台</v>
      </c>
      <c r="G40" s="50">
        <f>データ!H37</f>
        <v>3</v>
      </c>
      <c r="H40" s="48">
        <f>データ!I37</f>
        <v>43000</v>
      </c>
      <c r="I40" s="48">
        <f>データ!J37</f>
        <v>129000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5.4777070063694267E-3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>u20718005</v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内訳代価</v>
      </c>
      <c r="D41" s="36" t="str">
        <f>REPT("｜",$A41)&amp;TRIM(データ!E38)</f>
        <v>｜｜道路付属施設工</v>
      </c>
      <c r="E41" s="37" t="str">
        <f>TRIM(データ!F38)</f>
        <v/>
      </c>
      <c r="F41" s="38" t="str">
        <f>TRIM(データ!G38)</f>
        <v>本</v>
      </c>
      <c r="G41" s="50">
        <f>データ!H38</f>
        <v>5</v>
      </c>
      <c r="H41" s="48">
        <f>データ!I38</f>
        <v>26900</v>
      </c>
      <c r="I41" s="48">
        <f>データ!J38</f>
        <v>134500</v>
      </c>
      <c r="J41" s="39">
        <f>IF(OR($C41="総括",$C41="内訳書",$C41="内訳代価",$C41="明細書",$C41="明細代価",$C41="代価表",$C41="単価表"),データ!K38,"")</f>
        <v>5</v>
      </c>
      <c r="K41" s="11" t="str">
        <f t="shared" si="0"/>
        <v/>
      </c>
      <c r="L41" s="46">
        <f t="shared" si="1"/>
        <v>5.7112526539278129E-3</v>
      </c>
      <c r="M41" s="40" t="str">
        <f>IF(データ!L38="","",データ!L38)</f>
        <v/>
      </c>
      <c r="N41" s="41" t="str">
        <f>IF(データ!M38="","",データ!M38)</f>
        <v>27号内訳書</v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>
        <f>IF(OR($C41="総括",$C41="内訳書",$C41="内訳代価",$C41="明細書",$C41="明細代価",$C41="代価表",$C41="単価表"),データ!Q38,"")</f>
        <v>0</v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>
        <f>IF(OR($C41="総括",$C41="内訳書",$C41="内訳代価",$C41="明細書",$C41="明細代価",$C41="代価表",$C41="単価表"),データ!W38,"")</f>
        <v>0</v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3</v>
      </c>
      <c r="B42" s="47" t="str">
        <f>TRIM(データ!C39)</f>
        <v/>
      </c>
      <c r="C42" s="47" t="str">
        <f>TRIM(データ!D39)</f>
        <v>材料費</v>
      </c>
      <c r="D42" s="36" t="str">
        <f>REPT("｜",$A42)&amp;TRIM(データ!E39)</f>
        <v>｜｜｜車線分離標</v>
      </c>
      <c r="E42" s="37" t="str">
        <f>TRIM(データ!F39)</f>
        <v/>
      </c>
      <c r="F42" s="38" t="str">
        <f>TRIM(データ!G39)</f>
        <v>本</v>
      </c>
      <c r="G42" s="50">
        <f>データ!H39</f>
        <v>5</v>
      </c>
      <c r="H42" s="48">
        <f>データ!I39</f>
        <v>18500</v>
      </c>
      <c r="I42" s="48">
        <f>データ!J39</f>
        <v>92500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3.9278131634819533E-3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/>
      </c>
      <c r="AF42" s="43" t="str">
        <f>TRIM(データ!Z39)</f>
        <v/>
      </c>
    </row>
    <row r="43" spans="1:32" x14ac:dyDescent="0.15">
      <c r="A43" s="47">
        <f>データ!A40</f>
        <v>3</v>
      </c>
      <c r="B43" s="47" t="str">
        <f>TRIM(データ!C40)</f>
        <v/>
      </c>
      <c r="C43" s="47" t="str">
        <f>TRIM(データ!D40)</f>
        <v>材料費</v>
      </c>
      <c r="D43" s="36" t="str">
        <f>REPT("｜",$A43)&amp;TRIM(データ!E40)</f>
        <v>｜｜｜車線分離標</v>
      </c>
      <c r="E43" s="37" t="str">
        <f>TRIM(データ!F40)</f>
        <v>接着剤</v>
      </c>
      <c r="F43" s="38" t="str">
        <f>TRIM(データ!G40)</f>
        <v>缶</v>
      </c>
      <c r="G43" s="50">
        <f>データ!H40</f>
        <v>2</v>
      </c>
      <c r="H43" s="48">
        <f>データ!I40</f>
        <v>3000</v>
      </c>
      <c r="I43" s="48">
        <f>データ!J40</f>
        <v>6000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2.5477707006369424E-4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3</v>
      </c>
      <c r="B44" s="47" t="str">
        <f>TRIM(データ!C41)</f>
        <v/>
      </c>
      <c r="C44" s="47" t="str">
        <f>TRIM(データ!D41)</f>
        <v>材料費</v>
      </c>
      <c r="D44" s="36" t="str">
        <f>REPT("｜",$A44)&amp;TRIM(データ!E41)</f>
        <v>｜｜｜車線分離標</v>
      </c>
      <c r="E44" s="37" t="str">
        <f>TRIM(データ!F41)</f>
        <v>運賃</v>
      </c>
      <c r="F44" s="38" t="str">
        <f>TRIM(データ!G41)</f>
        <v>回</v>
      </c>
      <c r="G44" s="50">
        <f>データ!H41</f>
        <v>1</v>
      </c>
      <c r="H44" s="48">
        <f>データ!I41</f>
        <v>2000</v>
      </c>
      <c r="I44" s="48">
        <f>データ!J41</f>
        <v>2000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8.4925690021231428E-5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/>
      </c>
      <c r="AF44" s="43" t="str">
        <f>TRIM(データ!Z41)</f>
        <v/>
      </c>
    </row>
    <row r="45" spans="1:32" x14ac:dyDescent="0.15">
      <c r="A45" s="47">
        <f>データ!A42</f>
        <v>3</v>
      </c>
      <c r="B45" s="47" t="str">
        <f>TRIM(データ!C42)</f>
        <v/>
      </c>
      <c r="C45" s="47" t="str">
        <f>TRIM(データ!D42)</f>
        <v>労務費</v>
      </c>
      <c r="D45" s="36" t="str">
        <f>REPT("｜",$A45)&amp;TRIM(データ!E42)</f>
        <v>｜｜｜技工</v>
      </c>
      <c r="E45" s="37" t="str">
        <f>TRIM(データ!F42)</f>
        <v>夜</v>
      </c>
      <c r="F45" s="38" t="str">
        <f>TRIM(データ!G42)</f>
        <v>人</v>
      </c>
      <c r="G45" s="50">
        <f>データ!H42</f>
        <v>1</v>
      </c>
      <c r="H45" s="48">
        <f>データ!I42</f>
        <v>26000</v>
      </c>
      <c r="I45" s="48">
        <f>データ!J42</f>
        <v>26000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1.1040339702760086E-3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>r20718024</v>
      </c>
      <c r="AF45" s="43" t="str">
        <f>TRIM(データ!Z42)</f>
        <v/>
      </c>
    </row>
    <row r="46" spans="1:32" x14ac:dyDescent="0.15">
      <c r="A46" s="47">
        <f>データ!A43</f>
        <v>3</v>
      </c>
      <c r="B46" s="47" t="str">
        <f>TRIM(データ!C43)</f>
        <v/>
      </c>
      <c r="C46" s="47" t="str">
        <f>TRIM(データ!D43)</f>
        <v>材料費</v>
      </c>
      <c r="D46" s="36" t="str">
        <f>REPT("｜",$A46)&amp;TRIM(データ!E43)</f>
        <v>｜｜｜道路鋲　縁石用</v>
      </c>
      <c r="E46" s="37" t="str">
        <f>TRIM(データ!F43)</f>
        <v/>
      </c>
      <c r="F46" s="38" t="str">
        <f>TRIM(データ!G43)</f>
        <v>個</v>
      </c>
      <c r="G46" s="50">
        <f>データ!H43</f>
        <v>8</v>
      </c>
      <c r="H46" s="48">
        <f>データ!I43</f>
        <v>1000</v>
      </c>
      <c r="I46" s="48">
        <f>データ!J43</f>
        <v>8000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3.3970276008492571E-4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/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内訳代価</v>
      </c>
      <c r="D47" s="36" t="str">
        <f>REPT("｜",$A47)&amp;TRIM(データ!E44)</f>
        <v>｜｜重機運搬費</v>
      </c>
      <c r="E47" s="37" t="str">
        <f>TRIM(データ!F44)</f>
        <v/>
      </c>
      <c r="F47" s="38" t="str">
        <f>TRIM(データ!G44)</f>
        <v>式</v>
      </c>
      <c r="G47" s="50">
        <f>データ!H44</f>
        <v>1</v>
      </c>
      <c r="H47" s="48">
        <f>データ!I44</f>
        <v>1540000</v>
      </c>
      <c r="I47" s="48">
        <f>データ!J44</f>
        <v>1540000</v>
      </c>
      <c r="J47" s="39">
        <f>IF(OR($C47="総括",$C47="内訳書",$C47="内訳代価",$C47="明細書",$C47="明細代価",$C47="代価表",$C47="単価表"),データ!K44,"")</f>
        <v>1</v>
      </c>
      <c r="K47" s="11" t="str">
        <f t="shared" si="0"/>
        <v/>
      </c>
      <c r="L47" s="46">
        <f t="shared" si="1"/>
        <v>6.5392781316348195E-2</v>
      </c>
      <c r="M47" s="40" t="str">
        <f>IF(データ!L44="","",データ!L44)</f>
        <v/>
      </c>
      <c r="N47" s="41" t="str">
        <f>IF(データ!M44="","",データ!M44)</f>
        <v>20号内訳書</v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>
        <f>IF(OR($C47="総括",$C47="内訳書",$C47="内訳代価",$C47="明細書",$C47="明細代価",$C47="代価表",$C47="単価表"),データ!Q44,"")</f>
        <v>0</v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>
        <f>IF(OR($C47="総括",$C47="内訳書",$C47="内訳代価",$C47="明細書",$C47="明細代価",$C47="代価表",$C47="単価表"),データ!W44,"")</f>
        <v>0</v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3</v>
      </c>
      <c r="B48" s="47" t="str">
        <f>TRIM(データ!C45)</f>
        <v/>
      </c>
      <c r="C48" s="47" t="str">
        <f>TRIM(データ!D45)</f>
        <v>運搬費</v>
      </c>
      <c r="D48" s="36" t="str">
        <f>REPT("｜",$A48)&amp;TRIM(データ!E45)</f>
        <v>｜｜｜切削機回送　トレーラー</v>
      </c>
      <c r="E48" s="37" t="str">
        <f>TRIM(データ!F45)</f>
        <v/>
      </c>
      <c r="F48" s="38" t="str">
        <f>TRIM(データ!G45)</f>
        <v>回</v>
      </c>
      <c r="G48" s="50">
        <f>データ!H45</f>
        <v>8</v>
      </c>
      <c r="H48" s="48">
        <f>データ!I45</f>
        <v>60000</v>
      </c>
      <c r="I48" s="48">
        <f>データ!J45</f>
        <v>480000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2.038216560509554E-2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>u20718021</v>
      </c>
      <c r="AF48" s="43" t="str">
        <f>TRIM(データ!Z45)</f>
        <v/>
      </c>
    </row>
    <row r="49" spans="1:32" x14ac:dyDescent="0.15">
      <c r="A49" s="47">
        <f>データ!A46</f>
        <v>3</v>
      </c>
      <c r="B49" s="47" t="str">
        <f>TRIM(データ!C46)</f>
        <v/>
      </c>
      <c r="C49" s="47" t="str">
        <f>TRIM(データ!D46)</f>
        <v>運搬費</v>
      </c>
      <c r="D49" s="36" t="str">
        <f>REPT("｜",$A49)&amp;TRIM(データ!E46)</f>
        <v>｜｜｜ミニ切削機回送</v>
      </c>
      <c r="E49" s="37" t="str">
        <f>TRIM(データ!F46)</f>
        <v>350(TOTAL)</v>
      </c>
      <c r="F49" s="38" t="str">
        <f>TRIM(データ!G46)</f>
        <v>回</v>
      </c>
      <c r="G49" s="50">
        <f>データ!H46</f>
        <v>8</v>
      </c>
      <c r="H49" s="48">
        <f>データ!I46</f>
        <v>30000</v>
      </c>
      <c r="I49" s="48">
        <f>データ!J46</f>
        <v>240000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1.019108280254777E-2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>u20718022</v>
      </c>
      <c r="AF49" s="43" t="str">
        <f>TRIM(データ!Z46)</f>
        <v/>
      </c>
    </row>
    <row r="50" spans="1:32" x14ac:dyDescent="0.15">
      <c r="A50" s="47">
        <f>データ!A47</f>
        <v>3</v>
      </c>
      <c r="B50" s="47" t="str">
        <f>TRIM(データ!C47)</f>
        <v/>
      </c>
      <c r="C50" s="47" t="str">
        <f>TRIM(データ!D47)</f>
        <v>運搬費</v>
      </c>
      <c r="D50" s="36" t="str">
        <f>REPT("｜",$A50)&amp;TRIM(データ!E47)</f>
        <v>｜｜｜AF回送　大型セルフ(60)</v>
      </c>
      <c r="E50" s="37" t="str">
        <f>TRIM(データ!F47)</f>
        <v/>
      </c>
      <c r="F50" s="38" t="str">
        <f>TRIM(データ!G47)</f>
        <v>回</v>
      </c>
      <c r="G50" s="50">
        <f>データ!H47</f>
        <v>8</v>
      </c>
      <c r="H50" s="48">
        <f>データ!I47</f>
        <v>30000</v>
      </c>
      <c r="I50" s="48">
        <f>データ!J47</f>
        <v>240000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1.019108280254777E-2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>u20718017</v>
      </c>
      <c r="AF50" s="43" t="str">
        <f>TRIM(データ!Z47)</f>
        <v/>
      </c>
    </row>
    <row r="51" spans="1:32" x14ac:dyDescent="0.15">
      <c r="A51" s="47">
        <f>データ!A48</f>
        <v>3</v>
      </c>
      <c r="B51" s="47" t="str">
        <f>TRIM(データ!C48)</f>
        <v/>
      </c>
      <c r="C51" s="47" t="str">
        <f>TRIM(データ!D48)</f>
        <v>運搬費</v>
      </c>
      <c r="D51" s="36" t="str">
        <f>REPT("｜",$A51)&amp;TRIM(データ!E48)</f>
        <v>｜｜｜AF回送　大型セルフ(44)</v>
      </c>
      <c r="E51" s="37" t="str">
        <f>TRIM(データ!F48)</f>
        <v/>
      </c>
      <c r="F51" s="38" t="str">
        <f>TRIM(データ!G48)</f>
        <v>回</v>
      </c>
      <c r="G51" s="50">
        <f>データ!H48</f>
        <v>4</v>
      </c>
      <c r="H51" s="48">
        <f>データ!I48</f>
        <v>25000</v>
      </c>
      <c r="I51" s="48">
        <f>データ!J48</f>
        <v>100000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4.246284501061571E-3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>u20718018</v>
      </c>
      <c r="AF51" s="43" t="str">
        <f>TRIM(データ!Z48)</f>
        <v/>
      </c>
    </row>
    <row r="52" spans="1:32" x14ac:dyDescent="0.15">
      <c r="A52" s="47">
        <f>データ!A49</f>
        <v>3</v>
      </c>
      <c r="B52" s="47" t="str">
        <f>TRIM(データ!C49)</f>
        <v/>
      </c>
      <c r="C52" s="47" t="str">
        <f>TRIM(データ!D49)</f>
        <v>運搬費</v>
      </c>
      <c r="D52" s="36" t="str">
        <f>REPT("｜",$A52)&amp;TRIM(データ!E49)</f>
        <v>｜｜｜回送　大型セルフ</v>
      </c>
      <c r="E52" s="37" t="str">
        <f>TRIM(データ!F49)</f>
        <v>MR・TR</v>
      </c>
      <c r="F52" s="38" t="str">
        <f>TRIM(データ!G49)</f>
        <v>回</v>
      </c>
      <c r="G52" s="50">
        <f>データ!H49</f>
        <v>16</v>
      </c>
      <c r="H52" s="48">
        <f>データ!I49</f>
        <v>25000</v>
      </c>
      <c r="I52" s="48">
        <f>データ!J49</f>
        <v>400000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1.6985138004246284E-2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>u20718012</v>
      </c>
      <c r="AF52" s="43" t="str">
        <f>TRIM(データ!Z49)</f>
        <v/>
      </c>
    </row>
    <row r="53" spans="1:32" x14ac:dyDescent="0.15">
      <c r="A53" s="47">
        <f>データ!A50</f>
        <v>3</v>
      </c>
      <c r="B53" s="47" t="str">
        <f>TRIM(データ!C50)</f>
        <v/>
      </c>
      <c r="C53" s="47" t="str">
        <f>TRIM(データ!D50)</f>
        <v>運搬費</v>
      </c>
      <c r="D53" s="36" t="str">
        <f>REPT("｜",$A53)&amp;TRIM(データ!E50)</f>
        <v>｜｜｜雑回送</v>
      </c>
      <c r="E53" s="37" t="str">
        <f>TRIM(データ!F50)</f>
        <v/>
      </c>
      <c r="F53" s="38" t="str">
        <f>TRIM(データ!G50)</f>
        <v>回</v>
      </c>
      <c r="G53" s="50">
        <f>データ!H50</f>
        <v>8</v>
      </c>
      <c r="H53" s="48">
        <f>データ!I50</f>
        <v>10000</v>
      </c>
      <c r="I53" s="48">
        <f>データ!J50</f>
        <v>80000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3.397027600849257E-3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>u20718016</v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内訳代価</v>
      </c>
      <c r="D54" s="36" t="str">
        <f>REPT("｜",$A54)&amp;TRIM(データ!E51)</f>
        <v>｜｜安全管理費</v>
      </c>
      <c r="E54" s="37" t="str">
        <f>TRIM(データ!F51)</f>
        <v>交通誘導員・保安材</v>
      </c>
      <c r="F54" s="38" t="str">
        <f>TRIM(データ!G51)</f>
        <v>式</v>
      </c>
      <c r="G54" s="50">
        <f>データ!H51</f>
        <v>1</v>
      </c>
      <c r="H54" s="48">
        <f>データ!I51</f>
        <v>1320000</v>
      </c>
      <c r="I54" s="48">
        <f>データ!J51</f>
        <v>1320000</v>
      </c>
      <c r="J54" s="39">
        <f>IF(OR($C54="総括",$C54="内訳書",$C54="内訳代価",$C54="明細書",$C54="明細代価",$C54="代価表",$C54="単価表"),データ!K51,"")</f>
        <v>1</v>
      </c>
      <c r="K54" s="11" t="str">
        <f t="shared" si="0"/>
        <v/>
      </c>
      <c r="L54" s="46">
        <f t="shared" si="1"/>
        <v>5.605095541401274E-2</v>
      </c>
      <c r="M54" s="40" t="str">
        <f>IF(データ!L51="","",データ!L51)</f>
        <v/>
      </c>
      <c r="N54" s="41" t="str">
        <f>IF(データ!M51="","",データ!M51)</f>
        <v>21号内訳書</v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>
        <f>IF(OR($C54="総括",$C54="内訳書",$C54="内訳代価",$C54="明細書",$C54="明細代価",$C54="代価表",$C54="単価表"),データ!Q51,"")</f>
        <v>0</v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>
        <f>IF(OR($C54="総括",$C54="内訳書",$C54="内訳代価",$C54="明細書",$C54="明細代価",$C54="代価表",$C54="単価表"),データ!W51,"")</f>
        <v>0</v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3</v>
      </c>
      <c r="B55" s="47" t="str">
        <f>TRIM(データ!C52)</f>
        <v/>
      </c>
      <c r="C55" s="47" t="str">
        <f>TRIM(データ!D52)</f>
        <v>機械費</v>
      </c>
      <c r="D55" s="36" t="str">
        <f>REPT("｜",$A55)&amp;TRIM(データ!E52)</f>
        <v>｜｜｜規制車</v>
      </c>
      <c r="E55" s="37" t="str">
        <f>TRIM(データ!F52)</f>
        <v/>
      </c>
      <c r="F55" s="38" t="str">
        <f>TRIM(データ!G52)</f>
        <v>台</v>
      </c>
      <c r="G55" s="50">
        <f>データ!H52</f>
        <v>15</v>
      </c>
      <c r="H55" s="48">
        <f>データ!I52</f>
        <v>8000</v>
      </c>
      <c r="I55" s="48">
        <f>データ!J52</f>
        <v>120000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5.0955414012738851E-3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/>
      </c>
      <c r="AF55" s="43" t="str">
        <f>TRIM(データ!Z52)</f>
        <v/>
      </c>
    </row>
    <row r="56" spans="1:32" x14ac:dyDescent="0.15">
      <c r="A56" s="47">
        <f>データ!A53</f>
        <v>3</v>
      </c>
      <c r="B56" s="47" t="str">
        <f>TRIM(データ!C53)</f>
        <v/>
      </c>
      <c r="C56" s="47" t="str">
        <f>TRIM(データ!D53)</f>
        <v>機械費</v>
      </c>
      <c r="D56" s="36" t="str">
        <f>REPT("｜",$A56)&amp;TRIM(データ!E53)</f>
        <v>｜｜｜保安資材</v>
      </c>
      <c r="E56" s="37" t="str">
        <f>TRIM(データ!F53)</f>
        <v>カラーコーン他</v>
      </c>
      <c r="F56" s="38" t="str">
        <f>TRIM(データ!G53)</f>
        <v>/月</v>
      </c>
      <c r="G56" s="50">
        <f>データ!H53</f>
        <v>1</v>
      </c>
      <c r="H56" s="48">
        <f>データ!I53</f>
        <v>60000</v>
      </c>
      <c r="I56" s="48">
        <f>データ!J53</f>
        <v>60000</v>
      </c>
      <c r="J56" s="39" t="str">
        <f>IF(OR($C56="総括",$C56="内訳書",$C56="内訳代価",$C56="明細書",$C56="明細代価",$C56="代価表",$C56="単価表"),データ!K53,"")</f>
        <v/>
      </c>
      <c r="K56" s="11" t="str">
        <f t="shared" si="0"/>
        <v/>
      </c>
      <c r="L56" s="46">
        <f t="shared" si="1"/>
        <v>2.5477707006369425E-3</v>
      </c>
      <c r="M56" s="40" t="str">
        <f>IF(データ!L53="","",データ!L53)</f>
        <v/>
      </c>
      <c r="N56" s="41" t="str">
        <f>IF(データ!M53="","",データ!M53)</f>
        <v/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 t="str">
        <f>IF(OR($C56="総括",$C56="内訳書",$C56="内訳代価",$C56="明細書",$C56="明細代価",$C56="代価表",$C56="単価表"),データ!Q53,"")</f>
        <v/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 t="str">
        <f>IF(OR($C56="総括",$C56="内訳書",$C56="内訳代価",$C56="明細書",$C56="明細代価",$C56="代価表",$C56="単価表"),データ!W53,"")</f>
        <v/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3</v>
      </c>
      <c r="B57" s="47" t="str">
        <f>TRIM(データ!C54)</f>
        <v/>
      </c>
      <c r="C57" s="47" t="str">
        <f>TRIM(データ!D54)</f>
        <v>機械費</v>
      </c>
      <c r="D57" s="36" t="str">
        <f>REPT("｜",$A57)&amp;TRIM(データ!E54)</f>
        <v>｜｜｜トイレカー</v>
      </c>
      <c r="E57" s="37" t="str">
        <f>TRIM(データ!F54)</f>
        <v/>
      </c>
      <c r="F57" s="38" t="str">
        <f>TRIM(データ!G54)</f>
        <v>/月</v>
      </c>
      <c r="G57" s="50">
        <f>データ!H54</f>
        <v>1</v>
      </c>
      <c r="H57" s="48">
        <f>データ!I54</f>
        <v>100000</v>
      </c>
      <c r="I57" s="48">
        <f>データ!J54</f>
        <v>100000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4.246284501061571E-3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/>
      </c>
      <c r="AF57" s="43" t="str">
        <f>TRIM(データ!Z54)</f>
        <v/>
      </c>
    </row>
    <row r="58" spans="1:32" x14ac:dyDescent="0.15">
      <c r="A58" s="47">
        <f>データ!A55</f>
        <v>3</v>
      </c>
      <c r="B58" s="47" t="str">
        <f>TRIM(データ!C55)</f>
        <v/>
      </c>
      <c r="C58" s="47" t="str">
        <f>TRIM(データ!D55)</f>
        <v>機械費</v>
      </c>
      <c r="D58" s="36" t="str">
        <f>REPT("｜",$A58)&amp;TRIM(データ!E55)</f>
        <v>｜｜｜トイレカー</v>
      </c>
      <c r="E58" s="37" t="str">
        <f>TRIM(データ!F55)</f>
        <v>し尿処理</v>
      </c>
      <c r="F58" s="38" t="str">
        <f>TRIM(データ!G55)</f>
        <v>回</v>
      </c>
      <c r="G58" s="50">
        <f>データ!H55</f>
        <v>1</v>
      </c>
      <c r="H58" s="48">
        <f>データ!I55</f>
        <v>16000</v>
      </c>
      <c r="I58" s="48">
        <f>データ!J55</f>
        <v>16000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6.7940552016985142E-4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/>
      </c>
      <c r="AF58" s="43" t="str">
        <f>TRIM(データ!Z55)</f>
        <v/>
      </c>
    </row>
    <row r="59" spans="1:32" x14ac:dyDescent="0.15">
      <c r="A59" s="47">
        <f>データ!A56</f>
        <v>3</v>
      </c>
      <c r="B59" s="47" t="str">
        <f>TRIM(データ!C56)</f>
        <v/>
      </c>
      <c r="C59" s="47" t="str">
        <f>TRIM(データ!D56)</f>
        <v>外注費</v>
      </c>
      <c r="D59" s="36" t="str">
        <f>REPT("｜",$A59)&amp;TRIM(データ!E56)</f>
        <v>｜｜｜交通誘導員(昼間8h)</v>
      </c>
      <c r="E59" s="37" t="str">
        <f>TRIM(データ!F56)</f>
        <v>測量・マーキング</v>
      </c>
      <c r="F59" s="38" t="str">
        <f>TRIM(データ!G56)</f>
        <v>人</v>
      </c>
      <c r="G59" s="50">
        <f>データ!H56</f>
        <v>5</v>
      </c>
      <c r="H59" s="48">
        <f>データ!I56</f>
        <v>20000</v>
      </c>
      <c r="I59" s="48">
        <f>データ!J56</f>
        <v>100000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4.246284501061571E-3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>g2001</v>
      </c>
      <c r="AF59" s="43" t="str">
        <f>TRIM(データ!Z56)</f>
        <v/>
      </c>
    </row>
    <row r="60" spans="1:32" x14ac:dyDescent="0.15">
      <c r="A60" s="47">
        <f>データ!A57</f>
        <v>3</v>
      </c>
      <c r="B60" s="47" t="str">
        <f>TRIM(データ!C57)</f>
        <v/>
      </c>
      <c r="C60" s="47" t="str">
        <f>TRIM(データ!D57)</f>
        <v>外注費</v>
      </c>
      <c r="D60" s="36" t="str">
        <f>REPT("｜",$A60)&amp;TRIM(データ!E57)</f>
        <v>｜｜｜交通誘導員(夜間8h)</v>
      </c>
      <c r="E60" s="37" t="str">
        <f>TRIM(データ!F57)</f>
        <v/>
      </c>
      <c r="F60" s="38" t="str">
        <f>TRIM(データ!G57)</f>
        <v>人</v>
      </c>
      <c r="G60" s="50">
        <f>データ!H57</f>
        <v>21</v>
      </c>
      <c r="H60" s="48">
        <f>データ!I57</f>
        <v>24000</v>
      </c>
      <c r="I60" s="48">
        <f>データ!J57</f>
        <v>504000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2.1401273885350319E-2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>g2002</v>
      </c>
      <c r="AF60" s="43" t="str">
        <f>TRIM(データ!Z57)</f>
        <v/>
      </c>
    </row>
    <row r="61" spans="1:32" x14ac:dyDescent="0.15">
      <c r="A61" s="47">
        <f>データ!A58</f>
        <v>3</v>
      </c>
      <c r="B61" s="47" t="str">
        <f>TRIM(データ!C58)</f>
        <v/>
      </c>
      <c r="C61" s="47" t="str">
        <f>TRIM(データ!D58)</f>
        <v>外注費</v>
      </c>
      <c r="D61" s="36" t="str">
        <f>REPT("｜",$A61)&amp;TRIM(データ!E58)</f>
        <v>｜｜｜交通誘導員(昼間8h)</v>
      </c>
      <c r="E61" s="37" t="str">
        <f>TRIM(データ!F58)</f>
        <v>中央分離帯工</v>
      </c>
      <c r="F61" s="38" t="str">
        <f>TRIM(データ!G58)</f>
        <v>人</v>
      </c>
      <c r="G61" s="50">
        <f>データ!H58</f>
        <v>21</v>
      </c>
      <c r="H61" s="48">
        <f>データ!I58</f>
        <v>20000</v>
      </c>
      <c r="I61" s="48">
        <f>データ!J58</f>
        <v>420000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1.7834394904458598E-2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>g2001</v>
      </c>
      <c r="AF61" s="43" t="str">
        <f>TRIM(データ!Z58)</f>
        <v/>
      </c>
    </row>
    <row r="62" spans="1:32" x14ac:dyDescent="0.15">
      <c r="A62" s="47">
        <f>データ!A59</f>
        <v>2</v>
      </c>
      <c r="B62" s="47" t="str">
        <f>TRIM(データ!C59)</f>
        <v/>
      </c>
      <c r="C62" s="47" t="str">
        <f>TRIM(データ!D59)</f>
        <v>内訳代価</v>
      </c>
      <c r="D62" s="36" t="str">
        <f>REPT("｜",$A62)&amp;TRIM(データ!E59)</f>
        <v>｜｜現場管理工</v>
      </c>
      <c r="E62" s="37" t="str">
        <f>TRIM(データ!F59)</f>
        <v>コア穴埋め</v>
      </c>
      <c r="F62" s="38" t="str">
        <f>TRIM(データ!G59)</f>
        <v>式</v>
      </c>
      <c r="G62" s="50">
        <f>データ!H59</f>
        <v>1</v>
      </c>
      <c r="H62" s="48">
        <f>データ!I59</f>
        <v>172000</v>
      </c>
      <c r="I62" s="48">
        <f>データ!J59</f>
        <v>172000</v>
      </c>
      <c r="J62" s="39">
        <f>IF(OR($C62="総括",$C62="内訳書",$C62="内訳代価",$C62="明細書",$C62="明細代価",$C62="代価表",$C62="単価表"),データ!K59,"")</f>
        <v>1</v>
      </c>
      <c r="K62" s="11" t="str">
        <f t="shared" si="0"/>
        <v/>
      </c>
      <c r="L62" s="46">
        <f t="shared" si="1"/>
        <v>7.3036093418259026E-3</v>
      </c>
      <c r="M62" s="40" t="str">
        <f>IF(データ!L59="","",データ!L59)</f>
        <v/>
      </c>
      <c r="N62" s="41" t="str">
        <f>IF(データ!M59="","",データ!M59)</f>
        <v>22号内訳書</v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>
        <f>IF(OR($C62="総括",$C62="内訳書",$C62="内訳代価",$C62="明細書",$C62="明細代価",$C62="代価表",$C62="単価表"),データ!Q59,"")</f>
        <v>0</v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>
        <f>IF(OR($C62="総括",$C62="内訳書",$C62="内訳代価",$C62="明細書",$C62="明細代価",$C62="代価表",$C62="単価表"),データ!W59,"")</f>
        <v>0</v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/>
      </c>
      <c r="AF62" s="43" t="str">
        <f>TRIM(データ!Z59)</f>
        <v/>
      </c>
    </row>
    <row r="63" spans="1:32" x14ac:dyDescent="0.15">
      <c r="A63" s="47">
        <f>データ!A60</f>
        <v>3</v>
      </c>
      <c r="B63" s="47" t="str">
        <f>TRIM(データ!C60)</f>
        <v/>
      </c>
      <c r="C63" s="47" t="str">
        <f>TRIM(データ!D60)</f>
        <v>労務費</v>
      </c>
      <c r="D63" s="36" t="str">
        <f>REPT("｜",$A63)&amp;TRIM(データ!E60)</f>
        <v>｜｜｜運転工(夜間)</v>
      </c>
      <c r="E63" s="37" t="str">
        <f>TRIM(データ!F60)</f>
        <v>8H</v>
      </c>
      <c r="F63" s="38" t="str">
        <f>TRIM(データ!G60)</f>
        <v>人</v>
      </c>
      <c r="G63" s="50">
        <f>データ!H60</f>
        <v>6</v>
      </c>
      <c r="H63" s="48">
        <f>データ!I60</f>
        <v>25000</v>
      </c>
      <c r="I63" s="48">
        <f>データ!J60</f>
        <v>150000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6.369426751592357E-3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>r20718008</v>
      </c>
      <c r="AF63" s="43" t="str">
        <f>TRIM(データ!Z60)</f>
        <v/>
      </c>
    </row>
    <row r="64" spans="1:32" x14ac:dyDescent="0.15">
      <c r="A64" s="47">
        <f>データ!A61</f>
        <v>3</v>
      </c>
      <c r="B64" s="47" t="str">
        <f>TRIM(データ!C61)</f>
        <v/>
      </c>
      <c r="C64" s="47" t="str">
        <f>TRIM(データ!D61)</f>
        <v>機械費</v>
      </c>
      <c r="D64" s="36" t="str">
        <f>REPT("｜",$A64)&amp;TRIM(データ!E61)</f>
        <v>｜｜｜小物機械　ﾊﾟｰﾄﾅ・丸ﾉｺ</v>
      </c>
      <c r="E64" s="37" t="str">
        <f>TRIM(データ!F61)</f>
        <v>ｸﾞﾗｲﾝﾀﾞ-・ｺｱ抜きﾄﾞﾘﾙ・ﾌﾞﾛｱ　等</v>
      </c>
      <c r="F64" s="38" t="str">
        <f>TRIM(データ!G61)</f>
        <v>台</v>
      </c>
      <c r="G64" s="50">
        <f>データ!H61</f>
        <v>1</v>
      </c>
      <c r="H64" s="48">
        <f>データ!I61</f>
        <v>5000</v>
      </c>
      <c r="I64" s="48">
        <f>データ!J61</f>
        <v>5000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2.1231422505307856E-4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>k20718001</v>
      </c>
      <c r="AF64" s="43" t="str">
        <f>TRIM(データ!Z61)</f>
        <v/>
      </c>
    </row>
    <row r="65" spans="1:32" x14ac:dyDescent="0.15">
      <c r="A65" s="47">
        <f>データ!A62</f>
        <v>3</v>
      </c>
      <c r="B65" s="47" t="str">
        <f>TRIM(データ!C62)</f>
        <v/>
      </c>
      <c r="C65" s="47" t="str">
        <f>TRIM(データ!D62)</f>
        <v>運搬費</v>
      </c>
      <c r="D65" s="36" t="str">
        <f>REPT("｜",$A65)&amp;TRIM(データ!E62)</f>
        <v>｜｜｜WP</v>
      </c>
      <c r="E65" s="37" t="str">
        <f>TRIM(データ!F62)</f>
        <v/>
      </c>
      <c r="F65" s="38" t="str">
        <f>TRIM(データ!G62)</f>
        <v>台</v>
      </c>
      <c r="G65" s="50">
        <f>データ!H62</f>
        <v>1</v>
      </c>
      <c r="H65" s="48">
        <f>データ!I62</f>
        <v>5000</v>
      </c>
      <c r="I65" s="48">
        <f>データ!J62</f>
        <v>5000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2.1231422505307856E-4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>u20718008</v>
      </c>
      <c r="AF65" s="43" t="str">
        <f>TRIM(データ!Z62)</f>
        <v/>
      </c>
    </row>
    <row r="66" spans="1:32" x14ac:dyDescent="0.15">
      <c r="A66" s="47">
        <f>データ!A63</f>
        <v>3</v>
      </c>
      <c r="B66" s="47" t="str">
        <f>TRIM(データ!C63)</f>
        <v/>
      </c>
      <c r="C66" s="47" t="str">
        <f>TRIM(データ!D63)</f>
        <v>運搬費</v>
      </c>
      <c r="D66" s="36" t="str">
        <f>REPT("｜",$A66)&amp;TRIM(データ!E63)</f>
        <v>｜｜｜2tダンプ</v>
      </c>
      <c r="E66" s="37" t="str">
        <f>TRIM(データ!F63)</f>
        <v/>
      </c>
      <c r="F66" s="38" t="str">
        <f>TRIM(データ!G63)</f>
        <v>台</v>
      </c>
      <c r="G66" s="50">
        <f>データ!H63</f>
        <v>2</v>
      </c>
      <c r="H66" s="48">
        <f>データ!I63</f>
        <v>6000</v>
      </c>
      <c r="I66" s="48">
        <f>データ!J63</f>
        <v>12000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5.0955414012738849E-4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>u20718025</v>
      </c>
      <c r="AF66" s="43" t="str">
        <f>TRIM(データ!Z63)</f>
        <v/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内訳代価</v>
      </c>
      <c r="D67" s="36" t="str">
        <f>REPT("｜",$A67)&amp;TRIM(データ!E64)</f>
        <v>｜｜安全管理費2</v>
      </c>
      <c r="E67" s="37" t="str">
        <f>TRIM(データ!F64)</f>
        <v>夜間照明</v>
      </c>
      <c r="F67" s="38" t="str">
        <f>TRIM(データ!G64)</f>
        <v>式</v>
      </c>
      <c r="G67" s="50">
        <f>データ!H64</f>
        <v>1</v>
      </c>
      <c r="H67" s="48">
        <f>データ!I64</f>
        <v>656000</v>
      </c>
      <c r="I67" s="48">
        <f>データ!J64</f>
        <v>656000</v>
      </c>
      <c r="J67" s="39">
        <f>IF(OR($C67="総括",$C67="内訳書",$C67="内訳代価",$C67="明細書",$C67="明細代価",$C67="代価表",$C67="単価表"),データ!K64,"")</f>
        <v>1</v>
      </c>
      <c r="K67" s="11" t="str">
        <f t="shared" si="0"/>
        <v/>
      </c>
      <c r="L67" s="46">
        <f t="shared" si="1"/>
        <v>2.7855626326963905E-2</v>
      </c>
      <c r="M67" s="40" t="str">
        <f>IF(データ!L64="","",データ!L64)</f>
        <v/>
      </c>
      <c r="N67" s="41" t="str">
        <f>IF(データ!M64="","",データ!M64)</f>
        <v>23号内訳書</v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>
        <f>IF(OR($C67="総括",$C67="内訳書",$C67="内訳代価",$C67="明細書",$C67="明細代価",$C67="代価表",$C67="単価表"),データ!Q64,"")</f>
        <v>0</v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>
        <f>IF(OR($C67="総括",$C67="内訳書",$C67="内訳代価",$C67="明細書",$C67="明細代価",$C67="代価表",$C67="単価表"),データ!W64,"")</f>
        <v>0</v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/>
      </c>
      <c r="AF67" s="43" t="str">
        <f>TRIM(データ!Z64)</f>
        <v/>
      </c>
    </row>
    <row r="68" spans="1:32" x14ac:dyDescent="0.15">
      <c r="A68" s="47">
        <f>データ!A65</f>
        <v>3</v>
      </c>
      <c r="B68" s="47" t="str">
        <f>TRIM(データ!C65)</f>
        <v/>
      </c>
      <c r="C68" s="47" t="str">
        <f>TRIM(データ!D65)</f>
        <v>材料費</v>
      </c>
      <c r="D68" s="36" t="str">
        <f>REPT("｜",$A68)&amp;TRIM(データ!E65)</f>
        <v>｜｜｜ガソリン</v>
      </c>
      <c r="E68" s="37" t="str">
        <f>TRIM(データ!F65)</f>
        <v/>
      </c>
      <c r="F68" s="38" t="str">
        <f>TRIM(データ!G65)</f>
        <v>L</v>
      </c>
      <c r="G68" s="50">
        <f>データ!H65</f>
        <v>200</v>
      </c>
      <c r="H68" s="48">
        <f>データ!I65</f>
        <v>180</v>
      </c>
      <c r="I68" s="48">
        <f>データ!J65</f>
        <v>36000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1.5286624203821656E-3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>s20718550</v>
      </c>
      <c r="AF68" s="43" t="str">
        <f>TRIM(データ!Z65)</f>
        <v/>
      </c>
    </row>
    <row r="69" spans="1:32" x14ac:dyDescent="0.15">
      <c r="A69" s="47">
        <f>データ!A66</f>
        <v>3</v>
      </c>
      <c r="B69" s="47" t="str">
        <f>TRIM(データ!C66)</f>
        <v/>
      </c>
      <c r="C69" s="47" t="str">
        <f>TRIM(データ!D66)</f>
        <v>労務費</v>
      </c>
      <c r="D69" s="36" t="str">
        <f>REPT("｜",$A69)&amp;TRIM(データ!E66)</f>
        <v>｜｜｜運転工(夜間)</v>
      </c>
      <c r="E69" s="37" t="str">
        <f>TRIM(データ!F66)</f>
        <v>8H</v>
      </c>
      <c r="F69" s="38" t="str">
        <f>TRIM(データ!G66)</f>
        <v>人</v>
      </c>
      <c r="G69" s="50">
        <f>データ!H66</f>
        <v>10</v>
      </c>
      <c r="H69" s="48">
        <f>データ!I66</f>
        <v>25000</v>
      </c>
      <c r="I69" s="48">
        <f>データ!J66</f>
        <v>250000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132" si="6">IF(OR(J69="",G69=J69),"","*")</f>
        <v/>
      </c>
      <c r="L69" s="46">
        <f t="shared" ref="L69:L132" si="7">IF($A69&lt;=L$1,I69/I$4,"")</f>
        <v>1.0615711252653927E-2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132" si="8">IF(OR(R69="",O69=R69),"","*")</f>
        <v/>
      </c>
      <c r="T69" s="46" t="e">
        <f t="shared" ref="T69:T132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132" si="10">IF(OR(Z69="",W69=Z69),"","*")</f>
        <v/>
      </c>
      <c r="AB69" s="46" t="e">
        <f t="shared" ref="AB69:AB132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>r20718008</v>
      </c>
      <c r="AF69" s="43" t="str">
        <f>TRIM(データ!Z66)</f>
        <v/>
      </c>
    </row>
    <row r="70" spans="1:32" x14ac:dyDescent="0.15">
      <c r="A70" s="47">
        <f>データ!A67</f>
        <v>3</v>
      </c>
      <c r="B70" s="47" t="str">
        <f>TRIM(データ!C67)</f>
        <v/>
      </c>
      <c r="C70" s="47" t="str">
        <f>TRIM(データ!D67)</f>
        <v>機械費</v>
      </c>
      <c r="D70" s="36" t="str">
        <f>REPT("｜",$A70)&amp;TRIM(データ!E67)</f>
        <v>｜｜｜バルーンライト</v>
      </c>
      <c r="E70" s="37" t="str">
        <f>TRIM(データ!F67)</f>
        <v/>
      </c>
      <c r="F70" s="38" t="str">
        <f>TRIM(データ!G67)</f>
        <v>日台</v>
      </c>
      <c r="G70" s="50">
        <f>データ!H67</f>
        <v>75</v>
      </c>
      <c r="H70" s="48">
        <f>データ!I67</f>
        <v>3600</v>
      </c>
      <c r="I70" s="48">
        <f>データ!J67</f>
        <v>270000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1.1464968152866241E-2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>k20718073</v>
      </c>
      <c r="AF70" s="43" t="str">
        <f>TRIM(データ!Z67)</f>
        <v/>
      </c>
    </row>
    <row r="71" spans="1:32" x14ac:dyDescent="0.15">
      <c r="A71" s="47">
        <f>データ!A68</f>
        <v>3</v>
      </c>
      <c r="B71" s="47" t="str">
        <f>TRIM(データ!C68)</f>
        <v/>
      </c>
      <c r="C71" s="47" t="str">
        <f>TRIM(データ!D68)</f>
        <v>運搬費</v>
      </c>
      <c r="D71" s="36" t="str">
        <f>REPT("｜",$A71)&amp;TRIM(データ!E68)</f>
        <v>｜｜｜2tダンプ</v>
      </c>
      <c r="E71" s="37" t="str">
        <f>TRIM(データ!F68)</f>
        <v>PG</v>
      </c>
      <c r="F71" s="38" t="str">
        <f>TRIM(データ!G68)</f>
        <v>台</v>
      </c>
      <c r="G71" s="50">
        <f>データ!H68</f>
        <v>10</v>
      </c>
      <c r="H71" s="48">
        <f>データ!I68</f>
        <v>10000</v>
      </c>
      <c r="I71" s="48">
        <f>データ!J68</f>
        <v>100000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4.246284501061571E-3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>u20718025</v>
      </c>
      <c r="AF71" s="43" t="str">
        <f>TRIM(データ!Z68)</f>
        <v/>
      </c>
    </row>
    <row r="72" spans="1:32" x14ac:dyDescent="0.15">
      <c r="A72" s="47">
        <f>データ!A69</f>
        <v>2</v>
      </c>
      <c r="B72" s="47" t="str">
        <f>TRIM(データ!C69)</f>
        <v/>
      </c>
      <c r="C72" s="47" t="str">
        <f>TRIM(データ!D69)</f>
        <v>内訳代価</v>
      </c>
      <c r="D72" s="36" t="str">
        <f>REPT("｜",$A72)&amp;TRIM(データ!E69)</f>
        <v>｜｜技術管理工</v>
      </c>
      <c r="E72" s="37" t="str">
        <f>TRIM(データ!F69)</f>
        <v>縦横断測量</v>
      </c>
      <c r="F72" s="38" t="str">
        <f>TRIM(データ!G69)</f>
        <v>式</v>
      </c>
      <c r="G72" s="50">
        <f>データ!H69</f>
        <v>1</v>
      </c>
      <c r="H72" s="48">
        <f>データ!I69</f>
        <v>450000</v>
      </c>
      <c r="I72" s="48">
        <f>データ!J69</f>
        <v>450000</v>
      </c>
      <c r="J72" s="39">
        <f>IF(OR($C72="総括",$C72="内訳書",$C72="内訳代価",$C72="明細書",$C72="明細代価",$C72="代価表",$C72="単価表"),データ!K69,"")</f>
        <v>1</v>
      </c>
      <c r="K72" s="11" t="str">
        <f t="shared" si="6"/>
        <v/>
      </c>
      <c r="L72" s="46">
        <f t="shared" si="7"/>
        <v>1.9108280254777069E-2</v>
      </c>
      <c r="M72" s="40" t="str">
        <f>IF(データ!L69="","",データ!L69)</f>
        <v/>
      </c>
      <c r="N72" s="41" t="str">
        <f>IF(データ!M69="","",データ!M69)</f>
        <v>24号内訳書</v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>
        <f>IF(OR($C72="総括",$C72="内訳書",$C72="内訳代価",$C72="明細書",$C72="明細代価",$C72="代価表",$C72="単価表"),データ!Q69,"")</f>
        <v>0</v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>
        <f>IF(OR($C72="総括",$C72="内訳書",$C72="内訳代価",$C72="明細書",$C72="明細代価",$C72="代価表",$C72="単価表"),データ!W69,"")</f>
        <v>0</v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/>
      </c>
      <c r="AF72" s="43" t="str">
        <f>TRIM(データ!Z69)</f>
        <v/>
      </c>
    </row>
    <row r="73" spans="1:32" x14ac:dyDescent="0.15">
      <c r="A73" s="47">
        <f>データ!A70</f>
        <v>3</v>
      </c>
      <c r="B73" s="47" t="str">
        <f>TRIM(データ!C70)</f>
        <v/>
      </c>
      <c r="C73" s="47" t="str">
        <f>TRIM(データ!D70)</f>
        <v>外注費</v>
      </c>
      <c r="D73" s="36" t="str">
        <f>REPT("｜",$A73)&amp;TRIM(データ!E70)</f>
        <v>｜｜｜測量　縦横断測量</v>
      </c>
      <c r="E73" s="37" t="str">
        <f>TRIM(データ!F70)</f>
        <v/>
      </c>
      <c r="F73" s="38" t="str">
        <f>TRIM(データ!G70)</f>
        <v>回</v>
      </c>
      <c r="G73" s="50">
        <f>データ!H70</f>
        <v>1</v>
      </c>
      <c r="H73" s="48">
        <f>データ!I70</f>
        <v>450000</v>
      </c>
      <c r="I73" s="48">
        <f>データ!J70</f>
        <v>450000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1.9108280254777069E-2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/>
      </c>
      <c r="AF73" s="43" t="str">
        <f>TRIM(データ!Z70)</f>
        <v/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内訳代価</v>
      </c>
      <c r="D74" s="36" t="str">
        <f>REPT("｜",$A74)&amp;TRIM(データ!E71)</f>
        <v>｜｜技術管理工2</v>
      </c>
      <c r="E74" s="37" t="str">
        <f>TRIM(データ!F71)</f>
        <v/>
      </c>
      <c r="F74" s="38" t="str">
        <f>TRIM(データ!G71)</f>
        <v>式</v>
      </c>
      <c r="G74" s="50">
        <f>データ!H71</f>
        <v>1</v>
      </c>
      <c r="H74" s="48">
        <f>データ!I71</f>
        <v>97990</v>
      </c>
      <c r="I74" s="48">
        <f>データ!J71</f>
        <v>97990</v>
      </c>
      <c r="J74" s="39">
        <f>IF(OR($C74="総括",$C74="内訳書",$C74="内訳代価",$C74="明細書",$C74="明細代価",$C74="代価表",$C74="単価表"),データ!K71,"")</f>
        <v>1</v>
      </c>
      <c r="K74" s="11" t="str">
        <f t="shared" si="6"/>
        <v/>
      </c>
      <c r="L74" s="46">
        <f t="shared" si="7"/>
        <v>4.1609341825902335E-3</v>
      </c>
      <c r="M74" s="40" t="str">
        <f>IF(データ!L71="","",データ!L71)</f>
        <v/>
      </c>
      <c r="N74" s="41" t="str">
        <f>IF(データ!M71="","",データ!M71)</f>
        <v>26号内訳書</v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>
        <f>IF(OR($C74="総括",$C74="内訳書",$C74="内訳代価",$C74="明細書",$C74="明細代価",$C74="代価表",$C74="単価表"),データ!Q71,"")</f>
        <v>0</v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>
        <f>IF(OR($C74="総括",$C74="内訳書",$C74="内訳代価",$C74="明細書",$C74="明細代価",$C74="代価表",$C74="単価表"),データ!W71,"")</f>
        <v>0</v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/>
      </c>
      <c r="AF74" s="43" t="str">
        <f>TRIM(データ!Z71)</f>
        <v/>
      </c>
    </row>
    <row r="75" spans="1:32" x14ac:dyDescent="0.15">
      <c r="A75" s="47">
        <f>データ!A72</f>
        <v>3</v>
      </c>
      <c r="B75" s="47" t="str">
        <f>TRIM(データ!C72)</f>
        <v/>
      </c>
      <c r="C75" s="47" t="str">
        <f>TRIM(データ!D72)</f>
        <v>材料費</v>
      </c>
      <c r="D75" s="36" t="str">
        <f>REPT("｜",$A75)&amp;TRIM(データ!E72)</f>
        <v>｜｜｜測量資材</v>
      </c>
      <c r="E75" s="37" t="str">
        <f>TRIM(データ!F72)</f>
        <v/>
      </c>
      <c r="F75" s="38" t="str">
        <f>TRIM(データ!G72)</f>
        <v>式</v>
      </c>
      <c r="G75" s="50">
        <f>データ!H72</f>
        <v>1</v>
      </c>
      <c r="H75" s="48">
        <f>データ!I72</f>
        <v>8990</v>
      </c>
      <c r="I75" s="48">
        <f>データ!J72</f>
        <v>8990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3.8174097664543525E-4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/>
      </c>
      <c r="AF75" s="43" t="str">
        <f>TRIM(データ!Z72)</f>
        <v/>
      </c>
    </row>
    <row r="76" spans="1:32" x14ac:dyDescent="0.15">
      <c r="A76" s="47">
        <f>データ!A73</f>
        <v>3</v>
      </c>
      <c r="B76" s="47" t="str">
        <f>TRIM(データ!C73)</f>
        <v/>
      </c>
      <c r="C76" s="47" t="str">
        <f>TRIM(データ!D73)</f>
        <v>外注費</v>
      </c>
      <c r="D76" s="36" t="str">
        <f>REPT("｜",$A76)&amp;TRIM(データ!E73)</f>
        <v>｜｜｜舗装路面の平坦性測定</v>
      </c>
      <c r="E76" s="37" t="str">
        <f>TRIM(データ!F73)</f>
        <v/>
      </c>
      <c r="F76" s="38" t="str">
        <f>TRIM(データ!G73)</f>
        <v>回</v>
      </c>
      <c r="G76" s="50">
        <f>データ!H73</f>
        <v>1</v>
      </c>
      <c r="H76" s="48">
        <f>データ!I73</f>
        <v>0</v>
      </c>
      <c r="I76" s="48">
        <f>データ!J73</f>
        <v>0</v>
      </c>
      <c r="J76" s="39" t="str">
        <f>IF(OR($C76="総括",$C76="内訳書",$C76="内訳代価",$C76="明細書",$C76="明細代価",$C76="代価表",$C76="単価表"),データ!K73,"")</f>
        <v/>
      </c>
      <c r="K76" s="11" t="str">
        <f t="shared" si="6"/>
        <v/>
      </c>
      <c r="L76" s="46">
        <f t="shared" si="7"/>
        <v>0</v>
      </c>
      <c r="M76" s="40" t="str">
        <f>IF(データ!L73="","",データ!L73)</f>
        <v/>
      </c>
      <c r="N76" s="41" t="str">
        <f>IF(データ!M73="","",データ!M73)</f>
        <v/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 t="str">
        <f>IF(OR($C76="総括",$C76="内訳書",$C76="内訳代価",$C76="明細書",$C76="明細代価",$C76="代価表",$C76="単価表"),データ!Q73,"")</f>
        <v/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 t="str">
        <f>IF(OR($C76="総括",$C76="内訳書",$C76="内訳代価",$C76="明細書",$C76="明細代価",$C76="代価表",$C76="単価表"),データ!W73,"")</f>
        <v/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>g3001</v>
      </c>
      <c r="AF76" s="43" t="str">
        <f>TRIM(データ!Z73)</f>
        <v/>
      </c>
    </row>
    <row r="77" spans="1:32" x14ac:dyDescent="0.15">
      <c r="A77" s="47">
        <f>データ!A74</f>
        <v>3</v>
      </c>
      <c r="B77" s="47" t="str">
        <f>TRIM(データ!C74)</f>
        <v/>
      </c>
      <c r="C77" s="47" t="str">
        <f>TRIM(データ!D74)</f>
        <v>外注費</v>
      </c>
      <c r="D77" s="36" t="str">
        <f>REPT("｜",$A77)&amp;TRIM(データ!E74)</f>
        <v>｜｜｜Asコア採取(最低)</v>
      </c>
      <c r="E77" s="37" t="str">
        <f>TRIM(データ!F74)</f>
        <v>最低補償</v>
      </c>
      <c r="F77" s="38" t="str">
        <f>TRIM(データ!G74)</f>
        <v>回</v>
      </c>
      <c r="G77" s="50">
        <f>データ!H74</f>
        <v>1</v>
      </c>
      <c r="H77" s="48">
        <f>データ!I74</f>
        <v>20000</v>
      </c>
      <c r="I77" s="48">
        <f>データ!J74</f>
        <v>20000</v>
      </c>
      <c r="J77" s="39" t="str">
        <f>IF(OR($C77="総括",$C77="内訳書",$C77="内訳代価",$C77="明細書",$C77="明細代価",$C77="代価表",$C77="単価表"),データ!K74,"")</f>
        <v/>
      </c>
      <c r="K77" s="11" t="str">
        <f t="shared" si="6"/>
        <v/>
      </c>
      <c r="L77" s="46">
        <f t="shared" si="7"/>
        <v>8.4925690021231425E-4</v>
      </c>
      <c r="M77" s="40" t="str">
        <f>IF(データ!L74="","",データ!L74)</f>
        <v/>
      </c>
      <c r="N77" s="41" t="str">
        <f>IF(データ!M74="","",データ!M74)</f>
        <v/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 t="str">
        <f>IF(OR($C77="総括",$C77="内訳書",$C77="内訳代価",$C77="明細書",$C77="明細代価",$C77="代価表",$C77="単価表"),データ!Q74,"")</f>
        <v/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 t="str">
        <f>IF(OR($C77="総括",$C77="内訳書",$C77="内訳代価",$C77="明細書",$C77="明細代価",$C77="代価表",$C77="単価表"),データ!W74,"")</f>
        <v/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>g20718051</v>
      </c>
      <c r="AF77" s="43" t="str">
        <f>TRIM(データ!Z74)</f>
        <v/>
      </c>
    </row>
    <row r="78" spans="1:32" x14ac:dyDescent="0.15">
      <c r="A78" s="47">
        <f>データ!A75</f>
        <v>3</v>
      </c>
      <c r="B78" s="47" t="str">
        <f>TRIM(データ!C75)</f>
        <v/>
      </c>
      <c r="C78" s="47" t="str">
        <f>TRIM(データ!D75)</f>
        <v>外注費</v>
      </c>
      <c r="D78" s="36" t="str">
        <f>REPT("｜",$A78)&amp;TRIM(データ!E75)</f>
        <v>｜｜｜コアー試験</v>
      </c>
      <c r="E78" s="37" t="str">
        <f>TRIM(データ!F75)</f>
        <v>公的機関</v>
      </c>
      <c r="F78" s="38" t="str">
        <f>TRIM(データ!G75)</f>
        <v>本</v>
      </c>
      <c r="G78" s="50">
        <f>データ!H75</f>
        <v>3</v>
      </c>
      <c r="H78" s="48">
        <f>データ!I75</f>
        <v>19000</v>
      </c>
      <c r="I78" s="48">
        <f>データ!J75</f>
        <v>57000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2.4203821656050956E-3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/>
      </c>
      <c r="AF78" s="43" t="str">
        <f>TRIM(データ!Z75)</f>
        <v/>
      </c>
    </row>
    <row r="79" spans="1:32" x14ac:dyDescent="0.15">
      <c r="A79" s="47">
        <f>データ!A76</f>
        <v>3</v>
      </c>
      <c r="B79" s="47" t="str">
        <f>TRIM(データ!C76)</f>
        <v/>
      </c>
      <c r="C79" s="47" t="str">
        <f>TRIM(データ!D76)</f>
        <v>機械費</v>
      </c>
      <c r="D79" s="36" t="str">
        <f>REPT("｜",$A79)&amp;TRIM(データ!E76)</f>
        <v>｜｜｜測量機器</v>
      </c>
      <c r="E79" s="37" t="str">
        <f>TRIM(データ!F76)</f>
        <v/>
      </c>
      <c r="F79" s="38" t="str">
        <f>TRIM(データ!G76)</f>
        <v>式</v>
      </c>
      <c r="G79" s="50">
        <f>データ!H76</f>
        <v>1</v>
      </c>
      <c r="H79" s="48">
        <f>データ!I76</f>
        <v>12000</v>
      </c>
      <c r="I79" s="48">
        <f>データ!J76</f>
        <v>12000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5.0955414012738849E-4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/>
      </c>
      <c r="AF79" s="43" t="str">
        <f>TRIM(データ!Z76)</f>
        <v/>
      </c>
    </row>
    <row r="80" spans="1:32" x14ac:dyDescent="0.15">
      <c r="A80" s="47">
        <f>データ!A77</f>
        <v>2</v>
      </c>
      <c r="B80" s="47" t="str">
        <f>TRIM(データ!C77)</f>
        <v/>
      </c>
      <c r="C80" s="47" t="str">
        <f>TRIM(データ!D77)</f>
        <v>内訳代価</v>
      </c>
      <c r="D80" s="36" t="str">
        <f>REPT("｜",$A80)&amp;TRIM(データ!E77)</f>
        <v>｜｜外注工</v>
      </c>
      <c r="E80" s="37" t="str">
        <f>TRIM(データ!F77)</f>
        <v/>
      </c>
      <c r="F80" s="38" t="str">
        <f>TRIM(データ!G77)</f>
        <v>式</v>
      </c>
      <c r="G80" s="50">
        <f>データ!H77</f>
        <v>1</v>
      </c>
      <c r="H80" s="48">
        <f>データ!I77</f>
        <v>780000</v>
      </c>
      <c r="I80" s="48">
        <f>データ!J77</f>
        <v>780000</v>
      </c>
      <c r="J80" s="39">
        <f>IF(OR($C80="総括",$C80="内訳書",$C80="内訳代価",$C80="明細書",$C80="明細代価",$C80="代価表",$C80="単価表"),データ!K77,"")</f>
        <v>1</v>
      </c>
      <c r="K80" s="11" t="str">
        <f t="shared" si="6"/>
        <v/>
      </c>
      <c r="L80" s="46">
        <f t="shared" si="7"/>
        <v>3.3121019108280254E-2</v>
      </c>
      <c r="M80" s="40" t="str">
        <f>IF(データ!L77="","",データ!L77)</f>
        <v/>
      </c>
      <c r="N80" s="41" t="str">
        <f>IF(データ!M77="","",データ!M77)</f>
        <v>25号内訳書</v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>
        <f>IF(OR($C80="総括",$C80="内訳書",$C80="内訳代価",$C80="明細書",$C80="明細代価",$C80="代価表",$C80="単価表"),データ!Q77,"")</f>
        <v>0</v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>
        <f>IF(OR($C80="総括",$C80="内訳書",$C80="内訳代価",$C80="明細書",$C80="明細代価",$C80="代価表",$C80="単価表"),データ!W77,"")</f>
        <v>0</v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/>
      </c>
      <c r="AF80" s="43" t="str">
        <f>TRIM(データ!Z77)</f>
        <v/>
      </c>
    </row>
    <row r="81" spans="1:32" x14ac:dyDescent="0.15">
      <c r="A81" s="47">
        <f>データ!A78</f>
        <v>3</v>
      </c>
      <c r="B81" s="47" t="str">
        <f>TRIM(データ!C78)</f>
        <v/>
      </c>
      <c r="C81" s="47" t="str">
        <f>TRIM(データ!D78)</f>
        <v>外注費</v>
      </c>
      <c r="D81" s="36" t="str">
        <f>REPT("｜",$A81)&amp;TRIM(データ!E78)</f>
        <v>｜｜｜外注経費</v>
      </c>
      <c r="E81" s="37" t="str">
        <f>TRIM(データ!F78)</f>
        <v>材工5％</v>
      </c>
      <c r="F81" s="38" t="str">
        <f>TRIM(データ!G78)</f>
        <v>式</v>
      </c>
      <c r="G81" s="50">
        <f>データ!H78</f>
        <v>1</v>
      </c>
      <c r="H81" s="48">
        <f>データ!I78</f>
        <v>560000</v>
      </c>
      <c r="I81" s="48">
        <f>データ!J78</f>
        <v>560000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2.37791932059448E-2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>g20718107</v>
      </c>
      <c r="AF81" s="43" t="str">
        <f>TRIM(データ!Z78)</f>
        <v/>
      </c>
    </row>
    <row r="82" spans="1:32" x14ac:dyDescent="0.15">
      <c r="A82" s="47">
        <f>データ!A79</f>
        <v>3</v>
      </c>
      <c r="B82" s="47" t="str">
        <f>TRIM(データ!C79)</f>
        <v/>
      </c>
      <c r="C82" s="47" t="str">
        <f>TRIM(データ!D79)</f>
        <v>外注費</v>
      </c>
      <c r="D82" s="36" t="str">
        <f>REPT("｜",$A82)&amp;TRIM(データ!E79)</f>
        <v>｜｜｜法定福利費</v>
      </c>
      <c r="E82" s="37" t="str">
        <f>TRIM(データ!F79)</f>
        <v>労務費*15.15%</v>
      </c>
      <c r="F82" s="38" t="str">
        <f>TRIM(データ!G79)</f>
        <v>式</v>
      </c>
      <c r="G82" s="50">
        <f>データ!H79</f>
        <v>1</v>
      </c>
      <c r="H82" s="48">
        <f>データ!I79</f>
        <v>220000</v>
      </c>
      <c r="I82" s="48">
        <f>データ!J79</f>
        <v>220000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9.3418259023354561E-3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>g20718106</v>
      </c>
      <c r="AF82" s="43" t="str">
        <f>TRIM(データ!Z79)</f>
        <v/>
      </c>
    </row>
    <row r="83" spans="1:32" x14ac:dyDescent="0.15">
      <c r="A83" s="47">
        <f>データ!A80</f>
        <v>2</v>
      </c>
      <c r="B83" s="47" t="str">
        <f>TRIM(データ!C80)</f>
        <v/>
      </c>
      <c r="C83" s="47" t="str">
        <f>TRIM(データ!D80)</f>
        <v>内訳代価</v>
      </c>
      <c r="D83" s="36" t="str">
        <f>REPT("｜",$A83)&amp;TRIM(データ!E80)</f>
        <v>｜｜中央分離帯工</v>
      </c>
      <c r="E83" s="37" t="str">
        <f>TRIM(データ!F80)</f>
        <v/>
      </c>
      <c r="F83" s="38" t="str">
        <f>TRIM(データ!G80)</f>
        <v>ｍ</v>
      </c>
      <c r="G83" s="50">
        <f>データ!H80</f>
        <v>80</v>
      </c>
      <c r="H83" s="48">
        <f>データ!I80</f>
        <v>30600</v>
      </c>
      <c r="I83" s="48">
        <f>データ!J80</f>
        <v>2448000</v>
      </c>
      <c r="J83" s="39">
        <f>IF(OR($C83="総括",$C83="内訳書",$C83="内訳代価",$C83="明細書",$C83="明細代価",$C83="代価表",$C83="単価表"),データ!K80,"")</f>
        <v>80</v>
      </c>
      <c r="K83" s="11" t="str">
        <f t="shared" si="6"/>
        <v/>
      </c>
      <c r="L83" s="46">
        <f t="shared" si="7"/>
        <v>0.10394904458598726</v>
      </c>
      <c r="M83" s="40" t="str">
        <f>IF(データ!L80="","",データ!L80)</f>
        <v/>
      </c>
      <c r="N83" s="41" t="str">
        <f>IF(データ!M80="","",データ!M80)</f>
        <v>38号内訳書</v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>
        <f>IF(OR($C83="総括",$C83="内訳書",$C83="内訳代価",$C83="明細書",$C83="明細代価",$C83="代価表",$C83="単価表"),データ!Q80,"")</f>
        <v>0</v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>
        <f>IF(OR($C83="総括",$C83="内訳書",$C83="内訳代価",$C83="明細書",$C83="明細代価",$C83="代価表",$C83="単価表"),データ!W80,"")</f>
        <v>0</v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/>
      </c>
      <c r="AF83" s="43" t="str">
        <f>TRIM(データ!Z80)</f>
        <v/>
      </c>
    </row>
    <row r="84" spans="1:32" x14ac:dyDescent="0.15">
      <c r="A84" s="47">
        <f>データ!A81</f>
        <v>3</v>
      </c>
      <c r="B84" s="47" t="str">
        <f>TRIM(データ!C81)</f>
        <v/>
      </c>
      <c r="C84" s="47" t="str">
        <f>TRIM(データ!D81)</f>
        <v>材料費</v>
      </c>
      <c r="D84" s="36" t="str">
        <f>REPT("｜",$A84)&amp;TRIM(データ!E81)</f>
        <v>｜｜｜歩車道境界ﾌﾞﾛｯｸ</v>
      </c>
      <c r="E84" s="37" t="str">
        <f>TRIM(データ!F81)</f>
        <v>B片面　L=2.0m</v>
      </c>
      <c r="F84" s="38" t="str">
        <f>TRIM(データ!G81)</f>
        <v>本</v>
      </c>
      <c r="G84" s="50">
        <f>データ!H81</f>
        <v>266</v>
      </c>
      <c r="H84" s="48">
        <f>データ!I81</f>
        <v>1950</v>
      </c>
      <c r="I84" s="48">
        <f>データ!J81</f>
        <v>518700</v>
      </c>
      <c r="J84" s="39" t="str">
        <f>IF(OR($C84="総括",$C84="内訳書",$C84="内訳代価",$C84="明細書",$C84="明細代価",$C84="代価表",$C84="単価表"),データ!K81,"")</f>
        <v/>
      </c>
      <c r="K84" s="11" t="str">
        <f t="shared" si="6"/>
        <v/>
      </c>
      <c r="L84" s="46">
        <f t="shared" si="7"/>
        <v>2.2025477707006368E-2</v>
      </c>
      <c r="M84" s="40" t="str">
        <f>IF(データ!L81="","",データ!L81)</f>
        <v/>
      </c>
      <c r="N84" s="41" t="str">
        <f>IF(データ!M81="","",データ!M81)</f>
        <v/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 t="str">
        <f>IF(OR($C84="総括",$C84="内訳書",$C84="内訳代価",$C84="明細書",$C84="明細代価",$C84="代価表",$C84="単価表"),データ!Q81,"")</f>
        <v/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 t="str">
        <f>IF(OR($C84="総括",$C84="内訳書",$C84="内訳代価",$C84="明細書",$C84="明細代価",$C84="代価表",$C84="単価表"),データ!W81,"")</f>
        <v/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>s4005</v>
      </c>
      <c r="AF84" s="43" t="str">
        <f>TRIM(データ!Z81)</f>
        <v/>
      </c>
    </row>
    <row r="85" spans="1:32" x14ac:dyDescent="0.15">
      <c r="A85" s="47">
        <f>データ!A82</f>
        <v>3</v>
      </c>
      <c r="B85" s="47" t="str">
        <f>TRIM(データ!C82)</f>
        <v/>
      </c>
      <c r="C85" s="47" t="str">
        <f>TRIM(データ!D82)</f>
        <v>材料費</v>
      </c>
      <c r="D85" s="36" t="str">
        <f>REPT("｜",$A85)&amp;TRIM(データ!E82)</f>
        <v>｜｜｜基礎コンクリート　生ｺﾝ</v>
      </c>
      <c r="E85" s="37" t="str">
        <f>TRIM(データ!F82)</f>
        <v>18-8-25</v>
      </c>
      <c r="F85" s="38" t="str">
        <f>TRIM(データ!G82)</f>
        <v>m3</v>
      </c>
      <c r="G85" s="50">
        <f>データ!H82</f>
        <v>5</v>
      </c>
      <c r="H85" s="48">
        <f>データ!I82</f>
        <v>18500</v>
      </c>
      <c r="I85" s="48">
        <f>データ!J82</f>
        <v>92500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3.9278131634819533E-3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>s3001</v>
      </c>
      <c r="AF85" s="43" t="str">
        <f>TRIM(データ!Z82)</f>
        <v/>
      </c>
    </row>
    <row r="86" spans="1:32" x14ac:dyDescent="0.15">
      <c r="A86" s="47">
        <f>データ!A83</f>
        <v>3</v>
      </c>
      <c r="B86" s="47" t="str">
        <f>TRIM(データ!C83)</f>
        <v/>
      </c>
      <c r="C86" s="47" t="str">
        <f>TRIM(データ!D83)</f>
        <v>材料費</v>
      </c>
      <c r="D86" s="36" t="str">
        <f>REPT("｜",$A86)&amp;TRIM(データ!E83)</f>
        <v>｜｜｜間詰コンクリート　生ｺﾝ</v>
      </c>
      <c r="E86" s="37" t="str">
        <f>TRIM(データ!F83)</f>
        <v>18-8-25</v>
      </c>
      <c r="F86" s="38" t="str">
        <f>TRIM(データ!G83)</f>
        <v>m3</v>
      </c>
      <c r="G86" s="50">
        <f>データ!H83</f>
        <v>2</v>
      </c>
      <c r="H86" s="48">
        <f>データ!I83</f>
        <v>18500</v>
      </c>
      <c r="I86" s="48">
        <f>データ!J83</f>
        <v>37000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1.5711252653927814E-3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>s3001</v>
      </c>
      <c r="AF86" s="43" t="str">
        <f>TRIM(データ!Z83)</f>
        <v/>
      </c>
    </row>
    <row r="87" spans="1:32" x14ac:dyDescent="0.15">
      <c r="A87" s="47">
        <f>データ!A84</f>
        <v>3</v>
      </c>
      <c r="B87" s="47" t="str">
        <f>TRIM(データ!C84)</f>
        <v/>
      </c>
      <c r="C87" s="47" t="str">
        <f>TRIM(データ!D84)</f>
        <v>材料費</v>
      </c>
      <c r="D87" s="36" t="str">
        <f>REPT("｜",$A87)&amp;TRIM(データ!E84)</f>
        <v>｜｜｜型枠材</v>
      </c>
      <c r="E87" s="37" t="str">
        <f>TRIM(データ!F84)</f>
        <v>210-30-4000　足場板</v>
      </c>
      <c r="F87" s="38" t="str">
        <f>TRIM(データ!G84)</f>
        <v>本</v>
      </c>
      <c r="G87" s="50">
        <f>データ!H84</f>
        <v>40</v>
      </c>
      <c r="H87" s="48">
        <f>データ!I84</f>
        <v>2500</v>
      </c>
      <c r="I87" s="48">
        <f>データ!J84</f>
        <v>100000</v>
      </c>
      <c r="J87" s="39" t="str">
        <f>IF(OR($C87="総括",$C87="内訳書",$C87="内訳代価",$C87="明細書",$C87="明細代価",$C87="代価表",$C87="単価表"),データ!K84,"")</f>
        <v/>
      </c>
      <c r="K87" s="11" t="str">
        <f t="shared" si="6"/>
        <v/>
      </c>
      <c r="L87" s="46">
        <f t="shared" si="7"/>
        <v>4.246284501061571E-3</v>
      </c>
      <c r="M87" s="40" t="str">
        <f>IF(データ!L84="","",データ!L84)</f>
        <v/>
      </c>
      <c r="N87" s="41" t="str">
        <f>IF(データ!M84="","",データ!M84)</f>
        <v/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 t="str">
        <f>IF(OR($C87="総括",$C87="内訳書",$C87="内訳代価",$C87="明細書",$C87="明細代価",$C87="代価表",$C87="単価表"),データ!Q84,"")</f>
        <v/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 t="str">
        <f>IF(OR($C87="総括",$C87="内訳書",$C87="内訳代価",$C87="明細書",$C87="明細代価",$C87="代価表",$C87="単価表"),データ!W84,"")</f>
        <v/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>s20718534</v>
      </c>
      <c r="AF87" s="43" t="str">
        <f>TRIM(データ!Z84)</f>
        <v/>
      </c>
    </row>
    <row r="88" spans="1:32" x14ac:dyDescent="0.15">
      <c r="A88" s="47">
        <f>データ!A85</f>
        <v>3</v>
      </c>
      <c r="B88" s="47" t="str">
        <f>TRIM(データ!C85)</f>
        <v/>
      </c>
      <c r="C88" s="47" t="str">
        <f>TRIM(データ!D85)</f>
        <v>材料費</v>
      </c>
      <c r="D88" s="36" t="str">
        <f>REPT("｜",$A88)&amp;TRIM(データ!E85)</f>
        <v>｜｜｜型枠材</v>
      </c>
      <c r="E88" s="37" t="str">
        <f>TRIM(データ!F85)</f>
        <v>さん木</v>
      </c>
      <c r="F88" s="38" t="str">
        <f>TRIM(データ!G85)</f>
        <v>本</v>
      </c>
      <c r="G88" s="50">
        <f>データ!H85</f>
        <v>20</v>
      </c>
      <c r="H88" s="48">
        <f>データ!I85</f>
        <v>1200</v>
      </c>
      <c r="I88" s="48">
        <f>データ!J85</f>
        <v>24000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1.019108280254777E-3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>s20718534</v>
      </c>
      <c r="AF88" s="43" t="str">
        <f>TRIM(データ!Z85)</f>
        <v/>
      </c>
    </row>
    <row r="89" spans="1:32" x14ac:dyDescent="0.15">
      <c r="A89" s="47">
        <f>データ!A86</f>
        <v>3</v>
      </c>
      <c r="B89" s="47" t="str">
        <f>TRIM(データ!C86)</f>
        <v/>
      </c>
      <c r="C89" s="47" t="str">
        <f>TRIM(データ!D86)</f>
        <v>材料費</v>
      </c>
      <c r="D89" s="36" t="str">
        <f>REPT("｜",$A89)&amp;TRIM(データ!E86)</f>
        <v>｜｜｜ｺｰﾙﾄﾞﾊﾟｰﾐｸｽ</v>
      </c>
      <c r="E89" s="37" t="str">
        <f>TRIM(データ!F86)</f>
        <v/>
      </c>
      <c r="F89" s="38" t="str">
        <f>TRIM(データ!G86)</f>
        <v>袋</v>
      </c>
      <c r="G89" s="50">
        <f>データ!H86</f>
        <v>5</v>
      </c>
      <c r="H89" s="48">
        <f>データ!I86</f>
        <v>2200</v>
      </c>
      <c r="I89" s="48">
        <f>データ!J86</f>
        <v>11000</v>
      </c>
      <c r="J89" s="39" t="str">
        <f>IF(OR($C89="総括",$C89="内訳書",$C89="内訳代価",$C89="明細書",$C89="明細代価",$C89="代価表",$C89="単価表"),データ!K86,"")</f>
        <v/>
      </c>
      <c r="K89" s="11" t="str">
        <f t="shared" si="6"/>
        <v/>
      </c>
      <c r="L89" s="46">
        <f t="shared" si="7"/>
        <v>4.6709129511677281E-4</v>
      </c>
      <c r="M89" s="40" t="str">
        <f>IF(データ!L86="","",データ!L86)</f>
        <v/>
      </c>
      <c r="N89" s="41" t="str">
        <f>IF(データ!M86="","",データ!M86)</f>
        <v/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 t="str">
        <f>IF(OR($C89="総括",$C89="内訳書",$C89="内訳代価",$C89="明細書",$C89="明細代価",$C89="代価表",$C89="単価表"),データ!Q86,"")</f>
        <v/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 t="str">
        <f>IF(OR($C89="総括",$C89="内訳書",$C89="内訳代価",$C89="明細書",$C89="明細代価",$C89="代価表",$C89="単価表"),データ!W86,"")</f>
        <v/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>s20718020</v>
      </c>
      <c r="AF89" s="43" t="str">
        <f>TRIM(データ!Z86)</f>
        <v/>
      </c>
    </row>
    <row r="90" spans="1:32" x14ac:dyDescent="0.15">
      <c r="A90" s="47">
        <f>データ!A87</f>
        <v>3</v>
      </c>
      <c r="B90" s="47" t="str">
        <f>TRIM(データ!C87)</f>
        <v/>
      </c>
      <c r="C90" s="47" t="str">
        <f>TRIM(データ!D87)</f>
        <v>材料費</v>
      </c>
      <c r="D90" s="36" t="str">
        <f>REPT("｜",$A90)&amp;TRIM(データ!E87)</f>
        <v>｜｜｜R粗粒度As</v>
      </c>
      <c r="E90" s="37" t="str">
        <f>TRIM(データ!F87)</f>
        <v/>
      </c>
      <c r="F90" s="38" t="str">
        <f>TRIM(データ!G87)</f>
        <v>ｔ</v>
      </c>
      <c r="G90" s="50">
        <f>データ!H87</f>
        <v>12</v>
      </c>
      <c r="H90" s="48">
        <f>データ!I87</f>
        <v>9100</v>
      </c>
      <c r="I90" s="48">
        <f>データ!J87</f>
        <v>109200</v>
      </c>
      <c r="J90" s="39" t="str">
        <f>IF(OR($C90="総括",$C90="内訳書",$C90="内訳代価",$C90="明細書",$C90="明細代価",$C90="代価表",$C90="単価表"),データ!K87,"")</f>
        <v/>
      </c>
      <c r="K90" s="11" t="str">
        <f t="shared" si="6"/>
        <v/>
      </c>
      <c r="L90" s="46">
        <f t="shared" si="7"/>
        <v>4.6369426751592356E-3</v>
      </c>
      <c r="M90" s="40" t="str">
        <f>IF(データ!L87="","",データ!L87)</f>
        <v/>
      </c>
      <c r="N90" s="41" t="str">
        <f>IF(データ!M87="","",データ!M87)</f>
        <v/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 t="str">
        <f>IF(OR($C90="総括",$C90="内訳書",$C90="内訳代価",$C90="明細書",$C90="明細代価",$C90="代価表",$C90="単価表"),データ!Q87,"")</f>
        <v/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 t="str">
        <f>IF(OR($C90="総括",$C90="内訳書",$C90="内訳代価",$C90="明細書",$C90="明細代価",$C90="代価表",$C90="単価表"),データ!W87,"")</f>
        <v/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>s20718004</v>
      </c>
      <c r="AF90" s="43" t="str">
        <f>TRIM(データ!Z87)</f>
        <v/>
      </c>
    </row>
    <row r="91" spans="1:32" x14ac:dyDescent="0.15">
      <c r="A91" s="47">
        <f>データ!A88</f>
        <v>3</v>
      </c>
      <c r="B91" s="47" t="str">
        <f>TRIM(データ!C88)</f>
        <v/>
      </c>
      <c r="C91" s="47" t="str">
        <f>TRIM(データ!D88)</f>
        <v>材料費</v>
      </c>
      <c r="D91" s="36" t="str">
        <f>REPT("｜",$A91)&amp;TRIM(データ!E88)</f>
        <v>｜｜｜R密粒度As</v>
      </c>
      <c r="E91" s="37" t="str">
        <f>TRIM(データ!F88)</f>
        <v/>
      </c>
      <c r="F91" s="38" t="str">
        <f>TRIM(データ!G88)</f>
        <v>ｔ</v>
      </c>
      <c r="G91" s="50">
        <f>データ!H88</f>
        <v>2</v>
      </c>
      <c r="H91" s="48">
        <f>データ!I88</f>
        <v>10500</v>
      </c>
      <c r="I91" s="48">
        <f>データ!J88</f>
        <v>21000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8.9171974522292993E-4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>s20718006</v>
      </c>
      <c r="AF91" s="43" t="str">
        <f>TRIM(データ!Z88)</f>
        <v/>
      </c>
    </row>
    <row r="92" spans="1:32" x14ac:dyDescent="0.15">
      <c r="A92" s="47">
        <f>データ!A89</f>
        <v>3</v>
      </c>
      <c r="B92" s="47" t="str">
        <f>TRIM(データ!C89)</f>
        <v/>
      </c>
      <c r="C92" s="47" t="str">
        <f>TRIM(データ!D89)</f>
        <v>材料費</v>
      </c>
      <c r="D92" s="36" t="str">
        <f>REPT("｜",$A92)&amp;TRIM(データ!E89)</f>
        <v>｜｜｜RM-30(㎥）</v>
      </c>
      <c r="E92" s="37" t="str">
        <f>TRIM(データ!F89)</f>
        <v/>
      </c>
      <c r="F92" s="38" t="str">
        <f>TRIM(データ!G89)</f>
        <v>m3</v>
      </c>
      <c r="G92" s="50">
        <f>データ!H89</f>
        <v>16</v>
      </c>
      <c r="H92" s="48">
        <f>データ!I89</f>
        <v>1000</v>
      </c>
      <c r="I92" s="48">
        <f>データ!J89</f>
        <v>16000</v>
      </c>
      <c r="J92" s="39" t="str">
        <f>IF(OR($C92="総括",$C92="内訳書",$C92="内訳代価",$C92="明細書",$C92="明細代価",$C92="代価表",$C92="単価表"),データ!K89,"")</f>
        <v/>
      </c>
      <c r="K92" s="11" t="str">
        <f t="shared" si="6"/>
        <v/>
      </c>
      <c r="L92" s="46">
        <f t="shared" si="7"/>
        <v>6.7940552016985142E-4</v>
      </c>
      <c r="M92" s="40" t="str">
        <f>IF(データ!L89="","",データ!L89)</f>
        <v/>
      </c>
      <c r="N92" s="41" t="str">
        <f>IF(データ!M89="","",データ!M89)</f>
        <v/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 t="str">
        <f>IF(OR($C92="総括",$C92="内訳書",$C92="内訳代価",$C92="明細書",$C92="明細代価",$C92="代価表",$C92="単価表"),データ!Q89,"")</f>
        <v/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 t="str">
        <f>IF(OR($C92="総括",$C92="内訳書",$C92="内訳代価",$C92="明細書",$C92="明細代価",$C92="代価表",$C92="単価表"),データ!W89,"")</f>
        <v/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>s20718027</v>
      </c>
      <c r="AF92" s="43" t="str">
        <f>TRIM(データ!Z89)</f>
        <v/>
      </c>
    </row>
    <row r="93" spans="1:32" x14ac:dyDescent="0.15">
      <c r="A93" s="47">
        <f>データ!A90</f>
        <v>3</v>
      </c>
      <c r="B93" s="47" t="str">
        <f>TRIM(データ!C90)</f>
        <v/>
      </c>
      <c r="C93" s="47" t="str">
        <f>TRIM(データ!D90)</f>
        <v>材料費</v>
      </c>
      <c r="D93" s="36" t="str">
        <f>REPT("｜",$A93)&amp;TRIM(データ!E90)</f>
        <v>｜｜｜舗装　雑材</v>
      </c>
      <c r="E93" s="37" t="str">
        <f>TRIM(データ!F90)</f>
        <v/>
      </c>
      <c r="F93" s="38" t="str">
        <f>TRIM(データ!G90)</f>
        <v>式</v>
      </c>
      <c r="G93" s="50">
        <f>データ!H90</f>
        <v>1</v>
      </c>
      <c r="H93" s="48">
        <f>データ!I90</f>
        <v>5000</v>
      </c>
      <c r="I93" s="48">
        <f>データ!J90</f>
        <v>5000</v>
      </c>
      <c r="J93" s="39" t="str">
        <f>IF(OR($C93="総括",$C93="内訳書",$C93="内訳代価",$C93="明細書",$C93="明細代価",$C93="代価表",$C93="単価表"),データ!K90,"")</f>
        <v/>
      </c>
      <c r="K93" s="11" t="str">
        <f t="shared" si="6"/>
        <v/>
      </c>
      <c r="L93" s="46">
        <f t="shared" si="7"/>
        <v>2.1231422505307856E-4</v>
      </c>
      <c r="M93" s="40" t="str">
        <f>IF(データ!L90="","",データ!L90)</f>
        <v/>
      </c>
      <c r="N93" s="41" t="str">
        <f>IF(データ!M90="","",データ!M90)</f>
        <v/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 t="str">
        <f>IF(OR($C93="総括",$C93="内訳書",$C93="内訳代価",$C93="明細書",$C93="明細代価",$C93="代価表",$C93="単価表"),データ!Q90,"")</f>
        <v/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 t="str">
        <f>IF(OR($C93="総括",$C93="内訳書",$C93="内訳代価",$C93="明細書",$C93="明細代価",$C93="代価表",$C93="単価表"),データ!W90,"")</f>
        <v/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>s20718001</v>
      </c>
      <c r="AF93" s="43" t="str">
        <f>TRIM(データ!Z90)</f>
        <v/>
      </c>
    </row>
    <row r="94" spans="1:32" x14ac:dyDescent="0.15">
      <c r="A94" s="47">
        <f>データ!A91</f>
        <v>3</v>
      </c>
      <c r="B94" s="47" t="str">
        <f>TRIM(データ!C91)</f>
        <v/>
      </c>
      <c r="C94" s="47" t="str">
        <f>TRIM(データ!D91)</f>
        <v>材料費</v>
      </c>
      <c r="D94" s="36" t="str">
        <f>REPT("｜",$A94)&amp;TRIM(データ!E91)</f>
        <v>｜｜｜軽油</v>
      </c>
      <c r="E94" s="37" t="str">
        <f>TRIM(データ!F91)</f>
        <v/>
      </c>
      <c r="F94" s="38" t="str">
        <f>TRIM(データ!G91)</f>
        <v>L</v>
      </c>
      <c r="G94" s="50">
        <f>データ!H91</f>
        <v>50</v>
      </c>
      <c r="H94" s="48">
        <f>データ!I91</f>
        <v>160</v>
      </c>
      <c r="I94" s="48">
        <f>データ!J91</f>
        <v>8000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3.3970276008492571E-4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>s20718549</v>
      </c>
      <c r="AF94" s="43" t="str">
        <f>TRIM(データ!Z91)</f>
        <v/>
      </c>
    </row>
    <row r="95" spans="1:32" x14ac:dyDescent="0.15">
      <c r="A95" s="47">
        <f>データ!A92</f>
        <v>3</v>
      </c>
      <c r="B95" s="47" t="str">
        <f>TRIM(データ!C92)</f>
        <v/>
      </c>
      <c r="C95" s="47" t="str">
        <f>TRIM(データ!D92)</f>
        <v>材料費</v>
      </c>
      <c r="D95" s="36" t="str">
        <f>REPT("｜",$A95)&amp;TRIM(データ!E92)</f>
        <v>｜｜｜雑材</v>
      </c>
      <c r="E95" s="37" t="str">
        <f>TRIM(データ!F92)</f>
        <v/>
      </c>
      <c r="F95" s="38" t="str">
        <f>TRIM(データ!G92)</f>
        <v>式</v>
      </c>
      <c r="G95" s="50">
        <f>データ!H92</f>
        <v>1</v>
      </c>
      <c r="H95" s="48">
        <f>データ!I92</f>
        <v>6600</v>
      </c>
      <c r="I95" s="48">
        <f>データ!J92</f>
        <v>6600</v>
      </c>
      <c r="J95" s="39" t="str">
        <f>IF(OR($C95="総括",$C95="内訳書",$C95="内訳代価",$C95="明細書",$C95="明細代価",$C95="代価表",$C95="単価表"),データ!K92,"")</f>
        <v/>
      </c>
      <c r="K95" s="11" t="str">
        <f t="shared" si="6"/>
        <v/>
      </c>
      <c r="L95" s="46">
        <f t="shared" si="7"/>
        <v>2.8025477707006369E-4</v>
      </c>
      <c r="M95" s="40" t="str">
        <f>IF(データ!L92="","",データ!L92)</f>
        <v/>
      </c>
      <c r="N95" s="41" t="str">
        <f>IF(データ!M92="","",データ!M92)</f>
        <v/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 t="str">
        <f>IF(OR($C95="総括",$C95="内訳書",$C95="内訳代価",$C95="明細書",$C95="明細代価",$C95="代価表",$C95="単価表"),データ!Q92,"")</f>
        <v/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 t="str">
        <f>IF(OR($C95="総括",$C95="内訳書",$C95="内訳代価",$C95="明細書",$C95="明細代価",$C95="代価表",$C95="単価表"),データ!W92,"")</f>
        <v/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>s20718001</v>
      </c>
      <c r="AF95" s="43" t="str">
        <f>TRIM(データ!Z92)</f>
        <v/>
      </c>
    </row>
    <row r="96" spans="1:32" x14ac:dyDescent="0.15">
      <c r="A96" s="47">
        <f>データ!A93</f>
        <v>3</v>
      </c>
      <c r="B96" s="47" t="str">
        <f>TRIM(データ!C93)</f>
        <v/>
      </c>
      <c r="C96" s="47" t="str">
        <f>TRIM(データ!D93)</f>
        <v>労務費</v>
      </c>
      <c r="D96" s="36" t="str">
        <f>REPT("｜",$A96)&amp;TRIM(データ!E93)</f>
        <v>｜｜｜世話役</v>
      </c>
      <c r="E96" s="37" t="str">
        <f>TRIM(データ!F93)</f>
        <v>8H</v>
      </c>
      <c r="F96" s="38" t="str">
        <f>TRIM(データ!G93)</f>
        <v>人</v>
      </c>
      <c r="G96" s="50">
        <f>データ!H93</f>
        <v>6</v>
      </c>
      <c r="H96" s="48">
        <f>データ!I93</f>
        <v>31000</v>
      </c>
      <c r="I96" s="48">
        <f>データ!J93</f>
        <v>186000</v>
      </c>
      <c r="J96" s="39" t="str">
        <f>IF(OR($C96="総括",$C96="内訳書",$C96="内訳代価",$C96="明細書",$C96="明細代価",$C96="代価表",$C96="単価表"),データ!K93,"")</f>
        <v/>
      </c>
      <c r="K96" s="11" t="str">
        <f t="shared" si="6"/>
        <v/>
      </c>
      <c r="L96" s="46">
        <f t="shared" si="7"/>
        <v>7.8980891719745219E-3</v>
      </c>
      <c r="M96" s="40" t="str">
        <f>IF(データ!L93="","",データ!L93)</f>
        <v/>
      </c>
      <c r="N96" s="41" t="str">
        <f>IF(データ!M93="","",データ!M93)</f>
        <v/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 t="str">
        <f>IF(OR($C96="総括",$C96="内訳書",$C96="内訳代価",$C96="明細書",$C96="明細代価",$C96="代価表",$C96="単価表"),データ!Q93,"")</f>
        <v/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 t="str">
        <f>IF(OR($C96="総括",$C96="内訳書",$C96="内訳代価",$C96="明細書",$C96="明細代価",$C96="代価表",$C96="単価表"),データ!W93,"")</f>
        <v/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>r20718003</v>
      </c>
      <c r="AF96" s="43" t="str">
        <f>TRIM(データ!Z93)</f>
        <v/>
      </c>
    </row>
    <row r="97" spans="1:32" x14ac:dyDescent="0.15">
      <c r="A97" s="47">
        <f>データ!A94</f>
        <v>3</v>
      </c>
      <c r="B97" s="47" t="str">
        <f>TRIM(データ!C94)</f>
        <v/>
      </c>
      <c r="C97" s="47" t="str">
        <f>TRIM(データ!D94)</f>
        <v>労務費</v>
      </c>
      <c r="D97" s="36" t="str">
        <f>REPT("｜",$A97)&amp;TRIM(データ!E94)</f>
        <v>｜｜｜技工</v>
      </c>
      <c r="E97" s="37" t="str">
        <f>TRIM(データ!F94)</f>
        <v>8H</v>
      </c>
      <c r="F97" s="38" t="str">
        <f>TRIM(データ!G94)</f>
        <v>人</v>
      </c>
      <c r="G97" s="50">
        <f>データ!H94</f>
        <v>25</v>
      </c>
      <c r="H97" s="48">
        <f>データ!I94</f>
        <v>27000</v>
      </c>
      <c r="I97" s="48">
        <f>データ!J94</f>
        <v>675000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2.8662420382165606E-2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>r20718005</v>
      </c>
      <c r="AF97" s="43" t="str">
        <f>TRIM(データ!Z94)</f>
        <v/>
      </c>
    </row>
    <row r="98" spans="1:32" x14ac:dyDescent="0.15">
      <c r="A98" s="47">
        <f>データ!A95</f>
        <v>3</v>
      </c>
      <c r="B98" s="47" t="str">
        <f>TRIM(データ!C95)</f>
        <v/>
      </c>
      <c r="C98" s="47" t="str">
        <f>TRIM(データ!D95)</f>
        <v>外注費</v>
      </c>
      <c r="D98" s="36" t="str">
        <f>REPT("｜",$A98)&amp;TRIM(データ!E95)</f>
        <v>｜｜｜As舗装版切断</v>
      </c>
      <c r="E98" s="37" t="str">
        <f>TRIM(データ!F95)</f>
        <v>T=100</v>
      </c>
      <c r="F98" s="38" t="str">
        <f>TRIM(データ!G95)</f>
        <v>m</v>
      </c>
      <c r="G98" s="50">
        <f>データ!H95</f>
        <v>240</v>
      </c>
      <c r="H98" s="48">
        <f>データ!I95</f>
        <v>200</v>
      </c>
      <c r="I98" s="48">
        <f>データ!J95</f>
        <v>48000</v>
      </c>
      <c r="J98" s="39" t="str">
        <f>IF(OR($C98="総括",$C98="内訳書",$C98="内訳代価",$C98="明細書",$C98="明細代価",$C98="代価表",$C98="単価表"),データ!K95,"")</f>
        <v/>
      </c>
      <c r="K98" s="11" t="str">
        <f t="shared" si="6"/>
        <v/>
      </c>
      <c r="L98" s="46">
        <f t="shared" si="7"/>
        <v>2.0382165605095539E-3</v>
      </c>
      <c r="M98" s="40" t="str">
        <f>IF(データ!L95="","",データ!L95)</f>
        <v/>
      </c>
      <c r="N98" s="41" t="str">
        <f>IF(データ!M95="","",データ!M95)</f>
        <v/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 t="str">
        <f>IF(OR($C98="総括",$C98="内訳書",$C98="内訳代価",$C98="明細書",$C98="明細代価",$C98="代価表",$C98="単価表"),データ!Q95,"")</f>
        <v/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 t="str">
        <f>IF(OR($C98="総括",$C98="内訳書",$C98="内訳代価",$C98="明細書",$C98="明細代価",$C98="代価表",$C98="単価表"),データ!W95,"")</f>
        <v/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>g0002</v>
      </c>
      <c r="AF98" s="43" t="str">
        <f>TRIM(データ!Z95)</f>
        <v/>
      </c>
    </row>
    <row r="99" spans="1:32" x14ac:dyDescent="0.15">
      <c r="A99" s="47">
        <f>データ!A96</f>
        <v>3</v>
      </c>
      <c r="B99" s="47" t="str">
        <f>TRIM(データ!C96)</f>
        <v/>
      </c>
      <c r="C99" s="47" t="str">
        <f>TRIM(データ!D96)</f>
        <v>外注費</v>
      </c>
      <c r="D99" s="36" t="str">
        <f>REPT("｜",$A99)&amp;TRIM(データ!E96)</f>
        <v>｜｜｜ウォーターリサイクル(最低)</v>
      </c>
      <c r="E99" s="37" t="str">
        <f>TRIM(データ!F96)</f>
        <v>昼</v>
      </c>
      <c r="F99" s="38" t="str">
        <f>TRIM(データ!G96)</f>
        <v>日</v>
      </c>
      <c r="G99" s="50">
        <f>データ!H96</f>
        <v>1</v>
      </c>
      <c r="H99" s="48">
        <f>データ!I96</f>
        <v>35000</v>
      </c>
      <c r="I99" s="48">
        <f>データ!J96</f>
        <v>35000</v>
      </c>
      <c r="J99" s="39" t="str">
        <f>IF(OR($C99="総括",$C99="内訳書",$C99="内訳代価",$C99="明細書",$C99="明細代価",$C99="代価表",$C99="単価表"),データ!K96,"")</f>
        <v/>
      </c>
      <c r="K99" s="11" t="str">
        <f t="shared" si="6"/>
        <v/>
      </c>
      <c r="L99" s="46">
        <f t="shared" si="7"/>
        <v>1.48619957537155E-3</v>
      </c>
      <c r="M99" s="40" t="str">
        <f>IF(データ!L96="","",データ!L96)</f>
        <v/>
      </c>
      <c r="N99" s="41" t="str">
        <f>IF(データ!M96="","",データ!M96)</f>
        <v/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 t="str">
        <f>IF(OR($C99="総括",$C99="内訳書",$C99="内訳代価",$C99="明細書",$C99="明細代価",$C99="代価表",$C99="単価表"),データ!Q96,"")</f>
        <v/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 t="str">
        <f>IF(OR($C99="総括",$C99="内訳書",$C99="内訳代価",$C99="明細書",$C99="明細代価",$C99="代価表",$C99="単価表"),データ!W96,"")</f>
        <v/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>g20718049</v>
      </c>
      <c r="AF99" s="43" t="str">
        <f>TRIM(データ!Z96)</f>
        <v/>
      </c>
    </row>
    <row r="100" spans="1:32" x14ac:dyDescent="0.15">
      <c r="A100" s="47">
        <f>データ!A97</f>
        <v>3</v>
      </c>
      <c r="B100" s="47" t="str">
        <f>TRIM(データ!C97)</f>
        <v/>
      </c>
      <c r="C100" s="47" t="str">
        <f>TRIM(データ!D97)</f>
        <v>機械費</v>
      </c>
      <c r="D100" s="36" t="str">
        <f>REPT("｜",$A100)&amp;TRIM(データ!E97)</f>
        <v>｜｜｜BH0.15クレーン</v>
      </c>
      <c r="E100" s="37" t="str">
        <f>TRIM(データ!F97)</f>
        <v>低騒音・超小</v>
      </c>
      <c r="F100" s="38" t="str">
        <f>TRIM(データ!G97)</f>
        <v>日台</v>
      </c>
      <c r="G100" s="50">
        <f>データ!H97</f>
        <v>3</v>
      </c>
      <c r="H100" s="48">
        <f>データ!I97</f>
        <v>8000</v>
      </c>
      <c r="I100" s="48">
        <f>データ!J97</f>
        <v>24000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1.019108280254777E-3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>k20718014</v>
      </c>
      <c r="AF100" s="43" t="str">
        <f>TRIM(データ!Z97)</f>
        <v/>
      </c>
    </row>
    <row r="101" spans="1:32" x14ac:dyDescent="0.15">
      <c r="A101" s="47">
        <f>データ!A98</f>
        <v>3</v>
      </c>
      <c r="B101" s="47" t="str">
        <f>TRIM(データ!C98)</f>
        <v/>
      </c>
      <c r="C101" s="47" t="str">
        <f>TRIM(データ!D98)</f>
        <v>機械費</v>
      </c>
      <c r="D101" s="36" t="str">
        <f>REPT("｜",$A101)&amp;TRIM(データ!E98)</f>
        <v>｜｜｜BH0.2クレーン</v>
      </c>
      <c r="E101" s="37" t="str">
        <f>TRIM(データ!F98)</f>
        <v>低騒音・超小</v>
      </c>
      <c r="F101" s="38" t="str">
        <f>TRIM(データ!G98)</f>
        <v>日台</v>
      </c>
      <c r="G101" s="50">
        <f>データ!H98</f>
        <v>4</v>
      </c>
      <c r="H101" s="48">
        <f>データ!I98</f>
        <v>11000</v>
      </c>
      <c r="I101" s="48">
        <f>データ!J98</f>
        <v>44000</v>
      </c>
      <c r="J101" s="39" t="str">
        <f>IF(OR($C101="総括",$C101="内訳書",$C101="内訳代価",$C101="明細書",$C101="明細代価",$C101="代価表",$C101="単価表"),データ!K98,"")</f>
        <v/>
      </c>
      <c r="K101" s="11" t="str">
        <f t="shared" si="6"/>
        <v/>
      </c>
      <c r="L101" s="46">
        <f t="shared" si="7"/>
        <v>1.8683651804670912E-3</v>
      </c>
      <c r="M101" s="40" t="str">
        <f>IF(データ!L98="","",データ!L98)</f>
        <v/>
      </c>
      <c r="N101" s="41" t="str">
        <f>IF(データ!M98="","",データ!M98)</f>
        <v/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 t="str">
        <f>IF(OR($C101="総括",$C101="内訳書",$C101="内訳代価",$C101="明細書",$C101="明細代価",$C101="代価表",$C101="単価表"),データ!Q98,"")</f>
        <v/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 t="str">
        <f>IF(OR($C101="総括",$C101="内訳書",$C101="内訳代価",$C101="明細書",$C101="明細代価",$C101="代価表",$C101="単価表"),データ!W98,"")</f>
        <v/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>k20718016</v>
      </c>
      <c r="AF101" s="43" t="str">
        <f>TRIM(データ!Z98)</f>
        <v/>
      </c>
    </row>
    <row r="102" spans="1:32" x14ac:dyDescent="0.15">
      <c r="A102" s="47">
        <f>データ!A99</f>
        <v>3</v>
      </c>
      <c r="B102" s="47" t="str">
        <f>TRIM(データ!C99)</f>
        <v/>
      </c>
      <c r="C102" s="47" t="str">
        <f>TRIM(データ!D99)</f>
        <v>機械費</v>
      </c>
      <c r="D102" s="36" t="str">
        <f>REPT("｜",$A102)&amp;TRIM(データ!E99)</f>
        <v>｜｜｜小物機械　ﾊﾟｰﾄﾅ・丸ﾉｺ</v>
      </c>
      <c r="E102" s="37" t="str">
        <f>TRIM(データ!F99)</f>
        <v>発電機　モルタルミキサー</v>
      </c>
      <c r="F102" s="38" t="str">
        <f>TRIM(データ!G99)</f>
        <v>台</v>
      </c>
      <c r="G102" s="50">
        <f>データ!H99</f>
        <v>7</v>
      </c>
      <c r="H102" s="48">
        <f>データ!I99</f>
        <v>25000</v>
      </c>
      <c r="I102" s="48">
        <f>データ!J99</f>
        <v>175000</v>
      </c>
      <c r="J102" s="39" t="str">
        <f>IF(OR($C102="総括",$C102="内訳書",$C102="内訳代価",$C102="明細書",$C102="明細代価",$C102="代価表",$C102="単価表"),データ!K99,"")</f>
        <v/>
      </c>
      <c r="K102" s="11" t="str">
        <f t="shared" si="6"/>
        <v/>
      </c>
      <c r="L102" s="46">
        <f t="shared" si="7"/>
        <v>7.4309978768577496E-3</v>
      </c>
      <c r="M102" s="40" t="str">
        <f>IF(データ!L99="","",データ!L99)</f>
        <v/>
      </c>
      <c r="N102" s="41" t="str">
        <f>IF(データ!M99="","",データ!M99)</f>
        <v/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 t="str">
        <f>IF(OR($C102="総括",$C102="内訳書",$C102="内訳代価",$C102="明細書",$C102="明細代価",$C102="代価表",$C102="単価表"),データ!Q99,"")</f>
        <v/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 t="str">
        <f>IF(OR($C102="総括",$C102="内訳書",$C102="内訳代価",$C102="明細書",$C102="明細代価",$C102="代価表",$C102="単価表"),データ!W99,"")</f>
        <v/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>k20718001</v>
      </c>
      <c r="AF102" s="43" t="str">
        <f>TRIM(データ!Z99)</f>
        <v/>
      </c>
    </row>
    <row r="103" spans="1:32" x14ac:dyDescent="0.15">
      <c r="A103" s="47">
        <f>データ!A100</f>
        <v>3</v>
      </c>
      <c r="B103" s="47" t="str">
        <f>TRIM(データ!C100)</f>
        <v/>
      </c>
      <c r="C103" s="47" t="str">
        <f>TRIM(データ!D100)</f>
        <v>機械費</v>
      </c>
      <c r="D103" s="36" t="str">
        <f>REPT("｜",$A103)&amp;TRIM(データ!E100)</f>
        <v>｜｜｜小物機械　ﾊﾟｰﾄﾅ・丸ﾉｺ</v>
      </c>
      <c r="E103" s="37" t="str">
        <f>TRIM(データ!F100)</f>
        <v>ｸﾞﾗｲﾝﾀﾞ-・ｺｱ抜きﾄﾞﾘﾙ・ﾌﾞﾛｱ　等</v>
      </c>
      <c r="F103" s="38" t="str">
        <f>TRIM(データ!G100)</f>
        <v>台</v>
      </c>
      <c r="G103" s="50">
        <f>データ!H100</f>
        <v>9</v>
      </c>
      <c r="H103" s="48">
        <f>データ!I100</f>
        <v>5000</v>
      </c>
      <c r="I103" s="48">
        <f>データ!J100</f>
        <v>45000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1.910828025477707E-3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>k20718001</v>
      </c>
      <c r="AF103" s="43" t="str">
        <f>TRIM(データ!Z100)</f>
        <v/>
      </c>
    </row>
    <row r="104" spans="1:32" x14ac:dyDescent="0.15">
      <c r="A104" s="47">
        <f>データ!A101</f>
        <v>3</v>
      </c>
      <c r="B104" s="47" t="str">
        <f>TRIM(データ!C101)</f>
        <v/>
      </c>
      <c r="C104" s="47" t="str">
        <f>TRIM(データ!D101)</f>
        <v>運搬費</v>
      </c>
      <c r="D104" s="36" t="str">
        <f>REPT("｜",$A104)&amp;TRIM(データ!E101)</f>
        <v>｜｜｜4tダンプ</v>
      </c>
      <c r="E104" s="37" t="str">
        <f>TRIM(データ!F101)</f>
        <v/>
      </c>
      <c r="F104" s="38" t="str">
        <f>TRIM(データ!G101)</f>
        <v>日台</v>
      </c>
      <c r="G104" s="50">
        <f>データ!H101</f>
        <v>5</v>
      </c>
      <c r="H104" s="48">
        <f>データ!I101</f>
        <v>30000</v>
      </c>
      <c r="I104" s="48">
        <f>データ!J101</f>
        <v>150000</v>
      </c>
      <c r="J104" s="39" t="str">
        <f>IF(OR($C104="総括",$C104="内訳書",$C104="内訳代価",$C104="明細書",$C104="明細代価",$C104="代価表",$C104="単価表"),データ!K101,"")</f>
        <v/>
      </c>
      <c r="K104" s="11" t="str">
        <f t="shared" si="6"/>
        <v/>
      </c>
      <c r="L104" s="46">
        <f t="shared" si="7"/>
        <v>6.369426751592357E-3</v>
      </c>
      <c r="M104" s="40" t="str">
        <f>IF(データ!L101="","",データ!L101)</f>
        <v/>
      </c>
      <c r="N104" s="41" t="str">
        <f>IF(データ!M101="","",データ!M101)</f>
        <v/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 t="str">
        <f>IF(OR($C104="総括",$C104="内訳書",$C104="内訳代価",$C104="明細書",$C104="明細代価",$C104="代価表",$C104="単価表"),データ!Q101,"")</f>
        <v/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 t="str">
        <f>IF(OR($C104="総括",$C104="内訳書",$C104="内訳代価",$C104="明細書",$C104="明細代価",$C104="代価表",$C104="単価表"),データ!W101,"")</f>
        <v/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>k20718094</v>
      </c>
      <c r="AF104" s="43" t="str">
        <f>TRIM(データ!Z101)</f>
        <v/>
      </c>
    </row>
    <row r="105" spans="1:32" x14ac:dyDescent="0.15">
      <c r="A105" s="47">
        <f>データ!A102</f>
        <v>3</v>
      </c>
      <c r="B105" s="47" t="str">
        <f>TRIM(データ!C102)</f>
        <v/>
      </c>
      <c r="C105" s="47" t="str">
        <f>TRIM(データ!D102)</f>
        <v>運搬費</v>
      </c>
      <c r="D105" s="36" t="str">
        <f>REPT("｜",$A105)&amp;TRIM(データ!E102)</f>
        <v>｜｜｜1tダンプ</v>
      </c>
      <c r="E105" s="37" t="str">
        <f>TRIM(データ!F102)</f>
        <v/>
      </c>
      <c r="F105" s="38" t="str">
        <f>TRIM(データ!G102)</f>
        <v>/月</v>
      </c>
      <c r="G105" s="50">
        <f>データ!H102</f>
        <v>1</v>
      </c>
      <c r="H105" s="48">
        <f>データ!I102</f>
        <v>80000</v>
      </c>
      <c r="I105" s="48">
        <f>データ!J102</f>
        <v>80000</v>
      </c>
      <c r="J105" s="39" t="str">
        <f>IF(OR($C105="総括",$C105="内訳書",$C105="内訳代価",$C105="明細書",$C105="明細代価",$C105="代価表",$C105="単価表"),データ!K102,"")</f>
        <v/>
      </c>
      <c r="K105" s="11" t="str">
        <f t="shared" si="6"/>
        <v/>
      </c>
      <c r="L105" s="46">
        <f t="shared" si="7"/>
        <v>3.397027600849257E-3</v>
      </c>
      <c r="M105" s="40" t="str">
        <f>IF(データ!L102="","",データ!L102)</f>
        <v/>
      </c>
      <c r="N105" s="41" t="str">
        <f>IF(データ!M102="","",データ!M102)</f>
        <v/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 t="str">
        <f>IF(OR($C105="総括",$C105="内訳書",$C105="内訳代価",$C105="明細書",$C105="明細代価",$C105="代価表",$C105="単価表"),データ!Q102,"")</f>
        <v/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 t="str">
        <f>IF(OR($C105="総括",$C105="内訳書",$C105="内訳代価",$C105="明細書",$C105="明細代価",$C105="代価表",$C105="単価表"),データ!W102,"")</f>
        <v/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>u20718025</v>
      </c>
      <c r="AF105" s="43" t="str">
        <f>TRIM(データ!Z102)</f>
        <v/>
      </c>
    </row>
    <row r="106" spans="1:32" x14ac:dyDescent="0.15">
      <c r="A106" s="47">
        <f>データ!A103</f>
        <v>3</v>
      </c>
      <c r="B106" s="47" t="str">
        <f>TRIM(データ!C103)</f>
        <v/>
      </c>
      <c r="C106" s="47" t="str">
        <f>TRIM(データ!D103)</f>
        <v>運搬費</v>
      </c>
      <c r="D106" s="36" t="str">
        <f>REPT("｜",$A106)&amp;TRIM(データ!E103)</f>
        <v>｜｜｜WP</v>
      </c>
      <c r="E106" s="37" t="str">
        <f>TRIM(データ!F103)</f>
        <v/>
      </c>
      <c r="F106" s="38" t="str">
        <f>TRIM(データ!G103)</f>
        <v>台</v>
      </c>
      <c r="G106" s="50">
        <f>データ!H103</f>
        <v>6</v>
      </c>
      <c r="H106" s="48">
        <f>データ!I103</f>
        <v>5000</v>
      </c>
      <c r="I106" s="48">
        <f>データ!J103</f>
        <v>30000</v>
      </c>
      <c r="J106" s="39" t="str">
        <f>IF(OR($C106="総括",$C106="内訳書",$C106="内訳代価",$C106="明細書",$C106="明細代価",$C106="代価表",$C106="単価表"),データ!K103,"")</f>
        <v/>
      </c>
      <c r="K106" s="11" t="str">
        <f t="shared" si="6"/>
        <v/>
      </c>
      <c r="L106" s="46">
        <f t="shared" si="7"/>
        <v>1.2738853503184713E-3</v>
      </c>
      <c r="M106" s="40" t="str">
        <f>IF(データ!L103="","",データ!L103)</f>
        <v/>
      </c>
      <c r="N106" s="41" t="str">
        <f>IF(データ!M103="","",データ!M103)</f>
        <v/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 t="str">
        <f>IF(OR($C106="総括",$C106="内訳書",$C106="内訳代価",$C106="明細書",$C106="明細代価",$C106="代価表",$C106="単価表"),データ!Q103,"")</f>
        <v/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 t="str">
        <f>IF(OR($C106="総括",$C106="内訳書",$C106="内訳代価",$C106="明細書",$C106="明細代価",$C106="代価表",$C106="単価表"),データ!W103,"")</f>
        <v/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>u20718008</v>
      </c>
      <c r="AF106" s="43" t="str">
        <f>TRIM(データ!Z103)</f>
        <v/>
      </c>
    </row>
    <row r="107" spans="1:32" x14ac:dyDescent="0.15">
      <c r="A107" s="47">
        <f>データ!A104</f>
        <v>3</v>
      </c>
      <c r="B107" s="47" t="str">
        <f>TRIM(データ!C104)</f>
        <v/>
      </c>
      <c r="C107" s="47" t="str">
        <f>TRIM(データ!D104)</f>
        <v>運搬費</v>
      </c>
      <c r="D107" s="36" t="str">
        <f>REPT("｜",$A107)&amp;TRIM(データ!E104)</f>
        <v>｜｜｜2tダンプ</v>
      </c>
      <c r="E107" s="37" t="str">
        <f>TRIM(データ!F104)</f>
        <v/>
      </c>
      <c r="F107" s="38" t="str">
        <f>TRIM(データ!G104)</f>
        <v>台</v>
      </c>
      <c r="G107" s="50">
        <f>データ!H104</f>
        <v>1</v>
      </c>
      <c r="H107" s="48">
        <f>データ!I104</f>
        <v>7000</v>
      </c>
      <c r="I107" s="48">
        <f>データ!J104</f>
        <v>7000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2.9723991507430998E-4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>u20718025</v>
      </c>
      <c r="AF107" s="43" t="str">
        <f>TRIM(データ!Z104)</f>
        <v/>
      </c>
    </row>
    <row r="108" spans="1:32" x14ac:dyDescent="0.15">
      <c r="A108" s="47">
        <f>データ!A105</f>
        <v>2</v>
      </c>
      <c r="B108" s="47" t="str">
        <f>TRIM(データ!C105)</f>
        <v/>
      </c>
      <c r="C108" s="47" t="str">
        <f>TRIM(データ!D105)</f>
        <v>内訳代価</v>
      </c>
      <c r="D108" s="36" t="str">
        <f>REPT("｜",$A108)&amp;TRIM(データ!E105)</f>
        <v>｜｜殻運搬処分費</v>
      </c>
      <c r="E108" s="37" t="str">
        <f>TRIM(データ!F105)</f>
        <v>中央分離帯工</v>
      </c>
      <c r="F108" s="38" t="str">
        <f>TRIM(データ!G105)</f>
        <v>式</v>
      </c>
      <c r="G108" s="50">
        <f>データ!H105</f>
        <v>1</v>
      </c>
      <c r="H108" s="48">
        <f>データ!I105</f>
        <v>390000</v>
      </c>
      <c r="I108" s="48">
        <f>データ!J105</f>
        <v>390000</v>
      </c>
      <c r="J108" s="39">
        <f>IF(OR($C108="総括",$C108="内訳書",$C108="内訳代価",$C108="明細書",$C108="明細代価",$C108="代価表",$C108="単価表"),データ!K105,"")</f>
        <v>1</v>
      </c>
      <c r="K108" s="11" t="str">
        <f t="shared" si="6"/>
        <v/>
      </c>
      <c r="L108" s="46">
        <f t="shared" si="7"/>
        <v>1.6560509554140127E-2</v>
      </c>
      <c r="M108" s="40" t="str">
        <f>IF(データ!L105="","",データ!L105)</f>
        <v/>
      </c>
      <c r="N108" s="41" t="str">
        <f>IF(データ!M105="","",データ!M105)</f>
        <v>39号内訳書</v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>
        <f>IF(OR($C108="総括",$C108="内訳書",$C108="内訳代価",$C108="明細書",$C108="明細代価",$C108="代価表",$C108="単価表"),データ!Q105,"")</f>
        <v>0</v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>
        <f>IF(OR($C108="総括",$C108="内訳書",$C108="内訳代価",$C108="明細書",$C108="明細代価",$C108="代価表",$C108="単価表"),データ!W105,"")</f>
        <v>0</v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/>
      </c>
      <c r="AF108" s="43" t="str">
        <f>TRIM(データ!Z105)</f>
        <v/>
      </c>
    </row>
    <row r="109" spans="1:32" x14ac:dyDescent="0.15">
      <c r="A109" s="47">
        <f>データ!A106</f>
        <v>3</v>
      </c>
      <c r="B109" s="47" t="str">
        <f>TRIM(データ!C106)</f>
        <v/>
      </c>
      <c r="C109" s="47" t="str">
        <f>TRIM(データ!D106)</f>
        <v>運搬費</v>
      </c>
      <c r="D109" s="36" t="str">
        <f>REPT("｜",$A109)&amp;TRIM(データ!E106)</f>
        <v>｜｜｜ダンプトラック常用8t</v>
      </c>
      <c r="E109" s="37" t="str">
        <f>TRIM(データ!F106)</f>
        <v>オペ燃料付き</v>
      </c>
      <c r="F109" s="38" t="str">
        <f>TRIM(データ!G106)</f>
        <v>台</v>
      </c>
      <c r="G109" s="50">
        <f>データ!H106</f>
        <v>6</v>
      </c>
      <c r="H109" s="48">
        <f>データ!I106</f>
        <v>40000</v>
      </c>
      <c r="I109" s="48">
        <f>データ!J106</f>
        <v>240000</v>
      </c>
      <c r="J109" s="39" t="str">
        <f>IF(OR($C109="総括",$C109="内訳書",$C109="内訳代価",$C109="明細書",$C109="明細代価",$C109="代価表",$C109="単価表"),データ!K106,"")</f>
        <v/>
      </c>
      <c r="K109" s="11" t="str">
        <f t="shared" si="6"/>
        <v/>
      </c>
      <c r="L109" s="46">
        <f t="shared" si="7"/>
        <v>1.019108280254777E-2</v>
      </c>
      <c r="M109" s="40" t="str">
        <f>IF(データ!L106="","",データ!L106)</f>
        <v/>
      </c>
      <c r="N109" s="41" t="str">
        <f>IF(データ!M106="","",データ!M106)</f>
        <v/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 t="str">
        <f>IF(OR($C109="総括",$C109="内訳書",$C109="内訳代価",$C109="明細書",$C109="明細代価",$C109="代価表",$C109="単価表"),データ!Q106,"")</f>
        <v/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 t="str">
        <f>IF(OR($C109="総括",$C109="内訳書",$C109="内訳代価",$C109="明細書",$C109="明細代価",$C109="代価表",$C109="単価表"),データ!W106,"")</f>
        <v/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>u20718005</v>
      </c>
      <c r="AF109" s="43" t="str">
        <f>TRIM(データ!Z106)</f>
        <v/>
      </c>
    </row>
    <row r="110" spans="1:32" x14ac:dyDescent="0.15">
      <c r="A110" s="47">
        <f>データ!A107</f>
        <v>3</v>
      </c>
      <c r="B110" s="47" t="str">
        <f>TRIM(データ!C107)</f>
        <v/>
      </c>
      <c r="C110" s="47" t="str">
        <f>TRIM(データ!D107)</f>
        <v>運搬費</v>
      </c>
      <c r="D110" s="36" t="str">
        <f>REPT("｜",$A110)&amp;TRIM(データ!E107)</f>
        <v>｜｜｜As塊運搬処分8t</v>
      </c>
      <c r="E110" s="37" t="str">
        <f>TRIM(データ!F107)</f>
        <v/>
      </c>
      <c r="F110" s="38" t="str">
        <f>TRIM(データ!G107)</f>
        <v>台</v>
      </c>
      <c r="G110" s="50">
        <f>データ!H107</f>
        <v>1</v>
      </c>
      <c r="H110" s="48">
        <f>データ!I107</f>
        <v>16000</v>
      </c>
      <c r="I110" s="48">
        <f>データ!J107</f>
        <v>16000</v>
      </c>
      <c r="J110" s="39" t="str">
        <f>IF(OR($C110="総括",$C110="内訳書",$C110="内訳代価",$C110="明細書",$C110="明細代価",$C110="代価表",$C110="単価表"),データ!K107,"")</f>
        <v/>
      </c>
      <c r="K110" s="11" t="str">
        <f t="shared" si="6"/>
        <v/>
      </c>
      <c r="L110" s="46">
        <f t="shared" si="7"/>
        <v>6.7940552016985142E-4</v>
      </c>
      <c r="M110" s="40" t="str">
        <f>IF(データ!L107="","",データ!L107)</f>
        <v/>
      </c>
      <c r="N110" s="41" t="str">
        <f>IF(データ!M107="","",データ!M107)</f>
        <v/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 t="str">
        <f>IF(OR($C110="総括",$C110="内訳書",$C110="内訳代価",$C110="明細書",$C110="明細代価",$C110="代価表",$C110="単価表"),データ!Q107,"")</f>
        <v/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 t="str">
        <f>IF(OR($C110="総括",$C110="内訳書",$C110="内訳代価",$C110="明細書",$C110="明細代価",$C110="代価表",$C110="単価表"),データ!W107,"")</f>
        <v/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>u20718040</v>
      </c>
      <c r="AF110" s="43" t="str">
        <f>TRIM(データ!Z107)</f>
        <v/>
      </c>
    </row>
    <row r="111" spans="1:32" x14ac:dyDescent="0.15">
      <c r="A111" s="47">
        <f>データ!A108</f>
        <v>3</v>
      </c>
      <c r="B111" s="47" t="str">
        <f>TRIM(データ!C108)</f>
        <v/>
      </c>
      <c r="C111" s="47" t="str">
        <f>TRIM(データ!D108)</f>
        <v>運搬費</v>
      </c>
      <c r="D111" s="36" t="str">
        <f>REPT("｜",$A111)&amp;TRIM(データ!E108)</f>
        <v>｜｜｜As塊処分</v>
      </c>
      <c r="E111" s="37" t="str">
        <f>TRIM(データ!F108)</f>
        <v/>
      </c>
      <c r="F111" s="38" t="str">
        <f>TRIM(データ!G108)</f>
        <v>t</v>
      </c>
      <c r="G111" s="50">
        <f>データ!H108</f>
        <v>20</v>
      </c>
      <c r="H111" s="48">
        <f>データ!I108</f>
        <v>300</v>
      </c>
      <c r="I111" s="48">
        <f>データ!J108</f>
        <v>6000</v>
      </c>
      <c r="J111" s="39" t="str">
        <f>IF(OR($C111="総括",$C111="内訳書",$C111="内訳代価",$C111="明細書",$C111="明細代価",$C111="代価表",$C111="単価表"),データ!K108,"")</f>
        <v/>
      </c>
      <c r="K111" s="11" t="str">
        <f t="shared" si="6"/>
        <v/>
      </c>
      <c r="L111" s="46">
        <f t="shared" si="7"/>
        <v>2.5477707006369424E-4</v>
      </c>
      <c r="M111" s="40" t="str">
        <f>IF(データ!L108="","",データ!L108)</f>
        <v/>
      </c>
      <c r="N111" s="41" t="str">
        <f>IF(データ!M108="","",データ!M108)</f>
        <v/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 t="str">
        <f>IF(OR($C111="総括",$C111="内訳書",$C111="内訳代価",$C111="明細書",$C111="明細代価",$C111="代価表",$C111="単価表"),データ!Q108,"")</f>
        <v/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 t="str">
        <f>IF(OR($C111="総括",$C111="内訳書",$C111="内訳代価",$C111="明細書",$C111="明細代価",$C111="代価表",$C111="単価表"),データ!W108,"")</f>
        <v/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>u20718037</v>
      </c>
      <c r="AF111" s="43" t="str">
        <f>TRIM(データ!Z108)</f>
        <v/>
      </c>
    </row>
    <row r="112" spans="1:32" x14ac:dyDescent="0.15">
      <c r="A112" s="47">
        <f>データ!A109</f>
        <v>3</v>
      </c>
      <c r="B112" s="47" t="str">
        <f>TRIM(データ!C109)</f>
        <v/>
      </c>
      <c r="C112" s="47" t="str">
        <f>TRIM(データ!D109)</f>
        <v>運搬費</v>
      </c>
      <c r="D112" s="36" t="str">
        <f>REPT("｜",$A112)&amp;TRIM(データ!E109)</f>
        <v>｜｜｜Co塊処分　無筋</v>
      </c>
      <c r="E112" s="37" t="str">
        <f>TRIM(データ!F109)</f>
        <v/>
      </c>
      <c r="F112" s="38" t="str">
        <f>TRIM(データ!G109)</f>
        <v>t</v>
      </c>
      <c r="G112" s="50">
        <f>データ!H109</f>
        <v>49</v>
      </c>
      <c r="H112" s="48">
        <f>データ!I109</f>
        <v>2000</v>
      </c>
      <c r="I112" s="48">
        <f>データ!J109</f>
        <v>98000</v>
      </c>
      <c r="J112" s="39" t="str">
        <f>IF(OR($C112="総括",$C112="内訳書",$C112="内訳代価",$C112="明細書",$C112="明細代価",$C112="代価表",$C112="単価表"),データ!K109,"")</f>
        <v/>
      </c>
      <c r="K112" s="11" t="str">
        <f t="shared" si="6"/>
        <v/>
      </c>
      <c r="L112" s="46">
        <f t="shared" si="7"/>
        <v>4.1613588110403395E-3</v>
      </c>
      <c r="M112" s="40" t="str">
        <f>IF(データ!L109="","",データ!L109)</f>
        <v/>
      </c>
      <c r="N112" s="41" t="str">
        <f>IF(データ!M109="","",データ!M109)</f>
        <v/>
      </c>
      <c r="O112" s="42">
        <f>データ!N109</f>
        <v>0</v>
      </c>
      <c r="P112" s="48">
        <f>IF($C112="集計行","",データ!O109)</f>
        <v>0</v>
      </c>
      <c r="Q112" s="48">
        <f>データ!P109</f>
        <v>0</v>
      </c>
      <c r="R112" s="39" t="str">
        <f>IF(OR($C112="総括",$C112="内訳書",$C112="内訳代価",$C112="明細書",$C112="明細代価",$C112="代価表",$C112="単価表"),データ!Q109,"")</f>
        <v/>
      </c>
      <c r="S112" s="11" t="str">
        <f t="shared" si="8"/>
        <v/>
      </c>
      <c r="T112" s="46" t="e">
        <f t="shared" si="9"/>
        <v>#DIV/0!</v>
      </c>
      <c r="U112" s="40" t="str">
        <f>IF(データ!R109="","",データ!R109)</f>
        <v/>
      </c>
      <c r="V112" s="41" t="str">
        <f>IF(データ!S109="","",データ!S109)</f>
        <v/>
      </c>
      <c r="W112" s="42">
        <f>データ!T109</f>
        <v>0</v>
      </c>
      <c r="X112" s="48">
        <f>IF($C112="集計行","",データ!U109)</f>
        <v>0</v>
      </c>
      <c r="Y112" s="48">
        <f>データ!V109</f>
        <v>0</v>
      </c>
      <c r="Z112" s="39" t="str">
        <f>IF(OR($C112="総括",$C112="内訳書",$C112="内訳代価",$C112="明細書",$C112="明細代価",$C112="代価表",$C112="単価表"),データ!W109,"")</f>
        <v/>
      </c>
      <c r="AA112" s="11" t="str">
        <f t="shared" si="10"/>
        <v/>
      </c>
      <c r="AB112" s="46" t="e">
        <f t="shared" si="11"/>
        <v>#DIV/0!</v>
      </c>
      <c r="AC112" s="40" t="str">
        <f>IF(データ!X109="","",データ!X109)</f>
        <v/>
      </c>
      <c r="AD112" s="41" t="str">
        <f>IF(データ!Y109="","",データ!Y109)</f>
        <v/>
      </c>
      <c r="AE112" s="47" t="str">
        <f>TRIM(データ!B109)</f>
        <v>u20718041</v>
      </c>
      <c r="AF112" s="43" t="str">
        <f>TRIM(データ!Z109)</f>
        <v/>
      </c>
    </row>
    <row r="113" spans="1:32" x14ac:dyDescent="0.15">
      <c r="A113" s="47">
        <f>データ!A110</f>
        <v>3</v>
      </c>
      <c r="B113" s="47" t="str">
        <f>TRIM(データ!C110)</f>
        <v/>
      </c>
      <c r="C113" s="47" t="str">
        <f>TRIM(データ!D110)</f>
        <v>運搬費</v>
      </c>
      <c r="D113" s="36" t="str">
        <f>REPT("｜",$A113)&amp;TRIM(データ!E110)</f>
        <v>｜｜｜路盤廃材</v>
      </c>
      <c r="E113" s="37" t="str">
        <f>TRIM(データ!F110)</f>
        <v/>
      </c>
      <c r="F113" s="38" t="str">
        <f>TRIM(データ!G110)</f>
        <v>ｔ</v>
      </c>
      <c r="G113" s="50">
        <f>データ!H110</f>
        <v>20</v>
      </c>
      <c r="H113" s="48">
        <f>データ!I110</f>
        <v>1500</v>
      </c>
      <c r="I113" s="48">
        <f>データ!J110</f>
        <v>30000</v>
      </c>
      <c r="J113" s="39" t="str">
        <f>IF(OR($C113="総括",$C113="内訳書",$C113="内訳代価",$C113="明細書",$C113="明細代価",$C113="代価表",$C113="単価表"),データ!K110,"")</f>
        <v/>
      </c>
      <c r="K113" s="11" t="str">
        <f t="shared" si="6"/>
        <v/>
      </c>
      <c r="L113" s="46">
        <f t="shared" si="7"/>
        <v>1.2738853503184713E-3</v>
      </c>
      <c r="M113" s="40" t="str">
        <f>IF(データ!L110="","",データ!L110)</f>
        <v/>
      </c>
      <c r="N113" s="41" t="str">
        <f>IF(データ!M110="","",データ!M110)</f>
        <v/>
      </c>
      <c r="O113" s="42">
        <f>データ!N110</f>
        <v>0</v>
      </c>
      <c r="P113" s="48">
        <f>IF($C113="集計行","",データ!O110)</f>
        <v>0</v>
      </c>
      <c r="Q113" s="48">
        <f>データ!P110</f>
        <v>0</v>
      </c>
      <c r="R113" s="39" t="str">
        <f>IF(OR($C113="総括",$C113="内訳書",$C113="内訳代価",$C113="明細書",$C113="明細代価",$C113="代価表",$C113="単価表"),データ!Q110,"")</f>
        <v/>
      </c>
      <c r="S113" s="11" t="str">
        <f t="shared" si="8"/>
        <v/>
      </c>
      <c r="T113" s="46" t="e">
        <f t="shared" si="9"/>
        <v>#DIV/0!</v>
      </c>
      <c r="U113" s="40" t="str">
        <f>IF(データ!R110="","",データ!R110)</f>
        <v/>
      </c>
      <c r="V113" s="41" t="str">
        <f>IF(データ!S110="","",データ!S110)</f>
        <v/>
      </c>
      <c r="W113" s="42">
        <f>データ!T110</f>
        <v>0</v>
      </c>
      <c r="X113" s="48">
        <f>IF($C113="集計行","",データ!U110)</f>
        <v>0</v>
      </c>
      <c r="Y113" s="48">
        <f>データ!V110</f>
        <v>0</v>
      </c>
      <c r="Z113" s="39" t="str">
        <f>IF(OR($C113="総括",$C113="内訳書",$C113="内訳代価",$C113="明細書",$C113="明細代価",$C113="代価表",$C113="単価表"),データ!W110,"")</f>
        <v/>
      </c>
      <c r="AA113" s="11" t="str">
        <f t="shared" si="10"/>
        <v/>
      </c>
      <c r="AB113" s="46" t="e">
        <f t="shared" si="11"/>
        <v>#DIV/0!</v>
      </c>
      <c r="AC113" s="40" t="str">
        <f>IF(データ!X110="","",データ!X110)</f>
        <v/>
      </c>
      <c r="AD113" s="41" t="str">
        <f>IF(データ!Y110="","",データ!Y110)</f>
        <v/>
      </c>
      <c r="AE113" s="47" t="str">
        <f>TRIM(データ!B110)</f>
        <v/>
      </c>
      <c r="AF113" s="43" t="str">
        <f>TRIM(データ!Z110)</f>
        <v/>
      </c>
    </row>
    <row r="114" spans="1:32" x14ac:dyDescent="0.15">
      <c r="A114" s="47">
        <f>データ!A111</f>
        <v>2</v>
      </c>
      <c r="B114" s="47" t="str">
        <f>TRIM(データ!C111)</f>
        <v/>
      </c>
      <c r="C114" s="47" t="str">
        <f>TRIM(データ!D111)</f>
        <v>内訳代価</v>
      </c>
      <c r="D114" s="36" t="str">
        <f>REPT("｜",$A114)&amp;TRIM(データ!E111)</f>
        <v>｜｜重機運搬費</v>
      </c>
      <c r="E114" s="37" t="str">
        <f>TRIM(データ!F111)</f>
        <v>中央分離帯工</v>
      </c>
      <c r="F114" s="38" t="str">
        <f>TRIM(データ!G111)</f>
        <v>式</v>
      </c>
      <c r="G114" s="50">
        <f>データ!H111</f>
        <v>1</v>
      </c>
      <c r="H114" s="48">
        <f>データ!I111</f>
        <v>240000</v>
      </c>
      <c r="I114" s="48">
        <f>データ!J111</f>
        <v>240000</v>
      </c>
      <c r="J114" s="39">
        <f>IF(OR($C114="総括",$C114="内訳書",$C114="内訳代価",$C114="明細書",$C114="明細代価",$C114="代価表",$C114="単価表"),データ!K111,"")</f>
        <v>1</v>
      </c>
      <c r="K114" s="11" t="str">
        <f t="shared" si="6"/>
        <v/>
      </c>
      <c r="L114" s="46">
        <f t="shared" si="7"/>
        <v>1.019108280254777E-2</v>
      </c>
      <c r="M114" s="40" t="str">
        <f>IF(データ!L111="","",データ!L111)</f>
        <v/>
      </c>
      <c r="N114" s="41" t="str">
        <f>IF(データ!M111="","",データ!M111)</f>
        <v>40号内訳書</v>
      </c>
      <c r="O114" s="42">
        <f>データ!N111</f>
        <v>0</v>
      </c>
      <c r="P114" s="48">
        <f>IF($C114="集計行","",データ!O111)</f>
        <v>0</v>
      </c>
      <c r="Q114" s="48">
        <f>データ!P111</f>
        <v>0</v>
      </c>
      <c r="R114" s="39">
        <f>IF(OR($C114="総括",$C114="内訳書",$C114="内訳代価",$C114="明細書",$C114="明細代価",$C114="代価表",$C114="単価表"),データ!Q111,"")</f>
        <v>0</v>
      </c>
      <c r="S114" s="11" t="str">
        <f t="shared" si="8"/>
        <v/>
      </c>
      <c r="T114" s="46" t="e">
        <f t="shared" si="9"/>
        <v>#DIV/0!</v>
      </c>
      <c r="U114" s="40" t="str">
        <f>IF(データ!R111="","",データ!R111)</f>
        <v/>
      </c>
      <c r="V114" s="41" t="str">
        <f>IF(データ!S111="","",データ!S111)</f>
        <v/>
      </c>
      <c r="W114" s="42">
        <f>データ!T111</f>
        <v>0</v>
      </c>
      <c r="X114" s="48">
        <f>IF($C114="集計行","",データ!U111)</f>
        <v>0</v>
      </c>
      <c r="Y114" s="48">
        <f>データ!V111</f>
        <v>0</v>
      </c>
      <c r="Z114" s="39">
        <f>IF(OR($C114="総括",$C114="内訳書",$C114="内訳代価",$C114="明細書",$C114="明細代価",$C114="代価表",$C114="単価表"),データ!W111,"")</f>
        <v>0</v>
      </c>
      <c r="AA114" s="11" t="str">
        <f t="shared" si="10"/>
        <v/>
      </c>
      <c r="AB114" s="46" t="e">
        <f t="shared" si="11"/>
        <v>#DIV/0!</v>
      </c>
      <c r="AC114" s="40" t="str">
        <f>IF(データ!X111="","",データ!X111)</f>
        <v/>
      </c>
      <c r="AD114" s="41" t="str">
        <f>IF(データ!Y111="","",データ!Y111)</f>
        <v/>
      </c>
      <c r="AE114" s="47" t="str">
        <f>TRIM(データ!B111)</f>
        <v/>
      </c>
      <c r="AF114" s="43" t="str">
        <f>TRIM(データ!Z111)</f>
        <v/>
      </c>
    </row>
    <row r="115" spans="1:32" x14ac:dyDescent="0.15">
      <c r="A115" s="47">
        <f>データ!A112</f>
        <v>3</v>
      </c>
      <c r="B115" s="47" t="str">
        <f>TRIM(データ!C112)</f>
        <v/>
      </c>
      <c r="C115" s="47" t="str">
        <f>TRIM(データ!D112)</f>
        <v>運搬費</v>
      </c>
      <c r="D115" s="36" t="str">
        <f>REPT("｜",$A115)&amp;TRIM(データ!E112)</f>
        <v>｜｜｜回送　大型セルフ</v>
      </c>
      <c r="E115" s="37" t="str">
        <f>TRIM(データ!F112)</f>
        <v>日々回送</v>
      </c>
      <c r="F115" s="38" t="str">
        <f>TRIM(データ!G112)</f>
        <v>回</v>
      </c>
      <c r="G115" s="50">
        <f>データ!H112</f>
        <v>4</v>
      </c>
      <c r="H115" s="48">
        <f>データ!I112</f>
        <v>25000</v>
      </c>
      <c r="I115" s="48">
        <f>データ!J112</f>
        <v>100000</v>
      </c>
      <c r="J115" s="39" t="str">
        <f>IF(OR($C115="総括",$C115="内訳書",$C115="内訳代価",$C115="明細書",$C115="明細代価",$C115="代価表",$C115="単価表"),データ!K112,"")</f>
        <v/>
      </c>
      <c r="K115" s="11" t="str">
        <f t="shared" si="6"/>
        <v/>
      </c>
      <c r="L115" s="46">
        <f t="shared" si="7"/>
        <v>4.246284501061571E-3</v>
      </c>
      <c r="M115" s="40" t="str">
        <f>IF(データ!L112="","",データ!L112)</f>
        <v/>
      </c>
      <c r="N115" s="41" t="str">
        <f>IF(データ!M112="","",データ!M112)</f>
        <v/>
      </c>
      <c r="O115" s="42">
        <f>データ!N112</f>
        <v>0</v>
      </c>
      <c r="P115" s="48">
        <f>IF($C115="集計行","",データ!O112)</f>
        <v>0</v>
      </c>
      <c r="Q115" s="48">
        <f>データ!P112</f>
        <v>0</v>
      </c>
      <c r="R115" s="39" t="str">
        <f>IF(OR($C115="総括",$C115="内訳書",$C115="内訳代価",$C115="明細書",$C115="明細代価",$C115="代価表",$C115="単価表"),データ!Q112,"")</f>
        <v/>
      </c>
      <c r="S115" s="11" t="str">
        <f t="shared" si="8"/>
        <v/>
      </c>
      <c r="T115" s="46" t="e">
        <f t="shared" si="9"/>
        <v>#DIV/0!</v>
      </c>
      <c r="U115" s="40" t="str">
        <f>IF(データ!R112="","",データ!R112)</f>
        <v/>
      </c>
      <c r="V115" s="41" t="str">
        <f>IF(データ!S112="","",データ!S112)</f>
        <v/>
      </c>
      <c r="W115" s="42">
        <f>データ!T112</f>
        <v>0</v>
      </c>
      <c r="X115" s="48">
        <f>IF($C115="集計行","",データ!U112)</f>
        <v>0</v>
      </c>
      <c r="Y115" s="48">
        <f>データ!V112</f>
        <v>0</v>
      </c>
      <c r="Z115" s="39" t="str">
        <f>IF(OR($C115="総括",$C115="内訳書",$C115="内訳代価",$C115="明細書",$C115="明細代価",$C115="代価表",$C115="単価表"),データ!W112,"")</f>
        <v/>
      </c>
      <c r="AA115" s="11" t="str">
        <f t="shared" si="10"/>
        <v/>
      </c>
      <c r="AB115" s="46" t="e">
        <f t="shared" si="11"/>
        <v>#DIV/0!</v>
      </c>
      <c r="AC115" s="40" t="str">
        <f>IF(データ!X112="","",データ!X112)</f>
        <v/>
      </c>
      <c r="AD115" s="41" t="str">
        <f>IF(データ!Y112="","",データ!Y112)</f>
        <v/>
      </c>
      <c r="AE115" s="47" t="str">
        <f>TRIM(データ!B112)</f>
        <v>u20718012</v>
      </c>
      <c r="AF115" s="43" t="str">
        <f>TRIM(データ!Z112)</f>
        <v/>
      </c>
    </row>
    <row r="116" spans="1:32" x14ac:dyDescent="0.15">
      <c r="A116" s="47">
        <f>データ!A113</f>
        <v>3</v>
      </c>
      <c r="B116" s="47" t="str">
        <f>TRIM(データ!C113)</f>
        <v/>
      </c>
      <c r="C116" s="47" t="str">
        <f>TRIM(データ!D113)</f>
        <v>運搬費</v>
      </c>
      <c r="D116" s="36" t="str">
        <f>REPT("｜",$A116)&amp;TRIM(データ!E113)</f>
        <v>｜｜｜回送　4tセルフ</v>
      </c>
      <c r="E116" s="37" t="str">
        <f>TRIM(データ!F113)</f>
        <v/>
      </c>
      <c r="F116" s="38" t="str">
        <f>TRIM(データ!G113)</f>
        <v>回</v>
      </c>
      <c r="G116" s="50">
        <f>データ!H113</f>
        <v>7</v>
      </c>
      <c r="H116" s="48">
        <f>データ!I113</f>
        <v>20000</v>
      </c>
      <c r="I116" s="48">
        <f>データ!J113</f>
        <v>140000</v>
      </c>
      <c r="J116" s="39" t="str">
        <f>IF(OR($C116="総括",$C116="内訳書",$C116="内訳代価",$C116="明細書",$C116="明細代価",$C116="代価表",$C116="単価表"),データ!K113,"")</f>
        <v/>
      </c>
      <c r="K116" s="11" t="str">
        <f t="shared" si="6"/>
        <v/>
      </c>
      <c r="L116" s="46">
        <f t="shared" si="7"/>
        <v>5.9447983014862E-3</v>
      </c>
      <c r="M116" s="40" t="str">
        <f>IF(データ!L113="","",データ!L113)</f>
        <v/>
      </c>
      <c r="N116" s="41" t="str">
        <f>IF(データ!M113="","",データ!M113)</f>
        <v/>
      </c>
      <c r="O116" s="42">
        <f>データ!N113</f>
        <v>0</v>
      </c>
      <c r="P116" s="48">
        <f>IF($C116="集計行","",データ!O113)</f>
        <v>0</v>
      </c>
      <c r="Q116" s="48">
        <f>データ!P113</f>
        <v>0</v>
      </c>
      <c r="R116" s="39" t="str">
        <f>IF(OR($C116="総括",$C116="内訳書",$C116="内訳代価",$C116="明細書",$C116="明細代価",$C116="代価表",$C116="単価表"),データ!Q113,"")</f>
        <v/>
      </c>
      <c r="S116" s="11" t="str">
        <f t="shared" si="8"/>
        <v/>
      </c>
      <c r="T116" s="46" t="e">
        <f t="shared" si="9"/>
        <v>#DIV/0!</v>
      </c>
      <c r="U116" s="40" t="str">
        <f>IF(データ!R113="","",データ!R113)</f>
        <v/>
      </c>
      <c r="V116" s="41" t="str">
        <f>IF(データ!S113="","",データ!S113)</f>
        <v/>
      </c>
      <c r="W116" s="42">
        <f>データ!T113</f>
        <v>0</v>
      </c>
      <c r="X116" s="48">
        <f>IF($C116="集計行","",データ!U113)</f>
        <v>0</v>
      </c>
      <c r="Y116" s="48">
        <f>データ!V113</f>
        <v>0</v>
      </c>
      <c r="Z116" s="39" t="str">
        <f>IF(OR($C116="総括",$C116="内訳書",$C116="内訳代価",$C116="明細書",$C116="明細代価",$C116="代価表",$C116="単価表"),データ!W113,"")</f>
        <v/>
      </c>
      <c r="AA116" s="11" t="str">
        <f t="shared" si="10"/>
        <v/>
      </c>
      <c r="AB116" s="46" t="e">
        <f t="shared" si="11"/>
        <v>#DIV/0!</v>
      </c>
      <c r="AC116" s="40" t="str">
        <f>IF(データ!X113="","",データ!X113)</f>
        <v/>
      </c>
      <c r="AD116" s="41" t="str">
        <f>IF(データ!Y113="","",データ!Y113)</f>
        <v/>
      </c>
      <c r="AE116" s="47" t="str">
        <f>TRIM(データ!B113)</f>
        <v>u20718011</v>
      </c>
      <c r="AF116" s="43" t="str">
        <f>TRIM(データ!Z113)</f>
        <v/>
      </c>
    </row>
    <row r="117" spans="1:32" x14ac:dyDescent="0.15">
      <c r="A117" s="47">
        <f>データ!A114</f>
        <v>1</v>
      </c>
      <c r="B117" s="47" t="str">
        <f>TRIM(データ!C114)</f>
        <v/>
      </c>
      <c r="C117" s="47" t="str">
        <f>TRIM(データ!D114)</f>
        <v>内訳代価</v>
      </c>
      <c r="D117" s="36" t="str">
        <f>REPT("｜",$A117)&amp;TRIM(データ!E114)</f>
        <v>｜千葉寺町73号線</v>
      </c>
      <c r="E117" s="37" t="str">
        <f>TRIM(データ!F114)</f>
        <v/>
      </c>
      <c r="F117" s="38" t="str">
        <f>TRIM(データ!G114)</f>
        <v>式</v>
      </c>
      <c r="G117" s="50">
        <f>データ!H114</f>
        <v>1</v>
      </c>
      <c r="H117" s="48">
        <f>データ!I114</f>
        <v>1617080</v>
      </c>
      <c r="I117" s="48">
        <f>データ!J114</f>
        <v>1617080</v>
      </c>
      <c r="J117" s="39">
        <f>IF(OR($C117="総括",$C117="内訳書",$C117="内訳代価",$C117="明細書",$C117="明細代価",$C117="代価表",$C117="単価表"),データ!K114,"")</f>
        <v>1</v>
      </c>
      <c r="K117" s="11" t="str">
        <f t="shared" si="6"/>
        <v/>
      </c>
      <c r="L117" s="46">
        <f t="shared" si="7"/>
        <v>6.8665817409766461E-2</v>
      </c>
      <c r="M117" s="40" t="str">
        <f>IF(データ!L114="","",データ!L114)</f>
        <v/>
      </c>
      <c r="N117" s="41" t="str">
        <f>IF(データ!M114="","",データ!M114)</f>
        <v>17号内訳書</v>
      </c>
      <c r="O117" s="42">
        <f>データ!N114</f>
        <v>0</v>
      </c>
      <c r="P117" s="48">
        <f>IF($C117="集計行","",データ!O114)</f>
        <v>0</v>
      </c>
      <c r="Q117" s="48">
        <f>データ!P114</f>
        <v>0</v>
      </c>
      <c r="R117" s="39">
        <f>IF(OR($C117="総括",$C117="内訳書",$C117="内訳代価",$C117="明細書",$C117="明細代価",$C117="代価表",$C117="単価表"),データ!Q114,"")</f>
        <v>0</v>
      </c>
      <c r="S117" s="11" t="str">
        <f t="shared" si="8"/>
        <v/>
      </c>
      <c r="T117" s="46" t="e">
        <f t="shared" si="9"/>
        <v>#DIV/0!</v>
      </c>
      <c r="U117" s="40" t="str">
        <f>IF(データ!R114="","",データ!R114)</f>
        <v/>
      </c>
      <c r="V117" s="41" t="str">
        <f>IF(データ!S114="","",データ!S114)</f>
        <v/>
      </c>
      <c r="W117" s="42">
        <f>データ!T114</f>
        <v>0</v>
      </c>
      <c r="X117" s="48">
        <f>IF($C117="集計行","",データ!U114)</f>
        <v>0</v>
      </c>
      <c r="Y117" s="48">
        <f>データ!V114</f>
        <v>0</v>
      </c>
      <c r="Z117" s="39">
        <f>IF(OR($C117="総括",$C117="内訳書",$C117="内訳代価",$C117="明細書",$C117="明細代価",$C117="代価表",$C117="単価表"),データ!W114,"")</f>
        <v>0</v>
      </c>
      <c r="AA117" s="11" t="str">
        <f t="shared" si="10"/>
        <v/>
      </c>
      <c r="AB117" s="46" t="e">
        <f t="shared" si="11"/>
        <v>#DIV/0!</v>
      </c>
      <c r="AC117" s="40" t="str">
        <f>IF(データ!X114="","",データ!X114)</f>
        <v/>
      </c>
      <c r="AD117" s="41" t="str">
        <f>IF(データ!Y114="","",データ!Y114)</f>
        <v/>
      </c>
      <c r="AE117" s="47" t="str">
        <f>TRIM(データ!B114)</f>
        <v/>
      </c>
      <c r="AF117" s="43" t="str">
        <f>TRIM(データ!Z114)</f>
        <v/>
      </c>
    </row>
    <row r="118" spans="1:32" x14ac:dyDescent="0.15">
      <c r="A118" s="47">
        <f>データ!A115</f>
        <v>2</v>
      </c>
      <c r="B118" s="47" t="str">
        <f>TRIM(データ!C115)</f>
        <v/>
      </c>
      <c r="C118" s="47" t="str">
        <f>TRIM(データ!D115)</f>
        <v>内訳代価</v>
      </c>
      <c r="D118" s="36" t="str">
        <f>REPT("｜",$A118)&amp;TRIM(データ!E115)</f>
        <v>｜｜舗装版切断工</v>
      </c>
      <c r="E118" s="37" t="str">
        <f>TRIM(データ!F115)</f>
        <v/>
      </c>
      <c r="F118" s="38" t="str">
        <f>TRIM(データ!G115)</f>
        <v>ｍ</v>
      </c>
      <c r="G118" s="50">
        <f>データ!H115</f>
        <v>8</v>
      </c>
      <c r="H118" s="48">
        <f>データ!I115</f>
        <v>8750</v>
      </c>
      <c r="I118" s="48">
        <f>データ!J115</f>
        <v>70000</v>
      </c>
      <c r="J118" s="39">
        <f>IF(OR($C118="総括",$C118="内訳書",$C118="内訳代価",$C118="明細書",$C118="明細代価",$C118="代価表",$C118="単価表"),データ!K115,"")</f>
        <v>8</v>
      </c>
      <c r="K118" s="11" t="str">
        <f t="shared" si="6"/>
        <v/>
      </c>
      <c r="L118" s="46">
        <f t="shared" si="7"/>
        <v>2.9723991507431E-3</v>
      </c>
      <c r="M118" s="40" t="str">
        <f>IF(データ!L115="","",データ!L115)</f>
        <v/>
      </c>
      <c r="N118" s="41" t="str">
        <f>IF(データ!M115="","",データ!M115)</f>
        <v>28号内訳書</v>
      </c>
      <c r="O118" s="42">
        <f>データ!N115</f>
        <v>0</v>
      </c>
      <c r="P118" s="48">
        <f>IF($C118="集計行","",データ!O115)</f>
        <v>0</v>
      </c>
      <c r="Q118" s="48">
        <f>データ!P115</f>
        <v>0</v>
      </c>
      <c r="R118" s="39">
        <f>IF(OR($C118="総括",$C118="内訳書",$C118="内訳代価",$C118="明細書",$C118="明細代価",$C118="代価表",$C118="単価表"),データ!Q115,"")</f>
        <v>0</v>
      </c>
      <c r="S118" s="11" t="str">
        <f t="shared" si="8"/>
        <v/>
      </c>
      <c r="T118" s="46" t="e">
        <f t="shared" si="9"/>
        <v>#DIV/0!</v>
      </c>
      <c r="U118" s="40" t="str">
        <f>IF(データ!R115="","",データ!R115)</f>
        <v/>
      </c>
      <c r="V118" s="41" t="str">
        <f>IF(データ!S115="","",データ!S115)</f>
        <v/>
      </c>
      <c r="W118" s="42">
        <f>データ!T115</f>
        <v>0</v>
      </c>
      <c r="X118" s="48">
        <f>IF($C118="集計行","",データ!U115)</f>
        <v>0</v>
      </c>
      <c r="Y118" s="48">
        <f>データ!V115</f>
        <v>0</v>
      </c>
      <c r="Z118" s="39">
        <f>IF(OR($C118="総括",$C118="内訳書",$C118="内訳代価",$C118="明細書",$C118="明細代価",$C118="代価表",$C118="単価表"),データ!W115,"")</f>
        <v>0</v>
      </c>
      <c r="AA118" s="11" t="str">
        <f t="shared" si="10"/>
        <v/>
      </c>
      <c r="AB118" s="46" t="e">
        <f t="shared" si="11"/>
        <v>#DIV/0!</v>
      </c>
      <c r="AC118" s="40" t="str">
        <f>IF(データ!X115="","",データ!X115)</f>
        <v/>
      </c>
      <c r="AD118" s="41" t="str">
        <f>IF(データ!Y115="","",データ!Y115)</f>
        <v/>
      </c>
      <c r="AE118" s="47" t="str">
        <f>TRIM(データ!B115)</f>
        <v/>
      </c>
      <c r="AF118" s="43" t="str">
        <f>TRIM(データ!Z115)</f>
        <v/>
      </c>
    </row>
    <row r="119" spans="1:32" x14ac:dyDescent="0.15">
      <c r="A119" s="47">
        <f>データ!A116</f>
        <v>3</v>
      </c>
      <c r="B119" s="47" t="str">
        <f>TRIM(データ!C116)</f>
        <v/>
      </c>
      <c r="C119" s="47" t="str">
        <f>TRIM(データ!D116)</f>
        <v>外注費</v>
      </c>
      <c r="D119" s="36" t="str">
        <f>REPT("｜",$A119)&amp;TRIM(データ!E116)</f>
        <v>｜｜｜舗装切断(最低)</v>
      </c>
      <c r="E119" s="37" t="str">
        <f>TRIM(データ!F116)</f>
        <v>最低補償</v>
      </c>
      <c r="F119" s="38" t="str">
        <f>TRIM(データ!G116)</f>
        <v>回</v>
      </c>
      <c r="G119" s="50">
        <f>データ!H116</f>
        <v>1</v>
      </c>
      <c r="H119" s="48">
        <f>データ!I116</f>
        <v>20000</v>
      </c>
      <c r="I119" s="48">
        <f>データ!J116</f>
        <v>20000</v>
      </c>
      <c r="J119" s="39" t="str">
        <f>IF(OR($C119="総括",$C119="内訳書",$C119="内訳代価",$C119="明細書",$C119="明細代価",$C119="代価表",$C119="単価表"),データ!K116,"")</f>
        <v/>
      </c>
      <c r="K119" s="11" t="str">
        <f t="shared" si="6"/>
        <v/>
      </c>
      <c r="L119" s="46">
        <f t="shared" si="7"/>
        <v>8.4925690021231425E-4</v>
      </c>
      <c r="M119" s="40" t="str">
        <f>IF(データ!L116="","",データ!L116)</f>
        <v/>
      </c>
      <c r="N119" s="41" t="str">
        <f>IF(データ!M116="","",データ!M116)</f>
        <v/>
      </c>
      <c r="O119" s="42">
        <f>データ!N116</f>
        <v>0</v>
      </c>
      <c r="P119" s="48">
        <f>IF($C119="集計行","",データ!O116)</f>
        <v>0</v>
      </c>
      <c r="Q119" s="48">
        <f>データ!P116</f>
        <v>0</v>
      </c>
      <c r="R119" s="39" t="str">
        <f>IF(OR($C119="総括",$C119="内訳書",$C119="内訳代価",$C119="明細書",$C119="明細代価",$C119="代価表",$C119="単価表"),データ!Q116,"")</f>
        <v/>
      </c>
      <c r="S119" s="11" t="str">
        <f t="shared" si="8"/>
        <v/>
      </c>
      <c r="T119" s="46" t="e">
        <f t="shared" si="9"/>
        <v>#DIV/0!</v>
      </c>
      <c r="U119" s="40" t="str">
        <f>IF(データ!R116="","",データ!R116)</f>
        <v/>
      </c>
      <c r="V119" s="41" t="str">
        <f>IF(データ!S116="","",データ!S116)</f>
        <v/>
      </c>
      <c r="W119" s="42">
        <f>データ!T116</f>
        <v>0</v>
      </c>
      <c r="X119" s="48">
        <f>IF($C119="集計行","",データ!U116)</f>
        <v>0</v>
      </c>
      <c r="Y119" s="48">
        <f>データ!V116</f>
        <v>0</v>
      </c>
      <c r="Z119" s="39" t="str">
        <f>IF(OR($C119="総括",$C119="内訳書",$C119="内訳代価",$C119="明細書",$C119="明細代価",$C119="代価表",$C119="単価表"),データ!W116,"")</f>
        <v/>
      </c>
      <c r="AA119" s="11" t="str">
        <f t="shared" si="10"/>
        <v/>
      </c>
      <c r="AB119" s="46" t="e">
        <f t="shared" si="11"/>
        <v>#DIV/0!</v>
      </c>
      <c r="AC119" s="40" t="str">
        <f>IF(データ!X116="","",データ!X116)</f>
        <v/>
      </c>
      <c r="AD119" s="41" t="str">
        <f>IF(データ!Y116="","",データ!Y116)</f>
        <v/>
      </c>
      <c r="AE119" s="47" t="str">
        <f>TRIM(データ!B116)</f>
        <v>g20718050</v>
      </c>
      <c r="AF119" s="43" t="str">
        <f>TRIM(データ!Z116)</f>
        <v/>
      </c>
    </row>
    <row r="120" spans="1:32" x14ac:dyDescent="0.15">
      <c r="A120" s="47">
        <f>データ!A117</f>
        <v>3</v>
      </c>
      <c r="B120" s="47" t="str">
        <f>TRIM(データ!C117)</f>
        <v/>
      </c>
      <c r="C120" s="47" t="str">
        <f>TRIM(データ!D117)</f>
        <v>外注費</v>
      </c>
      <c r="D120" s="36" t="str">
        <f>REPT("｜",$A120)&amp;TRIM(データ!E117)</f>
        <v>｜｜｜ウォーターリサイクル(最低)</v>
      </c>
      <c r="E120" s="37" t="str">
        <f>TRIM(データ!F117)</f>
        <v>昼</v>
      </c>
      <c r="F120" s="38" t="str">
        <f>TRIM(データ!G117)</f>
        <v>日</v>
      </c>
      <c r="G120" s="50">
        <f>データ!H117</f>
        <v>1</v>
      </c>
      <c r="H120" s="48">
        <f>データ!I117</f>
        <v>30000</v>
      </c>
      <c r="I120" s="48">
        <f>データ!J117</f>
        <v>30000</v>
      </c>
      <c r="J120" s="39" t="str">
        <f>IF(OR($C120="総括",$C120="内訳書",$C120="内訳代価",$C120="明細書",$C120="明細代価",$C120="代価表",$C120="単価表"),データ!K117,"")</f>
        <v/>
      </c>
      <c r="K120" s="11" t="str">
        <f t="shared" si="6"/>
        <v/>
      </c>
      <c r="L120" s="46">
        <f t="shared" si="7"/>
        <v>1.2738853503184713E-3</v>
      </c>
      <c r="M120" s="40" t="str">
        <f>IF(データ!L117="","",データ!L117)</f>
        <v/>
      </c>
      <c r="N120" s="41" t="str">
        <f>IF(データ!M117="","",データ!M117)</f>
        <v/>
      </c>
      <c r="O120" s="42">
        <f>データ!N117</f>
        <v>0</v>
      </c>
      <c r="P120" s="48">
        <f>IF($C120="集計行","",データ!O117)</f>
        <v>0</v>
      </c>
      <c r="Q120" s="48">
        <f>データ!P117</f>
        <v>0</v>
      </c>
      <c r="R120" s="39" t="str">
        <f>IF(OR($C120="総括",$C120="内訳書",$C120="内訳代価",$C120="明細書",$C120="明細代価",$C120="代価表",$C120="単価表"),データ!Q117,"")</f>
        <v/>
      </c>
      <c r="S120" s="11" t="str">
        <f t="shared" si="8"/>
        <v/>
      </c>
      <c r="T120" s="46" t="e">
        <f t="shared" si="9"/>
        <v>#DIV/0!</v>
      </c>
      <c r="U120" s="40" t="str">
        <f>IF(データ!R117="","",データ!R117)</f>
        <v/>
      </c>
      <c r="V120" s="41" t="str">
        <f>IF(データ!S117="","",データ!S117)</f>
        <v/>
      </c>
      <c r="W120" s="42">
        <f>データ!T117</f>
        <v>0</v>
      </c>
      <c r="X120" s="48">
        <f>IF($C120="集計行","",データ!U117)</f>
        <v>0</v>
      </c>
      <c r="Y120" s="48">
        <f>データ!V117</f>
        <v>0</v>
      </c>
      <c r="Z120" s="39" t="str">
        <f>IF(OR($C120="総括",$C120="内訳書",$C120="内訳代価",$C120="明細書",$C120="明細代価",$C120="代価表",$C120="単価表"),データ!W117,"")</f>
        <v/>
      </c>
      <c r="AA120" s="11" t="str">
        <f t="shared" si="10"/>
        <v/>
      </c>
      <c r="AB120" s="46" t="e">
        <f t="shared" si="11"/>
        <v>#DIV/0!</v>
      </c>
      <c r="AC120" s="40" t="str">
        <f>IF(データ!X117="","",データ!X117)</f>
        <v/>
      </c>
      <c r="AD120" s="41" t="str">
        <f>IF(データ!Y117="","",データ!Y117)</f>
        <v/>
      </c>
      <c r="AE120" s="47" t="str">
        <f>TRIM(データ!B117)</f>
        <v>g20718049</v>
      </c>
      <c r="AF120" s="43" t="str">
        <f>TRIM(データ!Z117)</f>
        <v/>
      </c>
    </row>
    <row r="121" spans="1:32" x14ac:dyDescent="0.15">
      <c r="A121" s="47">
        <f>データ!A118</f>
        <v>3</v>
      </c>
      <c r="B121" s="47" t="str">
        <f>TRIM(データ!C118)</f>
        <v/>
      </c>
      <c r="C121" s="47" t="str">
        <f>TRIM(データ!D118)</f>
        <v>外注費</v>
      </c>
      <c r="D121" s="36" t="str">
        <f>REPT("｜",$A121)&amp;TRIM(データ!E118)</f>
        <v>｜｜｜Asコア採取(最低)</v>
      </c>
      <c r="E121" s="37" t="str">
        <f>TRIM(データ!F118)</f>
        <v>最低補償</v>
      </c>
      <c r="F121" s="38" t="str">
        <f>TRIM(データ!G118)</f>
        <v>回</v>
      </c>
      <c r="G121" s="50">
        <f>データ!H118</f>
        <v>1</v>
      </c>
      <c r="H121" s="48">
        <f>データ!I118</f>
        <v>20000</v>
      </c>
      <c r="I121" s="48">
        <f>データ!J118</f>
        <v>20000</v>
      </c>
      <c r="J121" s="39" t="str">
        <f>IF(OR($C121="総括",$C121="内訳書",$C121="内訳代価",$C121="明細書",$C121="明細代価",$C121="代価表",$C121="単価表"),データ!K118,"")</f>
        <v/>
      </c>
      <c r="K121" s="11" t="str">
        <f t="shared" si="6"/>
        <v/>
      </c>
      <c r="L121" s="46">
        <f t="shared" si="7"/>
        <v>8.4925690021231425E-4</v>
      </c>
      <c r="M121" s="40" t="str">
        <f>IF(データ!L118="","",データ!L118)</f>
        <v/>
      </c>
      <c r="N121" s="41" t="str">
        <f>IF(データ!M118="","",データ!M118)</f>
        <v/>
      </c>
      <c r="O121" s="42">
        <f>データ!N118</f>
        <v>0</v>
      </c>
      <c r="P121" s="48">
        <f>IF($C121="集計行","",データ!O118)</f>
        <v>0</v>
      </c>
      <c r="Q121" s="48">
        <f>データ!P118</f>
        <v>0</v>
      </c>
      <c r="R121" s="39" t="str">
        <f>IF(OR($C121="総括",$C121="内訳書",$C121="内訳代価",$C121="明細書",$C121="明細代価",$C121="代価表",$C121="単価表"),データ!Q118,"")</f>
        <v/>
      </c>
      <c r="S121" s="11" t="str">
        <f t="shared" si="8"/>
        <v/>
      </c>
      <c r="T121" s="46" t="e">
        <f t="shared" si="9"/>
        <v>#DIV/0!</v>
      </c>
      <c r="U121" s="40" t="str">
        <f>IF(データ!R118="","",データ!R118)</f>
        <v/>
      </c>
      <c r="V121" s="41" t="str">
        <f>IF(データ!S118="","",データ!S118)</f>
        <v/>
      </c>
      <c r="W121" s="42">
        <f>データ!T118</f>
        <v>0</v>
      </c>
      <c r="X121" s="48">
        <f>IF($C121="集計行","",データ!U118)</f>
        <v>0</v>
      </c>
      <c r="Y121" s="48">
        <f>データ!V118</f>
        <v>0</v>
      </c>
      <c r="Z121" s="39" t="str">
        <f>IF(OR($C121="総括",$C121="内訳書",$C121="内訳代価",$C121="明細書",$C121="明細代価",$C121="代価表",$C121="単価表"),データ!W118,"")</f>
        <v/>
      </c>
      <c r="AA121" s="11" t="str">
        <f t="shared" si="10"/>
        <v/>
      </c>
      <c r="AB121" s="46" t="e">
        <f t="shared" si="11"/>
        <v>#DIV/0!</v>
      </c>
      <c r="AC121" s="40" t="str">
        <f>IF(データ!X118="","",データ!X118)</f>
        <v/>
      </c>
      <c r="AD121" s="41" t="str">
        <f>IF(データ!Y118="","",データ!Y118)</f>
        <v/>
      </c>
      <c r="AE121" s="47" t="str">
        <f>TRIM(データ!B118)</f>
        <v>g20718051</v>
      </c>
      <c r="AF121" s="43" t="str">
        <f>TRIM(データ!Z118)</f>
        <v/>
      </c>
    </row>
    <row r="122" spans="1:32" x14ac:dyDescent="0.15">
      <c r="A122" s="47">
        <f>データ!A119</f>
        <v>2</v>
      </c>
      <c r="B122" s="47" t="str">
        <f>TRIM(データ!C119)</f>
        <v/>
      </c>
      <c r="C122" s="47" t="str">
        <f>TRIM(データ!D119)</f>
        <v>内訳代価</v>
      </c>
      <c r="D122" s="36" t="str">
        <f>REPT("｜",$A122)&amp;TRIM(データ!E119)</f>
        <v>｜｜舗装打ち替え工</v>
      </c>
      <c r="E122" s="37" t="str">
        <f>TRIM(データ!F119)</f>
        <v/>
      </c>
      <c r="F122" s="38" t="str">
        <f>TRIM(データ!G119)</f>
        <v>m2</v>
      </c>
      <c r="G122" s="50">
        <f>データ!H119</f>
        <v>337</v>
      </c>
      <c r="H122" s="48">
        <f>データ!I119</f>
        <v>380</v>
      </c>
      <c r="I122" s="48">
        <f>データ!J119</f>
        <v>128060</v>
      </c>
      <c r="J122" s="39">
        <f>IF(OR($C122="総括",$C122="内訳書",$C122="内訳代価",$C122="明細書",$C122="明細代価",$C122="代価表",$C122="単価表"),データ!K119,"")</f>
        <v>337</v>
      </c>
      <c r="K122" s="11" t="str">
        <f t="shared" si="6"/>
        <v/>
      </c>
      <c r="L122" s="46">
        <f t="shared" si="7"/>
        <v>5.4377919320594478E-3</v>
      </c>
      <c r="M122" s="40" t="str">
        <f>IF(データ!L119="","",データ!L119)</f>
        <v/>
      </c>
      <c r="N122" s="41" t="str">
        <f>IF(データ!M119="","",データ!M119)</f>
        <v>29号内訳書</v>
      </c>
      <c r="O122" s="42">
        <f>データ!N119</f>
        <v>0</v>
      </c>
      <c r="P122" s="48">
        <f>IF($C122="集計行","",データ!O119)</f>
        <v>0</v>
      </c>
      <c r="Q122" s="48">
        <f>データ!P119</f>
        <v>0</v>
      </c>
      <c r="R122" s="39">
        <f>IF(OR($C122="総括",$C122="内訳書",$C122="内訳代価",$C122="明細書",$C122="明細代価",$C122="代価表",$C122="単価表"),データ!Q119,"")</f>
        <v>0</v>
      </c>
      <c r="S122" s="11" t="str">
        <f t="shared" si="8"/>
        <v/>
      </c>
      <c r="T122" s="46" t="e">
        <f t="shared" si="9"/>
        <v>#DIV/0!</v>
      </c>
      <c r="U122" s="40" t="str">
        <f>IF(データ!R119="","",データ!R119)</f>
        <v/>
      </c>
      <c r="V122" s="41" t="str">
        <f>IF(データ!S119="","",データ!S119)</f>
        <v/>
      </c>
      <c r="W122" s="42">
        <f>データ!T119</f>
        <v>0</v>
      </c>
      <c r="X122" s="48">
        <f>IF($C122="集計行","",データ!U119)</f>
        <v>0</v>
      </c>
      <c r="Y122" s="48">
        <f>データ!V119</f>
        <v>0</v>
      </c>
      <c r="Z122" s="39">
        <f>IF(OR($C122="総括",$C122="内訳書",$C122="内訳代価",$C122="明細書",$C122="明細代価",$C122="代価表",$C122="単価表"),データ!W119,"")</f>
        <v>0</v>
      </c>
      <c r="AA122" s="11" t="str">
        <f t="shared" si="10"/>
        <v/>
      </c>
      <c r="AB122" s="46" t="e">
        <f t="shared" si="11"/>
        <v>#DIV/0!</v>
      </c>
      <c r="AC122" s="40" t="str">
        <f>IF(データ!X119="","",データ!X119)</f>
        <v/>
      </c>
      <c r="AD122" s="41" t="str">
        <f>IF(データ!Y119="","",データ!Y119)</f>
        <v/>
      </c>
      <c r="AE122" s="47" t="str">
        <f>TRIM(データ!B119)</f>
        <v/>
      </c>
      <c r="AF122" s="43" t="str">
        <f>TRIM(データ!Z119)</f>
        <v/>
      </c>
    </row>
    <row r="123" spans="1:32" x14ac:dyDescent="0.15">
      <c r="A123" s="47">
        <f>データ!A120</f>
        <v>3</v>
      </c>
      <c r="B123" s="47" t="str">
        <f>TRIM(データ!C120)</f>
        <v/>
      </c>
      <c r="C123" s="47" t="str">
        <f>TRIM(データ!D120)</f>
        <v>材料費</v>
      </c>
      <c r="D123" s="36" t="str">
        <f>REPT("｜",$A123)&amp;TRIM(データ!E120)</f>
        <v>｜｜｜雑材</v>
      </c>
      <c r="E123" s="37" t="str">
        <f>TRIM(データ!F120)</f>
        <v/>
      </c>
      <c r="F123" s="38" t="str">
        <f>TRIM(データ!G120)</f>
        <v>式</v>
      </c>
      <c r="G123" s="50">
        <f>データ!H120</f>
        <v>1</v>
      </c>
      <c r="H123" s="48">
        <f>データ!I120</f>
        <v>4060</v>
      </c>
      <c r="I123" s="48">
        <f>データ!J120</f>
        <v>4060</v>
      </c>
      <c r="J123" s="39" t="str">
        <f>IF(OR($C123="総括",$C123="内訳書",$C123="内訳代価",$C123="明細書",$C123="明細代価",$C123="代価表",$C123="単価表"),データ!K120,"")</f>
        <v/>
      </c>
      <c r="K123" s="11" t="str">
        <f t="shared" si="6"/>
        <v/>
      </c>
      <c r="L123" s="46">
        <f t="shared" si="7"/>
        <v>1.7239915074309978E-4</v>
      </c>
      <c r="M123" s="40" t="str">
        <f>IF(データ!L120="","",データ!L120)</f>
        <v/>
      </c>
      <c r="N123" s="41" t="str">
        <f>IF(データ!M120="","",データ!M120)</f>
        <v/>
      </c>
      <c r="O123" s="42">
        <f>データ!N120</f>
        <v>0</v>
      </c>
      <c r="P123" s="48">
        <f>IF($C123="集計行","",データ!O120)</f>
        <v>0</v>
      </c>
      <c r="Q123" s="48">
        <f>データ!P120</f>
        <v>0</v>
      </c>
      <c r="R123" s="39" t="str">
        <f>IF(OR($C123="総括",$C123="内訳書",$C123="内訳代価",$C123="明細書",$C123="明細代価",$C123="代価表",$C123="単価表"),データ!Q120,"")</f>
        <v/>
      </c>
      <c r="S123" s="11" t="str">
        <f t="shared" si="8"/>
        <v/>
      </c>
      <c r="T123" s="46" t="e">
        <f t="shared" si="9"/>
        <v>#DIV/0!</v>
      </c>
      <c r="U123" s="40" t="str">
        <f>IF(データ!R120="","",データ!R120)</f>
        <v/>
      </c>
      <c r="V123" s="41" t="str">
        <f>IF(データ!S120="","",データ!S120)</f>
        <v/>
      </c>
      <c r="W123" s="42">
        <f>データ!T120</f>
        <v>0</v>
      </c>
      <c r="X123" s="48">
        <f>IF($C123="集計行","",データ!U120)</f>
        <v>0</v>
      </c>
      <c r="Y123" s="48">
        <f>データ!V120</f>
        <v>0</v>
      </c>
      <c r="Z123" s="39" t="str">
        <f>IF(OR($C123="総括",$C123="内訳書",$C123="内訳代価",$C123="明細書",$C123="明細代価",$C123="代価表",$C123="単価表"),データ!W120,"")</f>
        <v/>
      </c>
      <c r="AA123" s="11" t="str">
        <f t="shared" si="10"/>
        <v/>
      </c>
      <c r="AB123" s="46" t="e">
        <f t="shared" si="11"/>
        <v>#DIV/0!</v>
      </c>
      <c r="AC123" s="40" t="str">
        <f>IF(データ!X120="","",データ!X120)</f>
        <v/>
      </c>
      <c r="AD123" s="41" t="str">
        <f>IF(データ!Y120="","",データ!Y120)</f>
        <v/>
      </c>
      <c r="AE123" s="47" t="str">
        <f>TRIM(データ!B120)</f>
        <v>s20718001</v>
      </c>
      <c r="AF123" s="43" t="str">
        <f>TRIM(データ!Z120)</f>
        <v/>
      </c>
    </row>
    <row r="124" spans="1:32" x14ac:dyDescent="0.15">
      <c r="A124" s="47">
        <f>データ!A121</f>
        <v>3</v>
      </c>
      <c r="B124" s="47" t="str">
        <f>TRIM(データ!C121)</f>
        <v/>
      </c>
      <c r="C124" s="47" t="str">
        <f>TRIM(データ!D121)</f>
        <v>材料費</v>
      </c>
      <c r="D124" s="36" t="str">
        <f>REPT("｜",$A124)&amp;TRIM(データ!E121)</f>
        <v>｜｜｜軽油</v>
      </c>
      <c r="E124" s="37" t="str">
        <f>TRIM(データ!F121)</f>
        <v/>
      </c>
      <c r="F124" s="38" t="str">
        <f>TRIM(データ!G121)</f>
        <v>L</v>
      </c>
      <c r="G124" s="50">
        <f>データ!H121</f>
        <v>100</v>
      </c>
      <c r="H124" s="48">
        <f>データ!I121</f>
        <v>160</v>
      </c>
      <c r="I124" s="48">
        <f>データ!J121</f>
        <v>16000</v>
      </c>
      <c r="J124" s="39" t="str">
        <f>IF(OR($C124="総括",$C124="内訳書",$C124="内訳代価",$C124="明細書",$C124="明細代価",$C124="代価表",$C124="単価表"),データ!K121,"")</f>
        <v/>
      </c>
      <c r="K124" s="11" t="str">
        <f t="shared" si="6"/>
        <v/>
      </c>
      <c r="L124" s="46">
        <f t="shared" si="7"/>
        <v>6.7940552016985142E-4</v>
      </c>
      <c r="M124" s="40" t="str">
        <f>IF(データ!L121="","",データ!L121)</f>
        <v/>
      </c>
      <c r="N124" s="41" t="str">
        <f>IF(データ!M121="","",データ!M121)</f>
        <v/>
      </c>
      <c r="O124" s="42">
        <f>データ!N121</f>
        <v>0</v>
      </c>
      <c r="P124" s="48">
        <f>IF($C124="集計行","",データ!O121)</f>
        <v>0</v>
      </c>
      <c r="Q124" s="48">
        <f>データ!P121</f>
        <v>0</v>
      </c>
      <c r="R124" s="39" t="str">
        <f>IF(OR($C124="総括",$C124="内訳書",$C124="内訳代価",$C124="明細書",$C124="明細代価",$C124="代価表",$C124="単価表"),データ!Q121,"")</f>
        <v/>
      </c>
      <c r="S124" s="11" t="str">
        <f t="shared" si="8"/>
        <v/>
      </c>
      <c r="T124" s="46" t="e">
        <f t="shared" si="9"/>
        <v>#DIV/0!</v>
      </c>
      <c r="U124" s="40" t="str">
        <f>IF(データ!R121="","",データ!R121)</f>
        <v/>
      </c>
      <c r="V124" s="41" t="str">
        <f>IF(データ!S121="","",データ!S121)</f>
        <v/>
      </c>
      <c r="W124" s="42">
        <f>データ!T121</f>
        <v>0</v>
      </c>
      <c r="X124" s="48">
        <f>IF($C124="集計行","",データ!U121)</f>
        <v>0</v>
      </c>
      <c r="Y124" s="48">
        <f>データ!V121</f>
        <v>0</v>
      </c>
      <c r="Z124" s="39" t="str">
        <f>IF(OR($C124="総括",$C124="内訳書",$C124="内訳代価",$C124="明細書",$C124="明細代価",$C124="代価表",$C124="単価表"),データ!W121,"")</f>
        <v/>
      </c>
      <c r="AA124" s="11" t="str">
        <f t="shared" si="10"/>
        <v/>
      </c>
      <c r="AB124" s="46" t="e">
        <f t="shared" si="11"/>
        <v>#DIV/0!</v>
      </c>
      <c r="AC124" s="40" t="str">
        <f>IF(データ!X121="","",データ!X121)</f>
        <v/>
      </c>
      <c r="AD124" s="41" t="str">
        <f>IF(データ!Y121="","",データ!Y121)</f>
        <v/>
      </c>
      <c r="AE124" s="47" t="str">
        <f>TRIM(データ!B121)</f>
        <v>s20718549</v>
      </c>
      <c r="AF124" s="43" t="str">
        <f>TRIM(データ!Z121)</f>
        <v/>
      </c>
    </row>
    <row r="125" spans="1:32" x14ac:dyDescent="0.15">
      <c r="A125" s="47">
        <f>データ!A122</f>
        <v>3</v>
      </c>
      <c r="B125" s="47" t="str">
        <f>TRIM(データ!C122)</f>
        <v/>
      </c>
      <c r="C125" s="47" t="str">
        <f>TRIM(データ!D122)</f>
        <v>労務費</v>
      </c>
      <c r="D125" s="36" t="str">
        <f>REPT("｜",$A125)&amp;TRIM(データ!E122)</f>
        <v>｜｜｜運転工</v>
      </c>
      <c r="E125" s="37" t="str">
        <f>TRIM(データ!F122)</f>
        <v>8H</v>
      </c>
      <c r="F125" s="38" t="str">
        <f>TRIM(データ!G122)</f>
        <v>人</v>
      </c>
      <c r="G125" s="50">
        <f>データ!H122</f>
        <v>4</v>
      </c>
      <c r="H125" s="48">
        <f>データ!I122</f>
        <v>23000</v>
      </c>
      <c r="I125" s="48">
        <f>データ!J122</f>
        <v>92000</v>
      </c>
      <c r="J125" s="39" t="str">
        <f>IF(OR($C125="総括",$C125="内訳書",$C125="内訳代価",$C125="明細書",$C125="明細代価",$C125="代価表",$C125="単価表"),データ!K122,"")</f>
        <v/>
      </c>
      <c r="K125" s="11" t="str">
        <f t="shared" si="6"/>
        <v/>
      </c>
      <c r="L125" s="46">
        <f t="shared" si="7"/>
        <v>3.9065817409766456E-3</v>
      </c>
      <c r="M125" s="40" t="str">
        <f>IF(データ!L122="","",データ!L122)</f>
        <v/>
      </c>
      <c r="N125" s="41" t="str">
        <f>IF(データ!M122="","",データ!M122)</f>
        <v/>
      </c>
      <c r="O125" s="42">
        <f>データ!N122</f>
        <v>0</v>
      </c>
      <c r="P125" s="48">
        <f>IF($C125="集計行","",データ!O122)</f>
        <v>0</v>
      </c>
      <c r="Q125" s="48">
        <f>データ!P122</f>
        <v>0</v>
      </c>
      <c r="R125" s="39" t="str">
        <f>IF(OR($C125="総括",$C125="内訳書",$C125="内訳代価",$C125="明細書",$C125="明細代価",$C125="代価表",$C125="単価表"),データ!Q122,"")</f>
        <v/>
      </c>
      <c r="S125" s="11" t="str">
        <f t="shared" si="8"/>
        <v/>
      </c>
      <c r="T125" s="46" t="e">
        <f t="shared" si="9"/>
        <v>#DIV/0!</v>
      </c>
      <c r="U125" s="40" t="str">
        <f>IF(データ!R122="","",データ!R122)</f>
        <v/>
      </c>
      <c r="V125" s="41" t="str">
        <f>IF(データ!S122="","",データ!S122)</f>
        <v/>
      </c>
      <c r="W125" s="42">
        <f>データ!T122</f>
        <v>0</v>
      </c>
      <c r="X125" s="48">
        <f>IF($C125="集計行","",データ!U122)</f>
        <v>0</v>
      </c>
      <c r="Y125" s="48">
        <f>データ!V122</f>
        <v>0</v>
      </c>
      <c r="Z125" s="39" t="str">
        <f>IF(OR($C125="総括",$C125="内訳書",$C125="内訳代価",$C125="明細書",$C125="明細代価",$C125="代価表",$C125="単価表"),データ!W122,"")</f>
        <v/>
      </c>
      <c r="AA125" s="11" t="str">
        <f t="shared" si="10"/>
        <v/>
      </c>
      <c r="AB125" s="46" t="e">
        <f t="shared" si="11"/>
        <v>#DIV/0!</v>
      </c>
      <c r="AC125" s="40" t="str">
        <f>IF(データ!X122="","",データ!X122)</f>
        <v/>
      </c>
      <c r="AD125" s="41" t="str">
        <f>IF(データ!Y122="","",データ!Y122)</f>
        <v/>
      </c>
      <c r="AE125" s="47" t="str">
        <f>TRIM(データ!B122)</f>
        <v>r20718007</v>
      </c>
      <c r="AF125" s="43" t="str">
        <f>TRIM(データ!Z122)</f>
        <v/>
      </c>
    </row>
    <row r="126" spans="1:32" x14ac:dyDescent="0.15">
      <c r="A126" s="47">
        <f>データ!A123</f>
        <v>3</v>
      </c>
      <c r="B126" s="47" t="str">
        <f>TRIM(データ!C123)</f>
        <v/>
      </c>
      <c r="C126" s="47" t="str">
        <f>TRIM(データ!D123)</f>
        <v>機械費</v>
      </c>
      <c r="D126" s="36" t="str">
        <f>REPT("｜",$A126)&amp;TRIM(データ!E123)</f>
        <v>｜｜｜BH0.1クレーン</v>
      </c>
      <c r="E126" s="37" t="str">
        <f>TRIM(データ!F123)</f>
        <v>低騒音・超小</v>
      </c>
      <c r="F126" s="38" t="str">
        <f>TRIM(データ!G123)</f>
        <v>日台</v>
      </c>
      <c r="G126" s="50">
        <f>データ!H123</f>
        <v>1</v>
      </c>
      <c r="H126" s="48">
        <f>データ!I123</f>
        <v>6000</v>
      </c>
      <c r="I126" s="48">
        <f>データ!J123</f>
        <v>6000</v>
      </c>
      <c r="J126" s="39" t="str">
        <f>IF(OR($C126="総括",$C126="内訳書",$C126="内訳代価",$C126="明細書",$C126="明細代価",$C126="代価表",$C126="単価表"),データ!K123,"")</f>
        <v/>
      </c>
      <c r="K126" s="11" t="str">
        <f t="shared" si="6"/>
        <v/>
      </c>
      <c r="L126" s="46">
        <f t="shared" si="7"/>
        <v>2.5477707006369424E-4</v>
      </c>
      <c r="M126" s="40" t="str">
        <f>IF(データ!L123="","",データ!L123)</f>
        <v/>
      </c>
      <c r="N126" s="41" t="str">
        <f>IF(データ!M123="","",データ!M123)</f>
        <v/>
      </c>
      <c r="O126" s="42">
        <f>データ!N123</f>
        <v>0</v>
      </c>
      <c r="P126" s="48">
        <f>IF($C126="集計行","",データ!O123)</f>
        <v>0</v>
      </c>
      <c r="Q126" s="48">
        <f>データ!P123</f>
        <v>0</v>
      </c>
      <c r="R126" s="39" t="str">
        <f>IF(OR($C126="総括",$C126="内訳書",$C126="内訳代価",$C126="明細書",$C126="明細代価",$C126="代価表",$C126="単価表"),データ!Q123,"")</f>
        <v/>
      </c>
      <c r="S126" s="11" t="str">
        <f t="shared" si="8"/>
        <v/>
      </c>
      <c r="T126" s="46" t="e">
        <f t="shared" si="9"/>
        <v>#DIV/0!</v>
      </c>
      <c r="U126" s="40" t="str">
        <f>IF(データ!R123="","",データ!R123)</f>
        <v/>
      </c>
      <c r="V126" s="41" t="str">
        <f>IF(データ!S123="","",データ!S123)</f>
        <v/>
      </c>
      <c r="W126" s="42">
        <f>データ!T123</f>
        <v>0</v>
      </c>
      <c r="X126" s="48">
        <f>IF($C126="集計行","",データ!U123)</f>
        <v>0</v>
      </c>
      <c r="Y126" s="48">
        <f>データ!V123</f>
        <v>0</v>
      </c>
      <c r="Z126" s="39" t="str">
        <f>IF(OR($C126="総括",$C126="内訳書",$C126="内訳代価",$C126="明細書",$C126="明細代価",$C126="代価表",$C126="単価表"),データ!W123,"")</f>
        <v/>
      </c>
      <c r="AA126" s="11" t="str">
        <f t="shared" si="10"/>
        <v/>
      </c>
      <c r="AB126" s="46" t="e">
        <f t="shared" si="11"/>
        <v>#DIV/0!</v>
      </c>
      <c r="AC126" s="40" t="str">
        <f>IF(データ!X123="","",データ!X123)</f>
        <v/>
      </c>
      <c r="AD126" s="41" t="str">
        <f>IF(データ!Y123="","",データ!Y123)</f>
        <v/>
      </c>
      <c r="AE126" s="47" t="str">
        <f>TRIM(データ!B123)</f>
        <v>k20718012</v>
      </c>
      <c r="AF126" s="43" t="str">
        <f>TRIM(データ!Z123)</f>
        <v/>
      </c>
    </row>
    <row r="127" spans="1:32" x14ac:dyDescent="0.15">
      <c r="A127" s="47">
        <f>データ!A124</f>
        <v>3</v>
      </c>
      <c r="B127" s="47" t="str">
        <f>TRIM(データ!C124)</f>
        <v/>
      </c>
      <c r="C127" s="47" t="str">
        <f>TRIM(データ!D124)</f>
        <v>機械費</v>
      </c>
      <c r="D127" s="36" t="str">
        <f>REPT("｜",$A127)&amp;TRIM(データ!E124)</f>
        <v>｜｜｜タイヤショベル0.5</v>
      </c>
      <c r="E127" s="37" t="str">
        <f>TRIM(データ!F124)</f>
        <v>低騒音</v>
      </c>
      <c r="F127" s="38" t="str">
        <f>TRIM(データ!G124)</f>
        <v>日台</v>
      </c>
      <c r="G127" s="50">
        <f>データ!H124</f>
        <v>1</v>
      </c>
      <c r="H127" s="48">
        <f>データ!I124</f>
        <v>5000</v>
      </c>
      <c r="I127" s="48">
        <f>データ!J124</f>
        <v>5000</v>
      </c>
      <c r="J127" s="39" t="str">
        <f>IF(OR($C127="総括",$C127="内訳書",$C127="内訳代価",$C127="明細書",$C127="明細代価",$C127="代価表",$C127="単価表"),データ!K124,"")</f>
        <v/>
      </c>
      <c r="K127" s="11" t="str">
        <f t="shared" si="6"/>
        <v/>
      </c>
      <c r="L127" s="46">
        <f t="shared" si="7"/>
        <v>2.1231422505307856E-4</v>
      </c>
      <c r="M127" s="40" t="str">
        <f>IF(データ!L124="","",データ!L124)</f>
        <v/>
      </c>
      <c r="N127" s="41" t="str">
        <f>IF(データ!M124="","",データ!M124)</f>
        <v/>
      </c>
      <c r="O127" s="42">
        <f>データ!N124</f>
        <v>0</v>
      </c>
      <c r="P127" s="48">
        <f>IF($C127="集計行","",データ!O124)</f>
        <v>0</v>
      </c>
      <c r="Q127" s="48">
        <f>データ!P124</f>
        <v>0</v>
      </c>
      <c r="R127" s="39" t="str">
        <f>IF(OR($C127="総括",$C127="内訳書",$C127="内訳代価",$C127="明細書",$C127="明細代価",$C127="代価表",$C127="単価表"),データ!Q124,"")</f>
        <v/>
      </c>
      <c r="S127" s="11" t="str">
        <f t="shared" si="8"/>
        <v/>
      </c>
      <c r="T127" s="46" t="e">
        <f t="shared" si="9"/>
        <v>#DIV/0!</v>
      </c>
      <c r="U127" s="40" t="str">
        <f>IF(データ!R124="","",データ!R124)</f>
        <v/>
      </c>
      <c r="V127" s="41" t="str">
        <f>IF(データ!S124="","",データ!S124)</f>
        <v/>
      </c>
      <c r="W127" s="42">
        <f>データ!T124</f>
        <v>0</v>
      </c>
      <c r="X127" s="48">
        <f>IF($C127="集計行","",データ!U124)</f>
        <v>0</v>
      </c>
      <c r="Y127" s="48">
        <f>データ!V124</f>
        <v>0</v>
      </c>
      <c r="Z127" s="39" t="str">
        <f>IF(OR($C127="総括",$C127="内訳書",$C127="内訳代価",$C127="明細書",$C127="明細代価",$C127="代価表",$C127="単価表"),データ!W124,"")</f>
        <v/>
      </c>
      <c r="AA127" s="11" t="str">
        <f t="shared" si="10"/>
        <v/>
      </c>
      <c r="AB127" s="46" t="e">
        <f t="shared" si="11"/>
        <v>#DIV/0!</v>
      </c>
      <c r="AC127" s="40" t="str">
        <f>IF(データ!X124="","",データ!X124)</f>
        <v/>
      </c>
      <c r="AD127" s="41" t="str">
        <f>IF(データ!Y124="","",データ!Y124)</f>
        <v/>
      </c>
      <c r="AE127" s="47" t="str">
        <f>TRIM(データ!B124)</f>
        <v>k20718024</v>
      </c>
      <c r="AF127" s="43" t="str">
        <f>TRIM(データ!Z124)</f>
        <v/>
      </c>
    </row>
    <row r="128" spans="1:32" x14ac:dyDescent="0.15">
      <c r="A128" s="47">
        <f>データ!A125</f>
        <v>3</v>
      </c>
      <c r="B128" s="47" t="str">
        <f>TRIM(データ!C125)</f>
        <v/>
      </c>
      <c r="C128" s="47" t="str">
        <f>TRIM(データ!D125)</f>
        <v>機械費</v>
      </c>
      <c r="D128" s="36" t="str">
        <f>REPT("｜",$A128)&amp;TRIM(データ!E125)</f>
        <v>｜｜｜小物機械　ﾊﾟｰﾄﾅ・丸ﾉｺ</v>
      </c>
      <c r="E128" s="37" t="str">
        <f>TRIM(データ!F125)</f>
        <v>ｸﾞﾗｲﾝﾀﾞ-・ｺｱ抜きﾄﾞﾘﾙ・ﾌﾞﾛｱ　等</v>
      </c>
      <c r="F128" s="38" t="str">
        <f>TRIM(データ!G125)</f>
        <v>台</v>
      </c>
      <c r="G128" s="50">
        <f>データ!H125</f>
        <v>1</v>
      </c>
      <c r="H128" s="48">
        <f>データ!I125</f>
        <v>5000</v>
      </c>
      <c r="I128" s="48">
        <f>データ!J125</f>
        <v>5000</v>
      </c>
      <c r="J128" s="39" t="str">
        <f>IF(OR($C128="総括",$C128="内訳書",$C128="内訳代価",$C128="明細書",$C128="明細代価",$C128="代価表",$C128="単価表"),データ!K125,"")</f>
        <v/>
      </c>
      <c r="K128" s="11" t="str">
        <f t="shared" si="6"/>
        <v/>
      </c>
      <c r="L128" s="46">
        <f t="shared" si="7"/>
        <v>2.1231422505307856E-4</v>
      </c>
      <c r="M128" s="40" t="str">
        <f>IF(データ!L125="","",データ!L125)</f>
        <v/>
      </c>
      <c r="N128" s="41" t="str">
        <f>IF(データ!M125="","",データ!M125)</f>
        <v/>
      </c>
      <c r="O128" s="42">
        <f>データ!N125</f>
        <v>0</v>
      </c>
      <c r="P128" s="48">
        <f>IF($C128="集計行","",データ!O125)</f>
        <v>0</v>
      </c>
      <c r="Q128" s="48">
        <f>データ!P125</f>
        <v>0</v>
      </c>
      <c r="R128" s="39" t="str">
        <f>IF(OR($C128="総括",$C128="内訳書",$C128="内訳代価",$C128="明細書",$C128="明細代価",$C128="代価表",$C128="単価表"),データ!Q125,"")</f>
        <v/>
      </c>
      <c r="S128" s="11" t="str">
        <f t="shared" si="8"/>
        <v/>
      </c>
      <c r="T128" s="46" t="e">
        <f t="shared" si="9"/>
        <v>#DIV/0!</v>
      </c>
      <c r="U128" s="40" t="str">
        <f>IF(データ!R125="","",データ!R125)</f>
        <v/>
      </c>
      <c r="V128" s="41" t="str">
        <f>IF(データ!S125="","",データ!S125)</f>
        <v/>
      </c>
      <c r="W128" s="42">
        <f>データ!T125</f>
        <v>0</v>
      </c>
      <c r="X128" s="48">
        <f>IF($C128="集計行","",データ!U125)</f>
        <v>0</v>
      </c>
      <c r="Y128" s="48">
        <f>データ!V125</f>
        <v>0</v>
      </c>
      <c r="Z128" s="39" t="str">
        <f>IF(OR($C128="総括",$C128="内訳書",$C128="内訳代価",$C128="明細書",$C128="明細代価",$C128="代価表",$C128="単価表"),データ!W125,"")</f>
        <v/>
      </c>
      <c r="AA128" s="11" t="str">
        <f t="shared" si="10"/>
        <v/>
      </c>
      <c r="AB128" s="46" t="e">
        <f t="shared" si="11"/>
        <v>#DIV/0!</v>
      </c>
      <c r="AC128" s="40" t="str">
        <f>IF(データ!X125="","",データ!X125)</f>
        <v/>
      </c>
      <c r="AD128" s="41" t="str">
        <f>IF(データ!Y125="","",データ!Y125)</f>
        <v/>
      </c>
      <c r="AE128" s="47" t="str">
        <f>TRIM(データ!B125)</f>
        <v>k20718001</v>
      </c>
      <c r="AF128" s="43" t="str">
        <f>TRIM(データ!Z125)</f>
        <v/>
      </c>
    </row>
    <row r="129" spans="1:32" x14ac:dyDescent="0.15">
      <c r="A129" s="47">
        <f>データ!A126</f>
        <v>2</v>
      </c>
      <c r="B129" s="47" t="str">
        <f>TRIM(データ!C126)</f>
        <v/>
      </c>
      <c r="C129" s="47" t="str">
        <f>TRIM(データ!D126)</f>
        <v>内訳代価</v>
      </c>
      <c r="D129" s="36" t="str">
        <f>REPT("｜",$A129)&amp;TRIM(データ!E126)</f>
        <v>｜｜殻運搬処分費</v>
      </c>
      <c r="E129" s="37" t="str">
        <f>TRIM(データ!F126)</f>
        <v/>
      </c>
      <c r="F129" s="38" t="str">
        <f>TRIM(データ!G126)</f>
        <v>m3</v>
      </c>
      <c r="G129" s="50">
        <f>データ!H126</f>
        <v>17</v>
      </c>
      <c r="H129" s="48">
        <f>データ!I126</f>
        <v>9100</v>
      </c>
      <c r="I129" s="48">
        <f>データ!J126</f>
        <v>154700</v>
      </c>
      <c r="J129" s="39">
        <f>IF(OR($C129="総括",$C129="内訳書",$C129="内訳代価",$C129="明細書",$C129="明細代価",$C129="代価表",$C129="単価表"),データ!K126,"")</f>
        <v>17</v>
      </c>
      <c r="K129" s="11" t="str">
        <f t="shared" si="6"/>
        <v/>
      </c>
      <c r="L129" s="46">
        <f t="shared" si="7"/>
        <v>6.5690021231422507E-3</v>
      </c>
      <c r="M129" s="40" t="str">
        <f>IF(データ!L126="","",データ!L126)</f>
        <v/>
      </c>
      <c r="N129" s="41" t="str">
        <f>IF(データ!M126="","",データ!M126)</f>
        <v>30号内訳書</v>
      </c>
      <c r="O129" s="42">
        <f>データ!N126</f>
        <v>0</v>
      </c>
      <c r="P129" s="48">
        <f>IF($C129="集計行","",データ!O126)</f>
        <v>0</v>
      </c>
      <c r="Q129" s="48">
        <f>データ!P126</f>
        <v>0</v>
      </c>
      <c r="R129" s="39">
        <f>IF(OR($C129="総括",$C129="内訳書",$C129="内訳代価",$C129="明細書",$C129="明細代価",$C129="代価表",$C129="単価表"),データ!Q126,"")</f>
        <v>0</v>
      </c>
      <c r="S129" s="11" t="str">
        <f t="shared" si="8"/>
        <v/>
      </c>
      <c r="T129" s="46" t="e">
        <f t="shared" si="9"/>
        <v>#DIV/0!</v>
      </c>
      <c r="U129" s="40" t="str">
        <f>IF(データ!R126="","",データ!R126)</f>
        <v/>
      </c>
      <c r="V129" s="41" t="str">
        <f>IF(データ!S126="","",データ!S126)</f>
        <v/>
      </c>
      <c r="W129" s="42">
        <f>データ!T126</f>
        <v>0</v>
      </c>
      <c r="X129" s="48">
        <f>IF($C129="集計行","",データ!U126)</f>
        <v>0</v>
      </c>
      <c r="Y129" s="48">
        <f>データ!V126</f>
        <v>0</v>
      </c>
      <c r="Z129" s="39">
        <f>IF(OR($C129="総括",$C129="内訳書",$C129="内訳代価",$C129="明細書",$C129="明細代価",$C129="代価表",$C129="単価表"),データ!W126,"")</f>
        <v>0</v>
      </c>
      <c r="AA129" s="11" t="str">
        <f t="shared" si="10"/>
        <v/>
      </c>
      <c r="AB129" s="46" t="e">
        <f t="shared" si="11"/>
        <v>#DIV/0!</v>
      </c>
      <c r="AC129" s="40" t="str">
        <f>IF(データ!X126="","",データ!X126)</f>
        <v/>
      </c>
      <c r="AD129" s="41" t="str">
        <f>IF(データ!Y126="","",データ!Y126)</f>
        <v/>
      </c>
      <c r="AE129" s="47" t="str">
        <f>TRIM(データ!B126)</f>
        <v/>
      </c>
      <c r="AF129" s="43" t="str">
        <f>TRIM(データ!Z126)</f>
        <v/>
      </c>
    </row>
    <row r="130" spans="1:32" x14ac:dyDescent="0.15">
      <c r="A130" s="47">
        <f>データ!A127</f>
        <v>3</v>
      </c>
      <c r="B130" s="47" t="str">
        <f>TRIM(データ!C127)</f>
        <v/>
      </c>
      <c r="C130" s="47" t="str">
        <f>TRIM(データ!D127)</f>
        <v>運搬費</v>
      </c>
      <c r="D130" s="36" t="str">
        <f>REPT("｜",$A130)&amp;TRIM(データ!E127)</f>
        <v>｜｜｜ダンプトラック常用4t</v>
      </c>
      <c r="E130" s="37" t="str">
        <f>TRIM(データ!F127)</f>
        <v>オペ燃料付き</v>
      </c>
      <c r="F130" s="38" t="str">
        <f>TRIM(データ!G127)</f>
        <v>日台</v>
      </c>
      <c r="G130" s="50">
        <f>データ!H127</f>
        <v>4</v>
      </c>
      <c r="H130" s="48">
        <f>データ!I127</f>
        <v>35000</v>
      </c>
      <c r="I130" s="48">
        <f>データ!J127</f>
        <v>140000</v>
      </c>
      <c r="J130" s="39" t="str">
        <f>IF(OR($C130="総括",$C130="内訳書",$C130="内訳代価",$C130="明細書",$C130="明細代価",$C130="代価表",$C130="単価表"),データ!K127,"")</f>
        <v/>
      </c>
      <c r="K130" s="11" t="str">
        <f t="shared" si="6"/>
        <v/>
      </c>
      <c r="L130" s="46">
        <f t="shared" si="7"/>
        <v>5.9447983014862E-3</v>
      </c>
      <c r="M130" s="40" t="str">
        <f>IF(データ!L127="","",データ!L127)</f>
        <v/>
      </c>
      <c r="N130" s="41" t="str">
        <f>IF(データ!M127="","",データ!M127)</f>
        <v/>
      </c>
      <c r="O130" s="42">
        <f>データ!N127</f>
        <v>0</v>
      </c>
      <c r="P130" s="48">
        <f>IF($C130="集計行","",データ!O127)</f>
        <v>0</v>
      </c>
      <c r="Q130" s="48">
        <f>データ!P127</f>
        <v>0</v>
      </c>
      <c r="R130" s="39" t="str">
        <f>IF(OR($C130="総括",$C130="内訳書",$C130="内訳代価",$C130="明細書",$C130="明細代価",$C130="代価表",$C130="単価表"),データ!Q127,"")</f>
        <v/>
      </c>
      <c r="S130" s="11" t="str">
        <f t="shared" si="8"/>
        <v/>
      </c>
      <c r="T130" s="46" t="e">
        <f t="shared" si="9"/>
        <v>#DIV/0!</v>
      </c>
      <c r="U130" s="40" t="str">
        <f>IF(データ!R127="","",データ!R127)</f>
        <v/>
      </c>
      <c r="V130" s="41" t="str">
        <f>IF(データ!S127="","",データ!S127)</f>
        <v/>
      </c>
      <c r="W130" s="42">
        <f>データ!T127</f>
        <v>0</v>
      </c>
      <c r="X130" s="48">
        <f>IF($C130="集計行","",データ!U127)</f>
        <v>0</v>
      </c>
      <c r="Y130" s="48">
        <f>データ!V127</f>
        <v>0</v>
      </c>
      <c r="Z130" s="39" t="str">
        <f>IF(OR($C130="総括",$C130="内訳書",$C130="内訳代価",$C130="明細書",$C130="明細代価",$C130="代価表",$C130="単価表"),データ!W127,"")</f>
        <v/>
      </c>
      <c r="AA130" s="11" t="str">
        <f t="shared" si="10"/>
        <v/>
      </c>
      <c r="AB130" s="46" t="e">
        <f t="shared" si="11"/>
        <v>#DIV/0!</v>
      </c>
      <c r="AC130" s="40" t="str">
        <f>IF(データ!X127="","",データ!X127)</f>
        <v/>
      </c>
      <c r="AD130" s="41" t="str">
        <f>IF(データ!Y127="","",データ!Y127)</f>
        <v/>
      </c>
      <c r="AE130" s="47" t="str">
        <f>TRIM(データ!B127)</f>
        <v>u20718001</v>
      </c>
      <c r="AF130" s="43" t="str">
        <f>TRIM(データ!Z127)</f>
        <v/>
      </c>
    </row>
    <row r="131" spans="1:32" x14ac:dyDescent="0.15">
      <c r="A131" s="47">
        <f>データ!A128</f>
        <v>3</v>
      </c>
      <c r="B131" s="47" t="str">
        <f>TRIM(データ!C128)</f>
        <v/>
      </c>
      <c r="C131" s="47" t="str">
        <f>TRIM(データ!D128)</f>
        <v>運搬費</v>
      </c>
      <c r="D131" s="36" t="str">
        <f>REPT("｜",$A131)&amp;TRIM(データ!E128)</f>
        <v>｜｜｜As塊処分</v>
      </c>
      <c r="E131" s="37" t="str">
        <f>TRIM(データ!F128)</f>
        <v/>
      </c>
      <c r="F131" s="38" t="str">
        <f>TRIM(データ!G128)</f>
        <v>t</v>
      </c>
      <c r="G131" s="50">
        <f>データ!H128</f>
        <v>40</v>
      </c>
      <c r="H131" s="48">
        <f>データ!I128</f>
        <v>300</v>
      </c>
      <c r="I131" s="48">
        <f>データ!J128</f>
        <v>12000</v>
      </c>
      <c r="J131" s="39" t="str">
        <f>IF(OR($C131="総括",$C131="内訳書",$C131="内訳代価",$C131="明細書",$C131="明細代価",$C131="代価表",$C131="単価表"),データ!K128,"")</f>
        <v/>
      </c>
      <c r="K131" s="11" t="str">
        <f t="shared" si="6"/>
        <v/>
      </c>
      <c r="L131" s="46">
        <f t="shared" si="7"/>
        <v>5.0955414012738849E-4</v>
      </c>
      <c r="M131" s="40" t="str">
        <f>IF(データ!L128="","",データ!L128)</f>
        <v/>
      </c>
      <c r="N131" s="41" t="str">
        <f>IF(データ!M128="","",データ!M128)</f>
        <v/>
      </c>
      <c r="O131" s="42">
        <f>データ!N128</f>
        <v>0</v>
      </c>
      <c r="P131" s="48">
        <f>IF($C131="集計行","",データ!O128)</f>
        <v>0</v>
      </c>
      <c r="Q131" s="48">
        <f>データ!P128</f>
        <v>0</v>
      </c>
      <c r="R131" s="39" t="str">
        <f>IF(OR($C131="総括",$C131="内訳書",$C131="内訳代価",$C131="明細書",$C131="明細代価",$C131="代価表",$C131="単価表"),データ!Q128,"")</f>
        <v/>
      </c>
      <c r="S131" s="11" t="str">
        <f t="shared" si="8"/>
        <v/>
      </c>
      <c r="T131" s="46" t="e">
        <f t="shared" si="9"/>
        <v>#DIV/0!</v>
      </c>
      <c r="U131" s="40" t="str">
        <f>IF(データ!R128="","",データ!R128)</f>
        <v/>
      </c>
      <c r="V131" s="41" t="str">
        <f>IF(データ!S128="","",データ!S128)</f>
        <v/>
      </c>
      <c r="W131" s="42">
        <f>データ!T128</f>
        <v>0</v>
      </c>
      <c r="X131" s="48">
        <f>IF($C131="集計行","",データ!U128)</f>
        <v>0</v>
      </c>
      <c r="Y131" s="48">
        <f>データ!V128</f>
        <v>0</v>
      </c>
      <c r="Z131" s="39" t="str">
        <f>IF(OR($C131="総括",$C131="内訳書",$C131="内訳代価",$C131="明細書",$C131="明細代価",$C131="代価表",$C131="単価表"),データ!W128,"")</f>
        <v/>
      </c>
      <c r="AA131" s="11" t="str">
        <f t="shared" si="10"/>
        <v/>
      </c>
      <c r="AB131" s="46" t="e">
        <f t="shared" si="11"/>
        <v>#DIV/0!</v>
      </c>
      <c r="AC131" s="40" t="str">
        <f>IF(データ!X128="","",データ!X128)</f>
        <v/>
      </c>
      <c r="AD131" s="41" t="str">
        <f>IF(データ!Y128="","",データ!Y128)</f>
        <v/>
      </c>
      <c r="AE131" s="47" t="str">
        <f>TRIM(データ!B128)</f>
        <v>u20718037</v>
      </c>
      <c r="AF131" s="43" t="str">
        <f>TRIM(データ!Z128)</f>
        <v/>
      </c>
    </row>
    <row r="132" spans="1:32" x14ac:dyDescent="0.15">
      <c r="A132" s="47">
        <f>データ!A129</f>
        <v>3</v>
      </c>
      <c r="B132" s="47" t="str">
        <f>TRIM(データ!C129)</f>
        <v/>
      </c>
      <c r="C132" s="47" t="str">
        <f>TRIM(データ!D129)</f>
        <v>運搬費</v>
      </c>
      <c r="D132" s="36" t="str">
        <f>REPT("｜",$A132)&amp;TRIM(データ!E129)</f>
        <v>｜｜｜Co塊処分</v>
      </c>
      <c r="E132" s="37" t="str">
        <f>TRIM(データ!F129)</f>
        <v/>
      </c>
      <c r="F132" s="38" t="str">
        <f>TRIM(データ!G129)</f>
        <v>t</v>
      </c>
      <c r="G132" s="50">
        <f>データ!H129</f>
        <v>0.5</v>
      </c>
      <c r="H132" s="48">
        <f>データ!I129</f>
        <v>3500</v>
      </c>
      <c r="I132" s="48">
        <f>データ!J129</f>
        <v>1750</v>
      </c>
      <c r="J132" s="39" t="str">
        <f>IF(OR($C132="総括",$C132="内訳書",$C132="内訳代価",$C132="明細書",$C132="明細代価",$C132="代価表",$C132="単価表"),データ!K129,"")</f>
        <v/>
      </c>
      <c r="K132" s="11" t="str">
        <f t="shared" si="6"/>
        <v/>
      </c>
      <c r="L132" s="46">
        <f t="shared" si="7"/>
        <v>7.4309978768577494E-5</v>
      </c>
      <c r="M132" s="40" t="str">
        <f>IF(データ!L129="","",データ!L129)</f>
        <v/>
      </c>
      <c r="N132" s="41" t="str">
        <f>IF(データ!M129="","",データ!M129)</f>
        <v/>
      </c>
      <c r="O132" s="42">
        <f>データ!N129</f>
        <v>0</v>
      </c>
      <c r="P132" s="48">
        <f>IF($C132="集計行","",データ!O129)</f>
        <v>0</v>
      </c>
      <c r="Q132" s="48">
        <f>データ!P129</f>
        <v>0</v>
      </c>
      <c r="R132" s="39" t="str">
        <f>IF(OR($C132="総括",$C132="内訳書",$C132="内訳代価",$C132="明細書",$C132="明細代価",$C132="代価表",$C132="単価表"),データ!Q129,"")</f>
        <v/>
      </c>
      <c r="S132" s="11" t="str">
        <f t="shared" si="8"/>
        <v/>
      </c>
      <c r="T132" s="46" t="e">
        <f t="shared" si="9"/>
        <v>#DIV/0!</v>
      </c>
      <c r="U132" s="40" t="str">
        <f>IF(データ!R129="","",データ!R129)</f>
        <v/>
      </c>
      <c r="V132" s="41" t="str">
        <f>IF(データ!S129="","",データ!S129)</f>
        <v/>
      </c>
      <c r="W132" s="42">
        <f>データ!T129</f>
        <v>0</v>
      </c>
      <c r="X132" s="48">
        <f>IF($C132="集計行","",データ!U129)</f>
        <v>0</v>
      </c>
      <c r="Y132" s="48">
        <f>データ!V129</f>
        <v>0</v>
      </c>
      <c r="Z132" s="39" t="str">
        <f>IF(OR($C132="総括",$C132="内訳書",$C132="内訳代価",$C132="明細書",$C132="明細代価",$C132="代価表",$C132="単価表"),データ!W129,"")</f>
        <v/>
      </c>
      <c r="AA132" s="11" t="str">
        <f t="shared" si="10"/>
        <v/>
      </c>
      <c r="AB132" s="46" t="e">
        <f t="shared" si="11"/>
        <v>#DIV/0!</v>
      </c>
      <c r="AC132" s="40" t="str">
        <f>IF(データ!X129="","",データ!X129)</f>
        <v/>
      </c>
      <c r="AD132" s="41" t="str">
        <f>IF(データ!Y129="","",データ!Y129)</f>
        <v/>
      </c>
      <c r="AE132" s="47" t="str">
        <f>TRIM(データ!B129)</f>
        <v>u20718041</v>
      </c>
      <c r="AF132" s="43" t="str">
        <f>TRIM(データ!Z129)</f>
        <v/>
      </c>
    </row>
    <row r="133" spans="1:32" x14ac:dyDescent="0.15">
      <c r="A133" s="47">
        <f>データ!A130</f>
        <v>3</v>
      </c>
      <c r="B133" s="47" t="str">
        <f>TRIM(データ!C130)</f>
        <v/>
      </c>
      <c r="C133" s="47" t="str">
        <f>TRIM(データ!D130)</f>
        <v>運搬費</v>
      </c>
      <c r="D133" s="36" t="str">
        <f>REPT("｜",$A133)&amp;TRIM(データ!E130)</f>
        <v>｜｜｜端数調整金</v>
      </c>
      <c r="E133" s="37" t="str">
        <f>TRIM(データ!F130)</f>
        <v/>
      </c>
      <c r="F133" s="38" t="str">
        <f>TRIM(データ!G130)</f>
        <v>式</v>
      </c>
      <c r="G133" s="50">
        <f>データ!H130</f>
        <v>1</v>
      </c>
      <c r="H133" s="48">
        <f>データ!I130</f>
        <v>950</v>
      </c>
      <c r="I133" s="48">
        <f>データ!J130</f>
        <v>950</v>
      </c>
      <c r="J133" s="39" t="str">
        <f>IF(OR($C133="総括",$C133="内訳書",$C133="内訳代価",$C133="明細書",$C133="明細代価",$C133="代価表",$C133="単価表"),データ!K130,"")</f>
        <v/>
      </c>
      <c r="K133" s="11" t="str">
        <f t="shared" ref="K133:K175" si="12">IF(OR(J133="",G133=J133),"","*")</f>
        <v/>
      </c>
      <c r="L133" s="46">
        <f t="shared" ref="L133:L175" si="13">IF($A133&lt;=L$1,I133/I$4,"")</f>
        <v>4.0339702760084929E-5</v>
      </c>
      <c r="M133" s="40" t="str">
        <f>IF(データ!L130="","",データ!L130)</f>
        <v/>
      </c>
      <c r="N133" s="41" t="str">
        <f>IF(データ!M130="","",データ!M130)</f>
        <v/>
      </c>
      <c r="O133" s="42">
        <f>データ!N130</f>
        <v>0</v>
      </c>
      <c r="P133" s="48">
        <f>IF($C133="集計行","",データ!O130)</f>
        <v>0</v>
      </c>
      <c r="Q133" s="48">
        <f>データ!P130</f>
        <v>0</v>
      </c>
      <c r="R133" s="39" t="str">
        <f>IF(OR($C133="総括",$C133="内訳書",$C133="内訳代価",$C133="明細書",$C133="明細代価",$C133="代価表",$C133="単価表"),データ!Q130,"")</f>
        <v/>
      </c>
      <c r="S133" s="11" t="str">
        <f t="shared" ref="S133:S175" si="14">IF(OR(R133="",O133=R133),"","*")</f>
        <v/>
      </c>
      <c r="T133" s="46" t="e">
        <f t="shared" ref="T133:T175" si="15">IF($A133&lt;=T$1,Q133/Q$4,"")</f>
        <v>#DIV/0!</v>
      </c>
      <c r="U133" s="40" t="str">
        <f>IF(データ!R130="","",データ!R130)</f>
        <v/>
      </c>
      <c r="V133" s="41" t="str">
        <f>IF(データ!S130="","",データ!S130)</f>
        <v/>
      </c>
      <c r="W133" s="42">
        <f>データ!T130</f>
        <v>0</v>
      </c>
      <c r="X133" s="48">
        <f>IF($C133="集計行","",データ!U130)</f>
        <v>0</v>
      </c>
      <c r="Y133" s="48">
        <f>データ!V130</f>
        <v>0</v>
      </c>
      <c r="Z133" s="39" t="str">
        <f>IF(OR($C133="総括",$C133="内訳書",$C133="内訳代価",$C133="明細書",$C133="明細代価",$C133="代価表",$C133="単価表"),データ!W130,"")</f>
        <v/>
      </c>
      <c r="AA133" s="11" t="str">
        <f t="shared" ref="AA133:AA175" si="16">IF(OR(Z133="",W133=Z133),"","*")</f>
        <v/>
      </c>
      <c r="AB133" s="46" t="e">
        <f t="shared" ref="AB133:AB175" si="17">IF($A133&lt;=AB$1,Y133/Y$4,"")</f>
        <v>#DIV/0!</v>
      </c>
      <c r="AC133" s="40" t="str">
        <f>IF(データ!X130="","",データ!X130)</f>
        <v/>
      </c>
      <c r="AD133" s="41" t="str">
        <f>IF(データ!Y130="","",データ!Y130)</f>
        <v/>
      </c>
      <c r="AE133" s="47" t="str">
        <f>TRIM(データ!B130)</f>
        <v/>
      </c>
      <c r="AF133" s="43" t="str">
        <f>TRIM(データ!Z130)</f>
        <v/>
      </c>
    </row>
    <row r="134" spans="1:32" x14ac:dyDescent="0.15">
      <c r="A134" s="47">
        <f>データ!A131</f>
        <v>2</v>
      </c>
      <c r="B134" s="47" t="str">
        <f>TRIM(データ!C131)</f>
        <v/>
      </c>
      <c r="C134" s="47" t="str">
        <f>TRIM(データ!D131)</f>
        <v>内訳代価</v>
      </c>
      <c r="D134" s="36" t="str">
        <f>REPT("｜",$A134)&amp;TRIM(データ!E131)</f>
        <v>｜｜歩道舗装工</v>
      </c>
      <c r="E134" s="37" t="str">
        <f>TRIM(データ!F131)</f>
        <v>一般部</v>
      </c>
      <c r="F134" s="38" t="str">
        <f>TRIM(データ!G131)</f>
        <v>m2</v>
      </c>
      <c r="G134" s="50">
        <f>データ!H131</f>
        <v>254</v>
      </c>
      <c r="H134" s="48">
        <f>データ!I131</f>
        <v>1730</v>
      </c>
      <c r="I134" s="48">
        <f>データ!J131</f>
        <v>439420</v>
      </c>
      <c r="J134" s="39">
        <f>IF(OR($C134="総括",$C134="内訳書",$C134="内訳代価",$C134="明細書",$C134="明細代価",$C134="代価表",$C134="単価表"),データ!K131,"")</f>
        <v>254</v>
      </c>
      <c r="K134" s="11" t="str">
        <f t="shared" si="12"/>
        <v/>
      </c>
      <c r="L134" s="46">
        <f t="shared" si="13"/>
        <v>1.8659023354564756E-2</v>
      </c>
      <c r="M134" s="40" t="str">
        <f>IF(データ!L131="","",データ!L131)</f>
        <v/>
      </c>
      <c r="N134" s="41" t="str">
        <f>IF(データ!M131="","",データ!M131)</f>
        <v>31号内訳書</v>
      </c>
      <c r="O134" s="42">
        <f>データ!N131</f>
        <v>0</v>
      </c>
      <c r="P134" s="48">
        <f>IF($C134="集計行","",データ!O131)</f>
        <v>0</v>
      </c>
      <c r="Q134" s="48">
        <f>データ!P131</f>
        <v>0</v>
      </c>
      <c r="R134" s="39">
        <f>IF(OR($C134="総括",$C134="内訳書",$C134="内訳代価",$C134="明細書",$C134="明細代価",$C134="代価表",$C134="単価表"),データ!Q131,"")</f>
        <v>0</v>
      </c>
      <c r="S134" s="11" t="str">
        <f t="shared" si="14"/>
        <v/>
      </c>
      <c r="T134" s="46" t="e">
        <f t="shared" si="15"/>
        <v>#DIV/0!</v>
      </c>
      <c r="U134" s="40" t="str">
        <f>IF(データ!R131="","",データ!R131)</f>
        <v/>
      </c>
      <c r="V134" s="41" t="str">
        <f>IF(データ!S131="","",データ!S131)</f>
        <v/>
      </c>
      <c r="W134" s="42">
        <f>データ!T131</f>
        <v>0</v>
      </c>
      <c r="X134" s="48">
        <f>IF($C134="集計行","",データ!U131)</f>
        <v>0</v>
      </c>
      <c r="Y134" s="48">
        <f>データ!V131</f>
        <v>0</v>
      </c>
      <c r="Z134" s="39">
        <f>IF(OR($C134="総括",$C134="内訳書",$C134="内訳代価",$C134="明細書",$C134="明細代価",$C134="代価表",$C134="単価表"),データ!W131,"")</f>
        <v>0</v>
      </c>
      <c r="AA134" s="11" t="str">
        <f t="shared" si="16"/>
        <v/>
      </c>
      <c r="AB134" s="46" t="e">
        <f t="shared" si="17"/>
        <v>#DIV/0!</v>
      </c>
      <c r="AC134" s="40" t="str">
        <f>IF(データ!X131="","",データ!X131)</f>
        <v/>
      </c>
      <c r="AD134" s="41" t="str">
        <f>IF(データ!Y131="","",データ!Y131)</f>
        <v/>
      </c>
      <c r="AE134" s="47" t="str">
        <f>TRIM(データ!B131)</f>
        <v/>
      </c>
      <c r="AF134" s="43" t="str">
        <f>TRIM(データ!Z131)</f>
        <v/>
      </c>
    </row>
    <row r="135" spans="1:32" x14ac:dyDescent="0.15">
      <c r="A135" s="47">
        <f>データ!A132</f>
        <v>3</v>
      </c>
      <c r="B135" s="47" t="str">
        <f>TRIM(データ!C132)</f>
        <v/>
      </c>
      <c r="C135" s="47" t="str">
        <f>TRIM(データ!D132)</f>
        <v>材料費</v>
      </c>
      <c r="D135" s="36" t="str">
        <f>REPT("｜",$A135)&amp;TRIM(データ!E132)</f>
        <v>｜｜｜透水性開粒度As13</v>
      </c>
      <c r="E135" s="37" t="str">
        <f>TRIM(データ!F132)</f>
        <v/>
      </c>
      <c r="F135" s="38" t="str">
        <f>TRIM(データ!G132)</f>
        <v>ｔ</v>
      </c>
      <c r="G135" s="50">
        <f>データ!H132</f>
        <v>22</v>
      </c>
      <c r="H135" s="48">
        <f>データ!I132</f>
        <v>11500</v>
      </c>
      <c r="I135" s="48">
        <f>データ!J132</f>
        <v>253000</v>
      </c>
      <c r="J135" s="39" t="str">
        <f>IF(OR($C135="総括",$C135="内訳書",$C135="内訳代価",$C135="明細書",$C135="明細代価",$C135="代価表",$C135="単価表"),データ!K132,"")</f>
        <v/>
      </c>
      <c r="K135" s="11" t="str">
        <f t="shared" si="12"/>
        <v/>
      </c>
      <c r="L135" s="46">
        <f t="shared" si="13"/>
        <v>1.0743099787685775E-2</v>
      </c>
      <c r="M135" s="40" t="str">
        <f>IF(データ!L132="","",データ!L132)</f>
        <v/>
      </c>
      <c r="N135" s="41" t="str">
        <f>IF(データ!M132="","",データ!M132)</f>
        <v/>
      </c>
      <c r="O135" s="42">
        <f>データ!N132</f>
        <v>0</v>
      </c>
      <c r="P135" s="48">
        <f>IF($C135="集計行","",データ!O132)</f>
        <v>0</v>
      </c>
      <c r="Q135" s="48">
        <f>データ!P132</f>
        <v>0</v>
      </c>
      <c r="R135" s="39" t="str">
        <f>IF(OR($C135="総括",$C135="内訳書",$C135="内訳代価",$C135="明細書",$C135="明細代価",$C135="代価表",$C135="単価表"),データ!Q132,"")</f>
        <v/>
      </c>
      <c r="S135" s="11" t="str">
        <f t="shared" si="14"/>
        <v/>
      </c>
      <c r="T135" s="46" t="e">
        <f t="shared" si="15"/>
        <v>#DIV/0!</v>
      </c>
      <c r="U135" s="40" t="str">
        <f>IF(データ!R132="","",データ!R132)</f>
        <v/>
      </c>
      <c r="V135" s="41" t="str">
        <f>IF(データ!S132="","",データ!S132)</f>
        <v/>
      </c>
      <c r="W135" s="42">
        <f>データ!T132</f>
        <v>0</v>
      </c>
      <c r="X135" s="48">
        <f>IF($C135="集計行","",データ!U132)</f>
        <v>0</v>
      </c>
      <c r="Y135" s="48">
        <f>データ!V132</f>
        <v>0</v>
      </c>
      <c r="Z135" s="39" t="str">
        <f>IF(OR($C135="総括",$C135="内訳書",$C135="内訳代価",$C135="明細書",$C135="明細代価",$C135="代価表",$C135="単価表"),データ!W132,"")</f>
        <v/>
      </c>
      <c r="AA135" s="11" t="str">
        <f t="shared" si="16"/>
        <v/>
      </c>
      <c r="AB135" s="46" t="e">
        <f t="shared" si="17"/>
        <v>#DIV/0!</v>
      </c>
      <c r="AC135" s="40" t="str">
        <f>IF(データ!X132="","",データ!X132)</f>
        <v/>
      </c>
      <c r="AD135" s="41" t="str">
        <f>IF(データ!Y132="","",データ!Y132)</f>
        <v/>
      </c>
      <c r="AE135" s="47" t="str">
        <f>TRIM(データ!B132)</f>
        <v>s20718009</v>
      </c>
      <c r="AF135" s="43" t="str">
        <f>TRIM(データ!Z132)</f>
        <v/>
      </c>
    </row>
    <row r="136" spans="1:32" x14ac:dyDescent="0.15">
      <c r="A136" s="47">
        <f>データ!A133</f>
        <v>3</v>
      </c>
      <c r="B136" s="47" t="str">
        <f>TRIM(データ!C133)</f>
        <v/>
      </c>
      <c r="C136" s="47" t="str">
        <f>TRIM(データ!D133)</f>
        <v>材料費</v>
      </c>
      <c r="D136" s="36" t="str">
        <f>REPT("｜",$A136)&amp;TRIM(データ!E133)</f>
        <v>｜｜｜燃料　軽油</v>
      </c>
      <c r="E136" s="37" t="str">
        <f>TRIM(データ!F133)</f>
        <v/>
      </c>
      <c r="F136" s="38" t="str">
        <f>TRIM(データ!G133)</f>
        <v>L</v>
      </c>
      <c r="G136" s="50">
        <f>データ!H133</f>
        <v>50</v>
      </c>
      <c r="H136" s="48">
        <f>データ!I133</f>
        <v>160</v>
      </c>
      <c r="I136" s="48">
        <f>データ!J133</f>
        <v>8000</v>
      </c>
      <c r="J136" s="39" t="str">
        <f>IF(OR($C136="総括",$C136="内訳書",$C136="内訳代価",$C136="明細書",$C136="明細代価",$C136="代価表",$C136="単価表"),データ!K133,"")</f>
        <v/>
      </c>
      <c r="K136" s="11" t="str">
        <f t="shared" si="12"/>
        <v/>
      </c>
      <c r="L136" s="46">
        <f t="shared" si="13"/>
        <v>3.3970276008492571E-4</v>
      </c>
      <c r="M136" s="40" t="str">
        <f>IF(データ!L133="","",データ!L133)</f>
        <v/>
      </c>
      <c r="N136" s="41" t="str">
        <f>IF(データ!M133="","",データ!M133)</f>
        <v/>
      </c>
      <c r="O136" s="42">
        <f>データ!N133</f>
        <v>0</v>
      </c>
      <c r="P136" s="48">
        <f>IF($C136="集計行","",データ!O133)</f>
        <v>0</v>
      </c>
      <c r="Q136" s="48">
        <f>データ!P133</f>
        <v>0</v>
      </c>
      <c r="R136" s="39" t="str">
        <f>IF(OR($C136="総括",$C136="内訳書",$C136="内訳代価",$C136="明細書",$C136="明細代価",$C136="代価表",$C136="単価表"),データ!Q133,"")</f>
        <v/>
      </c>
      <c r="S136" s="11" t="str">
        <f t="shared" si="14"/>
        <v/>
      </c>
      <c r="T136" s="46" t="e">
        <f t="shared" si="15"/>
        <v>#DIV/0!</v>
      </c>
      <c r="U136" s="40" t="str">
        <f>IF(データ!R133="","",データ!R133)</f>
        <v/>
      </c>
      <c r="V136" s="41" t="str">
        <f>IF(データ!S133="","",データ!S133)</f>
        <v/>
      </c>
      <c r="W136" s="42">
        <f>データ!T133</f>
        <v>0</v>
      </c>
      <c r="X136" s="48">
        <f>IF($C136="集計行","",データ!U133)</f>
        <v>0</v>
      </c>
      <c r="Y136" s="48">
        <f>データ!V133</f>
        <v>0</v>
      </c>
      <c r="Z136" s="39" t="str">
        <f>IF(OR($C136="総括",$C136="内訳書",$C136="内訳代価",$C136="明細書",$C136="明細代価",$C136="代価表",$C136="単価表"),データ!W133,"")</f>
        <v/>
      </c>
      <c r="AA136" s="11" t="str">
        <f t="shared" si="16"/>
        <v/>
      </c>
      <c r="AB136" s="46" t="e">
        <f t="shared" si="17"/>
        <v>#DIV/0!</v>
      </c>
      <c r="AC136" s="40" t="str">
        <f>IF(データ!X133="","",データ!X133)</f>
        <v/>
      </c>
      <c r="AD136" s="41" t="str">
        <f>IF(データ!Y133="","",データ!Y133)</f>
        <v/>
      </c>
      <c r="AE136" s="47" t="str">
        <f>TRIM(データ!B133)</f>
        <v>s20718002</v>
      </c>
      <c r="AF136" s="43" t="str">
        <f>TRIM(データ!Z133)</f>
        <v/>
      </c>
    </row>
    <row r="137" spans="1:32" x14ac:dyDescent="0.15">
      <c r="A137" s="47">
        <f>データ!A134</f>
        <v>3</v>
      </c>
      <c r="B137" s="47" t="str">
        <f>TRIM(データ!C134)</f>
        <v/>
      </c>
      <c r="C137" s="47" t="str">
        <f>TRIM(データ!D134)</f>
        <v>材料費</v>
      </c>
      <c r="D137" s="36" t="str">
        <f>REPT("｜",$A137)&amp;TRIM(データ!E134)</f>
        <v>｜｜｜雑材</v>
      </c>
      <c r="E137" s="37" t="str">
        <f>TRIM(データ!F134)</f>
        <v/>
      </c>
      <c r="F137" s="38" t="str">
        <f>TRIM(データ!G134)</f>
        <v>式</v>
      </c>
      <c r="G137" s="50">
        <f>データ!H134</f>
        <v>1</v>
      </c>
      <c r="H137" s="48">
        <f>データ!I134</f>
        <v>1420</v>
      </c>
      <c r="I137" s="48">
        <f>データ!J134</f>
        <v>1420</v>
      </c>
      <c r="J137" s="39" t="str">
        <f>IF(OR($C137="総括",$C137="内訳書",$C137="内訳代価",$C137="明細書",$C137="明細代価",$C137="代価表",$C137="単価表"),データ!K134,"")</f>
        <v/>
      </c>
      <c r="K137" s="11" t="str">
        <f t="shared" si="12"/>
        <v/>
      </c>
      <c r="L137" s="46">
        <f t="shared" si="13"/>
        <v>6.0297239915074307E-5</v>
      </c>
      <c r="M137" s="40" t="str">
        <f>IF(データ!L134="","",データ!L134)</f>
        <v/>
      </c>
      <c r="N137" s="41" t="str">
        <f>IF(データ!M134="","",データ!M134)</f>
        <v/>
      </c>
      <c r="O137" s="42">
        <f>データ!N134</f>
        <v>0</v>
      </c>
      <c r="P137" s="48">
        <f>IF($C137="集計行","",データ!O134)</f>
        <v>0</v>
      </c>
      <c r="Q137" s="48">
        <f>データ!P134</f>
        <v>0</v>
      </c>
      <c r="R137" s="39" t="str">
        <f>IF(OR($C137="総括",$C137="内訳書",$C137="内訳代価",$C137="明細書",$C137="明細代価",$C137="代価表",$C137="単価表"),データ!Q134,"")</f>
        <v/>
      </c>
      <c r="S137" s="11" t="str">
        <f t="shared" si="14"/>
        <v/>
      </c>
      <c r="T137" s="46" t="e">
        <f t="shared" si="15"/>
        <v>#DIV/0!</v>
      </c>
      <c r="U137" s="40" t="str">
        <f>IF(データ!R134="","",データ!R134)</f>
        <v/>
      </c>
      <c r="V137" s="41" t="str">
        <f>IF(データ!S134="","",データ!S134)</f>
        <v/>
      </c>
      <c r="W137" s="42">
        <f>データ!T134</f>
        <v>0</v>
      </c>
      <c r="X137" s="48">
        <f>IF($C137="集計行","",データ!U134)</f>
        <v>0</v>
      </c>
      <c r="Y137" s="48">
        <f>データ!V134</f>
        <v>0</v>
      </c>
      <c r="Z137" s="39" t="str">
        <f>IF(OR($C137="総括",$C137="内訳書",$C137="内訳代価",$C137="明細書",$C137="明細代価",$C137="代価表",$C137="単価表"),データ!W134,"")</f>
        <v/>
      </c>
      <c r="AA137" s="11" t="str">
        <f t="shared" si="16"/>
        <v/>
      </c>
      <c r="AB137" s="46" t="e">
        <f t="shared" si="17"/>
        <v>#DIV/0!</v>
      </c>
      <c r="AC137" s="40" t="str">
        <f>IF(データ!X134="","",データ!X134)</f>
        <v/>
      </c>
      <c r="AD137" s="41" t="str">
        <f>IF(データ!Y134="","",データ!Y134)</f>
        <v/>
      </c>
      <c r="AE137" s="47" t="str">
        <f>TRIM(データ!B134)</f>
        <v>s20718001</v>
      </c>
      <c r="AF137" s="43" t="str">
        <f>TRIM(データ!Z134)</f>
        <v/>
      </c>
    </row>
    <row r="138" spans="1:32" x14ac:dyDescent="0.15">
      <c r="A138" s="47">
        <f>データ!A135</f>
        <v>3</v>
      </c>
      <c r="B138" s="47" t="str">
        <f>TRIM(データ!C135)</f>
        <v/>
      </c>
      <c r="C138" s="47" t="str">
        <f>TRIM(データ!D135)</f>
        <v>労務費</v>
      </c>
      <c r="D138" s="36" t="str">
        <f>REPT("｜",$A138)&amp;TRIM(データ!E135)</f>
        <v>｜｜｜運転工</v>
      </c>
      <c r="E138" s="37" t="str">
        <f>TRIM(データ!F135)</f>
        <v>8H</v>
      </c>
      <c r="F138" s="38" t="str">
        <f>TRIM(データ!G135)</f>
        <v>人</v>
      </c>
      <c r="G138" s="50">
        <f>データ!H135</f>
        <v>5</v>
      </c>
      <c r="H138" s="48">
        <f>データ!I135</f>
        <v>23000</v>
      </c>
      <c r="I138" s="48">
        <f>データ!J135</f>
        <v>115000</v>
      </c>
      <c r="J138" s="39" t="str">
        <f>IF(OR($C138="総括",$C138="内訳書",$C138="内訳代価",$C138="明細書",$C138="明細代価",$C138="代価表",$C138="単価表"),データ!K135,"")</f>
        <v/>
      </c>
      <c r="K138" s="11" t="str">
        <f t="shared" si="12"/>
        <v/>
      </c>
      <c r="L138" s="46">
        <f t="shared" si="13"/>
        <v>4.8832271762208066E-3</v>
      </c>
      <c r="M138" s="40" t="str">
        <f>IF(データ!L135="","",データ!L135)</f>
        <v/>
      </c>
      <c r="N138" s="41" t="str">
        <f>IF(データ!M135="","",データ!M135)</f>
        <v/>
      </c>
      <c r="O138" s="42">
        <f>データ!N135</f>
        <v>0</v>
      </c>
      <c r="P138" s="48">
        <f>IF($C138="集計行","",データ!O135)</f>
        <v>0</v>
      </c>
      <c r="Q138" s="48">
        <f>データ!P135</f>
        <v>0</v>
      </c>
      <c r="R138" s="39" t="str">
        <f>IF(OR($C138="総括",$C138="内訳書",$C138="内訳代価",$C138="明細書",$C138="明細代価",$C138="代価表",$C138="単価表"),データ!Q135,"")</f>
        <v/>
      </c>
      <c r="S138" s="11" t="str">
        <f t="shared" si="14"/>
        <v/>
      </c>
      <c r="T138" s="46" t="e">
        <f t="shared" si="15"/>
        <v>#DIV/0!</v>
      </c>
      <c r="U138" s="40" t="str">
        <f>IF(データ!R135="","",データ!R135)</f>
        <v/>
      </c>
      <c r="V138" s="41" t="str">
        <f>IF(データ!S135="","",データ!S135)</f>
        <v/>
      </c>
      <c r="W138" s="42">
        <f>データ!T135</f>
        <v>0</v>
      </c>
      <c r="X138" s="48">
        <f>IF($C138="集計行","",データ!U135)</f>
        <v>0</v>
      </c>
      <c r="Y138" s="48">
        <f>データ!V135</f>
        <v>0</v>
      </c>
      <c r="Z138" s="39" t="str">
        <f>IF(OR($C138="総括",$C138="内訳書",$C138="内訳代価",$C138="明細書",$C138="明細代価",$C138="代価表",$C138="単価表"),データ!W135,"")</f>
        <v/>
      </c>
      <c r="AA138" s="11" t="str">
        <f t="shared" si="16"/>
        <v/>
      </c>
      <c r="AB138" s="46" t="e">
        <f t="shared" si="17"/>
        <v>#DIV/0!</v>
      </c>
      <c r="AC138" s="40" t="str">
        <f>IF(データ!X135="","",データ!X135)</f>
        <v/>
      </c>
      <c r="AD138" s="41" t="str">
        <f>IF(データ!Y135="","",データ!Y135)</f>
        <v/>
      </c>
      <c r="AE138" s="47" t="str">
        <f>TRIM(データ!B135)</f>
        <v>r20718007</v>
      </c>
      <c r="AF138" s="43" t="str">
        <f>TRIM(データ!Z135)</f>
        <v/>
      </c>
    </row>
    <row r="139" spans="1:32" x14ac:dyDescent="0.15">
      <c r="A139" s="47">
        <f>データ!A136</f>
        <v>3</v>
      </c>
      <c r="B139" s="47" t="str">
        <f>TRIM(データ!C136)</f>
        <v/>
      </c>
      <c r="C139" s="47" t="str">
        <f>TRIM(データ!D136)</f>
        <v>機械費</v>
      </c>
      <c r="D139" s="36" t="str">
        <f>REPT("｜",$A139)&amp;TRIM(データ!E136)</f>
        <v>｜｜｜BH0.1クレーン</v>
      </c>
      <c r="E139" s="37" t="str">
        <f>TRIM(データ!F136)</f>
        <v>低騒音・超小</v>
      </c>
      <c r="F139" s="38" t="str">
        <f>TRIM(データ!G136)</f>
        <v>日台</v>
      </c>
      <c r="G139" s="50">
        <f>データ!H136</f>
        <v>1</v>
      </c>
      <c r="H139" s="48">
        <f>データ!I136</f>
        <v>6000</v>
      </c>
      <c r="I139" s="48">
        <f>データ!J136</f>
        <v>6000</v>
      </c>
      <c r="J139" s="39" t="str">
        <f>IF(OR($C139="総括",$C139="内訳書",$C139="内訳代価",$C139="明細書",$C139="明細代価",$C139="代価表",$C139="単価表"),データ!K136,"")</f>
        <v/>
      </c>
      <c r="K139" s="11" t="str">
        <f t="shared" si="12"/>
        <v/>
      </c>
      <c r="L139" s="46">
        <f t="shared" si="13"/>
        <v>2.5477707006369424E-4</v>
      </c>
      <c r="M139" s="40" t="str">
        <f>IF(データ!L136="","",データ!L136)</f>
        <v/>
      </c>
      <c r="N139" s="41" t="str">
        <f>IF(データ!M136="","",データ!M136)</f>
        <v/>
      </c>
      <c r="O139" s="42">
        <f>データ!N136</f>
        <v>0</v>
      </c>
      <c r="P139" s="48">
        <f>IF($C139="集計行","",データ!O136)</f>
        <v>0</v>
      </c>
      <c r="Q139" s="48">
        <f>データ!P136</f>
        <v>0</v>
      </c>
      <c r="R139" s="39" t="str">
        <f>IF(OR($C139="総括",$C139="内訳書",$C139="内訳代価",$C139="明細書",$C139="明細代価",$C139="代価表",$C139="単価表"),データ!Q136,"")</f>
        <v/>
      </c>
      <c r="S139" s="11" t="str">
        <f t="shared" si="14"/>
        <v/>
      </c>
      <c r="T139" s="46" t="e">
        <f t="shared" si="15"/>
        <v>#DIV/0!</v>
      </c>
      <c r="U139" s="40" t="str">
        <f>IF(データ!R136="","",データ!R136)</f>
        <v/>
      </c>
      <c r="V139" s="41" t="str">
        <f>IF(データ!S136="","",データ!S136)</f>
        <v/>
      </c>
      <c r="W139" s="42">
        <f>データ!T136</f>
        <v>0</v>
      </c>
      <c r="X139" s="48">
        <f>IF($C139="集計行","",データ!U136)</f>
        <v>0</v>
      </c>
      <c r="Y139" s="48">
        <f>データ!V136</f>
        <v>0</v>
      </c>
      <c r="Z139" s="39" t="str">
        <f>IF(OR($C139="総括",$C139="内訳書",$C139="内訳代価",$C139="明細書",$C139="明細代価",$C139="代価表",$C139="単価表"),データ!W136,"")</f>
        <v/>
      </c>
      <c r="AA139" s="11" t="str">
        <f t="shared" si="16"/>
        <v/>
      </c>
      <c r="AB139" s="46" t="e">
        <f t="shared" si="17"/>
        <v>#DIV/0!</v>
      </c>
      <c r="AC139" s="40" t="str">
        <f>IF(データ!X136="","",データ!X136)</f>
        <v/>
      </c>
      <c r="AD139" s="41" t="str">
        <f>IF(データ!Y136="","",データ!Y136)</f>
        <v/>
      </c>
      <c r="AE139" s="47" t="str">
        <f>TRIM(データ!B136)</f>
        <v>k20718012</v>
      </c>
      <c r="AF139" s="43" t="str">
        <f>TRIM(データ!Z136)</f>
        <v/>
      </c>
    </row>
    <row r="140" spans="1:32" x14ac:dyDescent="0.15">
      <c r="A140" s="47">
        <f>データ!A137</f>
        <v>3</v>
      </c>
      <c r="B140" s="47" t="str">
        <f>TRIM(データ!C137)</f>
        <v/>
      </c>
      <c r="C140" s="47" t="str">
        <f>TRIM(データ!D137)</f>
        <v>機械費</v>
      </c>
      <c r="D140" s="36" t="str">
        <f>REPT("｜",$A140)&amp;TRIM(データ!E137)</f>
        <v>｜｜｜タイヤショベル0.5</v>
      </c>
      <c r="E140" s="37" t="str">
        <f>TRIM(データ!F137)</f>
        <v>低騒音</v>
      </c>
      <c r="F140" s="38" t="str">
        <f>TRIM(データ!G137)</f>
        <v>日台</v>
      </c>
      <c r="G140" s="50">
        <f>データ!H137</f>
        <v>1</v>
      </c>
      <c r="H140" s="48">
        <f>データ!I137</f>
        <v>5000</v>
      </c>
      <c r="I140" s="48">
        <f>データ!J137</f>
        <v>5000</v>
      </c>
      <c r="J140" s="39" t="str">
        <f>IF(OR($C140="総括",$C140="内訳書",$C140="内訳代価",$C140="明細書",$C140="明細代価",$C140="代価表",$C140="単価表"),データ!K137,"")</f>
        <v/>
      </c>
      <c r="K140" s="11" t="str">
        <f t="shared" si="12"/>
        <v/>
      </c>
      <c r="L140" s="46">
        <f t="shared" si="13"/>
        <v>2.1231422505307856E-4</v>
      </c>
      <c r="M140" s="40" t="str">
        <f>IF(データ!L137="","",データ!L137)</f>
        <v/>
      </c>
      <c r="N140" s="41" t="str">
        <f>IF(データ!M137="","",データ!M137)</f>
        <v/>
      </c>
      <c r="O140" s="42">
        <f>データ!N137</f>
        <v>0</v>
      </c>
      <c r="P140" s="48">
        <f>IF($C140="集計行","",データ!O137)</f>
        <v>0</v>
      </c>
      <c r="Q140" s="48">
        <f>データ!P137</f>
        <v>0</v>
      </c>
      <c r="R140" s="39" t="str">
        <f>IF(OR($C140="総括",$C140="内訳書",$C140="内訳代価",$C140="明細書",$C140="明細代価",$C140="代価表",$C140="単価表"),データ!Q137,"")</f>
        <v/>
      </c>
      <c r="S140" s="11" t="str">
        <f t="shared" si="14"/>
        <v/>
      </c>
      <c r="T140" s="46" t="e">
        <f t="shared" si="15"/>
        <v>#DIV/0!</v>
      </c>
      <c r="U140" s="40" t="str">
        <f>IF(データ!R137="","",データ!R137)</f>
        <v/>
      </c>
      <c r="V140" s="41" t="str">
        <f>IF(データ!S137="","",データ!S137)</f>
        <v/>
      </c>
      <c r="W140" s="42">
        <f>データ!T137</f>
        <v>0</v>
      </c>
      <c r="X140" s="48">
        <f>IF($C140="集計行","",データ!U137)</f>
        <v>0</v>
      </c>
      <c r="Y140" s="48">
        <f>データ!V137</f>
        <v>0</v>
      </c>
      <c r="Z140" s="39" t="str">
        <f>IF(OR($C140="総括",$C140="内訳書",$C140="内訳代価",$C140="明細書",$C140="明細代価",$C140="代価表",$C140="単価表"),データ!W137,"")</f>
        <v/>
      </c>
      <c r="AA140" s="11" t="str">
        <f t="shared" si="16"/>
        <v/>
      </c>
      <c r="AB140" s="46" t="e">
        <f t="shared" si="17"/>
        <v>#DIV/0!</v>
      </c>
      <c r="AC140" s="40" t="str">
        <f>IF(データ!X137="","",データ!X137)</f>
        <v/>
      </c>
      <c r="AD140" s="41" t="str">
        <f>IF(データ!Y137="","",データ!Y137)</f>
        <v/>
      </c>
      <c r="AE140" s="47" t="str">
        <f>TRIM(データ!B137)</f>
        <v>k20718024</v>
      </c>
      <c r="AF140" s="43" t="str">
        <f>TRIM(データ!Z137)</f>
        <v/>
      </c>
    </row>
    <row r="141" spans="1:32" x14ac:dyDescent="0.15">
      <c r="A141" s="47">
        <f>データ!A138</f>
        <v>3</v>
      </c>
      <c r="B141" s="47" t="str">
        <f>TRIM(データ!C138)</f>
        <v/>
      </c>
      <c r="C141" s="47" t="str">
        <f>TRIM(データ!D138)</f>
        <v>機械費</v>
      </c>
      <c r="D141" s="36" t="str">
        <f>REPT("｜",$A141)&amp;TRIM(データ!E138)</f>
        <v>｜｜｜コンバインドR</v>
      </c>
      <c r="E141" s="37" t="str">
        <f>TRIM(データ!F138)</f>
        <v>3t　4ｔ　低騒音</v>
      </c>
      <c r="F141" s="38" t="str">
        <f>TRIM(データ!G138)</f>
        <v>日台</v>
      </c>
      <c r="G141" s="50">
        <f>データ!H138</f>
        <v>1</v>
      </c>
      <c r="H141" s="48">
        <f>データ!I138</f>
        <v>6000</v>
      </c>
      <c r="I141" s="48">
        <f>データ!J138</f>
        <v>6000</v>
      </c>
      <c r="J141" s="39" t="str">
        <f>IF(OR($C141="総括",$C141="内訳書",$C141="内訳代価",$C141="明細書",$C141="明細代価",$C141="代価表",$C141="単価表"),データ!K138,"")</f>
        <v/>
      </c>
      <c r="K141" s="11" t="str">
        <f t="shared" si="12"/>
        <v/>
      </c>
      <c r="L141" s="46">
        <f t="shared" si="13"/>
        <v>2.5477707006369424E-4</v>
      </c>
      <c r="M141" s="40" t="str">
        <f>IF(データ!L138="","",データ!L138)</f>
        <v/>
      </c>
      <c r="N141" s="41" t="str">
        <f>IF(データ!M138="","",データ!M138)</f>
        <v/>
      </c>
      <c r="O141" s="42">
        <f>データ!N138</f>
        <v>0</v>
      </c>
      <c r="P141" s="48">
        <f>IF($C141="集計行","",データ!O138)</f>
        <v>0</v>
      </c>
      <c r="Q141" s="48">
        <f>データ!P138</f>
        <v>0</v>
      </c>
      <c r="R141" s="39" t="str">
        <f>IF(OR($C141="総括",$C141="内訳書",$C141="内訳代価",$C141="明細書",$C141="明細代価",$C141="代価表",$C141="単価表"),データ!Q138,"")</f>
        <v/>
      </c>
      <c r="S141" s="11" t="str">
        <f t="shared" si="14"/>
        <v/>
      </c>
      <c r="T141" s="46" t="e">
        <f t="shared" si="15"/>
        <v>#DIV/0!</v>
      </c>
      <c r="U141" s="40" t="str">
        <f>IF(データ!R138="","",データ!R138)</f>
        <v/>
      </c>
      <c r="V141" s="41" t="str">
        <f>IF(データ!S138="","",データ!S138)</f>
        <v/>
      </c>
      <c r="W141" s="42">
        <f>データ!T138</f>
        <v>0</v>
      </c>
      <c r="X141" s="48">
        <f>IF($C141="集計行","",データ!U138)</f>
        <v>0</v>
      </c>
      <c r="Y141" s="48">
        <f>データ!V138</f>
        <v>0</v>
      </c>
      <c r="Z141" s="39" t="str">
        <f>IF(OR($C141="総括",$C141="内訳書",$C141="内訳代価",$C141="明細書",$C141="明細代価",$C141="代価表",$C141="単価表"),データ!W138,"")</f>
        <v/>
      </c>
      <c r="AA141" s="11" t="str">
        <f t="shared" si="16"/>
        <v/>
      </c>
      <c r="AB141" s="46" t="e">
        <f t="shared" si="17"/>
        <v>#DIV/0!</v>
      </c>
      <c r="AC141" s="40" t="str">
        <f>IF(データ!X138="","",データ!X138)</f>
        <v/>
      </c>
      <c r="AD141" s="41" t="str">
        <f>IF(データ!Y138="","",データ!Y138)</f>
        <v/>
      </c>
      <c r="AE141" s="47" t="str">
        <f>TRIM(データ!B138)</f>
        <v>k20718031</v>
      </c>
      <c r="AF141" s="43" t="str">
        <f>TRIM(データ!Z138)</f>
        <v/>
      </c>
    </row>
    <row r="142" spans="1:32" x14ac:dyDescent="0.15">
      <c r="A142" s="47">
        <f>データ!A139</f>
        <v>3</v>
      </c>
      <c r="B142" s="47" t="str">
        <f>TRIM(データ!C139)</f>
        <v/>
      </c>
      <c r="C142" s="47" t="str">
        <f>TRIM(データ!D139)</f>
        <v>機械費</v>
      </c>
      <c r="D142" s="36" t="str">
        <f>REPT("｜",$A142)&amp;TRIM(データ!E139)</f>
        <v>｜｜｜ｱｽﾌｧﾙﾄﾌｨﾆｯｼｬ</v>
      </c>
      <c r="E142" s="37" t="str">
        <f>TRIM(データ!F139)</f>
        <v>W=1.4m級</v>
      </c>
      <c r="F142" s="38" t="str">
        <f>TRIM(データ!G139)</f>
        <v>台</v>
      </c>
      <c r="G142" s="50">
        <f>データ!H139</f>
        <v>1</v>
      </c>
      <c r="H142" s="48">
        <f>データ!I139</f>
        <v>33000</v>
      </c>
      <c r="I142" s="48">
        <f>データ!J139</f>
        <v>33000</v>
      </c>
      <c r="J142" s="39" t="str">
        <f>IF(OR($C142="総括",$C142="内訳書",$C142="内訳代価",$C142="明細書",$C142="明細代価",$C142="代価表",$C142="単価表"),データ!K139,"")</f>
        <v/>
      </c>
      <c r="K142" s="11" t="str">
        <f t="shared" si="12"/>
        <v/>
      </c>
      <c r="L142" s="46">
        <f t="shared" si="13"/>
        <v>1.4012738853503184E-3</v>
      </c>
      <c r="M142" s="40" t="str">
        <f>IF(データ!L139="","",データ!L139)</f>
        <v/>
      </c>
      <c r="N142" s="41" t="str">
        <f>IF(データ!M139="","",データ!M139)</f>
        <v/>
      </c>
      <c r="O142" s="42">
        <f>データ!N139</f>
        <v>0</v>
      </c>
      <c r="P142" s="48">
        <f>IF($C142="集計行","",データ!O139)</f>
        <v>0</v>
      </c>
      <c r="Q142" s="48">
        <f>データ!P139</f>
        <v>0</v>
      </c>
      <c r="R142" s="39" t="str">
        <f>IF(OR($C142="総括",$C142="内訳書",$C142="内訳代価",$C142="明細書",$C142="明細代価",$C142="代価表",$C142="単価表"),データ!Q139,"")</f>
        <v/>
      </c>
      <c r="S142" s="11" t="str">
        <f t="shared" si="14"/>
        <v/>
      </c>
      <c r="T142" s="46" t="e">
        <f t="shared" si="15"/>
        <v>#DIV/0!</v>
      </c>
      <c r="U142" s="40" t="str">
        <f>IF(データ!R139="","",データ!R139)</f>
        <v/>
      </c>
      <c r="V142" s="41" t="str">
        <f>IF(データ!S139="","",データ!S139)</f>
        <v/>
      </c>
      <c r="W142" s="42">
        <f>データ!T139</f>
        <v>0</v>
      </c>
      <c r="X142" s="48">
        <f>IF($C142="集計行","",データ!U139)</f>
        <v>0</v>
      </c>
      <c r="Y142" s="48">
        <f>データ!V139</f>
        <v>0</v>
      </c>
      <c r="Z142" s="39" t="str">
        <f>IF(OR($C142="総括",$C142="内訳書",$C142="内訳代価",$C142="明細書",$C142="明細代価",$C142="代価表",$C142="単価表"),データ!W139,"")</f>
        <v/>
      </c>
      <c r="AA142" s="11" t="str">
        <f t="shared" si="16"/>
        <v/>
      </c>
      <c r="AB142" s="46" t="e">
        <f t="shared" si="17"/>
        <v>#DIV/0!</v>
      </c>
      <c r="AC142" s="40" t="str">
        <f>IF(データ!X139="","",データ!X139)</f>
        <v/>
      </c>
      <c r="AD142" s="41" t="str">
        <f>IF(データ!Y139="","",データ!Y139)</f>
        <v/>
      </c>
      <c r="AE142" s="47" t="str">
        <f>TRIM(データ!B139)</f>
        <v>k0003</v>
      </c>
      <c r="AF142" s="43" t="str">
        <f>TRIM(データ!Z139)</f>
        <v/>
      </c>
    </row>
    <row r="143" spans="1:32" x14ac:dyDescent="0.15">
      <c r="A143" s="47">
        <f>データ!A140</f>
        <v>3</v>
      </c>
      <c r="B143" s="47" t="str">
        <f>TRIM(データ!C140)</f>
        <v/>
      </c>
      <c r="C143" s="47" t="str">
        <f>TRIM(データ!D140)</f>
        <v>運搬費</v>
      </c>
      <c r="D143" s="36" t="str">
        <f>REPT("｜",$A143)&amp;TRIM(データ!E140)</f>
        <v>｜｜｜2tダンプ</v>
      </c>
      <c r="E143" s="37" t="str">
        <f>TRIM(データ!F140)</f>
        <v/>
      </c>
      <c r="F143" s="38" t="str">
        <f>TRIM(データ!G140)</f>
        <v>台</v>
      </c>
      <c r="G143" s="50">
        <f>データ!H140</f>
        <v>2</v>
      </c>
      <c r="H143" s="48">
        <f>データ!I140</f>
        <v>6000</v>
      </c>
      <c r="I143" s="48">
        <f>データ!J140</f>
        <v>12000</v>
      </c>
      <c r="J143" s="39" t="str">
        <f>IF(OR($C143="総括",$C143="内訳書",$C143="内訳代価",$C143="明細書",$C143="明細代価",$C143="代価表",$C143="単価表"),データ!K140,"")</f>
        <v/>
      </c>
      <c r="K143" s="11" t="str">
        <f t="shared" si="12"/>
        <v/>
      </c>
      <c r="L143" s="46">
        <f t="shared" si="13"/>
        <v>5.0955414012738849E-4</v>
      </c>
      <c r="M143" s="40" t="str">
        <f>IF(データ!L140="","",データ!L140)</f>
        <v/>
      </c>
      <c r="N143" s="41" t="str">
        <f>IF(データ!M140="","",データ!M140)</f>
        <v/>
      </c>
      <c r="O143" s="42">
        <f>データ!N140</f>
        <v>0</v>
      </c>
      <c r="P143" s="48">
        <f>IF($C143="集計行","",データ!O140)</f>
        <v>0</v>
      </c>
      <c r="Q143" s="48">
        <f>データ!P140</f>
        <v>0</v>
      </c>
      <c r="R143" s="39" t="str">
        <f>IF(OR($C143="総括",$C143="内訳書",$C143="内訳代価",$C143="明細書",$C143="明細代価",$C143="代価表",$C143="単価表"),データ!Q140,"")</f>
        <v/>
      </c>
      <c r="S143" s="11" t="str">
        <f t="shared" si="14"/>
        <v/>
      </c>
      <c r="T143" s="46" t="e">
        <f t="shared" si="15"/>
        <v>#DIV/0!</v>
      </c>
      <c r="U143" s="40" t="str">
        <f>IF(データ!R140="","",データ!R140)</f>
        <v/>
      </c>
      <c r="V143" s="41" t="str">
        <f>IF(データ!S140="","",データ!S140)</f>
        <v/>
      </c>
      <c r="W143" s="42">
        <f>データ!T140</f>
        <v>0</v>
      </c>
      <c r="X143" s="48">
        <f>IF($C143="集計行","",データ!U140)</f>
        <v>0</v>
      </c>
      <c r="Y143" s="48">
        <f>データ!V140</f>
        <v>0</v>
      </c>
      <c r="Z143" s="39" t="str">
        <f>IF(OR($C143="総括",$C143="内訳書",$C143="内訳代価",$C143="明細書",$C143="明細代価",$C143="代価表",$C143="単価表"),データ!W140,"")</f>
        <v/>
      </c>
      <c r="AA143" s="11" t="str">
        <f t="shared" si="16"/>
        <v/>
      </c>
      <c r="AB143" s="46" t="e">
        <f t="shared" si="17"/>
        <v>#DIV/0!</v>
      </c>
      <c r="AC143" s="40" t="str">
        <f>IF(データ!X140="","",データ!X140)</f>
        <v/>
      </c>
      <c r="AD143" s="41" t="str">
        <f>IF(データ!Y140="","",データ!Y140)</f>
        <v/>
      </c>
      <c r="AE143" s="47" t="str">
        <f>TRIM(データ!B140)</f>
        <v>u20718025</v>
      </c>
      <c r="AF143" s="43" t="str">
        <f>TRIM(データ!Z140)</f>
        <v/>
      </c>
    </row>
    <row r="144" spans="1:32" x14ac:dyDescent="0.15">
      <c r="A144" s="47">
        <f>データ!A141</f>
        <v>2</v>
      </c>
      <c r="B144" s="47" t="str">
        <f>TRIM(データ!C141)</f>
        <v/>
      </c>
      <c r="C144" s="47" t="str">
        <f>TRIM(データ!D141)</f>
        <v>内訳代価</v>
      </c>
      <c r="D144" s="36" t="str">
        <f>REPT("｜",$A144)&amp;TRIM(データ!E141)</f>
        <v>｜｜歩道舗装工</v>
      </c>
      <c r="E144" s="37" t="str">
        <f>TRIM(データ!F141)</f>
        <v>乗り入れ部</v>
      </c>
      <c r="F144" s="38" t="str">
        <f>TRIM(データ!G141)</f>
        <v>m2</v>
      </c>
      <c r="G144" s="50">
        <f>データ!H141</f>
        <v>83</v>
      </c>
      <c r="H144" s="48">
        <f>データ!I141</f>
        <v>2800</v>
      </c>
      <c r="I144" s="48">
        <f>データ!J141</f>
        <v>232400</v>
      </c>
      <c r="J144" s="39">
        <f>IF(OR($C144="総括",$C144="内訳書",$C144="内訳代価",$C144="明細書",$C144="明細代価",$C144="代価表",$C144="単価表"),データ!K141,"")</f>
        <v>83</v>
      </c>
      <c r="K144" s="11" t="str">
        <f t="shared" si="12"/>
        <v/>
      </c>
      <c r="L144" s="46">
        <f t="shared" si="13"/>
        <v>9.8683651804670914E-3</v>
      </c>
      <c r="M144" s="40" t="str">
        <f>IF(データ!L141="","",データ!L141)</f>
        <v/>
      </c>
      <c r="N144" s="41" t="str">
        <f>IF(データ!M141="","",データ!M141)</f>
        <v>32号内訳書</v>
      </c>
      <c r="O144" s="42">
        <f>データ!N141</f>
        <v>0</v>
      </c>
      <c r="P144" s="48">
        <f>IF($C144="集計行","",データ!O141)</f>
        <v>0</v>
      </c>
      <c r="Q144" s="48">
        <f>データ!P141</f>
        <v>0</v>
      </c>
      <c r="R144" s="39">
        <f>IF(OR($C144="総括",$C144="内訳書",$C144="内訳代価",$C144="明細書",$C144="明細代価",$C144="代価表",$C144="単価表"),データ!Q141,"")</f>
        <v>0</v>
      </c>
      <c r="S144" s="11" t="str">
        <f t="shared" si="14"/>
        <v/>
      </c>
      <c r="T144" s="46" t="e">
        <f t="shared" si="15"/>
        <v>#DIV/0!</v>
      </c>
      <c r="U144" s="40" t="str">
        <f>IF(データ!R141="","",データ!R141)</f>
        <v/>
      </c>
      <c r="V144" s="41" t="str">
        <f>IF(データ!S141="","",データ!S141)</f>
        <v/>
      </c>
      <c r="W144" s="42">
        <f>データ!T141</f>
        <v>0</v>
      </c>
      <c r="X144" s="48">
        <f>IF($C144="集計行","",データ!U141)</f>
        <v>0</v>
      </c>
      <c r="Y144" s="48">
        <f>データ!V141</f>
        <v>0</v>
      </c>
      <c r="Z144" s="39">
        <f>IF(OR($C144="総括",$C144="内訳書",$C144="内訳代価",$C144="明細書",$C144="明細代価",$C144="代価表",$C144="単価表"),データ!W141,"")</f>
        <v>0</v>
      </c>
      <c r="AA144" s="11" t="str">
        <f t="shared" si="16"/>
        <v/>
      </c>
      <c r="AB144" s="46" t="e">
        <f t="shared" si="17"/>
        <v>#DIV/0!</v>
      </c>
      <c r="AC144" s="40" t="str">
        <f>IF(データ!X141="","",データ!X141)</f>
        <v/>
      </c>
      <c r="AD144" s="41" t="str">
        <f>IF(データ!Y141="","",データ!Y141)</f>
        <v/>
      </c>
      <c r="AE144" s="47" t="str">
        <f>TRIM(データ!B141)</f>
        <v/>
      </c>
      <c r="AF144" s="43" t="str">
        <f>TRIM(データ!Z141)</f>
        <v/>
      </c>
    </row>
    <row r="145" spans="1:32" x14ac:dyDescent="0.15">
      <c r="A145" s="47">
        <f>データ!A142</f>
        <v>3</v>
      </c>
      <c r="B145" s="47" t="str">
        <f>TRIM(データ!C142)</f>
        <v/>
      </c>
      <c r="C145" s="47" t="str">
        <f>TRIM(データ!D142)</f>
        <v>材料費</v>
      </c>
      <c r="D145" s="36" t="str">
        <f>REPT("｜",$A145)&amp;TRIM(データ!E142)</f>
        <v>｜｜｜雑材</v>
      </c>
      <c r="E145" s="37" t="str">
        <f>TRIM(データ!F142)</f>
        <v/>
      </c>
      <c r="F145" s="38" t="str">
        <f>TRIM(データ!G142)</f>
        <v>式</v>
      </c>
      <c r="G145" s="50">
        <f>データ!H142</f>
        <v>1</v>
      </c>
      <c r="H145" s="48">
        <f>データ!I142</f>
        <v>850</v>
      </c>
      <c r="I145" s="48">
        <f>データ!J142</f>
        <v>850</v>
      </c>
      <c r="J145" s="39" t="str">
        <f>IF(OR($C145="総括",$C145="内訳書",$C145="内訳代価",$C145="明細書",$C145="明細代価",$C145="代価表",$C145="単価表"),データ!K142,"")</f>
        <v/>
      </c>
      <c r="K145" s="11" t="str">
        <f t="shared" si="12"/>
        <v/>
      </c>
      <c r="L145" s="46">
        <f t="shared" si="13"/>
        <v>3.6093418259023358E-5</v>
      </c>
      <c r="M145" s="40" t="str">
        <f>IF(データ!L142="","",データ!L142)</f>
        <v/>
      </c>
      <c r="N145" s="41" t="str">
        <f>IF(データ!M142="","",データ!M142)</f>
        <v/>
      </c>
      <c r="O145" s="42">
        <f>データ!N142</f>
        <v>0</v>
      </c>
      <c r="P145" s="48">
        <f>IF($C145="集計行","",データ!O142)</f>
        <v>0</v>
      </c>
      <c r="Q145" s="48">
        <f>データ!P142</f>
        <v>0</v>
      </c>
      <c r="R145" s="39" t="str">
        <f>IF(OR($C145="総括",$C145="内訳書",$C145="内訳代価",$C145="明細書",$C145="明細代価",$C145="代価表",$C145="単価表"),データ!Q142,"")</f>
        <v/>
      </c>
      <c r="S145" s="11" t="str">
        <f t="shared" si="14"/>
        <v/>
      </c>
      <c r="T145" s="46" t="e">
        <f t="shared" si="15"/>
        <v>#DIV/0!</v>
      </c>
      <c r="U145" s="40" t="str">
        <f>IF(データ!R142="","",データ!R142)</f>
        <v/>
      </c>
      <c r="V145" s="41" t="str">
        <f>IF(データ!S142="","",データ!S142)</f>
        <v/>
      </c>
      <c r="W145" s="42">
        <f>データ!T142</f>
        <v>0</v>
      </c>
      <c r="X145" s="48">
        <f>IF($C145="集計行","",データ!U142)</f>
        <v>0</v>
      </c>
      <c r="Y145" s="48">
        <f>データ!V142</f>
        <v>0</v>
      </c>
      <c r="Z145" s="39" t="str">
        <f>IF(OR($C145="総括",$C145="内訳書",$C145="内訳代価",$C145="明細書",$C145="明細代価",$C145="代価表",$C145="単価表"),データ!W142,"")</f>
        <v/>
      </c>
      <c r="AA145" s="11" t="str">
        <f t="shared" si="16"/>
        <v/>
      </c>
      <c r="AB145" s="46" t="e">
        <f t="shared" si="17"/>
        <v>#DIV/0!</v>
      </c>
      <c r="AC145" s="40" t="str">
        <f>IF(データ!X142="","",データ!X142)</f>
        <v/>
      </c>
      <c r="AD145" s="41" t="str">
        <f>IF(データ!Y142="","",データ!Y142)</f>
        <v/>
      </c>
      <c r="AE145" s="47" t="str">
        <f>TRIM(データ!B142)</f>
        <v>s20718001</v>
      </c>
      <c r="AF145" s="43" t="str">
        <f>TRIM(データ!Z142)</f>
        <v/>
      </c>
    </row>
    <row r="146" spans="1:32" x14ac:dyDescent="0.15">
      <c r="A146" s="47">
        <f>データ!A143</f>
        <v>3</v>
      </c>
      <c r="B146" s="47" t="str">
        <f>TRIM(データ!C143)</f>
        <v/>
      </c>
      <c r="C146" s="47" t="str">
        <f>TRIM(データ!D143)</f>
        <v>材料費</v>
      </c>
      <c r="D146" s="36" t="str">
        <f>REPT("｜",$A146)&amp;TRIM(データ!E143)</f>
        <v>｜｜｜R粗粒度Asスラグ</v>
      </c>
      <c r="E146" s="37" t="str">
        <f>TRIM(データ!F143)</f>
        <v/>
      </c>
      <c r="F146" s="38" t="str">
        <f>TRIM(データ!G143)</f>
        <v>ｔ</v>
      </c>
      <c r="G146" s="50">
        <f>データ!H143</f>
        <v>6</v>
      </c>
      <c r="H146" s="48">
        <f>データ!I143</f>
        <v>9100</v>
      </c>
      <c r="I146" s="48">
        <f>データ!J143</f>
        <v>54600</v>
      </c>
      <c r="J146" s="39" t="str">
        <f>IF(OR($C146="総括",$C146="内訳書",$C146="内訳代価",$C146="明細書",$C146="明細代価",$C146="代価表",$C146="単価表"),データ!K143,"")</f>
        <v/>
      </c>
      <c r="K146" s="11" t="str">
        <f t="shared" si="12"/>
        <v/>
      </c>
      <c r="L146" s="46">
        <f t="shared" si="13"/>
        <v>2.3184713375796178E-3</v>
      </c>
      <c r="M146" s="40" t="str">
        <f>IF(データ!L143="","",データ!L143)</f>
        <v/>
      </c>
      <c r="N146" s="41" t="str">
        <f>IF(データ!M143="","",データ!M143)</f>
        <v/>
      </c>
      <c r="O146" s="42">
        <f>データ!N143</f>
        <v>0</v>
      </c>
      <c r="P146" s="48">
        <f>IF($C146="集計行","",データ!O143)</f>
        <v>0</v>
      </c>
      <c r="Q146" s="48">
        <f>データ!P143</f>
        <v>0</v>
      </c>
      <c r="R146" s="39" t="str">
        <f>IF(OR($C146="総括",$C146="内訳書",$C146="内訳代価",$C146="明細書",$C146="明細代価",$C146="代価表",$C146="単価表"),データ!Q143,"")</f>
        <v/>
      </c>
      <c r="S146" s="11" t="str">
        <f t="shared" si="14"/>
        <v/>
      </c>
      <c r="T146" s="46" t="e">
        <f t="shared" si="15"/>
        <v>#DIV/0!</v>
      </c>
      <c r="U146" s="40" t="str">
        <f>IF(データ!R143="","",データ!R143)</f>
        <v/>
      </c>
      <c r="V146" s="41" t="str">
        <f>IF(データ!S143="","",データ!S143)</f>
        <v/>
      </c>
      <c r="W146" s="42">
        <f>データ!T143</f>
        <v>0</v>
      </c>
      <c r="X146" s="48">
        <f>IF($C146="集計行","",データ!U143)</f>
        <v>0</v>
      </c>
      <c r="Y146" s="48">
        <f>データ!V143</f>
        <v>0</v>
      </c>
      <c r="Z146" s="39" t="str">
        <f>IF(OR($C146="総括",$C146="内訳書",$C146="内訳代価",$C146="明細書",$C146="明細代価",$C146="代価表",$C146="単価表"),データ!W143,"")</f>
        <v/>
      </c>
      <c r="AA146" s="11" t="str">
        <f t="shared" si="16"/>
        <v/>
      </c>
      <c r="AB146" s="46" t="e">
        <f t="shared" si="17"/>
        <v>#DIV/0!</v>
      </c>
      <c r="AC146" s="40" t="str">
        <f>IF(データ!X143="","",データ!X143)</f>
        <v/>
      </c>
      <c r="AD146" s="41" t="str">
        <f>IF(データ!Y143="","",データ!Y143)</f>
        <v/>
      </c>
      <c r="AE146" s="47" t="str">
        <f>TRIM(データ!B143)</f>
        <v>s20718004</v>
      </c>
      <c r="AF146" s="43" t="str">
        <f>TRIM(データ!Z143)</f>
        <v/>
      </c>
    </row>
    <row r="147" spans="1:32" x14ac:dyDescent="0.15">
      <c r="A147" s="47">
        <f>データ!A144</f>
        <v>3</v>
      </c>
      <c r="B147" s="47" t="str">
        <f>TRIM(データ!C144)</f>
        <v/>
      </c>
      <c r="C147" s="47" t="str">
        <f>TRIM(データ!D144)</f>
        <v>材料費</v>
      </c>
      <c r="D147" s="36" t="str">
        <f>REPT("｜",$A147)&amp;TRIM(データ!E144)</f>
        <v>｜｜｜R密粒度As13</v>
      </c>
      <c r="E147" s="37" t="str">
        <f>TRIM(データ!F144)</f>
        <v/>
      </c>
      <c r="F147" s="38" t="str">
        <f>TRIM(データ!G144)</f>
        <v>ｔ</v>
      </c>
      <c r="G147" s="50">
        <f>データ!H144</f>
        <v>6</v>
      </c>
      <c r="H147" s="48">
        <f>データ!I144</f>
        <v>9400</v>
      </c>
      <c r="I147" s="48">
        <f>データ!J144</f>
        <v>56400</v>
      </c>
      <c r="J147" s="39" t="str">
        <f>IF(OR($C147="総括",$C147="内訳書",$C147="内訳代価",$C147="明細書",$C147="明細代価",$C147="代価表",$C147="単価表"),データ!K144,"")</f>
        <v/>
      </c>
      <c r="K147" s="11" t="str">
        <f t="shared" si="12"/>
        <v/>
      </c>
      <c r="L147" s="46">
        <f t="shared" si="13"/>
        <v>2.3949044585987261E-3</v>
      </c>
      <c r="M147" s="40" t="str">
        <f>IF(データ!L144="","",データ!L144)</f>
        <v/>
      </c>
      <c r="N147" s="41" t="str">
        <f>IF(データ!M144="","",データ!M144)</f>
        <v/>
      </c>
      <c r="O147" s="42">
        <f>データ!N144</f>
        <v>0</v>
      </c>
      <c r="P147" s="48">
        <f>IF($C147="集計行","",データ!O144)</f>
        <v>0</v>
      </c>
      <c r="Q147" s="48">
        <f>データ!P144</f>
        <v>0</v>
      </c>
      <c r="R147" s="39" t="str">
        <f>IF(OR($C147="総括",$C147="内訳書",$C147="内訳代価",$C147="明細書",$C147="明細代価",$C147="代価表",$C147="単価表"),データ!Q144,"")</f>
        <v/>
      </c>
      <c r="S147" s="11" t="str">
        <f t="shared" si="14"/>
        <v/>
      </c>
      <c r="T147" s="46" t="e">
        <f t="shared" si="15"/>
        <v>#DIV/0!</v>
      </c>
      <c r="U147" s="40" t="str">
        <f>IF(データ!R144="","",データ!R144)</f>
        <v/>
      </c>
      <c r="V147" s="41" t="str">
        <f>IF(データ!S144="","",データ!S144)</f>
        <v/>
      </c>
      <c r="W147" s="42">
        <f>データ!T144</f>
        <v>0</v>
      </c>
      <c r="X147" s="48">
        <f>IF($C147="集計行","",データ!U144)</f>
        <v>0</v>
      </c>
      <c r="Y147" s="48">
        <f>データ!V144</f>
        <v>0</v>
      </c>
      <c r="Z147" s="39" t="str">
        <f>IF(OR($C147="総括",$C147="内訳書",$C147="内訳代価",$C147="明細書",$C147="明細代価",$C147="代価表",$C147="単価表"),データ!W144,"")</f>
        <v/>
      </c>
      <c r="AA147" s="11" t="str">
        <f t="shared" si="16"/>
        <v/>
      </c>
      <c r="AB147" s="46" t="e">
        <f t="shared" si="17"/>
        <v>#DIV/0!</v>
      </c>
      <c r="AC147" s="40" t="str">
        <f>IF(データ!X144="","",データ!X144)</f>
        <v/>
      </c>
      <c r="AD147" s="41" t="str">
        <f>IF(データ!Y144="","",データ!Y144)</f>
        <v/>
      </c>
      <c r="AE147" s="47" t="str">
        <f>TRIM(データ!B144)</f>
        <v>s20718006</v>
      </c>
      <c r="AF147" s="43" t="str">
        <f>TRIM(データ!Z144)</f>
        <v/>
      </c>
    </row>
    <row r="148" spans="1:32" x14ac:dyDescent="0.15">
      <c r="A148" s="47">
        <f>データ!A145</f>
        <v>3</v>
      </c>
      <c r="B148" s="47" t="str">
        <f>TRIM(データ!C145)</f>
        <v/>
      </c>
      <c r="C148" s="47" t="str">
        <f>TRIM(データ!D145)</f>
        <v>材料費</v>
      </c>
      <c r="D148" s="36" t="str">
        <f>REPT("｜",$A148)&amp;TRIM(データ!E145)</f>
        <v>｜｜｜RSK-3・4</v>
      </c>
      <c r="E148" s="37" t="str">
        <f>TRIM(データ!F145)</f>
        <v/>
      </c>
      <c r="F148" s="38" t="str">
        <f>TRIM(データ!G145)</f>
        <v>L</v>
      </c>
      <c r="G148" s="50">
        <f>データ!H145</f>
        <v>40</v>
      </c>
      <c r="H148" s="48">
        <f>データ!I145</f>
        <v>100</v>
      </c>
      <c r="I148" s="48">
        <f>データ!J145</f>
        <v>4000</v>
      </c>
      <c r="J148" s="39" t="str">
        <f>IF(OR($C148="総括",$C148="内訳書",$C148="内訳代価",$C148="明細書",$C148="明細代価",$C148="代価表",$C148="単価表"),データ!K145,"")</f>
        <v/>
      </c>
      <c r="K148" s="11" t="str">
        <f t="shared" si="12"/>
        <v/>
      </c>
      <c r="L148" s="46">
        <f t="shared" si="13"/>
        <v>1.6985138004246286E-4</v>
      </c>
      <c r="M148" s="40" t="str">
        <f>IF(データ!L145="","",データ!L145)</f>
        <v/>
      </c>
      <c r="N148" s="41" t="str">
        <f>IF(データ!M145="","",データ!M145)</f>
        <v/>
      </c>
      <c r="O148" s="42">
        <f>データ!N145</f>
        <v>0</v>
      </c>
      <c r="P148" s="48">
        <f>IF($C148="集計行","",データ!O145)</f>
        <v>0</v>
      </c>
      <c r="Q148" s="48">
        <f>データ!P145</f>
        <v>0</v>
      </c>
      <c r="R148" s="39" t="str">
        <f>IF(OR($C148="総括",$C148="内訳書",$C148="内訳代価",$C148="明細書",$C148="明細代価",$C148="代価表",$C148="単価表"),データ!Q145,"")</f>
        <v/>
      </c>
      <c r="S148" s="11" t="str">
        <f t="shared" si="14"/>
        <v/>
      </c>
      <c r="T148" s="46" t="e">
        <f t="shared" si="15"/>
        <v>#DIV/0!</v>
      </c>
      <c r="U148" s="40" t="str">
        <f>IF(データ!R145="","",データ!R145)</f>
        <v/>
      </c>
      <c r="V148" s="41" t="str">
        <f>IF(データ!S145="","",データ!S145)</f>
        <v/>
      </c>
      <c r="W148" s="42">
        <f>データ!T145</f>
        <v>0</v>
      </c>
      <c r="X148" s="48">
        <f>IF($C148="集計行","",データ!U145)</f>
        <v>0</v>
      </c>
      <c r="Y148" s="48">
        <f>データ!V145</f>
        <v>0</v>
      </c>
      <c r="Z148" s="39" t="str">
        <f>IF(OR($C148="総括",$C148="内訳書",$C148="内訳代価",$C148="明細書",$C148="明細代価",$C148="代価表",$C148="単価表"),データ!W145,"")</f>
        <v/>
      </c>
      <c r="AA148" s="11" t="str">
        <f t="shared" si="16"/>
        <v/>
      </c>
      <c r="AB148" s="46" t="e">
        <f t="shared" si="17"/>
        <v>#DIV/0!</v>
      </c>
      <c r="AC148" s="40" t="str">
        <f>IF(データ!X145="","",データ!X145)</f>
        <v/>
      </c>
      <c r="AD148" s="41" t="str">
        <f>IF(データ!Y145="","",データ!Y145)</f>
        <v/>
      </c>
      <c r="AE148" s="47" t="str">
        <f>TRIM(データ!B145)</f>
        <v>s1002</v>
      </c>
      <c r="AF148" s="43" t="str">
        <f>TRIM(データ!Z145)</f>
        <v/>
      </c>
    </row>
    <row r="149" spans="1:32" x14ac:dyDescent="0.15">
      <c r="A149" s="47">
        <f>データ!A146</f>
        <v>3</v>
      </c>
      <c r="B149" s="47" t="str">
        <f>TRIM(データ!C146)</f>
        <v/>
      </c>
      <c r="C149" s="47" t="str">
        <f>TRIM(データ!D146)</f>
        <v>材料費</v>
      </c>
      <c r="D149" s="36" t="str">
        <f>REPT("｜",$A149)&amp;TRIM(データ!E146)</f>
        <v>｜｜｜TFE(ﾀｯｸﾌｧｲﾝE)</v>
      </c>
      <c r="E149" s="37" t="str">
        <f>TRIM(データ!F146)</f>
        <v/>
      </c>
      <c r="F149" s="38" t="str">
        <f>TRIM(データ!G146)</f>
        <v>t</v>
      </c>
      <c r="G149" s="50">
        <f>データ!H146</f>
        <v>30</v>
      </c>
      <c r="H149" s="48">
        <f>データ!I146</f>
        <v>155</v>
      </c>
      <c r="I149" s="48">
        <f>データ!J146</f>
        <v>4650</v>
      </c>
      <c r="J149" s="39" t="str">
        <f>IF(OR($C149="総括",$C149="内訳書",$C149="内訳代価",$C149="明細書",$C149="明細代価",$C149="代価表",$C149="単価表"),データ!K146,"")</f>
        <v/>
      </c>
      <c r="K149" s="11" t="str">
        <f t="shared" si="12"/>
        <v/>
      </c>
      <c r="L149" s="46">
        <f t="shared" si="13"/>
        <v>1.9745222929936306E-4</v>
      </c>
      <c r="M149" s="40" t="str">
        <f>IF(データ!L146="","",データ!L146)</f>
        <v/>
      </c>
      <c r="N149" s="41" t="str">
        <f>IF(データ!M146="","",データ!M146)</f>
        <v/>
      </c>
      <c r="O149" s="42">
        <f>データ!N146</f>
        <v>0</v>
      </c>
      <c r="P149" s="48">
        <f>IF($C149="集計行","",データ!O146)</f>
        <v>0</v>
      </c>
      <c r="Q149" s="48">
        <f>データ!P146</f>
        <v>0</v>
      </c>
      <c r="R149" s="39" t="str">
        <f>IF(OR($C149="総括",$C149="内訳書",$C149="内訳代価",$C149="明細書",$C149="明細代価",$C149="代価表",$C149="単価表"),データ!Q146,"")</f>
        <v/>
      </c>
      <c r="S149" s="11" t="str">
        <f t="shared" si="14"/>
        <v/>
      </c>
      <c r="T149" s="46" t="e">
        <f t="shared" si="15"/>
        <v>#DIV/0!</v>
      </c>
      <c r="U149" s="40" t="str">
        <f>IF(データ!R146="","",データ!R146)</f>
        <v/>
      </c>
      <c r="V149" s="41" t="str">
        <f>IF(データ!S146="","",データ!S146)</f>
        <v/>
      </c>
      <c r="W149" s="42">
        <f>データ!T146</f>
        <v>0</v>
      </c>
      <c r="X149" s="48">
        <f>IF($C149="集計行","",データ!U146)</f>
        <v>0</v>
      </c>
      <c r="Y149" s="48">
        <f>データ!V146</f>
        <v>0</v>
      </c>
      <c r="Z149" s="39" t="str">
        <f>IF(OR($C149="総括",$C149="内訳書",$C149="内訳代価",$C149="明細書",$C149="明細代価",$C149="代価表",$C149="単価表"),データ!W146,"")</f>
        <v/>
      </c>
      <c r="AA149" s="11" t="str">
        <f t="shared" si="16"/>
        <v/>
      </c>
      <c r="AB149" s="46" t="e">
        <f t="shared" si="17"/>
        <v>#DIV/0!</v>
      </c>
      <c r="AC149" s="40" t="str">
        <f>IF(データ!X146="","",データ!X146)</f>
        <v/>
      </c>
      <c r="AD149" s="41" t="str">
        <f>IF(データ!Y146="","",データ!Y146)</f>
        <v/>
      </c>
      <c r="AE149" s="47" t="str">
        <f>TRIM(データ!B146)</f>
        <v>s1005</v>
      </c>
      <c r="AF149" s="43" t="str">
        <f>TRIM(データ!Z146)</f>
        <v/>
      </c>
    </row>
    <row r="150" spans="1:32" x14ac:dyDescent="0.15">
      <c r="A150" s="47">
        <f>データ!A147</f>
        <v>3</v>
      </c>
      <c r="B150" s="47" t="str">
        <f>TRIM(データ!C147)</f>
        <v/>
      </c>
      <c r="C150" s="47" t="str">
        <f>TRIM(データ!D147)</f>
        <v>材料費</v>
      </c>
      <c r="D150" s="36" t="str">
        <f>REPT("｜",$A150)&amp;TRIM(データ!E147)</f>
        <v>｜｜｜RC-40</v>
      </c>
      <c r="E150" s="37" t="str">
        <f>TRIM(データ!F147)</f>
        <v>現着</v>
      </c>
      <c r="F150" s="38" t="str">
        <f>TRIM(データ!G147)</f>
        <v>m3</v>
      </c>
      <c r="G150" s="50">
        <f>データ!H147</f>
        <v>5</v>
      </c>
      <c r="H150" s="48">
        <f>データ!I147</f>
        <v>500</v>
      </c>
      <c r="I150" s="48">
        <f>データ!J147</f>
        <v>2500</v>
      </c>
      <c r="J150" s="39" t="str">
        <f>IF(OR($C150="総括",$C150="内訳書",$C150="内訳代価",$C150="明細書",$C150="明細代価",$C150="代価表",$C150="単価表"),データ!K147,"")</f>
        <v/>
      </c>
      <c r="K150" s="11" t="str">
        <f t="shared" si="12"/>
        <v/>
      </c>
      <c r="L150" s="46">
        <f t="shared" si="13"/>
        <v>1.0615711252653928E-4</v>
      </c>
      <c r="M150" s="40" t="str">
        <f>IF(データ!L147="","",データ!L147)</f>
        <v/>
      </c>
      <c r="N150" s="41" t="str">
        <f>IF(データ!M147="","",データ!M147)</f>
        <v/>
      </c>
      <c r="O150" s="42">
        <f>データ!N147</f>
        <v>0</v>
      </c>
      <c r="P150" s="48">
        <f>IF($C150="集計行","",データ!O147)</f>
        <v>0</v>
      </c>
      <c r="Q150" s="48">
        <f>データ!P147</f>
        <v>0</v>
      </c>
      <c r="R150" s="39" t="str">
        <f>IF(OR($C150="総括",$C150="内訳書",$C150="内訳代価",$C150="明細書",$C150="明細代価",$C150="代価表",$C150="単価表"),データ!Q147,"")</f>
        <v/>
      </c>
      <c r="S150" s="11" t="str">
        <f t="shared" si="14"/>
        <v/>
      </c>
      <c r="T150" s="46" t="e">
        <f t="shared" si="15"/>
        <v>#DIV/0!</v>
      </c>
      <c r="U150" s="40" t="str">
        <f>IF(データ!R147="","",データ!R147)</f>
        <v/>
      </c>
      <c r="V150" s="41" t="str">
        <f>IF(データ!S147="","",データ!S147)</f>
        <v/>
      </c>
      <c r="W150" s="42">
        <f>データ!T147</f>
        <v>0</v>
      </c>
      <c r="X150" s="48">
        <f>IF($C150="集計行","",データ!U147)</f>
        <v>0</v>
      </c>
      <c r="Y150" s="48">
        <f>データ!V147</f>
        <v>0</v>
      </c>
      <c r="Z150" s="39" t="str">
        <f>IF(OR($C150="総括",$C150="内訳書",$C150="内訳代価",$C150="明細書",$C150="明細代価",$C150="代価表",$C150="単価表"),データ!W147,"")</f>
        <v/>
      </c>
      <c r="AA150" s="11" t="str">
        <f t="shared" si="16"/>
        <v/>
      </c>
      <c r="AB150" s="46" t="e">
        <f t="shared" si="17"/>
        <v>#DIV/0!</v>
      </c>
      <c r="AC150" s="40" t="str">
        <f>IF(データ!X147="","",データ!X147)</f>
        <v/>
      </c>
      <c r="AD150" s="41" t="str">
        <f>IF(データ!Y147="","",データ!Y147)</f>
        <v/>
      </c>
      <c r="AE150" s="47" t="str">
        <f>TRIM(データ!B147)</f>
        <v>s0002</v>
      </c>
      <c r="AF150" s="43" t="str">
        <f>TRIM(データ!Z147)</f>
        <v/>
      </c>
    </row>
    <row r="151" spans="1:32" x14ac:dyDescent="0.15">
      <c r="A151" s="47">
        <f>データ!A148</f>
        <v>3</v>
      </c>
      <c r="B151" s="47" t="str">
        <f>TRIM(データ!C148)</f>
        <v/>
      </c>
      <c r="C151" s="47" t="str">
        <f>TRIM(データ!D148)</f>
        <v>材料費</v>
      </c>
      <c r="D151" s="36" t="str">
        <f>REPT("｜",$A151)&amp;TRIM(データ!E148)</f>
        <v>｜｜｜軽油</v>
      </c>
      <c r="E151" s="37" t="str">
        <f>TRIM(データ!F148)</f>
        <v/>
      </c>
      <c r="F151" s="38" t="str">
        <f>TRIM(データ!G148)</f>
        <v>L</v>
      </c>
      <c r="G151" s="50">
        <f>データ!H148</f>
        <v>40</v>
      </c>
      <c r="H151" s="48">
        <f>データ!I148</f>
        <v>160</v>
      </c>
      <c r="I151" s="48">
        <f>データ!J148</f>
        <v>6400</v>
      </c>
      <c r="J151" s="39" t="str">
        <f>IF(OR($C151="総括",$C151="内訳書",$C151="内訳代価",$C151="明細書",$C151="明細代価",$C151="代価表",$C151="単価表"),データ!K148,"")</f>
        <v/>
      </c>
      <c r="K151" s="11" t="str">
        <f t="shared" si="12"/>
        <v/>
      </c>
      <c r="L151" s="46">
        <f t="shared" si="13"/>
        <v>2.7176220806794053E-4</v>
      </c>
      <c r="M151" s="40" t="str">
        <f>IF(データ!L148="","",データ!L148)</f>
        <v/>
      </c>
      <c r="N151" s="41" t="str">
        <f>IF(データ!M148="","",データ!M148)</f>
        <v/>
      </c>
      <c r="O151" s="42">
        <f>データ!N148</f>
        <v>0</v>
      </c>
      <c r="P151" s="48">
        <f>IF($C151="集計行","",データ!O148)</f>
        <v>0</v>
      </c>
      <c r="Q151" s="48">
        <f>データ!P148</f>
        <v>0</v>
      </c>
      <c r="R151" s="39" t="str">
        <f>IF(OR($C151="総括",$C151="内訳書",$C151="内訳代価",$C151="明細書",$C151="明細代価",$C151="代価表",$C151="単価表"),データ!Q148,"")</f>
        <v/>
      </c>
      <c r="S151" s="11" t="str">
        <f t="shared" si="14"/>
        <v/>
      </c>
      <c r="T151" s="46" t="e">
        <f t="shared" si="15"/>
        <v>#DIV/0!</v>
      </c>
      <c r="U151" s="40" t="str">
        <f>IF(データ!R148="","",データ!R148)</f>
        <v/>
      </c>
      <c r="V151" s="41" t="str">
        <f>IF(データ!S148="","",データ!S148)</f>
        <v/>
      </c>
      <c r="W151" s="42">
        <f>データ!T148</f>
        <v>0</v>
      </c>
      <c r="X151" s="48">
        <f>IF($C151="集計行","",データ!U148)</f>
        <v>0</v>
      </c>
      <c r="Y151" s="48">
        <f>データ!V148</f>
        <v>0</v>
      </c>
      <c r="Z151" s="39" t="str">
        <f>IF(OR($C151="総括",$C151="内訳書",$C151="内訳代価",$C151="明細書",$C151="明細代価",$C151="代価表",$C151="単価表"),データ!W148,"")</f>
        <v/>
      </c>
      <c r="AA151" s="11" t="str">
        <f t="shared" si="16"/>
        <v/>
      </c>
      <c r="AB151" s="46" t="e">
        <f t="shared" si="17"/>
        <v>#DIV/0!</v>
      </c>
      <c r="AC151" s="40" t="str">
        <f>IF(データ!X148="","",データ!X148)</f>
        <v/>
      </c>
      <c r="AD151" s="41" t="str">
        <f>IF(データ!Y148="","",データ!Y148)</f>
        <v/>
      </c>
      <c r="AE151" s="47" t="str">
        <f>TRIM(データ!B148)</f>
        <v>s20718549</v>
      </c>
      <c r="AF151" s="43" t="str">
        <f>TRIM(データ!Z148)</f>
        <v/>
      </c>
    </row>
    <row r="152" spans="1:32" x14ac:dyDescent="0.15">
      <c r="A152" s="47">
        <f>データ!A149</f>
        <v>3</v>
      </c>
      <c r="B152" s="47" t="str">
        <f>TRIM(データ!C149)</f>
        <v/>
      </c>
      <c r="C152" s="47" t="str">
        <f>TRIM(データ!D149)</f>
        <v>労務費</v>
      </c>
      <c r="D152" s="36" t="str">
        <f>REPT("｜",$A152)&amp;TRIM(データ!E149)</f>
        <v>｜｜｜運転工</v>
      </c>
      <c r="E152" s="37" t="str">
        <f>TRIM(データ!F149)</f>
        <v>8H</v>
      </c>
      <c r="F152" s="38" t="str">
        <f>TRIM(データ!G149)</f>
        <v>人</v>
      </c>
      <c r="G152" s="50">
        <f>データ!H149</f>
        <v>2</v>
      </c>
      <c r="H152" s="48">
        <f>データ!I149</f>
        <v>23000</v>
      </c>
      <c r="I152" s="48">
        <f>データ!J149</f>
        <v>46000</v>
      </c>
      <c r="J152" s="39" t="str">
        <f>IF(OR($C152="総括",$C152="内訳書",$C152="内訳代価",$C152="明細書",$C152="明細代価",$C152="代価表",$C152="単価表"),データ!K149,"")</f>
        <v/>
      </c>
      <c r="K152" s="11" t="str">
        <f t="shared" si="12"/>
        <v/>
      </c>
      <c r="L152" s="46">
        <f t="shared" si="13"/>
        <v>1.9532908704883228E-3</v>
      </c>
      <c r="M152" s="40" t="str">
        <f>IF(データ!L149="","",データ!L149)</f>
        <v/>
      </c>
      <c r="N152" s="41" t="str">
        <f>IF(データ!M149="","",データ!M149)</f>
        <v/>
      </c>
      <c r="O152" s="42">
        <f>データ!N149</f>
        <v>0</v>
      </c>
      <c r="P152" s="48">
        <f>IF($C152="集計行","",データ!O149)</f>
        <v>0</v>
      </c>
      <c r="Q152" s="48">
        <f>データ!P149</f>
        <v>0</v>
      </c>
      <c r="R152" s="39" t="str">
        <f>IF(OR($C152="総括",$C152="内訳書",$C152="内訳代価",$C152="明細書",$C152="明細代価",$C152="代価表",$C152="単価表"),データ!Q149,"")</f>
        <v/>
      </c>
      <c r="S152" s="11" t="str">
        <f t="shared" si="14"/>
        <v/>
      </c>
      <c r="T152" s="46" t="e">
        <f t="shared" si="15"/>
        <v>#DIV/0!</v>
      </c>
      <c r="U152" s="40" t="str">
        <f>IF(データ!R149="","",データ!R149)</f>
        <v/>
      </c>
      <c r="V152" s="41" t="str">
        <f>IF(データ!S149="","",データ!S149)</f>
        <v/>
      </c>
      <c r="W152" s="42">
        <f>データ!T149</f>
        <v>0</v>
      </c>
      <c r="X152" s="48">
        <f>IF($C152="集計行","",データ!U149)</f>
        <v>0</v>
      </c>
      <c r="Y152" s="48">
        <f>データ!V149</f>
        <v>0</v>
      </c>
      <c r="Z152" s="39" t="str">
        <f>IF(OR($C152="総括",$C152="内訳書",$C152="内訳代価",$C152="明細書",$C152="明細代価",$C152="代価表",$C152="単価表"),データ!W149,"")</f>
        <v/>
      </c>
      <c r="AA152" s="11" t="str">
        <f t="shared" si="16"/>
        <v/>
      </c>
      <c r="AB152" s="46" t="e">
        <f t="shared" si="17"/>
        <v>#DIV/0!</v>
      </c>
      <c r="AC152" s="40" t="str">
        <f>IF(データ!X149="","",データ!X149)</f>
        <v/>
      </c>
      <c r="AD152" s="41" t="str">
        <f>IF(データ!Y149="","",データ!Y149)</f>
        <v/>
      </c>
      <c r="AE152" s="47" t="str">
        <f>TRIM(データ!B149)</f>
        <v>r20718007</v>
      </c>
      <c r="AF152" s="43" t="str">
        <f>TRIM(データ!Z149)</f>
        <v/>
      </c>
    </row>
    <row r="153" spans="1:32" x14ac:dyDescent="0.15">
      <c r="A153" s="47">
        <f>データ!A150</f>
        <v>3</v>
      </c>
      <c r="B153" s="47" t="str">
        <f>TRIM(データ!C150)</f>
        <v/>
      </c>
      <c r="C153" s="47" t="str">
        <f>TRIM(データ!D150)</f>
        <v>機械費</v>
      </c>
      <c r="D153" s="36" t="str">
        <f>REPT("｜",$A153)&amp;TRIM(データ!E150)</f>
        <v>｜｜｜コンバインドR</v>
      </c>
      <c r="E153" s="37" t="str">
        <f>TRIM(データ!F150)</f>
        <v>3t　4ｔ　低騒音</v>
      </c>
      <c r="F153" s="38" t="str">
        <f>TRIM(データ!G150)</f>
        <v>日台</v>
      </c>
      <c r="G153" s="50">
        <f>データ!H150</f>
        <v>1</v>
      </c>
      <c r="H153" s="48">
        <f>データ!I150</f>
        <v>6000</v>
      </c>
      <c r="I153" s="48">
        <f>データ!J150</f>
        <v>6000</v>
      </c>
      <c r="J153" s="39" t="str">
        <f>IF(OR($C153="総括",$C153="内訳書",$C153="内訳代価",$C153="明細書",$C153="明細代価",$C153="代価表",$C153="単価表"),データ!K150,"")</f>
        <v/>
      </c>
      <c r="K153" s="11" t="str">
        <f t="shared" si="12"/>
        <v/>
      </c>
      <c r="L153" s="46">
        <f t="shared" si="13"/>
        <v>2.5477707006369424E-4</v>
      </c>
      <c r="M153" s="40" t="str">
        <f>IF(データ!L150="","",データ!L150)</f>
        <v/>
      </c>
      <c r="N153" s="41" t="str">
        <f>IF(データ!M150="","",データ!M150)</f>
        <v/>
      </c>
      <c r="O153" s="42">
        <f>データ!N150</f>
        <v>0</v>
      </c>
      <c r="P153" s="48">
        <f>IF($C153="集計行","",データ!O150)</f>
        <v>0</v>
      </c>
      <c r="Q153" s="48">
        <f>データ!P150</f>
        <v>0</v>
      </c>
      <c r="R153" s="39" t="str">
        <f>IF(OR($C153="総括",$C153="内訳書",$C153="内訳代価",$C153="明細書",$C153="明細代価",$C153="代価表",$C153="単価表"),データ!Q150,"")</f>
        <v/>
      </c>
      <c r="S153" s="11" t="str">
        <f t="shared" si="14"/>
        <v/>
      </c>
      <c r="T153" s="46" t="e">
        <f t="shared" si="15"/>
        <v>#DIV/0!</v>
      </c>
      <c r="U153" s="40" t="str">
        <f>IF(データ!R150="","",データ!R150)</f>
        <v/>
      </c>
      <c r="V153" s="41" t="str">
        <f>IF(データ!S150="","",データ!S150)</f>
        <v/>
      </c>
      <c r="W153" s="42">
        <f>データ!T150</f>
        <v>0</v>
      </c>
      <c r="X153" s="48">
        <f>IF($C153="集計行","",データ!U150)</f>
        <v>0</v>
      </c>
      <c r="Y153" s="48">
        <f>データ!V150</f>
        <v>0</v>
      </c>
      <c r="Z153" s="39" t="str">
        <f>IF(OR($C153="総括",$C153="内訳書",$C153="内訳代価",$C153="明細書",$C153="明細代価",$C153="代価表",$C153="単価表"),データ!W150,"")</f>
        <v/>
      </c>
      <c r="AA153" s="11" t="str">
        <f t="shared" si="16"/>
        <v/>
      </c>
      <c r="AB153" s="46" t="e">
        <f t="shared" si="17"/>
        <v>#DIV/0!</v>
      </c>
      <c r="AC153" s="40" t="str">
        <f>IF(データ!X150="","",データ!X150)</f>
        <v/>
      </c>
      <c r="AD153" s="41" t="str">
        <f>IF(データ!Y150="","",データ!Y150)</f>
        <v/>
      </c>
      <c r="AE153" s="47" t="str">
        <f>TRIM(データ!B150)</f>
        <v>k20718031</v>
      </c>
      <c r="AF153" s="43" t="str">
        <f>TRIM(データ!Z150)</f>
        <v/>
      </c>
    </row>
    <row r="154" spans="1:32" x14ac:dyDescent="0.15">
      <c r="A154" s="47">
        <f>データ!A151</f>
        <v>3</v>
      </c>
      <c r="B154" s="47" t="str">
        <f>TRIM(データ!C151)</f>
        <v/>
      </c>
      <c r="C154" s="47" t="str">
        <f>TRIM(データ!D151)</f>
        <v>機械費</v>
      </c>
      <c r="D154" s="36" t="str">
        <f>REPT("｜",$A154)&amp;TRIM(データ!E151)</f>
        <v>｜｜｜ｱｽﾌｧﾙﾄﾌｨﾆｯｼｬ</v>
      </c>
      <c r="E154" s="37" t="str">
        <f>TRIM(データ!F151)</f>
        <v>W=1.4m級</v>
      </c>
      <c r="F154" s="38" t="str">
        <f>TRIM(データ!G151)</f>
        <v>台</v>
      </c>
      <c r="G154" s="50">
        <f>データ!H151</f>
        <v>1</v>
      </c>
      <c r="H154" s="48">
        <f>データ!I151</f>
        <v>33000</v>
      </c>
      <c r="I154" s="48">
        <f>データ!J151</f>
        <v>33000</v>
      </c>
      <c r="J154" s="39" t="str">
        <f>IF(OR($C154="総括",$C154="内訳書",$C154="内訳代価",$C154="明細書",$C154="明細代価",$C154="代価表",$C154="単価表"),データ!K151,"")</f>
        <v/>
      </c>
      <c r="K154" s="11" t="str">
        <f t="shared" si="12"/>
        <v/>
      </c>
      <c r="L154" s="46">
        <f t="shared" si="13"/>
        <v>1.4012738853503184E-3</v>
      </c>
      <c r="M154" s="40" t="str">
        <f>IF(データ!L151="","",データ!L151)</f>
        <v/>
      </c>
      <c r="N154" s="41" t="str">
        <f>IF(データ!M151="","",データ!M151)</f>
        <v/>
      </c>
      <c r="O154" s="42">
        <f>データ!N151</f>
        <v>0</v>
      </c>
      <c r="P154" s="48">
        <f>IF($C154="集計行","",データ!O151)</f>
        <v>0</v>
      </c>
      <c r="Q154" s="48">
        <f>データ!P151</f>
        <v>0</v>
      </c>
      <c r="R154" s="39" t="str">
        <f>IF(OR($C154="総括",$C154="内訳書",$C154="内訳代価",$C154="明細書",$C154="明細代価",$C154="代価表",$C154="単価表"),データ!Q151,"")</f>
        <v/>
      </c>
      <c r="S154" s="11" t="str">
        <f t="shared" si="14"/>
        <v/>
      </c>
      <c r="T154" s="46" t="e">
        <f t="shared" si="15"/>
        <v>#DIV/0!</v>
      </c>
      <c r="U154" s="40" t="str">
        <f>IF(データ!R151="","",データ!R151)</f>
        <v/>
      </c>
      <c r="V154" s="41" t="str">
        <f>IF(データ!S151="","",データ!S151)</f>
        <v/>
      </c>
      <c r="W154" s="42">
        <f>データ!T151</f>
        <v>0</v>
      </c>
      <c r="X154" s="48">
        <f>IF($C154="集計行","",データ!U151)</f>
        <v>0</v>
      </c>
      <c r="Y154" s="48">
        <f>データ!V151</f>
        <v>0</v>
      </c>
      <c r="Z154" s="39" t="str">
        <f>IF(OR($C154="総括",$C154="内訳書",$C154="内訳代価",$C154="明細書",$C154="明細代価",$C154="代価表",$C154="単価表"),データ!W151,"")</f>
        <v/>
      </c>
      <c r="AA154" s="11" t="str">
        <f t="shared" si="16"/>
        <v/>
      </c>
      <c r="AB154" s="46" t="e">
        <f t="shared" si="17"/>
        <v>#DIV/0!</v>
      </c>
      <c r="AC154" s="40" t="str">
        <f>IF(データ!X151="","",データ!X151)</f>
        <v/>
      </c>
      <c r="AD154" s="41" t="str">
        <f>IF(データ!Y151="","",データ!Y151)</f>
        <v/>
      </c>
      <c r="AE154" s="47" t="str">
        <f>TRIM(データ!B151)</f>
        <v>k0003</v>
      </c>
      <c r="AF154" s="43" t="str">
        <f>TRIM(データ!Z151)</f>
        <v/>
      </c>
    </row>
    <row r="155" spans="1:32" x14ac:dyDescent="0.15">
      <c r="A155" s="47">
        <f>データ!A152</f>
        <v>3</v>
      </c>
      <c r="B155" s="47" t="str">
        <f>TRIM(データ!C152)</f>
        <v/>
      </c>
      <c r="C155" s="47" t="str">
        <f>TRIM(データ!D152)</f>
        <v>運搬費</v>
      </c>
      <c r="D155" s="36" t="str">
        <f>REPT("｜",$A155)&amp;TRIM(データ!E152)</f>
        <v>｜｜｜2tダンプ</v>
      </c>
      <c r="E155" s="37" t="str">
        <f>TRIM(データ!F152)</f>
        <v/>
      </c>
      <c r="F155" s="38" t="str">
        <f>TRIM(データ!G152)</f>
        <v>台</v>
      </c>
      <c r="G155" s="50">
        <f>データ!H152</f>
        <v>3</v>
      </c>
      <c r="H155" s="48">
        <f>データ!I152</f>
        <v>6000</v>
      </c>
      <c r="I155" s="48">
        <f>データ!J152</f>
        <v>18000</v>
      </c>
      <c r="J155" s="39" t="str">
        <f>IF(OR($C155="総括",$C155="内訳書",$C155="内訳代価",$C155="明細書",$C155="明細代価",$C155="代価表",$C155="単価表"),データ!K152,"")</f>
        <v/>
      </c>
      <c r="K155" s="11" t="str">
        <f t="shared" si="12"/>
        <v/>
      </c>
      <c r="L155" s="46">
        <f t="shared" si="13"/>
        <v>7.6433121019108278E-4</v>
      </c>
      <c r="M155" s="40" t="str">
        <f>IF(データ!L152="","",データ!L152)</f>
        <v/>
      </c>
      <c r="N155" s="41" t="str">
        <f>IF(データ!M152="","",データ!M152)</f>
        <v/>
      </c>
      <c r="O155" s="42">
        <f>データ!N152</f>
        <v>0</v>
      </c>
      <c r="P155" s="48">
        <f>IF($C155="集計行","",データ!O152)</f>
        <v>0</v>
      </c>
      <c r="Q155" s="48">
        <f>データ!P152</f>
        <v>0</v>
      </c>
      <c r="R155" s="39" t="str">
        <f>IF(OR($C155="総括",$C155="内訳書",$C155="内訳代価",$C155="明細書",$C155="明細代価",$C155="代価表",$C155="単価表"),データ!Q152,"")</f>
        <v/>
      </c>
      <c r="S155" s="11" t="str">
        <f t="shared" si="14"/>
        <v/>
      </c>
      <c r="T155" s="46" t="e">
        <f t="shared" si="15"/>
        <v>#DIV/0!</v>
      </c>
      <c r="U155" s="40" t="str">
        <f>IF(データ!R152="","",データ!R152)</f>
        <v/>
      </c>
      <c r="V155" s="41" t="str">
        <f>IF(データ!S152="","",データ!S152)</f>
        <v/>
      </c>
      <c r="W155" s="42">
        <f>データ!T152</f>
        <v>0</v>
      </c>
      <c r="X155" s="48">
        <f>IF($C155="集計行","",データ!U152)</f>
        <v>0</v>
      </c>
      <c r="Y155" s="48">
        <f>データ!V152</f>
        <v>0</v>
      </c>
      <c r="Z155" s="39" t="str">
        <f>IF(OR($C155="総括",$C155="内訳書",$C155="内訳代価",$C155="明細書",$C155="明細代価",$C155="代価表",$C155="単価表"),データ!W152,"")</f>
        <v/>
      </c>
      <c r="AA155" s="11" t="str">
        <f t="shared" si="16"/>
        <v/>
      </c>
      <c r="AB155" s="46" t="e">
        <f t="shared" si="17"/>
        <v>#DIV/0!</v>
      </c>
      <c r="AC155" s="40" t="str">
        <f>IF(データ!X152="","",データ!X152)</f>
        <v/>
      </c>
      <c r="AD155" s="41" t="str">
        <f>IF(データ!Y152="","",データ!Y152)</f>
        <v/>
      </c>
      <c r="AE155" s="47" t="str">
        <f>TRIM(データ!B152)</f>
        <v>u20718025</v>
      </c>
      <c r="AF155" s="43" t="str">
        <f>TRIM(データ!Z152)</f>
        <v/>
      </c>
    </row>
    <row r="156" spans="1:32" x14ac:dyDescent="0.15">
      <c r="A156" s="47">
        <f>データ!A153</f>
        <v>2</v>
      </c>
      <c r="B156" s="47" t="str">
        <f>TRIM(データ!C153)</f>
        <v/>
      </c>
      <c r="C156" s="47" t="str">
        <f>TRIM(データ!D153)</f>
        <v>内訳代価</v>
      </c>
      <c r="D156" s="36" t="str">
        <f>REPT("｜",$A156)&amp;TRIM(データ!E153)</f>
        <v>｜｜構造物設置工</v>
      </c>
      <c r="E156" s="37" t="str">
        <f>TRIM(データ!F153)</f>
        <v>L型側溝・地先境界ブロック</v>
      </c>
      <c r="F156" s="38" t="str">
        <f>TRIM(データ!G153)</f>
        <v>ｍ</v>
      </c>
      <c r="G156" s="50">
        <f>データ!H153</f>
        <v>5</v>
      </c>
      <c r="H156" s="48">
        <f>データ!I153</f>
        <v>20500</v>
      </c>
      <c r="I156" s="48">
        <f>データ!J153</f>
        <v>102500</v>
      </c>
      <c r="J156" s="39">
        <f>IF(OR($C156="総括",$C156="内訳書",$C156="内訳代価",$C156="明細書",$C156="明細代価",$C156="代価表",$C156="単価表"),データ!K153,"")</f>
        <v>5</v>
      </c>
      <c r="K156" s="11" t="str">
        <f t="shared" si="12"/>
        <v/>
      </c>
      <c r="L156" s="46">
        <f t="shared" si="13"/>
        <v>4.3524416135881103E-3</v>
      </c>
      <c r="M156" s="40" t="str">
        <f>IF(データ!L153="","",データ!L153)</f>
        <v/>
      </c>
      <c r="N156" s="41" t="str">
        <f>IF(データ!M153="","",データ!M153)</f>
        <v>33号内訳書</v>
      </c>
      <c r="O156" s="42">
        <f>データ!N153</f>
        <v>0</v>
      </c>
      <c r="P156" s="48">
        <f>IF($C156="集計行","",データ!O153)</f>
        <v>0</v>
      </c>
      <c r="Q156" s="48">
        <f>データ!P153</f>
        <v>0</v>
      </c>
      <c r="R156" s="39">
        <f>IF(OR($C156="総括",$C156="内訳書",$C156="内訳代価",$C156="明細書",$C156="明細代価",$C156="代価表",$C156="単価表"),データ!Q153,"")</f>
        <v>0</v>
      </c>
      <c r="S156" s="11" t="str">
        <f t="shared" si="14"/>
        <v/>
      </c>
      <c r="T156" s="46" t="e">
        <f t="shared" si="15"/>
        <v>#DIV/0!</v>
      </c>
      <c r="U156" s="40" t="str">
        <f>IF(データ!R153="","",データ!R153)</f>
        <v/>
      </c>
      <c r="V156" s="41" t="str">
        <f>IF(データ!S153="","",データ!S153)</f>
        <v/>
      </c>
      <c r="W156" s="42">
        <f>データ!T153</f>
        <v>0</v>
      </c>
      <c r="X156" s="48">
        <f>IF($C156="集計行","",データ!U153)</f>
        <v>0</v>
      </c>
      <c r="Y156" s="48">
        <f>データ!V153</f>
        <v>0</v>
      </c>
      <c r="Z156" s="39">
        <f>IF(OR($C156="総括",$C156="内訳書",$C156="内訳代価",$C156="明細書",$C156="明細代価",$C156="代価表",$C156="単価表"),データ!W153,"")</f>
        <v>0</v>
      </c>
      <c r="AA156" s="11" t="str">
        <f t="shared" si="16"/>
        <v/>
      </c>
      <c r="AB156" s="46" t="e">
        <f t="shared" si="17"/>
        <v>#DIV/0!</v>
      </c>
      <c r="AC156" s="40" t="str">
        <f>IF(データ!X153="","",データ!X153)</f>
        <v/>
      </c>
      <c r="AD156" s="41" t="str">
        <f>IF(データ!Y153="","",データ!Y153)</f>
        <v/>
      </c>
      <c r="AE156" s="47" t="str">
        <f>TRIM(データ!B153)</f>
        <v/>
      </c>
      <c r="AF156" s="43" t="str">
        <f>TRIM(データ!Z153)</f>
        <v/>
      </c>
    </row>
    <row r="157" spans="1:32" x14ac:dyDescent="0.15">
      <c r="A157" s="47">
        <f>データ!A154</f>
        <v>3</v>
      </c>
      <c r="B157" s="47" t="str">
        <f>TRIM(データ!C154)</f>
        <v/>
      </c>
      <c r="C157" s="47" t="str">
        <f>TRIM(データ!D154)</f>
        <v>材料費</v>
      </c>
      <c r="D157" s="36" t="str">
        <f>REPT("｜",$A157)&amp;TRIM(データ!E154)</f>
        <v>｜｜｜L型側溝</v>
      </c>
      <c r="E157" s="37" t="str">
        <f>TRIM(データ!F154)</f>
        <v/>
      </c>
      <c r="F157" s="38" t="str">
        <f>TRIM(データ!G154)</f>
        <v>本</v>
      </c>
      <c r="G157" s="50">
        <f>データ!H154</f>
        <v>10</v>
      </c>
      <c r="H157" s="48">
        <f>データ!I154</f>
        <v>1800</v>
      </c>
      <c r="I157" s="48">
        <f>データ!J154</f>
        <v>18000</v>
      </c>
      <c r="J157" s="39" t="str">
        <f>IF(OR($C157="総括",$C157="内訳書",$C157="内訳代価",$C157="明細書",$C157="明細代価",$C157="代価表",$C157="単価表"),データ!K154,"")</f>
        <v/>
      </c>
      <c r="K157" s="11" t="str">
        <f t="shared" si="12"/>
        <v/>
      </c>
      <c r="L157" s="46">
        <f t="shared" si="13"/>
        <v>7.6433121019108278E-4</v>
      </c>
      <c r="M157" s="40" t="str">
        <f>IF(データ!L154="","",データ!L154)</f>
        <v/>
      </c>
      <c r="N157" s="41" t="str">
        <f>IF(データ!M154="","",データ!M154)</f>
        <v/>
      </c>
      <c r="O157" s="42">
        <f>データ!N154</f>
        <v>0</v>
      </c>
      <c r="P157" s="48">
        <f>IF($C157="集計行","",データ!O154)</f>
        <v>0</v>
      </c>
      <c r="Q157" s="48">
        <f>データ!P154</f>
        <v>0</v>
      </c>
      <c r="R157" s="39" t="str">
        <f>IF(OR($C157="総括",$C157="内訳書",$C157="内訳代価",$C157="明細書",$C157="明細代価",$C157="代価表",$C157="単価表"),データ!Q154,"")</f>
        <v/>
      </c>
      <c r="S157" s="11" t="str">
        <f t="shared" si="14"/>
        <v/>
      </c>
      <c r="T157" s="46" t="e">
        <f t="shared" si="15"/>
        <v>#DIV/0!</v>
      </c>
      <c r="U157" s="40" t="str">
        <f>IF(データ!R154="","",データ!R154)</f>
        <v/>
      </c>
      <c r="V157" s="41" t="str">
        <f>IF(データ!S154="","",データ!S154)</f>
        <v/>
      </c>
      <c r="W157" s="42">
        <f>データ!T154</f>
        <v>0</v>
      </c>
      <c r="X157" s="48">
        <f>IF($C157="集計行","",データ!U154)</f>
        <v>0</v>
      </c>
      <c r="Y157" s="48">
        <f>データ!V154</f>
        <v>0</v>
      </c>
      <c r="Z157" s="39" t="str">
        <f>IF(OR($C157="総括",$C157="内訳書",$C157="内訳代価",$C157="明細書",$C157="明細代価",$C157="代価表",$C157="単価表"),データ!W154,"")</f>
        <v/>
      </c>
      <c r="AA157" s="11" t="str">
        <f t="shared" si="16"/>
        <v/>
      </c>
      <c r="AB157" s="46" t="e">
        <f t="shared" si="17"/>
        <v>#DIV/0!</v>
      </c>
      <c r="AC157" s="40" t="str">
        <f>IF(データ!X154="","",データ!X154)</f>
        <v/>
      </c>
      <c r="AD157" s="41" t="str">
        <f>IF(データ!Y154="","",データ!Y154)</f>
        <v/>
      </c>
      <c r="AE157" s="47" t="str">
        <f>TRIM(データ!B154)</f>
        <v>s4009</v>
      </c>
      <c r="AF157" s="43" t="str">
        <f>TRIM(データ!Z154)</f>
        <v/>
      </c>
    </row>
    <row r="158" spans="1:32" x14ac:dyDescent="0.15">
      <c r="A158" s="47">
        <f>データ!A155</f>
        <v>3</v>
      </c>
      <c r="B158" s="47" t="str">
        <f>TRIM(データ!C155)</f>
        <v/>
      </c>
      <c r="C158" s="47" t="str">
        <f>TRIM(データ!D155)</f>
        <v>材料費</v>
      </c>
      <c r="D158" s="36" t="str">
        <f>REPT("｜",$A158)&amp;TRIM(データ!E155)</f>
        <v>｜｜｜運賃</v>
      </c>
      <c r="E158" s="37" t="str">
        <f>TRIM(データ!F155)</f>
        <v/>
      </c>
      <c r="F158" s="38" t="str">
        <f>TRIM(データ!G155)</f>
        <v>回</v>
      </c>
      <c r="G158" s="50">
        <f>データ!H155</f>
        <v>1</v>
      </c>
      <c r="H158" s="48">
        <f>データ!I155</f>
        <v>20000</v>
      </c>
      <c r="I158" s="48">
        <f>データ!J155</f>
        <v>20000</v>
      </c>
      <c r="J158" s="39" t="str">
        <f>IF(OR($C158="総括",$C158="内訳書",$C158="内訳代価",$C158="明細書",$C158="明細代価",$C158="代価表",$C158="単価表"),データ!K155,"")</f>
        <v/>
      </c>
      <c r="K158" s="11" t="str">
        <f t="shared" si="12"/>
        <v/>
      </c>
      <c r="L158" s="46">
        <f t="shared" si="13"/>
        <v>8.4925690021231425E-4</v>
      </c>
      <c r="M158" s="40" t="str">
        <f>IF(データ!L155="","",データ!L155)</f>
        <v/>
      </c>
      <c r="N158" s="41" t="str">
        <f>IF(データ!M155="","",データ!M155)</f>
        <v/>
      </c>
      <c r="O158" s="42">
        <f>データ!N155</f>
        <v>0</v>
      </c>
      <c r="P158" s="48">
        <f>IF($C158="集計行","",データ!O155)</f>
        <v>0</v>
      </c>
      <c r="Q158" s="48">
        <f>データ!P155</f>
        <v>0</v>
      </c>
      <c r="R158" s="39" t="str">
        <f>IF(OR($C158="総括",$C158="内訳書",$C158="内訳代価",$C158="明細書",$C158="明細代価",$C158="代価表",$C158="単価表"),データ!Q155,"")</f>
        <v/>
      </c>
      <c r="S158" s="11" t="str">
        <f t="shared" si="14"/>
        <v/>
      </c>
      <c r="T158" s="46" t="e">
        <f t="shared" si="15"/>
        <v>#DIV/0!</v>
      </c>
      <c r="U158" s="40" t="str">
        <f>IF(データ!R155="","",データ!R155)</f>
        <v/>
      </c>
      <c r="V158" s="41" t="str">
        <f>IF(データ!S155="","",データ!S155)</f>
        <v/>
      </c>
      <c r="W158" s="42">
        <f>データ!T155</f>
        <v>0</v>
      </c>
      <c r="X158" s="48">
        <f>IF($C158="集計行","",データ!U155)</f>
        <v>0</v>
      </c>
      <c r="Y158" s="48">
        <f>データ!V155</f>
        <v>0</v>
      </c>
      <c r="Z158" s="39" t="str">
        <f>IF(OR($C158="総括",$C158="内訳書",$C158="内訳代価",$C158="明細書",$C158="明細代価",$C158="代価表",$C158="単価表"),データ!W155,"")</f>
        <v/>
      </c>
      <c r="AA158" s="11" t="str">
        <f t="shared" si="16"/>
        <v/>
      </c>
      <c r="AB158" s="46" t="e">
        <f t="shared" si="17"/>
        <v>#DIV/0!</v>
      </c>
      <c r="AC158" s="40" t="str">
        <f>IF(データ!X155="","",データ!X155)</f>
        <v/>
      </c>
      <c r="AD158" s="41" t="str">
        <f>IF(データ!Y155="","",データ!Y155)</f>
        <v/>
      </c>
      <c r="AE158" s="47" t="str">
        <f>TRIM(データ!B155)</f>
        <v/>
      </c>
      <c r="AF158" s="43" t="str">
        <f>TRIM(データ!Z155)</f>
        <v/>
      </c>
    </row>
    <row r="159" spans="1:32" x14ac:dyDescent="0.15">
      <c r="A159" s="47">
        <f>データ!A156</f>
        <v>3</v>
      </c>
      <c r="B159" s="47" t="str">
        <f>TRIM(データ!C156)</f>
        <v/>
      </c>
      <c r="C159" s="47" t="str">
        <f>TRIM(データ!D156)</f>
        <v>材料費</v>
      </c>
      <c r="D159" s="36" t="str">
        <f>REPT("｜",$A159)&amp;TRIM(データ!E156)</f>
        <v>｜｜｜ﾓﾙﾀﾙ</v>
      </c>
      <c r="E159" s="37" t="str">
        <f>TRIM(データ!F156)</f>
        <v>1:3</v>
      </c>
      <c r="F159" s="38" t="str">
        <f>TRIM(データ!G156)</f>
        <v>式</v>
      </c>
      <c r="G159" s="50">
        <f>データ!H156</f>
        <v>1</v>
      </c>
      <c r="H159" s="48">
        <f>データ!I156</f>
        <v>4000</v>
      </c>
      <c r="I159" s="48">
        <f>データ!J156</f>
        <v>4000</v>
      </c>
      <c r="J159" s="39" t="str">
        <f>IF(OR($C159="総括",$C159="内訳書",$C159="内訳代価",$C159="明細書",$C159="明細代価",$C159="代価表",$C159="単価表"),データ!K156,"")</f>
        <v/>
      </c>
      <c r="K159" s="11" t="str">
        <f t="shared" si="12"/>
        <v/>
      </c>
      <c r="L159" s="46">
        <f t="shared" si="13"/>
        <v>1.6985138004246286E-4</v>
      </c>
      <c r="M159" s="40" t="str">
        <f>IF(データ!L156="","",データ!L156)</f>
        <v/>
      </c>
      <c r="N159" s="41" t="str">
        <f>IF(データ!M156="","",データ!M156)</f>
        <v/>
      </c>
      <c r="O159" s="42">
        <f>データ!N156</f>
        <v>0</v>
      </c>
      <c r="P159" s="48">
        <f>IF($C159="集計行","",データ!O156)</f>
        <v>0</v>
      </c>
      <c r="Q159" s="48">
        <f>データ!P156</f>
        <v>0</v>
      </c>
      <c r="R159" s="39" t="str">
        <f>IF(OR($C159="総括",$C159="内訳書",$C159="内訳代価",$C159="明細書",$C159="明細代価",$C159="代価表",$C159="単価表"),データ!Q156,"")</f>
        <v/>
      </c>
      <c r="S159" s="11" t="str">
        <f t="shared" si="14"/>
        <v/>
      </c>
      <c r="T159" s="46" t="e">
        <f t="shared" si="15"/>
        <v>#DIV/0!</v>
      </c>
      <c r="U159" s="40" t="str">
        <f>IF(データ!R156="","",データ!R156)</f>
        <v/>
      </c>
      <c r="V159" s="41" t="str">
        <f>IF(データ!S156="","",データ!S156)</f>
        <v/>
      </c>
      <c r="W159" s="42">
        <f>データ!T156</f>
        <v>0</v>
      </c>
      <c r="X159" s="48">
        <f>IF($C159="集計行","",データ!U156)</f>
        <v>0</v>
      </c>
      <c r="Y159" s="48">
        <f>データ!V156</f>
        <v>0</v>
      </c>
      <c r="Z159" s="39" t="str">
        <f>IF(OR($C159="総括",$C159="内訳書",$C159="内訳代価",$C159="明細書",$C159="明細代価",$C159="代価表",$C159="単価表"),データ!W156,"")</f>
        <v/>
      </c>
      <c r="AA159" s="11" t="str">
        <f t="shared" si="16"/>
        <v/>
      </c>
      <c r="AB159" s="46" t="e">
        <f t="shared" si="17"/>
        <v>#DIV/0!</v>
      </c>
      <c r="AC159" s="40" t="str">
        <f>IF(データ!X156="","",データ!X156)</f>
        <v/>
      </c>
      <c r="AD159" s="41" t="str">
        <f>IF(データ!Y156="","",データ!Y156)</f>
        <v/>
      </c>
      <c r="AE159" s="47" t="str">
        <f>TRIM(データ!B156)</f>
        <v>s3009</v>
      </c>
      <c r="AF159" s="43" t="str">
        <f>TRIM(データ!Z156)</f>
        <v/>
      </c>
    </row>
    <row r="160" spans="1:32" x14ac:dyDescent="0.15">
      <c r="A160" s="47">
        <f>データ!A157</f>
        <v>3</v>
      </c>
      <c r="B160" s="47" t="str">
        <f>TRIM(データ!C157)</f>
        <v/>
      </c>
      <c r="C160" s="47" t="str">
        <f>TRIM(データ!D157)</f>
        <v>材料費</v>
      </c>
      <c r="D160" s="36" t="str">
        <f>REPT("｜",$A160)&amp;TRIM(データ!E157)</f>
        <v>｜｜｜地先境界ﾌﾞﾛｯｸ</v>
      </c>
      <c r="E160" s="37" t="str">
        <f>TRIM(データ!F157)</f>
        <v>A　L=600</v>
      </c>
      <c r="F160" s="38" t="str">
        <f>TRIM(データ!G157)</f>
        <v>本</v>
      </c>
      <c r="G160" s="50">
        <f>データ!H157</f>
        <v>7</v>
      </c>
      <c r="H160" s="48">
        <f>データ!I157</f>
        <v>500</v>
      </c>
      <c r="I160" s="48">
        <f>データ!J157</f>
        <v>3500</v>
      </c>
      <c r="J160" s="39" t="str">
        <f>IF(OR($C160="総括",$C160="内訳書",$C160="内訳代価",$C160="明細書",$C160="明細代価",$C160="代価表",$C160="単価表"),データ!K157,"")</f>
        <v/>
      </c>
      <c r="K160" s="11" t="str">
        <f t="shared" si="12"/>
        <v/>
      </c>
      <c r="L160" s="46">
        <f t="shared" si="13"/>
        <v>1.4861995753715499E-4</v>
      </c>
      <c r="M160" s="40" t="str">
        <f>IF(データ!L157="","",データ!L157)</f>
        <v/>
      </c>
      <c r="N160" s="41" t="str">
        <f>IF(データ!M157="","",データ!M157)</f>
        <v/>
      </c>
      <c r="O160" s="42">
        <f>データ!N157</f>
        <v>0</v>
      </c>
      <c r="P160" s="48">
        <f>IF($C160="集計行","",データ!O157)</f>
        <v>0</v>
      </c>
      <c r="Q160" s="48">
        <f>データ!P157</f>
        <v>0</v>
      </c>
      <c r="R160" s="39" t="str">
        <f>IF(OR($C160="総括",$C160="内訳書",$C160="内訳代価",$C160="明細書",$C160="明細代価",$C160="代価表",$C160="単価表"),データ!Q157,"")</f>
        <v/>
      </c>
      <c r="S160" s="11" t="str">
        <f t="shared" si="14"/>
        <v/>
      </c>
      <c r="T160" s="46" t="e">
        <f t="shared" si="15"/>
        <v>#DIV/0!</v>
      </c>
      <c r="U160" s="40" t="str">
        <f>IF(データ!R157="","",データ!R157)</f>
        <v/>
      </c>
      <c r="V160" s="41" t="str">
        <f>IF(データ!S157="","",データ!S157)</f>
        <v/>
      </c>
      <c r="W160" s="42">
        <f>データ!T157</f>
        <v>0</v>
      </c>
      <c r="X160" s="48">
        <f>IF($C160="集計行","",データ!U157)</f>
        <v>0</v>
      </c>
      <c r="Y160" s="48">
        <f>データ!V157</f>
        <v>0</v>
      </c>
      <c r="Z160" s="39" t="str">
        <f>IF(OR($C160="総括",$C160="内訳書",$C160="内訳代価",$C160="明細書",$C160="明細代価",$C160="代価表",$C160="単価表"),データ!W157,"")</f>
        <v/>
      </c>
      <c r="AA160" s="11" t="str">
        <f t="shared" si="16"/>
        <v/>
      </c>
      <c r="AB160" s="46" t="e">
        <f t="shared" si="17"/>
        <v>#DIV/0!</v>
      </c>
      <c r="AC160" s="40" t="str">
        <f>IF(データ!X157="","",データ!X157)</f>
        <v/>
      </c>
      <c r="AD160" s="41" t="str">
        <f>IF(データ!Y157="","",データ!Y157)</f>
        <v/>
      </c>
      <c r="AE160" s="47" t="str">
        <f>TRIM(データ!B157)</f>
        <v>s4001</v>
      </c>
      <c r="AF160" s="43" t="str">
        <f>TRIM(データ!Z157)</f>
        <v/>
      </c>
    </row>
    <row r="161" spans="1:32" x14ac:dyDescent="0.15">
      <c r="A161" s="47">
        <f>データ!A158</f>
        <v>3</v>
      </c>
      <c r="B161" s="47" t="str">
        <f>TRIM(データ!C158)</f>
        <v/>
      </c>
      <c r="C161" s="47" t="str">
        <f>TRIM(データ!D158)</f>
        <v>労務費</v>
      </c>
      <c r="D161" s="36" t="str">
        <f>REPT("｜",$A161)&amp;TRIM(データ!E158)</f>
        <v>｜｜｜技工</v>
      </c>
      <c r="E161" s="37" t="str">
        <f>TRIM(データ!F158)</f>
        <v>8H</v>
      </c>
      <c r="F161" s="38" t="str">
        <f>TRIM(データ!G158)</f>
        <v>人</v>
      </c>
      <c r="G161" s="50">
        <f>データ!H158</f>
        <v>2</v>
      </c>
      <c r="H161" s="48">
        <f>データ!I158</f>
        <v>23000</v>
      </c>
      <c r="I161" s="48">
        <f>データ!J158</f>
        <v>46000</v>
      </c>
      <c r="J161" s="39" t="str">
        <f>IF(OR($C161="総括",$C161="内訳書",$C161="内訳代価",$C161="明細書",$C161="明細代価",$C161="代価表",$C161="単価表"),データ!K158,"")</f>
        <v/>
      </c>
      <c r="K161" s="11" t="str">
        <f t="shared" si="12"/>
        <v/>
      </c>
      <c r="L161" s="46">
        <f t="shared" si="13"/>
        <v>1.9532908704883228E-3</v>
      </c>
      <c r="M161" s="40" t="str">
        <f>IF(データ!L158="","",データ!L158)</f>
        <v/>
      </c>
      <c r="N161" s="41" t="str">
        <f>IF(データ!M158="","",データ!M158)</f>
        <v/>
      </c>
      <c r="O161" s="42">
        <f>データ!N158</f>
        <v>0</v>
      </c>
      <c r="P161" s="48">
        <f>IF($C161="集計行","",データ!O158)</f>
        <v>0</v>
      </c>
      <c r="Q161" s="48">
        <f>データ!P158</f>
        <v>0</v>
      </c>
      <c r="R161" s="39" t="str">
        <f>IF(OR($C161="総括",$C161="内訳書",$C161="内訳代価",$C161="明細書",$C161="明細代価",$C161="代価表",$C161="単価表"),データ!Q158,"")</f>
        <v/>
      </c>
      <c r="S161" s="11" t="str">
        <f t="shared" si="14"/>
        <v/>
      </c>
      <c r="T161" s="46" t="e">
        <f t="shared" si="15"/>
        <v>#DIV/0!</v>
      </c>
      <c r="U161" s="40" t="str">
        <f>IF(データ!R158="","",データ!R158)</f>
        <v/>
      </c>
      <c r="V161" s="41" t="str">
        <f>IF(データ!S158="","",データ!S158)</f>
        <v/>
      </c>
      <c r="W161" s="42">
        <f>データ!T158</f>
        <v>0</v>
      </c>
      <c r="X161" s="48">
        <f>IF($C161="集計行","",データ!U158)</f>
        <v>0</v>
      </c>
      <c r="Y161" s="48">
        <f>データ!V158</f>
        <v>0</v>
      </c>
      <c r="Z161" s="39" t="str">
        <f>IF(OR($C161="総括",$C161="内訳書",$C161="内訳代価",$C161="明細書",$C161="明細代価",$C161="代価表",$C161="単価表"),データ!W158,"")</f>
        <v/>
      </c>
      <c r="AA161" s="11" t="str">
        <f t="shared" si="16"/>
        <v/>
      </c>
      <c r="AB161" s="46" t="e">
        <f t="shared" si="17"/>
        <v>#DIV/0!</v>
      </c>
      <c r="AC161" s="40" t="str">
        <f>IF(データ!X158="","",データ!X158)</f>
        <v/>
      </c>
      <c r="AD161" s="41" t="str">
        <f>IF(データ!Y158="","",データ!Y158)</f>
        <v/>
      </c>
      <c r="AE161" s="47" t="str">
        <f>TRIM(データ!B158)</f>
        <v>r20718005</v>
      </c>
      <c r="AF161" s="43" t="str">
        <f>TRIM(データ!Z158)</f>
        <v/>
      </c>
    </row>
    <row r="162" spans="1:32" x14ac:dyDescent="0.15">
      <c r="A162" s="47">
        <f>データ!A159</f>
        <v>3</v>
      </c>
      <c r="B162" s="47" t="str">
        <f>TRIM(データ!C159)</f>
        <v/>
      </c>
      <c r="C162" s="47" t="str">
        <f>TRIM(データ!D159)</f>
        <v>機械費</v>
      </c>
      <c r="D162" s="36" t="str">
        <f>REPT("｜",$A162)&amp;TRIM(データ!E159)</f>
        <v>｜｜｜小物機械　ﾊﾟｰﾄﾅ・丸ﾉｺ</v>
      </c>
      <c r="E162" s="37" t="str">
        <f>TRIM(データ!F159)</f>
        <v>ｸﾞﾗｲﾝﾀﾞ-・ｺｱ抜きﾄﾞﾘﾙ・ﾌﾞﾛｱ　等</v>
      </c>
      <c r="F162" s="38" t="str">
        <f>TRIM(データ!G159)</f>
        <v>台</v>
      </c>
      <c r="G162" s="50">
        <f>データ!H159</f>
        <v>1</v>
      </c>
      <c r="H162" s="48">
        <f>データ!I159</f>
        <v>5000</v>
      </c>
      <c r="I162" s="48">
        <f>データ!J159</f>
        <v>5000</v>
      </c>
      <c r="J162" s="39" t="str">
        <f>IF(OR($C162="総括",$C162="内訳書",$C162="内訳代価",$C162="明細書",$C162="明細代価",$C162="代価表",$C162="単価表"),データ!K159,"")</f>
        <v/>
      </c>
      <c r="K162" s="11" t="str">
        <f t="shared" si="12"/>
        <v/>
      </c>
      <c r="L162" s="46">
        <f t="shared" si="13"/>
        <v>2.1231422505307856E-4</v>
      </c>
      <c r="M162" s="40" t="str">
        <f>IF(データ!L159="","",データ!L159)</f>
        <v/>
      </c>
      <c r="N162" s="41" t="str">
        <f>IF(データ!M159="","",データ!M159)</f>
        <v/>
      </c>
      <c r="O162" s="42">
        <f>データ!N159</f>
        <v>0</v>
      </c>
      <c r="P162" s="48">
        <f>IF($C162="集計行","",データ!O159)</f>
        <v>0</v>
      </c>
      <c r="Q162" s="48">
        <f>データ!P159</f>
        <v>0</v>
      </c>
      <c r="R162" s="39" t="str">
        <f>IF(OR($C162="総括",$C162="内訳書",$C162="内訳代価",$C162="明細書",$C162="明細代価",$C162="代価表",$C162="単価表"),データ!Q159,"")</f>
        <v/>
      </c>
      <c r="S162" s="11" t="str">
        <f t="shared" si="14"/>
        <v/>
      </c>
      <c r="T162" s="46" t="e">
        <f t="shared" si="15"/>
        <v>#DIV/0!</v>
      </c>
      <c r="U162" s="40" t="str">
        <f>IF(データ!R159="","",データ!R159)</f>
        <v/>
      </c>
      <c r="V162" s="41" t="str">
        <f>IF(データ!S159="","",データ!S159)</f>
        <v/>
      </c>
      <c r="W162" s="42">
        <f>データ!T159</f>
        <v>0</v>
      </c>
      <c r="X162" s="48">
        <f>IF($C162="集計行","",データ!U159)</f>
        <v>0</v>
      </c>
      <c r="Y162" s="48">
        <f>データ!V159</f>
        <v>0</v>
      </c>
      <c r="Z162" s="39" t="str">
        <f>IF(OR($C162="総括",$C162="内訳書",$C162="内訳代価",$C162="明細書",$C162="明細代価",$C162="代価表",$C162="単価表"),データ!W159,"")</f>
        <v/>
      </c>
      <c r="AA162" s="11" t="str">
        <f t="shared" si="16"/>
        <v/>
      </c>
      <c r="AB162" s="46" t="e">
        <f t="shared" si="17"/>
        <v>#DIV/0!</v>
      </c>
      <c r="AC162" s="40" t="str">
        <f>IF(データ!X159="","",データ!X159)</f>
        <v/>
      </c>
      <c r="AD162" s="41" t="str">
        <f>IF(データ!Y159="","",データ!Y159)</f>
        <v/>
      </c>
      <c r="AE162" s="47" t="str">
        <f>TRIM(データ!B159)</f>
        <v>k20718001</v>
      </c>
      <c r="AF162" s="43" t="str">
        <f>TRIM(データ!Z159)</f>
        <v/>
      </c>
    </row>
    <row r="163" spans="1:32" x14ac:dyDescent="0.15">
      <c r="A163" s="47">
        <f>データ!A160</f>
        <v>3</v>
      </c>
      <c r="B163" s="47" t="str">
        <f>TRIM(データ!C160)</f>
        <v/>
      </c>
      <c r="C163" s="47" t="str">
        <f>TRIM(データ!D160)</f>
        <v>運搬費</v>
      </c>
      <c r="D163" s="36" t="str">
        <f>REPT("｜",$A163)&amp;TRIM(データ!E160)</f>
        <v>｜｜｜2tダンプ</v>
      </c>
      <c r="E163" s="37" t="str">
        <f>TRIM(データ!F160)</f>
        <v/>
      </c>
      <c r="F163" s="38" t="str">
        <f>TRIM(データ!G160)</f>
        <v>台</v>
      </c>
      <c r="G163" s="50">
        <f>データ!H160</f>
        <v>1</v>
      </c>
      <c r="H163" s="48">
        <f>データ!I160</f>
        <v>6000</v>
      </c>
      <c r="I163" s="48">
        <f>データ!J160</f>
        <v>6000</v>
      </c>
      <c r="J163" s="39" t="str">
        <f>IF(OR($C163="総括",$C163="内訳書",$C163="内訳代価",$C163="明細書",$C163="明細代価",$C163="代価表",$C163="単価表"),データ!K160,"")</f>
        <v/>
      </c>
      <c r="K163" s="11" t="str">
        <f t="shared" si="12"/>
        <v/>
      </c>
      <c r="L163" s="46">
        <f t="shared" si="13"/>
        <v>2.5477707006369424E-4</v>
      </c>
      <c r="M163" s="40" t="str">
        <f>IF(データ!L160="","",データ!L160)</f>
        <v/>
      </c>
      <c r="N163" s="41" t="str">
        <f>IF(データ!M160="","",データ!M160)</f>
        <v/>
      </c>
      <c r="O163" s="42">
        <f>データ!N160</f>
        <v>0</v>
      </c>
      <c r="P163" s="48">
        <f>IF($C163="集計行","",データ!O160)</f>
        <v>0</v>
      </c>
      <c r="Q163" s="48">
        <f>データ!P160</f>
        <v>0</v>
      </c>
      <c r="R163" s="39" t="str">
        <f>IF(OR($C163="総括",$C163="内訳書",$C163="内訳代価",$C163="明細書",$C163="明細代価",$C163="代価表",$C163="単価表"),データ!Q160,"")</f>
        <v/>
      </c>
      <c r="S163" s="11" t="str">
        <f t="shared" si="14"/>
        <v/>
      </c>
      <c r="T163" s="46" t="e">
        <f t="shared" si="15"/>
        <v>#DIV/0!</v>
      </c>
      <c r="U163" s="40" t="str">
        <f>IF(データ!R160="","",データ!R160)</f>
        <v/>
      </c>
      <c r="V163" s="41" t="str">
        <f>IF(データ!S160="","",データ!S160)</f>
        <v/>
      </c>
      <c r="W163" s="42">
        <f>データ!T160</f>
        <v>0</v>
      </c>
      <c r="X163" s="48">
        <f>IF($C163="集計行","",データ!U160)</f>
        <v>0</v>
      </c>
      <c r="Y163" s="48">
        <f>データ!V160</f>
        <v>0</v>
      </c>
      <c r="Z163" s="39" t="str">
        <f>IF(OR($C163="総括",$C163="内訳書",$C163="内訳代価",$C163="明細書",$C163="明細代価",$C163="代価表",$C163="単価表"),データ!W160,"")</f>
        <v/>
      </c>
      <c r="AA163" s="11" t="str">
        <f t="shared" si="16"/>
        <v/>
      </c>
      <c r="AB163" s="46" t="e">
        <f t="shared" si="17"/>
        <v>#DIV/0!</v>
      </c>
      <c r="AC163" s="40" t="str">
        <f>IF(データ!X160="","",データ!X160)</f>
        <v/>
      </c>
      <c r="AD163" s="41" t="str">
        <f>IF(データ!Y160="","",データ!Y160)</f>
        <v/>
      </c>
      <c r="AE163" s="47" t="str">
        <f>TRIM(データ!B160)</f>
        <v>u20718025</v>
      </c>
      <c r="AF163" s="43" t="str">
        <f>TRIM(データ!Z160)</f>
        <v/>
      </c>
    </row>
    <row r="164" spans="1:32" x14ac:dyDescent="0.15">
      <c r="A164" s="47">
        <f>データ!A161</f>
        <v>2</v>
      </c>
      <c r="B164" s="47" t="str">
        <f>TRIM(データ!C161)</f>
        <v/>
      </c>
      <c r="C164" s="47" t="str">
        <f>TRIM(データ!D161)</f>
        <v>内訳代価</v>
      </c>
      <c r="D164" s="36" t="str">
        <f>REPT("｜",$A164)&amp;TRIM(データ!E161)</f>
        <v>｜｜安全管理工</v>
      </c>
      <c r="E164" s="37" t="str">
        <f>TRIM(データ!F161)</f>
        <v>交通誘導員</v>
      </c>
      <c r="F164" s="38" t="str">
        <f>TRIM(データ!G161)</f>
        <v>式</v>
      </c>
      <c r="G164" s="50">
        <f>データ!H161</f>
        <v>1</v>
      </c>
      <c r="H164" s="48">
        <f>データ!I161</f>
        <v>220000</v>
      </c>
      <c r="I164" s="48">
        <f>データ!J161</f>
        <v>220000</v>
      </c>
      <c r="J164" s="39">
        <f>IF(OR($C164="総括",$C164="内訳書",$C164="内訳代価",$C164="明細書",$C164="明細代価",$C164="代価表",$C164="単価表"),データ!K161,"")</f>
        <v>1</v>
      </c>
      <c r="K164" s="11" t="str">
        <f t="shared" si="12"/>
        <v/>
      </c>
      <c r="L164" s="46">
        <f t="shared" si="13"/>
        <v>9.3418259023354561E-3</v>
      </c>
      <c r="M164" s="40" t="str">
        <f>IF(データ!L161="","",データ!L161)</f>
        <v/>
      </c>
      <c r="N164" s="41" t="str">
        <f>IF(データ!M161="","",データ!M161)</f>
        <v>34号内訳書</v>
      </c>
      <c r="O164" s="42">
        <f>データ!N161</f>
        <v>0</v>
      </c>
      <c r="P164" s="48">
        <f>IF($C164="集計行","",データ!O161)</f>
        <v>0</v>
      </c>
      <c r="Q164" s="48">
        <f>データ!P161</f>
        <v>0</v>
      </c>
      <c r="R164" s="39">
        <f>IF(OR($C164="総括",$C164="内訳書",$C164="内訳代価",$C164="明細書",$C164="明細代価",$C164="代価表",$C164="単価表"),データ!Q161,"")</f>
        <v>0</v>
      </c>
      <c r="S164" s="11" t="str">
        <f t="shared" si="14"/>
        <v/>
      </c>
      <c r="T164" s="46" t="e">
        <f t="shared" si="15"/>
        <v>#DIV/0!</v>
      </c>
      <c r="U164" s="40" t="str">
        <f>IF(データ!R161="","",データ!R161)</f>
        <v/>
      </c>
      <c r="V164" s="41" t="str">
        <f>IF(データ!S161="","",データ!S161)</f>
        <v/>
      </c>
      <c r="W164" s="42">
        <f>データ!T161</f>
        <v>0</v>
      </c>
      <c r="X164" s="48">
        <f>IF($C164="集計行","",データ!U161)</f>
        <v>0</v>
      </c>
      <c r="Y164" s="48">
        <f>データ!V161</f>
        <v>0</v>
      </c>
      <c r="Z164" s="39">
        <f>IF(OR($C164="総括",$C164="内訳書",$C164="内訳代価",$C164="明細書",$C164="明細代価",$C164="代価表",$C164="単価表"),データ!W161,"")</f>
        <v>0</v>
      </c>
      <c r="AA164" s="11" t="str">
        <f t="shared" si="16"/>
        <v/>
      </c>
      <c r="AB164" s="46" t="e">
        <f t="shared" si="17"/>
        <v>#DIV/0!</v>
      </c>
      <c r="AC164" s="40" t="str">
        <f>IF(データ!X161="","",データ!X161)</f>
        <v/>
      </c>
      <c r="AD164" s="41" t="str">
        <f>IF(データ!Y161="","",データ!Y161)</f>
        <v/>
      </c>
      <c r="AE164" s="47" t="str">
        <f>TRIM(データ!B161)</f>
        <v/>
      </c>
      <c r="AF164" s="43" t="str">
        <f>TRIM(データ!Z161)</f>
        <v/>
      </c>
    </row>
    <row r="165" spans="1:32" x14ac:dyDescent="0.15">
      <c r="A165" s="47">
        <f>データ!A162</f>
        <v>3</v>
      </c>
      <c r="B165" s="47" t="str">
        <f>TRIM(データ!C162)</f>
        <v/>
      </c>
      <c r="C165" s="47" t="str">
        <f>TRIM(データ!D162)</f>
        <v>外注費</v>
      </c>
      <c r="D165" s="36" t="str">
        <f>REPT("｜",$A165)&amp;TRIM(データ!E162)</f>
        <v>｜｜｜交通誘導員(昼間8h)</v>
      </c>
      <c r="E165" s="37" t="str">
        <f>TRIM(データ!F162)</f>
        <v/>
      </c>
      <c r="F165" s="38" t="str">
        <f>TRIM(データ!G162)</f>
        <v>人</v>
      </c>
      <c r="G165" s="50">
        <f>データ!H162</f>
        <v>11</v>
      </c>
      <c r="H165" s="48">
        <f>データ!I162</f>
        <v>20000</v>
      </c>
      <c r="I165" s="48">
        <f>データ!J162</f>
        <v>220000</v>
      </c>
      <c r="J165" s="39" t="str">
        <f>IF(OR($C165="総括",$C165="内訳書",$C165="内訳代価",$C165="明細書",$C165="明細代価",$C165="代価表",$C165="単価表"),データ!K162,"")</f>
        <v/>
      </c>
      <c r="K165" s="11" t="str">
        <f t="shared" si="12"/>
        <v/>
      </c>
      <c r="L165" s="46">
        <f t="shared" si="13"/>
        <v>9.3418259023354561E-3</v>
      </c>
      <c r="M165" s="40" t="str">
        <f>IF(データ!L162="","",データ!L162)</f>
        <v/>
      </c>
      <c r="N165" s="41" t="str">
        <f>IF(データ!M162="","",データ!M162)</f>
        <v/>
      </c>
      <c r="O165" s="42">
        <f>データ!N162</f>
        <v>0</v>
      </c>
      <c r="P165" s="48">
        <f>IF($C165="集計行","",データ!O162)</f>
        <v>0</v>
      </c>
      <c r="Q165" s="48">
        <f>データ!P162</f>
        <v>0</v>
      </c>
      <c r="R165" s="39" t="str">
        <f>IF(OR($C165="総括",$C165="内訳書",$C165="内訳代価",$C165="明細書",$C165="明細代価",$C165="代価表",$C165="単価表"),データ!Q162,"")</f>
        <v/>
      </c>
      <c r="S165" s="11" t="str">
        <f t="shared" si="14"/>
        <v/>
      </c>
      <c r="T165" s="46" t="e">
        <f t="shared" si="15"/>
        <v>#DIV/0!</v>
      </c>
      <c r="U165" s="40" t="str">
        <f>IF(データ!R162="","",データ!R162)</f>
        <v/>
      </c>
      <c r="V165" s="41" t="str">
        <f>IF(データ!S162="","",データ!S162)</f>
        <v/>
      </c>
      <c r="W165" s="42">
        <f>データ!T162</f>
        <v>0</v>
      </c>
      <c r="X165" s="48">
        <f>IF($C165="集計行","",データ!U162)</f>
        <v>0</v>
      </c>
      <c r="Y165" s="48">
        <f>データ!V162</f>
        <v>0</v>
      </c>
      <c r="Z165" s="39" t="str">
        <f>IF(OR($C165="総括",$C165="内訳書",$C165="内訳代価",$C165="明細書",$C165="明細代価",$C165="代価表",$C165="単価表"),データ!W162,"")</f>
        <v/>
      </c>
      <c r="AA165" s="11" t="str">
        <f t="shared" si="16"/>
        <v/>
      </c>
      <c r="AB165" s="46" t="e">
        <f t="shared" si="17"/>
        <v>#DIV/0!</v>
      </c>
      <c r="AC165" s="40" t="str">
        <f>IF(データ!X162="","",データ!X162)</f>
        <v/>
      </c>
      <c r="AD165" s="41" t="str">
        <f>IF(データ!Y162="","",データ!Y162)</f>
        <v/>
      </c>
      <c r="AE165" s="47" t="str">
        <f>TRIM(データ!B162)</f>
        <v>g2001</v>
      </c>
      <c r="AF165" s="43" t="str">
        <f>TRIM(データ!Z162)</f>
        <v/>
      </c>
    </row>
    <row r="166" spans="1:32" x14ac:dyDescent="0.15">
      <c r="A166" s="47">
        <f>データ!A163</f>
        <v>2</v>
      </c>
      <c r="B166" s="47" t="str">
        <f>TRIM(データ!C163)</f>
        <v/>
      </c>
      <c r="C166" s="47" t="str">
        <f>TRIM(データ!D163)</f>
        <v>内訳代価</v>
      </c>
      <c r="D166" s="36" t="str">
        <f>REPT("｜",$A166)&amp;TRIM(データ!E163)</f>
        <v>｜｜重機運搬費</v>
      </c>
      <c r="E166" s="37" t="str">
        <f>TRIM(データ!F163)</f>
        <v/>
      </c>
      <c r="F166" s="38" t="str">
        <f>TRIM(データ!G163)</f>
        <v>式</v>
      </c>
      <c r="G166" s="50">
        <f>データ!H163</f>
        <v>1</v>
      </c>
      <c r="H166" s="48">
        <f>データ!I163</f>
        <v>130000</v>
      </c>
      <c r="I166" s="48">
        <f>データ!J163</f>
        <v>130000</v>
      </c>
      <c r="J166" s="39">
        <f>IF(OR($C166="総括",$C166="内訳書",$C166="内訳代価",$C166="明細書",$C166="明細代価",$C166="代価表",$C166="単価表"),データ!K163,"")</f>
        <v>1</v>
      </c>
      <c r="K166" s="11" t="str">
        <f t="shared" si="12"/>
        <v/>
      </c>
      <c r="L166" s="46">
        <f t="shared" si="13"/>
        <v>5.5201698513800421E-3</v>
      </c>
      <c r="M166" s="40" t="str">
        <f>IF(データ!L163="","",データ!L163)</f>
        <v/>
      </c>
      <c r="N166" s="41" t="str">
        <f>IF(データ!M163="","",データ!M163)</f>
        <v>35号内訳書</v>
      </c>
      <c r="O166" s="42">
        <f>データ!N163</f>
        <v>0</v>
      </c>
      <c r="P166" s="48">
        <f>IF($C166="集計行","",データ!O163)</f>
        <v>0</v>
      </c>
      <c r="Q166" s="48">
        <f>データ!P163</f>
        <v>0</v>
      </c>
      <c r="R166" s="39">
        <f>IF(OR($C166="総括",$C166="内訳書",$C166="内訳代価",$C166="明細書",$C166="明細代価",$C166="代価表",$C166="単価表"),データ!Q163,"")</f>
        <v>0</v>
      </c>
      <c r="S166" s="11" t="str">
        <f t="shared" si="14"/>
        <v/>
      </c>
      <c r="T166" s="46" t="e">
        <f t="shared" si="15"/>
        <v>#DIV/0!</v>
      </c>
      <c r="U166" s="40" t="str">
        <f>IF(データ!R163="","",データ!R163)</f>
        <v/>
      </c>
      <c r="V166" s="41" t="str">
        <f>IF(データ!S163="","",データ!S163)</f>
        <v/>
      </c>
      <c r="W166" s="42">
        <f>データ!T163</f>
        <v>0</v>
      </c>
      <c r="X166" s="48">
        <f>IF($C166="集計行","",データ!U163)</f>
        <v>0</v>
      </c>
      <c r="Y166" s="48">
        <f>データ!V163</f>
        <v>0</v>
      </c>
      <c r="Z166" s="39">
        <f>IF(OR($C166="総括",$C166="内訳書",$C166="内訳代価",$C166="明細書",$C166="明細代価",$C166="代価表",$C166="単価表"),データ!W163,"")</f>
        <v>0</v>
      </c>
      <c r="AA166" s="11" t="str">
        <f t="shared" si="16"/>
        <v/>
      </c>
      <c r="AB166" s="46" t="e">
        <f t="shared" si="17"/>
        <v>#DIV/0!</v>
      </c>
      <c r="AC166" s="40" t="str">
        <f>IF(データ!X163="","",データ!X163)</f>
        <v/>
      </c>
      <c r="AD166" s="41" t="str">
        <f>IF(データ!Y163="","",データ!Y163)</f>
        <v/>
      </c>
      <c r="AE166" s="47" t="str">
        <f>TRIM(データ!B163)</f>
        <v/>
      </c>
      <c r="AF166" s="43" t="str">
        <f>TRIM(データ!Z163)</f>
        <v/>
      </c>
    </row>
    <row r="167" spans="1:32" x14ac:dyDescent="0.15">
      <c r="A167" s="47">
        <f>データ!A164</f>
        <v>3</v>
      </c>
      <c r="B167" s="47" t="str">
        <f>TRIM(データ!C164)</f>
        <v/>
      </c>
      <c r="C167" s="47" t="str">
        <f>TRIM(データ!D164)</f>
        <v>運搬費</v>
      </c>
      <c r="D167" s="36" t="str">
        <f>REPT("｜",$A167)&amp;TRIM(データ!E164)</f>
        <v>｜｜｜回送　大型セルフ</v>
      </c>
      <c r="E167" s="37" t="str">
        <f>TRIM(データ!F164)</f>
        <v>AF14</v>
      </c>
      <c r="F167" s="38" t="str">
        <f>TRIM(データ!G164)</f>
        <v>回</v>
      </c>
      <c r="G167" s="50">
        <f>データ!H164</f>
        <v>2</v>
      </c>
      <c r="H167" s="48">
        <f>データ!I164</f>
        <v>25000</v>
      </c>
      <c r="I167" s="48">
        <f>データ!J164</f>
        <v>50000</v>
      </c>
      <c r="J167" s="39" t="str">
        <f>IF(OR($C167="総括",$C167="内訳書",$C167="内訳代価",$C167="明細書",$C167="明細代価",$C167="代価表",$C167="単価表"),データ!K164,"")</f>
        <v/>
      </c>
      <c r="K167" s="11" t="str">
        <f t="shared" si="12"/>
        <v/>
      </c>
      <c r="L167" s="46">
        <f t="shared" si="13"/>
        <v>2.1231422505307855E-3</v>
      </c>
      <c r="M167" s="40" t="str">
        <f>IF(データ!L164="","",データ!L164)</f>
        <v/>
      </c>
      <c r="N167" s="41" t="str">
        <f>IF(データ!M164="","",データ!M164)</f>
        <v/>
      </c>
      <c r="O167" s="42">
        <f>データ!N164</f>
        <v>0</v>
      </c>
      <c r="P167" s="48">
        <f>IF($C167="集計行","",データ!O164)</f>
        <v>0</v>
      </c>
      <c r="Q167" s="48">
        <f>データ!P164</f>
        <v>0</v>
      </c>
      <c r="R167" s="39" t="str">
        <f>IF(OR($C167="総括",$C167="内訳書",$C167="内訳代価",$C167="明細書",$C167="明細代価",$C167="代価表",$C167="単価表"),データ!Q164,"")</f>
        <v/>
      </c>
      <c r="S167" s="11" t="str">
        <f t="shared" si="14"/>
        <v/>
      </c>
      <c r="T167" s="46" t="e">
        <f t="shared" si="15"/>
        <v>#DIV/0!</v>
      </c>
      <c r="U167" s="40" t="str">
        <f>IF(データ!R164="","",データ!R164)</f>
        <v/>
      </c>
      <c r="V167" s="41" t="str">
        <f>IF(データ!S164="","",データ!S164)</f>
        <v/>
      </c>
      <c r="W167" s="42">
        <f>データ!T164</f>
        <v>0</v>
      </c>
      <c r="X167" s="48">
        <f>IF($C167="集計行","",データ!U164)</f>
        <v>0</v>
      </c>
      <c r="Y167" s="48">
        <f>データ!V164</f>
        <v>0</v>
      </c>
      <c r="Z167" s="39" t="str">
        <f>IF(OR($C167="総括",$C167="内訳書",$C167="内訳代価",$C167="明細書",$C167="明細代価",$C167="代価表",$C167="単価表"),データ!W164,"")</f>
        <v/>
      </c>
      <c r="AA167" s="11" t="str">
        <f t="shared" si="16"/>
        <v/>
      </c>
      <c r="AB167" s="46" t="e">
        <f t="shared" si="17"/>
        <v>#DIV/0!</v>
      </c>
      <c r="AC167" s="40" t="str">
        <f>IF(データ!X164="","",データ!X164)</f>
        <v/>
      </c>
      <c r="AD167" s="41" t="str">
        <f>IF(データ!Y164="","",データ!Y164)</f>
        <v/>
      </c>
      <c r="AE167" s="47" t="str">
        <f>TRIM(データ!B164)</f>
        <v>u20718012</v>
      </c>
      <c r="AF167" s="43" t="str">
        <f>TRIM(データ!Z164)</f>
        <v/>
      </c>
    </row>
    <row r="168" spans="1:32" x14ac:dyDescent="0.15">
      <c r="A168" s="47">
        <f>データ!A165</f>
        <v>3</v>
      </c>
      <c r="B168" s="47" t="str">
        <f>TRIM(データ!C165)</f>
        <v/>
      </c>
      <c r="C168" s="47" t="str">
        <f>TRIM(データ!D165)</f>
        <v>運搬費</v>
      </c>
      <c r="D168" s="36" t="str">
        <f>REPT("｜",$A168)&amp;TRIM(データ!E165)</f>
        <v>｜｜｜回送　大型セルフ</v>
      </c>
      <c r="E168" s="37" t="str">
        <f>TRIM(データ!F165)</f>
        <v>TS/CR</v>
      </c>
      <c r="F168" s="38" t="str">
        <f>TRIM(データ!G165)</f>
        <v>回</v>
      </c>
      <c r="G168" s="50">
        <f>データ!H165</f>
        <v>2</v>
      </c>
      <c r="H168" s="48">
        <f>データ!I165</f>
        <v>25000</v>
      </c>
      <c r="I168" s="48">
        <f>データ!J165</f>
        <v>50000</v>
      </c>
      <c r="J168" s="39" t="str">
        <f>IF(OR($C168="総括",$C168="内訳書",$C168="内訳代価",$C168="明細書",$C168="明細代価",$C168="代価表",$C168="単価表"),データ!K165,"")</f>
        <v/>
      </c>
      <c r="K168" s="11" t="str">
        <f t="shared" si="12"/>
        <v/>
      </c>
      <c r="L168" s="46">
        <f t="shared" si="13"/>
        <v>2.1231422505307855E-3</v>
      </c>
      <c r="M168" s="40" t="str">
        <f>IF(データ!L165="","",データ!L165)</f>
        <v/>
      </c>
      <c r="N168" s="41" t="str">
        <f>IF(データ!M165="","",データ!M165)</f>
        <v/>
      </c>
      <c r="O168" s="42">
        <f>データ!N165</f>
        <v>0</v>
      </c>
      <c r="P168" s="48">
        <f>IF($C168="集計行","",データ!O165)</f>
        <v>0</v>
      </c>
      <c r="Q168" s="48">
        <f>データ!P165</f>
        <v>0</v>
      </c>
      <c r="R168" s="39" t="str">
        <f>IF(OR($C168="総括",$C168="内訳書",$C168="内訳代価",$C168="明細書",$C168="明細代価",$C168="代価表",$C168="単価表"),データ!Q165,"")</f>
        <v/>
      </c>
      <c r="S168" s="11" t="str">
        <f t="shared" si="14"/>
        <v/>
      </c>
      <c r="T168" s="46" t="e">
        <f t="shared" si="15"/>
        <v>#DIV/0!</v>
      </c>
      <c r="U168" s="40" t="str">
        <f>IF(データ!R165="","",データ!R165)</f>
        <v/>
      </c>
      <c r="V168" s="41" t="str">
        <f>IF(データ!S165="","",データ!S165)</f>
        <v/>
      </c>
      <c r="W168" s="42">
        <f>データ!T165</f>
        <v>0</v>
      </c>
      <c r="X168" s="48">
        <f>IF($C168="集計行","",データ!U165)</f>
        <v>0</v>
      </c>
      <c r="Y168" s="48">
        <f>データ!V165</f>
        <v>0</v>
      </c>
      <c r="Z168" s="39" t="str">
        <f>IF(OR($C168="総括",$C168="内訳書",$C168="内訳代価",$C168="明細書",$C168="明細代価",$C168="代価表",$C168="単価表"),データ!W165,"")</f>
        <v/>
      </c>
      <c r="AA168" s="11" t="str">
        <f t="shared" si="16"/>
        <v/>
      </c>
      <c r="AB168" s="46" t="e">
        <f t="shared" si="17"/>
        <v>#DIV/0!</v>
      </c>
      <c r="AC168" s="40" t="str">
        <f>IF(データ!X165="","",データ!X165)</f>
        <v/>
      </c>
      <c r="AD168" s="41" t="str">
        <f>IF(データ!Y165="","",データ!Y165)</f>
        <v/>
      </c>
      <c r="AE168" s="47" t="str">
        <f>TRIM(データ!B165)</f>
        <v>u20718012</v>
      </c>
      <c r="AF168" s="43" t="str">
        <f>TRIM(データ!Z165)</f>
        <v/>
      </c>
    </row>
    <row r="169" spans="1:32" x14ac:dyDescent="0.15">
      <c r="A169" s="47">
        <f>データ!A166</f>
        <v>3</v>
      </c>
      <c r="B169" s="47" t="str">
        <f>TRIM(データ!C166)</f>
        <v/>
      </c>
      <c r="C169" s="47" t="str">
        <f>TRIM(データ!D166)</f>
        <v>運搬費</v>
      </c>
      <c r="D169" s="36" t="str">
        <f>REPT("｜",$A169)&amp;TRIM(データ!E166)</f>
        <v>｜｜｜雑回送</v>
      </c>
      <c r="E169" s="37" t="str">
        <f>TRIM(データ!F166)</f>
        <v/>
      </c>
      <c r="F169" s="38" t="str">
        <f>TRIM(データ!G166)</f>
        <v>回</v>
      </c>
      <c r="G169" s="50">
        <f>データ!H166</f>
        <v>3</v>
      </c>
      <c r="H169" s="48">
        <f>データ!I166</f>
        <v>10000</v>
      </c>
      <c r="I169" s="48">
        <f>データ!J166</f>
        <v>30000</v>
      </c>
      <c r="J169" s="39" t="str">
        <f>IF(OR($C169="総括",$C169="内訳書",$C169="内訳代価",$C169="明細書",$C169="明細代価",$C169="代価表",$C169="単価表"),データ!K166,"")</f>
        <v/>
      </c>
      <c r="K169" s="11" t="str">
        <f t="shared" si="12"/>
        <v/>
      </c>
      <c r="L169" s="46">
        <f t="shared" si="13"/>
        <v>1.2738853503184713E-3</v>
      </c>
      <c r="M169" s="40" t="str">
        <f>IF(データ!L166="","",データ!L166)</f>
        <v/>
      </c>
      <c r="N169" s="41" t="str">
        <f>IF(データ!M166="","",データ!M166)</f>
        <v/>
      </c>
      <c r="O169" s="42">
        <f>データ!N166</f>
        <v>0</v>
      </c>
      <c r="P169" s="48">
        <f>IF($C169="集計行","",データ!O166)</f>
        <v>0</v>
      </c>
      <c r="Q169" s="48">
        <f>データ!P166</f>
        <v>0</v>
      </c>
      <c r="R169" s="39" t="str">
        <f>IF(OR($C169="総括",$C169="内訳書",$C169="内訳代価",$C169="明細書",$C169="明細代価",$C169="代価表",$C169="単価表"),データ!Q166,"")</f>
        <v/>
      </c>
      <c r="S169" s="11" t="str">
        <f t="shared" si="14"/>
        <v/>
      </c>
      <c r="T169" s="46" t="e">
        <f t="shared" si="15"/>
        <v>#DIV/0!</v>
      </c>
      <c r="U169" s="40" t="str">
        <f>IF(データ!R166="","",データ!R166)</f>
        <v/>
      </c>
      <c r="V169" s="41" t="str">
        <f>IF(データ!S166="","",データ!S166)</f>
        <v/>
      </c>
      <c r="W169" s="42">
        <f>データ!T166</f>
        <v>0</v>
      </c>
      <c r="X169" s="48">
        <f>IF($C169="集計行","",データ!U166)</f>
        <v>0</v>
      </c>
      <c r="Y169" s="48">
        <f>データ!V166</f>
        <v>0</v>
      </c>
      <c r="Z169" s="39" t="str">
        <f>IF(OR($C169="総括",$C169="内訳書",$C169="内訳代価",$C169="明細書",$C169="明細代価",$C169="代価表",$C169="単価表"),データ!W166,"")</f>
        <v/>
      </c>
      <c r="AA169" s="11" t="str">
        <f t="shared" si="16"/>
        <v/>
      </c>
      <c r="AB169" s="46" t="e">
        <f t="shared" si="17"/>
        <v>#DIV/0!</v>
      </c>
      <c r="AC169" s="40" t="str">
        <f>IF(データ!X166="","",データ!X166)</f>
        <v/>
      </c>
      <c r="AD169" s="41" t="str">
        <f>IF(データ!Y166="","",データ!Y166)</f>
        <v/>
      </c>
      <c r="AE169" s="47" t="str">
        <f>TRIM(データ!B166)</f>
        <v>u20718016</v>
      </c>
      <c r="AF169" s="43" t="str">
        <f>TRIM(データ!Z166)</f>
        <v/>
      </c>
    </row>
    <row r="170" spans="1:32" x14ac:dyDescent="0.15">
      <c r="A170" s="47">
        <f>データ!A167</f>
        <v>2</v>
      </c>
      <c r="B170" s="47" t="str">
        <f>TRIM(データ!C167)</f>
        <v/>
      </c>
      <c r="C170" s="47" t="str">
        <f>TRIM(データ!D167)</f>
        <v>内訳代価</v>
      </c>
      <c r="D170" s="36" t="str">
        <f>REPT("｜",$A170)&amp;TRIM(データ!E167)</f>
        <v>｜｜技術管理工</v>
      </c>
      <c r="E170" s="37" t="str">
        <f>TRIM(データ!F167)</f>
        <v>品質管理</v>
      </c>
      <c r="F170" s="38" t="str">
        <f>TRIM(データ!G167)</f>
        <v>式</v>
      </c>
      <c r="G170" s="50">
        <f>データ!H167</f>
        <v>1</v>
      </c>
      <c r="H170" s="48">
        <f>データ!I167</f>
        <v>50000</v>
      </c>
      <c r="I170" s="48">
        <f>データ!J167</f>
        <v>50000</v>
      </c>
      <c r="J170" s="39">
        <f>IF(OR($C170="総括",$C170="内訳書",$C170="内訳代価",$C170="明細書",$C170="明細代価",$C170="代価表",$C170="単価表"),データ!K167,"")</f>
        <v>1</v>
      </c>
      <c r="K170" s="11" t="str">
        <f t="shared" si="12"/>
        <v/>
      </c>
      <c r="L170" s="46">
        <f t="shared" si="13"/>
        <v>2.1231422505307855E-3</v>
      </c>
      <c r="M170" s="40" t="str">
        <f>IF(データ!L167="","",データ!L167)</f>
        <v/>
      </c>
      <c r="N170" s="41" t="str">
        <f>IF(データ!M167="","",データ!M167)</f>
        <v>36号内訳書</v>
      </c>
      <c r="O170" s="42">
        <f>データ!N167</f>
        <v>0</v>
      </c>
      <c r="P170" s="48">
        <f>IF($C170="集計行","",データ!O167)</f>
        <v>0</v>
      </c>
      <c r="Q170" s="48">
        <f>データ!P167</f>
        <v>0</v>
      </c>
      <c r="R170" s="39">
        <f>IF(OR($C170="総括",$C170="内訳書",$C170="内訳代価",$C170="明細書",$C170="明細代価",$C170="代価表",$C170="単価表"),データ!Q167,"")</f>
        <v>0</v>
      </c>
      <c r="S170" s="11" t="str">
        <f t="shared" si="14"/>
        <v/>
      </c>
      <c r="T170" s="46" t="e">
        <f t="shared" si="15"/>
        <v>#DIV/0!</v>
      </c>
      <c r="U170" s="40" t="str">
        <f>IF(データ!R167="","",データ!R167)</f>
        <v/>
      </c>
      <c r="V170" s="41" t="str">
        <f>IF(データ!S167="","",データ!S167)</f>
        <v/>
      </c>
      <c r="W170" s="42">
        <f>データ!T167</f>
        <v>0</v>
      </c>
      <c r="X170" s="48">
        <f>IF($C170="集計行","",データ!U167)</f>
        <v>0</v>
      </c>
      <c r="Y170" s="48">
        <f>データ!V167</f>
        <v>0</v>
      </c>
      <c r="Z170" s="39">
        <f>IF(OR($C170="総括",$C170="内訳書",$C170="内訳代価",$C170="明細書",$C170="明細代価",$C170="代価表",$C170="単価表"),データ!W167,"")</f>
        <v>0</v>
      </c>
      <c r="AA170" s="11" t="str">
        <f t="shared" si="16"/>
        <v/>
      </c>
      <c r="AB170" s="46" t="e">
        <f t="shared" si="17"/>
        <v>#DIV/0!</v>
      </c>
      <c r="AC170" s="40" t="str">
        <f>IF(データ!X167="","",データ!X167)</f>
        <v/>
      </c>
      <c r="AD170" s="41" t="str">
        <f>IF(データ!Y167="","",データ!Y167)</f>
        <v/>
      </c>
      <c r="AE170" s="47" t="str">
        <f>TRIM(データ!B167)</f>
        <v/>
      </c>
      <c r="AF170" s="43" t="str">
        <f>TRIM(データ!Z167)</f>
        <v/>
      </c>
    </row>
    <row r="171" spans="1:32" x14ac:dyDescent="0.15">
      <c r="A171" s="47">
        <f>データ!A168</f>
        <v>3</v>
      </c>
      <c r="B171" s="47" t="str">
        <f>TRIM(データ!C168)</f>
        <v/>
      </c>
      <c r="C171" s="47" t="str">
        <f>TRIM(データ!D168)</f>
        <v>外注費</v>
      </c>
      <c r="D171" s="36" t="str">
        <f>REPT("｜",$A171)&amp;TRIM(データ!E168)</f>
        <v>｜｜｜Asコア採取(最低)</v>
      </c>
      <c r="E171" s="37" t="str">
        <f>TRIM(データ!F168)</f>
        <v>最低補償</v>
      </c>
      <c r="F171" s="38" t="str">
        <f>TRIM(データ!G168)</f>
        <v>回</v>
      </c>
      <c r="G171" s="50">
        <f>データ!H168</f>
        <v>1</v>
      </c>
      <c r="H171" s="48">
        <f>データ!I168</f>
        <v>15000</v>
      </c>
      <c r="I171" s="48">
        <f>データ!J168</f>
        <v>15000</v>
      </c>
      <c r="J171" s="39" t="str">
        <f>IF(OR($C171="総括",$C171="内訳書",$C171="内訳代価",$C171="明細書",$C171="明細代価",$C171="代価表",$C171="単価表"),データ!K168,"")</f>
        <v/>
      </c>
      <c r="K171" s="11" t="str">
        <f t="shared" si="12"/>
        <v/>
      </c>
      <c r="L171" s="46">
        <f t="shared" si="13"/>
        <v>6.3694267515923564E-4</v>
      </c>
      <c r="M171" s="40" t="str">
        <f>IF(データ!L168="","",データ!L168)</f>
        <v/>
      </c>
      <c r="N171" s="41" t="str">
        <f>IF(データ!M168="","",データ!M168)</f>
        <v/>
      </c>
      <c r="O171" s="42">
        <f>データ!N168</f>
        <v>0</v>
      </c>
      <c r="P171" s="48">
        <f>IF($C171="集計行","",データ!O168)</f>
        <v>0</v>
      </c>
      <c r="Q171" s="48">
        <f>データ!P168</f>
        <v>0</v>
      </c>
      <c r="R171" s="39" t="str">
        <f>IF(OR($C171="総括",$C171="内訳書",$C171="内訳代価",$C171="明細書",$C171="明細代価",$C171="代価表",$C171="単価表"),データ!Q168,"")</f>
        <v/>
      </c>
      <c r="S171" s="11" t="str">
        <f t="shared" si="14"/>
        <v/>
      </c>
      <c r="T171" s="46" t="e">
        <f t="shared" si="15"/>
        <v>#DIV/0!</v>
      </c>
      <c r="U171" s="40" t="str">
        <f>IF(データ!R168="","",データ!R168)</f>
        <v/>
      </c>
      <c r="V171" s="41" t="str">
        <f>IF(データ!S168="","",データ!S168)</f>
        <v/>
      </c>
      <c r="W171" s="42">
        <f>データ!T168</f>
        <v>0</v>
      </c>
      <c r="X171" s="48">
        <f>IF($C171="集計行","",データ!U168)</f>
        <v>0</v>
      </c>
      <c r="Y171" s="48">
        <f>データ!V168</f>
        <v>0</v>
      </c>
      <c r="Z171" s="39" t="str">
        <f>IF(OR($C171="総括",$C171="内訳書",$C171="内訳代価",$C171="明細書",$C171="明細代価",$C171="代価表",$C171="単価表"),データ!W168,"")</f>
        <v/>
      </c>
      <c r="AA171" s="11" t="str">
        <f t="shared" si="16"/>
        <v/>
      </c>
      <c r="AB171" s="46" t="e">
        <f t="shared" si="17"/>
        <v>#DIV/0!</v>
      </c>
      <c r="AC171" s="40" t="str">
        <f>IF(データ!X168="","",データ!X168)</f>
        <v/>
      </c>
      <c r="AD171" s="41" t="str">
        <f>IF(データ!Y168="","",データ!Y168)</f>
        <v/>
      </c>
      <c r="AE171" s="47" t="str">
        <f>TRIM(データ!B168)</f>
        <v>g20718051</v>
      </c>
      <c r="AF171" s="43" t="str">
        <f>TRIM(データ!Z168)</f>
        <v/>
      </c>
    </row>
    <row r="172" spans="1:32" x14ac:dyDescent="0.15">
      <c r="A172" s="47">
        <f>データ!A169</f>
        <v>3</v>
      </c>
      <c r="B172" s="47" t="str">
        <f>TRIM(データ!C169)</f>
        <v/>
      </c>
      <c r="C172" s="47" t="str">
        <f>TRIM(データ!D169)</f>
        <v>外注費</v>
      </c>
      <c r="D172" s="36" t="str">
        <f>REPT("｜",$A172)&amp;TRIM(データ!E169)</f>
        <v>｜｜｜アスファルト舗装の現場透水試験</v>
      </c>
      <c r="E172" s="37" t="str">
        <f>TRIM(データ!F169)</f>
        <v/>
      </c>
      <c r="F172" s="38" t="str">
        <f>TRIM(データ!G169)</f>
        <v>回</v>
      </c>
      <c r="G172" s="50">
        <f>データ!H169</f>
        <v>1</v>
      </c>
      <c r="H172" s="48">
        <f>データ!I169</f>
        <v>35000</v>
      </c>
      <c r="I172" s="48">
        <f>データ!J169</f>
        <v>35000</v>
      </c>
      <c r="J172" s="39" t="str">
        <f>IF(OR($C172="総括",$C172="内訳書",$C172="内訳代価",$C172="明細書",$C172="明細代価",$C172="代価表",$C172="単価表"),データ!K169,"")</f>
        <v/>
      </c>
      <c r="K172" s="11" t="str">
        <f t="shared" si="12"/>
        <v/>
      </c>
      <c r="L172" s="46">
        <f t="shared" si="13"/>
        <v>1.48619957537155E-3</v>
      </c>
      <c r="M172" s="40" t="str">
        <f>IF(データ!L169="","",データ!L169)</f>
        <v/>
      </c>
      <c r="N172" s="41" t="str">
        <f>IF(データ!M169="","",データ!M169)</f>
        <v/>
      </c>
      <c r="O172" s="42">
        <f>データ!N169</f>
        <v>0</v>
      </c>
      <c r="P172" s="48">
        <f>IF($C172="集計行","",データ!O169)</f>
        <v>0</v>
      </c>
      <c r="Q172" s="48">
        <f>データ!P169</f>
        <v>0</v>
      </c>
      <c r="R172" s="39" t="str">
        <f>IF(OR($C172="総括",$C172="内訳書",$C172="内訳代価",$C172="明細書",$C172="明細代価",$C172="代価表",$C172="単価表"),データ!Q169,"")</f>
        <v/>
      </c>
      <c r="S172" s="11" t="str">
        <f t="shared" si="14"/>
        <v/>
      </c>
      <c r="T172" s="46" t="e">
        <f t="shared" si="15"/>
        <v>#DIV/0!</v>
      </c>
      <c r="U172" s="40" t="str">
        <f>IF(データ!R169="","",データ!R169)</f>
        <v/>
      </c>
      <c r="V172" s="41" t="str">
        <f>IF(データ!S169="","",データ!S169)</f>
        <v/>
      </c>
      <c r="W172" s="42">
        <f>データ!T169</f>
        <v>0</v>
      </c>
      <c r="X172" s="48">
        <f>IF($C172="集計行","",データ!U169)</f>
        <v>0</v>
      </c>
      <c r="Y172" s="48">
        <f>データ!V169</f>
        <v>0</v>
      </c>
      <c r="Z172" s="39" t="str">
        <f>IF(OR($C172="総括",$C172="内訳書",$C172="内訳代価",$C172="明細書",$C172="明細代価",$C172="代価表",$C172="単価表"),データ!W169,"")</f>
        <v/>
      </c>
      <c r="AA172" s="11" t="str">
        <f t="shared" si="16"/>
        <v/>
      </c>
      <c r="AB172" s="46" t="e">
        <f t="shared" si="17"/>
        <v>#DIV/0!</v>
      </c>
      <c r="AC172" s="40" t="str">
        <f>IF(データ!X169="","",データ!X169)</f>
        <v/>
      </c>
      <c r="AD172" s="41" t="str">
        <f>IF(データ!Y169="","",データ!Y169)</f>
        <v/>
      </c>
      <c r="AE172" s="47" t="str">
        <f>TRIM(データ!B169)</f>
        <v>g3010</v>
      </c>
      <c r="AF172" s="43" t="str">
        <f>TRIM(データ!Z169)</f>
        <v/>
      </c>
    </row>
    <row r="173" spans="1:32" x14ac:dyDescent="0.15">
      <c r="A173" s="47">
        <f>データ!A170</f>
        <v>2</v>
      </c>
      <c r="B173" s="47" t="str">
        <f>TRIM(データ!C170)</f>
        <v/>
      </c>
      <c r="C173" s="47" t="str">
        <f>TRIM(データ!D170)</f>
        <v>内訳代価</v>
      </c>
      <c r="D173" s="36" t="str">
        <f>REPT("｜",$A173)&amp;TRIM(データ!E170)</f>
        <v>｜｜外注工</v>
      </c>
      <c r="E173" s="37" t="str">
        <f>TRIM(データ!F170)</f>
        <v/>
      </c>
      <c r="F173" s="38" t="str">
        <f>TRIM(データ!G170)</f>
        <v>式</v>
      </c>
      <c r="G173" s="50">
        <f>データ!H170</f>
        <v>1</v>
      </c>
      <c r="H173" s="48">
        <f>データ!I170</f>
        <v>90000</v>
      </c>
      <c r="I173" s="48">
        <f>データ!J170</f>
        <v>90000</v>
      </c>
      <c r="J173" s="39">
        <f>IF(OR($C173="総括",$C173="内訳書",$C173="内訳代価",$C173="明細書",$C173="明細代価",$C173="代価表",$C173="単価表"),データ!K170,"")</f>
        <v>1</v>
      </c>
      <c r="K173" s="11" t="str">
        <f t="shared" si="12"/>
        <v/>
      </c>
      <c r="L173" s="46">
        <f t="shared" si="13"/>
        <v>3.821656050955414E-3</v>
      </c>
      <c r="M173" s="40" t="str">
        <f>IF(データ!L170="","",データ!L170)</f>
        <v/>
      </c>
      <c r="N173" s="41" t="str">
        <f>IF(データ!M170="","",データ!M170)</f>
        <v>37号内訳書</v>
      </c>
      <c r="O173" s="42">
        <f>データ!N170</f>
        <v>0</v>
      </c>
      <c r="P173" s="48">
        <f>IF($C173="集計行","",データ!O170)</f>
        <v>0</v>
      </c>
      <c r="Q173" s="48">
        <f>データ!P170</f>
        <v>0</v>
      </c>
      <c r="R173" s="39">
        <f>IF(OR($C173="総括",$C173="内訳書",$C173="内訳代価",$C173="明細書",$C173="明細代価",$C173="代価表",$C173="単価表"),データ!Q170,"")</f>
        <v>0</v>
      </c>
      <c r="S173" s="11" t="str">
        <f t="shared" si="14"/>
        <v/>
      </c>
      <c r="T173" s="46" t="e">
        <f t="shared" si="15"/>
        <v>#DIV/0!</v>
      </c>
      <c r="U173" s="40" t="str">
        <f>IF(データ!R170="","",データ!R170)</f>
        <v/>
      </c>
      <c r="V173" s="41" t="str">
        <f>IF(データ!S170="","",データ!S170)</f>
        <v/>
      </c>
      <c r="W173" s="42">
        <f>データ!T170</f>
        <v>0</v>
      </c>
      <c r="X173" s="48">
        <f>IF($C173="集計行","",データ!U170)</f>
        <v>0</v>
      </c>
      <c r="Y173" s="48">
        <f>データ!V170</f>
        <v>0</v>
      </c>
      <c r="Z173" s="39">
        <f>IF(OR($C173="総括",$C173="内訳書",$C173="内訳代価",$C173="明細書",$C173="明細代価",$C173="代価表",$C173="単価表"),データ!W170,"")</f>
        <v>0</v>
      </c>
      <c r="AA173" s="11" t="str">
        <f t="shared" si="16"/>
        <v/>
      </c>
      <c r="AB173" s="46" t="e">
        <f t="shared" si="17"/>
        <v>#DIV/0!</v>
      </c>
      <c r="AC173" s="40" t="str">
        <f>IF(データ!X170="","",データ!X170)</f>
        <v/>
      </c>
      <c r="AD173" s="41" t="str">
        <f>IF(データ!Y170="","",データ!Y170)</f>
        <v/>
      </c>
      <c r="AE173" s="47" t="str">
        <f>TRIM(データ!B170)</f>
        <v/>
      </c>
      <c r="AF173" s="43" t="str">
        <f>TRIM(データ!Z170)</f>
        <v/>
      </c>
    </row>
    <row r="174" spans="1:32" x14ac:dyDescent="0.15">
      <c r="A174" s="47">
        <f>データ!A171</f>
        <v>3</v>
      </c>
      <c r="B174" s="47" t="str">
        <f>TRIM(データ!C171)</f>
        <v/>
      </c>
      <c r="C174" s="47" t="str">
        <f>TRIM(データ!D171)</f>
        <v>外注費</v>
      </c>
      <c r="D174" s="36" t="str">
        <f>REPT("｜",$A174)&amp;TRIM(データ!E171)</f>
        <v>｜｜｜外注経費</v>
      </c>
      <c r="E174" s="37" t="str">
        <f>TRIM(データ!F171)</f>
        <v>材工5％</v>
      </c>
      <c r="F174" s="38" t="str">
        <f>TRIM(データ!G171)</f>
        <v>式</v>
      </c>
      <c r="G174" s="50">
        <f>データ!H171</f>
        <v>1</v>
      </c>
      <c r="H174" s="48">
        <f>データ!I171</f>
        <v>50000</v>
      </c>
      <c r="I174" s="48">
        <f>データ!J171</f>
        <v>50000</v>
      </c>
      <c r="J174" s="39" t="str">
        <f>IF(OR($C174="総括",$C174="内訳書",$C174="内訳代価",$C174="明細書",$C174="明細代価",$C174="代価表",$C174="単価表"),データ!K171,"")</f>
        <v/>
      </c>
      <c r="K174" s="11" t="str">
        <f t="shared" si="12"/>
        <v/>
      </c>
      <c r="L174" s="46">
        <f t="shared" si="13"/>
        <v>2.1231422505307855E-3</v>
      </c>
      <c r="M174" s="40" t="str">
        <f>IF(データ!L171="","",データ!L171)</f>
        <v/>
      </c>
      <c r="N174" s="41" t="str">
        <f>IF(データ!M171="","",データ!M171)</f>
        <v/>
      </c>
      <c r="O174" s="42">
        <f>データ!N171</f>
        <v>0</v>
      </c>
      <c r="P174" s="48">
        <f>IF($C174="集計行","",データ!O171)</f>
        <v>0</v>
      </c>
      <c r="Q174" s="48">
        <f>データ!P171</f>
        <v>0</v>
      </c>
      <c r="R174" s="39" t="str">
        <f>IF(OR($C174="総括",$C174="内訳書",$C174="内訳代価",$C174="明細書",$C174="明細代価",$C174="代価表",$C174="単価表"),データ!Q171,"")</f>
        <v/>
      </c>
      <c r="S174" s="11" t="str">
        <f t="shared" si="14"/>
        <v/>
      </c>
      <c r="T174" s="46" t="e">
        <f t="shared" si="15"/>
        <v>#DIV/0!</v>
      </c>
      <c r="U174" s="40" t="str">
        <f>IF(データ!R171="","",データ!R171)</f>
        <v/>
      </c>
      <c r="V174" s="41" t="str">
        <f>IF(データ!S171="","",データ!S171)</f>
        <v/>
      </c>
      <c r="W174" s="42">
        <f>データ!T171</f>
        <v>0</v>
      </c>
      <c r="X174" s="48">
        <f>IF($C174="集計行","",データ!U171)</f>
        <v>0</v>
      </c>
      <c r="Y174" s="48">
        <f>データ!V171</f>
        <v>0</v>
      </c>
      <c r="Z174" s="39" t="str">
        <f>IF(OR($C174="総括",$C174="内訳書",$C174="内訳代価",$C174="明細書",$C174="明細代価",$C174="代価表",$C174="単価表"),データ!W171,"")</f>
        <v/>
      </c>
      <c r="AA174" s="11" t="str">
        <f t="shared" si="16"/>
        <v/>
      </c>
      <c r="AB174" s="46" t="e">
        <f t="shared" si="17"/>
        <v>#DIV/0!</v>
      </c>
      <c r="AC174" s="40" t="str">
        <f>IF(データ!X171="","",データ!X171)</f>
        <v/>
      </c>
      <c r="AD174" s="41" t="str">
        <f>IF(データ!Y171="","",データ!Y171)</f>
        <v/>
      </c>
      <c r="AE174" s="47" t="str">
        <f>TRIM(データ!B171)</f>
        <v>g20718107</v>
      </c>
      <c r="AF174" s="43" t="str">
        <f>TRIM(データ!Z171)</f>
        <v/>
      </c>
    </row>
    <row r="175" spans="1:32" x14ac:dyDescent="0.15">
      <c r="A175" s="47">
        <f>データ!A172</f>
        <v>3</v>
      </c>
      <c r="B175" s="47" t="str">
        <f>TRIM(データ!C172)</f>
        <v/>
      </c>
      <c r="C175" s="47" t="str">
        <f>TRIM(データ!D172)</f>
        <v>外注費</v>
      </c>
      <c r="D175" s="36" t="str">
        <f>REPT("｜",$A175)&amp;TRIM(データ!E172)</f>
        <v>｜｜｜法定福利費</v>
      </c>
      <c r="E175" s="37" t="str">
        <f>TRIM(データ!F172)</f>
        <v>労務費*15.15%</v>
      </c>
      <c r="F175" s="38" t="str">
        <f>TRIM(データ!G172)</f>
        <v>式</v>
      </c>
      <c r="G175" s="50">
        <f>データ!H172</f>
        <v>1</v>
      </c>
      <c r="H175" s="48">
        <f>データ!I172</f>
        <v>40000</v>
      </c>
      <c r="I175" s="48">
        <f>データ!J172</f>
        <v>40000</v>
      </c>
      <c r="J175" s="39" t="str">
        <f>IF(OR($C175="総括",$C175="内訳書",$C175="内訳代価",$C175="明細書",$C175="明細代価",$C175="代価表",$C175="単価表"),データ!K172,"")</f>
        <v/>
      </c>
      <c r="K175" s="11" t="str">
        <f t="shared" si="12"/>
        <v/>
      </c>
      <c r="L175" s="46">
        <f t="shared" si="13"/>
        <v>1.6985138004246285E-3</v>
      </c>
      <c r="M175" s="40" t="str">
        <f>IF(データ!L172="","",データ!L172)</f>
        <v/>
      </c>
      <c r="N175" s="41" t="str">
        <f>IF(データ!M172="","",データ!M172)</f>
        <v/>
      </c>
      <c r="O175" s="42">
        <f>データ!N172</f>
        <v>0</v>
      </c>
      <c r="P175" s="48">
        <f>IF($C175="集計行","",データ!O172)</f>
        <v>0</v>
      </c>
      <c r="Q175" s="48">
        <f>データ!P172</f>
        <v>0</v>
      </c>
      <c r="R175" s="39" t="str">
        <f>IF(OR($C175="総括",$C175="内訳書",$C175="内訳代価",$C175="明細書",$C175="明細代価",$C175="代価表",$C175="単価表"),データ!Q172,"")</f>
        <v/>
      </c>
      <c r="S175" s="11" t="str">
        <f t="shared" si="14"/>
        <v/>
      </c>
      <c r="T175" s="46" t="e">
        <f t="shared" si="15"/>
        <v>#DIV/0!</v>
      </c>
      <c r="U175" s="40" t="str">
        <f>IF(データ!R172="","",データ!R172)</f>
        <v/>
      </c>
      <c r="V175" s="41" t="str">
        <f>IF(データ!S172="","",データ!S172)</f>
        <v/>
      </c>
      <c r="W175" s="42">
        <f>データ!T172</f>
        <v>0</v>
      </c>
      <c r="X175" s="48">
        <f>IF($C175="集計行","",データ!U172)</f>
        <v>0</v>
      </c>
      <c r="Y175" s="48">
        <f>データ!V172</f>
        <v>0</v>
      </c>
      <c r="Z175" s="39" t="str">
        <f>IF(OR($C175="総括",$C175="内訳書",$C175="内訳代価",$C175="明細書",$C175="明細代価",$C175="代価表",$C175="単価表"),データ!W172,"")</f>
        <v/>
      </c>
      <c r="AA175" s="11" t="str">
        <f t="shared" si="16"/>
        <v/>
      </c>
      <c r="AB175" s="46" t="e">
        <f t="shared" si="17"/>
        <v>#DIV/0!</v>
      </c>
      <c r="AC175" s="40" t="str">
        <f>IF(データ!X172="","",データ!X172)</f>
        <v/>
      </c>
      <c r="AD175" s="41" t="str">
        <f>IF(データ!Y172="","",データ!Y172)</f>
        <v/>
      </c>
      <c r="AE175" s="47" t="str">
        <f>TRIM(データ!B172)</f>
        <v>g20718106</v>
      </c>
      <c r="AF175" s="43" t="str">
        <f>TRIM(データ!Z172)</f>
        <v/>
      </c>
    </row>
    <row r="176" spans="1:32" x14ac:dyDescent="0.15">
      <c r="A176" s="44"/>
      <c r="B176" s="44"/>
      <c r="C176" s="7"/>
      <c r="D176" s="44"/>
      <c r="E176" s="44"/>
      <c r="F176" s="45"/>
      <c r="G176" s="44"/>
      <c r="H176" s="44"/>
      <c r="I176" s="44"/>
      <c r="J176" s="44"/>
      <c r="K176" s="45"/>
      <c r="L176" s="44"/>
      <c r="M176" s="44"/>
      <c r="N176" s="44"/>
      <c r="O176" s="44"/>
      <c r="P176" s="44"/>
      <c r="Q176" s="44"/>
      <c r="R176" s="44"/>
      <c r="S176" s="45"/>
      <c r="T176" s="44"/>
      <c r="U176" s="44"/>
      <c r="V176" s="44"/>
      <c r="W176" s="44"/>
      <c r="X176" s="44"/>
      <c r="Y176" s="44"/>
      <c r="Z176" s="44"/>
      <c r="AA176" s="45"/>
      <c r="AB176" s="44"/>
      <c r="AC176" s="44"/>
      <c r="AD176" s="44"/>
      <c r="AE176" s="44"/>
      <c r="AF176" s="9"/>
    </row>
  </sheetData>
  <autoFilter ref="A3:AE176" xr:uid="{00000000-0001-0000-0100-000000000000}"/>
  <mergeCells count="4">
    <mergeCell ref="AF2:AF3"/>
    <mergeCell ref="G2:N2"/>
    <mergeCell ref="O2:V2"/>
    <mergeCell ref="W2:AD2"/>
  </mergeCells>
  <phoneticPr fontId="3"/>
  <conditionalFormatting sqref="A4:AF175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2026-01-19T02:06:27Z</dcterms:modified>
</cp:coreProperties>
</file>