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codeName="ThisWorkbook"/>
  <xr:revisionPtr revIDLastSave="0" documentId="8_{E084F57C-977F-4923-82C8-34446C20F8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データ" sheetId="1" r:id="rId1"/>
    <sheet name="内訳一覧" sheetId="4" r:id="rId2"/>
  </sheets>
  <definedNames>
    <definedName name="_xlnm._FilterDatabase" localSheetId="1" hidden="1">内訳一覧!$A$3:$AE$61</definedName>
    <definedName name="_xlnm.Print_Area" localSheetId="1">内訳一覧!$A$1:$AF$61</definedName>
    <definedName name="_xlnm.Print_Titles" localSheetId="1">内訳一覧!$2:$3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F60" i="4" l="1"/>
  <c r="AE60" i="4"/>
  <c r="AD60" i="4"/>
  <c r="AC60" i="4"/>
  <c r="AA60" i="4"/>
  <c r="Y60" i="4"/>
  <c r="W60" i="4"/>
  <c r="V60" i="4"/>
  <c r="U60" i="4"/>
  <c r="Q60" i="4"/>
  <c r="O60" i="4"/>
  <c r="N60" i="4"/>
  <c r="M60" i="4"/>
  <c r="I60" i="4"/>
  <c r="H60" i="4"/>
  <c r="G60" i="4"/>
  <c r="F60" i="4"/>
  <c r="E60" i="4"/>
  <c r="C60" i="4"/>
  <c r="Z60" i="4" s="1"/>
  <c r="B60" i="4"/>
  <c r="A60" i="4"/>
  <c r="AF59" i="4"/>
  <c r="AE59" i="4"/>
  <c r="AD59" i="4"/>
  <c r="AC59" i="4"/>
  <c r="AA59" i="4"/>
  <c r="Z59" i="4"/>
  <c r="Y59" i="4"/>
  <c r="W59" i="4"/>
  <c r="V59" i="4"/>
  <c r="U59" i="4"/>
  <c r="Q59" i="4"/>
  <c r="O59" i="4"/>
  <c r="N59" i="4"/>
  <c r="M59" i="4"/>
  <c r="I59" i="4"/>
  <c r="H59" i="4"/>
  <c r="G59" i="4"/>
  <c r="F59" i="4"/>
  <c r="E59" i="4"/>
  <c r="C59" i="4"/>
  <c r="P59" i="4" s="1"/>
  <c r="B59" i="4"/>
  <c r="A59" i="4"/>
  <c r="T59" i="4" s="1"/>
  <c r="AF58" i="4"/>
  <c r="AE58" i="4"/>
  <c r="AD58" i="4"/>
  <c r="AC58" i="4"/>
  <c r="Z58" i="4"/>
  <c r="AA58" i="4" s="1"/>
  <c r="Y58" i="4"/>
  <c r="W58" i="4"/>
  <c r="V58" i="4"/>
  <c r="U58" i="4"/>
  <c r="T58" i="4"/>
  <c r="Q58" i="4"/>
  <c r="O58" i="4"/>
  <c r="N58" i="4"/>
  <c r="M58" i="4"/>
  <c r="I58" i="4"/>
  <c r="H58" i="4"/>
  <c r="G58" i="4"/>
  <c r="F58" i="4"/>
  <c r="E58" i="4"/>
  <c r="C58" i="4"/>
  <c r="X58" i="4" s="1"/>
  <c r="B58" i="4"/>
  <c r="A58" i="4"/>
  <c r="L58" i="4" s="1"/>
  <c r="AF57" i="4"/>
  <c r="AE57" i="4"/>
  <c r="AD57" i="4"/>
  <c r="AC57" i="4"/>
  <c r="Y57" i="4"/>
  <c r="W57" i="4"/>
  <c r="V57" i="4"/>
  <c r="U57" i="4"/>
  <c r="R57" i="4"/>
  <c r="S57" i="4" s="1"/>
  <c r="Q57" i="4"/>
  <c r="O57" i="4"/>
  <c r="N57" i="4"/>
  <c r="M57" i="4"/>
  <c r="I57" i="4"/>
  <c r="H57" i="4"/>
  <c r="G57" i="4"/>
  <c r="F57" i="4"/>
  <c r="E57" i="4"/>
  <c r="C57" i="4"/>
  <c r="Z57" i="4" s="1"/>
  <c r="AA57" i="4" s="1"/>
  <c r="B57" i="4"/>
  <c r="A57" i="4"/>
  <c r="AF56" i="4"/>
  <c r="AE56" i="4"/>
  <c r="AD56" i="4"/>
  <c r="AC56" i="4"/>
  <c r="Z56" i="4"/>
  <c r="AA56" i="4" s="1"/>
  <c r="Y56" i="4"/>
  <c r="W56" i="4"/>
  <c r="V56" i="4"/>
  <c r="U56" i="4"/>
  <c r="T56" i="4"/>
  <c r="Q56" i="4"/>
  <c r="O56" i="4"/>
  <c r="N56" i="4"/>
  <c r="M56" i="4"/>
  <c r="L56" i="4"/>
  <c r="J56" i="4"/>
  <c r="I56" i="4"/>
  <c r="H56" i="4"/>
  <c r="G56" i="4"/>
  <c r="F56" i="4"/>
  <c r="E56" i="4"/>
  <c r="C56" i="4"/>
  <c r="P56" i="4" s="1"/>
  <c r="B56" i="4"/>
  <c r="A56" i="4"/>
  <c r="AF55" i="4"/>
  <c r="AE55" i="4"/>
  <c r="AD55" i="4"/>
  <c r="AC55" i="4"/>
  <c r="Z55" i="4"/>
  <c r="AA55" i="4" s="1"/>
  <c r="Y55" i="4"/>
  <c r="W55" i="4"/>
  <c r="V55" i="4"/>
  <c r="U55" i="4"/>
  <c r="S55" i="4"/>
  <c r="R55" i="4"/>
  <c r="Q55" i="4"/>
  <c r="O55" i="4"/>
  <c r="N55" i="4"/>
  <c r="M55" i="4"/>
  <c r="I55" i="4"/>
  <c r="H55" i="4"/>
  <c r="G55" i="4"/>
  <c r="F55" i="4"/>
  <c r="E55" i="4"/>
  <c r="C55" i="4"/>
  <c r="X55" i="4" s="1"/>
  <c r="B55" i="4"/>
  <c r="A55" i="4"/>
  <c r="AF54" i="4"/>
  <c r="AE54" i="4"/>
  <c r="AD54" i="4"/>
  <c r="AC54" i="4"/>
  <c r="Z54" i="4"/>
  <c r="AA54" i="4" s="1"/>
  <c r="Y54" i="4"/>
  <c r="W54" i="4"/>
  <c r="V54" i="4"/>
  <c r="U54" i="4"/>
  <c r="S54" i="4"/>
  <c r="Q54" i="4"/>
  <c r="O54" i="4"/>
  <c r="N54" i="4"/>
  <c r="M54" i="4"/>
  <c r="I54" i="4"/>
  <c r="H54" i="4"/>
  <c r="G54" i="4"/>
  <c r="F54" i="4"/>
  <c r="E54" i="4"/>
  <c r="C54" i="4"/>
  <c r="R54" i="4" s="1"/>
  <c r="B54" i="4"/>
  <c r="A54" i="4"/>
  <c r="AF53" i="4"/>
  <c r="AE53" i="4"/>
  <c r="AD53" i="4"/>
  <c r="AC53" i="4"/>
  <c r="Z53" i="4"/>
  <c r="AA53" i="4" s="1"/>
  <c r="Y53" i="4"/>
  <c r="W53" i="4"/>
  <c r="V53" i="4"/>
  <c r="U53" i="4"/>
  <c r="Q53" i="4"/>
  <c r="O53" i="4"/>
  <c r="N53" i="4"/>
  <c r="M53" i="4"/>
  <c r="I53" i="4"/>
  <c r="H53" i="4"/>
  <c r="G53" i="4"/>
  <c r="F53" i="4"/>
  <c r="E53" i="4"/>
  <c r="C53" i="4"/>
  <c r="P53" i="4" s="1"/>
  <c r="B53" i="4"/>
  <c r="A53" i="4"/>
  <c r="AF52" i="4"/>
  <c r="AE52" i="4"/>
  <c r="AD52" i="4"/>
  <c r="AC52" i="4"/>
  <c r="Z52" i="4"/>
  <c r="AA52" i="4" s="1"/>
  <c r="Y52" i="4"/>
  <c r="W52" i="4"/>
  <c r="V52" i="4"/>
  <c r="U52" i="4"/>
  <c r="T52" i="4"/>
  <c r="Q52" i="4"/>
  <c r="O52" i="4"/>
  <c r="N52" i="4"/>
  <c r="M52" i="4"/>
  <c r="I52" i="4"/>
  <c r="H52" i="4"/>
  <c r="G52" i="4"/>
  <c r="F52" i="4"/>
  <c r="E52" i="4"/>
  <c r="C52" i="4"/>
  <c r="X52" i="4" s="1"/>
  <c r="B52" i="4"/>
  <c r="A52" i="4"/>
  <c r="L52" i="4" s="1"/>
  <c r="AF51" i="4"/>
  <c r="AE51" i="4"/>
  <c r="AD51" i="4"/>
  <c r="AC51" i="4"/>
  <c r="Y51" i="4"/>
  <c r="W51" i="4"/>
  <c r="V51" i="4"/>
  <c r="U51" i="4"/>
  <c r="Q51" i="4"/>
  <c r="O51" i="4"/>
  <c r="N51" i="4"/>
  <c r="M51" i="4"/>
  <c r="I51" i="4"/>
  <c r="H51" i="4"/>
  <c r="G51" i="4"/>
  <c r="F51" i="4"/>
  <c r="E51" i="4"/>
  <c r="C51" i="4"/>
  <c r="B51" i="4"/>
  <c r="A51" i="4"/>
  <c r="AF50" i="4"/>
  <c r="AE50" i="4"/>
  <c r="AD50" i="4"/>
  <c r="AC50" i="4"/>
  <c r="Z50" i="4"/>
  <c r="AA50" i="4" s="1"/>
  <c r="Y50" i="4"/>
  <c r="W50" i="4"/>
  <c r="V50" i="4"/>
  <c r="U50" i="4"/>
  <c r="T50" i="4"/>
  <c r="Q50" i="4"/>
  <c r="O50" i="4"/>
  <c r="N50" i="4"/>
  <c r="M50" i="4"/>
  <c r="J50" i="4"/>
  <c r="I50" i="4"/>
  <c r="L50" i="4" s="1"/>
  <c r="H50" i="4"/>
  <c r="G50" i="4"/>
  <c r="F50" i="4"/>
  <c r="E50" i="4"/>
  <c r="C50" i="4"/>
  <c r="P50" i="4" s="1"/>
  <c r="B50" i="4"/>
  <c r="A50" i="4"/>
  <c r="AF49" i="4"/>
  <c r="AE49" i="4"/>
  <c r="AD49" i="4"/>
  <c r="AC49" i="4"/>
  <c r="Z49" i="4"/>
  <c r="AA49" i="4" s="1"/>
  <c r="Y49" i="4"/>
  <c r="W49" i="4"/>
  <c r="V49" i="4"/>
  <c r="U49" i="4"/>
  <c r="R49" i="4"/>
  <c r="S49" i="4" s="1"/>
  <c r="Q49" i="4"/>
  <c r="O49" i="4"/>
  <c r="N49" i="4"/>
  <c r="M49" i="4"/>
  <c r="I49" i="4"/>
  <c r="H49" i="4"/>
  <c r="G49" i="4"/>
  <c r="F49" i="4"/>
  <c r="E49" i="4"/>
  <c r="C49" i="4"/>
  <c r="X49" i="4" s="1"/>
  <c r="B49" i="4"/>
  <c r="A49" i="4"/>
  <c r="AF48" i="4"/>
  <c r="AE48" i="4"/>
  <c r="AD48" i="4"/>
  <c r="AC48" i="4"/>
  <c r="Z48" i="4"/>
  <c r="AA48" i="4" s="1"/>
  <c r="Y48" i="4"/>
  <c r="W48" i="4"/>
  <c r="V48" i="4"/>
  <c r="U48" i="4"/>
  <c r="S48" i="4"/>
  <c r="Q48" i="4"/>
  <c r="O48" i="4"/>
  <c r="N48" i="4"/>
  <c r="M48" i="4"/>
  <c r="J48" i="4"/>
  <c r="I48" i="4"/>
  <c r="H48" i="4"/>
  <c r="G48" i="4"/>
  <c r="F48" i="4"/>
  <c r="E48" i="4"/>
  <c r="C48" i="4"/>
  <c r="R48" i="4" s="1"/>
  <c r="B48" i="4"/>
  <c r="A48" i="4"/>
  <c r="L48" i="4" s="1"/>
  <c r="AF47" i="4"/>
  <c r="AE47" i="4"/>
  <c r="AD47" i="4"/>
  <c r="AC47" i="4"/>
  <c r="Z47" i="4"/>
  <c r="AA47" i="4" s="1"/>
  <c r="Y47" i="4"/>
  <c r="W47" i="4"/>
  <c r="V47" i="4"/>
  <c r="U47" i="4"/>
  <c r="Q47" i="4"/>
  <c r="O47" i="4"/>
  <c r="N47" i="4"/>
  <c r="M47" i="4"/>
  <c r="I47" i="4"/>
  <c r="H47" i="4"/>
  <c r="G47" i="4"/>
  <c r="F47" i="4"/>
  <c r="E47" i="4"/>
  <c r="C47" i="4"/>
  <c r="P47" i="4" s="1"/>
  <c r="B47" i="4"/>
  <c r="A47" i="4"/>
  <c r="AF46" i="4"/>
  <c r="AE46" i="4"/>
  <c r="AD46" i="4"/>
  <c r="AC46" i="4"/>
  <c r="Z46" i="4"/>
  <c r="AA46" i="4" s="1"/>
  <c r="Y46" i="4"/>
  <c r="W46" i="4"/>
  <c r="V46" i="4"/>
  <c r="U46" i="4"/>
  <c r="T46" i="4"/>
  <c r="Q46" i="4"/>
  <c r="O46" i="4"/>
  <c r="N46" i="4"/>
  <c r="M46" i="4"/>
  <c r="J46" i="4"/>
  <c r="I46" i="4"/>
  <c r="H46" i="4"/>
  <c r="G46" i="4"/>
  <c r="K46" i="4" s="1"/>
  <c r="F46" i="4"/>
  <c r="E46" i="4"/>
  <c r="C46" i="4"/>
  <c r="X46" i="4" s="1"/>
  <c r="B46" i="4"/>
  <c r="A46" i="4"/>
  <c r="AF45" i="4"/>
  <c r="AE45" i="4"/>
  <c r="AD45" i="4"/>
  <c r="AC45" i="4"/>
  <c r="AB45" i="4"/>
  <c r="Z45" i="4"/>
  <c r="AA45" i="4" s="1"/>
  <c r="Y45" i="4"/>
  <c r="W45" i="4"/>
  <c r="V45" i="4"/>
  <c r="U45" i="4"/>
  <c r="R45" i="4"/>
  <c r="S45" i="4" s="1"/>
  <c r="Q45" i="4"/>
  <c r="O45" i="4"/>
  <c r="N45" i="4"/>
  <c r="M45" i="4"/>
  <c r="I45" i="4"/>
  <c r="H45" i="4"/>
  <c r="G45" i="4"/>
  <c r="F45" i="4"/>
  <c r="E45" i="4"/>
  <c r="C45" i="4"/>
  <c r="B45" i="4"/>
  <c r="A45" i="4"/>
  <c r="AF44" i="4"/>
  <c r="AE44" i="4"/>
  <c r="AD44" i="4"/>
  <c r="AC44" i="4"/>
  <c r="Z44" i="4"/>
  <c r="AA44" i="4" s="1"/>
  <c r="Y44" i="4"/>
  <c r="X44" i="4"/>
  <c r="W44" i="4"/>
  <c r="V44" i="4"/>
  <c r="U44" i="4"/>
  <c r="Q44" i="4"/>
  <c r="O44" i="4"/>
  <c r="N44" i="4"/>
  <c r="M44" i="4"/>
  <c r="J44" i="4"/>
  <c r="K44" i="4" s="1"/>
  <c r="I44" i="4"/>
  <c r="L44" i="4" s="1"/>
  <c r="H44" i="4"/>
  <c r="G44" i="4"/>
  <c r="F44" i="4"/>
  <c r="E44" i="4"/>
  <c r="C44" i="4"/>
  <c r="P44" i="4" s="1"/>
  <c r="B44" i="4"/>
  <c r="A44" i="4"/>
  <c r="AF43" i="4"/>
  <c r="AE43" i="4"/>
  <c r="AD43" i="4"/>
  <c r="AC43" i="4"/>
  <c r="AB43" i="4"/>
  <c r="AA43" i="4"/>
  <c r="Z43" i="4"/>
  <c r="Y43" i="4"/>
  <c r="W43" i="4"/>
  <c r="V43" i="4"/>
  <c r="U43" i="4"/>
  <c r="R43" i="4"/>
  <c r="S43" i="4" s="1"/>
  <c r="Q43" i="4"/>
  <c r="O43" i="4"/>
  <c r="N43" i="4"/>
  <c r="M43" i="4"/>
  <c r="I43" i="4"/>
  <c r="H43" i="4"/>
  <c r="G43" i="4"/>
  <c r="F43" i="4"/>
  <c r="E43" i="4"/>
  <c r="C43" i="4"/>
  <c r="X43" i="4" s="1"/>
  <c r="B43" i="4"/>
  <c r="A43" i="4"/>
  <c r="AF42" i="4"/>
  <c r="AE42" i="4"/>
  <c r="AD42" i="4"/>
  <c r="AC42" i="4"/>
  <c r="Z42" i="4"/>
  <c r="AA42" i="4" s="1"/>
  <c r="Y42" i="4"/>
  <c r="W42" i="4"/>
  <c r="V42" i="4"/>
  <c r="U42" i="4"/>
  <c r="Q42" i="4"/>
  <c r="O42" i="4"/>
  <c r="N42" i="4"/>
  <c r="M42" i="4"/>
  <c r="L42" i="4"/>
  <c r="J42" i="4"/>
  <c r="I42" i="4"/>
  <c r="H42" i="4"/>
  <c r="G42" i="4"/>
  <c r="F42" i="4"/>
  <c r="E42" i="4"/>
  <c r="C42" i="4"/>
  <c r="R42" i="4" s="1"/>
  <c r="S42" i="4" s="1"/>
  <c r="B42" i="4"/>
  <c r="A42" i="4"/>
  <c r="AF41" i="4"/>
  <c r="AE41" i="4"/>
  <c r="AD41" i="4"/>
  <c r="AC41" i="4"/>
  <c r="AA41" i="4"/>
  <c r="Z41" i="4"/>
  <c r="Y41" i="4"/>
  <c r="W41" i="4"/>
  <c r="V41" i="4"/>
  <c r="U41" i="4"/>
  <c r="Q41" i="4"/>
  <c r="O41" i="4"/>
  <c r="N41" i="4"/>
  <c r="M41" i="4"/>
  <c r="I41" i="4"/>
  <c r="H41" i="4"/>
  <c r="G41" i="4"/>
  <c r="F41" i="4"/>
  <c r="E41" i="4"/>
  <c r="C41" i="4"/>
  <c r="P41" i="4" s="1"/>
  <c r="B41" i="4"/>
  <c r="A41" i="4"/>
  <c r="AF40" i="4"/>
  <c r="AE40" i="4"/>
  <c r="AD40" i="4"/>
  <c r="AC40" i="4"/>
  <c r="Z40" i="4"/>
  <c r="AA40" i="4" s="1"/>
  <c r="Y40" i="4"/>
  <c r="W40" i="4"/>
  <c r="V40" i="4"/>
  <c r="U40" i="4"/>
  <c r="Q40" i="4"/>
  <c r="O40" i="4"/>
  <c r="N40" i="4"/>
  <c r="M40" i="4"/>
  <c r="J40" i="4"/>
  <c r="I40" i="4"/>
  <c r="H40" i="4"/>
  <c r="G40" i="4"/>
  <c r="K40" i="4" s="1"/>
  <c r="F40" i="4"/>
  <c r="E40" i="4"/>
  <c r="C40" i="4"/>
  <c r="X40" i="4" s="1"/>
  <c r="B40" i="4"/>
  <c r="A40" i="4"/>
  <c r="T40" i="4" s="1"/>
  <c r="AF39" i="4"/>
  <c r="AE39" i="4"/>
  <c r="AD39" i="4"/>
  <c r="AC39" i="4"/>
  <c r="Y39" i="4"/>
  <c r="W39" i="4"/>
  <c r="V39" i="4"/>
  <c r="U39" i="4"/>
  <c r="R39" i="4"/>
  <c r="S39" i="4" s="1"/>
  <c r="Q39" i="4"/>
  <c r="O39" i="4"/>
  <c r="N39" i="4"/>
  <c r="M39" i="4"/>
  <c r="I39" i="4"/>
  <c r="H39" i="4"/>
  <c r="G39" i="4"/>
  <c r="F39" i="4"/>
  <c r="E39" i="4"/>
  <c r="D39" i="4"/>
  <c r="C39" i="4"/>
  <c r="B39" i="4"/>
  <c r="A39" i="4"/>
  <c r="AF38" i="4"/>
  <c r="AE38" i="4"/>
  <c r="AD38" i="4"/>
  <c r="AC38" i="4"/>
  <c r="Z38" i="4"/>
  <c r="AA38" i="4" s="1"/>
  <c r="Y38" i="4"/>
  <c r="X38" i="4"/>
  <c r="W38" i="4"/>
  <c r="V38" i="4"/>
  <c r="U38" i="4"/>
  <c r="Q38" i="4"/>
  <c r="O38" i="4"/>
  <c r="N38" i="4"/>
  <c r="M38" i="4"/>
  <c r="J38" i="4"/>
  <c r="I38" i="4"/>
  <c r="L38" i="4" s="1"/>
  <c r="H38" i="4"/>
  <c r="G38" i="4"/>
  <c r="F38" i="4"/>
  <c r="E38" i="4"/>
  <c r="C38" i="4"/>
  <c r="P38" i="4" s="1"/>
  <c r="B38" i="4"/>
  <c r="A38" i="4"/>
  <c r="AF37" i="4"/>
  <c r="AE37" i="4"/>
  <c r="AD37" i="4"/>
  <c r="AC37" i="4"/>
  <c r="AB37" i="4"/>
  <c r="Z37" i="4"/>
  <c r="AA37" i="4" s="1"/>
  <c r="Y37" i="4"/>
  <c r="W37" i="4"/>
  <c r="V37" i="4"/>
  <c r="U37" i="4"/>
  <c r="R37" i="4"/>
  <c r="S37" i="4" s="1"/>
  <c r="Q37" i="4"/>
  <c r="P37" i="4"/>
  <c r="O37" i="4"/>
  <c r="N37" i="4"/>
  <c r="M37" i="4"/>
  <c r="I37" i="4"/>
  <c r="H37" i="4"/>
  <c r="G37" i="4"/>
  <c r="F37" i="4"/>
  <c r="E37" i="4"/>
  <c r="C37" i="4"/>
  <c r="B37" i="4"/>
  <c r="A37" i="4"/>
  <c r="AF36" i="4"/>
  <c r="AE36" i="4"/>
  <c r="AD36" i="4"/>
  <c r="AC36" i="4"/>
  <c r="AA36" i="4"/>
  <c r="Z36" i="4"/>
  <c r="Y36" i="4"/>
  <c r="X36" i="4"/>
  <c r="W36" i="4"/>
  <c r="V36" i="4"/>
  <c r="U36" i="4"/>
  <c r="Q36" i="4"/>
  <c r="O36" i="4"/>
  <c r="N36" i="4"/>
  <c r="M36" i="4"/>
  <c r="L36" i="4"/>
  <c r="J36" i="4"/>
  <c r="I36" i="4"/>
  <c r="H36" i="4"/>
  <c r="G36" i="4"/>
  <c r="F36" i="4"/>
  <c r="E36" i="4"/>
  <c r="C36" i="4"/>
  <c r="R36" i="4" s="1"/>
  <c r="S36" i="4" s="1"/>
  <c r="B36" i="4"/>
  <c r="A36" i="4"/>
  <c r="AF35" i="4"/>
  <c r="AE35" i="4"/>
  <c r="AD35" i="4"/>
  <c r="AC35" i="4"/>
  <c r="Y35" i="4"/>
  <c r="W35" i="4"/>
  <c r="V35" i="4"/>
  <c r="U35" i="4"/>
  <c r="Q35" i="4"/>
  <c r="O35" i="4"/>
  <c r="N35" i="4"/>
  <c r="M35" i="4"/>
  <c r="I35" i="4"/>
  <c r="H35" i="4"/>
  <c r="G35" i="4"/>
  <c r="F35" i="4"/>
  <c r="E35" i="4"/>
  <c r="C35" i="4"/>
  <c r="B35" i="4"/>
  <c r="A35" i="4"/>
  <c r="AF34" i="4"/>
  <c r="AE34" i="4"/>
  <c r="AD34" i="4"/>
  <c r="AC34" i="4"/>
  <c r="Z34" i="4"/>
  <c r="AA34" i="4" s="1"/>
  <c r="Y34" i="4"/>
  <c r="W34" i="4"/>
  <c r="V34" i="4"/>
  <c r="U34" i="4"/>
  <c r="Q34" i="4"/>
  <c r="O34" i="4"/>
  <c r="N34" i="4"/>
  <c r="M34" i="4"/>
  <c r="J34" i="4"/>
  <c r="I34" i="4"/>
  <c r="H34" i="4"/>
  <c r="G34" i="4"/>
  <c r="K34" i="4" s="1"/>
  <c r="F34" i="4"/>
  <c r="E34" i="4"/>
  <c r="C34" i="4"/>
  <c r="X34" i="4" s="1"/>
  <c r="B34" i="4"/>
  <c r="A34" i="4"/>
  <c r="AF33" i="4"/>
  <c r="AE33" i="4"/>
  <c r="AD33" i="4"/>
  <c r="AC33" i="4"/>
  <c r="Y33" i="4"/>
  <c r="W33" i="4"/>
  <c r="V33" i="4"/>
  <c r="U33" i="4"/>
  <c r="R33" i="4"/>
  <c r="S33" i="4" s="1"/>
  <c r="Q33" i="4"/>
  <c r="O33" i="4"/>
  <c r="N33" i="4"/>
  <c r="M33" i="4"/>
  <c r="I33" i="4"/>
  <c r="H33" i="4"/>
  <c r="G33" i="4"/>
  <c r="F33" i="4"/>
  <c r="E33" i="4"/>
  <c r="D33" i="4"/>
  <c r="C33" i="4"/>
  <c r="B33" i="4"/>
  <c r="A33" i="4"/>
  <c r="AF32" i="4"/>
  <c r="AE32" i="4"/>
  <c r="AD32" i="4"/>
  <c r="AC32" i="4"/>
  <c r="Z32" i="4"/>
  <c r="AA32" i="4" s="1"/>
  <c r="Y32" i="4"/>
  <c r="X32" i="4"/>
  <c r="W32" i="4"/>
  <c r="V32" i="4"/>
  <c r="U32" i="4"/>
  <c r="Q32" i="4"/>
  <c r="O32" i="4"/>
  <c r="N32" i="4"/>
  <c r="M32" i="4"/>
  <c r="J32" i="4"/>
  <c r="I32" i="4"/>
  <c r="L32" i="4" s="1"/>
  <c r="H32" i="4"/>
  <c r="G32" i="4"/>
  <c r="F32" i="4"/>
  <c r="E32" i="4"/>
  <c r="C32" i="4"/>
  <c r="P32" i="4" s="1"/>
  <c r="B32" i="4"/>
  <c r="A32" i="4"/>
  <c r="AF31" i="4"/>
  <c r="AE31" i="4"/>
  <c r="AD31" i="4"/>
  <c r="AC31" i="4"/>
  <c r="AB31" i="4"/>
  <c r="Z31" i="4"/>
  <c r="AA31" i="4" s="1"/>
  <c r="Y31" i="4"/>
  <c r="W31" i="4"/>
  <c r="V31" i="4"/>
  <c r="U31" i="4"/>
  <c r="Q31" i="4"/>
  <c r="P31" i="4"/>
  <c r="O31" i="4"/>
  <c r="N31" i="4"/>
  <c r="M31" i="4"/>
  <c r="I31" i="4"/>
  <c r="H31" i="4"/>
  <c r="G31" i="4"/>
  <c r="F31" i="4"/>
  <c r="E31" i="4"/>
  <c r="C31" i="4"/>
  <c r="R31" i="4" s="1"/>
  <c r="S31" i="4" s="1"/>
  <c r="B31" i="4"/>
  <c r="A31" i="4"/>
  <c r="L31" i="4" s="1"/>
  <c r="AF30" i="4"/>
  <c r="AE30" i="4"/>
  <c r="AD30" i="4"/>
  <c r="AC30" i="4"/>
  <c r="Z30" i="4"/>
  <c r="AA30" i="4" s="1"/>
  <c r="Y30" i="4"/>
  <c r="X30" i="4"/>
  <c r="W30" i="4"/>
  <c r="V30" i="4"/>
  <c r="U30" i="4"/>
  <c r="Q30" i="4"/>
  <c r="O30" i="4"/>
  <c r="N30" i="4"/>
  <c r="M30" i="4"/>
  <c r="J30" i="4"/>
  <c r="K30" i="4" s="1"/>
  <c r="I30" i="4"/>
  <c r="H30" i="4"/>
  <c r="G30" i="4"/>
  <c r="F30" i="4"/>
  <c r="E30" i="4"/>
  <c r="C30" i="4"/>
  <c r="R30" i="4" s="1"/>
  <c r="S30" i="4" s="1"/>
  <c r="B30" i="4"/>
  <c r="A30" i="4"/>
  <c r="AF29" i="4"/>
  <c r="AE29" i="4"/>
  <c r="AD29" i="4"/>
  <c r="AC29" i="4"/>
  <c r="Y29" i="4"/>
  <c r="W29" i="4"/>
  <c r="V29" i="4"/>
  <c r="U29" i="4"/>
  <c r="T29" i="4"/>
  <c r="Q29" i="4"/>
  <c r="O29" i="4"/>
  <c r="N29" i="4"/>
  <c r="M29" i="4"/>
  <c r="I29" i="4"/>
  <c r="H29" i="4"/>
  <c r="G29" i="4"/>
  <c r="F29" i="4"/>
  <c r="E29" i="4"/>
  <c r="C29" i="4"/>
  <c r="Z29" i="4" s="1"/>
  <c r="AA29" i="4" s="1"/>
  <c r="B29" i="4"/>
  <c r="A29" i="4"/>
  <c r="AF28" i="4"/>
  <c r="AE28" i="4"/>
  <c r="AD28" i="4"/>
  <c r="AC28" i="4"/>
  <c r="Z28" i="4"/>
  <c r="AA28" i="4" s="1"/>
  <c r="Y28" i="4"/>
  <c r="W28" i="4"/>
  <c r="V28" i="4"/>
  <c r="U28" i="4"/>
  <c r="T28" i="4"/>
  <c r="Q28" i="4"/>
  <c r="O28" i="4"/>
  <c r="N28" i="4"/>
  <c r="M28" i="4"/>
  <c r="J28" i="4"/>
  <c r="K28" i="4" s="1"/>
  <c r="I28" i="4"/>
  <c r="H28" i="4"/>
  <c r="G28" i="4"/>
  <c r="F28" i="4"/>
  <c r="E28" i="4"/>
  <c r="C28" i="4"/>
  <c r="X28" i="4" s="1"/>
  <c r="B28" i="4"/>
  <c r="A28" i="4"/>
  <c r="AF27" i="4"/>
  <c r="AE27" i="4"/>
  <c r="AD27" i="4"/>
  <c r="AC27" i="4"/>
  <c r="AB27" i="4"/>
  <c r="Z27" i="4"/>
  <c r="AA27" i="4" s="1"/>
  <c r="Y27" i="4"/>
  <c r="W27" i="4"/>
  <c r="V27" i="4"/>
  <c r="U27" i="4"/>
  <c r="Q27" i="4"/>
  <c r="P27" i="4"/>
  <c r="O27" i="4"/>
  <c r="N27" i="4"/>
  <c r="M27" i="4"/>
  <c r="I27" i="4"/>
  <c r="H27" i="4"/>
  <c r="G27" i="4"/>
  <c r="F27" i="4"/>
  <c r="E27" i="4"/>
  <c r="C27" i="4"/>
  <c r="B27" i="4"/>
  <c r="A27" i="4"/>
  <c r="AF26" i="4"/>
  <c r="AE26" i="4"/>
  <c r="AD26" i="4"/>
  <c r="AC26" i="4"/>
  <c r="Z26" i="4"/>
  <c r="AA26" i="4" s="1"/>
  <c r="Y26" i="4"/>
  <c r="X26" i="4"/>
  <c r="W26" i="4"/>
  <c r="V26" i="4"/>
  <c r="U26" i="4"/>
  <c r="Q26" i="4"/>
  <c r="O26" i="4"/>
  <c r="N26" i="4"/>
  <c r="M26" i="4"/>
  <c r="L26" i="4"/>
  <c r="K26" i="4"/>
  <c r="J26" i="4"/>
  <c r="I26" i="4"/>
  <c r="H26" i="4"/>
  <c r="G26" i="4"/>
  <c r="F26" i="4"/>
  <c r="E26" i="4"/>
  <c r="C26" i="4"/>
  <c r="P26" i="4" s="1"/>
  <c r="B26" i="4"/>
  <c r="A26" i="4"/>
  <c r="T26" i="4" s="1"/>
  <c r="AF25" i="4"/>
  <c r="AE25" i="4"/>
  <c r="AD25" i="4"/>
  <c r="AC25" i="4"/>
  <c r="Y25" i="4"/>
  <c r="W25" i="4"/>
  <c r="V25" i="4"/>
  <c r="U25" i="4"/>
  <c r="R25" i="4"/>
  <c r="S25" i="4" s="1"/>
  <c r="Q25" i="4"/>
  <c r="T25" i="4" s="1"/>
  <c r="O25" i="4"/>
  <c r="N25" i="4"/>
  <c r="M25" i="4"/>
  <c r="I25" i="4"/>
  <c r="H25" i="4"/>
  <c r="G25" i="4"/>
  <c r="F25" i="4"/>
  <c r="E25" i="4"/>
  <c r="D25" i="4"/>
  <c r="C25" i="4"/>
  <c r="B25" i="4"/>
  <c r="A25" i="4"/>
  <c r="L25" i="4" s="1"/>
  <c r="AF24" i="4"/>
  <c r="AE24" i="4"/>
  <c r="AD24" i="4"/>
  <c r="AC24" i="4"/>
  <c r="Z24" i="4"/>
  <c r="AA24" i="4" s="1"/>
  <c r="Y24" i="4"/>
  <c r="X24" i="4"/>
  <c r="W24" i="4"/>
  <c r="V24" i="4"/>
  <c r="U24" i="4"/>
  <c r="Q24" i="4"/>
  <c r="O24" i="4"/>
  <c r="N24" i="4"/>
  <c r="M24" i="4"/>
  <c r="J24" i="4"/>
  <c r="K24" i="4" s="1"/>
  <c r="I24" i="4"/>
  <c r="H24" i="4"/>
  <c r="G24" i="4"/>
  <c r="F24" i="4"/>
  <c r="E24" i="4"/>
  <c r="C24" i="4"/>
  <c r="R24" i="4" s="1"/>
  <c r="S24" i="4" s="1"/>
  <c r="B24" i="4"/>
  <c r="A24" i="4"/>
  <c r="L24" i="4" s="1"/>
  <c r="AF23" i="4"/>
  <c r="AE23" i="4"/>
  <c r="AD23" i="4"/>
  <c r="AC23" i="4"/>
  <c r="Z23" i="4"/>
  <c r="AA23" i="4" s="1"/>
  <c r="Y23" i="4"/>
  <c r="W23" i="4"/>
  <c r="V23" i="4"/>
  <c r="U23" i="4"/>
  <c r="Q23" i="4"/>
  <c r="T23" i="4" s="1"/>
  <c r="O23" i="4"/>
  <c r="N23" i="4"/>
  <c r="M23" i="4"/>
  <c r="I23" i="4"/>
  <c r="H23" i="4"/>
  <c r="G23" i="4"/>
  <c r="F23" i="4"/>
  <c r="E23" i="4"/>
  <c r="C23" i="4"/>
  <c r="R23" i="4" s="1"/>
  <c r="S23" i="4" s="1"/>
  <c r="B23" i="4"/>
  <c r="A23" i="4"/>
  <c r="AF22" i="4"/>
  <c r="AE22" i="4"/>
  <c r="AD22" i="4"/>
  <c r="AC22" i="4"/>
  <c r="Z22" i="4"/>
  <c r="AA22" i="4" s="1"/>
  <c r="Y22" i="4"/>
  <c r="W22" i="4"/>
  <c r="V22" i="4"/>
  <c r="U22" i="4"/>
  <c r="Q22" i="4"/>
  <c r="O22" i="4"/>
  <c r="N22" i="4"/>
  <c r="M22" i="4"/>
  <c r="J22" i="4"/>
  <c r="K22" i="4" s="1"/>
  <c r="I22" i="4"/>
  <c r="H22" i="4"/>
  <c r="G22" i="4"/>
  <c r="F22" i="4"/>
  <c r="E22" i="4"/>
  <c r="C22" i="4"/>
  <c r="X22" i="4" s="1"/>
  <c r="B22" i="4"/>
  <c r="A22" i="4"/>
  <c r="AF21" i="4"/>
  <c r="AE21" i="4"/>
  <c r="AD21" i="4"/>
  <c r="AC21" i="4"/>
  <c r="AB21" i="4"/>
  <c r="Y21" i="4"/>
  <c r="W21" i="4"/>
  <c r="V21" i="4"/>
  <c r="U21" i="4"/>
  <c r="Q21" i="4"/>
  <c r="P21" i="4"/>
  <c r="O21" i="4"/>
  <c r="N21" i="4"/>
  <c r="M21" i="4"/>
  <c r="I21" i="4"/>
  <c r="H21" i="4"/>
  <c r="G21" i="4"/>
  <c r="F21" i="4"/>
  <c r="E21" i="4"/>
  <c r="C21" i="4"/>
  <c r="R21" i="4" s="1"/>
  <c r="S21" i="4" s="1"/>
  <c r="B21" i="4"/>
  <c r="A21" i="4"/>
  <c r="AF20" i="4"/>
  <c r="AE20" i="4"/>
  <c r="AD20" i="4"/>
  <c r="AC20" i="4"/>
  <c r="Z20" i="4"/>
  <c r="AA20" i="4" s="1"/>
  <c r="Y20" i="4"/>
  <c r="X20" i="4"/>
  <c r="W20" i="4"/>
  <c r="V20" i="4"/>
  <c r="U20" i="4"/>
  <c r="T20" i="4"/>
  <c r="Q20" i="4"/>
  <c r="O20" i="4"/>
  <c r="N20" i="4"/>
  <c r="M20" i="4"/>
  <c r="J20" i="4"/>
  <c r="I20" i="4"/>
  <c r="L20" i="4" s="1"/>
  <c r="H20" i="4"/>
  <c r="G20" i="4"/>
  <c r="K20" i="4" s="1"/>
  <c r="F20" i="4"/>
  <c r="E20" i="4"/>
  <c r="C20" i="4"/>
  <c r="P20" i="4" s="1"/>
  <c r="B20" i="4"/>
  <c r="A20" i="4"/>
  <c r="AF19" i="4"/>
  <c r="AE19" i="4"/>
  <c r="AD19" i="4"/>
  <c r="AC19" i="4"/>
  <c r="Z19" i="4"/>
  <c r="AA19" i="4" s="1"/>
  <c r="Y19" i="4"/>
  <c r="W19" i="4"/>
  <c r="V19" i="4"/>
  <c r="U19" i="4"/>
  <c r="Q19" i="4"/>
  <c r="O19" i="4"/>
  <c r="N19" i="4"/>
  <c r="M19" i="4"/>
  <c r="I19" i="4"/>
  <c r="H19" i="4"/>
  <c r="G19" i="4"/>
  <c r="F19" i="4"/>
  <c r="E19" i="4"/>
  <c r="D19" i="4"/>
  <c r="C19" i="4"/>
  <c r="P19" i="4" s="1"/>
  <c r="B19" i="4"/>
  <c r="A19" i="4"/>
  <c r="L19" i="4" s="1"/>
  <c r="AF18" i="4"/>
  <c r="AE18" i="4"/>
  <c r="AD18" i="4"/>
  <c r="AC18" i="4"/>
  <c r="Z18" i="4"/>
  <c r="AA18" i="4" s="1"/>
  <c r="Y18" i="4"/>
  <c r="X18" i="4"/>
  <c r="W18" i="4"/>
  <c r="V18" i="4"/>
  <c r="U18" i="4"/>
  <c r="Q18" i="4"/>
  <c r="O18" i="4"/>
  <c r="N18" i="4"/>
  <c r="M18" i="4"/>
  <c r="L18" i="4"/>
  <c r="J18" i="4"/>
  <c r="K18" i="4" s="1"/>
  <c r="I18" i="4"/>
  <c r="H18" i="4"/>
  <c r="G18" i="4"/>
  <c r="F18" i="4"/>
  <c r="E18" i="4"/>
  <c r="C18" i="4"/>
  <c r="R18" i="4" s="1"/>
  <c r="S18" i="4" s="1"/>
  <c r="B18" i="4"/>
  <c r="A18" i="4"/>
  <c r="AF17" i="4"/>
  <c r="AE17" i="4"/>
  <c r="AD17" i="4"/>
  <c r="AC17" i="4"/>
  <c r="Y17" i="4"/>
  <c r="W17" i="4"/>
  <c r="V17" i="4"/>
  <c r="U17" i="4"/>
  <c r="Q17" i="4"/>
  <c r="T17" i="4" s="1"/>
  <c r="P17" i="4"/>
  <c r="O17" i="4"/>
  <c r="N17" i="4"/>
  <c r="M17" i="4"/>
  <c r="I17" i="4"/>
  <c r="L17" i="4" s="1"/>
  <c r="H17" i="4"/>
  <c r="G17" i="4"/>
  <c r="F17" i="4"/>
  <c r="E17" i="4"/>
  <c r="D17" i="4"/>
  <c r="C17" i="4"/>
  <c r="B17" i="4"/>
  <c r="A17" i="4"/>
  <c r="AF16" i="4"/>
  <c r="AE16" i="4"/>
  <c r="AD16" i="4"/>
  <c r="AC16" i="4"/>
  <c r="Z16" i="4"/>
  <c r="AA16" i="4" s="1"/>
  <c r="Y16" i="4"/>
  <c r="X16" i="4"/>
  <c r="W16" i="4"/>
  <c r="V16" i="4"/>
  <c r="U16" i="4"/>
  <c r="Q16" i="4"/>
  <c r="O16" i="4"/>
  <c r="N16" i="4"/>
  <c r="M16" i="4"/>
  <c r="L16" i="4"/>
  <c r="K16" i="4"/>
  <c r="I16" i="4"/>
  <c r="H16" i="4"/>
  <c r="G16" i="4"/>
  <c r="F16" i="4"/>
  <c r="E16" i="4"/>
  <c r="D16" i="4"/>
  <c r="C16" i="4"/>
  <c r="J16" i="4" s="1"/>
  <c r="B16" i="4"/>
  <c r="A16" i="4"/>
  <c r="AF15" i="4"/>
  <c r="AE15" i="4"/>
  <c r="AD15" i="4"/>
  <c r="AC15" i="4"/>
  <c r="Z15" i="4"/>
  <c r="AA15" i="4" s="1"/>
  <c r="Y15" i="4"/>
  <c r="X15" i="4"/>
  <c r="W15" i="4"/>
  <c r="V15" i="4"/>
  <c r="U15" i="4"/>
  <c r="Q15" i="4"/>
  <c r="O15" i="4"/>
  <c r="N15" i="4"/>
  <c r="M15" i="4"/>
  <c r="L15" i="4"/>
  <c r="J15" i="4"/>
  <c r="K15" i="4" s="1"/>
  <c r="I15" i="4"/>
  <c r="H15" i="4"/>
  <c r="G15" i="4"/>
  <c r="F15" i="4"/>
  <c r="E15" i="4"/>
  <c r="C15" i="4"/>
  <c r="R15" i="4" s="1"/>
  <c r="S15" i="4" s="1"/>
  <c r="B15" i="4"/>
  <c r="A15" i="4"/>
  <c r="AF14" i="4"/>
  <c r="AE14" i="4"/>
  <c r="AD14" i="4"/>
  <c r="AC14" i="4"/>
  <c r="Y14" i="4"/>
  <c r="W14" i="4"/>
  <c r="V14" i="4"/>
  <c r="U14" i="4"/>
  <c r="Q14" i="4"/>
  <c r="T14" i="4" s="1"/>
  <c r="P14" i="4"/>
  <c r="O14" i="4"/>
  <c r="N14" i="4"/>
  <c r="M14" i="4"/>
  <c r="I14" i="4"/>
  <c r="L14" i="4" s="1"/>
  <c r="H14" i="4"/>
  <c r="G14" i="4"/>
  <c r="F14" i="4"/>
  <c r="E14" i="4"/>
  <c r="D14" i="4"/>
  <c r="C14" i="4"/>
  <c r="R14" i="4" s="1"/>
  <c r="S14" i="4" s="1"/>
  <c r="B14" i="4"/>
  <c r="A14" i="4"/>
  <c r="AF13" i="4"/>
  <c r="AE13" i="4"/>
  <c r="AD13" i="4"/>
  <c r="AC13" i="4"/>
  <c r="Z13" i="4"/>
  <c r="AA13" i="4" s="1"/>
  <c r="Y13" i="4"/>
  <c r="X13" i="4"/>
  <c r="W13" i="4"/>
  <c r="V13" i="4"/>
  <c r="U13" i="4"/>
  <c r="Q13" i="4"/>
  <c r="O13" i="4"/>
  <c r="N13" i="4"/>
  <c r="M13" i="4"/>
  <c r="L13" i="4"/>
  <c r="K13" i="4"/>
  <c r="I13" i="4"/>
  <c r="H13" i="4"/>
  <c r="G13" i="4"/>
  <c r="F13" i="4"/>
  <c r="E13" i="4"/>
  <c r="D13" i="4"/>
  <c r="C13" i="4"/>
  <c r="J13" i="4" s="1"/>
  <c r="B13" i="4"/>
  <c r="A13" i="4"/>
  <c r="AF12" i="4"/>
  <c r="AE12" i="4"/>
  <c r="AD12" i="4"/>
  <c r="AC12" i="4"/>
  <c r="Z12" i="4"/>
  <c r="AA12" i="4" s="1"/>
  <c r="Y12" i="4"/>
  <c r="X12" i="4"/>
  <c r="W12" i="4"/>
  <c r="V12" i="4"/>
  <c r="U12" i="4"/>
  <c r="Q12" i="4"/>
  <c r="O12" i="4"/>
  <c r="N12" i="4"/>
  <c r="M12" i="4"/>
  <c r="L12" i="4"/>
  <c r="J12" i="4"/>
  <c r="K12" i="4" s="1"/>
  <c r="I12" i="4"/>
  <c r="H12" i="4"/>
  <c r="G12" i="4"/>
  <c r="F12" i="4"/>
  <c r="E12" i="4"/>
  <c r="C12" i="4"/>
  <c r="R12" i="4" s="1"/>
  <c r="S12" i="4" s="1"/>
  <c r="B12" i="4"/>
  <c r="A12" i="4"/>
  <c r="AF11" i="4"/>
  <c r="AE11" i="4"/>
  <c r="AD11" i="4"/>
  <c r="AC11" i="4"/>
  <c r="Y11" i="4"/>
  <c r="W11" i="4"/>
  <c r="V11" i="4"/>
  <c r="U11" i="4"/>
  <c r="Q11" i="4"/>
  <c r="T11" i="4" s="1"/>
  <c r="P11" i="4"/>
  <c r="O11" i="4"/>
  <c r="N11" i="4"/>
  <c r="M11" i="4"/>
  <c r="I11" i="4"/>
  <c r="L11" i="4" s="1"/>
  <c r="H11" i="4"/>
  <c r="G11" i="4"/>
  <c r="F11" i="4"/>
  <c r="E11" i="4"/>
  <c r="D11" i="4"/>
  <c r="C11" i="4"/>
  <c r="J11" i="4" s="1"/>
  <c r="K11" i="4" s="1"/>
  <c r="B11" i="4"/>
  <c r="A11" i="4"/>
  <c r="AF10" i="4"/>
  <c r="AE10" i="4"/>
  <c r="AD10" i="4"/>
  <c r="AC10" i="4"/>
  <c r="Z10" i="4"/>
  <c r="AA10" i="4" s="1"/>
  <c r="Y10" i="4"/>
  <c r="X10" i="4"/>
  <c r="W10" i="4"/>
  <c r="V10" i="4"/>
  <c r="U10" i="4"/>
  <c r="Q10" i="4"/>
  <c r="O10" i="4"/>
  <c r="N10" i="4"/>
  <c r="M10" i="4"/>
  <c r="L10" i="4"/>
  <c r="K10" i="4"/>
  <c r="I10" i="4"/>
  <c r="H10" i="4"/>
  <c r="G10" i="4"/>
  <c r="F10" i="4"/>
  <c r="E10" i="4"/>
  <c r="D10" i="4"/>
  <c r="C10" i="4"/>
  <c r="J10" i="4" s="1"/>
  <c r="B10" i="4"/>
  <c r="A10" i="4"/>
  <c r="AF9" i="4"/>
  <c r="AE9" i="4"/>
  <c r="AD9" i="4"/>
  <c r="AC9" i="4"/>
  <c r="Z9" i="4"/>
  <c r="AA9" i="4" s="1"/>
  <c r="Y9" i="4"/>
  <c r="X9" i="4"/>
  <c r="W9" i="4"/>
  <c r="V9" i="4"/>
  <c r="U9" i="4"/>
  <c r="Q9" i="4"/>
  <c r="O9" i="4"/>
  <c r="N9" i="4"/>
  <c r="M9" i="4"/>
  <c r="L9" i="4"/>
  <c r="J9" i="4"/>
  <c r="K9" i="4" s="1"/>
  <c r="I9" i="4"/>
  <c r="H9" i="4"/>
  <c r="G9" i="4"/>
  <c r="F9" i="4"/>
  <c r="E9" i="4"/>
  <c r="C9" i="4"/>
  <c r="R9" i="4" s="1"/>
  <c r="S9" i="4" s="1"/>
  <c r="B9" i="4"/>
  <c r="A9" i="4"/>
  <c r="AF8" i="4"/>
  <c r="AE8" i="4"/>
  <c r="AD8" i="4"/>
  <c r="AC8" i="4"/>
  <c r="Y8" i="4"/>
  <c r="W8" i="4"/>
  <c r="V8" i="4"/>
  <c r="U8" i="4"/>
  <c r="Q8" i="4"/>
  <c r="T8" i="4" s="1"/>
  <c r="P8" i="4"/>
  <c r="O8" i="4"/>
  <c r="N8" i="4"/>
  <c r="M8" i="4"/>
  <c r="I8" i="4"/>
  <c r="L8" i="4" s="1"/>
  <c r="H8" i="4"/>
  <c r="G8" i="4"/>
  <c r="F8" i="4"/>
  <c r="E8" i="4"/>
  <c r="D8" i="4"/>
  <c r="C8" i="4"/>
  <c r="B8" i="4"/>
  <c r="A8" i="4"/>
  <c r="AF7" i="4"/>
  <c r="AE7" i="4"/>
  <c r="AD7" i="4"/>
  <c r="AC7" i="4"/>
  <c r="Z7" i="4"/>
  <c r="AA7" i="4" s="1"/>
  <c r="Y7" i="4"/>
  <c r="X7" i="4"/>
  <c r="W7" i="4"/>
  <c r="V7" i="4"/>
  <c r="U7" i="4"/>
  <c r="Q7" i="4"/>
  <c r="O7" i="4"/>
  <c r="N7" i="4"/>
  <c r="M7" i="4"/>
  <c r="L7" i="4"/>
  <c r="K7" i="4"/>
  <c r="I7" i="4"/>
  <c r="H7" i="4"/>
  <c r="G7" i="4"/>
  <c r="F7" i="4"/>
  <c r="E7" i="4"/>
  <c r="D7" i="4"/>
  <c r="C7" i="4"/>
  <c r="J7" i="4" s="1"/>
  <c r="B7" i="4"/>
  <c r="A7" i="4"/>
  <c r="AF6" i="4"/>
  <c r="AE6" i="4"/>
  <c r="AD6" i="4"/>
  <c r="AC6" i="4"/>
  <c r="Z6" i="4"/>
  <c r="AA6" i="4" s="1"/>
  <c r="Y6" i="4"/>
  <c r="X6" i="4"/>
  <c r="W6" i="4"/>
  <c r="V6" i="4"/>
  <c r="U6" i="4"/>
  <c r="Q6" i="4"/>
  <c r="O6" i="4"/>
  <c r="N6" i="4"/>
  <c r="M6" i="4"/>
  <c r="L6" i="4"/>
  <c r="J6" i="4"/>
  <c r="K6" i="4" s="1"/>
  <c r="I6" i="4"/>
  <c r="H6" i="4"/>
  <c r="G6" i="4"/>
  <c r="F6" i="4"/>
  <c r="E6" i="4"/>
  <c r="C6" i="4"/>
  <c r="R6" i="4" s="1"/>
  <c r="S6" i="4" s="1"/>
  <c r="B6" i="4"/>
  <c r="A6" i="4"/>
  <c r="AF5" i="4"/>
  <c r="AE5" i="4"/>
  <c r="AD5" i="4"/>
  <c r="AC5" i="4"/>
  <c r="Y5" i="4"/>
  <c r="W5" i="4"/>
  <c r="V5" i="4"/>
  <c r="U5" i="4"/>
  <c r="Q5" i="4"/>
  <c r="T5" i="4" s="1"/>
  <c r="P5" i="4"/>
  <c r="O5" i="4"/>
  <c r="N5" i="4"/>
  <c r="M5" i="4"/>
  <c r="I5" i="4"/>
  <c r="L5" i="4" s="1"/>
  <c r="H5" i="4"/>
  <c r="G5" i="4"/>
  <c r="F5" i="4"/>
  <c r="E5" i="4"/>
  <c r="D5" i="4"/>
  <c r="C5" i="4"/>
  <c r="J5" i="4" s="1"/>
  <c r="K5" i="4" s="1"/>
  <c r="B5" i="4"/>
  <c r="A5" i="4"/>
  <c r="B4" i="4"/>
  <c r="AD4" i="4"/>
  <c r="AC4" i="4"/>
  <c r="Y4" i="4"/>
  <c r="Z1" i="4" s="1"/>
  <c r="W4" i="4"/>
  <c r="V4" i="4"/>
  <c r="U4" i="4"/>
  <c r="Q4" i="4"/>
  <c r="R1" i="4" s="1"/>
  <c r="O4" i="4"/>
  <c r="N4" i="4"/>
  <c r="M4" i="4"/>
  <c r="I4" i="4"/>
  <c r="J1" i="4" s="1"/>
  <c r="H4" i="4"/>
  <c r="G4" i="4"/>
  <c r="F4" i="4"/>
  <c r="E4" i="4"/>
  <c r="C4" i="4"/>
  <c r="Z4" i="4" s="1"/>
  <c r="AE4" i="4"/>
  <c r="AF4" i="4"/>
  <c r="A4" i="4"/>
  <c r="D4" i="4" s="1"/>
  <c r="J39" i="4" l="1"/>
  <c r="K39" i="4" s="1"/>
  <c r="X39" i="4"/>
  <c r="P39" i="4"/>
  <c r="Z39" i="4"/>
  <c r="AA39" i="4" s="1"/>
  <c r="AB53" i="4"/>
  <c r="D53" i="4"/>
  <c r="L53" i="4"/>
  <c r="T53" i="4"/>
  <c r="K32" i="4"/>
  <c r="T30" i="4"/>
  <c r="AB30" i="4"/>
  <c r="D30" i="4"/>
  <c r="L30" i="4"/>
  <c r="T54" i="4"/>
  <c r="AB54" i="4"/>
  <c r="D54" i="4"/>
  <c r="L54" i="4"/>
  <c r="X33" i="4"/>
  <c r="J33" i="4"/>
  <c r="K33" i="4" s="1"/>
  <c r="P33" i="4"/>
  <c r="Z33" i="4"/>
  <c r="AA33" i="4" s="1"/>
  <c r="T57" i="4"/>
  <c r="L57" i="4"/>
  <c r="D57" i="4"/>
  <c r="X25" i="4"/>
  <c r="J25" i="4"/>
  <c r="K25" i="4" s="1"/>
  <c r="L34" i="4"/>
  <c r="D34" i="4"/>
  <c r="AB34" i="4"/>
  <c r="X51" i="4"/>
  <c r="J51" i="4"/>
  <c r="K51" i="4" s="1"/>
  <c r="P51" i="4"/>
  <c r="Z8" i="4"/>
  <c r="AA8" i="4" s="1"/>
  <c r="X8" i="4"/>
  <c r="Z14" i="4"/>
  <c r="AA14" i="4" s="1"/>
  <c r="X14" i="4"/>
  <c r="R11" i="4"/>
  <c r="S11" i="4" s="1"/>
  <c r="AB35" i="4"/>
  <c r="D35" i="4"/>
  <c r="L35" i="4"/>
  <c r="T36" i="4"/>
  <c r="AB36" i="4"/>
  <c r="D36" i="4"/>
  <c r="T42" i="4"/>
  <c r="D42" i="4"/>
  <c r="AB42" i="4"/>
  <c r="T18" i="4"/>
  <c r="D18" i="4"/>
  <c r="AB18" i="4"/>
  <c r="T34" i="4"/>
  <c r="T35" i="4"/>
  <c r="L43" i="4"/>
  <c r="D43" i="4"/>
  <c r="L22" i="4"/>
  <c r="D22" i="4"/>
  <c r="AB22" i="4"/>
  <c r="Z51" i="4"/>
  <c r="AA51" i="4" s="1"/>
  <c r="AB19" i="4"/>
  <c r="T27" i="4"/>
  <c r="L27" i="4"/>
  <c r="D31" i="4"/>
  <c r="T43" i="4"/>
  <c r="AB44" i="4"/>
  <c r="D44" i="4"/>
  <c r="K48" i="4"/>
  <c r="AB49" i="4"/>
  <c r="T7" i="4"/>
  <c r="AB7" i="4"/>
  <c r="T10" i="4"/>
  <c r="AB10" i="4"/>
  <c r="T13" i="4"/>
  <c r="AB13" i="4"/>
  <c r="T16" i="4"/>
  <c r="AB16" i="4"/>
  <c r="AB23" i="4"/>
  <c r="D23" i="4"/>
  <c r="L23" i="4"/>
  <c r="T31" i="4"/>
  <c r="AB32" i="4"/>
  <c r="D32" i="4"/>
  <c r="X37" i="4"/>
  <c r="J37" i="4"/>
  <c r="K37" i="4" s="1"/>
  <c r="K50" i="4"/>
  <c r="AB51" i="4"/>
  <c r="AB55" i="4"/>
  <c r="T60" i="4"/>
  <c r="AB60" i="4"/>
  <c r="D60" i="4"/>
  <c r="R5" i="4"/>
  <c r="S5" i="4" s="1"/>
  <c r="AB6" i="4"/>
  <c r="D6" i="4"/>
  <c r="AB9" i="4"/>
  <c r="D9" i="4"/>
  <c r="D12" i="4"/>
  <c r="AB12" i="4"/>
  <c r="D15" i="4"/>
  <c r="AB15" i="4"/>
  <c r="X21" i="4"/>
  <c r="J21" i="4"/>
  <c r="K21" i="4" s="1"/>
  <c r="L37" i="4"/>
  <c r="D37" i="4"/>
  <c r="T12" i="4"/>
  <c r="T24" i="4"/>
  <c r="D24" i="4"/>
  <c r="AB24" i="4"/>
  <c r="Z25" i="4"/>
  <c r="AA25" i="4" s="1"/>
  <c r="X27" i="4"/>
  <c r="J27" i="4"/>
  <c r="K27" i="4" s="1"/>
  <c r="R27" i="4"/>
  <c r="S27" i="4" s="1"/>
  <c r="AB33" i="4"/>
  <c r="T37" i="4"/>
  <c r="AB38" i="4"/>
  <c r="D38" i="4"/>
  <c r="AB39" i="4"/>
  <c r="T44" i="4"/>
  <c r="T45" i="4"/>
  <c r="L45" i="4"/>
  <c r="D45" i="4"/>
  <c r="K56" i="4"/>
  <c r="AB57" i="4"/>
  <c r="Z17" i="4"/>
  <c r="AA17" i="4" s="1"/>
  <c r="X17" i="4"/>
  <c r="T21" i="4"/>
  <c r="L21" i="4"/>
  <c r="P35" i="4"/>
  <c r="J35" i="4"/>
  <c r="K35" i="4" s="1"/>
  <c r="X35" i="4"/>
  <c r="R35" i="4"/>
  <c r="S35" i="4" s="1"/>
  <c r="P7" i="4"/>
  <c r="J8" i="4"/>
  <c r="K8" i="4" s="1"/>
  <c r="J14" i="4"/>
  <c r="K14" i="4" s="1"/>
  <c r="P16" i="4"/>
  <c r="J17" i="4"/>
  <c r="K17" i="4" s="1"/>
  <c r="P23" i="4"/>
  <c r="X23" i="4"/>
  <c r="J23" i="4"/>
  <c r="K23" i="4" s="1"/>
  <c r="D27" i="4"/>
  <c r="L28" i="4"/>
  <c r="AB28" i="4"/>
  <c r="D28" i="4"/>
  <c r="Z35" i="4"/>
  <c r="AA35" i="4" s="1"/>
  <c r="L46" i="4"/>
  <c r="D46" i="4"/>
  <c r="AB46" i="4"/>
  <c r="L60" i="4"/>
  <c r="P29" i="4"/>
  <c r="X29" i="4"/>
  <c r="J29" i="4"/>
  <c r="K29" i="4" s="1"/>
  <c r="AB59" i="4"/>
  <c r="D59" i="4"/>
  <c r="L59" i="4"/>
  <c r="Z5" i="4"/>
  <c r="AA5" i="4" s="1"/>
  <c r="X5" i="4"/>
  <c r="AB41" i="4"/>
  <c r="D41" i="4"/>
  <c r="L41" i="4"/>
  <c r="K38" i="4"/>
  <c r="T41" i="4"/>
  <c r="D21" i="4"/>
  <c r="X31" i="4"/>
  <c r="J31" i="4"/>
  <c r="K31" i="4" s="1"/>
  <c r="P10" i="4"/>
  <c r="P13" i="4"/>
  <c r="L40" i="4"/>
  <c r="D40" i="4"/>
  <c r="AB40" i="4"/>
  <c r="Z11" i="4"/>
  <c r="AA11" i="4" s="1"/>
  <c r="X11" i="4"/>
  <c r="J57" i="4"/>
  <c r="K57" i="4" s="1"/>
  <c r="X57" i="4"/>
  <c r="P57" i="4"/>
  <c r="R8" i="4"/>
  <c r="S8" i="4" s="1"/>
  <c r="R17" i="4"/>
  <c r="S17" i="4" s="1"/>
  <c r="AB26" i="4"/>
  <c r="D26" i="4"/>
  <c r="T6" i="4"/>
  <c r="T9" i="4"/>
  <c r="T15" i="4"/>
  <c r="T22" i="4"/>
  <c r="X19" i="4"/>
  <c r="J19" i="4"/>
  <c r="K19" i="4" s="1"/>
  <c r="R19" i="4"/>
  <c r="S19" i="4" s="1"/>
  <c r="Z21" i="4"/>
  <c r="AA21" i="4" s="1"/>
  <c r="AB25" i="4"/>
  <c r="T32" i="4"/>
  <c r="T33" i="4"/>
  <c r="L33" i="4"/>
  <c r="T38" i="4"/>
  <c r="T39" i="4"/>
  <c r="L39" i="4"/>
  <c r="X45" i="4"/>
  <c r="J45" i="4"/>
  <c r="K45" i="4" s="1"/>
  <c r="P45" i="4"/>
  <c r="AB47" i="4"/>
  <c r="D47" i="4"/>
  <c r="L47" i="4"/>
  <c r="T48" i="4"/>
  <c r="AB48" i="4"/>
  <c r="D48" i="4"/>
  <c r="L49" i="4"/>
  <c r="T49" i="4"/>
  <c r="D49" i="4"/>
  <c r="AB5" i="4"/>
  <c r="R7" i="4"/>
  <c r="S7" i="4" s="1"/>
  <c r="AB8" i="4"/>
  <c r="R10" i="4"/>
  <c r="S10" i="4" s="1"/>
  <c r="AB11" i="4"/>
  <c r="R13" i="4"/>
  <c r="S13" i="4" s="1"/>
  <c r="AB14" i="4"/>
  <c r="R16" i="4"/>
  <c r="S16" i="4" s="1"/>
  <c r="AB17" i="4"/>
  <c r="T19" i="4"/>
  <c r="AB20" i="4"/>
  <c r="D20" i="4"/>
  <c r="P25" i="4"/>
  <c r="AB29" i="4"/>
  <c r="D29" i="4"/>
  <c r="L29" i="4"/>
  <c r="R29" i="4"/>
  <c r="S29" i="4" s="1"/>
  <c r="K36" i="4"/>
  <c r="K42" i="4"/>
  <c r="T47" i="4"/>
  <c r="T51" i="4"/>
  <c r="L51" i="4"/>
  <c r="D51" i="4"/>
  <c r="R51" i="4"/>
  <c r="S51" i="4" s="1"/>
  <c r="L55" i="4"/>
  <c r="T55" i="4"/>
  <c r="D55" i="4"/>
  <c r="P43" i="4"/>
  <c r="P49" i="4"/>
  <c r="J54" i="4"/>
  <c r="K54" i="4" s="1"/>
  <c r="P55" i="4"/>
  <c r="J60" i="4"/>
  <c r="K60" i="4" s="1"/>
  <c r="R41" i="4"/>
  <c r="S41" i="4" s="1"/>
  <c r="X42" i="4"/>
  <c r="R47" i="4"/>
  <c r="S47" i="4" s="1"/>
  <c r="X48" i="4"/>
  <c r="X50" i="4"/>
  <c r="J52" i="4"/>
  <c r="K52" i="4" s="1"/>
  <c r="R53" i="4"/>
  <c r="S53" i="4" s="1"/>
  <c r="X54" i="4"/>
  <c r="X56" i="4"/>
  <c r="J58" i="4"/>
  <c r="K58" i="4" s="1"/>
  <c r="R59" i="4"/>
  <c r="S59" i="4" s="1"/>
  <c r="X60" i="4"/>
  <c r="P28" i="4"/>
  <c r="J41" i="4"/>
  <c r="K41" i="4" s="1"/>
  <c r="P52" i="4"/>
  <c r="P58" i="4"/>
  <c r="J59" i="4"/>
  <c r="K59" i="4" s="1"/>
  <c r="P60" i="4"/>
  <c r="P9" i="4"/>
  <c r="P12" i="4"/>
  <c r="P15" i="4"/>
  <c r="P22" i="4"/>
  <c r="P30" i="4"/>
  <c r="P34" i="4"/>
  <c r="P42" i="4"/>
  <c r="R26" i="4"/>
  <c r="S26" i="4" s="1"/>
  <c r="R32" i="4"/>
  <c r="S32" i="4" s="1"/>
  <c r="R38" i="4"/>
  <c r="S38" i="4" s="1"/>
  <c r="X41" i="4"/>
  <c r="J43" i="4"/>
  <c r="K43" i="4" s="1"/>
  <c r="R44" i="4"/>
  <c r="S44" i="4" s="1"/>
  <c r="X47" i="4"/>
  <c r="J49" i="4"/>
  <c r="K49" i="4" s="1"/>
  <c r="R50" i="4"/>
  <c r="S50" i="4" s="1"/>
  <c r="D52" i="4"/>
  <c r="X53" i="4"/>
  <c r="J55" i="4"/>
  <c r="K55" i="4" s="1"/>
  <c r="R56" i="4"/>
  <c r="S56" i="4" s="1"/>
  <c r="D58" i="4"/>
  <c r="X59" i="4"/>
  <c r="AB50" i="4"/>
  <c r="D50" i="4"/>
  <c r="AB56" i="4"/>
  <c r="D56" i="4"/>
  <c r="AB52" i="4"/>
  <c r="AB58" i="4"/>
  <c r="P6" i="4"/>
  <c r="P18" i="4"/>
  <c r="P24" i="4"/>
  <c r="P36" i="4"/>
  <c r="P40" i="4"/>
  <c r="P46" i="4"/>
  <c r="J47" i="4"/>
  <c r="K47" i="4" s="1"/>
  <c r="P48" i="4"/>
  <c r="J53" i="4"/>
  <c r="K53" i="4" s="1"/>
  <c r="P54" i="4"/>
  <c r="R20" i="4"/>
  <c r="S20" i="4" s="1"/>
  <c r="R22" i="4"/>
  <c r="S22" i="4" s="1"/>
  <c r="R28" i="4"/>
  <c r="S28" i="4" s="1"/>
  <c r="R34" i="4"/>
  <c r="S34" i="4" s="1"/>
  <c r="R40" i="4"/>
  <c r="S40" i="4" s="1"/>
  <c r="R46" i="4"/>
  <c r="S46" i="4" s="1"/>
  <c r="R52" i="4"/>
  <c r="S52" i="4" s="1"/>
  <c r="R58" i="4"/>
  <c r="S58" i="4" s="1"/>
  <c r="R60" i="4"/>
  <c r="S60" i="4" s="1"/>
  <c r="R4" i="4"/>
  <c r="S4" i="4" s="1"/>
  <c r="J4" i="4"/>
  <c r="X4" i="4"/>
  <c r="P4" i="4"/>
  <c r="AA4" i="4"/>
  <c r="AB4" i="4"/>
  <c r="K4" i="4"/>
  <c r="L4" i="4"/>
  <c r="T4" i="4"/>
  <c r="D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L1" authorId="0" shapeId="0" xr:uid="{00000000-0006-0000-0100-000001000000}">
      <text>
        <r>
          <rPr>
            <sz val="10"/>
            <color indexed="81"/>
            <rFont val="ＭＳ Ｐゴシック"/>
            <family val="3"/>
            <charset val="128"/>
          </rPr>
          <t>構成率を表示する階層</t>
        </r>
      </text>
    </comment>
    <comment ref="T1" authorId="0" shapeId="0" xr:uid="{00000000-0006-0000-0100-000002000000}">
      <text>
        <r>
          <rPr>
            <sz val="10"/>
            <color indexed="81"/>
            <rFont val="ＭＳ Ｐゴシック"/>
            <family val="3"/>
            <charset val="128"/>
          </rPr>
          <t>構成率を表示する階層</t>
        </r>
      </text>
    </comment>
    <comment ref="AB1" authorId="0" shapeId="0" xr:uid="{00000000-0006-0000-0100-000003000000}">
      <text>
        <r>
          <rPr>
            <sz val="10"/>
            <color indexed="81"/>
            <rFont val="ＭＳ Ｐゴシック"/>
            <family val="3"/>
            <charset val="128"/>
          </rPr>
          <t>構成率を表示する階層</t>
        </r>
      </text>
    </comment>
  </commentList>
</comments>
</file>

<file path=xl/sharedStrings.xml><?xml version="1.0" encoding="utf-8"?>
<sst xmlns="http://schemas.openxmlformats.org/spreadsheetml/2006/main" count="220" uniqueCount="85">
  <si>
    <t>業者名</t>
    <rPh sb="0" eb="2">
      <t>ギョウシャ</t>
    </rPh>
    <rPh sb="2" eb="3">
      <t>メイ</t>
    </rPh>
    <phoneticPr fontId="3"/>
  </si>
  <si>
    <t>摘要</t>
    <rPh sb="0" eb="2">
      <t>テキヨウ</t>
    </rPh>
    <phoneticPr fontId="3"/>
  </si>
  <si>
    <t>当り数量</t>
    <rPh sb="0" eb="1">
      <t>アタ</t>
    </rPh>
    <rPh sb="2" eb="4">
      <t>スウリョウ</t>
    </rPh>
    <phoneticPr fontId="3"/>
  </si>
  <si>
    <t>帳票</t>
    <rPh sb="0" eb="2">
      <t>チョウヒョウ</t>
    </rPh>
    <phoneticPr fontId="3"/>
  </si>
  <si>
    <t>工種・種別・細別</t>
    <rPh sb="0" eb="2">
      <t>コウシュ</t>
    </rPh>
    <rPh sb="3" eb="5">
      <t>シュベツ</t>
    </rPh>
    <rPh sb="6" eb="8">
      <t>サイベツ</t>
    </rPh>
    <phoneticPr fontId="3"/>
  </si>
  <si>
    <t>規格</t>
    <rPh sb="0" eb="2">
      <t>キカク</t>
    </rPh>
    <phoneticPr fontId="3"/>
  </si>
  <si>
    <t>単位</t>
    <rPh sb="0" eb="2">
      <t>タンイ</t>
    </rPh>
    <phoneticPr fontId="3"/>
  </si>
  <si>
    <t>予算 #02</t>
    <rPh sb="0" eb="2">
      <t>ヨサン</t>
    </rPh>
    <phoneticPr fontId="3"/>
  </si>
  <si>
    <t>予算 #03</t>
    <rPh sb="0" eb="2">
      <t>ヨサン</t>
    </rPh>
    <phoneticPr fontId="3"/>
  </si>
  <si>
    <t>備考</t>
    <rPh sb="0" eb="2">
      <t>ビコウ</t>
    </rPh>
    <phoneticPr fontId="3"/>
  </si>
  <si>
    <t>数量</t>
    <rPh sb="0" eb="2">
      <t>スウリョウ</t>
    </rPh>
    <phoneticPr fontId="3"/>
  </si>
  <si>
    <t>単価</t>
    <rPh sb="0" eb="2">
      <t>タンカ</t>
    </rPh>
    <phoneticPr fontId="3"/>
  </si>
  <si>
    <t>金額</t>
    <rPh sb="0" eb="2">
      <t>キンガク</t>
    </rPh>
    <phoneticPr fontId="3"/>
  </si>
  <si>
    <t>階層</t>
    <rPh sb="0" eb="2">
      <t>カイソウ</t>
    </rPh>
    <phoneticPr fontId="3"/>
  </si>
  <si>
    <t>構成率</t>
    <rPh sb="0" eb="3">
      <t>コウセイリツ</t>
    </rPh>
    <phoneticPr fontId="3"/>
  </si>
  <si>
    <t>工事価格</t>
    <rPh sb="0" eb="2">
      <t>コウジ</t>
    </rPh>
    <rPh sb="2" eb="4">
      <t>カカク</t>
    </rPh>
    <phoneticPr fontId="3"/>
  </si>
  <si>
    <t>ユーザー
コード</t>
    <phoneticPr fontId="3"/>
  </si>
  <si>
    <t>原価工種コード</t>
    <rPh sb="0" eb="2">
      <t>ゲンカ</t>
    </rPh>
    <rPh sb="2" eb="4">
      <t>コウシュ</t>
    </rPh>
    <phoneticPr fontId="3"/>
  </si>
  <si>
    <t>総括</t>
  </si>
  <si>
    <t>式</t>
  </si>
  <si>
    <t>内訳書</t>
  </si>
  <si>
    <t>路盤工　不陸整正工</t>
  </si>
  <si>
    <t>m2</t>
  </si>
  <si>
    <t>15号内訳書</t>
  </si>
  <si>
    <t>内訳代価</t>
  </si>
  <si>
    <t>路盤不陸整正工</t>
  </si>
  <si>
    <t>16号内訳書</t>
  </si>
  <si>
    <t>材料費</t>
  </si>
  <si>
    <t>RC-40</t>
  </si>
  <si>
    <t>m3</t>
  </si>
  <si>
    <t>軽油</t>
  </si>
  <si>
    <t>リットル</t>
  </si>
  <si>
    <t>雑材</t>
  </si>
  <si>
    <t>労務費</t>
  </si>
  <si>
    <t>土工</t>
  </si>
  <si>
    <t>人</t>
  </si>
  <si>
    <t>機械費</t>
  </si>
  <si>
    <t>グレーター</t>
  </si>
  <si>
    <t>台</t>
  </si>
  <si>
    <t>タンデムローラ4t</t>
  </si>
  <si>
    <t>タイヤローラ</t>
  </si>
  <si>
    <t>タイヤショベル</t>
  </si>
  <si>
    <t>ミニバックホウ</t>
  </si>
  <si>
    <t>散水車4t</t>
  </si>
  <si>
    <t>小物機械</t>
  </si>
  <si>
    <t>運搬費</t>
  </si>
  <si>
    <t>4tダンプ</t>
  </si>
  <si>
    <t>2tダンプ</t>
  </si>
  <si>
    <t>WP</t>
  </si>
  <si>
    <t>表層工　　開粒度</t>
  </si>
  <si>
    <t>17号内訳書</t>
  </si>
  <si>
    <t>表層工　開粒度</t>
  </si>
  <si>
    <t>18号内訳書</t>
  </si>
  <si>
    <t>開粒度(13) t=50</t>
  </si>
  <si>
    <t>ｔ</t>
  </si>
  <si>
    <t>フィニッシャー6m</t>
  </si>
  <si>
    <t>タイヤショベル0.5m3</t>
  </si>
  <si>
    <t>ミニバックホウ0.15m3</t>
  </si>
  <si>
    <t>重機運搬費</t>
  </si>
  <si>
    <t>回</t>
  </si>
  <si>
    <t>19号内訳書</t>
  </si>
  <si>
    <t>20号内訳書</t>
  </si>
  <si>
    <t>グレーダー</t>
  </si>
  <si>
    <t>4tローラ、ミニバックホウ</t>
  </si>
  <si>
    <t>散水車</t>
  </si>
  <si>
    <t>フィニッシャー</t>
  </si>
  <si>
    <t>雑工</t>
  </si>
  <si>
    <t>21号内訳書</t>
  </si>
  <si>
    <t>雑工　コアー採取穴埋め清掃</t>
  </si>
  <si>
    <t>22号内訳書</t>
  </si>
  <si>
    <t>外注費</t>
  </si>
  <si>
    <t>コアーカッター</t>
  </si>
  <si>
    <t>諸経費</t>
  </si>
  <si>
    <t>日</t>
  </si>
  <si>
    <t>23号内訳書</t>
  </si>
  <si>
    <t>24号内訳書</t>
  </si>
  <si>
    <t>法定福利費</t>
  </si>
  <si>
    <t>25号内訳書</t>
  </si>
  <si>
    <t>26号内訳書</t>
  </si>
  <si>
    <t>区画線工</t>
  </si>
  <si>
    <t>ｍ</t>
  </si>
  <si>
    <t>27号内訳書</t>
  </si>
  <si>
    <t>28号内訳書</t>
  </si>
  <si>
    <t>予算3</t>
    <phoneticPr fontId="3"/>
  </si>
  <si>
    <t>県単つくばエクスプレス沿線整備工事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</si>
</sst>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%"/>
    <numFmt numFmtId="177" formatCode="0.00_ "/>
    <numFmt numFmtId="178" formatCode="#,##0.000_ ;[Red]\-#,##0.000\ "/>
    <numFmt numFmtId="179" formatCode="#,##0.00_ ;[Red]\-#,##0.00\ "/>
    <numFmt numFmtId="180" formatCode="#,##0_ ;[Red]\-#,##0\ "/>
  </numFmts>
  <fonts count="16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indexed="12"/>
      <name val="ＭＳ Ｐゴシック"/>
      <family val="3"/>
      <charset val="128"/>
    </font>
    <font>
      <sz val="12"/>
      <name val="ＭＳ Ｐゴシック"/>
      <family val="3"/>
      <charset val="128"/>
    </font>
    <font>
      <sz val="10"/>
      <color indexed="12"/>
      <name val="ＭＳ Ｐゴシック"/>
      <family val="3"/>
      <charset val="128"/>
    </font>
    <font>
      <sz val="10"/>
      <color indexed="8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7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9" fontId="2" fillId="0" borderId="0" applyFont="0" applyFill="0" applyBorder="0" applyAlignment="0" applyProtection="0"/>
    <xf numFmtId="38" fontId="2" fillId="0" borderId="0" applyFont="0" applyFill="0" applyBorder="0" applyAlignment="0" applyProtection="0"/>
    <xf numFmtId="0" fontId="2" fillId="0" borderId="0"/>
    <xf numFmtId="0" fontId="2" fillId="0" borderId="0"/>
  </cellStyleXfs>
  <cellXfs count="60">
    <xf numFmtId="0" fontId="0" fillId="0" borderId="0" xfId="0"/>
    <xf numFmtId="0" fontId="4" fillId="0" borderId="1" xfId="3" applyFont="1" applyBorder="1" applyAlignment="1">
      <alignment horizontal="left"/>
    </xf>
    <xf numFmtId="0" fontId="4" fillId="0" borderId="0" xfId="3" applyFont="1" applyAlignment="1">
      <alignment horizontal="left"/>
    </xf>
    <xf numFmtId="0" fontId="5" fillId="0" borderId="0" xfId="4" applyFont="1"/>
    <xf numFmtId="0" fontId="6" fillId="0" borderId="0" xfId="4" applyFont="1"/>
    <xf numFmtId="0" fontId="7" fillId="0" borderId="0" xfId="1" applyNumberFormat="1" applyFont="1" applyAlignment="1"/>
    <xf numFmtId="0" fontId="8" fillId="0" borderId="0" xfId="4" applyFont="1"/>
    <xf numFmtId="0" fontId="5" fillId="2" borderId="0" xfId="4" applyFont="1" applyFill="1"/>
    <xf numFmtId="38" fontId="7" fillId="0" borderId="1" xfId="2" applyFont="1" applyFill="1" applyBorder="1" applyAlignment="1">
      <alignment shrinkToFit="1"/>
    </xf>
    <xf numFmtId="0" fontId="9" fillId="2" borderId="0" xfId="4" applyFont="1" applyFill="1" applyAlignment="1">
      <alignment shrinkToFit="1"/>
    </xf>
    <xf numFmtId="0" fontId="9" fillId="0" borderId="0" xfId="4" applyFont="1" applyAlignment="1">
      <alignment shrinkToFit="1"/>
    </xf>
    <xf numFmtId="0" fontId="11" fillId="0" borderId="2" xfId="2" applyNumberFormat="1" applyFont="1" applyBorder="1" applyAlignment="1">
      <alignment horizontal="center" shrinkToFit="1"/>
    </xf>
    <xf numFmtId="0" fontId="7" fillId="3" borderId="0" xfId="1" applyNumberFormat="1" applyFont="1" applyFill="1" applyAlignment="1"/>
    <xf numFmtId="38" fontId="7" fillId="4" borderId="1" xfId="2" applyFont="1" applyFill="1" applyBorder="1" applyAlignment="1"/>
    <xf numFmtId="0" fontId="12" fillId="0" borderId="0" xfId="4" applyFont="1"/>
    <xf numFmtId="0" fontId="12" fillId="0" borderId="0" xfId="4" applyFont="1" applyAlignment="1">
      <alignment horizontal="center"/>
    </xf>
    <xf numFmtId="0" fontId="12" fillId="0" borderId="0" xfId="4" applyFont="1" applyAlignment="1">
      <alignment horizontal="right"/>
    </xf>
    <xf numFmtId="176" fontId="12" fillId="0" borderId="0" xfId="1" applyNumberFormat="1" applyFont="1" applyAlignment="1"/>
    <xf numFmtId="176" fontId="12" fillId="0" borderId="0" xfId="1" applyNumberFormat="1" applyFont="1" applyBorder="1" applyAlignment="1">
      <alignment horizontal="center"/>
    </xf>
    <xf numFmtId="176" fontId="12" fillId="0" borderId="0" xfId="1" applyNumberFormat="1" applyFont="1" applyBorder="1" applyAlignment="1"/>
    <xf numFmtId="0" fontId="6" fillId="5" borderId="3" xfId="4" applyFont="1" applyFill="1" applyBorder="1" applyAlignment="1">
      <alignment horizontal="center" vertical="center" wrapText="1"/>
    </xf>
    <xf numFmtId="0" fontId="12" fillId="5" borderId="3" xfId="4" applyFont="1" applyFill="1" applyBorder="1" applyAlignment="1">
      <alignment horizontal="center" vertical="center"/>
    </xf>
    <xf numFmtId="0" fontId="6" fillId="5" borderId="4" xfId="4" applyFont="1" applyFill="1" applyBorder="1" applyAlignment="1">
      <alignment horizontal="center" vertical="center"/>
    </xf>
    <xf numFmtId="0" fontId="12" fillId="5" borderId="4" xfId="4" applyFont="1" applyFill="1" applyBorder="1" applyAlignment="1">
      <alignment horizontal="center" vertical="center"/>
    </xf>
    <xf numFmtId="177" fontId="12" fillId="5" borderId="5" xfId="4" applyNumberFormat="1" applyFont="1" applyFill="1" applyBorder="1" applyAlignment="1">
      <alignment horizontal="center" vertical="center" shrinkToFit="1"/>
    </xf>
    <xf numFmtId="38" fontId="12" fillId="5" borderId="6" xfId="2" applyFont="1" applyFill="1" applyBorder="1" applyAlignment="1">
      <alignment horizontal="center" vertical="center" shrinkToFit="1"/>
    </xf>
    <xf numFmtId="177" fontId="12" fillId="5" borderId="7" xfId="4" applyNumberFormat="1" applyFont="1" applyFill="1" applyBorder="1" applyAlignment="1">
      <alignment horizontal="center" vertical="center" shrinkToFit="1"/>
    </xf>
    <xf numFmtId="177" fontId="12" fillId="5" borderId="8" xfId="4" applyNumberFormat="1" applyFont="1" applyFill="1" applyBorder="1" applyAlignment="1">
      <alignment horizontal="center" vertical="center" shrinkToFit="1"/>
    </xf>
    <xf numFmtId="177" fontId="13" fillId="5" borderId="6" xfId="4" applyNumberFormat="1" applyFont="1" applyFill="1" applyBorder="1" applyAlignment="1">
      <alignment horizontal="center" vertical="center" shrinkToFit="1"/>
    </xf>
    <xf numFmtId="177" fontId="13" fillId="5" borderId="9" xfId="4" applyNumberFormat="1" applyFont="1" applyFill="1" applyBorder="1" applyAlignment="1">
      <alignment horizontal="center" vertical="center" shrinkToFit="1"/>
    </xf>
    <xf numFmtId="177" fontId="14" fillId="5" borderId="5" xfId="4" applyNumberFormat="1" applyFont="1" applyFill="1" applyBorder="1" applyAlignment="1">
      <alignment horizontal="center" vertical="center" shrinkToFit="1"/>
    </xf>
    <xf numFmtId="38" fontId="14" fillId="5" borderId="6" xfId="2" applyFont="1" applyFill="1" applyBorder="1" applyAlignment="1">
      <alignment horizontal="center" vertical="center" shrinkToFit="1"/>
    </xf>
    <xf numFmtId="177" fontId="14" fillId="5" borderId="7" xfId="4" applyNumberFormat="1" applyFont="1" applyFill="1" applyBorder="1" applyAlignment="1">
      <alignment horizontal="center" vertical="center" shrinkToFit="1"/>
    </xf>
    <xf numFmtId="177" fontId="14" fillId="5" borderId="10" xfId="4" applyNumberFormat="1" applyFont="1" applyFill="1" applyBorder="1" applyAlignment="1">
      <alignment horizontal="center" vertical="center" shrinkToFit="1"/>
    </xf>
    <xf numFmtId="177" fontId="14" fillId="5" borderId="8" xfId="4" applyNumberFormat="1" applyFont="1" applyFill="1" applyBorder="1" applyAlignment="1">
      <alignment horizontal="center" vertical="center" shrinkToFit="1"/>
    </xf>
    <xf numFmtId="0" fontId="14" fillId="0" borderId="0" xfId="4" applyFont="1" applyAlignment="1">
      <alignment horizontal="center"/>
    </xf>
    <xf numFmtId="0" fontId="12" fillId="0" borderId="11" xfId="4" applyFont="1" applyBorder="1"/>
    <xf numFmtId="0" fontId="12" fillId="0" borderId="12" xfId="3" applyFont="1" applyBorder="1" applyAlignment="1">
      <alignment shrinkToFit="1"/>
    </xf>
    <xf numFmtId="0" fontId="12" fillId="0" borderId="12" xfId="3" applyFont="1" applyBorder="1" applyAlignment="1">
      <alignment horizontal="center" shrinkToFit="1"/>
    </xf>
    <xf numFmtId="0" fontId="12" fillId="0" borderId="13" xfId="2" applyNumberFormat="1" applyFont="1" applyBorder="1" applyAlignment="1">
      <alignment shrinkToFit="1"/>
    </xf>
    <xf numFmtId="0" fontId="12" fillId="0" borderId="14" xfId="1" applyNumberFormat="1" applyFont="1" applyBorder="1" applyAlignment="1">
      <alignment shrinkToFit="1"/>
    </xf>
    <xf numFmtId="0" fontId="12" fillId="0" borderId="15" xfId="1" applyNumberFormat="1" applyFont="1" applyBorder="1" applyAlignment="1">
      <alignment shrinkToFit="1"/>
    </xf>
    <xf numFmtId="0" fontId="12" fillId="0" borderId="16" xfId="4" applyFont="1" applyBorder="1" applyAlignment="1">
      <alignment shrinkToFit="1"/>
    </xf>
    <xf numFmtId="38" fontId="12" fillId="0" borderId="12" xfId="2" applyFont="1" applyBorder="1" applyAlignment="1">
      <alignment shrinkToFit="1"/>
    </xf>
    <xf numFmtId="0" fontId="12" fillId="2" borderId="0" xfId="4" applyFont="1" applyFill="1"/>
    <xf numFmtId="0" fontId="12" fillId="2" borderId="0" xfId="4" applyFont="1" applyFill="1" applyAlignment="1">
      <alignment horizontal="center"/>
    </xf>
    <xf numFmtId="176" fontId="12" fillId="0" borderId="14" xfId="1" applyNumberFormat="1" applyFont="1" applyBorder="1" applyAlignment="1">
      <alignment shrinkToFit="1"/>
    </xf>
    <xf numFmtId="0" fontId="1" fillId="0" borderId="12" xfId="3" applyFont="1" applyBorder="1" applyAlignment="1">
      <alignment shrinkToFit="1"/>
    </xf>
    <xf numFmtId="38" fontId="12" fillId="0" borderId="14" xfId="2" applyFont="1" applyBorder="1" applyAlignment="1">
      <alignment shrinkToFit="1"/>
    </xf>
    <xf numFmtId="0" fontId="15" fillId="5" borderId="3" xfId="4" applyFont="1" applyFill="1" applyBorder="1" applyAlignment="1">
      <alignment horizontal="center" vertical="center" wrapText="1"/>
    </xf>
    <xf numFmtId="178" fontId="12" fillId="0" borderId="16" xfId="2" applyNumberFormat="1" applyFont="1" applyBorder="1" applyAlignment="1">
      <alignment shrinkToFit="1"/>
    </xf>
    <xf numFmtId="49" fontId="0" fillId="0" borderId="0" xfId="0" applyNumberFormat="1"/>
    <xf numFmtId="0" fontId="0" fillId="0" borderId="0" xfId="0" quotePrefix="1"/>
    <xf numFmtId="0" fontId="12" fillId="5" borderId="17" xfId="4" applyFont="1" applyFill="1" applyBorder="1" applyAlignment="1">
      <alignment horizontal="center" vertical="center" shrinkToFit="1"/>
    </xf>
    <xf numFmtId="0" fontId="14" fillId="5" borderId="18" xfId="4" applyFont="1" applyFill="1" applyBorder="1" applyAlignment="1">
      <alignment horizontal="center" vertical="center" shrinkToFit="1"/>
    </xf>
    <xf numFmtId="177" fontId="12" fillId="5" borderId="19" xfId="4" applyNumberFormat="1" applyFont="1" applyFill="1" applyBorder="1" applyAlignment="1">
      <alignment horizontal="center" vertical="center"/>
    </xf>
    <xf numFmtId="177" fontId="12" fillId="5" borderId="20" xfId="4" applyNumberFormat="1" applyFont="1" applyFill="1" applyBorder="1" applyAlignment="1">
      <alignment horizontal="center" vertical="center"/>
    </xf>
    <xf numFmtId="177" fontId="12" fillId="5" borderId="21" xfId="4" applyNumberFormat="1" applyFont="1" applyFill="1" applyBorder="1" applyAlignment="1">
      <alignment horizontal="center" vertical="center"/>
    </xf>
    <xf numFmtId="179" fontId="0" fillId="0" borderId="0" xfId="0" applyNumberFormat="1"/>
    <xf numFmtId="180" fontId="0" fillId="0" borderId="0" xfId="0" applyNumberFormat="1"/>
  </cellXfs>
  <cellStyles count="5">
    <cellStyle name="パーセント" xfId="1" builtinId="5"/>
    <cellStyle name="桁区切り" xfId="2" builtinId="6"/>
    <cellStyle name="標準" xfId="0" builtinId="0"/>
    <cellStyle name="標準_実行予算書様式提案_要素変更済2" xfId="3" xr:uid="{00000000-0005-0000-0000-000003000000}"/>
    <cellStyle name="標準_人形町EV CMS" xfId="4" xr:uid="{00000000-0005-0000-0000-000004000000}"/>
  </cellStyles>
  <dxfs count="5">
    <dxf>
      <fill>
        <patternFill>
          <bgColor rgb="FFFFFF99"/>
        </patternFill>
      </fill>
    </dxf>
    <dxf>
      <fill>
        <patternFill>
          <bgColor indexed="41"/>
        </patternFill>
      </fill>
    </dxf>
    <dxf>
      <fill>
        <patternFill>
          <bgColor indexed="62"/>
        </patternFill>
      </fill>
    </dxf>
    <dxf>
      <fill>
        <patternFill>
          <bgColor rgb="FFFFCC66"/>
        </patternFill>
      </fill>
    </dxf>
    <dxf>
      <font>
        <color auto="1"/>
      </font>
      <fill>
        <patternFill>
          <bgColor rgb="FF66CC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CCCCFF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FFCC66"/>
      <rgbColor rgb="00339966"/>
      <rgbColor rgb="0099FF66"/>
      <rgbColor rgb="00333300"/>
      <rgbColor rgb="00993300"/>
      <rgbColor rgb="00993366"/>
      <rgbColor rgb="00FFCCCC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57"/>
  <sheetViews>
    <sheetView tabSelected="1" workbookViewId="0">
      <selection activeCell="E1" sqref="E1"/>
    </sheetView>
  </sheetViews>
  <sheetFormatPr defaultColWidth="8.875" defaultRowHeight="13.5" x14ac:dyDescent="0.15"/>
  <cols>
    <col min="2" max="7" width="8.875" style="51"/>
    <col min="12" max="13" width="8.875" style="51"/>
    <col min="18" max="19" width="8.875" style="51"/>
    <col min="24" max="26" width="8.875" style="51"/>
  </cols>
  <sheetData>
    <row r="1" spans="1:15" x14ac:dyDescent="0.15">
      <c r="A1">
        <v>0</v>
      </c>
      <c r="D1" s="51" t="s">
        <v>18</v>
      </c>
      <c r="E1" s="51" t="s">
        <v>84</v>
      </c>
      <c r="G1" s="51" t="s">
        <v>19</v>
      </c>
      <c r="H1">
        <v>1</v>
      </c>
      <c r="I1" s="58">
        <v>12597540</v>
      </c>
      <c r="J1" s="59">
        <v>12597540</v>
      </c>
      <c r="K1">
        <v>1</v>
      </c>
      <c r="O1" s="52"/>
    </row>
    <row r="2" spans="1:15" x14ac:dyDescent="0.15">
      <c r="A2">
        <v>1</v>
      </c>
      <c r="D2" s="51" t="s">
        <v>20</v>
      </c>
      <c r="E2" s="51" t="s">
        <v>21</v>
      </c>
      <c r="G2" s="51" t="s">
        <v>22</v>
      </c>
      <c r="H2">
        <v>5780</v>
      </c>
      <c r="I2" s="58">
        <v>225</v>
      </c>
      <c r="J2" s="59">
        <v>1300500</v>
      </c>
      <c r="K2">
        <v>5780</v>
      </c>
      <c r="M2" s="51" t="s">
        <v>23</v>
      </c>
      <c r="O2" s="52"/>
    </row>
    <row r="3" spans="1:15" x14ac:dyDescent="0.15">
      <c r="A3">
        <v>2</v>
      </c>
      <c r="D3" s="51" t="s">
        <v>24</v>
      </c>
      <c r="E3" s="51" t="s">
        <v>25</v>
      </c>
      <c r="G3" s="51" t="s">
        <v>22</v>
      </c>
      <c r="H3">
        <v>5780</v>
      </c>
      <c r="I3" s="58">
        <v>225</v>
      </c>
      <c r="J3" s="59">
        <v>1300500</v>
      </c>
      <c r="K3">
        <v>5780</v>
      </c>
      <c r="M3" s="51" t="s">
        <v>26</v>
      </c>
      <c r="O3" s="52"/>
    </row>
    <row r="4" spans="1:15" x14ac:dyDescent="0.15">
      <c r="A4">
        <v>3</v>
      </c>
      <c r="D4" s="51" t="s">
        <v>27</v>
      </c>
      <c r="E4" s="51" t="s">
        <v>28</v>
      </c>
      <c r="G4" s="51" t="s">
        <v>29</v>
      </c>
      <c r="H4">
        <v>150</v>
      </c>
      <c r="I4" s="58">
        <v>1600</v>
      </c>
      <c r="J4" s="59">
        <v>240000</v>
      </c>
      <c r="K4">
        <v>1</v>
      </c>
      <c r="O4" s="52"/>
    </row>
    <row r="5" spans="1:15" x14ac:dyDescent="0.15">
      <c r="A5">
        <v>3</v>
      </c>
      <c r="D5" s="51" t="s">
        <v>27</v>
      </c>
      <c r="E5" s="51" t="s">
        <v>30</v>
      </c>
      <c r="G5" s="51" t="s">
        <v>31</v>
      </c>
      <c r="H5">
        <v>300</v>
      </c>
      <c r="I5" s="58">
        <v>160</v>
      </c>
      <c r="J5" s="59">
        <v>48000</v>
      </c>
      <c r="K5">
        <v>1</v>
      </c>
      <c r="O5" s="52"/>
    </row>
    <row r="6" spans="1:15" x14ac:dyDescent="0.15">
      <c r="A6">
        <v>3</v>
      </c>
      <c r="D6" s="51" t="s">
        <v>27</v>
      </c>
      <c r="E6" s="51" t="s">
        <v>32</v>
      </c>
      <c r="G6" s="51" t="s">
        <v>19</v>
      </c>
      <c r="H6">
        <v>1</v>
      </c>
      <c r="I6" s="58">
        <v>12200</v>
      </c>
      <c r="J6" s="59">
        <v>12200</v>
      </c>
      <c r="K6">
        <v>1</v>
      </c>
      <c r="O6" s="52"/>
    </row>
    <row r="7" spans="1:15" x14ac:dyDescent="0.15">
      <c r="A7">
        <v>3</v>
      </c>
      <c r="D7" s="51" t="s">
        <v>33</v>
      </c>
      <c r="E7" s="51" t="s">
        <v>34</v>
      </c>
      <c r="G7" s="51" t="s">
        <v>35</v>
      </c>
      <c r="H7">
        <v>28</v>
      </c>
      <c r="I7" s="58">
        <v>25000</v>
      </c>
      <c r="J7" s="59">
        <v>700000</v>
      </c>
      <c r="K7">
        <v>1</v>
      </c>
      <c r="O7" s="52"/>
    </row>
    <row r="8" spans="1:15" x14ac:dyDescent="0.15">
      <c r="A8">
        <v>3</v>
      </c>
      <c r="D8" s="51" t="s">
        <v>36</v>
      </c>
      <c r="E8" s="51" t="s">
        <v>37</v>
      </c>
      <c r="G8" s="51" t="s">
        <v>38</v>
      </c>
      <c r="H8">
        <v>4</v>
      </c>
      <c r="I8" s="58">
        <v>15000</v>
      </c>
      <c r="J8" s="59">
        <v>60000</v>
      </c>
      <c r="K8">
        <v>1</v>
      </c>
      <c r="O8" s="52"/>
    </row>
    <row r="9" spans="1:15" x14ac:dyDescent="0.15">
      <c r="A9">
        <v>3</v>
      </c>
      <c r="D9" s="51" t="s">
        <v>36</v>
      </c>
      <c r="E9" s="51" t="s">
        <v>39</v>
      </c>
      <c r="G9" s="51" t="s">
        <v>38</v>
      </c>
      <c r="H9">
        <v>3</v>
      </c>
      <c r="I9" s="58">
        <v>7000</v>
      </c>
      <c r="J9" s="59">
        <v>21000</v>
      </c>
      <c r="K9">
        <v>1</v>
      </c>
      <c r="O9" s="52"/>
    </row>
    <row r="10" spans="1:15" x14ac:dyDescent="0.15">
      <c r="A10">
        <v>3</v>
      </c>
      <c r="D10" s="51" t="s">
        <v>36</v>
      </c>
      <c r="E10" s="51" t="s">
        <v>40</v>
      </c>
      <c r="G10" s="51" t="s">
        <v>38</v>
      </c>
      <c r="H10">
        <v>4</v>
      </c>
      <c r="I10" s="58">
        <v>8000</v>
      </c>
      <c r="J10" s="59">
        <v>32000</v>
      </c>
      <c r="K10">
        <v>1</v>
      </c>
      <c r="O10" s="52"/>
    </row>
    <row r="11" spans="1:15" x14ac:dyDescent="0.15">
      <c r="A11">
        <v>3</v>
      </c>
      <c r="D11" s="51" t="s">
        <v>36</v>
      </c>
      <c r="E11" s="51" t="s">
        <v>41</v>
      </c>
      <c r="G11" s="51" t="s">
        <v>38</v>
      </c>
      <c r="H11">
        <v>4</v>
      </c>
      <c r="I11" s="58">
        <v>6000</v>
      </c>
      <c r="J11" s="59">
        <v>24000</v>
      </c>
      <c r="K11">
        <v>1</v>
      </c>
      <c r="O11" s="52"/>
    </row>
    <row r="12" spans="1:15" x14ac:dyDescent="0.15">
      <c r="A12">
        <v>3</v>
      </c>
      <c r="D12" s="51" t="s">
        <v>36</v>
      </c>
      <c r="E12" s="51" t="s">
        <v>42</v>
      </c>
      <c r="G12" s="51" t="s">
        <v>38</v>
      </c>
      <c r="H12">
        <v>3</v>
      </c>
      <c r="I12" s="58">
        <v>8000</v>
      </c>
      <c r="J12" s="59">
        <v>24000</v>
      </c>
      <c r="K12">
        <v>1</v>
      </c>
      <c r="O12" s="52"/>
    </row>
    <row r="13" spans="1:15" x14ac:dyDescent="0.15">
      <c r="A13">
        <v>3</v>
      </c>
      <c r="D13" s="51" t="s">
        <v>36</v>
      </c>
      <c r="E13" s="51" t="s">
        <v>43</v>
      </c>
      <c r="G13" s="51" t="s">
        <v>38</v>
      </c>
      <c r="H13">
        <v>3</v>
      </c>
      <c r="I13" s="58">
        <v>15000</v>
      </c>
      <c r="J13" s="59">
        <v>45000</v>
      </c>
      <c r="K13">
        <v>1</v>
      </c>
      <c r="O13" s="52"/>
    </row>
    <row r="14" spans="1:15" x14ac:dyDescent="0.15">
      <c r="A14">
        <v>3</v>
      </c>
      <c r="D14" s="51" t="s">
        <v>36</v>
      </c>
      <c r="E14" s="51" t="s">
        <v>44</v>
      </c>
      <c r="G14" s="51" t="s">
        <v>38</v>
      </c>
      <c r="H14">
        <v>6</v>
      </c>
      <c r="I14" s="58">
        <v>3000</v>
      </c>
      <c r="J14" s="59">
        <v>18000</v>
      </c>
      <c r="K14">
        <v>1</v>
      </c>
      <c r="O14" s="52"/>
    </row>
    <row r="15" spans="1:15" x14ac:dyDescent="0.15">
      <c r="A15">
        <v>3</v>
      </c>
      <c r="D15" s="51" t="s">
        <v>45</v>
      </c>
      <c r="E15" s="51" t="s">
        <v>46</v>
      </c>
      <c r="G15" s="51" t="s">
        <v>38</v>
      </c>
      <c r="H15">
        <v>3</v>
      </c>
      <c r="I15" s="58">
        <v>10000</v>
      </c>
      <c r="J15" s="59">
        <v>30000</v>
      </c>
      <c r="K15">
        <v>1</v>
      </c>
      <c r="O15" s="52"/>
    </row>
    <row r="16" spans="1:15" x14ac:dyDescent="0.15">
      <c r="A16">
        <v>3</v>
      </c>
      <c r="D16" s="51" t="s">
        <v>45</v>
      </c>
      <c r="E16" s="51" t="s">
        <v>47</v>
      </c>
      <c r="G16" s="51" t="s">
        <v>38</v>
      </c>
      <c r="H16">
        <v>3</v>
      </c>
      <c r="I16" s="58">
        <v>8000</v>
      </c>
      <c r="J16" s="59">
        <v>24000</v>
      </c>
      <c r="K16">
        <v>1</v>
      </c>
      <c r="O16" s="52"/>
    </row>
    <row r="17" spans="1:15" x14ac:dyDescent="0.15">
      <c r="A17">
        <v>3</v>
      </c>
      <c r="D17" s="51" t="s">
        <v>45</v>
      </c>
      <c r="E17" s="51" t="s">
        <v>48</v>
      </c>
      <c r="G17" s="51" t="s">
        <v>38</v>
      </c>
      <c r="H17">
        <v>3</v>
      </c>
      <c r="I17" s="58">
        <v>8000</v>
      </c>
      <c r="J17" s="59">
        <v>24000</v>
      </c>
      <c r="K17">
        <v>1</v>
      </c>
      <c r="O17" s="52"/>
    </row>
    <row r="18" spans="1:15" x14ac:dyDescent="0.15">
      <c r="A18">
        <v>1</v>
      </c>
      <c r="D18" s="51" t="s">
        <v>20</v>
      </c>
      <c r="E18" s="51" t="s">
        <v>49</v>
      </c>
      <c r="G18" s="51" t="s">
        <v>22</v>
      </c>
      <c r="H18">
        <v>5280</v>
      </c>
      <c r="I18" s="58">
        <v>1721.95</v>
      </c>
      <c r="J18" s="59">
        <v>9091940</v>
      </c>
      <c r="K18">
        <v>5280</v>
      </c>
      <c r="M18" s="51" t="s">
        <v>50</v>
      </c>
      <c r="O18" s="52"/>
    </row>
    <row r="19" spans="1:15" x14ac:dyDescent="0.15">
      <c r="A19">
        <v>2</v>
      </c>
      <c r="D19" s="51" t="s">
        <v>24</v>
      </c>
      <c r="E19" s="51" t="s">
        <v>51</v>
      </c>
      <c r="G19" s="51" t="s">
        <v>22</v>
      </c>
      <c r="H19">
        <v>5780</v>
      </c>
      <c r="I19" s="58">
        <v>1573</v>
      </c>
      <c r="J19" s="59">
        <v>9091940</v>
      </c>
      <c r="K19">
        <v>5780</v>
      </c>
      <c r="M19" s="51" t="s">
        <v>52</v>
      </c>
      <c r="O19" s="52"/>
    </row>
    <row r="20" spans="1:15" x14ac:dyDescent="0.15">
      <c r="A20">
        <v>3</v>
      </c>
      <c r="D20" s="51" t="s">
        <v>27</v>
      </c>
      <c r="E20" s="51" t="s">
        <v>53</v>
      </c>
      <c r="G20" s="51" t="s">
        <v>54</v>
      </c>
      <c r="H20">
        <v>615</v>
      </c>
      <c r="I20" s="58">
        <v>12500</v>
      </c>
      <c r="J20" s="59">
        <v>7687500</v>
      </c>
      <c r="K20">
        <v>1</v>
      </c>
      <c r="O20" s="52"/>
    </row>
    <row r="21" spans="1:15" x14ac:dyDescent="0.15">
      <c r="A21">
        <v>3</v>
      </c>
      <c r="D21" s="51" t="s">
        <v>27</v>
      </c>
      <c r="E21" s="51" t="s">
        <v>30</v>
      </c>
      <c r="G21" s="51" t="s">
        <v>31</v>
      </c>
      <c r="H21">
        <v>300</v>
      </c>
      <c r="I21" s="58">
        <v>160</v>
      </c>
      <c r="J21" s="59">
        <v>48000</v>
      </c>
      <c r="K21">
        <v>1</v>
      </c>
      <c r="O21" s="52"/>
    </row>
    <row r="22" spans="1:15" x14ac:dyDescent="0.15">
      <c r="A22">
        <v>3</v>
      </c>
      <c r="D22" s="51" t="s">
        <v>27</v>
      </c>
      <c r="E22" s="51" t="s">
        <v>32</v>
      </c>
      <c r="G22" s="51" t="s">
        <v>19</v>
      </c>
      <c r="H22">
        <v>1</v>
      </c>
      <c r="I22" s="58">
        <v>15300</v>
      </c>
      <c r="J22" s="59">
        <v>15300</v>
      </c>
      <c r="K22">
        <v>1</v>
      </c>
      <c r="O22" s="52"/>
    </row>
    <row r="23" spans="1:15" x14ac:dyDescent="0.15">
      <c r="A23">
        <v>3</v>
      </c>
      <c r="D23" s="51" t="s">
        <v>33</v>
      </c>
      <c r="E23" s="51" t="s">
        <v>34</v>
      </c>
      <c r="G23" s="51" t="s">
        <v>35</v>
      </c>
      <c r="H23">
        <v>30</v>
      </c>
      <c r="I23" s="58">
        <v>25000</v>
      </c>
      <c r="J23" s="59">
        <v>750000</v>
      </c>
      <c r="K23">
        <v>1</v>
      </c>
      <c r="O23" s="52"/>
    </row>
    <row r="24" spans="1:15" x14ac:dyDescent="0.15">
      <c r="A24">
        <v>3</v>
      </c>
      <c r="D24" s="51" t="s">
        <v>36</v>
      </c>
      <c r="E24" s="51" t="s">
        <v>55</v>
      </c>
      <c r="G24" s="51" t="s">
        <v>38</v>
      </c>
      <c r="H24">
        <v>3</v>
      </c>
      <c r="I24" s="58">
        <v>120000</v>
      </c>
      <c r="J24" s="59">
        <v>360000</v>
      </c>
      <c r="K24">
        <v>1</v>
      </c>
      <c r="O24" s="52"/>
    </row>
    <row r="25" spans="1:15" x14ac:dyDescent="0.15">
      <c r="A25">
        <v>3</v>
      </c>
      <c r="D25" s="51" t="s">
        <v>36</v>
      </c>
      <c r="E25" s="51" t="s">
        <v>39</v>
      </c>
      <c r="G25" s="51" t="s">
        <v>38</v>
      </c>
      <c r="H25">
        <v>3</v>
      </c>
      <c r="I25" s="58">
        <v>8000</v>
      </c>
      <c r="J25" s="59">
        <v>24000</v>
      </c>
      <c r="K25">
        <v>1</v>
      </c>
      <c r="O25" s="52"/>
    </row>
    <row r="26" spans="1:15" x14ac:dyDescent="0.15">
      <c r="A26">
        <v>3</v>
      </c>
      <c r="D26" s="51" t="s">
        <v>36</v>
      </c>
      <c r="E26" s="51" t="s">
        <v>40</v>
      </c>
      <c r="G26" s="51" t="s">
        <v>38</v>
      </c>
      <c r="H26">
        <v>3</v>
      </c>
      <c r="I26" s="58">
        <v>8000</v>
      </c>
      <c r="J26" s="59">
        <v>24000</v>
      </c>
      <c r="K26">
        <v>1</v>
      </c>
      <c r="O26" s="52"/>
    </row>
    <row r="27" spans="1:15" x14ac:dyDescent="0.15">
      <c r="A27">
        <v>3</v>
      </c>
      <c r="D27" s="51" t="s">
        <v>36</v>
      </c>
      <c r="E27" s="51" t="s">
        <v>56</v>
      </c>
      <c r="G27" s="51" t="s">
        <v>38</v>
      </c>
      <c r="H27">
        <v>3</v>
      </c>
      <c r="I27" s="58">
        <v>7000</v>
      </c>
      <c r="J27" s="59">
        <v>21000</v>
      </c>
      <c r="K27">
        <v>1</v>
      </c>
      <c r="O27" s="52"/>
    </row>
    <row r="28" spans="1:15" x14ac:dyDescent="0.15">
      <c r="A28">
        <v>3</v>
      </c>
      <c r="D28" s="51" t="s">
        <v>36</v>
      </c>
      <c r="E28" s="51" t="s">
        <v>57</v>
      </c>
      <c r="G28" s="51" t="s">
        <v>38</v>
      </c>
      <c r="H28">
        <v>3</v>
      </c>
      <c r="I28" s="58">
        <v>8000</v>
      </c>
      <c r="J28" s="59">
        <v>24000</v>
      </c>
      <c r="K28">
        <v>1</v>
      </c>
      <c r="O28" s="52"/>
    </row>
    <row r="29" spans="1:15" x14ac:dyDescent="0.15">
      <c r="A29">
        <v>3</v>
      </c>
      <c r="D29" s="51" t="s">
        <v>36</v>
      </c>
      <c r="E29" s="51" t="s">
        <v>43</v>
      </c>
      <c r="G29" s="51" t="s">
        <v>38</v>
      </c>
      <c r="H29">
        <v>3</v>
      </c>
      <c r="I29" s="58">
        <v>15000</v>
      </c>
      <c r="J29" s="59">
        <v>45000</v>
      </c>
      <c r="K29">
        <v>1</v>
      </c>
      <c r="O29" s="52"/>
    </row>
    <row r="30" spans="1:15" x14ac:dyDescent="0.15">
      <c r="A30">
        <v>3</v>
      </c>
      <c r="D30" s="51" t="s">
        <v>36</v>
      </c>
      <c r="E30" s="51" t="s">
        <v>44</v>
      </c>
      <c r="G30" s="51" t="s">
        <v>38</v>
      </c>
      <c r="H30">
        <v>6</v>
      </c>
      <c r="I30" s="58">
        <v>3000</v>
      </c>
      <c r="J30" s="59">
        <v>18000</v>
      </c>
      <c r="K30">
        <v>1</v>
      </c>
      <c r="O30" s="52"/>
    </row>
    <row r="31" spans="1:15" x14ac:dyDescent="0.15">
      <c r="A31">
        <v>3</v>
      </c>
      <c r="D31" s="51" t="s">
        <v>45</v>
      </c>
      <c r="E31" s="51" t="s">
        <v>46</v>
      </c>
      <c r="G31" s="51" t="s">
        <v>38</v>
      </c>
      <c r="H31">
        <v>3</v>
      </c>
      <c r="I31" s="58">
        <v>10000</v>
      </c>
      <c r="J31" s="59">
        <v>30000</v>
      </c>
      <c r="K31">
        <v>1</v>
      </c>
      <c r="O31" s="52"/>
    </row>
    <row r="32" spans="1:15" x14ac:dyDescent="0.15">
      <c r="A32">
        <v>3</v>
      </c>
      <c r="D32" s="51" t="s">
        <v>45</v>
      </c>
      <c r="E32" s="51" t="s">
        <v>47</v>
      </c>
      <c r="G32" s="51" t="s">
        <v>38</v>
      </c>
      <c r="H32">
        <v>3</v>
      </c>
      <c r="I32" s="58">
        <v>8000</v>
      </c>
      <c r="J32" s="59">
        <v>24000</v>
      </c>
      <c r="K32">
        <v>1</v>
      </c>
      <c r="O32" s="52"/>
    </row>
    <row r="33" spans="1:15" x14ac:dyDescent="0.15">
      <c r="A33">
        <v>3</v>
      </c>
      <c r="D33" s="51" t="s">
        <v>45</v>
      </c>
      <c r="E33" s="51" t="s">
        <v>48</v>
      </c>
      <c r="G33" s="51" t="s">
        <v>38</v>
      </c>
      <c r="H33">
        <v>3</v>
      </c>
      <c r="I33" s="58">
        <v>8000</v>
      </c>
      <c r="J33" s="59">
        <v>24000</v>
      </c>
      <c r="K33">
        <v>1</v>
      </c>
      <c r="O33" s="52"/>
    </row>
    <row r="34" spans="1:15" x14ac:dyDescent="0.15">
      <c r="A34">
        <v>1</v>
      </c>
      <c r="D34" s="51" t="s">
        <v>20</v>
      </c>
      <c r="E34" s="51" t="s">
        <v>58</v>
      </c>
      <c r="G34" s="51" t="s">
        <v>59</v>
      </c>
      <c r="H34">
        <v>2</v>
      </c>
      <c r="I34" s="58">
        <v>136000</v>
      </c>
      <c r="J34" s="59">
        <v>272000</v>
      </c>
      <c r="K34">
        <v>2</v>
      </c>
      <c r="M34" s="51" t="s">
        <v>60</v>
      </c>
      <c r="O34" s="52"/>
    </row>
    <row r="35" spans="1:15" x14ac:dyDescent="0.15">
      <c r="A35">
        <v>2</v>
      </c>
      <c r="D35" s="51" t="s">
        <v>24</v>
      </c>
      <c r="E35" s="51" t="s">
        <v>45</v>
      </c>
      <c r="G35" s="51" t="s">
        <v>59</v>
      </c>
      <c r="H35">
        <v>2</v>
      </c>
      <c r="I35" s="58">
        <v>136000</v>
      </c>
      <c r="J35" s="59">
        <v>272000</v>
      </c>
      <c r="K35">
        <v>2</v>
      </c>
      <c r="M35" s="51" t="s">
        <v>61</v>
      </c>
      <c r="O35" s="52"/>
    </row>
    <row r="36" spans="1:15" x14ac:dyDescent="0.15">
      <c r="A36">
        <v>3</v>
      </c>
      <c r="D36" s="51" t="s">
        <v>45</v>
      </c>
      <c r="E36" s="51" t="s">
        <v>62</v>
      </c>
      <c r="G36" s="51" t="s">
        <v>59</v>
      </c>
      <c r="H36">
        <v>2</v>
      </c>
      <c r="I36" s="58">
        <v>25000</v>
      </c>
      <c r="J36" s="59">
        <v>50000</v>
      </c>
      <c r="K36">
        <v>1</v>
      </c>
      <c r="O36" s="52"/>
    </row>
    <row r="37" spans="1:15" x14ac:dyDescent="0.15">
      <c r="A37">
        <v>3</v>
      </c>
      <c r="D37" s="51" t="s">
        <v>45</v>
      </c>
      <c r="E37" s="51" t="s">
        <v>40</v>
      </c>
      <c r="G37" s="51" t="s">
        <v>59</v>
      </c>
      <c r="H37">
        <v>2</v>
      </c>
      <c r="I37" s="58">
        <v>22000</v>
      </c>
      <c r="J37" s="59">
        <v>44000</v>
      </c>
      <c r="K37">
        <v>1</v>
      </c>
      <c r="O37" s="52"/>
    </row>
    <row r="38" spans="1:15" x14ac:dyDescent="0.15">
      <c r="A38">
        <v>3</v>
      </c>
      <c r="D38" s="51" t="s">
        <v>45</v>
      </c>
      <c r="E38" s="51" t="s">
        <v>63</v>
      </c>
      <c r="G38" s="51" t="s">
        <v>59</v>
      </c>
      <c r="H38">
        <v>2</v>
      </c>
      <c r="I38" s="58">
        <v>22000</v>
      </c>
      <c r="J38" s="59">
        <v>44000</v>
      </c>
      <c r="K38">
        <v>1</v>
      </c>
      <c r="O38" s="52"/>
    </row>
    <row r="39" spans="1:15" x14ac:dyDescent="0.15">
      <c r="A39">
        <v>3</v>
      </c>
      <c r="D39" s="51" t="s">
        <v>45</v>
      </c>
      <c r="E39" s="51" t="s">
        <v>41</v>
      </c>
      <c r="G39" s="51" t="s">
        <v>59</v>
      </c>
      <c r="H39">
        <v>2</v>
      </c>
      <c r="I39" s="58">
        <v>16000</v>
      </c>
      <c r="J39" s="59">
        <v>32000</v>
      </c>
      <c r="K39">
        <v>1</v>
      </c>
      <c r="O39" s="52"/>
    </row>
    <row r="40" spans="1:15" x14ac:dyDescent="0.15">
      <c r="A40">
        <v>3</v>
      </c>
      <c r="D40" s="51" t="s">
        <v>45</v>
      </c>
      <c r="E40" s="51" t="s">
        <v>64</v>
      </c>
      <c r="G40" s="51" t="s">
        <v>59</v>
      </c>
      <c r="H40">
        <v>2</v>
      </c>
      <c r="I40" s="58">
        <v>15000</v>
      </c>
      <c r="J40" s="59">
        <v>30000</v>
      </c>
      <c r="K40">
        <v>1</v>
      </c>
      <c r="O40" s="52"/>
    </row>
    <row r="41" spans="1:15" x14ac:dyDescent="0.15">
      <c r="A41">
        <v>3</v>
      </c>
      <c r="D41" s="51" t="s">
        <v>45</v>
      </c>
      <c r="E41" s="51" t="s">
        <v>65</v>
      </c>
      <c r="G41" s="51" t="s">
        <v>59</v>
      </c>
      <c r="H41">
        <v>2</v>
      </c>
      <c r="I41" s="58">
        <v>36000</v>
      </c>
      <c r="J41" s="59">
        <v>72000</v>
      </c>
      <c r="K41">
        <v>1</v>
      </c>
      <c r="O41" s="52"/>
    </row>
    <row r="42" spans="1:15" x14ac:dyDescent="0.15">
      <c r="A42">
        <v>1</v>
      </c>
      <c r="D42" s="51" t="s">
        <v>20</v>
      </c>
      <c r="E42" s="51" t="s">
        <v>66</v>
      </c>
      <c r="G42" s="51" t="s">
        <v>59</v>
      </c>
      <c r="H42">
        <v>1</v>
      </c>
      <c r="I42" s="58">
        <v>106000</v>
      </c>
      <c r="J42" s="59">
        <v>106000</v>
      </c>
      <c r="K42">
        <v>1</v>
      </c>
      <c r="M42" s="51" t="s">
        <v>67</v>
      </c>
      <c r="O42" s="52"/>
    </row>
    <row r="43" spans="1:15" x14ac:dyDescent="0.15">
      <c r="A43">
        <v>2</v>
      </c>
      <c r="D43" s="51" t="s">
        <v>24</v>
      </c>
      <c r="E43" s="51" t="s">
        <v>68</v>
      </c>
      <c r="G43" s="51" t="s">
        <v>59</v>
      </c>
      <c r="H43">
        <v>1</v>
      </c>
      <c r="I43" s="58">
        <v>106000</v>
      </c>
      <c r="J43" s="59">
        <v>106000</v>
      </c>
      <c r="K43">
        <v>1</v>
      </c>
      <c r="M43" s="51" t="s">
        <v>69</v>
      </c>
      <c r="O43" s="52"/>
    </row>
    <row r="44" spans="1:15" x14ac:dyDescent="0.15">
      <c r="A44">
        <v>3</v>
      </c>
      <c r="D44" s="51" t="s">
        <v>33</v>
      </c>
      <c r="E44" s="51" t="s">
        <v>34</v>
      </c>
      <c r="G44" s="51" t="s">
        <v>35</v>
      </c>
      <c r="H44">
        <v>3</v>
      </c>
      <c r="I44" s="58">
        <v>25000</v>
      </c>
      <c r="J44" s="59">
        <v>75000</v>
      </c>
      <c r="K44">
        <v>1</v>
      </c>
      <c r="O44" s="52"/>
    </row>
    <row r="45" spans="1:15" x14ac:dyDescent="0.15">
      <c r="A45">
        <v>3</v>
      </c>
      <c r="D45" s="51" t="s">
        <v>45</v>
      </c>
      <c r="E45" s="51" t="s">
        <v>48</v>
      </c>
      <c r="G45" s="51" t="s">
        <v>38</v>
      </c>
      <c r="H45">
        <v>1</v>
      </c>
      <c r="I45" s="58">
        <v>8000</v>
      </c>
      <c r="J45" s="59">
        <v>8000</v>
      </c>
      <c r="K45">
        <v>1</v>
      </c>
      <c r="O45" s="52"/>
    </row>
    <row r="46" spans="1:15" x14ac:dyDescent="0.15">
      <c r="A46">
        <v>3</v>
      </c>
      <c r="D46" s="51" t="s">
        <v>45</v>
      </c>
      <c r="E46" s="51" t="s">
        <v>47</v>
      </c>
      <c r="G46" s="51" t="s">
        <v>38</v>
      </c>
      <c r="H46">
        <v>1</v>
      </c>
      <c r="I46" s="58">
        <v>8000</v>
      </c>
      <c r="J46" s="59">
        <v>8000</v>
      </c>
      <c r="K46">
        <v>1</v>
      </c>
      <c r="O46" s="52"/>
    </row>
    <row r="47" spans="1:15" x14ac:dyDescent="0.15">
      <c r="A47">
        <v>3</v>
      </c>
      <c r="D47" s="51" t="s">
        <v>70</v>
      </c>
      <c r="E47" s="51" t="s">
        <v>71</v>
      </c>
      <c r="G47" s="51" t="s">
        <v>59</v>
      </c>
      <c r="H47">
        <v>1</v>
      </c>
      <c r="I47" s="58">
        <v>15000</v>
      </c>
      <c r="J47" s="59">
        <v>15000</v>
      </c>
      <c r="K47">
        <v>1</v>
      </c>
      <c r="O47" s="52"/>
    </row>
    <row r="48" spans="1:15" x14ac:dyDescent="0.15">
      <c r="A48">
        <v>1</v>
      </c>
      <c r="D48" s="51" t="s">
        <v>20</v>
      </c>
      <c r="E48" s="51" t="s">
        <v>72</v>
      </c>
      <c r="G48" s="51" t="s">
        <v>73</v>
      </c>
      <c r="H48">
        <v>7</v>
      </c>
      <c r="I48" s="58">
        <v>36500</v>
      </c>
      <c r="J48" s="59">
        <v>255500</v>
      </c>
      <c r="K48">
        <v>7</v>
      </c>
      <c r="M48" s="51" t="s">
        <v>74</v>
      </c>
      <c r="O48" s="52"/>
    </row>
    <row r="49" spans="1:15" x14ac:dyDescent="0.15">
      <c r="A49">
        <v>2</v>
      </c>
      <c r="D49" s="51" t="s">
        <v>24</v>
      </c>
      <c r="E49" s="51" t="s">
        <v>72</v>
      </c>
      <c r="G49" s="51" t="s">
        <v>73</v>
      </c>
      <c r="H49">
        <v>7</v>
      </c>
      <c r="I49" s="58">
        <v>36500</v>
      </c>
      <c r="J49" s="59">
        <v>255500</v>
      </c>
      <c r="K49">
        <v>7</v>
      </c>
      <c r="M49" s="51" t="s">
        <v>75</v>
      </c>
      <c r="O49" s="52"/>
    </row>
    <row r="50" spans="1:15" x14ac:dyDescent="0.15">
      <c r="A50">
        <v>3</v>
      </c>
      <c r="D50" s="51" t="s">
        <v>70</v>
      </c>
      <c r="E50" s="51" t="s">
        <v>72</v>
      </c>
      <c r="G50" s="51" t="s">
        <v>73</v>
      </c>
      <c r="H50">
        <v>7</v>
      </c>
      <c r="I50" s="58">
        <v>36500</v>
      </c>
      <c r="J50" s="59">
        <v>255500</v>
      </c>
      <c r="K50">
        <v>1</v>
      </c>
      <c r="O50" s="52"/>
    </row>
    <row r="51" spans="1:15" x14ac:dyDescent="0.15">
      <c r="A51">
        <v>1</v>
      </c>
      <c r="D51" s="51" t="s">
        <v>20</v>
      </c>
      <c r="E51" s="51" t="s">
        <v>76</v>
      </c>
      <c r="G51" s="51" t="s">
        <v>73</v>
      </c>
      <c r="H51">
        <v>7</v>
      </c>
      <c r="I51" s="58">
        <v>31000</v>
      </c>
      <c r="J51" s="59">
        <v>217000</v>
      </c>
      <c r="K51">
        <v>7</v>
      </c>
      <c r="M51" s="51" t="s">
        <v>77</v>
      </c>
      <c r="O51" s="52"/>
    </row>
    <row r="52" spans="1:15" x14ac:dyDescent="0.15">
      <c r="A52">
        <v>2</v>
      </c>
      <c r="D52" s="51" t="s">
        <v>24</v>
      </c>
      <c r="E52" s="51" t="s">
        <v>76</v>
      </c>
      <c r="G52" s="51" t="s">
        <v>73</v>
      </c>
      <c r="H52">
        <v>7</v>
      </c>
      <c r="I52" s="58">
        <v>31000</v>
      </c>
      <c r="J52" s="59">
        <v>217000</v>
      </c>
      <c r="K52">
        <v>7</v>
      </c>
      <c r="M52" s="51" t="s">
        <v>78</v>
      </c>
      <c r="O52" s="52"/>
    </row>
    <row r="53" spans="1:15" x14ac:dyDescent="0.15">
      <c r="A53">
        <v>3</v>
      </c>
      <c r="D53" s="51" t="s">
        <v>76</v>
      </c>
      <c r="E53" s="51" t="s">
        <v>76</v>
      </c>
      <c r="G53" s="51" t="s">
        <v>73</v>
      </c>
      <c r="H53">
        <v>7</v>
      </c>
      <c r="I53" s="58">
        <v>31000</v>
      </c>
      <c r="J53" s="59">
        <v>217000</v>
      </c>
      <c r="K53">
        <v>1</v>
      </c>
      <c r="O53" s="52"/>
    </row>
    <row r="54" spans="1:15" x14ac:dyDescent="0.15">
      <c r="A54">
        <v>1</v>
      </c>
      <c r="D54" s="51" t="s">
        <v>20</v>
      </c>
      <c r="E54" s="51" t="s">
        <v>79</v>
      </c>
      <c r="G54" s="51" t="s">
        <v>80</v>
      </c>
      <c r="H54">
        <v>1780</v>
      </c>
      <c r="I54" s="58">
        <v>370</v>
      </c>
      <c r="J54" s="59">
        <v>658600</v>
      </c>
      <c r="K54">
        <v>1780</v>
      </c>
      <c r="M54" s="51" t="s">
        <v>81</v>
      </c>
      <c r="O54" s="52"/>
    </row>
    <row r="55" spans="1:15" x14ac:dyDescent="0.15">
      <c r="A55">
        <v>2</v>
      </c>
      <c r="D55" s="51" t="s">
        <v>24</v>
      </c>
      <c r="E55" s="51" t="s">
        <v>79</v>
      </c>
      <c r="G55" s="51" t="s">
        <v>80</v>
      </c>
      <c r="H55">
        <v>1780</v>
      </c>
      <c r="I55" s="58">
        <v>370</v>
      </c>
      <c r="J55" s="59">
        <v>658600</v>
      </c>
      <c r="K55">
        <v>1780</v>
      </c>
      <c r="M55" s="51" t="s">
        <v>82</v>
      </c>
      <c r="O55" s="52"/>
    </row>
    <row r="56" spans="1:15" x14ac:dyDescent="0.15">
      <c r="A56">
        <v>3</v>
      </c>
      <c r="D56" s="51" t="s">
        <v>70</v>
      </c>
      <c r="E56" s="51" t="s">
        <v>79</v>
      </c>
      <c r="G56" s="51" t="s">
        <v>80</v>
      </c>
      <c r="H56">
        <v>1780</v>
      </c>
      <c r="I56" s="58">
        <v>350</v>
      </c>
      <c r="J56" s="59">
        <v>623000</v>
      </c>
      <c r="K56">
        <v>1</v>
      </c>
      <c r="O56" s="52"/>
    </row>
    <row r="57" spans="1:15" x14ac:dyDescent="0.15">
      <c r="A57">
        <v>3</v>
      </c>
      <c r="D57" s="51" t="s">
        <v>70</v>
      </c>
      <c r="E57" s="51" t="s">
        <v>76</v>
      </c>
      <c r="G57" s="51" t="s">
        <v>19</v>
      </c>
      <c r="H57">
        <v>1</v>
      </c>
      <c r="I57" s="58">
        <v>37000</v>
      </c>
      <c r="J57" s="59">
        <v>37000</v>
      </c>
      <c r="K57">
        <v>1</v>
      </c>
      <c r="O57" s="52"/>
    </row>
  </sheetData>
  <phoneticPr fontId="3"/>
  <pageMargins left="0.78700000000000003" right="0.78700000000000003" top="0.98399999999999999" bottom="0.98399999999999999" header="0.51200000000000001" footer="0.51200000000000001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AF61"/>
  <sheetViews>
    <sheetView zoomScale="85" workbookViewId="0">
      <pane xSplit="4" ySplit="4" topLeftCell="E5" activePane="bottomRight" state="frozen"/>
      <selection activeCell="B29" sqref="B29"/>
      <selection pane="topRight" activeCell="B29" sqref="B29"/>
      <selection pane="bottomLeft" activeCell="B29" sqref="B29"/>
      <selection pane="bottomRight"/>
    </sheetView>
  </sheetViews>
  <sheetFormatPr defaultColWidth="9" defaultRowHeight="13.5" x14ac:dyDescent="0.15"/>
  <cols>
    <col min="1" max="1" width="3.625" style="14" customWidth="1"/>
    <col min="2" max="2" width="11.625" style="14" customWidth="1"/>
    <col min="3" max="3" width="7" style="3" customWidth="1"/>
    <col min="4" max="4" width="35.625" style="14" customWidth="1"/>
    <col min="5" max="5" width="24.375" style="14" customWidth="1"/>
    <col min="6" max="6" width="5.25" style="15" customWidth="1"/>
    <col min="7" max="7" width="8.625" style="14" customWidth="1"/>
    <col min="8" max="8" width="11.25" style="14" customWidth="1"/>
    <col min="9" max="9" width="12.5" style="14" customWidth="1"/>
    <col min="10" max="10" width="7.125" style="14" customWidth="1"/>
    <col min="11" max="11" width="1.75" style="15" customWidth="1"/>
    <col min="12" max="14" width="7.125" style="14" customWidth="1"/>
    <col min="15" max="15" width="8.625" style="14" hidden="1" customWidth="1"/>
    <col min="16" max="16" width="11.25" style="14" hidden="1" customWidth="1"/>
    <col min="17" max="17" width="12.5" style="14" hidden="1" customWidth="1"/>
    <col min="18" max="18" width="7.125" style="14" hidden="1" customWidth="1"/>
    <col min="19" max="19" width="1.75" style="15" hidden="1" customWidth="1"/>
    <col min="20" max="22" width="7.125" style="14" hidden="1" customWidth="1"/>
    <col min="23" max="23" width="8.625" style="14" hidden="1" customWidth="1"/>
    <col min="24" max="24" width="11.25" style="14" hidden="1" customWidth="1"/>
    <col min="25" max="25" width="12.5" style="14" hidden="1" customWidth="1"/>
    <col min="26" max="26" width="7.125" style="14" hidden="1" customWidth="1"/>
    <col min="27" max="27" width="1.75" style="15" hidden="1" customWidth="1"/>
    <col min="28" max="30" width="7.125" style="14" hidden="1" customWidth="1"/>
    <col min="31" max="31" width="5.75" style="14" customWidth="1"/>
    <col min="32" max="32" width="31.375" style="10" customWidth="1"/>
    <col min="33" max="33" width="2.125" style="14" customWidth="1"/>
    <col min="34" max="16384" width="9" style="14"/>
  </cols>
  <sheetData>
    <row r="1" spans="1:32" ht="22.5" customHeight="1" thickBot="1" x14ac:dyDescent="0.25">
      <c r="A1" s="1"/>
      <c r="B1" s="2"/>
      <c r="D1" s="1" t="str">
        <f>D4</f>
        <v>県単つくばエクスプレス沿線整備工事</v>
      </c>
      <c r="G1" s="4"/>
      <c r="H1" s="16" t="s">
        <v>15</v>
      </c>
      <c r="I1" s="13">
        <v>13400000</v>
      </c>
      <c r="J1" s="17">
        <f>I4/I$1</f>
        <v>0.94011492537313435</v>
      </c>
      <c r="K1" s="18"/>
      <c r="L1" s="12">
        <v>3</v>
      </c>
      <c r="M1" s="5"/>
      <c r="N1" s="5"/>
      <c r="O1" s="4"/>
      <c r="P1" s="16" t="s">
        <v>15</v>
      </c>
      <c r="Q1" s="13"/>
      <c r="R1" s="19" t="e">
        <f>Q4/Q$1</f>
        <v>#DIV/0!</v>
      </c>
      <c r="S1" s="18"/>
      <c r="T1" s="12">
        <v>3</v>
      </c>
      <c r="U1" s="5"/>
      <c r="V1" s="5"/>
      <c r="X1" s="16" t="s">
        <v>15</v>
      </c>
      <c r="Y1" s="13"/>
      <c r="Z1" s="17" t="e">
        <f>Y4/Y$1</f>
        <v>#DIV/0!</v>
      </c>
      <c r="AA1" s="18"/>
      <c r="AB1" s="12">
        <v>3</v>
      </c>
      <c r="AC1" s="5"/>
      <c r="AD1" s="5"/>
      <c r="AE1" s="2"/>
      <c r="AF1" s="8"/>
    </row>
    <row r="2" spans="1:32" s="6" customFormat="1" ht="22.5" customHeight="1" x14ac:dyDescent="0.15">
      <c r="A2" s="20" t="s">
        <v>13</v>
      </c>
      <c r="B2" s="20" t="s">
        <v>17</v>
      </c>
      <c r="C2" s="21" t="s">
        <v>3</v>
      </c>
      <c r="D2" s="21" t="s">
        <v>4</v>
      </c>
      <c r="E2" s="21" t="s">
        <v>5</v>
      </c>
      <c r="F2" s="21" t="s">
        <v>6</v>
      </c>
      <c r="G2" s="55" t="s">
        <v>83</v>
      </c>
      <c r="H2" s="56"/>
      <c r="I2" s="56"/>
      <c r="J2" s="56"/>
      <c r="K2" s="56"/>
      <c r="L2" s="56"/>
      <c r="M2" s="56"/>
      <c r="N2" s="57"/>
      <c r="O2" s="55" t="s">
        <v>7</v>
      </c>
      <c r="P2" s="56"/>
      <c r="Q2" s="56"/>
      <c r="R2" s="56"/>
      <c r="S2" s="56"/>
      <c r="T2" s="56"/>
      <c r="U2" s="56"/>
      <c r="V2" s="57"/>
      <c r="W2" s="55" t="s">
        <v>8</v>
      </c>
      <c r="X2" s="56"/>
      <c r="Y2" s="56"/>
      <c r="Z2" s="56"/>
      <c r="AA2" s="56"/>
      <c r="AB2" s="56"/>
      <c r="AC2" s="56"/>
      <c r="AD2" s="57"/>
      <c r="AE2" s="49" t="s">
        <v>16</v>
      </c>
      <c r="AF2" s="53" t="s">
        <v>9</v>
      </c>
    </row>
    <row r="3" spans="1:32" s="35" customFormat="1" ht="16.5" customHeight="1" x14ac:dyDescent="0.15">
      <c r="A3" s="22"/>
      <c r="B3" s="22"/>
      <c r="C3" s="23"/>
      <c r="D3" s="23"/>
      <c r="E3" s="23"/>
      <c r="F3" s="23"/>
      <c r="G3" s="24" t="s">
        <v>10</v>
      </c>
      <c r="H3" s="25" t="s">
        <v>11</v>
      </c>
      <c r="I3" s="25" t="s">
        <v>12</v>
      </c>
      <c r="J3" s="26" t="s">
        <v>2</v>
      </c>
      <c r="K3" s="27"/>
      <c r="L3" s="28" t="s">
        <v>14</v>
      </c>
      <c r="M3" s="28" t="s">
        <v>0</v>
      </c>
      <c r="N3" s="29" t="s">
        <v>1</v>
      </c>
      <c r="O3" s="30" t="s">
        <v>10</v>
      </c>
      <c r="P3" s="31" t="s">
        <v>11</v>
      </c>
      <c r="Q3" s="31" t="s">
        <v>12</v>
      </c>
      <c r="R3" s="32" t="s">
        <v>2</v>
      </c>
      <c r="S3" s="33"/>
      <c r="T3" s="28" t="s">
        <v>14</v>
      </c>
      <c r="U3" s="28" t="s">
        <v>0</v>
      </c>
      <c r="V3" s="29" t="s">
        <v>1</v>
      </c>
      <c r="W3" s="30" t="s">
        <v>10</v>
      </c>
      <c r="X3" s="31" t="s">
        <v>11</v>
      </c>
      <c r="Y3" s="31" t="s">
        <v>12</v>
      </c>
      <c r="Z3" s="32" t="s">
        <v>2</v>
      </c>
      <c r="AA3" s="34"/>
      <c r="AB3" s="28" t="s">
        <v>14</v>
      </c>
      <c r="AC3" s="28" t="s">
        <v>0</v>
      </c>
      <c r="AD3" s="29" t="s">
        <v>1</v>
      </c>
      <c r="AE3" s="22"/>
      <c r="AF3" s="54"/>
    </row>
    <row r="4" spans="1:32" x14ac:dyDescent="0.15">
      <c r="A4" s="47">
        <f>データ!A1</f>
        <v>0</v>
      </c>
      <c r="B4" s="47" t="str">
        <f>TRIM(データ!C1)</f>
        <v/>
      </c>
      <c r="C4" s="47" t="str">
        <f>TRIM(データ!D1)</f>
        <v>総括</v>
      </c>
      <c r="D4" s="36" t="str">
        <f>REPT("｜",$A4)&amp;TRIM(データ!E1)</f>
        <v>県単つくばエクスプレス沿線整備工事</v>
      </c>
      <c r="E4" s="37" t="str">
        <f>TRIM(データ!F1)</f>
        <v/>
      </c>
      <c r="F4" s="38" t="str">
        <f>TRIM(データ!G1)</f>
        <v>式</v>
      </c>
      <c r="G4" s="50">
        <f>データ!H1</f>
        <v>1</v>
      </c>
      <c r="H4" s="48">
        <f>データ!I1</f>
        <v>12597540</v>
      </c>
      <c r="I4" s="48">
        <f>データ!J1</f>
        <v>12597540</v>
      </c>
      <c r="J4" s="39">
        <f>IF(OR($C4="総括",$C4="内訳書",$C4="内訳代価",$C4="明細書",$C4="明細代価",$C4="代価表",$C4="単価表"),データ!K1,"")</f>
        <v>1</v>
      </c>
      <c r="K4" s="11" t="str">
        <f>IF(OR(J4="",G4=J4),"","*")</f>
        <v/>
      </c>
      <c r="L4" s="46">
        <f>IF($A4&lt;=L$1,I4/I$4,"")</f>
        <v>1</v>
      </c>
      <c r="M4" s="40" t="str">
        <f>IF(データ!L1="","",データ!L1)</f>
        <v/>
      </c>
      <c r="N4" s="41" t="str">
        <f>IF(データ!M1="","",データ!M1)</f>
        <v/>
      </c>
      <c r="O4" s="42">
        <f>データ!N1</f>
        <v>0</v>
      </c>
      <c r="P4" s="48">
        <f>IF($C4="集計行","",データ!O1)</f>
        <v>0</v>
      </c>
      <c r="Q4" s="48">
        <f>データ!P1</f>
        <v>0</v>
      </c>
      <c r="R4" s="39">
        <f>IF(OR($C4="総括",$C4="内訳書",$C4="内訳代価",$C4="明細書",$C4="明細代価",$C4="代価表",$C4="単価表"),データ!Q1,"")</f>
        <v>0</v>
      </c>
      <c r="S4" s="11" t="str">
        <f>IF(OR(R4="",O4=R4),"","*")</f>
        <v/>
      </c>
      <c r="T4" s="46" t="e">
        <f>IF($A4&lt;=T$1,Q4/Q$4,"")</f>
        <v>#DIV/0!</v>
      </c>
      <c r="U4" s="40" t="str">
        <f>IF(データ!R1="","",データ!R1)</f>
        <v/>
      </c>
      <c r="V4" s="41" t="str">
        <f>IF(データ!S1="","",データ!S1)</f>
        <v/>
      </c>
      <c r="W4" s="42">
        <f>データ!T1</f>
        <v>0</v>
      </c>
      <c r="X4" s="48">
        <f>IF($C4="集計行","",データ!U1)</f>
        <v>0</v>
      </c>
      <c r="Y4" s="48">
        <f>データ!V1</f>
        <v>0</v>
      </c>
      <c r="Z4" s="39">
        <f>IF(OR($C4="総括",$C4="内訳書",$C4="内訳代価",$C4="明細書",$C4="明細代価",$C4="代価表",$C4="単価表"),データ!W1,"")</f>
        <v>0</v>
      </c>
      <c r="AA4" s="11" t="str">
        <f>IF(OR(Z4="",W4=Z4),"","*")</f>
        <v/>
      </c>
      <c r="AB4" s="46" t="e">
        <f>IF($A4&lt;=AB$1,Y4/Y$4,"")</f>
        <v>#DIV/0!</v>
      </c>
      <c r="AC4" s="40" t="str">
        <f>IF(データ!X1="","",データ!X1)</f>
        <v/>
      </c>
      <c r="AD4" s="41" t="str">
        <f>IF(データ!Y1="","",データ!Y1)</f>
        <v/>
      </c>
      <c r="AE4" s="47" t="str">
        <f>TRIM(データ!B1)</f>
        <v/>
      </c>
      <c r="AF4" s="43" t="str">
        <f>TRIM(データ!Z1)</f>
        <v/>
      </c>
    </row>
    <row r="5" spans="1:32" x14ac:dyDescent="0.15">
      <c r="A5" s="47">
        <f>データ!A2</f>
        <v>1</v>
      </c>
      <c r="B5" s="47" t="str">
        <f>TRIM(データ!C2)</f>
        <v/>
      </c>
      <c r="C5" s="47" t="str">
        <f>TRIM(データ!D2)</f>
        <v>内訳書</v>
      </c>
      <c r="D5" s="36" t="str">
        <f>REPT("｜",$A5)&amp;TRIM(データ!E2)</f>
        <v>｜路盤工　不陸整正工</v>
      </c>
      <c r="E5" s="37" t="str">
        <f>TRIM(データ!F2)</f>
        <v/>
      </c>
      <c r="F5" s="38" t="str">
        <f>TRIM(データ!G2)</f>
        <v>m2</v>
      </c>
      <c r="G5" s="50">
        <f>データ!H2</f>
        <v>5780</v>
      </c>
      <c r="H5" s="48">
        <f>データ!I2</f>
        <v>225</v>
      </c>
      <c r="I5" s="48">
        <f>データ!J2</f>
        <v>1300500</v>
      </c>
      <c r="J5" s="39">
        <f>IF(OR($C5="総括",$C5="内訳書",$C5="内訳代価",$C5="明細書",$C5="明細代価",$C5="代価表",$C5="単価表"),データ!K2,"")</f>
        <v>5780</v>
      </c>
      <c r="K5" s="11" t="str">
        <f t="shared" ref="K5:K60" si="0">IF(OR(J5="",G5=J5),"","*")</f>
        <v/>
      </c>
      <c r="L5" s="46">
        <f t="shared" ref="L5:L60" si="1">IF($A5&lt;=L$1,I5/I$4,"")</f>
        <v>0.10323444100991146</v>
      </c>
      <c r="M5" s="40" t="str">
        <f>IF(データ!L2="","",データ!L2)</f>
        <v/>
      </c>
      <c r="N5" s="41" t="str">
        <f>IF(データ!M2="","",データ!M2)</f>
        <v>15号内訳書</v>
      </c>
      <c r="O5" s="42">
        <f>データ!N2</f>
        <v>0</v>
      </c>
      <c r="P5" s="48">
        <f>IF($C5="集計行","",データ!O2)</f>
        <v>0</v>
      </c>
      <c r="Q5" s="48">
        <f>データ!P2</f>
        <v>0</v>
      </c>
      <c r="R5" s="39">
        <f>IF(OR($C5="総括",$C5="内訳書",$C5="内訳代価",$C5="明細書",$C5="明細代価",$C5="代価表",$C5="単価表"),データ!Q2,"")</f>
        <v>0</v>
      </c>
      <c r="S5" s="11" t="str">
        <f t="shared" ref="S5:S60" si="2">IF(OR(R5="",O5=R5),"","*")</f>
        <v/>
      </c>
      <c r="T5" s="46" t="e">
        <f t="shared" ref="T5:T60" si="3">IF($A5&lt;=T$1,Q5/Q$4,"")</f>
        <v>#DIV/0!</v>
      </c>
      <c r="U5" s="40" t="str">
        <f>IF(データ!R2="","",データ!R2)</f>
        <v/>
      </c>
      <c r="V5" s="41" t="str">
        <f>IF(データ!S2="","",データ!S2)</f>
        <v/>
      </c>
      <c r="W5" s="42">
        <f>データ!T2</f>
        <v>0</v>
      </c>
      <c r="X5" s="48">
        <f>IF($C5="集計行","",データ!U2)</f>
        <v>0</v>
      </c>
      <c r="Y5" s="48">
        <f>データ!V2</f>
        <v>0</v>
      </c>
      <c r="Z5" s="39">
        <f>IF(OR($C5="総括",$C5="内訳書",$C5="内訳代価",$C5="明細書",$C5="明細代価",$C5="代価表",$C5="単価表"),データ!W2,"")</f>
        <v>0</v>
      </c>
      <c r="AA5" s="11" t="str">
        <f t="shared" ref="AA5:AA60" si="4">IF(OR(Z5="",W5=Z5),"","*")</f>
        <v/>
      </c>
      <c r="AB5" s="46" t="e">
        <f t="shared" ref="AB5:AB60" si="5">IF($A5&lt;=AB$1,Y5/Y$4,"")</f>
        <v>#DIV/0!</v>
      </c>
      <c r="AC5" s="40" t="str">
        <f>IF(データ!X2="","",データ!X2)</f>
        <v/>
      </c>
      <c r="AD5" s="41" t="str">
        <f>IF(データ!Y2="","",データ!Y2)</f>
        <v/>
      </c>
      <c r="AE5" s="47" t="str">
        <f>TRIM(データ!B2)</f>
        <v/>
      </c>
      <c r="AF5" s="43" t="str">
        <f>TRIM(データ!Z2)</f>
        <v/>
      </c>
    </row>
    <row r="6" spans="1:32" x14ac:dyDescent="0.15">
      <c r="A6" s="47">
        <f>データ!A3</f>
        <v>2</v>
      </c>
      <c r="B6" s="47" t="str">
        <f>TRIM(データ!C3)</f>
        <v/>
      </c>
      <c r="C6" s="47" t="str">
        <f>TRIM(データ!D3)</f>
        <v>内訳代価</v>
      </c>
      <c r="D6" s="36" t="str">
        <f>REPT("｜",$A6)&amp;TRIM(データ!E3)</f>
        <v>｜｜路盤不陸整正工</v>
      </c>
      <c r="E6" s="37" t="str">
        <f>TRIM(データ!F3)</f>
        <v/>
      </c>
      <c r="F6" s="38" t="str">
        <f>TRIM(データ!G3)</f>
        <v>m2</v>
      </c>
      <c r="G6" s="50">
        <f>データ!H3</f>
        <v>5780</v>
      </c>
      <c r="H6" s="48">
        <f>データ!I3</f>
        <v>225</v>
      </c>
      <c r="I6" s="48">
        <f>データ!J3</f>
        <v>1300500</v>
      </c>
      <c r="J6" s="39">
        <f>IF(OR($C6="総括",$C6="内訳書",$C6="内訳代価",$C6="明細書",$C6="明細代価",$C6="代価表",$C6="単価表"),データ!K3,"")</f>
        <v>5780</v>
      </c>
      <c r="K6" s="11" t="str">
        <f t="shared" si="0"/>
        <v/>
      </c>
      <c r="L6" s="46">
        <f t="shared" si="1"/>
        <v>0.10323444100991146</v>
      </c>
      <c r="M6" s="40" t="str">
        <f>IF(データ!L3="","",データ!L3)</f>
        <v/>
      </c>
      <c r="N6" s="41" t="str">
        <f>IF(データ!M3="","",データ!M3)</f>
        <v>16号内訳書</v>
      </c>
      <c r="O6" s="42">
        <f>データ!N3</f>
        <v>0</v>
      </c>
      <c r="P6" s="48">
        <f>IF($C6="集計行","",データ!O3)</f>
        <v>0</v>
      </c>
      <c r="Q6" s="48">
        <f>データ!P3</f>
        <v>0</v>
      </c>
      <c r="R6" s="39">
        <f>IF(OR($C6="総括",$C6="内訳書",$C6="内訳代価",$C6="明細書",$C6="明細代価",$C6="代価表",$C6="単価表"),データ!Q3,"")</f>
        <v>0</v>
      </c>
      <c r="S6" s="11" t="str">
        <f t="shared" si="2"/>
        <v/>
      </c>
      <c r="T6" s="46" t="e">
        <f t="shared" si="3"/>
        <v>#DIV/0!</v>
      </c>
      <c r="U6" s="40" t="str">
        <f>IF(データ!R3="","",データ!R3)</f>
        <v/>
      </c>
      <c r="V6" s="41" t="str">
        <f>IF(データ!S3="","",データ!S3)</f>
        <v/>
      </c>
      <c r="W6" s="42">
        <f>データ!T3</f>
        <v>0</v>
      </c>
      <c r="X6" s="48">
        <f>IF($C6="集計行","",データ!U3)</f>
        <v>0</v>
      </c>
      <c r="Y6" s="48">
        <f>データ!V3</f>
        <v>0</v>
      </c>
      <c r="Z6" s="39">
        <f>IF(OR($C6="総括",$C6="内訳書",$C6="内訳代価",$C6="明細書",$C6="明細代価",$C6="代価表",$C6="単価表"),データ!W3,"")</f>
        <v>0</v>
      </c>
      <c r="AA6" s="11" t="str">
        <f t="shared" si="4"/>
        <v/>
      </c>
      <c r="AB6" s="46" t="e">
        <f t="shared" si="5"/>
        <v>#DIV/0!</v>
      </c>
      <c r="AC6" s="40" t="str">
        <f>IF(データ!X3="","",データ!X3)</f>
        <v/>
      </c>
      <c r="AD6" s="41" t="str">
        <f>IF(データ!Y3="","",データ!Y3)</f>
        <v/>
      </c>
      <c r="AE6" s="47" t="str">
        <f>TRIM(データ!B3)</f>
        <v/>
      </c>
      <c r="AF6" s="43" t="str">
        <f>TRIM(データ!Z3)</f>
        <v/>
      </c>
    </row>
    <row r="7" spans="1:32" x14ac:dyDescent="0.15">
      <c r="A7" s="47">
        <f>データ!A4</f>
        <v>3</v>
      </c>
      <c r="B7" s="47" t="str">
        <f>TRIM(データ!C4)</f>
        <v/>
      </c>
      <c r="C7" s="47" t="str">
        <f>TRIM(データ!D4)</f>
        <v>材料費</v>
      </c>
      <c r="D7" s="36" t="str">
        <f>REPT("｜",$A7)&amp;TRIM(データ!E4)</f>
        <v>｜｜｜RC-40</v>
      </c>
      <c r="E7" s="37" t="str">
        <f>TRIM(データ!F4)</f>
        <v/>
      </c>
      <c r="F7" s="38" t="str">
        <f>TRIM(データ!G4)</f>
        <v>m3</v>
      </c>
      <c r="G7" s="50">
        <f>データ!H4</f>
        <v>150</v>
      </c>
      <c r="H7" s="48">
        <f>データ!I4</f>
        <v>1600</v>
      </c>
      <c r="I7" s="48">
        <f>データ!J4</f>
        <v>240000</v>
      </c>
      <c r="J7" s="39" t="str">
        <f>IF(OR($C7="総括",$C7="内訳書",$C7="内訳代価",$C7="明細書",$C7="明細代価",$C7="代価表",$C7="単価表"),データ!K4,"")</f>
        <v/>
      </c>
      <c r="K7" s="11" t="str">
        <f t="shared" si="0"/>
        <v/>
      </c>
      <c r="L7" s="46">
        <f t="shared" si="1"/>
        <v>1.9051338594678009E-2</v>
      </c>
      <c r="M7" s="40" t="str">
        <f>IF(データ!L4="","",データ!L4)</f>
        <v/>
      </c>
      <c r="N7" s="41" t="str">
        <f>IF(データ!M4="","",データ!M4)</f>
        <v/>
      </c>
      <c r="O7" s="42">
        <f>データ!N4</f>
        <v>0</v>
      </c>
      <c r="P7" s="48">
        <f>IF($C7="集計行","",データ!O4)</f>
        <v>0</v>
      </c>
      <c r="Q7" s="48">
        <f>データ!P4</f>
        <v>0</v>
      </c>
      <c r="R7" s="39" t="str">
        <f>IF(OR($C7="総括",$C7="内訳書",$C7="内訳代価",$C7="明細書",$C7="明細代価",$C7="代価表",$C7="単価表"),データ!Q4,"")</f>
        <v/>
      </c>
      <c r="S7" s="11" t="str">
        <f t="shared" si="2"/>
        <v/>
      </c>
      <c r="T7" s="46" t="e">
        <f t="shared" si="3"/>
        <v>#DIV/0!</v>
      </c>
      <c r="U7" s="40" t="str">
        <f>IF(データ!R4="","",データ!R4)</f>
        <v/>
      </c>
      <c r="V7" s="41" t="str">
        <f>IF(データ!S4="","",データ!S4)</f>
        <v/>
      </c>
      <c r="W7" s="42">
        <f>データ!T4</f>
        <v>0</v>
      </c>
      <c r="X7" s="48">
        <f>IF($C7="集計行","",データ!U4)</f>
        <v>0</v>
      </c>
      <c r="Y7" s="48">
        <f>データ!V4</f>
        <v>0</v>
      </c>
      <c r="Z7" s="39" t="str">
        <f>IF(OR($C7="総括",$C7="内訳書",$C7="内訳代価",$C7="明細書",$C7="明細代価",$C7="代価表",$C7="単価表"),データ!W4,"")</f>
        <v/>
      </c>
      <c r="AA7" s="11" t="str">
        <f t="shared" si="4"/>
        <v/>
      </c>
      <c r="AB7" s="46" t="e">
        <f t="shared" si="5"/>
        <v>#DIV/0!</v>
      </c>
      <c r="AC7" s="40" t="str">
        <f>IF(データ!X4="","",データ!X4)</f>
        <v/>
      </c>
      <c r="AD7" s="41" t="str">
        <f>IF(データ!Y4="","",データ!Y4)</f>
        <v/>
      </c>
      <c r="AE7" s="47" t="str">
        <f>TRIM(データ!B4)</f>
        <v/>
      </c>
      <c r="AF7" s="43" t="str">
        <f>TRIM(データ!Z4)</f>
        <v/>
      </c>
    </row>
    <row r="8" spans="1:32" x14ac:dyDescent="0.15">
      <c r="A8" s="47">
        <f>データ!A5</f>
        <v>3</v>
      </c>
      <c r="B8" s="47" t="str">
        <f>TRIM(データ!C5)</f>
        <v/>
      </c>
      <c r="C8" s="47" t="str">
        <f>TRIM(データ!D5)</f>
        <v>材料費</v>
      </c>
      <c r="D8" s="36" t="str">
        <f>REPT("｜",$A8)&amp;TRIM(データ!E5)</f>
        <v>｜｜｜軽油</v>
      </c>
      <c r="E8" s="37" t="str">
        <f>TRIM(データ!F5)</f>
        <v/>
      </c>
      <c r="F8" s="38" t="str">
        <f>TRIM(データ!G5)</f>
        <v>リットル</v>
      </c>
      <c r="G8" s="50">
        <f>データ!H5</f>
        <v>300</v>
      </c>
      <c r="H8" s="48">
        <f>データ!I5</f>
        <v>160</v>
      </c>
      <c r="I8" s="48">
        <f>データ!J5</f>
        <v>48000</v>
      </c>
      <c r="J8" s="39" t="str">
        <f>IF(OR($C8="総括",$C8="内訳書",$C8="内訳代価",$C8="明細書",$C8="明細代価",$C8="代価表",$C8="単価表"),データ!K5,"")</f>
        <v/>
      </c>
      <c r="K8" s="11" t="str">
        <f t="shared" si="0"/>
        <v/>
      </c>
      <c r="L8" s="46">
        <f t="shared" si="1"/>
        <v>3.8102677189356016E-3</v>
      </c>
      <c r="M8" s="40" t="str">
        <f>IF(データ!L5="","",データ!L5)</f>
        <v/>
      </c>
      <c r="N8" s="41" t="str">
        <f>IF(データ!M5="","",データ!M5)</f>
        <v/>
      </c>
      <c r="O8" s="42">
        <f>データ!N5</f>
        <v>0</v>
      </c>
      <c r="P8" s="48">
        <f>IF($C8="集計行","",データ!O5)</f>
        <v>0</v>
      </c>
      <c r="Q8" s="48">
        <f>データ!P5</f>
        <v>0</v>
      </c>
      <c r="R8" s="39" t="str">
        <f>IF(OR($C8="総括",$C8="内訳書",$C8="内訳代価",$C8="明細書",$C8="明細代価",$C8="代価表",$C8="単価表"),データ!Q5,"")</f>
        <v/>
      </c>
      <c r="S8" s="11" t="str">
        <f t="shared" si="2"/>
        <v/>
      </c>
      <c r="T8" s="46" t="e">
        <f t="shared" si="3"/>
        <v>#DIV/0!</v>
      </c>
      <c r="U8" s="40" t="str">
        <f>IF(データ!R5="","",データ!R5)</f>
        <v/>
      </c>
      <c r="V8" s="41" t="str">
        <f>IF(データ!S5="","",データ!S5)</f>
        <v/>
      </c>
      <c r="W8" s="42">
        <f>データ!T5</f>
        <v>0</v>
      </c>
      <c r="X8" s="48">
        <f>IF($C8="集計行","",データ!U5)</f>
        <v>0</v>
      </c>
      <c r="Y8" s="48">
        <f>データ!V5</f>
        <v>0</v>
      </c>
      <c r="Z8" s="39" t="str">
        <f>IF(OR($C8="総括",$C8="内訳書",$C8="内訳代価",$C8="明細書",$C8="明細代価",$C8="代価表",$C8="単価表"),データ!W5,"")</f>
        <v/>
      </c>
      <c r="AA8" s="11" t="str">
        <f t="shared" si="4"/>
        <v/>
      </c>
      <c r="AB8" s="46" t="e">
        <f t="shared" si="5"/>
        <v>#DIV/0!</v>
      </c>
      <c r="AC8" s="40" t="str">
        <f>IF(データ!X5="","",データ!X5)</f>
        <v/>
      </c>
      <c r="AD8" s="41" t="str">
        <f>IF(データ!Y5="","",データ!Y5)</f>
        <v/>
      </c>
      <c r="AE8" s="47" t="str">
        <f>TRIM(データ!B5)</f>
        <v/>
      </c>
      <c r="AF8" s="43" t="str">
        <f>TRIM(データ!Z5)</f>
        <v/>
      </c>
    </row>
    <row r="9" spans="1:32" x14ac:dyDescent="0.15">
      <c r="A9" s="47">
        <f>データ!A6</f>
        <v>3</v>
      </c>
      <c r="B9" s="47" t="str">
        <f>TRIM(データ!C6)</f>
        <v/>
      </c>
      <c r="C9" s="47" t="str">
        <f>TRIM(データ!D6)</f>
        <v>材料費</v>
      </c>
      <c r="D9" s="36" t="str">
        <f>REPT("｜",$A9)&amp;TRIM(データ!E6)</f>
        <v>｜｜｜雑材</v>
      </c>
      <c r="E9" s="37" t="str">
        <f>TRIM(データ!F6)</f>
        <v/>
      </c>
      <c r="F9" s="38" t="str">
        <f>TRIM(データ!G6)</f>
        <v>式</v>
      </c>
      <c r="G9" s="50">
        <f>データ!H6</f>
        <v>1</v>
      </c>
      <c r="H9" s="48">
        <f>データ!I6</f>
        <v>12200</v>
      </c>
      <c r="I9" s="48">
        <f>データ!J6</f>
        <v>12200</v>
      </c>
      <c r="J9" s="39" t="str">
        <f>IF(OR($C9="総括",$C9="内訳書",$C9="内訳代価",$C9="明細書",$C9="明細代価",$C9="代価表",$C9="単価表"),データ!K6,"")</f>
        <v/>
      </c>
      <c r="K9" s="11" t="str">
        <f t="shared" si="0"/>
        <v/>
      </c>
      <c r="L9" s="46">
        <f t="shared" si="1"/>
        <v>9.6844304522946539E-4</v>
      </c>
      <c r="M9" s="40" t="str">
        <f>IF(データ!L6="","",データ!L6)</f>
        <v/>
      </c>
      <c r="N9" s="41" t="str">
        <f>IF(データ!M6="","",データ!M6)</f>
        <v/>
      </c>
      <c r="O9" s="42">
        <f>データ!N6</f>
        <v>0</v>
      </c>
      <c r="P9" s="48">
        <f>IF($C9="集計行","",データ!O6)</f>
        <v>0</v>
      </c>
      <c r="Q9" s="48">
        <f>データ!P6</f>
        <v>0</v>
      </c>
      <c r="R9" s="39" t="str">
        <f>IF(OR($C9="総括",$C9="内訳書",$C9="内訳代価",$C9="明細書",$C9="明細代価",$C9="代価表",$C9="単価表"),データ!Q6,"")</f>
        <v/>
      </c>
      <c r="S9" s="11" t="str">
        <f t="shared" si="2"/>
        <v/>
      </c>
      <c r="T9" s="46" t="e">
        <f t="shared" si="3"/>
        <v>#DIV/0!</v>
      </c>
      <c r="U9" s="40" t="str">
        <f>IF(データ!R6="","",データ!R6)</f>
        <v/>
      </c>
      <c r="V9" s="41" t="str">
        <f>IF(データ!S6="","",データ!S6)</f>
        <v/>
      </c>
      <c r="W9" s="42">
        <f>データ!T6</f>
        <v>0</v>
      </c>
      <c r="X9" s="48">
        <f>IF($C9="集計行","",データ!U6)</f>
        <v>0</v>
      </c>
      <c r="Y9" s="48">
        <f>データ!V6</f>
        <v>0</v>
      </c>
      <c r="Z9" s="39" t="str">
        <f>IF(OR($C9="総括",$C9="内訳書",$C9="内訳代価",$C9="明細書",$C9="明細代価",$C9="代価表",$C9="単価表"),データ!W6,"")</f>
        <v/>
      </c>
      <c r="AA9" s="11" t="str">
        <f t="shared" si="4"/>
        <v/>
      </c>
      <c r="AB9" s="46" t="e">
        <f t="shared" si="5"/>
        <v>#DIV/0!</v>
      </c>
      <c r="AC9" s="40" t="str">
        <f>IF(データ!X6="","",データ!X6)</f>
        <v/>
      </c>
      <c r="AD9" s="41" t="str">
        <f>IF(データ!Y6="","",データ!Y6)</f>
        <v/>
      </c>
      <c r="AE9" s="47" t="str">
        <f>TRIM(データ!B6)</f>
        <v/>
      </c>
      <c r="AF9" s="43" t="str">
        <f>TRIM(データ!Z6)</f>
        <v/>
      </c>
    </row>
    <row r="10" spans="1:32" x14ac:dyDescent="0.15">
      <c r="A10" s="47">
        <f>データ!A7</f>
        <v>3</v>
      </c>
      <c r="B10" s="47" t="str">
        <f>TRIM(データ!C7)</f>
        <v/>
      </c>
      <c r="C10" s="47" t="str">
        <f>TRIM(データ!D7)</f>
        <v>労務費</v>
      </c>
      <c r="D10" s="36" t="str">
        <f>REPT("｜",$A10)&amp;TRIM(データ!E7)</f>
        <v>｜｜｜土工</v>
      </c>
      <c r="E10" s="37" t="str">
        <f>TRIM(データ!F7)</f>
        <v/>
      </c>
      <c r="F10" s="38" t="str">
        <f>TRIM(データ!G7)</f>
        <v>人</v>
      </c>
      <c r="G10" s="50">
        <f>データ!H7</f>
        <v>28</v>
      </c>
      <c r="H10" s="48">
        <f>データ!I7</f>
        <v>25000</v>
      </c>
      <c r="I10" s="48">
        <f>データ!J7</f>
        <v>700000</v>
      </c>
      <c r="J10" s="39" t="str">
        <f>IF(OR($C10="総括",$C10="内訳書",$C10="内訳代価",$C10="明細書",$C10="明細代価",$C10="代価表",$C10="単価表"),データ!K7,"")</f>
        <v/>
      </c>
      <c r="K10" s="11" t="str">
        <f t="shared" si="0"/>
        <v/>
      </c>
      <c r="L10" s="46">
        <f t="shared" si="1"/>
        <v>5.5566404234477527E-2</v>
      </c>
      <c r="M10" s="40" t="str">
        <f>IF(データ!L7="","",データ!L7)</f>
        <v/>
      </c>
      <c r="N10" s="41" t="str">
        <f>IF(データ!M7="","",データ!M7)</f>
        <v/>
      </c>
      <c r="O10" s="42">
        <f>データ!N7</f>
        <v>0</v>
      </c>
      <c r="P10" s="48">
        <f>IF($C10="集計行","",データ!O7)</f>
        <v>0</v>
      </c>
      <c r="Q10" s="48">
        <f>データ!P7</f>
        <v>0</v>
      </c>
      <c r="R10" s="39" t="str">
        <f>IF(OR($C10="総括",$C10="内訳書",$C10="内訳代価",$C10="明細書",$C10="明細代価",$C10="代価表",$C10="単価表"),データ!Q7,"")</f>
        <v/>
      </c>
      <c r="S10" s="11" t="str">
        <f t="shared" si="2"/>
        <v/>
      </c>
      <c r="T10" s="46" t="e">
        <f t="shared" si="3"/>
        <v>#DIV/0!</v>
      </c>
      <c r="U10" s="40" t="str">
        <f>IF(データ!R7="","",データ!R7)</f>
        <v/>
      </c>
      <c r="V10" s="41" t="str">
        <f>IF(データ!S7="","",データ!S7)</f>
        <v/>
      </c>
      <c r="W10" s="42">
        <f>データ!T7</f>
        <v>0</v>
      </c>
      <c r="X10" s="48">
        <f>IF($C10="集計行","",データ!U7)</f>
        <v>0</v>
      </c>
      <c r="Y10" s="48">
        <f>データ!V7</f>
        <v>0</v>
      </c>
      <c r="Z10" s="39" t="str">
        <f>IF(OR($C10="総括",$C10="内訳書",$C10="内訳代価",$C10="明細書",$C10="明細代価",$C10="代価表",$C10="単価表"),データ!W7,"")</f>
        <v/>
      </c>
      <c r="AA10" s="11" t="str">
        <f t="shared" si="4"/>
        <v/>
      </c>
      <c r="AB10" s="46" t="e">
        <f t="shared" si="5"/>
        <v>#DIV/0!</v>
      </c>
      <c r="AC10" s="40" t="str">
        <f>IF(データ!X7="","",データ!X7)</f>
        <v/>
      </c>
      <c r="AD10" s="41" t="str">
        <f>IF(データ!Y7="","",データ!Y7)</f>
        <v/>
      </c>
      <c r="AE10" s="47" t="str">
        <f>TRIM(データ!B7)</f>
        <v/>
      </c>
      <c r="AF10" s="43" t="str">
        <f>TRIM(データ!Z7)</f>
        <v/>
      </c>
    </row>
    <row r="11" spans="1:32" x14ac:dyDescent="0.15">
      <c r="A11" s="47">
        <f>データ!A8</f>
        <v>3</v>
      </c>
      <c r="B11" s="47" t="str">
        <f>TRIM(データ!C8)</f>
        <v/>
      </c>
      <c r="C11" s="47" t="str">
        <f>TRIM(データ!D8)</f>
        <v>機械費</v>
      </c>
      <c r="D11" s="36" t="str">
        <f>REPT("｜",$A11)&amp;TRIM(データ!E8)</f>
        <v>｜｜｜グレーター</v>
      </c>
      <c r="E11" s="37" t="str">
        <f>TRIM(データ!F8)</f>
        <v/>
      </c>
      <c r="F11" s="38" t="str">
        <f>TRIM(データ!G8)</f>
        <v>台</v>
      </c>
      <c r="G11" s="50">
        <f>データ!H8</f>
        <v>4</v>
      </c>
      <c r="H11" s="48">
        <f>データ!I8</f>
        <v>15000</v>
      </c>
      <c r="I11" s="48">
        <f>データ!J8</f>
        <v>60000</v>
      </c>
      <c r="J11" s="39" t="str">
        <f>IF(OR($C11="総括",$C11="内訳書",$C11="内訳代価",$C11="明細書",$C11="明細代価",$C11="代価表",$C11="単価表"),データ!K8,"")</f>
        <v/>
      </c>
      <c r="K11" s="11" t="str">
        <f t="shared" si="0"/>
        <v/>
      </c>
      <c r="L11" s="46">
        <f t="shared" si="1"/>
        <v>4.7628346486695023E-3</v>
      </c>
      <c r="M11" s="40" t="str">
        <f>IF(データ!L8="","",データ!L8)</f>
        <v/>
      </c>
      <c r="N11" s="41" t="str">
        <f>IF(データ!M8="","",データ!M8)</f>
        <v/>
      </c>
      <c r="O11" s="42">
        <f>データ!N8</f>
        <v>0</v>
      </c>
      <c r="P11" s="48">
        <f>IF($C11="集計行","",データ!O8)</f>
        <v>0</v>
      </c>
      <c r="Q11" s="48">
        <f>データ!P8</f>
        <v>0</v>
      </c>
      <c r="R11" s="39" t="str">
        <f>IF(OR($C11="総括",$C11="内訳書",$C11="内訳代価",$C11="明細書",$C11="明細代価",$C11="代価表",$C11="単価表"),データ!Q8,"")</f>
        <v/>
      </c>
      <c r="S11" s="11" t="str">
        <f t="shared" si="2"/>
        <v/>
      </c>
      <c r="T11" s="46" t="e">
        <f t="shared" si="3"/>
        <v>#DIV/0!</v>
      </c>
      <c r="U11" s="40" t="str">
        <f>IF(データ!R8="","",データ!R8)</f>
        <v/>
      </c>
      <c r="V11" s="41" t="str">
        <f>IF(データ!S8="","",データ!S8)</f>
        <v/>
      </c>
      <c r="W11" s="42">
        <f>データ!T8</f>
        <v>0</v>
      </c>
      <c r="X11" s="48">
        <f>IF($C11="集計行","",データ!U8)</f>
        <v>0</v>
      </c>
      <c r="Y11" s="48">
        <f>データ!V8</f>
        <v>0</v>
      </c>
      <c r="Z11" s="39" t="str">
        <f>IF(OR($C11="総括",$C11="内訳書",$C11="内訳代価",$C11="明細書",$C11="明細代価",$C11="代価表",$C11="単価表"),データ!W8,"")</f>
        <v/>
      </c>
      <c r="AA11" s="11" t="str">
        <f t="shared" si="4"/>
        <v/>
      </c>
      <c r="AB11" s="46" t="e">
        <f t="shared" si="5"/>
        <v>#DIV/0!</v>
      </c>
      <c r="AC11" s="40" t="str">
        <f>IF(データ!X8="","",データ!X8)</f>
        <v/>
      </c>
      <c r="AD11" s="41" t="str">
        <f>IF(データ!Y8="","",データ!Y8)</f>
        <v/>
      </c>
      <c r="AE11" s="47" t="str">
        <f>TRIM(データ!B8)</f>
        <v/>
      </c>
      <c r="AF11" s="43" t="str">
        <f>TRIM(データ!Z8)</f>
        <v/>
      </c>
    </row>
    <row r="12" spans="1:32" x14ac:dyDescent="0.15">
      <c r="A12" s="47">
        <f>データ!A9</f>
        <v>3</v>
      </c>
      <c r="B12" s="47" t="str">
        <f>TRIM(データ!C9)</f>
        <v/>
      </c>
      <c r="C12" s="47" t="str">
        <f>TRIM(データ!D9)</f>
        <v>機械費</v>
      </c>
      <c r="D12" s="36" t="str">
        <f>REPT("｜",$A12)&amp;TRIM(データ!E9)</f>
        <v>｜｜｜タンデムローラ4t</v>
      </c>
      <c r="E12" s="37" t="str">
        <f>TRIM(データ!F9)</f>
        <v/>
      </c>
      <c r="F12" s="38" t="str">
        <f>TRIM(データ!G9)</f>
        <v>台</v>
      </c>
      <c r="G12" s="50">
        <f>データ!H9</f>
        <v>3</v>
      </c>
      <c r="H12" s="48">
        <f>データ!I9</f>
        <v>7000</v>
      </c>
      <c r="I12" s="48">
        <f>データ!J9</f>
        <v>21000</v>
      </c>
      <c r="J12" s="39" t="str">
        <f>IF(OR($C12="総括",$C12="内訳書",$C12="内訳代価",$C12="明細書",$C12="明細代価",$C12="代価表",$C12="単価表"),データ!K9,"")</f>
        <v/>
      </c>
      <c r="K12" s="11" t="str">
        <f t="shared" si="0"/>
        <v/>
      </c>
      <c r="L12" s="46">
        <f t="shared" si="1"/>
        <v>1.6669921270343257E-3</v>
      </c>
      <c r="M12" s="40" t="str">
        <f>IF(データ!L9="","",データ!L9)</f>
        <v/>
      </c>
      <c r="N12" s="41" t="str">
        <f>IF(データ!M9="","",データ!M9)</f>
        <v/>
      </c>
      <c r="O12" s="42">
        <f>データ!N9</f>
        <v>0</v>
      </c>
      <c r="P12" s="48">
        <f>IF($C12="集計行","",データ!O9)</f>
        <v>0</v>
      </c>
      <c r="Q12" s="48">
        <f>データ!P9</f>
        <v>0</v>
      </c>
      <c r="R12" s="39" t="str">
        <f>IF(OR($C12="総括",$C12="内訳書",$C12="内訳代価",$C12="明細書",$C12="明細代価",$C12="代価表",$C12="単価表"),データ!Q9,"")</f>
        <v/>
      </c>
      <c r="S12" s="11" t="str">
        <f t="shared" si="2"/>
        <v/>
      </c>
      <c r="T12" s="46" t="e">
        <f t="shared" si="3"/>
        <v>#DIV/0!</v>
      </c>
      <c r="U12" s="40" t="str">
        <f>IF(データ!R9="","",データ!R9)</f>
        <v/>
      </c>
      <c r="V12" s="41" t="str">
        <f>IF(データ!S9="","",データ!S9)</f>
        <v/>
      </c>
      <c r="W12" s="42">
        <f>データ!T9</f>
        <v>0</v>
      </c>
      <c r="X12" s="48">
        <f>IF($C12="集計行","",データ!U9)</f>
        <v>0</v>
      </c>
      <c r="Y12" s="48">
        <f>データ!V9</f>
        <v>0</v>
      </c>
      <c r="Z12" s="39" t="str">
        <f>IF(OR($C12="総括",$C12="内訳書",$C12="内訳代価",$C12="明細書",$C12="明細代価",$C12="代価表",$C12="単価表"),データ!W9,"")</f>
        <v/>
      </c>
      <c r="AA12" s="11" t="str">
        <f t="shared" si="4"/>
        <v/>
      </c>
      <c r="AB12" s="46" t="e">
        <f t="shared" si="5"/>
        <v>#DIV/0!</v>
      </c>
      <c r="AC12" s="40" t="str">
        <f>IF(データ!X9="","",データ!X9)</f>
        <v/>
      </c>
      <c r="AD12" s="41" t="str">
        <f>IF(データ!Y9="","",データ!Y9)</f>
        <v/>
      </c>
      <c r="AE12" s="47" t="str">
        <f>TRIM(データ!B9)</f>
        <v/>
      </c>
      <c r="AF12" s="43" t="str">
        <f>TRIM(データ!Z9)</f>
        <v/>
      </c>
    </row>
    <row r="13" spans="1:32" x14ac:dyDescent="0.15">
      <c r="A13" s="47">
        <f>データ!A10</f>
        <v>3</v>
      </c>
      <c r="B13" s="47" t="str">
        <f>TRIM(データ!C10)</f>
        <v/>
      </c>
      <c r="C13" s="47" t="str">
        <f>TRIM(データ!D10)</f>
        <v>機械費</v>
      </c>
      <c r="D13" s="36" t="str">
        <f>REPT("｜",$A13)&amp;TRIM(データ!E10)</f>
        <v>｜｜｜タイヤローラ</v>
      </c>
      <c r="E13" s="37" t="str">
        <f>TRIM(データ!F10)</f>
        <v/>
      </c>
      <c r="F13" s="38" t="str">
        <f>TRIM(データ!G10)</f>
        <v>台</v>
      </c>
      <c r="G13" s="50">
        <f>データ!H10</f>
        <v>4</v>
      </c>
      <c r="H13" s="48">
        <f>データ!I10</f>
        <v>8000</v>
      </c>
      <c r="I13" s="48">
        <f>データ!J10</f>
        <v>32000</v>
      </c>
      <c r="J13" s="39" t="str">
        <f>IF(OR($C13="総括",$C13="内訳書",$C13="内訳代価",$C13="明細書",$C13="明細代価",$C13="代価表",$C13="単価表"),データ!K10,"")</f>
        <v/>
      </c>
      <c r="K13" s="11" t="str">
        <f t="shared" si="0"/>
        <v/>
      </c>
      <c r="L13" s="46">
        <f t="shared" si="1"/>
        <v>2.5401784792904013E-3</v>
      </c>
      <c r="M13" s="40" t="str">
        <f>IF(データ!L10="","",データ!L10)</f>
        <v/>
      </c>
      <c r="N13" s="41" t="str">
        <f>IF(データ!M10="","",データ!M10)</f>
        <v/>
      </c>
      <c r="O13" s="42">
        <f>データ!N10</f>
        <v>0</v>
      </c>
      <c r="P13" s="48">
        <f>IF($C13="集計行","",データ!O10)</f>
        <v>0</v>
      </c>
      <c r="Q13" s="48">
        <f>データ!P10</f>
        <v>0</v>
      </c>
      <c r="R13" s="39" t="str">
        <f>IF(OR($C13="総括",$C13="内訳書",$C13="内訳代価",$C13="明細書",$C13="明細代価",$C13="代価表",$C13="単価表"),データ!Q10,"")</f>
        <v/>
      </c>
      <c r="S13" s="11" t="str">
        <f t="shared" si="2"/>
        <v/>
      </c>
      <c r="T13" s="46" t="e">
        <f t="shared" si="3"/>
        <v>#DIV/0!</v>
      </c>
      <c r="U13" s="40" t="str">
        <f>IF(データ!R10="","",データ!R10)</f>
        <v/>
      </c>
      <c r="V13" s="41" t="str">
        <f>IF(データ!S10="","",データ!S10)</f>
        <v/>
      </c>
      <c r="W13" s="42">
        <f>データ!T10</f>
        <v>0</v>
      </c>
      <c r="X13" s="48">
        <f>IF($C13="集計行","",データ!U10)</f>
        <v>0</v>
      </c>
      <c r="Y13" s="48">
        <f>データ!V10</f>
        <v>0</v>
      </c>
      <c r="Z13" s="39" t="str">
        <f>IF(OR($C13="総括",$C13="内訳書",$C13="内訳代価",$C13="明細書",$C13="明細代価",$C13="代価表",$C13="単価表"),データ!W10,"")</f>
        <v/>
      </c>
      <c r="AA13" s="11" t="str">
        <f t="shared" si="4"/>
        <v/>
      </c>
      <c r="AB13" s="46" t="e">
        <f t="shared" si="5"/>
        <v>#DIV/0!</v>
      </c>
      <c r="AC13" s="40" t="str">
        <f>IF(データ!X10="","",データ!X10)</f>
        <v/>
      </c>
      <c r="AD13" s="41" t="str">
        <f>IF(データ!Y10="","",データ!Y10)</f>
        <v/>
      </c>
      <c r="AE13" s="47" t="str">
        <f>TRIM(データ!B10)</f>
        <v/>
      </c>
      <c r="AF13" s="43" t="str">
        <f>TRIM(データ!Z10)</f>
        <v/>
      </c>
    </row>
    <row r="14" spans="1:32" x14ac:dyDescent="0.15">
      <c r="A14" s="47">
        <f>データ!A11</f>
        <v>3</v>
      </c>
      <c r="B14" s="47" t="str">
        <f>TRIM(データ!C11)</f>
        <v/>
      </c>
      <c r="C14" s="47" t="str">
        <f>TRIM(データ!D11)</f>
        <v>機械費</v>
      </c>
      <c r="D14" s="36" t="str">
        <f>REPT("｜",$A14)&amp;TRIM(データ!E11)</f>
        <v>｜｜｜タイヤショベル</v>
      </c>
      <c r="E14" s="37" t="str">
        <f>TRIM(データ!F11)</f>
        <v/>
      </c>
      <c r="F14" s="38" t="str">
        <f>TRIM(データ!G11)</f>
        <v>台</v>
      </c>
      <c r="G14" s="50">
        <f>データ!H11</f>
        <v>4</v>
      </c>
      <c r="H14" s="48">
        <f>データ!I11</f>
        <v>6000</v>
      </c>
      <c r="I14" s="48">
        <f>データ!J11</f>
        <v>24000</v>
      </c>
      <c r="J14" s="39" t="str">
        <f>IF(OR($C14="総括",$C14="内訳書",$C14="内訳代価",$C14="明細書",$C14="明細代価",$C14="代価表",$C14="単価表"),データ!K11,"")</f>
        <v/>
      </c>
      <c r="K14" s="11" t="str">
        <f t="shared" si="0"/>
        <v/>
      </c>
      <c r="L14" s="46">
        <f t="shared" si="1"/>
        <v>1.9051338594678008E-3</v>
      </c>
      <c r="M14" s="40" t="str">
        <f>IF(データ!L11="","",データ!L11)</f>
        <v/>
      </c>
      <c r="N14" s="41" t="str">
        <f>IF(データ!M11="","",データ!M11)</f>
        <v/>
      </c>
      <c r="O14" s="42">
        <f>データ!N11</f>
        <v>0</v>
      </c>
      <c r="P14" s="48">
        <f>IF($C14="集計行","",データ!O11)</f>
        <v>0</v>
      </c>
      <c r="Q14" s="48">
        <f>データ!P11</f>
        <v>0</v>
      </c>
      <c r="R14" s="39" t="str">
        <f>IF(OR($C14="総括",$C14="内訳書",$C14="内訳代価",$C14="明細書",$C14="明細代価",$C14="代価表",$C14="単価表"),データ!Q11,"")</f>
        <v/>
      </c>
      <c r="S14" s="11" t="str">
        <f t="shared" si="2"/>
        <v/>
      </c>
      <c r="T14" s="46" t="e">
        <f t="shared" si="3"/>
        <v>#DIV/0!</v>
      </c>
      <c r="U14" s="40" t="str">
        <f>IF(データ!R11="","",データ!R11)</f>
        <v/>
      </c>
      <c r="V14" s="41" t="str">
        <f>IF(データ!S11="","",データ!S11)</f>
        <v/>
      </c>
      <c r="W14" s="42">
        <f>データ!T11</f>
        <v>0</v>
      </c>
      <c r="X14" s="48">
        <f>IF($C14="集計行","",データ!U11)</f>
        <v>0</v>
      </c>
      <c r="Y14" s="48">
        <f>データ!V11</f>
        <v>0</v>
      </c>
      <c r="Z14" s="39" t="str">
        <f>IF(OR($C14="総括",$C14="内訳書",$C14="内訳代価",$C14="明細書",$C14="明細代価",$C14="代価表",$C14="単価表"),データ!W11,"")</f>
        <v/>
      </c>
      <c r="AA14" s="11" t="str">
        <f t="shared" si="4"/>
        <v/>
      </c>
      <c r="AB14" s="46" t="e">
        <f t="shared" si="5"/>
        <v>#DIV/0!</v>
      </c>
      <c r="AC14" s="40" t="str">
        <f>IF(データ!X11="","",データ!X11)</f>
        <v/>
      </c>
      <c r="AD14" s="41" t="str">
        <f>IF(データ!Y11="","",データ!Y11)</f>
        <v/>
      </c>
      <c r="AE14" s="47" t="str">
        <f>TRIM(データ!B11)</f>
        <v/>
      </c>
      <c r="AF14" s="43" t="str">
        <f>TRIM(データ!Z11)</f>
        <v/>
      </c>
    </row>
    <row r="15" spans="1:32" x14ac:dyDescent="0.15">
      <c r="A15" s="47">
        <f>データ!A12</f>
        <v>3</v>
      </c>
      <c r="B15" s="47" t="str">
        <f>TRIM(データ!C12)</f>
        <v/>
      </c>
      <c r="C15" s="47" t="str">
        <f>TRIM(データ!D12)</f>
        <v>機械費</v>
      </c>
      <c r="D15" s="36" t="str">
        <f>REPT("｜",$A15)&amp;TRIM(データ!E12)</f>
        <v>｜｜｜ミニバックホウ</v>
      </c>
      <c r="E15" s="37" t="str">
        <f>TRIM(データ!F12)</f>
        <v/>
      </c>
      <c r="F15" s="38" t="str">
        <f>TRIM(データ!G12)</f>
        <v>台</v>
      </c>
      <c r="G15" s="50">
        <f>データ!H12</f>
        <v>3</v>
      </c>
      <c r="H15" s="48">
        <f>データ!I12</f>
        <v>8000</v>
      </c>
      <c r="I15" s="48">
        <f>データ!J12</f>
        <v>24000</v>
      </c>
      <c r="J15" s="39" t="str">
        <f>IF(OR($C15="総括",$C15="内訳書",$C15="内訳代価",$C15="明細書",$C15="明細代価",$C15="代価表",$C15="単価表"),データ!K12,"")</f>
        <v/>
      </c>
      <c r="K15" s="11" t="str">
        <f t="shared" si="0"/>
        <v/>
      </c>
      <c r="L15" s="46">
        <f t="shared" si="1"/>
        <v>1.9051338594678008E-3</v>
      </c>
      <c r="M15" s="40" t="str">
        <f>IF(データ!L12="","",データ!L12)</f>
        <v/>
      </c>
      <c r="N15" s="41" t="str">
        <f>IF(データ!M12="","",データ!M12)</f>
        <v/>
      </c>
      <c r="O15" s="42">
        <f>データ!N12</f>
        <v>0</v>
      </c>
      <c r="P15" s="48">
        <f>IF($C15="集計行","",データ!O12)</f>
        <v>0</v>
      </c>
      <c r="Q15" s="48">
        <f>データ!P12</f>
        <v>0</v>
      </c>
      <c r="R15" s="39" t="str">
        <f>IF(OR($C15="総括",$C15="内訳書",$C15="内訳代価",$C15="明細書",$C15="明細代価",$C15="代価表",$C15="単価表"),データ!Q12,"")</f>
        <v/>
      </c>
      <c r="S15" s="11" t="str">
        <f t="shared" si="2"/>
        <v/>
      </c>
      <c r="T15" s="46" t="e">
        <f t="shared" si="3"/>
        <v>#DIV/0!</v>
      </c>
      <c r="U15" s="40" t="str">
        <f>IF(データ!R12="","",データ!R12)</f>
        <v/>
      </c>
      <c r="V15" s="41" t="str">
        <f>IF(データ!S12="","",データ!S12)</f>
        <v/>
      </c>
      <c r="W15" s="42">
        <f>データ!T12</f>
        <v>0</v>
      </c>
      <c r="X15" s="48">
        <f>IF($C15="集計行","",データ!U12)</f>
        <v>0</v>
      </c>
      <c r="Y15" s="48">
        <f>データ!V12</f>
        <v>0</v>
      </c>
      <c r="Z15" s="39" t="str">
        <f>IF(OR($C15="総括",$C15="内訳書",$C15="内訳代価",$C15="明細書",$C15="明細代価",$C15="代価表",$C15="単価表"),データ!W12,"")</f>
        <v/>
      </c>
      <c r="AA15" s="11" t="str">
        <f t="shared" si="4"/>
        <v/>
      </c>
      <c r="AB15" s="46" t="e">
        <f t="shared" si="5"/>
        <v>#DIV/0!</v>
      </c>
      <c r="AC15" s="40" t="str">
        <f>IF(データ!X12="","",データ!X12)</f>
        <v/>
      </c>
      <c r="AD15" s="41" t="str">
        <f>IF(データ!Y12="","",データ!Y12)</f>
        <v/>
      </c>
      <c r="AE15" s="47" t="str">
        <f>TRIM(データ!B12)</f>
        <v/>
      </c>
      <c r="AF15" s="43" t="str">
        <f>TRIM(データ!Z12)</f>
        <v/>
      </c>
    </row>
    <row r="16" spans="1:32" x14ac:dyDescent="0.15">
      <c r="A16" s="47">
        <f>データ!A13</f>
        <v>3</v>
      </c>
      <c r="B16" s="47" t="str">
        <f>TRIM(データ!C13)</f>
        <v/>
      </c>
      <c r="C16" s="47" t="str">
        <f>TRIM(データ!D13)</f>
        <v>機械費</v>
      </c>
      <c r="D16" s="36" t="str">
        <f>REPT("｜",$A16)&amp;TRIM(データ!E13)</f>
        <v>｜｜｜散水車4t</v>
      </c>
      <c r="E16" s="37" t="str">
        <f>TRIM(データ!F13)</f>
        <v/>
      </c>
      <c r="F16" s="38" t="str">
        <f>TRIM(データ!G13)</f>
        <v>台</v>
      </c>
      <c r="G16" s="50">
        <f>データ!H13</f>
        <v>3</v>
      </c>
      <c r="H16" s="48">
        <f>データ!I13</f>
        <v>15000</v>
      </c>
      <c r="I16" s="48">
        <f>データ!J13</f>
        <v>45000</v>
      </c>
      <c r="J16" s="39" t="str">
        <f>IF(OR($C16="総括",$C16="内訳書",$C16="内訳代価",$C16="明細書",$C16="明細代価",$C16="代価表",$C16="単価表"),データ!K13,"")</f>
        <v/>
      </c>
      <c r="K16" s="11" t="str">
        <f t="shared" si="0"/>
        <v/>
      </c>
      <c r="L16" s="46">
        <f t="shared" si="1"/>
        <v>3.5721259865021267E-3</v>
      </c>
      <c r="M16" s="40" t="str">
        <f>IF(データ!L13="","",データ!L13)</f>
        <v/>
      </c>
      <c r="N16" s="41" t="str">
        <f>IF(データ!M13="","",データ!M13)</f>
        <v/>
      </c>
      <c r="O16" s="42">
        <f>データ!N13</f>
        <v>0</v>
      </c>
      <c r="P16" s="48">
        <f>IF($C16="集計行","",データ!O13)</f>
        <v>0</v>
      </c>
      <c r="Q16" s="48">
        <f>データ!P13</f>
        <v>0</v>
      </c>
      <c r="R16" s="39" t="str">
        <f>IF(OR($C16="総括",$C16="内訳書",$C16="内訳代価",$C16="明細書",$C16="明細代価",$C16="代価表",$C16="単価表"),データ!Q13,"")</f>
        <v/>
      </c>
      <c r="S16" s="11" t="str">
        <f t="shared" si="2"/>
        <v/>
      </c>
      <c r="T16" s="46" t="e">
        <f t="shared" si="3"/>
        <v>#DIV/0!</v>
      </c>
      <c r="U16" s="40" t="str">
        <f>IF(データ!R13="","",データ!R13)</f>
        <v/>
      </c>
      <c r="V16" s="41" t="str">
        <f>IF(データ!S13="","",データ!S13)</f>
        <v/>
      </c>
      <c r="W16" s="42">
        <f>データ!T13</f>
        <v>0</v>
      </c>
      <c r="X16" s="48">
        <f>IF($C16="集計行","",データ!U13)</f>
        <v>0</v>
      </c>
      <c r="Y16" s="48">
        <f>データ!V13</f>
        <v>0</v>
      </c>
      <c r="Z16" s="39" t="str">
        <f>IF(OR($C16="総括",$C16="内訳書",$C16="内訳代価",$C16="明細書",$C16="明細代価",$C16="代価表",$C16="単価表"),データ!W13,"")</f>
        <v/>
      </c>
      <c r="AA16" s="11" t="str">
        <f t="shared" si="4"/>
        <v/>
      </c>
      <c r="AB16" s="46" t="e">
        <f t="shared" si="5"/>
        <v>#DIV/0!</v>
      </c>
      <c r="AC16" s="40" t="str">
        <f>IF(データ!X13="","",データ!X13)</f>
        <v/>
      </c>
      <c r="AD16" s="41" t="str">
        <f>IF(データ!Y13="","",データ!Y13)</f>
        <v/>
      </c>
      <c r="AE16" s="47" t="str">
        <f>TRIM(データ!B13)</f>
        <v/>
      </c>
      <c r="AF16" s="43" t="str">
        <f>TRIM(データ!Z13)</f>
        <v/>
      </c>
    </row>
    <row r="17" spans="1:32" x14ac:dyDescent="0.15">
      <c r="A17" s="47">
        <f>データ!A14</f>
        <v>3</v>
      </c>
      <c r="B17" s="47" t="str">
        <f>TRIM(データ!C14)</f>
        <v/>
      </c>
      <c r="C17" s="47" t="str">
        <f>TRIM(データ!D14)</f>
        <v>機械費</v>
      </c>
      <c r="D17" s="36" t="str">
        <f>REPT("｜",$A17)&amp;TRIM(データ!E14)</f>
        <v>｜｜｜小物機械</v>
      </c>
      <c r="E17" s="37" t="str">
        <f>TRIM(データ!F14)</f>
        <v/>
      </c>
      <c r="F17" s="38" t="str">
        <f>TRIM(データ!G14)</f>
        <v>台</v>
      </c>
      <c r="G17" s="50">
        <f>データ!H14</f>
        <v>6</v>
      </c>
      <c r="H17" s="48">
        <f>データ!I14</f>
        <v>3000</v>
      </c>
      <c r="I17" s="48">
        <f>データ!J14</f>
        <v>18000</v>
      </c>
      <c r="J17" s="39" t="str">
        <f>IF(OR($C17="総括",$C17="内訳書",$C17="内訳代価",$C17="明細書",$C17="明細代価",$C17="代価表",$C17="単価表"),データ!K14,"")</f>
        <v/>
      </c>
      <c r="K17" s="11" t="str">
        <f t="shared" si="0"/>
        <v/>
      </c>
      <c r="L17" s="46">
        <f t="shared" si="1"/>
        <v>1.4288503946008506E-3</v>
      </c>
      <c r="M17" s="40" t="str">
        <f>IF(データ!L14="","",データ!L14)</f>
        <v/>
      </c>
      <c r="N17" s="41" t="str">
        <f>IF(データ!M14="","",データ!M14)</f>
        <v/>
      </c>
      <c r="O17" s="42">
        <f>データ!N14</f>
        <v>0</v>
      </c>
      <c r="P17" s="48">
        <f>IF($C17="集計行","",データ!O14)</f>
        <v>0</v>
      </c>
      <c r="Q17" s="48">
        <f>データ!P14</f>
        <v>0</v>
      </c>
      <c r="R17" s="39" t="str">
        <f>IF(OR($C17="総括",$C17="内訳書",$C17="内訳代価",$C17="明細書",$C17="明細代価",$C17="代価表",$C17="単価表"),データ!Q14,"")</f>
        <v/>
      </c>
      <c r="S17" s="11" t="str">
        <f t="shared" si="2"/>
        <v/>
      </c>
      <c r="T17" s="46" t="e">
        <f t="shared" si="3"/>
        <v>#DIV/0!</v>
      </c>
      <c r="U17" s="40" t="str">
        <f>IF(データ!R14="","",データ!R14)</f>
        <v/>
      </c>
      <c r="V17" s="41" t="str">
        <f>IF(データ!S14="","",データ!S14)</f>
        <v/>
      </c>
      <c r="W17" s="42">
        <f>データ!T14</f>
        <v>0</v>
      </c>
      <c r="X17" s="48">
        <f>IF($C17="集計行","",データ!U14)</f>
        <v>0</v>
      </c>
      <c r="Y17" s="48">
        <f>データ!V14</f>
        <v>0</v>
      </c>
      <c r="Z17" s="39" t="str">
        <f>IF(OR($C17="総括",$C17="内訳書",$C17="内訳代価",$C17="明細書",$C17="明細代価",$C17="代価表",$C17="単価表"),データ!W14,"")</f>
        <v/>
      </c>
      <c r="AA17" s="11" t="str">
        <f t="shared" si="4"/>
        <v/>
      </c>
      <c r="AB17" s="46" t="e">
        <f t="shared" si="5"/>
        <v>#DIV/0!</v>
      </c>
      <c r="AC17" s="40" t="str">
        <f>IF(データ!X14="","",データ!X14)</f>
        <v/>
      </c>
      <c r="AD17" s="41" t="str">
        <f>IF(データ!Y14="","",データ!Y14)</f>
        <v/>
      </c>
      <c r="AE17" s="47" t="str">
        <f>TRIM(データ!B14)</f>
        <v/>
      </c>
      <c r="AF17" s="43" t="str">
        <f>TRIM(データ!Z14)</f>
        <v/>
      </c>
    </row>
    <row r="18" spans="1:32" x14ac:dyDescent="0.15">
      <c r="A18" s="47">
        <f>データ!A15</f>
        <v>3</v>
      </c>
      <c r="B18" s="47" t="str">
        <f>TRIM(データ!C15)</f>
        <v/>
      </c>
      <c r="C18" s="47" t="str">
        <f>TRIM(データ!D15)</f>
        <v>運搬費</v>
      </c>
      <c r="D18" s="36" t="str">
        <f>REPT("｜",$A18)&amp;TRIM(データ!E15)</f>
        <v>｜｜｜4tダンプ</v>
      </c>
      <c r="E18" s="37" t="str">
        <f>TRIM(データ!F15)</f>
        <v/>
      </c>
      <c r="F18" s="38" t="str">
        <f>TRIM(データ!G15)</f>
        <v>台</v>
      </c>
      <c r="G18" s="50">
        <f>データ!H15</f>
        <v>3</v>
      </c>
      <c r="H18" s="48">
        <f>データ!I15</f>
        <v>10000</v>
      </c>
      <c r="I18" s="48">
        <f>データ!J15</f>
        <v>30000</v>
      </c>
      <c r="J18" s="39" t="str">
        <f>IF(OR($C18="総括",$C18="内訳書",$C18="内訳代価",$C18="明細書",$C18="明細代価",$C18="代価表",$C18="単価表"),データ!K15,"")</f>
        <v/>
      </c>
      <c r="K18" s="11" t="str">
        <f t="shared" si="0"/>
        <v/>
      </c>
      <c r="L18" s="46">
        <f t="shared" si="1"/>
        <v>2.3814173243347512E-3</v>
      </c>
      <c r="M18" s="40" t="str">
        <f>IF(データ!L15="","",データ!L15)</f>
        <v/>
      </c>
      <c r="N18" s="41" t="str">
        <f>IF(データ!M15="","",データ!M15)</f>
        <v/>
      </c>
      <c r="O18" s="42">
        <f>データ!N15</f>
        <v>0</v>
      </c>
      <c r="P18" s="48">
        <f>IF($C18="集計行","",データ!O15)</f>
        <v>0</v>
      </c>
      <c r="Q18" s="48">
        <f>データ!P15</f>
        <v>0</v>
      </c>
      <c r="R18" s="39" t="str">
        <f>IF(OR($C18="総括",$C18="内訳書",$C18="内訳代価",$C18="明細書",$C18="明細代価",$C18="代価表",$C18="単価表"),データ!Q15,"")</f>
        <v/>
      </c>
      <c r="S18" s="11" t="str">
        <f t="shared" si="2"/>
        <v/>
      </c>
      <c r="T18" s="46" t="e">
        <f t="shared" si="3"/>
        <v>#DIV/0!</v>
      </c>
      <c r="U18" s="40" t="str">
        <f>IF(データ!R15="","",データ!R15)</f>
        <v/>
      </c>
      <c r="V18" s="41" t="str">
        <f>IF(データ!S15="","",データ!S15)</f>
        <v/>
      </c>
      <c r="W18" s="42">
        <f>データ!T15</f>
        <v>0</v>
      </c>
      <c r="X18" s="48">
        <f>IF($C18="集計行","",データ!U15)</f>
        <v>0</v>
      </c>
      <c r="Y18" s="48">
        <f>データ!V15</f>
        <v>0</v>
      </c>
      <c r="Z18" s="39" t="str">
        <f>IF(OR($C18="総括",$C18="内訳書",$C18="内訳代価",$C18="明細書",$C18="明細代価",$C18="代価表",$C18="単価表"),データ!W15,"")</f>
        <v/>
      </c>
      <c r="AA18" s="11" t="str">
        <f t="shared" si="4"/>
        <v/>
      </c>
      <c r="AB18" s="46" t="e">
        <f t="shared" si="5"/>
        <v>#DIV/0!</v>
      </c>
      <c r="AC18" s="40" t="str">
        <f>IF(データ!X15="","",データ!X15)</f>
        <v/>
      </c>
      <c r="AD18" s="41" t="str">
        <f>IF(データ!Y15="","",データ!Y15)</f>
        <v/>
      </c>
      <c r="AE18" s="47" t="str">
        <f>TRIM(データ!B15)</f>
        <v/>
      </c>
      <c r="AF18" s="43" t="str">
        <f>TRIM(データ!Z15)</f>
        <v/>
      </c>
    </row>
    <row r="19" spans="1:32" x14ac:dyDescent="0.15">
      <c r="A19" s="47">
        <f>データ!A16</f>
        <v>3</v>
      </c>
      <c r="B19" s="47" t="str">
        <f>TRIM(データ!C16)</f>
        <v/>
      </c>
      <c r="C19" s="47" t="str">
        <f>TRIM(データ!D16)</f>
        <v>運搬費</v>
      </c>
      <c r="D19" s="36" t="str">
        <f>REPT("｜",$A19)&amp;TRIM(データ!E16)</f>
        <v>｜｜｜2tダンプ</v>
      </c>
      <c r="E19" s="37" t="str">
        <f>TRIM(データ!F16)</f>
        <v/>
      </c>
      <c r="F19" s="38" t="str">
        <f>TRIM(データ!G16)</f>
        <v>台</v>
      </c>
      <c r="G19" s="50">
        <f>データ!H16</f>
        <v>3</v>
      </c>
      <c r="H19" s="48">
        <f>データ!I16</f>
        <v>8000</v>
      </c>
      <c r="I19" s="48">
        <f>データ!J16</f>
        <v>24000</v>
      </c>
      <c r="J19" s="39" t="str">
        <f>IF(OR($C19="総括",$C19="内訳書",$C19="内訳代価",$C19="明細書",$C19="明細代価",$C19="代価表",$C19="単価表"),データ!K16,"")</f>
        <v/>
      </c>
      <c r="K19" s="11" t="str">
        <f t="shared" si="0"/>
        <v/>
      </c>
      <c r="L19" s="46">
        <f t="shared" si="1"/>
        <v>1.9051338594678008E-3</v>
      </c>
      <c r="M19" s="40" t="str">
        <f>IF(データ!L16="","",データ!L16)</f>
        <v/>
      </c>
      <c r="N19" s="41" t="str">
        <f>IF(データ!M16="","",データ!M16)</f>
        <v/>
      </c>
      <c r="O19" s="42">
        <f>データ!N16</f>
        <v>0</v>
      </c>
      <c r="P19" s="48">
        <f>IF($C19="集計行","",データ!O16)</f>
        <v>0</v>
      </c>
      <c r="Q19" s="48">
        <f>データ!P16</f>
        <v>0</v>
      </c>
      <c r="R19" s="39" t="str">
        <f>IF(OR($C19="総括",$C19="内訳書",$C19="内訳代価",$C19="明細書",$C19="明細代価",$C19="代価表",$C19="単価表"),データ!Q16,"")</f>
        <v/>
      </c>
      <c r="S19" s="11" t="str">
        <f t="shared" si="2"/>
        <v/>
      </c>
      <c r="T19" s="46" t="e">
        <f t="shared" si="3"/>
        <v>#DIV/0!</v>
      </c>
      <c r="U19" s="40" t="str">
        <f>IF(データ!R16="","",データ!R16)</f>
        <v/>
      </c>
      <c r="V19" s="41" t="str">
        <f>IF(データ!S16="","",データ!S16)</f>
        <v/>
      </c>
      <c r="W19" s="42">
        <f>データ!T16</f>
        <v>0</v>
      </c>
      <c r="X19" s="48">
        <f>IF($C19="集計行","",データ!U16)</f>
        <v>0</v>
      </c>
      <c r="Y19" s="48">
        <f>データ!V16</f>
        <v>0</v>
      </c>
      <c r="Z19" s="39" t="str">
        <f>IF(OR($C19="総括",$C19="内訳書",$C19="内訳代価",$C19="明細書",$C19="明細代価",$C19="代価表",$C19="単価表"),データ!W16,"")</f>
        <v/>
      </c>
      <c r="AA19" s="11" t="str">
        <f t="shared" si="4"/>
        <v/>
      </c>
      <c r="AB19" s="46" t="e">
        <f t="shared" si="5"/>
        <v>#DIV/0!</v>
      </c>
      <c r="AC19" s="40" t="str">
        <f>IF(データ!X16="","",データ!X16)</f>
        <v/>
      </c>
      <c r="AD19" s="41" t="str">
        <f>IF(データ!Y16="","",データ!Y16)</f>
        <v/>
      </c>
      <c r="AE19" s="47" t="str">
        <f>TRIM(データ!B16)</f>
        <v/>
      </c>
      <c r="AF19" s="43" t="str">
        <f>TRIM(データ!Z16)</f>
        <v/>
      </c>
    </row>
    <row r="20" spans="1:32" x14ac:dyDescent="0.15">
      <c r="A20" s="47">
        <f>データ!A17</f>
        <v>3</v>
      </c>
      <c r="B20" s="47" t="str">
        <f>TRIM(データ!C17)</f>
        <v/>
      </c>
      <c r="C20" s="47" t="str">
        <f>TRIM(データ!D17)</f>
        <v>運搬費</v>
      </c>
      <c r="D20" s="36" t="str">
        <f>REPT("｜",$A20)&amp;TRIM(データ!E17)</f>
        <v>｜｜｜WP</v>
      </c>
      <c r="E20" s="37" t="str">
        <f>TRIM(データ!F17)</f>
        <v/>
      </c>
      <c r="F20" s="38" t="str">
        <f>TRIM(データ!G17)</f>
        <v>台</v>
      </c>
      <c r="G20" s="50">
        <f>データ!H17</f>
        <v>3</v>
      </c>
      <c r="H20" s="48">
        <f>データ!I17</f>
        <v>8000</v>
      </c>
      <c r="I20" s="48">
        <f>データ!J17</f>
        <v>24000</v>
      </c>
      <c r="J20" s="39" t="str">
        <f>IF(OR($C20="総括",$C20="内訳書",$C20="内訳代価",$C20="明細書",$C20="明細代価",$C20="代価表",$C20="単価表"),データ!K17,"")</f>
        <v/>
      </c>
      <c r="K20" s="11" t="str">
        <f t="shared" si="0"/>
        <v/>
      </c>
      <c r="L20" s="46">
        <f t="shared" si="1"/>
        <v>1.9051338594678008E-3</v>
      </c>
      <c r="M20" s="40" t="str">
        <f>IF(データ!L17="","",データ!L17)</f>
        <v/>
      </c>
      <c r="N20" s="41" t="str">
        <f>IF(データ!M17="","",データ!M17)</f>
        <v/>
      </c>
      <c r="O20" s="42">
        <f>データ!N17</f>
        <v>0</v>
      </c>
      <c r="P20" s="48">
        <f>IF($C20="集計行","",データ!O17)</f>
        <v>0</v>
      </c>
      <c r="Q20" s="48">
        <f>データ!P17</f>
        <v>0</v>
      </c>
      <c r="R20" s="39" t="str">
        <f>IF(OR($C20="総括",$C20="内訳書",$C20="内訳代価",$C20="明細書",$C20="明細代価",$C20="代価表",$C20="単価表"),データ!Q17,"")</f>
        <v/>
      </c>
      <c r="S20" s="11" t="str">
        <f t="shared" si="2"/>
        <v/>
      </c>
      <c r="T20" s="46" t="e">
        <f t="shared" si="3"/>
        <v>#DIV/0!</v>
      </c>
      <c r="U20" s="40" t="str">
        <f>IF(データ!R17="","",データ!R17)</f>
        <v/>
      </c>
      <c r="V20" s="41" t="str">
        <f>IF(データ!S17="","",データ!S17)</f>
        <v/>
      </c>
      <c r="W20" s="42">
        <f>データ!T17</f>
        <v>0</v>
      </c>
      <c r="X20" s="48">
        <f>IF($C20="集計行","",データ!U17)</f>
        <v>0</v>
      </c>
      <c r="Y20" s="48">
        <f>データ!V17</f>
        <v>0</v>
      </c>
      <c r="Z20" s="39" t="str">
        <f>IF(OR($C20="総括",$C20="内訳書",$C20="内訳代価",$C20="明細書",$C20="明細代価",$C20="代価表",$C20="単価表"),データ!W17,"")</f>
        <v/>
      </c>
      <c r="AA20" s="11" t="str">
        <f t="shared" si="4"/>
        <v/>
      </c>
      <c r="AB20" s="46" t="e">
        <f t="shared" si="5"/>
        <v>#DIV/0!</v>
      </c>
      <c r="AC20" s="40" t="str">
        <f>IF(データ!X17="","",データ!X17)</f>
        <v/>
      </c>
      <c r="AD20" s="41" t="str">
        <f>IF(データ!Y17="","",データ!Y17)</f>
        <v/>
      </c>
      <c r="AE20" s="47" t="str">
        <f>TRIM(データ!B17)</f>
        <v/>
      </c>
      <c r="AF20" s="43" t="str">
        <f>TRIM(データ!Z17)</f>
        <v/>
      </c>
    </row>
    <row r="21" spans="1:32" x14ac:dyDescent="0.15">
      <c r="A21" s="47">
        <f>データ!A18</f>
        <v>1</v>
      </c>
      <c r="B21" s="47" t="str">
        <f>TRIM(データ!C18)</f>
        <v/>
      </c>
      <c r="C21" s="47" t="str">
        <f>TRIM(データ!D18)</f>
        <v>内訳書</v>
      </c>
      <c r="D21" s="36" t="str">
        <f>REPT("｜",$A21)&amp;TRIM(データ!E18)</f>
        <v>｜表層工　開粒度</v>
      </c>
      <c r="E21" s="37" t="str">
        <f>TRIM(データ!F18)</f>
        <v/>
      </c>
      <c r="F21" s="38" t="str">
        <f>TRIM(データ!G18)</f>
        <v>m2</v>
      </c>
      <c r="G21" s="50">
        <f>データ!H18</f>
        <v>5280</v>
      </c>
      <c r="H21" s="48">
        <f>データ!I18</f>
        <v>1721.95</v>
      </c>
      <c r="I21" s="48">
        <f>データ!J18</f>
        <v>9091940</v>
      </c>
      <c r="J21" s="39">
        <f>IF(OR($C21="総括",$C21="内訳書",$C21="内訳代価",$C21="明細書",$C21="明細代価",$C21="代価表",$C21="単価表"),データ!K18,"")</f>
        <v>5280</v>
      </c>
      <c r="K21" s="11" t="str">
        <f t="shared" si="0"/>
        <v/>
      </c>
      <c r="L21" s="46">
        <f t="shared" si="1"/>
        <v>0.72172344759373652</v>
      </c>
      <c r="M21" s="40" t="str">
        <f>IF(データ!L18="","",データ!L18)</f>
        <v/>
      </c>
      <c r="N21" s="41" t="str">
        <f>IF(データ!M18="","",データ!M18)</f>
        <v>17号内訳書</v>
      </c>
      <c r="O21" s="42">
        <f>データ!N18</f>
        <v>0</v>
      </c>
      <c r="P21" s="48">
        <f>IF($C21="集計行","",データ!O18)</f>
        <v>0</v>
      </c>
      <c r="Q21" s="48">
        <f>データ!P18</f>
        <v>0</v>
      </c>
      <c r="R21" s="39">
        <f>IF(OR($C21="総括",$C21="内訳書",$C21="内訳代価",$C21="明細書",$C21="明細代価",$C21="代価表",$C21="単価表"),データ!Q18,"")</f>
        <v>0</v>
      </c>
      <c r="S21" s="11" t="str">
        <f t="shared" si="2"/>
        <v/>
      </c>
      <c r="T21" s="46" t="e">
        <f t="shared" si="3"/>
        <v>#DIV/0!</v>
      </c>
      <c r="U21" s="40" t="str">
        <f>IF(データ!R18="","",データ!R18)</f>
        <v/>
      </c>
      <c r="V21" s="41" t="str">
        <f>IF(データ!S18="","",データ!S18)</f>
        <v/>
      </c>
      <c r="W21" s="42">
        <f>データ!T18</f>
        <v>0</v>
      </c>
      <c r="X21" s="48">
        <f>IF($C21="集計行","",データ!U18)</f>
        <v>0</v>
      </c>
      <c r="Y21" s="48">
        <f>データ!V18</f>
        <v>0</v>
      </c>
      <c r="Z21" s="39">
        <f>IF(OR($C21="総括",$C21="内訳書",$C21="内訳代価",$C21="明細書",$C21="明細代価",$C21="代価表",$C21="単価表"),データ!W18,"")</f>
        <v>0</v>
      </c>
      <c r="AA21" s="11" t="str">
        <f t="shared" si="4"/>
        <v/>
      </c>
      <c r="AB21" s="46" t="e">
        <f t="shared" si="5"/>
        <v>#DIV/0!</v>
      </c>
      <c r="AC21" s="40" t="str">
        <f>IF(データ!X18="","",データ!X18)</f>
        <v/>
      </c>
      <c r="AD21" s="41" t="str">
        <f>IF(データ!Y18="","",データ!Y18)</f>
        <v/>
      </c>
      <c r="AE21" s="47" t="str">
        <f>TRIM(データ!B18)</f>
        <v/>
      </c>
      <c r="AF21" s="43" t="str">
        <f>TRIM(データ!Z18)</f>
        <v/>
      </c>
    </row>
    <row r="22" spans="1:32" x14ac:dyDescent="0.15">
      <c r="A22" s="47">
        <f>データ!A19</f>
        <v>2</v>
      </c>
      <c r="B22" s="47" t="str">
        <f>TRIM(データ!C19)</f>
        <v/>
      </c>
      <c r="C22" s="47" t="str">
        <f>TRIM(データ!D19)</f>
        <v>内訳代価</v>
      </c>
      <c r="D22" s="36" t="str">
        <f>REPT("｜",$A22)&amp;TRIM(データ!E19)</f>
        <v>｜｜表層工　開粒度</v>
      </c>
      <c r="E22" s="37" t="str">
        <f>TRIM(データ!F19)</f>
        <v/>
      </c>
      <c r="F22" s="38" t="str">
        <f>TRIM(データ!G19)</f>
        <v>m2</v>
      </c>
      <c r="G22" s="50">
        <f>データ!H19</f>
        <v>5780</v>
      </c>
      <c r="H22" s="48">
        <f>データ!I19</f>
        <v>1573</v>
      </c>
      <c r="I22" s="48">
        <f>データ!J19</f>
        <v>9091940</v>
      </c>
      <c r="J22" s="39">
        <f>IF(OR($C22="総括",$C22="内訳書",$C22="内訳代価",$C22="明細書",$C22="明細代価",$C22="代価表",$C22="単価表"),データ!K19,"")</f>
        <v>5780</v>
      </c>
      <c r="K22" s="11" t="str">
        <f t="shared" si="0"/>
        <v/>
      </c>
      <c r="L22" s="46">
        <f t="shared" si="1"/>
        <v>0.72172344759373652</v>
      </c>
      <c r="M22" s="40" t="str">
        <f>IF(データ!L19="","",データ!L19)</f>
        <v/>
      </c>
      <c r="N22" s="41" t="str">
        <f>IF(データ!M19="","",データ!M19)</f>
        <v>18号内訳書</v>
      </c>
      <c r="O22" s="42">
        <f>データ!N19</f>
        <v>0</v>
      </c>
      <c r="P22" s="48">
        <f>IF($C22="集計行","",データ!O19)</f>
        <v>0</v>
      </c>
      <c r="Q22" s="48">
        <f>データ!P19</f>
        <v>0</v>
      </c>
      <c r="R22" s="39">
        <f>IF(OR($C22="総括",$C22="内訳書",$C22="内訳代価",$C22="明細書",$C22="明細代価",$C22="代価表",$C22="単価表"),データ!Q19,"")</f>
        <v>0</v>
      </c>
      <c r="S22" s="11" t="str">
        <f t="shared" si="2"/>
        <v/>
      </c>
      <c r="T22" s="46" t="e">
        <f t="shared" si="3"/>
        <v>#DIV/0!</v>
      </c>
      <c r="U22" s="40" t="str">
        <f>IF(データ!R19="","",データ!R19)</f>
        <v/>
      </c>
      <c r="V22" s="41" t="str">
        <f>IF(データ!S19="","",データ!S19)</f>
        <v/>
      </c>
      <c r="W22" s="42">
        <f>データ!T19</f>
        <v>0</v>
      </c>
      <c r="X22" s="48">
        <f>IF($C22="集計行","",データ!U19)</f>
        <v>0</v>
      </c>
      <c r="Y22" s="48">
        <f>データ!V19</f>
        <v>0</v>
      </c>
      <c r="Z22" s="39">
        <f>IF(OR($C22="総括",$C22="内訳書",$C22="内訳代価",$C22="明細書",$C22="明細代価",$C22="代価表",$C22="単価表"),データ!W19,"")</f>
        <v>0</v>
      </c>
      <c r="AA22" s="11" t="str">
        <f t="shared" si="4"/>
        <v/>
      </c>
      <c r="AB22" s="46" t="e">
        <f t="shared" si="5"/>
        <v>#DIV/0!</v>
      </c>
      <c r="AC22" s="40" t="str">
        <f>IF(データ!X19="","",データ!X19)</f>
        <v/>
      </c>
      <c r="AD22" s="41" t="str">
        <f>IF(データ!Y19="","",データ!Y19)</f>
        <v/>
      </c>
      <c r="AE22" s="47" t="str">
        <f>TRIM(データ!B19)</f>
        <v/>
      </c>
      <c r="AF22" s="43" t="str">
        <f>TRIM(データ!Z19)</f>
        <v/>
      </c>
    </row>
    <row r="23" spans="1:32" x14ac:dyDescent="0.15">
      <c r="A23" s="47">
        <f>データ!A20</f>
        <v>3</v>
      </c>
      <c r="B23" s="47" t="str">
        <f>TRIM(データ!C20)</f>
        <v/>
      </c>
      <c r="C23" s="47" t="str">
        <f>TRIM(データ!D20)</f>
        <v>材料費</v>
      </c>
      <c r="D23" s="36" t="str">
        <f>REPT("｜",$A23)&amp;TRIM(データ!E20)</f>
        <v>｜｜｜開粒度(13) t=50</v>
      </c>
      <c r="E23" s="37" t="str">
        <f>TRIM(データ!F20)</f>
        <v/>
      </c>
      <c r="F23" s="38" t="str">
        <f>TRIM(データ!G20)</f>
        <v>ｔ</v>
      </c>
      <c r="G23" s="50">
        <f>データ!H20</f>
        <v>615</v>
      </c>
      <c r="H23" s="48">
        <f>データ!I20</f>
        <v>12500</v>
      </c>
      <c r="I23" s="48">
        <f>データ!J20</f>
        <v>7687500</v>
      </c>
      <c r="J23" s="39" t="str">
        <f>IF(OR($C23="総括",$C23="内訳書",$C23="内訳代価",$C23="明細書",$C23="明細代価",$C23="代価表",$C23="単価表"),データ!K20,"")</f>
        <v/>
      </c>
      <c r="K23" s="11" t="str">
        <f t="shared" si="0"/>
        <v/>
      </c>
      <c r="L23" s="46">
        <f t="shared" si="1"/>
        <v>0.61023818936078</v>
      </c>
      <c r="M23" s="40" t="str">
        <f>IF(データ!L20="","",データ!L20)</f>
        <v/>
      </c>
      <c r="N23" s="41" t="str">
        <f>IF(データ!M20="","",データ!M20)</f>
        <v/>
      </c>
      <c r="O23" s="42">
        <f>データ!N20</f>
        <v>0</v>
      </c>
      <c r="P23" s="48">
        <f>IF($C23="集計行","",データ!O20)</f>
        <v>0</v>
      </c>
      <c r="Q23" s="48">
        <f>データ!P20</f>
        <v>0</v>
      </c>
      <c r="R23" s="39" t="str">
        <f>IF(OR($C23="総括",$C23="内訳書",$C23="内訳代価",$C23="明細書",$C23="明細代価",$C23="代価表",$C23="単価表"),データ!Q20,"")</f>
        <v/>
      </c>
      <c r="S23" s="11" t="str">
        <f t="shared" si="2"/>
        <v/>
      </c>
      <c r="T23" s="46" t="e">
        <f t="shared" si="3"/>
        <v>#DIV/0!</v>
      </c>
      <c r="U23" s="40" t="str">
        <f>IF(データ!R20="","",データ!R20)</f>
        <v/>
      </c>
      <c r="V23" s="41" t="str">
        <f>IF(データ!S20="","",データ!S20)</f>
        <v/>
      </c>
      <c r="W23" s="42">
        <f>データ!T20</f>
        <v>0</v>
      </c>
      <c r="X23" s="48">
        <f>IF($C23="集計行","",データ!U20)</f>
        <v>0</v>
      </c>
      <c r="Y23" s="48">
        <f>データ!V20</f>
        <v>0</v>
      </c>
      <c r="Z23" s="39" t="str">
        <f>IF(OR($C23="総括",$C23="内訳書",$C23="内訳代価",$C23="明細書",$C23="明細代価",$C23="代価表",$C23="単価表"),データ!W20,"")</f>
        <v/>
      </c>
      <c r="AA23" s="11" t="str">
        <f t="shared" si="4"/>
        <v/>
      </c>
      <c r="AB23" s="46" t="e">
        <f t="shared" si="5"/>
        <v>#DIV/0!</v>
      </c>
      <c r="AC23" s="40" t="str">
        <f>IF(データ!X20="","",データ!X20)</f>
        <v/>
      </c>
      <c r="AD23" s="41" t="str">
        <f>IF(データ!Y20="","",データ!Y20)</f>
        <v/>
      </c>
      <c r="AE23" s="47" t="str">
        <f>TRIM(データ!B20)</f>
        <v/>
      </c>
      <c r="AF23" s="43" t="str">
        <f>TRIM(データ!Z20)</f>
        <v/>
      </c>
    </row>
    <row r="24" spans="1:32" x14ac:dyDescent="0.15">
      <c r="A24" s="47">
        <f>データ!A21</f>
        <v>3</v>
      </c>
      <c r="B24" s="47" t="str">
        <f>TRIM(データ!C21)</f>
        <v/>
      </c>
      <c r="C24" s="47" t="str">
        <f>TRIM(データ!D21)</f>
        <v>材料費</v>
      </c>
      <c r="D24" s="36" t="str">
        <f>REPT("｜",$A24)&amp;TRIM(データ!E21)</f>
        <v>｜｜｜軽油</v>
      </c>
      <c r="E24" s="37" t="str">
        <f>TRIM(データ!F21)</f>
        <v/>
      </c>
      <c r="F24" s="38" t="str">
        <f>TRIM(データ!G21)</f>
        <v>リットル</v>
      </c>
      <c r="G24" s="50">
        <f>データ!H21</f>
        <v>300</v>
      </c>
      <c r="H24" s="48">
        <f>データ!I21</f>
        <v>160</v>
      </c>
      <c r="I24" s="48">
        <f>データ!J21</f>
        <v>48000</v>
      </c>
      <c r="J24" s="39" t="str">
        <f>IF(OR($C24="総括",$C24="内訳書",$C24="内訳代価",$C24="明細書",$C24="明細代価",$C24="代価表",$C24="単価表"),データ!K21,"")</f>
        <v/>
      </c>
      <c r="K24" s="11" t="str">
        <f t="shared" si="0"/>
        <v/>
      </c>
      <c r="L24" s="46">
        <f t="shared" si="1"/>
        <v>3.8102677189356016E-3</v>
      </c>
      <c r="M24" s="40" t="str">
        <f>IF(データ!L21="","",データ!L21)</f>
        <v/>
      </c>
      <c r="N24" s="41" t="str">
        <f>IF(データ!M21="","",データ!M21)</f>
        <v/>
      </c>
      <c r="O24" s="42">
        <f>データ!N21</f>
        <v>0</v>
      </c>
      <c r="P24" s="48">
        <f>IF($C24="集計行","",データ!O21)</f>
        <v>0</v>
      </c>
      <c r="Q24" s="48">
        <f>データ!P21</f>
        <v>0</v>
      </c>
      <c r="R24" s="39" t="str">
        <f>IF(OR($C24="総括",$C24="内訳書",$C24="内訳代価",$C24="明細書",$C24="明細代価",$C24="代価表",$C24="単価表"),データ!Q21,"")</f>
        <v/>
      </c>
      <c r="S24" s="11" t="str">
        <f t="shared" si="2"/>
        <v/>
      </c>
      <c r="T24" s="46" t="e">
        <f t="shared" si="3"/>
        <v>#DIV/0!</v>
      </c>
      <c r="U24" s="40" t="str">
        <f>IF(データ!R21="","",データ!R21)</f>
        <v/>
      </c>
      <c r="V24" s="41" t="str">
        <f>IF(データ!S21="","",データ!S21)</f>
        <v/>
      </c>
      <c r="W24" s="42">
        <f>データ!T21</f>
        <v>0</v>
      </c>
      <c r="X24" s="48">
        <f>IF($C24="集計行","",データ!U21)</f>
        <v>0</v>
      </c>
      <c r="Y24" s="48">
        <f>データ!V21</f>
        <v>0</v>
      </c>
      <c r="Z24" s="39" t="str">
        <f>IF(OR($C24="総括",$C24="内訳書",$C24="内訳代価",$C24="明細書",$C24="明細代価",$C24="代価表",$C24="単価表"),データ!W21,"")</f>
        <v/>
      </c>
      <c r="AA24" s="11" t="str">
        <f t="shared" si="4"/>
        <v/>
      </c>
      <c r="AB24" s="46" t="e">
        <f t="shared" si="5"/>
        <v>#DIV/0!</v>
      </c>
      <c r="AC24" s="40" t="str">
        <f>IF(データ!X21="","",データ!X21)</f>
        <v/>
      </c>
      <c r="AD24" s="41" t="str">
        <f>IF(データ!Y21="","",データ!Y21)</f>
        <v/>
      </c>
      <c r="AE24" s="47" t="str">
        <f>TRIM(データ!B21)</f>
        <v/>
      </c>
      <c r="AF24" s="43" t="str">
        <f>TRIM(データ!Z21)</f>
        <v/>
      </c>
    </row>
    <row r="25" spans="1:32" x14ac:dyDescent="0.15">
      <c r="A25" s="47">
        <f>データ!A22</f>
        <v>3</v>
      </c>
      <c r="B25" s="47" t="str">
        <f>TRIM(データ!C22)</f>
        <v/>
      </c>
      <c r="C25" s="47" t="str">
        <f>TRIM(データ!D22)</f>
        <v>材料費</v>
      </c>
      <c r="D25" s="36" t="str">
        <f>REPT("｜",$A25)&amp;TRIM(データ!E22)</f>
        <v>｜｜｜雑材</v>
      </c>
      <c r="E25" s="37" t="str">
        <f>TRIM(データ!F22)</f>
        <v/>
      </c>
      <c r="F25" s="38" t="str">
        <f>TRIM(データ!G22)</f>
        <v>式</v>
      </c>
      <c r="G25" s="50">
        <f>データ!H22</f>
        <v>1</v>
      </c>
      <c r="H25" s="48">
        <f>データ!I22</f>
        <v>15300</v>
      </c>
      <c r="I25" s="48">
        <f>データ!J22</f>
        <v>15300</v>
      </c>
      <c r="J25" s="39" t="str">
        <f>IF(OR($C25="総括",$C25="内訳書",$C25="内訳代価",$C25="明細書",$C25="明細代価",$C25="代価表",$C25="単価表"),データ!K22,"")</f>
        <v/>
      </c>
      <c r="K25" s="11" t="str">
        <f t="shared" si="0"/>
        <v/>
      </c>
      <c r="L25" s="46">
        <f t="shared" si="1"/>
        <v>1.214522835410723E-3</v>
      </c>
      <c r="M25" s="40" t="str">
        <f>IF(データ!L22="","",データ!L22)</f>
        <v/>
      </c>
      <c r="N25" s="41" t="str">
        <f>IF(データ!M22="","",データ!M22)</f>
        <v/>
      </c>
      <c r="O25" s="42">
        <f>データ!N22</f>
        <v>0</v>
      </c>
      <c r="P25" s="48">
        <f>IF($C25="集計行","",データ!O22)</f>
        <v>0</v>
      </c>
      <c r="Q25" s="48">
        <f>データ!P22</f>
        <v>0</v>
      </c>
      <c r="R25" s="39" t="str">
        <f>IF(OR($C25="総括",$C25="内訳書",$C25="内訳代価",$C25="明細書",$C25="明細代価",$C25="代価表",$C25="単価表"),データ!Q22,"")</f>
        <v/>
      </c>
      <c r="S25" s="11" t="str">
        <f t="shared" si="2"/>
        <v/>
      </c>
      <c r="T25" s="46" t="e">
        <f t="shared" si="3"/>
        <v>#DIV/0!</v>
      </c>
      <c r="U25" s="40" t="str">
        <f>IF(データ!R22="","",データ!R22)</f>
        <v/>
      </c>
      <c r="V25" s="41" t="str">
        <f>IF(データ!S22="","",データ!S22)</f>
        <v/>
      </c>
      <c r="W25" s="42">
        <f>データ!T22</f>
        <v>0</v>
      </c>
      <c r="X25" s="48">
        <f>IF($C25="集計行","",データ!U22)</f>
        <v>0</v>
      </c>
      <c r="Y25" s="48">
        <f>データ!V22</f>
        <v>0</v>
      </c>
      <c r="Z25" s="39" t="str">
        <f>IF(OR($C25="総括",$C25="内訳書",$C25="内訳代価",$C25="明細書",$C25="明細代価",$C25="代価表",$C25="単価表"),データ!W22,"")</f>
        <v/>
      </c>
      <c r="AA25" s="11" t="str">
        <f t="shared" si="4"/>
        <v/>
      </c>
      <c r="AB25" s="46" t="e">
        <f t="shared" si="5"/>
        <v>#DIV/0!</v>
      </c>
      <c r="AC25" s="40" t="str">
        <f>IF(データ!X22="","",データ!X22)</f>
        <v/>
      </c>
      <c r="AD25" s="41" t="str">
        <f>IF(データ!Y22="","",データ!Y22)</f>
        <v/>
      </c>
      <c r="AE25" s="47" t="str">
        <f>TRIM(データ!B22)</f>
        <v/>
      </c>
      <c r="AF25" s="43" t="str">
        <f>TRIM(データ!Z22)</f>
        <v/>
      </c>
    </row>
    <row r="26" spans="1:32" x14ac:dyDescent="0.15">
      <c r="A26" s="47">
        <f>データ!A23</f>
        <v>3</v>
      </c>
      <c r="B26" s="47" t="str">
        <f>TRIM(データ!C23)</f>
        <v/>
      </c>
      <c r="C26" s="47" t="str">
        <f>TRIM(データ!D23)</f>
        <v>労務費</v>
      </c>
      <c r="D26" s="36" t="str">
        <f>REPT("｜",$A26)&amp;TRIM(データ!E23)</f>
        <v>｜｜｜土工</v>
      </c>
      <c r="E26" s="37" t="str">
        <f>TRIM(データ!F23)</f>
        <v/>
      </c>
      <c r="F26" s="38" t="str">
        <f>TRIM(データ!G23)</f>
        <v>人</v>
      </c>
      <c r="G26" s="50">
        <f>データ!H23</f>
        <v>30</v>
      </c>
      <c r="H26" s="48">
        <f>データ!I23</f>
        <v>25000</v>
      </c>
      <c r="I26" s="48">
        <f>データ!J23</f>
        <v>750000</v>
      </c>
      <c r="J26" s="39" t="str">
        <f>IF(OR($C26="総括",$C26="内訳書",$C26="内訳代価",$C26="明細書",$C26="明細代価",$C26="代価表",$C26="単価表"),データ!K23,"")</f>
        <v/>
      </c>
      <c r="K26" s="11" t="str">
        <f t="shared" si="0"/>
        <v/>
      </c>
      <c r="L26" s="46">
        <f t="shared" si="1"/>
        <v>5.9535433108368778E-2</v>
      </c>
      <c r="M26" s="40" t="str">
        <f>IF(データ!L23="","",データ!L23)</f>
        <v/>
      </c>
      <c r="N26" s="41" t="str">
        <f>IF(データ!M23="","",データ!M23)</f>
        <v/>
      </c>
      <c r="O26" s="42">
        <f>データ!N23</f>
        <v>0</v>
      </c>
      <c r="P26" s="48">
        <f>IF($C26="集計行","",データ!O23)</f>
        <v>0</v>
      </c>
      <c r="Q26" s="48">
        <f>データ!P23</f>
        <v>0</v>
      </c>
      <c r="R26" s="39" t="str">
        <f>IF(OR($C26="総括",$C26="内訳書",$C26="内訳代価",$C26="明細書",$C26="明細代価",$C26="代価表",$C26="単価表"),データ!Q23,"")</f>
        <v/>
      </c>
      <c r="S26" s="11" t="str">
        <f t="shared" si="2"/>
        <v/>
      </c>
      <c r="T26" s="46" t="e">
        <f t="shared" si="3"/>
        <v>#DIV/0!</v>
      </c>
      <c r="U26" s="40" t="str">
        <f>IF(データ!R23="","",データ!R23)</f>
        <v/>
      </c>
      <c r="V26" s="41" t="str">
        <f>IF(データ!S23="","",データ!S23)</f>
        <v/>
      </c>
      <c r="W26" s="42">
        <f>データ!T23</f>
        <v>0</v>
      </c>
      <c r="X26" s="48">
        <f>IF($C26="集計行","",データ!U23)</f>
        <v>0</v>
      </c>
      <c r="Y26" s="48">
        <f>データ!V23</f>
        <v>0</v>
      </c>
      <c r="Z26" s="39" t="str">
        <f>IF(OR($C26="総括",$C26="内訳書",$C26="内訳代価",$C26="明細書",$C26="明細代価",$C26="代価表",$C26="単価表"),データ!W23,"")</f>
        <v/>
      </c>
      <c r="AA26" s="11" t="str">
        <f t="shared" si="4"/>
        <v/>
      </c>
      <c r="AB26" s="46" t="e">
        <f t="shared" si="5"/>
        <v>#DIV/0!</v>
      </c>
      <c r="AC26" s="40" t="str">
        <f>IF(データ!X23="","",データ!X23)</f>
        <v/>
      </c>
      <c r="AD26" s="41" t="str">
        <f>IF(データ!Y23="","",データ!Y23)</f>
        <v/>
      </c>
      <c r="AE26" s="47" t="str">
        <f>TRIM(データ!B23)</f>
        <v/>
      </c>
      <c r="AF26" s="43" t="str">
        <f>TRIM(データ!Z23)</f>
        <v/>
      </c>
    </row>
    <row r="27" spans="1:32" x14ac:dyDescent="0.15">
      <c r="A27" s="47">
        <f>データ!A24</f>
        <v>3</v>
      </c>
      <c r="B27" s="47" t="str">
        <f>TRIM(データ!C24)</f>
        <v/>
      </c>
      <c r="C27" s="47" t="str">
        <f>TRIM(データ!D24)</f>
        <v>機械費</v>
      </c>
      <c r="D27" s="36" t="str">
        <f>REPT("｜",$A27)&amp;TRIM(データ!E24)</f>
        <v>｜｜｜フィニッシャー6m</v>
      </c>
      <c r="E27" s="37" t="str">
        <f>TRIM(データ!F24)</f>
        <v/>
      </c>
      <c r="F27" s="38" t="str">
        <f>TRIM(データ!G24)</f>
        <v>台</v>
      </c>
      <c r="G27" s="50">
        <f>データ!H24</f>
        <v>3</v>
      </c>
      <c r="H27" s="48">
        <f>データ!I24</f>
        <v>120000</v>
      </c>
      <c r="I27" s="48">
        <f>データ!J24</f>
        <v>360000</v>
      </c>
      <c r="J27" s="39" t="str">
        <f>IF(OR($C27="総括",$C27="内訳書",$C27="内訳代価",$C27="明細書",$C27="明細代価",$C27="代価表",$C27="単価表"),データ!K24,"")</f>
        <v/>
      </c>
      <c r="K27" s="11" t="str">
        <f t="shared" si="0"/>
        <v/>
      </c>
      <c r="L27" s="46">
        <f t="shared" si="1"/>
        <v>2.8577007892017014E-2</v>
      </c>
      <c r="M27" s="40" t="str">
        <f>IF(データ!L24="","",データ!L24)</f>
        <v/>
      </c>
      <c r="N27" s="41" t="str">
        <f>IF(データ!M24="","",データ!M24)</f>
        <v/>
      </c>
      <c r="O27" s="42">
        <f>データ!N24</f>
        <v>0</v>
      </c>
      <c r="P27" s="48">
        <f>IF($C27="集計行","",データ!O24)</f>
        <v>0</v>
      </c>
      <c r="Q27" s="48">
        <f>データ!P24</f>
        <v>0</v>
      </c>
      <c r="R27" s="39" t="str">
        <f>IF(OR($C27="総括",$C27="内訳書",$C27="内訳代価",$C27="明細書",$C27="明細代価",$C27="代価表",$C27="単価表"),データ!Q24,"")</f>
        <v/>
      </c>
      <c r="S27" s="11" t="str">
        <f t="shared" si="2"/>
        <v/>
      </c>
      <c r="T27" s="46" t="e">
        <f t="shared" si="3"/>
        <v>#DIV/0!</v>
      </c>
      <c r="U27" s="40" t="str">
        <f>IF(データ!R24="","",データ!R24)</f>
        <v/>
      </c>
      <c r="V27" s="41" t="str">
        <f>IF(データ!S24="","",データ!S24)</f>
        <v/>
      </c>
      <c r="W27" s="42">
        <f>データ!T24</f>
        <v>0</v>
      </c>
      <c r="X27" s="48">
        <f>IF($C27="集計行","",データ!U24)</f>
        <v>0</v>
      </c>
      <c r="Y27" s="48">
        <f>データ!V24</f>
        <v>0</v>
      </c>
      <c r="Z27" s="39" t="str">
        <f>IF(OR($C27="総括",$C27="内訳書",$C27="内訳代価",$C27="明細書",$C27="明細代価",$C27="代価表",$C27="単価表"),データ!W24,"")</f>
        <v/>
      </c>
      <c r="AA27" s="11" t="str">
        <f t="shared" si="4"/>
        <v/>
      </c>
      <c r="AB27" s="46" t="e">
        <f t="shared" si="5"/>
        <v>#DIV/0!</v>
      </c>
      <c r="AC27" s="40" t="str">
        <f>IF(データ!X24="","",データ!X24)</f>
        <v/>
      </c>
      <c r="AD27" s="41" t="str">
        <f>IF(データ!Y24="","",データ!Y24)</f>
        <v/>
      </c>
      <c r="AE27" s="47" t="str">
        <f>TRIM(データ!B24)</f>
        <v/>
      </c>
      <c r="AF27" s="43" t="str">
        <f>TRIM(データ!Z24)</f>
        <v/>
      </c>
    </row>
    <row r="28" spans="1:32" x14ac:dyDescent="0.15">
      <c r="A28" s="47">
        <f>データ!A25</f>
        <v>3</v>
      </c>
      <c r="B28" s="47" t="str">
        <f>TRIM(データ!C25)</f>
        <v/>
      </c>
      <c r="C28" s="47" t="str">
        <f>TRIM(データ!D25)</f>
        <v>機械費</v>
      </c>
      <c r="D28" s="36" t="str">
        <f>REPT("｜",$A28)&amp;TRIM(データ!E25)</f>
        <v>｜｜｜タンデムローラ4t</v>
      </c>
      <c r="E28" s="37" t="str">
        <f>TRIM(データ!F25)</f>
        <v/>
      </c>
      <c r="F28" s="38" t="str">
        <f>TRIM(データ!G25)</f>
        <v>台</v>
      </c>
      <c r="G28" s="50">
        <f>データ!H25</f>
        <v>3</v>
      </c>
      <c r="H28" s="48">
        <f>データ!I25</f>
        <v>8000</v>
      </c>
      <c r="I28" s="48">
        <f>データ!J25</f>
        <v>24000</v>
      </c>
      <c r="J28" s="39" t="str">
        <f>IF(OR($C28="総括",$C28="内訳書",$C28="内訳代価",$C28="明細書",$C28="明細代価",$C28="代価表",$C28="単価表"),データ!K25,"")</f>
        <v/>
      </c>
      <c r="K28" s="11" t="str">
        <f t="shared" si="0"/>
        <v/>
      </c>
      <c r="L28" s="46">
        <f t="shared" si="1"/>
        <v>1.9051338594678008E-3</v>
      </c>
      <c r="M28" s="40" t="str">
        <f>IF(データ!L25="","",データ!L25)</f>
        <v/>
      </c>
      <c r="N28" s="41" t="str">
        <f>IF(データ!M25="","",データ!M25)</f>
        <v/>
      </c>
      <c r="O28" s="42">
        <f>データ!N25</f>
        <v>0</v>
      </c>
      <c r="P28" s="48">
        <f>IF($C28="集計行","",データ!O25)</f>
        <v>0</v>
      </c>
      <c r="Q28" s="48">
        <f>データ!P25</f>
        <v>0</v>
      </c>
      <c r="R28" s="39" t="str">
        <f>IF(OR($C28="総括",$C28="内訳書",$C28="内訳代価",$C28="明細書",$C28="明細代価",$C28="代価表",$C28="単価表"),データ!Q25,"")</f>
        <v/>
      </c>
      <c r="S28" s="11" t="str">
        <f t="shared" si="2"/>
        <v/>
      </c>
      <c r="T28" s="46" t="e">
        <f t="shared" si="3"/>
        <v>#DIV/0!</v>
      </c>
      <c r="U28" s="40" t="str">
        <f>IF(データ!R25="","",データ!R25)</f>
        <v/>
      </c>
      <c r="V28" s="41" t="str">
        <f>IF(データ!S25="","",データ!S25)</f>
        <v/>
      </c>
      <c r="W28" s="42">
        <f>データ!T25</f>
        <v>0</v>
      </c>
      <c r="X28" s="48">
        <f>IF($C28="集計行","",データ!U25)</f>
        <v>0</v>
      </c>
      <c r="Y28" s="48">
        <f>データ!V25</f>
        <v>0</v>
      </c>
      <c r="Z28" s="39" t="str">
        <f>IF(OR($C28="総括",$C28="内訳書",$C28="内訳代価",$C28="明細書",$C28="明細代価",$C28="代価表",$C28="単価表"),データ!W25,"")</f>
        <v/>
      </c>
      <c r="AA28" s="11" t="str">
        <f t="shared" si="4"/>
        <v/>
      </c>
      <c r="AB28" s="46" t="e">
        <f t="shared" si="5"/>
        <v>#DIV/0!</v>
      </c>
      <c r="AC28" s="40" t="str">
        <f>IF(データ!X25="","",データ!X25)</f>
        <v/>
      </c>
      <c r="AD28" s="41" t="str">
        <f>IF(データ!Y25="","",データ!Y25)</f>
        <v/>
      </c>
      <c r="AE28" s="47" t="str">
        <f>TRIM(データ!B25)</f>
        <v/>
      </c>
      <c r="AF28" s="43" t="str">
        <f>TRIM(データ!Z25)</f>
        <v/>
      </c>
    </row>
    <row r="29" spans="1:32" x14ac:dyDescent="0.15">
      <c r="A29" s="47">
        <f>データ!A26</f>
        <v>3</v>
      </c>
      <c r="B29" s="47" t="str">
        <f>TRIM(データ!C26)</f>
        <v/>
      </c>
      <c r="C29" s="47" t="str">
        <f>TRIM(データ!D26)</f>
        <v>機械費</v>
      </c>
      <c r="D29" s="36" t="str">
        <f>REPT("｜",$A29)&amp;TRIM(データ!E26)</f>
        <v>｜｜｜タイヤローラ</v>
      </c>
      <c r="E29" s="37" t="str">
        <f>TRIM(データ!F26)</f>
        <v/>
      </c>
      <c r="F29" s="38" t="str">
        <f>TRIM(データ!G26)</f>
        <v>台</v>
      </c>
      <c r="G29" s="50">
        <f>データ!H26</f>
        <v>3</v>
      </c>
      <c r="H29" s="48">
        <f>データ!I26</f>
        <v>8000</v>
      </c>
      <c r="I29" s="48">
        <f>データ!J26</f>
        <v>24000</v>
      </c>
      <c r="J29" s="39" t="str">
        <f>IF(OR($C29="総括",$C29="内訳書",$C29="内訳代価",$C29="明細書",$C29="明細代価",$C29="代価表",$C29="単価表"),データ!K26,"")</f>
        <v/>
      </c>
      <c r="K29" s="11" t="str">
        <f t="shared" si="0"/>
        <v/>
      </c>
      <c r="L29" s="46">
        <f t="shared" si="1"/>
        <v>1.9051338594678008E-3</v>
      </c>
      <c r="M29" s="40" t="str">
        <f>IF(データ!L26="","",データ!L26)</f>
        <v/>
      </c>
      <c r="N29" s="41" t="str">
        <f>IF(データ!M26="","",データ!M26)</f>
        <v/>
      </c>
      <c r="O29" s="42">
        <f>データ!N26</f>
        <v>0</v>
      </c>
      <c r="P29" s="48">
        <f>IF($C29="集計行","",データ!O26)</f>
        <v>0</v>
      </c>
      <c r="Q29" s="48">
        <f>データ!P26</f>
        <v>0</v>
      </c>
      <c r="R29" s="39" t="str">
        <f>IF(OR($C29="総括",$C29="内訳書",$C29="内訳代価",$C29="明細書",$C29="明細代価",$C29="代価表",$C29="単価表"),データ!Q26,"")</f>
        <v/>
      </c>
      <c r="S29" s="11" t="str">
        <f t="shared" si="2"/>
        <v/>
      </c>
      <c r="T29" s="46" t="e">
        <f t="shared" si="3"/>
        <v>#DIV/0!</v>
      </c>
      <c r="U29" s="40" t="str">
        <f>IF(データ!R26="","",データ!R26)</f>
        <v/>
      </c>
      <c r="V29" s="41" t="str">
        <f>IF(データ!S26="","",データ!S26)</f>
        <v/>
      </c>
      <c r="W29" s="42">
        <f>データ!T26</f>
        <v>0</v>
      </c>
      <c r="X29" s="48">
        <f>IF($C29="集計行","",データ!U26)</f>
        <v>0</v>
      </c>
      <c r="Y29" s="48">
        <f>データ!V26</f>
        <v>0</v>
      </c>
      <c r="Z29" s="39" t="str">
        <f>IF(OR($C29="総括",$C29="内訳書",$C29="内訳代価",$C29="明細書",$C29="明細代価",$C29="代価表",$C29="単価表"),データ!W26,"")</f>
        <v/>
      </c>
      <c r="AA29" s="11" t="str">
        <f t="shared" si="4"/>
        <v/>
      </c>
      <c r="AB29" s="46" t="e">
        <f t="shared" si="5"/>
        <v>#DIV/0!</v>
      </c>
      <c r="AC29" s="40" t="str">
        <f>IF(データ!X26="","",データ!X26)</f>
        <v/>
      </c>
      <c r="AD29" s="41" t="str">
        <f>IF(データ!Y26="","",データ!Y26)</f>
        <v/>
      </c>
      <c r="AE29" s="47" t="str">
        <f>TRIM(データ!B26)</f>
        <v/>
      </c>
      <c r="AF29" s="43" t="str">
        <f>TRIM(データ!Z26)</f>
        <v/>
      </c>
    </row>
    <row r="30" spans="1:32" x14ac:dyDescent="0.15">
      <c r="A30" s="47">
        <f>データ!A27</f>
        <v>3</v>
      </c>
      <c r="B30" s="47" t="str">
        <f>TRIM(データ!C27)</f>
        <v/>
      </c>
      <c r="C30" s="47" t="str">
        <f>TRIM(データ!D27)</f>
        <v>機械費</v>
      </c>
      <c r="D30" s="36" t="str">
        <f>REPT("｜",$A30)&amp;TRIM(データ!E27)</f>
        <v>｜｜｜タイヤショベル0.5m3</v>
      </c>
      <c r="E30" s="37" t="str">
        <f>TRIM(データ!F27)</f>
        <v/>
      </c>
      <c r="F30" s="38" t="str">
        <f>TRIM(データ!G27)</f>
        <v>台</v>
      </c>
      <c r="G30" s="50">
        <f>データ!H27</f>
        <v>3</v>
      </c>
      <c r="H30" s="48">
        <f>データ!I27</f>
        <v>7000</v>
      </c>
      <c r="I30" s="48">
        <f>データ!J27</f>
        <v>21000</v>
      </c>
      <c r="J30" s="39" t="str">
        <f>IF(OR($C30="総括",$C30="内訳書",$C30="内訳代価",$C30="明細書",$C30="明細代価",$C30="代価表",$C30="単価表"),データ!K27,"")</f>
        <v/>
      </c>
      <c r="K30" s="11" t="str">
        <f t="shared" si="0"/>
        <v/>
      </c>
      <c r="L30" s="46">
        <f t="shared" si="1"/>
        <v>1.6669921270343257E-3</v>
      </c>
      <c r="M30" s="40" t="str">
        <f>IF(データ!L27="","",データ!L27)</f>
        <v/>
      </c>
      <c r="N30" s="41" t="str">
        <f>IF(データ!M27="","",データ!M27)</f>
        <v/>
      </c>
      <c r="O30" s="42">
        <f>データ!N27</f>
        <v>0</v>
      </c>
      <c r="P30" s="48">
        <f>IF($C30="集計行","",データ!O27)</f>
        <v>0</v>
      </c>
      <c r="Q30" s="48">
        <f>データ!P27</f>
        <v>0</v>
      </c>
      <c r="R30" s="39" t="str">
        <f>IF(OR($C30="総括",$C30="内訳書",$C30="内訳代価",$C30="明細書",$C30="明細代価",$C30="代価表",$C30="単価表"),データ!Q27,"")</f>
        <v/>
      </c>
      <c r="S30" s="11" t="str">
        <f t="shared" si="2"/>
        <v/>
      </c>
      <c r="T30" s="46" t="e">
        <f t="shared" si="3"/>
        <v>#DIV/0!</v>
      </c>
      <c r="U30" s="40" t="str">
        <f>IF(データ!R27="","",データ!R27)</f>
        <v/>
      </c>
      <c r="V30" s="41" t="str">
        <f>IF(データ!S27="","",データ!S27)</f>
        <v/>
      </c>
      <c r="W30" s="42">
        <f>データ!T27</f>
        <v>0</v>
      </c>
      <c r="X30" s="48">
        <f>IF($C30="集計行","",データ!U27)</f>
        <v>0</v>
      </c>
      <c r="Y30" s="48">
        <f>データ!V27</f>
        <v>0</v>
      </c>
      <c r="Z30" s="39" t="str">
        <f>IF(OR($C30="総括",$C30="内訳書",$C30="内訳代価",$C30="明細書",$C30="明細代価",$C30="代価表",$C30="単価表"),データ!W27,"")</f>
        <v/>
      </c>
      <c r="AA30" s="11" t="str">
        <f t="shared" si="4"/>
        <v/>
      </c>
      <c r="AB30" s="46" t="e">
        <f t="shared" si="5"/>
        <v>#DIV/0!</v>
      </c>
      <c r="AC30" s="40" t="str">
        <f>IF(データ!X27="","",データ!X27)</f>
        <v/>
      </c>
      <c r="AD30" s="41" t="str">
        <f>IF(データ!Y27="","",データ!Y27)</f>
        <v/>
      </c>
      <c r="AE30" s="47" t="str">
        <f>TRIM(データ!B27)</f>
        <v/>
      </c>
      <c r="AF30" s="43" t="str">
        <f>TRIM(データ!Z27)</f>
        <v/>
      </c>
    </row>
    <row r="31" spans="1:32" x14ac:dyDescent="0.15">
      <c r="A31" s="47">
        <f>データ!A28</f>
        <v>3</v>
      </c>
      <c r="B31" s="47" t="str">
        <f>TRIM(データ!C28)</f>
        <v/>
      </c>
      <c r="C31" s="47" t="str">
        <f>TRIM(データ!D28)</f>
        <v>機械費</v>
      </c>
      <c r="D31" s="36" t="str">
        <f>REPT("｜",$A31)&amp;TRIM(データ!E28)</f>
        <v>｜｜｜ミニバックホウ0.15m3</v>
      </c>
      <c r="E31" s="37" t="str">
        <f>TRIM(データ!F28)</f>
        <v/>
      </c>
      <c r="F31" s="38" t="str">
        <f>TRIM(データ!G28)</f>
        <v>台</v>
      </c>
      <c r="G31" s="50">
        <f>データ!H28</f>
        <v>3</v>
      </c>
      <c r="H31" s="48">
        <f>データ!I28</f>
        <v>8000</v>
      </c>
      <c r="I31" s="48">
        <f>データ!J28</f>
        <v>24000</v>
      </c>
      <c r="J31" s="39" t="str">
        <f>IF(OR($C31="総括",$C31="内訳書",$C31="内訳代価",$C31="明細書",$C31="明細代価",$C31="代価表",$C31="単価表"),データ!K28,"")</f>
        <v/>
      </c>
      <c r="K31" s="11" t="str">
        <f t="shared" si="0"/>
        <v/>
      </c>
      <c r="L31" s="46">
        <f t="shared" si="1"/>
        <v>1.9051338594678008E-3</v>
      </c>
      <c r="M31" s="40" t="str">
        <f>IF(データ!L28="","",データ!L28)</f>
        <v/>
      </c>
      <c r="N31" s="41" t="str">
        <f>IF(データ!M28="","",データ!M28)</f>
        <v/>
      </c>
      <c r="O31" s="42">
        <f>データ!N28</f>
        <v>0</v>
      </c>
      <c r="P31" s="48">
        <f>IF($C31="集計行","",データ!O28)</f>
        <v>0</v>
      </c>
      <c r="Q31" s="48">
        <f>データ!P28</f>
        <v>0</v>
      </c>
      <c r="R31" s="39" t="str">
        <f>IF(OR($C31="総括",$C31="内訳書",$C31="内訳代価",$C31="明細書",$C31="明細代価",$C31="代価表",$C31="単価表"),データ!Q28,"")</f>
        <v/>
      </c>
      <c r="S31" s="11" t="str">
        <f t="shared" si="2"/>
        <v/>
      </c>
      <c r="T31" s="46" t="e">
        <f t="shared" si="3"/>
        <v>#DIV/0!</v>
      </c>
      <c r="U31" s="40" t="str">
        <f>IF(データ!R28="","",データ!R28)</f>
        <v/>
      </c>
      <c r="V31" s="41" t="str">
        <f>IF(データ!S28="","",データ!S28)</f>
        <v/>
      </c>
      <c r="W31" s="42">
        <f>データ!T28</f>
        <v>0</v>
      </c>
      <c r="X31" s="48">
        <f>IF($C31="集計行","",データ!U28)</f>
        <v>0</v>
      </c>
      <c r="Y31" s="48">
        <f>データ!V28</f>
        <v>0</v>
      </c>
      <c r="Z31" s="39" t="str">
        <f>IF(OR($C31="総括",$C31="内訳書",$C31="内訳代価",$C31="明細書",$C31="明細代価",$C31="代価表",$C31="単価表"),データ!W28,"")</f>
        <v/>
      </c>
      <c r="AA31" s="11" t="str">
        <f t="shared" si="4"/>
        <v/>
      </c>
      <c r="AB31" s="46" t="e">
        <f t="shared" si="5"/>
        <v>#DIV/0!</v>
      </c>
      <c r="AC31" s="40" t="str">
        <f>IF(データ!X28="","",データ!X28)</f>
        <v/>
      </c>
      <c r="AD31" s="41" t="str">
        <f>IF(データ!Y28="","",データ!Y28)</f>
        <v/>
      </c>
      <c r="AE31" s="47" t="str">
        <f>TRIM(データ!B28)</f>
        <v/>
      </c>
      <c r="AF31" s="43" t="str">
        <f>TRIM(データ!Z28)</f>
        <v/>
      </c>
    </row>
    <row r="32" spans="1:32" x14ac:dyDescent="0.15">
      <c r="A32" s="47">
        <f>データ!A29</f>
        <v>3</v>
      </c>
      <c r="B32" s="47" t="str">
        <f>TRIM(データ!C29)</f>
        <v/>
      </c>
      <c r="C32" s="47" t="str">
        <f>TRIM(データ!D29)</f>
        <v>機械費</v>
      </c>
      <c r="D32" s="36" t="str">
        <f>REPT("｜",$A32)&amp;TRIM(データ!E29)</f>
        <v>｜｜｜散水車4t</v>
      </c>
      <c r="E32" s="37" t="str">
        <f>TRIM(データ!F29)</f>
        <v/>
      </c>
      <c r="F32" s="38" t="str">
        <f>TRIM(データ!G29)</f>
        <v>台</v>
      </c>
      <c r="G32" s="50">
        <f>データ!H29</f>
        <v>3</v>
      </c>
      <c r="H32" s="48">
        <f>データ!I29</f>
        <v>15000</v>
      </c>
      <c r="I32" s="48">
        <f>データ!J29</f>
        <v>45000</v>
      </c>
      <c r="J32" s="39" t="str">
        <f>IF(OR($C32="総括",$C32="内訳書",$C32="内訳代価",$C32="明細書",$C32="明細代価",$C32="代価表",$C32="単価表"),データ!K29,"")</f>
        <v/>
      </c>
      <c r="K32" s="11" t="str">
        <f t="shared" si="0"/>
        <v/>
      </c>
      <c r="L32" s="46">
        <f t="shared" si="1"/>
        <v>3.5721259865021267E-3</v>
      </c>
      <c r="M32" s="40" t="str">
        <f>IF(データ!L29="","",データ!L29)</f>
        <v/>
      </c>
      <c r="N32" s="41" t="str">
        <f>IF(データ!M29="","",データ!M29)</f>
        <v/>
      </c>
      <c r="O32" s="42">
        <f>データ!N29</f>
        <v>0</v>
      </c>
      <c r="P32" s="48">
        <f>IF($C32="集計行","",データ!O29)</f>
        <v>0</v>
      </c>
      <c r="Q32" s="48">
        <f>データ!P29</f>
        <v>0</v>
      </c>
      <c r="R32" s="39" t="str">
        <f>IF(OR($C32="総括",$C32="内訳書",$C32="内訳代価",$C32="明細書",$C32="明細代価",$C32="代価表",$C32="単価表"),データ!Q29,"")</f>
        <v/>
      </c>
      <c r="S32" s="11" t="str">
        <f t="shared" si="2"/>
        <v/>
      </c>
      <c r="T32" s="46" t="e">
        <f t="shared" si="3"/>
        <v>#DIV/0!</v>
      </c>
      <c r="U32" s="40" t="str">
        <f>IF(データ!R29="","",データ!R29)</f>
        <v/>
      </c>
      <c r="V32" s="41" t="str">
        <f>IF(データ!S29="","",データ!S29)</f>
        <v/>
      </c>
      <c r="W32" s="42">
        <f>データ!T29</f>
        <v>0</v>
      </c>
      <c r="X32" s="48">
        <f>IF($C32="集計行","",データ!U29)</f>
        <v>0</v>
      </c>
      <c r="Y32" s="48">
        <f>データ!V29</f>
        <v>0</v>
      </c>
      <c r="Z32" s="39" t="str">
        <f>IF(OR($C32="総括",$C32="内訳書",$C32="内訳代価",$C32="明細書",$C32="明細代価",$C32="代価表",$C32="単価表"),データ!W29,"")</f>
        <v/>
      </c>
      <c r="AA32" s="11" t="str">
        <f t="shared" si="4"/>
        <v/>
      </c>
      <c r="AB32" s="46" t="e">
        <f t="shared" si="5"/>
        <v>#DIV/0!</v>
      </c>
      <c r="AC32" s="40" t="str">
        <f>IF(データ!X29="","",データ!X29)</f>
        <v/>
      </c>
      <c r="AD32" s="41" t="str">
        <f>IF(データ!Y29="","",データ!Y29)</f>
        <v/>
      </c>
      <c r="AE32" s="47" t="str">
        <f>TRIM(データ!B29)</f>
        <v/>
      </c>
      <c r="AF32" s="43" t="str">
        <f>TRIM(データ!Z29)</f>
        <v/>
      </c>
    </row>
    <row r="33" spans="1:32" x14ac:dyDescent="0.15">
      <c r="A33" s="47">
        <f>データ!A30</f>
        <v>3</v>
      </c>
      <c r="B33" s="47" t="str">
        <f>TRIM(データ!C30)</f>
        <v/>
      </c>
      <c r="C33" s="47" t="str">
        <f>TRIM(データ!D30)</f>
        <v>機械費</v>
      </c>
      <c r="D33" s="36" t="str">
        <f>REPT("｜",$A33)&amp;TRIM(データ!E30)</f>
        <v>｜｜｜小物機械</v>
      </c>
      <c r="E33" s="37" t="str">
        <f>TRIM(データ!F30)</f>
        <v/>
      </c>
      <c r="F33" s="38" t="str">
        <f>TRIM(データ!G30)</f>
        <v>台</v>
      </c>
      <c r="G33" s="50">
        <f>データ!H30</f>
        <v>6</v>
      </c>
      <c r="H33" s="48">
        <f>データ!I30</f>
        <v>3000</v>
      </c>
      <c r="I33" s="48">
        <f>データ!J30</f>
        <v>18000</v>
      </c>
      <c r="J33" s="39" t="str">
        <f>IF(OR($C33="総括",$C33="内訳書",$C33="内訳代価",$C33="明細書",$C33="明細代価",$C33="代価表",$C33="単価表"),データ!K30,"")</f>
        <v/>
      </c>
      <c r="K33" s="11" t="str">
        <f t="shared" si="0"/>
        <v/>
      </c>
      <c r="L33" s="46">
        <f t="shared" si="1"/>
        <v>1.4288503946008506E-3</v>
      </c>
      <c r="M33" s="40" t="str">
        <f>IF(データ!L30="","",データ!L30)</f>
        <v/>
      </c>
      <c r="N33" s="41" t="str">
        <f>IF(データ!M30="","",データ!M30)</f>
        <v/>
      </c>
      <c r="O33" s="42">
        <f>データ!N30</f>
        <v>0</v>
      </c>
      <c r="P33" s="48">
        <f>IF($C33="集計行","",データ!O30)</f>
        <v>0</v>
      </c>
      <c r="Q33" s="48">
        <f>データ!P30</f>
        <v>0</v>
      </c>
      <c r="R33" s="39" t="str">
        <f>IF(OR($C33="総括",$C33="内訳書",$C33="内訳代価",$C33="明細書",$C33="明細代価",$C33="代価表",$C33="単価表"),データ!Q30,"")</f>
        <v/>
      </c>
      <c r="S33" s="11" t="str">
        <f t="shared" si="2"/>
        <v/>
      </c>
      <c r="T33" s="46" t="e">
        <f t="shared" si="3"/>
        <v>#DIV/0!</v>
      </c>
      <c r="U33" s="40" t="str">
        <f>IF(データ!R30="","",データ!R30)</f>
        <v/>
      </c>
      <c r="V33" s="41" t="str">
        <f>IF(データ!S30="","",データ!S30)</f>
        <v/>
      </c>
      <c r="W33" s="42">
        <f>データ!T30</f>
        <v>0</v>
      </c>
      <c r="X33" s="48">
        <f>IF($C33="集計行","",データ!U30)</f>
        <v>0</v>
      </c>
      <c r="Y33" s="48">
        <f>データ!V30</f>
        <v>0</v>
      </c>
      <c r="Z33" s="39" t="str">
        <f>IF(OR($C33="総括",$C33="内訳書",$C33="内訳代価",$C33="明細書",$C33="明細代価",$C33="代価表",$C33="単価表"),データ!W30,"")</f>
        <v/>
      </c>
      <c r="AA33" s="11" t="str">
        <f t="shared" si="4"/>
        <v/>
      </c>
      <c r="AB33" s="46" t="e">
        <f t="shared" si="5"/>
        <v>#DIV/0!</v>
      </c>
      <c r="AC33" s="40" t="str">
        <f>IF(データ!X30="","",データ!X30)</f>
        <v/>
      </c>
      <c r="AD33" s="41" t="str">
        <f>IF(データ!Y30="","",データ!Y30)</f>
        <v/>
      </c>
      <c r="AE33" s="47" t="str">
        <f>TRIM(データ!B30)</f>
        <v/>
      </c>
      <c r="AF33" s="43" t="str">
        <f>TRIM(データ!Z30)</f>
        <v/>
      </c>
    </row>
    <row r="34" spans="1:32" x14ac:dyDescent="0.15">
      <c r="A34" s="47">
        <f>データ!A31</f>
        <v>3</v>
      </c>
      <c r="B34" s="47" t="str">
        <f>TRIM(データ!C31)</f>
        <v/>
      </c>
      <c r="C34" s="47" t="str">
        <f>TRIM(データ!D31)</f>
        <v>運搬費</v>
      </c>
      <c r="D34" s="36" t="str">
        <f>REPT("｜",$A34)&amp;TRIM(データ!E31)</f>
        <v>｜｜｜4tダンプ</v>
      </c>
      <c r="E34" s="37" t="str">
        <f>TRIM(データ!F31)</f>
        <v/>
      </c>
      <c r="F34" s="38" t="str">
        <f>TRIM(データ!G31)</f>
        <v>台</v>
      </c>
      <c r="G34" s="50">
        <f>データ!H31</f>
        <v>3</v>
      </c>
      <c r="H34" s="48">
        <f>データ!I31</f>
        <v>10000</v>
      </c>
      <c r="I34" s="48">
        <f>データ!J31</f>
        <v>30000</v>
      </c>
      <c r="J34" s="39" t="str">
        <f>IF(OR($C34="総括",$C34="内訳書",$C34="内訳代価",$C34="明細書",$C34="明細代価",$C34="代価表",$C34="単価表"),データ!K31,"")</f>
        <v/>
      </c>
      <c r="K34" s="11" t="str">
        <f t="shared" si="0"/>
        <v/>
      </c>
      <c r="L34" s="46">
        <f t="shared" si="1"/>
        <v>2.3814173243347512E-3</v>
      </c>
      <c r="M34" s="40" t="str">
        <f>IF(データ!L31="","",データ!L31)</f>
        <v/>
      </c>
      <c r="N34" s="41" t="str">
        <f>IF(データ!M31="","",データ!M31)</f>
        <v/>
      </c>
      <c r="O34" s="42">
        <f>データ!N31</f>
        <v>0</v>
      </c>
      <c r="P34" s="48">
        <f>IF($C34="集計行","",データ!O31)</f>
        <v>0</v>
      </c>
      <c r="Q34" s="48">
        <f>データ!P31</f>
        <v>0</v>
      </c>
      <c r="R34" s="39" t="str">
        <f>IF(OR($C34="総括",$C34="内訳書",$C34="内訳代価",$C34="明細書",$C34="明細代価",$C34="代価表",$C34="単価表"),データ!Q31,"")</f>
        <v/>
      </c>
      <c r="S34" s="11" t="str">
        <f t="shared" si="2"/>
        <v/>
      </c>
      <c r="T34" s="46" t="e">
        <f t="shared" si="3"/>
        <v>#DIV/0!</v>
      </c>
      <c r="U34" s="40" t="str">
        <f>IF(データ!R31="","",データ!R31)</f>
        <v/>
      </c>
      <c r="V34" s="41" t="str">
        <f>IF(データ!S31="","",データ!S31)</f>
        <v/>
      </c>
      <c r="W34" s="42">
        <f>データ!T31</f>
        <v>0</v>
      </c>
      <c r="X34" s="48">
        <f>IF($C34="集計行","",データ!U31)</f>
        <v>0</v>
      </c>
      <c r="Y34" s="48">
        <f>データ!V31</f>
        <v>0</v>
      </c>
      <c r="Z34" s="39" t="str">
        <f>IF(OR($C34="総括",$C34="内訳書",$C34="内訳代価",$C34="明細書",$C34="明細代価",$C34="代価表",$C34="単価表"),データ!W31,"")</f>
        <v/>
      </c>
      <c r="AA34" s="11" t="str">
        <f t="shared" si="4"/>
        <v/>
      </c>
      <c r="AB34" s="46" t="e">
        <f t="shared" si="5"/>
        <v>#DIV/0!</v>
      </c>
      <c r="AC34" s="40" t="str">
        <f>IF(データ!X31="","",データ!X31)</f>
        <v/>
      </c>
      <c r="AD34" s="41" t="str">
        <f>IF(データ!Y31="","",データ!Y31)</f>
        <v/>
      </c>
      <c r="AE34" s="47" t="str">
        <f>TRIM(データ!B31)</f>
        <v/>
      </c>
      <c r="AF34" s="43" t="str">
        <f>TRIM(データ!Z31)</f>
        <v/>
      </c>
    </row>
    <row r="35" spans="1:32" x14ac:dyDescent="0.15">
      <c r="A35" s="47">
        <f>データ!A32</f>
        <v>3</v>
      </c>
      <c r="B35" s="47" t="str">
        <f>TRIM(データ!C32)</f>
        <v/>
      </c>
      <c r="C35" s="47" t="str">
        <f>TRIM(データ!D32)</f>
        <v>運搬費</v>
      </c>
      <c r="D35" s="36" t="str">
        <f>REPT("｜",$A35)&amp;TRIM(データ!E32)</f>
        <v>｜｜｜2tダンプ</v>
      </c>
      <c r="E35" s="37" t="str">
        <f>TRIM(データ!F32)</f>
        <v/>
      </c>
      <c r="F35" s="38" t="str">
        <f>TRIM(データ!G32)</f>
        <v>台</v>
      </c>
      <c r="G35" s="50">
        <f>データ!H32</f>
        <v>3</v>
      </c>
      <c r="H35" s="48">
        <f>データ!I32</f>
        <v>8000</v>
      </c>
      <c r="I35" s="48">
        <f>データ!J32</f>
        <v>24000</v>
      </c>
      <c r="J35" s="39" t="str">
        <f>IF(OR($C35="総括",$C35="内訳書",$C35="内訳代価",$C35="明細書",$C35="明細代価",$C35="代価表",$C35="単価表"),データ!K32,"")</f>
        <v/>
      </c>
      <c r="K35" s="11" t="str">
        <f t="shared" si="0"/>
        <v/>
      </c>
      <c r="L35" s="46">
        <f t="shared" si="1"/>
        <v>1.9051338594678008E-3</v>
      </c>
      <c r="M35" s="40" t="str">
        <f>IF(データ!L32="","",データ!L32)</f>
        <v/>
      </c>
      <c r="N35" s="41" t="str">
        <f>IF(データ!M32="","",データ!M32)</f>
        <v/>
      </c>
      <c r="O35" s="42">
        <f>データ!N32</f>
        <v>0</v>
      </c>
      <c r="P35" s="48">
        <f>IF($C35="集計行","",データ!O32)</f>
        <v>0</v>
      </c>
      <c r="Q35" s="48">
        <f>データ!P32</f>
        <v>0</v>
      </c>
      <c r="R35" s="39" t="str">
        <f>IF(OR($C35="総括",$C35="内訳書",$C35="内訳代価",$C35="明細書",$C35="明細代価",$C35="代価表",$C35="単価表"),データ!Q32,"")</f>
        <v/>
      </c>
      <c r="S35" s="11" t="str">
        <f t="shared" si="2"/>
        <v/>
      </c>
      <c r="T35" s="46" t="e">
        <f t="shared" si="3"/>
        <v>#DIV/0!</v>
      </c>
      <c r="U35" s="40" t="str">
        <f>IF(データ!R32="","",データ!R32)</f>
        <v/>
      </c>
      <c r="V35" s="41" t="str">
        <f>IF(データ!S32="","",データ!S32)</f>
        <v/>
      </c>
      <c r="W35" s="42">
        <f>データ!T32</f>
        <v>0</v>
      </c>
      <c r="X35" s="48">
        <f>IF($C35="集計行","",データ!U32)</f>
        <v>0</v>
      </c>
      <c r="Y35" s="48">
        <f>データ!V32</f>
        <v>0</v>
      </c>
      <c r="Z35" s="39" t="str">
        <f>IF(OR($C35="総括",$C35="内訳書",$C35="内訳代価",$C35="明細書",$C35="明細代価",$C35="代価表",$C35="単価表"),データ!W32,"")</f>
        <v/>
      </c>
      <c r="AA35" s="11" t="str">
        <f t="shared" si="4"/>
        <v/>
      </c>
      <c r="AB35" s="46" t="e">
        <f t="shared" si="5"/>
        <v>#DIV/0!</v>
      </c>
      <c r="AC35" s="40" t="str">
        <f>IF(データ!X32="","",データ!X32)</f>
        <v/>
      </c>
      <c r="AD35" s="41" t="str">
        <f>IF(データ!Y32="","",データ!Y32)</f>
        <v/>
      </c>
      <c r="AE35" s="47" t="str">
        <f>TRIM(データ!B32)</f>
        <v/>
      </c>
      <c r="AF35" s="43" t="str">
        <f>TRIM(データ!Z32)</f>
        <v/>
      </c>
    </row>
    <row r="36" spans="1:32" x14ac:dyDescent="0.15">
      <c r="A36" s="47">
        <f>データ!A33</f>
        <v>3</v>
      </c>
      <c r="B36" s="47" t="str">
        <f>TRIM(データ!C33)</f>
        <v/>
      </c>
      <c r="C36" s="47" t="str">
        <f>TRIM(データ!D33)</f>
        <v>運搬費</v>
      </c>
      <c r="D36" s="36" t="str">
        <f>REPT("｜",$A36)&amp;TRIM(データ!E33)</f>
        <v>｜｜｜WP</v>
      </c>
      <c r="E36" s="37" t="str">
        <f>TRIM(データ!F33)</f>
        <v/>
      </c>
      <c r="F36" s="38" t="str">
        <f>TRIM(データ!G33)</f>
        <v>台</v>
      </c>
      <c r="G36" s="50">
        <f>データ!H33</f>
        <v>3</v>
      </c>
      <c r="H36" s="48">
        <f>データ!I33</f>
        <v>8000</v>
      </c>
      <c r="I36" s="48">
        <f>データ!J33</f>
        <v>24000</v>
      </c>
      <c r="J36" s="39" t="str">
        <f>IF(OR($C36="総括",$C36="内訳書",$C36="内訳代価",$C36="明細書",$C36="明細代価",$C36="代価表",$C36="単価表"),データ!K33,"")</f>
        <v/>
      </c>
      <c r="K36" s="11" t="str">
        <f t="shared" si="0"/>
        <v/>
      </c>
      <c r="L36" s="46">
        <f t="shared" si="1"/>
        <v>1.9051338594678008E-3</v>
      </c>
      <c r="M36" s="40" t="str">
        <f>IF(データ!L33="","",データ!L33)</f>
        <v/>
      </c>
      <c r="N36" s="41" t="str">
        <f>IF(データ!M33="","",データ!M33)</f>
        <v/>
      </c>
      <c r="O36" s="42">
        <f>データ!N33</f>
        <v>0</v>
      </c>
      <c r="P36" s="48">
        <f>IF($C36="集計行","",データ!O33)</f>
        <v>0</v>
      </c>
      <c r="Q36" s="48">
        <f>データ!P33</f>
        <v>0</v>
      </c>
      <c r="R36" s="39" t="str">
        <f>IF(OR($C36="総括",$C36="内訳書",$C36="内訳代価",$C36="明細書",$C36="明細代価",$C36="代価表",$C36="単価表"),データ!Q33,"")</f>
        <v/>
      </c>
      <c r="S36" s="11" t="str">
        <f t="shared" si="2"/>
        <v/>
      </c>
      <c r="T36" s="46" t="e">
        <f t="shared" si="3"/>
        <v>#DIV/0!</v>
      </c>
      <c r="U36" s="40" t="str">
        <f>IF(データ!R33="","",データ!R33)</f>
        <v/>
      </c>
      <c r="V36" s="41" t="str">
        <f>IF(データ!S33="","",データ!S33)</f>
        <v/>
      </c>
      <c r="W36" s="42">
        <f>データ!T33</f>
        <v>0</v>
      </c>
      <c r="X36" s="48">
        <f>IF($C36="集計行","",データ!U33)</f>
        <v>0</v>
      </c>
      <c r="Y36" s="48">
        <f>データ!V33</f>
        <v>0</v>
      </c>
      <c r="Z36" s="39" t="str">
        <f>IF(OR($C36="総括",$C36="内訳書",$C36="内訳代価",$C36="明細書",$C36="明細代価",$C36="代価表",$C36="単価表"),データ!W33,"")</f>
        <v/>
      </c>
      <c r="AA36" s="11" t="str">
        <f t="shared" si="4"/>
        <v/>
      </c>
      <c r="AB36" s="46" t="e">
        <f t="shared" si="5"/>
        <v>#DIV/0!</v>
      </c>
      <c r="AC36" s="40" t="str">
        <f>IF(データ!X33="","",データ!X33)</f>
        <v/>
      </c>
      <c r="AD36" s="41" t="str">
        <f>IF(データ!Y33="","",データ!Y33)</f>
        <v/>
      </c>
      <c r="AE36" s="47" t="str">
        <f>TRIM(データ!B33)</f>
        <v/>
      </c>
      <c r="AF36" s="43" t="str">
        <f>TRIM(データ!Z33)</f>
        <v/>
      </c>
    </row>
    <row r="37" spans="1:32" x14ac:dyDescent="0.15">
      <c r="A37" s="47">
        <f>データ!A34</f>
        <v>1</v>
      </c>
      <c r="B37" s="47" t="str">
        <f>TRIM(データ!C34)</f>
        <v/>
      </c>
      <c r="C37" s="47" t="str">
        <f>TRIM(データ!D34)</f>
        <v>内訳書</v>
      </c>
      <c r="D37" s="36" t="str">
        <f>REPT("｜",$A37)&amp;TRIM(データ!E34)</f>
        <v>｜重機運搬費</v>
      </c>
      <c r="E37" s="37" t="str">
        <f>TRIM(データ!F34)</f>
        <v/>
      </c>
      <c r="F37" s="38" t="str">
        <f>TRIM(データ!G34)</f>
        <v>回</v>
      </c>
      <c r="G37" s="50">
        <f>データ!H34</f>
        <v>2</v>
      </c>
      <c r="H37" s="48">
        <f>データ!I34</f>
        <v>136000</v>
      </c>
      <c r="I37" s="48">
        <f>データ!J34</f>
        <v>272000</v>
      </c>
      <c r="J37" s="39">
        <f>IF(OR($C37="総括",$C37="内訳書",$C37="内訳代価",$C37="明細書",$C37="明細代価",$C37="代価表",$C37="単価表"),データ!K34,"")</f>
        <v>2</v>
      </c>
      <c r="K37" s="11" t="str">
        <f t="shared" si="0"/>
        <v/>
      </c>
      <c r="L37" s="46">
        <f t="shared" si="1"/>
        <v>2.1591517073968409E-2</v>
      </c>
      <c r="M37" s="40" t="str">
        <f>IF(データ!L34="","",データ!L34)</f>
        <v/>
      </c>
      <c r="N37" s="41" t="str">
        <f>IF(データ!M34="","",データ!M34)</f>
        <v>19号内訳書</v>
      </c>
      <c r="O37" s="42">
        <f>データ!N34</f>
        <v>0</v>
      </c>
      <c r="P37" s="48">
        <f>IF($C37="集計行","",データ!O34)</f>
        <v>0</v>
      </c>
      <c r="Q37" s="48">
        <f>データ!P34</f>
        <v>0</v>
      </c>
      <c r="R37" s="39">
        <f>IF(OR($C37="総括",$C37="内訳書",$C37="内訳代価",$C37="明細書",$C37="明細代価",$C37="代価表",$C37="単価表"),データ!Q34,"")</f>
        <v>0</v>
      </c>
      <c r="S37" s="11" t="str">
        <f t="shared" si="2"/>
        <v/>
      </c>
      <c r="T37" s="46" t="e">
        <f t="shared" si="3"/>
        <v>#DIV/0!</v>
      </c>
      <c r="U37" s="40" t="str">
        <f>IF(データ!R34="","",データ!R34)</f>
        <v/>
      </c>
      <c r="V37" s="41" t="str">
        <f>IF(データ!S34="","",データ!S34)</f>
        <v/>
      </c>
      <c r="W37" s="42">
        <f>データ!T34</f>
        <v>0</v>
      </c>
      <c r="X37" s="48">
        <f>IF($C37="集計行","",データ!U34)</f>
        <v>0</v>
      </c>
      <c r="Y37" s="48">
        <f>データ!V34</f>
        <v>0</v>
      </c>
      <c r="Z37" s="39">
        <f>IF(OR($C37="総括",$C37="内訳書",$C37="内訳代価",$C37="明細書",$C37="明細代価",$C37="代価表",$C37="単価表"),データ!W34,"")</f>
        <v>0</v>
      </c>
      <c r="AA37" s="11" t="str">
        <f t="shared" si="4"/>
        <v/>
      </c>
      <c r="AB37" s="46" t="e">
        <f t="shared" si="5"/>
        <v>#DIV/0!</v>
      </c>
      <c r="AC37" s="40" t="str">
        <f>IF(データ!X34="","",データ!X34)</f>
        <v/>
      </c>
      <c r="AD37" s="41" t="str">
        <f>IF(データ!Y34="","",データ!Y34)</f>
        <v/>
      </c>
      <c r="AE37" s="47" t="str">
        <f>TRIM(データ!B34)</f>
        <v/>
      </c>
      <c r="AF37" s="43" t="str">
        <f>TRIM(データ!Z34)</f>
        <v/>
      </c>
    </row>
    <row r="38" spans="1:32" x14ac:dyDescent="0.15">
      <c r="A38" s="47">
        <f>データ!A35</f>
        <v>2</v>
      </c>
      <c r="B38" s="47" t="str">
        <f>TRIM(データ!C35)</f>
        <v/>
      </c>
      <c r="C38" s="47" t="str">
        <f>TRIM(データ!D35)</f>
        <v>内訳代価</v>
      </c>
      <c r="D38" s="36" t="str">
        <f>REPT("｜",$A38)&amp;TRIM(データ!E35)</f>
        <v>｜｜運搬費</v>
      </c>
      <c r="E38" s="37" t="str">
        <f>TRIM(データ!F35)</f>
        <v/>
      </c>
      <c r="F38" s="38" t="str">
        <f>TRIM(データ!G35)</f>
        <v>回</v>
      </c>
      <c r="G38" s="50">
        <f>データ!H35</f>
        <v>2</v>
      </c>
      <c r="H38" s="48">
        <f>データ!I35</f>
        <v>136000</v>
      </c>
      <c r="I38" s="48">
        <f>データ!J35</f>
        <v>272000</v>
      </c>
      <c r="J38" s="39">
        <f>IF(OR($C38="総括",$C38="内訳書",$C38="内訳代価",$C38="明細書",$C38="明細代価",$C38="代価表",$C38="単価表"),データ!K35,"")</f>
        <v>2</v>
      </c>
      <c r="K38" s="11" t="str">
        <f t="shared" si="0"/>
        <v/>
      </c>
      <c r="L38" s="46">
        <f t="shared" si="1"/>
        <v>2.1591517073968409E-2</v>
      </c>
      <c r="M38" s="40" t="str">
        <f>IF(データ!L35="","",データ!L35)</f>
        <v/>
      </c>
      <c r="N38" s="41" t="str">
        <f>IF(データ!M35="","",データ!M35)</f>
        <v>20号内訳書</v>
      </c>
      <c r="O38" s="42">
        <f>データ!N35</f>
        <v>0</v>
      </c>
      <c r="P38" s="48">
        <f>IF($C38="集計行","",データ!O35)</f>
        <v>0</v>
      </c>
      <c r="Q38" s="48">
        <f>データ!P35</f>
        <v>0</v>
      </c>
      <c r="R38" s="39">
        <f>IF(OR($C38="総括",$C38="内訳書",$C38="内訳代価",$C38="明細書",$C38="明細代価",$C38="代価表",$C38="単価表"),データ!Q35,"")</f>
        <v>0</v>
      </c>
      <c r="S38" s="11" t="str">
        <f t="shared" si="2"/>
        <v/>
      </c>
      <c r="T38" s="46" t="e">
        <f t="shared" si="3"/>
        <v>#DIV/0!</v>
      </c>
      <c r="U38" s="40" t="str">
        <f>IF(データ!R35="","",データ!R35)</f>
        <v/>
      </c>
      <c r="V38" s="41" t="str">
        <f>IF(データ!S35="","",データ!S35)</f>
        <v/>
      </c>
      <c r="W38" s="42">
        <f>データ!T35</f>
        <v>0</v>
      </c>
      <c r="X38" s="48">
        <f>IF($C38="集計行","",データ!U35)</f>
        <v>0</v>
      </c>
      <c r="Y38" s="48">
        <f>データ!V35</f>
        <v>0</v>
      </c>
      <c r="Z38" s="39">
        <f>IF(OR($C38="総括",$C38="内訳書",$C38="内訳代価",$C38="明細書",$C38="明細代価",$C38="代価表",$C38="単価表"),データ!W35,"")</f>
        <v>0</v>
      </c>
      <c r="AA38" s="11" t="str">
        <f t="shared" si="4"/>
        <v/>
      </c>
      <c r="AB38" s="46" t="e">
        <f t="shared" si="5"/>
        <v>#DIV/0!</v>
      </c>
      <c r="AC38" s="40" t="str">
        <f>IF(データ!X35="","",データ!X35)</f>
        <v/>
      </c>
      <c r="AD38" s="41" t="str">
        <f>IF(データ!Y35="","",データ!Y35)</f>
        <v/>
      </c>
      <c r="AE38" s="47" t="str">
        <f>TRIM(データ!B35)</f>
        <v/>
      </c>
      <c r="AF38" s="43" t="str">
        <f>TRIM(データ!Z35)</f>
        <v/>
      </c>
    </row>
    <row r="39" spans="1:32" x14ac:dyDescent="0.15">
      <c r="A39" s="47">
        <f>データ!A36</f>
        <v>3</v>
      </c>
      <c r="B39" s="47" t="str">
        <f>TRIM(データ!C36)</f>
        <v/>
      </c>
      <c r="C39" s="47" t="str">
        <f>TRIM(データ!D36)</f>
        <v>運搬費</v>
      </c>
      <c r="D39" s="36" t="str">
        <f>REPT("｜",$A39)&amp;TRIM(データ!E36)</f>
        <v>｜｜｜グレーダー</v>
      </c>
      <c r="E39" s="37" t="str">
        <f>TRIM(データ!F36)</f>
        <v/>
      </c>
      <c r="F39" s="38" t="str">
        <f>TRIM(データ!G36)</f>
        <v>回</v>
      </c>
      <c r="G39" s="50">
        <f>データ!H36</f>
        <v>2</v>
      </c>
      <c r="H39" s="48">
        <f>データ!I36</f>
        <v>25000</v>
      </c>
      <c r="I39" s="48">
        <f>データ!J36</f>
        <v>50000</v>
      </c>
      <c r="J39" s="39" t="str">
        <f>IF(OR($C39="総括",$C39="内訳書",$C39="内訳代価",$C39="明細書",$C39="明細代価",$C39="代価表",$C39="単価表"),データ!K36,"")</f>
        <v/>
      </c>
      <c r="K39" s="11" t="str">
        <f t="shared" si="0"/>
        <v/>
      </c>
      <c r="L39" s="46">
        <f t="shared" si="1"/>
        <v>3.9690288738912522E-3</v>
      </c>
      <c r="M39" s="40" t="str">
        <f>IF(データ!L36="","",データ!L36)</f>
        <v/>
      </c>
      <c r="N39" s="41" t="str">
        <f>IF(データ!M36="","",データ!M36)</f>
        <v/>
      </c>
      <c r="O39" s="42">
        <f>データ!N36</f>
        <v>0</v>
      </c>
      <c r="P39" s="48">
        <f>IF($C39="集計行","",データ!O36)</f>
        <v>0</v>
      </c>
      <c r="Q39" s="48">
        <f>データ!P36</f>
        <v>0</v>
      </c>
      <c r="R39" s="39" t="str">
        <f>IF(OR($C39="総括",$C39="内訳書",$C39="内訳代価",$C39="明細書",$C39="明細代価",$C39="代価表",$C39="単価表"),データ!Q36,"")</f>
        <v/>
      </c>
      <c r="S39" s="11" t="str">
        <f t="shared" si="2"/>
        <v/>
      </c>
      <c r="T39" s="46" t="e">
        <f t="shared" si="3"/>
        <v>#DIV/0!</v>
      </c>
      <c r="U39" s="40" t="str">
        <f>IF(データ!R36="","",データ!R36)</f>
        <v/>
      </c>
      <c r="V39" s="41" t="str">
        <f>IF(データ!S36="","",データ!S36)</f>
        <v/>
      </c>
      <c r="W39" s="42">
        <f>データ!T36</f>
        <v>0</v>
      </c>
      <c r="X39" s="48">
        <f>IF($C39="集計行","",データ!U36)</f>
        <v>0</v>
      </c>
      <c r="Y39" s="48">
        <f>データ!V36</f>
        <v>0</v>
      </c>
      <c r="Z39" s="39" t="str">
        <f>IF(OR($C39="総括",$C39="内訳書",$C39="内訳代価",$C39="明細書",$C39="明細代価",$C39="代価表",$C39="単価表"),データ!W36,"")</f>
        <v/>
      </c>
      <c r="AA39" s="11" t="str">
        <f t="shared" si="4"/>
        <v/>
      </c>
      <c r="AB39" s="46" t="e">
        <f t="shared" si="5"/>
        <v>#DIV/0!</v>
      </c>
      <c r="AC39" s="40" t="str">
        <f>IF(データ!X36="","",データ!X36)</f>
        <v/>
      </c>
      <c r="AD39" s="41" t="str">
        <f>IF(データ!Y36="","",データ!Y36)</f>
        <v/>
      </c>
      <c r="AE39" s="47" t="str">
        <f>TRIM(データ!B36)</f>
        <v/>
      </c>
      <c r="AF39" s="43" t="str">
        <f>TRIM(データ!Z36)</f>
        <v/>
      </c>
    </row>
    <row r="40" spans="1:32" x14ac:dyDescent="0.15">
      <c r="A40" s="47">
        <f>データ!A37</f>
        <v>3</v>
      </c>
      <c r="B40" s="47" t="str">
        <f>TRIM(データ!C37)</f>
        <v/>
      </c>
      <c r="C40" s="47" t="str">
        <f>TRIM(データ!D37)</f>
        <v>運搬費</v>
      </c>
      <c r="D40" s="36" t="str">
        <f>REPT("｜",$A40)&amp;TRIM(データ!E37)</f>
        <v>｜｜｜タイヤローラ</v>
      </c>
      <c r="E40" s="37" t="str">
        <f>TRIM(データ!F37)</f>
        <v/>
      </c>
      <c r="F40" s="38" t="str">
        <f>TRIM(データ!G37)</f>
        <v>回</v>
      </c>
      <c r="G40" s="50">
        <f>データ!H37</f>
        <v>2</v>
      </c>
      <c r="H40" s="48">
        <f>データ!I37</f>
        <v>22000</v>
      </c>
      <c r="I40" s="48">
        <f>データ!J37</f>
        <v>44000</v>
      </c>
      <c r="J40" s="39" t="str">
        <f>IF(OR($C40="総括",$C40="内訳書",$C40="内訳代価",$C40="明細書",$C40="明細代価",$C40="代価表",$C40="単価表"),データ!K37,"")</f>
        <v/>
      </c>
      <c r="K40" s="11" t="str">
        <f t="shared" si="0"/>
        <v/>
      </c>
      <c r="L40" s="46">
        <f t="shared" si="1"/>
        <v>3.4927454090243016E-3</v>
      </c>
      <c r="M40" s="40" t="str">
        <f>IF(データ!L37="","",データ!L37)</f>
        <v/>
      </c>
      <c r="N40" s="41" t="str">
        <f>IF(データ!M37="","",データ!M37)</f>
        <v/>
      </c>
      <c r="O40" s="42">
        <f>データ!N37</f>
        <v>0</v>
      </c>
      <c r="P40" s="48">
        <f>IF($C40="集計行","",データ!O37)</f>
        <v>0</v>
      </c>
      <c r="Q40" s="48">
        <f>データ!P37</f>
        <v>0</v>
      </c>
      <c r="R40" s="39" t="str">
        <f>IF(OR($C40="総括",$C40="内訳書",$C40="内訳代価",$C40="明細書",$C40="明細代価",$C40="代価表",$C40="単価表"),データ!Q37,"")</f>
        <v/>
      </c>
      <c r="S40" s="11" t="str">
        <f t="shared" si="2"/>
        <v/>
      </c>
      <c r="T40" s="46" t="e">
        <f t="shared" si="3"/>
        <v>#DIV/0!</v>
      </c>
      <c r="U40" s="40" t="str">
        <f>IF(データ!R37="","",データ!R37)</f>
        <v/>
      </c>
      <c r="V40" s="41" t="str">
        <f>IF(データ!S37="","",データ!S37)</f>
        <v/>
      </c>
      <c r="W40" s="42">
        <f>データ!T37</f>
        <v>0</v>
      </c>
      <c r="X40" s="48">
        <f>IF($C40="集計行","",データ!U37)</f>
        <v>0</v>
      </c>
      <c r="Y40" s="48">
        <f>データ!V37</f>
        <v>0</v>
      </c>
      <c r="Z40" s="39" t="str">
        <f>IF(OR($C40="総括",$C40="内訳書",$C40="内訳代価",$C40="明細書",$C40="明細代価",$C40="代価表",$C40="単価表"),データ!W37,"")</f>
        <v/>
      </c>
      <c r="AA40" s="11" t="str">
        <f t="shared" si="4"/>
        <v/>
      </c>
      <c r="AB40" s="46" t="e">
        <f t="shared" si="5"/>
        <v>#DIV/0!</v>
      </c>
      <c r="AC40" s="40" t="str">
        <f>IF(データ!X37="","",データ!X37)</f>
        <v/>
      </c>
      <c r="AD40" s="41" t="str">
        <f>IF(データ!Y37="","",データ!Y37)</f>
        <v/>
      </c>
      <c r="AE40" s="47" t="str">
        <f>TRIM(データ!B37)</f>
        <v/>
      </c>
      <c r="AF40" s="43" t="str">
        <f>TRIM(データ!Z37)</f>
        <v/>
      </c>
    </row>
    <row r="41" spans="1:32" x14ac:dyDescent="0.15">
      <c r="A41" s="47">
        <f>データ!A38</f>
        <v>3</v>
      </c>
      <c r="B41" s="47" t="str">
        <f>TRIM(データ!C38)</f>
        <v/>
      </c>
      <c r="C41" s="47" t="str">
        <f>TRIM(データ!D38)</f>
        <v>運搬費</v>
      </c>
      <c r="D41" s="36" t="str">
        <f>REPT("｜",$A41)&amp;TRIM(データ!E38)</f>
        <v>｜｜｜4tローラ、ミニバックホウ</v>
      </c>
      <c r="E41" s="37" t="str">
        <f>TRIM(データ!F38)</f>
        <v/>
      </c>
      <c r="F41" s="38" t="str">
        <f>TRIM(データ!G38)</f>
        <v>回</v>
      </c>
      <c r="G41" s="50">
        <f>データ!H38</f>
        <v>2</v>
      </c>
      <c r="H41" s="48">
        <f>データ!I38</f>
        <v>22000</v>
      </c>
      <c r="I41" s="48">
        <f>データ!J38</f>
        <v>44000</v>
      </c>
      <c r="J41" s="39" t="str">
        <f>IF(OR($C41="総括",$C41="内訳書",$C41="内訳代価",$C41="明細書",$C41="明細代価",$C41="代価表",$C41="単価表"),データ!K38,"")</f>
        <v/>
      </c>
      <c r="K41" s="11" t="str">
        <f t="shared" si="0"/>
        <v/>
      </c>
      <c r="L41" s="46">
        <f t="shared" si="1"/>
        <v>3.4927454090243016E-3</v>
      </c>
      <c r="M41" s="40" t="str">
        <f>IF(データ!L38="","",データ!L38)</f>
        <v/>
      </c>
      <c r="N41" s="41" t="str">
        <f>IF(データ!M38="","",データ!M38)</f>
        <v/>
      </c>
      <c r="O41" s="42">
        <f>データ!N38</f>
        <v>0</v>
      </c>
      <c r="P41" s="48">
        <f>IF($C41="集計行","",データ!O38)</f>
        <v>0</v>
      </c>
      <c r="Q41" s="48">
        <f>データ!P38</f>
        <v>0</v>
      </c>
      <c r="R41" s="39" t="str">
        <f>IF(OR($C41="総括",$C41="内訳書",$C41="内訳代価",$C41="明細書",$C41="明細代価",$C41="代価表",$C41="単価表"),データ!Q38,"")</f>
        <v/>
      </c>
      <c r="S41" s="11" t="str">
        <f t="shared" si="2"/>
        <v/>
      </c>
      <c r="T41" s="46" t="e">
        <f t="shared" si="3"/>
        <v>#DIV/0!</v>
      </c>
      <c r="U41" s="40" t="str">
        <f>IF(データ!R38="","",データ!R38)</f>
        <v/>
      </c>
      <c r="V41" s="41" t="str">
        <f>IF(データ!S38="","",データ!S38)</f>
        <v/>
      </c>
      <c r="W41" s="42">
        <f>データ!T38</f>
        <v>0</v>
      </c>
      <c r="X41" s="48">
        <f>IF($C41="集計行","",データ!U38)</f>
        <v>0</v>
      </c>
      <c r="Y41" s="48">
        <f>データ!V38</f>
        <v>0</v>
      </c>
      <c r="Z41" s="39" t="str">
        <f>IF(OR($C41="総括",$C41="内訳書",$C41="内訳代価",$C41="明細書",$C41="明細代価",$C41="代価表",$C41="単価表"),データ!W38,"")</f>
        <v/>
      </c>
      <c r="AA41" s="11" t="str">
        <f t="shared" si="4"/>
        <v/>
      </c>
      <c r="AB41" s="46" t="e">
        <f t="shared" si="5"/>
        <v>#DIV/0!</v>
      </c>
      <c r="AC41" s="40" t="str">
        <f>IF(データ!X38="","",データ!X38)</f>
        <v/>
      </c>
      <c r="AD41" s="41" t="str">
        <f>IF(データ!Y38="","",データ!Y38)</f>
        <v/>
      </c>
      <c r="AE41" s="47" t="str">
        <f>TRIM(データ!B38)</f>
        <v/>
      </c>
      <c r="AF41" s="43" t="str">
        <f>TRIM(データ!Z38)</f>
        <v/>
      </c>
    </row>
    <row r="42" spans="1:32" x14ac:dyDescent="0.15">
      <c r="A42" s="47">
        <f>データ!A39</f>
        <v>3</v>
      </c>
      <c r="B42" s="47" t="str">
        <f>TRIM(データ!C39)</f>
        <v/>
      </c>
      <c r="C42" s="47" t="str">
        <f>TRIM(データ!D39)</f>
        <v>運搬費</v>
      </c>
      <c r="D42" s="36" t="str">
        <f>REPT("｜",$A42)&amp;TRIM(データ!E39)</f>
        <v>｜｜｜タイヤショベル</v>
      </c>
      <c r="E42" s="37" t="str">
        <f>TRIM(データ!F39)</f>
        <v/>
      </c>
      <c r="F42" s="38" t="str">
        <f>TRIM(データ!G39)</f>
        <v>回</v>
      </c>
      <c r="G42" s="50">
        <f>データ!H39</f>
        <v>2</v>
      </c>
      <c r="H42" s="48">
        <f>データ!I39</f>
        <v>16000</v>
      </c>
      <c r="I42" s="48">
        <f>データ!J39</f>
        <v>32000</v>
      </c>
      <c r="J42" s="39" t="str">
        <f>IF(OR($C42="総括",$C42="内訳書",$C42="内訳代価",$C42="明細書",$C42="明細代価",$C42="代価表",$C42="単価表"),データ!K39,"")</f>
        <v/>
      </c>
      <c r="K42" s="11" t="str">
        <f t="shared" si="0"/>
        <v/>
      </c>
      <c r="L42" s="46">
        <f t="shared" si="1"/>
        <v>2.5401784792904013E-3</v>
      </c>
      <c r="M42" s="40" t="str">
        <f>IF(データ!L39="","",データ!L39)</f>
        <v/>
      </c>
      <c r="N42" s="41" t="str">
        <f>IF(データ!M39="","",データ!M39)</f>
        <v/>
      </c>
      <c r="O42" s="42">
        <f>データ!N39</f>
        <v>0</v>
      </c>
      <c r="P42" s="48">
        <f>IF($C42="集計行","",データ!O39)</f>
        <v>0</v>
      </c>
      <c r="Q42" s="48">
        <f>データ!P39</f>
        <v>0</v>
      </c>
      <c r="R42" s="39" t="str">
        <f>IF(OR($C42="総括",$C42="内訳書",$C42="内訳代価",$C42="明細書",$C42="明細代価",$C42="代価表",$C42="単価表"),データ!Q39,"")</f>
        <v/>
      </c>
      <c r="S42" s="11" t="str">
        <f t="shared" si="2"/>
        <v/>
      </c>
      <c r="T42" s="46" t="e">
        <f t="shared" si="3"/>
        <v>#DIV/0!</v>
      </c>
      <c r="U42" s="40" t="str">
        <f>IF(データ!R39="","",データ!R39)</f>
        <v/>
      </c>
      <c r="V42" s="41" t="str">
        <f>IF(データ!S39="","",データ!S39)</f>
        <v/>
      </c>
      <c r="W42" s="42">
        <f>データ!T39</f>
        <v>0</v>
      </c>
      <c r="X42" s="48">
        <f>IF($C42="集計行","",データ!U39)</f>
        <v>0</v>
      </c>
      <c r="Y42" s="48">
        <f>データ!V39</f>
        <v>0</v>
      </c>
      <c r="Z42" s="39" t="str">
        <f>IF(OR($C42="総括",$C42="内訳書",$C42="内訳代価",$C42="明細書",$C42="明細代価",$C42="代価表",$C42="単価表"),データ!W39,"")</f>
        <v/>
      </c>
      <c r="AA42" s="11" t="str">
        <f t="shared" si="4"/>
        <v/>
      </c>
      <c r="AB42" s="46" t="e">
        <f t="shared" si="5"/>
        <v>#DIV/0!</v>
      </c>
      <c r="AC42" s="40" t="str">
        <f>IF(データ!X39="","",データ!X39)</f>
        <v/>
      </c>
      <c r="AD42" s="41" t="str">
        <f>IF(データ!Y39="","",データ!Y39)</f>
        <v/>
      </c>
      <c r="AE42" s="47" t="str">
        <f>TRIM(データ!B39)</f>
        <v/>
      </c>
      <c r="AF42" s="43" t="str">
        <f>TRIM(データ!Z39)</f>
        <v/>
      </c>
    </row>
    <row r="43" spans="1:32" x14ac:dyDescent="0.15">
      <c r="A43" s="47">
        <f>データ!A40</f>
        <v>3</v>
      </c>
      <c r="B43" s="47" t="str">
        <f>TRIM(データ!C40)</f>
        <v/>
      </c>
      <c r="C43" s="47" t="str">
        <f>TRIM(データ!D40)</f>
        <v>運搬費</v>
      </c>
      <c r="D43" s="36" t="str">
        <f>REPT("｜",$A43)&amp;TRIM(データ!E40)</f>
        <v>｜｜｜散水車</v>
      </c>
      <c r="E43" s="37" t="str">
        <f>TRIM(データ!F40)</f>
        <v/>
      </c>
      <c r="F43" s="38" t="str">
        <f>TRIM(データ!G40)</f>
        <v>回</v>
      </c>
      <c r="G43" s="50">
        <f>データ!H40</f>
        <v>2</v>
      </c>
      <c r="H43" s="48">
        <f>データ!I40</f>
        <v>15000</v>
      </c>
      <c r="I43" s="48">
        <f>データ!J40</f>
        <v>30000</v>
      </c>
      <c r="J43" s="39" t="str">
        <f>IF(OR($C43="総括",$C43="内訳書",$C43="内訳代価",$C43="明細書",$C43="明細代価",$C43="代価表",$C43="単価表"),データ!K40,"")</f>
        <v/>
      </c>
      <c r="K43" s="11" t="str">
        <f t="shared" si="0"/>
        <v/>
      </c>
      <c r="L43" s="46">
        <f t="shared" si="1"/>
        <v>2.3814173243347512E-3</v>
      </c>
      <c r="M43" s="40" t="str">
        <f>IF(データ!L40="","",データ!L40)</f>
        <v/>
      </c>
      <c r="N43" s="41" t="str">
        <f>IF(データ!M40="","",データ!M40)</f>
        <v/>
      </c>
      <c r="O43" s="42">
        <f>データ!N40</f>
        <v>0</v>
      </c>
      <c r="P43" s="48">
        <f>IF($C43="集計行","",データ!O40)</f>
        <v>0</v>
      </c>
      <c r="Q43" s="48">
        <f>データ!P40</f>
        <v>0</v>
      </c>
      <c r="R43" s="39" t="str">
        <f>IF(OR($C43="総括",$C43="内訳書",$C43="内訳代価",$C43="明細書",$C43="明細代価",$C43="代価表",$C43="単価表"),データ!Q40,"")</f>
        <v/>
      </c>
      <c r="S43" s="11" t="str">
        <f t="shared" si="2"/>
        <v/>
      </c>
      <c r="T43" s="46" t="e">
        <f t="shared" si="3"/>
        <v>#DIV/0!</v>
      </c>
      <c r="U43" s="40" t="str">
        <f>IF(データ!R40="","",データ!R40)</f>
        <v/>
      </c>
      <c r="V43" s="41" t="str">
        <f>IF(データ!S40="","",データ!S40)</f>
        <v/>
      </c>
      <c r="W43" s="42">
        <f>データ!T40</f>
        <v>0</v>
      </c>
      <c r="X43" s="48">
        <f>IF($C43="集計行","",データ!U40)</f>
        <v>0</v>
      </c>
      <c r="Y43" s="48">
        <f>データ!V40</f>
        <v>0</v>
      </c>
      <c r="Z43" s="39" t="str">
        <f>IF(OR($C43="総括",$C43="内訳書",$C43="内訳代価",$C43="明細書",$C43="明細代価",$C43="代価表",$C43="単価表"),データ!W40,"")</f>
        <v/>
      </c>
      <c r="AA43" s="11" t="str">
        <f t="shared" si="4"/>
        <v/>
      </c>
      <c r="AB43" s="46" t="e">
        <f t="shared" si="5"/>
        <v>#DIV/0!</v>
      </c>
      <c r="AC43" s="40" t="str">
        <f>IF(データ!X40="","",データ!X40)</f>
        <v/>
      </c>
      <c r="AD43" s="41" t="str">
        <f>IF(データ!Y40="","",データ!Y40)</f>
        <v/>
      </c>
      <c r="AE43" s="47" t="str">
        <f>TRIM(データ!B40)</f>
        <v/>
      </c>
      <c r="AF43" s="43" t="str">
        <f>TRIM(データ!Z40)</f>
        <v/>
      </c>
    </row>
    <row r="44" spans="1:32" x14ac:dyDescent="0.15">
      <c r="A44" s="47">
        <f>データ!A41</f>
        <v>3</v>
      </c>
      <c r="B44" s="47" t="str">
        <f>TRIM(データ!C41)</f>
        <v/>
      </c>
      <c r="C44" s="47" t="str">
        <f>TRIM(データ!D41)</f>
        <v>運搬費</v>
      </c>
      <c r="D44" s="36" t="str">
        <f>REPT("｜",$A44)&amp;TRIM(データ!E41)</f>
        <v>｜｜｜フィニッシャー</v>
      </c>
      <c r="E44" s="37" t="str">
        <f>TRIM(データ!F41)</f>
        <v/>
      </c>
      <c r="F44" s="38" t="str">
        <f>TRIM(データ!G41)</f>
        <v>回</v>
      </c>
      <c r="G44" s="50">
        <f>データ!H41</f>
        <v>2</v>
      </c>
      <c r="H44" s="48">
        <f>データ!I41</f>
        <v>36000</v>
      </c>
      <c r="I44" s="48">
        <f>データ!J41</f>
        <v>72000</v>
      </c>
      <c r="J44" s="39" t="str">
        <f>IF(OR($C44="総括",$C44="内訳書",$C44="内訳代価",$C44="明細書",$C44="明細代価",$C44="代価表",$C44="単価表"),データ!K41,"")</f>
        <v/>
      </c>
      <c r="K44" s="11" t="str">
        <f t="shared" si="0"/>
        <v/>
      </c>
      <c r="L44" s="46">
        <f t="shared" si="1"/>
        <v>5.7154015784034026E-3</v>
      </c>
      <c r="M44" s="40" t="str">
        <f>IF(データ!L41="","",データ!L41)</f>
        <v/>
      </c>
      <c r="N44" s="41" t="str">
        <f>IF(データ!M41="","",データ!M41)</f>
        <v/>
      </c>
      <c r="O44" s="42">
        <f>データ!N41</f>
        <v>0</v>
      </c>
      <c r="P44" s="48">
        <f>IF($C44="集計行","",データ!O41)</f>
        <v>0</v>
      </c>
      <c r="Q44" s="48">
        <f>データ!P41</f>
        <v>0</v>
      </c>
      <c r="R44" s="39" t="str">
        <f>IF(OR($C44="総括",$C44="内訳書",$C44="内訳代価",$C44="明細書",$C44="明細代価",$C44="代価表",$C44="単価表"),データ!Q41,"")</f>
        <v/>
      </c>
      <c r="S44" s="11" t="str">
        <f t="shared" si="2"/>
        <v/>
      </c>
      <c r="T44" s="46" t="e">
        <f t="shared" si="3"/>
        <v>#DIV/0!</v>
      </c>
      <c r="U44" s="40" t="str">
        <f>IF(データ!R41="","",データ!R41)</f>
        <v/>
      </c>
      <c r="V44" s="41" t="str">
        <f>IF(データ!S41="","",データ!S41)</f>
        <v/>
      </c>
      <c r="W44" s="42">
        <f>データ!T41</f>
        <v>0</v>
      </c>
      <c r="X44" s="48">
        <f>IF($C44="集計行","",データ!U41)</f>
        <v>0</v>
      </c>
      <c r="Y44" s="48">
        <f>データ!V41</f>
        <v>0</v>
      </c>
      <c r="Z44" s="39" t="str">
        <f>IF(OR($C44="総括",$C44="内訳書",$C44="内訳代価",$C44="明細書",$C44="明細代価",$C44="代価表",$C44="単価表"),データ!W41,"")</f>
        <v/>
      </c>
      <c r="AA44" s="11" t="str">
        <f t="shared" si="4"/>
        <v/>
      </c>
      <c r="AB44" s="46" t="e">
        <f t="shared" si="5"/>
        <v>#DIV/0!</v>
      </c>
      <c r="AC44" s="40" t="str">
        <f>IF(データ!X41="","",データ!X41)</f>
        <v/>
      </c>
      <c r="AD44" s="41" t="str">
        <f>IF(データ!Y41="","",データ!Y41)</f>
        <v/>
      </c>
      <c r="AE44" s="47" t="str">
        <f>TRIM(データ!B41)</f>
        <v/>
      </c>
      <c r="AF44" s="43" t="str">
        <f>TRIM(データ!Z41)</f>
        <v/>
      </c>
    </row>
    <row r="45" spans="1:32" x14ac:dyDescent="0.15">
      <c r="A45" s="47">
        <f>データ!A42</f>
        <v>1</v>
      </c>
      <c r="B45" s="47" t="str">
        <f>TRIM(データ!C42)</f>
        <v/>
      </c>
      <c r="C45" s="47" t="str">
        <f>TRIM(データ!D42)</f>
        <v>内訳書</v>
      </c>
      <c r="D45" s="36" t="str">
        <f>REPT("｜",$A45)&amp;TRIM(データ!E42)</f>
        <v>｜雑工</v>
      </c>
      <c r="E45" s="37" t="str">
        <f>TRIM(データ!F42)</f>
        <v/>
      </c>
      <c r="F45" s="38" t="str">
        <f>TRIM(データ!G42)</f>
        <v>回</v>
      </c>
      <c r="G45" s="50">
        <f>データ!H42</f>
        <v>1</v>
      </c>
      <c r="H45" s="48">
        <f>データ!I42</f>
        <v>106000</v>
      </c>
      <c r="I45" s="48">
        <f>データ!J42</f>
        <v>106000</v>
      </c>
      <c r="J45" s="39">
        <f>IF(OR($C45="総括",$C45="内訳書",$C45="内訳代価",$C45="明細書",$C45="明細代価",$C45="代価表",$C45="単価表"),データ!K42,"")</f>
        <v>1</v>
      </c>
      <c r="K45" s="11" t="str">
        <f t="shared" si="0"/>
        <v/>
      </c>
      <c r="L45" s="46">
        <f t="shared" si="1"/>
        <v>8.4143412126494541E-3</v>
      </c>
      <c r="M45" s="40" t="str">
        <f>IF(データ!L42="","",データ!L42)</f>
        <v/>
      </c>
      <c r="N45" s="41" t="str">
        <f>IF(データ!M42="","",データ!M42)</f>
        <v>21号内訳書</v>
      </c>
      <c r="O45" s="42">
        <f>データ!N42</f>
        <v>0</v>
      </c>
      <c r="P45" s="48">
        <f>IF($C45="集計行","",データ!O42)</f>
        <v>0</v>
      </c>
      <c r="Q45" s="48">
        <f>データ!P42</f>
        <v>0</v>
      </c>
      <c r="R45" s="39">
        <f>IF(OR($C45="総括",$C45="内訳書",$C45="内訳代価",$C45="明細書",$C45="明細代価",$C45="代価表",$C45="単価表"),データ!Q42,"")</f>
        <v>0</v>
      </c>
      <c r="S45" s="11" t="str">
        <f t="shared" si="2"/>
        <v/>
      </c>
      <c r="T45" s="46" t="e">
        <f t="shared" si="3"/>
        <v>#DIV/0!</v>
      </c>
      <c r="U45" s="40" t="str">
        <f>IF(データ!R42="","",データ!R42)</f>
        <v/>
      </c>
      <c r="V45" s="41" t="str">
        <f>IF(データ!S42="","",データ!S42)</f>
        <v/>
      </c>
      <c r="W45" s="42">
        <f>データ!T42</f>
        <v>0</v>
      </c>
      <c r="X45" s="48">
        <f>IF($C45="集計行","",データ!U42)</f>
        <v>0</v>
      </c>
      <c r="Y45" s="48">
        <f>データ!V42</f>
        <v>0</v>
      </c>
      <c r="Z45" s="39">
        <f>IF(OR($C45="総括",$C45="内訳書",$C45="内訳代価",$C45="明細書",$C45="明細代価",$C45="代価表",$C45="単価表"),データ!W42,"")</f>
        <v>0</v>
      </c>
      <c r="AA45" s="11" t="str">
        <f t="shared" si="4"/>
        <v/>
      </c>
      <c r="AB45" s="46" t="e">
        <f t="shared" si="5"/>
        <v>#DIV/0!</v>
      </c>
      <c r="AC45" s="40" t="str">
        <f>IF(データ!X42="","",データ!X42)</f>
        <v/>
      </c>
      <c r="AD45" s="41" t="str">
        <f>IF(データ!Y42="","",データ!Y42)</f>
        <v/>
      </c>
      <c r="AE45" s="47" t="str">
        <f>TRIM(データ!B42)</f>
        <v/>
      </c>
      <c r="AF45" s="43" t="str">
        <f>TRIM(データ!Z42)</f>
        <v/>
      </c>
    </row>
    <row r="46" spans="1:32" x14ac:dyDescent="0.15">
      <c r="A46" s="47">
        <f>データ!A43</f>
        <v>2</v>
      </c>
      <c r="B46" s="47" t="str">
        <f>TRIM(データ!C43)</f>
        <v/>
      </c>
      <c r="C46" s="47" t="str">
        <f>TRIM(データ!D43)</f>
        <v>内訳代価</v>
      </c>
      <c r="D46" s="36" t="str">
        <f>REPT("｜",$A46)&amp;TRIM(データ!E43)</f>
        <v>｜｜雑工　コアー採取穴埋め清掃</v>
      </c>
      <c r="E46" s="37" t="str">
        <f>TRIM(データ!F43)</f>
        <v/>
      </c>
      <c r="F46" s="38" t="str">
        <f>TRIM(データ!G43)</f>
        <v>回</v>
      </c>
      <c r="G46" s="50">
        <f>データ!H43</f>
        <v>1</v>
      </c>
      <c r="H46" s="48">
        <f>データ!I43</f>
        <v>106000</v>
      </c>
      <c r="I46" s="48">
        <f>データ!J43</f>
        <v>106000</v>
      </c>
      <c r="J46" s="39">
        <f>IF(OR($C46="総括",$C46="内訳書",$C46="内訳代価",$C46="明細書",$C46="明細代価",$C46="代価表",$C46="単価表"),データ!K43,"")</f>
        <v>1</v>
      </c>
      <c r="K46" s="11" t="str">
        <f t="shared" si="0"/>
        <v/>
      </c>
      <c r="L46" s="46">
        <f t="shared" si="1"/>
        <v>8.4143412126494541E-3</v>
      </c>
      <c r="M46" s="40" t="str">
        <f>IF(データ!L43="","",データ!L43)</f>
        <v/>
      </c>
      <c r="N46" s="41" t="str">
        <f>IF(データ!M43="","",データ!M43)</f>
        <v>22号内訳書</v>
      </c>
      <c r="O46" s="42">
        <f>データ!N43</f>
        <v>0</v>
      </c>
      <c r="P46" s="48">
        <f>IF($C46="集計行","",データ!O43)</f>
        <v>0</v>
      </c>
      <c r="Q46" s="48">
        <f>データ!P43</f>
        <v>0</v>
      </c>
      <c r="R46" s="39">
        <f>IF(OR($C46="総括",$C46="内訳書",$C46="内訳代価",$C46="明細書",$C46="明細代価",$C46="代価表",$C46="単価表"),データ!Q43,"")</f>
        <v>0</v>
      </c>
      <c r="S46" s="11" t="str">
        <f t="shared" si="2"/>
        <v/>
      </c>
      <c r="T46" s="46" t="e">
        <f t="shared" si="3"/>
        <v>#DIV/0!</v>
      </c>
      <c r="U46" s="40" t="str">
        <f>IF(データ!R43="","",データ!R43)</f>
        <v/>
      </c>
      <c r="V46" s="41" t="str">
        <f>IF(データ!S43="","",データ!S43)</f>
        <v/>
      </c>
      <c r="W46" s="42">
        <f>データ!T43</f>
        <v>0</v>
      </c>
      <c r="X46" s="48">
        <f>IF($C46="集計行","",データ!U43)</f>
        <v>0</v>
      </c>
      <c r="Y46" s="48">
        <f>データ!V43</f>
        <v>0</v>
      </c>
      <c r="Z46" s="39">
        <f>IF(OR($C46="総括",$C46="内訳書",$C46="内訳代価",$C46="明細書",$C46="明細代価",$C46="代価表",$C46="単価表"),データ!W43,"")</f>
        <v>0</v>
      </c>
      <c r="AA46" s="11" t="str">
        <f t="shared" si="4"/>
        <v/>
      </c>
      <c r="AB46" s="46" t="e">
        <f t="shared" si="5"/>
        <v>#DIV/0!</v>
      </c>
      <c r="AC46" s="40" t="str">
        <f>IF(データ!X43="","",データ!X43)</f>
        <v/>
      </c>
      <c r="AD46" s="41" t="str">
        <f>IF(データ!Y43="","",データ!Y43)</f>
        <v/>
      </c>
      <c r="AE46" s="47" t="str">
        <f>TRIM(データ!B43)</f>
        <v/>
      </c>
      <c r="AF46" s="43" t="str">
        <f>TRIM(データ!Z43)</f>
        <v/>
      </c>
    </row>
    <row r="47" spans="1:32" x14ac:dyDescent="0.15">
      <c r="A47" s="47">
        <f>データ!A44</f>
        <v>3</v>
      </c>
      <c r="B47" s="47" t="str">
        <f>TRIM(データ!C44)</f>
        <v/>
      </c>
      <c r="C47" s="47" t="str">
        <f>TRIM(データ!D44)</f>
        <v>労務費</v>
      </c>
      <c r="D47" s="36" t="str">
        <f>REPT("｜",$A47)&amp;TRIM(データ!E44)</f>
        <v>｜｜｜土工</v>
      </c>
      <c r="E47" s="37" t="str">
        <f>TRIM(データ!F44)</f>
        <v/>
      </c>
      <c r="F47" s="38" t="str">
        <f>TRIM(データ!G44)</f>
        <v>人</v>
      </c>
      <c r="G47" s="50">
        <f>データ!H44</f>
        <v>3</v>
      </c>
      <c r="H47" s="48">
        <f>データ!I44</f>
        <v>25000</v>
      </c>
      <c r="I47" s="48">
        <f>データ!J44</f>
        <v>75000</v>
      </c>
      <c r="J47" s="39" t="str">
        <f>IF(OR($C47="総括",$C47="内訳書",$C47="内訳代価",$C47="明細書",$C47="明細代価",$C47="代価表",$C47="単価表"),データ!K44,"")</f>
        <v/>
      </c>
      <c r="K47" s="11" t="str">
        <f t="shared" si="0"/>
        <v/>
      </c>
      <c r="L47" s="46">
        <f t="shared" si="1"/>
        <v>5.9535433108368774E-3</v>
      </c>
      <c r="M47" s="40" t="str">
        <f>IF(データ!L44="","",データ!L44)</f>
        <v/>
      </c>
      <c r="N47" s="41" t="str">
        <f>IF(データ!M44="","",データ!M44)</f>
        <v/>
      </c>
      <c r="O47" s="42">
        <f>データ!N44</f>
        <v>0</v>
      </c>
      <c r="P47" s="48">
        <f>IF($C47="集計行","",データ!O44)</f>
        <v>0</v>
      </c>
      <c r="Q47" s="48">
        <f>データ!P44</f>
        <v>0</v>
      </c>
      <c r="R47" s="39" t="str">
        <f>IF(OR($C47="総括",$C47="内訳書",$C47="内訳代価",$C47="明細書",$C47="明細代価",$C47="代価表",$C47="単価表"),データ!Q44,"")</f>
        <v/>
      </c>
      <c r="S47" s="11" t="str">
        <f t="shared" si="2"/>
        <v/>
      </c>
      <c r="T47" s="46" t="e">
        <f t="shared" si="3"/>
        <v>#DIV/0!</v>
      </c>
      <c r="U47" s="40" t="str">
        <f>IF(データ!R44="","",データ!R44)</f>
        <v/>
      </c>
      <c r="V47" s="41" t="str">
        <f>IF(データ!S44="","",データ!S44)</f>
        <v/>
      </c>
      <c r="W47" s="42">
        <f>データ!T44</f>
        <v>0</v>
      </c>
      <c r="X47" s="48">
        <f>IF($C47="集計行","",データ!U44)</f>
        <v>0</v>
      </c>
      <c r="Y47" s="48">
        <f>データ!V44</f>
        <v>0</v>
      </c>
      <c r="Z47" s="39" t="str">
        <f>IF(OR($C47="総括",$C47="内訳書",$C47="内訳代価",$C47="明細書",$C47="明細代価",$C47="代価表",$C47="単価表"),データ!W44,"")</f>
        <v/>
      </c>
      <c r="AA47" s="11" t="str">
        <f t="shared" si="4"/>
        <v/>
      </c>
      <c r="AB47" s="46" t="e">
        <f t="shared" si="5"/>
        <v>#DIV/0!</v>
      </c>
      <c r="AC47" s="40" t="str">
        <f>IF(データ!X44="","",データ!X44)</f>
        <v/>
      </c>
      <c r="AD47" s="41" t="str">
        <f>IF(データ!Y44="","",データ!Y44)</f>
        <v/>
      </c>
      <c r="AE47" s="47" t="str">
        <f>TRIM(データ!B44)</f>
        <v/>
      </c>
      <c r="AF47" s="43" t="str">
        <f>TRIM(データ!Z44)</f>
        <v/>
      </c>
    </row>
    <row r="48" spans="1:32" x14ac:dyDescent="0.15">
      <c r="A48" s="47">
        <f>データ!A45</f>
        <v>3</v>
      </c>
      <c r="B48" s="47" t="str">
        <f>TRIM(データ!C45)</f>
        <v/>
      </c>
      <c r="C48" s="47" t="str">
        <f>TRIM(データ!D45)</f>
        <v>運搬費</v>
      </c>
      <c r="D48" s="36" t="str">
        <f>REPT("｜",$A48)&amp;TRIM(データ!E45)</f>
        <v>｜｜｜WP</v>
      </c>
      <c r="E48" s="37" t="str">
        <f>TRIM(データ!F45)</f>
        <v/>
      </c>
      <c r="F48" s="38" t="str">
        <f>TRIM(データ!G45)</f>
        <v>台</v>
      </c>
      <c r="G48" s="50">
        <f>データ!H45</f>
        <v>1</v>
      </c>
      <c r="H48" s="48">
        <f>データ!I45</f>
        <v>8000</v>
      </c>
      <c r="I48" s="48">
        <f>データ!J45</f>
        <v>8000</v>
      </c>
      <c r="J48" s="39" t="str">
        <f>IF(OR($C48="総括",$C48="内訳書",$C48="内訳代価",$C48="明細書",$C48="明細代価",$C48="代価表",$C48="単価表"),データ!K45,"")</f>
        <v/>
      </c>
      <c r="K48" s="11" t="str">
        <f t="shared" si="0"/>
        <v/>
      </c>
      <c r="L48" s="46">
        <f t="shared" si="1"/>
        <v>6.3504461982260034E-4</v>
      </c>
      <c r="M48" s="40" t="str">
        <f>IF(データ!L45="","",データ!L45)</f>
        <v/>
      </c>
      <c r="N48" s="41" t="str">
        <f>IF(データ!M45="","",データ!M45)</f>
        <v/>
      </c>
      <c r="O48" s="42">
        <f>データ!N45</f>
        <v>0</v>
      </c>
      <c r="P48" s="48">
        <f>IF($C48="集計行","",データ!O45)</f>
        <v>0</v>
      </c>
      <c r="Q48" s="48">
        <f>データ!P45</f>
        <v>0</v>
      </c>
      <c r="R48" s="39" t="str">
        <f>IF(OR($C48="総括",$C48="内訳書",$C48="内訳代価",$C48="明細書",$C48="明細代価",$C48="代価表",$C48="単価表"),データ!Q45,"")</f>
        <v/>
      </c>
      <c r="S48" s="11" t="str">
        <f t="shared" si="2"/>
        <v/>
      </c>
      <c r="T48" s="46" t="e">
        <f t="shared" si="3"/>
        <v>#DIV/0!</v>
      </c>
      <c r="U48" s="40" t="str">
        <f>IF(データ!R45="","",データ!R45)</f>
        <v/>
      </c>
      <c r="V48" s="41" t="str">
        <f>IF(データ!S45="","",データ!S45)</f>
        <v/>
      </c>
      <c r="W48" s="42">
        <f>データ!T45</f>
        <v>0</v>
      </c>
      <c r="X48" s="48">
        <f>IF($C48="集計行","",データ!U45)</f>
        <v>0</v>
      </c>
      <c r="Y48" s="48">
        <f>データ!V45</f>
        <v>0</v>
      </c>
      <c r="Z48" s="39" t="str">
        <f>IF(OR($C48="総括",$C48="内訳書",$C48="内訳代価",$C48="明細書",$C48="明細代価",$C48="代価表",$C48="単価表"),データ!W45,"")</f>
        <v/>
      </c>
      <c r="AA48" s="11" t="str">
        <f t="shared" si="4"/>
        <v/>
      </c>
      <c r="AB48" s="46" t="e">
        <f t="shared" si="5"/>
        <v>#DIV/0!</v>
      </c>
      <c r="AC48" s="40" t="str">
        <f>IF(データ!X45="","",データ!X45)</f>
        <v/>
      </c>
      <c r="AD48" s="41" t="str">
        <f>IF(データ!Y45="","",データ!Y45)</f>
        <v/>
      </c>
      <c r="AE48" s="47" t="str">
        <f>TRIM(データ!B45)</f>
        <v/>
      </c>
      <c r="AF48" s="43" t="str">
        <f>TRIM(データ!Z45)</f>
        <v/>
      </c>
    </row>
    <row r="49" spans="1:32" x14ac:dyDescent="0.15">
      <c r="A49" s="47">
        <f>データ!A46</f>
        <v>3</v>
      </c>
      <c r="B49" s="47" t="str">
        <f>TRIM(データ!C46)</f>
        <v/>
      </c>
      <c r="C49" s="47" t="str">
        <f>TRIM(データ!D46)</f>
        <v>運搬費</v>
      </c>
      <c r="D49" s="36" t="str">
        <f>REPT("｜",$A49)&amp;TRIM(データ!E46)</f>
        <v>｜｜｜2tダンプ</v>
      </c>
      <c r="E49" s="37" t="str">
        <f>TRIM(データ!F46)</f>
        <v/>
      </c>
      <c r="F49" s="38" t="str">
        <f>TRIM(データ!G46)</f>
        <v>台</v>
      </c>
      <c r="G49" s="50">
        <f>データ!H46</f>
        <v>1</v>
      </c>
      <c r="H49" s="48">
        <f>データ!I46</f>
        <v>8000</v>
      </c>
      <c r="I49" s="48">
        <f>データ!J46</f>
        <v>8000</v>
      </c>
      <c r="J49" s="39" t="str">
        <f>IF(OR($C49="総括",$C49="内訳書",$C49="内訳代価",$C49="明細書",$C49="明細代価",$C49="代価表",$C49="単価表"),データ!K46,"")</f>
        <v/>
      </c>
      <c r="K49" s="11" t="str">
        <f t="shared" si="0"/>
        <v/>
      </c>
      <c r="L49" s="46">
        <f t="shared" si="1"/>
        <v>6.3504461982260034E-4</v>
      </c>
      <c r="M49" s="40" t="str">
        <f>IF(データ!L46="","",データ!L46)</f>
        <v/>
      </c>
      <c r="N49" s="41" t="str">
        <f>IF(データ!M46="","",データ!M46)</f>
        <v/>
      </c>
      <c r="O49" s="42">
        <f>データ!N46</f>
        <v>0</v>
      </c>
      <c r="P49" s="48">
        <f>IF($C49="集計行","",データ!O46)</f>
        <v>0</v>
      </c>
      <c r="Q49" s="48">
        <f>データ!P46</f>
        <v>0</v>
      </c>
      <c r="R49" s="39" t="str">
        <f>IF(OR($C49="総括",$C49="内訳書",$C49="内訳代価",$C49="明細書",$C49="明細代価",$C49="代価表",$C49="単価表"),データ!Q46,"")</f>
        <v/>
      </c>
      <c r="S49" s="11" t="str">
        <f t="shared" si="2"/>
        <v/>
      </c>
      <c r="T49" s="46" t="e">
        <f t="shared" si="3"/>
        <v>#DIV/0!</v>
      </c>
      <c r="U49" s="40" t="str">
        <f>IF(データ!R46="","",データ!R46)</f>
        <v/>
      </c>
      <c r="V49" s="41" t="str">
        <f>IF(データ!S46="","",データ!S46)</f>
        <v/>
      </c>
      <c r="W49" s="42">
        <f>データ!T46</f>
        <v>0</v>
      </c>
      <c r="X49" s="48">
        <f>IF($C49="集計行","",データ!U46)</f>
        <v>0</v>
      </c>
      <c r="Y49" s="48">
        <f>データ!V46</f>
        <v>0</v>
      </c>
      <c r="Z49" s="39" t="str">
        <f>IF(OR($C49="総括",$C49="内訳書",$C49="内訳代価",$C49="明細書",$C49="明細代価",$C49="代価表",$C49="単価表"),データ!W46,"")</f>
        <v/>
      </c>
      <c r="AA49" s="11" t="str">
        <f t="shared" si="4"/>
        <v/>
      </c>
      <c r="AB49" s="46" t="e">
        <f t="shared" si="5"/>
        <v>#DIV/0!</v>
      </c>
      <c r="AC49" s="40" t="str">
        <f>IF(データ!X46="","",データ!X46)</f>
        <v/>
      </c>
      <c r="AD49" s="41" t="str">
        <f>IF(データ!Y46="","",データ!Y46)</f>
        <v/>
      </c>
      <c r="AE49" s="47" t="str">
        <f>TRIM(データ!B46)</f>
        <v/>
      </c>
      <c r="AF49" s="43" t="str">
        <f>TRIM(データ!Z46)</f>
        <v/>
      </c>
    </row>
    <row r="50" spans="1:32" x14ac:dyDescent="0.15">
      <c r="A50" s="47">
        <f>データ!A47</f>
        <v>3</v>
      </c>
      <c r="B50" s="47" t="str">
        <f>TRIM(データ!C47)</f>
        <v/>
      </c>
      <c r="C50" s="47" t="str">
        <f>TRIM(データ!D47)</f>
        <v>外注費</v>
      </c>
      <c r="D50" s="36" t="str">
        <f>REPT("｜",$A50)&amp;TRIM(データ!E47)</f>
        <v>｜｜｜コアーカッター</v>
      </c>
      <c r="E50" s="37" t="str">
        <f>TRIM(データ!F47)</f>
        <v/>
      </c>
      <c r="F50" s="38" t="str">
        <f>TRIM(データ!G47)</f>
        <v>回</v>
      </c>
      <c r="G50" s="50">
        <f>データ!H47</f>
        <v>1</v>
      </c>
      <c r="H50" s="48">
        <f>データ!I47</f>
        <v>15000</v>
      </c>
      <c r="I50" s="48">
        <f>データ!J47</f>
        <v>15000</v>
      </c>
      <c r="J50" s="39" t="str">
        <f>IF(OR($C50="総括",$C50="内訳書",$C50="内訳代価",$C50="明細書",$C50="明細代価",$C50="代価表",$C50="単価表"),データ!K47,"")</f>
        <v/>
      </c>
      <c r="K50" s="11" t="str">
        <f t="shared" si="0"/>
        <v/>
      </c>
      <c r="L50" s="46">
        <f t="shared" si="1"/>
        <v>1.1907086621673756E-3</v>
      </c>
      <c r="M50" s="40" t="str">
        <f>IF(データ!L47="","",データ!L47)</f>
        <v/>
      </c>
      <c r="N50" s="41" t="str">
        <f>IF(データ!M47="","",データ!M47)</f>
        <v/>
      </c>
      <c r="O50" s="42">
        <f>データ!N47</f>
        <v>0</v>
      </c>
      <c r="P50" s="48">
        <f>IF($C50="集計行","",データ!O47)</f>
        <v>0</v>
      </c>
      <c r="Q50" s="48">
        <f>データ!P47</f>
        <v>0</v>
      </c>
      <c r="R50" s="39" t="str">
        <f>IF(OR($C50="総括",$C50="内訳書",$C50="内訳代価",$C50="明細書",$C50="明細代価",$C50="代価表",$C50="単価表"),データ!Q47,"")</f>
        <v/>
      </c>
      <c r="S50" s="11" t="str">
        <f t="shared" si="2"/>
        <v/>
      </c>
      <c r="T50" s="46" t="e">
        <f t="shared" si="3"/>
        <v>#DIV/0!</v>
      </c>
      <c r="U50" s="40" t="str">
        <f>IF(データ!R47="","",データ!R47)</f>
        <v/>
      </c>
      <c r="V50" s="41" t="str">
        <f>IF(データ!S47="","",データ!S47)</f>
        <v/>
      </c>
      <c r="W50" s="42">
        <f>データ!T47</f>
        <v>0</v>
      </c>
      <c r="X50" s="48">
        <f>IF($C50="集計行","",データ!U47)</f>
        <v>0</v>
      </c>
      <c r="Y50" s="48">
        <f>データ!V47</f>
        <v>0</v>
      </c>
      <c r="Z50" s="39" t="str">
        <f>IF(OR($C50="総括",$C50="内訳書",$C50="内訳代価",$C50="明細書",$C50="明細代価",$C50="代価表",$C50="単価表"),データ!W47,"")</f>
        <v/>
      </c>
      <c r="AA50" s="11" t="str">
        <f t="shared" si="4"/>
        <v/>
      </c>
      <c r="AB50" s="46" t="e">
        <f t="shared" si="5"/>
        <v>#DIV/0!</v>
      </c>
      <c r="AC50" s="40" t="str">
        <f>IF(データ!X47="","",データ!X47)</f>
        <v/>
      </c>
      <c r="AD50" s="41" t="str">
        <f>IF(データ!Y47="","",データ!Y47)</f>
        <v/>
      </c>
      <c r="AE50" s="47" t="str">
        <f>TRIM(データ!B47)</f>
        <v/>
      </c>
      <c r="AF50" s="43" t="str">
        <f>TRIM(データ!Z47)</f>
        <v/>
      </c>
    </row>
    <row r="51" spans="1:32" x14ac:dyDescent="0.15">
      <c r="A51" s="47">
        <f>データ!A48</f>
        <v>1</v>
      </c>
      <c r="B51" s="47" t="str">
        <f>TRIM(データ!C48)</f>
        <v/>
      </c>
      <c r="C51" s="47" t="str">
        <f>TRIM(データ!D48)</f>
        <v>内訳書</v>
      </c>
      <c r="D51" s="36" t="str">
        <f>REPT("｜",$A51)&amp;TRIM(データ!E48)</f>
        <v>｜諸経費</v>
      </c>
      <c r="E51" s="37" t="str">
        <f>TRIM(データ!F48)</f>
        <v/>
      </c>
      <c r="F51" s="38" t="str">
        <f>TRIM(データ!G48)</f>
        <v>日</v>
      </c>
      <c r="G51" s="50">
        <f>データ!H48</f>
        <v>7</v>
      </c>
      <c r="H51" s="48">
        <f>データ!I48</f>
        <v>36500</v>
      </c>
      <c r="I51" s="48">
        <f>データ!J48</f>
        <v>255500</v>
      </c>
      <c r="J51" s="39">
        <f>IF(OR($C51="総括",$C51="内訳書",$C51="内訳代価",$C51="明細書",$C51="明細代価",$C51="代価表",$C51="単価表"),データ!K48,"")</f>
        <v>7</v>
      </c>
      <c r="K51" s="11" t="str">
        <f t="shared" si="0"/>
        <v/>
      </c>
      <c r="L51" s="46">
        <f t="shared" si="1"/>
        <v>2.0281737545584298E-2</v>
      </c>
      <c r="M51" s="40" t="str">
        <f>IF(データ!L48="","",データ!L48)</f>
        <v/>
      </c>
      <c r="N51" s="41" t="str">
        <f>IF(データ!M48="","",データ!M48)</f>
        <v>23号内訳書</v>
      </c>
      <c r="O51" s="42">
        <f>データ!N48</f>
        <v>0</v>
      </c>
      <c r="P51" s="48">
        <f>IF($C51="集計行","",データ!O48)</f>
        <v>0</v>
      </c>
      <c r="Q51" s="48">
        <f>データ!P48</f>
        <v>0</v>
      </c>
      <c r="R51" s="39">
        <f>IF(OR($C51="総括",$C51="内訳書",$C51="内訳代価",$C51="明細書",$C51="明細代価",$C51="代価表",$C51="単価表"),データ!Q48,"")</f>
        <v>0</v>
      </c>
      <c r="S51" s="11" t="str">
        <f t="shared" si="2"/>
        <v/>
      </c>
      <c r="T51" s="46" t="e">
        <f t="shared" si="3"/>
        <v>#DIV/0!</v>
      </c>
      <c r="U51" s="40" t="str">
        <f>IF(データ!R48="","",データ!R48)</f>
        <v/>
      </c>
      <c r="V51" s="41" t="str">
        <f>IF(データ!S48="","",データ!S48)</f>
        <v/>
      </c>
      <c r="W51" s="42">
        <f>データ!T48</f>
        <v>0</v>
      </c>
      <c r="X51" s="48">
        <f>IF($C51="集計行","",データ!U48)</f>
        <v>0</v>
      </c>
      <c r="Y51" s="48">
        <f>データ!V48</f>
        <v>0</v>
      </c>
      <c r="Z51" s="39">
        <f>IF(OR($C51="総括",$C51="内訳書",$C51="内訳代価",$C51="明細書",$C51="明細代価",$C51="代価表",$C51="単価表"),データ!W48,"")</f>
        <v>0</v>
      </c>
      <c r="AA51" s="11" t="str">
        <f t="shared" si="4"/>
        <v/>
      </c>
      <c r="AB51" s="46" t="e">
        <f t="shared" si="5"/>
        <v>#DIV/0!</v>
      </c>
      <c r="AC51" s="40" t="str">
        <f>IF(データ!X48="","",データ!X48)</f>
        <v/>
      </c>
      <c r="AD51" s="41" t="str">
        <f>IF(データ!Y48="","",データ!Y48)</f>
        <v/>
      </c>
      <c r="AE51" s="47" t="str">
        <f>TRIM(データ!B48)</f>
        <v/>
      </c>
      <c r="AF51" s="43" t="str">
        <f>TRIM(データ!Z48)</f>
        <v/>
      </c>
    </row>
    <row r="52" spans="1:32" x14ac:dyDescent="0.15">
      <c r="A52" s="47">
        <f>データ!A49</f>
        <v>2</v>
      </c>
      <c r="B52" s="47" t="str">
        <f>TRIM(データ!C49)</f>
        <v/>
      </c>
      <c r="C52" s="47" t="str">
        <f>TRIM(データ!D49)</f>
        <v>内訳代価</v>
      </c>
      <c r="D52" s="36" t="str">
        <f>REPT("｜",$A52)&amp;TRIM(データ!E49)</f>
        <v>｜｜諸経費</v>
      </c>
      <c r="E52" s="37" t="str">
        <f>TRIM(データ!F49)</f>
        <v/>
      </c>
      <c r="F52" s="38" t="str">
        <f>TRIM(データ!G49)</f>
        <v>日</v>
      </c>
      <c r="G52" s="50">
        <f>データ!H49</f>
        <v>7</v>
      </c>
      <c r="H52" s="48">
        <f>データ!I49</f>
        <v>36500</v>
      </c>
      <c r="I52" s="48">
        <f>データ!J49</f>
        <v>255500</v>
      </c>
      <c r="J52" s="39">
        <f>IF(OR($C52="総括",$C52="内訳書",$C52="内訳代価",$C52="明細書",$C52="明細代価",$C52="代価表",$C52="単価表"),データ!K49,"")</f>
        <v>7</v>
      </c>
      <c r="K52" s="11" t="str">
        <f t="shared" si="0"/>
        <v/>
      </c>
      <c r="L52" s="46">
        <f t="shared" si="1"/>
        <v>2.0281737545584298E-2</v>
      </c>
      <c r="M52" s="40" t="str">
        <f>IF(データ!L49="","",データ!L49)</f>
        <v/>
      </c>
      <c r="N52" s="41" t="str">
        <f>IF(データ!M49="","",データ!M49)</f>
        <v>24号内訳書</v>
      </c>
      <c r="O52" s="42">
        <f>データ!N49</f>
        <v>0</v>
      </c>
      <c r="P52" s="48">
        <f>IF($C52="集計行","",データ!O49)</f>
        <v>0</v>
      </c>
      <c r="Q52" s="48">
        <f>データ!P49</f>
        <v>0</v>
      </c>
      <c r="R52" s="39">
        <f>IF(OR($C52="総括",$C52="内訳書",$C52="内訳代価",$C52="明細書",$C52="明細代価",$C52="代価表",$C52="単価表"),データ!Q49,"")</f>
        <v>0</v>
      </c>
      <c r="S52" s="11" t="str">
        <f t="shared" si="2"/>
        <v/>
      </c>
      <c r="T52" s="46" t="e">
        <f t="shared" si="3"/>
        <v>#DIV/0!</v>
      </c>
      <c r="U52" s="40" t="str">
        <f>IF(データ!R49="","",データ!R49)</f>
        <v/>
      </c>
      <c r="V52" s="41" t="str">
        <f>IF(データ!S49="","",データ!S49)</f>
        <v/>
      </c>
      <c r="W52" s="42">
        <f>データ!T49</f>
        <v>0</v>
      </c>
      <c r="X52" s="48">
        <f>IF($C52="集計行","",データ!U49)</f>
        <v>0</v>
      </c>
      <c r="Y52" s="48">
        <f>データ!V49</f>
        <v>0</v>
      </c>
      <c r="Z52" s="39">
        <f>IF(OR($C52="総括",$C52="内訳書",$C52="内訳代価",$C52="明細書",$C52="明細代価",$C52="代価表",$C52="単価表"),データ!W49,"")</f>
        <v>0</v>
      </c>
      <c r="AA52" s="11" t="str">
        <f t="shared" si="4"/>
        <v/>
      </c>
      <c r="AB52" s="46" t="e">
        <f t="shared" si="5"/>
        <v>#DIV/0!</v>
      </c>
      <c r="AC52" s="40" t="str">
        <f>IF(データ!X49="","",データ!X49)</f>
        <v/>
      </c>
      <c r="AD52" s="41" t="str">
        <f>IF(データ!Y49="","",データ!Y49)</f>
        <v/>
      </c>
      <c r="AE52" s="47" t="str">
        <f>TRIM(データ!B49)</f>
        <v/>
      </c>
      <c r="AF52" s="43" t="str">
        <f>TRIM(データ!Z49)</f>
        <v/>
      </c>
    </row>
    <row r="53" spans="1:32" x14ac:dyDescent="0.15">
      <c r="A53" s="47">
        <f>データ!A50</f>
        <v>3</v>
      </c>
      <c r="B53" s="47" t="str">
        <f>TRIM(データ!C50)</f>
        <v/>
      </c>
      <c r="C53" s="47" t="str">
        <f>TRIM(データ!D50)</f>
        <v>外注費</v>
      </c>
      <c r="D53" s="36" t="str">
        <f>REPT("｜",$A53)&amp;TRIM(データ!E50)</f>
        <v>｜｜｜諸経費</v>
      </c>
      <c r="E53" s="37" t="str">
        <f>TRIM(データ!F50)</f>
        <v/>
      </c>
      <c r="F53" s="38" t="str">
        <f>TRIM(データ!G50)</f>
        <v>日</v>
      </c>
      <c r="G53" s="50">
        <f>データ!H50</f>
        <v>7</v>
      </c>
      <c r="H53" s="48">
        <f>データ!I50</f>
        <v>36500</v>
      </c>
      <c r="I53" s="48">
        <f>データ!J50</f>
        <v>255500</v>
      </c>
      <c r="J53" s="39" t="str">
        <f>IF(OR($C53="総括",$C53="内訳書",$C53="内訳代価",$C53="明細書",$C53="明細代価",$C53="代価表",$C53="単価表"),データ!K50,"")</f>
        <v/>
      </c>
      <c r="K53" s="11" t="str">
        <f t="shared" si="0"/>
        <v/>
      </c>
      <c r="L53" s="46">
        <f t="shared" si="1"/>
        <v>2.0281737545584298E-2</v>
      </c>
      <c r="M53" s="40" t="str">
        <f>IF(データ!L50="","",データ!L50)</f>
        <v/>
      </c>
      <c r="N53" s="41" t="str">
        <f>IF(データ!M50="","",データ!M50)</f>
        <v/>
      </c>
      <c r="O53" s="42">
        <f>データ!N50</f>
        <v>0</v>
      </c>
      <c r="P53" s="48">
        <f>IF($C53="集計行","",データ!O50)</f>
        <v>0</v>
      </c>
      <c r="Q53" s="48">
        <f>データ!P50</f>
        <v>0</v>
      </c>
      <c r="R53" s="39" t="str">
        <f>IF(OR($C53="総括",$C53="内訳書",$C53="内訳代価",$C53="明細書",$C53="明細代価",$C53="代価表",$C53="単価表"),データ!Q50,"")</f>
        <v/>
      </c>
      <c r="S53" s="11" t="str">
        <f t="shared" si="2"/>
        <v/>
      </c>
      <c r="T53" s="46" t="e">
        <f t="shared" si="3"/>
        <v>#DIV/0!</v>
      </c>
      <c r="U53" s="40" t="str">
        <f>IF(データ!R50="","",データ!R50)</f>
        <v/>
      </c>
      <c r="V53" s="41" t="str">
        <f>IF(データ!S50="","",データ!S50)</f>
        <v/>
      </c>
      <c r="W53" s="42">
        <f>データ!T50</f>
        <v>0</v>
      </c>
      <c r="X53" s="48">
        <f>IF($C53="集計行","",データ!U50)</f>
        <v>0</v>
      </c>
      <c r="Y53" s="48">
        <f>データ!V50</f>
        <v>0</v>
      </c>
      <c r="Z53" s="39" t="str">
        <f>IF(OR($C53="総括",$C53="内訳書",$C53="内訳代価",$C53="明細書",$C53="明細代価",$C53="代価表",$C53="単価表"),データ!W50,"")</f>
        <v/>
      </c>
      <c r="AA53" s="11" t="str">
        <f t="shared" si="4"/>
        <v/>
      </c>
      <c r="AB53" s="46" t="e">
        <f t="shared" si="5"/>
        <v>#DIV/0!</v>
      </c>
      <c r="AC53" s="40" t="str">
        <f>IF(データ!X50="","",データ!X50)</f>
        <v/>
      </c>
      <c r="AD53" s="41" t="str">
        <f>IF(データ!Y50="","",データ!Y50)</f>
        <v/>
      </c>
      <c r="AE53" s="47" t="str">
        <f>TRIM(データ!B50)</f>
        <v/>
      </c>
      <c r="AF53" s="43" t="str">
        <f>TRIM(データ!Z50)</f>
        <v/>
      </c>
    </row>
    <row r="54" spans="1:32" x14ac:dyDescent="0.15">
      <c r="A54" s="47">
        <f>データ!A51</f>
        <v>1</v>
      </c>
      <c r="B54" s="47" t="str">
        <f>TRIM(データ!C51)</f>
        <v/>
      </c>
      <c r="C54" s="47" t="str">
        <f>TRIM(データ!D51)</f>
        <v>内訳書</v>
      </c>
      <c r="D54" s="36" t="str">
        <f>REPT("｜",$A54)&amp;TRIM(データ!E51)</f>
        <v>｜法定福利費</v>
      </c>
      <c r="E54" s="37" t="str">
        <f>TRIM(データ!F51)</f>
        <v/>
      </c>
      <c r="F54" s="38" t="str">
        <f>TRIM(データ!G51)</f>
        <v>日</v>
      </c>
      <c r="G54" s="50">
        <f>データ!H51</f>
        <v>7</v>
      </c>
      <c r="H54" s="48">
        <f>データ!I51</f>
        <v>31000</v>
      </c>
      <c r="I54" s="48">
        <f>データ!J51</f>
        <v>217000</v>
      </c>
      <c r="J54" s="39">
        <f>IF(OR($C54="総括",$C54="内訳書",$C54="内訳代価",$C54="明細書",$C54="明細代価",$C54="代価表",$C54="単価表"),データ!K51,"")</f>
        <v>7</v>
      </c>
      <c r="K54" s="11" t="str">
        <f t="shared" si="0"/>
        <v/>
      </c>
      <c r="L54" s="46">
        <f t="shared" si="1"/>
        <v>1.7225585312688033E-2</v>
      </c>
      <c r="M54" s="40" t="str">
        <f>IF(データ!L51="","",データ!L51)</f>
        <v/>
      </c>
      <c r="N54" s="41" t="str">
        <f>IF(データ!M51="","",データ!M51)</f>
        <v>25号内訳書</v>
      </c>
      <c r="O54" s="42">
        <f>データ!N51</f>
        <v>0</v>
      </c>
      <c r="P54" s="48">
        <f>IF($C54="集計行","",データ!O51)</f>
        <v>0</v>
      </c>
      <c r="Q54" s="48">
        <f>データ!P51</f>
        <v>0</v>
      </c>
      <c r="R54" s="39">
        <f>IF(OR($C54="総括",$C54="内訳書",$C54="内訳代価",$C54="明細書",$C54="明細代価",$C54="代価表",$C54="単価表"),データ!Q51,"")</f>
        <v>0</v>
      </c>
      <c r="S54" s="11" t="str">
        <f t="shared" si="2"/>
        <v/>
      </c>
      <c r="T54" s="46" t="e">
        <f t="shared" si="3"/>
        <v>#DIV/0!</v>
      </c>
      <c r="U54" s="40" t="str">
        <f>IF(データ!R51="","",データ!R51)</f>
        <v/>
      </c>
      <c r="V54" s="41" t="str">
        <f>IF(データ!S51="","",データ!S51)</f>
        <v/>
      </c>
      <c r="W54" s="42">
        <f>データ!T51</f>
        <v>0</v>
      </c>
      <c r="X54" s="48">
        <f>IF($C54="集計行","",データ!U51)</f>
        <v>0</v>
      </c>
      <c r="Y54" s="48">
        <f>データ!V51</f>
        <v>0</v>
      </c>
      <c r="Z54" s="39">
        <f>IF(OR($C54="総括",$C54="内訳書",$C54="内訳代価",$C54="明細書",$C54="明細代価",$C54="代価表",$C54="単価表"),データ!W51,"")</f>
        <v>0</v>
      </c>
      <c r="AA54" s="11" t="str">
        <f t="shared" si="4"/>
        <v/>
      </c>
      <c r="AB54" s="46" t="e">
        <f t="shared" si="5"/>
        <v>#DIV/0!</v>
      </c>
      <c r="AC54" s="40" t="str">
        <f>IF(データ!X51="","",データ!X51)</f>
        <v/>
      </c>
      <c r="AD54" s="41" t="str">
        <f>IF(データ!Y51="","",データ!Y51)</f>
        <v/>
      </c>
      <c r="AE54" s="47" t="str">
        <f>TRIM(データ!B51)</f>
        <v/>
      </c>
      <c r="AF54" s="43" t="str">
        <f>TRIM(データ!Z51)</f>
        <v/>
      </c>
    </row>
    <row r="55" spans="1:32" x14ac:dyDescent="0.15">
      <c r="A55" s="47">
        <f>データ!A52</f>
        <v>2</v>
      </c>
      <c r="B55" s="47" t="str">
        <f>TRIM(データ!C52)</f>
        <v/>
      </c>
      <c r="C55" s="47" t="str">
        <f>TRIM(データ!D52)</f>
        <v>内訳代価</v>
      </c>
      <c r="D55" s="36" t="str">
        <f>REPT("｜",$A55)&amp;TRIM(データ!E52)</f>
        <v>｜｜法定福利費</v>
      </c>
      <c r="E55" s="37" t="str">
        <f>TRIM(データ!F52)</f>
        <v/>
      </c>
      <c r="F55" s="38" t="str">
        <f>TRIM(データ!G52)</f>
        <v>日</v>
      </c>
      <c r="G55" s="50">
        <f>データ!H52</f>
        <v>7</v>
      </c>
      <c r="H55" s="48">
        <f>データ!I52</f>
        <v>31000</v>
      </c>
      <c r="I55" s="48">
        <f>データ!J52</f>
        <v>217000</v>
      </c>
      <c r="J55" s="39">
        <f>IF(OR($C55="総括",$C55="内訳書",$C55="内訳代価",$C55="明細書",$C55="明細代価",$C55="代価表",$C55="単価表"),データ!K52,"")</f>
        <v>7</v>
      </c>
      <c r="K55" s="11" t="str">
        <f t="shared" si="0"/>
        <v/>
      </c>
      <c r="L55" s="46">
        <f t="shared" si="1"/>
        <v>1.7225585312688033E-2</v>
      </c>
      <c r="M55" s="40" t="str">
        <f>IF(データ!L52="","",データ!L52)</f>
        <v/>
      </c>
      <c r="N55" s="41" t="str">
        <f>IF(データ!M52="","",データ!M52)</f>
        <v>26号内訳書</v>
      </c>
      <c r="O55" s="42">
        <f>データ!N52</f>
        <v>0</v>
      </c>
      <c r="P55" s="48">
        <f>IF($C55="集計行","",データ!O52)</f>
        <v>0</v>
      </c>
      <c r="Q55" s="48">
        <f>データ!P52</f>
        <v>0</v>
      </c>
      <c r="R55" s="39">
        <f>IF(OR($C55="総括",$C55="内訳書",$C55="内訳代価",$C55="明細書",$C55="明細代価",$C55="代価表",$C55="単価表"),データ!Q52,"")</f>
        <v>0</v>
      </c>
      <c r="S55" s="11" t="str">
        <f t="shared" si="2"/>
        <v/>
      </c>
      <c r="T55" s="46" t="e">
        <f t="shared" si="3"/>
        <v>#DIV/0!</v>
      </c>
      <c r="U55" s="40" t="str">
        <f>IF(データ!R52="","",データ!R52)</f>
        <v/>
      </c>
      <c r="V55" s="41" t="str">
        <f>IF(データ!S52="","",データ!S52)</f>
        <v/>
      </c>
      <c r="W55" s="42">
        <f>データ!T52</f>
        <v>0</v>
      </c>
      <c r="X55" s="48">
        <f>IF($C55="集計行","",データ!U52)</f>
        <v>0</v>
      </c>
      <c r="Y55" s="48">
        <f>データ!V52</f>
        <v>0</v>
      </c>
      <c r="Z55" s="39">
        <f>IF(OR($C55="総括",$C55="内訳書",$C55="内訳代価",$C55="明細書",$C55="明細代価",$C55="代価表",$C55="単価表"),データ!W52,"")</f>
        <v>0</v>
      </c>
      <c r="AA55" s="11" t="str">
        <f t="shared" si="4"/>
        <v/>
      </c>
      <c r="AB55" s="46" t="e">
        <f t="shared" si="5"/>
        <v>#DIV/0!</v>
      </c>
      <c r="AC55" s="40" t="str">
        <f>IF(データ!X52="","",データ!X52)</f>
        <v/>
      </c>
      <c r="AD55" s="41" t="str">
        <f>IF(データ!Y52="","",データ!Y52)</f>
        <v/>
      </c>
      <c r="AE55" s="47" t="str">
        <f>TRIM(データ!B52)</f>
        <v/>
      </c>
      <c r="AF55" s="43" t="str">
        <f>TRIM(データ!Z52)</f>
        <v/>
      </c>
    </row>
    <row r="56" spans="1:32" x14ac:dyDescent="0.15">
      <c r="A56" s="47">
        <f>データ!A53</f>
        <v>3</v>
      </c>
      <c r="B56" s="47" t="str">
        <f>TRIM(データ!C53)</f>
        <v/>
      </c>
      <c r="C56" s="47" t="str">
        <f>TRIM(データ!D53)</f>
        <v>法定福利費</v>
      </c>
      <c r="D56" s="36" t="str">
        <f>REPT("｜",$A56)&amp;TRIM(データ!E53)</f>
        <v>｜｜｜法定福利費</v>
      </c>
      <c r="E56" s="37" t="str">
        <f>TRIM(データ!F53)</f>
        <v/>
      </c>
      <c r="F56" s="38" t="str">
        <f>TRIM(データ!G53)</f>
        <v>日</v>
      </c>
      <c r="G56" s="50">
        <f>データ!H53</f>
        <v>7</v>
      </c>
      <c r="H56" s="48">
        <f>データ!I53</f>
        <v>31000</v>
      </c>
      <c r="I56" s="48">
        <f>データ!J53</f>
        <v>217000</v>
      </c>
      <c r="J56" s="39" t="str">
        <f>IF(OR($C56="総括",$C56="内訳書",$C56="内訳代価",$C56="明細書",$C56="明細代価",$C56="代価表",$C56="単価表"),データ!K53,"")</f>
        <v/>
      </c>
      <c r="K56" s="11" t="str">
        <f t="shared" si="0"/>
        <v/>
      </c>
      <c r="L56" s="46">
        <f t="shared" si="1"/>
        <v>1.7225585312688033E-2</v>
      </c>
      <c r="M56" s="40" t="str">
        <f>IF(データ!L53="","",データ!L53)</f>
        <v/>
      </c>
      <c r="N56" s="41" t="str">
        <f>IF(データ!M53="","",データ!M53)</f>
        <v/>
      </c>
      <c r="O56" s="42">
        <f>データ!N53</f>
        <v>0</v>
      </c>
      <c r="P56" s="48">
        <f>IF($C56="集計行","",データ!O53)</f>
        <v>0</v>
      </c>
      <c r="Q56" s="48">
        <f>データ!P53</f>
        <v>0</v>
      </c>
      <c r="R56" s="39" t="str">
        <f>IF(OR($C56="総括",$C56="内訳書",$C56="内訳代価",$C56="明細書",$C56="明細代価",$C56="代価表",$C56="単価表"),データ!Q53,"")</f>
        <v/>
      </c>
      <c r="S56" s="11" t="str">
        <f t="shared" si="2"/>
        <v/>
      </c>
      <c r="T56" s="46" t="e">
        <f t="shared" si="3"/>
        <v>#DIV/0!</v>
      </c>
      <c r="U56" s="40" t="str">
        <f>IF(データ!R53="","",データ!R53)</f>
        <v/>
      </c>
      <c r="V56" s="41" t="str">
        <f>IF(データ!S53="","",データ!S53)</f>
        <v/>
      </c>
      <c r="W56" s="42">
        <f>データ!T53</f>
        <v>0</v>
      </c>
      <c r="X56" s="48">
        <f>IF($C56="集計行","",データ!U53)</f>
        <v>0</v>
      </c>
      <c r="Y56" s="48">
        <f>データ!V53</f>
        <v>0</v>
      </c>
      <c r="Z56" s="39" t="str">
        <f>IF(OR($C56="総括",$C56="内訳書",$C56="内訳代価",$C56="明細書",$C56="明細代価",$C56="代価表",$C56="単価表"),データ!W53,"")</f>
        <v/>
      </c>
      <c r="AA56" s="11" t="str">
        <f t="shared" si="4"/>
        <v/>
      </c>
      <c r="AB56" s="46" t="e">
        <f t="shared" si="5"/>
        <v>#DIV/0!</v>
      </c>
      <c r="AC56" s="40" t="str">
        <f>IF(データ!X53="","",データ!X53)</f>
        <v/>
      </c>
      <c r="AD56" s="41" t="str">
        <f>IF(データ!Y53="","",データ!Y53)</f>
        <v/>
      </c>
      <c r="AE56" s="47" t="str">
        <f>TRIM(データ!B53)</f>
        <v/>
      </c>
      <c r="AF56" s="43" t="str">
        <f>TRIM(データ!Z53)</f>
        <v/>
      </c>
    </row>
    <row r="57" spans="1:32" x14ac:dyDescent="0.15">
      <c r="A57" s="47">
        <f>データ!A54</f>
        <v>1</v>
      </c>
      <c r="B57" s="47" t="str">
        <f>TRIM(データ!C54)</f>
        <v/>
      </c>
      <c r="C57" s="47" t="str">
        <f>TRIM(データ!D54)</f>
        <v>内訳書</v>
      </c>
      <c r="D57" s="36" t="str">
        <f>REPT("｜",$A57)&amp;TRIM(データ!E54)</f>
        <v>｜区画線工</v>
      </c>
      <c r="E57" s="37" t="str">
        <f>TRIM(データ!F54)</f>
        <v/>
      </c>
      <c r="F57" s="38" t="str">
        <f>TRIM(データ!G54)</f>
        <v>ｍ</v>
      </c>
      <c r="G57" s="50">
        <f>データ!H54</f>
        <v>1780</v>
      </c>
      <c r="H57" s="48">
        <f>データ!I54</f>
        <v>370</v>
      </c>
      <c r="I57" s="48">
        <f>データ!J54</f>
        <v>658600</v>
      </c>
      <c r="J57" s="39">
        <f>IF(OR($C57="総括",$C57="内訳書",$C57="内訳代価",$C57="明細書",$C57="明細代価",$C57="代価表",$C57="単価表"),データ!K54,"")</f>
        <v>1780</v>
      </c>
      <c r="K57" s="11" t="str">
        <f t="shared" si="0"/>
        <v/>
      </c>
      <c r="L57" s="46">
        <f t="shared" si="1"/>
        <v>5.2280048326895569E-2</v>
      </c>
      <c r="M57" s="40" t="str">
        <f>IF(データ!L54="","",データ!L54)</f>
        <v/>
      </c>
      <c r="N57" s="41" t="str">
        <f>IF(データ!M54="","",データ!M54)</f>
        <v>27号内訳書</v>
      </c>
      <c r="O57" s="42">
        <f>データ!N54</f>
        <v>0</v>
      </c>
      <c r="P57" s="48">
        <f>IF($C57="集計行","",データ!O54)</f>
        <v>0</v>
      </c>
      <c r="Q57" s="48">
        <f>データ!P54</f>
        <v>0</v>
      </c>
      <c r="R57" s="39">
        <f>IF(OR($C57="総括",$C57="内訳書",$C57="内訳代価",$C57="明細書",$C57="明細代価",$C57="代価表",$C57="単価表"),データ!Q54,"")</f>
        <v>0</v>
      </c>
      <c r="S57" s="11" t="str">
        <f t="shared" si="2"/>
        <v/>
      </c>
      <c r="T57" s="46" t="e">
        <f t="shared" si="3"/>
        <v>#DIV/0!</v>
      </c>
      <c r="U57" s="40" t="str">
        <f>IF(データ!R54="","",データ!R54)</f>
        <v/>
      </c>
      <c r="V57" s="41" t="str">
        <f>IF(データ!S54="","",データ!S54)</f>
        <v/>
      </c>
      <c r="W57" s="42">
        <f>データ!T54</f>
        <v>0</v>
      </c>
      <c r="X57" s="48">
        <f>IF($C57="集計行","",データ!U54)</f>
        <v>0</v>
      </c>
      <c r="Y57" s="48">
        <f>データ!V54</f>
        <v>0</v>
      </c>
      <c r="Z57" s="39">
        <f>IF(OR($C57="総括",$C57="内訳書",$C57="内訳代価",$C57="明細書",$C57="明細代価",$C57="代価表",$C57="単価表"),データ!W54,"")</f>
        <v>0</v>
      </c>
      <c r="AA57" s="11" t="str">
        <f t="shared" si="4"/>
        <v/>
      </c>
      <c r="AB57" s="46" t="e">
        <f t="shared" si="5"/>
        <v>#DIV/0!</v>
      </c>
      <c r="AC57" s="40" t="str">
        <f>IF(データ!X54="","",データ!X54)</f>
        <v/>
      </c>
      <c r="AD57" s="41" t="str">
        <f>IF(データ!Y54="","",データ!Y54)</f>
        <v/>
      </c>
      <c r="AE57" s="47" t="str">
        <f>TRIM(データ!B54)</f>
        <v/>
      </c>
      <c r="AF57" s="43" t="str">
        <f>TRIM(データ!Z54)</f>
        <v/>
      </c>
    </row>
    <row r="58" spans="1:32" x14ac:dyDescent="0.15">
      <c r="A58" s="47">
        <f>データ!A55</f>
        <v>2</v>
      </c>
      <c r="B58" s="47" t="str">
        <f>TRIM(データ!C55)</f>
        <v/>
      </c>
      <c r="C58" s="47" t="str">
        <f>TRIM(データ!D55)</f>
        <v>内訳代価</v>
      </c>
      <c r="D58" s="36" t="str">
        <f>REPT("｜",$A58)&amp;TRIM(データ!E55)</f>
        <v>｜｜区画線工</v>
      </c>
      <c r="E58" s="37" t="str">
        <f>TRIM(データ!F55)</f>
        <v/>
      </c>
      <c r="F58" s="38" t="str">
        <f>TRIM(データ!G55)</f>
        <v>ｍ</v>
      </c>
      <c r="G58" s="50">
        <f>データ!H55</f>
        <v>1780</v>
      </c>
      <c r="H58" s="48">
        <f>データ!I55</f>
        <v>370</v>
      </c>
      <c r="I58" s="48">
        <f>データ!J55</f>
        <v>658600</v>
      </c>
      <c r="J58" s="39">
        <f>IF(OR($C58="総括",$C58="内訳書",$C58="内訳代価",$C58="明細書",$C58="明細代価",$C58="代価表",$C58="単価表"),データ!K55,"")</f>
        <v>1780</v>
      </c>
      <c r="K58" s="11" t="str">
        <f t="shared" si="0"/>
        <v/>
      </c>
      <c r="L58" s="46">
        <f t="shared" si="1"/>
        <v>5.2280048326895569E-2</v>
      </c>
      <c r="M58" s="40" t="str">
        <f>IF(データ!L55="","",データ!L55)</f>
        <v/>
      </c>
      <c r="N58" s="41" t="str">
        <f>IF(データ!M55="","",データ!M55)</f>
        <v>28号内訳書</v>
      </c>
      <c r="O58" s="42">
        <f>データ!N55</f>
        <v>0</v>
      </c>
      <c r="P58" s="48">
        <f>IF($C58="集計行","",データ!O55)</f>
        <v>0</v>
      </c>
      <c r="Q58" s="48">
        <f>データ!P55</f>
        <v>0</v>
      </c>
      <c r="R58" s="39">
        <f>IF(OR($C58="総括",$C58="内訳書",$C58="内訳代価",$C58="明細書",$C58="明細代価",$C58="代価表",$C58="単価表"),データ!Q55,"")</f>
        <v>0</v>
      </c>
      <c r="S58" s="11" t="str">
        <f t="shared" si="2"/>
        <v/>
      </c>
      <c r="T58" s="46" t="e">
        <f t="shared" si="3"/>
        <v>#DIV/0!</v>
      </c>
      <c r="U58" s="40" t="str">
        <f>IF(データ!R55="","",データ!R55)</f>
        <v/>
      </c>
      <c r="V58" s="41" t="str">
        <f>IF(データ!S55="","",データ!S55)</f>
        <v/>
      </c>
      <c r="W58" s="42">
        <f>データ!T55</f>
        <v>0</v>
      </c>
      <c r="X58" s="48">
        <f>IF($C58="集計行","",データ!U55)</f>
        <v>0</v>
      </c>
      <c r="Y58" s="48">
        <f>データ!V55</f>
        <v>0</v>
      </c>
      <c r="Z58" s="39">
        <f>IF(OR($C58="総括",$C58="内訳書",$C58="内訳代価",$C58="明細書",$C58="明細代価",$C58="代価表",$C58="単価表"),データ!W55,"")</f>
        <v>0</v>
      </c>
      <c r="AA58" s="11" t="str">
        <f t="shared" si="4"/>
        <v/>
      </c>
      <c r="AB58" s="46" t="e">
        <f t="shared" si="5"/>
        <v>#DIV/0!</v>
      </c>
      <c r="AC58" s="40" t="str">
        <f>IF(データ!X55="","",データ!X55)</f>
        <v/>
      </c>
      <c r="AD58" s="41" t="str">
        <f>IF(データ!Y55="","",データ!Y55)</f>
        <v/>
      </c>
      <c r="AE58" s="47" t="str">
        <f>TRIM(データ!B55)</f>
        <v/>
      </c>
      <c r="AF58" s="43" t="str">
        <f>TRIM(データ!Z55)</f>
        <v/>
      </c>
    </row>
    <row r="59" spans="1:32" x14ac:dyDescent="0.15">
      <c r="A59" s="47">
        <f>データ!A56</f>
        <v>3</v>
      </c>
      <c r="B59" s="47" t="str">
        <f>TRIM(データ!C56)</f>
        <v/>
      </c>
      <c r="C59" s="47" t="str">
        <f>TRIM(データ!D56)</f>
        <v>外注費</v>
      </c>
      <c r="D59" s="36" t="str">
        <f>REPT("｜",$A59)&amp;TRIM(データ!E56)</f>
        <v>｜｜｜区画線工</v>
      </c>
      <c r="E59" s="37" t="str">
        <f>TRIM(データ!F56)</f>
        <v/>
      </c>
      <c r="F59" s="38" t="str">
        <f>TRIM(データ!G56)</f>
        <v>ｍ</v>
      </c>
      <c r="G59" s="50">
        <f>データ!H56</f>
        <v>1780</v>
      </c>
      <c r="H59" s="48">
        <f>データ!I56</f>
        <v>350</v>
      </c>
      <c r="I59" s="48">
        <f>データ!J56</f>
        <v>623000</v>
      </c>
      <c r="J59" s="39" t="str">
        <f>IF(OR($C59="総括",$C59="内訳書",$C59="内訳代価",$C59="明細書",$C59="明細代価",$C59="代価表",$C59="単価表"),データ!K56,"")</f>
        <v/>
      </c>
      <c r="K59" s="11" t="str">
        <f t="shared" si="0"/>
        <v/>
      </c>
      <c r="L59" s="46">
        <f t="shared" si="1"/>
        <v>4.9454099768684999E-2</v>
      </c>
      <c r="M59" s="40" t="str">
        <f>IF(データ!L56="","",データ!L56)</f>
        <v/>
      </c>
      <c r="N59" s="41" t="str">
        <f>IF(データ!M56="","",データ!M56)</f>
        <v/>
      </c>
      <c r="O59" s="42">
        <f>データ!N56</f>
        <v>0</v>
      </c>
      <c r="P59" s="48">
        <f>IF($C59="集計行","",データ!O56)</f>
        <v>0</v>
      </c>
      <c r="Q59" s="48">
        <f>データ!P56</f>
        <v>0</v>
      </c>
      <c r="R59" s="39" t="str">
        <f>IF(OR($C59="総括",$C59="内訳書",$C59="内訳代価",$C59="明細書",$C59="明細代価",$C59="代価表",$C59="単価表"),データ!Q56,"")</f>
        <v/>
      </c>
      <c r="S59" s="11" t="str">
        <f t="shared" si="2"/>
        <v/>
      </c>
      <c r="T59" s="46" t="e">
        <f t="shared" si="3"/>
        <v>#DIV/0!</v>
      </c>
      <c r="U59" s="40" t="str">
        <f>IF(データ!R56="","",データ!R56)</f>
        <v/>
      </c>
      <c r="V59" s="41" t="str">
        <f>IF(データ!S56="","",データ!S56)</f>
        <v/>
      </c>
      <c r="W59" s="42">
        <f>データ!T56</f>
        <v>0</v>
      </c>
      <c r="X59" s="48">
        <f>IF($C59="集計行","",データ!U56)</f>
        <v>0</v>
      </c>
      <c r="Y59" s="48">
        <f>データ!V56</f>
        <v>0</v>
      </c>
      <c r="Z59" s="39" t="str">
        <f>IF(OR($C59="総括",$C59="内訳書",$C59="内訳代価",$C59="明細書",$C59="明細代価",$C59="代価表",$C59="単価表"),データ!W56,"")</f>
        <v/>
      </c>
      <c r="AA59" s="11" t="str">
        <f t="shared" si="4"/>
        <v/>
      </c>
      <c r="AB59" s="46" t="e">
        <f t="shared" si="5"/>
        <v>#DIV/0!</v>
      </c>
      <c r="AC59" s="40" t="str">
        <f>IF(データ!X56="","",データ!X56)</f>
        <v/>
      </c>
      <c r="AD59" s="41" t="str">
        <f>IF(データ!Y56="","",データ!Y56)</f>
        <v/>
      </c>
      <c r="AE59" s="47" t="str">
        <f>TRIM(データ!B56)</f>
        <v/>
      </c>
      <c r="AF59" s="43" t="str">
        <f>TRIM(データ!Z56)</f>
        <v/>
      </c>
    </row>
    <row r="60" spans="1:32" x14ac:dyDescent="0.15">
      <c r="A60" s="47">
        <f>データ!A57</f>
        <v>3</v>
      </c>
      <c r="B60" s="47" t="str">
        <f>TRIM(データ!C57)</f>
        <v/>
      </c>
      <c r="C60" s="47" t="str">
        <f>TRIM(データ!D57)</f>
        <v>外注費</v>
      </c>
      <c r="D60" s="36" t="str">
        <f>REPT("｜",$A60)&amp;TRIM(データ!E57)</f>
        <v>｜｜｜法定福利費</v>
      </c>
      <c r="E60" s="37" t="str">
        <f>TRIM(データ!F57)</f>
        <v/>
      </c>
      <c r="F60" s="38" t="str">
        <f>TRIM(データ!G57)</f>
        <v>式</v>
      </c>
      <c r="G60" s="50">
        <f>データ!H57</f>
        <v>1</v>
      </c>
      <c r="H60" s="48">
        <f>データ!I57</f>
        <v>37000</v>
      </c>
      <c r="I60" s="48">
        <f>データ!J57</f>
        <v>37000</v>
      </c>
      <c r="J60" s="39" t="str">
        <f>IF(OR($C60="総括",$C60="内訳書",$C60="内訳代価",$C60="明細書",$C60="明細代価",$C60="代価表",$C60="単価表"),データ!K57,"")</f>
        <v/>
      </c>
      <c r="K60" s="11" t="str">
        <f t="shared" si="0"/>
        <v/>
      </c>
      <c r="L60" s="46">
        <f t="shared" si="1"/>
        <v>2.9370813666795264E-3</v>
      </c>
      <c r="M60" s="40" t="str">
        <f>IF(データ!L57="","",データ!L57)</f>
        <v/>
      </c>
      <c r="N60" s="41" t="str">
        <f>IF(データ!M57="","",データ!M57)</f>
        <v/>
      </c>
      <c r="O60" s="42">
        <f>データ!N57</f>
        <v>0</v>
      </c>
      <c r="P60" s="48">
        <f>IF($C60="集計行","",データ!O57)</f>
        <v>0</v>
      </c>
      <c r="Q60" s="48">
        <f>データ!P57</f>
        <v>0</v>
      </c>
      <c r="R60" s="39" t="str">
        <f>IF(OR($C60="総括",$C60="内訳書",$C60="内訳代価",$C60="明細書",$C60="明細代価",$C60="代価表",$C60="単価表"),データ!Q57,"")</f>
        <v/>
      </c>
      <c r="S60" s="11" t="str">
        <f t="shared" si="2"/>
        <v/>
      </c>
      <c r="T60" s="46" t="e">
        <f t="shared" si="3"/>
        <v>#DIV/0!</v>
      </c>
      <c r="U60" s="40" t="str">
        <f>IF(データ!R57="","",データ!R57)</f>
        <v/>
      </c>
      <c r="V60" s="41" t="str">
        <f>IF(データ!S57="","",データ!S57)</f>
        <v/>
      </c>
      <c r="W60" s="42">
        <f>データ!T57</f>
        <v>0</v>
      </c>
      <c r="X60" s="48">
        <f>IF($C60="集計行","",データ!U57)</f>
        <v>0</v>
      </c>
      <c r="Y60" s="48">
        <f>データ!V57</f>
        <v>0</v>
      </c>
      <c r="Z60" s="39" t="str">
        <f>IF(OR($C60="総括",$C60="内訳書",$C60="内訳代価",$C60="明細書",$C60="明細代価",$C60="代価表",$C60="単価表"),データ!W57,"")</f>
        <v/>
      </c>
      <c r="AA60" s="11" t="str">
        <f t="shared" si="4"/>
        <v/>
      </c>
      <c r="AB60" s="46" t="e">
        <f t="shared" si="5"/>
        <v>#DIV/0!</v>
      </c>
      <c r="AC60" s="40" t="str">
        <f>IF(データ!X57="","",データ!X57)</f>
        <v/>
      </c>
      <c r="AD60" s="41" t="str">
        <f>IF(データ!Y57="","",データ!Y57)</f>
        <v/>
      </c>
      <c r="AE60" s="47" t="str">
        <f>TRIM(データ!B57)</f>
        <v/>
      </c>
      <c r="AF60" s="43" t="str">
        <f>TRIM(データ!Z57)</f>
        <v/>
      </c>
    </row>
    <row r="61" spans="1:32" x14ac:dyDescent="0.15">
      <c r="A61" s="44"/>
      <c r="B61" s="44"/>
      <c r="C61" s="7"/>
      <c r="D61" s="44"/>
      <c r="E61" s="44"/>
      <c r="F61" s="45"/>
      <c r="G61" s="44"/>
      <c r="H61" s="44"/>
      <c r="I61" s="44"/>
      <c r="J61" s="44"/>
      <c r="K61" s="45"/>
      <c r="L61" s="44"/>
      <c r="M61" s="44"/>
      <c r="N61" s="44"/>
      <c r="O61" s="44"/>
      <c r="P61" s="44"/>
      <c r="Q61" s="44"/>
      <c r="R61" s="44"/>
      <c r="S61" s="45"/>
      <c r="T61" s="44"/>
      <c r="U61" s="44"/>
      <c r="V61" s="44"/>
      <c r="W61" s="44"/>
      <c r="X61" s="44"/>
      <c r="Y61" s="44"/>
      <c r="Z61" s="44"/>
      <c r="AA61" s="45"/>
      <c r="AB61" s="44"/>
      <c r="AC61" s="44"/>
      <c r="AD61" s="44"/>
      <c r="AE61" s="44"/>
      <c r="AF61" s="9"/>
    </row>
  </sheetData>
  <autoFilter ref="A3:AE61" xr:uid="{00000000-0001-0000-0100-000000000000}"/>
  <mergeCells count="4">
    <mergeCell ref="AF2:AF3"/>
    <mergeCell ref="G2:N2"/>
    <mergeCell ref="O2:V2"/>
    <mergeCell ref="W2:AD2"/>
  </mergeCells>
  <phoneticPr fontId="3"/>
  <conditionalFormatting sqref="A4:AF60">
    <cfRule type="expression" dxfId="4" priority="6" stopIfTrue="1">
      <formula>$A4&lt;=1</formula>
    </cfRule>
    <cfRule type="expression" dxfId="3" priority="7" stopIfTrue="1">
      <formula>$A4=2</formula>
    </cfRule>
    <cfRule type="expression" dxfId="2" priority="8" stopIfTrue="1">
      <formula>$A4=3</formula>
    </cfRule>
    <cfRule type="expression" dxfId="1" priority="9" stopIfTrue="1">
      <formula>$A4=4</formula>
    </cfRule>
    <cfRule type="expression" dxfId="0" priority="10" stopIfTrue="1">
      <formula>$A4=5</formula>
    </cfRule>
  </conditionalFormatting>
  <printOptions horizontalCentered="1"/>
  <pageMargins left="0.47244094488188981" right="0.39370078740157483" top="0.98425196850393704" bottom="0.55118110236220474" header="0.59055118110236227" footer="0.39370078740157483"/>
  <pageSetup paperSize="8" scale="83" fitToHeight="100" orientation="portrait" r:id="rId1"/>
  <headerFooter alignWithMargins="0">
    <oddFooter>&amp;C&amp;F&amp;R&amp;P/&amp;N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データ</vt:lpstr>
      <vt:lpstr>内訳一覧</vt:lpstr>
      <vt:lpstr>内訳一覧!Print_Area</vt:lpstr>
      <vt:lpstr>内訳一覧!Print_Titles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2022-02-16T09:10:17Z</dcterms:created>
  <dcterms:modified xsi:type="dcterms:W3CDTF">2026-01-19T02:28:49Z</dcterms:modified>
</cp:coreProperties>
</file>