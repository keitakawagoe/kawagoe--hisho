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1AD0CFE4-EC83-45BD-8311-4380EAC7C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内訳一覧!$A$3:$AE$22</definedName>
    <definedName name="_xlnm.Print_Area" localSheetId="1">内訳一覧!$A$1:$AF$22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21" i="4" l="1"/>
  <c r="AE21" i="4"/>
  <c r="AD21" i="4"/>
  <c r="AC21" i="4"/>
  <c r="Y21" i="4"/>
  <c r="X21" i="4"/>
  <c r="W21" i="4"/>
  <c r="V21" i="4"/>
  <c r="U21" i="4"/>
  <c r="Q21" i="4"/>
  <c r="O21" i="4"/>
  <c r="N21" i="4"/>
  <c r="M21" i="4"/>
  <c r="J21" i="4"/>
  <c r="K21" i="4" s="1"/>
  <c r="I21" i="4"/>
  <c r="L21" i="4" s="1"/>
  <c r="H21" i="4"/>
  <c r="G21" i="4"/>
  <c r="F21" i="4"/>
  <c r="E21" i="4"/>
  <c r="C21" i="4"/>
  <c r="R21" i="4" s="1"/>
  <c r="S21" i="4" s="1"/>
  <c r="B21" i="4"/>
  <c r="A21" i="4"/>
  <c r="AB21" i="4" s="1"/>
  <c r="AF20" i="4"/>
  <c r="AE20" i="4"/>
  <c r="AD20" i="4"/>
  <c r="AC20" i="4"/>
  <c r="Y20" i="4"/>
  <c r="X20" i="4"/>
  <c r="W20" i="4"/>
  <c r="V20" i="4"/>
  <c r="U20" i="4"/>
  <c r="R20" i="4"/>
  <c r="S20" i="4" s="1"/>
  <c r="Q20" i="4"/>
  <c r="T20" i="4" s="1"/>
  <c r="P20" i="4"/>
  <c r="O20" i="4"/>
  <c r="N20" i="4"/>
  <c r="M20" i="4"/>
  <c r="J20" i="4"/>
  <c r="I20" i="4"/>
  <c r="H20" i="4"/>
  <c r="G20" i="4"/>
  <c r="K20" i="4" s="1"/>
  <c r="F20" i="4"/>
  <c r="E20" i="4"/>
  <c r="D20" i="4"/>
  <c r="C20" i="4"/>
  <c r="Z20" i="4" s="1"/>
  <c r="AA20" i="4" s="1"/>
  <c r="B20" i="4"/>
  <c r="A20" i="4"/>
  <c r="L20" i="4" s="1"/>
  <c r="AF19" i="4"/>
  <c r="AE19" i="4"/>
  <c r="AD19" i="4"/>
  <c r="AC19" i="4"/>
  <c r="Z19" i="4"/>
  <c r="AA19" i="4" s="1"/>
  <c r="Y19" i="4"/>
  <c r="W19" i="4"/>
  <c r="V19" i="4"/>
  <c r="U19" i="4"/>
  <c r="Q19" i="4"/>
  <c r="O19" i="4"/>
  <c r="N19" i="4"/>
  <c r="M19" i="4"/>
  <c r="I19" i="4"/>
  <c r="H19" i="4"/>
  <c r="G19" i="4"/>
  <c r="F19" i="4"/>
  <c r="E19" i="4"/>
  <c r="C19" i="4"/>
  <c r="X19" i="4" s="1"/>
  <c r="B19" i="4"/>
  <c r="A19" i="4"/>
  <c r="L19" i="4" s="1"/>
  <c r="AF18" i="4"/>
  <c r="AE18" i="4"/>
  <c r="AD18" i="4"/>
  <c r="AC18" i="4"/>
  <c r="Y18" i="4"/>
  <c r="X18" i="4"/>
  <c r="W18" i="4"/>
  <c r="V18" i="4"/>
  <c r="U18" i="4"/>
  <c r="Q18" i="4"/>
  <c r="O18" i="4"/>
  <c r="N18" i="4"/>
  <c r="M18" i="4"/>
  <c r="J18" i="4"/>
  <c r="K18" i="4" s="1"/>
  <c r="I18" i="4"/>
  <c r="L18" i="4" s="1"/>
  <c r="H18" i="4"/>
  <c r="G18" i="4"/>
  <c r="F18" i="4"/>
  <c r="E18" i="4"/>
  <c r="C18" i="4"/>
  <c r="R18" i="4" s="1"/>
  <c r="S18" i="4" s="1"/>
  <c r="B18" i="4"/>
  <c r="A18" i="4"/>
  <c r="AB18" i="4" s="1"/>
  <c r="AF17" i="4"/>
  <c r="AE17" i="4"/>
  <c r="AD17" i="4"/>
  <c r="AC17" i="4"/>
  <c r="AB17" i="4"/>
  <c r="Z17" i="4"/>
  <c r="AA17" i="4" s="1"/>
  <c r="Y17" i="4"/>
  <c r="X17" i="4"/>
  <c r="W17" i="4"/>
  <c r="V17" i="4"/>
  <c r="U17" i="4"/>
  <c r="R17" i="4"/>
  <c r="S17" i="4" s="1"/>
  <c r="Q17" i="4"/>
  <c r="T17" i="4" s="1"/>
  <c r="P17" i="4"/>
  <c r="O17" i="4"/>
  <c r="N17" i="4"/>
  <c r="M17" i="4"/>
  <c r="J17" i="4"/>
  <c r="I17" i="4"/>
  <c r="H17" i="4"/>
  <c r="G17" i="4"/>
  <c r="K17" i="4" s="1"/>
  <c r="F17" i="4"/>
  <c r="E17" i="4"/>
  <c r="D17" i="4"/>
  <c r="C17" i="4"/>
  <c r="B17" i="4"/>
  <c r="A17" i="4"/>
  <c r="L17" i="4" s="1"/>
  <c r="AF16" i="4"/>
  <c r="AE16" i="4"/>
  <c r="AD16" i="4"/>
  <c r="AC16" i="4"/>
  <c r="Z16" i="4"/>
  <c r="AA16" i="4" s="1"/>
  <c r="Y16" i="4"/>
  <c r="W16" i="4"/>
  <c r="V16" i="4"/>
  <c r="U16" i="4"/>
  <c r="Q16" i="4"/>
  <c r="O16" i="4"/>
  <c r="N16" i="4"/>
  <c r="M16" i="4"/>
  <c r="I16" i="4"/>
  <c r="H16" i="4"/>
  <c r="G16" i="4"/>
  <c r="F16" i="4"/>
  <c r="E16" i="4"/>
  <c r="C16" i="4"/>
  <c r="X16" i="4" s="1"/>
  <c r="B16" i="4"/>
  <c r="A16" i="4"/>
  <c r="L16" i="4" s="1"/>
  <c r="AF15" i="4"/>
  <c r="AE15" i="4"/>
  <c r="AD15" i="4"/>
  <c r="AC15" i="4"/>
  <c r="Y15" i="4"/>
  <c r="X15" i="4"/>
  <c r="W15" i="4"/>
  <c r="V15" i="4"/>
  <c r="U15" i="4"/>
  <c r="Q15" i="4"/>
  <c r="O15" i="4"/>
  <c r="N15" i="4"/>
  <c r="M15" i="4"/>
  <c r="J15" i="4"/>
  <c r="K15" i="4" s="1"/>
  <c r="I15" i="4"/>
  <c r="L15" i="4" s="1"/>
  <c r="H15" i="4"/>
  <c r="G15" i="4"/>
  <c r="F15" i="4"/>
  <c r="E15" i="4"/>
  <c r="C15" i="4"/>
  <c r="R15" i="4" s="1"/>
  <c r="S15" i="4" s="1"/>
  <c r="B15" i="4"/>
  <c r="A15" i="4"/>
  <c r="AB15" i="4" s="1"/>
  <c r="AF14" i="4"/>
  <c r="AE14" i="4"/>
  <c r="AD14" i="4"/>
  <c r="AC14" i="4"/>
  <c r="AB14" i="4"/>
  <c r="Z14" i="4"/>
  <c r="AA14" i="4" s="1"/>
  <c r="Y14" i="4"/>
  <c r="X14" i="4"/>
  <c r="W14" i="4"/>
  <c r="V14" i="4"/>
  <c r="U14" i="4"/>
  <c r="R14" i="4"/>
  <c r="S14" i="4" s="1"/>
  <c r="Q14" i="4"/>
  <c r="T14" i="4" s="1"/>
  <c r="P14" i="4"/>
  <c r="O14" i="4"/>
  <c r="N14" i="4"/>
  <c r="M14" i="4"/>
  <c r="J14" i="4"/>
  <c r="I14" i="4"/>
  <c r="H14" i="4"/>
  <c r="G14" i="4"/>
  <c r="K14" i="4" s="1"/>
  <c r="F14" i="4"/>
  <c r="E14" i="4"/>
  <c r="D14" i="4"/>
  <c r="C14" i="4"/>
  <c r="B14" i="4"/>
  <c r="A14" i="4"/>
  <c r="L14" i="4" s="1"/>
  <c r="AF13" i="4"/>
  <c r="AE13" i="4"/>
  <c r="AD13" i="4"/>
  <c r="AC13" i="4"/>
  <c r="Z13" i="4"/>
  <c r="AA13" i="4" s="1"/>
  <c r="Y13" i="4"/>
  <c r="X13" i="4"/>
  <c r="W13" i="4"/>
  <c r="V13" i="4"/>
  <c r="U13" i="4"/>
  <c r="Q13" i="4"/>
  <c r="O13" i="4"/>
  <c r="N13" i="4"/>
  <c r="M13" i="4"/>
  <c r="I13" i="4"/>
  <c r="H13" i="4"/>
  <c r="G13" i="4"/>
  <c r="F13" i="4"/>
  <c r="E13" i="4"/>
  <c r="C13" i="4"/>
  <c r="J13" i="4" s="1"/>
  <c r="K13" i="4" s="1"/>
  <c r="B13" i="4"/>
  <c r="A13" i="4"/>
  <c r="L13" i="4" s="1"/>
  <c r="AF12" i="4"/>
  <c r="AE12" i="4"/>
  <c r="AD12" i="4"/>
  <c r="AC12" i="4"/>
  <c r="Y12" i="4"/>
  <c r="X12" i="4"/>
  <c r="W12" i="4"/>
  <c r="V12" i="4"/>
  <c r="U12" i="4"/>
  <c r="Q12" i="4"/>
  <c r="O12" i="4"/>
  <c r="N12" i="4"/>
  <c r="M12" i="4"/>
  <c r="J12" i="4"/>
  <c r="K12" i="4" s="1"/>
  <c r="I12" i="4"/>
  <c r="L12" i="4" s="1"/>
  <c r="H12" i="4"/>
  <c r="G12" i="4"/>
  <c r="F12" i="4"/>
  <c r="E12" i="4"/>
  <c r="C12" i="4"/>
  <c r="R12" i="4" s="1"/>
  <c r="S12" i="4" s="1"/>
  <c r="B12" i="4"/>
  <c r="A12" i="4"/>
  <c r="AB12" i="4" s="1"/>
  <c r="AF11" i="4"/>
  <c r="AE11" i="4"/>
  <c r="AD11" i="4"/>
  <c r="AC11" i="4"/>
  <c r="AB11" i="4"/>
  <c r="Z11" i="4"/>
  <c r="AA11" i="4" s="1"/>
  <c r="Y11" i="4"/>
  <c r="X11" i="4"/>
  <c r="W11" i="4"/>
  <c r="V11" i="4"/>
  <c r="U11" i="4"/>
  <c r="R11" i="4"/>
  <c r="S11" i="4" s="1"/>
  <c r="Q11" i="4"/>
  <c r="T11" i="4" s="1"/>
  <c r="P11" i="4"/>
  <c r="O11" i="4"/>
  <c r="N11" i="4"/>
  <c r="M11" i="4"/>
  <c r="J11" i="4"/>
  <c r="I11" i="4"/>
  <c r="H11" i="4"/>
  <c r="G11" i="4"/>
  <c r="K11" i="4" s="1"/>
  <c r="F11" i="4"/>
  <c r="E11" i="4"/>
  <c r="D11" i="4"/>
  <c r="C11" i="4"/>
  <c r="B11" i="4"/>
  <c r="A11" i="4"/>
  <c r="L11" i="4" s="1"/>
  <c r="AF10" i="4"/>
  <c r="AE10" i="4"/>
  <c r="AD10" i="4"/>
  <c r="AC10" i="4"/>
  <c r="Z10" i="4"/>
  <c r="AA10" i="4" s="1"/>
  <c r="Y10" i="4"/>
  <c r="X10" i="4"/>
  <c r="W10" i="4"/>
  <c r="V10" i="4"/>
  <c r="U10" i="4"/>
  <c r="Q10" i="4"/>
  <c r="O10" i="4"/>
  <c r="N10" i="4"/>
  <c r="M10" i="4"/>
  <c r="I10" i="4"/>
  <c r="H10" i="4"/>
  <c r="G10" i="4"/>
  <c r="F10" i="4"/>
  <c r="E10" i="4"/>
  <c r="C10" i="4"/>
  <c r="J10" i="4" s="1"/>
  <c r="K10" i="4" s="1"/>
  <c r="B10" i="4"/>
  <c r="A10" i="4"/>
  <c r="L10" i="4" s="1"/>
  <c r="AF9" i="4"/>
  <c r="AE9" i="4"/>
  <c r="AD9" i="4"/>
  <c r="AC9" i="4"/>
  <c r="Y9" i="4"/>
  <c r="X9" i="4"/>
  <c r="W9" i="4"/>
  <c r="V9" i="4"/>
  <c r="U9" i="4"/>
  <c r="Q9" i="4"/>
  <c r="O9" i="4"/>
  <c r="N9" i="4"/>
  <c r="M9" i="4"/>
  <c r="J9" i="4"/>
  <c r="K9" i="4" s="1"/>
  <c r="I9" i="4"/>
  <c r="L9" i="4" s="1"/>
  <c r="H9" i="4"/>
  <c r="G9" i="4"/>
  <c r="F9" i="4"/>
  <c r="E9" i="4"/>
  <c r="C9" i="4"/>
  <c r="R9" i="4" s="1"/>
  <c r="S9" i="4" s="1"/>
  <c r="B9" i="4"/>
  <c r="A9" i="4"/>
  <c r="AB9" i="4" s="1"/>
  <c r="AF8" i="4"/>
  <c r="AE8" i="4"/>
  <c r="AD8" i="4"/>
  <c r="AC8" i="4"/>
  <c r="AB8" i="4"/>
  <c r="Z8" i="4"/>
  <c r="AA8" i="4" s="1"/>
  <c r="Y8" i="4"/>
  <c r="X8" i="4"/>
  <c r="W8" i="4"/>
  <c r="V8" i="4"/>
  <c r="U8" i="4"/>
  <c r="R8" i="4"/>
  <c r="S8" i="4" s="1"/>
  <c r="Q8" i="4"/>
  <c r="T8" i="4" s="1"/>
  <c r="P8" i="4"/>
  <c r="O8" i="4"/>
  <c r="N8" i="4"/>
  <c r="M8" i="4"/>
  <c r="J8" i="4"/>
  <c r="I8" i="4"/>
  <c r="L8" i="4" s="1"/>
  <c r="H8" i="4"/>
  <c r="G8" i="4"/>
  <c r="K8" i="4" s="1"/>
  <c r="F8" i="4"/>
  <c r="E8" i="4"/>
  <c r="D8" i="4"/>
  <c r="C8" i="4"/>
  <c r="B8" i="4"/>
  <c r="A8" i="4"/>
  <c r="AF7" i="4"/>
  <c r="AE7" i="4"/>
  <c r="AD7" i="4"/>
  <c r="AC7" i="4"/>
  <c r="Z7" i="4"/>
  <c r="AA7" i="4" s="1"/>
  <c r="Y7" i="4"/>
  <c r="X7" i="4"/>
  <c r="W7" i="4"/>
  <c r="V7" i="4"/>
  <c r="U7" i="4"/>
  <c r="Q7" i="4"/>
  <c r="O7" i="4"/>
  <c r="N7" i="4"/>
  <c r="M7" i="4"/>
  <c r="I7" i="4"/>
  <c r="H7" i="4"/>
  <c r="G7" i="4"/>
  <c r="F7" i="4"/>
  <c r="E7" i="4"/>
  <c r="C7" i="4"/>
  <c r="J7" i="4" s="1"/>
  <c r="K7" i="4" s="1"/>
  <c r="B7" i="4"/>
  <c r="A7" i="4"/>
  <c r="L7" i="4" s="1"/>
  <c r="AF6" i="4"/>
  <c r="AE6" i="4"/>
  <c r="AD6" i="4"/>
  <c r="AC6" i="4"/>
  <c r="Y6" i="4"/>
  <c r="X6" i="4"/>
  <c r="W6" i="4"/>
  <c r="V6" i="4"/>
  <c r="U6" i="4"/>
  <c r="Q6" i="4"/>
  <c r="O6" i="4"/>
  <c r="N6" i="4"/>
  <c r="M6" i="4"/>
  <c r="J6" i="4"/>
  <c r="K6" i="4" s="1"/>
  <c r="I6" i="4"/>
  <c r="L6" i="4" s="1"/>
  <c r="H6" i="4"/>
  <c r="G6" i="4"/>
  <c r="F6" i="4"/>
  <c r="E6" i="4"/>
  <c r="C6" i="4"/>
  <c r="R6" i="4" s="1"/>
  <c r="S6" i="4" s="1"/>
  <c r="B6" i="4"/>
  <c r="A6" i="4"/>
  <c r="AB6" i="4" s="1"/>
  <c r="AF5" i="4"/>
  <c r="AE5" i="4"/>
  <c r="AD5" i="4"/>
  <c r="AC5" i="4"/>
  <c r="AB5" i="4"/>
  <c r="Z5" i="4"/>
  <c r="AA5" i="4" s="1"/>
  <c r="Y5" i="4"/>
  <c r="X5" i="4"/>
  <c r="W5" i="4"/>
  <c r="V5" i="4"/>
  <c r="U5" i="4"/>
  <c r="R5" i="4"/>
  <c r="S5" i="4" s="1"/>
  <c r="Q5" i="4"/>
  <c r="T5" i="4" s="1"/>
  <c r="P5" i="4"/>
  <c r="O5" i="4"/>
  <c r="N5" i="4"/>
  <c r="M5" i="4"/>
  <c r="J5" i="4"/>
  <c r="I5" i="4"/>
  <c r="L5" i="4" s="1"/>
  <c r="H5" i="4"/>
  <c r="G5" i="4"/>
  <c r="K5" i="4" s="1"/>
  <c r="F5" i="4"/>
  <c r="E5" i="4"/>
  <c r="D5" i="4"/>
  <c r="C5" i="4"/>
  <c r="B5" i="4"/>
  <c r="A5" i="4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D7" i="4" l="1"/>
  <c r="AB10" i="4"/>
  <c r="P7" i="4"/>
  <c r="D13" i="4"/>
  <c r="D19" i="4"/>
  <c r="Z6" i="4"/>
  <c r="AA6" i="4" s="1"/>
  <c r="R7" i="4"/>
  <c r="S7" i="4" s="1"/>
  <c r="Z9" i="4"/>
  <c r="AA9" i="4" s="1"/>
  <c r="R10" i="4"/>
  <c r="S10" i="4" s="1"/>
  <c r="Z12" i="4"/>
  <c r="AA12" i="4" s="1"/>
  <c r="R13" i="4"/>
  <c r="S13" i="4" s="1"/>
  <c r="Z15" i="4"/>
  <c r="AA15" i="4" s="1"/>
  <c r="R16" i="4"/>
  <c r="S16" i="4" s="1"/>
  <c r="Z18" i="4"/>
  <c r="AA18" i="4" s="1"/>
  <c r="R19" i="4"/>
  <c r="S19" i="4" s="1"/>
  <c r="Z21" i="4"/>
  <c r="AA21" i="4" s="1"/>
  <c r="P13" i="4"/>
  <c r="D16" i="4"/>
  <c r="AB16" i="4"/>
  <c r="AB19" i="4"/>
  <c r="D6" i="4"/>
  <c r="D9" i="4"/>
  <c r="P9" i="4"/>
  <c r="T10" i="4"/>
  <c r="D12" i="4"/>
  <c r="P12" i="4"/>
  <c r="T13" i="4"/>
  <c r="D15" i="4"/>
  <c r="P15" i="4"/>
  <c r="T16" i="4"/>
  <c r="D18" i="4"/>
  <c r="P18" i="4"/>
  <c r="T19" i="4"/>
  <c r="D21" i="4"/>
  <c r="P21" i="4"/>
  <c r="P10" i="4"/>
  <c r="AB13" i="4"/>
  <c r="P6" i="4"/>
  <c r="P19" i="4"/>
  <c r="T7" i="4"/>
  <c r="J16" i="4"/>
  <c r="K16" i="4" s="1"/>
  <c r="J19" i="4"/>
  <c r="K19" i="4" s="1"/>
  <c r="AB7" i="4"/>
  <c r="D10" i="4"/>
  <c r="P16" i="4"/>
  <c r="T6" i="4"/>
  <c r="T9" i="4"/>
  <c r="T12" i="4"/>
  <c r="T15" i="4"/>
  <c r="T18" i="4"/>
  <c r="AB20" i="4"/>
  <c r="T21" i="4"/>
  <c r="R4" i="4"/>
  <c r="J4" i="4"/>
  <c r="K4" i="4" s="1"/>
  <c r="X4" i="4"/>
  <c r="P4" i="4"/>
  <c r="S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<sst xmlns="http://schemas.openxmlformats.org/spreadsheetml/2006/main" count="101" uniqueCount="49">
  <si>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</si>
  <si>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</si>
  <si>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</si>
  <si>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</si>
  <si>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</si>
  <si>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</si>
  <si>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</si>
  <si>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</si>
  <si>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</si>
  <si>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</si>
  <si>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</si>
  <si>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</si>
  <si>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</si>
  <si>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</si>
  <si>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</si>
  <si>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</si>
  <si>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</si>
  <si>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</si>
  <si>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</si>
  <si>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</si>
  <si>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</si>
  <si>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アスファルト舗装版撤去・不陸整正</t>
  </si>
  <si>
    <t>m2</t>
  </si>
  <si>
    <t>1号内訳書</t>
  </si>
  <si>
    <t>外注費</t>
  </si>
  <si>
    <t>アスファルト殻運搬</t>
  </si>
  <si>
    <t>m3</t>
  </si>
  <si>
    <t>2号内訳書</t>
  </si>
  <si>
    <t>アスファルト殻処分</t>
  </si>
  <si>
    <t>3号内訳書</t>
  </si>
  <si>
    <t>アスファルト舗装復旧</t>
  </si>
  <si>
    <t>4号内訳書</t>
  </si>
  <si>
    <t>諸雑費</t>
  </si>
  <si>
    <t>調整金</t>
  </si>
  <si>
    <t>シールコート</t>
  </si>
  <si>
    <t>ｍ</t>
  </si>
  <si>
    <t>5号内訳書</t>
  </si>
  <si>
    <t>重機運搬費</t>
  </si>
  <si>
    <t>6号内訳書</t>
  </si>
  <si>
    <t>運搬費</t>
  </si>
  <si>
    <t>10tセルフ（AF)</t>
  </si>
  <si>
    <t>台</t>
  </si>
  <si>
    <t>10tセルフ（BH,CR）</t>
  </si>
  <si>
    <t>外注経費</t>
  </si>
  <si>
    <t>7号内訳書</t>
  </si>
  <si>
    <t>法定福利費</t>
  </si>
  <si>
    <t>8号内訳書</t>
  </si>
  <si>
    <t>予算</t>
    <phoneticPr fontId="3"/>
  </si>
  <si>
    <t>市川第4-4処理分区汚水管渠布設工事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</si>
</sst>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8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48</v>
      </c>
      <c r="G1" s="51" t="s">
        <v>19</v>
      </c>
      <c r="H1">
        <v>1</v>
      </c>
      <c r="I1" s="58">
        <v>4240000</v>
      </c>
      <c r="J1" s="59">
        <v>4240000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22</v>
      </c>
      <c r="H2">
        <v>675</v>
      </c>
      <c r="I2" s="58">
        <v>1300</v>
      </c>
      <c r="J2" s="59">
        <v>877500</v>
      </c>
      <c r="K2">
        <v>675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21</v>
      </c>
      <c r="G3" s="51" t="s">
        <v>22</v>
      </c>
      <c r="H3">
        <v>675</v>
      </c>
      <c r="I3" s="58">
        <v>1300</v>
      </c>
      <c r="J3" s="59">
        <v>877500</v>
      </c>
      <c r="K3">
        <v>0</v>
      </c>
      <c r="O3" s="52"/>
    </row>
    <row r="4" spans="1:15" x14ac:dyDescent="0.15">
      <c r="A4">
        <v>1</v>
      </c>
      <c r="D4" s="51" t="s">
        <v>20</v>
      </c>
      <c r="E4" s="51" t="s">
        <v>25</v>
      </c>
      <c r="G4" s="51" t="s">
        <v>26</v>
      </c>
      <c r="H4">
        <v>34</v>
      </c>
      <c r="I4" s="58">
        <v>12000</v>
      </c>
      <c r="J4" s="59">
        <v>408000</v>
      </c>
      <c r="K4">
        <v>34</v>
      </c>
      <c r="M4" s="51" t="s">
        <v>27</v>
      </c>
      <c r="O4" s="52"/>
    </row>
    <row r="5" spans="1:15" x14ac:dyDescent="0.15">
      <c r="A5">
        <v>2</v>
      </c>
      <c r="D5" s="51" t="s">
        <v>24</v>
      </c>
      <c r="E5" s="51" t="s">
        <v>25</v>
      </c>
      <c r="G5" s="51" t="s">
        <v>26</v>
      </c>
      <c r="H5">
        <v>34</v>
      </c>
      <c r="I5" s="58">
        <v>12000</v>
      </c>
      <c r="J5" s="59">
        <v>408000</v>
      </c>
      <c r="K5">
        <v>0</v>
      </c>
      <c r="O5" s="52"/>
    </row>
    <row r="6" spans="1:15" x14ac:dyDescent="0.15">
      <c r="A6">
        <v>1</v>
      </c>
      <c r="D6" s="51" t="s">
        <v>20</v>
      </c>
      <c r="E6" s="51" t="s">
        <v>28</v>
      </c>
      <c r="G6" s="51" t="s">
        <v>26</v>
      </c>
      <c r="H6">
        <v>34</v>
      </c>
      <c r="I6" s="58">
        <v>1800</v>
      </c>
      <c r="J6" s="59">
        <v>61200</v>
      </c>
      <c r="K6">
        <v>34</v>
      </c>
      <c r="M6" s="51" t="s">
        <v>29</v>
      </c>
      <c r="O6" s="52"/>
    </row>
    <row r="7" spans="1:15" x14ac:dyDescent="0.15">
      <c r="A7">
        <v>2</v>
      </c>
      <c r="D7" s="51" t="s">
        <v>24</v>
      </c>
      <c r="E7" s="51" t="s">
        <v>28</v>
      </c>
      <c r="G7" s="51" t="s">
        <v>26</v>
      </c>
      <c r="H7">
        <v>34</v>
      </c>
      <c r="I7" s="58">
        <v>1800</v>
      </c>
      <c r="J7" s="59">
        <v>61200</v>
      </c>
      <c r="K7">
        <v>0</v>
      </c>
      <c r="O7" s="52"/>
    </row>
    <row r="8" spans="1:15" x14ac:dyDescent="0.15">
      <c r="A8">
        <v>1</v>
      </c>
      <c r="D8" s="51" t="s">
        <v>20</v>
      </c>
      <c r="E8" s="51" t="s">
        <v>30</v>
      </c>
      <c r="G8" s="51" t="s">
        <v>22</v>
      </c>
      <c r="H8">
        <v>675</v>
      </c>
      <c r="I8" s="58">
        <v>2500</v>
      </c>
      <c r="J8" s="59">
        <v>1687500</v>
      </c>
      <c r="K8">
        <v>675</v>
      </c>
      <c r="M8" s="51" t="s">
        <v>31</v>
      </c>
      <c r="O8" s="52"/>
    </row>
    <row r="9" spans="1:15" x14ac:dyDescent="0.15">
      <c r="A9">
        <v>2</v>
      </c>
      <c r="D9" s="51" t="s">
        <v>24</v>
      </c>
      <c r="E9" s="51" t="s">
        <v>32</v>
      </c>
      <c r="G9" s="51" t="s">
        <v>19</v>
      </c>
      <c r="H9">
        <v>1</v>
      </c>
      <c r="I9" s="58">
        <v>1687500</v>
      </c>
      <c r="J9" s="59">
        <v>1687500</v>
      </c>
      <c r="K9">
        <v>0</v>
      </c>
      <c r="M9" s="51" t="s">
        <v>33</v>
      </c>
      <c r="O9" s="52"/>
    </row>
    <row r="10" spans="1:15" x14ac:dyDescent="0.15">
      <c r="A10">
        <v>1</v>
      </c>
      <c r="D10" s="51" t="s">
        <v>20</v>
      </c>
      <c r="E10" s="51" t="s">
        <v>34</v>
      </c>
      <c r="G10" s="51" t="s">
        <v>35</v>
      </c>
      <c r="H10">
        <v>1005</v>
      </c>
      <c r="I10" s="58">
        <v>200</v>
      </c>
      <c r="J10" s="59">
        <v>201000</v>
      </c>
      <c r="K10">
        <v>1005</v>
      </c>
      <c r="M10" s="51" t="s">
        <v>36</v>
      </c>
      <c r="O10" s="52"/>
    </row>
    <row r="11" spans="1:15" x14ac:dyDescent="0.15">
      <c r="A11">
        <v>2</v>
      </c>
      <c r="D11" s="51" t="s">
        <v>24</v>
      </c>
      <c r="E11" s="51" t="s">
        <v>32</v>
      </c>
      <c r="G11" s="51" t="s">
        <v>19</v>
      </c>
      <c r="H11">
        <v>1</v>
      </c>
      <c r="I11" s="58">
        <v>201000</v>
      </c>
      <c r="J11" s="59">
        <v>201000</v>
      </c>
      <c r="K11">
        <v>0</v>
      </c>
      <c r="M11" s="51" t="s">
        <v>33</v>
      </c>
      <c r="O11" s="52"/>
    </row>
    <row r="12" spans="1:15" x14ac:dyDescent="0.15">
      <c r="A12">
        <v>1</v>
      </c>
      <c r="D12" s="51" t="s">
        <v>20</v>
      </c>
      <c r="E12" s="51" t="s">
        <v>37</v>
      </c>
      <c r="G12" s="51" t="s">
        <v>19</v>
      </c>
      <c r="H12">
        <v>1</v>
      </c>
      <c r="I12" s="58">
        <v>140000</v>
      </c>
      <c r="J12" s="59">
        <v>140000</v>
      </c>
      <c r="K12">
        <v>1</v>
      </c>
      <c r="M12" s="51" t="s">
        <v>38</v>
      </c>
      <c r="O12" s="52"/>
    </row>
    <row r="13" spans="1:15" x14ac:dyDescent="0.15">
      <c r="A13">
        <v>2</v>
      </c>
      <c r="D13" s="51" t="s">
        <v>39</v>
      </c>
      <c r="E13" s="51" t="s">
        <v>40</v>
      </c>
      <c r="G13" s="51" t="s">
        <v>41</v>
      </c>
      <c r="H13">
        <v>2</v>
      </c>
      <c r="I13" s="58">
        <v>30000</v>
      </c>
      <c r="J13" s="59">
        <v>60000</v>
      </c>
      <c r="K13">
        <v>1</v>
      </c>
      <c r="O13" s="52"/>
    </row>
    <row r="14" spans="1:15" x14ac:dyDescent="0.15">
      <c r="A14">
        <v>2</v>
      </c>
      <c r="D14" s="51" t="s">
        <v>39</v>
      </c>
      <c r="E14" s="51" t="s">
        <v>42</v>
      </c>
      <c r="G14" s="51" t="s">
        <v>41</v>
      </c>
      <c r="H14">
        <v>4</v>
      </c>
      <c r="I14" s="58">
        <v>20000</v>
      </c>
      <c r="J14" s="59">
        <v>80000</v>
      </c>
      <c r="K14">
        <v>1</v>
      </c>
      <c r="O14" s="52"/>
    </row>
    <row r="15" spans="1:15" x14ac:dyDescent="0.15">
      <c r="A15">
        <v>1</v>
      </c>
      <c r="D15" s="51" t="s">
        <v>20</v>
      </c>
      <c r="E15" s="51" t="s">
        <v>43</v>
      </c>
      <c r="G15" s="51" t="s">
        <v>19</v>
      </c>
      <c r="H15">
        <v>1</v>
      </c>
      <c r="I15" s="58">
        <v>370400</v>
      </c>
      <c r="J15" s="59">
        <v>370400</v>
      </c>
      <c r="K15">
        <v>1</v>
      </c>
      <c r="M15" s="51" t="s">
        <v>44</v>
      </c>
      <c r="O15" s="52"/>
    </row>
    <row r="16" spans="1:15" x14ac:dyDescent="0.15">
      <c r="A16">
        <v>2</v>
      </c>
      <c r="D16" s="51" t="s">
        <v>24</v>
      </c>
      <c r="E16" s="51" t="s">
        <v>32</v>
      </c>
      <c r="G16" s="51" t="s">
        <v>19</v>
      </c>
      <c r="H16">
        <v>1</v>
      </c>
      <c r="I16" s="58">
        <v>370400</v>
      </c>
      <c r="J16" s="59">
        <v>370400</v>
      </c>
      <c r="K16">
        <v>0</v>
      </c>
      <c r="M16" s="51" t="s">
        <v>33</v>
      </c>
      <c r="O16" s="52"/>
    </row>
    <row r="17" spans="1:15" x14ac:dyDescent="0.15">
      <c r="A17">
        <v>1</v>
      </c>
      <c r="D17" s="51" t="s">
        <v>20</v>
      </c>
      <c r="E17" s="51" t="s">
        <v>45</v>
      </c>
      <c r="G17" s="51" t="s">
        <v>19</v>
      </c>
      <c r="H17">
        <v>1</v>
      </c>
      <c r="I17" s="58">
        <v>154400</v>
      </c>
      <c r="J17" s="59">
        <v>154400</v>
      </c>
      <c r="K17">
        <v>1</v>
      </c>
      <c r="M17" s="51" t="s">
        <v>46</v>
      </c>
      <c r="O17" s="52"/>
    </row>
    <row r="18" spans="1:15" x14ac:dyDescent="0.15">
      <c r="A18">
        <v>2</v>
      </c>
      <c r="D18" s="51" t="s">
        <v>45</v>
      </c>
      <c r="E18" s="51" t="s">
        <v>32</v>
      </c>
      <c r="G18" s="51" t="s">
        <v>19</v>
      </c>
      <c r="H18">
        <v>1</v>
      </c>
      <c r="I18" s="58">
        <v>154400</v>
      </c>
      <c r="J18" s="59">
        <v>154400</v>
      </c>
      <c r="K18">
        <v>0</v>
      </c>
      <c r="M18" s="51" t="s">
        <v>33</v>
      </c>
      <c r="O18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22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市川第4-4処理分区汚水管渠布設工事</v>
      </c>
      <c r="G1" s="4"/>
      <c r="H1" s="16" t="s">
        <v>15</v>
      </c>
      <c r="I1" s="13">
        <v>5000000</v>
      </c>
      <c r="J1" s="17">
        <f>I4/I$1</f>
        <v>0.84799999999999998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47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市川第4-4処理分区汚水管渠布設工事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4240000</v>
      </c>
      <c r="I4" s="48">
        <f>データ!J1</f>
        <v>4240000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｜アスファルト舗装版撤去・不陸整正</v>
      </c>
      <c r="E5" s="37" t="str">
        <f>TRIM(データ!F2)</f>
        <v/>
      </c>
      <c r="F5" s="38" t="str">
        <f>TRIM(データ!G2)</f>
        <v>m2</v>
      </c>
      <c r="G5" s="50">
        <f>データ!H2</f>
        <v>675</v>
      </c>
      <c r="H5" s="48">
        <f>データ!I2</f>
        <v>1300</v>
      </c>
      <c r="I5" s="48">
        <f>データ!J2</f>
        <v>877500</v>
      </c>
      <c r="J5" s="39">
        <f>IF(OR($C5="総括",$C5="内訳書",$C5="内訳代価",$C5="明細書",$C5="明細代価",$C5="代価表",$C5="単価表"),データ!K2,"")</f>
        <v>675</v>
      </c>
      <c r="K5" s="11" t="str">
        <f t="shared" ref="K5:K21" si="0">IF(OR(J5="",G5=J5),"","*")</f>
        <v/>
      </c>
      <c r="L5" s="46">
        <f t="shared" ref="L5:L21" si="1">IF($A5&lt;=L$1,I5/I$4,"")</f>
        <v>0.20695754716981132</v>
      </c>
      <c r="M5" s="40" t="str">
        <f>IF(データ!L2="","",データ!L2)</f>
        <v/>
      </c>
      <c r="N5" s="41" t="str">
        <f>IF(データ!M2="","",データ!M2)</f>
        <v>1号内訳書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21" si="2">IF(OR(R5="",O5=R5),"","*")</f>
        <v/>
      </c>
      <c r="T5" s="46" t="e">
        <f t="shared" ref="T5:T21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21" si="4">IF(OR(Z5="",W5=Z5),"","*")</f>
        <v/>
      </c>
      <c r="AB5" s="46" t="e">
        <f t="shared" ref="AB5:AB21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外注費</v>
      </c>
      <c r="D6" s="36" t="str">
        <f>REPT("｜",$A6)&amp;TRIM(データ!E3)</f>
        <v>｜｜アスファルト舗装版撤去・不陸整正</v>
      </c>
      <c r="E6" s="37" t="str">
        <f>TRIM(データ!F3)</f>
        <v/>
      </c>
      <c r="F6" s="38" t="str">
        <f>TRIM(データ!G3)</f>
        <v>m2</v>
      </c>
      <c r="G6" s="50">
        <f>データ!H3</f>
        <v>675</v>
      </c>
      <c r="H6" s="48">
        <f>データ!I3</f>
        <v>1300</v>
      </c>
      <c r="I6" s="48">
        <f>データ!J3</f>
        <v>877500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0.20695754716981132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1</v>
      </c>
      <c r="B7" s="47" t="str">
        <f>TRIM(データ!C4)</f>
        <v/>
      </c>
      <c r="C7" s="47" t="str">
        <f>TRIM(データ!D4)</f>
        <v>内訳代価</v>
      </c>
      <c r="D7" s="36" t="str">
        <f>REPT("｜",$A7)&amp;TRIM(データ!E4)</f>
        <v>｜アスファルト殻運搬</v>
      </c>
      <c r="E7" s="37" t="str">
        <f>TRIM(データ!F4)</f>
        <v/>
      </c>
      <c r="F7" s="38" t="str">
        <f>TRIM(データ!G4)</f>
        <v>m3</v>
      </c>
      <c r="G7" s="50">
        <f>データ!H4</f>
        <v>34</v>
      </c>
      <c r="H7" s="48">
        <f>データ!I4</f>
        <v>12000</v>
      </c>
      <c r="I7" s="48">
        <f>データ!J4</f>
        <v>408000</v>
      </c>
      <c r="J7" s="39">
        <f>IF(OR($C7="総括",$C7="内訳書",$C7="内訳代価",$C7="明細書",$C7="明細代価",$C7="代価表",$C7="単価表"),データ!K4,"")</f>
        <v>34</v>
      </c>
      <c r="K7" s="11" t="str">
        <f t="shared" si="0"/>
        <v/>
      </c>
      <c r="L7" s="46">
        <f t="shared" si="1"/>
        <v>9.6226415094339629E-2</v>
      </c>
      <c r="M7" s="40" t="str">
        <f>IF(データ!L4="","",データ!L4)</f>
        <v/>
      </c>
      <c r="N7" s="41" t="str">
        <f>IF(データ!M4="","",データ!M4)</f>
        <v>2号内訳書</v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>
        <f>IF(OR($C7="総括",$C7="内訳書",$C7="内訳代価",$C7="明細書",$C7="明細代価",$C7="代価表",$C7="単価表"),データ!Q4,"")</f>
        <v>0</v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>
        <f>IF(OR($C7="総括",$C7="内訳書",$C7="内訳代価",$C7="明細書",$C7="明細代価",$C7="代価表",$C7="単価表"),データ!W4,"")</f>
        <v>0</v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外注費</v>
      </c>
      <c r="D8" s="36" t="str">
        <f>REPT("｜",$A8)&amp;TRIM(データ!E5)</f>
        <v>｜｜アスファルト殻運搬</v>
      </c>
      <c r="E8" s="37" t="str">
        <f>TRIM(データ!F5)</f>
        <v/>
      </c>
      <c r="F8" s="38" t="str">
        <f>TRIM(データ!G5)</f>
        <v>m3</v>
      </c>
      <c r="G8" s="50">
        <f>データ!H5</f>
        <v>34</v>
      </c>
      <c r="H8" s="48">
        <f>データ!I5</f>
        <v>12000</v>
      </c>
      <c r="I8" s="48">
        <f>データ!J5</f>
        <v>408000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9.6226415094339629E-2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1</v>
      </c>
      <c r="B9" s="47" t="str">
        <f>TRIM(データ!C6)</f>
        <v/>
      </c>
      <c r="C9" s="47" t="str">
        <f>TRIM(データ!D6)</f>
        <v>内訳代価</v>
      </c>
      <c r="D9" s="36" t="str">
        <f>REPT("｜",$A9)&amp;TRIM(データ!E6)</f>
        <v>｜アスファルト殻処分</v>
      </c>
      <c r="E9" s="37" t="str">
        <f>TRIM(データ!F6)</f>
        <v/>
      </c>
      <c r="F9" s="38" t="str">
        <f>TRIM(データ!G6)</f>
        <v>m3</v>
      </c>
      <c r="G9" s="50">
        <f>データ!H6</f>
        <v>34</v>
      </c>
      <c r="H9" s="48">
        <f>データ!I6</f>
        <v>1800</v>
      </c>
      <c r="I9" s="48">
        <f>データ!J6</f>
        <v>61200</v>
      </c>
      <c r="J9" s="39">
        <f>IF(OR($C9="総括",$C9="内訳書",$C9="内訳代価",$C9="明細書",$C9="明細代価",$C9="代価表",$C9="単価表"),データ!K6,"")</f>
        <v>34</v>
      </c>
      <c r="K9" s="11" t="str">
        <f t="shared" si="0"/>
        <v/>
      </c>
      <c r="L9" s="46">
        <f t="shared" si="1"/>
        <v>1.4433962264150944E-2</v>
      </c>
      <c r="M9" s="40" t="str">
        <f>IF(データ!L6="","",データ!L6)</f>
        <v/>
      </c>
      <c r="N9" s="41" t="str">
        <f>IF(データ!M6="","",データ!M6)</f>
        <v>3号内訳書</v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>
        <f>IF(OR($C9="総括",$C9="内訳書",$C9="内訳代価",$C9="明細書",$C9="明細代価",$C9="代価表",$C9="単価表"),データ!Q6,"")</f>
        <v>0</v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>
        <f>IF(OR($C9="総括",$C9="内訳書",$C9="内訳代価",$C9="明細書",$C9="明細代価",$C9="代価表",$C9="単価表"),データ!W6,"")</f>
        <v>0</v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外注費</v>
      </c>
      <c r="D10" s="36" t="str">
        <f>REPT("｜",$A10)&amp;TRIM(データ!E7)</f>
        <v>｜｜アスファルト殻処分</v>
      </c>
      <c r="E10" s="37" t="str">
        <f>TRIM(データ!F7)</f>
        <v/>
      </c>
      <c r="F10" s="38" t="str">
        <f>TRIM(データ!G7)</f>
        <v>m3</v>
      </c>
      <c r="G10" s="50">
        <f>データ!H7</f>
        <v>34</v>
      </c>
      <c r="H10" s="48">
        <f>データ!I7</f>
        <v>1800</v>
      </c>
      <c r="I10" s="48">
        <f>データ!J7</f>
        <v>61200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1.4433962264150944E-2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1</v>
      </c>
      <c r="B11" s="47" t="str">
        <f>TRIM(データ!C8)</f>
        <v/>
      </c>
      <c r="C11" s="47" t="str">
        <f>TRIM(データ!D8)</f>
        <v>内訳代価</v>
      </c>
      <c r="D11" s="36" t="str">
        <f>REPT("｜",$A11)&amp;TRIM(データ!E8)</f>
        <v>｜アスファルト舗装復旧</v>
      </c>
      <c r="E11" s="37" t="str">
        <f>TRIM(データ!F8)</f>
        <v/>
      </c>
      <c r="F11" s="38" t="str">
        <f>TRIM(データ!G8)</f>
        <v>m2</v>
      </c>
      <c r="G11" s="50">
        <f>データ!H8</f>
        <v>675</v>
      </c>
      <c r="H11" s="48">
        <f>データ!I8</f>
        <v>2500</v>
      </c>
      <c r="I11" s="48">
        <f>データ!J8</f>
        <v>1687500</v>
      </c>
      <c r="J11" s="39">
        <f>IF(OR($C11="総括",$C11="内訳書",$C11="内訳代価",$C11="明細書",$C11="明細代価",$C11="代価表",$C11="単価表"),データ!K8,"")</f>
        <v>675</v>
      </c>
      <c r="K11" s="11" t="str">
        <f t="shared" si="0"/>
        <v/>
      </c>
      <c r="L11" s="46">
        <f t="shared" si="1"/>
        <v>0.39799528301886794</v>
      </c>
      <c r="M11" s="40" t="str">
        <f>IF(データ!L8="","",データ!L8)</f>
        <v/>
      </c>
      <c r="N11" s="41" t="str">
        <f>IF(データ!M8="","",データ!M8)</f>
        <v>4号内訳書</v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>
        <f>IF(OR($C11="総括",$C11="内訳書",$C11="内訳代価",$C11="明細書",$C11="明細代価",$C11="代価表",$C11="単価表"),データ!Q8,"")</f>
        <v>0</v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>
        <f>IF(OR($C11="総括",$C11="内訳書",$C11="内訳代価",$C11="明細書",$C11="明細代価",$C11="代価表",$C11="単価表"),データ!W8,"")</f>
        <v>0</v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外注費</v>
      </c>
      <c r="D12" s="36" t="str">
        <f>REPT("｜",$A12)&amp;TRIM(データ!E9)</f>
        <v>｜｜諸雑費</v>
      </c>
      <c r="E12" s="37" t="str">
        <f>TRIM(データ!F9)</f>
        <v/>
      </c>
      <c r="F12" s="38" t="str">
        <f>TRIM(データ!G9)</f>
        <v>式</v>
      </c>
      <c r="G12" s="50">
        <f>データ!H9</f>
        <v>1</v>
      </c>
      <c r="H12" s="48">
        <f>データ!I9</f>
        <v>1687500</v>
      </c>
      <c r="I12" s="48">
        <f>データ!J9</f>
        <v>1687500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0.39799528301886794</v>
      </c>
      <c r="M12" s="40" t="str">
        <f>IF(データ!L9="","",データ!L9)</f>
        <v/>
      </c>
      <c r="N12" s="41" t="str">
        <f>IF(データ!M9="","",データ!M9)</f>
        <v>調整金</v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1</v>
      </c>
      <c r="B13" s="47" t="str">
        <f>TRIM(データ!C10)</f>
        <v/>
      </c>
      <c r="C13" s="47" t="str">
        <f>TRIM(データ!D10)</f>
        <v>内訳代価</v>
      </c>
      <c r="D13" s="36" t="str">
        <f>REPT("｜",$A13)&amp;TRIM(データ!E10)</f>
        <v>｜シールコート</v>
      </c>
      <c r="E13" s="37" t="str">
        <f>TRIM(データ!F10)</f>
        <v/>
      </c>
      <c r="F13" s="38" t="str">
        <f>TRIM(データ!G10)</f>
        <v>ｍ</v>
      </c>
      <c r="G13" s="50">
        <f>データ!H10</f>
        <v>1005</v>
      </c>
      <c r="H13" s="48">
        <f>データ!I10</f>
        <v>200</v>
      </c>
      <c r="I13" s="48">
        <f>データ!J10</f>
        <v>201000</v>
      </c>
      <c r="J13" s="39">
        <f>IF(OR($C13="総括",$C13="内訳書",$C13="内訳代価",$C13="明細書",$C13="明細代価",$C13="代価表",$C13="単価表"),データ!K10,"")</f>
        <v>1005</v>
      </c>
      <c r="K13" s="11" t="str">
        <f t="shared" si="0"/>
        <v/>
      </c>
      <c r="L13" s="46">
        <f t="shared" si="1"/>
        <v>4.7405660377358494E-2</v>
      </c>
      <c r="M13" s="40" t="str">
        <f>IF(データ!L10="","",データ!L10)</f>
        <v/>
      </c>
      <c r="N13" s="41" t="str">
        <f>IF(データ!M10="","",データ!M10)</f>
        <v>5号内訳書</v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>
        <f>IF(OR($C13="総括",$C13="内訳書",$C13="内訳代価",$C13="明細書",$C13="明細代価",$C13="代価表",$C13="単価表"),データ!Q10,"")</f>
        <v>0</v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>
        <f>IF(OR($C13="総括",$C13="内訳書",$C13="内訳代価",$C13="明細書",$C13="明細代価",$C13="代価表",$C13="単価表"),データ!W10,"")</f>
        <v>0</v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外注費</v>
      </c>
      <c r="D14" s="36" t="str">
        <f>REPT("｜",$A14)&amp;TRIM(データ!E11)</f>
        <v>｜｜諸雑費</v>
      </c>
      <c r="E14" s="37" t="str">
        <f>TRIM(データ!F11)</f>
        <v/>
      </c>
      <c r="F14" s="38" t="str">
        <f>TRIM(データ!G11)</f>
        <v>式</v>
      </c>
      <c r="G14" s="50">
        <f>データ!H11</f>
        <v>1</v>
      </c>
      <c r="H14" s="48">
        <f>データ!I11</f>
        <v>201000</v>
      </c>
      <c r="I14" s="48">
        <f>データ!J11</f>
        <v>201000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4.7405660377358494E-2</v>
      </c>
      <c r="M14" s="40" t="str">
        <f>IF(データ!L11="","",データ!L11)</f>
        <v/>
      </c>
      <c r="N14" s="41" t="str">
        <f>IF(データ!M11="","",データ!M11)</f>
        <v>調整金</v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1</v>
      </c>
      <c r="B15" s="47" t="str">
        <f>TRIM(データ!C12)</f>
        <v/>
      </c>
      <c r="C15" s="47" t="str">
        <f>TRIM(データ!D12)</f>
        <v>内訳代価</v>
      </c>
      <c r="D15" s="36" t="str">
        <f>REPT("｜",$A15)&amp;TRIM(データ!E12)</f>
        <v>｜重機運搬費</v>
      </c>
      <c r="E15" s="37" t="str">
        <f>TRIM(データ!F12)</f>
        <v/>
      </c>
      <c r="F15" s="38" t="str">
        <f>TRIM(データ!G12)</f>
        <v>式</v>
      </c>
      <c r="G15" s="50">
        <f>データ!H12</f>
        <v>1</v>
      </c>
      <c r="H15" s="48">
        <f>データ!I12</f>
        <v>140000</v>
      </c>
      <c r="I15" s="48">
        <f>データ!J12</f>
        <v>140000</v>
      </c>
      <c r="J15" s="39">
        <f>IF(OR($C15="総括",$C15="内訳書",$C15="内訳代価",$C15="明細書",$C15="明細代価",$C15="代価表",$C15="単価表"),データ!K12,"")</f>
        <v>1</v>
      </c>
      <c r="K15" s="11" t="str">
        <f t="shared" si="0"/>
        <v/>
      </c>
      <c r="L15" s="46">
        <f t="shared" si="1"/>
        <v>3.3018867924528301E-2</v>
      </c>
      <c r="M15" s="40" t="str">
        <f>IF(データ!L12="","",データ!L12)</f>
        <v/>
      </c>
      <c r="N15" s="41" t="str">
        <f>IF(データ!M12="","",データ!M12)</f>
        <v>6号内訳書</v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>
        <f>IF(OR($C15="総括",$C15="内訳書",$C15="内訳代価",$C15="明細書",$C15="明細代価",$C15="代価表",$C15="単価表"),データ!Q12,"")</f>
        <v>0</v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>
        <f>IF(OR($C15="総括",$C15="内訳書",$C15="内訳代価",$C15="明細書",$C15="明細代価",$C15="代価表",$C15="単価表"),データ!W12,"")</f>
        <v>0</v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運搬費</v>
      </c>
      <c r="D16" s="36" t="str">
        <f>REPT("｜",$A16)&amp;TRIM(データ!E13)</f>
        <v>｜｜10tセルフ（AF)</v>
      </c>
      <c r="E16" s="37" t="str">
        <f>TRIM(データ!F13)</f>
        <v/>
      </c>
      <c r="F16" s="38" t="str">
        <f>TRIM(データ!G13)</f>
        <v>台</v>
      </c>
      <c r="G16" s="50">
        <f>データ!H13</f>
        <v>2</v>
      </c>
      <c r="H16" s="48">
        <f>データ!I13</f>
        <v>30000</v>
      </c>
      <c r="I16" s="48">
        <f>データ!J13</f>
        <v>60000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1.4150943396226415E-2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運搬費</v>
      </c>
      <c r="D17" s="36" t="str">
        <f>REPT("｜",$A17)&amp;TRIM(データ!E14)</f>
        <v>｜｜10tセルフ（BH,CR）</v>
      </c>
      <c r="E17" s="37" t="str">
        <f>TRIM(データ!F14)</f>
        <v/>
      </c>
      <c r="F17" s="38" t="str">
        <f>TRIM(データ!G14)</f>
        <v>台</v>
      </c>
      <c r="G17" s="50">
        <f>データ!H14</f>
        <v>4</v>
      </c>
      <c r="H17" s="48">
        <f>データ!I14</f>
        <v>20000</v>
      </c>
      <c r="I17" s="48">
        <f>データ!J14</f>
        <v>80000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1.8867924528301886E-2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1</v>
      </c>
      <c r="B18" s="47" t="str">
        <f>TRIM(データ!C15)</f>
        <v/>
      </c>
      <c r="C18" s="47" t="str">
        <f>TRIM(データ!D15)</f>
        <v>内訳代価</v>
      </c>
      <c r="D18" s="36" t="str">
        <f>REPT("｜",$A18)&amp;TRIM(データ!E15)</f>
        <v>｜外注経費</v>
      </c>
      <c r="E18" s="37" t="str">
        <f>TRIM(データ!F15)</f>
        <v/>
      </c>
      <c r="F18" s="38" t="str">
        <f>TRIM(データ!G15)</f>
        <v>式</v>
      </c>
      <c r="G18" s="50">
        <f>データ!H15</f>
        <v>1</v>
      </c>
      <c r="H18" s="48">
        <f>データ!I15</f>
        <v>370400</v>
      </c>
      <c r="I18" s="48">
        <f>データ!J15</f>
        <v>370400</v>
      </c>
      <c r="J18" s="39">
        <f>IF(OR($C18="総括",$C18="内訳書",$C18="内訳代価",$C18="明細書",$C18="明細代価",$C18="代価表",$C18="単価表"),データ!K15,"")</f>
        <v>1</v>
      </c>
      <c r="K18" s="11" t="str">
        <f t="shared" si="0"/>
        <v/>
      </c>
      <c r="L18" s="46">
        <f t="shared" si="1"/>
        <v>8.7358490566037741E-2</v>
      </c>
      <c r="M18" s="40" t="str">
        <f>IF(データ!L15="","",データ!L15)</f>
        <v/>
      </c>
      <c r="N18" s="41" t="str">
        <f>IF(データ!M15="","",データ!M15)</f>
        <v>7号内訳書</v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>
        <f>IF(OR($C18="総括",$C18="内訳書",$C18="内訳代価",$C18="明細書",$C18="明細代価",$C18="代価表",$C18="単価表"),データ!Q15,"")</f>
        <v>0</v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>
        <f>IF(OR($C18="総括",$C18="内訳書",$C18="内訳代価",$C18="明細書",$C18="明細代価",$C18="代価表",$C18="単価表"),データ!W15,"")</f>
        <v>0</v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外注費</v>
      </c>
      <c r="D19" s="36" t="str">
        <f>REPT("｜",$A19)&amp;TRIM(データ!E16)</f>
        <v>｜｜諸雑費</v>
      </c>
      <c r="E19" s="37" t="str">
        <f>TRIM(データ!F16)</f>
        <v/>
      </c>
      <c r="F19" s="38" t="str">
        <f>TRIM(データ!G16)</f>
        <v>式</v>
      </c>
      <c r="G19" s="50">
        <f>データ!H16</f>
        <v>1</v>
      </c>
      <c r="H19" s="48">
        <f>データ!I16</f>
        <v>370400</v>
      </c>
      <c r="I19" s="48">
        <f>データ!J16</f>
        <v>370400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8.7358490566037741E-2</v>
      </c>
      <c r="M19" s="40" t="str">
        <f>IF(データ!L16="","",データ!L16)</f>
        <v/>
      </c>
      <c r="N19" s="41" t="str">
        <f>IF(データ!M16="","",データ!M16)</f>
        <v>調整金</v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1</v>
      </c>
      <c r="B20" s="47" t="str">
        <f>TRIM(データ!C17)</f>
        <v/>
      </c>
      <c r="C20" s="47" t="str">
        <f>TRIM(データ!D17)</f>
        <v>内訳代価</v>
      </c>
      <c r="D20" s="36" t="str">
        <f>REPT("｜",$A20)&amp;TRIM(データ!E17)</f>
        <v>｜法定福利費</v>
      </c>
      <c r="E20" s="37" t="str">
        <f>TRIM(データ!F17)</f>
        <v/>
      </c>
      <c r="F20" s="38" t="str">
        <f>TRIM(データ!G17)</f>
        <v>式</v>
      </c>
      <c r="G20" s="50">
        <f>データ!H17</f>
        <v>1</v>
      </c>
      <c r="H20" s="48">
        <f>データ!I17</f>
        <v>154400</v>
      </c>
      <c r="I20" s="48">
        <f>データ!J17</f>
        <v>154400</v>
      </c>
      <c r="J20" s="39">
        <f>IF(OR($C20="総括",$C20="内訳書",$C20="内訳代価",$C20="明細書",$C20="明細代価",$C20="代価表",$C20="単価表"),データ!K17,"")</f>
        <v>1</v>
      </c>
      <c r="K20" s="11" t="str">
        <f t="shared" si="0"/>
        <v/>
      </c>
      <c r="L20" s="46">
        <f t="shared" si="1"/>
        <v>3.6415094339622645E-2</v>
      </c>
      <c r="M20" s="40" t="str">
        <f>IF(データ!L17="","",データ!L17)</f>
        <v/>
      </c>
      <c r="N20" s="41" t="str">
        <f>IF(データ!M17="","",データ!M17)</f>
        <v>8号内訳書</v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>
        <f>IF(OR($C20="総括",$C20="内訳書",$C20="内訳代価",$C20="明細書",$C20="明細代価",$C20="代価表",$C20="単価表"),データ!Q17,"")</f>
        <v>0</v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>
        <f>IF(OR($C20="総括",$C20="内訳書",$C20="内訳代価",$C20="明細書",$C20="明細代価",$C20="代価表",$C20="単価表"),データ!W17,"")</f>
        <v>0</v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法定福利費</v>
      </c>
      <c r="D21" s="36" t="str">
        <f>REPT("｜",$A21)&amp;TRIM(データ!E18)</f>
        <v>｜｜諸雑費</v>
      </c>
      <c r="E21" s="37" t="str">
        <f>TRIM(データ!F18)</f>
        <v/>
      </c>
      <c r="F21" s="38" t="str">
        <f>TRIM(データ!G18)</f>
        <v>式</v>
      </c>
      <c r="G21" s="50">
        <f>データ!H18</f>
        <v>1</v>
      </c>
      <c r="H21" s="48">
        <f>データ!I18</f>
        <v>154400</v>
      </c>
      <c r="I21" s="48">
        <f>データ!J18</f>
        <v>154400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3.6415094339622645E-2</v>
      </c>
      <c r="M21" s="40" t="str">
        <f>IF(データ!L18="","",データ!L18)</f>
        <v/>
      </c>
      <c r="N21" s="41" t="str">
        <f>IF(データ!M18="","",データ!M18)</f>
        <v>調整金</v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4"/>
      <c r="B22" s="44"/>
      <c r="C22" s="7"/>
      <c r="D22" s="44"/>
      <c r="E22" s="44"/>
      <c r="F22" s="45"/>
      <c r="G22" s="44"/>
      <c r="H22" s="44"/>
      <c r="I22" s="44"/>
      <c r="J22" s="44"/>
      <c r="K22" s="45"/>
      <c r="L22" s="44"/>
      <c r="M22" s="44"/>
      <c r="N22" s="44"/>
      <c r="O22" s="44"/>
      <c r="P22" s="44"/>
      <c r="Q22" s="44"/>
      <c r="R22" s="44"/>
      <c r="S22" s="45"/>
      <c r="T22" s="44"/>
      <c r="U22" s="44"/>
      <c r="V22" s="44"/>
      <c r="W22" s="44"/>
      <c r="X22" s="44"/>
      <c r="Y22" s="44"/>
      <c r="Z22" s="44"/>
      <c r="AA22" s="45"/>
      <c r="AB22" s="44"/>
      <c r="AC22" s="44"/>
      <c r="AD22" s="44"/>
      <c r="AE22" s="44"/>
      <c r="AF22" s="9"/>
    </row>
  </sheetData>
  <autoFilter ref="A3:AE22" xr:uid="{00000000-0001-0000-0100-000000000000}"/>
  <mergeCells count="4">
    <mergeCell ref="AF2:AF3"/>
    <mergeCell ref="G2:N2"/>
    <mergeCell ref="O2:V2"/>
    <mergeCell ref="W2:AD2"/>
  </mergeCells>
  <phoneticPr fontId="3"/>
  <conditionalFormatting sqref="A4:AF21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2026-01-19T02:14:11Z</dcterms:modified>
</cp:coreProperties>
</file>