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6E3DDCDB-8194-4625-A2B3-22CC0A7163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内訳一覧!$A$3:$AE$862</definedName>
    <definedName name="_xlnm.Print_Area" localSheetId="1">内訳一覧!$A$1:$AF$862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861" i="4" l="1"/>
  <c r="AE861" i="4"/>
  <c r="AD861" i="4"/>
  <c r="AC861" i="4"/>
  <c r="Z861" i="4"/>
  <c r="AA861" i="4" s="1"/>
  <c r="Y861" i="4"/>
  <c r="X861" i="4"/>
  <c r="W861" i="4"/>
  <c r="V861" i="4"/>
  <c r="U861" i="4"/>
  <c r="Q861" i="4"/>
  <c r="O861" i="4"/>
  <c r="N861" i="4"/>
  <c r="M861" i="4"/>
  <c r="J861" i="4"/>
  <c r="K861" i="4" s="1"/>
  <c r="I861" i="4"/>
  <c r="H861" i="4"/>
  <c r="G861" i="4"/>
  <c r="F861" i="4"/>
  <c r="E861" i="4"/>
  <c r="D861" i="4"/>
  <c r="C861" i="4"/>
  <c r="B861" i="4"/>
  <c r="A861" i="4"/>
  <c r="AF860" i="4"/>
  <c r="AE860" i="4"/>
  <c r="AD860" i="4"/>
  <c r="AC860" i="4"/>
  <c r="Y860" i="4"/>
  <c r="X860" i="4"/>
  <c r="W860" i="4"/>
  <c r="V860" i="4"/>
  <c r="U860" i="4"/>
  <c r="R860" i="4"/>
  <c r="S860" i="4" s="1"/>
  <c r="Q860" i="4"/>
  <c r="P860" i="4"/>
  <c r="O860" i="4"/>
  <c r="N860" i="4"/>
  <c r="M860" i="4"/>
  <c r="K860" i="4"/>
  <c r="J860" i="4"/>
  <c r="I860" i="4"/>
  <c r="H860" i="4"/>
  <c r="G860" i="4"/>
  <c r="F860" i="4"/>
  <c r="E860" i="4"/>
  <c r="D860" i="4"/>
  <c r="C860" i="4"/>
  <c r="Z860" i="4" s="1"/>
  <c r="B860" i="4"/>
  <c r="A860" i="4"/>
  <c r="AF859" i="4"/>
  <c r="AE859" i="4"/>
  <c r="AD859" i="4"/>
  <c r="AC859" i="4"/>
  <c r="Y859" i="4"/>
  <c r="W859" i="4"/>
  <c r="V859" i="4"/>
  <c r="U859" i="4"/>
  <c r="R859" i="4"/>
  <c r="Q859" i="4"/>
  <c r="P859" i="4"/>
  <c r="O859" i="4"/>
  <c r="N859" i="4"/>
  <c r="M859" i="4"/>
  <c r="I859" i="4"/>
  <c r="H859" i="4"/>
  <c r="G859" i="4"/>
  <c r="F859" i="4"/>
  <c r="E859" i="4"/>
  <c r="C859" i="4"/>
  <c r="B859" i="4"/>
  <c r="A859" i="4"/>
  <c r="AF858" i="4"/>
  <c r="AE858" i="4"/>
  <c r="AD858" i="4"/>
  <c r="AC858" i="4"/>
  <c r="Y858" i="4"/>
  <c r="W858" i="4"/>
  <c r="V858" i="4"/>
  <c r="U858" i="4"/>
  <c r="Q858" i="4"/>
  <c r="O858" i="4"/>
  <c r="N858" i="4"/>
  <c r="M858" i="4"/>
  <c r="I858" i="4"/>
  <c r="H858" i="4"/>
  <c r="G858" i="4"/>
  <c r="F858" i="4"/>
  <c r="E858" i="4"/>
  <c r="D858" i="4"/>
  <c r="C858" i="4"/>
  <c r="B858" i="4"/>
  <c r="A858" i="4"/>
  <c r="AF857" i="4"/>
  <c r="AE857" i="4"/>
  <c r="AD857" i="4"/>
  <c r="AC857" i="4"/>
  <c r="Z857" i="4"/>
  <c r="AA857" i="4" s="1"/>
  <c r="Y857" i="4"/>
  <c r="X857" i="4"/>
  <c r="W857" i="4"/>
  <c r="V857" i="4"/>
  <c r="U857" i="4"/>
  <c r="R857" i="4"/>
  <c r="S857" i="4" s="1"/>
  <c r="Q857" i="4"/>
  <c r="P857" i="4"/>
  <c r="O857" i="4"/>
  <c r="N857" i="4"/>
  <c r="M857" i="4"/>
  <c r="J857" i="4"/>
  <c r="K857" i="4" s="1"/>
  <c r="I857" i="4"/>
  <c r="H857" i="4"/>
  <c r="G857" i="4"/>
  <c r="F857" i="4"/>
  <c r="E857" i="4"/>
  <c r="D857" i="4"/>
  <c r="C857" i="4"/>
  <c r="B857" i="4"/>
  <c r="A857" i="4"/>
  <c r="AF856" i="4"/>
  <c r="AE856" i="4"/>
  <c r="AD856" i="4"/>
  <c r="AC856" i="4"/>
  <c r="AA856" i="4"/>
  <c r="Z856" i="4"/>
  <c r="Y856" i="4"/>
  <c r="W856" i="4"/>
  <c r="V856" i="4"/>
  <c r="U856" i="4"/>
  <c r="Q856" i="4"/>
  <c r="P856" i="4"/>
  <c r="O856" i="4"/>
  <c r="N856" i="4"/>
  <c r="M856" i="4"/>
  <c r="I856" i="4"/>
  <c r="H856" i="4"/>
  <c r="G856" i="4"/>
  <c r="F856" i="4"/>
  <c r="E856" i="4"/>
  <c r="D856" i="4"/>
  <c r="C856" i="4"/>
  <c r="B856" i="4"/>
  <c r="A856" i="4"/>
  <c r="AF855" i="4"/>
  <c r="AE855" i="4"/>
  <c r="AD855" i="4"/>
  <c r="AC855" i="4"/>
  <c r="Y855" i="4"/>
  <c r="W855" i="4"/>
  <c r="V855" i="4"/>
  <c r="U855" i="4"/>
  <c r="Q855" i="4"/>
  <c r="O855" i="4"/>
  <c r="N855" i="4"/>
  <c r="M855" i="4"/>
  <c r="I855" i="4"/>
  <c r="H855" i="4"/>
  <c r="G855" i="4"/>
  <c r="F855" i="4"/>
  <c r="E855" i="4"/>
  <c r="D855" i="4"/>
  <c r="C855" i="4"/>
  <c r="B855" i="4"/>
  <c r="A855" i="4"/>
  <c r="AF854" i="4"/>
  <c r="AE854" i="4"/>
  <c r="AD854" i="4"/>
  <c r="AC854" i="4"/>
  <c r="Z854" i="4"/>
  <c r="AA854" i="4" s="1"/>
  <c r="Y854" i="4"/>
  <c r="X854" i="4"/>
  <c r="W854" i="4"/>
  <c r="V854" i="4"/>
  <c r="U854" i="4"/>
  <c r="S854" i="4"/>
  <c r="R854" i="4"/>
  <c r="Q854" i="4"/>
  <c r="P854" i="4"/>
  <c r="O854" i="4"/>
  <c r="N854" i="4"/>
  <c r="M854" i="4"/>
  <c r="J854" i="4"/>
  <c r="K854" i="4" s="1"/>
  <c r="I854" i="4"/>
  <c r="H854" i="4"/>
  <c r="G854" i="4"/>
  <c r="F854" i="4"/>
  <c r="E854" i="4"/>
  <c r="D854" i="4"/>
  <c r="C854" i="4"/>
  <c r="B854" i="4"/>
  <c r="A854" i="4"/>
  <c r="AF853" i="4"/>
  <c r="AE853" i="4"/>
  <c r="AD853" i="4"/>
  <c r="AC853" i="4"/>
  <c r="Y853" i="4"/>
  <c r="W853" i="4"/>
  <c r="V853" i="4"/>
  <c r="U853" i="4"/>
  <c r="Q853" i="4"/>
  <c r="P853" i="4"/>
  <c r="O853" i="4"/>
  <c r="N853" i="4"/>
  <c r="M853" i="4"/>
  <c r="I853" i="4"/>
  <c r="H853" i="4"/>
  <c r="G853" i="4"/>
  <c r="F853" i="4"/>
  <c r="E853" i="4"/>
  <c r="C853" i="4"/>
  <c r="B853" i="4"/>
  <c r="A853" i="4"/>
  <c r="AF852" i="4"/>
  <c r="AE852" i="4"/>
  <c r="AD852" i="4"/>
  <c r="AC852" i="4"/>
  <c r="Y852" i="4"/>
  <c r="W852" i="4"/>
  <c r="V852" i="4"/>
  <c r="U852" i="4"/>
  <c r="Q852" i="4"/>
  <c r="O852" i="4"/>
  <c r="N852" i="4"/>
  <c r="M852" i="4"/>
  <c r="I852" i="4"/>
  <c r="H852" i="4"/>
  <c r="G852" i="4"/>
  <c r="F852" i="4"/>
  <c r="E852" i="4"/>
  <c r="D852" i="4"/>
  <c r="C852" i="4"/>
  <c r="B852" i="4"/>
  <c r="A852" i="4"/>
  <c r="AF851" i="4"/>
  <c r="AE851" i="4"/>
  <c r="AD851" i="4"/>
  <c r="AC851" i="4"/>
  <c r="Z851" i="4"/>
  <c r="AA851" i="4" s="1"/>
  <c r="Y851" i="4"/>
  <c r="X851" i="4"/>
  <c r="W851" i="4"/>
  <c r="V851" i="4"/>
  <c r="U851" i="4"/>
  <c r="R851" i="4"/>
  <c r="S851" i="4" s="1"/>
  <c r="Q851" i="4"/>
  <c r="P851" i="4"/>
  <c r="O851" i="4"/>
  <c r="N851" i="4"/>
  <c r="M851" i="4"/>
  <c r="K851" i="4"/>
  <c r="J851" i="4"/>
  <c r="I851" i="4"/>
  <c r="H851" i="4"/>
  <c r="G851" i="4"/>
  <c r="F851" i="4"/>
  <c r="E851" i="4"/>
  <c r="D851" i="4"/>
  <c r="C851" i="4"/>
  <c r="B851" i="4"/>
  <c r="A851" i="4"/>
  <c r="AF850" i="4"/>
  <c r="AE850" i="4"/>
  <c r="AD850" i="4"/>
  <c r="AC850" i="4"/>
  <c r="AA850" i="4"/>
  <c r="Z850" i="4"/>
  <c r="Y850" i="4"/>
  <c r="W850" i="4"/>
  <c r="V850" i="4"/>
  <c r="U850" i="4"/>
  <c r="Q850" i="4"/>
  <c r="O850" i="4"/>
  <c r="N850" i="4"/>
  <c r="M850" i="4"/>
  <c r="I850" i="4"/>
  <c r="H850" i="4"/>
  <c r="G850" i="4"/>
  <c r="F850" i="4"/>
  <c r="E850" i="4"/>
  <c r="D850" i="4"/>
  <c r="C850" i="4"/>
  <c r="R850" i="4" s="1"/>
  <c r="B850" i="4"/>
  <c r="A850" i="4"/>
  <c r="AF849" i="4"/>
  <c r="AE849" i="4"/>
  <c r="AD849" i="4"/>
  <c r="AC849" i="4"/>
  <c r="Y849" i="4"/>
  <c r="W849" i="4"/>
  <c r="V849" i="4"/>
  <c r="U849" i="4"/>
  <c r="Q849" i="4"/>
  <c r="O849" i="4"/>
  <c r="N849" i="4"/>
  <c r="M849" i="4"/>
  <c r="I849" i="4"/>
  <c r="H849" i="4"/>
  <c r="G849" i="4"/>
  <c r="F849" i="4"/>
  <c r="E849" i="4"/>
  <c r="D849" i="4"/>
  <c r="C849" i="4"/>
  <c r="B849" i="4"/>
  <c r="A849" i="4"/>
  <c r="AF848" i="4"/>
  <c r="AE848" i="4"/>
  <c r="AD848" i="4"/>
  <c r="AC848" i="4"/>
  <c r="Z848" i="4"/>
  <c r="Y848" i="4"/>
  <c r="X848" i="4"/>
  <c r="W848" i="4"/>
  <c r="V848" i="4"/>
  <c r="U848" i="4"/>
  <c r="R848" i="4"/>
  <c r="S848" i="4" s="1"/>
  <c r="Q848" i="4"/>
  <c r="P848" i="4"/>
  <c r="O848" i="4"/>
  <c r="N848" i="4"/>
  <c r="M848" i="4"/>
  <c r="K848" i="4"/>
  <c r="J848" i="4"/>
  <c r="I848" i="4"/>
  <c r="H848" i="4"/>
  <c r="G848" i="4"/>
  <c r="F848" i="4"/>
  <c r="E848" i="4"/>
  <c r="D848" i="4"/>
  <c r="C848" i="4"/>
  <c r="B848" i="4"/>
  <c r="A848" i="4"/>
  <c r="AF847" i="4"/>
  <c r="AE847" i="4"/>
  <c r="AD847" i="4"/>
  <c r="AC847" i="4"/>
  <c r="Z847" i="4"/>
  <c r="AA847" i="4" s="1"/>
  <c r="Y847" i="4"/>
  <c r="W847" i="4"/>
  <c r="V847" i="4"/>
  <c r="U847" i="4"/>
  <c r="Q847" i="4"/>
  <c r="P847" i="4"/>
  <c r="O847" i="4"/>
  <c r="N847" i="4"/>
  <c r="M847" i="4"/>
  <c r="I847" i="4"/>
  <c r="H847" i="4"/>
  <c r="G847" i="4"/>
  <c r="F847" i="4"/>
  <c r="E847" i="4"/>
  <c r="C847" i="4"/>
  <c r="B847" i="4"/>
  <c r="A847" i="4"/>
  <c r="AF846" i="4"/>
  <c r="AE846" i="4"/>
  <c r="AD846" i="4"/>
  <c r="AC846" i="4"/>
  <c r="Z846" i="4"/>
  <c r="AA846" i="4" s="1"/>
  <c r="Y846" i="4"/>
  <c r="X846" i="4"/>
  <c r="W846" i="4"/>
  <c r="V846" i="4"/>
  <c r="U846" i="4"/>
  <c r="Q846" i="4"/>
  <c r="O846" i="4"/>
  <c r="N846" i="4"/>
  <c r="M846" i="4"/>
  <c r="J846" i="4"/>
  <c r="K846" i="4" s="1"/>
  <c r="I846" i="4"/>
  <c r="H846" i="4"/>
  <c r="G846" i="4"/>
  <c r="F846" i="4"/>
  <c r="E846" i="4"/>
  <c r="D846" i="4"/>
  <c r="C846" i="4"/>
  <c r="B846" i="4"/>
  <c r="A846" i="4"/>
  <c r="AF845" i="4"/>
  <c r="AE845" i="4"/>
  <c r="AD845" i="4"/>
  <c r="AC845" i="4"/>
  <c r="Z845" i="4"/>
  <c r="Y845" i="4"/>
  <c r="X845" i="4"/>
  <c r="W845" i="4"/>
  <c r="V845" i="4"/>
  <c r="U845" i="4"/>
  <c r="S845" i="4"/>
  <c r="R845" i="4"/>
  <c r="Q845" i="4"/>
  <c r="P845" i="4"/>
  <c r="O845" i="4"/>
  <c r="N845" i="4"/>
  <c r="M845" i="4"/>
  <c r="J845" i="4"/>
  <c r="I845" i="4"/>
  <c r="H845" i="4"/>
  <c r="G845" i="4"/>
  <c r="F845" i="4"/>
  <c r="E845" i="4"/>
  <c r="D845" i="4"/>
  <c r="C845" i="4"/>
  <c r="B845" i="4"/>
  <c r="A845" i="4"/>
  <c r="AF844" i="4"/>
  <c r="AE844" i="4"/>
  <c r="AD844" i="4"/>
  <c r="AC844" i="4"/>
  <c r="Z844" i="4"/>
  <c r="AA844" i="4" s="1"/>
  <c r="Y844" i="4"/>
  <c r="W844" i="4"/>
  <c r="V844" i="4"/>
  <c r="U844" i="4"/>
  <c r="Q844" i="4"/>
  <c r="P844" i="4"/>
  <c r="O844" i="4"/>
  <c r="N844" i="4"/>
  <c r="M844" i="4"/>
  <c r="I844" i="4"/>
  <c r="H844" i="4"/>
  <c r="G844" i="4"/>
  <c r="F844" i="4"/>
  <c r="E844" i="4"/>
  <c r="C844" i="4"/>
  <c r="B844" i="4"/>
  <c r="A844" i="4"/>
  <c r="AF843" i="4"/>
  <c r="AE843" i="4"/>
  <c r="AD843" i="4"/>
  <c r="AC843" i="4"/>
  <c r="AA843" i="4"/>
  <c r="Z843" i="4"/>
  <c r="Y843" i="4"/>
  <c r="W843" i="4"/>
  <c r="V843" i="4"/>
  <c r="U843" i="4"/>
  <c r="Q843" i="4"/>
  <c r="O843" i="4"/>
  <c r="N843" i="4"/>
  <c r="M843" i="4"/>
  <c r="J843" i="4"/>
  <c r="K843" i="4" s="1"/>
  <c r="I843" i="4"/>
  <c r="H843" i="4"/>
  <c r="G843" i="4"/>
  <c r="F843" i="4"/>
  <c r="E843" i="4"/>
  <c r="D843" i="4"/>
  <c r="C843" i="4"/>
  <c r="B843" i="4"/>
  <c r="A843" i="4"/>
  <c r="AF842" i="4"/>
  <c r="AE842" i="4"/>
  <c r="AD842" i="4"/>
  <c r="AC842" i="4"/>
  <c r="Z842" i="4"/>
  <c r="Y842" i="4"/>
  <c r="X842" i="4"/>
  <c r="W842" i="4"/>
  <c r="V842" i="4"/>
  <c r="U842" i="4"/>
  <c r="R842" i="4"/>
  <c r="S842" i="4" s="1"/>
  <c r="Q842" i="4"/>
  <c r="P842" i="4"/>
  <c r="O842" i="4"/>
  <c r="N842" i="4"/>
  <c r="M842" i="4"/>
  <c r="J842" i="4"/>
  <c r="K842" i="4" s="1"/>
  <c r="I842" i="4"/>
  <c r="H842" i="4"/>
  <c r="G842" i="4"/>
  <c r="F842" i="4"/>
  <c r="E842" i="4"/>
  <c r="D842" i="4"/>
  <c r="C842" i="4"/>
  <c r="B842" i="4"/>
  <c r="A842" i="4"/>
  <c r="AF841" i="4"/>
  <c r="AE841" i="4"/>
  <c r="AD841" i="4"/>
  <c r="AC841" i="4"/>
  <c r="Z841" i="4"/>
  <c r="AA841" i="4" s="1"/>
  <c r="Y841" i="4"/>
  <c r="W841" i="4"/>
  <c r="V841" i="4"/>
  <c r="U841" i="4"/>
  <c r="Q841" i="4"/>
  <c r="P841" i="4"/>
  <c r="O841" i="4"/>
  <c r="N841" i="4"/>
  <c r="M841" i="4"/>
  <c r="I841" i="4"/>
  <c r="H841" i="4"/>
  <c r="G841" i="4"/>
  <c r="F841" i="4"/>
  <c r="E841" i="4"/>
  <c r="C841" i="4"/>
  <c r="B841" i="4"/>
  <c r="A841" i="4"/>
  <c r="AF840" i="4"/>
  <c r="AE840" i="4"/>
  <c r="AD840" i="4"/>
  <c r="AC840" i="4"/>
  <c r="Y840" i="4"/>
  <c r="W840" i="4"/>
  <c r="V840" i="4"/>
  <c r="U840" i="4"/>
  <c r="Q840" i="4"/>
  <c r="O840" i="4"/>
  <c r="N840" i="4"/>
  <c r="M840" i="4"/>
  <c r="I840" i="4"/>
  <c r="H840" i="4"/>
  <c r="G840" i="4"/>
  <c r="F840" i="4"/>
  <c r="E840" i="4"/>
  <c r="D840" i="4"/>
  <c r="C840" i="4"/>
  <c r="B840" i="4"/>
  <c r="A840" i="4"/>
  <c r="AF839" i="4"/>
  <c r="AE839" i="4"/>
  <c r="AD839" i="4"/>
  <c r="AC839" i="4"/>
  <c r="Z839" i="4"/>
  <c r="AA839" i="4" s="1"/>
  <c r="Y839" i="4"/>
  <c r="X839" i="4"/>
  <c r="W839" i="4"/>
  <c r="V839" i="4"/>
  <c r="U839" i="4"/>
  <c r="R839" i="4"/>
  <c r="S839" i="4" s="1"/>
  <c r="Q839" i="4"/>
  <c r="P839" i="4"/>
  <c r="O839" i="4"/>
  <c r="N839" i="4"/>
  <c r="M839" i="4"/>
  <c r="J839" i="4"/>
  <c r="K839" i="4" s="1"/>
  <c r="I839" i="4"/>
  <c r="H839" i="4"/>
  <c r="G839" i="4"/>
  <c r="F839" i="4"/>
  <c r="E839" i="4"/>
  <c r="D839" i="4"/>
  <c r="C839" i="4"/>
  <c r="B839" i="4"/>
  <c r="A839" i="4"/>
  <c r="AF838" i="4"/>
  <c r="AE838" i="4"/>
  <c r="AD838" i="4"/>
  <c r="AC838" i="4"/>
  <c r="Y838" i="4"/>
  <c r="W838" i="4"/>
  <c r="V838" i="4"/>
  <c r="U838" i="4"/>
  <c r="Q838" i="4"/>
  <c r="P838" i="4"/>
  <c r="O838" i="4"/>
  <c r="N838" i="4"/>
  <c r="M838" i="4"/>
  <c r="I838" i="4"/>
  <c r="H838" i="4"/>
  <c r="G838" i="4"/>
  <c r="F838" i="4"/>
  <c r="E838" i="4"/>
  <c r="D838" i="4"/>
  <c r="C838" i="4"/>
  <c r="Z838" i="4" s="1"/>
  <c r="AA838" i="4" s="1"/>
  <c r="B838" i="4"/>
  <c r="A838" i="4"/>
  <c r="AF837" i="4"/>
  <c r="AE837" i="4"/>
  <c r="AD837" i="4"/>
  <c r="AC837" i="4"/>
  <c r="Z837" i="4"/>
  <c r="Y837" i="4"/>
  <c r="X837" i="4"/>
  <c r="W837" i="4"/>
  <c r="V837" i="4"/>
  <c r="U837" i="4"/>
  <c r="Q837" i="4"/>
  <c r="O837" i="4"/>
  <c r="N837" i="4"/>
  <c r="M837" i="4"/>
  <c r="K837" i="4"/>
  <c r="J837" i="4"/>
  <c r="I837" i="4"/>
  <c r="H837" i="4"/>
  <c r="G837" i="4"/>
  <c r="F837" i="4"/>
  <c r="E837" i="4"/>
  <c r="D837" i="4"/>
  <c r="C837" i="4"/>
  <c r="B837" i="4"/>
  <c r="A837" i="4"/>
  <c r="AF836" i="4"/>
  <c r="AE836" i="4"/>
  <c r="AD836" i="4"/>
  <c r="AC836" i="4"/>
  <c r="Z836" i="4"/>
  <c r="AA836" i="4" s="1"/>
  <c r="Y836" i="4"/>
  <c r="X836" i="4"/>
  <c r="W836" i="4"/>
  <c r="V836" i="4"/>
  <c r="U836" i="4"/>
  <c r="S836" i="4"/>
  <c r="R836" i="4"/>
  <c r="Q836" i="4"/>
  <c r="P836" i="4"/>
  <c r="O836" i="4"/>
  <c r="N836" i="4"/>
  <c r="M836" i="4"/>
  <c r="J836" i="4"/>
  <c r="K836" i="4" s="1"/>
  <c r="I836" i="4"/>
  <c r="H836" i="4"/>
  <c r="G836" i="4"/>
  <c r="F836" i="4"/>
  <c r="E836" i="4"/>
  <c r="D836" i="4"/>
  <c r="C836" i="4"/>
  <c r="B836" i="4"/>
  <c r="A836" i="4"/>
  <c r="AF835" i="4"/>
  <c r="AE835" i="4"/>
  <c r="AD835" i="4"/>
  <c r="AC835" i="4"/>
  <c r="Z835" i="4"/>
  <c r="AA835" i="4" s="1"/>
  <c r="Y835" i="4"/>
  <c r="W835" i="4"/>
  <c r="V835" i="4"/>
  <c r="U835" i="4"/>
  <c r="R835" i="4"/>
  <c r="S835" i="4" s="1"/>
  <c r="Q835" i="4"/>
  <c r="O835" i="4"/>
  <c r="N835" i="4"/>
  <c r="M835" i="4"/>
  <c r="I835" i="4"/>
  <c r="H835" i="4"/>
  <c r="G835" i="4"/>
  <c r="F835" i="4"/>
  <c r="E835" i="4"/>
  <c r="D835" i="4"/>
  <c r="C835" i="4"/>
  <c r="B835" i="4"/>
  <c r="A835" i="4"/>
  <c r="AF834" i="4"/>
  <c r="AE834" i="4"/>
  <c r="AD834" i="4"/>
  <c r="AC834" i="4"/>
  <c r="Z834" i="4"/>
  <c r="Y834" i="4"/>
  <c r="X834" i="4"/>
  <c r="W834" i="4"/>
  <c r="V834" i="4"/>
  <c r="U834" i="4"/>
  <c r="Q834" i="4"/>
  <c r="O834" i="4"/>
  <c r="N834" i="4"/>
  <c r="M834" i="4"/>
  <c r="J834" i="4"/>
  <c r="K834" i="4" s="1"/>
  <c r="I834" i="4"/>
  <c r="H834" i="4"/>
  <c r="G834" i="4"/>
  <c r="F834" i="4"/>
  <c r="E834" i="4"/>
  <c r="D834" i="4"/>
  <c r="C834" i="4"/>
  <c r="B834" i="4"/>
  <c r="A834" i="4"/>
  <c r="AF833" i="4"/>
  <c r="AE833" i="4"/>
  <c r="AD833" i="4"/>
  <c r="AC833" i="4"/>
  <c r="Z833" i="4"/>
  <c r="AA833" i="4" s="1"/>
  <c r="Y833" i="4"/>
  <c r="X833" i="4"/>
  <c r="W833" i="4"/>
  <c r="V833" i="4"/>
  <c r="U833" i="4"/>
  <c r="R833" i="4"/>
  <c r="S833" i="4" s="1"/>
  <c r="Q833" i="4"/>
  <c r="P833" i="4"/>
  <c r="O833" i="4"/>
  <c r="N833" i="4"/>
  <c r="M833" i="4"/>
  <c r="K833" i="4"/>
  <c r="J833" i="4"/>
  <c r="I833" i="4"/>
  <c r="H833" i="4"/>
  <c r="G833" i="4"/>
  <c r="F833" i="4"/>
  <c r="E833" i="4"/>
  <c r="D833" i="4"/>
  <c r="C833" i="4"/>
  <c r="B833" i="4"/>
  <c r="A833" i="4"/>
  <c r="AF832" i="4"/>
  <c r="AE832" i="4"/>
  <c r="AD832" i="4"/>
  <c r="AC832" i="4"/>
  <c r="Y832" i="4"/>
  <c r="W832" i="4"/>
  <c r="V832" i="4"/>
  <c r="U832" i="4"/>
  <c r="Q832" i="4"/>
  <c r="O832" i="4"/>
  <c r="N832" i="4"/>
  <c r="M832" i="4"/>
  <c r="I832" i="4"/>
  <c r="H832" i="4"/>
  <c r="G832" i="4"/>
  <c r="F832" i="4"/>
  <c r="E832" i="4"/>
  <c r="D832" i="4"/>
  <c r="C832" i="4"/>
  <c r="B832" i="4"/>
  <c r="A832" i="4"/>
  <c r="AF831" i="4"/>
  <c r="AE831" i="4"/>
  <c r="AD831" i="4"/>
  <c r="AC831" i="4"/>
  <c r="Y831" i="4"/>
  <c r="X831" i="4"/>
  <c r="W831" i="4"/>
  <c r="V831" i="4"/>
  <c r="U831" i="4"/>
  <c r="Q831" i="4"/>
  <c r="O831" i="4"/>
  <c r="N831" i="4"/>
  <c r="M831" i="4"/>
  <c r="I831" i="4"/>
  <c r="H831" i="4"/>
  <c r="G831" i="4"/>
  <c r="F831" i="4"/>
  <c r="E831" i="4"/>
  <c r="D831" i="4"/>
  <c r="C831" i="4"/>
  <c r="Z831" i="4" s="1"/>
  <c r="AA831" i="4" s="1"/>
  <c r="B831" i="4"/>
  <c r="A831" i="4"/>
  <c r="AF830" i="4"/>
  <c r="AE830" i="4"/>
  <c r="AD830" i="4"/>
  <c r="AC830" i="4"/>
  <c r="Z830" i="4"/>
  <c r="Y830" i="4"/>
  <c r="X830" i="4"/>
  <c r="W830" i="4"/>
  <c r="V830" i="4"/>
  <c r="U830" i="4"/>
  <c r="R830" i="4"/>
  <c r="S830" i="4" s="1"/>
  <c r="Q830" i="4"/>
  <c r="P830" i="4"/>
  <c r="O830" i="4"/>
  <c r="N830" i="4"/>
  <c r="M830" i="4"/>
  <c r="J830" i="4"/>
  <c r="K830" i="4" s="1"/>
  <c r="I830" i="4"/>
  <c r="H830" i="4"/>
  <c r="G830" i="4"/>
  <c r="F830" i="4"/>
  <c r="E830" i="4"/>
  <c r="D830" i="4"/>
  <c r="C830" i="4"/>
  <c r="B830" i="4"/>
  <c r="A830" i="4"/>
  <c r="AF829" i="4"/>
  <c r="AE829" i="4"/>
  <c r="AD829" i="4"/>
  <c r="AC829" i="4"/>
  <c r="Y829" i="4"/>
  <c r="W829" i="4"/>
  <c r="V829" i="4"/>
  <c r="U829" i="4"/>
  <c r="R829" i="4"/>
  <c r="S829" i="4" s="1"/>
  <c r="Q829" i="4"/>
  <c r="O829" i="4"/>
  <c r="N829" i="4"/>
  <c r="M829" i="4"/>
  <c r="I829" i="4"/>
  <c r="H829" i="4"/>
  <c r="G829" i="4"/>
  <c r="F829" i="4"/>
  <c r="E829" i="4"/>
  <c r="D829" i="4"/>
  <c r="C829" i="4"/>
  <c r="B829" i="4"/>
  <c r="A829" i="4"/>
  <c r="AF828" i="4"/>
  <c r="AE828" i="4"/>
  <c r="AD828" i="4"/>
  <c r="AC828" i="4"/>
  <c r="Z828" i="4"/>
  <c r="AA828" i="4" s="1"/>
  <c r="Y828" i="4"/>
  <c r="X828" i="4"/>
  <c r="W828" i="4"/>
  <c r="V828" i="4"/>
  <c r="U828" i="4"/>
  <c r="Q828" i="4"/>
  <c r="O828" i="4"/>
  <c r="N828" i="4"/>
  <c r="M828" i="4"/>
  <c r="J828" i="4"/>
  <c r="K828" i="4" s="1"/>
  <c r="I828" i="4"/>
  <c r="H828" i="4"/>
  <c r="G828" i="4"/>
  <c r="F828" i="4"/>
  <c r="E828" i="4"/>
  <c r="D828" i="4"/>
  <c r="C828" i="4"/>
  <c r="R828" i="4" s="1"/>
  <c r="S828" i="4" s="1"/>
  <c r="B828" i="4"/>
  <c r="A828" i="4"/>
  <c r="AF827" i="4"/>
  <c r="AE827" i="4"/>
  <c r="AD827" i="4"/>
  <c r="AC827" i="4"/>
  <c r="Z827" i="4"/>
  <c r="AA827" i="4" s="1"/>
  <c r="Y827" i="4"/>
  <c r="X827" i="4"/>
  <c r="W827" i="4"/>
  <c r="V827" i="4"/>
  <c r="U827" i="4"/>
  <c r="S827" i="4"/>
  <c r="R827" i="4"/>
  <c r="Q827" i="4"/>
  <c r="P827" i="4"/>
  <c r="O827" i="4"/>
  <c r="N827" i="4"/>
  <c r="M827" i="4"/>
  <c r="J827" i="4"/>
  <c r="I827" i="4"/>
  <c r="H827" i="4"/>
  <c r="G827" i="4"/>
  <c r="F827" i="4"/>
  <c r="E827" i="4"/>
  <c r="D827" i="4"/>
  <c r="C827" i="4"/>
  <c r="B827" i="4"/>
  <c r="A827" i="4"/>
  <c r="AF826" i="4"/>
  <c r="AE826" i="4"/>
  <c r="AD826" i="4"/>
  <c r="AC826" i="4"/>
  <c r="Y826" i="4"/>
  <c r="W826" i="4"/>
  <c r="V826" i="4"/>
  <c r="U826" i="4"/>
  <c r="Q826" i="4"/>
  <c r="P826" i="4"/>
  <c r="O826" i="4"/>
  <c r="N826" i="4"/>
  <c r="M826" i="4"/>
  <c r="I826" i="4"/>
  <c r="H826" i="4"/>
  <c r="G826" i="4"/>
  <c r="F826" i="4"/>
  <c r="E826" i="4"/>
  <c r="C826" i="4"/>
  <c r="Z826" i="4" s="1"/>
  <c r="AA826" i="4" s="1"/>
  <c r="B826" i="4"/>
  <c r="A826" i="4"/>
  <c r="AF825" i="4"/>
  <c r="AE825" i="4"/>
  <c r="AD825" i="4"/>
  <c r="AC825" i="4"/>
  <c r="AA825" i="4"/>
  <c r="Z825" i="4"/>
  <c r="Y825" i="4"/>
  <c r="X825" i="4"/>
  <c r="W825" i="4"/>
  <c r="V825" i="4"/>
  <c r="U825" i="4"/>
  <c r="Q825" i="4"/>
  <c r="P825" i="4"/>
  <c r="O825" i="4"/>
  <c r="N825" i="4"/>
  <c r="M825" i="4"/>
  <c r="J825" i="4"/>
  <c r="K825" i="4" s="1"/>
  <c r="I825" i="4"/>
  <c r="H825" i="4"/>
  <c r="G825" i="4"/>
  <c r="F825" i="4"/>
  <c r="E825" i="4"/>
  <c r="D825" i="4"/>
  <c r="C825" i="4"/>
  <c r="R825" i="4" s="1"/>
  <c r="S825" i="4" s="1"/>
  <c r="B825" i="4"/>
  <c r="A825" i="4"/>
  <c r="AF824" i="4"/>
  <c r="AE824" i="4"/>
  <c r="AD824" i="4"/>
  <c r="AC824" i="4"/>
  <c r="Z824" i="4"/>
  <c r="Y824" i="4"/>
  <c r="X824" i="4"/>
  <c r="W824" i="4"/>
  <c r="V824" i="4"/>
  <c r="U824" i="4"/>
  <c r="R824" i="4"/>
  <c r="S824" i="4" s="1"/>
  <c r="Q824" i="4"/>
  <c r="P824" i="4"/>
  <c r="O824" i="4"/>
  <c r="N824" i="4"/>
  <c r="M824" i="4"/>
  <c r="K824" i="4"/>
  <c r="J824" i="4"/>
  <c r="I824" i="4"/>
  <c r="H824" i="4"/>
  <c r="G824" i="4"/>
  <c r="F824" i="4"/>
  <c r="E824" i="4"/>
  <c r="D824" i="4"/>
  <c r="C824" i="4"/>
  <c r="B824" i="4"/>
  <c r="A824" i="4"/>
  <c r="AF823" i="4"/>
  <c r="AE823" i="4"/>
  <c r="AD823" i="4"/>
  <c r="AC823" i="4"/>
  <c r="Y823" i="4"/>
  <c r="W823" i="4"/>
  <c r="V823" i="4"/>
  <c r="U823" i="4"/>
  <c r="Q823" i="4"/>
  <c r="O823" i="4"/>
  <c r="N823" i="4"/>
  <c r="M823" i="4"/>
  <c r="I823" i="4"/>
  <c r="H823" i="4"/>
  <c r="G823" i="4"/>
  <c r="F823" i="4"/>
  <c r="E823" i="4"/>
  <c r="C823" i="4"/>
  <c r="B823" i="4"/>
  <c r="A823" i="4"/>
  <c r="AF822" i="4"/>
  <c r="AE822" i="4"/>
  <c r="AD822" i="4"/>
  <c r="AC822" i="4"/>
  <c r="Z822" i="4"/>
  <c r="Y822" i="4"/>
  <c r="W822" i="4"/>
  <c r="V822" i="4"/>
  <c r="U822" i="4"/>
  <c r="R822" i="4"/>
  <c r="S822" i="4" s="1"/>
  <c r="Q822" i="4"/>
  <c r="O822" i="4"/>
  <c r="N822" i="4"/>
  <c r="M822" i="4"/>
  <c r="J822" i="4"/>
  <c r="K822" i="4" s="1"/>
  <c r="I822" i="4"/>
  <c r="H822" i="4"/>
  <c r="G822" i="4"/>
  <c r="F822" i="4"/>
  <c r="E822" i="4"/>
  <c r="D822" i="4"/>
  <c r="C822" i="4"/>
  <c r="P822" i="4" s="1"/>
  <c r="B822" i="4"/>
  <c r="A822" i="4"/>
  <c r="AF821" i="4"/>
  <c r="AE821" i="4"/>
  <c r="AD821" i="4"/>
  <c r="AC821" i="4"/>
  <c r="Z821" i="4"/>
  <c r="AA821" i="4" s="1"/>
  <c r="Y821" i="4"/>
  <c r="X821" i="4"/>
  <c r="W821" i="4"/>
  <c r="V821" i="4"/>
  <c r="U821" i="4"/>
  <c r="S821" i="4"/>
  <c r="R821" i="4"/>
  <c r="Q821" i="4"/>
  <c r="P821" i="4"/>
  <c r="O821" i="4"/>
  <c r="N821" i="4"/>
  <c r="M821" i="4"/>
  <c r="J821" i="4"/>
  <c r="K821" i="4" s="1"/>
  <c r="I821" i="4"/>
  <c r="H821" i="4"/>
  <c r="G821" i="4"/>
  <c r="F821" i="4"/>
  <c r="E821" i="4"/>
  <c r="D821" i="4"/>
  <c r="C821" i="4"/>
  <c r="B821" i="4"/>
  <c r="A821" i="4"/>
  <c r="AF820" i="4"/>
  <c r="AE820" i="4"/>
  <c r="AD820" i="4"/>
  <c r="AC820" i="4"/>
  <c r="Y820" i="4"/>
  <c r="X820" i="4"/>
  <c r="W820" i="4"/>
  <c r="V820" i="4"/>
  <c r="U820" i="4"/>
  <c r="Q820" i="4"/>
  <c r="P820" i="4"/>
  <c r="O820" i="4"/>
  <c r="N820" i="4"/>
  <c r="M820" i="4"/>
  <c r="I820" i="4"/>
  <c r="H820" i="4"/>
  <c r="G820" i="4"/>
  <c r="F820" i="4"/>
  <c r="E820" i="4"/>
  <c r="D820" i="4"/>
  <c r="C820" i="4"/>
  <c r="B820" i="4"/>
  <c r="A820" i="4"/>
  <c r="AF819" i="4"/>
  <c r="AE819" i="4"/>
  <c r="AD819" i="4"/>
  <c r="AC819" i="4"/>
  <c r="Y819" i="4"/>
  <c r="W819" i="4"/>
  <c r="V819" i="4"/>
  <c r="U819" i="4"/>
  <c r="Q819" i="4"/>
  <c r="O819" i="4"/>
  <c r="N819" i="4"/>
  <c r="M819" i="4"/>
  <c r="J819" i="4"/>
  <c r="K819" i="4" s="1"/>
  <c r="I819" i="4"/>
  <c r="H819" i="4"/>
  <c r="G819" i="4"/>
  <c r="F819" i="4"/>
  <c r="E819" i="4"/>
  <c r="D819" i="4"/>
  <c r="C819" i="4"/>
  <c r="B819" i="4"/>
  <c r="A819" i="4"/>
  <c r="AF818" i="4"/>
  <c r="AE818" i="4"/>
  <c r="AD818" i="4"/>
  <c r="AC818" i="4"/>
  <c r="Z818" i="4"/>
  <c r="Y818" i="4"/>
  <c r="X818" i="4"/>
  <c r="W818" i="4"/>
  <c r="V818" i="4"/>
  <c r="U818" i="4"/>
  <c r="R818" i="4"/>
  <c r="S818" i="4" s="1"/>
  <c r="Q818" i="4"/>
  <c r="P818" i="4"/>
  <c r="O818" i="4"/>
  <c r="N818" i="4"/>
  <c r="M818" i="4"/>
  <c r="J818" i="4"/>
  <c r="K818" i="4" s="1"/>
  <c r="I818" i="4"/>
  <c r="H818" i="4"/>
  <c r="G818" i="4"/>
  <c r="F818" i="4"/>
  <c r="E818" i="4"/>
  <c r="D818" i="4"/>
  <c r="C818" i="4"/>
  <c r="B818" i="4"/>
  <c r="A818" i="4"/>
  <c r="AF817" i="4"/>
  <c r="AE817" i="4"/>
  <c r="AD817" i="4"/>
  <c r="AC817" i="4"/>
  <c r="Z817" i="4"/>
  <c r="AA817" i="4" s="1"/>
  <c r="Y817" i="4"/>
  <c r="X817" i="4"/>
  <c r="W817" i="4"/>
  <c r="V817" i="4"/>
  <c r="U817" i="4"/>
  <c r="S817" i="4"/>
  <c r="R817" i="4"/>
  <c r="Q817" i="4"/>
  <c r="O817" i="4"/>
  <c r="N817" i="4"/>
  <c r="M817" i="4"/>
  <c r="I817" i="4"/>
  <c r="H817" i="4"/>
  <c r="G817" i="4"/>
  <c r="F817" i="4"/>
  <c r="E817" i="4"/>
  <c r="C817" i="4"/>
  <c r="P817" i="4" s="1"/>
  <c r="B817" i="4"/>
  <c r="A817" i="4"/>
  <c r="D817" i="4" s="1"/>
  <c r="AF816" i="4"/>
  <c r="AE816" i="4"/>
  <c r="AD816" i="4"/>
  <c r="AC816" i="4"/>
  <c r="Y816" i="4"/>
  <c r="W816" i="4"/>
  <c r="V816" i="4"/>
  <c r="U816" i="4"/>
  <c r="Q816" i="4"/>
  <c r="P816" i="4"/>
  <c r="O816" i="4"/>
  <c r="N816" i="4"/>
  <c r="M816" i="4"/>
  <c r="I816" i="4"/>
  <c r="H816" i="4"/>
  <c r="G816" i="4"/>
  <c r="F816" i="4"/>
  <c r="E816" i="4"/>
  <c r="D816" i="4"/>
  <c r="C816" i="4"/>
  <c r="B816" i="4"/>
  <c r="A816" i="4"/>
  <c r="AF815" i="4"/>
  <c r="AE815" i="4"/>
  <c r="AD815" i="4"/>
  <c r="AC815" i="4"/>
  <c r="Z815" i="4"/>
  <c r="Y815" i="4"/>
  <c r="X815" i="4"/>
  <c r="W815" i="4"/>
  <c r="V815" i="4"/>
  <c r="U815" i="4"/>
  <c r="S815" i="4"/>
  <c r="R815" i="4"/>
  <c r="Q815" i="4"/>
  <c r="P815" i="4"/>
  <c r="O815" i="4"/>
  <c r="N815" i="4"/>
  <c r="M815" i="4"/>
  <c r="J815" i="4"/>
  <c r="I815" i="4"/>
  <c r="H815" i="4"/>
  <c r="G815" i="4"/>
  <c r="F815" i="4"/>
  <c r="E815" i="4"/>
  <c r="D815" i="4"/>
  <c r="C815" i="4"/>
  <c r="B815" i="4"/>
  <c r="A815" i="4"/>
  <c r="AF814" i="4"/>
  <c r="AE814" i="4"/>
  <c r="AD814" i="4"/>
  <c r="AC814" i="4"/>
  <c r="Y814" i="4"/>
  <c r="W814" i="4"/>
  <c r="V814" i="4"/>
  <c r="U814" i="4"/>
  <c r="R814" i="4"/>
  <c r="S814" i="4" s="1"/>
  <c r="Q814" i="4"/>
  <c r="O814" i="4"/>
  <c r="N814" i="4"/>
  <c r="M814" i="4"/>
  <c r="I814" i="4"/>
  <c r="H814" i="4"/>
  <c r="G814" i="4"/>
  <c r="F814" i="4"/>
  <c r="E814" i="4"/>
  <c r="D814" i="4"/>
  <c r="C814" i="4"/>
  <c r="B814" i="4"/>
  <c r="A814" i="4"/>
  <c r="AF813" i="4"/>
  <c r="AE813" i="4"/>
  <c r="AD813" i="4"/>
  <c r="AC813" i="4"/>
  <c r="Y813" i="4"/>
  <c r="W813" i="4"/>
  <c r="V813" i="4"/>
  <c r="U813" i="4"/>
  <c r="Q813" i="4"/>
  <c r="P813" i="4"/>
  <c r="O813" i="4"/>
  <c r="N813" i="4"/>
  <c r="M813" i="4"/>
  <c r="I813" i="4"/>
  <c r="H813" i="4"/>
  <c r="G813" i="4"/>
  <c r="F813" i="4"/>
  <c r="E813" i="4"/>
  <c r="D813" i="4"/>
  <c r="C813" i="4"/>
  <c r="B813" i="4"/>
  <c r="A813" i="4"/>
  <c r="AF812" i="4"/>
  <c r="AE812" i="4"/>
  <c r="AD812" i="4"/>
  <c r="AC812" i="4"/>
  <c r="Z812" i="4"/>
  <c r="Y812" i="4"/>
  <c r="X812" i="4"/>
  <c r="W812" i="4"/>
  <c r="V812" i="4"/>
  <c r="U812" i="4"/>
  <c r="R812" i="4"/>
  <c r="S812" i="4" s="1"/>
  <c r="Q812" i="4"/>
  <c r="P812" i="4"/>
  <c r="O812" i="4"/>
  <c r="N812" i="4"/>
  <c r="M812" i="4"/>
  <c r="K812" i="4"/>
  <c r="J812" i="4"/>
  <c r="I812" i="4"/>
  <c r="H812" i="4"/>
  <c r="G812" i="4"/>
  <c r="F812" i="4"/>
  <c r="E812" i="4"/>
  <c r="D812" i="4"/>
  <c r="C812" i="4"/>
  <c r="B812" i="4"/>
  <c r="A812" i="4"/>
  <c r="AF811" i="4"/>
  <c r="AE811" i="4"/>
  <c r="AD811" i="4"/>
  <c r="AC811" i="4"/>
  <c r="Y811" i="4"/>
  <c r="W811" i="4"/>
  <c r="V811" i="4"/>
  <c r="U811" i="4"/>
  <c r="Q811" i="4"/>
  <c r="P811" i="4"/>
  <c r="O811" i="4"/>
  <c r="N811" i="4"/>
  <c r="M811" i="4"/>
  <c r="I811" i="4"/>
  <c r="H811" i="4"/>
  <c r="G811" i="4"/>
  <c r="F811" i="4"/>
  <c r="E811" i="4"/>
  <c r="C811" i="4"/>
  <c r="B811" i="4"/>
  <c r="A811" i="4"/>
  <c r="AF810" i="4"/>
  <c r="AE810" i="4"/>
  <c r="AD810" i="4"/>
  <c r="AC810" i="4"/>
  <c r="Z810" i="4"/>
  <c r="Y810" i="4"/>
  <c r="W810" i="4"/>
  <c r="V810" i="4"/>
  <c r="U810" i="4"/>
  <c r="R810" i="4"/>
  <c r="S810" i="4" s="1"/>
  <c r="Q810" i="4"/>
  <c r="O810" i="4"/>
  <c r="N810" i="4"/>
  <c r="M810" i="4"/>
  <c r="J810" i="4"/>
  <c r="K810" i="4" s="1"/>
  <c r="I810" i="4"/>
  <c r="H810" i="4"/>
  <c r="G810" i="4"/>
  <c r="F810" i="4"/>
  <c r="E810" i="4"/>
  <c r="D810" i="4"/>
  <c r="C810" i="4"/>
  <c r="P810" i="4" s="1"/>
  <c r="B810" i="4"/>
  <c r="A810" i="4"/>
  <c r="AF809" i="4"/>
  <c r="AE809" i="4"/>
  <c r="AD809" i="4"/>
  <c r="AC809" i="4"/>
  <c r="Z809" i="4"/>
  <c r="AA809" i="4" s="1"/>
  <c r="Y809" i="4"/>
  <c r="X809" i="4"/>
  <c r="W809" i="4"/>
  <c r="V809" i="4"/>
  <c r="U809" i="4"/>
  <c r="S809" i="4"/>
  <c r="R809" i="4"/>
  <c r="Q809" i="4"/>
  <c r="P809" i="4"/>
  <c r="O809" i="4"/>
  <c r="N809" i="4"/>
  <c r="M809" i="4"/>
  <c r="J809" i="4"/>
  <c r="I809" i="4"/>
  <c r="H809" i="4"/>
  <c r="G809" i="4"/>
  <c r="F809" i="4"/>
  <c r="E809" i="4"/>
  <c r="D809" i="4"/>
  <c r="C809" i="4"/>
  <c r="B809" i="4"/>
  <c r="A809" i="4"/>
  <c r="AF808" i="4"/>
  <c r="AE808" i="4"/>
  <c r="AD808" i="4"/>
  <c r="AC808" i="4"/>
  <c r="Y808" i="4"/>
  <c r="X808" i="4"/>
  <c r="W808" i="4"/>
  <c r="V808" i="4"/>
  <c r="U808" i="4"/>
  <c r="Q808" i="4"/>
  <c r="O808" i="4"/>
  <c r="N808" i="4"/>
  <c r="M808" i="4"/>
  <c r="J808" i="4"/>
  <c r="K808" i="4" s="1"/>
  <c r="I808" i="4"/>
  <c r="H808" i="4"/>
  <c r="G808" i="4"/>
  <c r="F808" i="4"/>
  <c r="E808" i="4"/>
  <c r="D808" i="4"/>
  <c r="C808" i="4"/>
  <c r="B808" i="4"/>
  <c r="A808" i="4"/>
  <c r="AF807" i="4"/>
  <c r="AE807" i="4"/>
  <c r="AD807" i="4"/>
  <c r="AC807" i="4"/>
  <c r="Y807" i="4"/>
  <c r="W807" i="4"/>
  <c r="V807" i="4"/>
  <c r="U807" i="4"/>
  <c r="Q807" i="4"/>
  <c r="O807" i="4"/>
  <c r="N807" i="4"/>
  <c r="M807" i="4"/>
  <c r="J807" i="4"/>
  <c r="K807" i="4" s="1"/>
  <c r="I807" i="4"/>
  <c r="H807" i="4"/>
  <c r="G807" i="4"/>
  <c r="F807" i="4"/>
  <c r="E807" i="4"/>
  <c r="D807" i="4"/>
  <c r="C807" i="4"/>
  <c r="B807" i="4"/>
  <c r="A807" i="4"/>
  <c r="AF806" i="4"/>
  <c r="AE806" i="4"/>
  <c r="AD806" i="4"/>
  <c r="AC806" i="4"/>
  <c r="Z806" i="4"/>
  <c r="Y806" i="4"/>
  <c r="X806" i="4"/>
  <c r="W806" i="4"/>
  <c r="V806" i="4"/>
  <c r="U806" i="4"/>
  <c r="R806" i="4"/>
  <c r="S806" i="4" s="1"/>
  <c r="Q806" i="4"/>
  <c r="P806" i="4"/>
  <c r="O806" i="4"/>
  <c r="N806" i="4"/>
  <c r="M806" i="4"/>
  <c r="K806" i="4"/>
  <c r="J806" i="4"/>
  <c r="I806" i="4"/>
  <c r="H806" i="4"/>
  <c r="G806" i="4"/>
  <c r="F806" i="4"/>
  <c r="E806" i="4"/>
  <c r="D806" i="4"/>
  <c r="C806" i="4"/>
  <c r="B806" i="4"/>
  <c r="A806" i="4"/>
  <c r="AF805" i="4"/>
  <c r="AE805" i="4"/>
  <c r="AD805" i="4"/>
  <c r="AC805" i="4"/>
  <c r="Z805" i="4"/>
  <c r="AA805" i="4" s="1"/>
  <c r="Y805" i="4"/>
  <c r="X805" i="4"/>
  <c r="W805" i="4"/>
  <c r="V805" i="4"/>
  <c r="U805" i="4"/>
  <c r="S805" i="4"/>
  <c r="R805" i="4"/>
  <c r="Q805" i="4"/>
  <c r="O805" i="4"/>
  <c r="N805" i="4"/>
  <c r="M805" i="4"/>
  <c r="I805" i="4"/>
  <c r="H805" i="4"/>
  <c r="G805" i="4"/>
  <c r="F805" i="4"/>
  <c r="E805" i="4"/>
  <c r="C805" i="4"/>
  <c r="P805" i="4" s="1"/>
  <c r="B805" i="4"/>
  <c r="A805" i="4"/>
  <c r="D805" i="4" s="1"/>
  <c r="AF804" i="4"/>
  <c r="AE804" i="4"/>
  <c r="AD804" i="4"/>
  <c r="AC804" i="4"/>
  <c r="AA804" i="4"/>
  <c r="Z804" i="4"/>
  <c r="Y804" i="4"/>
  <c r="W804" i="4"/>
  <c r="V804" i="4"/>
  <c r="U804" i="4"/>
  <c r="Q804" i="4"/>
  <c r="P804" i="4"/>
  <c r="O804" i="4"/>
  <c r="N804" i="4"/>
  <c r="M804" i="4"/>
  <c r="I804" i="4"/>
  <c r="H804" i="4"/>
  <c r="G804" i="4"/>
  <c r="F804" i="4"/>
  <c r="E804" i="4"/>
  <c r="D804" i="4"/>
  <c r="C804" i="4"/>
  <c r="B804" i="4"/>
  <c r="A804" i="4"/>
  <c r="AF803" i="4"/>
  <c r="AE803" i="4"/>
  <c r="AD803" i="4"/>
  <c r="AC803" i="4"/>
  <c r="Z803" i="4"/>
  <c r="AA803" i="4" s="1"/>
  <c r="Y803" i="4"/>
  <c r="X803" i="4"/>
  <c r="W803" i="4"/>
  <c r="V803" i="4"/>
  <c r="U803" i="4"/>
  <c r="S803" i="4"/>
  <c r="R803" i="4"/>
  <c r="Q803" i="4"/>
  <c r="P803" i="4"/>
  <c r="O803" i="4"/>
  <c r="N803" i="4"/>
  <c r="M803" i="4"/>
  <c r="J803" i="4"/>
  <c r="K803" i="4" s="1"/>
  <c r="I803" i="4"/>
  <c r="H803" i="4"/>
  <c r="G803" i="4"/>
  <c r="F803" i="4"/>
  <c r="E803" i="4"/>
  <c r="C803" i="4"/>
  <c r="B803" i="4"/>
  <c r="A803" i="4"/>
  <c r="AF802" i="4"/>
  <c r="AE802" i="4"/>
  <c r="AD802" i="4"/>
  <c r="AC802" i="4"/>
  <c r="Y802" i="4"/>
  <c r="W802" i="4"/>
  <c r="V802" i="4"/>
  <c r="U802" i="4"/>
  <c r="R802" i="4"/>
  <c r="S802" i="4" s="1"/>
  <c r="Q802" i="4"/>
  <c r="O802" i="4"/>
  <c r="N802" i="4"/>
  <c r="M802" i="4"/>
  <c r="I802" i="4"/>
  <c r="H802" i="4"/>
  <c r="G802" i="4"/>
  <c r="F802" i="4"/>
  <c r="E802" i="4"/>
  <c r="D802" i="4"/>
  <c r="C802" i="4"/>
  <c r="B802" i="4"/>
  <c r="A802" i="4"/>
  <c r="AF801" i="4"/>
  <c r="AE801" i="4"/>
  <c r="AD801" i="4"/>
  <c r="AC801" i="4"/>
  <c r="Z801" i="4"/>
  <c r="AA801" i="4" s="1"/>
  <c r="Y801" i="4"/>
  <c r="X801" i="4"/>
  <c r="W801" i="4"/>
  <c r="V801" i="4"/>
  <c r="U801" i="4"/>
  <c r="Q801" i="4"/>
  <c r="O801" i="4"/>
  <c r="N801" i="4"/>
  <c r="M801" i="4"/>
  <c r="I801" i="4"/>
  <c r="H801" i="4"/>
  <c r="G801" i="4"/>
  <c r="F801" i="4"/>
  <c r="E801" i="4"/>
  <c r="D801" i="4"/>
  <c r="C801" i="4"/>
  <c r="R801" i="4" s="1"/>
  <c r="S801" i="4" s="1"/>
  <c r="B801" i="4"/>
  <c r="A801" i="4"/>
  <c r="AF800" i="4"/>
  <c r="AE800" i="4"/>
  <c r="AD800" i="4"/>
  <c r="AC800" i="4"/>
  <c r="Z800" i="4"/>
  <c r="Y800" i="4"/>
  <c r="X800" i="4"/>
  <c r="W800" i="4"/>
  <c r="V800" i="4"/>
  <c r="U800" i="4"/>
  <c r="R800" i="4"/>
  <c r="S800" i="4" s="1"/>
  <c r="Q800" i="4"/>
  <c r="P800" i="4"/>
  <c r="O800" i="4"/>
  <c r="N800" i="4"/>
  <c r="M800" i="4"/>
  <c r="J800" i="4"/>
  <c r="K800" i="4" s="1"/>
  <c r="I800" i="4"/>
  <c r="H800" i="4"/>
  <c r="G800" i="4"/>
  <c r="F800" i="4"/>
  <c r="E800" i="4"/>
  <c r="D800" i="4"/>
  <c r="C800" i="4"/>
  <c r="B800" i="4"/>
  <c r="A800" i="4"/>
  <c r="AF799" i="4"/>
  <c r="AE799" i="4"/>
  <c r="AD799" i="4"/>
  <c r="AC799" i="4"/>
  <c r="Y799" i="4"/>
  <c r="W799" i="4"/>
  <c r="V799" i="4"/>
  <c r="U799" i="4"/>
  <c r="R799" i="4"/>
  <c r="S799" i="4" s="1"/>
  <c r="Q799" i="4"/>
  <c r="O799" i="4"/>
  <c r="N799" i="4"/>
  <c r="M799" i="4"/>
  <c r="I799" i="4"/>
  <c r="H799" i="4"/>
  <c r="G799" i="4"/>
  <c r="F799" i="4"/>
  <c r="E799" i="4"/>
  <c r="C799" i="4"/>
  <c r="B799" i="4"/>
  <c r="A799" i="4"/>
  <c r="AF798" i="4"/>
  <c r="AE798" i="4"/>
  <c r="AD798" i="4"/>
  <c r="AC798" i="4"/>
  <c r="Z798" i="4"/>
  <c r="AA798" i="4" s="1"/>
  <c r="Y798" i="4"/>
  <c r="W798" i="4"/>
  <c r="V798" i="4"/>
  <c r="U798" i="4"/>
  <c r="R798" i="4"/>
  <c r="S798" i="4" s="1"/>
  <c r="Q798" i="4"/>
  <c r="O798" i="4"/>
  <c r="N798" i="4"/>
  <c r="M798" i="4"/>
  <c r="J798" i="4"/>
  <c r="K798" i="4" s="1"/>
  <c r="I798" i="4"/>
  <c r="H798" i="4"/>
  <c r="G798" i="4"/>
  <c r="F798" i="4"/>
  <c r="E798" i="4"/>
  <c r="D798" i="4"/>
  <c r="C798" i="4"/>
  <c r="P798" i="4" s="1"/>
  <c r="B798" i="4"/>
  <c r="A798" i="4"/>
  <c r="AF797" i="4"/>
  <c r="AE797" i="4"/>
  <c r="AD797" i="4"/>
  <c r="AC797" i="4"/>
  <c r="Z797" i="4"/>
  <c r="AA797" i="4" s="1"/>
  <c r="Y797" i="4"/>
  <c r="X797" i="4"/>
  <c r="W797" i="4"/>
  <c r="V797" i="4"/>
  <c r="U797" i="4"/>
  <c r="S797" i="4"/>
  <c r="R797" i="4"/>
  <c r="Q797" i="4"/>
  <c r="P797" i="4"/>
  <c r="O797" i="4"/>
  <c r="N797" i="4"/>
  <c r="M797" i="4"/>
  <c r="J797" i="4"/>
  <c r="K797" i="4" s="1"/>
  <c r="I797" i="4"/>
  <c r="H797" i="4"/>
  <c r="G797" i="4"/>
  <c r="F797" i="4"/>
  <c r="E797" i="4"/>
  <c r="D797" i="4"/>
  <c r="C797" i="4"/>
  <c r="B797" i="4"/>
  <c r="A797" i="4"/>
  <c r="AF796" i="4"/>
  <c r="AE796" i="4"/>
  <c r="AD796" i="4"/>
  <c r="AC796" i="4"/>
  <c r="Y796" i="4"/>
  <c r="W796" i="4"/>
  <c r="V796" i="4"/>
  <c r="U796" i="4"/>
  <c r="Q796" i="4"/>
  <c r="P796" i="4"/>
  <c r="O796" i="4"/>
  <c r="N796" i="4"/>
  <c r="M796" i="4"/>
  <c r="I796" i="4"/>
  <c r="H796" i="4"/>
  <c r="G796" i="4"/>
  <c r="F796" i="4"/>
  <c r="E796" i="4"/>
  <c r="D796" i="4"/>
  <c r="C796" i="4"/>
  <c r="B796" i="4"/>
  <c r="A796" i="4"/>
  <c r="AF795" i="4"/>
  <c r="AE795" i="4"/>
  <c r="AD795" i="4"/>
  <c r="AC795" i="4"/>
  <c r="Y795" i="4"/>
  <c r="W795" i="4"/>
  <c r="V795" i="4"/>
  <c r="U795" i="4"/>
  <c r="Q795" i="4"/>
  <c r="P795" i="4"/>
  <c r="O795" i="4"/>
  <c r="N795" i="4"/>
  <c r="M795" i="4"/>
  <c r="I795" i="4"/>
  <c r="H795" i="4"/>
  <c r="G795" i="4"/>
  <c r="F795" i="4"/>
  <c r="E795" i="4"/>
  <c r="D795" i="4"/>
  <c r="C795" i="4"/>
  <c r="B795" i="4"/>
  <c r="A795" i="4"/>
  <c r="AF794" i="4"/>
  <c r="AE794" i="4"/>
  <c r="AD794" i="4"/>
  <c r="AC794" i="4"/>
  <c r="Z794" i="4"/>
  <c r="Y794" i="4"/>
  <c r="X794" i="4"/>
  <c r="W794" i="4"/>
  <c r="V794" i="4"/>
  <c r="U794" i="4"/>
  <c r="R794" i="4"/>
  <c r="S794" i="4" s="1"/>
  <c r="Q794" i="4"/>
  <c r="P794" i="4"/>
  <c r="O794" i="4"/>
  <c r="N794" i="4"/>
  <c r="M794" i="4"/>
  <c r="J794" i="4"/>
  <c r="K794" i="4" s="1"/>
  <c r="I794" i="4"/>
  <c r="H794" i="4"/>
  <c r="G794" i="4"/>
  <c r="F794" i="4"/>
  <c r="E794" i="4"/>
  <c r="C794" i="4"/>
  <c r="B794" i="4"/>
  <c r="A794" i="4"/>
  <c r="AF793" i="4"/>
  <c r="AE793" i="4"/>
  <c r="AD793" i="4"/>
  <c r="AC793" i="4"/>
  <c r="Z793" i="4"/>
  <c r="AA793" i="4" s="1"/>
  <c r="Y793" i="4"/>
  <c r="X793" i="4"/>
  <c r="W793" i="4"/>
  <c r="V793" i="4"/>
  <c r="U793" i="4"/>
  <c r="S793" i="4"/>
  <c r="R793" i="4"/>
  <c r="Q793" i="4"/>
  <c r="O793" i="4"/>
  <c r="N793" i="4"/>
  <c r="M793" i="4"/>
  <c r="I793" i="4"/>
  <c r="H793" i="4"/>
  <c r="G793" i="4"/>
  <c r="F793" i="4"/>
  <c r="E793" i="4"/>
  <c r="C793" i="4"/>
  <c r="P793" i="4" s="1"/>
  <c r="B793" i="4"/>
  <c r="A793" i="4"/>
  <c r="D793" i="4" s="1"/>
  <c r="AF792" i="4"/>
  <c r="AE792" i="4"/>
  <c r="AD792" i="4"/>
  <c r="AC792" i="4"/>
  <c r="Y792" i="4"/>
  <c r="W792" i="4"/>
  <c r="V792" i="4"/>
  <c r="U792" i="4"/>
  <c r="R792" i="4"/>
  <c r="S792" i="4" s="1"/>
  <c r="Q792" i="4"/>
  <c r="O792" i="4"/>
  <c r="N792" i="4"/>
  <c r="M792" i="4"/>
  <c r="I792" i="4"/>
  <c r="H792" i="4"/>
  <c r="G792" i="4"/>
  <c r="F792" i="4"/>
  <c r="E792" i="4"/>
  <c r="D792" i="4"/>
  <c r="C792" i="4"/>
  <c r="B792" i="4"/>
  <c r="A792" i="4"/>
  <c r="AF791" i="4"/>
  <c r="AE791" i="4"/>
  <c r="AD791" i="4"/>
  <c r="AC791" i="4"/>
  <c r="Z791" i="4"/>
  <c r="AA791" i="4" s="1"/>
  <c r="Y791" i="4"/>
  <c r="X791" i="4"/>
  <c r="W791" i="4"/>
  <c r="V791" i="4"/>
  <c r="U791" i="4"/>
  <c r="S791" i="4"/>
  <c r="R791" i="4"/>
  <c r="Q791" i="4"/>
  <c r="P791" i="4"/>
  <c r="O791" i="4"/>
  <c r="N791" i="4"/>
  <c r="M791" i="4"/>
  <c r="K791" i="4"/>
  <c r="J791" i="4"/>
  <c r="I791" i="4"/>
  <c r="H791" i="4"/>
  <c r="G791" i="4"/>
  <c r="F791" i="4"/>
  <c r="E791" i="4"/>
  <c r="C791" i="4"/>
  <c r="B791" i="4"/>
  <c r="A791" i="4"/>
  <c r="AF790" i="4"/>
  <c r="AE790" i="4"/>
  <c r="AD790" i="4"/>
  <c r="AC790" i="4"/>
  <c r="Y790" i="4"/>
  <c r="W790" i="4"/>
  <c r="V790" i="4"/>
  <c r="U790" i="4"/>
  <c r="Q790" i="4"/>
  <c r="P790" i="4"/>
  <c r="O790" i="4"/>
  <c r="N790" i="4"/>
  <c r="M790" i="4"/>
  <c r="I790" i="4"/>
  <c r="H790" i="4"/>
  <c r="G790" i="4"/>
  <c r="F790" i="4"/>
  <c r="E790" i="4"/>
  <c r="D790" i="4"/>
  <c r="C790" i="4"/>
  <c r="B790" i="4"/>
  <c r="A790" i="4"/>
  <c r="AF789" i="4"/>
  <c r="AE789" i="4"/>
  <c r="AD789" i="4"/>
  <c r="AC789" i="4"/>
  <c r="Z789" i="4"/>
  <c r="AA789" i="4" s="1"/>
  <c r="Y789" i="4"/>
  <c r="X789" i="4"/>
  <c r="W789" i="4"/>
  <c r="V789" i="4"/>
  <c r="U789" i="4"/>
  <c r="Q789" i="4"/>
  <c r="P789" i="4"/>
  <c r="O789" i="4"/>
  <c r="N789" i="4"/>
  <c r="M789" i="4"/>
  <c r="K789" i="4"/>
  <c r="J789" i="4"/>
  <c r="I789" i="4"/>
  <c r="H789" i="4"/>
  <c r="G789" i="4"/>
  <c r="F789" i="4"/>
  <c r="E789" i="4"/>
  <c r="D789" i="4"/>
  <c r="C789" i="4"/>
  <c r="R789" i="4" s="1"/>
  <c r="S789" i="4" s="1"/>
  <c r="B789" i="4"/>
  <c r="A789" i="4"/>
  <c r="AF788" i="4"/>
  <c r="AE788" i="4"/>
  <c r="AD788" i="4"/>
  <c r="AC788" i="4"/>
  <c r="Z788" i="4"/>
  <c r="Y788" i="4"/>
  <c r="X788" i="4"/>
  <c r="W788" i="4"/>
  <c r="V788" i="4"/>
  <c r="U788" i="4"/>
  <c r="R788" i="4"/>
  <c r="S788" i="4" s="1"/>
  <c r="Q788" i="4"/>
  <c r="P788" i="4"/>
  <c r="O788" i="4"/>
  <c r="N788" i="4"/>
  <c r="M788" i="4"/>
  <c r="J788" i="4"/>
  <c r="K788" i="4" s="1"/>
  <c r="I788" i="4"/>
  <c r="H788" i="4"/>
  <c r="G788" i="4"/>
  <c r="F788" i="4"/>
  <c r="E788" i="4"/>
  <c r="D788" i="4"/>
  <c r="C788" i="4"/>
  <c r="B788" i="4"/>
  <c r="A788" i="4"/>
  <c r="AF787" i="4"/>
  <c r="AE787" i="4"/>
  <c r="AD787" i="4"/>
  <c r="AC787" i="4"/>
  <c r="Z787" i="4"/>
  <c r="AA787" i="4" s="1"/>
  <c r="Y787" i="4"/>
  <c r="X787" i="4"/>
  <c r="W787" i="4"/>
  <c r="V787" i="4"/>
  <c r="U787" i="4"/>
  <c r="Q787" i="4"/>
  <c r="P787" i="4"/>
  <c r="O787" i="4"/>
  <c r="N787" i="4"/>
  <c r="M787" i="4"/>
  <c r="I787" i="4"/>
  <c r="H787" i="4"/>
  <c r="G787" i="4"/>
  <c r="F787" i="4"/>
  <c r="E787" i="4"/>
  <c r="C787" i="4"/>
  <c r="J787" i="4" s="1"/>
  <c r="K787" i="4" s="1"/>
  <c r="B787" i="4"/>
  <c r="A787" i="4"/>
  <c r="AF786" i="4"/>
  <c r="AE786" i="4"/>
  <c r="AD786" i="4"/>
  <c r="AC786" i="4"/>
  <c r="Z786" i="4"/>
  <c r="AA786" i="4" s="1"/>
  <c r="Y786" i="4"/>
  <c r="W786" i="4"/>
  <c r="V786" i="4"/>
  <c r="U786" i="4"/>
  <c r="R786" i="4"/>
  <c r="S786" i="4" s="1"/>
  <c r="Q786" i="4"/>
  <c r="O786" i="4"/>
  <c r="N786" i="4"/>
  <c r="M786" i="4"/>
  <c r="J786" i="4"/>
  <c r="K786" i="4" s="1"/>
  <c r="I786" i="4"/>
  <c r="H786" i="4"/>
  <c r="G786" i="4"/>
  <c r="F786" i="4"/>
  <c r="E786" i="4"/>
  <c r="D786" i="4"/>
  <c r="C786" i="4"/>
  <c r="P786" i="4" s="1"/>
  <c r="B786" i="4"/>
  <c r="A786" i="4"/>
  <c r="AF785" i="4"/>
  <c r="AE785" i="4"/>
  <c r="AD785" i="4"/>
  <c r="AC785" i="4"/>
  <c r="Z785" i="4"/>
  <c r="AA785" i="4" s="1"/>
  <c r="Y785" i="4"/>
  <c r="X785" i="4"/>
  <c r="W785" i="4"/>
  <c r="V785" i="4"/>
  <c r="U785" i="4"/>
  <c r="S785" i="4"/>
  <c r="R785" i="4"/>
  <c r="Q785" i="4"/>
  <c r="P785" i="4"/>
  <c r="O785" i="4"/>
  <c r="N785" i="4"/>
  <c r="M785" i="4"/>
  <c r="J785" i="4"/>
  <c r="K785" i="4" s="1"/>
  <c r="I785" i="4"/>
  <c r="H785" i="4"/>
  <c r="G785" i="4"/>
  <c r="F785" i="4"/>
  <c r="E785" i="4"/>
  <c r="D785" i="4"/>
  <c r="C785" i="4"/>
  <c r="B785" i="4"/>
  <c r="A785" i="4"/>
  <c r="AF784" i="4"/>
  <c r="AE784" i="4"/>
  <c r="AD784" i="4"/>
  <c r="AC784" i="4"/>
  <c r="Y784" i="4"/>
  <c r="X784" i="4"/>
  <c r="W784" i="4"/>
  <c r="V784" i="4"/>
  <c r="U784" i="4"/>
  <c r="Q784" i="4"/>
  <c r="O784" i="4"/>
  <c r="N784" i="4"/>
  <c r="M784" i="4"/>
  <c r="I784" i="4"/>
  <c r="H784" i="4"/>
  <c r="G784" i="4"/>
  <c r="F784" i="4"/>
  <c r="E784" i="4"/>
  <c r="D784" i="4"/>
  <c r="C784" i="4"/>
  <c r="J784" i="4" s="1"/>
  <c r="K784" i="4" s="1"/>
  <c r="B784" i="4"/>
  <c r="A784" i="4"/>
  <c r="AF783" i="4"/>
  <c r="AE783" i="4"/>
  <c r="AD783" i="4"/>
  <c r="AC783" i="4"/>
  <c r="Y783" i="4"/>
  <c r="W783" i="4"/>
  <c r="V783" i="4"/>
  <c r="U783" i="4"/>
  <c r="Q783" i="4"/>
  <c r="P783" i="4"/>
  <c r="O783" i="4"/>
  <c r="N783" i="4"/>
  <c r="M783" i="4"/>
  <c r="I783" i="4"/>
  <c r="H783" i="4"/>
  <c r="G783" i="4"/>
  <c r="F783" i="4"/>
  <c r="E783" i="4"/>
  <c r="D783" i="4"/>
  <c r="C783" i="4"/>
  <c r="B783" i="4"/>
  <c r="A783" i="4"/>
  <c r="AF782" i="4"/>
  <c r="AE782" i="4"/>
  <c r="AD782" i="4"/>
  <c r="AC782" i="4"/>
  <c r="Z782" i="4"/>
  <c r="Y782" i="4"/>
  <c r="X782" i="4"/>
  <c r="W782" i="4"/>
  <c r="V782" i="4"/>
  <c r="U782" i="4"/>
  <c r="R782" i="4"/>
  <c r="S782" i="4" s="1"/>
  <c r="Q782" i="4"/>
  <c r="P782" i="4"/>
  <c r="O782" i="4"/>
  <c r="N782" i="4"/>
  <c r="M782" i="4"/>
  <c r="K782" i="4"/>
  <c r="J782" i="4"/>
  <c r="I782" i="4"/>
  <c r="H782" i="4"/>
  <c r="G782" i="4"/>
  <c r="F782" i="4"/>
  <c r="E782" i="4"/>
  <c r="D782" i="4"/>
  <c r="C782" i="4"/>
  <c r="B782" i="4"/>
  <c r="A782" i="4"/>
  <c r="AF781" i="4"/>
  <c r="AE781" i="4"/>
  <c r="AD781" i="4"/>
  <c r="AC781" i="4"/>
  <c r="Z781" i="4"/>
  <c r="AA781" i="4" s="1"/>
  <c r="Y781" i="4"/>
  <c r="X781" i="4"/>
  <c r="W781" i="4"/>
  <c r="V781" i="4"/>
  <c r="U781" i="4"/>
  <c r="S781" i="4"/>
  <c r="R781" i="4"/>
  <c r="Q781" i="4"/>
  <c r="O781" i="4"/>
  <c r="N781" i="4"/>
  <c r="M781" i="4"/>
  <c r="I781" i="4"/>
  <c r="H781" i="4"/>
  <c r="G781" i="4"/>
  <c r="F781" i="4"/>
  <c r="E781" i="4"/>
  <c r="C781" i="4"/>
  <c r="P781" i="4" s="1"/>
  <c r="B781" i="4"/>
  <c r="A781" i="4"/>
  <c r="AF780" i="4"/>
  <c r="AE780" i="4"/>
  <c r="AD780" i="4"/>
  <c r="AC780" i="4"/>
  <c r="AA780" i="4"/>
  <c r="Z780" i="4"/>
  <c r="Y780" i="4"/>
  <c r="W780" i="4"/>
  <c r="V780" i="4"/>
  <c r="U780" i="4"/>
  <c r="Q780" i="4"/>
  <c r="P780" i="4"/>
  <c r="O780" i="4"/>
  <c r="N780" i="4"/>
  <c r="M780" i="4"/>
  <c r="I780" i="4"/>
  <c r="H780" i="4"/>
  <c r="G780" i="4"/>
  <c r="F780" i="4"/>
  <c r="E780" i="4"/>
  <c r="C780" i="4"/>
  <c r="B780" i="4"/>
  <c r="A780" i="4"/>
  <c r="AF779" i="4"/>
  <c r="AE779" i="4"/>
  <c r="AD779" i="4"/>
  <c r="AC779" i="4"/>
  <c r="Z779" i="4"/>
  <c r="AA779" i="4" s="1"/>
  <c r="Y779" i="4"/>
  <c r="X779" i="4"/>
  <c r="W779" i="4"/>
  <c r="V779" i="4"/>
  <c r="U779" i="4"/>
  <c r="S779" i="4"/>
  <c r="R779" i="4"/>
  <c r="Q779" i="4"/>
  <c r="P779" i="4"/>
  <c r="O779" i="4"/>
  <c r="N779" i="4"/>
  <c r="M779" i="4"/>
  <c r="J779" i="4"/>
  <c r="I779" i="4"/>
  <c r="H779" i="4"/>
  <c r="G779" i="4"/>
  <c r="K779" i="4" s="1"/>
  <c r="F779" i="4"/>
  <c r="E779" i="4"/>
  <c r="C779" i="4"/>
  <c r="B779" i="4"/>
  <c r="A779" i="4"/>
  <c r="AF778" i="4"/>
  <c r="AE778" i="4"/>
  <c r="AD778" i="4"/>
  <c r="AC778" i="4"/>
  <c r="AA778" i="4"/>
  <c r="Y778" i="4"/>
  <c r="X778" i="4"/>
  <c r="W778" i="4"/>
  <c r="V778" i="4"/>
  <c r="U778" i="4"/>
  <c r="Q778" i="4"/>
  <c r="O778" i="4"/>
  <c r="N778" i="4"/>
  <c r="M778" i="4"/>
  <c r="J778" i="4"/>
  <c r="K778" i="4" s="1"/>
  <c r="I778" i="4"/>
  <c r="H778" i="4"/>
  <c r="G778" i="4"/>
  <c r="F778" i="4"/>
  <c r="E778" i="4"/>
  <c r="D778" i="4"/>
  <c r="C778" i="4"/>
  <c r="Z778" i="4" s="1"/>
  <c r="B778" i="4"/>
  <c r="A778" i="4"/>
  <c r="AF777" i="4"/>
  <c r="AE777" i="4"/>
  <c r="AD777" i="4"/>
  <c r="AC777" i="4"/>
  <c r="Y777" i="4"/>
  <c r="W777" i="4"/>
  <c r="V777" i="4"/>
  <c r="U777" i="4"/>
  <c r="Q777" i="4"/>
  <c r="O777" i="4"/>
  <c r="N777" i="4"/>
  <c r="M777" i="4"/>
  <c r="I777" i="4"/>
  <c r="H777" i="4"/>
  <c r="G777" i="4"/>
  <c r="F777" i="4"/>
  <c r="E777" i="4"/>
  <c r="C777" i="4"/>
  <c r="B777" i="4"/>
  <c r="A777" i="4"/>
  <c r="AF776" i="4"/>
  <c r="AE776" i="4"/>
  <c r="AD776" i="4"/>
  <c r="AC776" i="4"/>
  <c r="Z776" i="4"/>
  <c r="Y776" i="4"/>
  <c r="X776" i="4"/>
  <c r="W776" i="4"/>
  <c r="V776" i="4"/>
  <c r="U776" i="4"/>
  <c r="R776" i="4"/>
  <c r="S776" i="4" s="1"/>
  <c r="Q776" i="4"/>
  <c r="O776" i="4"/>
  <c r="N776" i="4"/>
  <c r="M776" i="4"/>
  <c r="I776" i="4"/>
  <c r="H776" i="4"/>
  <c r="G776" i="4"/>
  <c r="F776" i="4"/>
  <c r="E776" i="4"/>
  <c r="C776" i="4"/>
  <c r="P776" i="4" s="1"/>
  <c r="B776" i="4"/>
  <c r="A776" i="4"/>
  <c r="AF775" i="4"/>
  <c r="AE775" i="4"/>
  <c r="AD775" i="4"/>
  <c r="AC775" i="4"/>
  <c r="Z775" i="4"/>
  <c r="AA775" i="4" s="1"/>
  <c r="Y775" i="4"/>
  <c r="W775" i="4"/>
  <c r="V775" i="4"/>
  <c r="U775" i="4"/>
  <c r="Q775" i="4"/>
  <c r="P775" i="4"/>
  <c r="O775" i="4"/>
  <c r="N775" i="4"/>
  <c r="M775" i="4"/>
  <c r="J775" i="4"/>
  <c r="K775" i="4" s="1"/>
  <c r="I775" i="4"/>
  <c r="H775" i="4"/>
  <c r="G775" i="4"/>
  <c r="F775" i="4"/>
  <c r="E775" i="4"/>
  <c r="C775" i="4"/>
  <c r="B775" i="4"/>
  <c r="A775" i="4"/>
  <c r="AF774" i="4"/>
  <c r="AE774" i="4"/>
  <c r="AD774" i="4"/>
  <c r="AC774" i="4"/>
  <c r="Y774" i="4"/>
  <c r="W774" i="4"/>
  <c r="V774" i="4"/>
  <c r="U774" i="4"/>
  <c r="Q774" i="4"/>
  <c r="O774" i="4"/>
  <c r="N774" i="4"/>
  <c r="M774" i="4"/>
  <c r="I774" i="4"/>
  <c r="H774" i="4"/>
  <c r="G774" i="4"/>
  <c r="F774" i="4"/>
  <c r="E774" i="4"/>
  <c r="C774" i="4"/>
  <c r="B774" i="4"/>
  <c r="A774" i="4"/>
  <c r="AF773" i="4"/>
  <c r="AE773" i="4"/>
  <c r="AD773" i="4"/>
  <c r="AC773" i="4"/>
  <c r="Z773" i="4"/>
  <c r="Y773" i="4"/>
  <c r="X773" i="4"/>
  <c r="W773" i="4"/>
  <c r="V773" i="4"/>
  <c r="U773" i="4"/>
  <c r="R773" i="4"/>
  <c r="S773" i="4" s="1"/>
  <c r="Q773" i="4"/>
  <c r="O773" i="4"/>
  <c r="N773" i="4"/>
  <c r="M773" i="4"/>
  <c r="I773" i="4"/>
  <c r="H773" i="4"/>
  <c r="G773" i="4"/>
  <c r="F773" i="4"/>
  <c r="E773" i="4"/>
  <c r="C773" i="4"/>
  <c r="P773" i="4" s="1"/>
  <c r="B773" i="4"/>
  <c r="A773" i="4"/>
  <c r="AF772" i="4"/>
  <c r="AE772" i="4"/>
  <c r="AD772" i="4"/>
  <c r="AC772" i="4"/>
  <c r="Z772" i="4"/>
  <c r="AA772" i="4" s="1"/>
  <c r="Y772" i="4"/>
  <c r="W772" i="4"/>
  <c r="V772" i="4"/>
  <c r="U772" i="4"/>
  <c r="Q772" i="4"/>
  <c r="O772" i="4"/>
  <c r="N772" i="4"/>
  <c r="M772" i="4"/>
  <c r="J772" i="4"/>
  <c r="I772" i="4"/>
  <c r="H772" i="4"/>
  <c r="G772" i="4"/>
  <c r="F772" i="4"/>
  <c r="E772" i="4"/>
  <c r="C772" i="4"/>
  <c r="P772" i="4" s="1"/>
  <c r="B772" i="4"/>
  <c r="A772" i="4"/>
  <c r="AF771" i="4"/>
  <c r="AE771" i="4"/>
  <c r="AD771" i="4"/>
  <c r="AC771" i="4"/>
  <c r="Y771" i="4"/>
  <c r="W771" i="4"/>
  <c r="V771" i="4"/>
  <c r="U771" i="4"/>
  <c r="R771" i="4"/>
  <c r="Q771" i="4"/>
  <c r="P771" i="4"/>
  <c r="O771" i="4"/>
  <c r="N771" i="4"/>
  <c r="M771" i="4"/>
  <c r="I771" i="4"/>
  <c r="H771" i="4"/>
  <c r="G771" i="4"/>
  <c r="F771" i="4"/>
  <c r="E771" i="4"/>
  <c r="C771" i="4"/>
  <c r="B771" i="4"/>
  <c r="A771" i="4"/>
  <c r="AF770" i="4"/>
  <c r="AE770" i="4"/>
  <c r="AD770" i="4"/>
  <c r="AC770" i="4"/>
  <c r="Z770" i="4"/>
  <c r="AA770" i="4" s="1"/>
  <c r="Y770" i="4"/>
  <c r="W770" i="4"/>
  <c r="V770" i="4"/>
  <c r="U770" i="4"/>
  <c r="Q770" i="4"/>
  <c r="O770" i="4"/>
  <c r="N770" i="4"/>
  <c r="M770" i="4"/>
  <c r="I770" i="4"/>
  <c r="H770" i="4"/>
  <c r="G770" i="4"/>
  <c r="F770" i="4"/>
  <c r="E770" i="4"/>
  <c r="C770" i="4"/>
  <c r="X770" i="4" s="1"/>
  <c r="B770" i="4"/>
  <c r="A770" i="4"/>
  <c r="AF769" i="4"/>
  <c r="AE769" i="4"/>
  <c r="AD769" i="4"/>
  <c r="AC769" i="4"/>
  <c r="Y769" i="4"/>
  <c r="W769" i="4"/>
  <c r="V769" i="4"/>
  <c r="U769" i="4"/>
  <c r="Q769" i="4"/>
  <c r="O769" i="4"/>
  <c r="N769" i="4"/>
  <c r="M769" i="4"/>
  <c r="K769" i="4"/>
  <c r="J769" i="4"/>
  <c r="I769" i="4"/>
  <c r="H769" i="4"/>
  <c r="G769" i="4"/>
  <c r="F769" i="4"/>
  <c r="E769" i="4"/>
  <c r="C769" i="4"/>
  <c r="B769" i="4"/>
  <c r="A769" i="4"/>
  <c r="AF768" i="4"/>
  <c r="AE768" i="4"/>
  <c r="AD768" i="4"/>
  <c r="AC768" i="4"/>
  <c r="Y768" i="4"/>
  <c r="W768" i="4"/>
  <c r="V768" i="4"/>
  <c r="U768" i="4"/>
  <c r="Q768" i="4"/>
  <c r="P768" i="4"/>
  <c r="O768" i="4"/>
  <c r="N768" i="4"/>
  <c r="M768" i="4"/>
  <c r="I768" i="4"/>
  <c r="H768" i="4"/>
  <c r="G768" i="4"/>
  <c r="F768" i="4"/>
  <c r="E768" i="4"/>
  <c r="D768" i="4"/>
  <c r="C768" i="4"/>
  <c r="B768" i="4"/>
  <c r="A768" i="4"/>
  <c r="AF767" i="4"/>
  <c r="AE767" i="4"/>
  <c r="AD767" i="4"/>
  <c r="AC767" i="4"/>
  <c r="Z767" i="4"/>
  <c r="Y767" i="4"/>
  <c r="X767" i="4"/>
  <c r="W767" i="4"/>
  <c r="V767" i="4"/>
  <c r="U767" i="4"/>
  <c r="Q767" i="4"/>
  <c r="O767" i="4"/>
  <c r="N767" i="4"/>
  <c r="M767" i="4"/>
  <c r="I767" i="4"/>
  <c r="H767" i="4"/>
  <c r="G767" i="4"/>
  <c r="F767" i="4"/>
  <c r="E767" i="4"/>
  <c r="C767" i="4"/>
  <c r="B767" i="4"/>
  <c r="A767" i="4"/>
  <c r="AF766" i="4"/>
  <c r="AE766" i="4"/>
  <c r="AD766" i="4"/>
  <c r="AC766" i="4"/>
  <c r="Y766" i="4"/>
  <c r="W766" i="4"/>
  <c r="V766" i="4"/>
  <c r="U766" i="4"/>
  <c r="Q766" i="4"/>
  <c r="P766" i="4"/>
  <c r="O766" i="4"/>
  <c r="N766" i="4"/>
  <c r="M766" i="4"/>
  <c r="I766" i="4"/>
  <c r="H766" i="4"/>
  <c r="G766" i="4"/>
  <c r="F766" i="4"/>
  <c r="E766" i="4"/>
  <c r="C766" i="4"/>
  <c r="B766" i="4"/>
  <c r="A766" i="4"/>
  <c r="AF765" i="4"/>
  <c r="AE765" i="4"/>
  <c r="AD765" i="4"/>
  <c r="AC765" i="4"/>
  <c r="Y765" i="4"/>
  <c r="W765" i="4"/>
  <c r="AA765" i="4" s="1"/>
  <c r="V765" i="4"/>
  <c r="U765" i="4"/>
  <c r="R765" i="4"/>
  <c r="S765" i="4" s="1"/>
  <c r="Q765" i="4"/>
  <c r="P765" i="4"/>
  <c r="O765" i="4"/>
  <c r="N765" i="4"/>
  <c r="M765" i="4"/>
  <c r="J765" i="4"/>
  <c r="I765" i="4"/>
  <c r="H765" i="4"/>
  <c r="G765" i="4"/>
  <c r="F765" i="4"/>
  <c r="E765" i="4"/>
  <c r="C765" i="4"/>
  <c r="Z765" i="4" s="1"/>
  <c r="B765" i="4"/>
  <c r="A765" i="4"/>
  <c r="AF764" i="4"/>
  <c r="AE764" i="4"/>
  <c r="AD764" i="4"/>
  <c r="AC764" i="4"/>
  <c r="AA764" i="4"/>
  <c r="Z764" i="4"/>
  <c r="Y764" i="4"/>
  <c r="X764" i="4"/>
  <c r="W764" i="4"/>
  <c r="V764" i="4"/>
  <c r="U764" i="4"/>
  <c r="Q764" i="4"/>
  <c r="O764" i="4"/>
  <c r="N764" i="4"/>
  <c r="M764" i="4"/>
  <c r="I764" i="4"/>
  <c r="H764" i="4"/>
  <c r="G764" i="4"/>
  <c r="F764" i="4"/>
  <c r="E764" i="4"/>
  <c r="C764" i="4"/>
  <c r="B764" i="4"/>
  <c r="A764" i="4"/>
  <c r="AF763" i="4"/>
  <c r="AE763" i="4"/>
  <c r="AD763" i="4"/>
  <c r="AC763" i="4"/>
  <c r="Y763" i="4"/>
  <c r="W763" i="4"/>
  <c r="V763" i="4"/>
  <c r="U763" i="4"/>
  <c r="Q763" i="4"/>
  <c r="P763" i="4"/>
  <c r="O763" i="4"/>
  <c r="N763" i="4"/>
  <c r="M763" i="4"/>
  <c r="J763" i="4"/>
  <c r="I763" i="4"/>
  <c r="H763" i="4"/>
  <c r="G763" i="4"/>
  <c r="F763" i="4"/>
  <c r="E763" i="4"/>
  <c r="D763" i="4"/>
  <c r="C763" i="4"/>
  <c r="B763" i="4"/>
  <c r="A763" i="4"/>
  <c r="AF762" i="4"/>
  <c r="AE762" i="4"/>
  <c r="AD762" i="4"/>
  <c r="AC762" i="4"/>
  <c r="Y762" i="4"/>
  <c r="X762" i="4"/>
  <c r="W762" i="4"/>
  <c r="AA762" i="4" s="1"/>
  <c r="V762" i="4"/>
  <c r="U762" i="4"/>
  <c r="R762" i="4"/>
  <c r="S762" i="4" s="1"/>
  <c r="Q762" i="4"/>
  <c r="P762" i="4"/>
  <c r="O762" i="4"/>
  <c r="N762" i="4"/>
  <c r="M762" i="4"/>
  <c r="K762" i="4"/>
  <c r="J762" i="4"/>
  <c r="I762" i="4"/>
  <c r="H762" i="4"/>
  <c r="G762" i="4"/>
  <c r="F762" i="4"/>
  <c r="E762" i="4"/>
  <c r="D762" i="4"/>
  <c r="C762" i="4"/>
  <c r="Z762" i="4" s="1"/>
  <c r="B762" i="4"/>
  <c r="A762" i="4"/>
  <c r="AF761" i="4"/>
  <c r="AE761" i="4"/>
  <c r="AD761" i="4"/>
  <c r="AC761" i="4"/>
  <c r="Z761" i="4"/>
  <c r="AA761" i="4" s="1"/>
  <c r="Y761" i="4"/>
  <c r="X761" i="4"/>
  <c r="W761" i="4"/>
  <c r="V761" i="4"/>
  <c r="U761" i="4"/>
  <c r="R761" i="4"/>
  <c r="S761" i="4" s="1"/>
  <c r="Q761" i="4"/>
  <c r="O761" i="4"/>
  <c r="N761" i="4"/>
  <c r="M761" i="4"/>
  <c r="J761" i="4"/>
  <c r="I761" i="4"/>
  <c r="H761" i="4"/>
  <c r="G761" i="4"/>
  <c r="F761" i="4"/>
  <c r="E761" i="4"/>
  <c r="C761" i="4"/>
  <c r="P761" i="4" s="1"/>
  <c r="B761" i="4"/>
  <c r="A761" i="4"/>
  <c r="AF760" i="4"/>
  <c r="AE760" i="4"/>
  <c r="AD760" i="4"/>
  <c r="AC760" i="4"/>
  <c r="AA760" i="4"/>
  <c r="Z760" i="4"/>
  <c r="Y760" i="4"/>
  <c r="W760" i="4"/>
  <c r="V760" i="4"/>
  <c r="U760" i="4"/>
  <c r="R760" i="4"/>
  <c r="S760" i="4" s="1"/>
  <c r="Q760" i="4"/>
  <c r="O760" i="4"/>
  <c r="N760" i="4"/>
  <c r="M760" i="4"/>
  <c r="I760" i="4"/>
  <c r="H760" i="4"/>
  <c r="G760" i="4"/>
  <c r="F760" i="4"/>
  <c r="E760" i="4"/>
  <c r="D760" i="4"/>
  <c r="C760" i="4"/>
  <c r="B760" i="4"/>
  <c r="A760" i="4"/>
  <c r="AF759" i="4"/>
  <c r="AE759" i="4"/>
  <c r="AD759" i="4"/>
  <c r="AC759" i="4"/>
  <c r="Z759" i="4"/>
  <c r="AA759" i="4" s="1"/>
  <c r="Y759" i="4"/>
  <c r="X759" i="4"/>
  <c r="W759" i="4"/>
  <c r="V759" i="4"/>
  <c r="U759" i="4"/>
  <c r="R759" i="4"/>
  <c r="S759" i="4" s="1"/>
  <c r="Q759" i="4"/>
  <c r="P759" i="4"/>
  <c r="O759" i="4"/>
  <c r="N759" i="4"/>
  <c r="M759" i="4"/>
  <c r="J759" i="4"/>
  <c r="K759" i="4" s="1"/>
  <c r="I759" i="4"/>
  <c r="H759" i="4"/>
  <c r="G759" i="4"/>
  <c r="F759" i="4"/>
  <c r="E759" i="4"/>
  <c r="C759" i="4"/>
  <c r="B759" i="4"/>
  <c r="A759" i="4"/>
  <c r="AF758" i="4"/>
  <c r="AE758" i="4"/>
  <c r="AD758" i="4"/>
  <c r="AC758" i="4"/>
  <c r="Z758" i="4"/>
  <c r="AA758" i="4" s="1"/>
  <c r="Y758" i="4"/>
  <c r="X758" i="4"/>
  <c r="W758" i="4"/>
  <c r="V758" i="4"/>
  <c r="U758" i="4"/>
  <c r="R758" i="4"/>
  <c r="S758" i="4" s="1"/>
  <c r="Q758" i="4"/>
  <c r="O758" i="4"/>
  <c r="N758" i="4"/>
  <c r="M758" i="4"/>
  <c r="J758" i="4"/>
  <c r="I758" i="4"/>
  <c r="H758" i="4"/>
  <c r="G758" i="4"/>
  <c r="F758" i="4"/>
  <c r="E758" i="4"/>
  <c r="C758" i="4"/>
  <c r="P758" i="4" s="1"/>
  <c r="B758" i="4"/>
  <c r="A758" i="4"/>
  <c r="AF757" i="4"/>
  <c r="AE757" i="4"/>
  <c r="AD757" i="4"/>
  <c r="AC757" i="4"/>
  <c r="Y757" i="4"/>
  <c r="W757" i="4"/>
  <c r="V757" i="4"/>
  <c r="U757" i="4"/>
  <c r="R757" i="4"/>
  <c r="S757" i="4" s="1"/>
  <c r="Q757" i="4"/>
  <c r="T757" i="4" s="1"/>
  <c r="O757" i="4"/>
  <c r="N757" i="4"/>
  <c r="M757" i="4"/>
  <c r="I757" i="4"/>
  <c r="H757" i="4"/>
  <c r="G757" i="4"/>
  <c r="F757" i="4"/>
  <c r="E757" i="4"/>
  <c r="D757" i="4"/>
  <c r="C757" i="4"/>
  <c r="B757" i="4"/>
  <c r="A757" i="4"/>
  <c r="AF756" i="4"/>
  <c r="AE756" i="4"/>
  <c r="AD756" i="4"/>
  <c r="AC756" i="4"/>
  <c r="Z756" i="4"/>
  <c r="Y756" i="4"/>
  <c r="X756" i="4"/>
  <c r="W756" i="4"/>
  <c r="V756" i="4"/>
  <c r="U756" i="4"/>
  <c r="R756" i="4"/>
  <c r="S756" i="4" s="1"/>
  <c r="Q756" i="4"/>
  <c r="P756" i="4"/>
  <c r="O756" i="4"/>
  <c r="N756" i="4"/>
  <c r="M756" i="4"/>
  <c r="J756" i="4"/>
  <c r="K756" i="4" s="1"/>
  <c r="I756" i="4"/>
  <c r="H756" i="4"/>
  <c r="G756" i="4"/>
  <c r="F756" i="4"/>
  <c r="E756" i="4"/>
  <c r="C756" i="4"/>
  <c r="B756" i="4"/>
  <c r="A756" i="4"/>
  <c r="AF755" i="4"/>
  <c r="AE755" i="4"/>
  <c r="AD755" i="4"/>
  <c r="AC755" i="4"/>
  <c r="Z755" i="4"/>
  <c r="AA755" i="4" s="1"/>
  <c r="Y755" i="4"/>
  <c r="X755" i="4"/>
  <c r="W755" i="4"/>
  <c r="V755" i="4"/>
  <c r="U755" i="4"/>
  <c r="T755" i="4"/>
  <c r="R755" i="4"/>
  <c r="S755" i="4" s="1"/>
  <c r="Q755" i="4"/>
  <c r="O755" i="4"/>
  <c r="N755" i="4"/>
  <c r="M755" i="4"/>
  <c r="J755" i="4"/>
  <c r="I755" i="4"/>
  <c r="H755" i="4"/>
  <c r="G755" i="4"/>
  <c r="F755" i="4"/>
  <c r="E755" i="4"/>
  <c r="C755" i="4"/>
  <c r="P755" i="4" s="1"/>
  <c r="B755" i="4"/>
  <c r="A755" i="4"/>
  <c r="AF754" i="4"/>
  <c r="AE754" i="4"/>
  <c r="AD754" i="4"/>
  <c r="AC754" i="4"/>
  <c r="Z754" i="4"/>
  <c r="AA754" i="4" s="1"/>
  <c r="Y754" i="4"/>
  <c r="W754" i="4"/>
  <c r="V754" i="4"/>
  <c r="U754" i="4"/>
  <c r="T754" i="4"/>
  <c r="Q754" i="4"/>
  <c r="O754" i="4"/>
  <c r="N754" i="4"/>
  <c r="M754" i="4"/>
  <c r="J754" i="4"/>
  <c r="K754" i="4" s="1"/>
  <c r="I754" i="4"/>
  <c r="H754" i="4"/>
  <c r="G754" i="4"/>
  <c r="F754" i="4"/>
  <c r="E754" i="4"/>
  <c r="D754" i="4"/>
  <c r="C754" i="4"/>
  <c r="B754" i="4"/>
  <c r="A754" i="4"/>
  <c r="AF753" i="4"/>
  <c r="AE753" i="4"/>
  <c r="AD753" i="4"/>
  <c r="AC753" i="4"/>
  <c r="Z753" i="4"/>
  <c r="AA753" i="4" s="1"/>
  <c r="Y753" i="4"/>
  <c r="X753" i="4"/>
  <c r="W753" i="4"/>
  <c r="V753" i="4"/>
  <c r="U753" i="4"/>
  <c r="R753" i="4"/>
  <c r="S753" i="4" s="1"/>
  <c r="Q753" i="4"/>
  <c r="P753" i="4"/>
  <c r="O753" i="4"/>
  <c r="N753" i="4"/>
  <c r="M753" i="4"/>
  <c r="K753" i="4"/>
  <c r="J753" i="4"/>
  <c r="I753" i="4"/>
  <c r="H753" i="4"/>
  <c r="G753" i="4"/>
  <c r="F753" i="4"/>
  <c r="E753" i="4"/>
  <c r="C753" i="4"/>
  <c r="B753" i="4"/>
  <c r="A753" i="4"/>
  <c r="AF752" i="4"/>
  <c r="AE752" i="4"/>
  <c r="AD752" i="4"/>
  <c r="AC752" i="4"/>
  <c r="Z752" i="4"/>
  <c r="AA752" i="4" s="1"/>
  <c r="Y752" i="4"/>
  <c r="X752" i="4"/>
  <c r="W752" i="4"/>
  <c r="V752" i="4"/>
  <c r="U752" i="4"/>
  <c r="R752" i="4"/>
  <c r="S752" i="4" s="1"/>
  <c r="Q752" i="4"/>
  <c r="O752" i="4"/>
  <c r="N752" i="4"/>
  <c r="M752" i="4"/>
  <c r="J752" i="4"/>
  <c r="I752" i="4"/>
  <c r="H752" i="4"/>
  <c r="G752" i="4"/>
  <c r="F752" i="4"/>
  <c r="E752" i="4"/>
  <c r="C752" i="4"/>
  <c r="P752" i="4" s="1"/>
  <c r="B752" i="4"/>
  <c r="A752" i="4"/>
  <c r="AF751" i="4"/>
  <c r="AE751" i="4"/>
  <c r="AD751" i="4"/>
  <c r="AC751" i="4"/>
  <c r="Z751" i="4"/>
  <c r="AA751" i="4" s="1"/>
  <c r="Y751" i="4"/>
  <c r="W751" i="4"/>
  <c r="V751" i="4"/>
  <c r="U751" i="4"/>
  <c r="Q751" i="4"/>
  <c r="O751" i="4"/>
  <c r="N751" i="4"/>
  <c r="M751" i="4"/>
  <c r="J751" i="4"/>
  <c r="K751" i="4" s="1"/>
  <c r="I751" i="4"/>
  <c r="H751" i="4"/>
  <c r="G751" i="4"/>
  <c r="F751" i="4"/>
  <c r="E751" i="4"/>
  <c r="D751" i="4"/>
  <c r="C751" i="4"/>
  <c r="B751" i="4"/>
  <c r="A751" i="4"/>
  <c r="AF750" i="4"/>
  <c r="AE750" i="4"/>
  <c r="AD750" i="4"/>
  <c r="AC750" i="4"/>
  <c r="Z750" i="4"/>
  <c r="Y750" i="4"/>
  <c r="X750" i="4"/>
  <c r="W750" i="4"/>
  <c r="V750" i="4"/>
  <c r="U750" i="4"/>
  <c r="R750" i="4"/>
  <c r="S750" i="4" s="1"/>
  <c r="Q750" i="4"/>
  <c r="P750" i="4"/>
  <c r="O750" i="4"/>
  <c r="N750" i="4"/>
  <c r="M750" i="4"/>
  <c r="J750" i="4"/>
  <c r="K750" i="4" s="1"/>
  <c r="I750" i="4"/>
  <c r="H750" i="4"/>
  <c r="G750" i="4"/>
  <c r="F750" i="4"/>
  <c r="E750" i="4"/>
  <c r="C750" i="4"/>
  <c r="B750" i="4"/>
  <c r="A750" i="4"/>
  <c r="AF749" i="4"/>
  <c r="AE749" i="4"/>
  <c r="AD749" i="4"/>
  <c r="AC749" i="4"/>
  <c r="Z749" i="4"/>
  <c r="AA749" i="4" s="1"/>
  <c r="Y749" i="4"/>
  <c r="X749" i="4"/>
  <c r="W749" i="4"/>
  <c r="V749" i="4"/>
  <c r="U749" i="4"/>
  <c r="R749" i="4"/>
  <c r="S749" i="4" s="1"/>
  <c r="Q749" i="4"/>
  <c r="O749" i="4"/>
  <c r="N749" i="4"/>
  <c r="M749" i="4"/>
  <c r="J749" i="4"/>
  <c r="I749" i="4"/>
  <c r="H749" i="4"/>
  <c r="G749" i="4"/>
  <c r="F749" i="4"/>
  <c r="E749" i="4"/>
  <c r="C749" i="4"/>
  <c r="P749" i="4" s="1"/>
  <c r="B749" i="4"/>
  <c r="A749" i="4"/>
  <c r="AF748" i="4"/>
  <c r="AE748" i="4"/>
  <c r="AD748" i="4"/>
  <c r="AC748" i="4"/>
  <c r="Z748" i="4"/>
  <c r="AA748" i="4" s="1"/>
  <c r="Y748" i="4"/>
  <c r="W748" i="4"/>
  <c r="V748" i="4"/>
  <c r="U748" i="4"/>
  <c r="R748" i="4"/>
  <c r="S748" i="4" s="1"/>
  <c r="Q748" i="4"/>
  <c r="O748" i="4"/>
  <c r="N748" i="4"/>
  <c r="M748" i="4"/>
  <c r="J748" i="4"/>
  <c r="K748" i="4" s="1"/>
  <c r="I748" i="4"/>
  <c r="H748" i="4"/>
  <c r="G748" i="4"/>
  <c r="F748" i="4"/>
  <c r="E748" i="4"/>
  <c r="D748" i="4"/>
  <c r="C748" i="4"/>
  <c r="X748" i="4" s="1"/>
  <c r="B748" i="4"/>
  <c r="A748" i="4"/>
  <c r="AF747" i="4"/>
  <c r="AE747" i="4"/>
  <c r="AD747" i="4"/>
  <c r="AC747" i="4"/>
  <c r="Z747" i="4"/>
  <c r="Y747" i="4"/>
  <c r="X747" i="4"/>
  <c r="W747" i="4"/>
  <c r="V747" i="4"/>
  <c r="U747" i="4"/>
  <c r="S747" i="4"/>
  <c r="R747" i="4"/>
  <c r="Q747" i="4"/>
  <c r="P747" i="4"/>
  <c r="O747" i="4"/>
  <c r="N747" i="4"/>
  <c r="M747" i="4"/>
  <c r="J747" i="4"/>
  <c r="K747" i="4" s="1"/>
  <c r="I747" i="4"/>
  <c r="H747" i="4"/>
  <c r="G747" i="4"/>
  <c r="F747" i="4"/>
  <c r="E747" i="4"/>
  <c r="D747" i="4"/>
  <c r="C747" i="4"/>
  <c r="B747" i="4"/>
  <c r="A747" i="4"/>
  <c r="AF746" i="4"/>
  <c r="AE746" i="4"/>
  <c r="AD746" i="4"/>
  <c r="AC746" i="4"/>
  <c r="Y746" i="4"/>
  <c r="W746" i="4"/>
  <c r="V746" i="4"/>
  <c r="U746" i="4"/>
  <c r="Q746" i="4"/>
  <c r="O746" i="4"/>
  <c r="N746" i="4"/>
  <c r="M746" i="4"/>
  <c r="I746" i="4"/>
  <c r="H746" i="4"/>
  <c r="G746" i="4"/>
  <c r="F746" i="4"/>
  <c r="E746" i="4"/>
  <c r="C746" i="4"/>
  <c r="B746" i="4"/>
  <c r="A746" i="4"/>
  <c r="AF745" i="4"/>
  <c r="AE745" i="4"/>
  <c r="AD745" i="4"/>
  <c r="AC745" i="4"/>
  <c r="Z745" i="4"/>
  <c r="Y745" i="4"/>
  <c r="W745" i="4"/>
  <c r="V745" i="4"/>
  <c r="U745" i="4"/>
  <c r="R745" i="4"/>
  <c r="Q745" i="4"/>
  <c r="O745" i="4"/>
  <c r="N745" i="4"/>
  <c r="M745" i="4"/>
  <c r="K745" i="4"/>
  <c r="J745" i="4"/>
  <c r="I745" i="4"/>
  <c r="H745" i="4"/>
  <c r="G745" i="4"/>
  <c r="F745" i="4"/>
  <c r="E745" i="4"/>
  <c r="C745" i="4"/>
  <c r="X745" i="4" s="1"/>
  <c r="B745" i="4"/>
  <c r="A745" i="4"/>
  <c r="AF744" i="4"/>
  <c r="AE744" i="4"/>
  <c r="AD744" i="4"/>
  <c r="AC744" i="4"/>
  <c r="Z744" i="4"/>
  <c r="AA744" i="4" s="1"/>
  <c r="Y744" i="4"/>
  <c r="X744" i="4"/>
  <c r="W744" i="4"/>
  <c r="V744" i="4"/>
  <c r="U744" i="4"/>
  <c r="S744" i="4"/>
  <c r="R744" i="4"/>
  <c r="Q744" i="4"/>
  <c r="P744" i="4"/>
  <c r="O744" i="4"/>
  <c r="N744" i="4"/>
  <c r="M744" i="4"/>
  <c r="J744" i="4"/>
  <c r="I744" i="4"/>
  <c r="H744" i="4"/>
  <c r="G744" i="4"/>
  <c r="K744" i="4" s="1"/>
  <c r="F744" i="4"/>
  <c r="E744" i="4"/>
  <c r="D744" i="4"/>
  <c r="C744" i="4"/>
  <c r="B744" i="4"/>
  <c r="A744" i="4"/>
  <c r="AF743" i="4"/>
  <c r="AE743" i="4"/>
  <c r="AD743" i="4"/>
  <c r="AC743" i="4"/>
  <c r="AA743" i="4"/>
  <c r="Z743" i="4"/>
  <c r="Y743" i="4"/>
  <c r="X743" i="4"/>
  <c r="W743" i="4"/>
  <c r="V743" i="4"/>
  <c r="U743" i="4"/>
  <c r="Q743" i="4"/>
  <c r="O743" i="4"/>
  <c r="N743" i="4"/>
  <c r="M743" i="4"/>
  <c r="J743" i="4"/>
  <c r="K743" i="4" s="1"/>
  <c r="I743" i="4"/>
  <c r="H743" i="4"/>
  <c r="G743" i="4"/>
  <c r="F743" i="4"/>
  <c r="E743" i="4"/>
  <c r="C743" i="4"/>
  <c r="P743" i="4" s="1"/>
  <c r="B743" i="4"/>
  <c r="A743" i="4"/>
  <c r="AF742" i="4"/>
  <c r="AE742" i="4"/>
  <c r="AD742" i="4"/>
  <c r="AC742" i="4"/>
  <c r="AA742" i="4"/>
  <c r="Z742" i="4"/>
  <c r="Y742" i="4"/>
  <c r="W742" i="4"/>
  <c r="V742" i="4"/>
  <c r="U742" i="4"/>
  <c r="R742" i="4"/>
  <c r="Q742" i="4"/>
  <c r="O742" i="4"/>
  <c r="N742" i="4"/>
  <c r="M742" i="4"/>
  <c r="K742" i="4"/>
  <c r="J742" i="4"/>
  <c r="I742" i="4"/>
  <c r="H742" i="4"/>
  <c r="G742" i="4"/>
  <c r="F742" i="4"/>
  <c r="E742" i="4"/>
  <c r="C742" i="4"/>
  <c r="X742" i="4" s="1"/>
  <c r="B742" i="4"/>
  <c r="A742" i="4"/>
  <c r="AF741" i="4"/>
  <c r="AE741" i="4"/>
  <c r="AD741" i="4"/>
  <c r="AC741" i="4"/>
  <c r="Z741" i="4"/>
  <c r="Y741" i="4"/>
  <c r="X741" i="4"/>
  <c r="W741" i="4"/>
  <c r="V741" i="4"/>
  <c r="U741" i="4"/>
  <c r="R741" i="4"/>
  <c r="S741" i="4" s="1"/>
  <c r="Q741" i="4"/>
  <c r="P741" i="4"/>
  <c r="O741" i="4"/>
  <c r="N741" i="4"/>
  <c r="M741" i="4"/>
  <c r="K741" i="4"/>
  <c r="J741" i="4"/>
  <c r="I741" i="4"/>
  <c r="H741" i="4"/>
  <c r="G741" i="4"/>
  <c r="F741" i="4"/>
  <c r="E741" i="4"/>
  <c r="D741" i="4"/>
  <c r="C741" i="4"/>
  <c r="B741" i="4"/>
  <c r="A741" i="4"/>
  <c r="AF740" i="4"/>
  <c r="AE740" i="4"/>
  <c r="AD740" i="4"/>
  <c r="AC740" i="4"/>
  <c r="Y740" i="4"/>
  <c r="X740" i="4"/>
  <c r="W740" i="4"/>
  <c r="V740" i="4"/>
  <c r="U740" i="4"/>
  <c r="R740" i="4"/>
  <c r="S740" i="4" s="1"/>
  <c r="Q740" i="4"/>
  <c r="O740" i="4"/>
  <c r="N740" i="4"/>
  <c r="M740" i="4"/>
  <c r="I740" i="4"/>
  <c r="H740" i="4"/>
  <c r="G740" i="4"/>
  <c r="F740" i="4"/>
  <c r="E740" i="4"/>
  <c r="C740" i="4"/>
  <c r="B740" i="4"/>
  <c r="A740" i="4"/>
  <c r="AF739" i="4"/>
  <c r="AE739" i="4"/>
  <c r="AD739" i="4"/>
  <c r="AC739" i="4"/>
  <c r="Y739" i="4"/>
  <c r="W739" i="4"/>
  <c r="V739" i="4"/>
  <c r="U739" i="4"/>
  <c r="Q739" i="4"/>
  <c r="P739" i="4"/>
  <c r="O739" i="4"/>
  <c r="N739" i="4"/>
  <c r="M739" i="4"/>
  <c r="I739" i="4"/>
  <c r="H739" i="4"/>
  <c r="G739" i="4"/>
  <c r="F739" i="4"/>
  <c r="E739" i="4"/>
  <c r="D739" i="4"/>
  <c r="C739" i="4"/>
  <c r="B739" i="4"/>
  <c r="A739" i="4"/>
  <c r="AF738" i="4"/>
  <c r="AE738" i="4"/>
  <c r="AD738" i="4"/>
  <c r="AC738" i="4"/>
  <c r="Z738" i="4"/>
  <c r="Y738" i="4"/>
  <c r="X738" i="4"/>
  <c r="W738" i="4"/>
  <c r="V738" i="4"/>
  <c r="U738" i="4"/>
  <c r="R738" i="4"/>
  <c r="S738" i="4" s="1"/>
  <c r="Q738" i="4"/>
  <c r="P738" i="4"/>
  <c r="O738" i="4"/>
  <c r="N738" i="4"/>
  <c r="M738" i="4"/>
  <c r="J738" i="4"/>
  <c r="K738" i="4" s="1"/>
  <c r="I738" i="4"/>
  <c r="H738" i="4"/>
  <c r="G738" i="4"/>
  <c r="F738" i="4"/>
  <c r="E738" i="4"/>
  <c r="C738" i="4"/>
  <c r="B738" i="4"/>
  <c r="A738" i="4"/>
  <c r="D738" i="4" s="1"/>
  <c r="AF737" i="4"/>
  <c r="AE737" i="4"/>
  <c r="AD737" i="4"/>
  <c r="AC737" i="4"/>
  <c r="Y737" i="4"/>
  <c r="W737" i="4"/>
  <c r="V737" i="4"/>
  <c r="U737" i="4"/>
  <c r="R737" i="4"/>
  <c r="S737" i="4" s="1"/>
  <c r="Q737" i="4"/>
  <c r="P737" i="4"/>
  <c r="O737" i="4"/>
  <c r="N737" i="4"/>
  <c r="M737" i="4"/>
  <c r="J737" i="4"/>
  <c r="K737" i="4" s="1"/>
  <c r="I737" i="4"/>
  <c r="H737" i="4"/>
  <c r="G737" i="4"/>
  <c r="F737" i="4"/>
  <c r="E737" i="4"/>
  <c r="D737" i="4"/>
  <c r="C737" i="4"/>
  <c r="B737" i="4"/>
  <c r="A737" i="4"/>
  <c r="AF736" i="4"/>
  <c r="AE736" i="4"/>
  <c r="AD736" i="4"/>
  <c r="AC736" i="4"/>
  <c r="Z736" i="4"/>
  <c r="Y736" i="4"/>
  <c r="X736" i="4"/>
  <c r="W736" i="4"/>
  <c r="AA736" i="4" s="1"/>
  <c r="V736" i="4"/>
  <c r="U736" i="4"/>
  <c r="Q736" i="4"/>
  <c r="P736" i="4"/>
  <c r="O736" i="4"/>
  <c r="N736" i="4"/>
  <c r="M736" i="4"/>
  <c r="J736" i="4"/>
  <c r="K736" i="4" s="1"/>
  <c r="I736" i="4"/>
  <c r="H736" i="4"/>
  <c r="G736" i="4"/>
  <c r="F736" i="4"/>
  <c r="E736" i="4"/>
  <c r="C736" i="4"/>
  <c r="R736" i="4" s="1"/>
  <c r="S736" i="4" s="1"/>
  <c r="B736" i="4"/>
  <c r="A736" i="4"/>
  <c r="AF735" i="4"/>
  <c r="AE735" i="4"/>
  <c r="AD735" i="4"/>
  <c r="AC735" i="4"/>
  <c r="Z735" i="4"/>
  <c r="Y735" i="4"/>
  <c r="X735" i="4"/>
  <c r="W735" i="4"/>
  <c r="V735" i="4"/>
  <c r="U735" i="4"/>
  <c r="S735" i="4"/>
  <c r="R735" i="4"/>
  <c r="Q735" i="4"/>
  <c r="P735" i="4"/>
  <c r="O735" i="4"/>
  <c r="N735" i="4"/>
  <c r="M735" i="4"/>
  <c r="K735" i="4"/>
  <c r="J735" i="4"/>
  <c r="I735" i="4"/>
  <c r="H735" i="4"/>
  <c r="G735" i="4"/>
  <c r="F735" i="4"/>
  <c r="E735" i="4"/>
  <c r="D735" i="4"/>
  <c r="C735" i="4"/>
  <c r="B735" i="4"/>
  <c r="A735" i="4"/>
  <c r="AF734" i="4"/>
  <c r="AE734" i="4"/>
  <c r="AD734" i="4"/>
  <c r="AC734" i="4"/>
  <c r="Y734" i="4"/>
  <c r="W734" i="4"/>
  <c r="V734" i="4"/>
  <c r="U734" i="4"/>
  <c r="Q734" i="4"/>
  <c r="P734" i="4"/>
  <c r="O734" i="4"/>
  <c r="N734" i="4"/>
  <c r="M734" i="4"/>
  <c r="I734" i="4"/>
  <c r="H734" i="4"/>
  <c r="G734" i="4"/>
  <c r="F734" i="4"/>
  <c r="E734" i="4"/>
  <c r="C734" i="4"/>
  <c r="B734" i="4"/>
  <c r="A734" i="4"/>
  <c r="AF733" i="4"/>
  <c r="AE733" i="4"/>
  <c r="AD733" i="4"/>
  <c r="AC733" i="4"/>
  <c r="Z733" i="4"/>
  <c r="AA733" i="4" s="1"/>
  <c r="Y733" i="4"/>
  <c r="X733" i="4"/>
  <c r="W733" i="4"/>
  <c r="V733" i="4"/>
  <c r="U733" i="4"/>
  <c r="R733" i="4"/>
  <c r="S733" i="4" s="1"/>
  <c r="Q733" i="4"/>
  <c r="P733" i="4"/>
  <c r="O733" i="4"/>
  <c r="N733" i="4"/>
  <c r="M733" i="4"/>
  <c r="K733" i="4"/>
  <c r="J733" i="4"/>
  <c r="I733" i="4"/>
  <c r="H733" i="4"/>
  <c r="G733" i="4"/>
  <c r="F733" i="4"/>
  <c r="E733" i="4"/>
  <c r="C733" i="4"/>
  <c r="B733" i="4"/>
  <c r="A733" i="4"/>
  <c r="AF732" i="4"/>
  <c r="AE732" i="4"/>
  <c r="AD732" i="4"/>
  <c r="AC732" i="4"/>
  <c r="Z732" i="4"/>
  <c r="AA732" i="4" s="1"/>
  <c r="Y732" i="4"/>
  <c r="X732" i="4"/>
  <c r="W732" i="4"/>
  <c r="V732" i="4"/>
  <c r="U732" i="4"/>
  <c r="R732" i="4"/>
  <c r="S732" i="4" s="1"/>
  <c r="Q732" i="4"/>
  <c r="P732" i="4"/>
  <c r="O732" i="4"/>
  <c r="N732" i="4"/>
  <c r="M732" i="4"/>
  <c r="J732" i="4"/>
  <c r="I732" i="4"/>
  <c r="H732" i="4"/>
  <c r="G732" i="4"/>
  <c r="K732" i="4" s="1"/>
  <c r="F732" i="4"/>
  <c r="E732" i="4"/>
  <c r="D732" i="4"/>
  <c r="C732" i="4"/>
  <c r="B732" i="4"/>
  <c r="A732" i="4"/>
  <c r="AF731" i="4"/>
  <c r="AE731" i="4"/>
  <c r="AD731" i="4"/>
  <c r="AC731" i="4"/>
  <c r="Z731" i="4"/>
  <c r="AA731" i="4" s="1"/>
  <c r="Y731" i="4"/>
  <c r="W731" i="4"/>
  <c r="V731" i="4"/>
  <c r="U731" i="4"/>
  <c r="Q731" i="4"/>
  <c r="O731" i="4"/>
  <c r="N731" i="4"/>
  <c r="M731" i="4"/>
  <c r="J731" i="4"/>
  <c r="K731" i="4" s="1"/>
  <c r="I731" i="4"/>
  <c r="H731" i="4"/>
  <c r="G731" i="4"/>
  <c r="F731" i="4"/>
  <c r="E731" i="4"/>
  <c r="D731" i="4"/>
  <c r="C731" i="4"/>
  <c r="B731" i="4"/>
  <c r="A731" i="4"/>
  <c r="AF730" i="4"/>
  <c r="AE730" i="4"/>
  <c r="AD730" i="4"/>
  <c r="AC730" i="4"/>
  <c r="Z730" i="4"/>
  <c r="Y730" i="4"/>
  <c r="X730" i="4"/>
  <c r="W730" i="4"/>
  <c r="V730" i="4"/>
  <c r="U730" i="4"/>
  <c r="R730" i="4"/>
  <c r="S730" i="4" s="1"/>
  <c r="Q730" i="4"/>
  <c r="P730" i="4"/>
  <c r="O730" i="4"/>
  <c r="N730" i="4"/>
  <c r="M730" i="4"/>
  <c r="J730" i="4"/>
  <c r="K730" i="4" s="1"/>
  <c r="I730" i="4"/>
  <c r="H730" i="4"/>
  <c r="G730" i="4"/>
  <c r="F730" i="4"/>
  <c r="E730" i="4"/>
  <c r="D730" i="4"/>
  <c r="C730" i="4"/>
  <c r="B730" i="4"/>
  <c r="A730" i="4"/>
  <c r="AF729" i="4"/>
  <c r="AE729" i="4"/>
  <c r="AD729" i="4"/>
  <c r="AC729" i="4"/>
  <c r="Z729" i="4"/>
  <c r="AA729" i="4" s="1"/>
  <c r="Y729" i="4"/>
  <c r="X729" i="4"/>
  <c r="W729" i="4"/>
  <c r="V729" i="4"/>
  <c r="U729" i="4"/>
  <c r="R729" i="4"/>
  <c r="S729" i="4" s="1"/>
  <c r="Q729" i="4"/>
  <c r="P729" i="4"/>
  <c r="O729" i="4"/>
  <c r="N729" i="4"/>
  <c r="M729" i="4"/>
  <c r="K729" i="4"/>
  <c r="J729" i="4"/>
  <c r="I729" i="4"/>
  <c r="H729" i="4"/>
  <c r="G729" i="4"/>
  <c r="F729" i="4"/>
  <c r="E729" i="4"/>
  <c r="C729" i="4"/>
  <c r="B729" i="4"/>
  <c r="A729" i="4"/>
  <c r="AF728" i="4"/>
  <c r="AE728" i="4"/>
  <c r="AD728" i="4"/>
  <c r="AC728" i="4"/>
  <c r="Z728" i="4"/>
  <c r="AA728" i="4" s="1"/>
  <c r="Y728" i="4"/>
  <c r="X728" i="4"/>
  <c r="W728" i="4"/>
  <c r="V728" i="4"/>
  <c r="U728" i="4"/>
  <c r="S728" i="4"/>
  <c r="Q728" i="4"/>
  <c r="O728" i="4"/>
  <c r="N728" i="4"/>
  <c r="M728" i="4"/>
  <c r="J728" i="4"/>
  <c r="I728" i="4"/>
  <c r="H728" i="4"/>
  <c r="G728" i="4"/>
  <c r="F728" i="4"/>
  <c r="E728" i="4"/>
  <c r="C728" i="4"/>
  <c r="R728" i="4" s="1"/>
  <c r="B728" i="4"/>
  <c r="A728" i="4"/>
  <c r="AF727" i="4"/>
  <c r="AE727" i="4"/>
  <c r="AD727" i="4"/>
  <c r="AC727" i="4"/>
  <c r="Z727" i="4"/>
  <c r="AA727" i="4" s="1"/>
  <c r="Y727" i="4"/>
  <c r="W727" i="4"/>
  <c r="V727" i="4"/>
  <c r="U727" i="4"/>
  <c r="Q727" i="4"/>
  <c r="P727" i="4"/>
  <c r="O727" i="4"/>
  <c r="N727" i="4"/>
  <c r="M727" i="4"/>
  <c r="I727" i="4"/>
  <c r="H727" i="4"/>
  <c r="G727" i="4"/>
  <c r="F727" i="4"/>
  <c r="E727" i="4"/>
  <c r="C727" i="4"/>
  <c r="B727" i="4"/>
  <c r="A727" i="4"/>
  <c r="AF726" i="4"/>
  <c r="AE726" i="4"/>
  <c r="AD726" i="4"/>
  <c r="AC726" i="4"/>
  <c r="Z726" i="4"/>
  <c r="Y726" i="4"/>
  <c r="X726" i="4"/>
  <c r="W726" i="4"/>
  <c r="V726" i="4"/>
  <c r="U726" i="4"/>
  <c r="R726" i="4"/>
  <c r="S726" i="4" s="1"/>
  <c r="Q726" i="4"/>
  <c r="P726" i="4"/>
  <c r="O726" i="4"/>
  <c r="N726" i="4"/>
  <c r="M726" i="4"/>
  <c r="J726" i="4"/>
  <c r="K726" i="4" s="1"/>
  <c r="I726" i="4"/>
  <c r="H726" i="4"/>
  <c r="G726" i="4"/>
  <c r="F726" i="4"/>
  <c r="E726" i="4"/>
  <c r="C726" i="4"/>
  <c r="B726" i="4"/>
  <c r="A726" i="4"/>
  <c r="D726" i="4" s="1"/>
  <c r="AF725" i="4"/>
  <c r="AE725" i="4"/>
  <c r="AD725" i="4"/>
  <c r="AC725" i="4"/>
  <c r="Y725" i="4"/>
  <c r="W725" i="4"/>
  <c r="V725" i="4"/>
  <c r="U725" i="4"/>
  <c r="R725" i="4"/>
  <c r="S725" i="4" s="1"/>
  <c r="Q725" i="4"/>
  <c r="O725" i="4"/>
  <c r="N725" i="4"/>
  <c r="M725" i="4"/>
  <c r="J725" i="4"/>
  <c r="I725" i="4"/>
  <c r="H725" i="4"/>
  <c r="G725" i="4"/>
  <c r="F725" i="4"/>
  <c r="E725" i="4"/>
  <c r="D725" i="4"/>
  <c r="C725" i="4"/>
  <c r="P725" i="4" s="1"/>
  <c r="B725" i="4"/>
  <c r="A725" i="4"/>
  <c r="AF724" i="4"/>
  <c r="AE724" i="4"/>
  <c r="AD724" i="4"/>
  <c r="AC724" i="4"/>
  <c r="Z724" i="4"/>
  <c r="AA724" i="4" s="1"/>
  <c r="Y724" i="4"/>
  <c r="X724" i="4"/>
  <c r="W724" i="4"/>
  <c r="V724" i="4"/>
  <c r="U724" i="4"/>
  <c r="Q724" i="4"/>
  <c r="P724" i="4"/>
  <c r="O724" i="4"/>
  <c r="N724" i="4"/>
  <c r="M724" i="4"/>
  <c r="J724" i="4"/>
  <c r="K724" i="4" s="1"/>
  <c r="I724" i="4"/>
  <c r="H724" i="4"/>
  <c r="G724" i="4"/>
  <c r="F724" i="4"/>
  <c r="E724" i="4"/>
  <c r="D724" i="4"/>
  <c r="C724" i="4"/>
  <c r="R724" i="4" s="1"/>
  <c r="S724" i="4" s="1"/>
  <c r="B724" i="4"/>
  <c r="A724" i="4"/>
  <c r="AF723" i="4"/>
  <c r="AE723" i="4"/>
  <c r="AD723" i="4"/>
  <c r="AC723" i="4"/>
  <c r="Z723" i="4"/>
  <c r="AA723" i="4" s="1"/>
  <c r="Y723" i="4"/>
  <c r="X723" i="4"/>
  <c r="W723" i="4"/>
  <c r="V723" i="4"/>
  <c r="U723" i="4"/>
  <c r="S723" i="4"/>
  <c r="R723" i="4"/>
  <c r="Q723" i="4"/>
  <c r="P723" i="4"/>
  <c r="O723" i="4"/>
  <c r="N723" i="4"/>
  <c r="M723" i="4"/>
  <c r="J723" i="4"/>
  <c r="I723" i="4"/>
  <c r="H723" i="4"/>
  <c r="G723" i="4"/>
  <c r="K723" i="4" s="1"/>
  <c r="F723" i="4"/>
  <c r="E723" i="4"/>
  <c r="D723" i="4"/>
  <c r="C723" i="4"/>
  <c r="B723" i="4"/>
  <c r="A723" i="4"/>
  <c r="AF722" i="4"/>
  <c r="AE722" i="4"/>
  <c r="AD722" i="4"/>
  <c r="AC722" i="4"/>
  <c r="AA722" i="4"/>
  <c r="Z722" i="4"/>
  <c r="Y722" i="4"/>
  <c r="W722" i="4"/>
  <c r="V722" i="4"/>
  <c r="U722" i="4"/>
  <c r="Q722" i="4"/>
  <c r="P722" i="4"/>
  <c r="O722" i="4"/>
  <c r="N722" i="4"/>
  <c r="M722" i="4"/>
  <c r="I722" i="4"/>
  <c r="H722" i="4"/>
  <c r="G722" i="4"/>
  <c r="F722" i="4"/>
  <c r="E722" i="4"/>
  <c r="C722" i="4"/>
  <c r="B722" i="4"/>
  <c r="A722" i="4"/>
  <c r="AF721" i="4"/>
  <c r="AE721" i="4"/>
  <c r="AD721" i="4"/>
  <c r="AC721" i="4"/>
  <c r="Z721" i="4"/>
  <c r="AA721" i="4" s="1"/>
  <c r="Y721" i="4"/>
  <c r="X721" i="4"/>
  <c r="W721" i="4"/>
  <c r="V721" i="4"/>
  <c r="U721" i="4"/>
  <c r="R721" i="4"/>
  <c r="S721" i="4" s="1"/>
  <c r="Q721" i="4"/>
  <c r="P721" i="4"/>
  <c r="O721" i="4"/>
  <c r="N721" i="4"/>
  <c r="M721" i="4"/>
  <c r="J721" i="4"/>
  <c r="K721" i="4" s="1"/>
  <c r="I721" i="4"/>
  <c r="H721" i="4"/>
  <c r="G721" i="4"/>
  <c r="F721" i="4"/>
  <c r="E721" i="4"/>
  <c r="C721" i="4"/>
  <c r="B721" i="4"/>
  <c r="A721" i="4"/>
  <c r="AF720" i="4"/>
  <c r="AE720" i="4"/>
  <c r="AD720" i="4"/>
  <c r="AC720" i="4"/>
  <c r="Y720" i="4"/>
  <c r="W720" i="4"/>
  <c r="V720" i="4"/>
  <c r="U720" i="4"/>
  <c r="R720" i="4"/>
  <c r="Q720" i="4"/>
  <c r="O720" i="4"/>
  <c r="N720" i="4"/>
  <c r="M720" i="4"/>
  <c r="I720" i="4"/>
  <c r="H720" i="4"/>
  <c r="G720" i="4"/>
  <c r="F720" i="4"/>
  <c r="E720" i="4"/>
  <c r="D720" i="4"/>
  <c r="C720" i="4"/>
  <c r="B720" i="4"/>
  <c r="A720" i="4"/>
  <c r="AF719" i="4"/>
  <c r="AE719" i="4"/>
  <c r="AD719" i="4"/>
  <c r="AC719" i="4"/>
  <c r="Z719" i="4"/>
  <c r="Y719" i="4"/>
  <c r="X719" i="4"/>
  <c r="W719" i="4"/>
  <c r="V719" i="4"/>
  <c r="U719" i="4"/>
  <c r="S719" i="4"/>
  <c r="Q719" i="4"/>
  <c r="P719" i="4"/>
  <c r="O719" i="4"/>
  <c r="N719" i="4"/>
  <c r="M719" i="4"/>
  <c r="J719" i="4"/>
  <c r="I719" i="4"/>
  <c r="H719" i="4"/>
  <c r="G719" i="4"/>
  <c r="K719" i="4" s="1"/>
  <c r="F719" i="4"/>
  <c r="E719" i="4"/>
  <c r="C719" i="4"/>
  <c r="R719" i="4" s="1"/>
  <c r="B719" i="4"/>
  <c r="A719" i="4"/>
  <c r="AF718" i="4"/>
  <c r="AE718" i="4"/>
  <c r="AD718" i="4"/>
  <c r="AC718" i="4"/>
  <c r="Y718" i="4"/>
  <c r="X718" i="4"/>
  <c r="W718" i="4"/>
  <c r="V718" i="4"/>
  <c r="U718" i="4"/>
  <c r="Q718" i="4"/>
  <c r="O718" i="4"/>
  <c r="N718" i="4"/>
  <c r="M718" i="4"/>
  <c r="J718" i="4"/>
  <c r="K718" i="4" s="1"/>
  <c r="I718" i="4"/>
  <c r="H718" i="4"/>
  <c r="G718" i="4"/>
  <c r="F718" i="4"/>
  <c r="E718" i="4"/>
  <c r="C718" i="4"/>
  <c r="B718" i="4"/>
  <c r="A718" i="4"/>
  <c r="AF717" i="4"/>
  <c r="AE717" i="4"/>
  <c r="AD717" i="4"/>
  <c r="AC717" i="4"/>
  <c r="Y717" i="4"/>
  <c r="W717" i="4"/>
  <c r="V717" i="4"/>
  <c r="U717" i="4"/>
  <c r="R717" i="4"/>
  <c r="S717" i="4" s="1"/>
  <c r="Q717" i="4"/>
  <c r="O717" i="4"/>
  <c r="N717" i="4"/>
  <c r="M717" i="4"/>
  <c r="I717" i="4"/>
  <c r="H717" i="4"/>
  <c r="G717" i="4"/>
  <c r="F717" i="4"/>
  <c r="E717" i="4"/>
  <c r="D717" i="4"/>
  <c r="C717" i="4"/>
  <c r="B717" i="4"/>
  <c r="A717" i="4"/>
  <c r="AF716" i="4"/>
  <c r="AE716" i="4"/>
  <c r="AD716" i="4"/>
  <c r="AC716" i="4"/>
  <c r="Z716" i="4"/>
  <c r="AA716" i="4" s="1"/>
  <c r="Y716" i="4"/>
  <c r="X716" i="4"/>
  <c r="W716" i="4"/>
  <c r="V716" i="4"/>
  <c r="U716" i="4"/>
  <c r="S716" i="4"/>
  <c r="Q716" i="4"/>
  <c r="P716" i="4"/>
  <c r="O716" i="4"/>
  <c r="N716" i="4"/>
  <c r="M716" i="4"/>
  <c r="J716" i="4"/>
  <c r="I716" i="4"/>
  <c r="H716" i="4"/>
  <c r="G716" i="4"/>
  <c r="F716" i="4"/>
  <c r="E716" i="4"/>
  <c r="C716" i="4"/>
  <c r="R716" i="4" s="1"/>
  <c r="B716" i="4"/>
  <c r="A716" i="4"/>
  <c r="AF715" i="4"/>
  <c r="AE715" i="4"/>
  <c r="AD715" i="4"/>
  <c r="AC715" i="4"/>
  <c r="Y715" i="4"/>
  <c r="X715" i="4"/>
  <c r="W715" i="4"/>
  <c r="V715" i="4"/>
  <c r="U715" i="4"/>
  <c r="Q715" i="4"/>
  <c r="O715" i="4"/>
  <c r="N715" i="4"/>
  <c r="M715" i="4"/>
  <c r="J715" i="4"/>
  <c r="K715" i="4" s="1"/>
  <c r="I715" i="4"/>
  <c r="H715" i="4"/>
  <c r="G715" i="4"/>
  <c r="F715" i="4"/>
  <c r="E715" i="4"/>
  <c r="C715" i="4"/>
  <c r="B715" i="4"/>
  <c r="A715" i="4"/>
  <c r="AF714" i="4"/>
  <c r="AE714" i="4"/>
  <c r="AD714" i="4"/>
  <c r="AC714" i="4"/>
  <c r="Y714" i="4"/>
  <c r="W714" i="4"/>
  <c r="V714" i="4"/>
  <c r="U714" i="4"/>
  <c r="R714" i="4"/>
  <c r="S714" i="4" s="1"/>
  <c r="Q714" i="4"/>
  <c r="O714" i="4"/>
  <c r="N714" i="4"/>
  <c r="M714" i="4"/>
  <c r="I714" i="4"/>
  <c r="H714" i="4"/>
  <c r="G714" i="4"/>
  <c r="F714" i="4"/>
  <c r="E714" i="4"/>
  <c r="D714" i="4"/>
  <c r="C714" i="4"/>
  <c r="B714" i="4"/>
  <c r="A714" i="4"/>
  <c r="AF713" i="4"/>
  <c r="AE713" i="4"/>
  <c r="AD713" i="4"/>
  <c r="AC713" i="4"/>
  <c r="Z713" i="4"/>
  <c r="Y713" i="4"/>
  <c r="X713" i="4"/>
  <c r="W713" i="4"/>
  <c r="V713" i="4"/>
  <c r="U713" i="4"/>
  <c r="S713" i="4"/>
  <c r="Q713" i="4"/>
  <c r="P713" i="4"/>
  <c r="O713" i="4"/>
  <c r="N713" i="4"/>
  <c r="M713" i="4"/>
  <c r="K713" i="4"/>
  <c r="J713" i="4"/>
  <c r="I713" i="4"/>
  <c r="H713" i="4"/>
  <c r="G713" i="4"/>
  <c r="F713" i="4"/>
  <c r="E713" i="4"/>
  <c r="C713" i="4"/>
  <c r="R713" i="4" s="1"/>
  <c r="B713" i="4"/>
  <c r="A713" i="4"/>
  <c r="AF712" i="4"/>
  <c r="AE712" i="4"/>
  <c r="AD712" i="4"/>
  <c r="AC712" i="4"/>
  <c r="Y712" i="4"/>
  <c r="W712" i="4"/>
  <c r="V712" i="4"/>
  <c r="U712" i="4"/>
  <c r="R712" i="4"/>
  <c r="Q712" i="4"/>
  <c r="O712" i="4"/>
  <c r="N712" i="4"/>
  <c r="M712" i="4"/>
  <c r="I712" i="4"/>
  <c r="H712" i="4"/>
  <c r="G712" i="4"/>
  <c r="F712" i="4"/>
  <c r="E712" i="4"/>
  <c r="C712" i="4"/>
  <c r="B712" i="4"/>
  <c r="A712" i="4"/>
  <c r="AF711" i="4"/>
  <c r="AE711" i="4"/>
  <c r="AD711" i="4"/>
  <c r="AC711" i="4"/>
  <c r="Y711" i="4"/>
  <c r="W711" i="4"/>
  <c r="V711" i="4"/>
  <c r="U711" i="4"/>
  <c r="Q711" i="4"/>
  <c r="P711" i="4"/>
  <c r="O711" i="4"/>
  <c r="N711" i="4"/>
  <c r="M711" i="4"/>
  <c r="I711" i="4"/>
  <c r="H711" i="4"/>
  <c r="G711" i="4"/>
  <c r="F711" i="4"/>
  <c r="E711" i="4"/>
  <c r="D711" i="4"/>
  <c r="C711" i="4"/>
  <c r="B711" i="4"/>
  <c r="A711" i="4"/>
  <c r="AF710" i="4"/>
  <c r="AE710" i="4"/>
  <c r="AD710" i="4"/>
  <c r="AC710" i="4"/>
  <c r="Z710" i="4"/>
  <c r="Y710" i="4"/>
  <c r="X710" i="4"/>
  <c r="W710" i="4"/>
  <c r="V710" i="4"/>
  <c r="U710" i="4"/>
  <c r="S710" i="4"/>
  <c r="Q710" i="4"/>
  <c r="P710" i="4"/>
  <c r="O710" i="4"/>
  <c r="N710" i="4"/>
  <c r="M710" i="4"/>
  <c r="J710" i="4"/>
  <c r="K710" i="4" s="1"/>
  <c r="I710" i="4"/>
  <c r="H710" i="4"/>
  <c r="G710" i="4"/>
  <c r="F710" i="4"/>
  <c r="E710" i="4"/>
  <c r="C710" i="4"/>
  <c r="R710" i="4" s="1"/>
  <c r="B710" i="4"/>
  <c r="A710" i="4"/>
  <c r="AF709" i="4"/>
  <c r="AE709" i="4"/>
  <c r="AD709" i="4"/>
  <c r="AC709" i="4"/>
  <c r="Y709" i="4"/>
  <c r="W709" i="4"/>
  <c r="V709" i="4"/>
  <c r="U709" i="4"/>
  <c r="Q709" i="4"/>
  <c r="O709" i="4"/>
  <c r="N709" i="4"/>
  <c r="M709" i="4"/>
  <c r="I709" i="4"/>
  <c r="H709" i="4"/>
  <c r="G709" i="4"/>
  <c r="F709" i="4"/>
  <c r="E709" i="4"/>
  <c r="C709" i="4"/>
  <c r="X709" i="4" s="1"/>
  <c r="B709" i="4"/>
  <c r="A709" i="4"/>
  <c r="AF708" i="4"/>
  <c r="AE708" i="4"/>
  <c r="AD708" i="4"/>
  <c r="AC708" i="4"/>
  <c r="Y708" i="4"/>
  <c r="W708" i="4"/>
  <c r="V708" i="4"/>
  <c r="U708" i="4"/>
  <c r="Q708" i="4"/>
  <c r="O708" i="4"/>
  <c r="N708" i="4"/>
  <c r="M708" i="4"/>
  <c r="I708" i="4"/>
  <c r="H708" i="4"/>
  <c r="G708" i="4"/>
  <c r="F708" i="4"/>
  <c r="E708" i="4"/>
  <c r="D708" i="4"/>
  <c r="C708" i="4"/>
  <c r="P708" i="4" s="1"/>
  <c r="B708" i="4"/>
  <c r="A708" i="4"/>
  <c r="AF707" i="4"/>
  <c r="AE707" i="4"/>
  <c r="AD707" i="4"/>
  <c r="AC707" i="4"/>
  <c r="Z707" i="4"/>
  <c r="Y707" i="4"/>
  <c r="X707" i="4"/>
  <c r="W707" i="4"/>
  <c r="V707" i="4"/>
  <c r="U707" i="4"/>
  <c r="S707" i="4"/>
  <c r="Q707" i="4"/>
  <c r="P707" i="4"/>
  <c r="O707" i="4"/>
  <c r="N707" i="4"/>
  <c r="M707" i="4"/>
  <c r="K707" i="4"/>
  <c r="J707" i="4"/>
  <c r="I707" i="4"/>
  <c r="H707" i="4"/>
  <c r="G707" i="4"/>
  <c r="F707" i="4"/>
  <c r="E707" i="4"/>
  <c r="C707" i="4"/>
  <c r="R707" i="4" s="1"/>
  <c r="B707" i="4"/>
  <c r="A707" i="4"/>
  <c r="AF706" i="4"/>
  <c r="AE706" i="4"/>
  <c r="AD706" i="4"/>
  <c r="AC706" i="4"/>
  <c r="Y706" i="4"/>
  <c r="W706" i="4"/>
  <c r="V706" i="4"/>
  <c r="U706" i="4"/>
  <c r="Q706" i="4"/>
  <c r="O706" i="4"/>
  <c r="N706" i="4"/>
  <c r="M706" i="4"/>
  <c r="I706" i="4"/>
  <c r="H706" i="4"/>
  <c r="G706" i="4"/>
  <c r="F706" i="4"/>
  <c r="E706" i="4"/>
  <c r="C706" i="4"/>
  <c r="B706" i="4"/>
  <c r="A706" i="4"/>
  <c r="AF705" i="4"/>
  <c r="AE705" i="4"/>
  <c r="AD705" i="4"/>
  <c r="AC705" i="4"/>
  <c r="Y705" i="4"/>
  <c r="W705" i="4"/>
  <c r="V705" i="4"/>
  <c r="U705" i="4"/>
  <c r="Q705" i="4"/>
  <c r="O705" i="4"/>
  <c r="N705" i="4"/>
  <c r="M705" i="4"/>
  <c r="I705" i="4"/>
  <c r="L705" i="4" s="1"/>
  <c r="H705" i="4"/>
  <c r="G705" i="4"/>
  <c r="F705" i="4"/>
  <c r="E705" i="4"/>
  <c r="D705" i="4"/>
  <c r="C705" i="4"/>
  <c r="B705" i="4"/>
  <c r="A705" i="4"/>
  <c r="AF704" i="4"/>
  <c r="AE704" i="4"/>
  <c r="AD704" i="4"/>
  <c r="AC704" i="4"/>
  <c r="Y704" i="4"/>
  <c r="X704" i="4"/>
  <c r="W704" i="4"/>
  <c r="V704" i="4"/>
  <c r="U704" i="4"/>
  <c r="Q704" i="4"/>
  <c r="P704" i="4"/>
  <c r="O704" i="4"/>
  <c r="N704" i="4"/>
  <c r="M704" i="4"/>
  <c r="J704" i="4"/>
  <c r="K704" i="4" s="1"/>
  <c r="I704" i="4"/>
  <c r="H704" i="4"/>
  <c r="G704" i="4"/>
  <c r="F704" i="4"/>
  <c r="E704" i="4"/>
  <c r="C704" i="4"/>
  <c r="R704" i="4" s="1"/>
  <c r="S704" i="4" s="1"/>
  <c r="B704" i="4"/>
  <c r="A704" i="4"/>
  <c r="AF703" i="4"/>
  <c r="AE703" i="4"/>
  <c r="AD703" i="4"/>
  <c r="AC703" i="4"/>
  <c r="Y703" i="4"/>
  <c r="W703" i="4"/>
  <c r="V703" i="4"/>
  <c r="U703" i="4"/>
  <c r="R703" i="4"/>
  <c r="S703" i="4" s="1"/>
  <c r="Q703" i="4"/>
  <c r="O703" i="4"/>
  <c r="N703" i="4"/>
  <c r="M703" i="4"/>
  <c r="J703" i="4"/>
  <c r="I703" i="4"/>
  <c r="H703" i="4"/>
  <c r="G703" i="4"/>
  <c r="F703" i="4"/>
  <c r="E703" i="4"/>
  <c r="C703" i="4"/>
  <c r="B703" i="4"/>
  <c r="A703" i="4"/>
  <c r="AF702" i="4"/>
  <c r="AE702" i="4"/>
  <c r="AD702" i="4"/>
  <c r="AC702" i="4"/>
  <c r="Z702" i="4"/>
  <c r="AA702" i="4" s="1"/>
  <c r="Y702" i="4"/>
  <c r="W702" i="4"/>
  <c r="V702" i="4"/>
  <c r="U702" i="4"/>
  <c r="Q702" i="4"/>
  <c r="P702" i="4"/>
  <c r="O702" i="4"/>
  <c r="N702" i="4"/>
  <c r="M702" i="4"/>
  <c r="I702" i="4"/>
  <c r="H702" i="4"/>
  <c r="G702" i="4"/>
  <c r="F702" i="4"/>
  <c r="E702" i="4"/>
  <c r="D702" i="4"/>
  <c r="C702" i="4"/>
  <c r="B702" i="4"/>
  <c r="A702" i="4"/>
  <c r="AF701" i="4"/>
  <c r="AE701" i="4"/>
  <c r="AD701" i="4"/>
  <c r="AC701" i="4"/>
  <c r="Y701" i="4"/>
  <c r="W701" i="4"/>
  <c r="V701" i="4"/>
  <c r="U701" i="4"/>
  <c r="Q701" i="4"/>
  <c r="O701" i="4"/>
  <c r="N701" i="4"/>
  <c r="M701" i="4"/>
  <c r="I701" i="4"/>
  <c r="H701" i="4"/>
  <c r="G701" i="4"/>
  <c r="F701" i="4"/>
  <c r="E701" i="4"/>
  <c r="D701" i="4"/>
  <c r="C701" i="4"/>
  <c r="P701" i="4" s="1"/>
  <c r="B701" i="4"/>
  <c r="A701" i="4"/>
  <c r="AF700" i="4"/>
  <c r="AE700" i="4"/>
  <c r="AD700" i="4"/>
  <c r="AC700" i="4"/>
  <c r="Y700" i="4"/>
  <c r="X700" i="4"/>
  <c r="W700" i="4"/>
  <c r="V700" i="4"/>
  <c r="U700" i="4"/>
  <c r="R700" i="4"/>
  <c r="S700" i="4" s="1"/>
  <c r="Q700" i="4"/>
  <c r="O700" i="4"/>
  <c r="N700" i="4"/>
  <c r="M700" i="4"/>
  <c r="K700" i="4"/>
  <c r="J700" i="4"/>
  <c r="I700" i="4"/>
  <c r="H700" i="4"/>
  <c r="G700" i="4"/>
  <c r="F700" i="4"/>
  <c r="E700" i="4"/>
  <c r="C700" i="4"/>
  <c r="B700" i="4"/>
  <c r="A700" i="4"/>
  <c r="AF699" i="4"/>
  <c r="AE699" i="4"/>
  <c r="AD699" i="4"/>
  <c r="AC699" i="4"/>
  <c r="Y699" i="4"/>
  <c r="W699" i="4"/>
  <c r="V699" i="4"/>
  <c r="U699" i="4"/>
  <c r="Q699" i="4"/>
  <c r="O699" i="4"/>
  <c r="N699" i="4"/>
  <c r="M699" i="4"/>
  <c r="I699" i="4"/>
  <c r="H699" i="4"/>
  <c r="G699" i="4"/>
  <c r="F699" i="4"/>
  <c r="E699" i="4"/>
  <c r="D699" i="4"/>
  <c r="C699" i="4"/>
  <c r="R699" i="4" s="1"/>
  <c r="B699" i="4"/>
  <c r="A699" i="4"/>
  <c r="AF698" i="4"/>
  <c r="AE698" i="4"/>
  <c r="AD698" i="4"/>
  <c r="AC698" i="4"/>
  <c r="Y698" i="4"/>
  <c r="W698" i="4"/>
  <c r="V698" i="4"/>
  <c r="U698" i="4"/>
  <c r="Q698" i="4"/>
  <c r="P698" i="4"/>
  <c r="O698" i="4"/>
  <c r="N698" i="4"/>
  <c r="M698" i="4"/>
  <c r="I698" i="4"/>
  <c r="H698" i="4"/>
  <c r="G698" i="4"/>
  <c r="F698" i="4"/>
  <c r="E698" i="4"/>
  <c r="D698" i="4"/>
  <c r="C698" i="4"/>
  <c r="B698" i="4"/>
  <c r="A698" i="4"/>
  <c r="AF697" i="4"/>
  <c r="AE697" i="4"/>
  <c r="AD697" i="4"/>
  <c r="AC697" i="4"/>
  <c r="Y697" i="4"/>
  <c r="W697" i="4"/>
  <c r="V697" i="4"/>
  <c r="U697" i="4"/>
  <c r="Q697" i="4"/>
  <c r="O697" i="4"/>
  <c r="N697" i="4"/>
  <c r="M697" i="4"/>
  <c r="I697" i="4"/>
  <c r="H697" i="4"/>
  <c r="G697" i="4"/>
  <c r="F697" i="4"/>
  <c r="E697" i="4"/>
  <c r="C697" i="4"/>
  <c r="B697" i="4"/>
  <c r="A697" i="4"/>
  <c r="AF696" i="4"/>
  <c r="AE696" i="4"/>
  <c r="AD696" i="4"/>
  <c r="AC696" i="4"/>
  <c r="Y696" i="4"/>
  <c r="W696" i="4"/>
  <c r="V696" i="4"/>
  <c r="U696" i="4"/>
  <c r="Q696" i="4"/>
  <c r="P696" i="4"/>
  <c r="O696" i="4"/>
  <c r="N696" i="4"/>
  <c r="M696" i="4"/>
  <c r="I696" i="4"/>
  <c r="H696" i="4"/>
  <c r="G696" i="4"/>
  <c r="F696" i="4"/>
  <c r="E696" i="4"/>
  <c r="D696" i="4"/>
  <c r="C696" i="4"/>
  <c r="B696" i="4"/>
  <c r="A696" i="4"/>
  <c r="AF695" i="4"/>
  <c r="AE695" i="4"/>
  <c r="AD695" i="4"/>
  <c r="AC695" i="4"/>
  <c r="AA695" i="4"/>
  <c r="Z695" i="4"/>
  <c r="Y695" i="4"/>
  <c r="X695" i="4"/>
  <c r="W695" i="4"/>
  <c r="V695" i="4"/>
  <c r="U695" i="4"/>
  <c r="Q695" i="4"/>
  <c r="O695" i="4"/>
  <c r="N695" i="4"/>
  <c r="M695" i="4"/>
  <c r="J695" i="4"/>
  <c r="I695" i="4"/>
  <c r="H695" i="4"/>
  <c r="G695" i="4"/>
  <c r="K695" i="4" s="1"/>
  <c r="F695" i="4"/>
  <c r="E695" i="4"/>
  <c r="C695" i="4"/>
  <c r="B695" i="4"/>
  <c r="A695" i="4"/>
  <c r="AF694" i="4"/>
  <c r="AE694" i="4"/>
  <c r="AD694" i="4"/>
  <c r="AC694" i="4"/>
  <c r="Y694" i="4"/>
  <c r="W694" i="4"/>
  <c r="V694" i="4"/>
  <c r="U694" i="4"/>
  <c r="Q694" i="4"/>
  <c r="O694" i="4"/>
  <c r="N694" i="4"/>
  <c r="M694" i="4"/>
  <c r="I694" i="4"/>
  <c r="H694" i="4"/>
  <c r="G694" i="4"/>
  <c r="F694" i="4"/>
  <c r="E694" i="4"/>
  <c r="C694" i="4"/>
  <c r="B694" i="4"/>
  <c r="A694" i="4"/>
  <c r="AF693" i="4"/>
  <c r="AE693" i="4"/>
  <c r="AD693" i="4"/>
  <c r="AC693" i="4"/>
  <c r="Z693" i="4"/>
  <c r="Y693" i="4"/>
  <c r="W693" i="4"/>
  <c r="V693" i="4"/>
  <c r="U693" i="4"/>
  <c r="Q693" i="4"/>
  <c r="O693" i="4"/>
  <c r="N693" i="4"/>
  <c r="M693" i="4"/>
  <c r="I693" i="4"/>
  <c r="H693" i="4"/>
  <c r="G693" i="4"/>
  <c r="F693" i="4"/>
  <c r="E693" i="4"/>
  <c r="D693" i="4"/>
  <c r="C693" i="4"/>
  <c r="B693" i="4"/>
  <c r="A693" i="4"/>
  <c r="AF692" i="4"/>
  <c r="AE692" i="4"/>
  <c r="AD692" i="4"/>
  <c r="AC692" i="4"/>
  <c r="AA692" i="4"/>
  <c r="Z692" i="4"/>
  <c r="Y692" i="4"/>
  <c r="X692" i="4"/>
  <c r="W692" i="4"/>
  <c r="V692" i="4"/>
  <c r="U692" i="4"/>
  <c r="S692" i="4"/>
  <c r="Q692" i="4"/>
  <c r="P692" i="4"/>
  <c r="O692" i="4"/>
  <c r="N692" i="4"/>
  <c r="M692" i="4"/>
  <c r="K692" i="4"/>
  <c r="J692" i="4"/>
  <c r="I692" i="4"/>
  <c r="H692" i="4"/>
  <c r="G692" i="4"/>
  <c r="F692" i="4"/>
  <c r="E692" i="4"/>
  <c r="C692" i="4"/>
  <c r="R692" i="4" s="1"/>
  <c r="B692" i="4"/>
  <c r="A692" i="4"/>
  <c r="AF691" i="4"/>
  <c r="AE691" i="4"/>
  <c r="AD691" i="4"/>
  <c r="AC691" i="4"/>
  <c r="Y691" i="4"/>
  <c r="W691" i="4"/>
  <c r="V691" i="4"/>
  <c r="U691" i="4"/>
  <c r="R691" i="4"/>
  <c r="Q691" i="4"/>
  <c r="O691" i="4"/>
  <c r="N691" i="4"/>
  <c r="M691" i="4"/>
  <c r="I691" i="4"/>
  <c r="H691" i="4"/>
  <c r="G691" i="4"/>
  <c r="F691" i="4"/>
  <c r="E691" i="4"/>
  <c r="C691" i="4"/>
  <c r="B691" i="4"/>
  <c r="A691" i="4"/>
  <c r="AF690" i="4"/>
  <c r="AE690" i="4"/>
  <c r="AD690" i="4"/>
  <c r="AC690" i="4"/>
  <c r="Y690" i="4"/>
  <c r="W690" i="4"/>
  <c r="V690" i="4"/>
  <c r="U690" i="4"/>
  <c r="Q690" i="4"/>
  <c r="O690" i="4"/>
  <c r="N690" i="4"/>
  <c r="M690" i="4"/>
  <c r="I690" i="4"/>
  <c r="H690" i="4"/>
  <c r="G690" i="4"/>
  <c r="F690" i="4"/>
  <c r="E690" i="4"/>
  <c r="D690" i="4"/>
  <c r="C690" i="4"/>
  <c r="B690" i="4"/>
  <c r="A690" i="4"/>
  <c r="AF689" i="4"/>
  <c r="AE689" i="4"/>
  <c r="AD689" i="4"/>
  <c r="AC689" i="4"/>
  <c r="Z689" i="4"/>
  <c r="Y689" i="4"/>
  <c r="W689" i="4"/>
  <c r="AA689" i="4" s="1"/>
  <c r="V689" i="4"/>
  <c r="U689" i="4"/>
  <c r="Q689" i="4"/>
  <c r="P689" i="4"/>
  <c r="O689" i="4"/>
  <c r="N689" i="4"/>
  <c r="M689" i="4"/>
  <c r="I689" i="4"/>
  <c r="H689" i="4"/>
  <c r="G689" i="4"/>
  <c r="F689" i="4"/>
  <c r="E689" i="4"/>
  <c r="C689" i="4"/>
  <c r="B689" i="4"/>
  <c r="A689" i="4"/>
  <c r="AF688" i="4"/>
  <c r="AE688" i="4"/>
  <c r="AD688" i="4"/>
  <c r="AC688" i="4"/>
  <c r="Y688" i="4"/>
  <c r="X688" i="4"/>
  <c r="W688" i="4"/>
  <c r="V688" i="4"/>
  <c r="U688" i="4"/>
  <c r="R688" i="4"/>
  <c r="S688" i="4" s="1"/>
  <c r="Q688" i="4"/>
  <c r="O688" i="4"/>
  <c r="N688" i="4"/>
  <c r="M688" i="4"/>
  <c r="K688" i="4"/>
  <c r="J688" i="4"/>
  <c r="I688" i="4"/>
  <c r="H688" i="4"/>
  <c r="G688" i="4"/>
  <c r="F688" i="4"/>
  <c r="E688" i="4"/>
  <c r="C688" i="4"/>
  <c r="B688" i="4"/>
  <c r="A688" i="4"/>
  <c r="AF687" i="4"/>
  <c r="AE687" i="4"/>
  <c r="AD687" i="4"/>
  <c r="AC687" i="4"/>
  <c r="Z687" i="4"/>
  <c r="Y687" i="4"/>
  <c r="W687" i="4"/>
  <c r="V687" i="4"/>
  <c r="U687" i="4"/>
  <c r="T687" i="4"/>
  <c r="Q687" i="4"/>
  <c r="O687" i="4"/>
  <c r="N687" i="4"/>
  <c r="M687" i="4"/>
  <c r="I687" i="4"/>
  <c r="H687" i="4"/>
  <c r="G687" i="4"/>
  <c r="F687" i="4"/>
  <c r="E687" i="4"/>
  <c r="D687" i="4"/>
  <c r="C687" i="4"/>
  <c r="B687" i="4"/>
  <c r="A687" i="4"/>
  <c r="AF686" i="4"/>
  <c r="AE686" i="4"/>
  <c r="AD686" i="4"/>
  <c r="AC686" i="4"/>
  <c r="Z686" i="4"/>
  <c r="AA686" i="4" s="1"/>
  <c r="Y686" i="4"/>
  <c r="W686" i="4"/>
  <c r="V686" i="4"/>
  <c r="U686" i="4"/>
  <c r="Q686" i="4"/>
  <c r="O686" i="4"/>
  <c r="N686" i="4"/>
  <c r="M686" i="4"/>
  <c r="I686" i="4"/>
  <c r="H686" i="4"/>
  <c r="G686" i="4"/>
  <c r="F686" i="4"/>
  <c r="E686" i="4"/>
  <c r="D686" i="4"/>
  <c r="C686" i="4"/>
  <c r="R686" i="4" s="1"/>
  <c r="S686" i="4" s="1"/>
  <c r="B686" i="4"/>
  <c r="A686" i="4"/>
  <c r="AF685" i="4"/>
  <c r="AE685" i="4"/>
  <c r="AD685" i="4"/>
  <c r="AC685" i="4"/>
  <c r="Y685" i="4"/>
  <c r="W685" i="4"/>
  <c r="V685" i="4"/>
  <c r="U685" i="4"/>
  <c r="Q685" i="4"/>
  <c r="P685" i="4"/>
  <c r="O685" i="4"/>
  <c r="N685" i="4"/>
  <c r="M685" i="4"/>
  <c r="I685" i="4"/>
  <c r="H685" i="4"/>
  <c r="G685" i="4"/>
  <c r="F685" i="4"/>
  <c r="E685" i="4"/>
  <c r="D685" i="4"/>
  <c r="C685" i="4"/>
  <c r="B685" i="4"/>
  <c r="A685" i="4"/>
  <c r="AF684" i="4"/>
  <c r="AE684" i="4"/>
  <c r="AD684" i="4"/>
  <c r="AC684" i="4"/>
  <c r="Y684" i="4"/>
  <c r="W684" i="4"/>
  <c r="V684" i="4"/>
  <c r="U684" i="4"/>
  <c r="Q684" i="4"/>
  <c r="P684" i="4"/>
  <c r="O684" i="4"/>
  <c r="N684" i="4"/>
  <c r="M684" i="4"/>
  <c r="I684" i="4"/>
  <c r="H684" i="4"/>
  <c r="G684" i="4"/>
  <c r="F684" i="4"/>
  <c r="E684" i="4"/>
  <c r="D684" i="4"/>
  <c r="C684" i="4"/>
  <c r="B684" i="4"/>
  <c r="A684" i="4"/>
  <c r="AF683" i="4"/>
  <c r="AE683" i="4"/>
  <c r="AD683" i="4"/>
  <c r="AC683" i="4"/>
  <c r="Z683" i="4"/>
  <c r="Y683" i="4"/>
  <c r="X683" i="4"/>
  <c r="W683" i="4"/>
  <c r="V683" i="4"/>
  <c r="U683" i="4"/>
  <c r="S683" i="4"/>
  <c r="Q683" i="4"/>
  <c r="P683" i="4"/>
  <c r="O683" i="4"/>
  <c r="N683" i="4"/>
  <c r="M683" i="4"/>
  <c r="J683" i="4"/>
  <c r="K683" i="4" s="1"/>
  <c r="I683" i="4"/>
  <c r="H683" i="4"/>
  <c r="G683" i="4"/>
  <c r="F683" i="4"/>
  <c r="E683" i="4"/>
  <c r="C683" i="4"/>
  <c r="R683" i="4" s="1"/>
  <c r="B683" i="4"/>
  <c r="A683" i="4"/>
  <c r="AF682" i="4"/>
  <c r="AE682" i="4"/>
  <c r="AD682" i="4"/>
  <c r="AC682" i="4"/>
  <c r="Y682" i="4"/>
  <c r="X682" i="4"/>
  <c r="W682" i="4"/>
  <c r="V682" i="4"/>
  <c r="U682" i="4"/>
  <c r="Q682" i="4"/>
  <c r="P682" i="4"/>
  <c r="O682" i="4"/>
  <c r="N682" i="4"/>
  <c r="M682" i="4"/>
  <c r="I682" i="4"/>
  <c r="H682" i="4"/>
  <c r="G682" i="4"/>
  <c r="F682" i="4"/>
  <c r="E682" i="4"/>
  <c r="C682" i="4"/>
  <c r="B682" i="4"/>
  <c r="A682" i="4"/>
  <c r="AF681" i="4"/>
  <c r="AE681" i="4"/>
  <c r="AD681" i="4"/>
  <c r="AC681" i="4"/>
  <c r="Y681" i="4"/>
  <c r="W681" i="4"/>
  <c r="V681" i="4"/>
  <c r="U681" i="4"/>
  <c r="Q681" i="4"/>
  <c r="P681" i="4"/>
  <c r="O681" i="4"/>
  <c r="N681" i="4"/>
  <c r="M681" i="4"/>
  <c r="I681" i="4"/>
  <c r="H681" i="4"/>
  <c r="G681" i="4"/>
  <c r="F681" i="4"/>
  <c r="E681" i="4"/>
  <c r="C681" i="4"/>
  <c r="B681" i="4"/>
  <c r="A681" i="4"/>
  <c r="AF680" i="4"/>
  <c r="AE680" i="4"/>
  <c r="AD680" i="4"/>
  <c r="AC680" i="4"/>
  <c r="Y680" i="4"/>
  <c r="W680" i="4"/>
  <c r="V680" i="4"/>
  <c r="U680" i="4"/>
  <c r="Q680" i="4"/>
  <c r="O680" i="4"/>
  <c r="N680" i="4"/>
  <c r="M680" i="4"/>
  <c r="I680" i="4"/>
  <c r="H680" i="4"/>
  <c r="G680" i="4"/>
  <c r="F680" i="4"/>
  <c r="E680" i="4"/>
  <c r="D680" i="4"/>
  <c r="C680" i="4"/>
  <c r="X680" i="4" s="1"/>
  <c r="B680" i="4"/>
  <c r="A680" i="4"/>
  <c r="AF679" i="4"/>
  <c r="AE679" i="4"/>
  <c r="AD679" i="4"/>
  <c r="AC679" i="4"/>
  <c r="AA679" i="4"/>
  <c r="Y679" i="4"/>
  <c r="X679" i="4"/>
  <c r="W679" i="4"/>
  <c r="V679" i="4"/>
  <c r="U679" i="4"/>
  <c r="R679" i="4"/>
  <c r="S679" i="4" s="1"/>
  <c r="Q679" i="4"/>
  <c r="P679" i="4"/>
  <c r="O679" i="4"/>
  <c r="N679" i="4"/>
  <c r="M679" i="4"/>
  <c r="K679" i="4"/>
  <c r="J679" i="4"/>
  <c r="I679" i="4"/>
  <c r="H679" i="4"/>
  <c r="G679" i="4"/>
  <c r="F679" i="4"/>
  <c r="E679" i="4"/>
  <c r="C679" i="4"/>
  <c r="Z679" i="4" s="1"/>
  <c r="B679" i="4"/>
  <c r="A679" i="4"/>
  <c r="AF678" i="4"/>
  <c r="AE678" i="4"/>
  <c r="AD678" i="4"/>
  <c r="AC678" i="4"/>
  <c r="Z678" i="4"/>
  <c r="Y678" i="4"/>
  <c r="X678" i="4"/>
  <c r="W678" i="4"/>
  <c r="V678" i="4"/>
  <c r="U678" i="4"/>
  <c r="S678" i="4"/>
  <c r="R678" i="4"/>
  <c r="Q678" i="4"/>
  <c r="P678" i="4"/>
  <c r="O678" i="4"/>
  <c r="N678" i="4"/>
  <c r="M678" i="4"/>
  <c r="J678" i="4"/>
  <c r="K678" i="4" s="1"/>
  <c r="I678" i="4"/>
  <c r="H678" i="4"/>
  <c r="G678" i="4"/>
  <c r="F678" i="4"/>
  <c r="E678" i="4"/>
  <c r="D678" i="4"/>
  <c r="C678" i="4"/>
  <c r="B678" i="4"/>
  <c r="A678" i="4"/>
  <c r="AF677" i="4"/>
  <c r="AE677" i="4"/>
  <c r="AD677" i="4"/>
  <c r="AC677" i="4"/>
  <c r="Y677" i="4"/>
  <c r="W677" i="4"/>
  <c r="V677" i="4"/>
  <c r="U677" i="4"/>
  <c r="R677" i="4"/>
  <c r="S677" i="4" s="1"/>
  <c r="Q677" i="4"/>
  <c r="P677" i="4"/>
  <c r="O677" i="4"/>
  <c r="N677" i="4"/>
  <c r="M677" i="4"/>
  <c r="I677" i="4"/>
  <c r="H677" i="4"/>
  <c r="G677" i="4"/>
  <c r="F677" i="4"/>
  <c r="E677" i="4"/>
  <c r="C677" i="4"/>
  <c r="B677" i="4"/>
  <c r="A677" i="4"/>
  <c r="AF676" i="4"/>
  <c r="AE676" i="4"/>
  <c r="AD676" i="4"/>
  <c r="AC676" i="4"/>
  <c r="Z676" i="4"/>
  <c r="AA676" i="4" s="1"/>
  <c r="Y676" i="4"/>
  <c r="W676" i="4"/>
  <c r="V676" i="4"/>
  <c r="U676" i="4"/>
  <c r="R676" i="4"/>
  <c r="S676" i="4" s="1"/>
  <c r="Q676" i="4"/>
  <c r="P676" i="4"/>
  <c r="O676" i="4"/>
  <c r="N676" i="4"/>
  <c r="M676" i="4"/>
  <c r="J676" i="4"/>
  <c r="K676" i="4" s="1"/>
  <c r="I676" i="4"/>
  <c r="H676" i="4"/>
  <c r="G676" i="4"/>
  <c r="F676" i="4"/>
  <c r="E676" i="4"/>
  <c r="C676" i="4"/>
  <c r="X676" i="4" s="1"/>
  <c r="B676" i="4"/>
  <c r="A676" i="4"/>
  <c r="AF675" i="4"/>
  <c r="AE675" i="4"/>
  <c r="AD675" i="4"/>
  <c r="AC675" i="4"/>
  <c r="Z675" i="4"/>
  <c r="AA675" i="4" s="1"/>
  <c r="Y675" i="4"/>
  <c r="X675" i="4"/>
  <c r="W675" i="4"/>
  <c r="V675" i="4"/>
  <c r="U675" i="4"/>
  <c r="S675" i="4"/>
  <c r="R675" i="4"/>
  <c r="Q675" i="4"/>
  <c r="P675" i="4"/>
  <c r="O675" i="4"/>
  <c r="N675" i="4"/>
  <c r="M675" i="4"/>
  <c r="J675" i="4"/>
  <c r="I675" i="4"/>
  <c r="H675" i="4"/>
  <c r="G675" i="4"/>
  <c r="K675" i="4" s="1"/>
  <c r="F675" i="4"/>
  <c r="E675" i="4"/>
  <c r="C675" i="4"/>
  <c r="B675" i="4"/>
  <c r="A675" i="4"/>
  <c r="AF674" i="4"/>
  <c r="AE674" i="4"/>
  <c r="AD674" i="4"/>
  <c r="AC674" i="4"/>
  <c r="Y674" i="4"/>
  <c r="W674" i="4"/>
  <c r="V674" i="4"/>
  <c r="U674" i="4"/>
  <c r="Q674" i="4"/>
  <c r="O674" i="4"/>
  <c r="N674" i="4"/>
  <c r="M674" i="4"/>
  <c r="I674" i="4"/>
  <c r="H674" i="4"/>
  <c r="G674" i="4"/>
  <c r="F674" i="4"/>
  <c r="E674" i="4"/>
  <c r="D674" i="4"/>
  <c r="C674" i="4"/>
  <c r="B674" i="4"/>
  <c r="A674" i="4"/>
  <c r="AF673" i="4"/>
  <c r="AE673" i="4"/>
  <c r="AD673" i="4"/>
  <c r="AC673" i="4"/>
  <c r="Y673" i="4"/>
  <c r="X673" i="4"/>
  <c r="W673" i="4"/>
  <c r="V673" i="4"/>
  <c r="U673" i="4"/>
  <c r="R673" i="4"/>
  <c r="S673" i="4" s="1"/>
  <c r="Q673" i="4"/>
  <c r="O673" i="4"/>
  <c r="N673" i="4"/>
  <c r="M673" i="4"/>
  <c r="I673" i="4"/>
  <c r="H673" i="4"/>
  <c r="G673" i="4"/>
  <c r="F673" i="4"/>
  <c r="E673" i="4"/>
  <c r="D673" i="4"/>
  <c r="C673" i="4"/>
  <c r="Z673" i="4" s="1"/>
  <c r="B673" i="4"/>
  <c r="A673" i="4"/>
  <c r="AF672" i="4"/>
  <c r="AE672" i="4"/>
  <c r="AD672" i="4"/>
  <c r="AC672" i="4"/>
  <c r="Z672" i="4"/>
  <c r="Y672" i="4"/>
  <c r="X672" i="4"/>
  <c r="W672" i="4"/>
  <c r="V672" i="4"/>
  <c r="U672" i="4"/>
  <c r="R672" i="4"/>
  <c r="S672" i="4" s="1"/>
  <c r="Q672" i="4"/>
  <c r="P672" i="4"/>
  <c r="O672" i="4"/>
  <c r="N672" i="4"/>
  <c r="M672" i="4"/>
  <c r="J672" i="4"/>
  <c r="K672" i="4" s="1"/>
  <c r="I672" i="4"/>
  <c r="H672" i="4"/>
  <c r="G672" i="4"/>
  <c r="F672" i="4"/>
  <c r="E672" i="4"/>
  <c r="C672" i="4"/>
  <c r="B672" i="4"/>
  <c r="A672" i="4"/>
  <c r="AF671" i="4"/>
  <c r="AE671" i="4"/>
  <c r="AD671" i="4"/>
  <c r="AC671" i="4"/>
  <c r="Z671" i="4"/>
  <c r="AA671" i="4" s="1"/>
  <c r="Y671" i="4"/>
  <c r="X671" i="4"/>
  <c r="W671" i="4"/>
  <c r="V671" i="4"/>
  <c r="U671" i="4"/>
  <c r="S671" i="4"/>
  <c r="R671" i="4"/>
  <c r="Q671" i="4"/>
  <c r="O671" i="4"/>
  <c r="N671" i="4"/>
  <c r="M671" i="4"/>
  <c r="I671" i="4"/>
  <c r="H671" i="4"/>
  <c r="G671" i="4"/>
  <c r="F671" i="4"/>
  <c r="E671" i="4"/>
  <c r="C671" i="4"/>
  <c r="P671" i="4" s="1"/>
  <c r="B671" i="4"/>
  <c r="A671" i="4"/>
  <c r="AF670" i="4"/>
  <c r="AE670" i="4"/>
  <c r="AD670" i="4"/>
  <c r="AC670" i="4"/>
  <c r="Y670" i="4"/>
  <c r="W670" i="4"/>
  <c r="V670" i="4"/>
  <c r="U670" i="4"/>
  <c r="Q670" i="4"/>
  <c r="O670" i="4"/>
  <c r="N670" i="4"/>
  <c r="M670" i="4"/>
  <c r="I670" i="4"/>
  <c r="H670" i="4"/>
  <c r="G670" i="4"/>
  <c r="F670" i="4"/>
  <c r="E670" i="4"/>
  <c r="D670" i="4"/>
  <c r="C670" i="4"/>
  <c r="B670" i="4"/>
  <c r="A670" i="4"/>
  <c r="AF669" i="4"/>
  <c r="AE669" i="4"/>
  <c r="AD669" i="4"/>
  <c r="AC669" i="4"/>
  <c r="Z669" i="4"/>
  <c r="Y669" i="4"/>
  <c r="X669" i="4"/>
  <c r="W669" i="4"/>
  <c r="V669" i="4"/>
  <c r="U669" i="4"/>
  <c r="S669" i="4"/>
  <c r="R669" i="4"/>
  <c r="Q669" i="4"/>
  <c r="P669" i="4"/>
  <c r="O669" i="4"/>
  <c r="N669" i="4"/>
  <c r="M669" i="4"/>
  <c r="J669" i="4"/>
  <c r="K669" i="4" s="1"/>
  <c r="I669" i="4"/>
  <c r="H669" i="4"/>
  <c r="G669" i="4"/>
  <c r="F669" i="4"/>
  <c r="E669" i="4"/>
  <c r="C669" i="4"/>
  <c r="B669" i="4"/>
  <c r="A669" i="4"/>
  <c r="AF668" i="4"/>
  <c r="AE668" i="4"/>
  <c r="AD668" i="4"/>
  <c r="AC668" i="4"/>
  <c r="Y668" i="4"/>
  <c r="W668" i="4"/>
  <c r="V668" i="4"/>
  <c r="U668" i="4"/>
  <c r="R668" i="4"/>
  <c r="S668" i="4" s="1"/>
  <c r="Q668" i="4"/>
  <c r="O668" i="4"/>
  <c r="N668" i="4"/>
  <c r="M668" i="4"/>
  <c r="I668" i="4"/>
  <c r="H668" i="4"/>
  <c r="G668" i="4"/>
  <c r="F668" i="4"/>
  <c r="E668" i="4"/>
  <c r="D668" i="4"/>
  <c r="C668" i="4"/>
  <c r="B668" i="4"/>
  <c r="A668" i="4"/>
  <c r="AF667" i="4"/>
  <c r="AE667" i="4"/>
  <c r="AD667" i="4"/>
  <c r="AC667" i="4"/>
  <c r="Y667" i="4"/>
  <c r="W667" i="4"/>
  <c r="V667" i="4"/>
  <c r="U667" i="4"/>
  <c r="Q667" i="4"/>
  <c r="P667" i="4"/>
  <c r="O667" i="4"/>
  <c r="N667" i="4"/>
  <c r="M667" i="4"/>
  <c r="I667" i="4"/>
  <c r="H667" i="4"/>
  <c r="G667" i="4"/>
  <c r="F667" i="4"/>
  <c r="E667" i="4"/>
  <c r="C667" i="4"/>
  <c r="B667" i="4"/>
  <c r="A667" i="4"/>
  <c r="AF666" i="4"/>
  <c r="AE666" i="4"/>
  <c r="AD666" i="4"/>
  <c r="AC666" i="4"/>
  <c r="Z666" i="4"/>
  <c r="Y666" i="4"/>
  <c r="X666" i="4"/>
  <c r="W666" i="4"/>
  <c r="V666" i="4"/>
  <c r="U666" i="4"/>
  <c r="S666" i="4"/>
  <c r="R666" i="4"/>
  <c r="Q666" i="4"/>
  <c r="P666" i="4"/>
  <c r="O666" i="4"/>
  <c r="N666" i="4"/>
  <c r="M666" i="4"/>
  <c r="J666" i="4"/>
  <c r="I666" i="4"/>
  <c r="H666" i="4"/>
  <c r="G666" i="4"/>
  <c r="F666" i="4"/>
  <c r="E666" i="4"/>
  <c r="D666" i="4"/>
  <c r="C666" i="4"/>
  <c r="B666" i="4"/>
  <c r="A666" i="4"/>
  <c r="AF665" i="4"/>
  <c r="AE665" i="4"/>
  <c r="AD665" i="4"/>
  <c r="AC665" i="4"/>
  <c r="Y665" i="4"/>
  <c r="W665" i="4"/>
  <c r="V665" i="4"/>
  <c r="U665" i="4"/>
  <c r="R665" i="4"/>
  <c r="S665" i="4" s="1"/>
  <c r="Q665" i="4"/>
  <c r="O665" i="4"/>
  <c r="N665" i="4"/>
  <c r="M665" i="4"/>
  <c r="I665" i="4"/>
  <c r="H665" i="4"/>
  <c r="G665" i="4"/>
  <c r="F665" i="4"/>
  <c r="E665" i="4"/>
  <c r="C665" i="4"/>
  <c r="P665" i="4" s="1"/>
  <c r="B665" i="4"/>
  <c r="A665" i="4"/>
  <c r="AF664" i="4"/>
  <c r="AE664" i="4"/>
  <c r="AD664" i="4"/>
  <c r="AC664" i="4"/>
  <c r="Z664" i="4"/>
  <c r="AA664" i="4" s="1"/>
  <c r="Y664" i="4"/>
  <c r="W664" i="4"/>
  <c r="V664" i="4"/>
  <c r="U664" i="4"/>
  <c r="R664" i="4"/>
  <c r="S664" i="4" s="1"/>
  <c r="Q664" i="4"/>
  <c r="P664" i="4"/>
  <c r="O664" i="4"/>
  <c r="N664" i="4"/>
  <c r="M664" i="4"/>
  <c r="J664" i="4"/>
  <c r="K664" i="4" s="1"/>
  <c r="I664" i="4"/>
  <c r="H664" i="4"/>
  <c r="G664" i="4"/>
  <c r="F664" i="4"/>
  <c r="E664" i="4"/>
  <c r="C664" i="4"/>
  <c r="X664" i="4" s="1"/>
  <c r="B664" i="4"/>
  <c r="A664" i="4"/>
  <c r="AF663" i="4"/>
  <c r="AE663" i="4"/>
  <c r="AD663" i="4"/>
  <c r="AC663" i="4"/>
  <c r="Z663" i="4"/>
  <c r="AA663" i="4" s="1"/>
  <c r="Y663" i="4"/>
  <c r="X663" i="4"/>
  <c r="W663" i="4"/>
  <c r="V663" i="4"/>
  <c r="U663" i="4"/>
  <c r="S663" i="4"/>
  <c r="R663" i="4"/>
  <c r="Q663" i="4"/>
  <c r="P663" i="4"/>
  <c r="O663" i="4"/>
  <c r="N663" i="4"/>
  <c r="M663" i="4"/>
  <c r="J663" i="4"/>
  <c r="I663" i="4"/>
  <c r="H663" i="4"/>
  <c r="G663" i="4"/>
  <c r="K663" i="4" s="1"/>
  <c r="F663" i="4"/>
  <c r="E663" i="4"/>
  <c r="C663" i="4"/>
  <c r="B663" i="4"/>
  <c r="A663" i="4"/>
  <c r="AF662" i="4"/>
  <c r="AE662" i="4"/>
  <c r="AD662" i="4"/>
  <c r="AC662" i="4"/>
  <c r="Y662" i="4"/>
  <c r="W662" i="4"/>
  <c r="V662" i="4"/>
  <c r="U662" i="4"/>
  <c r="Q662" i="4"/>
  <c r="P662" i="4"/>
  <c r="O662" i="4"/>
  <c r="N662" i="4"/>
  <c r="M662" i="4"/>
  <c r="I662" i="4"/>
  <c r="H662" i="4"/>
  <c r="G662" i="4"/>
  <c r="F662" i="4"/>
  <c r="E662" i="4"/>
  <c r="D662" i="4"/>
  <c r="C662" i="4"/>
  <c r="B662" i="4"/>
  <c r="A662" i="4"/>
  <c r="AF661" i="4"/>
  <c r="AE661" i="4"/>
  <c r="AD661" i="4"/>
  <c r="AC661" i="4"/>
  <c r="Z661" i="4"/>
  <c r="Y661" i="4"/>
  <c r="X661" i="4"/>
  <c r="W661" i="4"/>
  <c r="V661" i="4"/>
  <c r="U661" i="4"/>
  <c r="S661" i="4"/>
  <c r="R661" i="4"/>
  <c r="Q661" i="4"/>
  <c r="P661" i="4"/>
  <c r="O661" i="4"/>
  <c r="N661" i="4"/>
  <c r="M661" i="4"/>
  <c r="J661" i="4"/>
  <c r="I661" i="4"/>
  <c r="H661" i="4"/>
  <c r="G661" i="4"/>
  <c r="F661" i="4"/>
  <c r="E661" i="4"/>
  <c r="D661" i="4"/>
  <c r="C661" i="4"/>
  <c r="B661" i="4"/>
  <c r="A661" i="4"/>
  <c r="AF660" i="4"/>
  <c r="AE660" i="4"/>
  <c r="AD660" i="4"/>
  <c r="AC660" i="4"/>
  <c r="Z660" i="4"/>
  <c r="AA660" i="4" s="1"/>
  <c r="Y660" i="4"/>
  <c r="W660" i="4"/>
  <c r="V660" i="4"/>
  <c r="U660" i="4"/>
  <c r="Q660" i="4"/>
  <c r="P660" i="4"/>
  <c r="O660" i="4"/>
  <c r="N660" i="4"/>
  <c r="M660" i="4"/>
  <c r="I660" i="4"/>
  <c r="H660" i="4"/>
  <c r="G660" i="4"/>
  <c r="F660" i="4"/>
  <c r="E660" i="4"/>
  <c r="C660" i="4"/>
  <c r="B660" i="4"/>
  <c r="A660" i="4"/>
  <c r="AF659" i="4"/>
  <c r="AE659" i="4"/>
  <c r="AD659" i="4"/>
  <c r="AC659" i="4"/>
  <c r="Z659" i="4"/>
  <c r="AA659" i="4" s="1"/>
  <c r="Y659" i="4"/>
  <c r="X659" i="4"/>
  <c r="W659" i="4"/>
  <c r="V659" i="4"/>
  <c r="U659" i="4"/>
  <c r="Q659" i="4"/>
  <c r="P659" i="4"/>
  <c r="O659" i="4"/>
  <c r="N659" i="4"/>
  <c r="M659" i="4"/>
  <c r="J659" i="4"/>
  <c r="K659" i="4" s="1"/>
  <c r="I659" i="4"/>
  <c r="H659" i="4"/>
  <c r="G659" i="4"/>
  <c r="F659" i="4"/>
  <c r="E659" i="4"/>
  <c r="D659" i="4"/>
  <c r="C659" i="4"/>
  <c r="R659" i="4" s="1"/>
  <c r="S659" i="4" s="1"/>
  <c r="B659" i="4"/>
  <c r="A659" i="4"/>
  <c r="AF658" i="4"/>
  <c r="AE658" i="4"/>
  <c r="AD658" i="4"/>
  <c r="AC658" i="4"/>
  <c r="Z658" i="4"/>
  <c r="AA658" i="4" s="1"/>
  <c r="Y658" i="4"/>
  <c r="X658" i="4"/>
  <c r="W658" i="4"/>
  <c r="V658" i="4"/>
  <c r="U658" i="4"/>
  <c r="S658" i="4"/>
  <c r="R658" i="4"/>
  <c r="Q658" i="4"/>
  <c r="P658" i="4"/>
  <c r="O658" i="4"/>
  <c r="N658" i="4"/>
  <c r="M658" i="4"/>
  <c r="J658" i="4"/>
  <c r="I658" i="4"/>
  <c r="H658" i="4"/>
  <c r="G658" i="4"/>
  <c r="K658" i="4" s="1"/>
  <c r="F658" i="4"/>
  <c r="E658" i="4"/>
  <c r="D658" i="4"/>
  <c r="C658" i="4"/>
  <c r="B658" i="4"/>
  <c r="A658" i="4"/>
  <c r="AF657" i="4"/>
  <c r="AE657" i="4"/>
  <c r="AD657" i="4"/>
  <c r="AC657" i="4"/>
  <c r="AA657" i="4"/>
  <c r="Z657" i="4"/>
  <c r="Y657" i="4"/>
  <c r="X657" i="4"/>
  <c r="W657" i="4"/>
  <c r="V657" i="4"/>
  <c r="U657" i="4"/>
  <c r="R657" i="4"/>
  <c r="Q657" i="4"/>
  <c r="P657" i="4"/>
  <c r="O657" i="4"/>
  <c r="S657" i="4" s="1"/>
  <c r="N657" i="4"/>
  <c r="M657" i="4"/>
  <c r="I657" i="4"/>
  <c r="H657" i="4"/>
  <c r="G657" i="4"/>
  <c r="F657" i="4"/>
  <c r="E657" i="4"/>
  <c r="C657" i="4"/>
  <c r="J657" i="4" s="1"/>
  <c r="B657" i="4"/>
  <c r="A657" i="4"/>
  <c r="AF656" i="4"/>
  <c r="AE656" i="4"/>
  <c r="AD656" i="4"/>
  <c r="AC656" i="4"/>
  <c r="Y656" i="4"/>
  <c r="W656" i="4"/>
  <c r="V656" i="4"/>
  <c r="U656" i="4"/>
  <c r="Q656" i="4"/>
  <c r="P656" i="4"/>
  <c r="O656" i="4"/>
  <c r="N656" i="4"/>
  <c r="M656" i="4"/>
  <c r="I656" i="4"/>
  <c r="H656" i="4"/>
  <c r="G656" i="4"/>
  <c r="F656" i="4"/>
  <c r="E656" i="4"/>
  <c r="D656" i="4"/>
  <c r="C656" i="4"/>
  <c r="B656" i="4"/>
  <c r="A656" i="4"/>
  <c r="AF655" i="4"/>
  <c r="AE655" i="4"/>
  <c r="AD655" i="4"/>
  <c r="AC655" i="4"/>
  <c r="Z655" i="4"/>
  <c r="AA655" i="4" s="1"/>
  <c r="Y655" i="4"/>
  <c r="X655" i="4"/>
  <c r="W655" i="4"/>
  <c r="V655" i="4"/>
  <c r="U655" i="4"/>
  <c r="S655" i="4"/>
  <c r="R655" i="4"/>
  <c r="Q655" i="4"/>
  <c r="P655" i="4"/>
  <c r="O655" i="4"/>
  <c r="N655" i="4"/>
  <c r="M655" i="4"/>
  <c r="J655" i="4"/>
  <c r="K655" i="4" s="1"/>
  <c r="I655" i="4"/>
  <c r="H655" i="4"/>
  <c r="G655" i="4"/>
  <c r="F655" i="4"/>
  <c r="E655" i="4"/>
  <c r="D655" i="4"/>
  <c r="C655" i="4"/>
  <c r="B655" i="4"/>
  <c r="A655" i="4"/>
  <c r="AF654" i="4"/>
  <c r="AE654" i="4"/>
  <c r="AD654" i="4"/>
  <c r="AC654" i="4"/>
  <c r="Y654" i="4"/>
  <c r="W654" i="4"/>
  <c r="V654" i="4"/>
  <c r="U654" i="4"/>
  <c r="Q654" i="4"/>
  <c r="O654" i="4"/>
  <c r="N654" i="4"/>
  <c r="M654" i="4"/>
  <c r="I654" i="4"/>
  <c r="H654" i="4"/>
  <c r="G654" i="4"/>
  <c r="F654" i="4"/>
  <c r="E654" i="4"/>
  <c r="D654" i="4"/>
  <c r="C654" i="4"/>
  <c r="P654" i="4" s="1"/>
  <c r="B654" i="4"/>
  <c r="A654" i="4"/>
  <c r="AF653" i="4"/>
  <c r="AE653" i="4"/>
  <c r="AD653" i="4"/>
  <c r="AC653" i="4"/>
  <c r="Z653" i="4"/>
  <c r="AA653" i="4" s="1"/>
  <c r="Y653" i="4"/>
  <c r="X653" i="4"/>
  <c r="W653" i="4"/>
  <c r="V653" i="4"/>
  <c r="U653" i="4"/>
  <c r="Q653" i="4"/>
  <c r="O653" i="4"/>
  <c r="N653" i="4"/>
  <c r="M653" i="4"/>
  <c r="J653" i="4"/>
  <c r="K653" i="4" s="1"/>
  <c r="I653" i="4"/>
  <c r="H653" i="4"/>
  <c r="G653" i="4"/>
  <c r="F653" i="4"/>
  <c r="E653" i="4"/>
  <c r="D653" i="4"/>
  <c r="C653" i="4"/>
  <c r="B653" i="4"/>
  <c r="A653" i="4"/>
  <c r="AF652" i="4"/>
  <c r="AE652" i="4"/>
  <c r="AD652" i="4"/>
  <c r="AC652" i="4"/>
  <c r="Z652" i="4"/>
  <c r="AA652" i="4" s="1"/>
  <c r="Y652" i="4"/>
  <c r="X652" i="4"/>
  <c r="W652" i="4"/>
  <c r="V652" i="4"/>
  <c r="U652" i="4"/>
  <c r="S652" i="4"/>
  <c r="R652" i="4"/>
  <c r="Q652" i="4"/>
  <c r="P652" i="4"/>
  <c r="O652" i="4"/>
  <c r="N652" i="4"/>
  <c r="M652" i="4"/>
  <c r="J652" i="4"/>
  <c r="I652" i="4"/>
  <c r="H652" i="4"/>
  <c r="G652" i="4"/>
  <c r="F652" i="4"/>
  <c r="E652" i="4"/>
  <c r="D652" i="4"/>
  <c r="C652" i="4"/>
  <c r="B652" i="4"/>
  <c r="A652" i="4"/>
  <c r="AF651" i="4"/>
  <c r="AE651" i="4"/>
  <c r="AD651" i="4"/>
  <c r="AC651" i="4"/>
  <c r="Y651" i="4"/>
  <c r="X651" i="4"/>
  <c r="W651" i="4"/>
  <c r="V651" i="4"/>
  <c r="U651" i="4"/>
  <c r="R651" i="4"/>
  <c r="Q651" i="4"/>
  <c r="O651" i="4"/>
  <c r="N651" i="4"/>
  <c r="M651" i="4"/>
  <c r="I651" i="4"/>
  <c r="H651" i="4"/>
  <c r="G651" i="4"/>
  <c r="F651" i="4"/>
  <c r="E651" i="4"/>
  <c r="C651" i="4"/>
  <c r="B651" i="4"/>
  <c r="A651" i="4"/>
  <c r="AF650" i="4"/>
  <c r="AE650" i="4"/>
  <c r="AD650" i="4"/>
  <c r="AC650" i="4"/>
  <c r="Y650" i="4"/>
  <c r="X650" i="4"/>
  <c r="W650" i="4"/>
  <c r="V650" i="4"/>
  <c r="U650" i="4"/>
  <c r="Q650" i="4"/>
  <c r="P650" i="4"/>
  <c r="O650" i="4"/>
  <c r="N650" i="4"/>
  <c r="M650" i="4"/>
  <c r="I650" i="4"/>
  <c r="H650" i="4"/>
  <c r="G650" i="4"/>
  <c r="F650" i="4"/>
  <c r="E650" i="4"/>
  <c r="D650" i="4"/>
  <c r="C650" i="4"/>
  <c r="B650" i="4"/>
  <c r="A650" i="4"/>
  <c r="AF649" i="4"/>
  <c r="AE649" i="4"/>
  <c r="AD649" i="4"/>
  <c r="AC649" i="4"/>
  <c r="Z649" i="4"/>
  <c r="Y649" i="4"/>
  <c r="X649" i="4"/>
  <c r="W649" i="4"/>
  <c r="V649" i="4"/>
  <c r="U649" i="4"/>
  <c r="S649" i="4"/>
  <c r="R649" i="4"/>
  <c r="Q649" i="4"/>
  <c r="P649" i="4"/>
  <c r="O649" i="4"/>
  <c r="N649" i="4"/>
  <c r="M649" i="4"/>
  <c r="J649" i="4"/>
  <c r="K649" i="4" s="1"/>
  <c r="I649" i="4"/>
  <c r="H649" i="4"/>
  <c r="G649" i="4"/>
  <c r="F649" i="4"/>
  <c r="E649" i="4"/>
  <c r="D649" i="4"/>
  <c r="C649" i="4"/>
  <c r="B649" i="4"/>
  <c r="A649" i="4"/>
  <c r="AF648" i="4"/>
  <c r="AE648" i="4"/>
  <c r="AD648" i="4"/>
  <c r="AC648" i="4"/>
  <c r="Y648" i="4"/>
  <c r="X648" i="4"/>
  <c r="W648" i="4"/>
  <c r="V648" i="4"/>
  <c r="U648" i="4"/>
  <c r="R648" i="4"/>
  <c r="S648" i="4" s="1"/>
  <c r="Q648" i="4"/>
  <c r="O648" i="4"/>
  <c r="N648" i="4"/>
  <c r="M648" i="4"/>
  <c r="I648" i="4"/>
  <c r="H648" i="4"/>
  <c r="G648" i="4"/>
  <c r="F648" i="4"/>
  <c r="E648" i="4"/>
  <c r="D648" i="4"/>
  <c r="C648" i="4"/>
  <c r="J648" i="4" s="1"/>
  <c r="B648" i="4"/>
  <c r="A648" i="4"/>
  <c r="AF647" i="4"/>
  <c r="AE647" i="4"/>
  <c r="AD647" i="4"/>
  <c r="AC647" i="4"/>
  <c r="AA647" i="4"/>
  <c r="Z647" i="4"/>
  <c r="Y647" i="4"/>
  <c r="X647" i="4"/>
  <c r="W647" i="4"/>
  <c r="V647" i="4"/>
  <c r="U647" i="4"/>
  <c r="Q647" i="4"/>
  <c r="P647" i="4"/>
  <c r="O647" i="4"/>
  <c r="N647" i="4"/>
  <c r="M647" i="4"/>
  <c r="J647" i="4"/>
  <c r="K647" i="4" s="1"/>
  <c r="I647" i="4"/>
  <c r="H647" i="4"/>
  <c r="G647" i="4"/>
  <c r="F647" i="4"/>
  <c r="E647" i="4"/>
  <c r="D647" i="4"/>
  <c r="C647" i="4"/>
  <c r="R647" i="4" s="1"/>
  <c r="S647" i="4" s="1"/>
  <c r="B647" i="4"/>
  <c r="A647" i="4"/>
  <c r="AF646" i="4"/>
  <c r="AE646" i="4"/>
  <c r="AD646" i="4"/>
  <c r="AC646" i="4"/>
  <c r="Z646" i="4"/>
  <c r="Y646" i="4"/>
  <c r="X646" i="4"/>
  <c r="W646" i="4"/>
  <c r="V646" i="4"/>
  <c r="U646" i="4"/>
  <c r="S646" i="4"/>
  <c r="R646" i="4"/>
  <c r="Q646" i="4"/>
  <c r="P646" i="4"/>
  <c r="O646" i="4"/>
  <c r="N646" i="4"/>
  <c r="M646" i="4"/>
  <c r="K646" i="4"/>
  <c r="J646" i="4"/>
  <c r="I646" i="4"/>
  <c r="H646" i="4"/>
  <c r="G646" i="4"/>
  <c r="F646" i="4"/>
  <c r="E646" i="4"/>
  <c r="D646" i="4"/>
  <c r="C646" i="4"/>
  <c r="B646" i="4"/>
  <c r="A646" i="4"/>
  <c r="AF645" i="4"/>
  <c r="AE645" i="4"/>
  <c r="AD645" i="4"/>
  <c r="AC645" i="4"/>
  <c r="Y645" i="4"/>
  <c r="W645" i="4"/>
  <c r="V645" i="4"/>
  <c r="U645" i="4"/>
  <c r="Q645" i="4"/>
  <c r="O645" i="4"/>
  <c r="N645" i="4"/>
  <c r="M645" i="4"/>
  <c r="I645" i="4"/>
  <c r="H645" i="4"/>
  <c r="G645" i="4"/>
  <c r="F645" i="4"/>
  <c r="E645" i="4"/>
  <c r="C645" i="4"/>
  <c r="B645" i="4"/>
  <c r="A645" i="4"/>
  <c r="AF644" i="4"/>
  <c r="AE644" i="4"/>
  <c r="AD644" i="4"/>
  <c r="AC644" i="4"/>
  <c r="Z644" i="4"/>
  <c r="AA644" i="4" s="1"/>
  <c r="Y644" i="4"/>
  <c r="X644" i="4"/>
  <c r="W644" i="4"/>
  <c r="V644" i="4"/>
  <c r="U644" i="4"/>
  <c r="Q644" i="4"/>
  <c r="P644" i="4"/>
  <c r="O644" i="4"/>
  <c r="N644" i="4"/>
  <c r="M644" i="4"/>
  <c r="J644" i="4"/>
  <c r="K644" i="4" s="1"/>
  <c r="I644" i="4"/>
  <c r="H644" i="4"/>
  <c r="G644" i="4"/>
  <c r="F644" i="4"/>
  <c r="E644" i="4"/>
  <c r="D644" i="4"/>
  <c r="C644" i="4"/>
  <c r="R644" i="4" s="1"/>
  <c r="S644" i="4" s="1"/>
  <c r="B644" i="4"/>
  <c r="A644" i="4"/>
  <c r="AF643" i="4"/>
  <c r="AE643" i="4"/>
  <c r="AD643" i="4"/>
  <c r="AC643" i="4"/>
  <c r="Z643" i="4"/>
  <c r="AA643" i="4" s="1"/>
  <c r="Y643" i="4"/>
  <c r="X643" i="4"/>
  <c r="W643" i="4"/>
  <c r="V643" i="4"/>
  <c r="U643" i="4"/>
  <c r="R643" i="4"/>
  <c r="S643" i="4" s="1"/>
  <c r="Q643" i="4"/>
  <c r="P643" i="4"/>
  <c r="O643" i="4"/>
  <c r="N643" i="4"/>
  <c r="M643" i="4"/>
  <c r="J643" i="4"/>
  <c r="I643" i="4"/>
  <c r="H643" i="4"/>
  <c r="G643" i="4"/>
  <c r="K643" i="4" s="1"/>
  <c r="F643" i="4"/>
  <c r="E643" i="4"/>
  <c r="D643" i="4"/>
  <c r="C643" i="4"/>
  <c r="B643" i="4"/>
  <c r="A643" i="4"/>
  <c r="AF642" i="4"/>
  <c r="AE642" i="4"/>
  <c r="AD642" i="4"/>
  <c r="AC642" i="4"/>
  <c r="AA642" i="4"/>
  <c r="Z642" i="4"/>
  <c r="Y642" i="4"/>
  <c r="X642" i="4"/>
  <c r="W642" i="4"/>
  <c r="V642" i="4"/>
  <c r="U642" i="4"/>
  <c r="R642" i="4"/>
  <c r="Q642" i="4"/>
  <c r="O642" i="4"/>
  <c r="S642" i="4" s="1"/>
  <c r="N642" i="4"/>
  <c r="M642" i="4"/>
  <c r="I642" i="4"/>
  <c r="H642" i="4"/>
  <c r="G642" i="4"/>
  <c r="F642" i="4"/>
  <c r="E642" i="4"/>
  <c r="C642" i="4"/>
  <c r="J642" i="4" s="1"/>
  <c r="B642" i="4"/>
  <c r="A642" i="4"/>
  <c r="AF641" i="4"/>
  <c r="AE641" i="4"/>
  <c r="AD641" i="4"/>
  <c r="AC641" i="4"/>
  <c r="Y641" i="4"/>
  <c r="W641" i="4"/>
  <c r="V641" i="4"/>
  <c r="U641" i="4"/>
  <c r="Q641" i="4"/>
  <c r="O641" i="4"/>
  <c r="N641" i="4"/>
  <c r="M641" i="4"/>
  <c r="I641" i="4"/>
  <c r="H641" i="4"/>
  <c r="G641" i="4"/>
  <c r="F641" i="4"/>
  <c r="E641" i="4"/>
  <c r="D641" i="4"/>
  <c r="C641" i="4"/>
  <c r="B641" i="4"/>
  <c r="A641" i="4"/>
  <c r="AF640" i="4"/>
  <c r="AE640" i="4"/>
  <c r="AD640" i="4"/>
  <c r="AC640" i="4"/>
  <c r="Z640" i="4"/>
  <c r="Y640" i="4"/>
  <c r="X640" i="4"/>
  <c r="W640" i="4"/>
  <c r="V640" i="4"/>
  <c r="U640" i="4"/>
  <c r="S640" i="4"/>
  <c r="R640" i="4"/>
  <c r="Q640" i="4"/>
  <c r="P640" i="4"/>
  <c r="O640" i="4"/>
  <c r="N640" i="4"/>
  <c r="M640" i="4"/>
  <c r="K640" i="4"/>
  <c r="J640" i="4"/>
  <c r="I640" i="4"/>
  <c r="H640" i="4"/>
  <c r="G640" i="4"/>
  <c r="F640" i="4"/>
  <c r="E640" i="4"/>
  <c r="D640" i="4"/>
  <c r="C640" i="4"/>
  <c r="B640" i="4"/>
  <c r="A640" i="4"/>
  <c r="AF639" i="4"/>
  <c r="AE639" i="4"/>
  <c r="AD639" i="4"/>
  <c r="AC639" i="4"/>
  <c r="Y639" i="4"/>
  <c r="W639" i="4"/>
  <c r="V639" i="4"/>
  <c r="U639" i="4"/>
  <c r="Q639" i="4"/>
  <c r="P639" i="4"/>
  <c r="O639" i="4"/>
  <c r="N639" i="4"/>
  <c r="M639" i="4"/>
  <c r="I639" i="4"/>
  <c r="H639" i="4"/>
  <c r="G639" i="4"/>
  <c r="F639" i="4"/>
  <c r="E639" i="4"/>
  <c r="C639" i="4"/>
  <c r="B639" i="4"/>
  <c r="A639" i="4"/>
  <c r="AF638" i="4"/>
  <c r="AE638" i="4"/>
  <c r="AD638" i="4"/>
  <c r="AC638" i="4"/>
  <c r="Z638" i="4"/>
  <c r="AA638" i="4" s="1"/>
  <c r="Y638" i="4"/>
  <c r="X638" i="4"/>
  <c r="W638" i="4"/>
  <c r="V638" i="4"/>
  <c r="U638" i="4"/>
  <c r="Q638" i="4"/>
  <c r="P638" i="4"/>
  <c r="O638" i="4"/>
  <c r="N638" i="4"/>
  <c r="M638" i="4"/>
  <c r="J638" i="4"/>
  <c r="K638" i="4" s="1"/>
  <c r="I638" i="4"/>
  <c r="H638" i="4"/>
  <c r="G638" i="4"/>
  <c r="F638" i="4"/>
  <c r="E638" i="4"/>
  <c r="D638" i="4"/>
  <c r="C638" i="4"/>
  <c r="R638" i="4" s="1"/>
  <c r="S638" i="4" s="1"/>
  <c r="B638" i="4"/>
  <c r="A638" i="4"/>
  <c r="AF637" i="4"/>
  <c r="AE637" i="4"/>
  <c r="AD637" i="4"/>
  <c r="AC637" i="4"/>
  <c r="Z637" i="4"/>
  <c r="AA637" i="4" s="1"/>
  <c r="Y637" i="4"/>
  <c r="X637" i="4"/>
  <c r="W637" i="4"/>
  <c r="V637" i="4"/>
  <c r="U637" i="4"/>
  <c r="R637" i="4"/>
  <c r="S637" i="4" s="1"/>
  <c r="Q637" i="4"/>
  <c r="P637" i="4"/>
  <c r="O637" i="4"/>
  <c r="N637" i="4"/>
  <c r="M637" i="4"/>
  <c r="J637" i="4"/>
  <c r="I637" i="4"/>
  <c r="H637" i="4"/>
  <c r="G637" i="4"/>
  <c r="K637" i="4" s="1"/>
  <c r="F637" i="4"/>
  <c r="E637" i="4"/>
  <c r="D637" i="4"/>
  <c r="C637" i="4"/>
  <c r="B637" i="4"/>
  <c r="A637" i="4"/>
  <c r="AF636" i="4"/>
  <c r="AE636" i="4"/>
  <c r="AD636" i="4"/>
  <c r="AC636" i="4"/>
  <c r="Y636" i="4"/>
  <c r="X636" i="4"/>
  <c r="W636" i="4"/>
  <c r="V636" i="4"/>
  <c r="U636" i="4"/>
  <c r="Q636" i="4"/>
  <c r="P636" i="4"/>
  <c r="O636" i="4"/>
  <c r="N636" i="4"/>
  <c r="M636" i="4"/>
  <c r="I636" i="4"/>
  <c r="H636" i="4"/>
  <c r="G636" i="4"/>
  <c r="F636" i="4"/>
  <c r="E636" i="4"/>
  <c r="C636" i="4"/>
  <c r="B636" i="4"/>
  <c r="A636" i="4"/>
  <c r="AF635" i="4"/>
  <c r="AE635" i="4"/>
  <c r="AD635" i="4"/>
  <c r="AC635" i="4"/>
  <c r="Y635" i="4"/>
  <c r="W635" i="4"/>
  <c r="V635" i="4"/>
  <c r="U635" i="4"/>
  <c r="Q635" i="4"/>
  <c r="P635" i="4"/>
  <c r="O635" i="4"/>
  <c r="N635" i="4"/>
  <c r="M635" i="4"/>
  <c r="I635" i="4"/>
  <c r="H635" i="4"/>
  <c r="G635" i="4"/>
  <c r="F635" i="4"/>
  <c r="E635" i="4"/>
  <c r="D635" i="4"/>
  <c r="C635" i="4"/>
  <c r="B635" i="4"/>
  <c r="A635" i="4"/>
  <c r="AF634" i="4"/>
  <c r="AE634" i="4"/>
  <c r="AD634" i="4"/>
  <c r="AC634" i="4"/>
  <c r="Z634" i="4"/>
  <c r="AA634" i="4" s="1"/>
  <c r="Y634" i="4"/>
  <c r="X634" i="4"/>
  <c r="W634" i="4"/>
  <c r="V634" i="4"/>
  <c r="U634" i="4"/>
  <c r="S634" i="4"/>
  <c r="R634" i="4"/>
  <c r="Q634" i="4"/>
  <c r="P634" i="4"/>
  <c r="O634" i="4"/>
  <c r="N634" i="4"/>
  <c r="M634" i="4"/>
  <c r="K634" i="4"/>
  <c r="J634" i="4"/>
  <c r="I634" i="4"/>
  <c r="H634" i="4"/>
  <c r="G634" i="4"/>
  <c r="F634" i="4"/>
  <c r="E634" i="4"/>
  <c r="D634" i="4"/>
  <c r="C634" i="4"/>
  <c r="B634" i="4"/>
  <c r="A634" i="4"/>
  <c r="AF633" i="4"/>
  <c r="AE633" i="4"/>
  <c r="AD633" i="4"/>
  <c r="AC633" i="4"/>
  <c r="Y633" i="4"/>
  <c r="X633" i="4"/>
  <c r="W633" i="4"/>
  <c r="V633" i="4"/>
  <c r="U633" i="4"/>
  <c r="Q633" i="4"/>
  <c r="O633" i="4"/>
  <c r="N633" i="4"/>
  <c r="M633" i="4"/>
  <c r="I633" i="4"/>
  <c r="H633" i="4"/>
  <c r="G633" i="4"/>
  <c r="F633" i="4"/>
  <c r="E633" i="4"/>
  <c r="D633" i="4"/>
  <c r="C633" i="4"/>
  <c r="B633" i="4"/>
  <c r="A633" i="4"/>
  <c r="AF632" i="4"/>
  <c r="AE632" i="4"/>
  <c r="AD632" i="4"/>
  <c r="AC632" i="4"/>
  <c r="Y632" i="4"/>
  <c r="W632" i="4"/>
  <c r="V632" i="4"/>
  <c r="U632" i="4"/>
  <c r="Q632" i="4"/>
  <c r="O632" i="4"/>
  <c r="N632" i="4"/>
  <c r="M632" i="4"/>
  <c r="I632" i="4"/>
  <c r="H632" i="4"/>
  <c r="G632" i="4"/>
  <c r="F632" i="4"/>
  <c r="E632" i="4"/>
  <c r="D632" i="4"/>
  <c r="C632" i="4"/>
  <c r="B632" i="4"/>
  <c r="A632" i="4"/>
  <c r="AF631" i="4"/>
  <c r="AE631" i="4"/>
  <c r="AD631" i="4"/>
  <c r="AC631" i="4"/>
  <c r="Z631" i="4"/>
  <c r="Y631" i="4"/>
  <c r="X631" i="4"/>
  <c r="W631" i="4"/>
  <c r="V631" i="4"/>
  <c r="U631" i="4"/>
  <c r="R631" i="4"/>
  <c r="S631" i="4" s="1"/>
  <c r="Q631" i="4"/>
  <c r="P631" i="4"/>
  <c r="O631" i="4"/>
  <c r="N631" i="4"/>
  <c r="M631" i="4"/>
  <c r="K631" i="4"/>
  <c r="J631" i="4"/>
  <c r="I631" i="4"/>
  <c r="H631" i="4"/>
  <c r="G631" i="4"/>
  <c r="F631" i="4"/>
  <c r="E631" i="4"/>
  <c r="D631" i="4"/>
  <c r="C631" i="4"/>
  <c r="B631" i="4"/>
  <c r="A631" i="4"/>
  <c r="AF630" i="4"/>
  <c r="AE630" i="4"/>
  <c r="AD630" i="4"/>
  <c r="AC630" i="4"/>
  <c r="Z630" i="4"/>
  <c r="AA630" i="4" s="1"/>
  <c r="Y630" i="4"/>
  <c r="X630" i="4"/>
  <c r="W630" i="4"/>
  <c r="V630" i="4"/>
  <c r="U630" i="4"/>
  <c r="R630" i="4"/>
  <c r="S630" i="4" s="1"/>
  <c r="Q630" i="4"/>
  <c r="P630" i="4"/>
  <c r="O630" i="4"/>
  <c r="N630" i="4"/>
  <c r="M630" i="4"/>
  <c r="I630" i="4"/>
  <c r="H630" i="4"/>
  <c r="G630" i="4"/>
  <c r="F630" i="4"/>
  <c r="E630" i="4"/>
  <c r="D630" i="4"/>
  <c r="C630" i="4"/>
  <c r="J630" i="4" s="1"/>
  <c r="K630" i="4" s="1"/>
  <c r="B630" i="4"/>
  <c r="A630" i="4"/>
  <c r="AF629" i="4"/>
  <c r="AE629" i="4"/>
  <c r="AD629" i="4"/>
  <c r="AC629" i="4"/>
  <c r="Y629" i="4"/>
  <c r="X629" i="4"/>
  <c r="W629" i="4"/>
  <c r="V629" i="4"/>
  <c r="U629" i="4"/>
  <c r="Q629" i="4"/>
  <c r="P629" i="4"/>
  <c r="O629" i="4"/>
  <c r="N629" i="4"/>
  <c r="M629" i="4"/>
  <c r="K629" i="4"/>
  <c r="J629" i="4"/>
  <c r="I629" i="4"/>
  <c r="H629" i="4"/>
  <c r="G629" i="4"/>
  <c r="F629" i="4"/>
  <c r="E629" i="4"/>
  <c r="D629" i="4"/>
  <c r="C629" i="4"/>
  <c r="R629" i="4" s="1"/>
  <c r="S629" i="4" s="1"/>
  <c r="B629" i="4"/>
  <c r="A629" i="4"/>
  <c r="AF628" i="4"/>
  <c r="AE628" i="4"/>
  <c r="AD628" i="4"/>
  <c r="AC628" i="4"/>
  <c r="Z628" i="4"/>
  <c r="AA628" i="4" s="1"/>
  <c r="Y628" i="4"/>
  <c r="X628" i="4"/>
  <c r="W628" i="4"/>
  <c r="V628" i="4"/>
  <c r="U628" i="4"/>
  <c r="R628" i="4"/>
  <c r="S628" i="4" s="1"/>
  <c r="Q628" i="4"/>
  <c r="P628" i="4"/>
  <c r="O628" i="4"/>
  <c r="N628" i="4"/>
  <c r="M628" i="4"/>
  <c r="K628" i="4"/>
  <c r="J628" i="4"/>
  <c r="I628" i="4"/>
  <c r="H628" i="4"/>
  <c r="G628" i="4"/>
  <c r="F628" i="4"/>
  <c r="E628" i="4"/>
  <c r="D628" i="4"/>
  <c r="C628" i="4"/>
  <c r="B628" i="4"/>
  <c r="A628" i="4"/>
  <c r="AF627" i="4"/>
  <c r="AE627" i="4"/>
  <c r="AD627" i="4"/>
  <c r="AC627" i="4"/>
  <c r="Z627" i="4"/>
  <c r="AA627" i="4" s="1"/>
  <c r="Y627" i="4"/>
  <c r="X627" i="4"/>
  <c r="W627" i="4"/>
  <c r="V627" i="4"/>
  <c r="U627" i="4"/>
  <c r="S627" i="4"/>
  <c r="R627" i="4"/>
  <c r="Q627" i="4"/>
  <c r="O627" i="4"/>
  <c r="N627" i="4"/>
  <c r="M627" i="4"/>
  <c r="I627" i="4"/>
  <c r="H627" i="4"/>
  <c r="G627" i="4"/>
  <c r="F627" i="4"/>
  <c r="E627" i="4"/>
  <c r="D627" i="4"/>
  <c r="C627" i="4"/>
  <c r="J627" i="4" s="1"/>
  <c r="B627" i="4"/>
  <c r="A627" i="4"/>
  <c r="AF626" i="4"/>
  <c r="AE626" i="4"/>
  <c r="AD626" i="4"/>
  <c r="AC626" i="4"/>
  <c r="Y626" i="4"/>
  <c r="W626" i="4"/>
  <c r="V626" i="4"/>
  <c r="U626" i="4"/>
  <c r="Q626" i="4"/>
  <c r="O626" i="4"/>
  <c r="N626" i="4"/>
  <c r="M626" i="4"/>
  <c r="I626" i="4"/>
  <c r="H626" i="4"/>
  <c r="G626" i="4"/>
  <c r="F626" i="4"/>
  <c r="E626" i="4"/>
  <c r="D626" i="4"/>
  <c r="C626" i="4"/>
  <c r="B626" i="4"/>
  <c r="A626" i="4"/>
  <c r="AF625" i="4"/>
  <c r="AE625" i="4"/>
  <c r="AD625" i="4"/>
  <c r="AC625" i="4"/>
  <c r="Z625" i="4"/>
  <c r="Y625" i="4"/>
  <c r="X625" i="4"/>
  <c r="W625" i="4"/>
  <c r="V625" i="4"/>
  <c r="U625" i="4"/>
  <c r="R625" i="4"/>
  <c r="S625" i="4" s="1"/>
  <c r="Q625" i="4"/>
  <c r="P625" i="4"/>
  <c r="O625" i="4"/>
  <c r="N625" i="4"/>
  <c r="M625" i="4"/>
  <c r="J625" i="4"/>
  <c r="K625" i="4" s="1"/>
  <c r="I625" i="4"/>
  <c r="H625" i="4"/>
  <c r="G625" i="4"/>
  <c r="F625" i="4"/>
  <c r="E625" i="4"/>
  <c r="D625" i="4"/>
  <c r="C625" i="4"/>
  <c r="B625" i="4"/>
  <c r="A625" i="4"/>
  <c r="AF624" i="4"/>
  <c r="AE624" i="4"/>
  <c r="AD624" i="4"/>
  <c r="AC624" i="4"/>
  <c r="Z624" i="4"/>
  <c r="AA624" i="4" s="1"/>
  <c r="Y624" i="4"/>
  <c r="W624" i="4"/>
  <c r="V624" i="4"/>
  <c r="U624" i="4"/>
  <c r="Q624" i="4"/>
  <c r="P624" i="4"/>
  <c r="O624" i="4"/>
  <c r="N624" i="4"/>
  <c r="M624" i="4"/>
  <c r="I624" i="4"/>
  <c r="H624" i="4"/>
  <c r="G624" i="4"/>
  <c r="F624" i="4"/>
  <c r="E624" i="4"/>
  <c r="C624" i="4"/>
  <c r="B624" i="4"/>
  <c r="A624" i="4"/>
  <c r="AF623" i="4"/>
  <c r="AE623" i="4"/>
  <c r="AD623" i="4"/>
  <c r="AC623" i="4"/>
  <c r="Z623" i="4"/>
  <c r="Y623" i="4"/>
  <c r="X623" i="4"/>
  <c r="W623" i="4"/>
  <c r="AA623" i="4" s="1"/>
  <c r="V623" i="4"/>
  <c r="U623" i="4"/>
  <c r="Q623" i="4"/>
  <c r="P623" i="4"/>
  <c r="O623" i="4"/>
  <c r="N623" i="4"/>
  <c r="M623" i="4"/>
  <c r="J623" i="4"/>
  <c r="K623" i="4" s="1"/>
  <c r="I623" i="4"/>
  <c r="H623" i="4"/>
  <c r="G623" i="4"/>
  <c r="F623" i="4"/>
  <c r="E623" i="4"/>
  <c r="D623" i="4"/>
  <c r="C623" i="4"/>
  <c r="R623" i="4" s="1"/>
  <c r="S623" i="4" s="1"/>
  <c r="B623" i="4"/>
  <c r="A623" i="4"/>
  <c r="AF622" i="4"/>
  <c r="AE622" i="4"/>
  <c r="AD622" i="4"/>
  <c r="AC622" i="4"/>
  <c r="Z622" i="4"/>
  <c r="AA622" i="4" s="1"/>
  <c r="Y622" i="4"/>
  <c r="X622" i="4"/>
  <c r="W622" i="4"/>
  <c r="V622" i="4"/>
  <c r="U622" i="4"/>
  <c r="R622" i="4"/>
  <c r="S622" i="4" s="1"/>
  <c r="Q622" i="4"/>
  <c r="P622" i="4"/>
  <c r="O622" i="4"/>
  <c r="N622" i="4"/>
  <c r="M622" i="4"/>
  <c r="J622" i="4"/>
  <c r="I622" i="4"/>
  <c r="H622" i="4"/>
  <c r="G622" i="4"/>
  <c r="K622" i="4" s="1"/>
  <c r="F622" i="4"/>
  <c r="E622" i="4"/>
  <c r="D622" i="4"/>
  <c r="C622" i="4"/>
  <c r="B622" i="4"/>
  <c r="A622" i="4"/>
  <c r="AF621" i="4"/>
  <c r="AE621" i="4"/>
  <c r="AD621" i="4"/>
  <c r="AC621" i="4"/>
  <c r="AA621" i="4"/>
  <c r="Z621" i="4"/>
  <c r="Y621" i="4"/>
  <c r="X621" i="4"/>
  <c r="W621" i="4"/>
  <c r="V621" i="4"/>
  <c r="U621" i="4"/>
  <c r="R621" i="4"/>
  <c r="Q621" i="4"/>
  <c r="P621" i="4"/>
  <c r="O621" i="4"/>
  <c r="S621" i="4" s="1"/>
  <c r="N621" i="4"/>
  <c r="M621" i="4"/>
  <c r="I621" i="4"/>
  <c r="H621" i="4"/>
  <c r="G621" i="4"/>
  <c r="F621" i="4"/>
  <c r="E621" i="4"/>
  <c r="C621" i="4"/>
  <c r="J621" i="4" s="1"/>
  <c r="B621" i="4"/>
  <c r="A621" i="4"/>
  <c r="AF620" i="4"/>
  <c r="AE620" i="4"/>
  <c r="AD620" i="4"/>
  <c r="AC620" i="4"/>
  <c r="Y620" i="4"/>
  <c r="W620" i="4"/>
  <c r="V620" i="4"/>
  <c r="U620" i="4"/>
  <c r="Q620" i="4"/>
  <c r="P620" i="4"/>
  <c r="O620" i="4"/>
  <c r="N620" i="4"/>
  <c r="M620" i="4"/>
  <c r="I620" i="4"/>
  <c r="H620" i="4"/>
  <c r="G620" i="4"/>
  <c r="F620" i="4"/>
  <c r="E620" i="4"/>
  <c r="D620" i="4"/>
  <c r="C620" i="4"/>
  <c r="B620" i="4"/>
  <c r="A620" i="4"/>
  <c r="AF619" i="4"/>
  <c r="AE619" i="4"/>
  <c r="AD619" i="4"/>
  <c r="AC619" i="4"/>
  <c r="Z619" i="4"/>
  <c r="AA619" i="4" s="1"/>
  <c r="Y619" i="4"/>
  <c r="X619" i="4"/>
  <c r="W619" i="4"/>
  <c r="V619" i="4"/>
  <c r="U619" i="4"/>
  <c r="S619" i="4"/>
  <c r="R619" i="4"/>
  <c r="Q619" i="4"/>
  <c r="P619" i="4"/>
  <c r="O619" i="4"/>
  <c r="N619" i="4"/>
  <c r="M619" i="4"/>
  <c r="J619" i="4"/>
  <c r="K619" i="4" s="1"/>
  <c r="I619" i="4"/>
  <c r="H619" i="4"/>
  <c r="G619" i="4"/>
  <c r="F619" i="4"/>
  <c r="E619" i="4"/>
  <c r="D619" i="4"/>
  <c r="C619" i="4"/>
  <c r="B619" i="4"/>
  <c r="A619" i="4"/>
  <c r="AF618" i="4"/>
  <c r="AE618" i="4"/>
  <c r="AD618" i="4"/>
  <c r="AC618" i="4"/>
  <c r="Y618" i="4"/>
  <c r="W618" i="4"/>
  <c r="V618" i="4"/>
  <c r="U618" i="4"/>
  <c r="R618" i="4"/>
  <c r="S618" i="4" s="1"/>
  <c r="Q618" i="4"/>
  <c r="O618" i="4"/>
  <c r="N618" i="4"/>
  <c r="M618" i="4"/>
  <c r="I618" i="4"/>
  <c r="H618" i="4"/>
  <c r="G618" i="4"/>
  <c r="F618" i="4"/>
  <c r="E618" i="4"/>
  <c r="D618" i="4"/>
  <c r="C618" i="4"/>
  <c r="B618" i="4"/>
  <c r="A618" i="4"/>
  <c r="AF617" i="4"/>
  <c r="AE617" i="4"/>
  <c r="AD617" i="4"/>
  <c r="AC617" i="4"/>
  <c r="Y617" i="4"/>
  <c r="W617" i="4"/>
  <c r="V617" i="4"/>
  <c r="U617" i="4"/>
  <c r="Q617" i="4"/>
  <c r="O617" i="4"/>
  <c r="N617" i="4"/>
  <c r="M617" i="4"/>
  <c r="I617" i="4"/>
  <c r="H617" i="4"/>
  <c r="G617" i="4"/>
  <c r="F617" i="4"/>
  <c r="E617" i="4"/>
  <c r="D617" i="4"/>
  <c r="C617" i="4"/>
  <c r="B617" i="4"/>
  <c r="A617" i="4"/>
  <c r="AF616" i="4"/>
  <c r="AE616" i="4"/>
  <c r="AD616" i="4"/>
  <c r="AC616" i="4"/>
  <c r="Z616" i="4"/>
  <c r="AA616" i="4" s="1"/>
  <c r="Y616" i="4"/>
  <c r="X616" i="4"/>
  <c r="W616" i="4"/>
  <c r="V616" i="4"/>
  <c r="U616" i="4"/>
  <c r="S616" i="4"/>
  <c r="R616" i="4"/>
  <c r="Q616" i="4"/>
  <c r="P616" i="4"/>
  <c r="O616" i="4"/>
  <c r="N616" i="4"/>
  <c r="M616" i="4"/>
  <c r="J616" i="4"/>
  <c r="I616" i="4"/>
  <c r="H616" i="4"/>
  <c r="G616" i="4"/>
  <c r="F616" i="4"/>
  <c r="E616" i="4"/>
  <c r="D616" i="4"/>
  <c r="C616" i="4"/>
  <c r="B616" i="4"/>
  <c r="A616" i="4"/>
  <c r="AF615" i="4"/>
  <c r="AE615" i="4"/>
  <c r="AD615" i="4"/>
  <c r="AC615" i="4"/>
  <c r="AA615" i="4"/>
  <c r="Z615" i="4"/>
  <c r="Y615" i="4"/>
  <c r="X615" i="4"/>
  <c r="W615" i="4"/>
  <c r="V615" i="4"/>
  <c r="U615" i="4"/>
  <c r="R615" i="4"/>
  <c r="S615" i="4" s="1"/>
  <c r="Q615" i="4"/>
  <c r="P615" i="4"/>
  <c r="O615" i="4"/>
  <c r="N615" i="4"/>
  <c r="M615" i="4"/>
  <c r="I615" i="4"/>
  <c r="H615" i="4"/>
  <c r="G615" i="4"/>
  <c r="F615" i="4"/>
  <c r="E615" i="4"/>
  <c r="D615" i="4"/>
  <c r="C615" i="4"/>
  <c r="J615" i="4" s="1"/>
  <c r="K615" i="4" s="1"/>
  <c r="B615" i="4"/>
  <c r="A615" i="4"/>
  <c r="AF614" i="4"/>
  <c r="AE614" i="4"/>
  <c r="AD614" i="4"/>
  <c r="AC614" i="4"/>
  <c r="Y614" i="4"/>
  <c r="W614" i="4"/>
  <c r="V614" i="4"/>
  <c r="U614" i="4"/>
  <c r="Q614" i="4"/>
  <c r="P614" i="4"/>
  <c r="O614" i="4"/>
  <c r="N614" i="4"/>
  <c r="M614" i="4"/>
  <c r="I614" i="4"/>
  <c r="H614" i="4"/>
  <c r="G614" i="4"/>
  <c r="F614" i="4"/>
  <c r="E614" i="4"/>
  <c r="D614" i="4"/>
  <c r="C614" i="4"/>
  <c r="B614" i="4"/>
  <c r="A614" i="4"/>
  <c r="AF613" i="4"/>
  <c r="AE613" i="4"/>
  <c r="AD613" i="4"/>
  <c r="AC613" i="4"/>
  <c r="Z613" i="4"/>
  <c r="AA613" i="4" s="1"/>
  <c r="Y613" i="4"/>
  <c r="X613" i="4"/>
  <c r="W613" i="4"/>
  <c r="V613" i="4"/>
  <c r="U613" i="4"/>
  <c r="S613" i="4"/>
  <c r="R613" i="4"/>
  <c r="Q613" i="4"/>
  <c r="P613" i="4"/>
  <c r="O613" i="4"/>
  <c r="N613" i="4"/>
  <c r="M613" i="4"/>
  <c r="K613" i="4"/>
  <c r="J613" i="4"/>
  <c r="I613" i="4"/>
  <c r="H613" i="4"/>
  <c r="G613" i="4"/>
  <c r="F613" i="4"/>
  <c r="E613" i="4"/>
  <c r="D613" i="4"/>
  <c r="C613" i="4"/>
  <c r="B613" i="4"/>
  <c r="A613" i="4"/>
  <c r="AF612" i="4"/>
  <c r="AE612" i="4"/>
  <c r="AD612" i="4"/>
  <c r="AC612" i="4"/>
  <c r="Y612" i="4"/>
  <c r="X612" i="4"/>
  <c r="W612" i="4"/>
  <c r="V612" i="4"/>
  <c r="U612" i="4"/>
  <c r="R612" i="4"/>
  <c r="S612" i="4" s="1"/>
  <c r="Q612" i="4"/>
  <c r="O612" i="4"/>
  <c r="N612" i="4"/>
  <c r="M612" i="4"/>
  <c r="J612" i="4"/>
  <c r="K612" i="4" s="1"/>
  <c r="I612" i="4"/>
  <c r="H612" i="4"/>
  <c r="G612" i="4"/>
  <c r="F612" i="4"/>
  <c r="E612" i="4"/>
  <c r="D612" i="4"/>
  <c r="C612" i="4"/>
  <c r="P612" i="4" s="1"/>
  <c r="B612" i="4"/>
  <c r="A612" i="4"/>
  <c r="AF611" i="4"/>
  <c r="AE611" i="4"/>
  <c r="AD611" i="4"/>
  <c r="AC611" i="4"/>
  <c r="Y611" i="4"/>
  <c r="W611" i="4"/>
  <c r="V611" i="4"/>
  <c r="U611" i="4"/>
  <c r="R611" i="4"/>
  <c r="S611" i="4" s="1"/>
  <c r="Q611" i="4"/>
  <c r="O611" i="4"/>
  <c r="N611" i="4"/>
  <c r="M611" i="4"/>
  <c r="I611" i="4"/>
  <c r="H611" i="4"/>
  <c r="G611" i="4"/>
  <c r="F611" i="4"/>
  <c r="E611" i="4"/>
  <c r="D611" i="4"/>
  <c r="C611" i="4"/>
  <c r="B611" i="4"/>
  <c r="A611" i="4"/>
  <c r="AF610" i="4"/>
  <c r="AE610" i="4"/>
  <c r="AD610" i="4"/>
  <c r="AC610" i="4"/>
  <c r="Z610" i="4"/>
  <c r="AA610" i="4" s="1"/>
  <c r="Y610" i="4"/>
  <c r="X610" i="4"/>
  <c r="W610" i="4"/>
  <c r="V610" i="4"/>
  <c r="U610" i="4"/>
  <c r="S610" i="4"/>
  <c r="R610" i="4"/>
  <c r="Q610" i="4"/>
  <c r="P610" i="4"/>
  <c r="O610" i="4"/>
  <c r="N610" i="4"/>
  <c r="M610" i="4"/>
  <c r="J610" i="4"/>
  <c r="K610" i="4" s="1"/>
  <c r="I610" i="4"/>
  <c r="H610" i="4"/>
  <c r="G610" i="4"/>
  <c r="F610" i="4"/>
  <c r="E610" i="4"/>
  <c r="D610" i="4"/>
  <c r="C610" i="4"/>
  <c r="B610" i="4"/>
  <c r="A610" i="4"/>
  <c r="AF609" i="4"/>
  <c r="AE609" i="4"/>
  <c r="AD609" i="4"/>
  <c r="AC609" i="4"/>
  <c r="Y609" i="4"/>
  <c r="W609" i="4"/>
  <c r="V609" i="4"/>
  <c r="U609" i="4"/>
  <c r="R609" i="4"/>
  <c r="Q609" i="4"/>
  <c r="P609" i="4"/>
  <c r="O609" i="4"/>
  <c r="N609" i="4"/>
  <c r="M609" i="4"/>
  <c r="I609" i="4"/>
  <c r="H609" i="4"/>
  <c r="G609" i="4"/>
  <c r="F609" i="4"/>
  <c r="E609" i="4"/>
  <c r="C609" i="4"/>
  <c r="B609" i="4"/>
  <c r="A609" i="4"/>
  <c r="AF608" i="4"/>
  <c r="AE608" i="4"/>
  <c r="AD608" i="4"/>
  <c r="AC608" i="4"/>
  <c r="Z608" i="4"/>
  <c r="AA608" i="4" s="1"/>
  <c r="Y608" i="4"/>
  <c r="X608" i="4"/>
  <c r="W608" i="4"/>
  <c r="V608" i="4"/>
  <c r="U608" i="4"/>
  <c r="Q608" i="4"/>
  <c r="P608" i="4"/>
  <c r="O608" i="4"/>
  <c r="N608" i="4"/>
  <c r="M608" i="4"/>
  <c r="I608" i="4"/>
  <c r="H608" i="4"/>
  <c r="G608" i="4"/>
  <c r="F608" i="4"/>
  <c r="E608" i="4"/>
  <c r="D608" i="4"/>
  <c r="C608" i="4"/>
  <c r="R608" i="4" s="1"/>
  <c r="S608" i="4" s="1"/>
  <c r="B608" i="4"/>
  <c r="A608" i="4"/>
  <c r="AF607" i="4"/>
  <c r="AE607" i="4"/>
  <c r="AD607" i="4"/>
  <c r="AC607" i="4"/>
  <c r="Z607" i="4"/>
  <c r="Y607" i="4"/>
  <c r="X607" i="4"/>
  <c r="W607" i="4"/>
  <c r="V607" i="4"/>
  <c r="U607" i="4"/>
  <c r="R607" i="4"/>
  <c r="S607" i="4" s="1"/>
  <c r="Q607" i="4"/>
  <c r="P607" i="4"/>
  <c r="O607" i="4"/>
  <c r="N607" i="4"/>
  <c r="M607" i="4"/>
  <c r="K607" i="4"/>
  <c r="J607" i="4"/>
  <c r="I607" i="4"/>
  <c r="H607" i="4"/>
  <c r="G607" i="4"/>
  <c r="F607" i="4"/>
  <c r="E607" i="4"/>
  <c r="D607" i="4"/>
  <c r="C607" i="4"/>
  <c r="B607" i="4"/>
  <c r="A607" i="4"/>
  <c r="AF606" i="4"/>
  <c r="AE606" i="4"/>
  <c r="AD606" i="4"/>
  <c r="AC606" i="4"/>
  <c r="Z606" i="4"/>
  <c r="AA606" i="4" s="1"/>
  <c r="Y606" i="4"/>
  <c r="W606" i="4"/>
  <c r="V606" i="4"/>
  <c r="U606" i="4"/>
  <c r="S606" i="4"/>
  <c r="R606" i="4"/>
  <c r="Q606" i="4"/>
  <c r="O606" i="4"/>
  <c r="N606" i="4"/>
  <c r="M606" i="4"/>
  <c r="I606" i="4"/>
  <c r="H606" i="4"/>
  <c r="G606" i="4"/>
  <c r="F606" i="4"/>
  <c r="E606" i="4"/>
  <c r="C606" i="4"/>
  <c r="P606" i="4" s="1"/>
  <c r="B606" i="4"/>
  <c r="A606" i="4"/>
  <c r="AF605" i="4"/>
  <c r="AE605" i="4"/>
  <c r="AD605" i="4"/>
  <c r="AC605" i="4"/>
  <c r="Z605" i="4"/>
  <c r="AA605" i="4" s="1"/>
  <c r="Y605" i="4"/>
  <c r="X605" i="4"/>
  <c r="W605" i="4"/>
  <c r="V605" i="4"/>
  <c r="U605" i="4"/>
  <c r="R605" i="4"/>
  <c r="S605" i="4" s="1"/>
  <c r="Q605" i="4"/>
  <c r="P605" i="4"/>
  <c r="O605" i="4"/>
  <c r="N605" i="4"/>
  <c r="M605" i="4"/>
  <c r="K605" i="4"/>
  <c r="J605" i="4"/>
  <c r="I605" i="4"/>
  <c r="H605" i="4"/>
  <c r="G605" i="4"/>
  <c r="F605" i="4"/>
  <c r="E605" i="4"/>
  <c r="D605" i="4"/>
  <c r="C605" i="4"/>
  <c r="B605" i="4"/>
  <c r="A605" i="4"/>
  <c r="AF604" i="4"/>
  <c r="AE604" i="4"/>
  <c r="AD604" i="4"/>
  <c r="AC604" i="4"/>
  <c r="Z604" i="4"/>
  <c r="AA604" i="4" s="1"/>
  <c r="Y604" i="4"/>
  <c r="X604" i="4"/>
  <c r="W604" i="4"/>
  <c r="V604" i="4"/>
  <c r="U604" i="4"/>
  <c r="S604" i="4"/>
  <c r="R604" i="4"/>
  <c r="Q604" i="4"/>
  <c r="P604" i="4"/>
  <c r="O604" i="4"/>
  <c r="N604" i="4"/>
  <c r="M604" i="4"/>
  <c r="J604" i="4"/>
  <c r="I604" i="4"/>
  <c r="H604" i="4"/>
  <c r="G604" i="4"/>
  <c r="K604" i="4" s="1"/>
  <c r="F604" i="4"/>
  <c r="E604" i="4"/>
  <c r="D604" i="4"/>
  <c r="C604" i="4"/>
  <c r="B604" i="4"/>
  <c r="A604" i="4"/>
  <c r="AF603" i="4"/>
  <c r="AE603" i="4"/>
  <c r="AD603" i="4"/>
  <c r="AC603" i="4"/>
  <c r="Z603" i="4"/>
  <c r="AA603" i="4" s="1"/>
  <c r="Y603" i="4"/>
  <c r="X603" i="4"/>
  <c r="W603" i="4"/>
  <c r="V603" i="4"/>
  <c r="U603" i="4"/>
  <c r="Q603" i="4"/>
  <c r="P603" i="4"/>
  <c r="O603" i="4"/>
  <c r="N603" i="4"/>
  <c r="M603" i="4"/>
  <c r="J603" i="4"/>
  <c r="K603" i="4" s="1"/>
  <c r="I603" i="4"/>
  <c r="H603" i="4"/>
  <c r="G603" i="4"/>
  <c r="F603" i="4"/>
  <c r="E603" i="4"/>
  <c r="C603" i="4"/>
  <c r="R603" i="4" s="1"/>
  <c r="S603" i="4" s="1"/>
  <c r="B603" i="4"/>
  <c r="A603" i="4"/>
  <c r="D603" i="4" s="1"/>
  <c r="AF602" i="4"/>
  <c r="AE602" i="4"/>
  <c r="AD602" i="4"/>
  <c r="AC602" i="4"/>
  <c r="Y602" i="4"/>
  <c r="W602" i="4"/>
  <c r="V602" i="4"/>
  <c r="U602" i="4"/>
  <c r="Q602" i="4"/>
  <c r="P602" i="4"/>
  <c r="O602" i="4"/>
  <c r="N602" i="4"/>
  <c r="M602" i="4"/>
  <c r="I602" i="4"/>
  <c r="H602" i="4"/>
  <c r="G602" i="4"/>
  <c r="F602" i="4"/>
  <c r="E602" i="4"/>
  <c r="D602" i="4"/>
  <c r="C602" i="4"/>
  <c r="B602" i="4"/>
  <c r="A602" i="4"/>
  <c r="AF601" i="4"/>
  <c r="AE601" i="4"/>
  <c r="AD601" i="4"/>
  <c r="AC601" i="4"/>
  <c r="Z601" i="4"/>
  <c r="AA601" i="4" s="1"/>
  <c r="Y601" i="4"/>
  <c r="X601" i="4"/>
  <c r="W601" i="4"/>
  <c r="V601" i="4"/>
  <c r="U601" i="4"/>
  <c r="S601" i="4"/>
  <c r="R601" i="4"/>
  <c r="Q601" i="4"/>
  <c r="P601" i="4"/>
  <c r="O601" i="4"/>
  <c r="N601" i="4"/>
  <c r="M601" i="4"/>
  <c r="K601" i="4"/>
  <c r="J601" i="4"/>
  <c r="I601" i="4"/>
  <c r="H601" i="4"/>
  <c r="G601" i="4"/>
  <c r="F601" i="4"/>
  <c r="E601" i="4"/>
  <c r="D601" i="4"/>
  <c r="C601" i="4"/>
  <c r="B601" i="4"/>
  <c r="A601" i="4"/>
  <c r="AF600" i="4"/>
  <c r="AE600" i="4"/>
  <c r="AD600" i="4"/>
  <c r="AC600" i="4"/>
  <c r="Y600" i="4"/>
  <c r="X600" i="4"/>
  <c r="W600" i="4"/>
  <c r="V600" i="4"/>
  <c r="U600" i="4"/>
  <c r="R600" i="4"/>
  <c r="S600" i="4" s="1"/>
  <c r="Q600" i="4"/>
  <c r="O600" i="4"/>
  <c r="N600" i="4"/>
  <c r="M600" i="4"/>
  <c r="J600" i="4"/>
  <c r="K600" i="4" s="1"/>
  <c r="I600" i="4"/>
  <c r="H600" i="4"/>
  <c r="G600" i="4"/>
  <c r="F600" i="4"/>
  <c r="E600" i="4"/>
  <c r="D600" i="4"/>
  <c r="C600" i="4"/>
  <c r="P600" i="4" s="1"/>
  <c r="B600" i="4"/>
  <c r="A600" i="4"/>
  <c r="AF599" i="4"/>
  <c r="AE599" i="4"/>
  <c r="AD599" i="4"/>
  <c r="AC599" i="4"/>
  <c r="Y599" i="4"/>
  <c r="W599" i="4"/>
  <c r="V599" i="4"/>
  <c r="U599" i="4"/>
  <c r="Q599" i="4"/>
  <c r="O599" i="4"/>
  <c r="N599" i="4"/>
  <c r="M599" i="4"/>
  <c r="I599" i="4"/>
  <c r="H599" i="4"/>
  <c r="G599" i="4"/>
  <c r="F599" i="4"/>
  <c r="E599" i="4"/>
  <c r="D599" i="4"/>
  <c r="C599" i="4"/>
  <c r="B599" i="4"/>
  <c r="A599" i="4"/>
  <c r="AF598" i="4"/>
  <c r="AE598" i="4"/>
  <c r="AD598" i="4"/>
  <c r="AC598" i="4"/>
  <c r="Z598" i="4"/>
  <c r="AA598" i="4" s="1"/>
  <c r="Y598" i="4"/>
  <c r="X598" i="4"/>
  <c r="W598" i="4"/>
  <c r="V598" i="4"/>
  <c r="U598" i="4"/>
  <c r="S598" i="4"/>
  <c r="R598" i="4"/>
  <c r="Q598" i="4"/>
  <c r="P598" i="4"/>
  <c r="O598" i="4"/>
  <c r="N598" i="4"/>
  <c r="M598" i="4"/>
  <c r="K598" i="4"/>
  <c r="J598" i="4"/>
  <c r="I598" i="4"/>
  <c r="H598" i="4"/>
  <c r="G598" i="4"/>
  <c r="F598" i="4"/>
  <c r="E598" i="4"/>
  <c r="D598" i="4"/>
  <c r="C598" i="4"/>
  <c r="B598" i="4"/>
  <c r="A598" i="4"/>
  <c r="AF597" i="4"/>
  <c r="AE597" i="4"/>
  <c r="AD597" i="4"/>
  <c r="AC597" i="4"/>
  <c r="Y597" i="4"/>
  <c r="W597" i="4"/>
  <c r="V597" i="4"/>
  <c r="U597" i="4"/>
  <c r="R597" i="4"/>
  <c r="Q597" i="4"/>
  <c r="P597" i="4"/>
  <c r="O597" i="4"/>
  <c r="N597" i="4"/>
  <c r="M597" i="4"/>
  <c r="I597" i="4"/>
  <c r="H597" i="4"/>
  <c r="G597" i="4"/>
  <c r="F597" i="4"/>
  <c r="E597" i="4"/>
  <c r="C597" i="4"/>
  <c r="B597" i="4"/>
  <c r="A597" i="4"/>
  <c r="AF596" i="4"/>
  <c r="AE596" i="4"/>
  <c r="AD596" i="4"/>
  <c r="AC596" i="4"/>
  <c r="Z596" i="4"/>
  <c r="AA596" i="4" s="1"/>
  <c r="Y596" i="4"/>
  <c r="X596" i="4"/>
  <c r="W596" i="4"/>
  <c r="V596" i="4"/>
  <c r="U596" i="4"/>
  <c r="Q596" i="4"/>
  <c r="P596" i="4"/>
  <c r="O596" i="4"/>
  <c r="N596" i="4"/>
  <c r="M596" i="4"/>
  <c r="I596" i="4"/>
  <c r="H596" i="4"/>
  <c r="G596" i="4"/>
  <c r="F596" i="4"/>
  <c r="E596" i="4"/>
  <c r="D596" i="4"/>
  <c r="C596" i="4"/>
  <c r="R596" i="4" s="1"/>
  <c r="S596" i="4" s="1"/>
  <c r="B596" i="4"/>
  <c r="A596" i="4"/>
  <c r="AF595" i="4"/>
  <c r="AE595" i="4"/>
  <c r="AD595" i="4"/>
  <c r="AC595" i="4"/>
  <c r="Z595" i="4"/>
  <c r="Y595" i="4"/>
  <c r="X595" i="4"/>
  <c r="W595" i="4"/>
  <c r="V595" i="4"/>
  <c r="U595" i="4"/>
  <c r="S595" i="4"/>
  <c r="R595" i="4"/>
  <c r="Q595" i="4"/>
  <c r="P595" i="4"/>
  <c r="O595" i="4"/>
  <c r="N595" i="4"/>
  <c r="M595" i="4"/>
  <c r="K595" i="4"/>
  <c r="J595" i="4"/>
  <c r="I595" i="4"/>
  <c r="H595" i="4"/>
  <c r="G595" i="4"/>
  <c r="F595" i="4"/>
  <c r="E595" i="4"/>
  <c r="D595" i="4"/>
  <c r="C595" i="4"/>
  <c r="B595" i="4"/>
  <c r="A595" i="4"/>
  <c r="AF594" i="4"/>
  <c r="AE594" i="4"/>
  <c r="AD594" i="4"/>
  <c r="AC594" i="4"/>
  <c r="Z594" i="4"/>
  <c r="AA594" i="4" s="1"/>
  <c r="Y594" i="4"/>
  <c r="W594" i="4"/>
  <c r="V594" i="4"/>
  <c r="U594" i="4"/>
  <c r="S594" i="4"/>
  <c r="R594" i="4"/>
  <c r="Q594" i="4"/>
  <c r="O594" i="4"/>
  <c r="N594" i="4"/>
  <c r="M594" i="4"/>
  <c r="I594" i="4"/>
  <c r="H594" i="4"/>
  <c r="G594" i="4"/>
  <c r="F594" i="4"/>
  <c r="E594" i="4"/>
  <c r="C594" i="4"/>
  <c r="P594" i="4" s="1"/>
  <c r="B594" i="4"/>
  <c r="A594" i="4"/>
  <c r="AF593" i="4"/>
  <c r="AE593" i="4"/>
  <c r="AD593" i="4"/>
  <c r="AC593" i="4"/>
  <c r="Z593" i="4"/>
  <c r="AA593" i="4" s="1"/>
  <c r="Y593" i="4"/>
  <c r="X593" i="4"/>
  <c r="W593" i="4"/>
  <c r="V593" i="4"/>
  <c r="U593" i="4"/>
  <c r="R593" i="4"/>
  <c r="S593" i="4" s="1"/>
  <c r="Q593" i="4"/>
  <c r="P593" i="4"/>
  <c r="O593" i="4"/>
  <c r="N593" i="4"/>
  <c r="M593" i="4"/>
  <c r="J593" i="4"/>
  <c r="K593" i="4" s="1"/>
  <c r="I593" i="4"/>
  <c r="H593" i="4"/>
  <c r="G593" i="4"/>
  <c r="F593" i="4"/>
  <c r="E593" i="4"/>
  <c r="D593" i="4"/>
  <c r="C593" i="4"/>
  <c r="B593" i="4"/>
  <c r="A593" i="4"/>
  <c r="AF592" i="4"/>
  <c r="AE592" i="4"/>
  <c r="AD592" i="4"/>
  <c r="AC592" i="4"/>
  <c r="Z592" i="4"/>
  <c r="AA592" i="4" s="1"/>
  <c r="Y592" i="4"/>
  <c r="X592" i="4"/>
  <c r="W592" i="4"/>
  <c r="V592" i="4"/>
  <c r="U592" i="4"/>
  <c r="R592" i="4"/>
  <c r="S592" i="4" s="1"/>
  <c r="Q592" i="4"/>
  <c r="P592" i="4"/>
  <c r="O592" i="4"/>
  <c r="N592" i="4"/>
  <c r="M592" i="4"/>
  <c r="J592" i="4"/>
  <c r="I592" i="4"/>
  <c r="H592" i="4"/>
  <c r="G592" i="4"/>
  <c r="K592" i="4" s="1"/>
  <c r="F592" i="4"/>
  <c r="E592" i="4"/>
  <c r="D592" i="4"/>
  <c r="C592" i="4"/>
  <c r="B592" i="4"/>
  <c r="A592" i="4"/>
  <c r="AF591" i="4"/>
  <c r="AE591" i="4"/>
  <c r="AD591" i="4"/>
  <c r="AC591" i="4"/>
  <c r="Y591" i="4"/>
  <c r="X591" i="4"/>
  <c r="W591" i="4"/>
  <c r="V591" i="4"/>
  <c r="U591" i="4"/>
  <c r="Q591" i="4"/>
  <c r="P591" i="4"/>
  <c r="O591" i="4"/>
  <c r="N591" i="4"/>
  <c r="M591" i="4"/>
  <c r="I591" i="4"/>
  <c r="H591" i="4"/>
  <c r="G591" i="4"/>
  <c r="F591" i="4"/>
  <c r="E591" i="4"/>
  <c r="C591" i="4"/>
  <c r="B591" i="4"/>
  <c r="A591" i="4"/>
  <c r="D591" i="4" s="1"/>
  <c r="AF590" i="4"/>
  <c r="AE590" i="4"/>
  <c r="AD590" i="4"/>
  <c r="AC590" i="4"/>
  <c r="Y590" i="4"/>
  <c r="W590" i="4"/>
  <c r="V590" i="4"/>
  <c r="U590" i="4"/>
  <c r="Q590" i="4"/>
  <c r="P590" i="4"/>
  <c r="O590" i="4"/>
  <c r="N590" i="4"/>
  <c r="M590" i="4"/>
  <c r="I590" i="4"/>
  <c r="H590" i="4"/>
  <c r="G590" i="4"/>
  <c r="F590" i="4"/>
  <c r="E590" i="4"/>
  <c r="D590" i="4"/>
  <c r="C590" i="4"/>
  <c r="B590" i="4"/>
  <c r="A590" i="4"/>
  <c r="AF589" i="4"/>
  <c r="AE589" i="4"/>
  <c r="AD589" i="4"/>
  <c r="AC589" i="4"/>
  <c r="Z589" i="4"/>
  <c r="AA589" i="4" s="1"/>
  <c r="Y589" i="4"/>
  <c r="X589" i="4"/>
  <c r="W589" i="4"/>
  <c r="V589" i="4"/>
  <c r="U589" i="4"/>
  <c r="S589" i="4"/>
  <c r="R589" i="4"/>
  <c r="Q589" i="4"/>
  <c r="P589" i="4"/>
  <c r="O589" i="4"/>
  <c r="N589" i="4"/>
  <c r="M589" i="4"/>
  <c r="K589" i="4"/>
  <c r="J589" i="4"/>
  <c r="I589" i="4"/>
  <c r="H589" i="4"/>
  <c r="G589" i="4"/>
  <c r="F589" i="4"/>
  <c r="E589" i="4"/>
  <c r="D589" i="4"/>
  <c r="C589" i="4"/>
  <c r="B589" i="4"/>
  <c r="A589" i="4"/>
  <c r="AF588" i="4"/>
  <c r="AE588" i="4"/>
  <c r="AD588" i="4"/>
  <c r="AC588" i="4"/>
  <c r="Y588" i="4"/>
  <c r="X588" i="4"/>
  <c r="W588" i="4"/>
  <c r="V588" i="4"/>
  <c r="U588" i="4"/>
  <c r="R588" i="4"/>
  <c r="S588" i="4" s="1"/>
  <c r="Q588" i="4"/>
  <c r="O588" i="4"/>
  <c r="N588" i="4"/>
  <c r="M588" i="4"/>
  <c r="J588" i="4"/>
  <c r="K588" i="4" s="1"/>
  <c r="I588" i="4"/>
  <c r="H588" i="4"/>
  <c r="G588" i="4"/>
  <c r="F588" i="4"/>
  <c r="E588" i="4"/>
  <c r="D588" i="4"/>
  <c r="C588" i="4"/>
  <c r="P588" i="4" s="1"/>
  <c r="B588" i="4"/>
  <c r="A588" i="4"/>
  <c r="AF587" i="4"/>
  <c r="AE587" i="4"/>
  <c r="AD587" i="4"/>
  <c r="AC587" i="4"/>
  <c r="Y587" i="4"/>
  <c r="W587" i="4"/>
  <c r="V587" i="4"/>
  <c r="U587" i="4"/>
  <c r="Q587" i="4"/>
  <c r="P587" i="4"/>
  <c r="O587" i="4"/>
  <c r="N587" i="4"/>
  <c r="M587" i="4"/>
  <c r="I587" i="4"/>
  <c r="H587" i="4"/>
  <c r="G587" i="4"/>
  <c r="F587" i="4"/>
  <c r="E587" i="4"/>
  <c r="D587" i="4"/>
  <c r="C587" i="4"/>
  <c r="B587" i="4"/>
  <c r="A587" i="4"/>
  <c r="AF586" i="4"/>
  <c r="AE586" i="4"/>
  <c r="AD586" i="4"/>
  <c r="AC586" i="4"/>
  <c r="Z586" i="4"/>
  <c r="AA586" i="4" s="1"/>
  <c r="Y586" i="4"/>
  <c r="X586" i="4"/>
  <c r="W586" i="4"/>
  <c r="V586" i="4"/>
  <c r="U586" i="4"/>
  <c r="R586" i="4"/>
  <c r="S586" i="4" s="1"/>
  <c r="Q586" i="4"/>
  <c r="P586" i="4"/>
  <c r="O586" i="4"/>
  <c r="N586" i="4"/>
  <c r="M586" i="4"/>
  <c r="K586" i="4"/>
  <c r="J586" i="4"/>
  <c r="I586" i="4"/>
  <c r="H586" i="4"/>
  <c r="G586" i="4"/>
  <c r="F586" i="4"/>
  <c r="E586" i="4"/>
  <c r="D586" i="4"/>
  <c r="C586" i="4"/>
  <c r="B586" i="4"/>
  <c r="A586" i="4"/>
  <c r="AF585" i="4"/>
  <c r="AE585" i="4"/>
  <c r="AD585" i="4"/>
  <c r="AC585" i="4"/>
  <c r="Y585" i="4"/>
  <c r="W585" i="4"/>
  <c r="V585" i="4"/>
  <c r="U585" i="4"/>
  <c r="Q585" i="4"/>
  <c r="O585" i="4"/>
  <c r="N585" i="4"/>
  <c r="M585" i="4"/>
  <c r="I585" i="4"/>
  <c r="H585" i="4"/>
  <c r="G585" i="4"/>
  <c r="F585" i="4"/>
  <c r="E585" i="4"/>
  <c r="C585" i="4"/>
  <c r="B585" i="4"/>
  <c r="A585" i="4"/>
  <c r="AF584" i="4"/>
  <c r="AE584" i="4"/>
  <c r="AD584" i="4"/>
  <c r="AC584" i="4"/>
  <c r="Z584" i="4"/>
  <c r="Y584" i="4"/>
  <c r="X584" i="4"/>
  <c r="W584" i="4"/>
  <c r="AA584" i="4" s="1"/>
  <c r="V584" i="4"/>
  <c r="U584" i="4"/>
  <c r="Q584" i="4"/>
  <c r="O584" i="4"/>
  <c r="N584" i="4"/>
  <c r="M584" i="4"/>
  <c r="I584" i="4"/>
  <c r="H584" i="4"/>
  <c r="G584" i="4"/>
  <c r="F584" i="4"/>
  <c r="E584" i="4"/>
  <c r="D584" i="4"/>
  <c r="C584" i="4"/>
  <c r="R584" i="4" s="1"/>
  <c r="S584" i="4" s="1"/>
  <c r="B584" i="4"/>
  <c r="A584" i="4"/>
  <c r="AF583" i="4"/>
  <c r="AE583" i="4"/>
  <c r="AD583" i="4"/>
  <c r="AC583" i="4"/>
  <c r="Z583" i="4"/>
  <c r="Y583" i="4"/>
  <c r="X583" i="4"/>
  <c r="W583" i="4"/>
  <c r="V583" i="4"/>
  <c r="U583" i="4"/>
  <c r="R583" i="4"/>
  <c r="S583" i="4" s="1"/>
  <c r="Q583" i="4"/>
  <c r="P583" i="4"/>
  <c r="O583" i="4"/>
  <c r="N583" i="4"/>
  <c r="M583" i="4"/>
  <c r="K583" i="4"/>
  <c r="J583" i="4"/>
  <c r="I583" i="4"/>
  <c r="H583" i="4"/>
  <c r="G583" i="4"/>
  <c r="F583" i="4"/>
  <c r="E583" i="4"/>
  <c r="D583" i="4"/>
  <c r="C583" i="4"/>
  <c r="B583" i="4"/>
  <c r="A583" i="4"/>
  <c r="AF582" i="4"/>
  <c r="AE582" i="4"/>
  <c r="AD582" i="4"/>
  <c r="AC582" i="4"/>
  <c r="Z582" i="4"/>
  <c r="AA582" i="4" s="1"/>
  <c r="Y582" i="4"/>
  <c r="W582" i="4"/>
  <c r="V582" i="4"/>
  <c r="U582" i="4"/>
  <c r="S582" i="4"/>
  <c r="R582" i="4"/>
  <c r="Q582" i="4"/>
  <c r="O582" i="4"/>
  <c r="N582" i="4"/>
  <c r="M582" i="4"/>
  <c r="I582" i="4"/>
  <c r="H582" i="4"/>
  <c r="G582" i="4"/>
  <c r="F582" i="4"/>
  <c r="E582" i="4"/>
  <c r="C582" i="4"/>
  <c r="P582" i="4" s="1"/>
  <c r="B582" i="4"/>
  <c r="A582" i="4"/>
  <c r="AF581" i="4"/>
  <c r="AE581" i="4"/>
  <c r="AD581" i="4"/>
  <c r="AC581" i="4"/>
  <c r="Z581" i="4"/>
  <c r="Y581" i="4"/>
  <c r="X581" i="4"/>
  <c r="W581" i="4"/>
  <c r="V581" i="4"/>
  <c r="U581" i="4"/>
  <c r="R581" i="4"/>
  <c r="S581" i="4" s="1"/>
  <c r="Q581" i="4"/>
  <c r="P581" i="4"/>
  <c r="O581" i="4"/>
  <c r="N581" i="4"/>
  <c r="M581" i="4"/>
  <c r="J581" i="4"/>
  <c r="K581" i="4" s="1"/>
  <c r="I581" i="4"/>
  <c r="H581" i="4"/>
  <c r="G581" i="4"/>
  <c r="F581" i="4"/>
  <c r="E581" i="4"/>
  <c r="D581" i="4"/>
  <c r="C581" i="4"/>
  <c r="B581" i="4"/>
  <c r="A581" i="4"/>
  <c r="AF580" i="4"/>
  <c r="AE580" i="4"/>
  <c r="AD580" i="4"/>
  <c r="AC580" i="4"/>
  <c r="Z580" i="4"/>
  <c r="Y580" i="4"/>
  <c r="X580" i="4"/>
  <c r="W580" i="4"/>
  <c r="V580" i="4"/>
  <c r="U580" i="4"/>
  <c r="S580" i="4"/>
  <c r="R580" i="4"/>
  <c r="Q580" i="4"/>
  <c r="P580" i="4"/>
  <c r="O580" i="4"/>
  <c r="N580" i="4"/>
  <c r="M580" i="4"/>
  <c r="J580" i="4"/>
  <c r="I580" i="4"/>
  <c r="H580" i="4"/>
  <c r="G580" i="4"/>
  <c r="K580" i="4" s="1"/>
  <c r="F580" i="4"/>
  <c r="E580" i="4"/>
  <c r="D580" i="4"/>
  <c r="C580" i="4"/>
  <c r="B580" i="4"/>
  <c r="A580" i="4"/>
  <c r="AF579" i="4"/>
  <c r="AE579" i="4"/>
  <c r="AD579" i="4"/>
  <c r="AC579" i="4"/>
  <c r="AA579" i="4"/>
  <c r="Z579" i="4"/>
  <c r="Y579" i="4"/>
  <c r="X579" i="4"/>
  <c r="W579" i="4"/>
  <c r="V579" i="4"/>
  <c r="U579" i="4"/>
  <c r="Q579" i="4"/>
  <c r="P579" i="4"/>
  <c r="O579" i="4"/>
  <c r="S579" i="4" s="1"/>
  <c r="N579" i="4"/>
  <c r="M579" i="4"/>
  <c r="J579" i="4"/>
  <c r="I579" i="4"/>
  <c r="H579" i="4"/>
  <c r="G579" i="4"/>
  <c r="F579" i="4"/>
  <c r="E579" i="4"/>
  <c r="C579" i="4"/>
  <c r="R579" i="4" s="1"/>
  <c r="B579" i="4"/>
  <c r="A579" i="4"/>
  <c r="AF578" i="4"/>
  <c r="AE578" i="4"/>
  <c r="AD578" i="4"/>
  <c r="AC578" i="4"/>
  <c r="Y578" i="4"/>
  <c r="W578" i="4"/>
  <c r="V578" i="4"/>
  <c r="U578" i="4"/>
  <c r="Q578" i="4"/>
  <c r="P578" i="4"/>
  <c r="O578" i="4"/>
  <c r="N578" i="4"/>
  <c r="M578" i="4"/>
  <c r="I578" i="4"/>
  <c r="H578" i="4"/>
  <c r="G578" i="4"/>
  <c r="F578" i="4"/>
  <c r="E578" i="4"/>
  <c r="D578" i="4"/>
  <c r="C578" i="4"/>
  <c r="B578" i="4"/>
  <c r="A578" i="4"/>
  <c r="AF577" i="4"/>
  <c r="AE577" i="4"/>
  <c r="AD577" i="4"/>
  <c r="AC577" i="4"/>
  <c r="Z577" i="4"/>
  <c r="Y577" i="4"/>
  <c r="X577" i="4"/>
  <c r="W577" i="4"/>
  <c r="V577" i="4"/>
  <c r="U577" i="4"/>
  <c r="S577" i="4"/>
  <c r="R577" i="4"/>
  <c r="Q577" i="4"/>
  <c r="P577" i="4"/>
  <c r="O577" i="4"/>
  <c r="N577" i="4"/>
  <c r="M577" i="4"/>
  <c r="J577" i="4"/>
  <c r="K577" i="4" s="1"/>
  <c r="I577" i="4"/>
  <c r="H577" i="4"/>
  <c r="G577" i="4"/>
  <c r="F577" i="4"/>
  <c r="E577" i="4"/>
  <c r="D577" i="4"/>
  <c r="C577" i="4"/>
  <c r="B577" i="4"/>
  <c r="A577" i="4"/>
  <c r="AF576" i="4"/>
  <c r="AE576" i="4"/>
  <c r="AD576" i="4"/>
  <c r="AC576" i="4"/>
  <c r="Y576" i="4"/>
  <c r="W576" i="4"/>
  <c r="V576" i="4"/>
  <c r="U576" i="4"/>
  <c r="Q576" i="4"/>
  <c r="O576" i="4"/>
  <c r="N576" i="4"/>
  <c r="M576" i="4"/>
  <c r="I576" i="4"/>
  <c r="H576" i="4"/>
  <c r="G576" i="4"/>
  <c r="F576" i="4"/>
  <c r="E576" i="4"/>
  <c r="D576" i="4"/>
  <c r="C576" i="4"/>
  <c r="R576" i="4" s="1"/>
  <c r="S576" i="4" s="1"/>
  <c r="B576" i="4"/>
  <c r="A576" i="4"/>
  <c r="AF575" i="4"/>
  <c r="AE575" i="4"/>
  <c r="AD575" i="4"/>
  <c r="AC575" i="4"/>
  <c r="Y575" i="4"/>
  <c r="X575" i="4"/>
  <c r="W575" i="4"/>
  <c r="V575" i="4"/>
  <c r="U575" i="4"/>
  <c r="Q575" i="4"/>
  <c r="O575" i="4"/>
  <c r="N575" i="4"/>
  <c r="M575" i="4"/>
  <c r="I575" i="4"/>
  <c r="H575" i="4"/>
  <c r="G575" i="4"/>
  <c r="F575" i="4"/>
  <c r="E575" i="4"/>
  <c r="D575" i="4"/>
  <c r="C575" i="4"/>
  <c r="B575" i="4"/>
  <c r="A575" i="4"/>
  <c r="AF574" i="4"/>
  <c r="AE574" i="4"/>
  <c r="AD574" i="4"/>
  <c r="AC574" i="4"/>
  <c r="Z574" i="4"/>
  <c r="Y574" i="4"/>
  <c r="X574" i="4"/>
  <c r="W574" i="4"/>
  <c r="V574" i="4"/>
  <c r="U574" i="4"/>
  <c r="R574" i="4"/>
  <c r="S574" i="4" s="1"/>
  <c r="Q574" i="4"/>
  <c r="P574" i="4"/>
  <c r="O574" i="4"/>
  <c r="N574" i="4"/>
  <c r="M574" i="4"/>
  <c r="J574" i="4"/>
  <c r="K574" i="4" s="1"/>
  <c r="I574" i="4"/>
  <c r="H574" i="4"/>
  <c r="G574" i="4"/>
  <c r="F574" i="4"/>
  <c r="E574" i="4"/>
  <c r="D574" i="4"/>
  <c r="C574" i="4"/>
  <c r="B574" i="4"/>
  <c r="A574" i="4"/>
  <c r="AF573" i="4"/>
  <c r="AE573" i="4"/>
  <c r="AD573" i="4"/>
  <c r="AC573" i="4"/>
  <c r="Z573" i="4"/>
  <c r="AA573" i="4" s="1"/>
  <c r="Y573" i="4"/>
  <c r="X573" i="4"/>
  <c r="W573" i="4"/>
  <c r="V573" i="4"/>
  <c r="U573" i="4"/>
  <c r="Q573" i="4"/>
  <c r="O573" i="4"/>
  <c r="N573" i="4"/>
  <c r="M573" i="4"/>
  <c r="I573" i="4"/>
  <c r="H573" i="4"/>
  <c r="G573" i="4"/>
  <c r="F573" i="4"/>
  <c r="E573" i="4"/>
  <c r="D573" i="4"/>
  <c r="C573" i="4"/>
  <c r="B573" i="4"/>
  <c r="A573" i="4"/>
  <c r="AF572" i="4"/>
  <c r="AE572" i="4"/>
  <c r="AD572" i="4"/>
  <c r="AC572" i="4"/>
  <c r="Y572" i="4"/>
  <c r="X572" i="4"/>
  <c r="W572" i="4"/>
  <c r="V572" i="4"/>
  <c r="U572" i="4"/>
  <c r="R572" i="4"/>
  <c r="S572" i="4" s="1"/>
  <c r="Q572" i="4"/>
  <c r="P572" i="4"/>
  <c r="O572" i="4"/>
  <c r="N572" i="4"/>
  <c r="M572" i="4"/>
  <c r="J572" i="4"/>
  <c r="K572" i="4" s="1"/>
  <c r="I572" i="4"/>
  <c r="H572" i="4"/>
  <c r="G572" i="4"/>
  <c r="F572" i="4"/>
  <c r="E572" i="4"/>
  <c r="D572" i="4"/>
  <c r="C572" i="4"/>
  <c r="Z572" i="4" s="1"/>
  <c r="B572" i="4"/>
  <c r="A572" i="4"/>
  <c r="AF571" i="4"/>
  <c r="AE571" i="4"/>
  <c r="AD571" i="4"/>
  <c r="AC571" i="4"/>
  <c r="Z571" i="4"/>
  <c r="AA571" i="4" s="1"/>
  <c r="Y571" i="4"/>
  <c r="X571" i="4"/>
  <c r="W571" i="4"/>
  <c r="V571" i="4"/>
  <c r="U571" i="4"/>
  <c r="R571" i="4"/>
  <c r="S571" i="4" s="1"/>
  <c r="Q571" i="4"/>
  <c r="P571" i="4"/>
  <c r="O571" i="4"/>
  <c r="N571" i="4"/>
  <c r="M571" i="4"/>
  <c r="K571" i="4"/>
  <c r="J571" i="4"/>
  <c r="I571" i="4"/>
  <c r="H571" i="4"/>
  <c r="G571" i="4"/>
  <c r="F571" i="4"/>
  <c r="E571" i="4"/>
  <c r="D571" i="4"/>
  <c r="C571" i="4"/>
  <c r="B571" i="4"/>
  <c r="A571" i="4"/>
  <c r="AF570" i="4"/>
  <c r="AE570" i="4"/>
  <c r="AD570" i="4"/>
  <c r="AC570" i="4"/>
  <c r="Z570" i="4"/>
  <c r="AA570" i="4" s="1"/>
  <c r="Y570" i="4"/>
  <c r="X570" i="4"/>
  <c r="W570" i="4"/>
  <c r="V570" i="4"/>
  <c r="U570" i="4"/>
  <c r="R570" i="4"/>
  <c r="S570" i="4" s="1"/>
  <c r="Q570" i="4"/>
  <c r="O570" i="4"/>
  <c r="N570" i="4"/>
  <c r="M570" i="4"/>
  <c r="J570" i="4"/>
  <c r="K570" i="4" s="1"/>
  <c r="I570" i="4"/>
  <c r="H570" i="4"/>
  <c r="G570" i="4"/>
  <c r="F570" i="4"/>
  <c r="E570" i="4"/>
  <c r="D570" i="4"/>
  <c r="C570" i="4"/>
  <c r="P570" i="4" s="1"/>
  <c r="B570" i="4"/>
  <c r="A570" i="4"/>
  <c r="AF569" i="4"/>
  <c r="AE569" i="4"/>
  <c r="AD569" i="4"/>
  <c r="AC569" i="4"/>
  <c r="Z569" i="4"/>
  <c r="Y569" i="4"/>
  <c r="X569" i="4"/>
  <c r="W569" i="4"/>
  <c r="V569" i="4"/>
  <c r="U569" i="4"/>
  <c r="R569" i="4"/>
  <c r="S569" i="4" s="1"/>
  <c r="Q569" i="4"/>
  <c r="P569" i="4"/>
  <c r="O569" i="4"/>
  <c r="N569" i="4"/>
  <c r="M569" i="4"/>
  <c r="J569" i="4"/>
  <c r="K569" i="4" s="1"/>
  <c r="I569" i="4"/>
  <c r="H569" i="4"/>
  <c r="G569" i="4"/>
  <c r="F569" i="4"/>
  <c r="E569" i="4"/>
  <c r="D569" i="4"/>
  <c r="C569" i="4"/>
  <c r="B569" i="4"/>
  <c r="A569" i="4"/>
  <c r="AF568" i="4"/>
  <c r="AE568" i="4"/>
  <c r="AD568" i="4"/>
  <c r="AC568" i="4"/>
  <c r="Z568" i="4"/>
  <c r="Y568" i="4"/>
  <c r="X568" i="4"/>
  <c r="W568" i="4"/>
  <c r="V568" i="4"/>
  <c r="U568" i="4"/>
  <c r="S568" i="4"/>
  <c r="R568" i="4"/>
  <c r="Q568" i="4"/>
  <c r="P568" i="4"/>
  <c r="O568" i="4"/>
  <c r="N568" i="4"/>
  <c r="M568" i="4"/>
  <c r="J568" i="4"/>
  <c r="I568" i="4"/>
  <c r="H568" i="4"/>
  <c r="G568" i="4"/>
  <c r="K568" i="4" s="1"/>
  <c r="F568" i="4"/>
  <c r="E568" i="4"/>
  <c r="D568" i="4"/>
  <c r="C568" i="4"/>
  <c r="B568" i="4"/>
  <c r="A568" i="4"/>
  <c r="AF567" i="4"/>
  <c r="AE567" i="4"/>
  <c r="AD567" i="4"/>
  <c r="AC567" i="4"/>
  <c r="AA567" i="4"/>
  <c r="Z567" i="4"/>
  <c r="Y567" i="4"/>
  <c r="W567" i="4"/>
  <c r="V567" i="4"/>
  <c r="U567" i="4"/>
  <c r="Q567" i="4"/>
  <c r="P567" i="4"/>
  <c r="O567" i="4"/>
  <c r="N567" i="4"/>
  <c r="M567" i="4"/>
  <c r="I567" i="4"/>
  <c r="H567" i="4"/>
  <c r="G567" i="4"/>
  <c r="F567" i="4"/>
  <c r="E567" i="4"/>
  <c r="C567" i="4"/>
  <c r="X567" i="4" s="1"/>
  <c r="B567" i="4"/>
  <c r="A567" i="4"/>
  <c r="AF566" i="4"/>
  <c r="AE566" i="4"/>
  <c r="AD566" i="4"/>
  <c r="AC566" i="4"/>
  <c r="Z566" i="4"/>
  <c r="AA566" i="4" s="1"/>
  <c r="Y566" i="4"/>
  <c r="W566" i="4"/>
  <c r="V566" i="4"/>
  <c r="U566" i="4"/>
  <c r="R566" i="4"/>
  <c r="S566" i="4" s="1"/>
  <c r="Q566" i="4"/>
  <c r="O566" i="4"/>
  <c r="N566" i="4"/>
  <c r="M566" i="4"/>
  <c r="J566" i="4"/>
  <c r="K566" i="4" s="1"/>
  <c r="I566" i="4"/>
  <c r="H566" i="4"/>
  <c r="G566" i="4"/>
  <c r="F566" i="4"/>
  <c r="E566" i="4"/>
  <c r="D566" i="4"/>
  <c r="C566" i="4"/>
  <c r="X566" i="4" s="1"/>
  <c r="B566" i="4"/>
  <c r="A566" i="4"/>
  <c r="AF565" i="4"/>
  <c r="AE565" i="4"/>
  <c r="AD565" i="4"/>
  <c r="AC565" i="4"/>
  <c r="Z565" i="4"/>
  <c r="Y565" i="4"/>
  <c r="X565" i="4"/>
  <c r="W565" i="4"/>
  <c r="V565" i="4"/>
  <c r="U565" i="4"/>
  <c r="S565" i="4"/>
  <c r="R565" i="4"/>
  <c r="Q565" i="4"/>
  <c r="P565" i="4"/>
  <c r="O565" i="4"/>
  <c r="N565" i="4"/>
  <c r="M565" i="4"/>
  <c r="K565" i="4"/>
  <c r="J565" i="4"/>
  <c r="I565" i="4"/>
  <c r="H565" i="4"/>
  <c r="G565" i="4"/>
  <c r="F565" i="4"/>
  <c r="E565" i="4"/>
  <c r="D565" i="4"/>
  <c r="C565" i="4"/>
  <c r="B565" i="4"/>
  <c r="A565" i="4"/>
  <c r="AF564" i="4"/>
  <c r="AE564" i="4"/>
  <c r="AD564" i="4"/>
  <c r="AC564" i="4"/>
  <c r="AA564" i="4"/>
  <c r="Y564" i="4"/>
  <c r="X564" i="4"/>
  <c r="W564" i="4"/>
  <c r="V564" i="4"/>
  <c r="U564" i="4"/>
  <c r="R564" i="4"/>
  <c r="S564" i="4" s="1"/>
  <c r="Q564" i="4"/>
  <c r="O564" i="4"/>
  <c r="N564" i="4"/>
  <c r="M564" i="4"/>
  <c r="I564" i="4"/>
  <c r="H564" i="4"/>
  <c r="G564" i="4"/>
  <c r="F564" i="4"/>
  <c r="E564" i="4"/>
  <c r="D564" i="4"/>
  <c r="C564" i="4"/>
  <c r="Z564" i="4" s="1"/>
  <c r="B564" i="4"/>
  <c r="A564" i="4"/>
  <c r="AF563" i="4"/>
  <c r="AE563" i="4"/>
  <c r="AD563" i="4"/>
  <c r="AC563" i="4"/>
  <c r="Z563" i="4"/>
  <c r="AA563" i="4" s="1"/>
  <c r="Y563" i="4"/>
  <c r="W563" i="4"/>
  <c r="V563" i="4"/>
  <c r="U563" i="4"/>
  <c r="Q563" i="4"/>
  <c r="O563" i="4"/>
  <c r="N563" i="4"/>
  <c r="M563" i="4"/>
  <c r="I563" i="4"/>
  <c r="H563" i="4"/>
  <c r="G563" i="4"/>
  <c r="F563" i="4"/>
  <c r="E563" i="4"/>
  <c r="D563" i="4"/>
  <c r="C563" i="4"/>
  <c r="B563" i="4"/>
  <c r="A563" i="4"/>
  <c r="AF562" i="4"/>
  <c r="AE562" i="4"/>
  <c r="AD562" i="4"/>
  <c r="AC562" i="4"/>
  <c r="Z562" i="4"/>
  <c r="AA562" i="4" s="1"/>
  <c r="Y562" i="4"/>
  <c r="X562" i="4"/>
  <c r="W562" i="4"/>
  <c r="V562" i="4"/>
  <c r="U562" i="4"/>
  <c r="R562" i="4"/>
  <c r="S562" i="4" s="1"/>
  <c r="Q562" i="4"/>
  <c r="P562" i="4"/>
  <c r="O562" i="4"/>
  <c r="N562" i="4"/>
  <c r="M562" i="4"/>
  <c r="J562" i="4"/>
  <c r="K562" i="4" s="1"/>
  <c r="I562" i="4"/>
  <c r="H562" i="4"/>
  <c r="G562" i="4"/>
  <c r="F562" i="4"/>
  <c r="E562" i="4"/>
  <c r="D562" i="4"/>
  <c r="C562" i="4"/>
  <c r="B562" i="4"/>
  <c r="A562" i="4"/>
  <c r="AF561" i="4"/>
  <c r="AE561" i="4"/>
  <c r="AD561" i="4"/>
  <c r="AC561" i="4"/>
  <c r="Y561" i="4"/>
  <c r="W561" i="4"/>
  <c r="V561" i="4"/>
  <c r="U561" i="4"/>
  <c r="Q561" i="4"/>
  <c r="O561" i="4"/>
  <c r="N561" i="4"/>
  <c r="M561" i="4"/>
  <c r="I561" i="4"/>
  <c r="H561" i="4"/>
  <c r="G561" i="4"/>
  <c r="F561" i="4"/>
  <c r="E561" i="4"/>
  <c r="C561" i="4"/>
  <c r="B561" i="4"/>
  <c r="A561" i="4"/>
  <c r="AF560" i="4"/>
  <c r="AE560" i="4"/>
  <c r="AD560" i="4"/>
  <c r="AC560" i="4"/>
  <c r="Z560" i="4"/>
  <c r="AA560" i="4" s="1"/>
  <c r="Y560" i="4"/>
  <c r="W560" i="4"/>
  <c r="V560" i="4"/>
  <c r="U560" i="4"/>
  <c r="Q560" i="4"/>
  <c r="O560" i="4"/>
  <c r="N560" i="4"/>
  <c r="M560" i="4"/>
  <c r="J560" i="4"/>
  <c r="K560" i="4" s="1"/>
  <c r="I560" i="4"/>
  <c r="H560" i="4"/>
  <c r="G560" i="4"/>
  <c r="F560" i="4"/>
  <c r="E560" i="4"/>
  <c r="D560" i="4"/>
  <c r="C560" i="4"/>
  <c r="R560" i="4" s="1"/>
  <c r="S560" i="4" s="1"/>
  <c r="B560" i="4"/>
  <c r="A560" i="4"/>
  <c r="AF559" i="4"/>
  <c r="AE559" i="4"/>
  <c r="AD559" i="4"/>
  <c r="AC559" i="4"/>
  <c r="Z559" i="4"/>
  <c r="AA559" i="4" s="1"/>
  <c r="Y559" i="4"/>
  <c r="X559" i="4"/>
  <c r="W559" i="4"/>
  <c r="V559" i="4"/>
  <c r="U559" i="4"/>
  <c r="R559" i="4"/>
  <c r="S559" i="4" s="1"/>
  <c r="Q559" i="4"/>
  <c r="P559" i="4"/>
  <c r="O559" i="4"/>
  <c r="N559" i="4"/>
  <c r="M559" i="4"/>
  <c r="J559" i="4"/>
  <c r="I559" i="4"/>
  <c r="H559" i="4"/>
  <c r="G559" i="4"/>
  <c r="K559" i="4" s="1"/>
  <c r="F559" i="4"/>
  <c r="E559" i="4"/>
  <c r="D559" i="4"/>
  <c r="C559" i="4"/>
  <c r="B559" i="4"/>
  <c r="A559" i="4"/>
  <c r="AF558" i="4"/>
  <c r="AE558" i="4"/>
  <c r="AD558" i="4"/>
  <c r="AC558" i="4"/>
  <c r="Y558" i="4"/>
  <c r="X558" i="4"/>
  <c r="W558" i="4"/>
  <c r="V558" i="4"/>
  <c r="U558" i="4"/>
  <c r="Q558" i="4"/>
  <c r="O558" i="4"/>
  <c r="N558" i="4"/>
  <c r="M558" i="4"/>
  <c r="J558" i="4"/>
  <c r="K558" i="4" s="1"/>
  <c r="I558" i="4"/>
  <c r="H558" i="4"/>
  <c r="G558" i="4"/>
  <c r="F558" i="4"/>
  <c r="E558" i="4"/>
  <c r="C558" i="4"/>
  <c r="R558" i="4" s="1"/>
  <c r="S558" i="4" s="1"/>
  <c r="B558" i="4"/>
  <c r="A558" i="4"/>
  <c r="AF557" i="4"/>
  <c r="AE557" i="4"/>
  <c r="AD557" i="4"/>
  <c r="AC557" i="4"/>
  <c r="Y557" i="4"/>
  <c r="W557" i="4"/>
  <c r="V557" i="4"/>
  <c r="U557" i="4"/>
  <c r="Q557" i="4"/>
  <c r="O557" i="4"/>
  <c r="N557" i="4"/>
  <c r="M557" i="4"/>
  <c r="I557" i="4"/>
  <c r="H557" i="4"/>
  <c r="G557" i="4"/>
  <c r="F557" i="4"/>
  <c r="E557" i="4"/>
  <c r="D557" i="4"/>
  <c r="C557" i="4"/>
  <c r="B557" i="4"/>
  <c r="A557" i="4"/>
  <c r="AF556" i="4"/>
  <c r="AE556" i="4"/>
  <c r="AD556" i="4"/>
  <c r="AC556" i="4"/>
  <c r="Z556" i="4"/>
  <c r="Y556" i="4"/>
  <c r="X556" i="4"/>
  <c r="W556" i="4"/>
  <c r="V556" i="4"/>
  <c r="U556" i="4"/>
  <c r="S556" i="4"/>
  <c r="R556" i="4"/>
  <c r="Q556" i="4"/>
  <c r="P556" i="4"/>
  <c r="O556" i="4"/>
  <c r="N556" i="4"/>
  <c r="M556" i="4"/>
  <c r="J556" i="4"/>
  <c r="K556" i="4" s="1"/>
  <c r="I556" i="4"/>
  <c r="H556" i="4"/>
  <c r="G556" i="4"/>
  <c r="F556" i="4"/>
  <c r="E556" i="4"/>
  <c r="D556" i="4"/>
  <c r="C556" i="4"/>
  <c r="B556" i="4"/>
  <c r="A556" i="4"/>
  <c r="AF555" i="4"/>
  <c r="AE555" i="4"/>
  <c r="AD555" i="4"/>
  <c r="AC555" i="4"/>
  <c r="Y555" i="4"/>
  <c r="W555" i="4"/>
  <c r="V555" i="4"/>
  <c r="U555" i="4"/>
  <c r="Q555" i="4"/>
  <c r="P555" i="4"/>
  <c r="O555" i="4"/>
  <c r="N555" i="4"/>
  <c r="M555" i="4"/>
  <c r="I555" i="4"/>
  <c r="H555" i="4"/>
  <c r="G555" i="4"/>
  <c r="F555" i="4"/>
  <c r="E555" i="4"/>
  <c r="C555" i="4"/>
  <c r="B555" i="4"/>
  <c r="A555" i="4"/>
  <c r="D555" i="4" s="1"/>
  <c r="AF554" i="4"/>
  <c r="AE554" i="4"/>
  <c r="AD554" i="4"/>
  <c r="AC554" i="4"/>
  <c r="Y554" i="4"/>
  <c r="W554" i="4"/>
  <c r="V554" i="4"/>
  <c r="U554" i="4"/>
  <c r="Q554" i="4"/>
  <c r="O554" i="4"/>
  <c r="N554" i="4"/>
  <c r="M554" i="4"/>
  <c r="J554" i="4"/>
  <c r="K554" i="4" s="1"/>
  <c r="I554" i="4"/>
  <c r="H554" i="4"/>
  <c r="G554" i="4"/>
  <c r="F554" i="4"/>
  <c r="E554" i="4"/>
  <c r="D554" i="4"/>
  <c r="C554" i="4"/>
  <c r="X554" i="4" s="1"/>
  <c r="B554" i="4"/>
  <c r="A554" i="4"/>
  <c r="AF553" i="4"/>
  <c r="AE553" i="4"/>
  <c r="AD553" i="4"/>
  <c r="AC553" i="4"/>
  <c r="Z553" i="4"/>
  <c r="AA553" i="4" s="1"/>
  <c r="Y553" i="4"/>
  <c r="X553" i="4"/>
  <c r="W553" i="4"/>
  <c r="V553" i="4"/>
  <c r="U553" i="4"/>
  <c r="S553" i="4"/>
  <c r="R553" i="4"/>
  <c r="Q553" i="4"/>
  <c r="P553" i="4"/>
  <c r="O553" i="4"/>
  <c r="N553" i="4"/>
  <c r="M553" i="4"/>
  <c r="J553" i="4"/>
  <c r="K553" i="4" s="1"/>
  <c r="I553" i="4"/>
  <c r="H553" i="4"/>
  <c r="G553" i="4"/>
  <c r="F553" i="4"/>
  <c r="E553" i="4"/>
  <c r="D553" i="4"/>
  <c r="C553" i="4"/>
  <c r="B553" i="4"/>
  <c r="A553" i="4"/>
  <c r="AF552" i="4"/>
  <c r="AE552" i="4"/>
  <c r="AD552" i="4"/>
  <c r="AC552" i="4"/>
  <c r="Y552" i="4"/>
  <c r="X552" i="4"/>
  <c r="W552" i="4"/>
  <c r="V552" i="4"/>
  <c r="U552" i="4"/>
  <c r="Q552" i="4"/>
  <c r="O552" i="4"/>
  <c r="N552" i="4"/>
  <c r="M552" i="4"/>
  <c r="J552" i="4"/>
  <c r="K552" i="4" s="1"/>
  <c r="I552" i="4"/>
  <c r="H552" i="4"/>
  <c r="G552" i="4"/>
  <c r="F552" i="4"/>
  <c r="E552" i="4"/>
  <c r="D552" i="4"/>
  <c r="C552" i="4"/>
  <c r="B552" i="4"/>
  <c r="A552" i="4"/>
  <c r="AF551" i="4"/>
  <c r="AE551" i="4"/>
  <c r="AD551" i="4"/>
  <c r="AC551" i="4"/>
  <c r="Y551" i="4"/>
  <c r="W551" i="4"/>
  <c r="V551" i="4"/>
  <c r="U551" i="4"/>
  <c r="Q551" i="4"/>
  <c r="O551" i="4"/>
  <c r="N551" i="4"/>
  <c r="M551" i="4"/>
  <c r="I551" i="4"/>
  <c r="H551" i="4"/>
  <c r="G551" i="4"/>
  <c r="F551" i="4"/>
  <c r="E551" i="4"/>
  <c r="D551" i="4"/>
  <c r="C551" i="4"/>
  <c r="P551" i="4" s="1"/>
  <c r="B551" i="4"/>
  <c r="A551" i="4"/>
  <c r="AF550" i="4"/>
  <c r="AE550" i="4"/>
  <c r="AD550" i="4"/>
  <c r="AC550" i="4"/>
  <c r="Z550" i="4"/>
  <c r="Y550" i="4"/>
  <c r="X550" i="4"/>
  <c r="W550" i="4"/>
  <c r="V550" i="4"/>
  <c r="U550" i="4"/>
  <c r="S550" i="4"/>
  <c r="R550" i="4"/>
  <c r="Q550" i="4"/>
  <c r="P550" i="4"/>
  <c r="O550" i="4"/>
  <c r="N550" i="4"/>
  <c r="M550" i="4"/>
  <c r="K550" i="4"/>
  <c r="J550" i="4"/>
  <c r="I550" i="4"/>
  <c r="H550" i="4"/>
  <c r="G550" i="4"/>
  <c r="F550" i="4"/>
  <c r="E550" i="4"/>
  <c r="D550" i="4"/>
  <c r="C550" i="4"/>
  <c r="B550" i="4"/>
  <c r="A550" i="4"/>
  <c r="AF549" i="4"/>
  <c r="AE549" i="4"/>
  <c r="AD549" i="4"/>
  <c r="AC549" i="4"/>
  <c r="Y549" i="4"/>
  <c r="W549" i="4"/>
  <c r="V549" i="4"/>
  <c r="U549" i="4"/>
  <c r="Q549" i="4"/>
  <c r="O549" i="4"/>
  <c r="N549" i="4"/>
  <c r="M549" i="4"/>
  <c r="I549" i="4"/>
  <c r="H549" i="4"/>
  <c r="G549" i="4"/>
  <c r="F549" i="4"/>
  <c r="E549" i="4"/>
  <c r="D549" i="4"/>
  <c r="C549" i="4"/>
  <c r="R549" i="4" s="1"/>
  <c r="S549" i="4" s="1"/>
  <c r="B549" i="4"/>
  <c r="A549" i="4"/>
  <c r="AF548" i="4"/>
  <c r="AE548" i="4"/>
  <c r="AD548" i="4"/>
  <c r="AC548" i="4"/>
  <c r="Z548" i="4"/>
  <c r="AA548" i="4" s="1"/>
  <c r="Y548" i="4"/>
  <c r="X548" i="4"/>
  <c r="W548" i="4"/>
  <c r="V548" i="4"/>
  <c r="U548" i="4"/>
  <c r="R548" i="4"/>
  <c r="S548" i="4" s="1"/>
  <c r="Q548" i="4"/>
  <c r="P548" i="4"/>
  <c r="O548" i="4"/>
  <c r="N548" i="4"/>
  <c r="M548" i="4"/>
  <c r="K548" i="4"/>
  <c r="J548" i="4"/>
  <c r="I548" i="4"/>
  <c r="H548" i="4"/>
  <c r="G548" i="4"/>
  <c r="F548" i="4"/>
  <c r="E548" i="4"/>
  <c r="D548" i="4"/>
  <c r="C548" i="4"/>
  <c r="B548" i="4"/>
  <c r="A548" i="4"/>
  <c r="AF547" i="4"/>
  <c r="AE547" i="4"/>
  <c r="AD547" i="4"/>
  <c r="AC547" i="4"/>
  <c r="Z547" i="4"/>
  <c r="Y547" i="4"/>
  <c r="X547" i="4"/>
  <c r="W547" i="4"/>
  <c r="V547" i="4"/>
  <c r="U547" i="4"/>
  <c r="R547" i="4"/>
  <c r="S547" i="4" s="1"/>
  <c r="Q547" i="4"/>
  <c r="P547" i="4"/>
  <c r="O547" i="4"/>
  <c r="N547" i="4"/>
  <c r="M547" i="4"/>
  <c r="K547" i="4"/>
  <c r="J547" i="4"/>
  <c r="I547" i="4"/>
  <c r="H547" i="4"/>
  <c r="G547" i="4"/>
  <c r="F547" i="4"/>
  <c r="E547" i="4"/>
  <c r="D547" i="4"/>
  <c r="C547" i="4"/>
  <c r="B547" i="4"/>
  <c r="A547" i="4"/>
  <c r="AF546" i="4"/>
  <c r="AE546" i="4"/>
  <c r="AD546" i="4"/>
  <c r="AC546" i="4"/>
  <c r="Z546" i="4"/>
  <c r="AA546" i="4" s="1"/>
  <c r="Y546" i="4"/>
  <c r="X546" i="4"/>
  <c r="W546" i="4"/>
  <c r="V546" i="4"/>
  <c r="U546" i="4"/>
  <c r="R546" i="4"/>
  <c r="S546" i="4" s="1"/>
  <c r="Q546" i="4"/>
  <c r="O546" i="4"/>
  <c r="N546" i="4"/>
  <c r="M546" i="4"/>
  <c r="J546" i="4"/>
  <c r="K546" i="4" s="1"/>
  <c r="I546" i="4"/>
  <c r="H546" i="4"/>
  <c r="G546" i="4"/>
  <c r="F546" i="4"/>
  <c r="E546" i="4"/>
  <c r="C546" i="4"/>
  <c r="P546" i="4" s="1"/>
  <c r="B546" i="4"/>
  <c r="A546" i="4"/>
  <c r="AF545" i="4"/>
  <c r="AE545" i="4"/>
  <c r="AD545" i="4"/>
  <c r="AC545" i="4"/>
  <c r="Y545" i="4"/>
  <c r="X545" i="4"/>
  <c r="W545" i="4"/>
  <c r="V545" i="4"/>
  <c r="U545" i="4"/>
  <c r="R545" i="4"/>
  <c r="S545" i="4" s="1"/>
  <c r="Q545" i="4"/>
  <c r="P545" i="4"/>
  <c r="O545" i="4"/>
  <c r="N545" i="4"/>
  <c r="M545" i="4"/>
  <c r="K545" i="4"/>
  <c r="J545" i="4"/>
  <c r="I545" i="4"/>
  <c r="H545" i="4"/>
  <c r="G545" i="4"/>
  <c r="F545" i="4"/>
  <c r="E545" i="4"/>
  <c r="D545" i="4"/>
  <c r="C545" i="4"/>
  <c r="Z545" i="4" s="1"/>
  <c r="AA545" i="4" s="1"/>
  <c r="B545" i="4"/>
  <c r="A545" i="4"/>
  <c r="AF544" i="4"/>
  <c r="AE544" i="4"/>
  <c r="AD544" i="4"/>
  <c r="AC544" i="4"/>
  <c r="Z544" i="4"/>
  <c r="Y544" i="4"/>
  <c r="X544" i="4"/>
  <c r="W544" i="4"/>
  <c r="V544" i="4"/>
  <c r="U544" i="4"/>
  <c r="R544" i="4"/>
  <c r="S544" i="4" s="1"/>
  <c r="Q544" i="4"/>
  <c r="P544" i="4"/>
  <c r="O544" i="4"/>
  <c r="N544" i="4"/>
  <c r="M544" i="4"/>
  <c r="K544" i="4"/>
  <c r="J544" i="4"/>
  <c r="I544" i="4"/>
  <c r="H544" i="4"/>
  <c r="G544" i="4"/>
  <c r="F544" i="4"/>
  <c r="E544" i="4"/>
  <c r="C544" i="4"/>
  <c r="B544" i="4"/>
  <c r="A544" i="4"/>
  <c r="AF543" i="4"/>
  <c r="AE543" i="4"/>
  <c r="AD543" i="4"/>
  <c r="AC543" i="4"/>
  <c r="Z543" i="4"/>
  <c r="AA543" i="4" s="1"/>
  <c r="Y543" i="4"/>
  <c r="W543" i="4"/>
  <c r="V543" i="4"/>
  <c r="U543" i="4"/>
  <c r="S543" i="4"/>
  <c r="R543" i="4"/>
  <c r="Q543" i="4"/>
  <c r="O543" i="4"/>
  <c r="N543" i="4"/>
  <c r="M543" i="4"/>
  <c r="J543" i="4"/>
  <c r="I543" i="4"/>
  <c r="H543" i="4"/>
  <c r="G543" i="4"/>
  <c r="F543" i="4"/>
  <c r="E543" i="4"/>
  <c r="C543" i="4"/>
  <c r="P543" i="4" s="1"/>
  <c r="B543" i="4"/>
  <c r="A543" i="4"/>
  <c r="D543" i="4" s="1"/>
  <c r="AF542" i="4"/>
  <c r="AE542" i="4"/>
  <c r="AD542" i="4"/>
  <c r="AC542" i="4"/>
  <c r="AA542" i="4"/>
  <c r="Z542" i="4"/>
  <c r="Y542" i="4"/>
  <c r="W542" i="4"/>
  <c r="V542" i="4"/>
  <c r="U542" i="4"/>
  <c r="R542" i="4"/>
  <c r="S542" i="4" s="1"/>
  <c r="Q542" i="4"/>
  <c r="O542" i="4"/>
  <c r="N542" i="4"/>
  <c r="M542" i="4"/>
  <c r="J542" i="4"/>
  <c r="K542" i="4" s="1"/>
  <c r="I542" i="4"/>
  <c r="H542" i="4"/>
  <c r="G542" i="4"/>
  <c r="F542" i="4"/>
  <c r="E542" i="4"/>
  <c r="D542" i="4"/>
  <c r="C542" i="4"/>
  <c r="X542" i="4" s="1"/>
  <c r="B542" i="4"/>
  <c r="A542" i="4"/>
  <c r="AF541" i="4"/>
  <c r="AE541" i="4"/>
  <c r="AD541" i="4"/>
  <c r="AC541" i="4"/>
  <c r="Y541" i="4"/>
  <c r="X541" i="4"/>
  <c r="W541" i="4"/>
  <c r="V541" i="4"/>
  <c r="U541" i="4"/>
  <c r="R541" i="4"/>
  <c r="S541" i="4" s="1"/>
  <c r="Q541" i="4"/>
  <c r="P541" i="4"/>
  <c r="O541" i="4"/>
  <c r="N541" i="4"/>
  <c r="M541" i="4"/>
  <c r="I541" i="4"/>
  <c r="H541" i="4"/>
  <c r="G541" i="4"/>
  <c r="F541" i="4"/>
  <c r="E541" i="4"/>
  <c r="C541" i="4"/>
  <c r="Z541" i="4" s="1"/>
  <c r="AA541" i="4" s="1"/>
  <c r="B541" i="4"/>
  <c r="A541" i="4"/>
  <c r="D541" i="4" s="1"/>
  <c r="AF540" i="4"/>
  <c r="AE540" i="4"/>
  <c r="AD540" i="4"/>
  <c r="AC540" i="4"/>
  <c r="AA540" i="4"/>
  <c r="Z540" i="4"/>
  <c r="Y540" i="4"/>
  <c r="W540" i="4"/>
  <c r="V540" i="4"/>
  <c r="U540" i="4"/>
  <c r="Q540" i="4"/>
  <c r="P540" i="4"/>
  <c r="O540" i="4"/>
  <c r="N540" i="4"/>
  <c r="M540" i="4"/>
  <c r="I540" i="4"/>
  <c r="H540" i="4"/>
  <c r="G540" i="4"/>
  <c r="F540" i="4"/>
  <c r="E540" i="4"/>
  <c r="D540" i="4"/>
  <c r="C540" i="4"/>
  <c r="B540" i="4"/>
  <c r="A540" i="4"/>
  <c r="AF539" i="4"/>
  <c r="AE539" i="4"/>
  <c r="AD539" i="4"/>
  <c r="AC539" i="4"/>
  <c r="Y539" i="4"/>
  <c r="X539" i="4"/>
  <c r="W539" i="4"/>
  <c r="V539" i="4"/>
  <c r="U539" i="4"/>
  <c r="Q539" i="4"/>
  <c r="O539" i="4"/>
  <c r="N539" i="4"/>
  <c r="M539" i="4"/>
  <c r="I539" i="4"/>
  <c r="H539" i="4"/>
  <c r="G539" i="4"/>
  <c r="F539" i="4"/>
  <c r="E539" i="4"/>
  <c r="D539" i="4"/>
  <c r="C539" i="4"/>
  <c r="P539" i="4" s="1"/>
  <c r="B539" i="4"/>
  <c r="A539" i="4"/>
  <c r="AF538" i="4"/>
  <c r="AE538" i="4"/>
  <c r="AD538" i="4"/>
  <c r="AC538" i="4"/>
  <c r="Y538" i="4"/>
  <c r="X538" i="4"/>
  <c r="W538" i="4"/>
  <c r="V538" i="4"/>
  <c r="U538" i="4"/>
  <c r="S538" i="4"/>
  <c r="R538" i="4"/>
  <c r="Q538" i="4"/>
  <c r="P538" i="4"/>
  <c r="O538" i="4"/>
  <c r="N538" i="4"/>
  <c r="M538" i="4"/>
  <c r="I538" i="4"/>
  <c r="H538" i="4"/>
  <c r="G538" i="4"/>
  <c r="F538" i="4"/>
  <c r="E538" i="4"/>
  <c r="C538" i="4"/>
  <c r="Z538" i="4" s="1"/>
  <c r="AA538" i="4" s="1"/>
  <c r="B538" i="4"/>
  <c r="A538" i="4"/>
  <c r="AF537" i="4"/>
  <c r="AE537" i="4"/>
  <c r="AD537" i="4"/>
  <c r="AC537" i="4"/>
  <c r="Z537" i="4"/>
  <c r="AA537" i="4" s="1"/>
  <c r="Y537" i="4"/>
  <c r="W537" i="4"/>
  <c r="V537" i="4"/>
  <c r="U537" i="4"/>
  <c r="Q537" i="4"/>
  <c r="O537" i="4"/>
  <c r="N537" i="4"/>
  <c r="M537" i="4"/>
  <c r="I537" i="4"/>
  <c r="H537" i="4"/>
  <c r="G537" i="4"/>
  <c r="F537" i="4"/>
  <c r="E537" i="4"/>
  <c r="D537" i="4"/>
  <c r="C537" i="4"/>
  <c r="B537" i="4"/>
  <c r="A537" i="4"/>
  <c r="AF536" i="4"/>
  <c r="AE536" i="4"/>
  <c r="AD536" i="4"/>
  <c r="AC536" i="4"/>
  <c r="Y536" i="4"/>
  <c r="X536" i="4"/>
  <c r="W536" i="4"/>
  <c r="V536" i="4"/>
  <c r="U536" i="4"/>
  <c r="Q536" i="4"/>
  <c r="P536" i="4"/>
  <c r="O536" i="4"/>
  <c r="N536" i="4"/>
  <c r="M536" i="4"/>
  <c r="J536" i="4"/>
  <c r="K536" i="4" s="1"/>
  <c r="I536" i="4"/>
  <c r="H536" i="4"/>
  <c r="G536" i="4"/>
  <c r="F536" i="4"/>
  <c r="E536" i="4"/>
  <c r="D536" i="4"/>
  <c r="C536" i="4"/>
  <c r="B536" i="4"/>
  <c r="A536" i="4"/>
  <c r="AF535" i="4"/>
  <c r="AE535" i="4"/>
  <c r="AD535" i="4"/>
  <c r="AC535" i="4"/>
  <c r="Y535" i="4"/>
  <c r="X535" i="4"/>
  <c r="W535" i="4"/>
  <c r="V535" i="4"/>
  <c r="U535" i="4"/>
  <c r="S535" i="4"/>
  <c r="R535" i="4"/>
  <c r="Q535" i="4"/>
  <c r="P535" i="4"/>
  <c r="O535" i="4"/>
  <c r="N535" i="4"/>
  <c r="M535" i="4"/>
  <c r="I535" i="4"/>
  <c r="H535" i="4"/>
  <c r="G535" i="4"/>
  <c r="F535" i="4"/>
  <c r="E535" i="4"/>
  <c r="C535" i="4"/>
  <c r="Z535" i="4" s="1"/>
  <c r="AA535" i="4" s="1"/>
  <c r="B535" i="4"/>
  <c r="A535" i="4"/>
  <c r="AF534" i="4"/>
  <c r="AE534" i="4"/>
  <c r="AD534" i="4"/>
  <c r="AC534" i="4"/>
  <c r="Y534" i="4"/>
  <c r="W534" i="4"/>
  <c r="V534" i="4"/>
  <c r="U534" i="4"/>
  <c r="Q534" i="4"/>
  <c r="P534" i="4"/>
  <c r="O534" i="4"/>
  <c r="N534" i="4"/>
  <c r="M534" i="4"/>
  <c r="I534" i="4"/>
  <c r="H534" i="4"/>
  <c r="G534" i="4"/>
  <c r="F534" i="4"/>
  <c r="E534" i="4"/>
  <c r="C534" i="4"/>
  <c r="B534" i="4"/>
  <c r="A534" i="4"/>
  <c r="AF533" i="4"/>
  <c r="AE533" i="4"/>
  <c r="AD533" i="4"/>
  <c r="AC533" i="4"/>
  <c r="Y533" i="4"/>
  <c r="X533" i="4"/>
  <c r="W533" i="4"/>
  <c r="V533" i="4"/>
  <c r="U533" i="4"/>
  <c r="Q533" i="4"/>
  <c r="P533" i="4"/>
  <c r="O533" i="4"/>
  <c r="N533" i="4"/>
  <c r="M533" i="4"/>
  <c r="J533" i="4"/>
  <c r="K533" i="4" s="1"/>
  <c r="I533" i="4"/>
  <c r="H533" i="4"/>
  <c r="G533" i="4"/>
  <c r="F533" i="4"/>
  <c r="E533" i="4"/>
  <c r="D533" i="4"/>
  <c r="C533" i="4"/>
  <c r="B533" i="4"/>
  <c r="A533" i="4"/>
  <c r="AF532" i="4"/>
  <c r="AE532" i="4"/>
  <c r="AD532" i="4"/>
  <c r="AC532" i="4"/>
  <c r="Y532" i="4"/>
  <c r="X532" i="4"/>
  <c r="W532" i="4"/>
  <c r="V532" i="4"/>
  <c r="U532" i="4"/>
  <c r="S532" i="4"/>
  <c r="R532" i="4"/>
  <c r="Q532" i="4"/>
  <c r="P532" i="4"/>
  <c r="O532" i="4"/>
  <c r="N532" i="4"/>
  <c r="M532" i="4"/>
  <c r="I532" i="4"/>
  <c r="H532" i="4"/>
  <c r="G532" i="4"/>
  <c r="F532" i="4"/>
  <c r="E532" i="4"/>
  <c r="C532" i="4"/>
  <c r="Z532" i="4" s="1"/>
  <c r="AA532" i="4" s="1"/>
  <c r="B532" i="4"/>
  <c r="A532" i="4"/>
  <c r="AF531" i="4"/>
  <c r="AE531" i="4"/>
  <c r="AD531" i="4"/>
  <c r="AC531" i="4"/>
  <c r="Y531" i="4"/>
  <c r="W531" i="4"/>
  <c r="V531" i="4"/>
  <c r="U531" i="4"/>
  <c r="Q531" i="4"/>
  <c r="P531" i="4"/>
  <c r="O531" i="4"/>
  <c r="N531" i="4"/>
  <c r="M531" i="4"/>
  <c r="I531" i="4"/>
  <c r="H531" i="4"/>
  <c r="G531" i="4"/>
  <c r="F531" i="4"/>
  <c r="E531" i="4"/>
  <c r="D531" i="4"/>
  <c r="C531" i="4"/>
  <c r="B531" i="4"/>
  <c r="A531" i="4"/>
  <c r="AF530" i="4"/>
  <c r="AE530" i="4"/>
  <c r="AD530" i="4"/>
  <c r="AC530" i="4"/>
  <c r="Y530" i="4"/>
  <c r="X530" i="4"/>
  <c r="W530" i="4"/>
  <c r="V530" i="4"/>
  <c r="U530" i="4"/>
  <c r="Q530" i="4"/>
  <c r="O530" i="4"/>
  <c r="N530" i="4"/>
  <c r="M530" i="4"/>
  <c r="J530" i="4"/>
  <c r="K530" i="4" s="1"/>
  <c r="I530" i="4"/>
  <c r="H530" i="4"/>
  <c r="G530" i="4"/>
  <c r="F530" i="4"/>
  <c r="E530" i="4"/>
  <c r="D530" i="4"/>
  <c r="C530" i="4"/>
  <c r="P530" i="4" s="1"/>
  <c r="B530" i="4"/>
  <c r="A530" i="4"/>
  <c r="AF529" i="4"/>
  <c r="AE529" i="4"/>
  <c r="AD529" i="4"/>
  <c r="AC529" i="4"/>
  <c r="Y529" i="4"/>
  <c r="X529" i="4"/>
  <c r="W529" i="4"/>
  <c r="V529" i="4"/>
  <c r="U529" i="4"/>
  <c r="S529" i="4"/>
  <c r="R529" i="4"/>
  <c r="Q529" i="4"/>
  <c r="P529" i="4"/>
  <c r="O529" i="4"/>
  <c r="N529" i="4"/>
  <c r="M529" i="4"/>
  <c r="I529" i="4"/>
  <c r="H529" i="4"/>
  <c r="G529" i="4"/>
  <c r="F529" i="4"/>
  <c r="E529" i="4"/>
  <c r="C529" i="4"/>
  <c r="Z529" i="4" s="1"/>
  <c r="B529" i="4"/>
  <c r="A529" i="4"/>
  <c r="AF528" i="4"/>
  <c r="AE528" i="4"/>
  <c r="AD528" i="4"/>
  <c r="AC528" i="4"/>
  <c r="Z528" i="4"/>
  <c r="AA528" i="4" s="1"/>
  <c r="Y528" i="4"/>
  <c r="W528" i="4"/>
  <c r="V528" i="4"/>
  <c r="U528" i="4"/>
  <c r="Q528" i="4"/>
  <c r="O528" i="4"/>
  <c r="N528" i="4"/>
  <c r="M528" i="4"/>
  <c r="I528" i="4"/>
  <c r="H528" i="4"/>
  <c r="G528" i="4"/>
  <c r="F528" i="4"/>
  <c r="E528" i="4"/>
  <c r="D528" i="4"/>
  <c r="C528" i="4"/>
  <c r="B528" i="4"/>
  <c r="A528" i="4"/>
  <c r="AF527" i="4"/>
  <c r="AE527" i="4"/>
  <c r="AD527" i="4"/>
  <c r="AC527" i="4"/>
  <c r="Y527" i="4"/>
  <c r="W527" i="4"/>
  <c r="V527" i="4"/>
  <c r="U527" i="4"/>
  <c r="Q527" i="4"/>
  <c r="O527" i="4"/>
  <c r="N527" i="4"/>
  <c r="M527" i="4"/>
  <c r="I527" i="4"/>
  <c r="H527" i="4"/>
  <c r="G527" i="4"/>
  <c r="F527" i="4"/>
  <c r="E527" i="4"/>
  <c r="D527" i="4"/>
  <c r="C527" i="4"/>
  <c r="B527" i="4"/>
  <c r="A527" i="4"/>
  <c r="AF526" i="4"/>
  <c r="AE526" i="4"/>
  <c r="AD526" i="4"/>
  <c r="AC526" i="4"/>
  <c r="Z526" i="4"/>
  <c r="AA526" i="4" s="1"/>
  <c r="Y526" i="4"/>
  <c r="X526" i="4"/>
  <c r="W526" i="4"/>
  <c r="V526" i="4"/>
  <c r="U526" i="4"/>
  <c r="R526" i="4"/>
  <c r="S526" i="4" s="1"/>
  <c r="Q526" i="4"/>
  <c r="P526" i="4"/>
  <c r="O526" i="4"/>
  <c r="N526" i="4"/>
  <c r="M526" i="4"/>
  <c r="I526" i="4"/>
  <c r="H526" i="4"/>
  <c r="G526" i="4"/>
  <c r="K526" i="4" s="1"/>
  <c r="F526" i="4"/>
  <c r="E526" i="4"/>
  <c r="C526" i="4"/>
  <c r="J526" i="4" s="1"/>
  <c r="B526" i="4"/>
  <c r="A526" i="4"/>
  <c r="AF525" i="4"/>
  <c r="AE525" i="4"/>
  <c r="AD525" i="4"/>
  <c r="AC525" i="4"/>
  <c r="Z525" i="4"/>
  <c r="AA525" i="4" s="1"/>
  <c r="Y525" i="4"/>
  <c r="W525" i="4"/>
  <c r="V525" i="4"/>
  <c r="U525" i="4"/>
  <c r="Q525" i="4"/>
  <c r="P525" i="4"/>
  <c r="O525" i="4"/>
  <c r="N525" i="4"/>
  <c r="M525" i="4"/>
  <c r="I525" i="4"/>
  <c r="H525" i="4"/>
  <c r="G525" i="4"/>
  <c r="F525" i="4"/>
  <c r="E525" i="4"/>
  <c r="C525" i="4"/>
  <c r="B525" i="4"/>
  <c r="A525" i="4"/>
  <c r="AF524" i="4"/>
  <c r="AE524" i="4"/>
  <c r="AD524" i="4"/>
  <c r="AC524" i="4"/>
  <c r="Y524" i="4"/>
  <c r="W524" i="4"/>
  <c r="V524" i="4"/>
  <c r="U524" i="4"/>
  <c r="Q524" i="4"/>
  <c r="O524" i="4"/>
  <c r="N524" i="4"/>
  <c r="M524" i="4"/>
  <c r="I524" i="4"/>
  <c r="H524" i="4"/>
  <c r="G524" i="4"/>
  <c r="F524" i="4"/>
  <c r="E524" i="4"/>
  <c r="D524" i="4"/>
  <c r="C524" i="4"/>
  <c r="B524" i="4"/>
  <c r="A524" i="4"/>
  <c r="AF523" i="4"/>
  <c r="AE523" i="4"/>
  <c r="AD523" i="4"/>
  <c r="AC523" i="4"/>
  <c r="Z523" i="4"/>
  <c r="Y523" i="4"/>
  <c r="X523" i="4"/>
  <c r="W523" i="4"/>
  <c r="V523" i="4"/>
  <c r="U523" i="4"/>
  <c r="S523" i="4"/>
  <c r="R523" i="4"/>
  <c r="Q523" i="4"/>
  <c r="P523" i="4"/>
  <c r="O523" i="4"/>
  <c r="N523" i="4"/>
  <c r="M523" i="4"/>
  <c r="I523" i="4"/>
  <c r="H523" i="4"/>
  <c r="G523" i="4"/>
  <c r="K523" i="4" s="1"/>
  <c r="F523" i="4"/>
  <c r="E523" i="4"/>
  <c r="C523" i="4"/>
  <c r="J523" i="4" s="1"/>
  <c r="B523" i="4"/>
  <c r="A523" i="4"/>
  <c r="AF522" i="4"/>
  <c r="AE522" i="4"/>
  <c r="AD522" i="4"/>
  <c r="AC522" i="4"/>
  <c r="Z522" i="4"/>
  <c r="AA522" i="4" s="1"/>
  <c r="Y522" i="4"/>
  <c r="W522" i="4"/>
  <c r="V522" i="4"/>
  <c r="U522" i="4"/>
  <c r="Q522" i="4"/>
  <c r="P522" i="4"/>
  <c r="O522" i="4"/>
  <c r="N522" i="4"/>
  <c r="M522" i="4"/>
  <c r="I522" i="4"/>
  <c r="H522" i="4"/>
  <c r="G522" i="4"/>
  <c r="F522" i="4"/>
  <c r="E522" i="4"/>
  <c r="C522" i="4"/>
  <c r="B522" i="4"/>
  <c r="A522" i="4"/>
  <c r="AF521" i="4"/>
  <c r="AE521" i="4"/>
  <c r="AD521" i="4"/>
  <c r="AC521" i="4"/>
  <c r="Y521" i="4"/>
  <c r="W521" i="4"/>
  <c r="V521" i="4"/>
  <c r="U521" i="4"/>
  <c r="Q521" i="4"/>
  <c r="P521" i="4"/>
  <c r="O521" i="4"/>
  <c r="N521" i="4"/>
  <c r="M521" i="4"/>
  <c r="J521" i="4"/>
  <c r="K521" i="4" s="1"/>
  <c r="I521" i="4"/>
  <c r="H521" i="4"/>
  <c r="G521" i="4"/>
  <c r="F521" i="4"/>
  <c r="E521" i="4"/>
  <c r="D521" i="4"/>
  <c r="C521" i="4"/>
  <c r="B521" i="4"/>
  <c r="A521" i="4"/>
  <c r="AF520" i="4"/>
  <c r="AE520" i="4"/>
  <c r="AD520" i="4"/>
  <c r="AC520" i="4"/>
  <c r="Z520" i="4"/>
  <c r="Y520" i="4"/>
  <c r="X520" i="4"/>
  <c r="W520" i="4"/>
  <c r="V520" i="4"/>
  <c r="U520" i="4"/>
  <c r="S520" i="4"/>
  <c r="R520" i="4"/>
  <c r="Q520" i="4"/>
  <c r="P520" i="4"/>
  <c r="O520" i="4"/>
  <c r="N520" i="4"/>
  <c r="M520" i="4"/>
  <c r="I520" i="4"/>
  <c r="H520" i="4"/>
  <c r="G520" i="4"/>
  <c r="F520" i="4"/>
  <c r="E520" i="4"/>
  <c r="C520" i="4"/>
  <c r="J520" i="4" s="1"/>
  <c r="K520" i="4" s="1"/>
  <c r="B520" i="4"/>
  <c r="A520" i="4"/>
  <c r="AF519" i="4"/>
  <c r="AE519" i="4"/>
  <c r="AD519" i="4"/>
  <c r="AC519" i="4"/>
  <c r="Z519" i="4"/>
  <c r="AA519" i="4" s="1"/>
  <c r="Y519" i="4"/>
  <c r="W519" i="4"/>
  <c r="V519" i="4"/>
  <c r="U519" i="4"/>
  <c r="Q519" i="4"/>
  <c r="P519" i="4"/>
  <c r="O519" i="4"/>
  <c r="N519" i="4"/>
  <c r="M519" i="4"/>
  <c r="I519" i="4"/>
  <c r="H519" i="4"/>
  <c r="G519" i="4"/>
  <c r="F519" i="4"/>
  <c r="E519" i="4"/>
  <c r="C519" i="4"/>
  <c r="B519" i="4"/>
  <c r="A519" i="4"/>
  <c r="AF518" i="4"/>
  <c r="AE518" i="4"/>
  <c r="AD518" i="4"/>
  <c r="AC518" i="4"/>
  <c r="Y518" i="4"/>
  <c r="W518" i="4"/>
  <c r="V518" i="4"/>
  <c r="U518" i="4"/>
  <c r="Q518" i="4"/>
  <c r="O518" i="4"/>
  <c r="N518" i="4"/>
  <c r="M518" i="4"/>
  <c r="I518" i="4"/>
  <c r="H518" i="4"/>
  <c r="G518" i="4"/>
  <c r="F518" i="4"/>
  <c r="E518" i="4"/>
  <c r="D518" i="4"/>
  <c r="C518" i="4"/>
  <c r="B518" i="4"/>
  <c r="A518" i="4"/>
  <c r="AF517" i="4"/>
  <c r="AE517" i="4"/>
  <c r="AD517" i="4"/>
  <c r="AC517" i="4"/>
  <c r="Z517" i="4"/>
  <c r="Y517" i="4"/>
  <c r="X517" i="4"/>
  <c r="W517" i="4"/>
  <c r="V517" i="4"/>
  <c r="U517" i="4"/>
  <c r="S517" i="4"/>
  <c r="R517" i="4"/>
  <c r="Q517" i="4"/>
  <c r="P517" i="4"/>
  <c r="O517" i="4"/>
  <c r="N517" i="4"/>
  <c r="M517" i="4"/>
  <c r="I517" i="4"/>
  <c r="H517" i="4"/>
  <c r="G517" i="4"/>
  <c r="F517" i="4"/>
  <c r="E517" i="4"/>
  <c r="C517" i="4"/>
  <c r="J517" i="4" s="1"/>
  <c r="K517" i="4" s="1"/>
  <c r="B517" i="4"/>
  <c r="A517" i="4"/>
  <c r="AF516" i="4"/>
  <c r="AE516" i="4"/>
  <c r="AD516" i="4"/>
  <c r="AC516" i="4"/>
  <c r="AA516" i="4"/>
  <c r="Z516" i="4"/>
  <c r="Y516" i="4"/>
  <c r="W516" i="4"/>
  <c r="V516" i="4"/>
  <c r="U516" i="4"/>
  <c r="Q516" i="4"/>
  <c r="P516" i="4"/>
  <c r="O516" i="4"/>
  <c r="N516" i="4"/>
  <c r="M516" i="4"/>
  <c r="I516" i="4"/>
  <c r="H516" i="4"/>
  <c r="G516" i="4"/>
  <c r="F516" i="4"/>
  <c r="E516" i="4"/>
  <c r="D516" i="4"/>
  <c r="C516" i="4"/>
  <c r="B516" i="4"/>
  <c r="A516" i="4"/>
  <c r="AF515" i="4"/>
  <c r="AE515" i="4"/>
  <c r="AD515" i="4"/>
  <c r="AC515" i="4"/>
  <c r="Y515" i="4"/>
  <c r="X515" i="4"/>
  <c r="W515" i="4"/>
  <c r="V515" i="4"/>
  <c r="U515" i="4"/>
  <c r="Q515" i="4"/>
  <c r="P515" i="4"/>
  <c r="O515" i="4"/>
  <c r="N515" i="4"/>
  <c r="M515" i="4"/>
  <c r="K515" i="4"/>
  <c r="J515" i="4"/>
  <c r="I515" i="4"/>
  <c r="H515" i="4"/>
  <c r="G515" i="4"/>
  <c r="F515" i="4"/>
  <c r="E515" i="4"/>
  <c r="D515" i="4"/>
  <c r="C515" i="4"/>
  <c r="B515" i="4"/>
  <c r="A515" i="4"/>
  <c r="AF514" i="4"/>
  <c r="AE514" i="4"/>
  <c r="AD514" i="4"/>
  <c r="AC514" i="4"/>
  <c r="Z514" i="4"/>
  <c r="AA514" i="4" s="1"/>
  <c r="Y514" i="4"/>
  <c r="X514" i="4"/>
  <c r="W514" i="4"/>
  <c r="V514" i="4"/>
  <c r="U514" i="4"/>
  <c r="R514" i="4"/>
  <c r="S514" i="4" s="1"/>
  <c r="Q514" i="4"/>
  <c r="P514" i="4"/>
  <c r="O514" i="4"/>
  <c r="N514" i="4"/>
  <c r="M514" i="4"/>
  <c r="I514" i="4"/>
  <c r="H514" i="4"/>
  <c r="G514" i="4"/>
  <c r="F514" i="4"/>
  <c r="E514" i="4"/>
  <c r="C514" i="4"/>
  <c r="J514" i="4" s="1"/>
  <c r="K514" i="4" s="1"/>
  <c r="B514" i="4"/>
  <c r="A514" i="4"/>
  <c r="AF513" i="4"/>
  <c r="AE513" i="4"/>
  <c r="AD513" i="4"/>
  <c r="AC513" i="4"/>
  <c r="Y513" i="4"/>
  <c r="W513" i="4"/>
  <c r="V513" i="4"/>
  <c r="U513" i="4"/>
  <c r="Q513" i="4"/>
  <c r="O513" i="4"/>
  <c r="N513" i="4"/>
  <c r="M513" i="4"/>
  <c r="I513" i="4"/>
  <c r="H513" i="4"/>
  <c r="G513" i="4"/>
  <c r="F513" i="4"/>
  <c r="E513" i="4"/>
  <c r="D513" i="4"/>
  <c r="C513" i="4"/>
  <c r="Z513" i="4" s="1"/>
  <c r="AA513" i="4" s="1"/>
  <c r="B513" i="4"/>
  <c r="A513" i="4"/>
  <c r="AF512" i="4"/>
  <c r="AE512" i="4"/>
  <c r="AD512" i="4"/>
  <c r="AC512" i="4"/>
  <c r="Y512" i="4"/>
  <c r="W512" i="4"/>
  <c r="V512" i="4"/>
  <c r="U512" i="4"/>
  <c r="Q512" i="4"/>
  <c r="O512" i="4"/>
  <c r="N512" i="4"/>
  <c r="M512" i="4"/>
  <c r="J512" i="4"/>
  <c r="K512" i="4" s="1"/>
  <c r="I512" i="4"/>
  <c r="H512" i="4"/>
  <c r="G512" i="4"/>
  <c r="F512" i="4"/>
  <c r="E512" i="4"/>
  <c r="D512" i="4"/>
  <c r="C512" i="4"/>
  <c r="B512" i="4"/>
  <c r="A512" i="4"/>
  <c r="AF511" i="4"/>
  <c r="AE511" i="4"/>
  <c r="AD511" i="4"/>
  <c r="AC511" i="4"/>
  <c r="Z511" i="4"/>
  <c r="AA511" i="4" s="1"/>
  <c r="Y511" i="4"/>
  <c r="X511" i="4"/>
  <c r="W511" i="4"/>
  <c r="V511" i="4"/>
  <c r="U511" i="4"/>
  <c r="S511" i="4"/>
  <c r="R511" i="4"/>
  <c r="Q511" i="4"/>
  <c r="P511" i="4"/>
  <c r="O511" i="4"/>
  <c r="N511" i="4"/>
  <c r="M511" i="4"/>
  <c r="I511" i="4"/>
  <c r="H511" i="4"/>
  <c r="G511" i="4"/>
  <c r="F511" i="4"/>
  <c r="E511" i="4"/>
  <c r="C511" i="4"/>
  <c r="J511" i="4" s="1"/>
  <c r="B511" i="4"/>
  <c r="A511" i="4"/>
  <c r="AF510" i="4"/>
  <c r="AE510" i="4"/>
  <c r="AD510" i="4"/>
  <c r="AC510" i="4"/>
  <c r="Z510" i="4"/>
  <c r="AA510" i="4" s="1"/>
  <c r="Y510" i="4"/>
  <c r="W510" i="4"/>
  <c r="V510" i="4"/>
  <c r="U510" i="4"/>
  <c r="Q510" i="4"/>
  <c r="O510" i="4"/>
  <c r="N510" i="4"/>
  <c r="M510" i="4"/>
  <c r="I510" i="4"/>
  <c r="H510" i="4"/>
  <c r="G510" i="4"/>
  <c r="F510" i="4"/>
  <c r="E510" i="4"/>
  <c r="D510" i="4"/>
  <c r="C510" i="4"/>
  <c r="B510" i="4"/>
  <c r="A510" i="4"/>
  <c r="AF509" i="4"/>
  <c r="AE509" i="4"/>
  <c r="AD509" i="4"/>
  <c r="AC509" i="4"/>
  <c r="Y509" i="4"/>
  <c r="X509" i="4"/>
  <c r="W509" i="4"/>
  <c r="V509" i="4"/>
  <c r="U509" i="4"/>
  <c r="Q509" i="4"/>
  <c r="P509" i="4"/>
  <c r="O509" i="4"/>
  <c r="N509" i="4"/>
  <c r="M509" i="4"/>
  <c r="J509" i="4"/>
  <c r="K509" i="4" s="1"/>
  <c r="I509" i="4"/>
  <c r="H509" i="4"/>
  <c r="G509" i="4"/>
  <c r="F509" i="4"/>
  <c r="E509" i="4"/>
  <c r="D509" i="4"/>
  <c r="C509" i="4"/>
  <c r="B509" i="4"/>
  <c r="A509" i="4"/>
  <c r="AF508" i="4"/>
  <c r="AE508" i="4"/>
  <c r="AD508" i="4"/>
  <c r="AC508" i="4"/>
  <c r="Z508" i="4"/>
  <c r="AA508" i="4" s="1"/>
  <c r="Y508" i="4"/>
  <c r="X508" i="4"/>
  <c r="W508" i="4"/>
  <c r="V508" i="4"/>
  <c r="U508" i="4"/>
  <c r="S508" i="4"/>
  <c r="R508" i="4"/>
  <c r="Q508" i="4"/>
  <c r="P508" i="4"/>
  <c r="O508" i="4"/>
  <c r="N508" i="4"/>
  <c r="M508" i="4"/>
  <c r="I508" i="4"/>
  <c r="H508" i="4"/>
  <c r="G508" i="4"/>
  <c r="F508" i="4"/>
  <c r="E508" i="4"/>
  <c r="C508" i="4"/>
  <c r="J508" i="4" s="1"/>
  <c r="B508" i="4"/>
  <c r="A508" i="4"/>
  <c r="AF507" i="4"/>
  <c r="AE507" i="4"/>
  <c r="AD507" i="4"/>
  <c r="AC507" i="4"/>
  <c r="Y507" i="4"/>
  <c r="W507" i="4"/>
  <c r="V507" i="4"/>
  <c r="U507" i="4"/>
  <c r="Q507" i="4"/>
  <c r="P507" i="4"/>
  <c r="O507" i="4"/>
  <c r="N507" i="4"/>
  <c r="M507" i="4"/>
  <c r="I507" i="4"/>
  <c r="H507" i="4"/>
  <c r="G507" i="4"/>
  <c r="F507" i="4"/>
  <c r="E507" i="4"/>
  <c r="C507" i="4"/>
  <c r="B507" i="4"/>
  <c r="A507" i="4"/>
  <c r="AF506" i="4"/>
  <c r="AE506" i="4"/>
  <c r="AD506" i="4"/>
  <c r="AC506" i="4"/>
  <c r="Y506" i="4"/>
  <c r="X506" i="4"/>
  <c r="W506" i="4"/>
  <c r="V506" i="4"/>
  <c r="U506" i="4"/>
  <c r="Q506" i="4"/>
  <c r="O506" i="4"/>
  <c r="N506" i="4"/>
  <c r="M506" i="4"/>
  <c r="I506" i="4"/>
  <c r="H506" i="4"/>
  <c r="G506" i="4"/>
  <c r="F506" i="4"/>
  <c r="E506" i="4"/>
  <c r="D506" i="4"/>
  <c r="C506" i="4"/>
  <c r="J506" i="4" s="1"/>
  <c r="K506" i="4" s="1"/>
  <c r="B506" i="4"/>
  <c r="A506" i="4"/>
  <c r="AF505" i="4"/>
  <c r="AE505" i="4"/>
  <c r="AD505" i="4"/>
  <c r="AC505" i="4"/>
  <c r="Z505" i="4"/>
  <c r="Y505" i="4"/>
  <c r="X505" i="4"/>
  <c r="W505" i="4"/>
  <c r="V505" i="4"/>
  <c r="U505" i="4"/>
  <c r="S505" i="4"/>
  <c r="R505" i="4"/>
  <c r="Q505" i="4"/>
  <c r="P505" i="4"/>
  <c r="O505" i="4"/>
  <c r="N505" i="4"/>
  <c r="M505" i="4"/>
  <c r="I505" i="4"/>
  <c r="H505" i="4"/>
  <c r="G505" i="4"/>
  <c r="F505" i="4"/>
  <c r="E505" i="4"/>
  <c r="C505" i="4"/>
  <c r="J505" i="4" s="1"/>
  <c r="K505" i="4" s="1"/>
  <c r="B505" i="4"/>
  <c r="A505" i="4"/>
  <c r="AF504" i="4"/>
  <c r="AE504" i="4"/>
  <c r="AD504" i="4"/>
  <c r="AC504" i="4"/>
  <c r="Y504" i="4"/>
  <c r="W504" i="4"/>
  <c r="V504" i="4"/>
  <c r="U504" i="4"/>
  <c r="Q504" i="4"/>
  <c r="O504" i="4"/>
  <c r="N504" i="4"/>
  <c r="M504" i="4"/>
  <c r="I504" i="4"/>
  <c r="H504" i="4"/>
  <c r="G504" i="4"/>
  <c r="F504" i="4"/>
  <c r="E504" i="4"/>
  <c r="D504" i="4"/>
  <c r="C504" i="4"/>
  <c r="P504" i="4" s="1"/>
  <c r="B504" i="4"/>
  <c r="A504" i="4"/>
  <c r="AF503" i="4"/>
  <c r="AE503" i="4"/>
  <c r="AD503" i="4"/>
  <c r="AC503" i="4"/>
  <c r="Y503" i="4"/>
  <c r="X503" i="4"/>
  <c r="W503" i="4"/>
  <c r="V503" i="4"/>
  <c r="U503" i="4"/>
  <c r="Q503" i="4"/>
  <c r="P503" i="4"/>
  <c r="O503" i="4"/>
  <c r="N503" i="4"/>
  <c r="M503" i="4"/>
  <c r="K503" i="4"/>
  <c r="J503" i="4"/>
  <c r="I503" i="4"/>
  <c r="H503" i="4"/>
  <c r="G503" i="4"/>
  <c r="F503" i="4"/>
  <c r="E503" i="4"/>
  <c r="D503" i="4"/>
  <c r="C503" i="4"/>
  <c r="B503" i="4"/>
  <c r="A503" i="4"/>
  <c r="AF502" i="4"/>
  <c r="AE502" i="4"/>
  <c r="AD502" i="4"/>
  <c r="AC502" i="4"/>
  <c r="Z502" i="4"/>
  <c r="AA502" i="4" s="1"/>
  <c r="Y502" i="4"/>
  <c r="X502" i="4"/>
  <c r="W502" i="4"/>
  <c r="V502" i="4"/>
  <c r="U502" i="4"/>
  <c r="R502" i="4"/>
  <c r="S502" i="4" s="1"/>
  <c r="Q502" i="4"/>
  <c r="P502" i="4"/>
  <c r="O502" i="4"/>
  <c r="N502" i="4"/>
  <c r="M502" i="4"/>
  <c r="K502" i="4"/>
  <c r="I502" i="4"/>
  <c r="H502" i="4"/>
  <c r="G502" i="4"/>
  <c r="F502" i="4"/>
  <c r="E502" i="4"/>
  <c r="C502" i="4"/>
  <c r="J502" i="4" s="1"/>
  <c r="B502" i="4"/>
  <c r="A502" i="4"/>
  <c r="AF501" i="4"/>
  <c r="AE501" i="4"/>
  <c r="AD501" i="4"/>
  <c r="AC501" i="4"/>
  <c r="Y501" i="4"/>
  <c r="W501" i="4"/>
  <c r="V501" i="4"/>
  <c r="U501" i="4"/>
  <c r="Q501" i="4"/>
  <c r="O501" i="4"/>
  <c r="N501" i="4"/>
  <c r="M501" i="4"/>
  <c r="I501" i="4"/>
  <c r="H501" i="4"/>
  <c r="G501" i="4"/>
  <c r="F501" i="4"/>
  <c r="E501" i="4"/>
  <c r="C501" i="4"/>
  <c r="B501" i="4"/>
  <c r="A501" i="4"/>
  <c r="AF500" i="4"/>
  <c r="AE500" i="4"/>
  <c r="AD500" i="4"/>
  <c r="AC500" i="4"/>
  <c r="Y500" i="4"/>
  <c r="W500" i="4"/>
  <c r="V500" i="4"/>
  <c r="U500" i="4"/>
  <c r="Q500" i="4"/>
  <c r="P500" i="4"/>
  <c r="O500" i="4"/>
  <c r="N500" i="4"/>
  <c r="M500" i="4"/>
  <c r="I500" i="4"/>
  <c r="H500" i="4"/>
  <c r="G500" i="4"/>
  <c r="F500" i="4"/>
  <c r="E500" i="4"/>
  <c r="D500" i="4"/>
  <c r="C500" i="4"/>
  <c r="B500" i="4"/>
  <c r="A500" i="4"/>
  <c r="AF499" i="4"/>
  <c r="AE499" i="4"/>
  <c r="AD499" i="4"/>
  <c r="AC499" i="4"/>
  <c r="Z499" i="4"/>
  <c r="Y499" i="4"/>
  <c r="X499" i="4"/>
  <c r="W499" i="4"/>
  <c r="V499" i="4"/>
  <c r="U499" i="4"/>
  <c r="S499" i="4"/>
  <c r="R499" i="4"/>
  <c r="Q499" i="4"/>
  <c r="P499" i="4"/>
  <c r="O499" i="4"/>
  <c r="N499" i="4"/>
  <c r="M499" i="4"/>
  <c r="K499" i="4"/>
  <c r="I499" i="4"/>
  <c r="H499" i="4"/>
  <c r="G499" i="4"/>
  <c r="F499" i="4"/>
  <c r="E499" i="4"/>
  <c r="C499" i="4"/>
  <c r="J499" i="4" s="1"/>
  <c r="B499" i="4"/>
  <c r="A499" i="4"/>
  <c r="AF498" i="4"/>
  <c r="AE498" i="4"/>
  <c r="AD498" i="4"/>
  <c r="AC498" i="4"/>
  <c r="Y498" i="4"/>
  <c r="W498" i="4"/>
  <c r="V498" i="4"/>
  <c r="U498" i="4"/>
  <c r="Q498" i="4"/>
  <c r="P498" i="4"/>
  <c r="O498" i="4"/>
  <c r="N498" i="4"/>
  <c r="M498" i="4"/>
  <c r="I498" i="4"/>
  <c r="H498" i="4"/>
  <c r="G498" i="4"/>
  <c r="F498" i="4"/>
  <c r="E498" i="4"/>
  <c r="D498" i="4"/>
  <c r="C498" i="4"/>
  <c r="B498" i="4"/>
  <c r="A498" i="4"/>
  <c r="AF497" i="4"/>
  <c r="AE497" i="4"/>
  <c r="AD497" i="4"/>
  <c r="AC497" i="4"/>
  <c r="Y497" i="4"/>
  <c r="W497" i="4"/>
  <c r="V497" i="4"/>
  <c r="U497" i="4"/>
  <c r="Q497" i="4"/>
  <c r="O497" i="4"/>
  <c r="N497" i="4"/>
  <c r="M497" i="4"/>
  <c r="I497" i="4"/>
  <c r="H497" i="4"/>
  <c r="G497" i="4"/>
  <c r="F497" i="4"/>
  <c r="E497" i="4"/>
  <c r="D497" i="4"/>
  <c r="C497" i="4"/>
  <c r="B497" i="4"/>
  <c r="A497" i="4"/>
  <c r="AF496" i="4"/>
  <c r="AE496" i="4"/>
  <c r="AD496" i="4"/>
  <c r="AC496" i="4"/>
  <c r="Z496" i="4"/>
  <c r="Y496" i="4"/>
  <c r="X496" i="4"/>
  <c r="W496" i="4"/>
  <c r="V496" i="4"/>
  <c r="U496" i="4"/>
  <c r="R496" i="4"/>
  <c r="S496" i="4" s="1"/>
  <c r="Q496" i="4"/>
  <c r="P496" i="4"/>
  <c r="O496" i="4"/>
  <c r="N496" i="4"/>
  <c r="M496" i="4"/>
  <c r="I496" i="4"/>
  <c r="H496" i="4"/>
  <c r="G496" i="4"/>
  <c r="K496" i="4" s="1"/>
  <c r="F496" i="4"/>
  <c r="E496" i="4"/>
  <c r="C496" i="4"/>
  <c r="J496" i="4" s="1"/>
  <c r="B496" i="4"/>
  <c r="A496" i="4"/>
  <c r="AF495" i="4"/>
  <c r="AE495" i="4"/>
  <c r="AD495" i="4"/>
  <c r="AC495" i="4"/>
  <c r="Z495" i="4"/>
  <c r="AA495" i="4" s="1"/>
  <c r="Y495" i="4"/>
  <c r="W495" i="4"/>
  <c r="V495" i="4"/>
  <c r="U495" i="4"/>
  <c r="Q495" i="4"/>
  <c r="P495" i="4"/>
  <c r="O495" i="4"/>
  <c r="N495" i="4"/>
  <c r="M495" i="4"/>
  <c r="I495" i="4"/>
  <c r="H495" i="4"/>
  <c r="G495" i="4"/>
  <c r="F495" i="4"/>
  <c r="E495" i="4"/>
  <c r="C495" i="4"/>
  <c r="B495" i="4"/>
  <c r="A495" i="4"/>
  <c r="AF494" i="4"/>
  <c r="AE494" i="4"/>
  <c r="AD494" i="4"/>
  <c r="AC494" i="4"/>
  <c r="Y494" i="4"/>
  <c r="W494" i="4"/>
  <c r="V494" i="4"/>
  <c r="U494" i="4"/>
  <c r="Q494" i="4"/>
  <c r="O494" i="4"/>
  <c r="N494" i="4"/>
  <c r="M494" i="4"/>
  <c r="I494" i="4"/>
  <c r="H494" i="4"/>
  <c r="G494" i="4"/>
  <c r="F494" i="4"/>
  <c r="E494" i="4"/>
  <c r="D494" i="4"/>
  <c r="C494" i="4"/>
  <c r="B494" i="4"/>
  <c r="A494" i="4"/>
  <c r="AF493" i="4"/>
  <c r="AE493" i="4"/>
  <c r="AD493" i="4"/>
  <c r="AC493" i="4"/>
  <c r="Z493" i="4"/>
  <c r="AA493" i="4" s="1"/>
  <c r="Y493" i="4"/>
  <c r="X493" i="4"/>
  <c r="W493" i="4"/>
  <c r="V493" i="4"/>
  <c r="U493" i="4"/>
  <c r="S493" i="4"/>
  <c r="R493" i="4"/>
  <c r="Q493" i="4"/>
  <c r="O493" i="4"/>
  <c r="N493" i="4"/>
  <c r="M493" i="4"/>
  <c r="I493" i="4"/>
  <c r="H493" i="4"/>
  <c r="G493" i="4"/>
  <c r="F493" i="4"/>
  <c r="E493" i="4"/>
  <c r="C493" i="4"/>
  <c r="P493" i="4" s="1"/>
  <c r="B493" i="4"/>
  <c r="A493" i="4"/>
  <c r="AF492" i="4"/>
  <c r="AE492" i="4"/>
  <c r="AD492" i="4"/>
  <c r="AC492" i="4"/>
  <c r="Y492" i="4"/>
  <c r="W492" i="4"/>
  <c r="V492" i="4"/>
  <c r="U492" i="4"/>
  <c r="Q492" i="4"/>
  <c r="O492" i="4"/>
  <c r="N492" i="4"/>
  <c r="M492" i="4"/>
  <c r="I492" i="4"/>
  <c r="H492" i="4"/>
  <c r="G492" i="4"/>
  <c r="F492" i="4"/>
  <c r="E492" i="4"/>
  <c r="C492" i="4"/>
  <c r="B492" i="4"/>
  <c r="A492" i="4"/>
  <c r="AF491" i="4"/>
  <c r="AE491" i="4"/>
  <c r="AD491" i="4"/>
  <c r="AC491" i="4"/>
  <c r="Y491" i="4"/>
  <c r="W491" i="4"/>
  <c r="V491" i="4"/>
  <c r="U491" i="4"/>
  <c r="Q491" i="4"/>
  <c r="O491" i="4"/>
  <c r="N491" i="4"/>
  <c r="M491" i="4"/>
  <c r="I491" i="4"/>
  <c r="H491" i="4"/>
  <c r="G491" i="4"/>
  <c r="F491" i="4"/>
  <c r="E491" i="4"/>
  <c r="D491" i="4"/>
  <c r="C491" i="4"/>
  <c r="B491" i="4"/>
  <c r="A491" i="4"/>
  <c r="AF490" i="4"/>
  <c r="AE490" i="4"/>
  <c r="AD490" i="4"/>
  <c r="AC490" i="4"/>
  <c r="Z490" i="4"/>
  <c r="Y490" i="4"/>
  <c r="X490" i="4"/>
  <c r="W490" i="4"/>
  <c r="V490" i="4"/>
  <c r="U490" i="4"/>
  <c r="S490" i="4"/>
  <c r="R490" i="4"/>
  <c r="Q490" i="4"/>
  <c r="O490" i="4"/>
  <c r="N490" i="4"/>
  <c r="M490" i="4"/>
  <c r="I490" i="4"/>
  <c r="H490" i="4"/>
  <c r="G490" i="4"/>
  <c r="F490" i="4"/>
  <c r="E490" i="4"/>
  <c r="C490" i="4"/>
  <c r="P490" i="4" s="1"/>
  <c r="B490" i="4"/>
  <c r="A490" i="4"/>
  <c r="AF489" i="4"/>
  <c r="AE489" i="4"/>
  <c r="AD489" i="4"/>
  <c r="AC489" i="4"/>
  <c r="Z489" i="4"/>
  <c r="AA489" i="4" s="1"/>
  <c r="Y489" i="4"/>
  <c r="W489" i="4"/>
  <c r="V489" i="4"/>
  <c r="U489" i="4"/>
  <c r="Q489" i="4"/>
  <c r="P489" i="4"/>
  <c r="O489" i="4"/>
  <c r="N489" i="4"/>
  <c r="M489" i="4"/>
  <c r="I489" i="4"/>
  <c r="H489" i="4"/>
  <c r="G489" i="4"/>
  <c r="F489" i="4"/>
  <c r="E489" i="4"/>
  <c r="C489" i="4"/>
  <c r="B489" i="4"/>
  <c r="A489" i="4"/>
  <c r="AF488" i="4"/>
  <c r="AE488" i="4"/>
  <c r="AD488" i="4"/>
  <c r="AC488" i="4"/>
  <c r="Y488" i="4"/>
  <c r="X488" i="4"/>
  <c r="W488" i="4"/>
  <c r="V488" i="4"/>
  <c r="U488" i="4"/>
  <c r="Q488" i="4"/>
  <c r="O488" i="4"/>
  <c r="N488" i="4"/>
  <c r="M488" i="4"/>
  <c r="J488" i="4"/>
  <c r="K488" i="4" s="1"/>
  <c r="I488" i="4"/>
  <c r="H488" i="4"/>
  <c r="G488" i="4"/>
  <c r="F488" i="4"/>
  <c r="E488" i="4"/>
  <c r="D488" i="4"/>
  <c r="C488" i="4"/>
  <c r="B488" i="4"/>
  <c r="A488" i="4"/>
  <c r="AF487" i="4"/>
  <c r="AE487" i="4"/>
  <c r="AD487" i="4"/>
  <c r="AC487" i="4"/>
  <c r="Z487" i="4"/>
  <c r="Y487" i="4"/>
  <c r="X487" i="4"/>
  <c r="W487" i="4"/>
  <c r="V487" i="4"/>
  <c r="U487" i="4"/>
  <c r="R487" i="4"/>
  <c r="S487" i="4" s="1"/>
  <c r="Q487" i="4"/>
  <c r="O487" i="4"/>
  <c r="N487" i="4"/>
  <c r="M487" i="4"/>
  <c r="I487" i="4"/>
  <c r="H487" i="4"/>
  <c r="G487" i="4"/>
  <c r="F487" i="4"/>
  <c r="E487" i="4"/>
  <c r="C487" i="4"/>
  <c r="P487" i="4" s="1"/>
  <c r="B487" i="4"/>
  <c r="A487" i="4"/>
  <c r="AF486" i="4"/>
  <c r="AE486" i="4"/>
  <c r="AD486" i="4"/>
  <c r="AC486" i="4"/>
  <c r="Z486" i="4"/>
  <c r="AA486" i="4" s="1"/>
  <c r="Y486" i="4"/>
  <c r="W486" i="4"/>
  <c r="V486" i="4"/>
  <c r="U486" i="4"/>
  <c r="Q486" i="4"/>
  <c r="P486" i="4"/>
  <c r="O486" i="4"/>
  <c r="N486" i="4"/>
  <c r="M486" i="4"/>
  <c r="J486" i="4"/>
  <c r="K486" i="4" s="1"/>
  <c r="I486" i="4"/>
  <c r="H486" i="4"/>
  <c r="G486" i="4"/>
  <c r="F486" i="4"/>
  <c r="E486" i="4"/>
  <c r="D486" i="4"/>
  <c r="C486" i="4"/>
  <c r="B486" i="4"/>
  <c r="A486" i="4"/>
  <c r="AF485" i="4"/>
  <c r="AE485" i="4"/>
  <c r="AD485" i="4"/>
  <c r="AC485" i="4"/>
  <c r="Y485" i="4"/>
  <c r="W485" i="4"/>
  <c r="V485" i="4"/>
  <c r="U485" i="4"/>
  <c r="Q485" i="4"/>
  <c r="P485" i="4"/>
  <c r="O485" i="4"/>
  <c r="N485" i="4"/>
  <c r="M485" i="4"/>
  <c r="I485" i="4"/>
  <c r="H485" i="4"/>
  <c r="G485" i="4"/>
  <c r="F485" i="4"/>
  <c r="E485" i="4"/>
  <c r="D485" i="4"/>
  <c r="C485" i="4"/>
  <c r="B485" i="4"/>
  <c r="A485" i="4"/>
  <c r="AF484" i="4"/>
  <c r="AE484" i="4"/>
  <c r="AD484" i="4"/>
  <c r="AC484" i="4"/>
  <c r="Z484" i="4"/>
  <c r="Y484" i="4"/>
  <c r="X484" i="4"/>
  <c r="W484" i="4"/>
  <c r="V484" i="4"/>
  <c r="U484" i="4"/>
  <c r="S484" i="4"/>
  <c r="R484" i="4"/>
  <c r="Q484" i="4"/>
  <c r="O484" i="4"/>
  <c r="N484" i="4"/>
  <c r="M484" i="4"/>
  <c r="I484" i="4"/>
  <c r="H484" i="4"/>
  <c r="G484" i="4"/>
  <c r="F484" i="4"/>
  <c r="E484" i="4"/>
  <c r="C484" i="4"/>
  <c r="P484" i="4" s="1"/>
  <c r="B484" i="4"/>
  <c r="A484" i="4"/>
  <c r="AF483" i="4"/>
  <c r="AE483" i="4"/>
  <c r="AD483" i="4"/>
  <c r="AC483" i="4"/>
  <c r="Z483" i="4"/>
  <c r="AA483" i="4" s="1"/>
  <c r="Y483" i="4"/>
  <c r="W483" i="4"/>
  <c r="V483" i="4"/>
  <c r="U483" i="4"/>
  <c r="Q483" i="4"/>
  <c r="P483" i="4"/>
  <c r="O483" i="4"/>
  <c r="N483" i="4"/>
  <c r="M483" i="4"/>
  <c r="J483" i="4"/>
  <c r="K483" i="4" s="1"/>
  <c r="I483" i="4"/>
  <c r="H483" i="4"/>
  <c r="G483" i="4"/>
  <c r="F483" i="4"/>
  <c r="E483" i="4"/>
  <c r="D483" i="4"/>
  <c r="C483" i="4"/>
  <c r="B483" i="4"/>
  <c r="A483" i="4"/>
  <c r="AF482" i="4"/>
  <c r="AE482" i="4"/>
  <c r="AD482" i="4"/>
  <c r="AC482" i="4"/>
  <c r="Y482" i="4"/>
  <c r="X482" i="4"/>
  <c r="W482" i="4"/>
  <c r="V482" i="4"/>
  <c r="U482" i="4"/>
  <c r="Q482" i="4"/>
  <c r="P482" i="4"/>
  <c r="O482" i="4"/>
  <c r="N482" i="4"/>
  <c r="M482" i="4"/>
  <c r="J482" i="4"/>
  <c r="K482" i="4" s="1"/>
  <c r="I482" i="4"/>
  <c r="H482" i="4"/>
  <c r="G482" i="4"/>
  <c r="F482" i="4"/>
  <c r="E482" i="4"/>
  <c r="D482" i="4"/>
  <c r="C482" i="4"/>
  <c r="B482" i="4"/>
  <c r="A482" i="4"/>
  <c r="AF481" i="4"/>
  <c r="AE481" i="4"/>
  <c r="AD481" i="4"/>
  <c r="AC481" i="4"/>
  <c r="Z481" i="4"/>
  <c r="Y481" i="4"/>
  <c r="X481" i="4"/>
  <c r="W481" i="4"/>
  <c r="V481" i="4"/>
  <c r="U481" i="4"/>
  <c r="R481" i="4"/>
  <c r="S481" i="4" s="1"/>
  <c r="Q481" i="4"/>
  <c r="O481" i="4"/>
  <c r="N481" i="4"/>
  <c r="M481" i="4"/>
  <c r="I481" i="4"/>
  <c r="H481" i="4"/>
  <c r="G481" i="4"/>
  <c r="F481" i="4"/>
  <c r="E481" i="4"/>
  <c r="C481" i="4"/>
  <c r="P481" i="4" s="1"/>
  <c r="B481" i="4"/>
  <c r="A481" i="4"/>
  <c r="AF480" i="4"/>
  <c r="AE480" i="4"/>
  <c r="AD480" i="4"/>
  <c r="AC480" i="4"/>
  <c r="Z480" i="4"/>
  <c r="AA480" i="4" s="1"/>
  <c r="Y480" i="4"/>
  <c r="W480" i="4"/>
  <c r="V480" i="4"/>
  <c r="U480" i="4"/>
  <c r="Q480" i="4"/>
  <c r="P480" i="4"/>
  <c r="O480" i="4"/>
  <c r="N480" i="4"/>
  <c r="M480" i="4"/>
  <c r="J480" i="4"/>
  <c r="K480" i="4" s="1"/>
  <c r="I480" i="4"/>
  <c r="H480" i="4"/>
  <c r="G480" i="4"/>
  <c r="F480" i="4"/>
  <c r="E480" i="4"/>
  <c r="D480" i="4"/>
  <c r="C480" i="4"/>
  <c r="B480" i="4"/>
  <c r="A480" i="4"/>
  <c r="AF479" i="4"/>
  <c r="AE479" i="4"/>
  <c r="AD479" i="4"/>
  <c r="AC479" i="4"/>
  <c r="Y479" i="4"/>
  <c r="X479" i="4"/>
  <c r="W479" i="4"/>
  <c r="V479" i="4"/>
  <c r="U479" i="4"/>
  <c r="Q479" i="4"/>
  <c r="O479" i="4"/>
  <c r="N479" i="4"/>
  <c r="M479" i="4"/>
  <c r="J479" i="4"/>
  <c r="K479" i="4" s="1"/>
  <c r="I479" i="4"/>
  <c r="H479" i="4"/>
  <c r="G479" i="4"/>
  <c r="F479" i="4"/>
  <c r="E479" i="4"/>
  <c r="D479" i="4"/>
  <c r="C479" i="4"/>
  <c r="B479" i="4"/>
  <c r="A479" i="4"/>
  <c r="AF478" i="4"/>
  <c r="AE478" i="4"/>
  <c r="AD478" i="4"/>
  <c r="AC478" i="4"/>
  <c r="Z478" i="4"/>
  <c r="Y478" i="4"/>
  <c r="X478" i="4"/>
  <c r="W478" i="4"/>
  <c r="V478" i="4"/>
  <c r="U478" i="4"/>
  <c r="R478" i="4"/>
  <c r="S478" i="4" s="1"/>
  <c r="Q478" i="4"/>
  <c r="O478" i="4"/>
  <c r="N478" i="4"/>
  <c r="M478" i="4"/>
  <c r="I478" i="4"/>
  <c r="H478" i="4"/>
  <c r="G478" i="4"/>
  <c r="F478" i="4"/>
  <c r="E478" i="4"/>
  <c r="C478" i="4"/>
  <c r="P478" i="4" s="1"/>
  <c r="B478" i="4"/>
  <c r="A478" i="4"/>
  <c r="AF477" i="4"/>
  <c r="AE477" i="4"/>
  <c r="AD477" i="4"/>
  <c r="AC477" i="4"/>
  <c r="Z477" i="4"/>
  <c r="AA477" i="4" s="1"/>
  <c r="Y477" i="4"/>
  <c r="W477" i="4"/>
  <c r="V477" i="4"/>
  <c r="U477" i="4"/>
  <c r="Q477" i="4"/>
  <c r="P477" i="4"/>
  <c r="O477" i="4"/>
  <c r="N477" i="4"/>
  <c r="M477" i="4"/>
  <c r="J477" i="4"/>
  <c r="K477" i="4" s="1"/>
  <c r="I477" i="4"/>
  <c r="H477" i="4"/>
  <c r="G477" i="4"/>
  <c r="F477" i="4"/>
  <c r="E477" i="4"/>
  <c r="D477" i="4"/>
  <c r="C477" i="4"/>
  <c r="B477" i="4"/>
  <c r="A477" i="4"/>
  <c r="AF476" i="4"/>
  <c r="AE476" i="4"/>
  <c r="AD476" i="4"/>
  <c r="AC476" i="4"/>
  <c r="Y476" i="4"/>
  <c r="X476" i="4"/>
  <c r="W476" i="4"/>
  <c r="V476" i="4"/>
  <c r="U476" i="4"/>
  <c r="Q476" i="4"/>
  <c r="P476" i="4"/>
  <c r="O476" i="4"/>
  <c r="N476" i="4"/>
  <c r="M476" i="4"/>
  <c r="J476" i="4"/>
  <c r="K476" i="4" s="1"/>
  <c r="I476" i="4"/>
  <c r="H476" i="4"/>
  <c r="G476" i="4"/>
  <c r="F476" i="4"/>
  <c r="E476" i="4"/>
  <c r="D476" i="4"/>
  <c r="C476" i="4"/>
  <c r="B476" i="4"/>
  <c r="A476" i="4"/>
  <c r="AF475" i="4"/>
  <c r="AE475" i="4"/>
  <c r="AD475" i="4"/>
  <c r="AC475" i="4"/>
  <c r="Z475" i="4"/>
  <c r="Y475" i="4"/>
  <c r="X475" i="4"/>
  <c r="W475" i="4"/>
  <c r="V475" i="4"/>
  <c r="U475" i="4"/>
  <c r="S475" i="4"/>
  <c r="R475" i="4"/>
  <c r="Q475" i="4"/>
  <c r="O475" i="4"/>
  <c r="N475" i="4"/>
  <c r="M475" i="4"/>
  <c r="I475" i="4"/>
  <c r="H475" i="4"/>
  <c r="G475" i="4"/>
  <c r="F475" i="4"/>
  <c r="E475" i="4"/>
  <c r="C475" i="4"/>
  <c r="P475" i="4" s="1"/>
  <c r="B475" i="4"/>
  <c r="A475" i="4"/>
  <c r="AF474" i="4"/>
  <c r="AE474" i="4"/>
  <c r="AD474" i="4"/>
  <c r="AC474" i="4"/>
  <c r="Z474" i="4"/>
  <c r="AA474" i="4" s="1"/>
  <c r="Y474" i="4"/>
  <c r="W474" i="4"/>
  <c r="V474" i="4"/>
  <c r="U474" i="4"/>
  <c r="Q474" i="4"/>
  <c r="P474" i="4"/>
  <c r="O474" i="4"/>
  <c r="N474" i="4"/>
  <c r="M474" i="4"/>
  <c r="J474" i="4"/>
  <c r="K474" i="4" s="1"/>
  <c r="I474" i="4"/>
  <c r="H474" i="4"/>
  <c r="G474" i="4"/>
  <c r="F474" i="4"/>
  <c r="E474" i="4"/>
  <c r="D474" i="4"/>
  <c r="C474" i="4"/>
  <c r="B474" i="4"/>
  <c r="A474" i="4"/>
  <c r="AF473" i="4"/>
  <c r="AE473" i="4"/>
  <c r="AD473" i="4"/>
  <c r="AC473" i="4"/>
  <c r="Y473" i="4"/>
  <c r="X473" i="4"/>
  <c r="W473" i="4"/>
  <c r="V473" i="4"/>
  <c r="U473" i="4"/>
  <c r="Q473" i="4"/>
  <c r="P473" i="4"/>
  <c r="O473" i="4"/>
  <c r="N473" i="4"/>
  <c r="M473" i="4"/>
  <c r="J473" i="4"/>
  <c r="K473" i="4" s="1"/>
  <c r="I473" i="4"/>
  <c r="H473" i="4"/>
  <c r="G473" i="4"/>
  <c r="F473" i="4"/>
  <c r="E473" i="4"/>
  <c r="D473" i="4"/>
  <c r="C473" i="4"/>
  <c r="B473" i="4"/>
  <c r="A473" i="4"/>
  <c r="AF472" i="4"/>
  <c r="AE472" i="4"/>
  <c r="AD472" i="4"/>
  <c r="AC472" i="4"/>
  <c r="Z472" i="4"/>
  <c r="Y472" i="4"/>
  <c r="X472" i="4"/>
  <c r="W472" i="4"/>
  <c r="V472" i="4"/>
  <c r="U472" i="4"/>
  <c r="S472" i="4"/>
  <c r="R472" i="4"/>
  <c r="Q472" i="4"/>
  <c r="O472" i="4"/>
  <c r="N472" i="4"/>
  <c r="M472" i="4"/>
  <c r="I472" i="4"/>
  <c r="H472" i="4"/>
  <c r="G472" i="4"/>
  <c r="F472" i="4"/>
  <c r="E472" i="4"/>
  <c r="C472" i="4"/>
  <c r="P472" i="4" s="1"/>
  <c r="B472" i="4"/>
  <c r="A472" i="4"/>
  <c r="AF471" i="4"/>
  <c r="AE471" i="4"/>
  <c r="AD471" i="4"/>
  <c r="AC471" i="4"/>
  <c r="Z471" i="4"/>
  <c r="AA471" i="4" s="1"/>
  <c r="Y471" i="4"/>
  <c r="W471" i="4"/>
  <c r="V471" i="4"/>
  <c r="U471" i="4"/>
  <c r="Q471" i="4"/>
  <c r="P471" i="4"/>
  <c r="O471" i="4"/>
  <c r="N471" i="4"/>
  <c r="M471" i="4"/>
  <c r="J471" i="4"/>
  <c r="K471" i="4" s="1"/>
  <c r="I471" i="4"/>
  <c r="H471" i="4"/>
  <c r="G471" i="4"/>
  <c r="F471" i="4"/>
  <c r="E471" i="4"/>
  <c r="D471" i="4"/>
  <c r="C471" i="4"/>
  <c r="B471" i="4"/>
  <c r="A471" i="4"/>
  <c r="AF470" i="4"/>
  <c r="AE470" i="4"/>
  <c r="AD470" i="4"/>
  <c r="AC470" i="4"/>
  <c r="Y470" i="4"/>
  <c r="X470" i="4"/>
  <c r="W470" i="4"/>
  <c r="V470" i="4"/>
  <c r="U470" i="4"/>
  <c r="Q470" i="4"/>
  <c r="O470" i="4"/>
  <c r="N470" i="4"/>
  <c r="M470" i="4"/>
  <c r="J470" i="4"/>
  <c r="K470" i="4" s="1"/>
  <c r="I470" i="4"/>
  <c r="H470" i="4"/>
  <c r="G470" i="4"/>
  <c r="F470" i="4"/>
  <c r="E470" i="4"/>
  <c r="D470" i="4"/>
  <c r="C470" i="4"/>
  <c r="B470" i="4"/>
  <c r="A470" i="4"/>
  <c r="AF469" i="4"/>
  <c r="AE469" i="4"/>
  <c r="AD469" i="4"/>
  <c r="AC469" i="4"/>
  <c r="Z469" i="4"/>
  <c r="Y469" i="4"/>
  <c r="X469" i="4"/>
  <c r="W469" i="4"/>
  <c r="V469" i="4"/>
  <c r="U469" i="4"/>
  <c r="R469" i="4"/>
  <c r="S469" i="4" s="1"/>
  <c r="Q469" i="4"/>
  <c r="O469" i="4"/>
  <c r="N469" i="4"/>
  <c r="M469" i="4"/>
  <c r="I469" i="4"/>
  <c r="H469" i="4"/>
  <c r="G469" i="4"/>
  <c r="F469" i="4"/>
  <c r="E469" i="4"/>
  <c r="C469" i="4"/>
  <c r="P469" i="4" s="1"/>
  <c r="B469" i="4"/>
  <c r="A469" i="4"/>
  <c r="AF468" i="4"/>
  <c r="AE468" i="4"/>
  <c r="AD468" i="4"/>
  <c r="AC468" i="4"/>
  <c r="Z468" i="4"/>
  <c r="AA468" i="4" s="1"/>
  <c r="Y468" i="4"/>
  <c r="W468" i="4"/>
  <c r="V468" i="4"/>
  <c r="U468" i="4"/>
  <c r="Q468" i="4"/>
  <c r="P468" i="4"/>
  <c r="O468" i="4"/>
  <c r="N468" i="4"/>
  <c r="M468" i="4"/>
  <c r="J468" i="4"/>
  <c r="K468" i="4" s="1"/>
  <c r="I468" i="4"/>
  <c r="H468" i="4"/>
  <c r="G468" i="4"/>
  <c r="F468" i="4"/>
  <c r="E468" i="4"/>
  <c r="D468" i="4"/>
  <c r="C468" i="4"/>
  <c r="B468" i="4"/>
  <c r="A468" i="4"/>
  <c r="AF467" i="4"/>
  <c r="AE467" i="4"/>
  <c r="AD467" i="4"/>
  <c r="AC467" i="4"/>
  <c r="Y467" i="4"/>
  <c r="W467" i="4"/>
  <c r="V467" i="4"/>
  <c r="U467" i="4"/>
  <c r="Q467" i="4"/>
  <c r="O467" i="4"/>
  <c r="N467" i="4"/>
  <c r="M467" i="4"/>
  <c r="J467" i="4"/>
  <c r="K467" i="4" s="1"/>
  <c r="I467" i="4"/>
  <c r="H467" i="4"/>
  <c r="G467" i="4"/>
  <c r="F467" i="4"/>
  <c r="E467" i="4"/>
  <c r="D467" i="4"/>
  <c r="C467" i="4"/>
  <c r="P467" i="4" s="1"/>
  <c r="B467" i="4"/>
  <c r="A467" i="4"/>
  <c r="AF466" i="4"/>
  <c r="AE466" i="4"/>
  <c r="AD466" i="4"/>
  <c r="AC466" i="4"/>
  <c r="Z466" i="4"/>
  <c r="Y466" i="4"/>
  <c r="X466" i="4"/>
  <c r="W466" i="4"/>
  <c r="V466" i="4"/>
  <c r="U466" i="4"/>
  <c r="S466" i="4"/>
  <c r="R466" i="4"/>
  <c r="Q466" i="4"/>
  <c r="O466" i="4"/>
  <c r="N466" i="4"/>
  <c r="M466" i="4"/>
  <c r="I466" i="4"/>
  <c r="H466" i="4"/>
  <c r="G466" i="4"/>
  <c r="F466" i="4"/>
  <c r="E466" i="4"/>
  <c r="C466" i="4"/>
  <c r="P466" i="4" s="1"/>
  <c r="B466" i="4"/>
  <c r="A466" i="4"/>
  <c r="AF465" i="4"/>
  <c r="AE465" i="4"/>
  <c r="AD465" i="4"/>
  <c r="AC465" i="4"/>
  <c r="Z465" i="4"/>
  <c r="AA465" i="4" s="1"/>
  <c r="Y465" i="4"/>
  <c r="W465" i="4"/>
  <c r="V465" i="4"/>
  <c r="U465" i="4"/>
  <c r="Q465" i="4"/>
  <c r="P465" i="4"/>
  <c r="O465" i="4"/>
  <c r="N465" i="4"/>
  <c r="M465" i="4"/>
  <c r="J465" i="4"/>
  <c r="K465" i="4" s="1"/>
  <c r="I465" i="4"/>
  <c r="H465" i="4"/>
  <c r="G465" i="4"/>
  <c r="F465" i="4"/>
  <c r="E465" i="4"/>
  <c r="D465" i="4"/>
  <c r="C465" i="4"/>
  <c r="B465" i="4"/>
  <c r="A465" i="4"/>
  <c r="AF464" i="4"/>
  <c r="AE464" i="4"/>
  <c r="AD464" i="4"/>
  <c r="AC464" i="4"/>
  <c r="Y464" i="4"/>
  <c r="X464" i="4"/>
  <c r="W464" i="4"/>
  <c r="V464" i="4"/>
  <c r="U464" i="4"/>
  <c r="Q464" i="4"/>
  <c r="P464" i="4"/>
  <c r="O464" i="4"/>
  <c r="N464" i="4"/>
  <c r="M464" i="4"/>
  <c r="J464" i="4"/>
  <c r="K464" i="4" s="1"/>
  <c r="I464" i="4"/>
  <c r="H464" i="4"/>
  <c r="G464" i="4"/>
  <c r="F464" i="4"/>
  <c r="E464" i="4"/>
  <c r="D464" i="4"/>
  <c r="C464" i="4"/>
  <c r="B464" i="4"/>
  <c r="A464" i="4"/>
  <c r="AF463" i="4"/>
  <c r="AE463" i="4"/>
  <c r="AD463" i="4"/>
  <c r="AC463" i="4"/>
  <c r="Z463" i="4"/>
  <c r="Y463" i="4"/>
  <c r="X463" i="4"/>
  <c r="W463" i="4"/>
  <c r="V463" i="4"/>
  <c r="U463" i="4"/>
  <c r="R463" i="4"/>
  <c r="S463" i="4" s="1"/>
  <c r="Q463" i="4"/>
  <c r="O463" i="4"/>
  <c r="N463" i="4"/>
  <c r="M463" i="4"/>
  <c r="I463" i="4"/>
  <c r="H463" i="4"/>
  <c r="G463" i="4"/>
  <c r="F463" i="4"/>
  <c r="E463" i="4"/>
  <c r="C463" i="4"/>
  <c r="P463" i="4" s="1"/>
  <c r="B463" i="4"/>
  <c r="A463" i="4"/>
  <c r="AF462" i="4"/>
  <c r="AE462" i="4"/>
  <c r="AD462" i="4"/>
  <c r="AC462" i="4"/>
  <c r="Z462" i="4"/>
  <c r="AA462" i="4" s="1"/>
  <c r="Y462" i="4"/>
  <c r="W462" i="4"/>
  <c r="V462" i="4"/>
  <c r="U462" i="4"/>
  <c r="Q462" i="4"/>
  <c r="P462" i="4"/>
  <c r="O462" i="4"/>
  <c r="N462" i="4"/>
  <c r="M462" i="4"/>
  <c r="J462" i="4"/>
  <c r="K462" i="4" s="1"/>
  <c r="I462" i="4"/>
  <c r="H462" i="4"/>
  <c r="G462" i="4"/>
  <c r="F462" i="4"/>
  <c r="E462" i="4"/>
  <c r="D462" i="4"/>
  <c r="C462" i="4"/>
  <c r="B462" i="4"/>
  <c r="A462" i="4"/>
  <c r="AF461" i="4"/>
  <c r="AE461" i="4"/>
  <c r="AD461" i="4"/>
  <c r="AC461" i="4"/>
  <c r="Y461" i="4"/>
  <c r="X461" i="4"/>
  <c r="W461" i="4"/>
  <c r="V461" i="4"/>
  <c r="U461" i="4"/>
  <c r="Q461" i="4"/>
  <c r="O461" i="4"/>
  <c r="N461" i="4"/>
  <c r="M461" i="4"/>
  <c r="J461" i="4"/>
  <c r="K461" i="4" s="1"/>
  <c r="I461" i="4"/>
  <c r="H461" i="4"/>
  <c r="G461" i="4"/>
  <c r="F461" i="4"/>
  <c r="E461" i="4"/>
  <c r="D461" i="4"/>
  <c r="C461" i="4"/>
  <c r="B461" i="4"/>
  <c r="A461" i="4"/>
  <c r="AF460" i="4"/>
  <c r="AE460" i="4"/>
  <c r="AD460" i="4"/>
  <c r="AC460" i="4"/>
  <c r="Z460" i="4"/>
  <c r="Y460" i="4"/>
  <c r="X460" i="4"/>
  <c r="W460" i="4"/>
  <c r="V460" i="4"/>
  <c r="U460" i="4"/>
  <c r="R460" i="4"/>
  <c r="S460" i="4" s="1"/>
  <c r="Q460" i="4"/>
  <c r="O460" i="4"/>
  <c r="N460" i="4"/>
  <c r="M460" i="4"/>
  <c r="I460" i="4"/>
  <c r="H460" i="4"/>
  <c r="G460" i="4"/>
  <c r="F460" i="4"/>
  <c r="E460" i="4"/>
  <c r="C460" i="4"/>
  <c r="P460" i="4" s="1"/>
  <c r="B460" i="4"/>
  <c r="A460" i="4"/>
  <c r="AF459" i="4"/>
  <c r="AE459" i="4"/>
  <c r="AD459" i="4"/>
  <c r="AC459" i="4"/>
  <c r="Z459" i="4"/>
  <c r="AA459" i="4" s="1"/>
  <c r="Y459" i="4"/>
  <c r="W459" i="4"/>
  <c r="V459" i="4"/>
  <c r="U459" i="4"/>
  <c r="Q459" i="4"/>
  <c r="P459" i="4"/>
  <c r="O459" i="4"/>
  <c r="N459" i="4"/>
  <c r="M459" i="4"/>
  <c r="J459" i="4"/>
  <c r="K459" i="4" s="1"/>
  <c r="I459" i="4"/>
  <c r="H459" i="4"/>
  <c r="G459" i="4"/>
  <c r="F459" i="4"/>
  <c r="E459" i="4"/>
  <c r="D459" i="4"/>
  <c r="C459" i="4"/>
  <c r="B459" i="4"/>
  <c r="A459" i="4"/>
  <c r="AF458" i="4"/>
  <c r="AE458" i="4"/>
  <c r="AD458" i="4"/>
  <c r="AC458" i="4"/>
  <c r="Y458" i="4"/>
  <c r="W458" i="4"/>
  <c r="V458" i="4"/>
  <c r="U458" i="4"/>
  <c r="Q458" i="4"/>
  <c r="P458" i="4"/>
  <c r="O458" i="4"/>
  <c r="N458" i="4"/>
  <c r="M458" i="4"/>
  <c r="I458" i="4"/>
  <c r="H458" i="4"/>
  <c r="G458" i="4"/>
  <c r="F458" i="4"/>
  <c r="E458" i="4"/>
  <c r="D458" i="4"/>
  <c r="C458" i="4"/>
  <c r="B458" i="4"/>
  <c r="A458" i="4"/>
  <c r="AF457" i="4"/>
  <c r="AE457" i="4"/>
  <c r="AD457" i="4"/>
  <c r="AC457" i="4"/>
  <c r="Z457" i="4"/>
  <c r="Y457" i="4"/>
  <c r="X457" i="4"/>
  <c r="W457" i="4"/>
  <c r="V457" i="4"/>
  <c r="U457" i="4"/>
  <c r="S457" i="4"/>
  <c r="R457" i="4"/>
  <c r="Q457" i="4"/>
  <c r="O457" i="4"/>
  <c r="N457" i="4"/>
  <c r="M457" i="4"/>
  <c r="I457" i="4"/>
  <c r="H457" i="4"/>
  <c r="G457" i="4"/>
  <c r="F457" i="4"/>
  <c r="E457" i="4"/>
  <c r="C457" i="4"/>
  <c r="P457" i="4" s="1"/>
  <c r="B457" i="4"/>
  <c r="A457" i="4"/>
  <c r="AF456" i="4"/>
  <c r="AE456" i="4"/>
  <c r="AD456" i="4"/>
  <c r="AC456" i="4"/>
  <c r="Z456" i="4"/>
  <c r="AA456" i="4" s="1"/>
  <c r="Y456" i="4"/>
  <c r="W456" i="4"/>
  <c r="V456" i="4"/>
  <c r="U456" i="4"/>
  <c r="Q456" i="4"/>
  <c r="O456" i="4"/>
  <c r="N456" i="4"/>
  <c r="M456" i="4"/>
  <c r="J456" i="4"/>
  <c r="I456" i="4"/>
  <c r="H456" i="4"/>
  <c r="G456" i="4"/>
  <c r="F456" i="4"/>
  <c r="E456" i="4"/>
  <c r="D456" i="4"/>
  <c r="C456" i="4"/>
  <c r="P456" i="4" s="1"/>
  <c r="B456" i="4"/>
  <c r="A456" i="4"/>
  <c r="AF455" i="4"/>
  <c r="AE455" i="4"/>
  <c r="AD455" i="4"/>
  <c r="AC455" i="4"/>
  <c r="Y455" i="4"/>
  <c r="X455" i="4"/>
  <c r="W455" i="4"/>
  <c r="V455" i="4"/>
  <c r="U455" i="4"/>
  <c r="Q455" i="4"/>
  <c r="P455" i="4"/>
  <c r="O455" i="4"/>
  <c r="N455" i="4"/>
  <c r="M455" i="4"/>
  <c r="K455" i="4"/>
  <c r="J455" i="4"/>
  <c r="I455" i="4"/>
  <c r="H455" i="4"/>
  <c r="G455" i="4"/>
  <c r="F455" i="4"/>
  <c r="E455" i="4"/>
  <c r="D455" i="4"/>
  <c r="C455" i="4"/>
  <c r="B455" i="4"/>
  <c r="A455" i="4"/>
  <c r="AF454" i="4"/>
  <c r="AE454" i="4"/>
  <c r="AD454" i="4"/>
  <c r="AC454" i="4"/>
  <c r="Z454" i="4"/>
  <c r="Y454" i="4"/>
  <c r="X454" i="4"/>
  <c r="W454" i="4"/>
  <c r="V454" i="4"/>
  <c r="U454" i="4"/>
  <c r="R454" i="4"/>
  <c r="S454" i="4" s="1"/>
  <c r="Q454" i="4"/>
  <c r="O454" i="4"/>
  <c r="N454" i="4"/>
  <c r="M454" i="4"/>
  <c r="I454" i="4"/>
  <c r="H454" i="4"/>
  <c r="G454" i="4"/>
  <c r="F454" i="4"/>
  <c r="E454" i="4"/>
  <c r="C454" i="4"/>
  <c r="P454" i="4" s="1"/>
  <c r="B454" i="4"/>
  <c r="A454" i="4"/>
  <c r="AF453" i="4"/>
  <c r="AE453" i="4"/>
  <c r="AD453" i="4"/>
  <c r="AC453" i="4"/>
  <c r="Z453" i="4"/>
  <c r="AA453" i="4" s="1"/>
  <c r="Y453" i="4"/>
  <c r="W453" i="4"/>
  <c r="V453" i="4"/>
  <c r="U453" i="4"/>
  <c r="Q453" i="4"/>
  <c r="O453" i="4"/>
  <c r="N453" i="4"/>
  <c r="M453" i="4"/>
  <c r="J453" i="4"/>
  <c r="I453" i="4"/>
  <c r="H453" i="4"/>
  <c r="G453" i="4"/>
  <c r="F453" i="4"/>
  <c r="E453" i="4"/>
  <c r="D453" i="4"/>
  <c r="C453" i="4"/>
  <c r="P453" i="4" s="1"/>
  <c r="B453" i="4"/>
  <c r="A453" i="4"/>
  <c r="AF452" i="4"/>
  <c r="AE452" i="4"/>
  <c r="AD452" i="4"/>
  <c r="AC452" i="4"/>
  <c r="Y452" i="4"/>
  <c r="W452" i="4"/>
  <c r="V452" i="4"/>
  <c r="U452" i="4"/>
  <c r="Q452" i="4"/>
  <c r="P452" i="4"/>
  <c r="O452" i="4"/>
  <c r="N452" i="4"/>
  <c r="M452" i="4"/>
  <c r="J452" i="4"/>
  <c r="K452" i="4" s="1"/>
  <c r="I452" i="4"/>
  <c r="H452" i="4"/>
  <c r="G452" i="4"/>
  <c r="F452" i="4"/>
  <c r="E452" i="4"/>
  <c r="D452" i="4"/>
  <c r="C452" i="4"/>
  <c r="X452" i="4" s="1"/>
  <c r="B452" i="4"/>
  <c r="A452" i="4"/>
  <c r="AF451" i="4"/>
  <c r="AE451" i="4"/>
  <c r="AD451" i="4"/>
  <c r="AC451" i="4"/>
  <c r="Z451" i="4"/>
  <c r="Y451" i="4"/>
  <c r="X451" i="4"/>
  <c r="W451" i="4"/>
  <c r="V451" i="4"/>
  <c r="U451" i="4"/>
  <c r="R451" i="4"/>
  <c r="S451" i="4" s="1"/>
  <c r="Q451" i="4"/>
  <c r="O451" i="4"/>
  <c r="N451" i="4"/>
  <c r="M451" i="4"/>
  <c r="I451" i="4"/>
  <c r="H451" i="4"/>
  <c r="G451" i="4"/>
  <c r="F451" i="4"/>
  <c r="E451" i="4"/>
  <c r="C451" i="4"/>
  <c r="P451" i="4" s="1"/>
  <c r="B451" i="4"/>
  <c r="A451" i="4"/>
  <c r="AF450" i="4"/>
  <c r="AE450" i="4"/>
  <c r="AD450" i="4"/>
  <c r="AC450" i="4"/>
  <c r="Z450" i="4"/>
  <c r="AA450" i="4" s="1"/>
  <c r="Y450" i="4"/>
  <c r="W450" i="4"/>
  <c r="V450" i="4"/>
  <c r="U450" i="4"/>
  <c r="Q450" i="4"/>
  <c r="O450" i="4"/>
  <c r="N450" i="4"/>
  <c r="M450" i="4"/>
  <c r="J450" i="4"/>
  <c r="K450" i="4" s="1"/>
  <c r="I450" i="4"/>
  <c r="H450" i="4"/>
  <c r="G450" i="4"/>
  <c r="F450" i="4"/>
  <c r="E450" i="4"/>
  <c r="D450" i="4"/>
  <c r="C450" i="4"/>
  <c r="P450" i="4" s="1"/>
  <c r="B450" i="4"/>
  <c r="A450" i="4"/>
  <c r="AF449" i="4"/>
  <c r="AE449" i="4"/>
  <c r="AD449" i="4"/>
  <c r="AC449" i="4"/>
  <c r="Y449" i="4"/>
  <c r="W449" i="4"/>
  <c r="V449" i="4"/>
  <c r="U449" i="4"/>
  <c r="Q449" i="4"/>
  <c r="O449" i="4"/>
  <c r="N449" i="4"/>
  <c r="M449" i="4"/>
  <c r="I449" i="4"/>
  <c r="H449" i="4"/>
  <c r="G449" i="4"/>
  <c r="F449" i="4"/>
  <c r="E449" i="4"/>
  <c r="C449" i="4"/>
  <c r="B449" i="4"/>
  <c r="A449" i="4"/>
  <c r="AF448" i="4"/>
  <c r="AE448" i="4"/>
  <c r="AD448" i="4"/>
  <c r="AC448" i="4"/>
  <c r="Z448" i="4"/>
  <c r="Y448" i="4"/>
  <c r="X448" i="4"/>
  <c r="W448" i="4"/>
  <c r="V448" i="4"/>
  <c r="U448" i="4"/>
  <c r="R448" i="4"/>
  <c r="S448" i="4" s="1"/>
  <c r="Q448" i="4"/>
  <c r="O448" i="4"/>
  <c r="N448" i="4"/>
  <c r="M448" i="4"/>
  <c r="I448" i="4"/>
  <c r="H448" i="4"/>
  <c r="G448" i="4"/>
  <c r="F448" i="4"/>
  <c r="E448" i="4"/>
  <c r="C448" i="4"/>
  <c r="P448" i="4" s="1"/>
  <c r="B448" i="4"/>
  <c r="A448" i="4"/>
  <c r="AF447" i="4"/>
  <c r="AE447" i="4"/>
  <c r="AD447" i="4"/>
  <c r="AC447" i="4"/>
  <c r="AA447" i="4"/>
  <c r="Z447" i="4"/>
  <c r="Y447" i="4"/>
  <c r="W447" i="4"/>
  <c r="V447" i="4"/>
  <c r="U447" i="4"/>
  <c r="Q447" i="4"/>
  <c r="O447" i="4"/>
  <c r="N447" i="4"/>
  <c r="M447" i="4"/>
  <c r="J447" i="4"/>
  <c r="K447" i="4" s="1"/>
  <c r="I447" i="4"/>
  <c r="H447" i="4"/>
  <c r="G447" i="4"/>
  <c r="F447" i="4"/>
  <c r="E447" i="4"/>
  <c r="D447" i="4"/>
  <c r="C447" i="4"/>
  <c r="P447" i="4" s="1"/>
  <c r="B447" i="4"/>
  <c r="A447" i="4"/>
  <c r="AF446" i="4"/>
  <c r="AE446" i="4"/>
  <c r="AD446" i="4"/>
  <c r="AC446" i="4"/>
  <c r="Y446" i="4"/>
  <c r="X446" i="4"/>
  <c r="W446" i="4"/>
  <c r="AA446" i="4" s="1"/>
  <c r="V446" i="4"/>
  <c r="U446" i="4"/>
  <c r="R446" i="4"/>
  <c r="S446" i="4" s="1"/>
  <c r="Q446" i="4"/>
  <c r="P446" i="4"/>
  <c r="O446" i="4"/>
  <c r="N446" i="4"/>
  <c r="M446" i="4"/>
  <c r="J446" i="4"/>
  <c r="K446" i="4" s="1"/>
  <c r="I446" i="4"/>
  <c r="H446" i="4"/>
  <c r="G446" i="4"/>
  <c r="F446" i="4"/>
  <c r="E446" i="4"/>
  <c r="C446" i="4"/>
  <c r="Z446" i="4" s="1"/>
  <c r="B446" i="4"/>
  <c r="A446" i="4"/>
  <c r="AF445" i="4"/>
  <c r="AE445" i="4"/>
  <c r="AD445" i="4"/>
  <c r="AC445" i="4"/>
  <c r="Y445" i="4"/>
  <c r="X445" i="4"/>
  <c r="W445" i="4"/>
  <c r="V445" i="4"/>
  <c r="U445" i="4"/>
  <c r="Q445" i="4"/>
  <c r="O445" i="4"/>
  <c r="N445" i="4"/>
  <c r="M445" i="4"/>
  <c r="I445" i="4"/>
  <c r="H445" i="4"/>
  <c r="G445" i="4"/>
  <c r="F445" i="4"/>
  <c r="E445" i="4"/>
  <c r="C445" i="4"/>
  <c r="B445" i="4"/>
  <c r="A445" i="4"/>
  <c r="AF444" i="4"/>
  <c r="AE444" i="4"/>
  <c r="AD444" i="4"/>
  <c r="AC444" i="4"/>
  <c r="Z444" i="4"/>
  <c r="Y444" i="4"/>
  <c r="W444" i="4"/>
  <c r="V444" i="4"/>
  <c r="U444" i="4"/>
  <c r="Q444" i="4"/>
  <c r="P444" i="4"/>
  <c r="O444" i="4"/>
  <c r="N444" i="4"/>
  <c r="M444" i="4"/>
  <c r="K444" i="4"/>
  <c r="J444" i="4"/>
  <c r="I444" i="4"/>
  <c r="H444" i="4"/>
  <c r="G444" i="4"/>
  <c r="F444" i="4"/>
  <c r="E444" i="4"/>
  <c r="C444" i="4"/>
  <c r="B444" i="4"/>
  <c r="A444" i="4"/>
  <c r="AF443" i="4"/>
  <c r="AE443" i="4"/>
  <c r="AD443" i="4"/>
  <c r="AC443" i="4"/>
  <c r="Y443" i="4"/>
  <c r="W443" i="4"/>
  <c r="V443" i="4"/>
  <c r="U443" i="4"/>
  <c r="R443" i="4"/>
  <c r="S443" i="4" s="1"/>
  <c r="Q443" i="4"/>
  <c r="O443" i="4"/>
  <c r="N443" i="4"/>
  <c r="M443" i="4"/>
  <c r="I443" i="4"/>
  <c r="H443" i="4"/>
  <c r="G443" i="4"/>
  <c r="F443" i="4"/>
  <c r="E443" i="4"/>
  <c r="D443" i="4"/>
  <c r="C443" i="4"/>
  <c r="B443" i="4"/>
  <c r="A443" i="4"/>
  <c r="AF442" i="4"/>
  <c r="AE442" i="4"/>
  <c r="AD442" i="4"/>
  <c r="AC442" i="4"/>
  <c r="Y442" i="4"/>
  <c r="W442" i="4"/>
  <c r="V442" i="4"/>
  <c r="U442" i="4"/>
  <c r="Q442" i="4"/>
  <c r="O442" i="4"/>
  <c r="N442" i="4"/>
  <c r="M442" i="4"/>
  <c r="I442" i="4"/>
  <c r="H442" i="4"/>
  <c r="G442" i="4"/>
  <c r="F442" i="4"/>
  <c r="E442" i="4"/>
  <c r="C442" i="4"/>
  <c r="J442" i="4" s="1"/>
  <c r="K442" i="4" s="1"/>
  <c r="B442" i="4"/>
  <c r="A442" i="4"/>
  <c r="AF441" i="4"/>
  <c r="AE441" i="4"/>
  <c r="AD441" i="4"/>
  <c r="AC441" i="4"/>
  <c r="Y441" i="4"/>
  <c r="W441" i="4"/>
  <c r="V441" i="4"/>
  <c r="U441" i="4"/>
  <c r="Q441" i="4"/>
  <c r="O441" i="4"/>
  <c r="N441" i="4"/>
  <c r="M441" i="4"/>
  <c r="I441" i="4"/>
  <c r="H441" i="4"/>
  <c r="G441" i="4"/>
  <c r="F441" i="4"/>
  <c r="E441" i="4"/>
  <c r="D441" i="4"/>
  <c r="C441" i="4"/>
  <c r="B441" i="4"/>
  <c r="A441" i="4"/>
  <c r="AF440" i="4"/>
  <c r="AE440" i="4"/>
  <c r="AD440" i="4"/>
  <c r="AC440" i="4"/>
  <c r="Y440" i="4"/>
  <c r="X440" i="4"/>
  <c r="W440" i="4"/>
  <c r="V440" i="4"/>
  <c r="U440" i="4"/>
  <c r="Q440" i="4"/>
  <c r="O440" i="4"/>
  <c r="N440" i="4"/>
  <c r="M440" i="4"/>
  <c r="K440" i="4"/>
  <c r="J440" i="4"/>
  <c r="I440" i="4"/>
  <c r="H440" i="4"/>
  <c r="G440" i="4"/>
  <c r="F440" i="4"/>
  <c r="E440" i="4"/>
  <c r="D440" i="4"/>
  <c r="C440" i="4"/>
  <c r="B440" i="4"/>
  <c r="A440" i="4"/>
  <c r="AF439" i="4"/>
  <c r="AE439" i="4"/>
  <c r="AD439" i="4"/>
  <c r="AC439" i="4"/>
  <c r="Y439" i="4"/>
  <c r="W439" i="4"/>
  <c r="V439" i="4"/>
  <c r="U439" i="4"/>
  <c r="R439" i="4"/>
  <c r="S439" i="4" s="1"/>
  <c r="Q439" i="4"/>
  <c r="O439" i="4"/>
  <c r="N439" i="4"/>
  <c r="M439" i="4"/>
  <c r="J439" i="4"/>
  <c r="K439" i="4" s="1"/>
  <c r="I439" i="4"/>
  <c r="H439" i="4"/>
  <c r="G439" i="4"/>
  <c r="F439" i="4"/>
  <c r="E439" i="4"/>
  <c r="C439" i="4"/>
  <c r="B439" i="4"/>
  <c r="A439" i="4"/>
  <c r="AF438" i="4"/>
  <c r="AE438" i="4"/>
  <c r="AD438" i="4"/>
  <c r="AC438" i="4"/>
  <c r="Y438" i="4"/>
  <c r="W438" i="4"/>
  <c r="V438" i="4"/>
  <c r="U438" i="4"/>
  <c r="Q438" i="4"/>
  <c r="O438" i="4"/>
  <c r="N438" i="4"/>
  <c r="M438" i="4"/>
  <c r="K438" i="4"/>
  <c r="J438" i="4"/>
  <c r="I438" i="4"/>
  <c r="H438" i="4"/>
  <c r="G438" i="4"/>
  <c r="F438" i="4"/>
  <c r="E438" i="4"/>
  <c r="C438" i="4"/>
  <c r="B438" i="4"/>
  <c r="A438" i="4"/>
  <c r="AF437" i="4"/>
  <c r="AE437" i="4"/>
  <c r="AD437" i="4"/>
  <c r="AC437" i="4"/>
  <c r="Y437" i="4"/>
  <c r="W437" i="4"/>
  <c r="V437" i="4"/>
  <c r="U437" i="4"/>
  <c r="Q437" i="4"/>
  <c r="O437" i="4"/>
  <c r="N437" i="4"/>
  <c r="M437" i="4"/>
  <c r="I437" i="4"/>
  <c r="H437" i="4"/>
  <c r="G437" i="4"/>
  <c r="F437" i="4"/>
  <c r="E437" i="4"/>
  <c r="D437" i="4"/>
  <c r="C437" i="4"/>
  <c r="B437" i="4"/>
  <c r="A437" i="4"/>
  <c r="AF436" i="4"/>
  <c r="AE436" i="4"/>
  <c r="AD436" i="4"/>
  <c r="AC436" i="4"/>
  <c r="Y436" i="4"/>
  <c r="W436" i="4"/>
  <c r="V436" i="4"/>
  <c r="U436" i="4"/>
  <c r="Q436" i="4"/>
  <c r="O436" i="4"/>
  <c r="N436" i="4"/>
  <c r="M436" i="4"/>
  <c r="I436" i="4"/>
  <c r="H436" i="4"/>
  <c r="G436" i="4"/>
  <c r="F436" i="4"/>
  <c r="E436" i="4"/>
  <c r="C436" i="4"/>
  <c r="B436" i="4"/>
  <c r="A436" i="4"/>
  <c r="AF435" i="4"/>
  <c r="AE435" i="4"/>
  <c r="AD435" i="4"/>
  <c r="AC435" i="4"/>
  <c r="Y435" i="4"/>
  <c r="W435" i="4"/>
  <c r="V435" i="4"/>
  <c r="U435" i="4"/>
  <c r="R435" i="4"/>
  <c r="S435" i="4" s="1"/>
  <c r="Q435" i="4"/>
  <c r="O435" i="4"/>
  <c r="N435" i="4"/>
  <c r="M435" i="4"/>
  <c r="I435" i="4"/>
  <c r="H435" i="4"/>
  <c r="G435" i="4"/>
  <c r="F435" i="4"/>
  <c r="E435" i="4"/>
  <c r="D435" i="4"/>
  <c r="C435" i="4"/>
  <c r="B435" i="4"/>
  <c r="A435" i="4"/>
  <c r="AF434" i="4"/>
  <c r="AE434" i="4"/>
  <c r="AD434" i="4"/>
  <c r="AC434" i="4"/>
  <c r="Y434" i="4"/>
  <c r="X434" i="4"/>
  <c r="W434" i="4"/>
  <c r="V434" i="4"/>
  <c r="U434" i="4"/>
  <c r="Q434" i="4"/>
  <c r="O434" i="4"/>
  <c r="N434" i="4"/>
  <c r="M434" i="4"/>
  <c r="J434" i="4"/>
  <c r="K434" i="4" s="1"/>
  <c r="I434" i="4"/>
  <c r="H434" i="4"/>
  <c r="G434" i="4"/>
  <c r="F434" i="4"/>
  <c r="E434" i="4"/>
  <c r="D434" i="4"/>
  <c r="C434" i="4"/>
  <c r="B434" i="4"/>
  <c r="A434" i="4"/>
  <c r="AF433" i="4"/>
  <c r="AE433" i="4"/>
  <c r="AD433" i="4"/>
  <c r="AC433" i="4"/>
  <c r="Y433" i="4"/>
  <c r="W433" i="4"/>
  <c r="V433" i="4"/>
  <c r="U433" i="4"/>
  <c r="R433" i="4"/>
  <c r="S433" i="4" s="1"/>
  <c r="Q433" i="4"/>
  <c r="O433" i="4"/>
  <c r="N433" i="4"/>
  <c r="M433" i="4"/>
  <c r="J433" i="4"/>
  <c r="K433" i="4" s="1"/>
  <c r="I433" i="4"/>
  <c r="H433" i="4"/>
  <c r="G433" i="4"/>
  <c r="F433" i="4"/>
  <c r="E433" i="4"/>
  <c r="C433" i="4"/>
  <c r="B433" i="4"/>
  <c r="A433" i="4"/>
  <c r="AF432" i="4"/>
  <c r="AE432" i="4"/>
  <c r="AD432" i="4"/>
  <c r="AC432" i="4"/>
  <c r="Y432" i="4"/>
  <c r="W432" i="4"/>
  <c r="V432" i="4"/>
  <c r="U432" i="4"/>
  <c r="Q432" i="4"/>
  <c r="O432" i="4"/>
  <c r="N432" i="4"/>
  <c r="M432" i="4"/>
  <c r="I432" i="4"/>
  <c r="H432" i="4"/>
  <c r="G432" i="4"/>
  <c r="F432" i="4"/>
  <c r="E432" i="4"/>
  <c r="C432" i="4"/>
  <c r="B432" i="4"/>
  <c r="A432" i="4"/>
  <c r="AF431" i="4"/>
  <c r="AE431" i="4"/>
  <c r="AD431" i="4"/>
  <c r="AC431" i="4"/>
  <c r="Y431" i="4"/>
  <c r="W431" i="4"/>
  <c r="V431" i="4"/>
  <c r="U431" i="4"/>
  <c r="R431" i="4"/>
  <c r="S431" i="4" s="1"/>
  <c r="Q431" i="4"/>
  <c r="P431" i="4"/>
  <c r="O431" i="4"/>
  <c r="N431" i="4"/>
  <c r="M431" i="4"/>
  <c r="J431" i="4"/>
  <c r="K431" i="4" s="1"/>
  <c r="I431" i="4"/>
  <c r="H431" i="4"/>
  <c r="G431" i="4"/>
  <c r="F431" i="4"/>
  <c r="E431" i="4"/>
  <c r="D431" i="4"/>
  <c r="C431" i="4"/>
  <c r="B431" i="4"/>
  <c r="A431" i="4"/>
  <c r="AF430" i="4"/>
  <c r="AE430" i="4"/>
  <c r="AD430" i="4"/>
  <c r="AC430" i="4"/>
  <c r="Y430" i="4"/>
  <c r="W430" i="4"/>
  <c r="V430" i="4"/>
  <c r="U430" i="4"/>
  <c r="Q430" i="4"/>
  <c r="O430" i="4"/>
  <c r="N430" i="4"/>
  <c r="M430" i="4"/>
  <c r="I430" i="4"/>
  <c r="H430" i="4"/>
  <c r="G430" i="4"/>
  <c r="F430" i="4"/>
  <c r="E430" i="4"/>
  <c r="C430" i="4"/>
  <c r="B430" i="4"/>
  <c r="A430" i="4"/>
  <c r="AF429" i="4"/>
  <c r="AE429" i="4"/>
  <c r="AD429" i="4"/>
  <c r="AC429" i="4"/>
  <c r="Y429" i="4"/>
  <c r="W429" i="4"/>
  <c r="V429" i="4"/>
  <c r="U429" i="4"/>
  <c r="R429" i="4"/>
  <c r="S429" i="4" s="1"/>
  <c r="Q429" i="4"/>
  <c r="O429" i="4"/>
  <c r="N429" i="4"/>
  <c r="M429" i="4"/>
  <c r="I429" i="4"/>
  <c r="H429" i="4"/>
  <c r="G429" i="4"/>
  <c r="F429" i="4"/>
  <c r="E429" i="4"/>
  <c r="D429" i="4"/>
  <c r="C429" i="4"/>
  <c r="B429" i="4"/>
  <c r="A429" i="4"/>
  <c r="AF428" i="4"/>
  <c r="AE428" i="4"/>
  <c r="AD428" i="4"/>
  <c r="AC428" i="4"/>
  <c r="Y428" i="4"/>
  <c r="X428" i="4"/>
  <c r="W428" i="4"/>
  <c r="V428" i="4"/>
  <c r="U428" i="4"/>
  <c r="Q428" i="4"/>
  <c r="P428" i="4"/>
  <c r="O428" i="4"/>
  <c r="N428" i="4"/>
  <c r="M428" i="4"/>
  <c r="K428" i="4"/>
  <c r="I428" i="4"/>
  <c r="H428" i="4"/>
  <c r="G428" i="4"/>
  <c r="F428" i="4"/>
  <c r="E428" i="4"/>
  <c r="D428" i="4"/>
  <c r="C428" i="4"/>
  <c r="J428" i="4" s="1"/>
  <c r="B428" i="4"/>
  <c r="A428" i="4"/>
  <c r="AF427" i="4"/>
  <c r="AE427" i="4"/>
  <c r="AD427" i="4"/>
  <c r="AC427" i="4"/>
  <c r="Y427" i="4"/>
  <c r="W427" i="4"/>
  <c r="V427" i="4"/>
  <c r="U427" i="4"/>
  <c r="R427" i="4"/>
  <c r="Q427" i="4"/>
  <c r="O427" i="4"/>
  <c r="N427" i="4"/>
  <c r="M427" i="4"/>
  <c r="J427" i="4"/>
  <c r="K427" i="4" s="1"/>
  <c r="I427" i="4"/>
  <c r="H427" i="4"/>
  <c r="G427" i="4"/>
  <c r="F427" i="4"/>
  <c r="E427" i="4"/>
  <c r="C427" i="4"/>
  <c r="B427" i="4"/>
  <c r="A427" i="4"/>
  <c r="AF426" i="4"/>
  <c r="AE426" i="4"/>
  <c r="AD426" i="4"/>
  <c r="AC426" i="4"/>
  <c r="Y426" i="4"/>
  <c r="W426" i="4"/>
  <c r="V426" i="4"/>
  <c r="U426" i="4"/>
  <c r="Q426" i="4"/>
  <c r="P426" i="4"/>
  <c r="O426" i="4"/>
  <c r="N426" i="4"/>
  <c r="M426" i="4"/>
  <c r="J426" i="4"/>
  <c r="K426" i="4" s="1"/>
  <c r="I426" i="4"/>
  <c r="H426" i="4"/>
  <c r="G426" i="4"/>
  <c r="F426" i="4"/>
  <c r="E426" i="4"/>
  <c r="C426" i="4"/>
  <c r="B426" i="4"/>
  <c r="A426" i="4"/>
  <c r="AF425" i="4"/>
  <c r="AE425" i="4"/>
  <c r="AD425" i="4"/>
  <c r="AC425" i="4"/>
  <c r="Y425" i="4"/>
  <c r="W425" i="4"/>
  <c r="V425" i="4"/>
  <c r="U425" i="4"/>
  <c r="Q425" i="4"/>
  <c r="O425" i="4"/>
  <c r="N425" i="4"/>
  <c r="M425" i="4"/>
  <c r="I425" i="4"/>
  <c r="H425" i="4"/>
  <c r="G425" i="4"/>
  <c r="F425" i="4"/>
  <c r="E425" i="4"/>
  <c r="D425" i="4"/>
  <c r="C425" i="4"/>
  <c r="B425" i="4"/>
  <c r="A425" i="4"/>
  <c r="AF424" i="4"/>
  <c r="AE424" i="4"/>
  <c r="AD424" i="4"/>
  <c r="AC424" i="4"/>
  <c r="Y424" i="4"/>
  <c r="X424" i="4"/>
  <c r="W424" i="4"/>
  <c r="V424" i="4"/>
  <c r="U424" i="4"/>
  <c r="Q424" i="4"/>
  <c r="O424" i="4"/>
  <c r="N424" i="4"/>
  <c r="M424" i="4"/>
  <c r="K424" i="4"/>
  <c r="J424" i="4"/>
  <c r="I424" i="4"/>
  <c r="H424" i="4"/>
  <c r="G424" i="4"/>
  <c r="F424" i="4"/>
  <c r="E424" i="4"/>
  <c r="C424" i="4"/>
  <c r="B424" i="4"/>
  <c r="A424" i="4"/>
  <c r="AF423" i="4"/>
  <c r="AE423" i="4"/>
  <c r="AD423" i="4"/>
  <c r="AC423" i="4"/>
  <c r="Y423" i="4"/>
  <c r="W423" i="4"/>
  <c r="V423" i="4"/>
  <c r="U423" i="4"/>
  <c r="Q423" i="4"/>
  <c r="P423" i="4"/>
  <c r="O423" i="4"/>
  <c r="N423" i="4"/>
  <c r="M423" i="4"/>
  <c r="I423" i="4"/>
  <c r="H423" i="4"/>
  <c r="G423" i="4"/>
  <c r="F423" i="4"/>
  <c r="E423" i="4"/>
  <c r="C423" i="4"/>
  <c r="R423" i="4" s="1"/>
  <c r="S423" i="4" s="1"/>
  <c r="B423" i="4"/>
  <c r="A423" i="4"/>
  <c r="AF422" i="4"/>
  <c r="AE422" i="4"/>
  <c r="AD422" i="4"/>
  <c r="AC422" i="4"/>
  <c r="Y422" i="4"/>
  <c r="W422" i="4"/>
  <c r="V422" i="4"/>
  <c r="U422" i="4"/>
  <c r="Q422" i="4"/>
  <c r="P422" i="4"/>
  <c r="O422" i="4"/>
  <c r="N422" i="4"/>
  <c r="M422" i="4"/>
  <c r="J422" i="4"/>
  <c r="K422" i="4" s="1"/>
  <c r="I422" i="4"/>
  <c r="H422" i="4"/>
  <c r="G422" i="4"/>
  <c r="F422" i="4"/>
  <c r="E422" i="4"/>
  <c r="D422" i="4"/>
  <c r="C422" i="4"/>
  <c r="X422" i="4" s="1"/>
  <c r="B422" i="4"/>
  <c r="A422" i="4"/>
  <c r="AF421" i="4"/>
  <c r="AE421" i="4"/>
  <c r="AD421" i="4"/>
  <c r="AC421" i="4"/>
  <c r="Y421" i="4"/>
  <c r="W421" i="4"/>
  <c r="V421" i="4"/>
  <c r="U421" i="4"/>
  <c r="Q421" i="4"/>
  <c r="O421" i="4"/>
  <c r="N421" i="4"/>
  <c r="M421" i="4"/>
  <c r="I421" i="4"/>
  <c r="H421" i="4"/>
  <c r="G421" i="4"/>
  <c r="F421" i="4"/>
  <c r="E421" i="4"/>
  <c r="C421" i="4"/>
  <c r="R421" i="4" s="1"/>
  <c r="S421" i="4" s="1"/>
  <c r="B421" i="4"/>
  <c r="A421" i="4"/>
  <c r="AF420" i="4"/>
  <c r="AE420" i="4"/>
  <c r="AD420" i="4"/>
  <c r="AC420" i="4"/>
  <c r="Y420" i="4"/>
  <c r="W420" i="4"/>
  <c r="V420" i="4"/>
  <c r="U420" i="4"/>
  <c r="Q420" i="4"/>
  <c r="P420" i="4"/>
  <c r="O420" i="4"/>
  <c r="N420" i="4"/>
  <c r="M420" i="4"/>
  <c r="J420" i="4"/>
  <c r="K420" i="4" s="1"/>
  <c r="I420" i="4"/>
  <c r="H420" i="4"/>
  <c r="G420" i="4"/>
  <c r="F420" i="4"/>
  <c r="E420" i="4"/>
  <c r="C420" i="4"/>
  <c r="B420" i="4"/>
  <c r="A420" i="4"/>
  <c r="AF419" i="4"/>
  <c r="AE419" i="4"/>
  <c r="AD419" i="4"/>
  <c r="AC419" i="4"/>
  <c r="Y419" i="4"/>
  <c r="W419" i="4"/>
  <c r="V419" i="4"/>
  <c r="U419" i="4"/>
  <c r="Q419" i="4"/>
  <c r="O419" i="4"/>
  <c r="N419" i="4"/>
  <c r="M419" i="4"/>
  <c r="J419" i="4"/>
  <c r="K419" i="4" s="1"/>
  <c r="I419" i="4"/>
  <c r="H419" i="4"/>
  <c r="G419" i="4"/>
  <c r="F419" i="4"/>
  <c r="E419" i="4"/>
  <c r="D419" i="4"/>
  <c r="C419" i="4"/>
  <c r="B419" i="4"/>
  <c r="A419" i="4"/>
  <c r="AF418" i="4"/>
  <c r="AE418" i="4"/>
  <c r="AD418" i="4"/>
  <c r="AC418" i="4"/>
  <c r="Y418" i="4"/>
  <c r="X418" i="4"/>
  <c r="W418" i="4"/>
  <c r="V418" i="4"/>
  <c r="U418" i="4"/>
  <c r="Q418" i="4"/>
  <c r="O418" i="4"/>
  <c r="N418" i="4"/>
  <c r="M418" i="4"/>
  <c r="J418" i="4"/>
  <c r="K418" i="4" s="1"/>
  <c r="I418" i="4"/>
  <c r="H418" i="4"/>
  <c r="G418" i="4"/>
  <c r="F418" i="4"/>
  <c r="E418" i="4"/>
  <c r="D418" i="4"/>
  <c r="C418" i="4"/>
  <c r="B418" i="4"/>
  <c r="A418" i="4"/>
  <c r="AF417" i="4"/>
  <c r="AE417" i="4"/>
  <c r="AD417" i="4"/>
  <c r="AC417" i="4"/>
  <c r="Y417" i="4"/>
  <c r="X417" i="4"/>
  <c r="W417" i="4"/>
  <c r="V417" i="4"/>
  <c r="U417" i="4"/>
  <c r="R417" i="4"/>
  <c r="S417" i="4" s="1"/>
  <c r="Q417" i="4"/>
  <c r="P417" i="4"/>
  <c r="O417" i="4"/>
  <c r="N417" i="4"/>
  <c r="M417" i="4"/>
  <c r="K417" i="4"/>
  <c r="J417" i="4"/>
  <c r="I417" i="4"/>
  <c r="H417" i="4"/>
  <c r="G417" i="4"/>
  <c r="F417" i="4"/>
  <c r="E417" i="4"/>
  <c r="D417" i="4"/>
  <c r="C417" i="4"/>
  <c r="Z417" i="4" s="1"/>
  <c r="B417" i="4"/>
  <c r="A417" i="4"/>
  <c r="AF416" i="4"/>
  <c r="AE416" i="4"/>
  <c r="AD416" i="4"/>
  <c r="AC416" i="4"/>
  <c r="Z416" i="4"/>
  <c r="AA416" i="4" s="1"/>
  <c r="Y416" i="4"/>
  <c r="X416" i="4"/>
  <c r="W416" i="4"/>
  <c r="V416" i="4"/>
  <c r="U416" i="4"/>
  <c r="S416" i="4"/>
  <c r="R416" i="4"/>
  <c r="Q416" i="4"/>
  <c r="P416" i="4"/>
  <c r="O416" i="4"/>
  <c r="N416" i="4"/>
  <c r="M416" i="4"/>
  <c r="I416" i="4"/>
  <c r="H416" i="4"/>
  <c r="G416" i="4"/>
  <c r="F416" i="4"/>
  <c r="E416" i="4"/>
  <c r="D416" i="4"/>
  <c r="C416" i="4"/>
  <c r="J416" i="4" s="1"/>
  <c r="B416" i="4"/>
  <c r="A416" i="4"/>
  <c r="AF415" i="4"/>
  <c r="AE415" i="4"/>
  <c r="AD415" i="4"/>
  <c r="AC415" i="4"/>
  <c r="Z415" i="4"/>
  <c r="AA415" i="4" s="1"/>
  <c r="Y415" i="4"/>
  <c r="X415" i="4"/>
  <c r="W415" i="4"/>
  <c r="V415" i="4"/>
  <c r="U415" i="4"/>
  <c r="Q415" i="4"/>
  <c r="P415" i="4"/>
  <c r="O415" i="4"/>
  <c r="N415" i="4"/>
  <c r="M415" i="4"/>
  <c r="K415" i="4"/>
  <c r="J415" i="4"/>
  <c r="I415" i="4"/>
  <c r="H415" i="4"/>
  <c r="G415" i="4"/>
  <c r="F415" i="4"/>
  <c r="E415" i="4"/>
  <c r="D415" i="4"/>
  <c r="C415" i="4"/>
  <c r="R415" i="4" s="1"/>
  <c r="S415" i="4" s="1"/>
  <c r="B415" i="4"/>
  <c r="A415" i="4"/>
  <c r="AF414" i="4"/>
  <c r="AE414" i="4"/>
  <c r="AD414" i="4"/>
  <c r="AC414" i="4"/>
  <c r="Y414" i="4"/>
  <c r="X414" i="4"/>
  <c r="W414" i="4"/>
  <c r="V414" i="4"/>
  <c r="U414" i="4"/>
  <c r="R414" i="4"/>
  <c r="S414" i="4" s="1"/>
  <c r="Q414" i="4"/>
  <c r="P414" i="4"/>
  <c r="O414" i="4"/>
  <c r="N414" i="4"/>
  <c r="M414" i="4"/>
  <c r="J414" i="4"/>
  <c r="K414" i="4" s="1"/>
  <c r="I414" i="4"/>
  <c r="H414" i="4"/>
  <c r="G414" i="4"/>
  <c r="F414" i="4"/>
  <c r="E414" i="4"/>
  <c r="D414" i="4"/>
  <c r="C414" i="4"/>
  <c r="Z414" i="4" s="1"/>
  <c r="B414" i="4"/>
  <c r="A414" i="4"/>
  <c r="AF413" i="4"/>
  <c r="AE413" i="4"/>
  <c r="AD413" i="4"/>
  <c r="AC413" i="4"/>
  <c r="Z413" i="4"/>
  <c r="AA413" i="4" s="1"/>
  <c r="Y413" i="4"/>
  <c r="X413" i="4"/>
  <c r="W413" i="4"/>
  <c r="V413" i="4"/>
  <c r="U413" i="4"/>
  <c r="S413" i="4"/>
  <c r="R413" i="4"/>
  <c r="Q413" i="4"/>
  <c r="O413" i="4"/>
  <c r="N413" i="4"/>
  <c r="M413" i="4"/>
  <c r="I413" i="4"/>
  <c r="H413" i="4"/>
  <c r="G413" i="4"/>
  <c r="F413" i="4"/>
  <c r="E413" i="4"/>
  <c r="D413" i="4"/>
  <c r="C413" i="4"/>
  <c r="J413" i="4" s="1"/>
  <c r="B413" i="4"/>
  <c r="A413" i="4"/>
  <c r="AF412" i="4"/>
  <c r="AE412" i="4"/>
  <c r="AD412" i="4"/>
  <c r="AC412" i="4"/>
  <c r="Z412" i="4"/>
  <c r="AA412" i="4" s="1"/>
  <c r="Y412" i="4"/>
  <c r="X412" i="4"/>
  <c r="W412" i="4"/>
  <c r="V412" i="4"/>
  <c r="U412" i="4"/>
  <c r="Q412" i="4"/>
  <c r="P412" i="4"/>
  <c r="O412" i="4"/>
  <c r="N412" i="4"/>
  <c r="M412" i="4"/>
  <c r="J412" i="4"/>
  <c r="K412" i="4" s="1"/>
  <c r="I412" i="4"/>
  <c r="H412" i="4"/>
  <c r="G412" i="4"/>
  <c r="F412" i="4"/>
  <c r="E412" i="4"/>
  <c r="D412" i="4"/>
  <c r="C412" i="4"/>
  <c r="R412" i="4" s="1"/>
  <c r="S412" i="4" s="1"/>
  <c r="B412" i="4"/>
  <c r="A412" i="4"/>
  <c r="AF411" i="4"/>
  <c r="AE411" i="4"/>
  <c r="AD411" i="4"/>
  <c r="AC411" i="4"/>
  <c r="Y411" i="4"/>
  <c r="X411" i="4"/>
  <c r="W411" i="4"/>
  <c r="V411" i="4"/>
  <c r="U411" i="4"/>
  <c r="S411" i="4"/>
  <c r="R411" i="4"/>
  <c r="Q411" i="4"/>
  <c r="P411" i="4"/>
  <c r="O411" i="4"/>
  <c r="N411" i="4"/>
  <c r="M411" i="4"/>
  <c r="J411" i="4"/>
  <c r="K411" i="4" s="1"/>
  <c r="I411" i="4"/>
  <c r="H411" i="4"/>
  <c r="G411" i="4"/>
  <c r="F411" i="4"/>
  <c r="E411" i="4"/>
  <c r="D411" i="4"/>
  <c r="C411" i="4"/>
  <c r="Z411" i="4" s="1"/>
  <c r="B411" i="4"/>
  <c r="A411" i="4"/>
  <c r="AF410" i="4"/>
  <c r="AE410" i="4"/>
  <c r="AD410" i="4"/>
  <c r="AC410" i="4"/>
  <c r="AA410" i="4"/>
  <c r="Z410" i="4"/>
  <c r="Y410" i="4"/>
  <c r="X410" i="4"/>
  <c r="W410" i="4"/>
  <c r="V410" i="4"/>
  <c r="U410" i="4"/>
  <c r="R410" i="4"/>
  <c r="S410" i="4" s="1"/>
  <c r="Q410" i="4"/>
  <c r="P410" i="4"/>
  <c r="O410" i="4"/>
  <c r="N410" i="4"/>
  <c r="M410" i="4"/>
  <c r="I410" i="4"/>
  <c r="H410" i="4"/>
  <c r="G410" i="4"/>
  <c r="F410" i="4"/>
  <c r="E410" i="4"/>
  <c r="D410" i="4"/>
  <c r="C410" i="4"/>
  <c r="J410" i="4" s="1"/>
  <c r="B410" i="4"/>
  <c r="A410" i="4"/>
  <c r="AB410" i="4" s="1"/>
  <c r="AF409" i="4"/>
  <c r="AE409" i="4"/>
  <c r="AD409" i="4"/>
  <c r="AC409" i="4"/>
  <c r="Z409" i="4"/>
  <c r="AA409" i="4" s="1"/>
  <c r="Y409" i="4"/>
  <c r="X409" i="4"/>
  <c r="W409" i="4"/>
  <c r="V409" i="4"/>
  <c r="U409" i="4"/>
  <c r="Q409" i="4"/>
  <c r="P409" i="4"/>
  <c r="O409" i="4"/>
  <c r="N409" i="4"/>
  <c r="M409" i="4"/>
  <c r="J409" i="4"/>
  <c r="K409" i="4" s="1"/>
  <c r="I409" i="4"/>
  <c r="H409" i="4"/>
  <c r="G409" i="4"/>
  <c r="F409" i="4"/>
  <c r="E409" i="4"/>
  <c r="D409" i="4"/>
  <c r="C409" i="4"/>
  <c r="R409" i="4" s="1"/>
  <c r="S409" i="4" s="1"/>
  <c r="B409" i="4"/>
  <c r="A409" i="4"/>
  <c r="AF408" i="4"/>
  <c r="AE408" i="4"/>
  <c r="AD408" i="4"/>
  <c r="AC408" i="4"/>
  <c r="Y408" i="4"/>
  <c r="X408" i="4"/>
  <c r="W408" i="4"/>
  <c r="V408" i="4"/>
  <c r="U408" i="4"/>
  <c r="R408" i="4"/>
  <c r="S408" i="4" s="1"/>
  <c r="Q408" i="4"/>
  <c r="P408" i="4"/>
  <c r="O408" i="4"/>
  <c r="N408" i="4"/>
  <c r="M408" i="4"/>
  <c r="K408" i="4"/>
  <c r="J408" i="4"/>
  <c r="I408" i="4"/>
  <c r="H408" i="4"/>
  <c r="G408" i="4"/>
  <c r="F408" i="4"/>
  <c r="E408" i="4"/>
  <c r="D408" i="4"/>
  <c r="C408" i="4"/>
  <c r="Z408" i="4" s="1"/>
  <c r="B408" i="4"/>
  <c r="A408" i="4"/>
  <c r="AF407" i="4"/>
  <c r="AE407" i="4"/>
  <c r="AD407" i="4"/>
  <c r="AC407" i="4"/>
  <c r="Z407" i="4"/>
  <c r="AA407" i="4" s="1"/>
  <c r="Y407" i="4"/>
  <c r="X407" i="4"/>
  <c r="W407" i="4"/>
  <c r="V407" i="4"/>
  <c r="U407" i="4"/>
  <c r="R407" i="4"/>
  <c r="S407" i="4" s="1"/>
  <c r="Q407" i="4"/>
  <c r="O407" i="4"/>
  <c r="N407" i="4"/>
  <c r="M407" i="4"/>
  <c r="I407" i="4"/>
  <c r="H407" i="4"/>
  <c r="G407" i="4"/>
  <c r="F407" i="4"/>
  <c r="E407" i="4"/>
  <c r="D407" i="4"/>
  <c r="C407" i="4"/>
  <c r="J407" i="4" s="1"/>
  <c r="B407" i="4"/>
  <c r="A407" i="4"/>
  <c r="AF406" i="4"/>
  <c r="AE406" i="4"/>
  <c r="AD406" i="4"/>
  <c r="AC406" i="4"/>
  <c r="AA406" i="4"/>
  <c r="Z406" i="4"/>
  <c r="Y406" i="4"/>
  <c r="X406" i="4"/>
  <c r="W406" i="4"/>
  <c r="V406" i="4"/>
  <c r="U406" i="4"/>
  <c r="Q406" i="4"/>
  <c r="P406" i="4"/>
  <c r="O406" i="4"/>
  <c r="N406" i="4"/>
  <c r="M406" i="4"/>
  <c r="K406" i="4"/>
  <c r="J406" i="4"/>
  <c r="I406" i="4"/>
  <c r="H406" i="4"/>
  <c r="G406" i="4"/>
  <c r="F406" i="4"/>
  <c r="E406" i="4"/>
  <c r="D406" i="4"/>
  <c r="C406" i="4"/>
  <c r="R406" i="4" s="1"/>
  <c r="S406" i="4" s="1"/>
  <c r="B406" i="4"/>
  <c r="A406" i="4"/>
  <c r="AF405" i="4"/>
  <c r="AE405" i="4"/>
  <c r="AD405" i="4"/>
  <c r="AC405" i="4"/>
  <c r="Y405" i="4"/>
  <c r="X405" i="4"/>
  <c r="W405" i="4"/>
  <c r="V405" i="4"/>
  <c r="U405" i="4"/>
  <c r="R405" i="4"/>
  <c r="S405" i="4" s="1"/>
  <c r="Q405" i="4"/>
  <c r="P405" i="4"/>
  <c r="O405" i="4"/>
  <c r="N405" i="4"/>
  <c r="M405" i="4"/>
  <c r="J405" i="4"/>
  <c r="I405" i="4"/>
  <c r="H405" i="4"/>
  <c r="G405" i="4"/>
  <c r="K405" i="4" s="1"/>
  <c r="F405" i="4"/>
  <c r="E405" i="4"/>
  <c r="D405" i="4"/>
  <c r="C405" i="4"/>
  <c r="Z405" i="4" s="1"/>
  <c r="B405" i="4"/>
  <c r="A405" i="4"/>
  <c r="AF404" i="4"/>
  <c r="AE404" i="4"/>
  <c r="AD404" i="4"/>
  <c r="AC404" i="4"/>
  <c r="Z404" i="4"/>
  <c r="AA404" i="4" s="1"/>
  <c r="Y404" i="4"/>
  <c r="X404" i="4"/>
  <c r="W404" i="4"/>
  <c r="V404" i="4"/>
  <c r="U404" i="4"/>
  <c r="R404" i="4"/>
  <c r="S404" i="4" s="1"/>
  <c r="Q404" i="4"/>
  <c r="P404" i="4"/>
  <c r="O404" i="4"/>
  <c r="N404" i="4"/>
  <c r="M404" i="4"/>
  <c r="I404" i="4"/>
  <c r="H404" i="4"/>
  <c r="G404" i="4"/>
  <c r="F404" i="4"/>
  <c r="E404" i="4"/>
  <c r="C404" i="4"/>
  <c r="J404" i="4" s="1"/>
  <c r="B404" i="4"/>
  <c r="A404" i="4"/>
  <c r="AF403" i="4"/>
  <c r="AE403" i="4"/>
  <c r="AD403" i="4"/>
  <c r="AC403" i="4"/>
  <c r="Z403" i="4"/>
  <c r="AA403" i="4" s="1"/>
  <c r="Y403" i="4"/>
  <c r="X403" i="4"/>
  <c r="W403" i="4"/>
  <c r="V403" i="4"/>
  <c r="U403" i="4"/>
  <c r="Q403" i="4"/>
  <c r="P403" i="4"/>
  <c r="O403" i="4"/>
  <c r="N403" i="4"/>
  <c r="M403" i="4"/>
  <c r="K403" i="4"/>
  <c r="J403" i="4"/>
  <c r="I403" i="4"/>
  <c r="H403" i="4"/>
  <c r="G403" i="4"/>
  <c r="F403" i="4"/>
  <c r="E403" i="4"/>
  <c r="D403" i="4"/>
  <c r="C403" i="4"/>
  <c r="R403" i="4" s="1"/>
  <c r="S403" i="4" s="1"/>
  <c r="B403" i="4"/>
  <c r="A403" i="4"/>
  <c r="AF402" i="4"/>
  <c r="AE402" i="4"/>
  <c r="AD402" i="4"/>
  <c r="AC402" i="4"/>
  <c r="Y402" i="4"/>
  <c r="X402" i="4"/>
  <c r="W402" i="4"/>
  <c r="V402" i="4"/>
  <c r="U402" i="4"/>
  <c r="R402" i="4"/>
  <c r="S402" i="4" s="1"/>
  <c r="Q402" i="4"/>
  <c r="P402" i="4"/>
  <c r="O402" i="4"/>
  <c r="N402" i="4"/>
  <c r="M402" i="4"/>
  <c r="K402" i="4"/>
  <c r="J402" i="4"/>
  <c r="I402" i="4"/>
  <c r="H402" i="4"/>
  <c r="G402" i="4"/>
  <c r="F402" i="4"/>
  <c r="E402" i="4"/>
  <c r="D402" i="4"/>
  <c r="C402" i="4"/>
  <c r="Z402" i="4" s="1"/>
  <c r="B402" i="4"/>
  <c r="A402" i="4"/>
  <c r="AF401" i="4"/>
  <c r="AE401" i="4"/>
  <c r="AD401" i="4"/>
  <c r="AC401" i="4"/>
  <c r="Z401" i="4"/>
  <c r="AA401" i="4" s="1"/>
  <c r="Y401" i="4"/>
  <c r="X401" i="4"/>
  <c r="W401" i="4"/>
  <c r="V401" i="4"/>
  <c r="U401" i="4"/>
  <c r="R401" i="4"/>
  <c r="S401" i="4" s="1"/>
  <c r="Q401" i="4"/>
  <c r="O401" i="4"/>
  <c r="N401" i="4"/>
  <c r="M401" i="4"/>
  <c r="I401" i="4"/>
  <c r="H401" i="4"/>
  <c r="G401" i="4"/>
  <c r="F401" i="4"/>
  <c r="E401" i="4"/>
  <c r="D401" i="4"/>
  <c r="C401" i="4"/>
  <c r="J401" i="4" s="1"/>
  <c r="B401" i="4"/>
  <c r="A401" i="4"/>
  <c r="AF400" i="4"/>
  <c r="AE400" i="4"/>
  <c r="AD400" i="4"/>
  <c r="AC400" i="4"/>
  <c r="Z400" i="4"/>
  <c r="AA400" i="4" s="1"/>
  <c r="Y400" i="4"/>
  <c r="X400" i="4"/>
  <c r="W400" i="4"/>
  <c r="V400" i="4"/>
  <c r="U400" i="4"/>
  <c r="T400" i="4"/>
  <c r="Q400" i="4"/>
  <c r="P400" i="4"/>
  <c r="O400" i="4"/>
  <c r="N400" i="4"/>
  <c r="M400" i="4"/>
  <c r="J400" i="4"/>
  <c r="K400" i="4" s="1"/>
  <c r="I400" i="4"/>
  <c r="H400" i="4"/>
  <c r="G400" i="4"/>
  <c r="F400" i="4"/>
  <c r="E400" i="4"/>
  <c r="D400" i="4"/>
  <c r="C400" i="4"/>
  <c r="R400" i="4" s="1"/>
  <c r="S400" i="4" s="1"/>
  <c r="B400" i="4"/>
  <c r="A400" i="4"/>
  <c r="AF399" i="4"/>
  <c r="AE399" i="4"/>
  <c r="AD399" i="4"/>
  <c r="AC399" i="4"/>
  <c r="Y399" i="4"/>
  <c r="X399" i="4"/>
  <c r="W399" i="4"/>
  <c r="V399" i="4"/>
  <c r="U399" i="4"/>
  <c r="T399" i="4"/>
  <c r="R399" i="4"/>
  <c r="S399" i="4" s="1"/>
  <c r="Q399" i="4"/>
  <c r="P399" i="4"/>
  <c r="O399" i="4"/>
  <c r="N399" i="4"/>
  <c r="M399" i="4"/>
  <c r="J399" i="4"/>
  <c r="K399" i="4" s="1"/>
  <c r="I399" i="4"/>
  <c r="H399" i="4"/>
  <c r="G399" i="4"/>
  <c r="F399" i="4"/>
  <c r="E399" i="4"/>
  <c r="D399" i="4"/>
  <c r="C399" i="4"/>
  <c r="Z399" i="4" s="1"/>
  <c r="B399" i="4"/>
  <c r="A399" i="4"/>
  <c r="AF398" i="4"/>
  <c r="AE398" i="4"/>
  <c r="AD398" i="4"/>
  <c r="AC398" i="4"/>
  <c r="Z398" i="4"/>
  <c r="AA398" i="4" s="1"/>
  <c r="Y398" i="4"/>
  <c r="X398" i="4"/>
  <c r="W398" i="4"/>
  <c r="V398" i="4"/>
  <c r="U398" i="4"/>
  <c r="S398" i="4"/>
  <c r="R398" i="4"/>
  <c r="Q398" i="4"/>
  <c r="P398" i="4"/>
  <c r="O398" i="4"/>
  <c r="N398" i="4"/>
  <c r="M398" i="4"/>
  <c r="I398" i="4"/>
  <c r="H398" i="4"/>
  <c r="G398" i="4"/>
  <c r="F398" i="4"/>
  <c r="E398" i="4"/>
  <c r="D398" i="4"/>
  <c r="C398" i="4"/>
  <c r="J398" i="4" s="1"/>
  <c r="B398" i="4"/>
  <c r="A398" i="4"/>
  <c r="AF397" i="4"/>
  <c r="AE397" i="4"/>
  <c r="AD397" i="4"/>
  <c r="AC397" i="4"/>
  <c r="Z397" i="4"/>
  <c r="AA397" i="4" s="1"/>
  <c r="Y397" i="4"/>
  <c r="X397" i="4"/>
  <c r="W397" i="4"/>
  <c r="V397" i="4"/>
  <c r="U397" i="4"/>
  <c r="Q397" i="4"/>
  <c r="P397" i="4"/>
  <c r="O397" i="4"/>
  <c r="N397" i="4"/>
  <c r="M397" i="4"/>
  <c r="J397" i="4"/>
  <c r="K397" i="4" s="1"/>
  <c r="I397" i="4"/>
  <c r="H397" i="4"/>
  <c r="G397" i="4"/>
  <c r="F397" i="4"/>
  <c r="E397" i="4"/>
  <c r="D397" i="4"/>
  <c r="C397" i="4"/>
  <c r="R397" i="4" s="1"/>
  <c r="S397" i="4" s="1"/>
  <c r="B397" i="4"/>
  <c r="A397" i="4"/>
  <c r="AF396" i="4"/>
  <c r="AE396" i="4"/>
  <c r="AD396" i="4"/>
  <c r="AC396" i="4"/>
  <c r="Y396" i="4"/>
  <c r="X396" i="4"/>
  <c r="W396" i="4"/>
  <c r="V396" i="4"/>
  <c r="U396" i="4"/>
  <c r="R396" i="4"/>
  <c r="S396" i="4" s="1"/>
  <c r="Q396" i="4"/>
  <c r="P396" i="4"/>
  <c r="O396" i="4"/>
  <c r="N396" i="4"/>
  <c r="M396" i="4"/>
  <c r="J396" i="4"/>
  <c r="K396" i="4" s="1"/>
  <c r="I396" i="4"/>
  <c r="H396" i="4"/>
  <c r="G396" i="4"/>
  <c r="F396" i="4"/>
  <c r="E396" i="4"/>
  <c r="D396" i="4"/>
  <c r="C396" i="4"/>
  <c r="Z396" i="4" s="1"/>
  <c r="B396" i="4"/>
  <c r="A396" i="4"/>
  <c r="AF395" i="4"/>
  <c r="AE395" i="4"/>
  <c r="AD395" i="4"/>
  <c r="AC395" i="4"/>
  <c r="Z395" i="4"/>
  <c r="AA395" i="4" s="1"/>
  <c r="Y395" i="4"/>
  <c r="X395" i="4"/>
  <c r="W395" i="4"/>
  <c r="V395" i="4"/>
  <c r="U395" i="4"/>
  <c r="R395" i="4"/>
  <c r="S395" i="4" s="1"/>
  <c r="Q395" i="4"/>
  <c r="O395" i="4"/>
  <c r="N395" i="4"/>
  <c r="M395" i="4"/>
  <c r="I395" i="4"/>
  <c r="H395" i="4"/>
  <c r="G395" i="4"/>
  <c r="F395" i="4"/>
  <c r="E395" i="4"/>
  <c r="D395" i="4"/>
  <c r="C395" i="4"/>
  <c r="J395" i="4" s="1"/>
  <c r="B395" i="4"/>
  <c r="A395" i="4"/>
  <c r="AF394" i="4"/>
  <c r="AE394" i="4"/>
  <c r="AD394" i="4"/>
  <c r="AC394" i="4"/>
  <c r="Z394" i="4"/>
  <c r="AA394" i="4" s="1"/>
  <c r="Y394" i="4"/>
  <c r="X394" i="4"/>
  <c r="W394" i="4"/>
  <c r="V394" i="4"/>
  <c r="U394" i="4"/>
  <c r="Q394" i="4"/>
  <c r="P394" i="4"/>
  <c r="O394" i="4"/>
  <c r="N394" i="4"/>
  <c r="M394" i="4"/>
  <c r="K394" i="4"/>
  <c r="J394" i="4"/>
  <c r="I394" i="4"/>
  <c r="H394" i="4"/>
  <c r="G394" i="4"/>
  <c r="F394" i="4"/>
  <c r="E394" i="4"/>
  <c r="D394" i="4"/>
  <c r="C394" i="4"/>
  <c r="R394" i="4" s="1"/>
  <c r="S394" i="4" s="1"/>
  <c r="B394" i="4"/>
  <c r="A394" i="4"/>
  <c r="AF393" i="4"/>
  <c r="AE393" i="4"/>
  <c r="AD393" i="4"/>
  <c r="AC393" i="4"/>
  <c r="Z393" i="4"/>
  <c r="Y393" i="4"/>
  <c r="X393" i="4"/>
  <c r="W393" i="4"/>
  <c r="V393" i="4"/>
  <c r="U393" i="4"/>
  <c r="R393" i="4"/>
  <c r="S393" i="4" s="1"/>
  <c r="Q393" i="4"/>
  <c r="P393" i="4"/>
  <c r="O393" i="4"/>
  <c r="N393" i="4"/>
  <c r="M393" i="4"/>
  <c r="K393" i="4"/>
  <c r="J393" i="4"/>
  <c r="I393" i="4"/>
  <c r="H393" i="4"/>
  <c r="G393" i="4"/>
  <c r="F393" i="4"/>
  <c r="E393" i="4"/>
  <c r="D393" i="4"/>
  <c r="C393" i="4"/>
  <c r="B393" i="4"/>
  <c r="A393" i="4"/>
  <c r="AF392" i="4"/>
  <c r="AE392" i="4"/>
  <c r="AD392" i="4"/>
  <c r="AC392" i="4"/>
  <c r="Y392" i="4"/>
  <c r="W392" i="4"/>
  <c r="V392" i="4"/>
  <c r="U392" i="4"/>
  <c r="Q392" i="4"/>
  <c r="O392" i="4"/>
  <c r="N392" i="4"/>
  <c r="M392" i="4"/>
  <c r="I392" i="4"/>
  <c r="H392" i="4"/>
  <c r="G392" i="4"/>
  <c r="F392" i="4"/>
  <c r="E392" i="4"/>
  <c r="C392" i="4"/>
  <c r="B392" i="4"/>
  <c r="A392" i="4"/>
  <c r="AF391" i="4"/>
  <c r="AE391" i="4"/>
  <c r="AD391" i="4"/>
  <c r="AC391" i="4"/>
  <c r="AA391" i="4"/>
  <c r="Z391" i="4"/>
  <c r="Y391" i="4"/>
  <c r="W391" i="4"/>
  <c r="V391" i="4"/>
  <c r="U391" i="4"/>
  <c r="Q391" i="4"/>
  <c r="P391" i="4"/>
  <c r="O391" i="4"/>
  <c r="N391" i="4"/>
  <c r="M391" i="4"/>
  <c r="I391" i="4"/>
  <c r="H391" i="4"/>
  <c r="G391" i="4"/>
  <c r="F391" i="4"/>
  <c r="E391" i="4"/>
  <c r="D391" i="4"/>
  <c r="C391" i="4"/>
  <c r="R391" i="4" s="1"/>
  <c r="S391" i="4" s="1"/>
  <c r="B391" i="4"/>
  <c r="A391" i="4"/>
  <c r="AF390" i="4"/>
  <c r="AE390" i="4"/>
  <c r="AD390" i="4"/>
  <c r="AC390" i="4"/>
  <c r="Z390" i="4"/>
  <c r="AA390" i="4" s="1"/>
  <c r="Y390" i="4"/>
  <c r="X390" i="4"/>
  <c r="W390" i="4"/>
  <c r="V390" i="4"/>
  <c r="U390" i="4"/>
  <c r="R390" i="4"/>
  <c r="S390" i="4" s="1"/>
  <c r="Q390" i="4"/>
  <c r="P390" i="4"/>
  <c r="O390" i="4"/>
  <c r="N390" i="4"/>
  <c r="M390" i="4"/>
  <c r="J390" i="4"/>
  <c r="I390" i="4"/>
  <c r="H390" i="4"/>
  <c r="G390" i="4"/>
  <c r="K390" i="4" s="1"/>
  <c r="F390" i="4"/>
  <c r="E390" i="4"/>
  <c r="D390" i="4"/>
  <c r="C390" i="4"/>
  <c r="B390" i="4"/>
  <c r="A390" i="4"/>
  <c r="AF389" i="4"/>
  <c r="AE389" i="4"/>
  <c r="AD389" i="4"/>
  <c r="AC389" i="4"/>
  <c r="Z389" i="4"/>
  <c r="AA389" i="4" s="1"/>
  <c r="Y389" i="4"/>
  <c r="X389" i="4"/>
  <c r="W389" i="4"/>
  <c r="V389" i="4"/>
  <c r="U389" i="4"/>
  <c r="R389" i="4"/>
  <c r="Q389" i="4"/>
  <c r="P389" i="4"/>
  <c r="O389" i="4"/>
  <c r="S389" i="4" s="1"/>
  <c r="N389" i="4"/>
  <c r="M389" i="4"/>
  <c r="I389" i="4"/>
  <c r="H389" i="4"/>
  <c r="G389" i="4"/>
  <c r="F389" i="4"/>
  <c r="E389" i="4"/>
  <c r="C389" i="4"/>
  <c r="J389" i="4" s="1"/>
  <c r="B389" i="4"/>
  <c r="A389" i="4"/>
  <c r="AF388" i="4"/>
  <c r="AE388" i="4"/>
  <c r="AD388" i="4"/>
  <c r="AC388" i="4"/>
  <c r="AA388" i="4"/>
  <c r="Z388" i="4"/>
  <c r="Y388" i="4"/>
  <c r="W388" i="4"/>
  <c r="V388" i="4"/>
  <c r="U388" i="4"/>
  <c r="Q388" i="4"/>
  <c r="P388" i="4"/>
  <c r="O388" i="4"/>
  <c r="N388" i="4"/>
  <c r="M388" i="4"/>
  <c r="I388" i="4"/>
  <c r="H388" i="4"/>
  <c r="G388" i="4"/>
  <c r="F388" i="4"/>
  <c r="E388" i="4"/>
  <c r="D388" i="4"/>
  <c r="C388" i="4"/>
  <c r="B388" i="4"/>
  <c r="A388" i="4"/>
  <c r="AF387" i="4"/>
  <c r="AE387" i="4"/>
  <c r="AD387" i="4"/>
  <c r="AC387" i="4"/>
  <c r="Z387" i="4"/>
  <c r="AA387" i="4" s="1"/>
  <c r="Y387" i="4"/>
  <c r="X387" i="4"/>
  <c r="W387" i="4"/>
  <c r="V387" i="4"/>
  <c r="U387" i="4"/>
  <c r="S387" i="4"/>
  <c r="R387" i="4"/>
  <c r="Q387" i="4"/>
  <c r="P387" i="4"/>
  <c r="O387" i="4"/>
  <c r="N387" i="4"/>
  <c r="M387" i="4"/>
  <c r="J387" i="4"/>
  <c r="K387" i="4" s="1"/>
  <c r="I387" i="4"/>
  <c r="H387" i="4"/>
  <c r="G387" i="4"/>
  <c r="F387" i="4"/>
  <c r="E387" i="4"/>
  <c r="D387" i="4"/>
  <c r="C387" i="4"/>
  <c r="B387" i="4"/>
  <c r="A387" i="4"/>
  <c r="AF386" i="4"/>
  <c r="AE386" i="4"/>
  <c r="AD386" i="4"/>
  <c r="AC386" i="4"/>
  <c r="Y386" i="4"/>
  <c r="W386" i="4"/>
  <c r="V386" i="4"/>
  <c r="U386" i="4"/>
  <c r="Q386" i="4"/>
  <c r="O386" i="4"/>
  <c r="N386" i="4"/>
  <c r="M386" i="4"/>
  <c r="I386" i="4"/>
  <c r="H386" i="4"/>
  <c r="G386" i="4"/>
  <c r="F386" i="4"/>
  <c r="E386" i="4"/>
  <c r="C386" i="4"/>
  <c r="B386" i="4"/>
  <c r="A386" i="4"/>
  <c r="AF385" i="4"/>
  <c r="AE385" i="4"/>
  <c r="AD385" i="4"/>
  <c r="AC385" i="4"/>
  <c r="Y385" i="4"/>
  <c r="W385" i="4"/>
  <c r="V385" i="4"/>
  <c r="U385" i="4"/>
  <c r="Q385" i="4"/>
  <c r="O385" i="4"/>
  <c r="N385" i="4"/>
  <c r="M385" i="4"/>
  <c r="I385" i="4"/>
  <c r="H385" i="4"/>
  <c r="G385" i="4"/>
  <c r="F385" i="4"/>
  <c r="E385" i="4"/>
  <c r="D385" i="4"/>
  <c r="C385" i="4"/>
  <c r="B385" i="4"/>
  <c r="A385" i="4"/>
  <c r="AF384" i="4"/>
  <c r="AE384" i="4"/>
  <c r="AD384" i="4"/>
  <c r="AC384" i="4"/>
  <c r="Z384" i="4"/>
  <c r="AA384" i="4" s="1"/>
  <c r="Y384" i="4"/>
  <c r="X384" i="4"/>
  <c r="W384" i="4"/>
  <c r="V384" i="4"/>
  <c r="U384" i="4"/>
  <c r="R384" i="4"/>
  <c r="S384" i="4" s="1"/>
  <c r="Q384" i="4"/>
  <c r="P384" i="4"/>
  <c r="O384" i="4"/>
  <c r="N384" i="4"/>
  <c r="M384" i="4"/>
  <c r="J384" i="4"/>
  <c r="K384" i="4" s="1"/>
  <c r="I384" i="4"/>
  <c r="H384" i="4"/>
  <c r="G384" i="4"/>
  <c r="F384" i="4"/>
  <c r="E384" i="4"/>
  <c r="D384" i="4"/>
  <c r="C384" i="4"/>
  <c r="B384" i="4"/>
  <c r="A384" i="4"/>
  <c r="AF383" i="4"/>
  <c r="AE383" i="4"/>
  <c r="AD383" i="4"/>
  <c r="AC383" i="4"/>
  <c r="Z383" i="4"/>
  <c r="AA383" i="4" s="1"/>
  <c r="Y383" i="4"/>
  <c r="W383" i="4"/>
  <c r="V383" i="4"/>
  <c r="U383" i="4"/>
  <c r="R383" i="4"/>
  <c r="S383" i="4" s="1"/>
  <c r="Q383" i="4"/>
  <c r="P383" i="4"/>
  <c r="O383" i="4"/>
  <c r="N383" i="4"/>
  <c r="M383" i="4"/>
  <c r="I383" i="4"/>
  <c r="H383" i="4"/>
  <c r="G383" i="4"/>
  <c r="F383" i="4"/>
  <c r="E383" i="4"/>
  <c r="D383" i="4"/>
  <c r="C383" i="4"/>
  <c r="B383" i="4"/>
  <c r="A383" i="4"/>
  <c r="AF382" i="4"/>
  <c r="AE382" i="4"/>
  <c r="AD382" i="4"/>
  <c r="AC382" i="4"/>
  <c r="Y382" i="4"/>
  <c r="W382" i="4"/>
  <c r="V382" i="4"/>
  <c r="U382" i="4"/>
  <c r="Q382" i="4"/>
  <c r="P382" i="4"/>
  <c r="O382" i="4"/>
  <c r="N382" i="4"/>
  <c r="M382" i="4"/>
  <c r="I382" i="4"/>
  <c r="H382" i="4"/>
  <c r="G382" i="4"/>
  <c r="F382" i="4"/>
  <c r="E382" i="4"/>
  <c r="D382" i="4"/>
  <c r="C382" i="4"/>
  <c r="B382" i="4"/>
  <c r="A382" i="4"/>
  <c r="AF381" i="4"/>
  <c r="AE381" i="4"/>
  <c r="AD381" i="4"/>
  <c r="AC381" i="4"/>
  <c r="Z381" i="4"/>
  <c r="Y381" i="4"/>
  <c r="X381" i="4"/>
  <c r="W381" i="4"/>
  <c r="V381" i="4"/>
  <c r="U381" i="4"/>
  <c r="S381" i="4"/>
  <c r="R381" i="4"/>
  <c r="Q381" i="4"/>
  <c r="P381" i="4"/>
  <c r="O381" i="4"/>
  <c r="N381" i="4"/>
  <c r="M381" i="4"/>
  <c r="J381" i="4"/>
  <c r="K381" i="4" s="1"/>
  <c r="I381" i="4"/>
  <c r="H381" i="4"/>
  <c r="G381" i="4"/>
  <c r="F381" i="4"/>
  <c r="E381" i="4"/>
  <c r="D381" i="4"/>
  <c r="C381" i="4"/>
  <c r="B381" i="4"/>
  <c r="A381" i="4"/>
  <c r="AF380" i="4"/>
  <c r="AE380" i="4"/>
  <c r="AD380" i="4"/>
  <c r="AC380" i="4"/>
  <c r="Y380" i="4"/>
  <c r="W380" i="4"/>
  <c r="V380" i="4"/>
  <c r="U380" i="4"/>
  <c r="Q380" i="4"/>
  <c r="O380" i="4"/>
  <c r="N380" i="4"/>
  <c r="M380" i="4"/>
  <c r="I380" i="4"/>
  <c r="H380" i="4"/>
  <c r="G380" i="4"/>
  <c r="F380" i="4"/>
  <c r="E380" i="4"/>
  <c r="D380" i="4"/>
  <c r="C380" i="4"/>
  <c r="B380" i="4"/>
  <c r="A380" i="4"/>
  <c r="AF379" i="4"/>
  <c r="AE379" i="4"/>
  <c r="AD379" i="4"/>
  <c r="AC379" i="4"/>
  <c r="AA379" i="4"/>
  <c r="Z379" i="4"/>
  <c r="Y379" i="4"/>
  <c r="W379" i="4"/>
  <c r="V379" i="4"/>
  <c r="U379" i="4"/>
  <c r="Q379" i="4"/>
  <c r="P379" i="4"/>
  <c r="O379" i="4"/>
  <c r="N379" i="4"/>
  <c r="M379" i="4"/>
  <c r="I379" i="4"/>
  <c r="H379" i="4"/>
  <c r="G379" i="4"/>
  <c r="F379" i="4"/>
  <c r="E379" i="4"/>
  <c r="D379" i="4"/>
  <c r="C379" i="4"/>
  <c r="R379" i="4" s="1"/>
  <c r="S379" i="4" s="1"/>
  <c r="B379" i="4"/>
  <c r="A379" i="4"/>
  <c r="AF378" i="4"/>
  <c r="AE378" i="4"/>
  <c r="AD378" i="4"/>
  <c r="AC378" i="4"/>
  <c r="Z378" i="4"/>
  <c r="Y378" i="4"/>
  <c r="X378" i="4"/>
  <c r="W378" i="4"/>
  <c r="V378" i="4"/>
  <c r="U378" i="4"/>
  <c r="R378" i="4"/>
  <c r="S378" i="4" s="1"/>
  <c r="Q378" i="4"/>
  <c r="P378" i="4"/>
  <c r="O378" i="4"/>
  <c r="N378" i="4"/>
  <c r="M378" i="4"/>
  <c r="K378" i="4"/>
  <c r="J378" i="4"/>
  <c r="I378" i="4"/>
  <c r="H378" i="4"/>
  <c r="G378" i="4"/>
  <c r="F378" i="4"/>
  <c r="E378" i="4"/>
  <c r="D378" i="4"/>
  <c r="C378" i="4"/>
  <c r="B378" i="4"/>
  <c r="A378" i="4"/>
  <c r="AF377" i="4"/>
  <c r="AE377" i="4"/>
  <c r="AD377" i="4"/>
  <c r="AC377" i="4"/>
  <c r="Z377" i="4"/>
  <c r="AA377" i="4" s="1"/>
  <c r="Y377" i="4"/>
  <c r="X377" i="4"/>
  <c r="W377" i="4"/>
  <c r="V377" i="4"/>
  <c r="U377" i="4"/>
  <c r="R377" i="4"/>
  <c r="S377" i="4" s="1"/>
  <c r="Q377" i="4"/>
  <c r="P377" i="4"/>
  <c r="O377" i="4"/>
  <c r="N377" i="4"/>
  <c r="M377" i="4"/>
  <c r="I377" i="4"/>
  <c r="H377" i="4"/>
  <c r="G377" i="4"/>
  <c r="F377" i="4"/>
  <c r="E377" i="4"/>
  <c r="D377" i="4"/>
  <c r="C377" i="4"/>
  <c r="J377" i="4" s="1"/>
  <c r="B377" i="4"/>
  <c r="A377" i="4"/>
  <c r="AF376" i="4"/>
  <c r="AE376" i="4"/>
  <c r="AD376" i="4"/>
  <c r="AC376" i="4"/>
  <c r="Z376" i="4"/>
  <c r="AA376" i="4" s="1"/>
  <c r="Y376" i="4"/>
  <c r="X376" i="4"/>
  <c r="W376" i="4"/>
  <c r="V376" i="4"/>
  <c r="U376" i="4"/>
  <c r="Q376" i="4"/>
  <c r="P376" i="4"/>
  <c r="O376" i="4"/>
  <c r="N376" i="4"/>
  <c r="M376" i="4"/>
  <c r="K376" i="4"/>
  <c r="J376" i="4"/>
  <c r="I376" i="4"/>
  <c r="H376" i="4"/>
  <c r="G376" i="4"/>
  <c r="F376" i="4"/>
  <c r="E376" i="4"/>
  <c r="D376" i="4"/>
  <c r="C376" i="4"/>
  <c r="R376" i="4" s="1"/>
  <c r="S376" i="4" s="1"/>
  <c r="B376" i="4"/>
  <c r="A376" i="4"/>
  <c r="AF375" i="4"/>
  <c r="AE375" i="4"/>
  <c r="AD375" i="4"/>
  <c r="AC375" i="4"/>
  <c r="Z375" i="4"/>
  <c r="Y375" i="4"/>
  <c r="X375" i="4"/>
  <c r="W375" i="4"/>
  <c r="V375" i="4"/>
  <c r="U375" i="4"/>
  <c r="R375" i="4"/>
  <c r="S375" i="4" s="1"/>
  <c r="Q375" i="4"/>
  <c r="P375" i="4"/>
  <c r="O375" i="4"/>
  <c r="N375" i="4"/>
  <c r="M375" i="4"/>
  <c r="J375" i="4"/>
  <c r="I375" i="4"/>
  <c r="H375" i="4"/>
  <c r="G375" i="4"/>
  <c r="K375" i="4" s="1"/>
  <c r="F375" i="4"/>
  <c r="E375" i="4"/>
  <c r="D375" i="4"/>
  <c r="C375" i="4"/>
  <c r="B375" i="4"/>
  <c r="A375" i="4"/>
  <c r="AF374" i="4"/>
  <c r="AE374" i="4"/>
  <c r="AD374" i="4"/>
  <c r="AC374" i="4"/>
  <c r="Z374" i="4"/>
  <c r="AA374" i="4" s="1"/>
  <c r="Y374" i="4"/>
  <c r="W374" i="4"/>
  <c r="V374" i="4"/>
  <c r="U374" i="4"/>
  <c r="R374" i="4"/>
  <c r="Q374" i="4"/>
  <c r="P374" i="4"/>
  <c r="O374" i="4"/>
  <c r="S374" i="4" s="1"/>
  <c r="N374" i="4"/>
  <c r="M374" i="4"/>
  <c r="I374" i="4"/>
  <c r="H374" i="4"/>
  <c r="G374" i="4"/>
  <c r="F374" i="4"/>
  <c r="E374" i="4"/>
  <c r="C374" i="4"/>
  <c r="J374" i="4" s="1"/>
  <c r="B374" i="4"/>
  <c r="A374" i="4"/>
  <c r="AF373" i="4"/>
  <c r="AE373" i="4"/>
  <c r="AD373" i="4"/>
  <c r="AC373" i="4"/>
  <c r="Z373" i="4"/>
  <c r="AA373" i="4" s="1"/>
  <c r="Y373" i="4"/>
  <c r="W373" i="4"/>
  <c r="V373" i="4"/>
  <c r="U373" i="4"/>
  <c r="Q373" i="4"/>
  <c r="O373" i="4"/>
  <c r="N373" i="4"/>
  <c r="M373" i="4"/>
  <c r="I373" i="4"/>
  <c r="H373" i="4"/>
  <c r="G373" i="4"/>
  <c r="F373" i="4"/>
  <c r="E373" i="4"/>
  <c r="D373" i="4"/>
  <c r="C373" i="4"/>
  <c r="B373" i="4"/>
  <c r="A373" i="4"/>
  <c r="AF372" i="4"/>
  <c r="AE372" i="4"/>
  <c r="AD372" i="4"/>
  <c r="AC372" i="4"/>
  <c r="Z372" i="4"/>
  <c r="AA372" i="4" s="1"/>
  <c r="Y372" i="4"/>
  <c r="X372" i="4"/>
  <c r="W372" i="4"/>
  <c r="V372" i="4"/>
  <c r="U372" i="4"/>
  <c r="R372" i="4"/>
  <c r="S372" i="4" s="1"/>
  <c r="Q372" i="4"/>
  <c r="P372" i="4"/>
  <c r="O372" i="4"/>
  <c r="N372" i="4"/>
  <c r="M372" i="4"/>
  <c r="J372" i="4"/>
  <c r="K372" i="4" s="1"/>
  <c r="I372" i="4"/>
  <c r="H372" i="4"/>
  <c r="G372" i="4"/>
  <c r="F372" i="4"/>
  <c r="E372" i="4"/>
  <c r="D372" i="4"/>
  <c r="C372" i="4"/>
  <c r="B372" i="4"/>
  <c r="A372" i="4"/>
  <c r="AF371" i="4"/>
  <c r="AE371" i="4"/>
  <c r="AD371" i="4"/>
  <c r="AC371" i="4"/>
  <c r="Y371" i="4"/>
  <c r="W371" i="4"/>
  <c r="V371" i="4"/>
  <c r="U371" i="4"/>
  <c r="Q371" i="4"/>
  <c r="P371" i="4"/>
  <c r="O371" i="4"/>
  <c r="N371" i="4"/>
  <c r="M371" i="4"/>
  <c r="I371" i="4"/>
  <c r="H371" i="4"/>
  <c r="G371" i="4"/>
  <c r="F371" i="4"/>
  <c r="E371" i="4"/>
  <c r="C371" i="4"/>
  <c r="B371" i="4"/>
  <c r="A371" i="4"/>
  <c r="AF370" i="4"/>
  <c r="AE370" i="4"/>
  <c r="AD370" i="4"/>
  <c r="AC370" i="4"/>
  <c r="Z370" i="4"/>
  <c r="Y370" i="4"/>
  <c r="X370" i="4"/>
  <c r="W370" i="4"/>
  <c r="V370" i="4"/>
  <c r="U370" i="4"/>
  <c r="Q370" i="4"/>
  <c r="P370" i="4"/>
  <c r="O370" i="4"/>
  <c r="N370" i="4"/>
  <c r="M370" i="4"/>
  <c r="J370" i="4"/>
  <c r="K370" i="4" s="1"/>
  <c r="I370" i="4"/>
  <c r="H370" i="4"/>
  <c r="G370" i="4"/>
  <c r="F370" i="4"/>
  <c r="E370" i="4"/>
  <c r="D370" i="4"/>
  <c r="C370" i="4"/>
  <c r="R370" i="4" s="1"/>
  <c r="S370" i="4" s="1"/>
  <c r="B370" i="4"/>
  <c r="A370" i="4"/>
  <c r="AF369" i="4"/>
  <c r="AE369" i="4"/>
  <c r="AD369" i="4"/>
  <c r="AC369" i="4"/>
  <c r="Z369" i="4"/>
  <c r="AA369" i="4" s="1"/>
  <c r="Y369" i="4"/>
  <c r="X369" i="4"/>
  <c r="W369" i="4"/>
  <c r="V369" i="4"/>
  <c r="U369" i="4"/>
  <c r="S369" i="4"/>
  <c r="R369" i="4"/>
  <c r="Q369" i="4"/>
  <c r="P369" i="4"/>
  <c r="O369" i="4"/>
  <c r="N369" i="4"/>
  <c r="M369" i="4"/>
  <c r="J369" i="4"/>
  <c r="K369" i="4" s="1"/>
  <c r="I369" i="4"/>
  <c r="H369" i="4"/>
  <c r="G369" i="4"/>
  <c r="F369" i="4"/>
  <c r="E369" i="4"/>
  <c r="D369" i="4"/>
  <c r="C369" i="4"/>
  <c r="B369" i="4"/>
  <c r="A369" i="4"/>
  <c r="AF368" i="4"/>
  <c r="AE368" i="4"/>
  <c r="AD368" i="4"/>
  <c r="AC368" i="4"/>
  <c r="Y368" i="4"/>
  <c r="W368" i="4"/>
  <c r="V368" i="4"/>
  <c r="U368" i="4"/>
  <c r="Q368" i="4"/>
  <c r="O368" i="4"/>
  <c r="N368" i="4"/>
  <c r="M368" i="4"/>
  <c r="I368" i="4"/>
  <c r="H368" i="4"/>
  <c r="G368" i="4"/>
  <c r="F368" i="4"/>
  <c r="E368" i="4"/>
  <c r="C368" i="4"/>
  <c r="B368" i="4"/>
  <c r="A368" i="4"/>
  <c r="AF367" i="4"/>
  <c r="AE367" i="4"/>
  <c r="AD367" i="4"/>
  <c r="AC367" i="4"/>
  <c r="Y367" i="4"/>
  <c r="W367" i="4"/>
  <c r="V367" i="4"/>
  <c r="U367" i="4"/>
  <c r="Q367" i="4"/>
  <c r="O367" i="4"/>
  <c r="N367" i="4"/>
  <c r="M367" i="4"/>
  <c r="I367" i="4"/>
  <c r="H367" i="4"/>
  <c r="G367" i="4"/>
  <c r="F367" i="4"/>
  <c r="E367" i="4"/>
  <c r="D367" i="4"/>
  <c r="C367" i="4"/>
  <c r="P367" i="4" s="1"/>
  <c r="B367" i="4"/>
  <c r="A367" i="4"/>
  <c r="AF366" i="4"/>
  <c r="AE366" i="4"/>
  <c r="AD366" i="4"/>
  <c r="AC366" i="4"/>
  <c r="Z366" i="4"/>
  <c r="Y366" i="4"/>
  <c r="X366" i="4"/>
  <c r="W366" i="4"/>
  <c r="V366" i="4"/>
  <c r="U366" i="4"/>
  <c r="S366" i="4"/>
  <c r="R366" i="4"/>
  <c r="Q366" i="4"/>
  <c r="P366" i="4"/>
  <c r="O366" i="4"/>
  <c r="N366" i="4"/>
  <c r="M366" i="4"/>
  <c r="J366" i="4"/>
  <c r="K366" i="4" s="1"/>
  <c r="I366" i="4"/>
  <c r="H366" i="4"/>
  <c r="G366" i="4"/>
  <c r="F366" i="4"/>
  <c r="E366" i="4"/>
  <c r="D366" i="4"/>
  <c r="C366" i="4"/>
  <c r="B366" i="4"/>
  <c r="A366" i="4"/>
  <c r="AF365" i="4"/>
  <c r="AE365" i="4"/>
  <c r="AD365" i="4"/>
  <c r="AC365" i="4"/>
  <c r="Y365" i="4"/>
  <c r="W365" i="4"/>
  <c r="V365" i="4"/>
  <c r="U365" i="4"/>
  <c r="Q365" i="4"/>
  <c r="O365" i="4"/>
  <c r="N365" i="4"/>
  <c r="M365" i="4"/>
  <c r="I365" i="4"/>
  <c r="H365" i="4"/>
  <c r="G365" i="4"/>
  <c r="F365" i="4"/>
  <c r="E365" i="4"/>
  <c r="D365" i="4"/>
  <c r="C365" i="4"/>
  <c r="B365" i="4"/>
  <c r="A365" i="4"/>
  <c r="AF364" i="4"/>
  <c r="AE364" i="4"/>
  <c r="AD364" i="4"/>
  <c r="AC364" i="4"/>
  <c r="Y364" i="4"/>
  <c r="W364" i="4"/>
  <c r="V364" i="4"/>
  <c r="U364" i="4"/>
  <c r="Q364" i="4"/>
  <c r="P364" i="4"/>
  <c r="O364" i="4"/>
  <c r="N364" i="4"/>
  <c r="M364" i="4"/>
  <c r="I364" i="4"/>
  <c r="H364" i="4"/>
  <c r="G364" i="4"/>
  <c r="F364" i="4"/>
  <c r="E364" i="4"/>
  <c r="D364" i="4"/>
  <c r="C364" i="4"/>
  <c r="B364" i="4"/>
  <c r="A364" i="4"/>
  <c r="AF363" i="4"/>
  <c r="AE363" i="4"/>
  <c r="AD363" i="4"/>
  <c r="AC363" i="4"/>
  <c r="Z363" i="4"/>
  <c r="Y363" i="4"/>
  <c r="X363" i="4"/>
  <c r="W363" i="4"/>
  <c r="V363" i="4"/>
  <c r="U363" i="4"/>
  <c r="R363" i="4"/>
  <c r="S363" i="4" s="1"/>
  <c r="Q363" i="4"/>
  <c r="P363" i="4"/>
  <c r="O363" i="4"/>
  <c r="N363" i="4"/>
  <c r="M363" i="4"/>
  <c r="K363" i="4"/>
  <c r="J363" i="4"/>
  <c r="I363" i="4"/>
  <c r="H363" i="4"/>
  <c r="G363" i="4"/>
  <c r="F363" i="4"/>
  <c r="E363" i="4"/>
  <c r="D363" i="4"/>
  <c r="C363" i="4"/>
  <c r="B363" i="4"/>
  <c r="A363" i="4"/>
  <c r="AF362" i="4"/>
  <c r="AE362" i="4"/>
  <c r="AD362" i="4"/>
  <c r="AC362" i="4"/>
  <c r="Y362" i="4"/>
  <c r="W362" i="4"/>
  <c r="V362" i="4"/>
  <c r="U362" i="4"/>
  <c r="Q362" i="4"/>
  <c r="O362" i="4"/>
  <c r="N362" i="4"/>
  <c r="M362" i="4"/>
  <c r="I362" i="4"/>
  <c r="H362" i="4"/>
  <c r="G362" i="4"/>
  <c r="F362" i="4"/>
  <c r="E362" i="4"/>
  <c r="C362" i="4"/>
  <c r="R362" i="4" s="1"/>
  <c r="S362" i="4" s="1"/>
  <c r="B362" i="4"/>
  <c r="A362" i="4"/>
  <c r="AF361" i="4"/>
  <c r="AE361" i="4"/>
  <c r="AD361" i="4"/>
  <c r="AC361" i="4"/>
  <c r="Y361" i="4"/>
  <c r="W361" i="4"/>
  <c r="V361" i="4"/>
  <c r="U361" i="4"/>
  <c r="Q361" i="4"/>
  <c r="O361" i="4"/>
  <c r="N361" i="4"/>
  <c r="M361" i="4"/>
  <c r="I361" i="4"/>
  <c r="H361" i="4"/>
  <c r="G361" i="4"/>
  <c r="F361" i="4"/>
  <c r="E361" i="4"/>
  <c r="D361" i="4"/>
  <c r="C361" i="4"/>
  <c r="B361" i="4"/>
  <c r="A361" i="4"/>
  <c r="AF360" i="4"/>
  <c r="AE360" i="4"/>
  <c r="AD360" i="4"/>
  <c r="AC360" i="4"/>
  <c r="Z360" i="4"/>
  <c r="Y360" i="4"/>
  <c r="X360" i="4"/>
  <c r="W360" i="4"/>
  <c r="V360" i="4"/>
  <c r="U360" i="4"/>
  <c r="R360" i="4"/>
  <c r="S360" i="4" s="1"/>
  <c r="Q360" i="4"/>
  <c r="P360" i="4"/>
  <c r="O360" i="4"/>
  <c r="N360" i="4"/>
  <c r="M360" i="4"/>
  <c r="J360" i="4"/>
  <c r="K360" i="4" s="1"/>
  <c r="I360" i="4"/>
  <c r="H360" i="4"/>
  <c r="G360" i="4"/>
  <c r="F360" i="4"/>
  <c r="E360" i="4"/>
  <c r="D360" i="4"/>
  <c r="C360" i="4"/>
  <c r="B360" i="4"/>
  <c r="A360" i="4"/>
  <c r="AF359" i="4"/>
  <c r="AE359" i="4"/>
  <c r="AD359" i="4"/>
  <c r="AC359" i="4"/>
  <c r="Z359" i="4"/>
  <c r="AA359" i="4" s="1"/>
  <c r="Y359" i="4"/>
  <c r="X359" i="4"/>
  <c r="W359" i="4"/>
  <c r="V359" i="4"/>
  <c r="U359" i="4"/>
  <c r="R359" i="4"/>
  <c r="S359" i="4" s="1"/>
  <c r="Q359" i="4"/>
  <c r="O359" i="4"/>
  <c r="N359" i="4"/>
  <c r="M359" i="4"/>
  <c r="I359" i="4"/>
  <c r="H359" i="4"/>
  <c r="G359" i="4"/>
  <c r="F359" i="4"/>
  <c r="E359" i="4"/>
  <c r="D359" i="4"/>
  <c r="C359" i="4"/>
  <c r="J359" i="4" s="1"/>
  <c r="B359" i="4"/>
  <c r="A359" i="4"/>
  <c r="AF358" i="4"/>
  <c r="AE358" i="4"/>
  <c r="AD358" i="4"/>
  <c r="AC358" i="4"/>
  <c r="Z358" i="4"/>
  <c r="AA358" i="4" s="1"/>
  <c r="Y358" i="4"/>
  <c r="X358" i="4"/>
  <c r="W358" i="4"/>
  <c r="V358" i="4"/>
  <c r="U358" i="4"/>
  <c r="Q358" i="4"/>
  <c r="P358" i="4"/>
  <c r="O358" i="4"/>
  <c r="N358" i="4"/>
  <c r="M358" i="4"/>
  <c r="K358" i="4"/>
  <c r="J358" i="4"/>
  <c r="I358" i="4"/>
  <c r="H358" i="4"/>
  <c r="G358" i="4"/>
  <c r="F358" i="4"/>
  <c r="E358" i="4"/>
  <c r="D358" i="4"/>
  <c r="C358" i="4"/>
  <c r="R358" i="4" s="1"/>
  <c r="S358" i="4" s="1"/>
  <c r="B358" i="4"/>
  <c r="A358" i="4"/>
  <c r="AF357" i="4"/>
  <c r="AE357" i="4"/>
  <c r="AD357" i="4"/>
  <c r="AC357" i="4"/>
  <c r="Z357" i="4"/>
  <c r="Y357" i="4"/>
  <c r="X357" i="4"/>
  <c r="W357" i="4"/>
  <c r="V357" i="4"/>
  <c r="U357" i="4"/>
  <c r="R357" i="4"/>
  <c r="S357" i="4" s="1"/>
  <c r="Q357" i="4"/>
  <c r="P357" i="4"/>
  <c r="O357" i="4"/>
  <c r="N357" i="4"/>
  <c r="M357" i="4"/>
  <c r="K357" i="4"/>
  <c r="J357" i="4"/>
  <c r="I357" i="4"/>
  <c r="H357" i="4"/>
  <c r="G357" i="4"/>
  <c r="F357" i="4"/>
  <c r="E357" i="4"/>
  <c r="D357" i="4"/>
  <c r="C357" i="4"/>
  <c r="B357" i="4"/>
  <c r="A357" i="4"/>
  <c r="AF356" i="4"/>
  <c r="AE356" i="4"/>
  <c r="AD356" i="4"/>
  <c r="AC356" i="4"/>
  <c r="Z356" i="4"/>
  <c r="AA356" i="4" s="1"/>
  <c r="Y356" i="4"/>
  <c r="W356" i="4"/>
  <c r="V356" i="4"/>
  <c r="U356" i="4"/>
  <c r="Q356" i="4"/>
  <c r="P356" i="4"/>
  <c r="O356" i="4"/>
  <c r="N356" i="4"/>
  <c r="M356" i="4"/>
  <c r="I356" i="4"/>
  <c r="H356" i="4"/>
  <c r="G356" i="4"/>
  <c r="F356" i="4"/>
  <c r="E356" i="4"/>
  <c r="C356" i="4"/>
  <c r="B356" i="4"/>
  <c r="A356" i="4"/>
  <c r="AF355" i="4"/>
  <c r="AE355" i="4"/>
  <c r="AD355" i="4"/>
  <c r="AC355" i="4"/>
  <c r="Z355" i="4"/>
  <c r="AA355" i="4" s="1"/>
  <c r="Y355" i="4"/>
  <c r="W355" i="4"/>
  <c r="V355" i="4"/>
  <c r="U355" i="4"/>
  <c r="Q355" i="4"/>
  <c r="P355" i="4"/>
  <c r="O355" i="4"/>
  <c r="N355" i="4"/>
  <c r="M355" i="4"/>
  <c r="I355" i="4"/>
  <c r="H355" i="4"/>
  <c r="G355" i="4"/>
  <c r="F355" i="4"/>
  <c r="E355" i="4"/>
  <c r="D355" i="4"/>
  <c r="C355" i="4"/>
  <c r="R355" i="4" s="1"/>
  <c r="S355" i="4" s="1"/>
  <c r="B355" i="4"/>
  <c r="A355" i="4"/>
  <c r="AF354" i="4"/>
  <c r="AE354" i="4"/>
  <c r="AD354" i="4"/>
  <c r="AC354" i="4"/>
  <c r="Z354" i="4"/>
  <c r="AA354" i="4" s="1"/>
  <c r="Y354" i="4"/>
  <c r="X354" i="4"/>
  <c r="W354" i="4"/>
  <c r="V354" i="4"/>
  <c r="U354" i="4"/>
  <c r="R354" i="4"/>
  <c r="S354" i="4" s="1"/>
  <c r="Q354" i="4"/>
  <c r="P354" i="4"/>
  <c r="O354" i="4"/>
  <c r="N354" i="4"/>
  <c r="M354" i="4"/>
  <c r="J354" i="4"/>
  <c r="I354" i="4"/>
  <c r="H354" i="4"/>
  <c r="G354" i="4"/>
  <c r="K354" i="4" s="1"/>
  <c r="F354" i="4"/>
  <c r="E354" i="4"/>
  <c r="D354" i="4"/>
  <c r="C354" i="4"/>
  <c r="B354" i="4"/>
  <c r="A354" i="4"/>
  <c r="AF353" i="4"/>
  <c r="AE353" i="4"/>
  <c r="AD353" i="4"/>
  <c r="AC353" i="4"/>
  <c r="AA353" i="4"/>
  <c r="Z353" i="4"/>
  <c r="Y353" i="4"/>
  <c r="X353" i="4"/>
  <c r="W353" i="4"/>
  <c r="V353" i="4"/>
  <c r="U353" i="4"/>
  <c r="R353" i="4"/>
  <c r="Q353" i="4"/>
  <c r="P353" i="4"/>
  <c r="O353" i="4"/>
  <c r="S353" i="4" s="1"/>
  <c r="N353" i="4"/>
  <c r="M353" i="4"/>
  <c r="I353" i="4"/>
  <c r="H353" i="4"/>
  <c r="G353" i="4"/>
  <c r="F353" i="4"/>
  <c r="E353" i="4"/>
  <c r="C353" i="4"/>
  <c r="J353" i="4" s="1"/>
  <c r="B353" i="4"/>
  <c r="A353" i="4"/>
  <c r="D353" i="4" s="1"/>
  <c r="AF352" i="4"/>
  <c r="AE352" i="4"/>
  <c r="AD352" i="4"/>
  <c r="AC352" i="4"/>
  <c r="Y352" i="4"/>
  <c r="W352" i="4"/>
  <c r="V352" i="4"/>
  <c r="U352" i="4"/>
  <c r="Q352" i="4"/>
  <c r="O352" i="4"/>
  <c r="N352" i="4"/>
  <c r="M352" i="4"/>
  <c r="I352" i="4"/>
  <c r="H352" i="4"/>
  <c r="G352" i="4"/>
  <c r="F352" i="4"/>
  <c r="E352" i="4"/>
  <c r="D352" i="4"/>
  <c r="C352" i="4"/>
  <c r="P352" i="4" s="1"/>
  <c r="B352" i="4"/>
  <c r="A352" i="4"/>
  <c r="AF351" i="4"/>
  <c r="AE351" i="4"/>
  <c r="AD351" i="4"/>
  <c r="AC351" i="4"/>
  <c r="Z351" i="4"/>
  <c r="Y351" i="4"/>
  <c r="X351" i="4"/>
  <c r="W351" i="4"/>
  <c r="V351" i="4"/>
  <c r="U351" i="4"/>
  <c r="S351" i="4"/>
  <c r="R351" i="4"/>
  <c r="Q351" i="4"/>
  <c r="P351" i="4"/>
  <c r="O351" i="4"/>
  <c r="N351" i="4"/>
  <c r="M351" i="4"/>
  <c r="J351" i="4"/>
  <c r="K351" i="4" s="1"/>
  <c r="I351" i="4"/>
  <c r="H351" i="4"/>
  <c r="G351" i="4"/>
  <c r="F351" i="4"/>
  <c r="E351" i="4"/>
  <c r="D351" i="4"/>
  <c r="C351" i="4"/>
  <c r="B351" i="4"/>
  <c r="A351" i="4"/>
  <c r="AF350" i="4"/>
  <c r="AE350" i="4"/>
  <c r="AD350" i="4"/>
  <c r="AC350" i="4"/>
  <c r="Y350" i="4"/>
  <c r="W350" i="4"/>
  <c r="V350" i="4"/>
  <c r="U350" i="4"/>
  <c r="R350" i="4"/>
  <c r="S350" i="4" s="1"/>
  <c r="Q350" i="4"/>
  <c r="P350" i="4"/>
  <c r="O350" i="4"/>
  <c r="N350" i="4"/>
  <c r="M350" i="4"/>
  <c r="I350" i="4"/>
  <c r="H350" i="4"/>
  <c r="G350" i="4"/>
  <c r="F350" i="4"/>
  <c r="E350" i="4"/>
  <c r="C350" i="4"/>
  <c r="B350" i="4"/>
  <c r="A350" i="4"/>
  <c r="AF349" i="4"/>
  <c r="AE349" i="4"/>
  <c r="AD349" i="4"/>
  <c r="AC349" i="4"/>
  <c r="Y349" i="4"/>
  <c r="W349" i="4"/>
  <c r="V349" i="4"/>
  <c r="U349" i="4"/>
  <c r="Q349" i="4"/>
  <c r="O349" i="4"/>
  <c r="N349" i="4"/>
  <c r="M349" i="4"/>
  <c r="J349" i="4"/>
  <c r="K349" i="4" s="1"/>
  <c r="I349" i="4"/>
  <c r="H349" i="4"/>
  <c r="G349" i="4"/>
  <c r="F349" i="4"/>
  <c r="E349" i="4"/>
  <c r="D349" i="4"/>
  <c r="C349" i="4"/>
  <c r="B349" i="4"/>
  <c r="A349" i="4"/>
  <c r="AF348" i="4"/>
  <c r="AE348" i="4"/>
  <c r="AD348" i="4"/>
  <c r="AC348" i="4"/>
  <c r="Z348" i="4"/>
  <c r="AA348" i="4" s="1"/>
  <c r="Y348" i="4"/>
  <c r="X348" i="4"/>
  <c r="W348" i="4"/>
  <c r="V348" i="4"/>
  <c r="U348" i="4"/>
  <c r="R348" i="4"/>
  <c r="S348" i="4" s="1"/>
  <c r="Q348" i="4"/>
  <c r="P348" i="4"/>
  <c r="O348" i="4"/>
  <c r="N348" i="4"/>
  <c r="M348" i="4"/>
  <c r="J348" i="4"/>
  <c r="K348" i="4" s="1"/>
  <c r="I348" i="4"/>
  <c r="H348" i="4"/>
  <c r="G348" i="4"/>
  <c r="F348" i="4"/>
  <c r="E348" i="4"/>
  <c r="D348" i="4"/>
  <c r="C348" i="4"/>
  <c r="B348" i="4"/>
  <c r="A348" i="4"/>
  <c r="AF347" i="4"/>
  <c r="AE347" i="4"/>
  <c r="AD347" i="4"/>
  <c r="AC347" i="4"/>
  <c r="Z347" i="4"/>
  <c r="AA347" i="4" s="1"/>
  <c r="Y347" i="4"/>
  <c r="X347" i="4"/>
  <c r="W347" i="4"/>
  <c r="V347" i="4"/>
  <c r="U347" i="4"/>
  <c r="R347" i="4"/>
  <c r="S347" i="4" s="1"/>
  <c r="Q347" i="4"/>
  <c r="P347" i="4"/>
  <c r="O347" i="4"/>
  <c r="N347" i="4"/>
  <c r="M347" i="4"/>
  <c r="I347" i="4"/>
  <c r="H347" i="4"/>
  <c r="G347" i="4"/>
  <c r="F347" i="4"/>
  <c r="E347" i="4"/>
  <c r="D347" i="4"/>
  <c r="C347" i="4"/>
  <c r="J347" i="4" s="1"/>
  <c r="K347" i="4" s="1"/>
  <c r="B347" i="4"/>
  <c r="A347" i="4"/>
  <c r="AF346" i="4"/>
  <c r="AE346" i="4"/>
  <c r="AD346" i="4"/>
  <c r="AC346" i="4"/>
  <c r="Y346" i="4"/>
  <c r="W346" i="4"/>
  <c r="V346" i="4"/>
  <c r="U346" i="4"/>
  <c r="Q346" i="4"/>
  <c r="O346" i="4"/>
  <c r="N346" i="4"/>
  <c r="M346" i="4"/>
  <c r="I346" i="4"/>
  <c r="H346" i="4"/>
  <c r="G346" i="4"/>
  <c r="F346" i="4"/>
  <c r="E346" i="4"/>
  <c r="D346" i="4"/>
  <c r="C346" i="4"/>
  <c r="P346" i="4" s="1"/>
  <c r="B346" i="4"/>
  <c r="A346" i="4"/>
  <c r="AF345" i="4"/>
  <c r="AE345" i="4"/>
  <c r="AD345" i="4"/>
  <c r="AC345" i="4"/>
  <c r="Z345" i="4"/>
  <c r="AA345" i="4" s="1"/>
  <c r="Y345" i="4"/>
  <c r="X345" i="4"/>
  <c r="W345" i="4"/>
  <c r="V345" i="4"/>
  <c r="U345" i="4"/>
  <c r="R345" i="4"/>
  <c r="S345" i="4" s="1"/>
  <c r="Q345" i="4"/>
  <c r="P345" i="4"/>
  <c r="O345" i="4"/>
  <c r="N345" i="4"/>
  <c r="M345" i="4"/>
  <c r="J345" i="4"/>
  <c r="K345" i="4" s="1"/>
  <c r="I345" i="4"/>
  <c r="H345" i="4"/>
  <c r="G345" i="4"/>
  <c r="F345" i="4"/>
  <c r="E345" i="4"/>
  <c r="D345" i="4"/>
  <c r="C345" i="4"/>
  <c r="B345" i="4"/>
  <c r="A345" i="4"/>
  <c r="AF344" i="4"/>
  <c r="AE344" i="4"/>
  <c r="AD344" i="4"/>
  <c r="AC344" i="4"/>
  <c r="Z344" i="4"/>
  <c r="AA344" i="4" s="1"/>
  <c r="Y344" i="4"/>
  <c r="X344" i="4"/>
  <c r="W344" i="4"/>
  <c r="V344" i="4"/>
  <c r="U344" i="4"/>
  <c r="S344" i="4"/>
  <c r="R344" i="4"/>
  <c r="Q344" i="4"/>
  <c r="O344" i="4"/>
  <c r="N344" i="4"/>
  <c r="M344" i="4"/>
  <c r="I344" i="4"/>
  <c r="H344" i="4"/>
  <c r="G344" i="4"/>
  <c r="F344" i="4"/>
  <c r="E344" i="4"/>
  <c r="C344" i="4"/>
  <c r="P344" i="4" s="1"/>
  <c r="B344" i="4"/>
  <c r="A344" i="4"/>
  <c r="AF343" i="4"/>
  <c r="AE343" i="4"/>
  <c r="AD343" i="4"/>
  <c r="AC343" i="4"/>
  <c r="AA343" i="4"/>
  <c r="Z343" i="4"/>
  <c r="Y343" i="4"/>
  <c r="W343" i="4"/>
  <c r="V343" i="4"/>
  <c r="U343" i="4"/>
  <c r="R343" i="4"/>
  <c r="Q343" i="4"/>
  <c r="P343" i="4"/>
  <c r="O343" i="4"/>
  <c r="N343" i="4"/>
  <c r="M343" i="4"/>
  <c r="I343" i="4"/>
  <c r="H343" i="4"/>
  <c r="G343" i="4"/>
  <c r="F343" i="4"/>
  <c r="E343" i="4"/>
  <c r="D343" i="4"/>
  <c r="C343" i="4"/>
  <c r="B343" i="4"/>
  <c r="A343" i="4"/>
  <c r="AF342" i="4"/>
  <c r="AE342" i="4"/>
  <c r="AD342" i="4"/>
  <c r="AC342" i="4"/>
  <c r="Z342" i="4"/>
  <c r="AA342" i="4" s="1"/>
  <c r="Y342" i="4"/>
  <c r="X342" i="4"/>
  <c r="W342" i="4"/>
  <c r="V342" i="4"/>
  <c r="U342" i="4"/>
  <c r="S342" i="4"/>
  <c r="R342" i="4"/>
  <c r="Q342" i="4"/>
  <c r="P342" i="4"/>
  <c r="O342" i="4"/>
  <c r="N342" i="4"/>
  <c r="M342" i="4"/>
  <c r="J342" i="4"/>
  <c r="I342" i="4"/>
  <c r="H342" i="4"/>
  <c r="G342" i="4"/>
  <c r="F342" i="4"/>
  <c r="E342" i="4"/>
  <c r="D342" i="4"/>
  <c r="C342" i="4"/>
  <c r="B342" i="4"/>
  <c r="A342" i="4"/>
  <c r="AF341" i="4"/>
  <c r="AE341" i="4"/>
  <c r="AD341" i="4"/>
  <c r="AC341" i="4"/>
  <c r="Y341" i="4"/>
  <c r="W341" i="4"/>
  <c r="V341" i="4"/>
  <c r="U341" i="4"/>
  <c r="R341" i="4"/>
  <c r="S341" i="4" s="1"/>
  <c r="Q341" i="4"/>
  <c r="O341" i="4"/>
  <c r="N341" i="4"/>
  <c r="M341" i="4"/>
  <c r="I341" i="4"/>
  <c r="H341" i="4"/>
  <c r="G341" i="4"/>
  <c r="F341" i="4"/>
  <c r="E341" i="4"/>
  <c r="D341" i="4"/>
  <c r="C341" i="4"/>
  <c r="B341" i="4"/>
  <c r="A341" i="4"/>
  <c r="AF340" i="4"/>
  <c r="AE340" i="4"/>
  <c r="AD340" i="4"/>
  <c r="AC340" i="4"/>
  <c r="Y340" i="4"/>
  <c r="W340" i="4"/>
  <c r="V340" i="4"/>
  <c r="U340" i="4"/>
  <c r="Q340" i="4"/>
  <c r="O340" i="4"/>
  <c r="N340" i="4"/>
  <c r="M340" i="4"/>
  <c r="J340" i="4"/>
  <c r="K340" i="4" s="1"/>
  <c r="I340" i="4"/>
  <c r="H340" i="4"/>
  <c r="G340" i="4"/>
  <c r="F340" i="4"/>
  <c r="E340" i="4"/>
  <c r="D340" i="4"/>
  <c r="C340" i="4"/>
  <c r="B340" i="4"/>
  <c r="A340" i="4"/>
  <c r="AF339" i="4"/>
  <c r="AE339" i="4"/>
  <c r="AD339" i="4"/>
  <c r="AC339" i="4"/>
  <c r="Z339" i="4"/>
  <c r="Y339" i="4"/>
  <c r="X339" i="4"/>
  <c r="W339" i="4"/>
  <c r="V339" i="4"/>
  <c r="U339" i="4"/>
  <c r="S339" i="4"/>
  <c r="R339" i="4"/>
  <c r="Q339" i="4"/>
  <c r="P339" i="4"/>
  <c r="O339" i="4"/>
  <c r="N339" i="4"/>
  <c r="M339" i="4"/>
  <c r="J339" i="4"/>
  <c r="K339" i="4" s="1"/>
  <c r="I339" i="4"/>
  <c r="H339" i="4"/>
  <c r="G339" i="4"/>
  <c r="F339" i="4"/>
  <c r="E339" i="4"/>
  <c r="D339" i="4"/>
  <c r="C339" i="4"/>
  <c r="B339" i="4"/>
  <c r="A339" i="4"/>
  <c r="AF338" i="4"/>
  <c r="AE338" i="4"/>
  <c r="AD338" i="4"/>
  <c r="AC338" i="4"/>
  <c r="Y338" i="4"/>
  <c r="W338" i="4"/>
  <c r="V338" i="4"/>
  <c r="U338" i="4"/>
  <c r="Q338" i="4"/>
  <c r="P338" i="4"/>
  <c r="O338" i="4"/>
  <c r="N338" i="4"/>
  <c r="M338" i="4"/>
  <c r="I338" i="4"/>
  <c r="H338" i="4"/>
  <c r="G338" i="4"/>
  <c r="F338" i="4"/>
  <c r="E338" i="4"/>
  <c r="C338" i="4"/>
  <c r="J338" i="4" s="1"/>
  <c r="K338" i="4" s="1"/>
  <c r="B338" i="4"/>
  <c r="A338" i="4"/>
  <c r="AF337" i="4"/>
  <c r="AE337" i="4"/>
  <c r="AD337" i="4"/>
  <c r="AC337" i="4"/>
  <c r="Z337" i="4"/>
  <c r="AA337" i="4" s="1"/>
  <c r="Y337" i="4"/>
  <c r="W337" i="4"/>
  <c r="V337" i="4"/>
  <c r="U337" i="4"/>
  <c r="R337" i="4"/>
  <c r="S337" i="4" s="1"/>
  <c r="Q337" i="4"/>
  <c r="P337" i="4"/>
  <c r="O337" i="4"/>
  <c r="N337" i="4"/>
  <c r="M337" i="4"/>
  <c r="J337" i="4"/>
  <c r="K337" i="4" s="1"/>
  <c r="I337" i="4"/>
  <c r="H337" i="4"/>
  <c r="G337" i="4"/>
  <c r="F337" i="4"/>
  <c r="E337" i="4"/>
  <c r="D337" i="4"/>
  <c r="C337" i="4"/>
  <c r="X337" i="4" s="1"/>
  <c r="B337" i="4"/>
  <c r="A337" i="4"/>
  <c r="AF336" i="4"/>
  <c r="AE336" i="4"/>
  <c r="AD336" i="4"/>
  <c r="AC336" i="4"/>
  <c r="Z336" i="4"/>
  <c r="AA336" i="4" s="1"/>
  <c r="Y336" i="4"/>
  <c r="X336" i="4"/>
  <c r="W336" i="4"/>
  <c r="V336" i="4"/>
  <c r="U336" i="4"/>
  <c r="S336" i="4"/>
  <c r="R336" i="4"/>
  <c r="Q336" i="4"/>
  <c r="P336" i="4"/>
  <c r="O336" i="4"/>
  <c r="N336" i="4"/>
  <c r="M336" i="4"/>
  <c r="J336" i="4"/>
  <c r="I336" i="4"/>
  <c r="H336" i="4"/>
  <c r="G336" i="4"/>
  <c r="K336" i="4" s="1"/>
  <c r="F336" i="4"/>
  <c r="E336" i="4"/>
  <c r="D336" i="4"/>
  <c r="C336" i="4"/>
  <c r="B336" i="4"/>
  <c r="A336" i="4"/>
  <c r="AF335" i="4"/>
  <c r="AE335" i="4"/>
  <c r="AD335" i="4"/>
  <c r="AC335" i="4"/>
  <c r="Y335" i="4"/>
  <c r="W335" i="4"/>
  <c r="V335" i="4"/>
  <c r="U335" i="4"/>
  <c r="Q335" i="4"/>
  <c r="O335" i="4"/>
  <c r="N335" i="4"/>
  <c r="M335" i="4"/>
  <c r="J335" i="4"/>
  <c r="K335" i="4" s="1"/>
  <c r="I335" i="4"/>
  <c r="H335" i="4"/>
  <c r="G335" i="4"/>
  <c r="F335" i="4"/>
  <c r="E335" i="4"/>
  <c r="D335" i="4"/>
  <c r="C335" i="4"/>
  <c r="B335" i="4"/>
  <c r="A335" i="4"/>
  <c r="AF334" i="4"/>
  <c r="AE334" i="4"/>
  <c r="AD334" i="4"/>
  <c r="AC334" i="4"/>
  <c r="Y334" i="4"/>
  <c r="W334" i="4"/>
  <c r="V334" i="4"/>
  <c r="U334" i="4"/>
  <c r="Q334" i="4"/>
  <c r="O334" i="4"/>
  <c r="N334" i="4"/>
  <c r="M334" i="4"/>
  <c r="I334" i="4"/>
  <c r="H334" i="4"/>
  <c r="G334" i="4"/>
  <c r="F334" i="4"/>
  <c r="E334" i="4"/>
  <c r="D334" i="4"/>
  <c r="C334" i="4"/>
  <c r="B334" i="4"/>
  <c r="A334" i="4"/>
  <c r="AF333" i="4"/>
  <c r="AE333" i="4"/>
  <c r="AD333" i="4"/>
  <c r="AC333" i="4"/>
  <c r="Z333" i="4"/>
  <c r="AA333" i="4" s="1"/>
  <c r="Y333" i="4"/>
  <c r="X333" i="4"/>
  <c r="W333" i="4"/>
  <c r="V333" i="4"/>
  <c r="U333" i="4"/>
  <c r="R333" i="4"/>
  <c r="S333" i="4" s="1"/>
  <c r="Q333" i="4"/>
  <c r="P333" i="4"/>
  <c r="O333" i="4"/>
  <c r="N333" i="4"/>
  <c r="M333" i="4"/>
  <c r="J333" i="4"/>
  <c r="K333" i="4" s="1"/>
  <c r="I333" i="4"/>
  <c r="H333" i="4"/>
  <c r="G333" i="4"/>
  <c r="F333" i="4"/>
  <c r="E333" i="4"/>
  <c r="D333" i="4"/>
  <c r="C333" i="4"/>
  <c r="B333" i="4"/>
  <c r="A333" i="4"/>
  <c r="AF332" i="4"/>
  <c r="AE332" i="4"/>
  <c r="AD332" i="4"/>
  <c r="AC332" i="4"/>
  <c r="Z332" i="4"/>
  <c r="AA332" i="4" s="1"/>
  <c r="Y332" i="4"/>
  <c r="X332" i="4"/>
  <c r="W332" i="4"/>
  <c r="V332" i="4"/>
  <c r="U332" i="4"/>
  <c r="R332" i="4"/>
  <c r="S332" i="4" s="1"/>
  <c r="Q332" i="4"/>
  <c r="O332" i="4"/>
  <c r="N332" i="4"/>
  <c r="M332" i="4"/>
  <c r="I332" i="4"/>
  <c r="H332" i="4"/>
  <c r="G332" i="4"/>
  <c r="F332" i="4"/>
  <c r="E332" i="4"/>
  <c r="C332" i="4"/>
  <c r="P332" i="4" s="1"/>
  <c r="B332" i="4"/>
  <c r="A332" i="4"/>
  <c r="AF331" i="4"/>
  <c r="AE331" i="4"/>
  <c r="AD331" i="4"/>
  <c r="AC331" i="4"/>
  <c r="Y331" i="4"/>
  <c r="W331" i="4"/>
  <c r="V331" i="4"/>
  <c r="U331" i="4"/>
  <c r="Q331" i="4"/>
  <c r="P331" i="4"/>
  <c r="O331" i="4"/>
  <c r="N331" i="4"/>
  <c r="M331" i="4"/>
  <c r="I331" i="4"/>
  <c r="H331" i="4"/>
  <c r="G331" i="4"/>
  <c r="F331" i="4"/>
  <c r="E331" i="4"/>
  <c r="D331" i="4"/>
  <c r="C331" i="4"/>
  <c r="B331" i="4"/>
  <c r="A331" i="4"/>
  <c r="AF330" i="4"/>
  <c r="AE330" i="4"/>
  <c r="AD330" i="4"/>
  <c r="AC330" i="4"/>
  <c r="Z330" i="4"/>
  <c r="Y330" i="4"/>
  <c r="X330" i="4"/>
  <c r="W330" i="4"/>
  <c r="V330" i="4"/>
  <c r="U330" i="4"/>
  <c r="S330" i="4"/>
  <c r="R330" i="4"/>
  <c r="Q330" i="4"/>
  <c r="P330" i="4"/>
  <c r="O330" i="4"/>
  <c r="N330" i="4"/>
  <c r="M330" i="4"/>
  <c r="J330" i="4"/>
  <c r="K330" i="4" s="1"/>
  <c r="I330" i="4"/>
  <c r="H330" i="4"/>
  <c r="G330" i="4"/>
  <c r="F330" i="4"/>
  <c r="E330" i="4"/>
  <c r="D330" i="4"/>
  <c r="C330" i="4"/>
  <c r="B330" i="4"/>
  <c r="A330" i="4"/>
  <c r="AF329" i="4"/>
  <c r="AE329" i="4"/>
  <c r="AD329" i="4"/>
  <c r="AC329" i="4"/>
  <c r="Z329" i="4"/>
  <c r="AA329" i="4" s="1"/>
  <c r="Y329" i="4"/>
  <c r="W329" i="4"/>
  <c r="V329" i="4"/>
  <c r="U329" i="4"/>
  <c r="Q329" i="4"/>
  <c r="P329" i="4"/>
  <c r="O329" i="4"/>
  <c r="N329" i="4"/>
  <c r="M329" i="4"/>
  <c r="J329" i="4"/>
  <c r="K329" i="4" s="1"/>
  <c r="I329" i="4"/>
  <c r="H329" i="4"/>
  <c r="G329" i="4"/>
  <c r="F329" i="4"/>
  <c r="E329" i="4"/>
  <c r="D329" i="4"/>
  <c r="C329" i="4"/>
  <c r="X329" i="4" s="1"/>
  <c r="B329" i="4"/>
  <c r="A329" i="4"/>
  <c r="AF328" i="4"/>
  <c r="AE328" i="4"/>
  <c r="AD328" i="4"/>
  <c r="AC328" i="4"/>
  <c r="Z328" i="4"/>
  <c r="AA328" i="4" s="1"/>
  <c r="Y328" i="4"/>
  <c r="X328" i="4"/>
  <c r="W328" i="4"/>
  <c r="V328" i="4"/>
  <c r="U328" i="4"/>
  <c r="Q328" i="4"/>
  <c r="O328" i="4"/>
  <c r="N328" i="4"/>
  <c r="M328" i="4"/>
  <c r="K328" i="4"/>
  <c r="J328" i="4"/>
  <c r="I328" i="4"/>
  <c r="H328" i="4"/>
  <c r="G328" i="4"/>
  <c r="F328" i="4"/>
  <c r="E328" i="4"/>
  <c r="D328" i="4"/>
  <c r="C328" i="4"/>
  <c r="R328" i="4" s="1"/>
  <c r="B328" i="4"/>
  <c r="A328" i="4"/>
  <c r="AF327" i="4"/>
  <c r="AE327" i="4"/>
  <c r="AD327" i="4"/>
  <c r="AC327" i="4"/>
  <c r="Z327" i="4"/>
  <c r="Y327" i="4"/>
  <c r="X327" i="4"/>
  <c r="W327" i="4"/>
  <c r="V327" i="4"/>
  <c r="U327" i="4"/>
  <c r="R327" i="4"/>
  <c r="S327" i="4" s="1"/>
  <c r="Q327" i="4"/>
  <c r="P327" i="4"/>
  <c r="O327" i="4"/>
  <c r="N327" i="4"/>
  <c r="M327" i="4"/>
  <c r="K327" i="4"/>
  <c r="J327" i="4"/>
  <c r="I327" i="4"/>
  <c r="H327" i="4"/>
  <c r="G327" i="4"/>
  <c r="F327" i="4"/>
  <c r="E327" i="4"/>
  <c r="D327" i="4"/>
  <c r="C327" i="4"/>
  <c r="B327" i="4"/>
  <c r="A327" i="4"/>
  <c r="AF326" i="4"/>
  <c r="AE326" i="4"/>
  <c r="AD326" i="4"/>
  <c r="AC326" i="4"/>
  <c r="Z326" i="4"/>
  <c r="AA326" i="4" s="1"/>
  <c r="Y326" i="4"/>
  <c r="X326" i="4"/>
  <c r="W326" i="4"/>
  <c r="V326" i="4"/>
  <c r="U326" i="4"/>
  <c r="S326" i="4"/>
  <c r="Q326" i="4"/>
  <c r="O326" i="4"/>
  <c r="N326" i="4"/>
  <c r="M326" i="4"/>
  <c r="I326" i="4"/>
  <c r="H326" i="4"/>
  <c r="G326" i="4"/>
  <c r="F326" i="4"/>
  <c r="E326" i="4"/>
  <c r="C326" i="4"/>
  <c r="R326" i="4" s="1"/>
  <c r="B326" i="4"/>
  <c r="A326" i="4"/>
  <c r="D326" i="4" s="1"/>
  <c r="AF325" i="4"/>
  <c r="AE325" i="4"/>
  <c r="AD325" i="4"/>
  <c r="AC325" i="4"/>
  <c r="Z325" i="4"/>
  <c r="Y325" i="4"/>
  <c r="W325" i="4"/>
  <c r="AA325" i="4" s="1"/>
  <c r="V325" i="4"/>
  <c r="U325" i="4"/>
  <c r="R325" i="4"/>
  <c r="S325" i="4" s="1"/>
  <c r="Q325" i="4"/>
  <c r="P325" i="4"/>
  <c r="O325" i="4"/>
  <c r="N325" i="4"/>
  <c r="M325" i="4"/>
  <c r="J325" i="4"/>
  <c r="K325" i="4" s="1"/>
  <c r="I325" i="4"/>
  <c r="H325" i="4"/>
  <c r="G325" i="4"/>
  <c r="F325" i="4"/>
  <c r="E325" i="4"/>
  <c r="D325" i="4"/>
  <c r="C325" i="4"/>
  <c r="X325" i="4" s="1"/>
  <c r="B325" i="4"/>
  <c r="A325" i="4"/>
  <c r="AF324" i="4"/>
  <c r="AE324" i="4"/>
  <c r="AD324" i="4"/>
  <c r="AC324" i="4"/>
  <c r="Z324" i="4"/>
  <c r="AA324" i="4" s="1"/>
  <c r="Y324" i="4"/>
  <c r="X324" i="4"/>
  <c r="W324" i="4"/>
  <c r="V324" i="4"/>
  <c r="U324" i="4"/>
  <c r="S324" i="4"/>
  <c r="R324" i="4"/>
  <c r="Q324" i="4"/>
  <c r="P324" i="4"/>
  <c r="O324" i="4"/>
  <c r="N324" i="4"/>
  <c r="M324" i="4"/>
  <c r="J324" i="4"/>
  <c r="I324" i="4"/>
  <c r="H324" i="4"/>
  <c r="G324" i="4"/>
  <c r="K324" i="4" s="1"/>
  <c r="F324" i="4"/>
  <c r="E324" i="4"/>
  <c r="D324" i="4"/>
  <c r="C324" i="4"/>
  <c r="B324" i="4"/>
  <c r="A324" i="4"/>
  <c r="AF323" i="4"/>
  <c r="AE323" i="4"/>
  <c r="AD323" i="4"/>
  <c r="AC323" i="4"/>
  <c r="Y323" i="4"/>
  <c r="W323" i="4"/>
  <c r="V323" i="4"/>
  <c r="U323" i="4"/>
  <c r="Q323" i="4"/>
  <c r="O323" i="4"/>
  <c r="N323" i="4"/>
  <c r="M323" i="4"/>
  <c r="I323" i="4"/>
  <c r="H323" i="4"/>
  <c r="G323" i="4"/>
  <c r="F323" i="4"/>
  <c r="E323" i="4"/>
  <c r="D323" i="4"/>
  <c r="C323" i="4"/>
  <c r="P323" i="4" s="1"/>
  <c r="B323" i="4"/>
  <c r="A323" i="4"/>
  <c r="AF322" i="4"/>
  <c r="AE322" i="4"/>
  <c r="AD322" i="4"/>
  <c r="AC322" i="4"/>
  <c r="AA322" i="4"/>
  <c r="Y322" i="4"/>
  <c r="X322" i="4"/>
  <c r="W322" i="4"/>
  <c r="V322" i="4"/>
  <c r="U322" i="4"/>
  <c r="R322" i="4"/>
  <c r="S322" i="4" s="1"/>
  <c r="Q322" i="4"/>
  <c r="O322" i="4"/>
  <c r="N322" i="4"/>
  <c r="M322" i="4"/>
  <c r="J322" i="4"/>
  <c r="K322" i="4" s="1"/>
  <c r="I322" i="4"/>
  <c r="H322" i="4"/>
  <c r="G322" i="4"/>
  <c r="F322" i="4"/>
  <c r="E322" i="4"/>
  <c r="D322" i="4"/>
  <c r="C322" i="4"/>
  <c r="Z322" i="4" s="1"/>
  <c r="B322" i="4"/>
  <c r="A322" i="4"/>
  <c r="AF321" i="4"/>
  <c r="AE321" i="4"/>
  <c r="AD321" i="4"/>
  <c r="AC321" i="4"/>
  <c r="Z321" i="4"/>
  <c r="AA321" i="4" s="1"/>
  <c r="Y321" i="4"/>
  <c r="X321" i="4"/>
  <c r="W321" i="4"/>
  <c r="V321" i="4"/>
  <c r="U321" i="4"/>
  <c r="R321" i="4"/>
  <c r="S321" i="4" s="1"/>
  <c r="Q321" i="4"/>
  <c r="P321" i="4"/>
  <c r="O321" i="4"/>
  <c r="N321" i="4"/>
  <c r="M321" i="4"/>
  <c r="J321" i="4"/>
  <c r="K321" i="4" s="1"/>
  <c r="I321" i="4"/>
  <c r="H321" i="4"/>
  <c r="G321" i="4"/>
  <c r="F321" i="4"/>
  <c r="E321" i="4"/>
  <c r="D321" i="4"/>
  <c r="C321" i="4"/>
  <c r="B321" i="4"/>
  <c r="A321" i="4"/>
  <c r="AF320" i="4"/>
  <c r="AE320" i="4"/>
  <c r="AD320" i="4"/>
  <c r="AC320" i="4"/>
  <c r="Z320" i="4"/>
  <c r="AA320" i="4" s="1"/>
  <c r="Y320" i="4"/>
  <c r="X320" i="4"/>
  <c r="W320" i="4"/>
  <c r="V320" i="4"/>
  <c r="U320" i="4"/>
  <c r="R320" i="4"/>
  <c r="S320" i="4" s="1"/>
  <c r="Q320" i="4"/>
  <c r="O320" i="4"/>
  <c r="N320" i="4"/>
  <c r="M320" i="4"/>
  <c r="I320" i="4"/>
  <c r="H320" i="4"/>
  <c r="G320" i="4"/>
  <c r="F320" i="4"/>
  <c r="E320" i="4"/>
  <c r="C320" i="4"/>
  <c r="P320" i="4" s="1"/>
  <c r="B320" i="4"/>
  <c r="A320" i="4"/>
  <c r="AF319" i="4"/>
  <c r="AE319" i="4"/>
  <c r="AD319" i="4"/>
  <c r="AC319" i="4"/>
  <c r="Y319" i="4"/>
  <c r="X319" i="4"/>
  <c r="W319" i="4"/>
  <c r="V319" i="4"/>
  <c r="U319" i="4"/>
  <c r="R319" i="4"/>
  <c r="Q319" i="4"/>
  <c r="O319" i="4"/>
  <c r="N319" i="4"/>
  <c r="M319" i="4"/>
  <c r="K319" i="4"/>
  <c r="I319" i="4"/>
  <c r="H319" i="4"/>
  <c r="G319" i="4"/>
  <c r="F319" i="4"/>
  <c r="E319" i="4"/>
  <c r="D319" i="4"/>
  <c r="C319" i="4"/>
  <c r="J319" i="4" s="1"/>
  <c r="B319" i="4"/>
  <c r="A319" i="4"/>
  <c r="AF318" i="4"/>
  <c r="AE318" i="4"/>
  <c r="AD318" i="4"/>
  <c r="AC318" i="4"/>
  <c r="Z318" i="4"/>
  <c r="AA318" i="4" s="1"/>
  <c r="Y318" i="4"/>
  <c r="X318" i="4"/>
  <c r="W318" i="4"/>
  <c r="V318" i="4"/>
  <c r="U318" i="4"/>
  <c r="R318" i="4"/>
  <c r="S318" i="4" s="1"/>
  <c r="Q318" i="4"/>
  <c r="P318" i="4"/>
  <c r="O318" i="4"/>
  <c r="N318" i="4"/>
  <c r="M318" i="4"/>
  <c r="J318" i="4"/>
  <c r="K318" i="4" s="1"/>
  <c r="I318" i="4"/>
  <c r="H318" i="4"/>
  <c r="G318" i="4"/>
  <c r="F318" i="4"/>
  <c r="E318" i="4"/>
  <c r="D318" i="4"/>
  <c r="C318" i="4"/>
  <c r="B318" i="4"/>
  <c r="A318" i="4"/>
  <c r="AF317" i="4"/>
  <c r="AE317" i="4"/>
  <c r="AD317" i="4"/>
  <c r="AC317" i="4"/>
  <c r="Y317" i="4"/>
  <c r="W317" i="4"/>
  <c r="V317" i="4"/>
  <c r="U317" i="4"/>
  <c r="S317" i="4"/>
  <c r="R317" i="4"/>
  <c r="Q317" i="4"/>
  <c r="P317" i="4"/>
  <c r="O317" i="4"/>
  <c r="N317" i="4"/>
  <c r="M317" i="4"/>
  <c r="I317" i="4"/>
  <c r="H317" i="4"/>
  <c r="G317" i="4"/>
  <c r="F317" i="4"/>
  <c r="E317" i="4"/>
  <c r="D317" i="4"/>
  <c r="C317" i="4"/>
  <c r="X317" i="4" s="1"/>
  <c r="B317" i="4"/>
  <c r="A317" i="4"/>
  <c r="AF316" i="4"/>
  <c r="AE316" i="4"/>
  <c r="AD316" i="4"/>
  <c r="AC316" i="4"/>
  <c r="Y316" i="4"/>
  <c r="X316" i="4"/>
  <c r="W316" i="4"/>
  <c r="V316" i="4"/>
  <c r="U316" i="4"/>
  <c r="Q316" i="4"/>
  <c r="O316" i="4"/>
  <c r="N316" i="4"/>
  <c r="M316" i="4"/>
  <c r="J316" i="4"/>
  <c r="K316" i="4" s="1"/>
  <c r="I316" i="4"/>
  <c r="H316" i="4"/>
  <c r="G316" i="4"/>
  <c r="F316" i="4"/>
  <c r="E316" i="4"/>
  <c r="D316" i="4"/>
  <c r="C316" i="4"/>
  <c r="B316" i="4"/>
  <c r="A316" i="4"/>
  <c r="AF315" i="4"/>
  <c r="AE315" i="4"/>
  <c r="AD315" i="4"/>
  <c r="AC315" i="4"/>
  <c r="Z315" i="4"/>
  <c r="Y315" i="4"/>
  <c r="X315" i="4"/>
  <c r="W315" i="4"/>
  <c r="V315" i="4"/>
  <c r="U315" i="4"/>
  <c r="R315" i="4"/>
  <c r="S315" i="4" s="1"/>
  <c r="Q315" i="4"/>
  <c r="P315" i="4"/>
  <c r="O315" i="4"/>
  <c r="N315" i="4"/>
  <c r="M315" i="4"/>
  <c r="J315" i="4"/>
  <c r="K315" i="4" s="1"/>
  <c r="I315" i="4"/>
  <c r="H315" i="4"/>
  <c r="G315" i="4"/>
  <c r="F315" i="4"/>
  <c r="E315" i="4"/>
  <c r="D315" i="4"/>
  <c r="C315" i="4"/>
  <c r="B315" i="4"/>
  <c r="A315" i="4"/>
  <c r="AF314" i="4"/>
  <c r="AE314" i="4"/>
  <c r="AD314" i="4"/>
  <c r="AC314" i="4"/>
  <c r="Z314" i="4"/>
  <c r="AA314" i="4" s="1"/>
  <c r="Y314" i="4"/>
  <c r="X314" i="4"/>
  <c r="W314" i="4"/>
  <c r="V314" i="4"/>
  <c r="U314" i="4"/>
  <c r="R314" i="4"/>
  <c r="S314" i="4" s="1"/>
  <c r="Q314" i="4"/>
  <c r="P314" i="4"/>
  <c r="O314" i="4"/>
  <c r="N314" i="4"/>
  <c r="M314" i="4"/>
  <c r="L314" i="4"/>
  <c r="J314" i="4"/>
  <c r="K314" i="4" s="1"/>
  <c r="I314" i="4"/>
  <c r="H314" i="4"/>
  <c r="G314" i="4"/>
  <c r="F314" i="4"/>
  <c r="E314" i="4"/>
  <c r="C314" i="4"/>
  <c r="B314" i="4"/>
  <c r="A314" i="4"/>
  <c r="D314" i="4" s="1"/>
  <c r="AF313" i="4"/>
  <c r="AE313" i="4"/>
  <c r="AD313" i="4"/>
  <c r="AC313" i="4"/>
  <c r="Z313" i="4"/>
  <c r="AA313" i="4" s="1"/>
  <c r="Y313" i="4"/>
  <c r="W313" i="4"/>
  <c r="V313" i="4"/>
  <c r="U313" i="4"/>
  <c r="R313" i="4"/>
  <c r="S313" i="4" s="1"/>
  <c r="Q313" i="4"/>
  <c r="P313" i="4"/>
  <c r="O313" i="4"/>
  <c r="N313" i="4"/>
  <c r="M313" i="4"/>
  <c r="J313" i="4"/>
  <c r="K313" i="4" s="1"/>
  <c r="I313" i="4"/>
  <c r="H313" i="4"/>
  <c r="G313" i="4"/>
  <c r="F313" i="4"/>
  <c r="E313" i="4"/>
  <c r="D313" i="4"/>
  <c r="C313" i="4"/>
  <c r="X313" i="4" s="1"/>
  <c r="B313" i="4"/>
  <c r="A313" i="4"/>
  <c r="AF312" i="4"/>
  <c r="AE312" i="4"/>
  <c r="AD312" i="4"/>
  <c r="AC312" i="4"/>
  <c r="Z312" i="4"/>
  <c r="AA312" i="4" s="1"/>
  <c r="Y312" i="4"/>
  <c r="X312" i="4"/>
  <c r="W312" i="4"/>
  <c r="V312" i="4"/>
  <c r="U312" i="4"/>
  <c r="S312" i="4"/>
  <c r="R312" i="4"/>
  <c r="Q312" i="4"/>
  <c r="P312" i="4"/>
  <c r="O312" i="4"/>
  <c r="N312" i="4"/>
  <c r="M312" i="4"/>
  <c r="J312" i="4"/>
  <c r="I312" i="4"/>
  <c r="H312" i="4"/>
  <c r="G312" i="4"/>
  <c r="K312" i="4" s="1"/>
  <c r="F312" i="4"/>
  <c r="E312" i="4"/>
  <c r="D312" i="4"/>
  <c r="C312" i="4"/>
  <c r="B312" i="4"/>
  <c r="A312" i="4"/>
  <c r="AF311" i="4"/>
  <c r="AE311" i="4"/>
  <c r="AD311" i="4"/>
  <c r="AC311" i="4"/>
  <c r="Y311" i="4"/>
  <c r="W311" i="4"/>
  <c r="V311" i="4"/>
  <c r="U311" i="4"/>
  <c r="Q311" i="4"/>
  <c r="O311" i="4"/>
  <c r="N311" i="4"/>
  <c r="M311" i="4"/>
  <c r="I311" i="4"/>
  <c r="H311" i="4"/>
  <c r="G311" i="4"/>
  <c r="F311" i="4"/>
  <c r="E311" i="4"/>
  <c r="D311" i="4"/>
  <c r="C311" i="4"/>
  <c r="J311" i="4" s="1"/>
  <c r="K311" i="4" s="1"/>
  <c r="B311" i="4"/>
  <c r="A311" i="4"/>
  <c r="AF310" i="4"/>
  <c r="AE310" i="4"/>
  <c r="AD310" i="4"/>
  <c r="AC310" i="4"/>
  <c r="Y310" i="4"/>
  <c r="W310" i="4"/>
  <c r="AA310" i="4" s="1"/>
  <c r="V310" i="4"/>
  <c r="U310" i="4"/>
  <c r="R310" i="4"/>
  <c r="S310" i="4" s="1"/>
  <c r="Q310" i="4"/>
  <c r="O310" i="4"/>
  <c r="N310" i="4"/>
  <c r="M310" i="4"/>
  <c r="I310" i="4"/>
  <c r="H310" i="4"/>
  <c r="G310" i="4"/>
  <c r="F310" i="4"/>
  <c r="E310" i="4"/>
  <c r="D310" i="4"/>
  <c r="C310" i="4"/>
  <c r="Z310" i="4" s="1"/>
  <c r="B310" i="4"/>
  <c r="A310" i="4"/>
  <c r="AF309" i="4"/>
  <c r="AE309" i="4"/>
  <c r="AD309" i="4"/>
  <c r="AC309" i="4"/>
  <c r="Z309" i="4"/>
  <c r="Y309" i="4"/>
  <c r="X309" i="4"/>
  <c r="W309" i="4"/>
  <c r="V309" i="4"/>
  <c r="U309" i="4"/>
  <c r="R309" i="4"/>
  <c r="S309" i="4" s="1"/>
  <c r="Q309" i="4"/>
  <c r="P309" i="4"/>
  <c r="O309" i="4"/>
  <c r="N309" i="4"/>
  <c r="M309" i="4"/>
  <c r="J309" i="4"/>
  <c r="K309" i="4" s="1"/>
  <c r="I309" i="4"/>
  <c r="H309" i="4"/>
  <c r="G309" i="4"/>
  <c r="F309" i="4"/>
  <c r="E309" i="4"/>
  <c r="D309" i="4"/>
  <c r="C309" i="4"/>
  <c r="B309" i="4"/>
  <c r="A309" i="4"/>
  <c r="AF308" i="4"/>
  <c r="AE308" i="4"/>
  <c r="AD308" i="4"/>
  <c r="AC308" i="4"/>
  <c r="Z308" i="4"/>
  <c r="AA308" i="4" s="1"/>
  <c r="Y308" i="4"/>
  <c r="X308" i="4"/>
  <c r="W308" i="4"/>
  <c r="V308" i="4"/>
  <c r="U308" i="4"/>
  <c r="S308" i="4"/>
  <c r="R308" i="4"/>
  <c r="Q308" i="4"/>
  <c r="O308" i="4"/>
  <c r="N308" i="4"/>
  <c r="M308" i="4"/>
  <c r="I308" i="4"/>
  <c r="H308" i="4"/>
  <c r="G308" i="4"/>
  <c r="F308" i="4"/>
  <c r="E308" i="4"/>
  <c r="C308" i="4"/>
  <c r="P308" i="4" s="1"/>
  <c r="B308" i="4"/>
  <c r="A308" i="4"/>
  <c r="AF307" i="4"/>
  <c r="AE307" i="4"/>
  <c r="AD307" i="4"/>
  <c r="AC307" i="4"/>
  <c r="Z307" i="4"/>
  <c r="AA307" i="4" s="1"/>
  <c r="Y307" i="4"/>
  <c r="X307" i="4"/>
  <c r="W307" i="4"/>
  <c r="V307" i="4"/>
  <c r="U307" i="4"/>
  <c r="Q307" i="4"/>
  <c r="P307" i="4"/>
  <c r="O307" i="4"/>
  <c r="N307" i="4"/>
  <c r="M307" i="4"/>
  <c r="I307" i="4"/>
  <c r="H307" i="4"/>
  <c r="G307" i="4"/>
  <c r="F307" i="4"/>
  <c r="E307" i="4"/>
  <c r="D307" i="4"/>
  <c r="C307" i="4"/>
  <c r="B307" i="4"/>
  <c r="A307" i="4"/>
  <c r="AF306" i="4"/>
  <c r="AE306" i="4"/>
  <c r="AD306" i="4"/>
  <c r="AC306" i="4"/>
  <c r="Y306" i="4"/>
  <c r="X306" i="4"/>
  <c r="W306" i="4"/>
  <c r="V306" i="4"/>
  <c r="U306" i="4"/>
  <c r="Q306" i="4"/>
  <c r="P306" i="4"/>
  <c r="O306" i="4"/>
  <c r="N306" i="4"/>
  <c r="M306" i="4"/>
  <c r="K306" i="4"/>
  <c r="J306" i="4"/>
  <c r="I306" i="4"/>
  <c r="H306" i="4"/>
  <c r="G306" i="4"/>
  <c r="F306" i="4"/>
  <c r="E306" i="4"/>
  <c r="D306" i="4"/>
  <c r="C306" i="4"/>
  <c r="B306" i="4"/>
  <c r="A306" i="4"/>
  <c r="AF305" i="4"/>
  <c r="AE305" i="4"/>
  <c r="AD305" i="4"/>
  <c r="AC305" i="4"/>
  <c r="Y305" i="4"/>
  <c r="X305" i="4"/>
  <c r="W305" i="4"/>
  <c r="V305" i="4"/>
  <c r="U305" i="4"/>
  <c r="R305" i="4"/>
  <c r="S305" i="4" s="1"/>
  <c r="Q305" i="4"/>
  <c r="P305" i="4"/>
  <c r="O305" i="4"/>
  <c r="N305" i="4"/>
  <c r="M305" i="4"/>
  <c r="I305" i="4"/>
  <c r="H305" i="4"/>
  <c r="G305" i="4"/>
  <c r="F305" i="4"/>
  <c r="E305" i="4"/>
  <c r="D305" i="4"/>
  <c r="C305" i="4"/>
  <c r="Z305" i="4" s="1"/>
  <c r="AA305" i="4" s="1"/>
  <c r="B305" i="4"/>
  <c r="A305" i="4"/>
  <c r="AF304" i="4"/>
  <c r="AE304" i="4"/>
  <c r="AD304" i="4"/>
  <c r="AC304" i="4"/>
  <c r="Y304" i="4"/>
  <c r="X304" i="4"/>
  <c r="W304" i="4"/>
  <c r="V304" i="4"/>
  <c r="U304" i="4"/>
  <c r="Q304" i="4"/>
  <c r="P304" i="4"/>
  <c r="O304" i="4"/>
  <c r="N304" i="4"/>
  <c r="M304" i="4"/>
  <c r="I304" i="4"/>
  <c r="H304" i="4"/>
  <c r="G304" i="4"/>
  <c r="F304" i="4"/>
  <c r="E304" i="4"/>
  <c r="D304" i="4"/>
  <c r="C304" i="4"/>
  <c r="B304" i="4"/>
  <c r="A304" i="4"/>
  <c r="AF303" i="4"/>
  <c r="AE303" i="4"/>
  <c r="AD303" i="4"/>
  <c r="AC303" i="4"/>
  <c r="Y303" i="4"/>
  <c r="W303" i="4"/>
  <c r="V303" i="4"/>
  <c r="U303" i="4"/>
  <c r="Q303" i="4"/>
  <c r="O303" i="4"/>
  <c r="N303" i="4"/>
  <c r="M303" i="4"/>
  <c r="I303" i="4"/>
  <c r="H303" i="4"/>
  <c r="G303" i="4"/>
  <c r="F303" i="4"/>
  <c r="E303" i="4"/>
  <c r="C303" i="4"/>
  <c r="B303" i="4"/>
  <c r="A303" i="4"/>
  <c r="AF302" i="4"/>
  <c r="AE302" i="4"/>
  <c r="AD302" i="4"/>
  <c r="AC302" i="4"/>
  <c r="Z302" i="4"/>
  <c r="AA302" i="4" s="1"/>
  <c r="Y302" i="4"/>
  <c r="X302" i="4"/>
  <c r="W302" i="4"/>
  <c r="V302" i="4"/>
  <c r="U302" i="4"/>
  <c r="S302" i="4"/>
  <c r="R302" i="4"/>
  <c r="Q302" i="4"/>
  <c r="P302" i="4"/>
  <c r="O302" i="4"/>
  <c r="N302" i="4"/>
  <c r="M302" i="4"/>
  <c r="I302" i="4"/>
  <c r="H302" i="4"/>
  <c r="G302" i="4"/>
  <c r="K302" i="4" s="1"/>
  <c r="F302" i="4"/>
  <c r="E302" i="4"/>
  <c r="C302" i="4"/>
  <c r="J302" i="4" s="1"/>
  <c r="B302" i="4"/>
  <c r="A302" i="4"/>
  <c r="AF301" i="4"/>
  <c r="AE301" i="4"/>
  <c r="AD301" i="4"/>
  <c r="AC301" i="4"/>
  <c r="Z301" i="4"/>
  <c r="AA301" i="4" s="1"/>
  <c r="Y301" i="4"/>
  <c r="W301" i="4"/>
  <c r="V301" i="4"/>
  <c r="U301" i="4"/>
  <c r="Q301" i="4"/>
  <c r="P301" i="4"/>
  <c r="O301" i="4"/>
  <c r="N301" i="4"/>
  <c r="M301" i="4"/>
  <c r="I301" i="4"/>
  <c r="H301" i="4"/>
  <c r="G301" i="4"/>
  <c r="F301" i="4"/>
  <c r="E301" i="4"/>
  <c r="D301" i="4"/>
  <c r="C301" i="4"/>
  <c r="X301" i="4" s="1"/>
  <c r="B301" i="4"/>
  <c r="A301" i="4"/>
  <c r="AF300" i="4"/>
  <c r="AE300" i="4"/>
  <c r="AD300" i="4"/>
  <c r="AC300" i="4"/>
  <c r="Y300" i="4"/>
  <c r="W300" i="4"/>
  <c r="V300" i="4"/>
  <c r="U300" i="4"/>
  <c r="Q300" i="4"/>
  <c r="P300" i="4"/>
  <c r="O300" i="4"/>
  <c r="N300" i="4"/>
  <c r="M300" i="4"/>
  <c r="I300" i="4"/>
  <c r="H300" i="4"/>
  <c r="G300" i="4"/>
  <c r="F300" i="4"/>
  <c r="E300" i="4"/>
  <c r="D300" i="4"/>
  <c r="C300" i="4"/>
  <c r="B300" i="4"/>
  <c r="A300" i="4"/>
  <c r="AF299" i="4"/>
  <c r="AE299" i="4"/>
  <c r="AD299" i="4"/>
  <c r="AC299" i="4"/>
  <c r="Z299" i="4"/>
  <c r="Y299" i="4"/>
  <c r="X299" i="4"/>
  <c r="W299" i="4"/>
  <c r="V299" i="4"/>
  <c r="U299" i="4"/>
  <c r="R299" i="4"/>
  <c r="S299" i="4" s="1"/>
  <c r="Q299" i="4"/>
  <c r="P299" i="4"/>
  <c r="O299" i="4"/>
  <c r="N299" i="4"/>
  <c r="M299" i="4"/>
  <c r="K299" i="4"/>
  <c r="I299" i="4"/>
  <c r="H299" i="4"/>
  <c r="G299" i="4"/>
  <c r="F299" i="4"/>
  <c r="E299" i="4"/>
  <c r="C299" i="4"/>
  <c r="J299" i="4" s="1"/>
  <c r="B299" i="4"/>
  <c r="A299" i="4"/>
  <c r="AF298" i="4"/>
  <c r="AE298" i="4"/>
  <c r="AD298" i="4"/>
  <c r="AC298" i="4"/>
  <c r="Y298" i="4"/>
  <c r="W298" i="4"/>
  <c r="V298" i="4"/>
  <c r="U298" i="4"/>
  <c r="Q298" i="4"/>
  <c r="O298" i="4"/>
  <c r="N298" i="4"/>
  <c r="M298" i="4"/>
  <c r="I298" i="4"/>
  <c r="H298" i="4"/>
  <c r="G298" i="4"/>
  <c r="F298" i="4"/>
  <c r="E298" i="4"/>
  <c r="D298" i="4"/>
  <c r="C298" i="4"/>
  <c r="B298" i="4"/>
  <c r="A298" i="4"/>
  <c r="AF297" i="4"/>
  <c r="AE297" i="4"/>
  <c r="AD297" i="4"/>
  <c r="AC297" i="4"/>
  <c r="Y297" i="4"/>
  <c r="X297" i="4"/>
  <c r="W297" i="4"/>
  <c r="V297" i="4"/>
  <c r="U297" i="4"/>
  <c r="Q297" i="4"/>
  <c r="O297" i="4"/>
  <c r="N297" i="4"/>
  <c r="M297" i="4"/>
  <c r="I297" i="4"/>
  <c r="H297" i="4"/>
  <c r="G297" i="4"/>
  <c r="F297" i="4"/>
  <c r="E297" i="4"/>
  <c r="C297" i="4"/>
  <c r="B297" i="4"/>
  <c r="A297" i="4"/>
  <c r="AF296" i="4"/>
  <c r="AE296" i="4"/>
  <c r="AD296" i="4"/>
  <c r="AC296" i="4"/>
  <c r="Z296" i="4"/>
  <c r="Y296" i="4"/>
  <c r="X296" i="4"/>
  <c r="W296" i="4"/>
  <c r="V296" i="4"/>
  <c r="U296" i="4"/>
  <c r="R296" i="4"/>
  <c r="S296" i="4" s="1"/>
  <c r="Q296" i="4"/>
  <c r="P296" i="4"/>
  <c r="O296" i="4"/>
  <c r="N296" i="4"/>
  <c r="M296" i="4"/>
  <c r="I296" i="4"/>
  <c r="H296" i="4"/>
  <c r="G296" i="4"/>
  <c r="F296" i="4"/>
  <c r="E296" i="4"/>
  <c r="D296" i="4"/>
  <c r="C296" i="4"/>
  <c r="J296" i="4" s="1"/>
  <c r="K296" i="4" s="1"/>
  <c r="B296" i="4"/>
  <c r="A296" i="4"/>
  <c r="AF295" i="4"/>
  <c r="AE295" i="4"/>
  <c r="AD295" i="4"/>
  <c r="AC295" i="4"/>
  <c r="Y295" i="4"/>
  <c r="X295" i="4"/>
  <c r="W295" i="4"/>
  <c r="V295" i="4"/>
  <c r="U295" i="4"/>
  <c r="Q295" i="4"/>
  <c r="P295" i="4"/>
  <c r="O295" i="4"/>
  <c r="N295" i="4"/>
  <c r="M295" i="4"/>
  <c r="I295" i="4"/>
  <c r="H295" i="4"/>
  <c r="G295" i="4"/>
  <c r="F295" i="4"/>
  <c r="E295" i="4"/>
  <c r="D295" i="4"/>
  <c r="C295" i="4"/>
  <c r="B295" i="4"/>
  <c r="A295" i="4"/>
  <c r="AF294" i="4"/>
  <c r="AE294" i="4"/>
  <c r="AD294" i="4"/>
  <c r="AC294" i="4"/>
  <c r="Y294" i="4"/>
  <c r="W294" i="4"/>
  <c r="V294" i="4"/>
  <c r="U294" i="4"/>
  <c r="Q294" i="4"/>
  <c r="O294" i="4"/>
  <c r="N294" i="4"/>
  <c r="M294" i="4"/>
  <c r="I294" i="4"/>
  <c r="H294" i="4"/>
  <c r="G294" i="4"/>
  <c r="F294" i="4"/>
  <c r="E294" i="4"/>
  <c r="C294" i="4"/>
  <c r="B294" i="4"/>
  <c r="A294" i="4"/>
  <c r="AF293" i="4"/>
  <c r="AE293" i="4"/>
  <c r="AD293" i="4"/>
  <c r="AC293" i="4"/>
  <c r="Z293" i="4"/>
  <c r="AA293" i="4" s="1"/>
  <c r="Y293" i="4"/>
  <c r="X293" i="4"/>
  <c r="W293" i="4"/>
  <c r="V293" i="4"/>
  <c r="U293" i="4"/>
  <c r="S293" i="4"/>
  <c r="R293" i="4"/>
  <c r="Q293" i="4"/>
  <c r="P293" i="4"/>
  <c r="O293" i="4"/>
  <c r="N293" i="4"/>
  <c r="M293" i="4"/>
  <c r="I293" i="4"/>
  <c r="H293" i="4"/>
  <c r="G293" i="4"/>
  <c r="K293" i="4" s="1"/>
  <c r="F293" i="4"/>
  <c r="E293" i="4"/>
  <c r="C293" i="4"/>
  <c r="J293" i="4" s="1"/>
  <c r="B293" i="4"/>
  <c r="A293" i="4"/>
  <c r="AF292" i="4"/>
  <c r="AE292" i="4"/>
  <c r="AD292" i="4"/>
  <c r="AC292" i="4"/>
  <c r="AA292" i="4"/>
  <c r="Z292" i="4"/>
  <c r="Y292" i="4"/>
  <c r="W292" i="4"/>
  <c r="V292" i="4"/>
  <c r="U292" i="4"/>
  <c r="Q292" i="4"/>
  <c r="P292" i="4"/>
  <c r="O292" i="4"/>
  <c r="N292" i="4"/>
  <c r="M292" i="4"/>
  <c r="I292" i="4"/>
  <c r="H292" i="4"/>
  <c r="G292" i="4"/>
  <c r="F292" i="4"/>
  <c r="E292" i="4"/>
  <c r="D292" i="4"/>
  <c r="C292" i="4"/>
  <c r="X292" i="4" s="1"/>
  <c r="B292" i="4"/>
  <c r="A292" i="4"/>
  <c r="AF291" i="4"/>
  <c r="AE291" i="4"/>
  <c r="AD291" i="4"/>
  <c r="AC291" i="4"/>
  <c r="Y291" i="4"/>
  <c r="W291" i="4"/>
  <c r="V291" i="4"/>
  <c r="U291" i="4"/>
  <c r="Q291" i="4"/>
  <c r="P291" i="4"/>
  <c r="O291" i="4"/>
  <c r="N291" i="4"/>
  <c r="M291" i="4"/>
  <c r="I291" i="4"/>
  <c r="H291" i="4"/>
  <c r="G291" i="4"/>
  <c r="F291" i="4"/>
  <c r="E291" i="4"/>
  <c r="D291" i="4"/>
  <c r="C291" i="4"/>
  <c r="B291" i="4"/>
  <c r="A291" i="4"/>
  <c r="AF290" i="4"/>
  <c r="AE290" i="4"/>
  <c r="AD290" i="4"/>
  <c r="AC290" i="4"/>
  <c r="Z290" i="4"/>
  <c r="AA290" i="4" s="1"/>
  <c r="Y290" i="4"/>
  <c r="X290" i="4"/>
  <c r="W290" i="4"/>
  <c r="V290" i="4"/>
  <c r="U290" i="4"/>
  <c r="R290" i="4"/>
  <c r="S290" i="4" s="1"/>
  <c r="Q290" i="4"/>
  <c r="P290" i="4"/>
  <c r="O290" i="4"/>
  <c r="N290" i="4"/>
  <c r="M290" i="4"/>
  <c r="K290" i="4"/>
  <c r="I290" i="4"/>
  <c r="H290" i="4"/>
  <c r="G290" i="4"/>
  <c r="F290" i="4"/>
  <c r="E290" i="4"/>
  <c r="C290" i="4"/>
  <c r="J290" i="4" s="1"/>
  <c r="B290" i="4"/>
  <c r="A290" i="4"/>
  <c r="AF289" i="4"/>
  <c r="AE289" i="4"/>
  <c r="AD289" i="4"/>
  <c r="AC289" i="4"/>
  <c r="Y289" i="4"/>
  <c r="W289" i="4"/>
  <c r="V289" i="4"/>
  <c r="U289" i="4"/>
  <c r="Q289" i="4"/>
  <c r="O289" i="4"/>
  <c r="N289" i="4"/>
  <c r="M289" i="4"/>
  <c r="I289" i="4"/>
  <c r="H289" i="4"/>
  <c r="G289" i="4"/>
  <c r="F289" i="4"/>
  <c r="E289" i="4"/>
  <c r="D289" i="4"/>
  <c r="C289" i="4"/>
  <c r="B289" i="4"/>
  <c r="A289" i="4"/>
  <c r="AF288" i="4"/>
  <c r="AE288" i="4"/>
  <c r="AD288" i="4"/>
  <c r="AC288" i="4"/>
  <c r="Y288" i="4"/>
  <c r="X288" i="4"/>
  <c r="W288" i="4"/>
  <c r="V288" i="4"/>
  <c r="U288" i="4"/>
  <c r="Q288" i="4"/>
  <c r="O288" i="4"/>
  <c r="N288" i="4"/>
  <c r="M288" i="4"/>
  <c r="K288" i="4"/>
  <c r="J288" i="4"/>
  <c r="I288" i="4"/>
  <c r="H288" i="4"/>
  <c r="G288" i="4"/>
  <c r="F288" i="4"/>
  <c r="E288" i="4"/>
  <c r="C288" i="4"/>
  <c r="B288" i="4"/>
  <c r="A288" i="4"/>
  <c r="AF287" i="4"/>
  <c r="AE287" i="4"/>
  <c r="AD287" i="4"/>
  <c r="AC287" i="4"/>
  <c r="Z287" i="4"/>
  <c r="Y287" i="4"/>
  <c r="X287" i="4"/>
  <c r="W287" i="4"/>
  <c r="V287" i="4"/>
  <c r="U287" i="4"/>
  <c r="R287" i="4"/>
  <c r="S287" i="4" s="1"/>
  <c r="Q287" i="4"/>
  <c r="P287" i="4"/>
  <c r="O287" i="4"/>
  <c r="N287" i="4"/>
  <c r="M287" i="4"/>
  <c r="I287" i="4"/>
  <c r="H287" i="4"/>
  <c r="G287" i="4"/>
  <c r="F287" i="4"/>
  <c r="E287" i="4"/>
  <c r="D287" i="4"/>
  <c r="C287" i="4"/>
  <c r="J287" i="4" s="1"/>
  <c r="K287" i="4" s="1"/>
  <c r="B287" i="4"/>
  <c r="A287" i="4"/>
  <c r="AF286" i="4"/>
  <c r="AE286" i="4"/>
  <c r="AD286" i="4"/>
  <c r="AC286" i="4"/>
  <c r="Y286" i="4"/>
  <c r="X286" i="4"/>
  <c r="W286" i="4"/>
  <c r="V286" i="4"/>
  <c r="U286" i="4"/>
  <c r="Q286" i="4"/>
  <c r="P286" i="4"/>
  <c r="O286" i="4"/>
  <c r="N286" i="4"/>
  <c r="M286" i="4"/>
  <c r="I286" i="4"/>
  <c r="H286" i="4"/>
  <c r="G286" i="4"/>
  <c r="F286" i="4"/>
  <c r="E286" i="4"/>
  <c r="D286" i="4"/>
  <c r="C286" i="4"/>
  <c r="B286" i="4"/>
  <c r="A286" i="4"/>
  <c r="AF285" i="4"/>
  <c r="AE285" i="4"/>
  <c r="AD285" i="4"/>
  <c r="AC285" i="4"/>
  <c r="Y285" i="4"/>
  <c r="W285" i="4"/>
  <c r="V285" i="4"/>
  <c r="U285" i="4"/>
  <c r="Q285" i="4"/>
  <c r="O285" i="4"/>
  <c r="N285" i="4"/>
  <c r="M285" i="4"/>
  <c r="I285" i="4"/>
  <c r="H285" i="4"/>
  <c r="G285" i="4"/>
  <c r="F285" i="4"/>
  <c r="E285" i="4"/>
  <c r="C285" i="4"/>
  <c r="B285" i="4"/>
  <c r="A285" i="4"/>
  <c r="AF284" i="4"/>
  <c r="AE284" i="4"/>
  <c r="AD284" i="4"/>
  <c r="AC284" i="4"/>
  <c r="Z284" i="4"/>
  <c r="AA284" i="4" s="1"/>
  <c r="Y284" i="4"/>
  <c r="X284" i="4"/>
  <c r="W284" i="4"/>
  <c r="V284" i="4"/>
  <c r="U284" i="4"/>
  <c r="S284" i="4"/>
  <c r="R284" i="4"/>
  <c r="Q284" i="4"/>
  <c r="P284" i="4"/>
  <c r="O284" i="4"/>
  <c r="N284" i="4"/>
  <c r="M284" i="4"/>
  <c r="I284" i="4"/>
  <c r="H284" i="4"/>
  <c r="G284" i="4"/>
  <c r="K284" i="4" s="1"/>
  <c r="F284" i="4"/>
  <c r="E284" i="4"/>
  <c r="C284" i="4"/>
  <c r="J284" i="4" s="1"/>
  <c r="B284" i="4"/>
  <c r="A284" i="4"/>
  <c r="AF283" i="4"/>
  <c r="AE283" i="4"/>
  <c r="AD283" i="4"/>
  <c r="AC283" i="4"/>
  <c r="AA283" i="4"/>
  <c r="Z283" i="4"/>
  <c r="Y283" i="4"/>
  <c r="W283" i="4"/>
  <c r="V283" i="4"/>
  <c r="U283" i="4"/>
  <c r="Q283" i="4"/>
  <c r="P283" i="4"/>
  <c r="O283" i="4"/>
  <c r="N283" i="4"/>
  <c r="M283" i="4"/>
  <c r="I283" i="4"/>
  <c r="H283" i="4"/>
  <c r="G283" i="4"/>
  <c r="F283" i="4"/>
  <c r="E283" i="4"/>
  <c r="D283" i="4"/>
  <c r="C283" i="4"/>
  <c r="X283" i="4" s="1"/>
  <c r="B283" i="4"/>
  <c r="A283" i="4"/>
  <c r="AF282" i="4"/>
  <c r="AE282" i="4"/>
  <c r="AD282" i="4"/>
  <c r="AC282" i="4"/>
  <c r="Y282" i="4"/>
  <c r="W282" i="4"/>
  <c r="V282" i="4"/>
  <c r="U282" i="4"/>
  <c r="Q282" i="4"/>
  <c r="P282" i="4"/>
  <c r="O282" i="4"/>
  <c r="N282" i="4"/>
  <c r="M282" i="4"/>
  <c r="I282" i="4"/>
  <c r="H282" i="4"/>
  <c r="G282" i="4"/>
  <c r="F282" i="4"/>
  <c r="E282" i="4"/>
  <c r="D282" i="4"/>
  <c r="C282" i="4"/>
  <c r="B282" i="4"/>
  <c r="A282" i="4"/>
  <c r="AF281" i="4"/>
  <c r="AE281" i="4"/>
  <c r="AD281" i="4"/>
  <c r="AC281" i="4"/>
  <c r="Z281" i="4"/>
  <c r="AA281" i="4" s="1"/>
  <c r="Y281" i="4"/>
  <c r="X281" i="4"/>
  <c r="W281" i="4"/>
  <c r="V281" i="4"/>
  <c r="U281" i="4"/>
  <c r="S281" i="4"/>
  <c r="R281" i="4"/>
  <c r="Q281" i="4"/>
  <c r="P281" i="4"/>
  <c r="O281" i="4"/>
  <c r="N281" i="4"/>
  <c r="M281" i="4"/>
  <c r="K281" i="4"/>
  <c r="I281" i="4"/>
  <c r="H281" i="4"/>
  <c r="G281" i="4"/>
  <c r="F281" i="4"/>
  <c r="E281" i="4"/>
  <c r="C281" i="4"/>
  <c r="J281" i="4" s="1"/>
  <c r="B281" i="4"/>
  <c r="A281" i="4"/>
  <c r="AF280" i="4"/>
  <c r="AE280" i="4"/>
  <c r="AD280" i="4"/>
  <c r="AC280" i="4"/>
  <c r="Z280" i="4"/>
  <c r="AA280" i="4" s="1"/>
  <c r="Y280" i="4"/>
  <c r="W280" i="4"/>
  <c r="V280" i="4"/>
  <c r="U280" i="4"/>
  <c r="Q280" i="4"/>
  <c r="O280" i="4"/>
  <c r="N280" i="4"/>
  <c r="M280" i="4"/>
  <c r="I280" i="4"/>
  <c r="H280" i="4"/>
  <c r="G280" i="4"/>
  <c r="F280" i="4"/>
  <c r="E280" i="4"/>
  <c r="D280" i="4"/>
  <c r="C280" i="4"/>
  <c r="B280" i="4"/>
  <c r="A280" i="4"/>
  <c r="AF279" i="4"/>
  <c r="AE279" i="4"/>
  <c r="AD279" i="4"/>
  <c r="AC279" i="4"/>
  <c r="Y279" i="4"/>
  <c r="W279" i="4"/>
  <c r="V279" i="4"/>
  <c r="U279" i="4"/>
  <c r="Q279" i="4"/>
  <c r="P279" i="4"/>
  <c r="O279" i="4"/>
  <c r="N279" i="4"/>
  <c r="M279" i="4"/>
  <c r="I279" i="4"/>
  <c r="H279" i="4"/>
  <c r="G279" i="4"/>
  <c r="F279" i="4"/>
  <c r="E279" i="4"/>
  <c r="C279" i="4"/>
  <c r="B279" i="4"/>
  <c r="A279" i="4"/>
  <c r="AF278" i="4"/>
  <c r="AE278" i="4"/>
  <c r="AD278" i="4"/>
  <c r="AC278" i="4"/>
  <c r="Z278" i="4"/>
  <c r="Y278" i="4"/>
  <c r="X278" i="4"/>
  <c r="W278" i="4"/>
  <c r="V278" i="4"/>
  <c r="U278" i="4"/>
  <c r="S278" i="4"/>
  <c r="R278" i="4"/>
  <c r="Q278" i="4"/>
  <c r="P278" i="4"/>
  <c r="O278" i="4"/>
  <c r="N278" i="4"/>
  <c r="M278" i="4"/>
  <c r="I278" i="4"/>
  <c r="H278" i="4"/>
  <c r="G278" i="4"/>
  <c r="F278" i="4"/>
  <c r="E278" i="4"/>
  <c r="D278" i="4"/>
  <c r="C278" i="4"/>
  <c r="J278" i="4" s="1"/>
  <c r="K278" i="4" s="1"/>
  <c r="B278" i="4"/>
  <c r="A278" i="4"/>
  <c r="AF277" i="4"/>
  <c r="AE277" i="4"/>
  <c r="AD277" i="4"/>
  <c r="AC277" i="4"/>
  <c r="Z277" i="4"/>
  <c r="AA277" i="4" s="1"/>
  <c r="Y277" i="4"/>
  <c r="X277" i="4"/>
  <c r="W277" i="4"/>
  <c r="V277" i="4"/>
  <c r="U277" i="4"/>
  <c r="Q277" i="4"/>
  <c r="O277" i="4"/>
  <c r="N277" i="4"/>
  <c r="M277" i="4"/>
  <c r="I277" i="4"/>
  <c r="H277" i="4"/>
  <c r="G277" i="4"/>
  <c r="F277" i="4"/>
  <c r="E277" i="4"/>
  <c r="D277" i="4"/>
  <c r="C277" i="4"/>
  <c r="B277" i="4"/>
  <c r="A277" i="4"/>
  <c r="AF276" i="4"/>
  <c r="AE276" i="4"/>
  <c r="AD276" i="4"/>
  <c r="AC276" i="4"/>
  <c r="Y276" i="4"/>
  <c r="W276" i="4"/>
  <c r="V276" i="4"/>
  <c r="U276" i="4"/>
  <c r="Q276" i="4"/>
  <c r="O276" i="4"/>
  <c r="N276" i="4"/>
  <c r="M276" i="4"/>
  <c r="I276" i="4"/>
  <c r="H276" i="4"/>
  <c r="G276" i="4"/>
  <c r="F276" i="4"/>
  <c r="E276" i="4"/>
  <c r="D276" i="4"/>
  <c r="C276" i="4"/>
  <c r="P276" i="4" s="1"/>
  <c r="B276" i="4"/>
  <c r="A276" i="4"/>
  <c r="AF275" i="4"/>
  <c r="AE275" i="4"/>
  <c r="AD275" i="4"/>
  <c r="AC275" i="4"/>
  <c r="Z275" i="4"/>
  <c r="Y275" i="4"/>
  <c r="X275" i="4"/>
  <c r="W275" i="4"/>
  <c r="V275" i="4"/>
  <c r="U275" i="4"/>
  <c r="R275" i="4"/>
  <c r="S275" i="4" s="1"/>
  <c r="Q275" i="4"/>
  <c r="P275" i="4"/>
  <c r="O275" i="4"/>
  <c r="N275" i="4"/>
  <c r="M275" i="4"/>
  <c r="I275" i="4"/>
  <c r="H275" i="4"/>
  <c r="G275" i="4"/>
  <c r="F275" i="4"/>
  <c r="E275" i="4"/>
  <c r="D275" i="4"/>
  <c r="C275" i="4"/>
  <c r="J275" i="4" s="1"/>
  <c r="K275" i="4" s="1"/>
  <c r="B275" i="4"/>
  <c r="A275" i="4"/>
  <c r="AF274" i="4"/>
  <c r="AE274" i="4"/>
  <c r="AD274" i="4"/>
  <c r="AC274" i="4"/>
  <c r="Y274" i="4"/>
  <c r="W274" i="4"/>
  <c r="V274" i="4"/>
  <c r="U274" i="4"/>
  <c r="Q274" i="4"/>
  <c r="O274" i="4"/>
  <c r="N274" i="4"/>
  <c r="M274" i="4"/>
  <c r="I274" i="4"/>
  <c r="H274" i="4"/>
  <c r="G274" i="4"/>
  <c r="F274" i="4"/>
  <c r="E274" i="4"/>
  <c r="D274" i="4"/>
  <c r="C274" i="4"/>
  <c r="B274" i="4"/>
  <c r="A274" i="4"/>
  <c r="AF273" i="4"/>
  <c r="AE273" i="4"/>
  <c r="AD273" i="4"/>
  <c r="AC273" i="4"/>
  <c r="Y273" i="4"/>
  <c r="X273" i="4"/>
  <c r="W273" i="4"/>
  <c r="V273" i="4"/>
  <c r="U273" i="4"/>
  <c r="Q273" i="4"/>
  <c r="O273" i="4"/>
  <c r="N273" i="4"/>
  <c r="M273" i="4"/>
  <c r="J273" i="4"/>
  <c r="K273" i="4" s="1"/>
  <c r="I273" i="4"/>
  <c r="H273" i="4"/>
  <c r="G273" i="4"/>
  <c r="F273" i="4"/>
  <c r="E273" i="4"/>
  <c r="D273" i="4"/>
  <c r="C273" i="4"/>
  <c r="B273" i="4"/>
  <c r="A273" i="4"/>
  <c r="AF272" i="4"/>
  <c r="AE272" i="4"/>
  <c r="AD272" i="4"/>
  <c r="AC272" i="4"/>
  <c r="Z272" i="4"/>
  <c r="AA272" i="4" s="1"/>
  <c r="Y272" i="4"/>
  <c r="X272" i="4"/>
  <c r="W272" i="4"/>
  <c r="V272" i="4"/>
  <c r="U272" i="4"/>
  <c r="S272" i="4"/>
  <c r="R272" i="4"/>
  <c r="Q272" i="4"/>
  <c r="P272" i="4"/>
  <c r="O272" i="4"/>
  <c r="N272" i="4"/>
  <c r="M272" i="4"/>
  <c r="I272" i="4"/>
  <c r="H272" i="4"/>
  <c r="G272" i="4"/>
  <c r="F272" i="4"/>
  <c r="E272" i="4"/>
  <c r="C272" i="4"/>
  <c r="J272" i="4" s="1"/>
  <c r="K272" i="4" s="1"/>
  <c r="B272" i="4"/>
  <c r="A272" i="4"/>
  <c r="AF271" i="4"/>
  <c r="AE271" i="4"/>
  <c r="AD271" i="4"/>
  <c r="AC271" i="4"/>
  <c r="Y271" i="4"/>
  <c r="W271" i="4"/>
  <c r="V271" i="4"/>
  <c r="U271" i="4"/>
  <c r="Q271" i="4"/>
  <c r="O271" i="4"/>
  <c r="N271" i="4"/>
  <c r="M271" i="4"/>
  <c r="I271" i="4"/>
  <c r="H271" i="4"/>
  <c r="G271" i="4"/>
  <c r="F271" i="4"/>
  <c r="E271" i="4"/>
  <c r="D271" i="4"/>
  <c r="C271" i="4"/>
  <c r="B271" i="4"/>
  <c r="A271" i="4"/>
  <c r="AF270" i="4"/>
  <c r="AE270" i="4"/>
  <c r="AD270" i="4"/>
  <c r="AC270" i="4"/>
  <c r="Y270" i="4"/>
  <c r="W270" i="4"/>
  <c r="V270" i="4"/>
  <c r="U270" i="4"/>
  <c r="R270" i="4"/>
  <c r="S270" i="4" s="1"/>
  <c r="Q270" i="4"/>
  <c r="P270" i="4"/>
  <c r="O270" i="4"/>
  <c r="N270" i="4"/>
  <c r="M270" i="4"/>
  <c r="J270" i="4"/>
  <c r="K270" i="4" s="1"/>
  <c r="I270" i="4"/>
  <c r="H270" i="4"/>
  <c r="G270" i="4"/>
  <c r="F270" i="4"/>
  <c r="E270" i="4"/>
  <c r="D270" i="4"/>
  <c r="C270" i="4"/>
  <c r="B270" i="4"/>
  <c r="A270" i="4"/>
  <c r="AF269" i="4"/>
  <c r="AE269" i="4"/>
  <c r="AD269" i="4"/>
  <c r="AC269" i="4"/>
  <c r="Z269" i="4"/>
  <c r="Y269" i="4"/>
  <c r="X269" i="4"/>
  <c r="W269" i="4"/>
  <c r="V269" i="4"/>
  <c r="U269" i="4"/>
  <c r="R269" i="4"/>
  <c r="S269" i="4" s="1"/>
  <c r="Q269" i="4"/>
  <c r="P269" i="4"/>
  <c r="O269" i="4"/>
  <c r="N269" i="4"/>
  <c r="M269" i="4"/>
  <c r="K269" i="4"/>
  <c r="I269" i="4"/>
  <c r="H269" i="4"/>
  <c r="G269" i="4"/>
  <c r="F269" i="4"/>
  <c r="E269" i="4"/>
  <c r="D269" i="4"/>
  <c r="C269" i="4"/>
  <c r="J269" i="4" s="1"/>
  <c r="B269" i="4"/>
  <c r="A269" i="4"/>
  <c r="AF268" i="4"/>
  <c r="AE268" i="4"/>
  <c r="AD268" i="4"/>
  <c r="AC268" i="4"/>
  <c r="Y268" i="4"/>
  <c r="X268" i="4"/>
  <c r="W268" i="4"/>
  <c r="V268" i="4"/>
  <c r="U268" i="4"/>
  <c r="Q268" i="4"/>
  <c r="O268" i="4"/>
  <c r="N268" i="4"/>
  <c r="M268" i="4"/>
  <c r="I268" i="4"/>
  <c r="H268" i="4"/>
  <c r="G268" i="4"/>
  <c r="F268" i="4"/>
  <c r="E268" i="4"/>
  <c r="D268" i="4"/>
  <c r="C268" i="4"/>
  <c r="B268" i="4"/>
  <c r="A268" i="4"/>
  <c r="AF267" i="4"/>
  <c r="AE267" i="4"/>
  <c r="AD267" i="4"/>
  <c r="AC267" i="4"/>
  <c r="Y267" i="4"/>
  <c r="W267" i="4"/>
  <c r="V267" i="4"/>
  <c r="U267" i="4"/>
  <c r="Q267" i="4"/>
  <c r="O267" i="4"/>
  <c r="N267" i="4"/>
  <c r="M267" i="4"/>
  <c r="I267" i="4"/>
  <c r="H267" i="4"/>
  <c r="G267" i="4"/>
  <c r="F267" i="4"/>
  <c r="E267" i="4"/>
  <c r="D267" i="4"/>
  <c r="C267" i="4"/>
  <c r="B267" i="4"/>
  <c r="A267" i="4"/>
  <c r="AF266" i="4"/>
  <c r="AE266" i="4"/>
  <c r="AD266" i="4"/>
  <c r="AC266" i="4"/>
  <c r="Z266" i="4"/>
  <c r="AA266" i="4" s="1"/>
  <c r="Y266" i="4"/>
  <c r="X266" i="4"/>
  <c r="W266" i="4"/>
  <c r="V266" i="4"/>
  <c r="U266" i="4"/>
  <c r="S266" i="4"/>
  <c r="R266" i="4"/>
  <c r="Q266" i="4"/>
  <c r="P266" i="4"/>
  <c r="O266" i="4"/>
  <c r="N266" i="4"/>
  <c r="M266" i="4"/>
  <c r="K266" i="4"/>
  <c r="I266" i="4"/>
  <c r="H266" i="4"/>
  <c r="G266" i="4"/>
  <c r="F266" i="4"/>
  <c r="E266" i="4"/>
  <c r="C266" i="4"/>
  <c r="J266" i="4" s="1"/>
  <c r="B266" i="4"/>
  <c r="A266" i="4"/>
  <c r="AF265" i="4"/>
  <c r="AE265" i="4"/>
  <c r="AD265" i="4"/>
  <c r="AC265" i="4"/>
  <c r="Y265" i="4"/>
  <c r="W265" i="4"/>
  <c r="V265" i="4"/>
  <c r="U265" i="4"/>
  <c r="Q265" i="4"/>
  <c r="P265" i="4"/>
  <c r="O265" i="4"/>
  <c r="N265" i="4"/>
  <c r="M265" i="4"/>
  <c r="I265" i="4"/>
  <c r="H265" i="4"/>
  <c r="G265" i="4"/>
  <c r="F265" i="4"/>
  <c r="E265" i="4"/>
  <c r="D265" i="4"/>
  <c r="C265" i="4"/>
  <c r="B265" i="4"/>
  <c r="A265" i="4"/>
  <c r="AF264" i="4"/>
  <c r="AE264" i="4"/>
  <c r="AD264" i="4"/>
  <c r="AC264" i="4"/>
  <c r="Y264" i="4"/>
  <c r="X264" i="4"/>
  <c r="W264" i="4"/>
  <c r="V264" i="4"/>
  <c r="U264" i="4"/>
  <c r="R264" i="4"/>
  <c r="Q264" i="4"/>
  <c r="O264" i="4"/>
  <c r="N264" i="4"/>
  <c r="M264" i="4"/>
  <c r="J264" i="4"/>
  <c r="K264" i="4" s="1"/>
  <c r="I264" i="4"/>
  <c r="H264" i="4"/>
  <c r="G264" i="4"/>
  <c r="F264" i="4"/>
  <c r="E264" i="4"/>
  <c r="D264" i="4"/>
  <c r="C264" i="4"/>
  <c r="Z264" i="4" s="1"/>
  <c r="AA264" i="4" s="1"/>
  <c r="B264" i="4"/>
  <c r="A264" i="4"/>
  <c r="AF263" i="4"/>
  <c r="AE263" i="4"/>
  <c r="AD263" i="4"/>
  <c r="AC263" i="4"/>
  <c r="Z263" i="4"/>
  <c r="Y263" i="4"/>
  <c r="X263" i="4"/>
  <c r="W263" i="4"/>
  <c r="V263" i="4"/>
  <c r="U263" i="4"/>
  <c r="R263" i="4"/>
  <c r="S263" i="4" s="1"/>
  <c r="Q263" i="4"/>
  <c r="P263" i="4"/>
  <c r="O263" i="4"/>
  <c r="N263" i="4"/>
  <c r="M263" i="4"/>
  <c r="I263" i="4"/>
  <c r="H263" i="4"/>
  <c r="G263" i="4"/>
  <c r="F263" i="4"/>
  <c r="E263" i="4"/>
  <c r="D263" i="4"/>
  <c r="C263" i="4"/>
  <c r="J263" i="4" s="1"/>
  <c r="B263" i="4"/>
  <c r="A263" i="4"/>
  <c r="AF262" i="4"/>
  <c r="AE262" i="4"/>
  <c r="AD262" i="4"/>
  <c r="AC262" i="4"/>
  <c r="Y262" i="4"/>
  <c r="W262" i="4"/>
  <c r="V262" i="4"/>
  <c r="U262" i="4"/>
  <c r="S262" i="4"/>
  <c r="Q262" i="4"/>
  <c r="O262" i="4"/>
  <c r="N262" i="4"/>
  <c r="M262" i="4"/>
  <c r="I262" i="4"/>
  <c r="H262" i="4"/>
  <c r="G262" i="4"/>
  <c r="F262" i="4"/>
  <c r="E262" i="4"/>
  <c r="D262" i="4"/>
  <c r="C262" i="4"/>
  <c r="R262" i="4" s="1"/>
  <c r="B262" i="4"/>
  <c r="A262" i="4"/>
  <c r="AF261" i="4"/>
  <c r="AE261" i="4"/>
  <c r="AD261" i="4"/>
  <c r="AC261" i="4"/>
  <c r="Y261" i="4"/>
  <c r="X261" i="4"/>
  <c r="W261" i="4"/>
  <c r="V261" i="4"/>
  <c r="U261" i="4"/>
  <c r="R261" i="4"/>
  <c r="S261" i="4" s="1"/>
  <c r="Q261" i="4"/>
  <c r="P261" i="4"/>
  <c r="O261" i="4"/>
  <c r="N261" i="4"/>
  <c r="M261" i="4"/>
  <c r="J261" i="4"/>
  <c r="K261" i="4" s="1"/>
  <c r="I261" i="4"/>
  <c r="H261" i="4"/>
  <c r="G261" i="4"/>
  <c r="F261" i="4"/>
  <c r="E261" i="4"/>
  <c r="D261" i="4"/>
  <c r="C261" i="4"/>
  <c r="Z261" i="4" s="1"/>
  <c r="B261" i="4"/>
  <c r="A261" i="4"/>
  <c r="AF260" i="4"/>
  <c r="AE260" i="4"/>
  <c r="AD260" i="4"/>
  <c r="AC260" i="4"/>
  <c r="Z260" i="4"/>
  <c r="Y260" i="4"/>
  <c r="X260" i="4"/>
  <c r="W260" i="4"/>
  <c r="V260" i="4"/>
  <c r="U260" i="4"/>
  <c r="S260" i="4"/>
  <c r="R260" i="4"/>
  <c r="Q260" i="4"/>
  <c r="P260" i="4"/>
  <c r="O260" i="4"/>
  <c r="N260" i="4"/>
  <c r="M260" i="4"/>
  <c r="I260" i="4"/>
  <c r="H260" i="4"/>
  <c r="G260" i="4"/>
  <c r="F260" i="4"/>
  <c r="E260" i="4"/>
  <c r="D260" i="4"/>
  <c r="C260" i="4"/>
  <c r="J260" i="4" s="1"/>
  <c r="K260" i="4" s="1"/>
  <c r="B260" i="4"/>
  <c r="A260" i="4"/>
  <c r="AF259" i="4"/>
  <c r="AE259" i="4"/>
  <c r="AD259" i="4"/>
  <c r="AC259" i="4"/>
  <c r="Z259" i="4"/>
  <c r="AA259" i="4" s="1"/>
  <c r="Y259" i="4"/>
  <c r="X259" i="4"/>
  <c r="W259" i="4"/>
  <c r="V259" i="4"/>
  <c r="U259" i="4"/>
  <c r="Q259" i="4"/>
  <c r="O259" i="4"/>
  <c r="N259" i="4"/>
  <c r="M259" i="4"/>
  <c r="J259" i="4"/>
  <c r="K259" i="4" s="1"/>
  <c r="I259" i="4"/>
  <c r="H259" i="4"/>
  <c r="G259" i="4"/>
  <c r="F259" i="4"/>
  <c r="E259" i="4"/>
  <c r="D259" i="4"/>
  <c r="C259" i="4"/>
  <c r="R259" i="4" s="1"/>
  <c r="B259" i="4"/>
  <c r="A259" i="4"/>
  <c r="AF258" i="4"/>
  <c r="AE258" i="4"/>
  <c r="AD258" i="4"/>
  <c r="AC258" i="4"/>
  <c r="Y258" i="4"/>
  <c r="W258" i="4"/>
  <c r="V258" i="4"/>
  <c r="U258" i="4"/>
  <c r="Q258" i="4"/>
  <c r="O258" i="4"/>
  <c r="N258" i="4"/>
  <c r="M258" i="4"/>
  <c r="I258" i="4"/>
  <c r="H258" i="4"/>
  <c r="G258" i="4"/>
  <c r="F258" i="4"/>
  <c r="E258" i="4"/>
  <c r="C258" i="4"/>
  <c r="B258" i="4"/>
  <c r="A258" i="4"/>
  <c r="AF257" i="4"/>
  <c r="AE257" i="4"/>
  <c r="AD257" i="4"/>
  <c r="AC257" i="4"/>
  <c r="Z257" i="4"/>
  <c r="Y257" i="4"/>
  <c r="X257" i="4"/>
  <c r="W257" i="4"/>
  <c r="V257" i="4"/>
  <c r="U257" i="4"/>
  <c r="R257" i="4"/>
  <c r="S257" i="4" s="1"/>
  <c r="Q257" i="4"/>
  <c r="P257" i="4"/>
  <c r="O257" i="4"/>
  <c r="N257" i="4"/>
  <c r="M257" i="4"/>
  <c r="I257" i="4"/>
  <c r="H257" i="4"/>
  <c r="G257" i="4"/>
  <c r="F257" i="4"/>
  <c r="E257" i="4"/>
  <c r="D257" i="4"/>
  <c r="C257" i="4"/>
  <c r="J257" i="4" s="1"/>
  <c r="B257" i="4"/>
  <c r="A257" i="4"/>
  <c r="AF256" i="4"/>
  <c r="AE256" i="4"/>
  <c r="AD256" i="4"/>
  <c r="AC256" i="4"/>
  <c r="Y256" i="4"/>
  <c r="W256" i="4"/>
  <c r="V256" i="4"/>
  <c r="U256" i="4"/>
  <c r="Q256" i="4"/>
  <c r="O256" i="4"/>
  <c r="N256" i="4"/>
  <c r="M256" i="4"/>
  <c r="I256" i="4"/>
  <c r="H256" i="4"/>
  <c r="G256" i="4"/>
  <c r="F256" i="4"/>
  <c r="E256" i="4"/>
  <c r="D256" i="4"/>
  <c r="C256" i="4"/>
  <c r="P256" i="4" s="1"/>
  <c r="B256" i="4"/>
  <c r="A256" i="4"/>
  <c r="AF255" i="4"/>
  <c r="AE255" i="4"/>
  <c r="AD255" i="4"/>
  <c r="AC255" i="4"/>
  <c r="Y255" i="4"/>
  <c r="W255" i="4"/>
  <c r="V255" i="4"/>
  <c r="U255" i="4"/>
  <c r="R255" i="4"/>
  <c r="S255" i="4" s="1"/>
  <c r="Q255" i="4"/>
  <c r="P255" i="4"/>
  <c r="O255" i="4"/>
  <c r="N255" i="4"/>
  <c r="M255" i="4"/>
  <c r="J255" i="4"/>
  <c r="K255" i="4" s="1"/>
  <c r="I255" i="4"/>
  <c r="H255" i="4"/>
  <c r="G255" i="4"/>
  <c r="F255" i="4"/>
  <c r="E255" i="4"/>
  <c r="D255" i="4"/>
  <c r="C255" i="4"/>
  <c r="Z255" i="4" s="1"/>
  <c r="B255" i="4"/>
  <c r="A255" i="4"/>
  <c r="AF254" i="4"/>
  <c r="AE254" i="4"/>
  <c r="AD254" i="4"/>
  <c r="AC254" i="4"/>
  <c r="Z254" i="4"/>
  <c r="AA254" i="4" s="1"/>
  <c r="Y254" i="4"/>
  <c r="X254" i="4"/>
  <c r="W254" i="4"/>
  <c r="V254" i="4"/>
  <c r="U254" i="4"/>
  <c r="R254" i="4"/>
  <c r="S254" i="4" s="1"/>
  <c r="Q254" i="4"/>
  <c r="P254" i="4"/>
  <c r="O254" i="4"/>
  <c r="N254" i="4"/>
  <c r="M254" i="4"/>
  <c r="L254" i="4"/>
  <c r="I254" i="4"/>
  <c r="H254" i="4"/>
  <c r="G254" i="4"/>
  <c r="F254" i="4"/>
  <c r="E254" i="4"/>
  <c r="C254" i="4"/>
  <c r="J254" i="4" s="1"/>
  <c r="K254" i="4" s="1"/>
  <c r="B254" i="4"/>
  <c r="A254" i="4"/>
  <c r="AF253" i="4"/>
  <c r="AE253" i="4"/>
  <c r="AD253" i="4"/>
  <c r="AC253" i="4"/>
  <c r="Z253" i="4"/>
  <c r="AA253" i="4" s="1"/>
  <c r="Y253" i="4"/>
  <c r="X253" i="4"/>
  <c r="W253" i="4"/>
  <c r="V253" i="4"/>
  <c r="U253" i="4"/>
  <c r="S253" i="4"/>
  <c r="Q253" i="4"/>
  <c r="O253" i="4"/>
  <c r="N253" i="4"/>
  <c r="M253" i="4"/>
  <c r="J253" i="4"/>
  <c r="K253" i="4" s="1"/>
  <c r="I253" i="4"/>
  <c r="H253" i="4"/>
  <c r="G253" i="4"/>
  <c r="F253" i="4"/>
  <c r="E253" i="4"/>
  <c r="D253" i="4"/>
  <c r="C253" i="4"/>
  <c r="R253" i="4" s="1"/>
  <c r="B253" i="4"/>
  <c r="A253" i="4"/>
  <c r="AF252" i="4"/>
  <c r="AE252" i="4"/>
  <c r="AD252" i="4"/>
  <c r="AC252" i="4"/>
  <c r="Y252" i="4"/>
  <c r="W252" i="4"/>
  <c r="V252" i="4"/>
  <c r="U252" i="4"/>
  <c r="Q252" i="4"/>
  <c r="O252" i="4"/>
  <c r="N252" i="4"/>
  <c r="M252" i="4"/>
  <c r="I252" i="4"/>
  <c r="H252" i="4"/>
  <c r="G252" i="4"/>
  <c r="F252" i="4"/>
  <c r="E252" i="4"/>
  <c r="C252" i="4"/>
  <c r="B252" i="4"/>
  <c r="A252" i="4"/>
  <c r="AF251" i="4"/>
  <c r="AE251" i="4"/>
  <c r="AD251" i="4"/>
  <c r="AC251" i="4"/>
  <c r="Z251" i="4"/>
  <c r="Y251" i="4"/>
  <c r="X251" i="4"/>
  <c r="W251" i="4"/>
  <c r="V251" i="4"/>
  <c r="U251" i="4"/>
  <c r="S251" i="4"/>
  <c r="R251" i="4"/>
  <c r="Q251" i="4"/>
  <c r="P251" i="4"/>
  <c r="O251" i="4"/>
  <c r="N251" i="4"/>
  <c r="M251" i="4"/>
  <c r="I251" i="4"/>
  <c r="H251" i="4"/>
  <c r="G251" i="4"/>
  <c r="F251" i="4"/>
  <c r="E251" i="4"/>
  <c r="D251" i="4"/>
  <c r="C251" i="4"/>
  <c r="J251" i="4" s="1"/>
  <c r="B251" i="4"/>
  <c r="A251" i="4"/>
  <c r="AF250" i="4"/>
  <c r="AE250" i="4"/>
  <c r="AD250" i="4"/>
  <c r="AC250" i="4"/>
  <c r="Z250" i="4"/>
  <c r="AA250" i="4" s="1"/>
  <c r="Y250" i="4"/>
  <c r="X250" i="4"/>
  <c r="W250" i="4"/>
  <c r="V250" i="4"/>
  <c r="U250" i="4"/>
  <c r="Q250" i="4"/>
  <c r="O250" i="4"/>
  <c r="N250" i="4"/>
  <c r="M250" i="4"/>
  <c r="J250" i="4"/>
  <c r="K250" i="4" s="1"/>
  <c r="I250" i="4"/>
  <c r="H250" i="4"/>
  <c r="G250" i="4"/>
  <c r="F250" i="4"/>
  <c r="E250" i="4"/>
  <c r="C250" i="4"/>
  <c r="R250" i="4" s="1"/>
  <c r="S250" i="4" s="1"/>
  <c r="B250" i="4"/>
  <c r="A250" i="4"/>
  <c r="AF249" i="4"/>
  <c r="AE249" i="4"/>
  <c r="AD249" i="4"/>
  <c r="AC249" i="4"/>
  <c r="Y249" i="4"/>
  <c r="W249" i="4"/>
  <c r="V249" i="4"/>
  <c r="U249" i="4"/>
  <c r="Q249" i="4"/>
  <c r="O249" i="4"/>
  <c r="N249" i="4"/>
  <c r="M249" i="4"/>
  <c r="I249" i="4"/>
  <c r="H249" i="4"/>
  <c r="G249" i="4"/>
  <c r="F249" i="4"/>
  <c r="E249" i="4"/>
  <c r="D249" i="4"/>
  <c r="C249" i="4"/>
  <c r="P249" i="4" s="1"/>
  <c r="B249" i="4"/>
  <c r="A249" i="4"/>
  <c r="AF248" i="4"/>
  <c r="AE248" i="4"/>
  <c r="AD248" i="4"/>
  <c r="AC248" i="4"/>
  <c r="Z248" i="4"/>
  <c r="Y248" i="4"/>
  <c r="X248" i="4"/>
  <c r="W248" i="4"/>
  <c r="V248" i="4"/>
  <c r="U248" i="4"/>
  <c r="R248" i="4"/>
  <c r="S248" i="4" s="1"/>
  <c r="Q248" i="4"/>
  <c r="P248" i="4"/>
  <c r="O248" i="4"/>
  <c r="N248" i="4"/>
  <c r="M248" i="4"/>
  <c r="I248" i="4"/>
  <c r="H248" i="4"/>
  <c r="G248" i="4"/>
  <c r="F248" i="4"/>
  <c r="E248" i="4"/>
  <c r="C248" i="4"/>
  <c r="J248" i="4" s="1"/>
  <c r="K248" i="4" s="1"/>
  <c r="B248" i="4"/>
  <c r="A248" i="4"/>
  <c r="AF247" i="4"/>
  <c r="AE247" i="4"/>
  <c r="AD247" i="4"/>
  <c r="AC247" i="4"/>
  <c r="Y247" i="4"/>
  <c r="W247" i="4"/>
  <c r="V247" i="4"/>
  <c r="U247" i="4"/>
  <c r="Q247" i="4"/>
  <c r="O247" i="4"/>
  <c r="N247" i="4"/>
  <c r="M247" i="4"/>
  <c r="I247" i="4"/>
  <c r="H247" i="4"/>
  <c r="G247" i="4"/>
  <c r="F247" i="4"/>
  <c r="E247" i="4"/>
  <c r="D247" i="4"/>
  <c r="C247" i="4"/>
  <c r="B247" i="4"/>
  <c r="A247" i="4"/>
  <c r="AF246" i="4"/>
  <c r="AE246" i="4"/>
  <c r="AD246" i="4"/>
  <c r="AC246" i="4"/>
  <c r="Y246" i="4"/>
  <c r="W246" i="4"/>
  <c r="V246" i="4"/>
  <c r="U246" i="4"/>
  <c r="Q246" i="4"/>
  <c r="O246" i="4"/>
  <c r="N246" i="4"/>
  <c r="M246" i="4"/>
  <c r="I246" i="4"/>
  <c r="H246" i="4"/>
  <c r="G246" i="4"/>
  <c r="F246" i="4"/>
  <c r="E246" i="4"/>
  <c r="C246" i="4"/>
  <c r="B246" i="4"/>
  <c r="A246" i="4"/>
  <c r="AF245" i="4"/>
  <c r="AE245" i="4"/>
  <c r="AD245" i="4"/>
  <c r="AC245" i="4"/>
  <c r="Z245" i="4"/>
  <c r="AA245" i="4" s="1"/>
  <c r="Y245" i="4"/>
  <c r="X245" i="4"/>
  <c r="W245" i="4"/>
  <c r="V245" i="4"/>
  <c r="U245" i="4"/>
  <c r="S245" i="4"/>
  <c r="R245" i="4"/>
  <c r="Q245" i="4"/>
  <c r="P245" i="4"/>
  <c r="O245" i="4"/>
  <c r="N245" i="4"/>
  <c r="M245" i="4"/>
  <c r="I245" i="4"/>
  <c r="H245" i="4"/>
  <c r="G245" i="4"/>
  <c r="F245" i="4"/>
  <c r="E245" i="4"/>
  <c r="D245" i="4"/>
  <c r="C245" i="4"/>
  <c r="J245" i="4" s="1"/>
  <c r="B245" i="4"/>
  <c r="A245" i="4"/>
  <c r="AF244" i="4"/>
  <c r="AE244" i="4"/>
  <c r="AD244" i="4"/>
  <c r="AC244" i="4"/>
  <c r="Z244" i="4"/>
  <c r="AA244" i="4" s="1"/>
  <c r="Y244" i="4"/>
  <c r="X244" i="4"/>
  <c r="W244" i="4"/>
  <c r="V244" i="4"/>
  <c r="U244" i="4"/>
  <c r="S244" i="4"/>
  <c r="Q244" i="4"/>
  <c r="P244" i="4"/>
  <c r="O244" i="4"/>
  <c r="N244" i="4"/>
  <c r="M244" i="4"/>
  <c r="J244" i="4"/>
  <c r="K244" i="4" s="1"/>
  <c r="I244" i="4"/>
  <c r="H244" i="4"/>
  <c r="G244" i="4"/>
  <c r="F244" i="4"/>
  <c r="E244" i="4"/>
  <c r="C244" i="4"/>
  <c r="R244" i="4" s="1"/>
  <c r="B244" i="4"/>
  <c r="A244" i="4"/>
  <c r="AF243" i="4"/>
  <c r="AE243" i="4"/>
  <c r="AD243" i="4"/>
  <c r="AC243" i="4"/>
  <c r="Y243" i="4"/>
  <c r="W243" i="4"/>
  <c r="V243" i="4"/>
  <c r="U243" i="4"/>
  <c r="R243" i="4"/>
  <c r="S243" i="4" s="1"/>
  <c r="Q243" i="4"/>
  <c r="P243" i="4"/>
  <c r="O243" i="4"/>
  <c r="N243" i="4"/>
  <c r="M243" i="4"/>
  <c r="J243" i="4"/>
  <c r="K243" i="4" s="1"/>
  <c r="I243" i="4"/>
  <c r="H243" i="4"/>
  <c r="G243" i="4"/>
  <c r="F243" i="4"/>
  <c r="E243" i="4"/>
  <c r="D243" i="4"/>
  <c r="C243" i="4"/>
  <c r="X243" i="4" s="1"/>
  <c r="B243" i="4"/>
  <c r="A243" i="4"/>
  <c r="AF242" i="4"/>
  <c r="AE242" i="4"/>
  <c r="AD242" i="4"/>
  <c r="AC242" i="4"/>
  <c r="Y242" i="4"/>
  <c r="W242" i="4"/>
  <c r="V242" i="4"/>
  <c r="U242" i="4"/>
  <c r="Q242" i="4"/>
  <c r="O242" i="4"/>
  <c r="N242" i="4"/>
  <c r="M242" i="4"/>
  <c r="I242" i="4"/>
  <c r="H242" i="4"/>
  <c r="G242" i="4"/>
  <c r="F242" i="4"/>
  <c r="E242" i="4"/>
  <c r="C242" i="4"/>
  <c r="B242" i="4"/>
  <c r="A242" i="4"/>
  <c r="AF241" i="4"/>
  <c r="AE241" i="4"/>
  <c r="AD241" i="4"/>
  <c r="AC241" i="4"/>
  <c r="Y241" i="4"/>
  <c r="W241" i="4"/>
  <c r="V241" i="4"/>
  <c r="U241" i="4"/>
  <c r="Q241" i="4"/>
  <c r="O241" i="4"/>
  <c r="N241" i="4"/>
  <c r="M241" i="4"/>
  <c r="I241" i="4"/>
  <c r="H241" i="4"/>
  <c r="G241" i="4"/>
  <c r="F241" i="4"/>
  <c r="E241" i="4"/>
  <c r="C241" i="4"/>
  <c r="B241" i="4"/>
  <c r="A241" i="4"/>
  <c r="AF240" i="4"/>
  <c r="AE240" i="4"/>
  <c r="AD240" i="4"/>
  <c r="AC240" i="4"/>
  <c r="Y240" i="4"/>
  <c r="W240" i="4"/>
  <c r="V240" i="4"/>
  <c r="U240" i="4"/>
  <c r="S240" i="4"/>
  <c r="R240" i="4"/>
  <c r="Q240" i="4"/>
  <c r="P240" i="4"/>
  <c r="O240" i="4"/>
  <c r="N240" i="4"/>
  <c r="M240" i="4"/>
  <c r="I240" i="4"/>
  <c r="H240" i="4"/>
  <c r="G240" i="4"/>
  <c r="F240" i="4"/>
  <c r="E240" i="4"/>
  <c r="D240" i="4"/>
  <c r="C240" i="4"/>
  <c r="B240" i="4"/>
  <c r="A240" i="4"/>
  <c r="AF239" i="4"/>
  <c r="AE239" i="4"/>
  <c r="AD239" i="4"/>
  <c r="AC239" i="4"/>
  <c r="Z239" i="4"/>
  <c r="AA239" i="4" s="1"/>
  <c r="Y239" i="4"/>
  <c r="X239" i="4"/>
  <c r="W239" i="4"/>
  <c r="V239" i="4"/>
  <c r="U239" i="4"/>
  <c r="Q239" i="4"/>
  <c r="O239" i="4"/>
  <c r="N239" i="4"/>
  <c r="M239" i="4"/>
  <c r="I239" i="4"/>
  <c r="L239" i="4" s="1"/>
  <c r="H239" i="4"/>
  <c r="G239" i="4"/>
  <c r="F239" i="4"/>
  <c r="E239" i="4"/>
  <c r="C239" i="4"/>
  <c r="B239" i="4"/>
  <c r="A239" i="4"/>
  <c r="AF238" i="4"/>
  <c r="AE238" i="4"/>
  <c r="AD238" i="4"/>
  <c r="AC238" i="4"/>
  <c r="Y238" i="4"/>
  <c r="W238" i="4"/>
  <c r="V238" i="4"/>
  <c r="U238" i="4"/>
  <c r="Q238" i="4"/>
  <c r="O238" i="4"/>
  <c r="N238" i="4"/>
  <c r="M238" i="4"/>
  <c r="J238" i="4"/>
  <c r="K238" i="4" s="1"/>
  <c r="I238" i="4"/>
  <c r="H238" i="4"/>
  <c r="G238" i="4"/>
  <c r="F238" i="4"/>
  <c r="E238" i="4"/>
  <c r="C238" i="4"/>
  <c r="B238" i="4"/>
  <c r="A238" i="4"/>
  <c r="AF237" i="4"/>
  <c r="AE237" i="4"/>
  <c r="AD237" i="4"/>
  <c r="AC237" i="4"/>
  <c r="Y237" i="4"/>
  <c r="W237" i="4"/>
  <c r="V237" i="4"/>
  <c r="U237" i="4"/>
  <c r="R237" i="4"/>
  <c r="S237" i="4" s="1"/>
  <c r="Q237" i="4"/>
  <c r="P237" i="4"/>
  <c r="O237" i="4"/>
  <c r="N237" i="4"/>
  <c r="M237" i="4"/>
  <c r="I237" i="4"/>
  <c r="H237" i="4"/>
  <c r="G237" i="4"/>
  <c r="F237" i="4"/>
  <c r="E237" i="4"/>
  <c r="C237" i="4"/>
  <c r="B237" i="4"/>
  <c r="A237" i="4"/>
  <c r="AF236" i="4"/>
  <c r="AE236" i="4"/>
  <c r="AD236" i="4"/>
  <c r="AC236" i="4"/>
  <c r="Y236" i="4"/>
  <c r="W236" i="4"/>
  <c r="V236" i="4"/>
  <c r="U236" i="4"/>
  <c r="Q236" i="4"/>
  <c r="O236" i="4"/>
  <c r="N236" i="4"/>
  <c r="M236" i="4"/>
  <c r="I236" i="4"/>
  <c r="H236" i="4"/>
  <c r="G236" i="4"/>
  <c r="F236" i="4"/>
  <c r="E236" i="4"/>
  <c r="C236" i="4"/>
  <c r="B236" i="4"/>
  <c r="A236" i="4"/>
  <c r="L236" i="4" s="1"/>
  <c r="AF235" i="4"/>
  <c r="AE235" i="4"/>
  <c r="AD235" i="4"/>
  <c r="AC235" i="4"/>
  <c r="Y235" i="4"/>
  <c r="W235" i="4"/>
  <c r="V235" i="4"/>
  <c r="U235" i="4"/>
  <c r="Q235" i="4"/>
  <c r="O235" i="4"/>
  <c r="N235" i="4"/>
  <c r="M235" i="4"/>
  <c r="J235" i="4"/>
  <c r="K235" i="4" s="1"/>
  <c r="I235" i="4"/>
  <c r="H235" i="4"/>
  <c r="G235" i="4"/>
  <c r="F235" i="4"/>
  <c r="E235" i="4"/>
  <c r="C235" i="4"/>
  <c r="B235" i="4"/>
  <c r="A235" i="4"/>
  <c r="AF234" i="4"/>
  <c r="AE234" i="4"/>
  <c r="AD234" i="4"/>
  <c r="AC234" i="4"/>
  <c r="AA234" i="4"/>
  <c r="Z234" i="4"/>
  <c r="Y234" i="4"/>
  <c r="W234" i="4"/>
  <c r="V234" i="4"/>
  <c r="U234" i="4"/>
  <c r="Q234" i="4"/>
  <c r="O234" i="4"/>
  <c r="N234" i="4"/>
  <c r="M234" i="4"/>
  <c r="I234" i="4"/>
  <c r="H234" i="4"/>
  <c r="G234" i="4"/>
  <c r="F234" i="4"/>
  <c r="E234" i="4"/>
  <c r="C234" i="4"/>
  <c r="B234" i="4"/>
  <c r="A234" i="4"/>
  <c r="AF233" i="4"/>
  <c r="AE233" i="4"/>
  <c r="AD233" i="4"/>
  <c r="AC233" i="4"/>
  <c r="AA233" i="4"/>
  <c r="Z233" i="4"/>
  <c r="Y233" i="4"/>
  <c r="X233" i="4"/>
  <c r="W233" i="4"/>
  <c r="V233" i="4"/>
  <c r="U233" i="4"/>
  <c r="Q233" i="4"/>
  <c r="O233" i="4"/>
  <c r="N233" i="4"/>
  <c r="M233" i="4"/>
  <c r="J233" i="4"/>
  <c r="I233" i="4"/>
  <c r="H233" i="4"/>
  <c r="G233" i="4"/>
  <c r="K233" i="4" s="1"/>
  <c r="F233" i="4"/>
  <c r="E233" i="4"/>
  <c r="C233" i="4"/>
  <c r="B233" i="4"/>
  <c r="A233" i="4"/>
  <c r="AF232" i="4"/>
  <c r="AE232" i="4"/>
  <c r="AD232" i="4"/>
  <c r="AC232" i="4"/>
  <c r="Y232" i="4"/>
  <c r="W232" i="4"/>
  <c r="V232" i="4"/>
  <c r="U232" i="4"/>
  <c r="R232" i="4"/>
  <c r="S232" i="4" s="1"/>
  <c r="Q232" i="4"/>
  <c r="O232" i="4"/>
  <c r="N232" i="4"/>
  <c r="M232" i="4"/>
  <c r="I232" i="4"/>
  <c r="H232" i="4"/>
  <c r="G232" i="4"/>
  <c r="F232" i="4"/>
  <c r="E232" i="4"/>
  <c r="C232" i="4"/>
  <c r="B232" i="4"/>
  <c r="A232" i="4"/>
  <c r="AF231" i="4"/>
  <c r="AE231" i="4"/>
  <c r="AD231" i="4"/>
  <c r="AC231" i="4"/>
  <c r="Z231" i="4"/>
  <c r="Y231" i="4"/>
  <c r="W231" i="4"/>
  <c r="V231" i="4"/>
  <c r="U231" i="4"/>
  <c r="S231" i="4"/>
  <c r="R231" i="4"/>
  <c r="Q231" i="4"/>
  <c r="P231" i="4"/>
  <c r="O231" i="4"/>
  <c r="N231" i="4"/>
  <c r="M231" i="4"/>
  <c r="I231" i="4"/>
  <c r="H231" i="4"/>
  <c r="G231" i="4"/>
  <c r="F231" i="4"/>
  <c r="E231" i="4"/>
  <c r="D231" i="4"/>
  <c r="C231" i="4"/>
  <c r="B231" i="4"/>
  <c r="A231" i="4"/>
  <c r="AF230" i="4"/>
  <c r="AE230" i="4"/>
  <c r="AD230" i="4"/>
  <c r="AC230" i="4"/>
  <c r="Z230" i="4"/>
  <c r="AA230" i="4" s="1"/>
  <c r="Y230" i="4"/>
  <c r="X230" i="4"/>
  <c r="W230" i="4"/>
  <c r="V230" i="4"/>
  <c r="U230" i="4"/>
  <c r="Q230" i="4"/>
  <c r="O230" i="4"/>
  <c r="N230" i="4"/>
  <c r="M230" i="4"/>
  <c r="J230" i="4"/>
  <c r="K230" i="4" s="1"/>
  <c r="I230" i="4"/>
  <c r="L230" i="4" s="1"/>
  <c r="H230" i="4"/>
  <c r="G230" i="4"/>
  <c r="F230" i="4"/>
  <c r="E230" i="4"/>
  <c r="C230" i="4"/>
  <c r="B230" i="4"/>
  <c r="A230" i="4"/>
  <c r="AF229" i="4"/>
  <c r="AE229" i="4"/>
  <c r="AD229" i="4"/>
  <c r="AC229" i="4"/>
  <c r="Y229" i="4"/>
  <c r="W229" i="4"/>
  <c r="V229" i="4"/>
  <c r="U229" i="4"/>
  <c r="Q229" i="4"/>
  <c r="O229" i="4"/>
  <c r="N229" i="4"/>
  <c r="M229" i="4"/>
  <c r="K229" i="4"/>
  <c r="I229" i="4"/>
  <c r="H229" i="4"/>
  <c r="G229" i="4"/>
  <c r="F229" i="4"/>
  <c r="E229" i="4"/>
  <c r="C229" i="4"/>
  <c r="J229" i="4" s="1"/>
  <c r="B229" i="4"/>
  <c r="A229" i="4"/>
  <c r="AF228" i="4"/>
  <c r="AE228" i="4"/>
  <c r="AD228" i="4"/>
  <c r="AC228" i="4"/>
  <c r="Y228" i="4"/>
  <c r="W228" i="4"/>
  <c r="V228" i="4"/>
  <c r="U228" i="4"/>
  <c r="Q228" i="4"/>
  <c r="P228" i="4"/>
  <c r="O228" i="4"/>
  <c r="N228" i="4"/>
  <c r="M228" i="4"/>
  <c r="I228" i="4"/>
  <c r="H228" i="4"/>
  <c r="G228" i="4"/>
  <c r="F228" i="4"/>
  <c r="E228" i="4"/>
  <c r="D228" i="4"/>
  <c r="C228" i="4"/>
  <c r="B228" i="4"/>
  <c r="A228" i="4"/>
  <c r="AB228" i="4" s="1"/>
  <c r="AF227" i="4"/>
  <c r="AE227" i="4"/>
  <c r="AD227" i="4"/>
  <c r="AC227" i="4"/>
  <c r="Z227" i="4"/>
  <c r="AA227" i="4" s="1"/>
  <c r="Y227" i="4"/>
  <c r="X227" i="4"/>
  <c r="W227" i="4"/>
  <c r="V227" i="4"/>
  <c r="U227" i="4"/>
  <c r="Q227" i="4"/>
  <c r="O227" i="4"/>
  <c r="N227" i="4"/>
  <c r="M227" i="4"/>
  <c r="I227" i="4"/>
  <c r="H227" i="4"/>
  <c r="G227" i="4"/>
  <c r="F227" i="4"/>
  <c r="E227" i="4"/>
  <c r="C227" i="4"/>
  <c r="B227" i="4"/>
  <c r="A227" i="4"/>
  <c r="AF226" i="4"/>
  <c r="AE226" i="4"/>
  <c r="AD226" i="4"/>
  <c r="AC226" i="4"/>
  <c r="Z226" i="4"/>
  <c r="AA226" i="4" s="1"/>
  <c r="Y226" i="4"/>
  <c r="W226" i="4"/>
  <c r="V226" i="4"/>
  <c r="U226" i="4"/>
  <c r="Q226" i="4"/>
  <c r="O226" i="4"/>
  <c r="N226" i="4"/>
  <c r="M226" i="4"/>
  <c r="K226" i="4"/>
  <c r="J226" i="4"/>
  <c r="I226" i="4"/>
  <c r="H226" i="4"/>
  <c r="G226" i="4"/>
  <c r="F226" i="4"/>
  <c r="E226" i="4"/>
  <c r="C226" i="4"/>
  <c r="B226" i="4"/>
  <c r="A226" i="4"/>
  <c r="AF225" i="4"/>
  <c r="AE225" i="4"/>
  <c r="AD225" i="4"/>
  <c r="AC225" i="4"/>
  <c r="Y225" i="4"/>
  <c r="W225" i="4"/>
  <c r="V225" i="4"/>
  <c r="U225" i="4"/>
  <c r="Q225" i="4"/>
  <c r="O225" i="4"/>
  <c r="N225" i="4"/>
  <c r="M225" i="4"/>
  <c r="I225" i="4"/>
  <c r="H225" i="4"/>
  <c r="G225" i="4"/>
  <c r="F225" i="4"/>
  <c r="E225" i="4"/>
  <c r="D225" i="4"/>
  <c r="C225" i="4"/>
  <c r="B225" i="4"/>
  <c r="A225" i="4"/>
  <c r="AF224" i="4"/>
  <c r="AE224" i="4"/>
  <c r="AD224" i="4"/>
  <c r="AC224" i="4"/>
  <c r="Y224" i="4"/>
  <c r="W224" i="4"/>
  <c r="V224" i="4"/>
  <c r="U224" i="4"/>
  <c r="S224" i="4"/>
  <c r="R224" i="4"/>
  <c r="Q224" i="4"/>
  <c r="O224" i="4"/>
  <c r="N224" i="4"/>
  <c r="M224" i="4"/>
  <c r="I224" i="4"/>
  <c r="H224" i="4"/>
  <c r="G224" i="4"/>
  <c r="F224" i="4"/>
  <c r="E224" i="4"/>
  <c r="C224" i="4"/>
  <c r="P224" i="4" s="1"/>
  <c r="B224" i="4"/>
  <c r="A224" i="4"/>
  <c r="AF223" i="4"/>
  <c r="AE223" i="4"/>
  <c r="AD223" i="4"/>
  <c r="AC223" i="4"/>
  <c r="Z223" i="4"/>
  <c r="AA223" i="4" s="1"/>
  <c r="Y223" i="4"/>
  <c r="W223" i="4"/>
  <c r="V223" i="4"/>
  <c r="U223" i="4"/>
  <c r="Q223" i="4"/>
  <c r="O223" i="4"/>
  <c r="N223" i="4"/>
  <c r="M223" i="4"/>
  <c r="J223" i="4"/>
  <c r="K223" i="4" s="1"/>
  <c r="I223" i="4"/>
  <c r="H223" i="4"/>
  <c r="G223" i="4"/>
  <c r="F223" i="4"/>
  <c r="E223" i="4"/>
  <c r="C223" i="4"/>
  <c r="B223" i="4"/>
  <c r="A223" i="4"/>
  <c r="AF222" i="4"/>
  <c r="AE222" i="4"/>
  <c r="AD222" i="4"/>
  <c r="AC222" i="4"/>
  <c r="Y222" i="4"/>
  <c r="W222" i="4"/>
  <c r="V222" i="4"/>
  <c r="U222" i="4"/>
  <c r="Q222" i="4"/>
  <c r="P222" i="4"/>
  <c r="O222" i="4"/>
  <c r="N222" i="4"/>
  <c r="M222" i="4"/>
  <c r="I222" i="4"/>
  <c r="H222" i="4"/>
  <c r="G222" i="4"/>
  <c r="F222" i="4"/>
  <c r="E222" i="4"/>
  <c r="C222" i="4"/>
  <c r="B222" i="4"/>
  <c r="A222" i="4"/>
  <c r="AF221" i="4"/>
  <c r="AE221" i="4"/>
  <c r="AD221" i="4"/>
  <c r="AC221" i="4"/>
  <c r="Y221" i="4"/>
  <c r="W221" i="4"/>
  <c r="V221" i="4"/>
  <c r="U221" i="4"/>
  <c r="S221" i="4"/>
  <c r="R221" i="4"/>
  <c r="Q221" i="4"/>
  <c r="O221" i="4"/>
  <c r="N221" i="4"/>
  <c r="M221" i="4"/>
  <c r="I221" i="4"/>
  <c r="H221" i="4"/>
  <c r="G221" i="4"/>
  <c r="F221" i="4"/>
  <c r="E221" i="4"/>
  <c r="C221" i="4"/>
  <c r="P221" i="4" s="1"/>
  <c r="B221" i="4"/>
  <c r="A221" i="4"/>
  <c r="AF220" i="4"/>
  <c r="AE220" i="4"/>
  <c r="AD220" i="4"/>
  <c r="AC220" i="4"/>
  <c r="Z220" i="4"/>
  <c r="AA220" i="4" s="1"/>
  <c r="Y220" i="4"/>
  <c r="W220" i="4"/>
  <c r="V220" i="4"/>
  <c r="U220" i="4"/>
  <c r="Q220" i="4"/>
  <c r="O220" i="4"/>
  <c r="N220" i="4"/>
  <c r="M220" i="4"/>
  <c r="K220" i="4"/>
  <c r="J220" i="4"/>
  <c r="I220" i="4"/>
  <c r="H220" i="4"/>
  <c r="G220" i="4"/>
  <c r="F220" i="4"/>
  <c r="E220" i="4"/>
  <c r="C220" i="4"/>
  <c r="B220" i="4"/>
  <c r="A220" i="4"/>
  <c r="AF219" i="4"/>
  <c r="AE219" i="4"/>
  <c r="AD219" i="4"/>
  <c r="AC219" i="4"/>
  <c r="Y219" i="4"/>
  <c r="W219" i="4"/>
  <c r="V219" i="4"/>
  <c r="U219" i="4"/>
  <c r="Q219" i="4"/>
  <c r="O219" i="4"/>
  <c r="N219" i="4"/>
  <c r="M219" i="4"/>
  <c r="I219" i="4"/>
  <c r="H219" i="4"/>
  <c r="G219" i="4"/>
  <c r="F219" i="4"/>
  <c r="E219" i="4"/>
  <c r="D219" i="4"/>
  <c r="C219" i="4"/>
  <c r="B219" i="4"/>
  <c r="A219" i="4"/>
  <c r="AF218" i="4"/>
  <c r="AE218" i="4"/>
  <c r="AD218" i="4"/>
  <c r="AC218" i="4"/>
  <c r="Y218" i="4"/>
  <c r="W218" i="4"/>
  <c r="V218" i="4"/>
  <c r="U218" i="4"/>
  <c r="S218" i="4"/>
  <c r="R218" i="4"/>
  <c r="Q218" i="4"/>
  <c r="O218" i="4"/>
  <c r="N218" i="4"/>
  <c r="M218" i="4"/>
  <c r="I218" i="4"/>
  <c r="H218" i="4"/>
  <c r="G218" i="4"/>
  <c r="F218" i="4"/>
  <c r="E218" i="4"/>
  <c r="C218" i="4"/>
  <c r="P218" i="4" s="1"/>
  <c r="B218" i="4"/>
  <c r="A218" i="4"/>
  <c r="AF217" i="4"/>
  <c r="AE217" i="4"/>
  <c r="AD217" i="4"/>
  <c r="AC217" i="4"/>
  <c r="AA217" i="4"/>
  <c r="Z217" i="4"/>
  <c r="Y217" i="4"/>
  <c r="W217" i="4"/>
  <c r="V217" i="4"/>
  <c r="U217" i="4"/>
  <c r="Q217" i="4"/>
  <c r="O217" i="4"/>
  <c r="N217" i="4"/>
  <c r="M217" i="4"/>
  <c r="K217" i="4"/>
  <c r="J217" i="4"/>
  <c r="I217" i="4"/>
  <c r="H217" i="4"/>
  <c r="G217" i="4"/>
  <c r="F217" i="4"/>
  <c r="E217" i="4"/>
  <c r="C217" i="4"/>
  <c r="B217" i="4"/>
  <c r="A217" i="4"/>
  <c r="AF216" i="4"/>
  <c r="AE216" i="4"/>
  <c r="AD216" i="4"/>
  <c r="AC216" i="4"/>
  <c r="Y216" i="4"/>
  <c r="W216" i="4"/>
  <c r="V216" i="4"/>
  <c r="U216" i="4"/>
  <c r="Q216" i="4"/>
  <c r="P216" i="4"/>
  <c r="O216" i="4"/>
  <c r="N216" i="4"/>
  <c r="M216" i="4"/>
  <c r="I216" i="4"/>
  <c r="H216" i="4"/>
  <c r="G216" i="4"/>
  <c r="F216" i="4"/>
  <c r="E216" i="4"/>
  <c r="C216" i="4"/>
  <c r="B216" i="4"/>
  <c r="A216" i="4"/>
  <c r="AF215" i="4"/>
  <c r="AE215" i="4"/>
  <c r="AD215" i="4"/>
  <c r="AC215" i="4"/>
  <c r="Y215" i="4"/>
  <c r="W215" i="4"/>
  <c r="V215" i="4"/>
  <c r="U215" i="4"/>
  <c r="S215" i="4"/>
  <c r="R215" i="4"/>
  <c r="Q215" i="4"/>
  <c r="O215" i="4"/>
  <c r="N215" i="4"/>
  <c r="M215" i="4"/>
  <c r="I215" i="4"/>
  <c r="H215" i="4"/>
  <c r="G215" i="4"/>
  <c r="F215" i="4"/>
  <c r="E215" i="4"/>
  <c r="C215" i="4"/>
  <c r="P215" i="4" s="1"/>
  <c r="B215" i="4"/>
  <c r="A215" i="4"/>
  <c r="AF214" i="4"/>
  <c r="AE214" i="4"/>
  <c r="AD214" i="4"/>
  <c r="AC214" i="4"/>
  <c r="Z214" i="4"/>
  <c r="AA214" i="4" s="1"/>
  <c r="Y214" i="4"/>
  <c r="W214" i="4"/>
  <c r="V214" i="4"/>
  <c r="U214" i="4"/>
  <c r="Q214" i="4"/>
  <c r="O214" i="4"/>
  <c r="N214" i="4"/>
  <c r="M214" i="4"/>
  <c r="J214" i="4"/>
  <c r="K214" i="4" s="1"/>
  <c r="I214" i="4"/>
  <c r="H214" i="4"/>
  <c r="G214" i="4"/>
  <c r="F214" i="4"/>
  <c r="E214" i="4"/>
  <c r="C214" i="4"/>
  <c r="B214" i="4"/>
  <c r="A214" i="4"/>
  <c r="AF213" i="4"/>
  <c r="AE213" i="4"/>
  <c r="AD213" i="4"/>
  <c r="AC213" i="4"/>
  <c r="Y213" i="4"/>
  <c r="W213" i="4"/>
  <c r="V213" i="4"/>
  <c r="U213" i="4"/>
  <c r="Q213" i="4"/>
  <c r="O213" i="4"/>
  <c r="N213" i="4"/>
  <c r="M213" i="4"/>
  <c r="I213" i="4"/>
  <c r="H213" i="4"/>
  <c r="G213" i="4"/>
  <c r="F213" i="4"/>
  <c r="E213" i="4"/>
  <c r="D213" i="4"/>
  <c r="C213" i="4"/>
  <c r="B213" i="4"/>
  <c r="A213" i="4"/>
  <c r="AF212" i="4"/>
  <c r="AE212" i="4"/>
  <c r="AD212" i="4"/>
  <c r="AC212" i="4"/>
  <c r="Y212" i="4"/>
  <c r="W212" i="4"/>
  <c r="V212" i="4"/>
  <c r="U212" i="4"/>
  <c r="S212" i="4"/>
  <c r="R212" i="4"/>
  <c r="Q212" i="4"/>
  <c r="O212" i="4"/>
  <c r="N212" i="4"/>
  <c r="M212" i="4"/>
  <c r="I212" i="4"/>
  <c r="H212" i="4"/>
  <c r="G212" i="4"/>
  <c r="F212" i="4"/>
  <c r="E212" i="4"/>
  <c r="C212" i="4"/>
  <c r="P212" i="4" s="1"/>
  <c r="B212" i="4"/>
  <c r="A212" i="4"/>
  <c r="AF211" i="4"/>
  <c r="AE211" i="4"/>
  <c r="AD211" i="4"/>
  <c r="AC211" i="4"/>
  <c r="AA211" i="4"/>
  <c r="Z211" i="4"/>
  <c r="Y211" i="4"/>
  <c r="W211" i="4"/>
  <c r="V211" i="4"/>
  <c r="U211" i="4"/>
  <c r="Q211" i="4"/>
  <c r="O211" i="4"/>
  <c r="N211" i="4"/>
  <c r="M211" i="4"/>
  <c r="J211" i="4"/>
  <c r="K211" i="4" s="1"/>
  <c r="I211" i="4"/>
  <c r="H211" i="4"/>
  <c r="G211" i="4"/>
  <c r="F211" i="4"/>
  <c r="E211" i="4"/>
  <c r="C211" i="4"/>
  <c r="B211" i="4"/>
  <c r="A211" i="4"/>
  <c r="AF210" i="4"/>
  <c r="AE210" i="4"/>
  <c r="AD210" i="4"/>
  <c r="AC210" i="4"/>
  <c r="AB210" i="4"/>
  <c r="Y210" i="4"/>
  <c r="W210" i="4"/>
  <c r="V210" i="4"/>
  <c r="U210" i="4"/>
  <c r="Q210" i="4"/>
  <c r="O210" i="4"/>
  <c r="N210" i="4"/>
  <c r="M210" i="4"/>
  <c r="I210" i="4"/>
  <c r="H210" i="4"/>
  <c r="G210" i="4"/>
  <c r="F210" i="4"/>
  <c r="E210" i="4"/>
  <c r="D210" i="4"/>
  <c r="C210" i="4"/>
  <c r="B210" i="4"/>
  <c r="A210" i="4"/>
  <c r="AF209" i="4"/>
  <c r="AE209" i="4"/>
  <c r="AD209" i="4"/>
  <c r="AC209" i="4"/>
  <c r="Y209" i="4"/>
  <c r="W209" i="4"/>
  <c r="V209" i="4"/>
  <c r="U209" i="4"/>
  <c r="S209" i="4"/>
  <c r="R209" i="4"/>
  <c r="Q209" i="4"/>
  <c r="O209" i="4"/>
  <c r="N209" i="4"/>
  <c r="M209" i="4"/>
  <c r="I209" i="4"/>
  <c r="H209" i="4"/>
  <c r="G209" i="4"/>
  <c r="F209" i="4"/>
  <c r="E209" i="4"/>
  <c r="C209" i="4"/>
  <c r="P209" i="4" s="1"/>
  <c r="B209" i="4"/>
  <c r="A209" i="4"/>
  <c r="AF208" i="4"/>
  <c r="AE208" i="4"/>
  <c r="AD208" i="4"/>
  <c r="AC208" i="4"/>
  <c r="Z208" i="4"/>
  <c r="AA208" i="4" s="1"/>
  <c r="Y208" i="4"/>
  <c r="W208" i="4"/>
  <c r="V208" i="4"/>
  <c r="U208" i="4"/>
  <c r="Q208" i="4"/>
  <c r="O208" i="4"/>
  <c r="N208" i="4"/>
  <c r="M208" i="4"/>
  <c r="K208" i="4"/>
  <c r="J208" i="4"/>
  <c r="I208" i="4"/>
  <c r="H208" i="4"/>
  <c r="G208" i="4"/>
  <c r="F208" i="4"/>
  <c r="E208" i="4"/>
  <c r="C208" i="4"/>
  <c r="B208" i="4"/>
  <c r="A208" i="4"/>
  <c r="AF207" i="4"/>
  <c r="AE207" i="4"/>
  <c r="AD207" i="4"/>
  <c r="AC207" i="4"/>
  <c r="Y207" i="4"/>
  <c r="W207" i="4"/>
  <c r="V207" i="4"/>
  <c r="U207" i="4"/>
  <c r="Q207" i="4"/>
  <c r="O207" i="4"/>
  <c r="N207" i="4"/>
  <c r="M207" i="4"/>
  <c r="I207" i="4"/>
  <c r="H207" i="4"/>
  <c r="G207" i="4"/>
  <c r="F207" i="4"/>
  <c r="E207" i="4"/>
  <c r="D207" i="4"/>
  <c r="C207" i="4"/>
  <c r="B207" i="4"/>
  <c r="A207" i="4"/>
  <c r="AF206" i="4"/>
  <c r="AE206" i="4"/>
  <c r="AD206" i="4"/>
  <c r="AC206" i="4"/>
  <c r="Y206" i="4"/>
  <c r="W206" i="4"/>
  <c r="V206" i="4"/>
  <c r="U206" i="4"/>
  <c r="S206" i="4"/>
  <c r="R206" i="4"/>
  <c r="Q206" i="4"/>
  <c r="O206" i="4"/>
  <c r="N206" i="4"/>
  <c r="M206" i="4"/>
  <c r="I206" i="4"/>
  <c r="H206" i="4"/>
  <c r="G206" i="4"/>
  <c r="F206" i="4"/>
  <c r="E206" i="4"/>
  <c r="C206" i="4"/>
  <c r="P206" i="4" s="1"/>
  <c r="B206" i="4"/>
  <c r="A206" i="4"/>
  <c r="AF205" i="4"/>
  <c r="AE205" i="4"/>
  <c r="AD205" i="4"/>
  <c r="AC205" i="4"/>
  <c r="Z205" i="4"/>
  <c r="AA205" i="4" s="1"/>
  <c r="Y205" i="4"/>
  <c r="W205" i="4"/>
  <c r="V205" i="4"/>
  <c r="U205" i="4"/>
  <c r="Q205" i="4"/>
  <c r="O205" i="4"/>
  <c r="N205" i="4"/>
  <c r="M205" i="4"/>
  <c r="K205" i="4"/>
  <c r="J205" i="4"/>
  <c r="I205" i="4"/>
  <c r="H205" i="4"/>
  <c r="G205" i="4"/>
  <c r="F205" i="4"/>
  <c r="E205" i="4"/>
  <c r="C205" i="4"/>
  <c r="B205" i="4"/>
  <c r="A205" i="4"/>
  <c r="AF204" i="4"/>
  <c r="AE204" i="4"/>
  <c r="AD204" i="4"/>
  <c r="AC204" i="4"/>
  <c r="Y204" i="4"/>
  <c r="W204" i="4"/>
  <c r="V204" i="4"/>
  <c r="U204" i="4"/>
  <c r="Q204" i="4"/>
  <c r="O204" i="4"/>
  <c r="N204" i="4"/>
  <c r="M204" i="4"/>
  <c r="I204" i="4"/>
  <c r="H204" i="4"/>
  <c r="G204" i="4"/>
  <c r="F204" i="4"/>
  <c r="E204" i="4"/>
  <c r="D204" i="4"/>
  <c r="C204" i="4"/>
  <c r="B204" i="4"/>
  <c r="A204" i="4"/>
  <c r="AF203" i="4"/>
  <c r="AE203" i="4"/>
  <c r="AD203" i="4"/>
  <c r="AC203" i="4"/>
  <c r="Y203" i="4"/>
  <c r="W203" i="4"/>
  <c r="V203" i="4"/>
  <c r="U203" i="4"/>
  <c r="S203" i="4"/>
  <c r="R203" i="4"/>
  <c r="Q203" i="4"/>
  <c r="O203" i="4"/>
  <c r="N203" i="4"/>
  <c r="M203" i="4"/>
  <c r="I203" i="4"/>
  <c r="H203" i="4"/>
  <c r="G203" i="4"/>
  <c r="F203" i="4"/>
  <c r="E203" i="4"/>
  <c r="C203" i="4"/>
  <c r="P203" i="4" s="1"/>
  <c r="B203" i="4"/>
  <c r="A203" i="4"/>
  <c r="AF202" i="4"/>
  <c r="AE202" i="4"/>
  <c r="AD202" i="4"/>
  <c r="AC202" i="4"/>
  <c r="AA202" i="4"/>
  <c r="Z202" i="4"/>
  <c r="Y202" i="4"/>
  <c r="W202" i="4"/>
  <c r="V202" i="4"/>
  <c r="U202" i="4"/>
  <c r="Q202" i="4"/>
  <c r="O202" i="4"/>
  <c r="N202" i="4"/>
  <c r="M202" i="4"/>
  <c r="J202" i="4"/>
  <c r="K202" i="4" s="1"/>
  <c r="I202" i="4"/>
  <c r="H202" i="4"/>
  <c r="G202" i="4"/>
  <c r="F202" i="4"/>
  <c r="E202" i="4"/>
  <c r="C202" i="4"/>
  <c r="B202" i="4"/>
  <c r="A202" i="4"/>
  <c r="AF201" i="4"/>
  <c r="AE201" i="4"/>
  <c r="AD201" i="4"/>
  <c r="AC201" i="4"/>
  <c r="Y201" i="4"/>
  <c r="W201" i="4"/>
  <c r="V201" i="4"/>
  <c r="U201" i="4"/>
  <c r="Q201" i="4"/>
  <c r="P201" i="4"/>
  <c r="O201" i="4"/>
  <c r="N201" i="4"/>
  <c r="M201" i="4"/>
  <c r="I201" i="4"/>
  <c r="H201" i="4"/>
  <c r="G201" i="4"/>
  <c r="F201" i="4"/>
  <c r="E201" i="4"/>
  <c r="D201" i="4"/>
  <c r="C201" i="4"/>
  <c r="B201" i="4"/>
  <c r="A201" i="4"/>
  <c r="AF200" i="4"/>
  <c r="AE200" i="4"/>
  <c r="AD200" i="4"/>
  <c r="AC200" i="4"/>
  <c r="Y200" i="4"/>
  <c r="W200" i="4"/>
  <c r="V200" i="4"/>
  <c r="U200" i="4"/>
  <c r="S200" i="4"/>
  <c r="R200" i="4"/>
  <c r="Q200" i="4"/>
  <c r="O200" i="4"/>
  <c r="N200" i="4"/>
  <c r="M200" i="4"/>
  <c r="I200" i="4"/>
  <c r="H200" i="4"/>
  <c r="G200" i="4"/>
  <c r="F200" i="4"/>
  <c r="E200" i="4"/>
  <c r="C200" i="4"/>
  <c r="P200" i="4" s="1"/>
  <c r="B200" i="4"/>
  <c r="A200" i="4"/>
  <c r="AF199" i="4"/>
  <c r="AE199" i="4"/>
  <c r="AD199" i="4"/>
  <c r="AC199" i="4"/>
  <c r="Z199" i="4"/>
  <c r="AA199" i="4" s="1"/>
  <c r="Y199" i="4"/>
  <c r="W199" i="4"/>
  <c r="V199" i="4"/>
  <c r="U199" i="4"/>
  <c r="Q199" i="4"/>
  <c r="O199" i="4"/>
  <c r="N199" i="4"/>
  <c r="M199" i="4"/>
  <c r="K199" i="4"/>
  <c r="J199" i="4"/>
  <c r="I199" i="4"/>
  <c r="H199" i="4"/>
  <c r="G199" i="4"/>
  <c r="F199" i="4"/>
  <c r="E199" i="4"/>
  <c r="C199" i="4"/>
  <c r="B199" i="4"/>
  <c r="A199" i="4"/>
  <c r="AF198" i="4"/>
  <c r="AE198" i="4"/>
  <c r="AD198" i="4"/>
  <c r="AC198" i="4"/>
  <c r="Y198" i="4"/>
  <c r="W198" i="4"/>
  <c r="V198" i="4"/>
  <c r="U198" i="4"/>
  <c r="Q198" i="4"/>
  <c r="P198" i="4"/>
  <c r="O198" i="4"/>
  <c r="N198" i="4"/>
  <c r="M198" i="4"/>
  <c r="I198" i="4"/>
  <c r="H198" i="4"/>
  <c r="G198" i="4"/>
  <c r="F198" i="4"/>
  <c r="E198" i="4"/>
  <c r="C198" i="4"/>
  <c r="B198" i="4"/>
  <c r="A198" i="4"/>
  <c r="AF197" i="4"/>
  <c r="AE197" i="4"/>
  <c r="AD197" i="4"/>
  <c r="AC197" i="4"/>
  <c r="Y197" i="4"/>
  <c r="W197" i="4"/>
  <c r="V197" i="4"/>
  <c r="U197" i="4"/>
  <c r="S197" i="4"/>
  <c r="R197" i="4"/>
  <c r="Q197" i="4"/>
  <c r="O197" i="4"/>
  <c r="N197" i="4"/>
  <c r="M197" i="4"/>
  <c r="I197" i="4"/>
  <c r="H197" i="4"/>
  <c r="G197" i="4"/>
  <c r="F197" i="4"/>
  <c r="E197" i="4"/>
  <c r="C197" i="4"/>
  <c r="P197" i="4" s="1"/>
  <c r="B197" i="4"/>
  <c r="A197" i="4"/>
  <c r="AF196" i="4"/>
  <c r="AE196" i="4"/>
  <c r="AD196" i="4"/>
  <c r="AC196" i="4"/>
  <c r="Z196" i="4"/>
  <c r="AA196" i="4" s="1"/>
  <c r="Y196" i="4"/>
  <c r="W196" i="4"/>
  <c r="V196" i="4"/>
  <c r="U196" i="4"/>
  <c r="Q196" i="4"/>
  <c r="O196" i="4"/>
  <c r="N196" i="4"/>
  <c r="M196" i="4"/>
  <c r="J196" i="4"/>
  <c r="K196" i="4" s="1"/>
  <c r="I196" i="4"/>
  <c r="H196" i="4"/>
  <c r="G196" i="4"/>
  <c r="F196" i="4"/>
  <c r="E196" i="4"/>
  <c r="C196" i="4"/>
  <c r="B196" i="4"/>
  <c r="A196" i="4"/>
  <c r="AF195" i="4"/>
  <c r="AE195" i="4"/>
  <c r="AD195" i="4"/>
  <c r="AC195" i="4"/>
  <c r="Y195" i="4"/>
  <c r="W195" i="4"/>
  <c r="V195" i="4"/>
  <c r="U195" i="4"/>
  <c r="Q195" i="4"/>
  <c r="P195" i="4"/>
  <c r="O195" i="4"/>
  <c r="N195" i="4"/>
  <c r="M195" i="4"/>
  <c r="I195" i="4"/>
  <c r="H195" i="4"/>
  <c r="G195" i="4"/>
  <c r="F195" i="4"/>
  <c r="E195" i="4"/>
  <c r="C195" i="4"/>
  <c r="B195" i="4"/>
  <c r="A195" i="4"/>
  <c r="AF194" i="4"/>
  <c r="AE194" i="4"/>
  <c r="AD194" i="4"/>
  <c r="AC194" i="4"/>
  <c r="Y194" i="4"/>
  <c r="W194" i="4"/>
  <c r="V194" i="4"/>
  <c r="U194" i="4"/>
  <c r="S194" i="4"/>
  <c r="R194" i="4"/>
  <c r="Q194" i="4"/>
  <c r="O194" i="4"/>
  <c r="N194" i="4"/>
  <c r="M194" i="4"/>
  <c r="I194" i="4"/>
  <c r="H194" i="4"/>
  <c r="G194" i="4"/>
  <c r="F194" i="4"/>
  <c r="E194" i="4"/>
  <c r="C194" i="4"/>
  <c r="P194" i="4" s="1"/>
  <c r="B194" i="4"/>
  <c r="A194" i="4"/>
  <c r="AF193" i="4"/>
  <c r="AE193" i="4"/>
  <c r="AD193" i="4"/>
  <c r="AC193" i="4"/>
  <c r="Y193" i="4"/>
  <c r="W193" i="4"/>
  <c r="V193" i="4"/>
  <c r="U193" i="4"/>
  <c r="Q193" i="4"/>
  <c r="O193" i="4"/>
  <c r="N193" i="4"/>
  <c r="M193" i="4"/>
  <c r="I193" i="4"/>
  <c r="H193" i="4"/>
  <c r="G193" i="4"/>
  <c r="F193" i="4"/>
  <c r="E193" i="4"/>
  <c r="C193" i="4"/>
  <c r="R193" i="4" s="1"/>
  <c r="S193" i="4" s="1"/>
  <c r="B193" i="4"/>
  <c r="A193" i="4"/>
  <c r="AF192" i="4"/>
  <c r="AE192" i="4"/>
  <c r="AD192" i="4"/>
  <c r="AC192" i="4"/>
  <c r="Y192" i="4"/>
  <c r="W192" i="4"/>
  <c r="V192" i="4"/>
  <c r="U192" i="4"/>
  <c r="Q192" i="4"/>
  <c r="P192" i="4"/>
  <c r="O192" i="4"/>
  <c r="N192" i="4"/>
  <c r="M192" i="4"/>
  <c r="I192" i="4"/>
  <c r="H192" i="4"/>
  <c r="G192" i="4"/>
  <c r="F192" i="4"/>
  <c r="E192" i="4"/>
  <c r="C192" i="4"/>
  <c r="B192" i="4"/>
  <c r="A192" i="4"/>
  <c r="AF191" i="4"/>
  <c r="AE191" i="4"/>
  <c r="AD191" i="4"/>
  <c r="AC191" i="4"/>
  <c r="Y191" i="4"/>
  <c r="W191" i="4"/>
  <c r="V191" i="4"/>
  <c r="U191" i="4"/>
  <c r="R191" i="4"/>
  <c r="S191" i="4" s="1"/>
  <c r="Q191" i="4"/>
  <c r="O191" i="4"/>
  <c r="N191" i="4"/>
  <c r="M191" i="4"/>
  <c r="I191" i="4"/>
  <c r="H191" i="4"/>
  <c r="G191" i="4"/>
  <c r="F191" i="4"/>
  <c r="E191" i="4"/>
  <c r="C191" i="4"/>
  <c r="P191" i="4" s="1"/>
  <c r="B191" i="4"/>
  <c r="A191" i="4"/>
  <c r="AF190" i="4"/>
  <c r="AE190" i="4"/>
  <c r="AD190" i="4"/>
  <c r="AC190" i="4"/>
  <c r="Y190" i="4"/>
  <c r="W190" i="4"/>
  <c r="V190" i="4"/>
  <c r="U190" i="4"/>
  <c r="R190" i="4"/>
  <c r="S190" i="4" s="1"/>
  <c r="Q190" i="4"/>
  <c r="O190" i="4"/>
  <c r="N190" i="4"/>
  <c r="M190" i="4"/>
  <c r="I190" i="4"/>
  <c r="H190" i="4"/>
  <c r="G190" i="4"/>
  <c r="F190" i="4"/>
  <c r="E190" i="4"/>
  <c r="C190" i="4"/>
  <c r="B190" i="4"/>
  <c r="A190" i="4"/>
  <c r="AF189" i="4"/>
  <c r="AE189" i="4"/>
  <c r="AD189" i="4"/>
  <c r="AC189" i="4"/>
  <c r="Y189" i="4"/>
  <c r="W189" i="4"/>
  <c r="V189" i="4"/>
  <c r="U189" i="4"/>
  <c r="Q189" i="4"/>
  <c r="O189" i="4"/>
  <c r="N189" i="4"/>
  <c r="M189" i="4"/>
  <c r="I189" i="4"/>
  <c r="H189" i="4"/>
  <c r="G189" i="4"/>
  <c r="F189" i="4"/>
  <c r="E189" i="4"/>
  <c r="D189" i="4"/>
  <c r="C189" i="4"/>
  <c r="B189" i="4"/>
  <c r="A189" i="4"/>
  <c r="AF188" i="4"/>
  <c r="AE188" i="4"/>
  <c r="AD188" i="4"/>
  <c r="AC188" i="4"/>
  <c r="Y188" i="4"/>
  <c r="W188" i="4"/>
  <c r="V188" i="4"/>
  <c r="U188" i="4"/>
  <c r="S188" i="4"/>
  <c r="R188" i="4"/>
  <c r="Q188" i="4"/>
  <c r="O188" i="4"/>
  <c r="N188" i="4"/>
  <c r="M188" i="4"/>
  <c r="I188" i="4"/>
  <c r="H188" i="4"/>
  <c r="G188" i="4"/>
  <c r="F188" i="4"/>
  <c r="E188" i="4"/>
  <c r="C188" i="4"/>
  <c r="P188" i="4" s="1"/>
  <c r="B188" i="4"/>
  <c r="A188" i="4"/>
  <c r="AF187" i="4"/>
  <c r="AE187" i="4"/>
  <c r="AD187" i="4"/>
  <c r="AC187" i="4"/>
  <c r="Y187" i="4"/>
  <c r="W187" i="4"/>
  <c r="V187" i="4"/>
  <c r="U187" i="4"/>
  <c r="Q187" i="4"/>
  <c r="O187" i="4"/>
  <c r="N187" i="4"/>
  <c r="M187" i="4"/>
  <c r="I187" i="4"/>
  <c r="H187" i="4"/>
  <c r="G187" i="4"/>
  <c r="F187" i="4"/>
  <c r="E187" i="4"/>
  <c r="C187" i="4"/>
  <c r="B187" i="4"/>
  <c r="A187" i="4"/>
  <c r="AF186" i="4"/>
  <c r="AE186" i="4"/>
  <c r="AD186" i="4"/>
  <c r="AC186" i="4"/>
  <c r="Y186" i="4"/>
  <c r="W186" i="4"/>
  <c r="V186" i="4"/>
  <c r="U186" i="4"/>
  <c r="Q186" i="4"/>
  <c r="P186" i="4"/>
  <c r="O186" i="4"/>
  <c r="N186" i="4"/>
  <c r="M186" i="4"/>
  <c r="I186" i="4"/>
  <c r="H186" i="4"/>
  <c r="G186" i="4"/>
  <c r="F186" i="4"/>
  <c r="E186" i="4"/>
  <c r="C186" i="4"/>
  <c r="B186" i="4"/>
  <c r="A186" i="4"/>
  <c r="AF185" i="4"/>
  <c r="AE185" i="4"/>
  <c r="AD185" i="4"/>
  <c r="AC185" i="4"/>
  <c r="Y185" i="4"/>
  <c r="W185" i="4"/>
  <c r="V185" i="4"/>
  <c r="U185" i="4"/>
  <c r="R185" i="4"/>
  <c r="S185" i="4" s="1"/>
  <c r="Q185" i="4"/>
  <c r="O185" i="4"/>
  <c r="N185" i="4"/>
  <c r="M185" i="4"/>
  <c r="I185" i="4"/>
  <c r="H185" i="4"/>
  <c r="G185" i="4"/>
  <c r="F185" i="4"/>
  <c r="E185" i="4"/>
  <c r="C185" i="4"/>
  <c r="P185" i="4" s="1"/>
  <c r="B185" i="4"/>
  <c r="A185" i="4"/>
  <c r="AF184" i="4"/>
  <c r="AE184" i="4"/>
  <c r="AD184" i="4"/>
  <c r="AC184" i="4"/>
  <c r="AA184" i="4"/>
  <c r="Z184" i="4"/>
  <c r="Y184" i="4"/>
  <c r="W184" i="4"/>
  <c r="V184" i="4"/>
  <c r="U184" i="4"/>
  <c r="Q184" i="4"/>
  <c r="O184" i="4"/>
  <c r="N184" i="4"/>
  <c r="M184" i="4"/>
  <c r="J184" i="4"/>
  <c r="K184" i="4" s="1"/>
  <c r="I184" i="4"/>
  <c r="H184" i="4"/>
  <c r="G184" i="4"/>
  <c r="F184" i="4"/>
  <c r="E184" i="4"/>
  <c r="C184" i="4"/>
  <c r="B184" i="4"/>
  <c r="A184" i="4"/>
  <c r="AF183" i="4"/>
  <c r="AE183" i="4"/>
  <c r="AD183" i="4"/>
  <c r="AC183" i="4"/>
  <c r="Y183" i="4"/>
  <c r="W183" i="4"/>
  <c r="V183" i="4"/>
  <c r="U183" i="4"/>
  <c r="Q183" i="4"/>
  <c r="O183" i="4"/>
  <c r="N183" i="4"/>
  <c r="M183" i="4"/>
  <c r="I183" i="4"/>
  <c r="H183" i="4"/>
  <c r="G183" i="4"/>
  <c r="F183" i="4"/>
  <c r="E183" i="4"/>
  <c r="D183" i="4"/>
  <c r="C183" i="4"/>
  <c r="B183" i="4"/>
  <c r="A183" i="4"/>
  <c r="AF182" i="4"/>
  <c r="AE182" i="4"/>
  <c r="AD182" i="4"/>
  <c r="AC182" i="4"/>
  <c r="Z182" i="4"/>
  <c r="AA182" i="4" s="1"/>
  <c r="Y182" i="4"/>
  <c r="X182" i="4"/>
  <c r="W182" i="4"/>
  <c r="V182" i="4"/>
  <c r="U182" i="4"/>
  <c r="Q182" i="4"/>
  <c r="O182" i="4"/>
  <c r="N182" i="4"/>
  <c r="M182" i="4"/>
  <c r="J182" i="4"/>
  <c r="K182" i="4" s="1"/>
  <c r="I182" i="4"/>
  <c r="H182" i="4"/>
  <c r="G182" i="4"/>
  <c r="F182" i="4"/>
  <c r="E182" i="4"/>
  <c r="C182" i="4"/>
  <c r="B182" i="4"/>
  <c r="A182" i="4"/>
  <c r="AF181" i="4"/>
  <c r="AE181" i="4"/>
  <c r="AD181" i="4"/>
  <c r="AC181" i="4"/>
  <c r="Z181" i="4"/>
  <c r="AA181" i="4" s="1"/>
  <c r="Y181" i="4"/>
  <c r="W181" i="4"/>
  <c r="V181" i="4"/>
  <c r="U181" i="4"/>
  <c r="R181" i="4"/>
  <c r="Q181" i="4"/>
  <c r="O181" i="4"/>
  <c r="N181" i="4"/>
  <c r="M181" i="4"/>
  <c r="I181" i="4"/>
  <c r="H181" i="4"/>
  <c r="G181" i="4"/>
  <c r="F181" i="4"/>
  <c r="E181" i="4"/>
  <c r="C181" i="4"/>
  <c r="B181" i="4"/>
  <c r="A181" i="4"/>
  <c r="AF180" i="4"/>
  <c r="AE180" i="4"/>
  <c r="AD180" i="4"/>
  <c r="AC180" i="4"/>
  <c r="Y180" i="4"/>
  <c r="X180" i="4"/>
  <c r="W180" i="4"/>
  <c r="V180" i="4"/>
  <c r="U180" i="4"/>
  <c r="Q180" i="4"/>
  <c r="O180" i="4"/>
  <c r="N180" i="4"/>
  <c r="M180" i="4"/>
  <c r="L180" i="4"/>
  <c r="J180" i="4"/>
  <c r="K180" i="4" s="1"/>
  <c r="I180" i="4"/>
  <c r="H180" i="4"/>
  <c r="G180" i="4"/>
  <c r="F180" i="4"/>
  <c r="E180" i="4"/>
  <c r="C180" i="4"/>
  <c r="B180" i="4"/>
  <c r="A180" i="4"/>
  <c r="AF179" i="4"/>
  <c r="AE179" i="4"/>
  <c r="AD179" i="4"/>
  <c r="AC179" i="4"/>
  <c r="Y179" i="4"/>
  <c r="W179" i="4"/>
  <c r="V179" i="4"/>
  <c r="U179" i="4"/>
  <c r="R179" i="4"/>
  <c r="S179" i="4" s="1"/>
  <c r="Q179" i="4"/>
  <c r="O179" i="4"/>
  <c r="N179" i="4"/>
  <c r="M179" i="4"/>
  <c r="I179" i="4"/>
  <c r="H179" i="4"/>
  <c r="G179" i="4"/>
  <c r="F179" i="4"/>
  <c r="E179" i="4"/>
  <c r="C179" i="4"/>
  <c r="X179" i="4" s="1"/>
  <c r="B179" i="4"/>
  <c r="A179" i="4"/>
  <c r="AF178" i="4"/>
  <c r="AE178" i="4"/>
  <c r="AD178" i="4"/>
  <c r="AC178" i="4"/>
  <c r="Y178" i="4"/>
  <c r="W178" i="4"/>
  <c r="V178" i="4"/>
  <c r="U178" i="4"/>
  <c r="Q178" i="4"/>
  <c r="P178" i="4"/>
  <c r="O178" i="4"/>
  <c r="N178" i="4"/>
  <c r="M178" i="4"/>
  <c r="I178" i="4"/>
  <c r="H178" i="4"/>
  <c r="G178" i="4"/>
  <c r="F178" i="4"/>
  <c r="E178" i="4"/>
  <c r="D178" i="4"/>
  <c r="C178" i="4"/>
  <c r="B178" i="4"/>
  <c r="A178" i="4"/>
  <c r="AF177" i="4"/>
  <c r="AE177" i="4"/>
  <c r="AD177" i="4"/>
  <c r="AC177" i="4"/>
  <c r="Y177" i="4"/>
  <c r="W177" i="4"/>
  <c r="V177" i="4"/>
  <c r="U177" i="4"/>
  <c r="Q177" i="4"/>
  <c r="O177" i="4"/>
  <c r="N177" i="4"/>
  <c r="M177" i="4"/>
  <c r="I177" i="4"/>
  <c r="H177" i="4"/>
  <c r="G177" i="4"/>
  <c r="F177" i="4"/>
  <c r="E177" i="4"/>
  <c r="C177" i="4"/>
  <c r="B177" i="4"/>
  <c r="A177" i="4"/>
  <c r="AF176" i="4"/>
  <c r="AE176" i="4"/>
  <c r="AD176" i="4"/>
  <c r="AC176" i="4"/>
  <c r="Y176" i="4"/>
  <c r="W176" i="4"/>
  <c r="V176" i="4"/>
  <c r="U176" i="4"/>
  <c r="R176" i="4"/>
  <c r="S176" i="4" s="1"/>
  <c r="Q176" i="4"/>
  <c r="O176" i="4"/>
  <c r="N176" i="4"/>
  <c r="M176" i="4"/>
  <c r="I176" i="4"/>
  <c r="H176" i="4"/>
  <c r="G176" i="4"/>
  <c r="F176" i="4"/>
  <c r="E176" i="4"/>
  <c r="C176" i="4"/>
  <c r="X176" i="4" s="1"/>
  <c r="B176" i="4"/>
  <c r="A176" i="4"/>
  <c r="AF175" i="4"/>
  <c r="AE175" i="4"/>
  <c r="AD175" i="4"/>
  <c r="AC175" i="4"/>
  <c r="Y175" i="4"/>
  <c r="W175" i="4"/>
  <c r="V175" i="4"/>
  <c r="U175" i="4"/>
  <c r="Q175" i="4"/>
  <c r="P175" i="4"/>
  <c r="O175" i="4"/>
  <c r="N175" i="4"/>
  <c r="M175" i="4"/>
  <c r="I175" i="4"/>
  <c r="H175" i="4"/>
  <c r="G175" i="4"/>
  <c r="F175" i="4"/>
  <c r="E175" i="4"/>
  <c r="D175" i="4"/>
  <c r="C175" i="4"/>
  <c r="B175" i="4"/>
  <c r="A175" i="4"/>
  <c r="AF174" i="4"/>
  <c r="AE174" i="4"/>
  <c r="AD174" i="4"/>
  <c r="AC174" i="4"/>
  <c r="Y174" i="4"/>
  <c r="X174" i="4"/>
  <c r="W174" i="4"/>
  <c r="V174" i="4"/>
  <c r="U174" i="4"/>
  <c r="Q174" i="4"/>
  <c r="O174" i="4"/>
  <c r="N174" i="4"/>
  <c r="M174" i="4"/>
  <c r="I174" i="4"/>
  <c r="H174" i="4"/>
  <c r="G174" i="4"/>
  <c r="F174" i="4"/>
  <c r="E174" i="4"/>
  <c r="C174" i="4"/>
  <c r="B174" i="4"/>
  <c r="A174" i="4"/>
  <c r="AF173" i="4"/>
  <c r="AE173" i="4"/>
  <c r="AD173" i="4"/>
  <c r="AC173" i="4"/>
  <c r="Y173" i="4"/>
  <c r="W173" i="4"/>
  <c r="V173" i="4"/>
  <c r="U173" i="4"/>
  <c r="R173" i="4"/>
  <c r="S173" i="4" s="1"/>
  <c r="Q173" i="4"/>
  <c r="O173" i="4"/>
  <c r="N173" i="4"/>
  <c r="M173" i="4"/>
  <c r="I173" i="4"/>
  <c r="H173" i="4"/>
  <c r="G173" i="4"/>
  <c r="F173" i="4"/>
  <c r="E173" i="4"/>
  <c r="C173" i="4"/>
  <c r="X173" i="4" s="1"/>
  <c r="B173" i="4"/>
  <c r="A173" i="4"/>
  <c r="AF172" i="4"/>
  <c r="AE172" i="4"/>
  <c r="AD172" i="4"/>
  <c r="AC172" i="4"/>
  <c r="Z172" i="4"/>
  <c r="AA172" i="4" s="1"/>
  <c r="Y172" i="4"/>
  <c r="AB172" i="4" s="1"/>
  <c r="W172" i="4"/>
  <c r="V172" i="4"/>
  <c r="U172" i="4"/>
  <c r="Q172" i="4"/>
  <c r="O172" i="4"/>
  <c r="N172" i="4"/>
  <c r="M172" i="4"/>
  <c r="I172" i="4"/>
  <c r="H172" i="4"/>
  <c r="G172" i="4"/>
  <c r="F172" i="4"/>
  <c r="E172" i="4"/>
  <c r="D172" i="4"/>
  <c r="C172" i="4"/>
  <c r="B172" i="4"/>
  <c r="A172" i="4"/>
  <c r="AF171" i="4"/>
  <c r="AE171" i="4"/>
  <c r="AD171" i="4"/>
  <c r="AC171" i="4"/>
  <c r="Y171" i="4"/>
  <c r="X171" i="4"/>
  <c r="W171" i="4"/>
  <c r="V171" i="4"/>
  <c r="U171" i="4"/>
  <c r="Q171" i="4"/>
  <c r="O171" i="4"/>
  <c r="N171" i="4"/>
  <c r="M171" i="4"/>
  <c r="K171" i="4"/>
  <c r="J171" i="4"/>
  <c r="I171" i="4"/>
  <c r="H171" i="4"/>
  <c r="G171" i="4"/>
  <c r="F171" i="4"/>
  <c r="E171" i="4"/>
  <c r="C171" i="4"/>
  <c r="B171" i="4"/>
  <c r="A171" i="4"/>
  <c r="AF170" i="4"/>
  <c r="AE170" i="4"/>
  <c r="AD170" i="4"/>
  <c r="AC170" i="4"/>
  <c r="Y170" i="4"/>
  <c r="W170" i="4"/>
  <c r="V170" i="4"/>
  <c r="U170" i="4"/>
  <c r="R170" i="4"/>
  <c r="Q170" i="4"/>
  <c r="O170" i="4"/>
  <c r="N170" i="4"/>
  <c r="M170" i="4"/>
  <c r="I170" i="4"/>
  <c r="H170" i="4"/>
  <c r="G170" i="4"/>
  <c r="F170" i="4"/>
  <c r="E170" i="4"/>
  <c r="C170" i="4"/>
  <c r="B170" i="4"/>
  <c r="A170" i="4"/>
  <c r="AF169" i="4"/>
  <c r="AE169" i="4"/>
  <c r="AD169" i="4"/>
  <c r="AC169" i="4"/>
  <c r="Y169" i="4"/>
  <c r="W169" i="4"/>
  <c r="V169" i="4"/>
  <c r="U169" i="4"/>
  <c r="Q169" i="4"/>
  <c r="P169" i="4"/>
  <c r="O169" i="4"/>
  <c r="N169" i="4"/>
  <c r="M169" i="4"/>
  <c r="I169" i="4"/>
  <c r="H169" i="4"/>
  <c r="G169" i="4"/>
  <c r="F169" i="4"/>
  <c r="E169" i="4"/>
  <c r="D169" i="4"/>
  <c r="C169" i="4"/>
  <c r="B169" i="4"/>
  <c r="A169" i="4"/>
  <c r="AF168" i="4"/>
  <c r="AE168" i="4"/>
  <c r="AD168" i="4"/>
  <c r="AC168" i="4"/>
  <c r="Y168" i="4"/>
  <c r="W168" i="4"/>
  <c r="V168" i="4"/>
  <c r="U168" i="4"/>
  <c r="Q168" i="4"/>
  <c r="O168" i="4"/>
  <c r="N168" i="4"/>
  <c r="M168" i="4"/>
  <c r="I168" i="4"/>
  <c r="H168" i="4"/>
  <c r="G168" i="4"/>
  <c r="F168" i="4"/>
  <c r="E168" i="4"/>
  <c r="C168" i="4"/>
  <c r="B168" i="4"/>
  <c r="A168" i="4"/>
  <c r="L168" i="4" s="1"/>
  <c r="AF167" i="4"/>
  <c r="AE167" i="4"/>
  <c r="AD167" i="4"/>
  <c r="AC167" i="4"/>
  <c r="Y167" i="4"/>
  <c r="W167" i="4"/>
  <c r="V167" i="4"/>
  <c r="U167" i="4"/>
  <c r="R167" i="4"/>
  <c r="S167" i="4" s="1"/>
  <c r="Q167" i="4"/>
  <c r="O167" i="4"/>
  <c r="N167" i="4"/>
  <c r="M167" i="4"/>
  <c r="I167" i="4"/>
  <c r="H167" i="4"/>
  <c r="G167" i="4"/>
  <c r="F167" i="4"/>
  <c r="E167" i="4"/>
  <c r="C167" i="4"/>
  <c r="B167" i="4"/>
  <c r="A167" i="4"/>
  <c r="AF166" i="4"/>
  <c r="AE166" i="4"/>
  <c r="AD166" i="4"/>
  <c r="AC166" i="4"/>
  <c r="AB166" i="4"/>
  <c r="AA166" i="4"/>
  <c r="Z166" i="4"/>
  <c r="Y166" i="4"/>
  <c r="W166" i="4"/>
  <c r="V166" i="4"/>
  <c r="U166" i="4"/>
  <c r="Q166" i="4"/>
  <c r="O166" i="4"/>
  <c r="N166" i="4"/>
  <c r="M166" i="4"/>
  <c r="I166" i="4"/>
  <c r="H166" i="4"/>
  <c r="G166" i="4"/>
  <c r="F166" i="4"/>
  <c r="E166" i="4"/>
  <c r="D166" i="4"/>
  <c r="C166" i="4"/>
  <c r="B166" i="4"/>
  <c r="A166" i="4"/>
  <c r="AF165" i="4"/>
  <c r="AE165" i="4"/>
  <c r="AD165" i="4"/>
  <c r="AC165" i="4"/>
  <c r="Y165" i="4"/>
  <c r="X165" i="4"/>
  <c r="W165" i="4"/>
  <c r="V165" i="4"/>
  <c r="U165" i="4"/>
  <c r="Q165" i="4"/>
  <c r="O165" i="4"/>
  <c r="N165" i="4"/>
  <c r="M165" i="4"/>
  <c r="L165" i="4"/>
  <c r="K165" i="4"/>
  <c r="J165" i="4"/>
  <c r="I165" i="4"/>
  <c r="H165" i="4"/>
  <c r="G165" i="4"/>
  <c r="F165" i="4"/>
  <c r="E165" i="4"/>
  <c r="C165" i="4"/>
  <c r="B165" i="4"/>
  <c r="A165" i="4"/>
  <c r="AF164" i="4"/>
  <c r="AE164" i="4"/>
  <c r="AD164" i="4"/>
  <c r="AC164" i="4"/>
  <c r="Y164" i="4"/>
  <c r="W164" i="4"/>
  <c r="V164" i="4"/>
  <c r="U164" i="4"/>
  <c r="R164" i="4"/>
  <c r="S164" i="4" s="1"/>
  <c r="Q164" i="4"/>
  <c r="O164" i="4"/>
  <c r="N164" i="4"/>
  <c r="M164" i="4"/>
  <c r="I164" i="4"/>
  <c r="H164" i="4"/>
  <c r="G164" i="4"/>
  <c r="F164" i="4"/>
  <c r="E164" i="4"/>
  <c r="C164" i="4"/>
  <c r="B164" i="4"/>
  <c r="A164" i="4"/>
  <c r="AF163" i="4"/>
  <c r="AE163" i="4"/>
  <c r="AD163" i="4"/>
  <c r="AC163" i="4"/>
  <c r="AA163" i="4"/>
  <c r="Z163" i="4"/>
  <c r="Y163" i="4"/>
  <c r="W163" i="4"/>
  <c r="V163" i="4"/>
  <c r="U163" i="4"/>
  <c r="Q163" i="4"/>
  <c r="O163" i="4"/>
  <c r="N163" i="4"/>
  <c r="M163" i="4"/>
  <c r="I163" i="4"/>
  <c r="H163" i="4"/>
  <c r="G163" i="4"/>
  <c r="F163" i="4"/>
  <c r="E163" i="4"/>
  <c r="D163" i="4"/>
  <c r="C163" i="4"/>
  <c r="B163" i="4"/>
  <c r="A163" i="4"/>
  <c r="AF162" i="4"/>
  <c r="AE162" i="4"/>
  <c r="AD162" i="4"/>
  <c r="AC162" i="4"/>
  <c r="Y162" i="4"/>
  <c r="X162" i="4"/>
  <c r="W162" i="4"/>
  <c r="V162" i="4"/>
  <c r="U162" i="4"/>
  <c r="Q162" i="4"/>
  <c r="O162" i="4"/>
  <c r="N162" i="4"/>
  <c r="M162" i="4"/>
  <c r="K162" i="4"/>
  <c r="J162" i="4"/>
  <c r="I162" i="4"/>
  <c r="L162" i="4" s="1"/>
  <c r="H162" i="4"/>
  <c r="G162" i="4"/>
  <c r="F162" i="4"/>
  <c r="E162" i="4"/>
  <c r="C162" i="4"/>
  <c r="B162" i="4"/>
  <c r="A162" i="4"/>
  <c r="AF161" i="4"/>
  <c r="AE161" i="4"/>
  <c r="AD161" i="4"/>
  <c r="AC161" i="4"/>
  <c r="Y161" i="4"/>
  <c r="W161" i="4"/>
  <c r="V161" i="4"/>
  <c r="U161" i="4"/>
  <c r="Q161" i="4"/>
  <c r="P161" i="4"/>
  <c r="O161" i="4"/>
  <c r="N161" i="4"/>
  <c r="M161" i="4"/>
  <c r="I161" i="4"/>
  <c r="H161" i="4"/>
  <c r="G161" i="4"/>
  <c r="F161" i="4"/>
  <c r="E161" i="4"/>
  <c r="C161" i="4"/>
  <c r="B161" i="4"/>
  <c r="A161" i="4"/>
  <c r="AF160" i="4"/>
  <c r="AE160" i="4"/>
  <c r="AD160" i="4"/>
  <c r="AC160" i="4"/>
  <c r="Z160" i="4"/>
  <c r="AA160" i="4" s="1"/>
  <c r="Y160" i="4"/>
  <c r="W160" i="4"/>
  <c r="V160" i="4"/>
  <c r="U160" i="4"/>
  <c r="Q160" i="4"/>
  <c r="O160" i="4"/>
  <c r="N160" i="4"/>
  <c r="M160" i="4"/>
  <c r="I160" i="4"/>
  <c r="H160" i="4"/>
  <c r="G160" i="4"/>
  <c r="F160" i="4"/>
  <c r="E160" i="4"/>
  <c r="D160" i="4"/>
  <c r="C160" i="4"/>
  <c r="B160" i="4"/>
  <c r="A160" i="4"/>
  <c r="AF159" i="4"/>
  <c r="AE159" i="4"/>
  <c r="AD159" i="4"/>
  <c r="AC159" i="4"/>
  <c r="Y159" i="4"/>
  <c r="X159" i="4"/>
  <c r="W159" i="4"/>
  <c r="V159" i="4"/>
  <c r="U159" i="4"/>
  <c r="Q159" i="4"/>
  <c r="O159" i="4"/>
  <c r="N159" i="4"/>
  <c r="M159" i="4"/>
  <c r="J159" i="4"/>
  <c r="K159" i="4" s="1"/>
  <c r="I159" i="4"/>
  <c r="H159" i="4"/>
  <c r="G159" i="4"/>
  <c r="F159" i="4"/>
  <c r="E159" i="4"/>
  <c r="C159" i="4"/>
  <c r="B159" i="4"/>
  <c r="A159" i="4"/>
  <c r="AF158" i="4"/>
  <c r="AE158" i="4"/>
  <c r="AD158" i="4"/>
  <c r="AC158" i="4"/>
  <c r="Y158" i="4"/>
  <c r="W158" i="4"/>
  <c r="V158" i="4"/>
  <c r="U158" i="4"/>
  <c r="Q158" i="4"/>
  <c r="P158" i="4"/>
  <c r="O158" i="4"/>
  <c r="N158" i="4"/>
  <c r="M158" i="4"/>
  <c r="I158" i="4"/>
  <c r="H158" i="4"/>
  <c r="G158" i="4"/>
  <c r="F158" i="4"/>
  <c r="E158" i="4"/>
  <c r="C158" i="4"/>
  <c r="B158" i="4"/>
  <c r="A158" i="4"/>
  <c r="AF157" i="4"/>
  <c r="AE157" i="4"/>
  <c r="AD157" i="4"/>
  <c r="AC157" i="4"/>
  <c r="Y157" i="4"/>
  <c r="W157" i="4"/>
  <c r="V157" i="4"/>
  <c r="U157" i="4"/>
  <c r="S157" i="4"/>
  <c r="Q157" i="4"/>
  <c r="O157" i="4"/>
  <c r="N157" i="4"/>
  <c r="M157" i="4"/>
  <c r="I157" i="4"/>
  <c r="H157" i="4"/>
  <c r="G157" i="4"/>
  <c r="F157" i="4"/>
  <c r="E157" i="4"/>
  <c r="C157" i="4"/>
  <c r="R157" i="4" s="1"/>
  <c r="B157" i="4"/>
  <c r="A157" i="4"/>
  <c r="L157" i="4" s="1"/>
  <c r="AF156" i="4"/>
  <c r="AE156" i="4"/>
  <c r="AD156" i="4"/>
  <c r="AC156" i="4"/>
  <c r="Y156" i="4"/>
  <c r="X156" i="4"/>
  <c r="W156" i="4"/>
  <c r="V156" i="4"/>
  <c r="U156" i="4"/>
  <c r="R156" i="4"/>
  <c r="S156" i="4" s="1"/>
  <c r="Q156" i="4"/>
  <c r="O156" i="4"/>
  <c r="N156" i="4"/>
  <c r="M156" i="4"/>
  <c r="K156" i="4"/>
  <c r="J156" i="4"/>
  <c r="I156" i="4"/>
  <c r="H156" i="4"/>
  <c r="G156" i="4"/>
  <c r="F156" i="4"/>
  <c r="E156" i="4"/>
  <c r="C156" i="4"/>
  <c r="B156" i="4"/>
  <c r="A156" i="4"/>
  <c r="AF155" i="4"/>
  <c r="AE155" i="4"/>
  <c r="AD155" i="4"/>
  <c r="AC155" i="4"/>
  <c r="Y155" i="4"/>
  <c r="W155" i="4"/>
  <c r="V155" i="4"/>
  <c r="U155" i="4"/>
  <c r="Q155" i="4"/>
  <c r="P155" i="4"/>
  <c r="O155" i="4"/>
  <c r="N155" i="4"/>
  <c r="M155" i="4"/>
  <c r="I155" i="4"/>
  <c r="H155" i="4"/>
  <c r="G155" i="4"/>
  <c r="F155" i="4"/>
  <c r="E155" i="4"/>
  <c r="D155" i="4"/>
  <c r="C155" i="4"/>
  <c r="B155" i="4"/>
  <c r="A155" i="4"/>
  <c r="AF154" i="4"/>
  <c r="AE154" i="4"/>
  <c r="AD154" i="4"/>
  <c r="AC154" i="4"/>
  <c r="Y154" i="4"/>
  <c r="X154" i="4"/>
  <c r="W154" i="4"/>
  <c r="V154" i="4"/>
  <c r="U154" i="4"/>
  <c r="Q154" i="4"/>
  <c r="O154" i="4"/>
  <c r="N154" i="4"/>
  <c r="M154" i="4"/>
  <c r="J154" i="4"/>
  <c r="K154" i="4" s="1"/>
  <c r="I154" i="4"/>
  <c r="H154" i="4"/>
  <c r="G154" i="4"/>
  <c r="F154" i="4"/>
  <c r="E154" i="4"/>
  <c r="D154" i="4"/>
  <c r="C154" i="4"/>
  <c r="R154" i="4" s="1"/>
  <c r="S154" i="4" s="1"/>
  <c r="B154" i="4"/>
  <c r="A154" i="4"/>
  <c r="AF153" i="4"/>
  <c r="AE153" i="4"/>
  <c r="AD153" i="4"/>
  <c r="AC153" i="4"/>
  <c r="Y153" i="4"/>
  <c r="W153" i="4"/>
  <c r="V153" i="4"/>
  <c r="U153" i="4"/>
  <c r="Q153" i="4"/>
  <c r="O153" i="4"/>
  <c r="N153" i="4"/>
  <c r="M153" i="4"/>
  <c r="I153" i="4"/>
  <c r="H153" i="4"/>
  <c r="G153" i="4"/>
  <c r="F153" i="4"/>
  <c r="E153" i="4"/>
  <c r="C153" i="4"/>
  <c r="B153" i="4"/>
  <c r="A153" i="4"/>
  <c r="AF152" i="4"/>
  <c r="AE152" i="4"/>
  <c r="AD152" i="4"/>
  <c r="AC152" i="4"/>
  <c r="Y152" i="4"/>
  <c r="W152" i="4"/>
  <c r="V152" i="4"/>
  <c r="U152" i="4"/>
  <c r="Q152" i="4"/>
  <c r="P152" i="4"/>
  <c r="O152" i="4"/>
  <c r="N152" i="4"/>
  <c r="M152" i="4"/>
  <c r="I152" i="4"/>
  <c r="H152" i="4"/>
  <c r="G152" i="4"/>
  <c r="F152" i="4"/>
  <c r="E152" i="4"/>
  <c r="C152" i="4"/>
  <c r="B152" i="4"/>
  <c r="A152" i="4"/>
  <c r="AF151" i="4"/>
  <c r="AE151" i="4"/>
  <c r="AD151" i="4"/>
  <c r="AC151" i="4"/>
  <c r="AB151" i="4"/>
  <c r="Z151" i="4"/>
  <c r="AA151" i="4" s="1"/>
  <c r="Y151" i="4"/>
  <c r="X151" i="4"/>
  <c r="W151" i="4"/>
  <c r="V151" i="4"/>
  <c r="U151" i="4"/>
  <c r="S151" i="4"/>
  <c r="Q151" i="4"/>
  <c r="O151" i="4"/>
  <c r="N151" i="4"/>
  <c r="M151" i="4"/>
  <c r="K151" i="4"/>
  <c r="J151" i="4"/>
  <c r="I151" i="4"/>
  <c r="H151" i="4"/>
  <c r="G151" i="4"/>
  <c r="F151" i="4"/>
  <c r="E151" i="4"/>
  <c r="C151" i="4"/>
  <c r="R151" i="4" s="1"/>
  <c r="B151" i="4"/>
  <c r="A151" i="4"/>
  <c r="AF150" i="4"/>
  <c r="AE150" i="4"/>
  <c r="AD150" i="4"/>
  <c r="AC150" i="4"/>
  <c r="Y150" i="4"/>
  <c r="W150" i="4"/>
  <c r="V150" i="4"/>
  <c r="U150" i="4"/>
  <c r="R150" i="4"/>
  <c r="S150" i="4" s="1"/>
  <c r="Q150" i="4"/>
  <c r="T150" i="4" s="1"/>
  <c r="O150" i="4"/>
  <c r="N150" i="4"/>
  <c r="M150" i="4"/>
  <c r="I150" i="4"/>
  <c r="H150" i="4"/>
  <c r="G150" i="4"/>
  <c r="F150" i="4"/>
  <c r="E150" i="4"/>
  <c r="C150" i="4"/>
  <c r="B150" i="4"/>
  <c r="A150" i="4"/>
  <c r="L150" i="4" s="1"/>
  <c r="AF149" i="4"/>
  <c r="AE149" i="4"/>
  <c r="AD149" i="4"/>
  <c r="AC149" i="4"/>
  <c r="Z149" i="4"/>
  <c r="AA149" i="4" s="1"/>
  <c r="Y149" i="4"/>
  <c r="W149" i="4"/>
  <c r="V149" i="4"/>
  <c r="U149" i="4"/>
  <c r="Q149" i="4"/>
  <c r="O149" i="4"/>
  <c r="N149" i="4"/>
  <c r="M149" i="4"/>
  <c r="I149" i="4"/>
  <c r="H149" i="4"/>
  <c r="G149" i="4"/>
  <c r="F149" i="4"/>
  <c r="E149" i="4"/>
  <c r="D149" i="4"/>
  <c r="C149" i="4"/>
  <c r="B149" i="4"/>
  <c r="A149" i="4"/>
  <c r="AF148" i="4"/>
  <c r="AE148" i="4"/>
  <c r="AD148" i="4"/>
  <c r="AC148" i="4"/>
  <c r="Y148" i="4"/>
  <c r="W148" i="4"/>
  <c r="V148" i="4"/>
  <c r="U148" i="4"/>
  <c r="Q148" i="4"/>
  <c r="P148" i="4"/>
  <c r="O148" i="4"/>
  <c r="N148" i="4"/>
  <c r="M148" i="4"/>
  <c r="I148" i="4"/>
  <c r="L148" i="4" s="1"/>
  <c r="H148" i="4"/>
  <c r="G148" i="4"/>
  <c r="F148" i="4"/>
  <c r="E148" i="4"/>
  <c r="D148" i="4"/>
  <c r="C148" i="4"/>
  <c r="B148" i="4"/>
  <c r="A148" i="4"/>
  <c r="AF147" i="4"/>
  <c r="AE147" i="4"/>
  <c r="AD147" i="4"/>
  <c r="AC147" i="4"/>
  <c r="Y147" i="4"/>
  <c r="W147" i="4"/>
  <c r="V147" i="4"/>
  <c r="U147" i="4"/>
  <c r="Q147" i="4"/>
  <c r="O147" i="4"/>
  <c r="N147" i="4"/>
  <c r="M147" i="4"/>
  <c r="J147" i="4"/>
  <c r="K147" i="4" s="1"/>
  <c r="I147" i="4"/>
  <c r="H147" i="4"/>
  <c r="G147" i="4"/>
  <c r="F147" i="4"/>
  <c r="E147" i="4"/>
  <c r="C147" i="4"/>
  <c r="B147" i="4"/>
  <c r="A147" i="4"/>
  <c r="AF146" i="4"/>
  <c r="AE146" i="4"/>
  <c r="AD146" i="4"/>
  <c r="AC146" i="4"/>
  <c r="AB146" i="4"/>
  <c r="AA146" i="4"/>
  <c r="Z146" i="4"/>
  <c r="Y146" i="4"/>
  <c r="W146" i="4"/>
  <c r="V146" i="4"/>
  <c r="U146" i="4"/>
  <c r="Q146" i="4"/>
  <c r="P146" i="4"/>
  <c r="O146" i="4"/>
  <c r="N146" i="4"/>
  <c r="M146" i="4"/>
  <c r="I146" i="4"/>
  <c r="H146" i="4"/>
  <c r="G146" i="4"/>
  <c r="F146" i="4"/>
  <c r="E146" i="4"/>
  <c r="C146" i="4"/>
  <c r="B146" i="4"/>
  <c r="A146" i="4"/>
  <c r="AF145" i="4"/>
  <c r="AE145" i="4"/>
  <c r="AD145" i="4"/>
  <c r="AC145" i="4"/>
  <c r="Z145" i="4"/>
  <c r="AA145" i="4" s="1"/>
  <c r="Y145" i="4"/>
  <c r="W145" i="4"/>
  <c r="V145" i="4"/>
  <c r="U145" i="4"/>
  <c r="S145" i="4"/>
  <c r="Q145" i="4"/>
  <c r="O145" i="4"/>
  <c r="N145" i="4"/>
  <c r="M145" i="4"/>
  <c r="I145" i="4"/>
  <c r="H145" i="4"/>
  <c r="G145" i="4"/>
  <c r="F145" i="4"/>
  <c r="E145" i="4"/>
  <c r="C145" i="4"/>
  <c r="R145" i="4" s="1"/>
  <c r="B145" i="4"/>
  <c r="A145" i="4"/>
  <c r="AF144" i="4"/>
  <c r="AE144" i="4"/>
  <c r="AD144" i="4"/>
  <c r="AC144" i="4"/>
  <c r="Y144" i="4"/>
  <c r="X144" i="4"/>
  <c r="W144" i="4"/>
  <c r="V144" i="4"/>
  <c r="U144" i="4"/>
  <c r="R144" i="4"/>
  <c r="S144" i="4" s="1"/>
  <c r="Q144" i="4"/>
  <c r="O144" i="4"/>
  <c r="N144" i="4"/>
  <c r="M144" i="4"/>
  <c r="J144" i="4"/>
  <c r="K144" i="4" s="1"/>
  <c r="I144" i="4"/>
  <c r="H144" i="4"/>
  <c r="G144" i="4"/>
  <c r="F144" i="4"/>
  <c r="E144" i="4"/>
  <c r="C144" i="4"/>
  <c r="B144" i="4"/>
  <c r="A144" i="4"/>
  <c r="AF143" i="4"/>
  <c r="AE143" i="4"/>
  <c r="AD143" i="4"/>
  <c r="AC143" i="4"/>
  <c r="Y143" i="4"/>
  <c r="W143" i="4"/>
  <c r="V143" i="4"/>
  <c r="U143" i="4"/>
  <c r="Q143" i="4"/>
  <c r="O143" i="4"/>
  <c r="N143" i="4"/>
  <c r="M143" i="4"/>
  <c r="I143" i="4"/>
  <c r="H143" i="4"/>
  <c r="G143" i="4"/>
  <c r="F143" i="4"/>
  <c r="E143" i="4"/>
  <c r="D143" i="4"/>
  <c r="C143" i="4"/>
  <c r="B143" i="4"/>
  <c r="A143" i="4"/>
  <c r="AF142" i="4"/>
  <c r="AE142" i="4"/>
  <c r="AD142" i="4"/>
  <c r="AC142" i="4"/>
  <c r="Y142" i="4"/>
  <c r="X142" i="4"/>
  <c r="W142" i="4"/>
  <c r="V142" i="4"/>
  <c r="U142" i="4"/>
  <c r="Q142" i="4"/>
  <c r="O142" i="4"/>
  <c r="N142" i="4"/>
  <c r="M142" i="4"/>
  <c r="J142" i="4"/>
  <c r="K142" i="4" s="1"/>
  <c r="I142" i="4"/>
  <c r="L142" i="4" s="1"/>
  <c r="H142" i="4"/>
  <c r="G142" i="4"/>
  <c r="F142" i="4"/>
  <c r="E142" i="4"/>
  <c r="D142" i="4"/>
  <c r="C142" i="4"/>
  <c r="R142" i="4" s="1"/>
  <c r="S142" i="4" s="1"/>
  <c r="B142" i="4"/>
  <c r="A142" i="4"/>
  <c r="AF141" i="4"/>
  <c r="AE141" i="4"/>
  <c r="AD141" i="4"/>
  <c r="AC141" i="4"/>
  <c r="Y141" i="4"/>
  <c r="W141" i="4"/>
  <c r="V141" i="4"/>
  <c r="U141" i="4"/>
  <c r="Q141" i="4"/>
  <c r="O141" i="4"/>
  <c r="N141" i="4"/>
  <c r="M141" i="4"/>
  <c r="I141" i="4"/>
  <c r="H141" i="4"/>
  <c r="G141" i="4"/>
  <c r="F141" i="4"/>
  <c r="E141" i="4"/>
  <c r="C141" i="4"/>
  <c r="B141" i="4"/>
  <c r="A141" i="4"/>
  <c r="AF140" i="4"/>
  <c r="AE140" i="4"/>
  <c r="AD140" i="4"/>
  <c r="AC140" i="4"/>
  <c r="Y140" i="4"/>
  <c r="W140" i="4"/>
  <c r="V140" i="4"/>
  <c r="U140" i="4"/>
  <c r="T140" i="4"/>
  <c r="Q140" i="4"/>
  <c r="P140" i="4"/>
  <c r="O140" i="4"/>
  <c r="N140" i="4"/>
  <c r="M140" i="4"/>
  <c r="I140" i="4"/>
  <c r="H140" i="4"/>
  <c r="G140" i="4"/>
  <c r="F140" i="4"/>
  <c r="E140" i="4"/>
  <c r="C140" i="4"/>
  <c r="B140" i="4"/>
  <c r="A140" i="4"/>
  <c r="AF139" i="4"/>
  <c r="AE139" i="4"/>
  <c r="AD139" i="4"/>
  <c r="AC139" i="4"/>
  <c r="Z139" i="4"/>
  <c r="AA139" i="4" s="1"/>
  <c r="Y139" i="4"/>
  <c r="AB139" i="4" s="1"/>
  <c r="X139" i="4"/>
  <c r="W139" i="4"/>
  <c r="V139" i="4"/>
  <c r="U139" i="4"/>
  <c r="S139" i="4"/>
  <c r="Q139" i="4"/>
  <c r="O139" i="4"/>
  <c r="N139" i="4"/>
  <c r="M139" i="4"/>
  <c r="K139" i="4"/>
  <c r="J139" i="4"/>
  <c r="I139" i="4"/>
  <c r="H139" i="4"/>
  <c r="G139" i="4"/>
  <c r="F139" i="4"/>
  <c r="E139" i="4"/>
  <c r="C139" i="4"/>
  <c r="R139" i="4" s="1"/>
  <c r="B139" i="4"/>
  <c r="A139" i="4"/>
  <c r="AF138" i="4"/>
  <c r="AE138" i="4"/>
  <c r="AD138" i="4"/>
  <c r="AC138" i="4"/>
  <c r="Y138" i="4"/>
  <c r="W138" i="4"/>
  <c r="V138" i="4"/>
  <c r="U138" i="4"/>
  <c r="Q138" i="4"/>
  <c r="O138" i="4"/>
  <c r="N138" i="4"/>
  <c r="M138" i="4"/>
  <c r="I138" i="4"/>
  <c r="H138" i="4"/>
  <c r="G138" i="4"/>
  <c r="F138" i="4"/>
  <c r="E138" i="4"/>
  <c r="C138" i="4"/>
  <c r="R138" i="4" s="1"/>
  <c r="S138" i="4" s="1"/>
  <c r="B138" i="4"/>
  <c r="A138" i="4"/>
  <c r="AF137" i="4"/>
  <c r="AE137" i="4"/>
  <c r="AD137" i="4"/>
  <c r="AC137" i="4"/>
  <c r="Z137" i="4"/>
  <c r="Y137" i="4"/>
  <c r="W137" i="4"/>
  <c r="V137" i="4"/>
  <c r="U137" i="4"/>
  <c r="Q137" i="4"/>
  <c r="O137" i="4"/>
  <c r="N137" i="4"/>
  <c r="M137" i="4"/>
  <c r="I137" i="4"/>
  <c r="H137" i="4"/>
  <c r="G137" i="4"/>
  <c r="F137" i="4"/>
  <c r="E137" i="4"/>
  <c r="D137" i="4"/>
  <c r="C137" i="4"/>
  <c r="B137" i="4"/>
  <c r="A137" i="4"/>
  <c r="AF136" i="4"/>
  <c r="AE136" i="4"/>
  <c r="AD136" i="4"/>
  <c r="AC136" i="4"/>
  <c r="Y136" i="4"/>
  <c r="W136" i="4"/>
  <c r="V136" i="4"/>
  <c r="U136" i="4"/>
  <c r="Q136" i="4"/>
  <c r="P136" i="4"/>
  <c r="O136" i="4"/>
  <c r="N136" i="4"/>
  <c r="M136" i="4"/>
  <c r="I136" i="4"/>
  <c r="H136" i="4"/>
  <c r="G136" i="4"/>
  <c r="F136" i="4"/>
  <c r="E136" i="4"/>
  <c r="D136" i="4"/>
  <c r="C136" i="4"/>
  <c r="B136" i="4"/>
  <c r="A136" i="4"/>
  <c r="AF135" i="4"/>
  <c r="AE135" i="4"/>
  <c r="AD135" i="4"/>
  <c r="AC135" i="4"/>
  <c r="Y135" i="4"/>
  <c r="W135" i="4"/>
  <c r="V135" i="4"/>
  <c r="U135" i="4"/>
  <c r="T135" i="4"/>
  <c r="Q135" i="4"/>
  <c r="O135" i="4"/>
  <c r="N135" i="4"/>
  <c r="M135" i="4"/>
  <c r="J135" i="4"/>
  <c r="K135" i="4" s="1"/>
  <c r="I135" i="4"/>
  <c r="H135" i="4"/>
  <c r="G135" i="4"/>
  <c r="F135" i="4"/>
  <c r="E135" i="4"/>
  <c r="C135" i="4"/>
  <c r="B135" i="4"/>
  <c r="A135" i="4"/>
  <c r="AF134" i="4"/>
  <c r="AE134" i="4"/>
  <c r="AD134" i="4"/>
  <c r="AC134" i="4"/>
  <c r="Z134" i="4"/>
  <c r="AA134" i="4" s="1"/>
  <c r="Y134" i="4"/>
  <c r="W134" i="4"/>
  <c r="V134" i="4"/>
  <c r="U134" i="4"/>
  <c r="Q134" i="4"/>
  <c r="P134" i="4"/>
  <c r="O134" i="4"/>
  <c r="N134" i="4"/>
  <c r="M134" i="4"/>
  <c r="I134" i="4"/>
  <c r="H134" i="4"/>
  <c r="G134" i="4"/>
  <c r="F134" i="4"/>
  <c r="E134" i="4"/>
  <c r="C134" i="4"/>
  <c r="B134" i="4"/>
  <c r="A134" i="4"/>
  <c r="AF133" i="4"/>
  <c r="AE133" i="4"/>
  <c r="AD133" i="4"/>
  <c r="AC133" i="4"/>
  <c r="Z133" i="4"/>
  <c r="AA133" i="4" s="1"/>
  <c r="Y133" i="4"/>
  <c r="W133" i="4"/>
  <c r="V133" i="4"/>
  <c r="U133" i="4"/>
  <c r="S133" i="4"/>
  <c r="Q133" i="4"/>
  <c r="O133" i="4"/>
  <c r="N133" i="4"/>
  <c r="M133" i="4"/>
  <c r="I133" i="4"/>
  <c r="H133" i="4"/>
  <c r="G133" i="4"/>
  <c r="F133" i="4"/>
  <c r="E133" i="4"/>
  <c r="C133" i="4"/>
  <c r="R133" i="4" s="1"/>
  <c r="B133" i="4"/>
  <c r="A133" i="4"/>
  <c r="AF132" i="4"/>
  <c r="AE132" i="4"/>
  <c r="AD132" i="4"/>
  <c r="AC132" i="4"/>
  <c r="Y132" i="4"/>
  <c r="X132" i="4"/>
  <c r="W132" i="4"/>
  <c r="V132" i="4"/>
  <c r="U132" i="4"/>
  <c r="R132" i="4"/>
  <c r="S132" i="4" s="1"/>
  <c r="Q132" i="4"/>
  <c r="O132" i="4"/>
  <c r="N132" i="4"/>
  <c r="M132" i="4"/>
  <c r="J132" i="4"/>
  <c r="K132" i="4" s="1"/>
  <c r="I132" i="4"/>
  <c r="H132" i="4"/>
  <c r="G132" i="4"/>
  <c r="F132" i="4"/>
  <c r="E132" i="4"/>
  <c r="C132" i="4"/>
  <c r="B132" i="4"/>
  <c r="A132" i="4"/>
  <c r="AF131" i="4"/>
  <c r="AE131" i="4"/>
  <c r="AD131" i="4"/>
  <c r="AC131" i="4"/>
  <c r="Y131" i="4"/>
  <c r="W131" i="4"/>
  <c r="V131" i="4"/>
  <c r="U131" i="4"/>
  <c r="Q131" i="4"/>
  <c r="O131" i="4"/>
  <c r="N131" i="4"/>
  <c r="M131" i="4"/>
  <c r="I131" i="4"/>
  <c r="H131" i="4"/>
  <c r="G131" i="4"/>
  <c r="F131" i="4"/>
  <c r="E131" i="4"/>
  <c r="D131" i="4"/>
  <c r="C131" i="4"/>
  <c r="B131" i="4"/>
  <c r="A131" i="4"/>
  <c r="AF130" i="4"/>
  <c r="AE130" i="4"/>
  <c r="AD130" i="4"/>
  <c r="AC130" i="4"/>
  <c r="Y130" i="4"/>
  <c r="X130" i="4"/>
  <c r="W130" i="4"/>
  <c r="V130" i="4"/>
  <c r="U130" i="4"/>
  <c r="Q130" i="4"/>
  <c r="O130" i="4"/>
  <c r="N130" i="4"/>
  <c r="M130" i="4"/>
  <c r="K130" i="4"/>
  <c r="J130" i="4"/>
  <c r="I130" i="4"/>
  <c r="H130" i="4"/>
  <c r="G130" i="4"/>
  <c r="F130" i="4"/>
  <c r="E130" i="4"/>
  <c r="D130" i="4"/>
  <c r="C130" i="4"/>
  <c r="R130" i="4" s="1"/>
  <c r="S130" i="4" s="1"/>
  <c r="B130" i="4"/>
  <c r="A130" i="4"/>
  <c r="AF129" i="4"/>
  <c r="AE129" i="4"/>
  <c r="AD129" i="4"/>
  <c r="AC129" i="4"/>
  <c r="Y129" i="4"/>
  <c r="W129" i="4"/>
  <c r="V129" i="4"/>
  <c r="U129" i="4"/>
  <c r="Q129" i="4"/>
  <c r="O129" i="4"/>
  <c r="N129" i="4"/>
  <c r="M129" i="4"/>
  <c r="I129" i="4"/>
  <c r="H129" i="4"/>
  <c r="G129" i="4"/>
  <c r="F129" i="4"/>
  <c r="E129" i="4"/>
  <c r="C129" i="4"/>
  <c r="B129" i="4"/>
  <c r="A129" i="4"/>
  <c r="AF128" i="4"/>
  <c r="AE128" i="4"/>
  <c r="AD128" i="4"/>
  <c r="AC128" i="4"/>
  <c r="Y128" i="4"/>
  <c r="W128" i="4"/>
  <c r="V128" i="4"/>
  <c r="U128" i="4"/>
  <c r="Q128" i="4"/>
  <c r="P128" i="4"/>
  <c r="O128" i="4"/>
  <c r="N128" i="4"/>
  <c r="M128" i="4"/>
  <c r="I128" i="4"/>
  <c r="H128" i="4"/>
  <c r="G128" i="4"/>
  <c r="F128" i="4"/>
  <c r="E128" i="4"/>
  <c r="C128" i="4"/>
  <c r="B128" i="4"/>
  <c r="A128" i="4"/>
  <c r="AF127" i="4"/>
  <c r="AE127" i="4"/>
  <c r="AD127" i="4"/>
  <c r="AC127" i="4"/>
  <c r="AA127" i="4"/>
  <c r="Z127" i="4"/>
  <c r="Y127" i="4"/>
  <c r="AB127" i="4" s="1"/>
  <c r="X127" i="4"/>
  <c r="W127" i="4"/>
  <c r="V127" i="4"/>
  <c r="U127" i="4"/>
  <c r="S127" i="4"/>
  <c r="Q127" i="4"/>
  <c r="O127" i="4"/>
  <c r="N127" i="4"/>
  <c r="M127" i="4"/>
  <c r="K127" i="4"/>
  <c r="J127" i="4"/>
  <c r="I127" i="4"/>
  <c r="H127" i="4"/>
  <c r="G127" i="4"/>
  <c r="F127" i="4"/>
  <c r="E127" i="4"/>
  <c r="C127" i="4"/>
  <c r="R127" i="4" s="1"/>
  <c r="B127" i="4"/>
  <c r="A127" i="4"/>
  <c r="AF126" i="4"/>
  <c r="AE126" i="4"/>
  <c r="AD126" i="4"/>
  <c r="AC126" i="4"/>
  <c r="Y126" i="4"/>
  <c r="W126" i="4"/>
  <c r="V126" i="4"/>
  <c r="U126" i="4"/>
  <c r="T126" i="4"/>
  <c r="R126" i="4"/>
  <c r="S126" i="4" s="1"/>
  <c r="Q126" i="4"/>
  <c r="O126" i="4"/>
  <c r="N126" i="4"/>
  <c r="M126" i="4"/>
  <c r="I126" i="4"/>
  <c r="H126" i="4"/>
  <c r="G126" i="4"/>
  <c r="F126" i="4"/>
  <c r="E126" i="4"/>
  <c r="C126" i="4"/>
  <c r="B126" i="4"/>
  <c r="A126" i="4"/>
  <c r="AF125" i="4"/>
  <c r="AE125" i="4"/>
  <c r="AD125" i="4"/>
  <c r="AC125" i="4"/>
  <c r="Z125" i="4"/>
  <c r="AA125" i="4" s="1"/>
  <c r="Y125" i="4"/>
  <c r="W125" i="4"/>
  <c r="V125" i="4"/>
  <c r="U125" i="4"/>
  <c r="Q125" i="4"/>
  <c r="T125" i="4" s="1"/>
  <c r="O125" i="4"/>
  <c r="N125" i="4"/>
  <c r="M125" i="4"/>
  <c r="I125" i="4"/>
  <c r="H125" i="4"/>
  <c r="G125" i="4"/>
  <c r="F125" i="4"/>
  <c r="E125" i="4"/>
  <c r="D125" i="4"/>
  <c r="C125" i="4"/>
  <c r="B125" i="4"/>
  <c r="A125" i="4"/>
  <c r="AF124" i="4"/>
  <c r="AE124" i="4"/>
  <c r="AD124" i="4"/>
  <c r="AC124" i="4"/>
  <c r="Y124" i="4"/>
  <c r="W124" i="4"/>
  <c r="V124" i="4"/>
  <c r="U124" i="4"/>
  <c r="Q124" i="4"/>
  <c r="P124" i="4"/>
  <c r="O124" i="4"/>
  <c r="N124" i="4"/>
  <c r="M124" i="4"/>
  <c r="I124" i="4"/>
  <c r="H124" i="4"/>
  <c r="G124" i="4"/>
  <c r="F124" i="4"/>
  <c r="E124" i="4"/>
  <c r="D124" i="4"/>
  <c r="C124" i="4"/>
  <c r="B124" i="4"/>
  <c r="A124" i="4"/>
  <c r="AF123" i="4"/>
  <c r="AE123" i="4"/>
  <c r="AD123" i="4"/>
  <c r="AC123" i="4"/>
  <c r="Y123" i="4"/>
  <c r="W123" i="4"/>
  <c r="V123" i="4"/>
  <c r="U123" i="4"/>
  <c r="Q123" i="4"/>
  <c r="O123" i="4"/>
  <c r="N123" i="4"/>
  <c r="M123" i="4"/>
  <c r="J123" i="4"/>
  <c r="K123" i="4" s="1"/>
  <c r="I123" i="4"/>
  <c r="H123" i="4"/>
  <c r="G123" i="4"/>
  <c r="F123" i="4"/>
  <c r="E123" i="4"/>
  <c r="C123" i="4"/>
  <c r="B123" i="4"/>
  <c r="A123" i="4"/>
  <c r="AF122" i="4"/>
  <c r="AE122" i="4"/>
  <c r="AD122" i="4"/>
  <c r="AC122" i="4"/>
  <c r="Z122" i="4"/>
  <c r="AA122" i="4" s="1"/>
  <c r="Y122" i="4"/>
  <c r="W122" i="4"/>
  <c r="V122" i="4"/>
  <c r="U122" i="4"/>
  <c r="Q122" i="4"/>
  <c r="P122" i="4"/>
  <c r="O122" i="4"/>
  <c r="N122" i="4"/>
  <c r="M122" i="4"/>
  <c r="I122" i="4"/>
  <c r="H122" i="4"/>
  <c r="G122" i="4"/>
  <c r="F122" i="4"/>
  <c r="E122" i="4"/>
  <c r="C122" i="4"/>
  <c r="B122" i="4"/>
  <c r="A122" i="4"/>
  <c r="AB122" i="4" s="1"/>
  <c r="AF121" i="4"/>
  <c r="AE121" i="4"/>
  <c r="AD121" i="4"/>
  <c r="AC121" i="4"/>
  <c r="Z121" i="4"/>
  <c r="AA121" i="4" s="1"/>
  <c r="Y121" i="4"/>
  <c r="W121" i="4"/>
  <c r="V121" i="4"/>
  <c r="U121" i="4"/>
  <c r="S121" i="4"/>
  <c r="Q121" i="4"/>
  <c r="O121" i="4"/>
  <c r="N121" i="4"/>
  <c r="M121" i="4"/>
  <c r="I121" i="4"/>
  <c r="H121" i="4"/>
  <c r="G121" i="4"/>
  <c r="F121" i="4"/>
  <c r="E121" i="4"/>
  <c r="C121" i="4"/>
  <c r="R121" i="4" s="1"/>
  <c r="B121" i="4"/>
  <c r="A121" i="4"/>
  <c r="AF120" i="4"/>
  <c r="AE120" i="4"/>
  <c r="AD120" i="4"/>
  <c r="AC120" i="4"/>
  <c r="Z120" i="4"/>
  <c r="AA120" i="4" s="1"/>
  <c r="Y120" i="4"/>
  <c r="X120" i="4"/>
  <c r="W120" i="4"/>
  <c r="V120" i="4"/>
  <c r="U120" i="4"/>
  <c r="Q120" i="4"/>
  <c r="O120" i="4"/>
  <c r="N120" i="4"/>
  <c r="M120" i="4"/>
  <c r="L120" i="4"/>
  <c r="K120" i="4"/>
  <c r="J120" i="4"/>
  <c r="I120" i="4"/>
  <c r="H120" i="4"/>
  <c r="G120" i="4"/>
  <c r="F120" i="4"/>
  <c r="E120" i="4"/>
  <c r="C120" i="4"/>
  <c r="P120" i="4" s="1"/>
  <c r="B120" i="4"/>
  <c r="A120" i="4"/>
  <c r="AF119" i="4"/>
  <c r="AE119" i="4"/>
  <c r="AD119" i="4"/>
  <c r="AC119" i="4"/>
  <c r="Z119" i="4"/>
  <c r="AA119" i="4" s="1"/>
  <c r="Y119" i="4"/>
  <c r="W119" i="4"/>
  <c r="V119" i="4"/>
  <c r="U119" i="4"/>
  <c r="R119" i="4"/>
  <c r="S119" i="4" s="1"/>
  <c r="Q119" i="4"/>
  <c r="T119" i="4" s="1"/>
  <c r="O119" i="4"/>
  <c r="N119" i="4"/>
  <c r="M119" i="4"/>
  <c r="I119" i="4"/>
  <c r="H119" i="4"/>
  <c r="G119" i="4"/>
  <c r="F119" i="4"/>
  <c r="E119" i="4"/>
  <c r="D119" i="4"/>
  <c r="C119" i="4"/>
  <c r="X119" i="4" s="1"/>
  <c r="B119" i="4"/>
  <c r="A119" i="4"/>
  <c r="AF118" i="4"/>
  <c r="AE118" i="4"/>
  <c r="AD118" i="4"/>
  <c r="AC118" i="4"/>
  <c r="Z118" i="4"/>
  <c r="AA118" i="4" s="1"/>
  <c r="Y118" i="4"/>
  <c r="X118" i="4"/>
  <c r="W118" i="4"/>
  <c r="V118" i="4"/>
  <c r="U118" i="4"/>
  <c r="R118" i="4"/>
  <c r="S118" i="4" s="1"/>
  <c r="Q118" i="4"/>
  <c r="O118" i="4"/>
  <c r="N118" i="4"/>
  <c r="M118" i="4"/>
  <c r="K118" i="4"/>
  <c r="J118" i="4"/>
  <c r="I118" i="4"/>
  <c r="H118" i="4"/>
  <c r="G118" i="4"/>
  <c r="F118" i="4"/>
  <c r="E118" i="4"/>
  <c r="C118" i="4"/>
  <c r="P118" i="4" s="1"/>
  <c r="B118" i="4"/>
  <c r="A118" i="4"/>
  <c r="L118" i="4" s="1"/>
  <c r="AF117" i="4"/>
  <c r="AE117" i="4"/>
  <c r="AD117" i="4"/>
  <c r="AC117" i="4"/>
  <c r="Z117" i="4"/>
  <c r="AA117" i="4" s="1"/>
  <c r="Y117" i="4"/>
  <c r="W117" i="4"/>
  <c r="V117" i="4"/>
  <c r="U117" i="4"/>
  <c r="T117" i="4"/>
  <c r="R117" i="4"/>
  <c r="S117" i="4" s="1"/>
  <c r="Q117" i="4"/>
  <c r="O117" i="4"/>
  <c r="N117" i="4"/>
  <c r="M117" i="4"/>
  <c r="I117" i="4"/>
  <c r="H117" i="4"/>
  <c r="G117" i="4"/>
  <c r="F117" i="4"/>
  <c r="E117" i="4"/>
  <c r="C117" i="4"/>
  <c r="P117" i="4" s="1"/>
  <c r="B117" i="4"/>
  <c r="A117" i="4"/>
  <c r="AF116" i="4"/>
  <c r="AE116" i="4"/>
  <c r="AD116" i="4"/>
  <c r="AC116" i="4"/>
  <c r="AA116" i="4"/>
  <c r="Z116" i="4"/>
  <c r="Y116" i="4"/>
  <c r="W116" i="4"/>
  <c r="V116" i="4"/>
  <c r="U116" i="4"/>
  <c r="R116" i="4"/>
  <c r="S116" i="4" s="1"/>
  <c r="Q116" i="4"/>
  <c r="O116" i="4"/>
  <c r="N116" i="4"/>
  <c r="M116" i="4"/>
  <c r="J116" i="4"/>
  <c r="K116" i="4" s="1"/>
  <c r="I116" i="4"/>
  <c r="H116" i="4"/>
  <c r="G116" i="4"/>
  <c r="F116" i="4"/>
  <c r="E116" i="4"/>
  <c r="C116" i="4"/>
  <c r="X116" i="4" s="1"/>
  <c r="B116" i="4"/>
  <c r="A116" i="4"/>
  <c r="AF115" i="4"/>
  <c r="AE115" i="4"/>
  <c r="AD115" i="4"/>
  <c r="AC115" i="4"/>
  <c r="Z115" i="4"/>
  <c r="AA115" i="4" s="1"/>
  <c r="Y115" i="4"/>
  <c r="W115" i="4"/>
  <c r="V115" i="4"/>
  <c r="U115" i="4"/>
  <c r="R115" i="4"/>
  <c r="S115" i="4" s="1"/>
  <c r="Q115" i="4"/>
  <c r="O115" i="4"/>
  <c r="N115" i="4"/>
  <c r="M115" i="4"/>
  <c r="I115" i="4"/>
  <c r="H115" i="4"/>
  <c r="G115" i="4"/>
  <c r="F115" i="4"/>
  <c r="E115" i="4"/>
  <c r="C115" i="4"/>
  <c r="X115" i="4" s="1"/>
  <c r="B115" i="4"/>
  <c r="A115" i="4"/>
  <c r="AF114" i="4"/>
  <c r="AE114" i="4"/>
  <c r="AD114" i="4"/>
  <c r="AC114" i="4"/>
  <c r="AA114" i="4"/>
  <c r="Z114" i="4"/>
  <c r="Y114" i="4"/>
  <c r="X114" i="4"/>
  <c r="W114" i="4"/>
  <c r="V114" i="4"/>
  <c r="U114" i="4"/>
  <c r="Q114" i="4"/>
  <c r="O114" i="4"/>
  <c r="N114" i="4"/>
  <c r="M114" i="4"/>
  <c r="K114" i="4"/>
  <c r="J114" i="4"/>
  <c r="I114" i="4"/>
  <c r="H114" i="4"/>
  <c r="G114" i="4"/>
  <c r="F114" i="4"/>
  <c r="E114" i="4"/>
  <c r="C114" i="4"/>
  <c r="P114" i="4" s="1"/>
  <c r="B114" i="4"/>
  <c r="A114" i="4"/>
  <c r="L114" i="4" s="1"/>
  <c r="AF113" i="4"/>
  <c r="AE113" i="4"/>
  <c r="AD113" i="4"/>
  <c r="AC113" i="4"/>
  <c r="Z113" i="4"/>
  <c r="AA113" i="4" s="1"/>
  <c r="Y113" i="4"/>
  <c r="W113" i="4"/>
  <c r="V113" i="4"/>
  <c r="U113" i="4"/>
  <c r="T113" i="4"/>
  <c r="R113" i="4"/>
  <c r="S113" i="4" s="1"/>
  <c r="Q113" i="4"/>
  <c r="O113" i="4"/>
  <c r="N113" i="4"/>
  <c r="M113" i="4"/>
  <c r="I113" i="4"/>
  <c r="H113" i="4"/>
  <c r="G113" i="4"/>
  <c r="F113" i="4"/>
  <c r="E113" i="4"/>
  <c r="D113" i="4"/>
  <c r="C113" i="4"/>
  <c r="X113" i="4" s="1"/>
  <c r="B113" i="4"/>
  <c r="A113" i="4"/>
  <c r="AF112" i="4"/>
  <c r="AE112" i="4"/>
  <c r="AD112" i="4"/>
  <c r="AC112" i="4"/>
  <c r="Z112" i="4"/>
  <c r="AA112" i="4" s="1"/>
  <c r="Y112" i="4"/>
  <c r="X112" i="4"/>
  <c r="W112" i="4"/>
  <c r="V112" i="4"/>
  <c r="U112" i="4"/>
  <c r="R112" i="4"/>
  <c r="S112" i="4" s="1"/>
  <c r="Q112" i="4"/>
  <c r="O112" i="4"/>
  <c r="N112" i="4"/>
  <c r="M112" i="4"/>
  <c r="K112" i="4"/>
  <c r="J112" i="4"/>
  <c r="I112" i="4"/>
  <c r="H112" i="4"/>
  <c r="G112" i="4"/>
  <c r="F112" i="4"/>
  <c r="E112" i="4"/>
  <c r="C112" i="4"/>
  <c r="P112" i="4" s="1"/>
  <c r="B112" i="4"/>
  <c r="A112" i="4"/>
  <c r="AF111" i="4"/>
  <c r="AE111" i="4"/>
  <c r="AD111" i="4"/>
  <c r="AC111" i="4"/>
  <c r="Z111" i="4"/>
  <c r="AA111" i="4" s="1"/>
  <c r="Y111" i="4"/>
  <c r="W111" i="4"/>
  <c r="V111" i="4"/>
  <c r="U111" i="4"/>
  <c r="S111" i="4"/>
  <c r="R111" i="4"/>
  <c r="Q111" i="4"/>
  <c r="O111" i="4"/>
  <c r="N111" i="4"/>
  <c r="M111" i="4"/>
  <c r="I111" i="4"/>
  <c r="H111" i="4"/>
  <c r="G111" i="4"/>
  <c r="F111" i="4"/>
  <c r="E111" i="4"/>
  <c r="C111" i="4"/>
  <c r="P111" i="4" s="1"/>
  <c r="B111" i="4"/>
  <c r="A111" i="4"/>
  <c r="AF110" i="4"/>
  <c r="AE110" i="4"/>
  <c r="AD110" i="4"/>
  <c r="AC110" i="4"/>
  <c r="Z110" i="4"/>
  <c r="AA110" i="4" s="1"/>
  <c r="Y110" i="4"/>
  <c r="W110" i="4"/>
  <c r="V110" i="4"/>
  <c r="U110" i="4"/>
  <c r="R110" i="4"/>
  <c r="S110" i="4" s="1"/>
  <c r="Q110" i="4"/>
  <c r="O110" i="4"/>
  <c r="N110" i="4"/>
  <c r="M110" i="4"/>
  <c r="J110" i="4"/>
  <c r="K110" i="4" s="1"/>
  <c r="I110" i="4"/>
  <c r="H110" i="4"/>
  <c r="G110" i="4"/>
  <c r="F110" i="4"/>
  <c r="E110" i="4"/>
  <c r="C110" i="4"/>
  <c r="X110" i="4" s="1"/>
  <c r="B110" i="4"/>
  <c r="A110" i="4"/>
  <c r="AF109" i="4"/>
  <c r="AE109" i="4"/>
  <c r="AD109" i="4"/>
  <c r="AC109" i="4"/>
  <c r="Z109" i="4"/>
  <c r="AA109" i="4" s="1"/>
  <c r="Y109" i="4"/>
  <c r="W109" i="4"/>
  <c r="V109" i="4"/>
  <c r="U109" i="4"/>
  <c r="S109" i="4"/>
  <c r="R109" i="4"/>
  <c r="Q109" i="4"/>
  <c r="O109" i="4"/>
  <c r="N109" i="4"/>
  <c r="M109" i="4"/>
  <c r="I109" i="4"/>
  <c r="H109" i="4"/>
  <c r="G109" i="4"/>
  <c r="F109" i="4"/>
  <c r="E109" i="4"/>
  <c r="C109" i="4"/>
  <c r="X109" i="4" s="1"/>
  <c r="B109" i="4"/>
  <c r="A109" i="4"/>
  <c r="AF108" i="4"/>
  <c r="AE108" i="4"/>
  <c r="AD108" i="4"/>
  <c r="AC108" i="4"/>
  <c r="Z108" i="4"/>
  <c r="AA108" i="4" s="1"/>
  <c r="Y108" i="4"/>
  <c r="X108" i="4"/>
  <c r="W108" i="4"/>
  <c r="V108" i="4"/>
  <c r="U108" i="4"/>
  <c r="Q108" i="4"/>
  <c r="O108" i="4"/>
  <c r="N108" i="4"/>
  <c r="M108" i="4"/>
  <c r="L108" i="4"/>
  <c r="K108" i="4"/>
  <c r="J108" i="4"/>
  <c r="I108" i="4"/>
  <c r="H108" i="4"/>
  <c r="G108" i="4"/>
  <c r="F108" i="4"/>
  <c r="E108" i="4"/>
  <c r="C108" i="4"/>
  <c r="P108" i="4" s="1"/>
  <c r="B108" i="4"/>
  <c r="A108" i="4"/>
  <c r="AF107" i="4"/>
  <c r="AE107" i="4"/>
  <c r="AD107" i="4"/>
  <c r="AC107" i="4"/>
  <c r="Z107" i="4"/>
  <c r="AA107" i="4" s="1"/>
  <c r="Y107" i="4"/>
  <c r="W107" i="4"/>
  <c r="V107" i="4"/>
  <c r="U107" i="4"/>
  <c r="R107" i="4"/>
  <c r="S107" i="4" s="1"/>
  <c r="Q107" i="4"/>
  <c r="T107" i="4" s="1"/>
  <c r="O107" i="4"/>
  <c r="N107" i="4"/>
  <c r="M107" i="4"/>
  <c r="I107" i="4"/>
  <c r="H107" i="4"/>
  <c r="G107" i="4"/>
  <c r="F107" i="4"/>
  <c r="E107" i="4"/>
  <c r="D107" i="4"/>
  <c r="C107" i="4"/>
  <c r="X107" i="4" s="1"/>
  <c r="B107" i="4"/>
  <c r="A107" i="4"/>
  <c r="AF106" i="4"/>
  <c r="AE106" i="4"/>
  <c r="AD106" i="4"/>
  <c r="AC106" i="4"/>
  <c r="Z106" i="4"/>
  <c r="AA106" i="4" s="1"/>
  <c r="Y106" i="4"/>
  <c r="X106" i="4"/>
  <c r="W106" i="4"/>
  <c r="V106" i="4"/>
  <c r="U106" i="4"/>
  <c r="R106" i="4"/>
  <c r="S106" i="4" s="1"/>
  <c r="Q106" i="4"/>
  <c r="O106" i="4"/>
  <c r="N106" i="4"/>
  <c r="M106" i="4"/>
  <c r="K106" i="4"/>
  <c r="J106" i="4"/>
  <c r="I106" i="4"/>
  <c r="H106" i="4"/>
  <c r="G106" i="4"/>
  <c r="F106" i="4"/>
  <c r="E106" i="4"/>
  <c r="C106" i="4"/>
  <c r="P106" i="4" s="1"/>
  <c r="B106" i="4"/>
  <c r="A106" i="4"/>
  <c r="AF105" i="4"/>
  <c r="AE105" i="4"/>
  <c r="AD105" i="4"/>
  <c r="AC105" i="4"/>
  <c r="Z105" i="4"/>
  <c r="AA105" i="4" s="1"/>
  <c r="Y105" i="4"/>
  <c r="W105" i="4"/>
  <c r="V105" i="4"/>
  <c r="U105" i="4"/>
  <c r="T105" i="4"/>
  <c r="R105" i="4"/>
  <c r="S105" i="4" s="1"/>
  <c r="Q105" i="4"/>
  <c r="O105" i="4"/>
  <c r="N105" i="4"/>
  <c r="M105" i="4"/>
  <c r="I105" i="4"/>
  <c r="H105" i="4"/>
  <c r="G105" i="4"/>
  <c r="F105" i="4"/>
  <c r="E105" i="4"/>
  <c r="C105" i="4"/>
  <c r="P105" i="4" s="1"/>
  <c r="B105" i="4"/>
  <c r="A105" i="4"/>
  <c r="AF104" i="4"/>
  <c r="AE104" i="4"/>
  <c r="AD104" i="4"/>
  <c r="AC104" i="4"/>
  <c r="AA104" i="4"/>
  <c r="Z104" i="4"/>
  <c r="Y104" i="4"/>
  <c r="W104" i="4"/>
  <c r="V104" i="4"/>
  <c r="U104" i="4"/>
  <c r="R104" i="4"/>
  <c r="S104" i="4" s="1"/>
  <c r="Q104" i="4"/>
  <c r="O104" i="4"/>
  <c r="N104" i="4"/>
  <c r="M104" i="4"/>
  <c r="J104" i="4"/>
  <c r="K104" i="4" s="1"/>
  <c r="I104" i="4"/>
  <c r="H104" i="4"/>
  <c r="G104" i="4"/>
  <c r="F104" i="4"/>
  <c r="E104" i="4"/>
  <c r="C104" i="4"/>
  <c r="X104" i="4" s="1"/>
  <c r="B104" i="4"/>
  <c r="A104" i="4"/>
  <c r="AF103" i="4"/>
  <c r="AE103" i="4"/>
  <c r="AD103" i="4"/>
  <c r="AC103" i="4"/>
  <c r="Z103" i="4"/>
  <c r="AA103" i="4" s="1"/>
  <c r="Y103" i="4"/>
  <c r="W103" i="4"/>
  <c r="V103" i="4"/>
  <c r="U103" i="4"/>
  <c r="R103" i="4"/>
  <c r="S103" i="4" s="1"/>
  <c r="Q103" i="4"/>
  <c r="O103" i="4"/>
  <c r="N103" i="4"/>
  <c r="M103" i="4"/>
  <c r="I103" i="4"/>
  <c r="H103" i="4"/>
  <c r="G103" i="4"/>
  <c r="F103" i="4"/>
  <c r="E103" i="4"/>
  <c r="C103" i="4"/>
  <c r="X103" i="4" s="1"/>
  <c r="B103" i="4"/>
  <c r="A103" i="4"/>
  <c r="AF102" i="4"/>
  <c r="AE102" i="4"/>
  <c r="AD102" i="4"/>
  <c r="AC102" i="4"/>
  <c r="AA102" i="4"/>
  <c r="Z102" i="4"/>
  <c r="Y102" i="4"/>
  <c r="X102" i="4"/>
  <c r="W102" i="4"/>
  <c r="V102" i="4"/>
  <c r="U102" i="4"/>
  <c r="Q102" i="4"/>
  <c r="O102" i="4"/>
  <c r="N102" i="4"/>
  <c r="M102" i="4"/>
  <c r="K102" i="4"/>
  <c r="J102" i="4"/>
  <c r="I102" i="4"/>
  <c r="H102" i="4"/>
  <c r="G102" i="4"/>
  <c r="F102" i="4"/>
  <c r="E102" i="4"/>
  <c r="C102" i="4"/>
  <c r="P102" i="4" s="1"/>
  <c r="B102" i="4"/>
  <c r="A102" i="4"/>
  <c r="L102" i="4" s="1"/>
  <c r="AF101" i="4"/>
  <c r="AE101" i="4"/>
  <c r="AD101" i="4"/>
  <c r="AC101" i="4"/>
  <c r="Z101" i="4"/>
  <c r="AA101" i="4" s="1"/>
  <c r="Y101" i="4"/>
  <c r="W101" i="4"/>
  <c r="V101" i="4"/>
  <c r="U101" i="4"/>
  <c r="T101" i="4"/>
  <c r="R101" i="4"/>
  <c r="S101" i="4" s="1"/>
  <c r="Q101" i="4"/>
  <c r="O101" i="4"/>
  <c r="N101" i="4"/>
  <c r="M101" i="4"/>
  <c r="I101" i="4"/>
  <c r="H101" i="4"/>
  <c r="G101" i="4"/>
  <c r="F101" i="4"/>
  <c r="E101" i="4"/>
  <c r="D101" i="4"/>
  <c r="C101" i="4"/>
  <c r="X101" i="4" s="1"/>
  <c r="B101" i="4"/>
  <c r="A101" i="4"/>
  <c r="AF100" i="4"/>
  <c r="AE100" i="4"/>
  <c r="AD100" i="4"/>
  <c r="AC100" i="4"/>
  <c r="Z100" i="4"/>
  <c r="AA100" i="4" s="1"/>
  <c r="Y100" i="4"/>
  <c r="X100" i="4"/>
  <c r="W100" i="4"/>
  <c r="V100" i="4"/>
  <c r="U100" i="4"/>
  <c r="R100" i="4"/>
  <c r="S100" i="4" s="1"/>
  <c r="Q100" i="4"/>
  <c r="O100" i="4"/>
  <c r="N100" i="4"/>
  <c r="M100" i="4"/>
  <c r="K100" i="4"/>
  <c r="J100" i="4"/>
  <c r="I100" i="4"/>
  <c r="H100" i="4"/>
  <c r="G100" i="4"/>
  <c r="F100" i="4"/>
  <c r="E100" i="4"/>
  <c r="C100" i="4"/>
  <c r="P100" i="4" s="1"/>
  <c r="B100" i="4"/>
  <c r="A100" i="4"/>
  <c r="AF99" i="4"/>
  <c r="AE99" i="4"/>
  <c r="AD99" i="4"/>
  <c r="AC99" i="4"/>
  <c r="Z99" i="4"/>
  <c r="AA99" i="4" s="1"/>
  <c r="Y99" i="4"/>
  <c r="W99" i="4"/>
  <c r="V99" i="4"/>
  <c r="U99" i="4"/>
  <c r="S99" i="4"/>
  <c r="R99" i="4"/>
  <c r="Q99" i="4"/>
  <c r="O99" i="4"/>
  <c r="N99" i="4"/>
  <c r="M99" i="4"/>
  <c r="I99" i="4"/>
  <c r="H99" i="4"/>
  <c r="G99" i="4"/>
  <c r="F99" i="4"/>
  <c r="E99" i="4"/>
  <c r="C99" i="4"/>
  <c r="P99" i="4" s="1"/>
  <c r="B99" i="4"/>
  <c r="A99" i="4"/>
  <c r="AF98" i="4"/>
  <c r="AE98" i="4"/>
  <c r="AD98" i="4"/>
  <c r="AC98" i="4"/>
  <c r="Z98" i="4"/>
  <c r="AA98" i="4" s="1"/>
  <c r="Y98" i="4"/>
  <c r="W98" i="4"/>
  <c r="V98" i="4"/>
  <c r="U98" i="4"/>
  <c r="R98" i="4"/>
  <c r="S98" i="4" s="1"/>
  <c r="Q98" i="4"/>
  <c r="O98" i="4"/>
  <c r="N98" i="4"/>
  <c r="M98" i="4"/>
  <c r="J98" i="4"/>
  <c r="K98" i="4" s="1"/>
  <c r="I98" i="4"/>
  <c r="H98" i="4"/>
  <c r="G98" i="4"/>
  <c r="F98" i="4"/>
  <c r="E98" i="4"/>
  <c r="C98" i="4"/>
  <c r="X98" i="4" s="1"/>
  <c r="B98" i="4"/>
  <c r="A98" i="4"/>
  <c r="AF97" i="4"/>
  <c r="AE97" i="4"/>
  <c r="AD97" i="4"/>
  <c r="AC97" i="4"/>
  <c r="Z97" i="4"/>
  <c r="AA97" i="4" s="1"/>
  <c r="Y97" i="4"/>
  <c r="W97" i="4"/>
  <c r="V97" i="4"/>
  <c r="U97" i="4"/>
  <c r="S97" i="4"/>
  <c r="R97" i="4"/>
  <c r="Q97" i="4"/>
  <c r="O97" i="4"/>
  <c r="N97" i="4"/>
  <c r="M97" i="4"/>
  <c r="I97" i="4"/>
  <c r="H97" i="4"/>
  <c r="G97" i="4"/>
  <c r="F97" i="4"/>
  <c r="E97" i="4"/>
  <c r="C97" i="4"/>
  <c r="X97" i="4" s="1"/>
  <c r="B97" i="4"/>
  <c r="A97" i="4"/>
  <c r="AF96" i="4"/>
  <c r="AE96" i="4"/>
  <c r="AD96" i="4"/>
  <c r="AC96" i="4"/>
  <c r="Z96" i="4"/>
  <c r="AA96" i="4" s="1"/>
  <c r="Y96" i="4"/>
  <c r="X96" i="4"/>
  <c r="W96" i="4"/>
  <c r="V96" i="4"/>
  <c r="U96" i="4"/>
  <c r="Q96" i="4"/>
  <c r="O96" i="4"/>
  <c r="N96" i="4"/>
  <c r="M96" i="4"/>
  <c r="L96" i="4"/>
  <c r="K96" i="4"/>
  <c r="J96" i="4"/>
  <c r="I96" i="4"/>
  <c r="H96" i="4"/>
  <c r="G96" i="4"/>
  <c r="F96" i="4"/>
  <c r="E96" i="4"/>
  <c r="C96" i="4"/>
  <c r="P96" i="4" s="1"/>
  <c r="B96" i="4"/>
  <c r="A96" i="4"/>
  <c r="AF95" i="4"/>
  <c r="AE95" i="4"/>
  <c r="AD95" i="4"/>
  <c r="AC95" i="4"/>
  <c r="Z95" i="4"/>
  <c r="AA95" i="4" s="1"/>
  <c r="Y95" i="4"/>
  <c r="W95" i="4"/>
  <c r="V95" i="4"/>
  <c r="U95" i="4"/>
  <c r="R95" i="4"/>
  <c r="S95" i="4" s="1"/>
  <c r="Q95" i="4"/>
  <c r="T95" i="4" s="1"/>
  <c r="O95" i="4"/>
  <c r="N95" i="4"/>
  <c r="M95" i="4"/>
  <c r="I95" i="4"/>
  <c r="H95" i="4"/>
  <c r="G95" i="4"/>
  <c r="F95" i="4"/>
  <c r="E95" i="4"/>
  <c r="D95" i="4"/>
  <c r="C95" i="4"/>
  <c r="X95" i="4" s="1"/>
  <c r="B95" i="4"/>
  <c r="A95" i="4"/>
  <c r="AF94" i="4"/>
  <c r="AE94" i="4"/>
  <c r="AD94" i="4"/>
  <c r="AC94" i="4"/>
  <c r="Z94" i="4"/>
  <c r="AA94" i="4" s="1"/>
  <c r="Y94" i="4"/>
  <c r="X94" i="4"/>
  <c r="W94" i="4"/>
  <c r="V94" i="4"/>
  <c r="U94" i="4"/>
  <c r="R94" i="4"/>
  <c r="S94" i="4" s="1"/>
  <c r="Q94" i="4"/>
  <c r="O94" i="4"/>
  <c r="N94" i="4"/>
  <c r="M94" i="4"/>
  <c r="K94" i="4"/>
  <c r="J94" i="4"/>
  <c r="I94" i="4"/>
  <c r="H94" i="4"/>
  <c r="G94" i="4"/>
  <c r="F94" i="4"/>
  <c r="E94" i="4"/>
  <c r="C94" i="4"/>
  <c r="P94" i="4" s="1"/>
  <c r="B94" i="4"/>
  <c r="A94" i="4"/>
  <c r="AF93" i="4"/>
  <c r="AE93" i="4"/>
  <c r="AD93" i="4"/>
  <c r="AC93" i="4"/>
  <c r="Z93" i="4"/>
  <c r="AA93" i="4" s="1"/>
  <c r="Y93" i="4"/>
  <c r="W93" i="4"/>
  <c r="V93" i="4"/>
  <c r="U93" i="4"/>
  <c r="T93" i="4"/>
  <c r="R93" i="4"/>
  <c r="S93" i="4" s="1"/>
  <c r="Q93" i="4"/>
  <c r="O93" i="4"/>
  <c r="N93" i="4"/>
  <c r="M93" i="4"/>
  <c r="I93" i="4"/>
  <c r="H93" i="4"/>
  <c r="G93" i="4"/>
  <c r="F93" i="4"/>
  <c r="E93" i="4"/>
  <c r="C93" i="4"/>
  <c r="P93" i="4" s="1"/>
  <c r="B93" i="4"/>
  <c r="A93" i="4"/>
  <c r="AF92" i="4"/>
  <c r="AE92" i="4"/>
  <c r="AD92" i="4"/>
  <c r="AC92" i="4"/>
  <c r="AA92" i="4"/>
  <c r="Z92" i="4"/>
  <c r="Y92" i="4"/>
  <c r="W92" i="4"/>
  <c r="V92" i="4"/>
  <c r="U92" i="4"/>
  <c r="R92" i="4"/>
  <c r="S92" i="4" s="1"/>
  <c r="Q92" i="4"/>
  <c r="O92" i="4"/>
  <c r="N92" i="4"/>
  <c r="M92" i="4"/>
  <c r="J92" i="4"/>
  <c r="K92" i="4" s="1"/>
  <c r="I92" i="4"/>
  <c r="H92" i="4"/>
  <c r="G92" i="4"/>
  <c r="F92" i="4"/>
  <c r="E92" i="4"/>
  <c r="C92" i="4"/>
  <c r="X92" i="4" s="1"/>
  <c r="B92" i="4"/>
  <c r="A92" i="4"/>
  <c r="AF91" i="4"/>
  <c r="AE91" i="4"/>
  <c r="AD91" i="4"/>
  <c r="AC91" i="4"/>
  <c r="Z91" i="4"/>
  <c r="AA91" i="4" s="1"/>
  <c r="Y91" i="4"/>
  <c r="W91" i="4"/>
  <c r="V91" i="4"/>
  <c r="U91" i="4"/>
  <c r="R91" i="4"/>
  <c r="S91" i="4" s="1"/>
  <c r="Q91" i="4"/>
  <c r="P91" i="4"/>
  <c r="O91" i="4"/>
  <c r="N91" i="4"/>
  <c r="M91" i="4"/>
  <c r="I91" i="4"/>
  <c r="H91" i="4"/>
  <c r="G91" i="4"/>
  <c r="F91" i="4"/>
  <c r="E91" i="4"/>
  <c r="C91" i="4"/>
  <c r="X91" i="4" s="1"/>
  <c r="B91" i="4"/>
  <c r="A91" i="4"/>
  <c r="AF90" i="4"/>
  <c r="AE90" i="4"/>
  <c r="AD90" i="4"/>
  <c r="AC90" i="4"/>
  <c r="AA90" i="4"/>
  <c r="Z90" i="4"/>
  <c r="Y90" i="4"/>
  <c r="X90" i="4"/>
  <c r="W90" i="4"/>
  <c r="V90" i="4"/>
  <c r="U90" i="4"/>
  <c r="Q90" i="4"/>
  <c r="O90" i="4"/>
  <c r="N90" i="4"/>
  <c r="M90" i="4"/>
  <c r="K90" i="4"/>
  <c r="J90" i="4"/>
  <c r="I90" i="4"/>
  <c r="H90" i="4"/>
  <c r="G90" i="4"/>
  <c r="F90" i="4"/>
  <c r="E90" i="4"/>
  <c r="C90" i="4"/>
  <c r="P90" i="4" s="1"/>
  <c r="B90" i="4"/>
  <c r="A90" i="4"/>
  <c r="AF89" i="4"/>
  <c r="AE89" i="4"/>
  <c r="AD89" i="4"/>
  <c r="AC89" i="4"/>
  <c r="Z89" i="4"/>
  <c r="AA89" i="4" s="1"/>
  <c r="Y89" i="4"/>
  <c r="W89" i="4"/>
  <c r="V89" i="4"/>
  <c r="U89" i="4"/>
  <c r="R89" i="4"/>
  <c r="S89" i="4" s="1"/>
  <c r="Q89" i="4"/>
  <c r="T89" i="4" s="1"/>
  <c r="O89" i="4"/>
  <c r="N89" i="4"/>
  <c r="M89" i="4"/>
  <c r="I89" i="4"/>
  <c r="H89" i="4"/>
  <c r="G89" i="4"/>
  <c r="F89" i="4"/>
  <c r="E89" i="4"/>
  <c r="D89" i="4"/>
  <c r="C89" i="4"/>
  <c r="X89" i="4" s="1"/>
  <c r="B89" i="4"/>
  <c r="A89" i="4"/>
  <c r="AF88" i="4"/>
  <c r="AE88" i="4"/>
  <c r="AD88" i="4"/>
  <c r="AC88" i="4"/>
  <c r="Z88" i="4"/>
  <c r="AA88" i="4" s="1"/>
  <c r="Y88" i="4"/>
  <c r="X88" i="4"/>
  <c r="W88" i="4"/>
  <c r="V88" i="4"/>
  <c r="U88" i="4"/>
  <c r="R88" i="4"/>
  <c r="S88" i="4" s="1"/>
  <c r="Q88" i="4"/>
  <c r="O88" i="4"/>
  <c r="N88" i="4"/>
  <c r="M88" i="4"/>
  <c r="L88" i="4"/>
  <c r="K88" i="4"/>
  <c r="J88" i="4"/>
  <c r="I88" i="4"/>
  <c r="H88" i="4"/>
  <c r="G88" i="4"/>
  <c r="F88" i="4"/>
  <c r="E88" i="4"/>
  <c r="C88" i="4"/>
  <c r="P88" i="4" s="1"/>
  <c r="B88" i="4"/>
  <c r="A88" i="4"/>
  <c r="AF87" i="4"/>
  <c r="AE87" i="4"/>
  <c r="AD87" i="4"/>
  <c r="AC87" i="4"/>
  <c r="Z87" i="4"/>
  <c r="AA87" i="4" s="1"/>
  <c r="Y87" i="4"/>
  <c r="W87" i="4"/>
  <c r="V87" i="4"/>
  <c r="U87" i="4"/>
  <c r="S87" i="4"/>
  <c r="R87" i="4"/>
  <c r="Q87" i="4"/>
  <c r="O87" i="4"/>
  <c r="N87" i="4"/>
  <c r="M87" i="4"/>
  <c r="I87" i="4"/>
  <c r="H87" i="4"/>
  <c r="G87" i="4"/>
  <c r="F87" i="4"/>
  <c r="E87" i="4"/>
  <c r="C87" i="4"/>
  <c r="P87" i="4" s="1"/>
  <c r="B87" i="4"/>
  <c r="A87" i="4"/>
  <c r="AF86" i="4"/>
  <c r="AE86" i="4"/>
  <c r="AD86" i="4"/>
  <c r="AC86" i="4"/>
  <c r="AA86" i="4"/>
  <c r="Z86" i="4"/>
  <c r="Y86" i="4"/>
  <c r="W86" i="4"/>
  <c r="V86" i="4"/>
  <c r="U86" i="4"/>
  <c r="R86" i="4"/>
  <c r="S86" i="4" s="1"/>
  <c r="Q86" i="4"/>
  <c r="O86" i="4"/>
  <c r="N86" i="4"/>
  <c r="M86" i="4"/>
  <c r="J86" i="4"/>
  <c r="K86" i="4" s="1"/>
  <c r="I86" i="4"/>
  <c r="H86" i="4"/>
  <c r="G86" i="4"/>
  <c r="F86" i="4"/>
  <c r="E86" i="4"/>
  <c r="C86" i="4"/>
  <c r="X86" i="4" s="1"/>
  <c r="B86" i="4"/>
  <c r="A86" i="4"/>
  <c r="AF85" i="4"/>
  <c r="AE85" i="4"/>
  <c r="AD85" i="4"/>
  <c r="AC85" i="4"/>
  <c r="Z85" i="4"/>
  <c r="AA85" i="4" s="1"/>
  <c r="Y85" i="4"/>
  <c r="W85" i="4"/>
  <c r="V85" i="4"/>
  <c r="U85" i="4"/>
  <c r="R85" i="4"/>
  <c r="S85" i="4" s="1"/>
  <c r="Q85" i="4"/>
  <c r="P85" i="4"/>
  <c r="O85" i="4"/>
  <c r="N85" i="4"/>
  <c r="M85" i="4"/>
  <c r="I85" i="4"/>
  <c r="H85" i="4"/>
  <c r="G85" i="4"/>
  <c r="F85" i="4"/>
  <c r="E85" i="4"/>
  <c r="C85" i="4"/>
  <c r="X85" i="4" s="1"/>
  <c r="B85" i="4"/>
  <c r="A85" i="4"/>
  <c r="L85" i="4" s="1"/>
  <c r="AF84" i="4"/>
  <c r="AE84" i="4"/>
  <c r="AD84" i="4"/>
  <c r="AC84" i="4"/>
  <c r="AA84" i="4"/>
  <c r="Z84" i="4"/>
  <c r="Y84" i="4"/>
  <c r="W84" i="4"/>
  <c r="V84" i="4"/>
  <c r="U84" i="4"/>
  <c r="Q84" i="4"/>
  <c r="P84" i="4"/>
  <c r="O84" i="4"/>
  <c r="N84" i="4"/>
  <c r="M84" i="4"/>
  <c r="I84" i="4"/>
  <c r="H84" i="4"/>
  <c r="G84" i="4"/>
  <c r="F84" i="4"/>
  <c r="E84" i="4"/>
  <c r="D84" i="4"/>
  <c r="C84" i="4"/>
  <c r="B84" i="4"/>
  <c r="A84" i="4"/>
  <c r="T84" i="4" s="1"/>
  <c r="AF83" i="4"/>
  <c r="AE83" i="4"/>
  <c r="AD83" i="4"/>
  <c r="AC83" i="4"/>
  <c r="Z83" i="4"/>
  <c r="AA83" i="4" s="1"/>
  <c r="Y83" i="4"/>
  <c r="X83" i="4"/>
  <c r="W83" i="4"/>
  <c r="V83" i="4"/>
  <c r="U83" i="4"/>
  <c r="R83" i="4"/>
  <c r="S83" i="4" s="1"/>
  <c r="Q83" i="4"/>
  <c r="O83" i="4"/>
  <c r="N83" i="4"/>
  <c r="M83" i="4"/>
  <c r="K83" i="4"/>
  <c r="J83" i="4"/>
  <c r="I83" i="4"/>
  <c r="H83" i="4"/>
  <c r="G83" i="4"/>
  <c r="F83" i="4"/>
  <c r="E83" i="4"/>
  <c r="C83" i="4"/>
  <c r="P83" i="4" s="1"/>
  <c r="B83" i="4"/>
  <c r="A83" i="4"/>
  <c r="L83" i="4" s="1"/>
  <c r="AF82" i="4"/>
  <c r="AE82" i="4"/>
  <c r="AD82" i="4"/>
  <c r="AC82" i="4"/>
  <c r="Z82" i="4"/>
  <c r="AA82" i="4" s="1"/>
  <c r="Y82" i="4"/>
  <c r="W82" i="4"/>
  <c r="V82" i="4"/>
  <c r="U82" i="4"/>
  <c r="T82" i="4"/>
  <c r="R82" i="4"/>
  <c r="S82" i="4" s="1"/>
  <c r="Q82" i="4"/>
  <c r="P82" i="4"/>
  <c r="O82" i="4"/>
  <c r="N82" i="4"/>
  <c r="M82" i="4"/>
  <c r="I82" i="4"/>
  <c r="H82" i="4"/>
  <c r="G82" i="4"/>
  <c r="F82" i="4"/>
  <c r="E82" i="4"/>
  <c r="C82" i="4"/>
  <c r="X82" i="4" s="1"/>
  <c r="B82" i="4"/>
  <c r="A82" i="4"/>
  <c r="AF81" i="4"/>
  <c r="AE81" i="4"/>
  <c r="AD81" i="4"/>
  <c r="AC81" i="4"/>
  <c r="Y81" i="4"/>
  <c r="W81" i="4"/>
  <c r="V81" i="4"/>
  <c r="U81" i="4"/>
  <c r="Q81" i="4"/>
  <c r="O81" i="4"/>
  <c r="N81" i="4"/>
  <c r="M81" i="4"/>
  <c r="I81" i="4"/>
  <c r="H81" i="4"/>
  <c r="G81" i="4"/>
  <c r="F81" i="4"/>
  <c r="E81" i="4"/>
  <c r="D81" i="4"/>
  <c r="C81" i="4"/>
  <c r="B81" i="4"/>
  <c r="A81" i="4"/>
  <c r="AF80" i="4"/>
  <c r="AE80" i="4"/>
  <c r="AD80" i="4"/>
  <c r="AC80" i="4"/>
  <c r="Z80" i="4"/>
  <c r="Y80" i="4"/>
  <c r="X80" i="4"/>
  <c r="W80" i="4"/>
  <c r="V80" i="4"/>
  <c r="U80" i="4"/>
  <c r="R80" i="4"/>
  <c r="S80" i="4" s="1"/>
  <c r="Q80" i="4"/>
  <c r="O80" i="4"/>
  <c r="N80" i="4"/>
  <c r="M80" i="4"/>
  <c r="J80" i="4"/>
  <c r="K80" i="4" s="1"/>
  <c r="I80" i="4"/>
  <c r="H80" i="4"/>
  <c r="G80" i="4"/>
  <c r="F80" i="4"/>
  <c r="E80" i="4"/>
  <c r="C80" i="4"/>
  <c r="P80" i="4" s="1"/>
  <c r="B80" i="4"/>
  <c r="A80" i="4"/>
  <c r="AF79" i="4"/>
  <c r="AE79" i="4"/>
  <c r="AD79" i="4"/>
  <c r="AC79" i="4"/>
  <c r="Z79" i="4"/>
  <c r="AA79" i="4" s="1"/>
  <c r="Y79" i="4"/>
  <c r="W79" i="4"/>
  <c r="V79" i="4"/>
  <c r="U79" i="4"/>
  <c r="S79" i="4"/>
  <c r="R79" i="4"/>
  <c r="Q79" i="4"/>
  <c r="P79" i="4"/>
  <c r="O79" i="4"/>
  <c r="N79" i="4"/>
  <c r="M79" i="4"/>
  <c r="I79" i="4"/>
  <c r="H79" i="4"/>
  <c r="G79" i="4"/>
  <c r="F79" i="4"/>
  <c r="E79" i="4"/>
  <c r="C79" i="4"/>
  <c r="X79" i="4" s="1"/>
  <c r="B79" i="4"/>
  <c r="A79" i="4"/>
  <c r="AF78" i="4"/>
  <c r="AE78" i="4"/>
  <c r="AD78" i="4"/>
  <c r="AC78" i="4"/>
  <c r="Z78" i="4"/>
  <c r="AA78" i="4" s="1"/>
  <c r="Y78" i="4"/>
  <c r="W78" i="4"/>
  <c r="V78" i="4"/>
  <c r="U78" i="4"/>
  <c r="Q78" i="4"/>
  <c r="O78" i="4"/>
  <c r="N78" i="4"/>
  <c r="M78" i="4"/>
  <c r="I78" i="4"/>
  <c r="H78" i="4"/>
  <c r="G78" i="4"/>
  <c r="F78" i="4"/>
  <c r="E78" i="4"/>
  <c r="D78" i="4"/>
  <c r="C78" i="4"/>
  <c r="B78" i="4"/>
  <c r="A78" i="4"/>
  <c r="AF77" i="4"/>
  <c r="AE77" i="4"/>
  <c r="AD77" i="4"/>
  <c r="AC77" i="4"/>
  <c r="Z77" i="4"/>
  <c r="AA77" i="4" s="1"/>
  <c r="Y77" i="4"/>
  <c r="X77" i="4"/>
  <c r="W77" i="4"/>
  <c r="V77" i="4"/>
  <c r="U77" i="4"/>
  <c r="R77" i="4"/>
  <c r="S77" i="4" s="1"/>
  <c r="Q77" i="4"/>
  <c r="O77" i="4"/>
  <c r="N77" i="4"/>
  <c r="M77" i="4"/>
  <c r="L77" i="4"/>
  <c r="J77" i="4"/>
  <c r="K77" i="4" s="1"/>
  <c r="I77" i="4"/>
  <c r="H77" i="4"/>
  <c r="G77" i="4"/>
  <c r="F77" i="4"/>
  <c r="E77" i="4"/>
  <c r="C77" i="4"/>
  <c r="P77" i="4" s="1"/>
  <c r="B77" i="4"/>
  <c r="A77" i="4"/>
  <c r="AF76" i="4"/>
  <c r="AE76" i="4"/>
  <c r="AD76" i="4"/>
  <c r="AC76" i="4"/>
  <c r="Z76" i="4"/>
  <c r="AA76" i="4" s="1"/>
  <c r="Y76" i="4"/>
  <c r="W76" i="4"/>
  <c r="V76" i="4"/>
  <c r="U76" i="4"/>
  <c r="R76" i="4"/>
  <c r="S76" i="4" s="1"/>
  <c r="Q76" i="4"/>
  <c r="P76" i="4"/>
  <c r="O76" i="4"/>
  <c r="N76" i="4"/>
  <c r="M76" i="4"/>
  <c r="I76" i="4"/>
  <c r="H76" i="4"/>
  <c r="G76" i="4"/>
  <c r="F76" i="4"/>
  <c r="E76" i="4"/>
  <c r="C76" i="4"/>
  <c r="X76" i="4" s="1"/>
  <c r="B76" i="4"/>
  <c r="A76" i="4"/>
  <c r="L76" i="4" s="1"/>
  <c r="AF75" i="4"/>
  <c r="AE75" i="4"/>
  <c r="AD75" i="4"/>
  <c r="AC75" i="4"/>
  <c r="Y75" i="4"/>
  <c r="W75" i="4"/>
  <c r="V75" i="4"/>
  <c r="U75" i="4"/>
  <c r="Q75" i="4"/>
  <c r="P75" i="4"/>
  <c r="O75" i="4"/>
  <c r="N75" i="4"/>
  <c r="M75" i="4"/>
  <c r="I75" i="4"/>
  <c r="H75" i="4"/>
  <c r="G75" i="4"/>
  <c r="F75" i="4"/>
  <c r="E75" i="4"/>
  <c r="D75" i="4"/>
  <c r="C75" i="4"/>
  <c r="Z75" i="4" s="1"/>
  <c r="AA75" i="4" s="1"/>
  <c r="B75" i="4"/>
  <c r="A75" i="4"/>
  <c r="T75" i="4" s="1"/>
  <c r="AF74" i="4"/>
  <c r="AE74" i="4"/>
  <c r="AD74" i="4"/>
  <c r="AC74" i="4"/>
  <c r="Z74" i="4"/>
  <c r="AA74" i="4" s="1"/>
  <c r="Y74" i="4"/>
  <c r="X74" i="4"/>
  <c r="W74" i="4"/>
  <c r="V74" i="4"/>
  <c r="U74" i="4"/>
  <c r="R74" i="4"/>
  <c r="S74" i="4" s="1"/>
  <c r="Q74" i="4"/>
  <c r="O74" i="4"/>
  <c r="N74" i="4"/>
  <c r="M74" i="4"/>
  <c r="J74" i="4"/>
  <c r="K74" i="4" s="1"/>
  <c r="I74" i="4"/>
  <c r="H74" i="4"/>
  <c r="G74" i="4"/>
  <c r="F74" i="4"/>
  <c r="E74" i="4"/>
  <c r="C74" i="4"/>
  <c r="P74" i="4" s="1"/>
  <c r="B74" i="4"/>
  <c r="A74" i="4"/>
  <c r="AF73" i="4"/>
  <c r="AE73" i="4"/>
  <c r="AD73" i="4"/>
  <c r="AC73" i="4"/>
  <c r="Z73" i="4"/>
  <c r="AA73" i="4" s="1"/>
  <c r="Y73" i="4"/>
  <c r="W73" i="4"/>
  <c r="V73" i="4"/>
  <c r="U73" i="4"/>
  <c r="T73" i="4"/>
  <c r="S73" i="4"/>
  <c r="R73" i="4"/>
  <c r="Q73" i="4"/>
  <c r="P73" i="4"/>
  <c r="O73" i="4"/>
  <c r="N73" i="4"/>
  <c r="M73" i="4"/>
  <c r="I73" i="4"/>
  <c r="H73" i="4"/>
  <c r="G73" i="4"/>
  <c r="F73" i="4"/>
  <c r="E73" i="4"/>
  <c r="C73" i="4"/>
  <c r="X73" i="4" s="1"/>
  <c r="B73" i="4"/>
  <c r="A73" i="4"/>
  <c r="AF72" i="4"/>
  <c r="AE72" i="4"/>
  <c r="AD72" i="4"/>
  <c r="AC72" i="4"/>
  <c r="Z72" i="4"/>
  <c r="AA72" i="4" s="1"/>
  <c r="Y72" i="4"/>
  <c r="W72" i="4"/>
  <c r="V72" i="4"/>
  <c r="U72" i="4"/>
  <c r="Q72" i="4"/>
  <c r="P72" i="4"/>
  <c r="O72" i="4"/>
  <c r="N72" i="4"/>
  <c r="M72" i="4"/>
  <c r="I72" i="4"/>
  <c r="H72" i="4"/>
  <c r="G72" i="4"/>
  <c r="F72" i="4"/>
  <c r="E72" i="4"/>
  <c r="D72" i="4"/>
  <c r="C72" i="4"/>
  <c r="B72" i="4"/>
  <c r="A72" i="4"/>
  <c r="AF71" i="4"/>
  <c r="AE71" i="4"/>
  <c r="AD71" i="4"/>
  <c r="AC71" i="4"/>
  <c r="Z71" i="4"/>
  <c r="Y71" i="4"/>
  <c r="X71" i="4"/>
  <c r="W71" i="4"/>
  <c r="V71" i="4"/>
  <c r="U71" i="4"/>
  <c r="R71" i="4"/>
  <c r="S71" i="4" s="1"/>
  <c r="Q71" i="4"/>
  <c r="O71" i="4"/>
  <c r="N71" i="4"/>
  <c r="M71" i="4"/>
  <c r="J71" i="4"/>
  <c r="K71" i="4" s="1"/>
  <c r="I71" i="4"/>
  <c r="H71" i="4"/>
  <c r="G71" i="4"/>
  <c r="F71" i="4"/>
  <c r="E71" i="4"/>
  <c r="C71" i="4"/>
  <c r="P71" i="4" s="1"/>
  <c r="B71" i="4"/>
  <c r="A71" i="4"/>
  <c r="AF70" i="4"/>
  <c r="AE70" i="4"/>
  <c r="AD70" i="4"/>
  <c r="AC70" i="4"/>
  <c r="Z70" i="4"/>
  <c r="AA70" i="4" s="1"/>
  <c r="Y70" i="4"/>
  <c r="W70" i="4"/>
  <c r="V70" i="4"/>
  <c r="U70" i="4"/>
  <c r="S70" i="4"/>
  <c r="R70" i="4"/>
  <c r="Q70" i="4"/>
  <c r="O70" i="4"/>
  <c r="N70" i="4"/>
  <c r="M70" i="4"/>
  <c r="I70" i="4"/>
  <c r="H70" i="4"/>
  <c r="G70" i="4"/>
  <c r="F70" i="4"/>
  <c r="E70" i="4"/>
  <c r="C70" i="4"/>
  <c r="X70" i="4" s="1"/>
  <c r="B70" i="4"/>
  <c r="A70" i="4"/>
  <c r="AF69" i="4"/>
  <c r="AE69" i="4"/>
  <c r="AD69" i="4"/>
  <c r="AC69" i="4"/>
  <c r="AB69" i="4"/>
  <c r="Y69" i="4"/>
  <c r="W69" i="4"/>
  <c r="V69" i="4"/>
  <c r="U69" i="4"/>
  <c r="Q69" i="4"/>
  <c r="O69" i="4"/>
  <c r="N69" i="4"/>
  <c r="M69" i="4"/>
  <c r="J69" i="4"/>
  <c r="K69" i="4" s="1"/>
  <c r="I69" i="4"/>
  <c r="H69" i="4"/>
  <c r="G69" i="4"/>
  <c r="F69" i="4"/>
  <c r="E69" i="4"/>
  <c r="D69" i="4"/>
  <c r="C69" i="4"/>
  <c r="P69" i="4" s="1"/>
  <c r="B69" i="4"/>
  <c r="A69" i="4"/>
  <c r="AF68" i="4"/>
  <c r="AE68" i="4"/>
  <c r="AD68" i="4"/>
  <c r="AC68" i="4"/>
  <c r="Z68" i="4"/>
  <c r="Y68" i="4"/>
  <c r="X68" i="4"/>
  <c r="W68" i="4"/>
  <c r="V68" i="4"/>
  <c r="U68" i="4"/>
  <c r="R68" i="4"/>
  <c r="S68" i="4" s="1"/>
  <c r="Q68" i="4"/>
  <c r="O68" i="4"/>
  <c r="N68" i="4"/>
  <c r="M68" i="4"/>
  <c r="L68" i="4"/>
  <c r="J68" i="4"/>
  <c r="K68" i="4" s="1"/>
  <c r="I68" i="4"/>
  <c r="H68" i="4"/>
  <c r="G68" i="4"/>
  <c r="F68" i="4"/>
  <c r="E68" i="4"/>
  <c r="C68" i="4"/>
  <c r="P68" i="4" s="1"/>
  <c r="B68" i="4"/>
  <c r="A68" i="4"/>
  <c r="AF67" i="4"/>
  <c r="AE67" i="4"/>
  <c r="AD67" i="4"/>
  <c r="AC67" i="4"/>
  <c r="Z67" i="4"/>
  <c r="AA67" i="4" s="1"/>
  <c r="Y67" i="4"/>
  <c r="W67" i="4"/>
  <c r="V67" i="4"/>
  <c r="U67" i="4"/>
  <c r="R67" i="4"/>
  <c r="S67" i="4" s="1"/>
  <c r="Q67" i="4"/>
  <c r="O67" i="4"/>
  <c r="N67" i="4"/>
  <c r="M67" i="4"/>
  <c r="I67" i="4"/>
  <c r="H67" i="4"/>
  <c r="G67" i="4"/>
  <c r="F67" i="4"/>
  <c r="E67" i="4"/>
  <c r="C67" i="4"/>
  <c r="X67" i="4" s="1"/>
  <c r="B67" i="4"/>
  <c r="A67" i="4"/>
  <c r="AF66" i="4"/>
  <c r="AE66" i="4"/>
  <c r="AD66" i="4"/>
  <c r="AC66" i="4"/>
  <c r="Y66" i="4"/>
  <c r="W66" i="4"/>
  <c r="V66" i="4"/>
  <c r="U66" i="4"/>
  <c r="Q66" i="4"/>
  <c r="P66" i="4"/>
  <c r="O66" i="4"/>
  <c r="N66" i="4"/>
  <c r="M66" i="4"/>
  <c r="I66" i="4"/>
  <c r="H66" i="4"/>
  <c r="G66" i="4"/>
  <c r="F66" i="4"/>
  <c r="E66" i="4"/>
  <c r="D66" i="4"/>
  <c r="C66" i="4"/>
  <c r="J66" i="4" s="1"/>
  <c r="K66" i="4" s="1"/>
  <c r="B66" i="4"/>
  <c r="A66" i="4"/>
  <c r="T66" i="4" s="1"/>
  <c r="AF65" i="4"/>
  <c r="AE65" i="4"/>
  <c r="AD65" i="4"/>
  <c r="AC65" i="4"/>
  <c r="Z65" i="4"/>
  <c r="AA65" i="4" s="1"/>
  <c r="Y65" i="4"/>
  <c r="X65" i="4"/>
  <c r="W65" i="4"/>
  <c r="V65" i="4"/>
  <c r="U65" i="4"/>
  <c r="R65" i="4"/>
  <c r="S65" i="4" s="1"/>
  <c r="Q65" i="4"/>
  <c r="O65" i="4"/>
  <c r="N65" i="4"/>
  <c r="M65" i="4"/>
  <c r="K65" i="4"/>
  <c r="J65" i="4"/>
  <c r="I65" i="4"/>
  <c r="H65" i="4"/>
  <c r="G65" i="4"/>
  <c r="F65" i="4"/>
  <c r="E65" i="4"/>
  <c r="C65" i="4"/>
  <c r="P65" i="4" s="1"/>
  <c r="B65" i="4"/>
  <c r="A65" i="4"/>
  <c r="AF64" i="4"/>
  <c r="AE64" i="4"/>
  <c r="AD64" i="4"/>
  <c r="AC64" i="4"/>
  <c r="Z64" i="4"/>
  <c r="AA64" i="4" s="1"/>
  <c r="Y64" i="4"/>
  <c r="W64" i="4"/>
  <c r="V64" i="4"/>
  <c r="U64" i="4"/>
  <c r="T64" i="4"/>
  <c r="R64" i="4"/>
  <c r="S64" i="4" s="1"/>
  <c r="Q64" i="4"/>
  <c r="O64" i="4"/>
  <c r="N64" i="4"/>
  <c r="M64" i="4"/>
  <c r="I64" i="4"/>
  <c r="H64" i="4"/>
  <c r="G64" i="4"/>
  <c r="F64" i="4"/>
  <c r="E64" i="4"/>
  <c r="C64" i="4"/>
  <c r="X64" i="4" s="1"/>
  <c r="B64" i="4"/>
  <c r="A64" i="4"/>
  <c r="AF63" i="4"/>
  <c r="AE63" i="4"/>
  <c r="AD63" i="4"/>
  <c r="AC63" i="4"/>
  <c r="Z63" i="4"/>
  <c r="AA63" i="4" s="1"/>
  <c r="Y63" i="4"/>
  <c r="W63" i="4"/>
  <c r="V63" i="4"/>
  <c r="U63" i="4"/>
  <c r="Q63" i="4"/>
  <c r="P63" i="4"/>
  <c r="O63" i="4"/>
  <c r="N63" i="4"/>
  <c r="M63" i="4"/>
  <c r="I63" i="4"/>
  <c r="H63" i="4"/>
  <c r="G63" i="4"/>
  <c r="F63" i="4"/>
  <c r="E63" i="4"/>
  <c r="D63" i="4"/>
  <c r="C63" i="4"/>
  <c r="B63" i="4"/>
  <c r="A63" i="4"/>
  <c r="AF62" i="4"/>
  <c r="AE62" i="4"/>
  <c r="AD62" i="4"/>
  <c r="AC62" i="4"/>
  <c r="Z62" i="4"/>
  <c r="Y62" i="4"/>
  <c r="X62" i="4"/>
  <c r="W62" i="4"/>
  <c r="V62" i="4"/>
  <c r="U62" i="4"/>
  <c r="R62" i="4"/>
  <c r="S62" i="4" s="1"/>
  <c r="Q62" i="4"/>
  <c r="P62" i="4"/>
  <c r="O62" i="4"/>
  <c r="N62" i="4"/>
  <c r="M62" i="4"/>
  <c r="L62" i="4"/>
  <c r="J62" i="4"/>
  <c r="K62" i="4" s="1"/>
  <c r="I62" i="4"/>
  <c r="H62" i="4"/>
  <c r="G62" i="4"/>
  <c r="F62" i="4"/>
  <c r="E62" i="4"/>
  <c r="C62" i="4"/>
  <c r="B62" i="4"/>
  <c r="A62" i="4"/>
  <c r="AF61" i="4"/>
  <c r="AE61" i="4"/>
  <c r="AD61" i="4"/>
  <c r="AC61" i="4"/>
  <c r="Z61" i="4"/>
  <c r="AA61" i="4" s="1"/>
  <c r="Y61" i="4"/>
  <c r="X61" i="4"/>
  <c r="W61" i="4"/>
  <c r="V61" i="4"/>
  <c r="U61" i="4"/>
  <c r="R61" i="4"/>
  <c r="S61" i="4" s="1"/>
  <c r="Q61" i="4"/>
  <c r="O61" i="4"/>
  <c r="N61" i="4"/>
  <c r="M61" i="4"/>
  <c r="I61" i="4"/>
  <c r="H61" i="4"/>
  <c r="G61" i="4"/>
  <c r="F61" i="4"/>
  <c r="E61" i="4"/>
  <c r="C61" i="4"/>
  <c r="J61" i="4" s="1"/>
  <c r="B61" i="4"/>
  <c r="A61" i="4"/>
  <c r="AF60" i="4"/>
  <c r="AE60" i="4"/>
  <c r="AD60" i="4"/>
  <c r="AC60" i="4"/>
  <c r="Z60" i="4"/>
  <c r="AA60" i="4" s="1"/>
  <c r="Y60" i="4"/>
  <c r="W60" i="4"/>
  <c r="V60" i="4"/>
  <c r="U60" i="4"/>
  <c r="Q60" i="4"/>
  <c r="P60" i="4"/>
  <c r="O60" i="4"/>
  <c r="N60" i="4"/>
  <c r="M60" i="4"/>
  <c r="I60" i="4"/>
  <c r="H60" i="4"/>
  <c r="G60" i="4"/>
  <c r="F60" i="4"/>
  <c r="E60" i="4"/>
  <c r="D60" i="4"/>
  <c r="C60" i="4"/>
  <c r="J60" i="4" s="1"/>
  <c r="K60" i="4" s="1"/>
  <c r="B60" i="4"/>
  <c r="A60" i="4"/>
  <c r="L60" i="4" s="1"/>
  <c r="AF59" i="4"/>
  <c r="AE59" i="4"/>
  <c r="AD59" i="4"/>
  <c r="AC59" i="4"/>
  <c r="Z59" i="4"/>
  <c r="AA59" i="4" s="1"/>
  <c r="Y59" i="4"/>
  <c r="X59" i="4"/>
  <c r="W59" i="4"/>
  <c r="V59" i="4"/>
  <c r="U59" i="4"/>
  <c r="R59" i="4"/>
  <c r="S59" i="4" s="1"/>
  <c r="Q59" i="4"/>
  <c r="P59" i="4"/>
  <c r="O59" i="4"/>
  <c r="N59" i="4"/>
  <c r="M59" i="4"/>
  <c r="J59" i="4"/>
  <c r="K59" i="4" s="1"/>
  <c r="I59" i="4"/>
  <c r="H59" i="4"/>
  <c r="G59" i="4"/>
  <c r="F59" i="4"/>
  <c r="E59" i="4"/>
  <c r="C59" i="4"/>
  <c r="B59" i="4"/>
  <c r="A59" i="4"/>
  <c r="AF58" i="4"/>
  <c r="AE58" i="4"/>
  <c r="AD58" i="4"/>
  <c r="AC58" i="4"/>
  <c r="Z58" i="4"/>
  <c r="AA58" i="4" s="1"/>
  <c r="Y58" i="4"/>
  <c r="X58" i="4"/>
  <c r="W58" i="4"/>
  <c r="V58" i="4"/>
  <c r="U58" i="4"/>
  <c r="T58" i="4"/>
  <c r="R58" i="4"/>
  <c r="S58" i="4" s="1"/>
  <c r="Q58" i="4"/>
  <c r="O58" i="4"/>
  <c r="N58" i="4"/>
  <c r="M58" i="4"/>
  <c r="I58" i="4"/>
  <c r="H58" i="4"/>
  <c r="G58" i="4"/>
  <c r="F58" i="4"/>
  <c r="E58" i="4"/>
  <c r="C58" i="4"/>
  <c r="J58" i="4" s="1"/>
  <c r="K58" i="4" s="1"/>
  <c r="B58" i="4"/>
  <c r="A58" i="4"/>
  <c r="AF57" i="4"/>
  <c r="AE57" i="4"/>
  <c r="AD57" i="4"/>
  <c r="AC57" i="4"/>
  <c r="Z57" i="4"/>
  <c r="AA57" i="4" s="1"/>
  <c r="Y57" i="4"/>
  <c r="W57" i="4"/>
  <c r="V57" i="4"/>
  <c r="U57" i="4"/>
  <c r="Q57" i="4"/>
  <c r="P57" i="4"/>
  <c r="O57" i="4"/>
  <c r="N57" i="4"/>
  <c r="M57" i="4"/>
  <c r="I57" i="4"/>
  <c r="H57" i="4"/>
  <c r="G57" i="4"/>
  <c r="F57" i="4"/>
  <c r="E57" i="4"/>
  <c r="D57" i="4"/>
  <c r="C57" i="4"/>
  <c r="B57" i="4"/>
  <c r="A57" i="4"/>
  <c r="AF56" i="4"/>
  <c r="AE56" i="4"/>
  <c r="AD56" i="4"/>
  <c r="AC56" i="4"/>
  <c r="Z56" i="4"/>
  <c r="Y56" i="4"/>
  <c r="X56" i="4"/>
  <c r="W56" i="4"/>
  <c r="V56" i="4"/>
  <c r="U56" i="4"/>
  <c r="R56" i="4"/>
  <c r="S56" i="4" s="1"/>
  <c r="Q56" i="4"/>
  <c r="P56" i="4"/>
  <c r="O56" i="4"/>
  <c r="N56" i="4"/>
  <c r="M56" i="4"/>
  <c r="L56" i="4"/>
  <c r="J56" i="4"/>
  <c r="K56" i="4" s="1"/>
  <c r="I56" i="4"/>
  <c r="H56" i="4"/>
  <c r="G56" i="4"/>
  <c r="F56" i="4"/>
  <c r="E56" i="4"/>
  <c r="C56" i="4"/>
  <c r="B56" i="4"/>
  <c r="A56" i="4"/>
  <c r="AF55" i="4"/>
  <c r="AE55" i="4"/>
  <c r="AD55" i="4"/>
  <c r="AC55" i="4"/>
  <c r="Z55" i="4"/>
  <c r="AA55" i="4" s="1"/>
  <c r="Y55" i="4"/>
  <c r="X55" i="4"/>
  <c r="W55" i="4"/>
  <c r="V55" i="4"/>
  <c r="U55" i="4"/>
  <c r="R55" i="4"/>
  <c r="S55" i="4" s="1"/>
  <c r="Q55" i="4"/>
  <c r="O55" i="4"/>
  <c r="N55" i="4"/>
  <c r="M55" i="4"/>
  <c r="I55" i="4"/>
  <c r="H55" i="4"/>
  <c r="G55" i="4"/>
  <c r="F55" i="4"/>
  <c r="E55" i="4"/>
  <c r="C55" i="4"/>
  <c r="J55" i="4" s="1"/>
  <c r="B55" i="4"/>
  <c r="A55" i="4"/>
  <c r="AF54" i="4"/>
  <c r="AE54" i="4"/>
  <c r="AD54" i="4"/>
  <c r="AC54" i="4"/>
  <c r="Z54" i="4"/>
  <c r="AA54" i="4" s="1"/>
  <c r="Y54" i="4"/>
  <c r="W54" i="4"/>
  <c r="V54" i="4"/>
  <c r="U54" i="4"/>
  <c r="Q54" i="4"/>
  <c r="P54" i="4"/>
  <c r="O54" i="4"/>
  <c r="N54" i="4"/>
  <c r="M54" i="4"/>
  <c r="I54" i="4"/>
  <c r="H54" i="4"/>
  <c r="G54" i="4"/>
  <c r="F54" i="4"/>
  <c r="E54" i="4"/>
  <c r="D54" i="4"/>
  <c r="C54" i="4"/>
  <c r="J54" i="4" s="1"/>
  <c r="K54" i="4" s="1"/>
  <c r="B54" i="4"/>
  <c r="A54" i="4"/>
  <c r="T54" i="4" s="1"/>
  <c r="AF53" i="4"/>
  <c r="AE53" i="4"/>
  <c r="AD53" i="4"/>
  <c r="AC53" i="4"/>
  <c r="Z53" i="4"/>
  <c r="AA53" i="4" s="1"/>
  <c r="Y53" i="4"/>
  <c r="X53" i="4"/>
  <c r="W53" i="4"/>
  <c r="V53" i="4"/>
  <c r="U53" i="4"/>
  <c r="R53" i="4"/>
  <c r="S53" i="4" s="1"/>
  <c r="Q53" i="4"/>
  <c r="P53" i="4"/>
  <c r="O53" i="4"/>
  <c r="N53" i="4"/>
  <c r="M53" i="4"/>
  <c r="J53" i="4"/>
  <c r="K53" i="4" s="1"/>
  <c r="I53" i="4"/>
  <c r="H53" i="4"/>
  <c r="G53" i="4"/>
  <c r="F53" i="4"/>
  <c r="E53" i="4"/>
  <c r="C53" i="4"/>
  <c r="B53" i="4"/>
  <c r="A53" i="4"/>
  <c r="AF52" i="4"/>
  <c r="AE52" i="4"/>
  <c r="AD52" i="4"/>
  <c r="AC52" i="4"/>
  <c r="Z52" i="4"/>
  <c r="AA52" i="4" s="1"/>
  <c r="Y52" i="4"/>
  <c r="X52" i="4"/>
  <c r="W52" i="4"/>
  <c r="V52" i="4"/>
  <c r="U52" i="4"/>
  <c r="T52" i="4"/>
  <c r="R52" i="4"/>
  <c r="S52" i="4" s="1"/>
  <c r="Q52" i="4"/>
  <c r="O52" i="4"/>
  <c r="N52" i="4"/>
  <c r="M52" i="4"/>
  <c r="I52" i="4"/>
  <c r="H52" i="4"/>
  <c r="G52" i="4"/>
  <c r="F52" i="4"/>
  <c r="E52" i="4"/>
  <c r="C52" i="4"/>
  <c r="J52" i="4" s="1"/>
  <c r="K52" i="4" s="1"/>
  <c r="B52" i="4"/>
  <c r="A52" i="4"/>
  <c r="AF51" i="4"/>
  <c r="AE51" i="4"/>
  <c r="AD51" i="4"/>
  <c r="AC51" i="4"/>
  <c r="Z51" i="4"/>
  <c r="AA51" i="4" s="1"/>
  <c r="Y51" i="4"/>
  <c r="W51" i="4"/>
  <c r="V51" i="4"/>
  <c r="U51" i="4"/>
  <c r="Q51" i="4"/>
  <c r="P51" i="4"/>
  <c r="O51" i="4"/>
  <c r="N51" i="4"/>
  <c r="M51" i="4"/>
  <c r="I51" i="4"/>
  <c r="H51" i="4"/>
  <c r="G51" i="4"/>
  <c r="F51" i="4"/>
  <c r="E51" i="4"/>
  <c r="C51" i="4"/>
  <c r="B51" i="4"/>
  <c r="A51" i="4"/>
  <c r="AF50" i="4"/>
  <c r="AE50" i="4"/>
  <c r="AD50" i="4"/>
  <c r="AC50" i="4"/>
  <c r="Z50" i="4"/>
  <c r="Y50" i="4"/>
  <c r="X50" i="4"/>
  <c r="W50" i="4"/>
  <c r="V50" i="4"/>
  <c r="U50" i="4"/>
  <c r="R50" i="4"/>
  <c r="S50" i="4" s="1"/>
  <c r="Q50" i="4"/>
  <c r="P50" i="4"/>
  <c r="O50" i="4"/>
  <c r="N50" i="4"/>
  <c r="M50" i="4"/>
  <c r="J50" i="4"/>
  <c r="K50" i="4" s="1"/>
  <c r="I50" i="4"/>
  <c r="L50" i="4" s="1"/>
  <c r="H50" i="4"/>
  <c r="G50" i="4"/>
  <c r="F50" i="4"/>
  <c r="E50" i="4"/>
  <c r="D50" i="4"/>
  <c r="C50" i="4"/>
  <c r="B50" i="4"/>
  <c r="A50" i="4"/>
  <c r="AF49" i="4"/>
  <c r="AE49" i="4"/>
  <c r="AD49" i="4"/>
  <c r="AC49" i="4"/>
  <c r="Z49" i="4"/>
  <c r="AA49" i="4" s="1"/>
  <c r="Y49" i="4"/>
  <c r="X49" i="4"/>
  <c r="W49" i="4"/>
  <c r="V49" i="4"/>
  <c r="U49" i="4"/>
  <c r="R49" i="4"/>
  <c r="S49" i="4" s="1"/>
  <c r="Q49" i="4"/>
  <c r="O49" i="4"/>
  <c r="N49" i="4"/>
  <c r="M49" i="4"/>
  <c r="I49" i="4"/>
  <c r="H49" i="4"/>
  <c r="G49" i="4"/>
  <c r="F49" i="4"/>
  <c r="E49" i="4"/>
  <c r="C49" i="4"/>
  <c r="J49" i="4" s="1"/>
  <c r="B49" i="4"/>
  <c r="A49" i="4"/>
  <c r="AF48" i="4"/>
  <c r="AE48" i="4"/>
  <c r="AD48" i="4"/>
  <c r="AC48" i="4"/>
  <c r="Y48" i="4"/>
  <c r="W48" i="4"/>
  <c r="V48" i="4"/>
  <c r="U48" i="4"/>
  <c r="Q48" i="4"/>
  <c r="T48" i="4" s="1"/>
  <c r="P48" i="4"/>
  <c r="O48" i="4"/>
  <c r="N48" i="4"/>
  <c r="M48" i="4"/>
  <c r="I48" i="4"/>
  <c r="H48" i="4"/>
  <c r="G48" i="4"/>
  <c r="F48" i="4"/>
  <c r="E48" i="4"/>
  <c r="D48" i="4"/>
  <c r="C48" i="4"/>
  <c r="J48" i="4" s="1"/>
  <c r="K48" i="4" s="1"/>
  <c r="B48" i="4"/>
  <c r="A48" i="4"/>
  <c r="AF47" i="4"/>
  <c r="AE47" i="4"/>
  <c r="AD47" i="4"/>
  <c r="AC47" i="4"/>
  <c r="Z47" i="4"/>
  <c r="Y47" i="4"/>
  <c r="X47" i="4"/>
  <c r="W47" i="4"/>
  <c r="V47" i="4"/>
  <c r="U47" i="4"/>
  <c r="R47" i="4"/>
  <c r="S47" i="4" s="1"/>
  <c r="Q47" i="4"/>
  <c r="P47" i="4"/>
  <c r="O47" i="4"/>
  <c r="N47" i="4"/>
  <c r="M47" i="4"/>
  <c r="J47" i="4"/>
  <c r="K47" i="4" s="1"/>
  <c r="I47" i="4"/>
  <c r="H47" i="4"/>
  <c r="G47" i="4"/>
  <c r="F47" i="4"/>
  <c r="E47" i="4"/>
  <c r="D47" i="4"/>
  <c r="C47" i="4"/>
  <c r="B47" i="4"/>
  <c r="A47" i="4"/>
  <c r="L47" i="4" s="1"/>
  <c r="AF46" i="4"/>
  <c r="AE46" i="4"/>
  <c r="AD46" i="4"/>
  <c r="AC46" i="4"/>
  <c r="Z46" i="4"/>
  <c r="AA46" i="4" s="1"/>
  <c r="Y46" i="4"/>
  <c r="X46" i="4"/>
  <c r="W46" i="4"/>
  <c r="V46" i="4"/>
  <c r="U46" i="4"/>
  <c r="S46" i="4"/>
  <c r="R46" i="4"/>
  <c r="Q46" i="4"/>
  <c r="O46" i="4"/>
  <c r="N46" i="4"/>
  <c r="M46" i="4"/>
  <c r="L46" i="4"/>
  <c r="I46" i="4"/>
  <c r="H46" i="4"/>
  <c r="G46" i="4"/>
  <c r="F46" i="4"/>
  <c r="E46" i="4"/>
  <c r="C46" i="4"/>
  <c r="J46" i="4" s="1"/>
  <c r="B46" i="4"/>
  <c r="A46" i="4"/>
  <c r="AF45" i="4"/>
  <c r="AE45" i="4"/>
  <c r="AD45" i="4"/>
  <c r="AC45" i="4"/>
  <c r="Y45" i="4"/>
  <c r="W45" i="4"/>
  <c r="V45" i="4"/>
  <c r="U45" i="4"/>
  <c r="Q45" i="4"/>
  <c r="P45" i="4"/>
  <c r="O45" i="4"/>
  <c r="N45" i="4"/>
  <c r="M45" i="4"/>
  <c r="I45" i="4"/>
  <c r="H45" i="4"/>
  <c r="G45" i="4"/>
  <c r="F45" i="4"/>
  <c r="E45" i="4"/>
  <c r="C45" i="4"/>
  <c r="B45" i="4"/>
  <c r="A45" i="4"/>
  <c r="L45" i="4" s="1"/>
  <c r="AF44" i="4"/>
  <c r="AE44" i="4"/>
  <c r="AD44" i="4"/>
  <c r="AC44" i="4"/>
  <c r="Z44" i="4"/>
  <c r="AA44" i="4" s="1"/>
  <c r="Y44" i="4"/>
  <c r="X44" i="4"/>
  <c r="W44" i="4"/>
  <c r="V44" i="4"/>
  <c r="U44" i="4"/>
  <c r="R44" i="4"/>
  <c r="S44" i="4" s="1"/>
  <c r="Q44" i="4"/>
  <c r="P44" i="4"/>
  <c r="O44" i="4"/>
  <c r="N44" i="4"/>
  <c r="M44" i="4"/>
  <c r="K44" i="4"/>
  <c r="J44" i="4"/>
  <c r="I44" i="4"/>
  <c r="H44" i="4"/>
  <c r="G44" i="4"/>
  <c r="F44" i="4"/>
  <c r="E44" i="4"/>
  <c r="C44" i="4"/>
  <c r="B44" i="4"/>
  <c r="A44" i="4"/>
  <c r="AF43" i="4"/>
  <c r="AE43" i="4"/>
  <c r="AD43" i="4"/>
  <c r="AC43" i="4"/>
  <c r="Z43" i="4"/>
  <c r="AA43" i="4" s="1"/>
  <c r="Y43" i="4"/>
  <c r="X43" i="4"/>
  <c r="W43" i="4"/>
  <c r="V43" i="4"/>
  <c r="U43" i="4"/>
  <c r="R43" i="4"/>
  <c r="S43" i="4" s="1"/>
  <c r="Q43" i="4"/>
  <c r="O43" i="4"/>
  <c r="N43" i="4"/>
  <c r="M43" i="4"/>
  <c r="I43" i="4"/>
  <c r="L43" i="4" s="1"/>
  <c r="H43" i="4"/>
  <c r="G43" i="4"/>
  <c r="F43" i="4"/>
  <c r="E43" i="4"/>
  <c r="C43" i="4"/>
  <c r="J43" i="4" s="1"/>
  <c r="K43" i="4" s="1"/>
  <c r="B43" i="4"/>
  <c r="A43" i="4"/>
  <c r="AF42" i="4"/>
  <c r="AE42" i="4"/>
  <c r="AD42" i="4"/>
  <c r="AC42" i="4"/>
  <c r="AB42" i="4"/>
  <c r="AA42" i="4"/>
  <c r="Z42" i="4"/>
  <c r="Y42" i="4"/>
  <c r="W42" i="4"/>
  <c r="V42" i="4"/>
  <c r="U42" i="4"/>
  <c r="Q42" i="4"/>
  <c r="P42" i="4"/>
  <c r="O42" i="4"/>
  <c r="N42" i="4"/>
  <c r="M42" i="4"/>
  <c r="J42" i="4"/>
  <c r="K42" i="4" s="1"/>
  <c r="I42" i="4"/>
  <c r="H42" i="4"/>
  <c r="G42" i="4"/>
  <c r="F42" i="4"/>
  <c r="E42" i="4"/>
  <c r="C42" i="4"/>
  <c r="B42" i="4"/>
  <c r="A42" i="4"/>
  <c r="L42" i="4" s="1"/>
  <c r="AF41" i="4"/>
  <c r="AE41" i="4"/>
  <c r="AD41" i="4"/>
  <c r="AC41" i="4"/>
  <c r="Z41" i="4"/>
  <c r="AA41" i="4" s="1"/>
  <c r="Y41" i="4"/>
  <c r="X41" i="4"/>
  <c r="W41" i="4"/>
  <c r="V41" i="4"/>
  <c r="U41" i="4"/>
  <c r="R41" i="4"/>
  <c r="S41" i="4" s="1"/>
  <c r="Q41" i="4"/>
  <c r="P41" i="4"/>
  <c r="O41" i="4"/>
  <c r="N41" i="4"/>
  <c r="M41" i="4"/>
  <c r="J41" i="4"/>
  <c r="K41" i="4" s="1"/>
  <c r="I41" i="4"/>
  <c r="H41" i="4"/>
  <c r="G41" i="4"/>
  <c r="F41" i="4"/>
  <c r="E41" i="4"/>
  <c r="D41" i="4"/>
  <c r="C41" i="4"/>
  <c r="B41" i="4"/>
  <c r="A41" i="4"/>
  <c r="AF40" i="4"/>
  <c r="AE40" i="4"/>
  <c r="AD40" i="4"/>
  <c r="AC40" i="4"/>
  <c r="Z40" i="4"/>
  <c r="AA40" i="4" s="1"/>
  <c r="Y40" i="4"/>
  <c r="X40" i="4"/>
  <c r="W40" i="4"/>
  <c r="V40" i="4"/>
  <c r="U40" i="4"/>
  <c r="R40" i="4"/>
  <c r="S40" i="4" s="1"/>
  <c r="Q40" i="4"/>
  <c r="O40" i="4"/>
  <c r="N40" i="4"/>
  <c r="M40" i="4"/>
  <c r="I40" i="4"/>
  <c r="H40" i="4"/>
  <c r="G40" i="4"/>
  <c r="F40" i="4"/>
  <c r="E40" i="4"/>
  <c r="C40" i="4"/>
  <c r="J40" i="4" s="1"/>
  <c r="B40" i="4"/>
  <c r="A40" i="4"/>
  <c r="AF39" i="4"/>
  <c r="AE39" i="4"/>
  <c r="AD39" i="4"/>
  <c r="AC39" i="4"/>
  <c r="Z39" i="4"/>
  <c r="AA39" i="4" s="1"/>
  <c r="Y39" i="4"/>
  <c r="AB39" i="4" s="1"/>
  <c r="W39" i="4"/>
  <c r="V39" i="4"/>
  <c r="U39" i="4"/>
  <c r="Q39" i="4"/>
  <c r="T39" i="4" s="1"/>
  <c r="O39" i="4"/>
  <c r="N39" i="4"/>
  <c r="M39" i="4"/>
  <c r="J39" i="4"/>
  <c r="K39" i="4" s="1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AB38" i="4"/>
  <c r="Z38" i="4"/>
  <c r="Y38" i="4"/>
  <c r="X38" i="4"/>
  <c r="W38" i="4"/>
  <c r="V38" i="4"/>
  <c r="U38" i="4"/>
  <c r="R38" i="4"/>
  <c r="S38" i="4" s="1"/>
  <c r="Q38" i="4"/>
  <c r="P38" i="4"/>
  <c r="O38" i="4"/>
  <c r="N38" i="4"/>
  <c r="M38" i="4"/>
  <c r="J38" i="4"/>
  <c r="K38" i="4" s="1"/>
  <c r="I38" i="4"/>
  <c r="H38" i="4"/>
  <c r="G38" i="4"/>
  <c r="F38" i="4"/>
  <c r="E38" i="4"/>
  <c r="C38" i="4"/>
  <c r="B38" i="4"/>
  <c r="A38" i="4"/>
  <c r="T38" i="4" s="1"/>
  <c r="AF37" i="4"/>
  <c r="AE37" i="4"/>
  <c r="AD37" i="4"/>
  <c r="AC37" i="4"/>
  <c r="Z37" i="4"/>
  <c r="AA37" i="4" s="1"/>
  <c r="Y37" i="4"/>
  <c r="X37" i="4"/>
  <c r="W37" i="4"/>
  <c r="V37" i="4"/>
  <c r="U37" i="4"/>
  <c r="T37" i="4"/>
  <c r="S37" i="4"/>
  <c r="R37" i="4"/>
  <c r="Q37" i="4"/>
  <c r="O37" i="4"/>
  <c r="N37" i="4"/>
  <c r="M37" i="4"/>
  <c r="I37" i="4"/>
  <c r="H37" i="4"/>
  <c r="G37" i="4"/>
  <c r="F37" i="4"/>
  <c r="E37" i="4"/>
  <c r="C37" i="4"/>
  <c r="J37" i="4" s="1"/>
  <c r="K37" i="4" s="1"/>
  <c r="B37" i="4"/>
  <c r="A37" i="4"/>
  <c r="AF36" i="4"/>
  <c r="AE36" i="4"/>
  <c r="AD36" i="4"/>
  <c r="AC36" i="4"/>
  <c r="Z36" i="4"/>
  <c r="AA36" i="4" s="1"/>
  <c r="Y36" i="4"/>
  <c r="W36" i="4"/>
  <c r="V36" i="4"/>
  <c r="U36" i="4"/>
  <c r="Q36" i="4"/>
  <c r="T36" i="4" s="1"/>
  <c r="O36" i="4"/>
  <c r="N36" i="4"/>
  <c r="M36" i="4"/>
  <c r="J36" i="4"/>
  <c r="K36" i="4" s="1"/>
  <c r="I36" i="4"/>
  <c r="H36" i="4"/>
  <c r="G36" i="4"/>
  <c r="F36" i="4"/>
  <c r="E36" i="4"/>
  <c r="D36" i="4"/>
  <c r="C36" i="4"/>
  <c r="B36" i="4"/>
  <c r="A36" i="4"/>
  <c r="AB36" i="4" s="1"/>
  <c r="AF35" i="4"/>
  <c r="AE35" i="4"/>
  <c r="AD35" i="4"/>
  <c r="AC35" i="4"/>
  <c r="Z35" i="4"/>
  <c r="AA35" i="4" s="1"/>
  <c r="Y35" i="4"/>
  <c r="X35" i="4"/>
  <c r="W35" i="4"/>
  <c r="V35" i="4"/>
  <c r="U35" i="4"/>
  <c r="S35" i="4"/>
  <c r="R35" i="4"/>
  <c r="Q35" i="4"/>
  <c r="P35" i="4"/>
  <c r="O35" i="4"/>
  <c r="N35" i="4"/>
  <c r="M35" i="4"/>
  <c r="J35" i="4"/>
  <c r="K35" i="4" s="1"/>
  <c r="I35" i="4"/>
  <c r="H35" i="4"/>
  <c r="G35" i="4"/>
  <c r="F35" i="4"/>
  <c r="E35" i="4"/>
  <c r="C35" i="4"/>
  <c r="B35" i="4"/>
  <c r="A35" i="4"/>
  <c r="T35" i="4" s="1"/>
  <c r="AF34" i="4"/>
  <c r="AE34" i="4"/>
  <c r="AD34" i="4"/>
  <c r="AC34" i="4"/>
  <c r="AA34" i="4"/>
  <c r="Z34" i="4"/>
  <c r="Y34" i="4"/>
  <c r="W34" i="4"/>
  <c r="V34" i="4"/>
  <c r="U34" i="4"/>
  <c r="T34" i="4"/>
  <c r="R34" i="4"/>
  <c r="S34" i="4" s="1"/>
  <c r="Q34" i="4"/>
  <c r="O34" i="4"/>
  <c r="N34" i="4"/>
  <c r="M34" i="4"/>
  <c r="I34" i="4"/>
  <c r="H34" i="4"/>
  <c r="G34" i="4"/>
  <c r="F34" i="4"/>
  <c r="E34" i="4"/>
  <c r="C34" i="4"/>
  <c r="B34" i="4"/>
  <c r="A34" i="4"/>
  <c r="AF33" i="4"/>
  <c r="AE33" i="4"/>
  <c r="AD33" i="4"/>
  <c r="AC33" i="4"/>
  <c r="Z33" i="4"/>
  <c r="AA33" i="4" s="1"/>
  <c r="Y33" i="4"/>
  <c r="AB33" i="4" s="1"/>
  <c r="W33" i="4"/>
  <c r="V33" i="4"/>
  <c r="U33" i="4"/>
  <c r="Q33" i="4"/>
  <c r="O33" i="4"/>
  <c r="N33" i="4"/>
  <c r="M33" i="4"/>
  <c r="J33" i="4"/>
  <c r="K33" i="4" s="1"/>
  <c r="I33" i="4"/>
  <c r="H33" i="4"/>
  <c r="G33" i="4"/>
  <c r="F33" i="4"/>
  <c r="E33" i="4"/>
  <c r="D33" i="4"/>
  <c r="C33" i="4"/>
  <c r="B33" i="4"/>
  <c r="A33" i="4"/>
  <c r="AF32" i="4"/>
  <c r="AE32" i="4"/>
  <c r="AD32" i="4"/>
  <c r="AC32" i="4"/>
  <c r="AB32" i="4"/>
  <c r="Z32" i="4"/>
  <c r="Y32" i="4"/>
  <c r="X32" i="4"/>
  <c r="W32" i="4"/>
  <c r="V32" i="4"/>
  <c r="U32" i="4"/>
  <c r="R32" i="4"/>
  <c r="S32" i="4" s="1"/>
  <c r="Q32" i="4"/>
  <c r="P32" i="4"/>
  <c r="O32" i="4"/>
  <c r="N32" i="4"/>
  <c r="M32" i="4"/>
  <c r="K32" i="4"/>
  <c r="J32" i="4"/>
  <c r="I32" i="4"/>
  <c r="L32" i="4" s="1"/>
  <c r="H32" i="4"/>
  <c r="G32" i="4"/>
  <c r="F32" i="4"/>
  <c r="E32" i="4"/>
  <c r="D32" i="4"/>
  <c r="C32" i="4"/>
  <c r="B32" i="4"/>
  <c r="A32" i="4"/>
  <c r="AF31" i="4"/>
  <c r="AE31" i="4"/>
  <c r="AD31" i="4"/>
  <c r="AC31" i="4"/>
  <c r="Y31" i="4"/>
  <c r="X31" i="4"/>
  <c r="W31" i="4"/>
  <c r="V31" i="4"/>
  <c r="U31" i="4"/>
  <c r="Q31" i="4"/>
  <c r="O31" i="4"/>
  <c r="N31" i="4"/>
  <c r="M31" i="4"/>
  <c r="I31" i="4"/>
  <c r="H31" i="4"/>
  <c r="G31" i="4"/>
  <c r="F31" i="4"/>
  <c r="E31" i="4"/>
  <c r="C31" i="4"/>
  <c r="B31" i="4"/>
  <c r="A31" i="4"/>
  <c r="AF30" i="4"/>
  <c r="AE30" i="4"/>
  <c r="AD30" i="4"/>
  <c r="AC30" i="4"/>
  <c r="Z30" i="4"/>
  <c r="AA30" i="4" s="1"/>
  <c r="Y30" i="4"/>
  <c r="W30" i="4"/>
  <c r="V30" i="4"/>
  <c r="U30" i="4"/>
  <c r="Q30" i="4"/>
  <c r="O30" i="4"/>
  <c r="N30" i="4"/>
  <c r="M30" i="4"/>
  <c r="L30" i="4"/>
  <c r="I30" i="4"/>
  <c r="H30" i="4"/>
  <c r="G30" i="4"/>
  <c r="F30" i="4"/>
  <c r="E30" i="4"/>
  <c r="C30" i="4"/>
  <c r="R30" i="4" s="1"/>
  <c r="S30" i="4" s="1"/>
  <c r="B30" i="4"/>
  <c r="A30" i="4"/>
  <c r="T30" i="4" s="1"/>
  <c r="AF29" i="4"/>
  <c r="AE29" i="4"/>
  <c r="AD29" i="4"/>
  <c r="AC29" i="4"/>
  <c r="Z29" i="4"/>
  <c r="AA29" i="4" s="1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J29" i="4"/>
  <c r="K29" i="4" s="1"/>
  <c r="I29" i="4"/>
  <c r="H29" i="4"/>
  <c r="G29" i="4"/>
  <c r="F29" i="4"/>
  <c r="E29" i="4"/>
  <c r="D29" i="4"/>
  <c r="C29" i="4"/>
  <c r="B29" i="4"/>
  <c r="A29" i="4"/>
  <c r="L29" i="4" s="1"/>
  <c r="AF28" i="4"/>
  <c r="AE28" i="4"/>
  <c r="AD28" i="4"/>
  <c r="AC28" i="4"/>
  <c r="AB28" i="4"/>
  <c r="Y28" i="4"/>
  <c r="W28" i="4"/>
  <c r="V28" i="4"/>
  <c r="U28" i="4"/>
  <c r="Q28" i="4"/>
  <c r="O28" i="4"/>
  <c r="N28" i="4"/>
  <c r="M28" i="4"/>
  <c r="L28" i="4"/>
  <c r="I28" i="4"/>
  <c r="H28" i="4"/>
  <c r="G28" i="4"/>
  <c r="F28" i="4"/>
  <c r="E28" i="4"/>
  <c r="D28" i="4"/>
  <c r="C28" i="4"/>
  <c r="Z28" i="4" s="1"/>
  <c r="AA28" i="4" s="1"/>
  <c r="B28" i="4"/>
  <c r="A28" i="4"/>
  <c r="T28" i="4" s="1"/>
  <c r="AF27" i="4"/>
  <c r="AE27" i="4"/>
  <c r="AD27" i="4"/>
  <c r="AC27" i="4"/>
  <c r="Y27" i="4"/>
  <c r="AB27" i="4" s="1"/>
  <c r="X27" i="4"/>
  <c r="W27" i="4"/>
  <c r="V27" i="4"/>
  <c r="U27" i="4"/>
  <c r="R27" i="4"/>
  <c r="S27" i="4" s="1"/>
  <c r="Q27" i="4"/>
  <c r="P27" i="4"/>
  <c r="O27" i="4"/>
  <c r="N27" i="4"/>
  <c r="M27" i="4"/>
  <c r="J27" i="4"/>
  <c r="K27" i="4" s="1"/>
  <c r="I27" i="4"/>
  <c r="L27" i="4" s="1"/>
  <c r="H27" i="4"/>
  <c r="G27" i="4"/>
  <c r="F27" i="4"/>
  <c r="E27" i="4"/>
  <c r="D27" i="4"/>
  <c r="C27" i="4"/>
  <c r="Z27" i="4" s="1"/>
  <c r="AA27" i="4" s="1"/>
  <c r="B27" i="4"/>
  <c r="A27" i="4"/>
  <c r="AF26" i="4"/>
  <c r="AE26" i="4"/>
  <c r="AD26" i="4"/>
  <c r="AC26" i="4"/>
  <c r="Z26" i="4"/>
  <c r="Y26" i="4"/>
  <c r="X26" i="4"/>
  <c r="W26" i="4"/>
  <c r="V26" i="4"/>
  <c r="U26" i="4"/>
  <c r="R26" i="4"/>
  <c r="S26" i="4" s="1"/>
  <c r="Q26" i="4"/>
  <c r="P26" i="4"/>
  <c r="O26" i="4"/>
  <c r="N26" i="4"/>
  <c r="M26" i="4"/>
  <c r="J26" i="4"/>
  <c r="I26" i="4"/>
  <c r="H26" i="4"/>
  <c r="G26" i="4"/>
  <c r="K26" i="4" s="1"/>
  <c r="F26" i="4"/>
  <c r="E26" i="4"/>
  <c r="D26" i="4"/>
  <c r="C26" i="4"/>
  <c r="B26" i="4"/>
  <c r="A26" i="4"/>
  <c r="T26" i="4" s="1"/>
  <c r="AF25" i="4"/>
  <c r="AE25" i="4"/>
  <c r="AD25" i="4"/>
  <c r="AC25" i="4"/>
  <c r="Z25" i="4"/>
  <c r="AA25" i="4" s="1"/>
  <c r="Y25" i="4"/>
  <c r="X25" i="4"/>
  <c r="W25" i="4"/>
  <c r="V25" i="4"/>
  <c r="U25" i="4"/>
  <c r="R25" i="4"/>
  <c r="Q25" i="4"/>
  <c r="O25" i="4"/>
  <c r="S25" i="4" s="1"/>
  <c r="N25" i="4"/>
  <c r="M25" i="4"/>
  <c r="L25" i="4"/>
  <c r="I25" i="4"/>
  <c r="H25" i="4"/>
  <c r="G25" i="4"/>
  <c r="F25" i="4"/>
  <c r="E25" i="4"/>
  <c r="C25" i="4"/>
  <c r="P25" i="4" s="1"/>
  <c r="B25" i="4"/>
  <c r="A25" i="4"/>
  <c r="D25" i="4" s="1"/>
  <c r="AF24" i="4"/>
  <c r="AE24" i="4"/>
  <c r="AD24" i="4"/>
  <c r="AC24" i="4"/>
  <c r="Y24" i="4"/>
  <c r="W24" i="4"/>
  <c r="V24" i="4"/>
  <c r="U24" i="4"/>
  <c r="T24" i="4"/>
  <c r="R24" i="4"/>
  <c r="S24" i="4" s="1"/>
  <c r="Q24" i="4"/>
  <c r="O24" i="4"/>
  <c r="N24" i="4"/>
  <c r="M24" i="4"/>
  <c r="I24" i="4"/>
  <c r="H24" i="4"/>
  <c r="G24" i="4"/>
  <c r="F24" i="4"/>
  <c r="E24" i="4"/>
  <c r="C24" i="4"/>
  <c r="X24" i="4" s="1"/>
  <c r="B24" i="4"/>
  <c r="A24" i="4"/>
  <c r="L24" i="4" s="1"/>
  <c r="AF23" i="4"/>
  <c r="AE23" i="4"/>
  <c r="AD23" i="4"/>
  <c r="AC23" i="4"/>
  <c r="Z23" i="4"/>
  <c r="AA23" i="4" s="1"/>
  <c r="Y23" i="4"/>
  <c r="X23" i="4"/>
  <c r="W23" i="4"/>
  <c r="V23" i="4"/>
  <c r="U23" i="4"/>
  <c r="S23" i="4"/>
  <c r="R23" i="4"/>
  <c r="Q23" i="4"/>
  <c r="P23" i="4"/>
  <c r="O23" i="4"/>
  <c r="N23" i="4"/>
  <c r="M23" i="4"/>
  <c r="J23" i="4"/>
  <c r="K23" i="4" s="1"/>
  <c r="I23" i="4"/>
  <c r="H23" i="4"/>
  <c r="G23" i="4"/>
  <c r="F23" i="4"/>
  <c r="E23" i="4"/>
  <c r="C23" i="4"/>
  <c r="B23" i="4"/>
  <c r="A23" i="4"/>
  <c r="AB23" i="4" s="1"/>
  <c r="AF22" i="4"/>
  <c r="AE22" i="4"/>
  <c r="AD22" i="4"/>
  <c r="AC22" i="4"/>
  <c r="Y22" i="4"/>
  <c r="X22" i="4"/>
  <c r="W22" i="4"/>
  <c r="V22" i="4"/>
  <c r="U22" i="4"/>
  <c r="R22" i="4"/>
  <c r="S22" i="4" s="1"/>
  <c r="Q22" i="4"/>
  <c r="T22" i="4" s="1"/>
  <c r="O22" i="4"/>
  <c r="N22" i="4"/>
  <c r="M22" i="4"/>
  <c r="J22" i="4"/>
  <c r="K22" i="4" s="1"/>
  <c r="I22" i="4"/>
  <c r="L22" i="4" s="1"/>
  <c r="H22" i="4"/>
  <c r="G22" i="4"/>
  <c r="F22" i="4"/>
  <c r="E22" i="4"/>
  <c r="D22" i="4"/>
  <c r="C22" i="4"/>
  <c r="Z22" i="4" s="1"/>
  <c r="AA22" i="4" s="1"/>
  <c r="B22" i="4"/>
  <c r="A22" i="4"/>
  <c r="AF21" i="4"/>
  <c r="AE21" i="4"/>
  <c r="AD21" i="4"/>
  <c r="AC21" i="4"/>
  <c r="AB21" i="4"/>
  <c r="Y21" i="4"/>
  <c r="W21" i="4"/>
  <c r="V21" i="4"/>
  <c r="U21" i="4"/>
  <c r="Q21" i="4"/>
  <c r="O21" i="4"/>
  <c r="N21" i="4"/>
  <c r="M21" i="4"/>
  <c r="L21" i="4"/>
  <c r="I21" i="4"/>
  <c r="H21" i="4"/>
  <c r="G21" i="4"/>
  <c r="F21" i="4"/>
  <c r="E21" i="4"/>
  <c r="D21" i="4"/>
  <c r="C21" i="4"/>
  <c r="Z21" i="4" s="1"/>
  <c r="AA21" i="4" s="1"/>
  <c r="B21" i="4"/>
  <c r="A21" i="4"/>
  <c r="T21" i="4" s="1"/>
  <c r="AF20" i="4"/>
  <c r="AE20" i="4"/>
  <c r="AD20" i="4"/>
  <c r="AC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J20" i="4"/>
  <c r="K20" i="4" s="1"/>
  <c r="I20" i="4"/>
  <c r="H20" i="4"/>
  <c r="G20" i="4"/>
  <c r="F20" i="4"/>
  <c r="E20" i="4"/>
  <c r="C20" i="4"/>
  <c r="B20" i="4"/>
  <c r="A20" i="4"/>
  <c r="D20" i="4" s="1"/>
  <c r="AF19" i="4"/>
  <c r="AE19" i="4"/>
  <c r="AD19" i="4"/>
  <c r="AC19" i="4"/>
  <c r="AA19" i="4"/>
  <c r="Z19" i="4"/>
  <c r="Y19" i="4"/>
  <c r="W19" i="4"/>
  <c r="V19" i="4"/>
  <c r="U19" i="4"/>
  <c r="T19" i="4"/>
  <c r="R19" i="4"/>
  <c r="S19" i="4" s="1"/>
  <c r="Q19" i="4"/>
  <c r="O19" i="4"/>
  <c r="N19" i="4"/>
  <c r="M19" i="4"/>
  <c r="I19" i="4"/>
  <c r="H19" i="4"/>
  <c r="G19" i="4"/>
  <c r="F19" i="4"/>
  <c r="E19" i="4"/>
  <c r="C19" i="4"/>
  <c r="X19" i="4" s="1"/>
  <c r="B19" i="4"/>
  <c r="A19" i="4"/>
  <c r="L19" i="4" s="1"/>
  <c r="AF18" i="4"/>
  <c r="AE18" i="4"/>
  <c r="AD18" i="4"/>
  <c r="AC18" i="4"/>
  <c r="Z18" i="4"/>
  <c r="AA18" i="4" s="1"/>
  <c r="Y18" i="4"/>
  <c r="W18" i="4"/>
  <c r="V18" i="4"/>
  <c r="U18" i="4"/>
  <c r="Q18" i="4"/>
  <c r="O18" i="4"/>
  <c r="N18" i="4"/>
  <c r="M18" i="4"/>
  <c r="L18" i="4"/>
  <c r="I18" i="4"/>
  <c r="H18" i="4"/>
  <c r="G18" i="4"/>
  <c r="F18" i="4"/>
  <c r="E18" i="4"/>
  <c r="C18" i="4"/>
  <c r="R18" i="4" s="1"/>
  <c r="S18" i="4" s="1"/>
  <c r="B18" i="4"/>
  <c r="A18" i="4"/>
  <c r="D18" i="4" s="1"/>
  <c r="AF17" i="4"/>
  <c r="AE17" i="4"/>
  <c r="AD17" i="4"/>
  <c r="AC17" i="4"/>
  <c r="Z17" i="4"/>
  <c r="AA17" i="4" s="1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J17" i="4"/>
  <c r="K17" i="4" s="1"/>
  <c r="I17" i="4"/>
  <c r="H17" i="4"/>
  <c r="G17" i="4"/>
  <c r="F17" i="4"/>
  <c r="E17" i="4"/>
  <c r="D17" i="4"/>
  <c r="C17" i="4"/>
  <c r="B17" i="4"/>
  <c r="A17" i="4"/>
  <c r="L17" i="4" s="1"/>
  <c r="AF16" i="4"/>
  <c r="AE16" i="4"/>
  <c r="AD16" i="4"/>
  <c r="AC16" i="4"/>
  <c r="AB16" i="4"/>
  <c r="Y16" i="4"/>
  <c r="W16" i="4"/>
  <c r="V16" i="4"/>
  <c r="U16" i="4"/>
  <c r="Q16" i="4"/>
  <c r="O16" i="4"/>
  <c r="N16" i="4"/>
  <c r="M16" i="4"/>
  <c r="L16" i="4"/>
  <c r="I16" i="4"/>
  <c r="H16" i="4"/>
  <c r="G16" i="4"/>
  <c r="F16" i="4"/>
  <c r="E16" i="4"/>
  <c r="D16" i="4"/>
  <c r="C16" i="4"/>
  <c r="Z16" i="4" s="1"/>
  <c r="AA16" i="4" s="1"/>
  <c r="B16" i="4"/>
  <c r="A16" i="4"/>
  <c r="T16" i="4" s="1"/>
  <c r="AF15" i="4"/>
  <c r="AE15" i="4"/>
  <c r="AD15" i="4"/>
  <c r="AC15" i="4"/>
  <c r="Y15" i="4"/>
  <c r="AB15" i="4" s="1"/>
  <c r="X15" i="4"/>
  <c r="W15" i="4"/>
  <c r="V15" i="4"/>
  <c r="U15" i="4"/>
  <c r="R15" i="4"/>
  <c r="S15" i="4" s="1"/>
  <c r="Q15" i="4"/>
  <c r="T15" i="4" s="1"/>
  <c r="P15" i="4"/>
  <c r="O15" i="4"/>
  <c r="N15" i="4"/>
  <c r="M15" i="4"/>
  <c r="J15" i="4"/>
  <c r="K15" i="4" s="1"/>
  <c r="I15" i="4"/>
  <c r="L15" i="4" s="1"/>
  <c r="H15" i="4"/>
  <c r="G15" i="4"/>
  <c r="F15" i="4"/>
  <c r="E15" i="4"/>
  <c r="D15" i="4"/>
  <c r="C15" i="4"/>
  <c r="Z15" i="4" s="1"/>
  <c r="AA15" i="4" s="1"/>
  <c r="B15" i="4"/>
  <c r="A15" i="4"/>
  <c r="AF14" i="4"/>
  <c r="AE14" i="4"/>
  <c r="AD14" i="4"/>
  <c r="AC14" i="4"/>
  <c r="Z14" i="4"/>
  <c r="Y14" i="4"/>
  <c r="X14" i="4"/>
  <c r="W14" i="4"/>
  <c r="V14" i="4"/>
  <c r="U14" i="4"/>
  <c r="R14" i="4"/>
  <c r="S14" i="4" s="1"/>
  <c r="Q14" i="4"/>
  <c r="P14" i="4"/>
  <c r="O14" i="4"/>
  <c r="N14" i="4"/>
  <c r="M14" i="4"/>
  <c r="J14" i="4"/>
  <c r="I14" i="4"/>
  <c r="H14" i="4"/>
  <c r="G14" i="4"/>
  <c r="K14" i="4" s="1"/>
  <c r="F14" i="4"/>
  <c r="E14" i="4"/>
  <c r="D14" i="4"/>
  <c r="C14" i="4"/>
  <c r="B14" i="4"/>
  <c r="A14" i="4"/>
  <c r="T14" i="4" s="1"/>
  <c r="AF13" i="4"/>
  <c r="AE13" i="4"/>
  <c r="AD13" i="4"/>
  <c r="AC13" i="4"/>
  <c r="Z13" i="4"/>
  <c r="AA13" i="4" s="1"/>
  <c r="Y13" i="4"/>
  <c r="X13" i="4"/>
  <c r="W13" i="4"/>
  <c r="V13" i="4"/>
  <c r="U13" i="4"/>
  <c r="R13" i="4"/>
  <c r="Q13" i="4"/>
  <c r="O13" i="4"/>
  <c r="S13" i="4" s="1"/>
  <c r="N13" i="4"/>
  <c r="M13" i="4"/>
  <c r="L13" i="4"/>
  <c r="J13" i="4"/>
  <c r="I13" i="4"/>
  <c r="H13" i="4"/>
  <c r="G13" i="4"/>
  <c r="F13" i="4"/>
  <c r="E13" i="4"/>
  <c r="C13" i="4"/>
  <c r="P13" i="4" s="1"/>
  <c r="B13" i="4"/>
  <c r="A13" i="4"/>
  <c r="D13" i="4" s="1"/>
  <c r="AF12" i="4"/>
  <c r="AE12" i="4"/>
  <c r="AD12" i="4"/>
  <c r="AC12" i="4"/>
  <c r="Y12" i="4"/>
  <c r="W12" i="4"/>
  <c r="V12" i="4"/>
  <c r="U12" i="4"/>
  <c r="T12" i="4"/>
  <c r="R12" i="4"/>
  <c r="S12" i="4" s="1"/>
  <c r="Q12" i="4"/>
  <c r="O12" i="4"/>
  <c r="N12" i="4"/>
  <c r="M12" i="4"/>
  <c r="I12" i="4"/>
  <c r="H12" i="4"/>
  <c r="G12" i="4"/>
  <c r="F12" i="4"/>
  <c r="E12" i="4"/>
  <c r="C12" i="4"/>
  <c r="X12" i="4" s="1"/>
  <c r="B12" i="4"/>
  <c r="A12" i="4"/>
  <c r="L12" i="4" s="1"/>
  <c r="AF11" i="4"/>
  <c r="AE11" i="4"/>
  <c r="AD11" i="4"/>
  <c r="AC11" i="4"/>
  <c r="Z11" i="4"/>
  <c r="AA11" i="4" s="1"/>
  <c r="Y11" i="4"/>
  <c r="X11" i="4"/>
  <c r="W11" i="4"/>
  <c r="V11" i="4"/>
  <c r="U11" i="4"/>
  <c r="S11" i="4"/>
  <c r="R11" i="4"/>
  <c r="Q11" i="4"/>
  <c r="P11" i="4"/>
  <c r="O11" i="4"/>
  <c r="N11" i="4"/>
  <c r="M11" i="4"/>
  <c r="J11" i="4"/>
  <c r="K11" i="4" s="1"/>
  <c r="I11" i="4"/>
  <c r="H11" i="4"/>
  <c r="G11" i="4"/>
  <c r="F11" i="4"/>
  <c r="E11" i="4"/>
  <c r="C11" i="4"/>
  <c r="B11" i="4"/>
  <c r="A11" i="4"/>
  <c r="L11" i="4" s="1"/>
  <c r="AF10" i="4"/>
  <c r="AE10" i="4"/>
  <c r="AD10" i="4"/>
  <c r="AC10" i="4"/>
  <c r="Y10" i="4"/>
  <c r="X10" i="4"/>
  <c r="W10" i="4"/>
  <c r="V10" i="4"/>
  <c r="U10" i="4"/>
  <c r="R10" i="4"/>
  <c r="S10" i="4" s="1"/>
  <c r="Q10" i="4"/>
  <c r="T10" i="4" s="1"/>
  <c r="O10" i="4"/>
  <c r="N10" i="4"/>
  <c r="M10" i="4"/>
  <c r="J10" i="4"/>
  <c r="K10" i="4" s="1"/>
  <c r="I10" i="4"/>
  <c r="L10" i="4" s="1"/>
  <c r="H10" i="4"/>
  <c r="G10" i="4"/>
  <c r="F10" i="4"/>
  <c r="E10" i="4"/>
  <c r="D10" i="4"/>
  <c r="C10" i="4"/>
  <c r="Z10" i="4" s="1"/>
  <c r="AA10" i="4" s="1"/>
  <c r="B10" i="4"/>
  <c r="A10" i="4"/>
  <c r="AF9" i="4"/>
  <c r="AE9" i="4"/>
  <c r="AD9" i="4"/>
  <c r="AC9" i="4"/>
  <c r="AB9" i="4"/>
  <c r="Y9" i="4"/>
  <c r="W9" i="4"/>
  <c r="V9" i="4"/>
  <c r="U9" i="4"/>
  <c r="Q9" i="4"/>
  <c r="O9" i="4"/>
  <c r="N9" i="4"/>
  <c r="M9" i="4"/>
  <c r="L9" i="4"/>
  <c r="I9" i="4"/>
  <c r="H9" i="4"/>
  <c r="G9" i="4"/>
  <c r="F9" i="4"/>
  <c r="E9" i="4"/>
  <c r="D9" i="4"/>
  <c r="C9" i="4"/>
  <c r="Z9" i="4" s="1"/>
  <c r="AA9" i="4" s="1"/>
  <c r="B9" i="4"/>
  <c r="A9" i="4"/>
  <c r="T9" i="4" s="1"/>
  <c r="AF8" i="4"/>
  <c r="AE8" i="4"/>
  <c r="AD8" i="4"/>
  <c r="AC8" i="4"/>
  <c r="Z8" i="4"/>
  <c r="Y8" i="4"/>
  <c r="X8" i="4"/>
  <c r="W8" i="4"/>
  <c r="V8" i="4"/>
  <c r="U8" i="4"/>
  <c r="S8" i="4"/>
  <c r="R8" i="4"/>
  <c r="Q8" i="4"/>
  <c r="P8" i="4"/>
  <c r="O8" i="4"/>
  <c r="N8" i="4"/>
  <c r="M8" i="4"/>
  <c r="L8" i="4"/>
  <c r="J8" i="4"/>
  <c r="K8" i="4" s="1"/>
  <c r="I8" i="4"/>
  <c r="H8" i="4"/>
  <c r="G8" i="4"/>
  <c r="F8" i="4"/>
  <c r="E8" i="4"/>
  <c r="C8" i="4"/>
  <c r="B8" i="4"/>
  <c r="A8" i="4"/>
  <c r="D8" i="4" s="1"/>
  <c r="AF7" i="4"/>
  <c r="AE7" i="4"/>
  <c r="AD7" i="4"/>
  <c r="AC7" i="4"/>
  <c r="AA7" i="4"/>
  <c r="Z7" i="4"/>
  <c r="Y7" i="4"/>
  <c r="W7" i="4"/>
  <c r="V7" i="4"/>
  <c r="U7" i="4"/>
  <c r="T7" i="4"/>
  <c r="R7" i="4"/>
  <c r="S7" i="4" s="1"/>
  <c r="Q7" i="4"/>
  <c r="O7" i="4"/>
  <c r="N7" i="4"/>
  <c r="M7" i="4"/>
  <c r="I7" i="4"/>
  <c r="H7" i="4"/>
  <c r="G7" i="4"/>
  <c r="F7" i="4"/>
  <c r="E7" i="4"/>
  <c r="C7" i="4"/>
  <c r="X7" i="4" s="1"/>
  <c r="B7" i="4"/>
  <c r="A7" i="4"/>
  <c r="L7" i="4" s="1"/>
  <c r="AF6" i="4"/>
  <c r="AE6" i="4"/>
  <c r="AD6" i="4"/>
  <c r="AC6" i="4"/>
  <c r="Z6" i="4"/>
  <c r="AA6" i="4" s="1"/>
  <c r="Y6" i="4"/>
  <c r="W6" i="4"/>
  <c r="V6" i="4"/>
  <c r="U6" i="4"/>
  <c r="Q6" i="4"/>
  <c r="O6" i="4"/>
  <c r="N6" i="4"/>
  <c r="M6" i="4"/>
  <c r="L6" i="4"/>
  <c r="I6" i="4"/>
  <c r="H6" i="4"/>
  <c r="G6" i="4"/>
  <c r="F6" i="4"/>
  <c r="E6" i="4"/>
  <c r="C6" i="4"/>
  <c r="R6" i="4" s="1"/>
  <c r="S6" i="4" s="1"/>
  <c r="B6" i="4"/>
  <c r="A6" i="4"/>
  <c r="AB6" i="4" s="1"/>
  <c r="AF5" i="4"/>
  <c r="AE5" i="4"/>
  <c r="AD5" i="4"/>
  <c r="AC5" i="4"/>
  <c r="Z5" i="4"/>
  <c r="AA5" i="4" s="1"/>
  <c r="Y5" i="4"/>
  <c r="X5" i="4"/>
  <c r="W5" i="4"/>
  <c r="V5" i="4"/>
  <c r="U5" i="4"/>
  <c r="T5" i="4"/>
  <c r="S5" i="4"/>
  <c r="R5" i="4"/>
  <c r="Q5" i="4"/>
  <c r="P5" i="4"/>
  <c r="O5" i="4"/>
  <c r="N5" i="4"/>
  <c r="M5" i="4"/>
  <c r="J5" i="4"/>
  <c r="K5" i="4" s="1"/>
  <c r="I5" i="4"/>
  <c r="H5" i="4"/>
  <c r="G5" i="4"/>
  <c r="F5" i="4"/>
  <c r="E5" i="4"/>
  <c r="D5" i="4"/>
  <c r="C5" i="4"/>
  <c r="B5" i="4"/>
  <c r="A5" i="4"/>
  <c r="L5" i="4" s="1"/>
  <c r="B4" i="4"/>
  <c r="AD4" i="4"/>
  <c r="AC4" i="4"/>
  <c r="Y4" i="4"/>
  <c r="AB60" i="4" s="1"/>
  <c r="W4" i="4"/>
  <c r="V4" i="4"/>
  <c r="U4" i="4"/>
  <c r="Q4" i="4"/>
  <c r="T138" i="4" s="1"/>
  <c r="O4" i="4"/>
  <c r="N4" i="4"/>
  <c r="M4" i="4"/>
  <c r="I4" i="4"/>
  <c r="L250" i="4" s="1"/>
  <c r="H4" i="4"/>
  <c r="G4" i="4"/>
  <c r="F4" i="4"/>
  <c r="E4" i="4"/>
  <c r="C4" i="4"/>
  <c r="Z4" i="4" s="1"/>
  <c r="AE4" i="4"/>
  <c r="AF4" i="4"/>
  <c r="A4" i="4"/>
  <c r="D4" i="4" s="1"/>
  <c r="T94" i="4" l="1"/>
  <c r="D94" i="4"/>
  <c r="AB94" i="4"/>
  <c r="AB49" i="4"/>
  <c r="D49" i="4"/>
  <c r="L67" i="4"/>
  <c r="AB67" i="4"/>
  <c r="D67" i="4"/>
  <c r="P126" i="4"/>
  <c r="Z126" i="4"/>
  <c r="AA126" i="4" s="1"/>
  <c r="J126" i="4"/>
  <c r="K126" i="4" s="1"/>
  <c r="X126" i="4"/>
  <c r="AA71" i="4"/>
  <c r="AB207" i="4"/>
  <c r="R236" i="4"/>
  <c r="S236" i="4" s="1"/>
  <c r="P236" i="4"/>
  <c r="X236" i="4"/>
  <c r="Z236" i="4"/>
  <c r="AA236" i="4" s="1"/>
  <c r="J236" i="4"/>
  <c r="K236" i="4" s="1"/>
  <c r="J9" i="4"/>
  <c r="K9" i="4" s="1"/>
  <c r="P10" i="4"/>
  <c r="AB10" i="4"/>
  <c r="T11" i="4"/>
  <c r="Z12" i="4"/>
  <c r="AA12" i="4" s="1"/>
  <c r="T18" i="4"/>
  <c r="J21" i="4"/>
  <c r="K21" i="4" s="1"/>
  <c r="P22" i="4"/>
  <c r="AB22" i="4"/>
  <c r="T23" i="4"/>
  <c r="Z24" i="4"/>
  <c r="AA24" i="4" s="1"/>
  <c r="AB31" i="4"/>
  <c r="R33" i="4"/>
  <c r="S33" i="4" s="1"/>
  <c r="X33" i="4"/>
  <c r="P33" i="4"/>
  <c r="R39" i="4"/>
  <c r="S39" i="4" s="1"/>
  <c r="X39" i="4"/>
  <c r="L44" i="4"/>
  <c r="T46" i="4"/>
  <c r="Z48" i="4"/>
  <c r="AA48" i="4" s="1"/>
  <c r="Z66" i="4"/>
  <c r="AA66" i="4" s="1"/>
  <c r="L79" i="4"/>
  <c r="T87" i="4"/>
  <c r="L90" i="4"/>
  <c r="L130" i="4"/>
  <c r="L138" i="4"/>
  <c r="T147" i="4"/>
  <c r="T152" i="4"/>
  <c r="L163" i="4"/>
  <c r="L164" i="4"/>
  <c r="AB164" i="4"/>
  <c r="D164" i="4"/>
  <c r="T164" i="4"/>
  <c r="L193" i="4"/>
  <c r="AB193" i="4"/>
  <c r="D193" i="4"/>
  <c r="T193" i="4"/>
  <c r="T198" i="4"/>
  <c r="L198" i="4"/>
  <c r="D198" i="4"/>
  <c r="AB198" i="4"/>
  <c r="T217" i="4"/>
  <c r="X219" i="4"/>
  <c r="R219" i="4"/>
  <c r="S219" i="4" s="1"/>
  <c r="Z219" i="4"/>
  <c r="AA219" i="4" s="1"/>
  <c r="J219" i="4"/>
  <c r="K219" i="4" s="1"/>
  <c r="P219" i="4"/>
  <c r="L232" i="4"/>
  <c r="AB232" i="4"/>
  <c r="D232" i="4"/>
  <c r="T232" i="4"/>
  <c r="Z246" i="4"/>
  <c r="AA246" i="4" s="1"/>
  <c r="P246" i="4"/>
  <c r="R246" i="4"/>
  <c r="S246" i="4" s="1"/>
  <c r="X246" i="4"/>
  <c r="J246" i="4"/>
  <c r="K246" i="4" s="1"/>
  <c r="AB129" i="4"/>
  <c r="D129" i="4"/>
  <c r="T129" i="4"/>
  <c r="L129" i="4"/>
  <c r="R169" i="4"/>
  <c r="S169" i="4" s="1"/>
  <c r="X169" i="4"/>
  <c r="J169" i="4"/>
  <c r="K169" i="4" s="1"/>
  <c r="Z169" i="4"/>
  <c r="AA169" i="4" s="1"/>
  <c r="AB401" i="4"/>
  <c r="R28" i="4"/>
  <c r="S28" i="4" s="1"/>
  <c r="R45" i="4"/>
  <c r="S45" i="4" s="1"/>
  <c r="X45" i="4"/>
  <c r="AB89" i="4"/>
  <c r="X155" i="4"/>
  <c r="J155" i="4"/>
  <c r="K155" i="4" s="1"/>
  <c r="Z155" i="4"/>
  <c r="AA155" i="4" s="1"/>
  <c r="T6" i="4"/>
  <c r="AB5" i="4"/>
  <c r="X9" i="4"/>
  <c r="T13" i="4"/>
  <c r="L14" i="4"/>
  <c r="J16" i="4"/>
  <c r="K16" i="4" s="1"/>
  <c r="AB17" i="4"/>
  <c r="X21" i="4"/>
  <c r="T25" i="4"/>
  <c r="L26" i="4"/>
  <c r="J28" i="4"/>
  <c r="K28" i="4" s="1"/>
  <c r="AB29" i="4"/>
  <c r="R36" i="4"/>
  <c r="S36" i="4" s="1"/>
  <c r="X36" i="4"/>
  <c r="P36" i="4"/>
  <c r="AB40" i="4"/>
  <c r="D40" i="4"/>
  <c r="T44" i="4"/>
  <c r="AB44" i="4"/>
  <c r="T51" i="4"/>
  <c r="L51" i="4"/>
  <c r="L57" i="4"/>
  <c r="T63" i="4"/>
  <c r="L65" i="4"/>
  <c r="T70" i="4"/>
  <c r="T72" i="4"/>
  <c r="R78" i="4"/>
  <c r="S78" i="4" s="1"/>
  <c r="X78" i="4"/>
  <c r="J78" i="4"/>
  <c r="K78" i="4" s="1"/>
  <c r="AB80" i="4"/>
  <c r="D80" i="4"/>
  <c r="T80" i="4"/>
  <c r="T99" i="4"/>
  <c r="T111" i="4"/>
  <c r="AB124" i="4"/>
  <c r="X143" i="4"/>
  <c r="J143" i="4"/>
  <c r="K143" i="4" s="1"/>
  <c r="Z143" i="4"/>
  <c r="AA143" i="4" s="1"/>
  <c r="R143" i="4"/>
  <c r="S143" i="4" s="1"/>
  <c r="AB171" i="4"/>
  <c r="D171" i="4"/>
  <c r="T171" i="4"/>
  <c r="L179" i="4"/>
  <c r="AB179" i="4"/>
  <c r="D179" i="4"/>
  <c r="T179" i="4"/>
  <c r="T192" i="4"/>
  <c r="L192" i="4"/>
  <c r="AB192" i="4"/>
  <c r="L279" i="4"/>
  <c r="T279" i="4"/>
  <c r="AB279" i="4"/>
  <c r="D279" i="4"/>
  <c r="P28" i="4"/>
  <c r="AB35" i="4"/>
  <c r="X131" i="4"/>
  <c r="J131" i="4"/>
  <c r="K131" i="4" s="1"/>
  <c r="Z131" i="4"/>
  <c r="AA131" i="4" s="1"/>
  <c r="T151" i="4"/>
  <c r="D151" i="4"/>
  <c r="R361" i="4"/>
  <c r="S361" i="4" s="1"/>
  <c r="Z361" i="4"/>
  <c r="AA361" i="4" s="1"/>
  <c r="X361" i="4"/>
  <c r="J361" i="4"/>
  <c r="K361" i="4" s="1"/>
  <c r="P361" i="4"/>
  <c r="AB436" i="4"/>
  <c r="D436" i="4"/>
  <c r="T436" i="4"/>
  <c r="L436" i="4"/>
  <c r="R21" i="4"/>
  <c r="S21" i="4" s="1"/>
  <c r="D35" i="4"/>
  <c r="R75" i="4"/>
  <c r="S75" i="4" s="1"/>
  <c r="X75" i="4"/>
  <c r="AB12" i="4"/>
  <c r="AB24" i="4"/>
  <c r="X28" i="4"/>
  <c r="J31" i="4"/>
  <c r="K31" i="4" s="1"/>
  <c r="P31" i="4"/>
  <c r="R31" i="4"/>
  <c r="S31" i="4" s="1"/>
  <c r="T33" i="4"/>
  <c r="AB34" i="4"/>
  <c r="D34" i="4"/>
  <c r="L41" i="4"/>
  <c r="T43" i="4"/>
  <c r="Z45" i="4"/>
  <c r="AA45" i="4" s="1"/>
  <c r="AB48" i="4"/>
  <c r="L53" i="4"/>
  <c r="L59" i="4"/>
  <c r="AB66" i="4"/>
  <c r="L74" i="4"/>
  <c r="AB90" i="4"/>
  <c r="D90" i="4"/>
  <c r="T90" i="4"/>
  <c r="L127" i="4"/>
  <c r="L132" i="4"/>
  <c r="T137" i="4"/>
  <c r="P138" i="4"/>
  <c r="Z138" i="4"/>
  <c r="AA138" i="4" s="1"/>
  <c r="J138" i="4"/>
  <c r="K138" i="4" s="1"/>
  <c r="X138" i="4"/>
  <c r="AB141" i="4"/>
  <c r="D141" i="4"/>
  <c r="T141" i="4"/>
  <c r="L141" i="4"/>
  <c r="L154" i="4"/>
  <c r="L161" i="4"/>
  <c r="D161" i="4"/>
  <c r="T161" i="4"/>
  <c r="T178" i="4"/>
  <c r="L178" i="4"/>
  <c r="AB178" i="4"/>
  <c r="AB183" i="4"/>
  <c r="X193" i="4"/>
  <c r="P193" i="4"/>
  <c r="J193" i="4"/>
  <c r="K193" i="4" s="1"/>
  <c r="Z193" i="4"/>
  <c r="AA193" i="4" s="1"/>
  <c r="L243" i="4"/>
  <c r="L244" i="4"/>
  <c r="L269" i="4"/>
  <c r="AB269" i="4"/>
  <c r="R81" i="4"/>
  <c r="S81" i="4" s="1"/>
  <c r="X81" i="4"/>
  <c r="J81" i="4"/>
  <c r="K81" i="4" s="1"/>
  <c r="T106" i="4"/>
  <c r="D106" i="4"/>
  <c r="AB106" i="4"/>
  <c r="P21" i="4"/>
  <c r="AB11" i="4"/>
  <c r="T195" i="4"/>
  <c r="L195" i="4"/>
  <c r="D195" i="4"/>
  <c r="AB195" i="4"/>
  <c r="R9" i="4"/>
  <c r="S9" i="4" s="1"/>
  <c r="D11" i="4"/>
  <c r="R16" i="4"/>
  <c r="S16" i="4" s="1"/>
  <c r="AA56" i="4"/>
  <c r="AB161" i="4"/>
  <c r="X190" i="4"/>
  <c r="P190" i="4"/>
  <c r="Z190" i="4"/>
  <c r="AA190" i="4" s="1"/>
  <c r="J190" i="4"/>
  <c r="K190" i="4" s="1"/>
  <c r="R1" i="4"/>
  <c r="T861" i="4"/>
  <c r="T858" i="4"/>
  <c r="T855" i="4"/>
  <c r="T852" i="4"/>
  <c r="T849" i="4"/>
  <c r="T846" i="4"/>
  <c r="T843" i="4"/>
  <c r="T840" i="4"/>
  <c r="T837" i="4"/>
  <c r="T834" i="4"/>
  <c r="T831" i="4"/>
  <c r="T828" i="4"/>
  <c r="T825" i="4"/>
  <c r="T820" i="4"/>
  <c r="T808" i="4"/>
  <c r="T796" i="4"/>
  <c r="T784" i="4"/>
  <c r="T813" i="4"/>
  <c r="T833" i="4"/>
  <c r="T804" i="4"/>
  <c r="T829" i="4"/>
  <c r="T854" i="4"/>
  <c r="T824" i="4"/>
  <c r="T821" i="4"/>
  <c r="T807" i="4"/>
  <c r="T793" i="4"/>
  <c r="T786" i="4"/>
  <c r="T792" i="4"/>
  <c r="T851" i="4"/>
  <c r="T826" i="4"/>
  <c r="T819" i="4"/>
  <c r="T791" i="4"/>
  <c r="T773" i="4"/>
  <c r="T770" i="4"/>
  <c r="T810" i="4"/>
  <c r="T805" i="4"/>
  <c r="T803" i="4"/>
  <c r="T776" i="4"/>
  <c r="T812" i="4"/>
  <c r="T743" i="4"/>
  <c r="T760" i="4"/>
  <c r="T798" i="4"/>
  <c r="T822" i="4"/>
  <c r="T763" i="4"/>
  <c r="T735" i="4"/>
  <c r="T839" i="4"/>
  <c r="T817" i="4"/>
  <c r="T815" i="4"/>
  <c r="T706" i="4"/>
  <c r="T693" i="4"/>
  <c r="T683" i="4"/>
  <c r="T638" i="4"/>
  <c r="T634" i="4"/>
  <c r="T746" i="4"/>
  <c r="T702" i="4"/>
  <c r="T653" i="4"/>
  <c r="T617" i="4"/>
  <c r="T608" i="4"/>
  <c r="T596" i="4"/>
  <c r="T584" i="4"/>
  <c r="T715" i="4"/>
  <c r="T700" i="4"/>
  <c r="T632" i="4"/>
  <c r="T809" i="4"/>
  <c r="T680" i="4"/>
  <c r="T647" i="4"/>
  <c r="T758" i="4"/>
  <c r="T845" i="4"/>
  <c r="T733" i="4"/>
  <c r="T656" i="4"/>
  <c r="T554" i="4"/>
  <c r="T552" i="4"/>
  <c r="T749" i="4"/>
  <c r="T748" i="4"/>
  <c r="T633" i="4"/>
  <c r="T612" i="4"/>
  <c r="T600" i="4"/>
  <c r="T588" i="4"/>
  <c r="T575" i="4"/>
  <c r="T688" i="4"/>
  <c r="T678" i="4"/>
  <c r="T627" i="4"/>
  <c r="T605" i="4"/>
  <c r="T593" i="4"/>
  <c r="T581" i="4"/>
  <c r="T569" i="4"/>
  <c r="T548" i="4"/>
  <c r="T664" i="4"/>
  <c r="T648" i="4"/>
  <c r="T618" i="4"/>
  <c r="T607" i="4"/>
  <c r="T603" i="4"/>
  <c r="T595" i="4"/>
  <c r="T591" i="4"/>
  <c r="T583" i="4"/>
  <c r="T738" i="4"/>
  <c r="T708" i="4"/>
  <c r="T694" i="4"/>
  <c r="T685" i="4"/>
  <c r="T629" i="4"/>
  <c r="T626" i="4"/>
  <c r="T614" i="4"/>
  <c r="T576" i="4"/>
  <c r="T857" i="4"/>
  <c r="T816" i="4"/>
  <c r="T709" i="4"/>
  <c r="T676" i="4"/>
  <c r="T669" i="4"/>
  <c r="T635" i="4"/>
  <c r="T611" i="4"/>
  <c r="T599" i="4"/>
  <c r="T587" i="4"/>
  <c r="T555" i="4"/>
  <c r="T640" i="4"/>
  <c r="T625" i="4"/>
  <c r="T620" i="4"/>
  <c r="T562" i="4"/>
  <c r="T781" i="4"/>
  <c r="T655" i="4"/>
  <c r="T619" i="4"/>
  <c r="T578" i="4"/>
  <c r="T572" i="4"/>
  <c r="T556" i="4"/>
  <c r="T705" i="4"/>
  <c r="T673" i="4"/>
  <c r="T646" i="4"/>
  <c r="T602" i="4"/>
  <c r="T586" i="4"/>
  <c r="T543" i="4"/>
  <c r="T690" i="4"/>
  <c r="T666" i="4"/>
  <c r="T658" i="4"/>
  <c r="T644" i="4"/>
  <c r="T564" i="4"/>
  <c r="T560" i="4"/>
  <c r="T549" i="4"/>
  <c r="T650" i="4"/>
  <c r="T531" i="4"/>
  <c r="T529" i="4"/>
  <c r="T496" i="4"/>
  <c r="T483" i="4"/>
  <c r="T474" i="4"/>
  <c r="T465" i="4"/>
  <c r="T456" i="4"/>
  <c r="T385" i="4"/>
  <c r="T349" i="4"/>
  <c r="T335" i="4"/>
  <c r="T659" i="4"/>
  <c r="T537" i="4"/>
  <c r="T510" i="4"/>
  <c r="T383" i="4"/>
  <c r="T364" i="4"/>
  <c r="T347" i="4"/>
  <c r="T340" i="4"/>
  <c r="T328" i="4"/>
  <c r="T316" i="4"/>
  <c r="T631" i="4"/>
  <c r="T516" i="4"/>
  <c r="T450" i="4"/>
  <c r="T379" i="4"/>
  <c r="T557" i="4"/>
  <c r="T367" i="4"/>
  <c r="T671" i="4"/>
  <c r="T567" i="4"/>
  <c r="T526" i="4"/>
  <c r="T523" i="4"/>
  <c r="T409" i="4"/>
  <c r="T401" i="4"/>
  <c r="T343" i="4"/>
  <c r="T616" i="4"/>
  <c r="T504" i="4"/>
  <c r="T453" i="4"/>
  <c r="T406" i="4"/>
  <c r="T390" i="4"/>
  <c r="T380" i="4"/>
  <c r="T365" i="4"/>
  <c r="T346" i="4"/>
  <c r="T540" i="4"/>
  <c r="T508" i="4"/>
  <c r="T387" i="4"/>
  <c r="T598" i="4"/>
  <c r="T590" i="4"/>
  <c r="T493" i="4"/>
  <c r="T447" i="4"/>
  <c r="T726" i="4"/>
  <c r="T725" i="4"/>
  <c r="T711" i="4"/>
  <c r="T641" i="4"/>
  <c r="T563" i="4"/>
  <c r="T486" i="4"/>
  <c r="T477" i="4"/>
  <c r="T468" i="4"/>
  <c r="T459" i="4"/>
  <c r="T415" i="4"/>
  <c r="T410" i="4"/>
  <c r="T407" i="4"/>
  <c r="T654" i="4"/>
  <c r="T604" i="4"/>
  <c r="T412" i="4"/>
  <c r="T394" i="4"/>
  <c r="T391" i="4"/>
  <c r="T373" i="4"/>
  <c r="T370" i="4"/>
  <c r="T351" i="4"/>
  <c r="T520" i="4"/>
  <c r="T471" i="4"/>
  <c r="T398" i="4"/>
  <c r="T376" i="4"/>
  <c r="T354" i="4"/>
  <c r="T342" i="4"/>
  <c r="T311" i="4"/>
  <c r="T610" i="4"/>
  <c r="T388" i="4"/>
  <c r="T334" i="4"/>
  <c r="T323" i="4"/>
  <c r="T313" i="4"/>
  <c r="T305" i="4"/>
  <c r="T296" i="4"/>
  <c r="T514" i="4"/>
  <c r="T511" i="4"/>
  <c r="T429" i="4"/>
  <c r="T330" i="4"/>
  <c r="T325" i="4"/>
  <c r="T568" i="4"/>
  <c r="T513" i="4"/>
  <c r="T441" i="4"/>
  <c r="T405" i="4"/>
  <c r="T397" i="4"/>
  <c r="T361" i="4"/>
  <c r="T337" i="4"/>
  <c r="T721" i="4"/>
  <c r="T670" i="4"/>
  <c r="T538" i="4"/>
  <c r="T352" i="4"/>
  <c r="T528" i="4"/>
  <c r="T490" i="4"/>
  <c r="T480" i="4"/>
  <c r="T382" i="4"/>
  <c r="T372" i="4"/>
  <c r="T359" i="4"/>
  <c r="T498" i="4"/>
  <c r="T403" i="4"/>
  <c r="T395" i="4"/>
  <c r="T377" i="4"/>
  <c r="T355" i="4"/>
  <c r="T332" i="4"/>
  <c r="T416" i="4"/>
  <c r="T661" i="4"/>
  <c r="T263" i="4"/>
  <c r="T319" i="4"/>
  <c r="T432" i="4"/>
  <c r="T275" i="4"/>
  <c r="T580" i="4"/>
  <c r="T413" i="4"/>
  <c r="T374" i="4"/>
  <c r="T331" i="4"/>
  <c r="T322" i="4"/>
  <c r="T293" i="4"/>
  <c r="T273" i="4"/>
  <c r="T358" i="4"/>
  <c r="T282" i="4"/>
  <c r="T269" i="4"/>
  <c r="T462" i="4"/>
  <c r="T445" i="4"/>
  <c r="T307" i="4"/>
  <c r="T291" i="4"/>
  <c r="T312" i="4"/>
  <c r="T310" i="4"/>
  <c r="T623" i="4"/>
  <c r="T353" i="4"/>
  <c r="T284" i="4"/>
  <c r="T262" i="4"/>
  <c r="T255" i="4"/>
  <c r="T366" i="4"/>
  <c r="T268" i="4"/>
  <c r="T267" i="4"/>
  <c r="T566" i="4"/>
  <c r="T348" i="4"/>
  <c r="T300" i="4"/>
  <c r="T298" i="4"/>
  <c r="T249" i="4"/>
  <c r="T243" i="4"/>
  <c r="T274" i="4"/>
  <c r="T278" i="4"/>
  <c r="T245" i="4"/>
  <c r="T318" i="4"/>
  <c r="T162" i="4"/>
  <c r="T159" i="4"/>
  <c r="T287" i="4"/>
  <c r="T241" i="4"/>
  <c r="T156" i="4"/>
  <c r="T144" i="4"/>
  <c r="T132" i="4"/>
  <c r="T251" i="4"/>
  <c r="T257" i="4"/>
  <c r="J6" i="4"/>
  <c r="K6" i="4" s="1"/>
  <c r="P7" i="4"/>
  <c r="D12" i="4"/>
  <c r="P12" i="4"/>
  <c r="AA14" i="4"/>
  <c r="J18" i="4"/>
  <c r="K18" i="4" s="1"/>
  <c r="P19" i="4"/>
  <c r="AB19" i="4"/>
  <c r="T20" i="4"/>
  <c r="D24" i="4"/>
  <c r="P24" i="4"/>
  <c r="AA26" i="4"/>
  <c r="T27" i="4"/>
  <c r="J30" i="4"/>
  <c r="K30" i="4" s="1"/>
  <c r="X30" i="4"/>
  <c r="D31" i="4"/>
  <c r="AB37" i="4"/>
  <c r="D37" i="4"/>
  <c r="K40" i="4"/>
  <c r="T41" i="4"/>
  <c r="AB41" i="4"/>
  <c r="J45" i="4"/>
  <c r="K45" i="4" s="1"/>
  <c r="L49" i="4"/>
  <c r="R51" i="4"/>
  <c r="S51" i="4" s="1"/>
  <c r="X51" i="4"/>
  <c r="L52" i="4"/>
  <c r="AB52" i="4"/>
  <c r="D52" i="4"/>
  <c r="R57" i="4"/>
  <c r="S57" i="4" s="1"/>
  <c r="X57" i="4"/>
  <c r="T57" i="4"/>
  <c r="L58" i="4"/>
  <c r="AB58" i="4"/>
  <c r="D58" i="4"/>
  <c r="R63" i="4"/>
  <c r="S63" i="4" s="1"/>
  <c r="X63" i="4"/>
  <c r="L64" i="4"/>
  <c r="AB64" i="4"/>
  <c r="D64" i="4"/>
  <c r="AB65" i="4"/>
  <c r="D65" i="4"/>
  <c r="T65" i="4"/>
  <c r="R72" i="4"/>
  <c r="S72" i="4" s="1"/>
  <c r="X72" i="4"/>
  <c r="L73" i="4"/>
  <c r="AB73" i="4"/>
  <c r="D73" i="4"/>
  <c r="J75" i="4"/>
  <c r="K75" i="4" s="1"/>
  <c r="AB75" i="4"/>
  <c r="T79" i="4"/>
  <c r="T81" i="4"/>
  <c r="P81" i="4"/>
  <c r="AB84" i="4"/>
  <c r="L94" i="4"/>
  <c r="AB95" i="4"/>
  <c r="AB102" i="4"/>
  <c r="D102" i="4"/>
  <c r="T102" i="4"/>
  <c r="L106" i="4"/>
  <c r="AB114" i="4"/>
  <c r="D114" i="4"/>
  <c r="T114" i="4"/>
  <c r="L124" i="4"/>
  <c r="AB148" i="4"/>
  <c r="L160" i="4"/>
  <c r="AB182" i="4"/>
  <c r="X192" i="4"/>
  <c r="R192" i="4"/>
  <c r="S192" i="4" s="1"/>
  <c r="Z192" i="4"/>
  <c r="AA192" i="4" s="1"/>
  <c r="J192" i="4"/>
  <c r="K192" i="4" s="1"/>
  <c r="T216" i="4"/>
  <c r="L216" i="4"/>
  <c r="D216" i="4"/>
  <c r="AB216" i="4"/>
  <c r="L229" i="4"/>
  <c r="AB229" i="4"/>
  <c r="D229" i="4"/>
  <c r="T229" i="4"/>
  <c r="AB267" i="4"/>
  <c r="P9" i="4"/>
  <c r="P16" i="4"/>
  <c r="AB261" i="4"/>
  <c r="AB18" i="4"/>
  <c r="D23" i="4"/>
  <c r="R155" i="4"/>
  <c r="S155" i="4" s="1"/>
  <c r="P177" i="4"/>
  <c r="Z177" i="4"/>
  <c r="AA177" i="4" s="1"/>
  <c r="R177" i="4"/>
  <c r="S177" i="4" s="1"/>
  <c r="X177" i="4"/>
  <c r="J177" i="4"/>
  <c r="K177" i="4" s="1"/>
  <c r="X16" i="4"/>
  <c r="AB7" i="4"/>
  <c r="T8" i="4"/>
  <c r="X6" i="4"/>
  <c r="D7" i="4"/>
  <c r="K13" i="4"/>
  <c r="AB14" i="4"/>
  <c r="X18" i="4"/>
  <c r="D19" i="4"/>
  <c r="L23" i="4"/>
  <c r="J25" i="4"/>
  <c r="K25" i="4" s="1"/>
  <c r="AB26" i="4"/>
  <c r="T31" i="4"/>
  <c r="T32" i="4"/>
  <c r="AA32" i="4"/>
  <c r="J34" i="4"/>
  <c r="K34" i="4" s="1"/>
  <c r="P34" i="4"/>
  <c r="L35" i="4"/>
  <c r="L38" i="4"/>
  <c r="AA38" i="4"/>
  <c r="T40" i="4"/>
  <c r="D44" i="4"/>
  <c r="AB45" i="4"/>
  <c r="L48" i="4"/>
  <c r="D51" i="4"/>
  <c r="AB53" i="4"/>
  <c r="D53" i="4"/>
  <c r="T53" i="4"/>
  <c r="AB54" i="4"/>
  <c r="AB59" i="4"/>
  <c r="D59" i="4"/>
  <c r="T59" i="4"/>
  <c r="AA68" i="4"/>
  <c r="Z69" i="4"/>
  <c r="AA69" i="4" s="1"/>
  <c r="AB74" i="4"/>
  <c r="D74" i="4"/>
  <c r="T74" i="4"/>
  <c r="L82" i="4"/>
  <c r="L92" i="4"/>
  <c r="D92" i="4"/>
  <c r="AB92" i="4"/>
  <c r="T92" i="4"/>
  <c r="L104" i="4"/>
  <c r="D104" i="4"/>
  <c r="AB104" i="4"/>
  <c r="T104" i="4"/>
  <c r="L116" i="4"/>
  <c r="D116" i="4"/>
  <c r="AB116" i="4"/>
  <c r="T116" i="4"/>
  <c r="T127" i="4"/>
  <c r="D127" i="4"/>
  <c r="P131" i="4"/>
  <c r="L134" i="4"/>
  <c r="D134" i="4"/>
  <c r="T134" i="4"/>
  <c r="R136" i="4"/>
  <c r="S136" i="4" s="1"/>
  <c r="Z136" i="4"/>
  <c r="AA136" i="4" s="1"/>
  <c r="X136" i="4"/>
  <c r="J136" i="4"/>
  <c r="K136" i="4" s="1"/>
  <c r="P141" i="4"/>
  <c r="Z141" i="4"/>
  <c r="AA141" i="4" s="1"/>
  <c r="R141" i="4"/>
  <c r="S141" i="4" s="1"/>
  <c r="X141" i="4"/>
  <c r="J141" i="4"/>
  <c r="K141" i="4" s="1"/>
  <c r="L151" i="4"/>
  <c r="L156" i="4"/>
  <c r="L170" i="4"/>
  <c r="AB170" i="4"/>
  <c r="D170" i="4"/>
  <c r="T170" i="4"/>
  <c r="S170" i="4"/>
  <c r="R178" i="4"/>
  <c r="S178" i="4" s="1"/>
  <c r="X178" i="4"/>
  <c r="J178" i="4"/>
  <c r="K178" i="4" s="1"/>
  <c r="Z178" i="4"/>
  <c r="AA178" i="4" s="1"/>
  <c r="D192" i="4"/>
  <c r="L196" i="4"/>
  <c r="AB196" i="4"/>
  <c r="D196" i="4"/>
  <c r="T196" i="4"/>
  <c r="L245" i="4"/>
  <c r="L268" i="4"/>
  <c r="L158" i="4"/>
  <c r="D158" i="4"/>
  <c r="T158" i="4"/>
  <c r="Z1" i="4"/>
  <c r="AB860" i="4"/>
  <c r="AB857" i="4"/>
  <c r="AB854" i="4"/>
  <c r="AB851" i="4"/>
  <c r="AB848" i="4"/>
  <c r="AB845" i="4"/>
  <c r="AB842" i="4"/>
  <c r="AB839" i="4"/>
  <c r="AB836" i="4"/>
  <c r="AB833" i="4"/>
  <c r="AB830" i="4"/>
  <c r="AB827" i="4"/>
  <c r="AB824" i="4"/>
  <c r="AB861" i="4"/>
  <c r="AB858" i="4"/>
  <c r="AB855" i="4"/>
  <c r="AB852" i="4"/>
  <c r="AB849" i="4"/>
  <c r="AB846" i="4"/>
  <c r="AB843" i="4"/>
  <c r="AB840" i="4"/>
  <c r="AB837" i="4"/>
  <c r="AB834" i="4"/>
  <c r="AB831" i="4"/>
  <c r="AB812" i="4"/>
  <c r="AB822" i="4"/>
  <c r="AB810" i="4"/>
  <c r="AB798" i="4"/>
  <c r="AB786" i="4"/>
  <c r="AB835" i="4"/>
  <c r="AB815" i="4"/>
  <c r="AB818" i="4"/>
  <c r="AB806" i="4"/>
  <c r="AB816" i="4"/>
  <c r="AB796" i="4"/>
  <c r="AB820" i="4"/>
  <c r="AB809" i="4"/>
  <c r="AB802" i="4"/>
  <c r="AB795" i="4"/>
  <c r="AB804" i="4"/>
  <c r="AB783" i="4"/>
  <c r="AB778" i="4"/>
  <c r="AB828" i="4"/>
  <c r="AB797" i="4"/>
  <c r="AB741" i="4"/>
  <c r="AB735" i="4"/>
  <c r="AB723" i="4"/>
  <c r="AB757" i="4"/>
  <c r="AB754" i="4"/>
  <c r="AB760" i="4"/>
  <c r="AB826" i="4"/>
  <c r="AB825" i="4"/>
  <c r="AB801" i="4"/>
  <c r="AB792" i="4"/>
  <c r="AB821" i="4"/>
  <c r="AB717" i="4"/>
  <c r="AB714" i="4"/>
  <c r="AB711" i="4"/>
  <c r="AB708" i="4"/>
  <c r="AB859" i="4"/>
  <c r="AB856" i="4"/>
  <c r="AB720" i="4"/>
  <c r="AB705" i="4"/>
  <c r="AB693" i="4"/>
  <c r="AB744" i="4"/>
  <c r="AB819" i="4"/>
  <c r="AB790" i="4"/>
  <c r="AB789" i="4"/>
  <c r="AB738" i="4"/>
  <c r="AB725" i="4"/>
  <c r="AB666" i="4"/>
  <c r="AB687" i="4"/>
  <c r="AB850" i="4"/>
  <c r="AB813" i="4"/>
  <c r="AB696" i="4"/>
  <c r="AB699" i="4"/>
  <c r="AB690" i="4"/>
  <c r="AB685" i="4"/>
  <c r="AB650" i="4"/>
  <c r="AB633" i="4"/>
  <c r="AB631" i="4"/>
  <c r="AB614" i="4"/>
  <c r="AB807" i="4"/>
  <c r="AB646" i="4"/>
  <c r="AB629" i="4"/>
  <c r="AB726" i="4"/>
  <c r="AB684" i="4"/>
  <c r="AB673" i="4"/>
  <c r="AB661" i="4"/>
  <c r="AB644" i="4"/>
  <c r="AB625" i="4"/>
  <c r="AB605" i="4"/>
  <c r="AB593" i="4"/>
  <c r="AB581" i="4"/>
  <c r="AB769" i="4"/>
  <c r="AB732" i="4"/>
  <c r="AB659" i="4"/>
  <c r="AB640" i="4"/>
  <c r="AB623" i="4"/>
  <c r="AB610" i="4"/>
  <c r="AB598" i="4"/>
  <c r="AB586" i="4"/>
  <c r="AB574" i="4"/>
  <c r="AB562" i="4"/>
  <c r="AB737" i="4"/>
  <c r="AB731" i="4"/>
  <c r="AB702" i="4"/>
  <c r="AB649" i="4"/>
  <c r="AB647" i="4"/>
  <c r="AB617" i="4"/>
  <c r="AB576" i="4"/>
  <c r="AB572" i="4"/>
  <c r="AB729" i="4"/>
  <c r="AB604" i="4"/>
  <c r="AB592" i="4"/>
  <c r="AB580" i="4"/>
  <c r="AB578" i="4"/>
  <c r="AB568" i="4"/>
  <c r="AB545" i="4"/>
  <c r="AB662" i="4"/>
  <c r="AB658" i="4"/>
  <c r="AB641" i="4"/>
  <c r="AB638" i="4"/>
  <c r="AB635" i="4"/>
  <c r="AB634" i="4"/>
  <c r="AB620" i="4"/>
  <c r="AB613" i="4"/>
  <c r="AB601" i="4"/>
  <c r="AB589" i="4"/>
  <c r="AB566" i="4"/>
  <c r="AB680" i="4"/>
  <c r="AB628" i="4"/>
  <c r="AB619" i="4"/>
  <c r="AB608" i="4"/>
  <c r="AB596" i="4"/>
  <c r="AB584" i="4"/>
  <c r="AB560" i="4"/>
  <c r="AB674" i="4"/>
  <c r="AB622" i="4"/>
  <c r="AB548" i="4"/>
  <c r="AB653" i="4"/>
  <c r="AB643" i="4"/>
  <c r="AB637" i="4"/>
  <c r="AB571" i="4"/>
  <c r="AB569" i="4"/>
  <c r="AB565" i="4"/>
  <c r="AB555" i="4"/>
  <c r="AB553" i="4"/>
  <c r="AB494" i="4"/>
  <c r="AB692" i="4"/>
  <c r="AB583" i="4"/>
  <c r="AB559" i="4"/>
  <c r="AB554" i="4"/>
  <c r="AB530" i="4"/>
  <c r="AB497" i="4"/>
  <c r="AB814" i="4"/>
  <c r="AB811" i="4"/>
  <c r="AB668" i="4"/>
  <c r="AB632" i="4"/>
  <c r="AB615" i="4"/>
  <c r="AB590" i="4"/>
  <c r="AB575" i="4"/>
  <c r="AB500" i="4"/>
  <c r="AB775" i="4"/>
  <c r="AB681" i="4"/>
  <c r="AB656" i="4"/>
  <c r="AB655" i="4"/>
  <c r="AB556" i="4"/>
  <c r="AB512" i="4"/>
  <c r="AB626" i="4"/>
  <c r="AB587" i="4"/>
  <c r="AB533" i="4"/>
  <c r="AB453" i="4"/>
  <c r="AB437" i="4"/>
  <c r="AB378" i="4"/>
  <c r="AB361" i="4"/>
  <c r="AB339" i="4"/>
  <c r="AB779" i="4"/>
  <c r="AB557" i="4"/>
  <c r="AB518" i="4"/>
  <c r="AB485" i="4"/>
  <c r="AB480" i="4"/>
  <c r="AB476" i="4"/>
  <c r="AB471" i="4"/>
  <c r="AB467" i="4"/>
  <c r="AB462" i="4"/>
  <c r="AB458" i="4"/>
  <c r="AB443" i="4"/>
  <c r="AB417" i="4"/>
  <c r="AB415" i="4"/>
  <c r="AB411" i="4"/>
  <c r="AB409" i="4"/>
  <c r="AB405" i="4"/>
  <c r="AB403" i="4"/>
  <c r="AB399" i="4"/>
  <c r="AB397" i="4"/>
  <c r="AB393" i="4"/>
  <c r="AB376" i="4"/>
  <c r="AB357" i="4"/>
  <c r="AB577" i="4"/>
  <c r="AB558" i="4"/>
  <c r="AB539" i="4"/>
  <c r="AB513" i="4"/>
  <c r="AB506" i="4"/>
  <c r="AB491" i="4"/>
  <c r="AB447" i="4"/>
  <c r="AB391" i="4"/>
  <c r="AB372" i="4"/>
  <c r="AB355" i="4"/>
  <c r="AB337" i="4"/>
  <c r="AB325" i="4"/>
  <c r="AB313" i="4"/>
  <c r="AB379" i="4"/>
  <c r="AB360" i="4"/>
  <c r="AB345" i="4"/>
  <c r="AB333" i="4"/>
  <c r="AB321" i="4"/>
  <c r="AB309" i="4"/>
  <c r="AB515" i="4"/>
  <c r="AB498" i="4"/>
  <c r="AB488" i="4"/>
  <c r="AB479" i="4"/>
  <c r="AB470" i="4"/>
  <c r="AB461" i="4"/>
  <c r="AB382" i="4"/>
  <c r="AB367" i="4"/>
  <c r="AB366" i="4"/>
  <c r="AB348" i="4"/>
  <c r="AB599" i="4"/>
  <c r="AB563" i="4"/>
  <c r="AB486" i="4"/>
  <c r="AB477" i="4"/>
  <c r="AB468" i="4"/>
  <c r="AB459" i="4"/>
  <c r="AB412" i="4"/>
  <c r="AB394" i="4"/>
  <c r="AB370" i="4"/>
  <c r="AB354" i="4"/>
  <c r="AB402" i="4"/>
  <c r="AB381" i="4"/>
  <c r="AB373" i="4"/>
  <c r="AB351" i="4"/>
  <c r="AB524" i="4"/>
  <c r="AB503" i="4"/>
  <c r="AB387" i="4"/>
  <c r="AB607" i="4"/>
  <c r="AB595" i="4"/>
  <c r="AB521" i="4"/>
  <c r="AB609" i="4"/>
  <c r="AB602" i="4"/>
  <c r="AB425" i="4"/>
  <c r="AB400" i="4"/>
  <c r="AB342" i="4"/>
  <c r="AB334" i="4"/>
  <c r="AB328" i="4"/>
  <c r="AB679" i="4"/>
  <c r="AB616" i="4"/>
  <c r="AB483" i="4"/>
  <c r="AB456" i="4"/>
  <c r="AB455" i="4"/>
  <c r="AB396" i="4"/>
  <c r="AB384" i="4"/>
  <c r="AB324" i="4"/>
  <c r="AB304" i="4"/>
  <c r="AB295" i="4"/>
  <c r="AB286" i="4"/>
  <c r="AB277" i="4"/>
  <c r="AB665" i="4"/>
  <c r="AB567" i="4"/>
  <c r="AB552" i="4"/>
  <c r="AB551" i="4"/>
  <c r="AB542" i="4"/>
  <c r="AB536" i="4"/>
  <c r="AB528" i="4"/>
  <c r="AB482" i="4"/>
  <c r="AB450" i="4"/>
  <c r="AB420" i="4"/>
  <c r="AB419" i="4"/>
  <c r="AB408" i="4"/>
  <c r="AB404" i="4"/>
  <c r="AB390" i="4"/>
  <c r="AB336" i="4"/>
  <c r="AB329" i="4"/>
  <c r="AB527" i="4"/>
  <c r="AB368" i="4"/>
  <c r="AB352" i="4"/>
  <c r="AB316" i="4"/>
  <c r="AB639" i="4"/>
  <c r="AB422" i="4"/>
  <c r="AB343" i="4"/>
  <c r="AB654" i="4"/>
  <c r="AB330" i="4"/>
  <c r="AB327" i="4"/>
  <c r="AB611" i="4"/>
  <c r="AB509" i="4"/>
  <c r="AB465" i="4"/>
  <c r="AB298" i="4"/>
  <c r="AB289" i="4"/>
  <c r="AB280" i="4"/>
  <c r="AB464" i="4"/>
  <c r="AB441" i="4"/>
  <c r="AB428" i="4"/>
  <c r="AB414" i="4"/>
  <c r="AB375" i="4"/>
  <c r="AB310" i="4"/>
  <c r="AB307" i="4"/>
  <c r="AB597" i="4"/>
  <c r="AB432" i="4"/>
  <c r="AB369" i="4"/>
  <c r="AB353" i="4"/>
  <c r="AB341" i="4"/>
  <c r="AB322" i="4"/>
  <c r="AB319" i="4"/>
  <c r="AB317" i="4"/>
  <c r="AB363" i="4"/>
  <c r="AB350" i="4"/>
  <c r="AB274" i="4"/>
  <c r="AB257" i="4"/>
  <c r="AB406" i="4"/>
  <c r="AB364" i="4"/>
  <c r="AB335" i="4"/>
  <c r="AB296" i="4"/>
  <c r="AB358" i="4"/>
  <c r="AB331" i="4"/>
  <c r="AB311" i="4"/>
  <c r="AB259" i="4"/>
  <c r="AB516" i="4"/>
  <c r="AB473" i="4"/>
  <c r="AB431" i="4"/>
  <c r="AB275" i="4"/>
  <c r="AB268" i="4"/>
  <c r="AB251" i="4"/>
  <c r="AB340" i="4"/>
  <c r="AB318" i="4"/>
  <c r="AB312" i="4"/>
  <c r="AB287" i="4"/>
  <c r="AB265" i="4"/>
  <c r="AB434" i="4"/>
  <c r="AB271" i="4"/>
  <c r="AB262" i="4"/>
  <c r="AB253" i="4"/>
  <c r="AB652" i="4"/>
  <c r="AB435" i="4"/>
  <c r="AB349" i="4"/>
  <c r="AB301" i="4"/>
  <c r="AB278" i="4"/>
  <c r="AB315" i="4"/>
  <c r="AB270" i="4"/>
  <c r="AB398" i="4"/>
  <c r="AB276" i="4"/>
  <c r="AB618" i="4"/>
  <c r="AB294" i="4"/>
  <c r="AB292" i="4"/>
  <c r="AB256" i="4"/>
  <c r="AB371" i="4"/>
  <c r="AB365" i="4"/>
  <c r="AB323" i="4"/>
  <c r="AB474" i="4"/>
  <c r="AB346" i="4"/>
  <c r="AB388" i="4"/>
  <c r="AB385" i="4"/>
  <c r="AB283" i="4"/>
  <c r="AB264" i="4"/>
  <c r="AB272" i="4"/>
  <c r="AB263" i="4"/>
  <c r="AB231" i="4"/>
  <c r="AB266" i="4"/>
  <c r="AB225" i="4"/>
  <c r="AB213" i="4"/>
  <c r="AB169" i="4"/>
  <c r="AB157" i="4"/>
  <c r="AB145" i="4"/>
  <c r="AB133" i="4"/>
  <c r="AB30" i="4"/>
  <c r="AB78" i="4"/>
  <c r="AB201" i="4"/>
  <c r="AB772" i="4"/>
  <c r="D38" i="4"/>
  <c r="D6" i="4"/>
  <c r="AA8" i="4"/>
  <c r="AB13" i="4"/>
  <c r="P18" i="4"/>
  <c r="AA20" i="4"/>
  <c r="J24" i="4"/>
  <c r="K24" i="4" s="1"/>
  <c r="AB25" i="4"/>
  <c r="D30" i="4"/>
  <c r="P30" i="4"/>
  <c r="L31" i="4"/>
  <c r="X34" i="4"/>
  <c r="L40" i="4"/>
  <c r="D45" i="4"/>
  <c r="T45" i="4"/>
  <c r="AB46" i="4"/>
  <c r="D46" i="4"/>
  <c r="K49" i="4"/>
  <c r="AB50" i="4"/>
  <c r="T50" i="4"/>
  <c r="R54" i="4"/>
  <c r="S54" i="4" s="1"/>
  <c r="X54" i="4"/>
  <c r="L55" i="4"/>
  <c r="AB55" i="4"/>
  <c r="D55" i="4"/>
  <c r="R60" i="4"/>
  <c r="S60" i="4" s="1"/>
  <c r="X60" i="4"/>
  <c r="T60" i="4"/>
  <c r="L61" i="4"/>
  <c r="AB61" i="4"/>
  <c r="D61" i="4"/>
  <c r="T67" i="4"/>
  <c r="T69" i="4"/>
  <c r="L71" i="4"/>
  <c r="AB77" i="4"/>
  <c r="D77" i="4"/>
  <c r="T77" i="4"/>
  <c r="Z81" i="4"/>
  <c r="AA81" i="4" s="1"/>
  <c r="R84" i="4"/>
  <c r="S84" i="4" s="1"/>
  <c r="X84" i="4"/>
  <c r="J84" i="4"/>
  <c r="K84" i="4" s="1"/>
  <c r="L86" i="4"/>
  <c r="D86" i="4"/>
  <c r="AB86" i="4"/>
  <c r="T86" i="4"/>
  <c r="AB96" i="4"/>
  <c r="D96" i="4"/>
  <c r="T96" i="4"/>
  <c r="L100" i="4"/>
  <c r="AB108" i="4"/>
  <c r="D108" i="4"/>
  <c r="T108" i="4"/>
  <c r="L112" i="4"/>
  <c r="AB120" i="4"/>
  <c r="D120" i="4"/>
  <c r="T120" i="4"/>
  <c r="L122" i="4"/>
  <c r="D122" i="4"/>
  <c r="T122" i="4"/>
  <c r="R124" i="4"/>
  <c r="S124" i="4" s="1"/>
  <c r="Z124" i="4"/>
  <c r="AA124" i="4" s="1"/>
  <c r="X124" i="4"/>
  <c r="J124" i="4"/>
  <c r="K124" i="4" s="1"/>
  <c r="P129" i="4"/>
  <c r="Z129" i="4"/>
  <c r="AA129" i="4" s="1"/>
  <c r="R129" i="4"/>
  <c r="S129" i="4" s="1"/>
  <c r="X129" i="4"/>
  <c r="J129" i="4"/>
  <c r="K129" i="4" s="1"/>
  <c r="L139" i="4"/>
  <c r="L144" i="4"/>
  <c r="T149" i="4"/>
  <c r="P150" i="4"/>
  <c r="Z150" i="4"/>
  <c r="AA150" i="4" s="1"/>
  <c r="J150" i="4"/>
  <c r="K150" i="4" s="1"/>
  <c r="X150" i="4"/>
  <c r="AB153" i="4"/>
  <c r="D153" i="4"/>
  <c r="T153" i="4"/>
  <c r="L153" i="4"/>
  <c r="AB165" i="4"/>
  <c r="D165" i="4"/>
  <c r="T165" i="4"/>
  <c r="T176" i="4"/>
  <c r="AB181" i="4"/>
  <c r="L181" i="4"/>
  <c r="D181" i="4"/>
  <c r="T181" i="4"/>
  <c r="L199" i="4"/>
  <c r="AB199" i="4"/>
  <c r="D199" i="4"/>
  <c r="T199" i="4"/>
  <c r="AB222" i="4"/>
  <c r="AB233" i="4"/>
  <c r="D233" i="4"/>
  <c r="T233" i="4"/>
  <c r="L233" i="4"/>
  <c r="AB234" i="4"/>
  <c r="T235" i="4"/>
  <c r="AB237" i="4"/>
  <c r="AB254" i="4"/>
  <c r="AB255" i="4"/>
  <c r="AB305" i="4"/>
  <c r="AB306" i="4"/>
  <c r="AB83" i="4"/>
  <c r="D83" i="4"/>
  <c r="T83" i="4"/>
  <c r="T118" i="4"/>
  <c r="D118" i="4"/>
  <c r="AB118" i="4"/>
  <c r="R48" i="4"/>
  <c r="S48" i="4" s="1"/>
  <c r="X48" i="4"/>
  <c r="R66" i="4"/>
  <c r="S66" i="4" s="1"/>
  <c r="X66" i="4"/>
  <c r="AB68" i="4"/>
  <c r="D68" i="4"/>
  <c r="T68" i="4"/>
  <c r="AA50" i="4"/>
  <c r="P6" i="4"/>
  <c r="J12" i="4"/>
  <c r="K12" i="4" s="1"/>
  <c r="J7" i="4"/>
  <c r="K7" i="4" s="1"/>
  <c r="AB8" i="4"/>
  <c r="J19" i="4"/>
  <c r="K19" i="4" s="1"/>
  <c r="AB20" i="4"/>
  <c r="Z31" i="4"/>
  <c r="AA31" i="4" s="1"/>
  <c r="L33" i="4"/>
  <c r="L34" i="4"/>
  <c r="L39" i="4"/>
  <c r="R42" i="4"/>
  <c r="S42" i="4" s="1"/>
  <c r="X42" i="4"/>
  <c r="AA47" i="4"/>
  <c r="T49" i="4"/>
  <c r="J51" i="4"/>
  <c r="K51" i="4" s="1"/>
  <c r="AB51" i="4"/>
  <c r="AB56" i="4"/>
  <c r="D56" i="4"/>
  <c r="T56" i="4"/>
  <c r="J57" i="4"/>
  <c r="K57" i="4" s="1"/>
  <c r="AB57" i="4"/>
  <c r="AB62" i="4"/>
  <c r="D62" i="4"/>
  <c r="T62" i="4"/>
  <c r="J63" i="4"/>
  <c r="K63" i="4" s="1"/>
  <c r="AB63" i="4"/>
  <c r="J72" i="4"/>
  <c r="K72" i="4" s="1"/>
  <c r="AB72" i="4"/>
  <c r="AA80" i="4"/>
  <c r="T88" i="4"/>
  <c r="D88" i="4"/>
  <c r="AB88" i="4"/>
  <c r="L98" i="4"/>
  <c r="D98" i="4"/>
  <c r="AB98" i="4"/>
  <c r="T98" i="4"/>
  <c r="L110" i="4"/>
  <c r="D110" i="4"/>
  <c r="AB110" i="4"/>
  <c r="T110" i="4"/>
  <c r="T123" i="4"/>
  <c r="T128" i="4"/>
  <c r="L136" i="4"/>
  <c r="AB180" i="4"/>
  <c r="D180" i="4"/>
  <c r="T180" i="4"/>
  <c r="X189" i="4"/>
  <c r="R189" i="4"/>
  <c r="S189" i="4" s="1"/>
  <c r="Z189" i="4"/>
  <c r="AA189" i="4" s="1"/>
  <c r="J189" i="4"/>
  <c r="K189" i="4" s="1"/>
  <c r="P189" i="4"/>
  <c r="AB204" i="4"/>
  <c r="T280" i="4"/>
  <c r="R131" i="4"/>
  <c r="S131" i="4" s="1"/>
  <c r="AA137" i="4"/>
  <c r="AA62" i="4"/>
  <c r="AB136" i="4"/>
  <c r="J1" i="4"/>
  <c r="L860" i="4"/>
  <c r="L857" i="4"/>
  <c r="L854" i="4"/>
  <c r="L851" i="4"/>
  <c r="L848" i="4"/>
  <c r="L845" i="4"/>
  <c r="L842" i="4"/>
  <c r="L839" i="4"/>
  <c r="L836" i="4"/>
  <c r="L833" i="4"/>
  <c r="L830" i="4"/>
  <c r="L855" i="4"/>
  <c r="L827" i="4"/>
  <c r="L821" i="4"/>
  <c r="L809" i="4"/>
  <c r="L814" i="4"/>
  <c r="L861" i="4"/>
  <c r="L824" i="4"/>
  <c r="L812" i="4"/>
  <c r="L800" i="4"/>
  <c r="L788" i="4"/>
  <c r="L815" i="4"/>
  <c r="L852" i="4"/>
  <c r="L846" i="4"/>
  <c r="L806" i="4"/>
  <c r="L796" i="4"/>
  <c r="L820" i="4"/>
  <c r="L792" i="4"/>
  <c r="L816" i="4"/>
  <c r="L818" i="4"/>
  <c r="L840" i="4"/>
  <c r="L817" i="4"/>
  <c r="L810" i="4"/>
  <c r="L823" i="4"/>
  <c r="L822" i="4"/>
  <c r="L805" i="4"/>
  <c r="L804" i="4"/>
  <c r="L813" i="4"/>
  <c r="L794" i="4"/>
  <c r="L808" i="4"/>
  <c r="L781" i="4"/>
  <c r="L780" i="4"/>
  <c r="L764" i="4"/>
  <c r="L825" i="4"/>
  <c r="L774" i="4"/>
  <c r="L784" i="4"/>
  <c r="L834" i="4"/>
  <c r="L831" i="4"/>
  <c r="L793" i="4"/>
  <c r="L756" i="4"/>
  <c r="L762" i="4"/>
  <c r="L789" i="4"/>
  <c r="L698" i="4"/>
  <c r="L753" i="4"/>
  <c r="L658" i="4"/>
  <c r="L656" i="4"/>
  <c r="L622" i="4"/>
  <c r="L620" i="4"/>
  <c r="L798" i="4"/>
  <c r="L637" i="4"/>
  <c r="L799" i="4"/>
  <c r="L652" i="4"/>
  <c r="L616" i="4"/>
  <c r="L719" i="4"/>
  <c r="L684" i="4"/>
  <c r="L631" i="4"/>
  <c r="L607" i="4"/>
  <c r="L595" i="4"/>
  <c r="L583" i="4"/>
  <c r="L571" i="4"/>
  <c r="L559" i="4"/>
  <c r="L704" i="4"/>
  <c r="L678" i="4"/>
  <c r="L666" i="4"/>
  <c r="L707" i="4"/>
  <c r="L662" i="4"/>
  <c r="L626" i="4"/>
  <c r="L709" i="4"/>
  <c r="L655" i="4"/>
  <c r="L647" i="4"/>
  <c r="L729" i="4"/>
  <c r="L697" i="4"/>
  <c r="L676" i="4"/>
  <c r="L611" i="4"/>
  <c r="L599" i="4"/>
  <c r="L587" i="4"/>
  <c r="L576" i="4"/>
  <c r="L574" i="4"/>
  <c r="L771" i="4"/>
  <c r="L759" i="4"/>
  <c r="L644" i="4"/>
  <c r="L641" i="4"/>
  <c r="L638" i="4"/>
  <c r="L572" i="4"/>
  <c r="L545" i="4"/>
  <c r="L700" i="4"/>
  <c r="L649" i="4"/>
  <c r="L619" i="4"/>
  <c r="L646" i="4"/>
  <c r="L640" i="4"/>
  <c r="L610" i="4"/>
  <c r="L598" i="4"/>
  <c r="L586" i="4"/>
  <c r="L556" i="4"/>
  <c r="L671" i="4"/>
  <c r="L633" i="4"/>
  <c r="L632" i="4"/>
  <c r="L600" i="4"/>
  <c r="L591" i="4"/>
  <c r="L580" i="4"/>
  <c r="L538" i="4"/>
  <c r="L511" i="4"/>
  <c r="L628" i="4"/>
  <c r="L564" i="4"/>
  <c r="L549" i="4"/>
  <c r="L514" i="4"/>
  <c r="L786" i="4"/>
  <c r="L664" i="4"/>
  <c r="L608" i="4"/>
  <c r="L594" i="4"/>
  <c r="L570" i="4"/>
  <c r="L541" i="4"/>
  <c r="L517" i="4"/>
  <c r="L715" i="4"/>
  <c r="L661" i="4"/>
  <c r="L581" i="4"/>
  <c r="L573" i="4"/>
  <c r="L529" i="4"/>
  <c r="L605" i="4"/>
  <c r="L533" i="4"/>
  <c r="L520" i="4"/>
  <c r="L508" i="4"/>
  <c r="L493" i="4"/>
  <c r="L491" i="4"/>
  <c r="L369" i="4"/>
  <c r="L336" i="4"/>
  <c r="L674" i="4"/>
  <c r="L612" i="4"/>
  <c r="L526" i="4"/>
  <c r="L524" i="4"/>
  <c r="L384" i="4"/>
  <c r="L348" i="4"/>
  <c r="L686" i="4"/>
  <c r="L657" i="4"/>
  <c r="L593" i="4"/>
  <c r="L569" i="4"/>
  <c r="L552" i="4"/>
  <c r="L363" i="4"/>
  <c r="L604" i="4"/>
  <c r="L592" i="4"/>
  <c r="L523" i="4"/>
  <c r="L521" i="4"/>
  <c r="L387" i="4"/>
  <c r="L351" i="4"/>
  <c r="L342" i="4"/>
  <c r="L330" i="4"/>
  <c r="L318" i="4"/>
  <c r="L615" i="4"/>
  <c r="L515" i="4"/>
  <c r="L490" i="4"/>
  <c r="L405" i="4"/>
  <c r="L352" i="4"/>
  <c r="L339" i="4"/>
  <c r="L643" i="4"/>
  <c r="L613" i="4"/>
  <c r="L535" i="4"/>
  <c r="L360" i="4"/>
  <c r="L625" i="4"/>
  <c r="L568" i="4"/>
  <c r="L563" i="4"/>
  <c r="L550" i="4"/>
  <c r="L415" i="4"/>
  <c r="L402" i="4"/>
  <c r="L397" i="4"/>
  <c r="L376" i="4"/>
  <c r="L373" i="4"/>
  <c r="L849" i="4"/>
  <c r="L735" i="4"/>
  <c r="L718" i="4"/>
  <c r="L716" i="4"/>
  <c r="L659" i="4"/>
  <c r="L648" i="4"/>
  <c r="L603" i="4"/>
  <c r="L503" i="4"/>
  <c r="L406" i="4"/>
  <c r="L401" i="4"/>
  <c r="L505" i="4"/>
  <c r="L452" i="4"/>
  <c r="L411" i="4"/>
  <c r="L731" i="4"/>
  <c r="L630" i="4"/>
  <c r="L601" i="4"/>
  <c r="L582" i="4"/>
  <c r="L565" i="4"/>
  <c r="L422" i="4"/>
  <c r="L393" i="4"/>
  <c r="L390" i="4"/>
  <c r="L365" i="4"/>
  <c r="L331" i="4"/>
  <c r="L566" i="4"/>
  <c r="L548" i="4"/>
  <c r="L536" i="4"/>
  <c r="L532" i="4"/>
  <c r="L482" i="4"/>
  <c r="L455" i="4"/>
  <c r="L417" i="4"/>
  <c r="L396" i="4"/>
  <c r="L634" i="4"/>
  <c r="L542" i="4"/>
  <c r="L496" i="4"/>
  <c r="L413" i="4"/>
  <c r="L408" i="4"/>
  <c r="L399" i="4"/>
  <c r="L366" i="4"/>
  <c r="L353" i="4"/>
  <c r="L319" i="4"/>
  <c r="L577" i="4"/>
  <c r="L479" i="4"/>
  <c r="L412" i="4"/>
  <c r="L383" i="4"/>
  <c r="L359" i="4"/>
  <c r="L344" i="4"/>
  <c r="L312" i="4"/>
  <c r="L309" i="4"/>
  <c r="L499" i="4"/>
  <c r="L403" i="4"/>
  <c r="L372" i="4"/>
  <c r="L364" i="4"/>
  <c r="L355" i="4"/>
  <c r="L509" i="4"/>
  <c r="L388" i="4"/>
  <c r="L370" i="4"/>
  <c r="L354" i="4"/>
  <c r="L323" i="4"/>
  <c r="L464" i="4"/>
  <c r="L430" i="4"/>
  <c r="L428" i="4"/>
  <c r="L596" i="4"/>
  <c r="L414" i="4"/>
  <c r="L410" i="4"/>
  <c r="L347" i="4"/>
  <c r="L340" i="4"/>
  <c r="L315" i="4"/>
  <c r="L627" i="4"/>
  <c r="L488" i="4"/>
  <c r="L461" i="4"/>
  <c r="L449" i="4"/>
  <c r="L418" i="4"/>
  <c r="L409" i="4"/>
  <c r="L400" i="4"/>
  <c r="L391" i="4"/>
  <c r="L378" i="4"/>
  <c r="L375" i="4"/>
  <c r="L357" i="4"/>
  <c r="L337" i="4"/>
  <c r="L327" i="4"/>
  <c r="L300" i="4"/>
  <c r="L291" i="4"/>
  <c r="L282" i="4"/>
  <c r="L324" i="4"/>
  <c r="L311" i="4"/>
  <c r="L298" i="4"/>
  <c r="L267" i="4"/>
  <c r="L253" i="4"/>
  <c r="L332" i="4"/>
  <c r="L295" i="4"/>
  <c r="L294" i="4"/>
  <c r="L345" i="4"/>
  <c r="L273" i="4"/>
  <c r="L395" i="4"/>
  <c r="L289" i="4"/>
  <c r="L280" i="4"/>
  <c r="L606" i="4"/>
  <c r="L589" i="4"/>
  <c r="L584" i="4"/>
  <c r="L394" i="4"/>
  <c r="L326" i="4"/>
  <c r="L588" i="4"/>
  <c r="L502" i="4"/>
  <c r="L335" i="4"/>
  <c r="L407" i="4"/>
  <c r="L333" i="4"/>
  <c r="L286" i="4"/>
  <c r="L358" i="4"/>
  <c r="L263" i="4"/>
  <c r="L293" i="4"/>
  <c r="L262" i="4"/>
  <c r="L251" i="4"/>
  <c r="L445" i="4"/>
  <c r="L255" i="4"/>
  <c r="L321" i="4"/>
  <c r="L306" i="4"/>
  <c r="L527" i="4"/>
  <c r="L473" i="4"/>
  <c r="L470" i="4"/>
  <c r="L259" i="4"/>
  <c r="L562" i="4"/>
  <c r="L389" i="4"/>
  <c r="L381" i="4"/>
  <c r="L380" i="4"/>
  <c r="L343" i="4"/>
  <c r="L247" i="4"/>
  <c r="L379" i="4"/>
  <c r="L281" i="4"/>
  <c r="L277" i="4"/>
  <c r="L257" i="4"/>
  <c r="L261" i="4"/>
  <c r="L177" i="4"/>
  <c r="L126" i="4"/>
  <c r="L145" i="4"/>
  <c r="L133" i="4"/>
  <c r="L121" i="4"/>
  <c r="L117" i="4"/>
  <c r="L115" i="4"/>
  <c r="L111" i="4"/>
  <c r="L109" i="4"/>
  <c r="L105" i="4"/>
  <c r="L103" i="4"/>
  <c r="L99" i="4"/>
  <c r="L97" i="4"/>
  <c r="L93" i="4"/>
  <c r="L91" i="4"/>
  <c r="L87" i="4"/>
  <c r="L36" i="4"/>
  <c r="L37" i="4"/>
  <c r="P39" i="4"/>
  <c r="D42" i="4"/>
  <c r="T42" i="4"/>
  <c r="AB43" i="4"/>
  <c r="D43" i="4"/>
  <c r="K46" i="4"/>
  <c r="T47" i="4"/>
  <c r="AB47" i="4"/>
  <c r="K55" i="4"/>
  <c r="T55" i="4"/>
  <c r="K61" i="4"/>
  <c r="T61" i="4"/>
  <c r="R69" i="4"/>
  <c r="S69" i="4" s="1"/>
  <c r="X69" i="4"/>
  <c r="L70" i="4"/>
  <c r="AB70" i="4"/>
  <c r="D70" i="4"/>
  <c r="AB71" i="4"/>
  <c r="D71" i="4"/>
  <c r="T71" i="4"/>
  <c r="T76" i="4"/>
  <c r="T78" i="4"/>
  <c r="P78" i="4"/>
  <c r="L80" i="4"/>
  <c r="AB81" i="4"/>
  <c r="T85" i="4"/>
  <c r="T100" i="4"/>
  <c r="D100" i="4"/>
  <c r="AB100" i="4"/>
  <c r="T112" i="4"/>
  <c r="D112" i="4"/>
  <c r="AB112" i="4"/>
  <c r="AB134" i="4"/>
  <c r="T139" i="4"/>
  <c r="D139" i="4"/>
  <c r="P143" i="4"/>
  <c r="L146" i="4"/>
  <c r="D146" i="4"/>
  <c r="T146" i="4"/>
  <c r="R148" i="4"/>
  <c r="S148" i="4" s="1"/>
  <c r="Z148" i="4"/>
  <c r="AA148" i="4" s="1"/>
  <c r="X148" i="4"/>
  <c r="J148" i="4"/>
  <c r="K148" i="4" s="1"/>
  <c r="P153" i="4"/>
  <c r="Z153" i="4"/>
  <c r="AA153" i="4" s="1"/>
  <c r="R153" i="4"/>
  <c r="S153" i="4" s="1"/>
  <c r="X153" i="4"/>
  <c r="J153" i="4"/>
  <c r="K153" i="4" s="1"/>
  <c r="AB158" i="4"/>
  <c r="L159" i="4"/>
  <c r="L171" i="4"/>
  <c r="T304" i="4"/>
  <c r="AB123" i="4"/>
  <c r="D123" i="4"/>
  <c r="X125" i="4"/>
  <c r="J125" i="4"/>
  <c r="K125" i="4" s="1"/>
  <c r="AB135" i="4"/>
  <c r="D135" i="4"/>
  <c r="X137" i="4"/>
  <c r="J137" i="4"/>
  <c r="K137" i="4" s="1"/>
  <c r="AB147" i="4"/>
  <c r="D147" i="4"/>
  <c r="X149" i="4"/>
  <c r="J149" i="4"/>
  <c r="K149" i="4" s="1"/>
  <c r="Z157" i="4"/>
  <c r="AA157" i="4" s="1"/>
  <c r="R166" i="4"/>
  <c r="S166" i="4" s="1"/>
  <c r="X166" i="4"/>
  <c r="J166" i="4"/>
  <c r="K166" i="4" s="1"/>
  <c r="R172" i="4"/>
  <c r="S172" i="4" s="1"/>
  <c r="X172" i="4"/>
  <c r="J172" i="4"/>
  <c r="K172" i="4" s="1"/>
  <c r="L184" i="4"/>
  <c r="AB184" i="4"/>
  <c r="D184" i="4"/>
  <c r="T184" i="4"/>
  <c r="X204" i="4"/>
  <c r="R204" i="4"/>
  <c r="S204" i="4" s="1"/>
  <c r="Z204" i="4"/>
  <c r="AA204" i="4" s="1"/>
  <c r="J204" i="4"/>
  <c r="K204" i="4" s="1"/>
  <c r="X205" i="4"/>
  <c r="P205" i="4"/>
  <c r="R205" i="4"/>
  <c r="S205" i="4" s="1"/>
  <c r="X211" i="4"/>
  <c r="P211" i="4"/>
  <c r="R211" i="4"/>
  <c r="S211" i="4" s="1"/>
  <c r="X213" i="4"/>
  <c r="R213" i="4"/>
  <c r="S213" i="4" s="1"/>
  <c r="Z213" i="4"/>
  <c r="AA213" i="4" s="1"/>
  <c r="J213" i="4"/>
  <c r="K213" i="4" s="1"/>
  <c r="T223" i="4"/>
  <c r="X225" i="4"/>
  <c r="R225" i="4"/>
  <c r="S225" i="4" s="1"/>
  <c r="Z225" i="4"/>
  <c r="AA225" i="4" s="1"/>
  <c r="J225" i="4"/>
  <c r="K225" i="4" s="1"/>
  <c r="T247" i="4"/>
  <c r="T252" i="4"/>
  <c r="D252" i="4"/>
  <c r="L252" i="4"/>
  <c r="AB252" i="4"/>
  <c r="T271" i="4"/>
  <c r="Z334" i="4"/>
  <c r="AA334" i="4" s="1"/>
  <c r="R334" i="4"/>
  <c r="S334" i="4" s="1"/>
  <c r="X334" i="4"/>
  <c r="J334" i="4"/>
  <c r="K334" i="4" s="1"/>
  <c r="T91" i="4"/>
  <c r="T97" i="4"/>
  <c r="T103" i="4"/>
  <c r="T109" i="4"/>
  <c r="T115" i="4"/>
  <c r="T121" i="4"/>
  <c r="R125" i="4"/>
  <c r="S125" i="4" s="1"/>
  <c r="L128" i="4"/>
  <c r="AB128" i="4"/>
  <c r="P130" i="4"/>
  <c r="T133" i="4"/>
  <c r="R137" i="4"/>
  <c r="S137" i="4" s="1"/>
  <c r="L140" i="4"/>
  <c r="AB140" i="4"/>
  <c r="P142" i="4"/>
  <c r="T145" i="4"/>
  <c r="R149" i="4"/>
  <c r="S149" i="4" s="1"/>
  <c r="L152" i="4"/>
  <c r="AB152" i="4"/>
  <c r="P154" i="4"/>
  <c r="T157" i="4"/>
  <c r="P159" i="4"/>
  <c r="Z159" i="4"/>
  <c r="AA159" i="4" s="1"/>
  <c r="R159" i="4"/>
  <c r="S159" i="4" s="1"/>
  <c r="P162" i="4"/>
  <c r="Z162" i="4"/>
  <c r="AA162" i="4" s="1"/>
  <c r="R162" i="4"/>
  <c r="S162" i="4" s="1"/>
  <c r="L167" i="4"/>
  <c r="AB167" i="4"/>
  <c r="D167" i="4"/>
  <c r="L173" i="4"/>
  <c r="AB173" i="4"/>
  <c r="D173" i="4"/>
  <c r="AB174" i="4"/>
  <c r="D174" i="4"/>
  <c r="T174" i="4"/>
  <c r="X183" i="4"/>
  <c r="R183" i="4"/>
  <c r="S183" i="4" s="1"/>
  <c r="Z183" i="4"/>
  <c r="AA183" i="4" s="1"/>
  <c r="J183" i="4"/>
  <c r="K183" i="4" s="1"/>
  <c r="T186" i="4"/>
  <c r="L186" i="4"/>
  <c r="X207" i="4"/>
  <c r="R207" i="4"/>
  <c r="S207" i="4" s="1"/>
  <c r="Z207" i="4"/>
  <c r="AA207" i="4" s="1"/>
  <c r="J207" i="4"/>
  <c r="K207" i="4" s="1"/>
  <c r="X208" i="4"/>
  <c r="P208" i="4"/>
  <c r="R208" i="4"/>
  <c r="S208" i="4" s="1"/>
  <c r="X210" i="4"/>
  <c r="R210" i="4"/>
  <c r="S210" i="4" s="1"/>
  <c r="Z210" i="4"/>
  <c r="AA210" i="4" s="1"/>
  <c r="J210" i="4"/>
  <c r="K210" i="4" s="1"/>
  <c r="T222" i="4"/>
  <c r="L222" i="4"/>
  <c r="T238" i="4"/>
  <c r="R242" i="4"/>
  <c r="S242" i="4" s="1"/>
  <c r="P242" i="4"/>
  <c r="J242" i="4"/>
  <c r="K242" i="4" s="1"/>
  <c r="X242" i="4"/>
  <c r="Z242" i="4"/>
  <c r="AA242" i="4" s="1"/>
  <c r="R247" i="4"/>
  <c r="S247" i="4" s="1"/>
  <c r="X247" i="4"/>
  <c r="J247" i="4"/>
  <c r="K247" i="4" s="1"/>
  <c r="Z247" i="4"/>
  <c r="AA247" i="4" s="1"/>
  <c r="Z258" i="4"/>
  <c r="AA258" i="4" s="1"/>
  <c r="R258" i="4"/>
  <c r="S258" i="4" s="1"/>
  <c r="X258" i="4"/>
  <c r="J258" i="4"/>
  <c r="K258" i="4" s="1"/>
  <c r="T286" i="4"/>
  <c r="L288" i="4"/>
  <c r="T288" i="4"/>
  <c r="D288" i="4"/>
  <c r="AB288" i="4"/>
  <c r="AB87" i="4"/>
  <c r="D87" i="4"/>
  <c r="L89" i="4"/>
  <c r="AB93" i="4"/>
  <c r="D93" i="4"/>
  <c r="L95" i="4"/>
  <c r="AB99" i="4"/>
  <c r="D99" i="4"/>
  <c r="L101" i="4"/>
  <c r="AB105" i="4"/>
  <c r="D105" i="4"/>
  <c r="L107" i="4"/>
  <c r="AB111" i="4"/>
  <c r="D111" i="4"/>
  <c r="L113" i="4"/>
  <c r="AB117" i="4"/>
  <c r="D117" i="4"/>
  <c r="L119" i="4"/>
  <c r="AB121" i="4"/>
  <c r="P123" i="4"/>
  <c r="Z123" i="4"/>
  <c r="AA123" i="4" s="1"/>
  <c r="P135" i="4"/>
  <c r="Z135" i="4"/>
  <c r="AA135" i="4" s="1"/>
  <c r="P147" i="4"/>
  <c r="Z147" i="4"/>
  <c r="AA147" i="4" s="1"/>
  <c r="T160" i="4"/>
  <c r="AB160" i="4"/>
  <c r="T163" i="4"/>
  <c r="AB163" i="4"/>
  <c r="AB168" i="4"/>
  <c r="D168" i="4"/>
  <c r="T168" i="4"/>
  <c r="T175" i="4"/>
  <c r="L175" i="4"/>
  <c r="X184" i="4"/>
  <c r="P184" i="4"/>
  <c r="R184" i="4"/>
  <c r="S184" i="4" s="1"/>
  <c r="L187" i="4"/>
  <c r="AB187" i="4"/>
  <c r="D187" i="4"/>
  <c r="T187" i="4"/>
  <c r="T237" i="4"/>
  <c r="L237" i="4"/>
  <c r="D237" i="4"/>
  <c r="Z252" i="4"/>
  <c r="AA252" i="4" s="1"/>
  <c r="P252" i="4"/>
  <c r="R252" i="4"/>
  <c r="S252" i="4" s="1"/>
  <c r="X252" i="4"/>
  <c r="J252" i="4"/>
  <c r="K252" i="4" s="1"/>
  <c r="T265" i="4"/>
  <c r="R271" i="4"/>
  <c r="S271" i="4" s="1"/>
  <c r="Z271" i="4"/>
  <c r="AA271" i="4" s="1"/>
  <c r="J271" i="4"/>
  <c r="K271" i="4" s="1"/>
  <c r="X271" i="4"/>
  <c r="P271" i="4"/>
  <c r="P37" i="4"/>
  <c r="P40" i="4"/>
  <c r="P43" i="4"/>
  <c r="P46" i="4"/>
  <c r="P49" i="4"/>
  <c r="P52" i="4"/>
  <c r="L54" i="4"/>
  <c r="P55" i="4"/>
  <c r="P58" i="4"/>
  <c r="P61" i="4"/>
  <c r="L63" i="4"/>
  <c r="P64" i="4"/>
  <c r="L66" i="4"/>
  <c r="P67" i="4"/>
  <c r="L69" i="4"/>
  <c r="P70" i="4"/>
  <c r="L72" i="4"/>
  <c r="L75" i="4"/>
  <c r="D76" i="4"/>
  <c r="AB76" i="4"/>
  <c r="L78" i="4"/>
  <c r="D79" i="4"/>
  <c r="AB79" i="4"/>
  <c r="L81" i="4"/>
  <c r="D82" i="4"/>
  <c r="AB82" i="4"/>
  <c r="L84" i="4"/>
  <c r="D85" i="4"/>
  <c r="AB85" i="4"/>
  <c r="AB91" i="4"/>
  <c r="AB97" i="4"/>
  <c r="AB101" i="4"/>
  <c r="AB103" i="4"/>
  <c r="AB107" i="4"/>
  <c r="AB109" i="4"/>
  <c r="AB113" i="4"/>
  <c r="AB115" i="4"/>
  <c r="AB119" i="4"/>
  <c r="R123" i="4"/>
  <c r="S123" i="4" s="1"/>
  <c r="AB126" i="4"/>
  <c r="D126" i="4"/>
  <c r="X128" i="4"/>
  <c r="J128" i="4"/>
  <c r="K128" i="4" s="1"/>
  <c r="R135" i="4"/>
  <c r="S135" i="4" s="1"/>
  <c r="AB138" i="4"/>
  <c r="D138" i="4"/>
  <c r="X140" i="4"/>
  <c r="J140" i="4"/>
  <c r="K140" i="4" s="1"/>
  <c r="R147" i="4"/>
  <c r="S147" i="4" s="1"/>
  <c r="AB150" i="4"/>
  <c r="D150" i="4"/>
  <c r="X152" i="4"/>
  <c r="J152" i="4"/>
  <c r="K152" i="4" s="1"/>
  <c r="X167" i="4"/>
  <c r="J167" i="4"/>
  <c r="K167" i="4" s="1"/>
  <c r="P167" i="4"/>
  <c r="Z167" i="4"/>
  <c r="AA167" i="4" s="1"/>
  <c r="P174" i="4"/>
  <c r="Z174" i="4"/>
  <c r="AA174" i="4" s="1"/>
  <c r="R174" i="4"/>
  <c r="S174" i="4" s="1"/>
  <c r="X186" i="4"/>
  <c r="R186" i="4"/>
  <c r="S186" i="4" s="1"/>
  <c r="Z186" i="4"/>
  <c r="AA186" i="4" s="1"/>
  <c r="J186" i="4"/>
  <c r="K186" i="4" s="1"/>
  <c r="T189" i="4"/>
  <c r="L189" i="4"/>
  <c r="T220" i="4"/>
  <c r="X222" i="4"/>
  <c r="R222" i="4"/>
  <c r="S222" i="4" s="1"/>
  <c r="Z222" i="4"/>
  <c r="AA222" i="4" s="1"/>
  <c r="J222" i="4"/>
  <c r="K222" i="4" s="1"/>
  <c r="AA231" i="4"/>
  <c r="Z241" i="4"/>
  <c r="AA241" i="4" s="1"/>
  <c r="X241" i="4"/>
  <c r="R241" i="4"/>
  <c r="S241" i="4" s="1"/>
  <c r="P241" i="4"/>
  <c r="J241" i="4"/>
  <c r="K241" i="4" s="1"/>
  <c r="L246" i="4"/>
  <c r="R265" i="4"/>
  <c r="S265" i="4" s="1"/>
  <c r="X265" i="4"/>
  <c r="Z265" i="4"/>
  <c r="AA265" i="4" s="1"/>
  <c r="J265" i="4"/>
  <c r="K265" i="4" s="1"/>
  <c r="AB446" i="4"/>
  <c r="P89" i="4"/>
  <c r="D91" i="4"/>
  <c r="P95" i="4"/>
  <c r="D97" i="4"/>
  <c r="P97" i="4"/>
  <c r="P101" i="4"/>
  <c r="D103" i="4"/>
  <c r="P103" i="4"/>
  <c r="P107" i="4"/>
  <c r="D109" i="4"/>
  <c r="P109" i="4"/>
  <c r="P113" i="4"/>
  <c r="D115" i="4"/>
  <c r="P115" i="4"/>
  <c r="P119" i="4"/>
  <c r="D121" i="4"/>
  <c r="P121" i="4"/>
  <c r="T124" i="4"/>
  <c r="D128" i="4"/>
  <c r="R128" i="4"/>
  <c r="S128" i="4" s="1"/>
  <c r="L131" i="4"/>
  <c r="AB131" i="4"/>
  <c r="D133" i="4"/>
  <c r="P133" i="4"/>
  <c r="T136" i="4"/>
  <c r="D140" i="4"/>
  <c r="R140" i="4"/>
  <c r="S140" i="4" s="1"/>
  <c r="L143" i="4"/>
  <c r="AB143" i="4"/>
  <c r="D145" i="4"/>
  <c r="P145" i="4"/>
  <c r="T148" i="4"/>
  <c r="D152" i="4"/>
  <c r="R152" i="4"/>
  <c r="S152" i="4" s="1"/>
  <c r="L155" i="4"/>
  <c r="AB155" i="4"/>
  <c r="D157" i="4"/>
  <c r="P157" i="4"/>
  <c r="R160" i="4"/>
  <c r="S160" i="4" s="1"/>
  <c r="J160" i="4"/>
  <c r="K160" i="4" s="1"/>
  <c r="P160" i="4"/>
  <c r="R163" i="4"/>
  <c r="S163" i="4" s="1"/>
  <c r="J163" i="4"/>
  <c r="K163" i="4" s="1"/>
  <c r="P163" i="4"/>
  <c r="T167" i="4"/>
  <c r="P168" i="4"/>
  <c r="Z168" i="4"/>
  <c r="AA168" i="4" s="1"/>
  <c r="R168" i="4"/>
  <c r="S168" i="4" s="1"/>
  <c r="T169" i="4"/>
  <c r="L169" i="4"/>
  <c r="T173" i="4"/>
  <c r="R175" i="4"/>
  <c r="S175" i="4" s="1"/>
  <c r="X175" i="4"/>
  <c r="J175" i="4"/>
  <c r="K175" i="4" s="1"/>
  <c r="L176" i="4"/>
  <c r="AB176" i="4"/>
  <c r="D176" i="4"/>
  <c r="AB177" i="4"/>
  <c r="D177" i="4"/>
  <c r="T177" i="4"/>
  <c r="D186" i="4"/>
  <c r="X187" i="4"/>
  <c r="P187" i="4"/>
  <c r="R187" i="4"/>
  <c r="S187" i="4" s="1"/>
  <c r="L190" i="4"/>
  <c r="AB190" i="4"/>
  <c r="D190" i="4"/>
  <c r="T190" i="4"/>
  <c r="T219" i="4"/>
  <c r="L219" i="4"/>
  <c r="D222" i="4"/>
  <c r="L260" i="4"/>
  <c r="L285" i="4"/>
  <c r="J64" i="4"/>
  <c r="K64" i="4" s="1"/>
  <c r="J67" i="4"/>
  <c r="K67" i="4" s="1"/>
  <c r="J70" i="4"/>
  <c r="K70" i="4" s="1"/>
  <c r="J73" i="4"/>
  <c r="K73" i="4" s="1"/>
  <c r="J76" i="4"/>
  <c r="K76" i="4" s="1"/>
  <c r="J79" i="4"/>
  <c r="K79" i="4" s="1"/>
  <c r="J82" i="4"/>
  <c r="K82" i="4" s="1"/>
  <c r="J85" i="4"/>
  <c r="K85" i="4" s="1"/>
  <c r="X122" i="4"/>
  <c r="J122" i="4"/>
  <c r="K122" i="4" s="1"/>
  <c r="X123" i="4"/>
  <c r="Z130" i="4"/>
  <c r="AA130" i="4" s="1"/>
  <c r="T131" i="4"/>
  <c r="AB132" i="4"/>
  <c r="D132" i="4"/>
  <c r="X134" i="4"/>
  <c r="J134" i="4"/>
  <c r="K134" i="4" s="1"/>
  <c r="X135" i="4"/>
  <c r="Z142" i="4"/>
  <c r="AA142" i="4" s="1"/>
  <c r="T143" i="4"/>
  <c r="AB144" i="4"/>
  <c r="D144" i="4"/>
  <c r="X146" i="4"/>
  <c r="J146" i="4"/>
  <c r="K146" i="4" s="1"/>
  <c r="X147" i="4"/>
  <c r="Z154" i="4"/>
  <c r="AA154" i="4" s="1"/>
  <c r="T155" i="4"/>
  <c r="AB156" i="4"/>
  <c r="D156" i="4"/>
  <c r="X158" i="4"/>
  <c r="J158" i="4"/>
  <c r="K158" i="4" s="1"/>
  <c r="Z158" i="4"/>
  <c r="AA158" i="4" s="1"/>
  <c r="X161" i="4"/>
  <c r="J161" i="4"/>
  <c r="K161" i="4" s="1"/>
  <c r="Z161" i="4"/>
  <c r="AA161" i="4" s="1"/>
  <c r="X164" i="4"/>
  <c r="J164" i="4"/>
  <c r="K164" i="4" s="1"/>
  <c r="P164" i="4"/>
  <c r="Z164" i="4"/>
  <c r="AA164" i="4" s="1"/>
  <c r="X168" i="4"/>
  <c r="X170" i="4"/>
  <c r="J170" i="4"/>
  <c r="K170" i="4" s="1"/>
  <c r="P170" i="4"/>
  <c r="Z170" i="4"/>
  <c r="AA170" i="4" s="1"/>
  <c r="J174" i="4"/>
  <c r="K174" i="4" s="1"/>
  <c r="Z175" i="4"/>
  <c r="AA175" i="4" s="1"/>
  <c r="P180" i="4"/>
  <c r="Z180" i="4"/>
  <c r="AA180" i="4" s="1"/>
  <c r="R180" i="4"/>
  <c r="S180" i="4" s="1"/>
  <c r="S181" i="4"/>
  <c r="T182" i="4"/>
  <c r="L182" i="4"/>
  <c r="D182" i="4"/>
  <c r="AB186" i="4"/>
  <c r="Z187" i="4"/>
  <c r="AA187" i="4" s="1"/>
  <c r="X195" i="4"/>
  <c r="R195" i="4"/>
  <c r="S195" i="4" s="1"/>
  <c r="Z195" i="4"/>
  <c r="AA195" i="4" s="1"/>
  <c r="J195" i="4"/>
  <c r="K195" i="4" s="1"/>
  <c r="X196" i="4"/>
  <c r="P196" i="4"/>
  <c r="R196" i="4"/>
  <c r="S196" i="4" s="1"/>
  <c r="T201" i="4"/>
  <c r="L201" i="4"/>
  <c r="L202" i="4"/>
  <c r="AB202" i="4"/>
  <c r="D202" i="4"/>
  <c r="T202" i="4"/>
  <c r="T214" i="4"/>
  <c r="X216" i="4"/>
  <c r="R216" i="4"/>
  <c r="S216" i="4" s="1"/>
  <c r="Z216" i="4"/>
  <c r="AA216" i="4" s="1"/>
  <c r="J216" i="4"/>
  <c r="K216" i="4" s="1"/>
  <c r="T226" i="4"/>
  <c r="J228" i="4"/>
  <c r="K228" i="4" s="1"/>
  <c r="X228" i="4"/>
  <c r="Z228" i="4"/>
  <c r="AA228" i="4" s="1"/>
  <c r="R228" i="4"/>
  <c r="S228" i="4" s="1"/>
  <c r="T253" i="4"/>
  <c r="T259" i="4"/>
  <c r="T339" i="4"/>
  <c r="L624" i="4"/>
  <c r="T624" i="4"/>
  <c r="D624" i="4"/>
  <c r="AB624" i="4"/>
  <c r="P86" i="4"/>
  <c r="J87" i="4"/>
  <c r="K87" i="4" s="1"/>
  <c r="J91" i="4"/>
  <c r="K91" i="4" s="1"/>
  <c r="P92" i="4"/>
  <c r="J93" i="4"/>
  <c r="K93" i="4" s="1"/>
  <c r="J97" i="4"/>
  <c r="K97" i="4" s="1"/>
  <c r="P98" i="4"/>
  <c r="J99" i="4"/>
  <c r="K99" i="4" s="1"/>
  <c r="J103" i="4"/>
  <c r="K103" i="4" s="1"/>
  <c r="P104" i="4"/>
  <c r="J105" i="4"/>
  <c r="K105" i="4" s="1"/>
  <c r="J109" i="4"/>
  <c r="K109" i="4" s="1"/>
  <c r="P110" i="4"/>
  <c r="J111" i="4"/>
  <c r="K111" i="4" s="1"/>
  <c r="J115" i="4"/>
  <c r="K115" i="4" s="1"/>
  <c r="P116" i="4"/>
  <c r="J117" i="4"/>
  <c r="K117" i="4" s="1"/>
  <c r="J121" i="4"/>
  <c r="K121" i="4" s="1"/>
  <c r="X121" i="4"/>
  <c r="R122" i="4"/>
  <c r="S122" i="4" s="1"/>
  <c r="L123" i="4"/>
  <c r="L125" i="4"/>
  <c r="AB125" i="4"/>
  <c r="P127" i="4"/>
  <c r="T130" i="4"/>
  <c r="J133" i="4"/>
  <c r="K133" i="4" s="1"/>
  <c r="X133" i="4"/>
  <c r="R134" i="4"/>
  <c r="S134" i="4" s="1"/>
  <c r="L135" i="4"/>
  <c r="L137" i="4"/>
  <c r="AB137" i="4"/>
  <c r="P139" i="4"/>
  <c r="T142" i="4"/>
  <c r="J145" i="4"/>
  <c r="K145" i="4" s="1"/>
  <c r="X145" i="4"/>
  <c r="R146" i="4"/>
  <c r="S146" i="4" s="1"/>
  <c r="L147" i="4"/>
  <c r="L149" i="4"/>
  <c r="AB149" i="4"/>
  <c r="P151" i="4"/>
  <c r="T154" i="4"/>
  <c r="J157" i="4"/>
  <c r="K157" i="4" s="1"/>
  <c r="X157" i="4"/>
  <c r="R158" i="4"/>
  <c r="S158" i="4" s="1"/>
  <c r="X160" i="4"/>
  <c r="R161" i="4"/>
  <c r="S161" i="4" s="1"/>
  <c r="X163" i="4"/>
  <c r="P165" i="4"/>
  <c r="Z165" i="4"/>
  <c r="AA165" i="4" s="1"/>
  <c r="R165" i="4"/>
  <c r="S165" i="4" s="1"/>
  <c r="T166" i="4"/>
  <c r="L166" i="4"/>
  <c r="J168" i="4"/>
  <c r="K168" i="4" s="1"/>
  <c r="P171" i="4"/>
  <c r="Z171" i="4"/>
  <c r="AA171" i="4" s="1"/>
  <c r="R171" i="4"/>
  <c r="S171" i="4" s="1"/>
  <c r="T172" i="4"/>
  <c r="L172" i="4"/>
  <c r="P181" i="4"/>
  <c r="X181" i="4"/>
  <c r="J181" i="4"/>
  <c r="K181" i="4" s="1"/>
  <c r="J187" i="4"/>
  <c r="K187" i="4" s="1"/>
  <c r="X198" i="4"/>
  <c r="R198" i="4"/>
  <c r="S198" i="4" s="1"/>
  <c r="Z198" i="4"/>
  <c r="AA198" i="4" s="1"/>
  <c r="J198" i="4"/>
  <c r="K198" i="4" s="1"/>
  <c r="X199" i="4"/>
  <c r="P199" i="4"/>
  <c r="R199" i="4"/>
  <c r="S199" i="4" s="1"/>
  <c r="T204" i="4"/>
  <c r="L204" i="4"/>
  <c r="P204" i="4"/>
  <c r="L205" i="4"/>
  <c r="AB205" i="4"/>
  <c r="D205" i="4"/>
  <c r="T205" i="4"/>
  <c r="T211" i="4"/>
  <c r="T213" i="4"/>
  <c r="L213" i="4"/>
  <c r="P213" i="4"/>
  <c r="AB219" i="4"/>
  <c r="T225" i="4"/>
  <c r="L225" i="4"/>
  <c r="P225" i="4"/>
  <c r="Z232" i="4"/>
  <c r="AA232" i="4" s="1"/>
  <c r="X232" i="4"/>
  <c r="P232" i="4"/>
  <c r="J232" i="4"/>
  <c r="K232" i="4" s="1"/>
  <c r="D248" i="4"/>
  <c r="AB248" i="4"/>
  <c r="T248" i="4"/>
  <c r="L248" i="4"/>
  <c r="AB249" i="4"/>
  <c r="P258" i="4"/>
  <c r="S259" i="4"/>
  <c r="L302" i="4"/>
  <c r="D302" i="4"/>
  <c r="AB302" i="4"/>
  <c r="T302" i="4"/>
  <c r="T333" i="4"/>
  <c r="P334" i="4"/>
  <c r="D338" i="4"/>
  <c r="T338" i="4"/>
  <c r="L338" i="4"/>
  <c r="AB338" i="4"/>
  <c r="X87" i="4"/>
  <c r="J89" i="4"/>
  <c r="K89" i="4" s="1"/>
  <c r="R90" i="4"/>
  <c r="S90" i="4" s="1"/>
  <c r="X93" i="4"/>
  <c r="J95" i="4"/>
  <c r="K95" i="4" s="1"/>
  <c r="R96" i="4"/>
  <c r="S96" i="4" s="1"/>
  <c r="X99" i="4"/>
  <c r="J101" i="4"/>
  <c r="K101" i="4" s="1"/>
  <c r="R102" i="4"/>
  <c r="S102" i="4" s="1"/>
  <c r="X105" i="4"/>
  <c r="J107" i="4"/>
  <c r="K107" i="4" s="1"/>
  <c r="R108" i="4"/>
  <c r="S108" i="4" s="1"/>
  <c r="X111" i="4"/>
  <c r="J113" i="4"/>
  <c r="K113" i="4" s="1"/>
  <c r="R114" i="4"/>
  <c r="S114" i="4" s="1"/>
  <c r="X117" i="4"/>
  <c r="J119" i="4"/>
  <c r="K119" i="4" s="1"/>
  <c r="R120" i="4"/>
  <c r="S120" i="4" s="1"/>
  <c r="P125" i="4"/>
  <c r="Z128" i="4"/>
  <c r="AA128" i="4" s="1"/>
  <c r="AB130" i="4"/>
  <c r="P132" i="4"/>
  <c r="Z132" i="4"/>
  <c r="AA132" i="4" s="1"/>
  <c r="P137" i="4"/>
  <c r="Z140" i="4"/>
  <c r="AA140" i="4" s="1"/>
  <c r="AB142" i="4"/>
  <c r="P144" i="4"/>
  <c r="Z144" i="4"/>
  <c r="AA144" i="4" s="1"/>
  <c r="P149" i="4"/>
  <c r="Z152" i="4"/>
  <c r="AA152" i="4" s="1"/>
  <c r="AB154" i="4"/>
  <c r="P156" i="4"/>
  <c r="Z156" i="4"/>
  <c r="AA156" i="4" s="1"/>
  <c r="AB159" i="4"/>
  <c r="D159" i="4"/>
  <c r="AB162" i="4"/>
  <c r="D162" i="4"/>
  <c r="P166" i="4"/>
  <c r="P172" i="4"/>
  <c r="L174" i="4"/>
  <c r="AB175" i="4"/>
  <c r="R182" i="4"/>
  <c r="S182" i="4" s="1"/>
  <c r="P182" i="4"/>
  <c r="T183" i="4"/>
  <c r="L183" i="4"/>
  <c r="P183" i="4"/>
  <c r="AB189" i="4"/>
  <c r="X201" i="4"/>
  <c r="R201" i="4"/>
  <c r="S201" i="4" s="1"/>
  <c r="Z201" i="4"/>
  <c r="AA201" i="4" s="1"/>
  <c r="J201" i="4"/>
  <c r="K201" i="4" s="1"/>
  <c r="X202" i="4"/>
  <c r="P202" i="4"/>
  <c r="R202" i="4"/>
  <c r="S202" i="4" s="1"/>
  <c r="T207" i="4"/>
  <c r="L207" i="4"/>
  <c r="P207" i="4"/>
  <c r="L208" i="4"/>
  <c r="AB208" i="4"/>
  <c r="D208" i="4"/>
  <c r="T208" i="4"/>
  <c r="T210" i="4"/>
  <c r="L210" i="4"/>
  <c r="P210" i="4"/>
  <c r="D242" i="4"/>
  <c r="T242" i="4"/>
  <c r="AB242" i="4"/>
  <c r="L242" i="4"/>
  <c r="AB247" i="4"/>
  <c r="P247" i="4"/>
  <c r="K257" i="4"/>
  <c r="T258" i="4"/>
  <c r="L258" i="4"/>
  <c r="D258" i="4"/>
  <c r="AB258" i="4"/>
  <c r="T266" i="4"/>
  <c r="D266" i="4"/>
  <c r="L266" i="4"/>
  <c r="R274" i="4"/>
  <c r="S274" i="4" s="1"/>
  <c r="Z274" i="4"/>
  <c r="AA274" i="4" s="1"/>
  <c r="X274" i="4"/>
  <c r="J274" i="4"/>
  <c r="K274" i="4" s="1"/>
  <c r="P274" i="4"/>
  <c r="L501" i="4"/>
  <c r="T501" i="4"/>
  <c r="D501" i="4"/>
  <c r="AB501" i="4"/>
  <c r="X214" i="4"/>
  <c r="P214" i="4"/>
  <c r="R214" i="4"/>
  <c r="S214" i="4" s="1"/>
  <c r="X217" i="4"/>
  <c r="P217" i="4"/>
  <c r="R217" i="4"/>
  <c r="S217" i="4" s="1"/>
  <c r="X220" i="4"/>
  <c r="P220" i="4"/>
  <c r="R220" i="4"/>
  <c r="S220" i="4" s="1"/>
  <c r="X223" i="4"/>
  <c r="P223" i="4"/>
  <c r="R223" i="4"/>
  <c r="S223" i="4" s="1"/>
  <c r="X226" i="4"/>
  <c r="P226" i="4"/>
  <c r="R226" i="4"/>
  <c r="S226" i="4" s="1"/>
  <c r="R230" i="4"/>
  <c r="S230" i="4" s="1"/>
  <c r="P230" i="4"/>
  <c r="J234" i="4"/>
  <c r="K234" i="4" s="1"/>
  <c r="X234" i="4"/>
  <c r="Z238" i="4"/>
  <c r="AA238" i="4" s="1"/>
  <c r="X238" i="4"/>
  <c r="R238" i="4"/>
  <c r="S238" i="4" s="1"/>
  <c r="P238" i="4"/>
  <c r="AB245" i="4"/>
  <c r="R268" i="4"/>
  <c r="S268" i="4" s="1"/>
  <c r="Z268" i="4"/>
  <c r="AA268" i="4" s="1"/>
  <c r="J268" i="4"/>
  <c r="K268" i="4" s="1"/>
  <c r="L271" i="4"/>
  <c r="AB273" i="4"/>
  <c r="L275" i="4"/>
  <c r="AB383" i="4"/>
  <c r="Z173" i="4"/>
  <c r="AA173" i="4" s="1"/>
  <c r="Z176" i="4"/>
  <c r="AA176" i="4" s="1"/>
  <c r="Z179" i="4"/>
  <c r="AA179" i="4" s="1"/>
  <c r="AB185" i="4"/>
  <c r="D185" i="4"/>
  <c r="T185" i="4"/>
  <c r="AB188" i="4"/>
  <c r="D188" i="4"/>
  <c r="T188" i="4"/>
  <c r="AB191" i="4"/>
  <c r="D191" i="4"/>
  <c r="T191" i="4"/>
  <c r="AB194" i="4"/>
  <c r="D194" i="4"/>
  <c r="T194" i="4"/>
  <c r="AB197" i="4"/>
  <c r="D197" i="4"/>
  <c r="T197" i="4"/>
  <c r="AB200" i="4"/>
  <c r="D200" i="4"/>
  <c r="T200" i="4"/>
  <c r="AB203" i="4"/>
  <c r="D203" i="4"/>
  <c r="T203" i="4"/>
  <c r="AB206" i="4"/>
  <c r="D206" i="4"/>
  <c r="T206" i="4"/>
  <c r="AB209" i="4"/>
  <c r="D209" i="4"/>
  <c r="T209" i="4"/>
  <c r="AB212" i="4"/>
  <c r="D212" i="4"/>
  <c r="T212" i="4"/>
  <c r="AB215" i="4"/>
  <c r="D215" i="4"/>
  <c r="T215" i="4"/>
  <c r="AB218" i="4"/>
  <c r="D218" i="4"/>
  <c r="T218" i="4"/>
  <c r="AB221" i="4"/>
  <c r="D221" i="4"/>
  <c r="T221" i="4"/>
  <c r="AB224" i="4"/>
  <c r="D224" i="4"/>
  <c r="T224" i="4"/>
  <c r="AB227" i="4"/>
  <c r="D227" i="4"/>
  <c r="T227" i="4"/>
  <c r="T231" i="4"/>
  <c r="L231" i="4"/>
  <c r="D234" i="4"/>
  <c r="R234" i="4"/>
  <c r="S234" i="4" s="1"/>
  <c r="R239" i="4"/>
  <c r="S239" i="4" s="1"/>
  <c r="P239" i="4"/>
  <c r="J239" i="4"/>
  <c r="K239" i="4" s="1"/>
  <c r="T240" i="4"/>
  <c r="L240" i="4"/>
  <c r="T261" i="4"/>
  <c r="L283" i="4"/>
  <c r="D290" i="4"/>
  <c r="AB290" i="4"/>
  <c r="T290" i="4"/>
  <c r="L290" i="4"/>
  <c r="J368" i="4"/>
  <c r="K368" i="4" s="1"/>
  <c r="R368" i="4"/>
  <c r="S368" i="4" s="1"/>
  <c r="Z368" i="4"/>
  <c r="AA368" i="4" s="1"/>
  <c r="X368" i="4"/>
  <c r="P368" i="4"/>
  <c r="AB433" i="4"/>
  <c r="D433" i="4"/>
  <c r="L433" i="4"/>
  <c r="T433" i="4"/>
  <c r="X585" i="4"/>
  <c r="J585" i="4"/>
  <c r="K585" i="4" s="1"/>
  <c r="Z585" i="4"/>
  <c r="AA585" i="4" s="1"/>
  <c r="R585" i="4"/>
  <c r="S585" i="4" s="1"/>
  <c r="P585" i="4"/>
  <c r="L235" i="4"/>
  <c r="AB235" i="4"/>
  <c r="D235" i="4"/>
  <c r="K245" i="4"/>
  <c r="T256" i="4"/>
  <c r="L265" i="4"/>
  <c r="L304" i="4"/>
  <c r="AB347" i="4"/>
  <c r="X557" i="4"/>
  <c r="J557" i="4"/>
  <c r="K557" i="4" s="1"/>
  <c r="R557" i="4"/>
  <c r="S557" i="4" s="1"/>
  <c r="P557" i="4"/>
  <c r="Z557" i="4"/>
  <c r="AA557" i="4" s="1"/>
  <c r="P173" i="4"/>
  <c r="P176" i="4"/>
  <c r="P179" i="4"/>
  <c r="R227" i="4"/>
  <c r="S227" i="4" s="1"/>
  <c r="P227" i="4"/>
  <c r="J231" i="4"/>
  <c r="K231" i="4" s="1"/>
  <c r="X231" i="4"/>
  <c r="J240" i="4"/>
  <c r="K240" i="4" s="1"/>
  <c r="Z240" i="4"/>
  <c r="AA240" i="4" s="1"/>
  <c r="X240" i="4"/>
  <c r="AA248" i="4"/>
  <c r="K251" i="4"/>
  <c r="R256" i="4"/>
  <c r="S256" i="4" s="1"/>
  <c r="Z256" i="4"/>
  <c r="AA256" i="4" s="1"/>
  <c r="X256" i="4"/>
  <c r="J256" i="4"/>
  <c r="K256" i="4" s="1"/>
  <c r="T272" i="4"/>
  <c r="L272" i="4"/>
  <c r="D272" i="4"/>
  <c r="D281" i="4"/>
  <c r="AB281" i="4"/>
  <c r="T281" i="4"/>
  <c r="L307" i="4"/>
  <c r="R367" i="4"/>
  <c r="S367" i="4" s="1"/>
  <c r="Z367" i="4"/>
  <c r="AA367" i="4" s="1"/>
  <c r="X367" i="4"/>
  <c r="J367" i="4"/>
  <c r="K367" i="4" s="1"/>
  <c r="T228" i="4"/>
  <c r="L228" i="4"/>
  <c r="Z235" i="4"/>
  <c r="AA235" i="4" s="1"/>
  <c r="X235" i="4"/>
  <c r="P235" i="4"/>
  <c r="R235" i="4"/>
  <c r="S235" i="4" s="1"/>
  <c r="AB236" i="4"/>
  <c r="D236" i="4"/>
  <c r="T236" i="4"/>
  <c r="L241" i="4"/>
  <c r="AB241" i="4"/>
  <c r="D241" i="4"/>
  <c r="AB243" i="4"/>
  <c r="D246" i="4"/>
  <c r="AB246" i="4"/>
  <c r="T246" i="4"/>
  <c r="X249" i="4"/>
  <c r="K263" i="4"/>
  <c r="T289" i="4"/>
  <c r="R297" i="4"/>
  <c r="S297" i="4" s="1"/>
  <c r="Z297" i="4"/>
  <c r="AA297" i="4" s="1"/>
  <c r="P297" i="4"/>
  <c r="J297" i="4"/>
  <c r="K297" i="4" s="1"/>
  <c r="T336" i="4"/>
  <c r="L341" i="4"/>
  <c r="J173" i="4"/>
  <c r="K173" i="4" s="1"/>
  <c r="J176" i="4"/>
  <c r="K176" i="4" s="1"/>
  <c r="J179" i="4"/>
  <c r="K179" i="4" s="1"/>
  <c r="J185" i="4"/>
  <c r="K185" i="4" s="1"/>
  <c r="X185" i="4"/>
  <c r="J188" i="4"/>
  <c r="K188" i="4" s="1"/>
  <c r="X188" i="4"/>
  <c r="J191" i="4"/>
  <c r="K191" i="4" s="1"/>
  <c r="X191" i="4"/>
  <c r="J194" i="4"/>
  <c r="K194" i="4" s="1"/>
  <c r="X194" i="4"/>
  <c r="J197" i="4"/>
  <c r="K197" i="4" s="1"/>
  <c r="X197" i="4"/>
  <c r="J200" i="4"/>
  <c r="K200" i="4" s="1"/>
  <c r="X200" i="4"/>
  <c r="J203" i="4"/>
  <c r="K203" i="4" s="1"/>
  <c r="X203" i="4"/>
  <c r="J206" i="4"/>
  <c r="K206" i="4" s="1"/>
  <c r="X206" i="4"/>
  <c r="J209" i="4"/>
  <c r="K209" i="4" s="1"/>
  <c r="X209" i="4"/>
  <c r="J212" i="4"/>
  <c r="K212" i="4" s="1"/>
  <c r="X212" i="4"/>
  <c r="J215" i="4"/>
  <c r="K215" i="4" s="1"/>
  <c r="X215" i="4"/>
  <c r="J218" i="4"/>
  <c r="K218" i="4" s="1"/>
  <c r="X218" i="4"/>
  <c r="J221" i="4"/>
  <c r="K221" i="4" s="1"/>
  <c r="X221" i="4"/>
  <c r="J224" i="4"/>
  <c r="K224" i="4" s="1"/>
  <c r="X224" i="4"/>
  <c r="J227" i="4"/>
  <c r="K227" i="4" s="1"/>
  <c r="R233" i="4"/>
  <c r="S233" i="4" s="1"/>
  <c r="P233" i="4"/>
  <c r="J237" i="4"/>
  <c r="K237" i="4" s="1"/>
  <c r="Z237" i="4"/>
  <c r="AA237" i="4" s="1"/>
  <c r="X237" i="4"/>
  <c r="D244" i="4"/>
  <c r="AB244" i="4"/>
  <c r="T244" i="4"/>
  <c r="T254" i="4"/>
  <c r="D254" i="4"/>
  <c r="L256" i="4"/>
  <c r="R279" i="4"/>
  <c r="S279" i="4" s="1"/>
  <c r="Z279" i="4"/>
  <c r="AA279" i="4" s="1"/>
  <c r="J279" i="4"/>
  <c r="K279" i="4" s="1"/>
  <c r="X279" i="4"/>
  <c r="L292" i="4"/>
  <c r="L458" i="4"/>
  <c r="L211" i="4"/>
  <c r="AB211" i="4"/>
  <c r="D211" i="4"/>
  <c r="L214" i="4"/>
  <c r="AB214" i="4"/>
  <c r="D214" i="4"/>
  <c r="L217" i="4"/>
  <c r="AB217" i="4"/>
  <c r="D217" i="4"/>
  <c r="L220" i="4"/>
  <c r="AB220" i="4"/>
  <c r="D220" i="4"/>
  <c r="L223" i="4"/>
  <c r="AB223" i="4"/>
  <c r="D223" i="4"/>
  <c r="L226" i="4"/>
  <c r="AB226" i="4"/>
  <c r="D226" i="4"/>
  <c r="Z229" i="4"/>
  <c r="AA229" i="4" s="1"/>
  <c r="X229" i="4"/>
  <c r="P229" i="4"/>
  <c r="R229" i="4"/>
  <c r="S229" i="4" s="1"/>
  <c r="AB230" i="4"/>
  <c r="D230" i="4"/>
  <c r="T230" i="4"/>
  <c r="T234" i="4"/>
  <c r="L234" i="4"/>
  <c r="L238" i="4"/>
  <c r="AB238" i="4"/>
  <c r="D238" i="4"/>
  <c r="Z249" i="4"/>
  <c r="AA249" i="4" s="1"/>
  <c r="J249" i="4"/>
  <c r="K249" i="4" s="1"/>
  <c r="D250" i="4"/>
  <c r="AB250" i="4"/>
  <c r="T250" i="4"/>
  <c r="P268" i="4"/>
  <c r="R285" i="4"/>
  <c r="S285" i="4" s="1"/>
  <c r="Z285" i="4"/>
  <c r="AA285" i="4" s="1"/>
  <c r="P285" i="4"/>
  <c r="X285" i="4"/>
  <c r="J285" i="4"/>
  <c r="K285" i="4" s="1"/>
  <c r="T301" i="4"/>
  <c r="T303" i="4"/>
  <c r="D303" i="4"/>
  <c r="L303" i="4"/>
  <c r="AB303" i="4"/>
  <c r="L328" i="4"/>
  <c r="T435" i="4"/>
  <c r="L185" i="4"/>
  <c r="Z185" i="4"/>
  <c r="AA185" i="4" s="1"/>
  <c r="L188" i="4"/>
  <c r="Z188" i="4"/>
  <c r="AA188" i="4" s="1"/>
  <c r="L191" i="4"/>
  <c r="Z191" i="4"/>
  <c r="AA191" i="4" s="1"/>
  <c r="L194" i="4"/>
  <c r="Z194" i="4"/>
  <c r="AA194" i="4" s="1"/>
  <c r="L197" i="4"/>
  <c r="Z197" i="4"/>
  <c r="AA197" i="4" s="1"/>
  <c r="L200" i="4"/>
  <c r="Z200" i="4"/>
  <c r="AA200" i="4" s="1"/>
  <c r="L203" i="4"/>
  <c r="Z203" i="4"/>
  <c r="AA203" i="4" s="1"/>
  <c r="L206" i="4"/>
  <c r="Z206" i="4"/>
  <c r="AA206" i="4" s="1"/>
  <c r="L209" i="4"/>
  <c r="Z209" i="4"/>
  <c r="AA209" i="4" s="1"/>
  <c r="L212" i="4"/>
  <c r="Z212" i="4"/>
  <c r="AA212" i="4" s="1"/>
  <c r="L215" i="4"/>
  <c r="Z215" i="4"/>
  <c r="AA215" i="4" s="1"/>
  <c r="L218" i="4"/>
  <c r="Z218" i="4"/>
  <c r="AA218" i="4" s="1"/>
  <c r="L221" i="4"/>
  <c r="Z221" i="4"/>
  <c r="AA221" i="4" s="1"/>
  <c r="L224" i="4"/>
  <c r="Z224" i="4"/>
  <c r="AA224" i="4" s="1"/>
  <c r="L227" i="4"/>
  <c r="P234" i="4"/>
  <c r="AB239" i="4"/>
  <c r="D239" i="4"/>
  <c r="T239" i="4"/>
  <c r="AB240" i="4"/>
  <c r="R249" i="4"/>
  <c r="S249" i="4" s="1"/>
  <c r="P250" i="4"/>
  <c r="J392" i="4"/>
  <c r="K392" i="4" s="1"/>
  <c r="X392" i="4"/>
  <c r="R392" i="4"/>
  <c r="S392" i="4" s="1"/>
  <c r="Z392" i="4"/>
  <c r="AA392" i="4" s="1"/>
  <c r="P392" i="4"/>
  <c r="Z273" i="4"/>
  <c r="AA273" i="4" s="1"/>
  <c r="R273" i="4"/>
  <c r="S273" i="4" s="1"/>
  <c r="J277" i="4"/>
  <c r="K277" i="4" s="1"/>
  <c r="R277" i="4"/>
  <c r="S277" i="4" s="1"/>
  <c r="T277" i="4"/>
  <c r="L278" i="4"/>
  <c r="T283" i="4"/>
  <c r="L301" i="4"/>
  <c r="T315" i="4"/>
  <c r="AB377" i="4"/>
  <c r="T381" i="4"/>
  <c r="T389" i="4"/>
  <c r="T455" i="4"/>
  <c r="AB508" i="4"/>
  <c r="L617" i="4"/>
  <c r="Z243" i="4"/>
  <c r="AA243" i="4" s="1"/>
  <c r="L249" i="4"/>
  <c r="AA255" i="4"/>
  <c r="AA260" i="4"/>
  <c r="P264" i="4"/>
  <c r="T270" i="4"/>
  <c r="L270" i="4"/>
  <c r="P273" i="4"/>
  <c r="D284" i="4"/>
  <c r="AB284" i="4"/>
  <c r="L296" i="4"/>
  <c r="L325" i="4"/>
  <c r="L349" i="4"/>
  <c r="J386" i="4"/>
  <c r="K386" i="4" s="1"/>
  <c r="Z386" i="4"/>
  <c r="AA386" i="4" s="1"/>
  <c r="X386" i="4"/>
  <c r="P386" i="4"/>
  <c r="AB416" i="4"/>
  <c r="L506" i="4"/>
  <c r="T509" i="4"/>
  <c r="R527" i="4"/>
  <c r="S527" i="4" s="1"/>
  <c r="Z527" i="4"/>
  <c r="AA527" i="4" s="1"/>
  <c r="J527" i="4"/>
  <c r="K527" i="4" s="1"/>
  <c r="X527" i="4"/>
  <c r="P527" i="4"/>
  <c r="L561" i="4"/>
  <c r="D561" i="4"/>
  <c r="T561" i="4"/>
  <c r="AB561" i="4"/>
  <c r="T565" i="4"/>
  <c r="L653" i="4"/>
  <c r="L687" i="4"/>
  <c r="T260" i="4"/>
  <c r="AB260" i="4"/>
  <c r="P262" i="4"/>
  <c r="Z267" i="4"/>
  <c r="AA267" i="4" s="1"/>
  <c r="R267" i="4"/>
  <c r="S267" i="4" s="1"/>
  <c r="T294" i="4"/>
  <c r="D294" i="4"/>
  <c r="D299" i="4"/>
  <c r="AB299" i="4"/>
  <c r="T299" i="4"/>
  <c r="T345" i="4"/>
  <c r="AB359" i="4"/>
  <c r="T362" i="4"/>
  <c r="AB362" i="4"/>
  <c r="L362" i="4"/>
  <c r="D362" i="4"/>
  <c r="Z443" i="4"/>
  <c r="AA443" i="4" s="1"/>
  <c r="X443" i="4"/>
  <c r="J443" i="4"/>
  <c r="K443" i="4" s="1"/>
  <c r="P443" i="4"/>
  <c r="Z458" i="4"/>
  <c r="AA458" i="4" s="1"/>
  <c r="R458" i="4"/>
  <c r="S458" i="4" s="1"/>
  <c r="X458" i="4"/>
  <c r="J458" i="4"/>
  <c r="K458" i="4" s="1"/>
  <c r="AB540" i="4"/>
  <c r="T545" i="4"/>
  <c r="J645" i="4"/>
  <c r="K645" i="4" s="1"/>
  <c r="X645" i="4"/>
  <c r="Z645" i="4"/>
  <c r="AA645" i="4" s="1"/>
  <c r="R645" i="4"/>
  <c r="S645" i="4" s="1"/>
  <c r="P645" i="4"/>
  <c r="P253" i="4"/>
  <c r="S264" i="4"/>
  <c r="P267" i="4"/>
  <c r="Z270" i="4"/>
  <c r="AA270" i="4" s="1"/>
  <c r="X270" i="4"/>
  <c r="T295" i="4"/>
  <c r="AB297" i="4"/>
  <c r="L313" i="4"/>
  <c r="R316" i="4"/>
  <c r="S316" i="4" s="1"/>
  <c r="P316" i="4"/>
  <c r="T375" i="4"/>
  <c r="R385" i="4"/>
  <c r="S385" i="4" s="1"/>
  <c r="P385" i="4"/>
  <c r="Z385" i="4"/>
  <c r="AA385" i="4" s="1"/>
  <c r="X385" i="4"/>
  <c r="J385" i="4"/>
  <c r="K385" i="4" s="1"/>
  <c r="L485" i="4"/>
  <c r="R497" i="4"/>
  <c r="S497" i="4" s="1"/>
  <c r="Z497" i="4"/>
  <c r="AA497" i="4" s="1"/>
  <c r="P497" i="4"/>
  <c r="X497" i="4"/>
  <c r="J497" i="4"/>
  <c r="K497" i="4" s="1"/>
  <c r="T285" i="4"/>
  <c r="D285" i="4"/>
  <c r="L287" i="4"/>
  <c r="R294" i="4"/>
  <c r="S294" i="4" s="1"/>
  <c r="Z294" i="4"/>
  <c r="AA294" i="4" s="1"/>
  <c r="P294" i="4"/>
  <c r="X294" i="4"/>
  <c r="J294" i="4"/>
  <c r="K294" i="4" s="1"/>
  <c r="J298" i="4"/>
  <c r="K298" i="4" s="1"/>
  <c r="R298" i="4"/>
  <c r="S298" i="4" s="1"/>
  <c r="X298" i="4"/>
  <c r="P298" i="4"/>
  <c r="Z298" i="4"/>
  <c r="AA298" i="4" s="1"/>
  <c r="AB300" i="4"/>
  <c r="AB314" i="4"/>
  <c r="R323" i="4"/>
  <c r="S323" i="4" s="1"/>
  <c r="Z323" i="4"/>
  <c r="AA323" i="4" s="1"/>
  <c r="J323" i="4"/>
  <c r="K323" i="4" s="1"/>
  <c r="X323" i="4"/>
  <c r="T324" i="4"/>
  <c r="Z346" i="4"/>
  <c r="AA346" i="4" s="1"/>
  <c r="R346" i="4"/>
  <c r="S346" i="4" s="1"/>
  <c r="X346" i="4"/>
  <c r="J346" i="4"/>
  <c r="K346" i="4" s="1"/>
  <c r="J362" i="4"/>
  <c r="K362" i="4" s="1"/>
  <c r="P362" i="4"/>
  <c r="Z362" i="4"/>
  <c r="AA362" i="4" s="1"/>
  <c r="X362" i="4"/>
  <c r="L392" i="4"/>
  <c r="D392" i="4"/>
  <c r="AB392" i="4"/>
  <c r="T392" i="4"/>
  <c r="T393" i="4"/>
  <c r="AB427" i="4"/>
  <c r="D427" i="4"/>
  <c r="L427" i="4"/>
  <c r="T427" i="4"/>
  <c r="J599" i="4"/>
  <c r="K599" i="4" s="1"/>
  <c r="Z599" i="4"/>
  <c r="AA599" i="4" s="1"/>
  <c r="X599" i="4"/>
  <c r="P599" i="4"/>
  <c r="R599" i="4"/>
  <c r="S599" i="4" s="1"/>
  <c r="X255" i="4"/>
  <c r="AA261" i="4"/>
  <c r="J262" i="4"/>
  <c r="K262" i="4" s="1"/>
  <c r="X262" i="4"/>
  <c r="J267" i="4"/>
  <c r="K267" i="4" s="1"/>
  <c r="X267" i="4"/>
  <c r="T276" i="4"/>
  <c r="L276" i="4"/>
  <c r="J280" i="4"/>
  <c r="K280" i="4" s="1"/>
  <c r="R280" i="4"/>
  <c r="S280" i="4" s="1"/>
  <c r="X280" i="4"/>
  <c r="P280" i="4"/>
  <c r="L284" i="4"/>
  <c r="R288" i="4"/>
  <c r="S288" i="4" s="1"/>
  <c r="Z288" i="4"/>
  <c r="AA288" i="4" s="1"/>
  <c r="P288" i="4"/>
  <c r="J289" i="4"/>
  <c r="K289" i="4" s="1"/>
  <c r="R289" i="4"/>
  <c r="S289" i="4" s="1"/>
  <c r="X289" i="4"/>
  <c r="P289" i="4"/>
  <c r="Z289" i="4"/>
  <c r="AA289" i="4" s="1"/>
  <c r="AB291" i="4"/>
  <c r="R303" i="4"/>
  <c r="S303" i="4" s="1"/>
  <c r="Z303" i="4"/>
  <c r="AA303" i="4" s="1"/>
  <c r="P303" i="4"/>
  <c r="X303" i="4"/>
  <c r="J303" i="4"/>
  <c r="K303" i="4" s="1"/>
  <c r="L316" i="4"/>
  <c r="Z316" i="4"/>
  <c r="AA316" i="4" s="1"/>
  <c r="AB320" i="4"/>
  <c r="T320" i="4"/>
  <c r="D320" i="4"/>
  <c r="L320" i="4"/>
  <c r="T327" i="4"/>
  <c r="Z341" i="4"/>
  <c r="AA341" i="4" s="1"/>
  <c r="X341" i="4"/>
  <c r="P341" i="4"/>
  <c r="J341" i="4"/>
  <c r="K341" i="4" s="1"/>
  <c r="T357" i="4"/>
  <c r="T378" i="4"/>
  <c r="L385" i="4"/>
  <c r="Z485" i="4"/>
  <c r="AA485" i="4" s="1"/>
  <c r="R485" i="4"/>
  <c r="S485" i="4" s="1"/>
  <c r="X485" i="4"/>
  <c r="J485" i="4"/>
  <c r="K485" i="4" s="1"/>
  <c r="L274" i="4"/>
  <c r="AB285" i="4"/>
  <c r="T292" i="4"/>
  <c r="R340" i="4"/>
  <c r="S340" i="4" s="1"/>
  <c r="P340" i="4"/>
  <c r="X340" i="4"/>
  <c r="Z340" i="4"/>
  <c r="AA340" i="4" s="1"/>
  <c r="L398" i="4"/>
  <c r="Z419" i="4"/>
  <c r="AA419" i="4" s="1"/>
  <c r="X419" i="4"/>
  <c r="P419" i="4"/>
  <c r="R419" i="4"/>
  <c r="S419" i="4" s="1"/>
  <c r="AB463" i="4"/>
  <c r="D463" i="4"/>
  <c r="L463" i="4"/>
  <c r="T463" i="4"/>
  <c r="T464" i="4"/>
  <c r="T518" i="4"/>
  <c r="P259" i="4"/>
  <c r="Z262" i="4"/>
  <c r="AA262" i="4" s="1"/>
  <c r="T264" i="4"/>
  <c r="L264" i="4"/>
  <c r="Z276" i="4"/>
  <c r="AA276" i="4" s="1"/>
  <c r="X276" i="4"/>
  <c r="J276" i="4"/>
  <c r="K276" i="4" s="1"/>
  <c r="R276" i="4"/>
  <c r="S276" i="4" s="1"/>
  <c r="P277" i="4"/>
  <c r="AB282" i="4"/>
  <c r="D293" i="4"/>
  <c r="AB293" i="4"/>
  <c r="L299" i="4"/>
  <c r="AA299" i="4"/>
  <c r="AB308" i="4"/>
  <c r="T308" i="4"/>
  <c r="D308" i="4"/>
  <c r="L308" i="4"/>
  <c r="L386" i="4"/>
  <c r="T386" i="4"/>
  <c r="AB386" i="4"/>
  <c r="D386" i="4"/>
  <c r="R386" i="4"/>
  <c r="S386" i="4" s="1"/>
  <c r="Z425" i="4"/>
  <c r="AA425" i="4" s="1"/>
  <c r="X425" i="4"/>
  <c r="P425" i="4"/>
  <c r="J425" i="4"/>
  <c r="K425" i="4" s="1"/>
  <c r="R425" i="4"/>
  <c r="S425" i="4" s="1"/>
  <c r="X432" i="4"/>
  <c r="R432" i="4"/>
  <c r="S432" i="4" s="1"/>
  <c r="Z432" i="4"/>
  <c r="AA432" i="4" s="1"/>
  <c r="P432" i="4"/>
  <c r="J432" i="4"/>
  <c r="K432" i="4" s="1"/>
  <c r="Z449" i="4"/>
  <c r="AA449" i="4" s="1"/>
  <c r="R449" i="4"/>
  <c r="S449" i="4" s="1"/>
  <c r="J449" i="4"/>
  <c r="K449" i="4" s="1"/>
  <c r="X449" i="4"/>
  <c r="P449" i="4"/>
  <c r="J286" i="4"/>
  <c r="K286" i="4" s="1"/>
  <c r="R286" i="4"/>
  <c r="S286" i="4" s="1"/>
  <c r="J295" i="4"/>
  <c r="K295" i="4" s="1"/>
  <c r="R295" i="4"/>
  <c r="S295" i="4" s="1"/>
  <c r="D297" i="4"/>
  <c r="J304" i="4"/>
  <c r="K304" i="4" s="1"/>
  <c r="R304" i="4"/>
  <c r="S304" i="4" s="1"/>
  <c r="T321" i="4"/>
  <c r="T326" i="4"/>
  <c r="L334" i="4"/>
  <c r="X338" i="4"/>
  <c r="S343" i="4"/>
  <c r="T344" i="4"/>
  <c r="L346" i="4"/>
  <c r="R349" i="4"/>
  <c r="S349" i="4" s="1"/>
  <c r="P349" i="4"/>
  <c r="Z349" i="4"/>
  <c r="AA349" i="4" s="1"/>
  <c r="X349" i="4"/>
  <c r="J350" i="4"/>
  <c r="K350" i="4" s="1"/>
  <c r="Z350" i="4"/>
  <c r="AA350" i="4" s="1"/>
  <c r="X350" i="4"/>
  <c r="L356" i="4"/>
  <c r="D356" i="4"/>
  <c r="R364" i="4"/>
  <c r="S364" i="4" s="1"/>
  <c r="Z364" i="4"/>
  <c r="AA364" i="4" s="1"/>
  <c r="J364" i="4"/>
  <c r="K364" i="4" s="1"/>
  <c r="X364" i="4"/>
  <c r="J365" i="4"/>
  <c r="K365" i="4" s="1"/>
  <c r="Z365" i="4"/>
  <c r="AA365" i="4" s="1"/>
  <c r="X365" i="4"/>
  <c r="R365" i="4"/>
  <c r="S365" i="4" s="1"/>
  <c r="L367" i="4"/>
  <c r="AA375" i="4"/>
  <c r="T404" i="4"/>
  <c r="D404" i="4"/>
  <c r="L404" i="4"/>
  <c r="L423" i="4"/>
  <c r="AB423" i="4"/>
  <c r="T423" i="4"/>
  <c r="D423" i="4"/>
  <c r="L434" i="4"/>
  <c r="AB454" i="4"/>
  <c r="D454" i="4"/>
  <c r="L454" i="4"/>
  <c r="T454" i="4"/>
  <c r="AB481" i="4"/>
  <c r="D481" i="4"/>
  <c r="L481" i="4"/>
  <c r="T481" i="4"/>
  <c r="T482" i="4"/>
  <c r="X492" i="4"/>
  <c r="J492" i="4"/>
  <c r="K492" i="4" s="1"/>
  <c r="R492" i="4"/>
  <c r="S492" i="4" s="1"/>
  <c r="Z492" i="4"/>
  <c r="AA492" i="4" s="1"/>
  <c r="P492" i="4"/>
  <c r="T499" i="4"/>
  <c r="R518" i="4"/>
  <c r="S518" i="4" s="1"/>
  <c r="Z518" i="4"/>
  <c r="AA518" i="4" s="1"/>
  <c r="J518" i="4"/>
  <c r="K518" i="4" s="1"/>
  <c r="AB535" i="4"/>
  <c r="T559" i="4"/>
  <c r="L305" i="4"/>
  <c r="T306" i="4"/>
  <c r="T309" i="4"/>
  <c r="T314" i="4"/>
  <c r="L317" i="4"/>
  <c r="T317" i="4"/>
  <c r="P319" i="4"/>
  <c r="R329" i="4"/>
  <c r="S329" i="4" s="1"/>
  <c r="J383" i="4"/>
  <c r="K383" i="4" s="1"/>
  <c r="X383" i="4"/>
  <c r="L440" i="4"/>
  <c r="X467" i="4"/>
  <c r="Z476" i="4"/>
  <c r="AA476" i="4" s="1"/>
  <c r="R476" i="4"/>
  <c r="S476" i="4" s="1"/>
  <c r="T491" i="4"/>
  <c r="X501" i="4"/>
  <c r="J501" i="4"/>
  <c r="K501" i="4" s="1"/>
  <c r="R501" i="4"/>
  <c r="S501" i="4" s="1"/>
  <c r="Z501" i="4"/>
  <c r="AA501" i="4" s="1"/>
  <c r="L554" i="4"/>
  <c r="T297" i="4"/>
  <c r="X311" i="4"/>
  <c r="P322" i="4"/>
  <c r="AA330" i="4"/>
  <c r="Z338" i="4"/>
  <c r="AA338" i="4" s="1"/>
  <c r="K342" i="4"/>
  <c r="J356" i="4"/>
  <c r="K356" i="4" s="1"/>
  <c r="X356" i="4"/>
  <c r="R356" i="4"/>
  <c r="S356" i="4" s="1"/>
  <c r="T356" i="4"/>
  <c r="T368" i="4"/>
  <c r="D368" i="4"/>
  <c r="AA370" i="4"/>
  <c r="AB380" i="4"/>
  <c r="T384" i="4"/>
  <c r="T408" i="4"/>
  <c r="L420" i="4"/>
  <c r="D420" i="4"/>
  <c r="T420" i="4"/>
  <c r="X423" i="4"/>
  <c r="Z423" i="4"/>
  <c r="AA423" i="4" s="1"/>
  <c r="J423" i="4"/>
  <c r="K423" i="4" s="1"/>
  <c r="Z437" i="4"/>
  <c r="AA437" i="4" s="1"/>
  <c r="X437" i="4"/>
  <c r="J437" i="4"/>
  <c r="K437" i="4" s="1"/>
  <c r="R437" i="4"/>
  <c r="S437" i="4" s="1"/>
  <c r="P437" i="4"/>
  <c r="AB529" i="4"/>
  <c r="AB531" i="4"/>
  <c r="T544" i="4"/>
  <c r="D544" i="4"/>
  <c r="AB544" i="4"/>
  <c r="L544" i="4"/>
  <c r="Z576" i="4"/>
  <c r="AA576" i="4" s="1"/>
  <c r="X576" i="4"/>
  <c r="J576" i="4"/>
  <c r="K576" i="4" s="1"/>
  <c r="P576" i="4"/>
  <c r="AB612" i="4"/>
  <c r="L722" i="4"/>
  <c r="T722" i="4"/>
  <c r="D722" i="4"/>
  <c r="AB722" i="4"/>
  <c r="AA278" i="4"/>
  <c r="R282" i="4"/>
  <c r="S282" i="4" s="1"/>
  <c r="Z282" i="4"/>
  <c r="AA282" i="4" s="1"/>
  <c r="AA287" i="4"/>
  <c r="R291" i="4"/>
  <c r="S291" i="4" s="1"/>
  <c r="Z291" i="4"/>
  <c r="AA291" i="4" s="1"/>
  <c r="AA296" i="4"/>
  <c r="R300" i="4"/>
  <c r="S300" i="4" s="1"/>
  <c r="Z300" i="4"/>
  <c r="AA300" i="4" s="1"/>
  <c r="J307" i="4"/>
  <c r="K307" i="4" s="1"/>
  <c r="R307" i="4"/>
  <c r="S307" i="4" s="1"/>
  <c r="P310" i="4"/>
  <c r="S319" i="4"/>
  <c r="J326" i="4"/>
  <c r="K326" i="4" s="1"/>
  <c r="R352" i="4"/>
  <c r="S352" i="4" s="1"/>
  <c r="X352" i="4"/>
  <c r="J352" i="4"/>
  <c r="K352" i="4" s="1"/>
  <c r="Z352" i="4"/>
  <c r="AA352" i="4" s="1"/>
  <c r="T360" i="4"/>
  <c r="T369" i="4"/>
  <c r="R373" i="4"/>
  <c r="S373" i="4" s="1"/>
  <c r="X373" i="4"/>
  <c r="J373" i="4"/>
  <c r="K373" i="4" s="1"/>
  <c r="P373" i="4"/>
  <c r="T417" i="4"/>
  <c r="L467" i="4"/>
  <c r="R491" i="4"/>
  <c r="S491" i="4" s="1"/>
  <c r="Z491" i="4"/>
  <c r="AA491" i="4" s="1"/>
  <c r="J491" i="4"/>
  <c r="K491" i="4" s="1"/>
  <c r="X491" i="4"/>
  <c r="P491" i="4"/>
  <c r="L495" i="4"/>
  <c r="AB495" i="4"/>
  <c r="T495" i="4"/>
  <c r="D495" i="4"/>
  <c r="L512" i="4"/>
  <c r="X518" i="4"/>
  <c r="X528" i="4"/>
  <c r="J528" i="4"/>
  <c r="K528" i="4" s="1"/>
  <c r="R528" i="4"/>
  <c r="S528" i="4" s="1"/>
  <c r="P528" i="4"/>
  <c r="T532" i="4"/>
  <c r="L534" i="4"/>
  <c r="AB534" i="4"/>
  <c r="T534" i="4"/>
  <c r="D534" i="4"/>
  <c r="R539" i="4"/>
  <c r="S539" i="4" s="1"/>
  <c r="Z539" i="4"/>
  <c r="AA539" i="4" s="1"/>
  <c r="J539" i="4"/>
  <c r="K539" i="4" s="1"/>
  <c r="S720" i="4"/>
  <c r="R338" i="4"/>
  <c r="S338" i="4" s="1"/>
  <c r="L371" i="4"/>
  <c r="AB452" i="4"/>
  <c r="L476" i="4"/>
  <c r="L507" i="4"/>
  <c r="AB507" i="4"/>
  <c r="T507" i="4"/>
  <c r="D507" i="4"/>
  <c r="T546" i="4"/>
  <c r="AB546" i="4"/>
  <c r="L546" i="4"/>
  <c r="T790" i="4"/>
  <c r="J283" i="4"/>
  <c r="K283" i="4" s="1"/>
  <c r="R283" i="4"/>
  <c r="S283" i="4" s="1"/>
  <c r="Z286" i="4"/>
  <c r="AA286" i="4" s="1"/>
  <c r="J292" i="4"/>
  <c r="K292" i="4" s="1"/>
  <c r="R292" i="4"/>
  <c r="S292" i="4" s="1"/>
  <c r="Z295" i="4"/>
  <c r="AA295" i="4" s="1"/>
  <c r="L297" i="4"/>
  <c r="J301" i="4"/>
  <c r="K301" i="4" s="1"/>
  <c r="R301" i="4"/>
  <c r="S301" i="4" s="1"/>
  <c r="Z304" i="4"/>
  <c r="AA304" i="4" s="1"/>
  <c r="AA309" i="4"/>
  <c r="R311" i="4"/>
  <c r="S311" i="4" s="1"/>
  <c r="Z311" i="4"/>
  <c r="AA311" i="4" s="1"/>
  <c r="P311" i="4"/>
  <c r="L322" i="4"/>
  <c r="P326" i="4"/>
  <c r="AB326" i="4"/>
  <c r="AA351" i="4"/>
  <c r="AB356" i="4"/>
  <c r="L416" i="4"/>
  <c r="L426" i="4"/>
  <c r="D426" i="4"/>
  <c r="T426" i="4"/>
  <c r="AB426" i="4"/>
  <c r="X429" i="4"/>
  <c r="Z429" i="4"/>
  <c r="AA429" i="4" s="1"/>
  <c r="J429" i="4"/>
  <c r="K429" i="4" s="1"/>
  <c r="P429" i="4"/>
  <c r="P430" i="4"/>
  <c r="R430" i="4"/>
  <c r="S430" i="4" s="1"/>
  <c r="Z430" i="4"/>
  <c r="AA430" i="4" s="1"/>
  <c r="J430" i="4"/>
  <c r="K430" i="4" s="1"/>
  <c r="X430" i="4"/>
  <c r="X441" i="4"/>
  <c r="Z441" i="4"/>
  <c r="AA441" i="4" s="1"/>
  <c r="J441" i="4"/>
  <c r="K441" i="4" s="1"/>
  <c r="P441" i="4"/>
  <c r="R441" i="4"/>
  <c r="S441" i="4" s="1"/>
  <c r="P442" i="4"/>
  <c r="R442" i="4"/>
  <c r="S442" i="4" s="1"/>
  <c r="Z442" i="4"/>
  <c r="AA442" i="4" s="1"/>
  <c r="X442" i="4"/>
  <c r="AB472" i="4"/>
  <c r="D472" i="4"/>
  <c r="L472" i="4"/>
  <c r="T472" i="4"/>
  <c r="T473" i="4"/>
  <c r="R494" i="4"/>
  <c r="S494" i="4" s="1"/>
  <c r="Z494" i="4"/>
  <c r="AA494" i="4" s="1"/>
  <c r="J494" i="4"/>
  <c r="K494" i="4" s="1"/>
  <c r="X494" i="4"/>
  <c r="P494" i="4"/>
  <c r="X513" i="4"/>
  <c r="J513" i="4"/>
  <c r="K513" i="4" s="1"/>
  <c r="R513" i="4"/>
  <c r="S513" i="4" s="1"/>
  <c r="P513" i="4"/>
  <c r="T732" i="4"/>
  <c r="T789" i="4"/>
  <c r="T795" i="4"/>
  <c r="L310" i="4"/>
  <c r="R335" i="4"/>
  <c r="S335" i="4" s="1"/>
  <c r="Z335" i="4"/>
  <c r="AA335" i="4" s="1"/>
  <c r="X335" i="4"/>
  <c r="P335" i="4"/>
  <c r="J371" i="4"/>
  <c r="K371" i="4" s="1"/>
  <c r="X371" i="4"/>
  <c r="Z371" i="4"/>
  <c r="AA371" i="4" s="1"/>
  <c r="R371" i="4"/>
  <c r="S371" i="4" s="1"/>
  <c r="L377" i="4"/>
  <c r="D389" i="4"/>
  <c r="AB389" i="4"/>
  <c r="AB395" i="4"/>
  <c r="T411" i="4"/>
  <c r="L425" i="4"/>
  <c r="L438" i="4"/>
  <c r="D438" i="4"/>
  <c r="T438" i="4"/>
  <c r="AB438" i="4"/>
  <c r="Z467" i="4"/>
  <c r="AA467" i="4" s="1"/>
  <c r="R467" i="4"/>
  <c r="S467" i="4" s="1"/>
  <c r="R512" i="4"/>
  <c r="S512" i="4" s="1"/>
  <c r="Z512" i="4"/>
  <c r="AA512" i="4" s="1"/>
  <c r="P512" i="4"/>
  <c r="X512" i="4"/>
  <c r="L519" i="4"/>
  <c r="T519" i="4"/>
  <c r="D519" i="4"/>
  <c r="AB519" i="4"/>
  <c r="R524" i="4"/>
  <c r="S524" i="4" s="1"/>
  <c r="Z524" i="4"/>
  <c r="AA524" i="4" s="1"/>
  <c r="J524" i="4"/>
  <c r="K524" i="4" s="1"/>
  <c r="X524" i="4"/>
  <c r="P524" i="4"/>
  <c r="L539" i="4"/>
  <c r="AA251" i="4"/>
  <c r="AA257" i="4"/>
  <c r="AA263" i="4"/>
  <c r="AA269" i="4"/>
  <c r="AA275" i="4"/>
  <c r="J282" i="4"/>
  <c r="K282" i="4" s="1"/>
  <c r="X282" i="4"/>
  <c r="J291" i="4"/>
  <c r="K291" i="4" s="1"/>
  <c r="X291" i="4"/>
  <c r="J300" i="4"/>
  <c r="K300" i="4" s="1"/>
  <c r="X300" i="4"/>
  <c r="R306" i="4"/>
  <c r="S306" i="4" s="1"/>
  <c r="Z306" i="4"/>
  <c r="AA306" i="4" s="1"/>
  <c r="J310" i="4"/>
  <c r="K310" i="4" s="1"/>
  <c r="X310" i="4"/>
  <c r="J317" i="4"/>
  <c r="K317" i="4" s="1"/>
  <c r="Z317" i="4"/>
  <c r="AA317" i="4" s="1"/>
  <c r="Z319" i="4"/>
  <c r="AA319" i="4" s="1"/>
  <c r="S328" i="4"/>
  <c r="P328" i="4"/>
  <c r="L329" i="4"/>
  <c r="T329" i="4"/>
  <c r="X331" i="4"/>
  <c r="J331" i="4"/>
  <c r="K331" i="4" s="1"/>
  <c r="Z331" i="4"/>
  <c r="AA331" i="4" s="1"/>
  <c r="R331" i="4"/>
  <c r="S331" i="4" s="1"/>
  <c r="D332" i="4"/>
  <c r="AB332" i="4"/>
  <c r="L350" i="4"/>
  <c r="T350" i="4"/>
  <c r="D350" i="4"/>
  <c r="P365" i="4"/>
  <c r="L368" i="4"/>
  <c r="D371" i="4"/>
  <c r="T371" i="4"/>
  <c r="J380" i="4"/>
  <c r="K380" i="4" s="1"/>
  <c r="P380" i="4"/>
  <c r="Z380" i="4"/>
  <c r="AA380" i="4" s="1"/>
  <c r="X380" i="4"/>
  <c r="R380" i="4"/>
  <c r="S380" i="4" s="1"/>
  <c r="AB424" i="4"/>
  <c r="D424" i="4"/>
  <c r="T424" i="4"/>
  <c r="L424" i="4"/>
  <c r="L497" i="4"/>
  <c r="P501" i="4"/>
  <c r="P518" i="4"/>
  <c r="D546" i="4"/>
  <c r="L575" i="4"/>
  <c r="J611" i="4"/>
  <c r="K611" i="4" s="1"/>
  <c r="Z611" i="4"/>
  <c r="AA611" i="4" s="1"/>
  <c r="X611" i="4"/>
  <c r="P611" i="4"/>
  <c r="T667" i="4"/>
  <c r="AB667" i="4"/>
  <c r="L667" i="4"/>
  <c r="Z668" i="4"/>
  <c r="AA668" i="4" s="1"/>
  <c r="X668" i="4"/>
  <c r="P668" i="4"/>
  <c r="J668" i="4"/>
  <c r="K668" i="4" s="1"/>
  <c r="X670" i="4"/>
  <c r="J670" i="4"/>
  <c r="K670" i="4" s="1"/>
  <c r="Z670" i="4"/>
  <c r="AA670" i="4" s="1"/>
  <c r="P670" i="4"/>
  <c r="R670" i="4"/>
  <c r="S670" i="4" s="1"/>
  <c r="AB774" i="4"/>
  <c r="T778" i="4"/>
  <c r="D374" i="4"/>
  <c r="AB374" i="4"/>
  <c r="L374" i="4"/>
  <c r="T402" i="4"/>
  <c r="X435" i="4"/>
  <c r="Z435" i="4"/>
  <c r="AA435" i="4" s="1"/>
  <c r="J435" i="4"/>
  <c r="K435" i="4" s="1"/>
  <c r="P435" i="4"/>
  <c r="X495" i="4"/>
  <c r="J495" i="4"/>
  <c r="K495" i="4" s="1"/>
  <c r="R495" i="4"/>
  <c r="S495" i="4" s="1"/>
  <c r="AB510" i="4"/>
  <c r="L518" i="4"/>
  <c r="J561" i="4"/>
  <c r="K561" i="4" s="1"/>
  <c r="X561" i="4"/>
  <c r="R561" i="4"/>
  <c r="S561" i="4" s="1"/>
  <c r="Z561" i="4"/>
  <c r="AA561" i="4" s="1"/>
  <c r="X563" i="4"/>
  <c r="J563" i="4"/>
  <c r="K563" i="4" s="1"/>
  <c r="P563" i="4"/>
  <c r="R563" i="4"/>
  <c r="S563" i="4" s="1"/>
  <c r="R575" i="4"/>
  <c r="S575" i="4" s="1"/>
  <c r="Z575" i="4"/>
  <c r="AA575" i="4" s="1"/>
  <c r="P575" i="4"/>
  <c r="AB603" i="4"/>
  <c r="AB682" i="4"/>
  <c r="L727" i="4"/>
  <c r="D727" i="4"/>
  <c r="T727" i="4"/>
  <c r="AB727" i="4"/>
  <c r="AB730" i="4"/>
  <c r="AB413" i="4"/>
  <c r="P436" i="4"/>
  <c r="R436" i="4"/>
  <c r="S436" i="4" s="1"/>
  <c r="Z436" i="4"/>
  <c r="AA436" i="4" s="1"/>
  <c r="J436" i="4"/>
  <c r="K436" i="4" s="1"/>
  <c r="AB448" i="4"/>
  <c r="D448" i="4"/>
  <c r="L448" i="4"/>
  <c r="T448" i="4"/>
  <c r="T449" i="4"/>
  <c r="D449" i="4"/>
  <c r="AB460" i="4"/>
  <c r="D460" i="4"/>
  <c r="L460" i="4"/>
  <c r="T460" i="4"/>
  <c r="T461" i="4"/>
  <c r="AB469" i="4"/>
  <c r="D469" i="4"/>
  <c r="L469" i="4"/>
  <c r="T469" i="4"/>
  <c r="T470" i="4"/>
  <c r="AB478" i="4"/>
  <c r="D478" i="4"/>
  <c r="L478" i="4"/>
  <c r="T478" i="4"/>
  <c r="T479" i="4"/>
  <c r="AB487" i="4"/>
  <c r="D487" i="4"/>
  <c r="L487" i="4"/>
  <c r="T487" i="4"/>
  <c r="T488" i="4"/>
  <c r="L492" i="4"/>
  <c r="T492" i="4"/>
  <c r="D492" i="4"/>
  <c r="AB492" i="4"/>
  <c r="AB496" i="4"/>
  <c r="T533" i="4"/>
  <c r="X534" i="4"/>
  <c r="J534" i="4"/>
  <c r="K534" i="4" s="1"/>
  <c r="R534" i="4"/>
  <c r="S534" i="4" s="1"/>
  <c r="Z534" i="4"/>
  <c r="AA534" i="4" s="1"/>
  <c r="T535" i="4"/>
  <c r="T553" i="4"/>
  <c r="T643" i="4"/>
  <c r="AB648" i="4"/>
  <c r="R382" i="4"/>
  <c r="S382" i="4" s="1"/>
  <c r="Z382" i="4"/>
  <c r="AA382" i="4" s="1"/>
  <c r="T418" i="4"/>
  <c r="X436" i="4"/>
  <c r="AB440" i="4"/>
  <c r="AB489" i="4"/>
  <c r="AA505" i="4"/>
  <c r="AB588" i="4"/>
  <c r="R626" i="4"/>
  <c r="S626" i="4" s="1"/>
  <c r="X626" i="4"/>
  <c r="J626" i="4"/>
  <c r="K626" i="4" s="1"/>
  <c r="Z626" i="4"/>
  <c r="AA626" i="4" s="1"/>
  <c r="P626" i="4"/>
  <c r="R641" i="4"/>
  <c r="S641" i="4" s="1"/>
  <c r="X641" i="4"/>
  <c r="J641" i="4"/>
  <c r="K641" i="4" s="1"/>
  <c r="P641" i="4"/>
  <c r="Z641" i="4"/>
  <c r="AA641" i="4" s="1"/>
  <c r="L645" i="4"/>
  <c r="T645" i="4"/>
  <c r="D645" i="4"/>
  <c r="AB645" i="4"/>
  <c r="K661" i="4"/>
  <c r="D667" i="4"/>
  <c r="L723" i="4"/>
  <c r="X343" i="4"/>
  <c r="J343" i="4"/>
  <c r="K343" i="4" s="1"/>
  <c r="X382" i="4"/>
  <c r="X426" i="4"/>
  <c r="R426" i="4"/>
  <c r="S426" i="4" s="1"/>
  <c r="Z426" i="4"/>
  <c r="AA426" i="4" s="1"/>
  <c r="S427" i="4"/>
  <c r="L431" i="4"/>
  <c r="AB439" i="4"/>
  <c r="D439" i="4"/>
  <c r="L439" i="4"/>
  <c r="T439" i="4"/>
  <c r="L444" i="4"/>
  <c r="T444" i="4"/>
  <c r="D444" i="4"/>
  <c r="AB444" i="4"/>
  <c r="Z455" i="4"/>
  <c r="AA455" i="4" s="1"/>
  <c r="R455" i="4"/>
  <c r="S455" i="4" s="1"/>
  <c r="R500" i="4"/>
  <c r="S500" i="4" s="1"/>
  <c r="Z500" i="4"/>
  <c r="AA500" i="4" s="1"/>
  <c r="J500" i="4"/>
  <c r="K500" i="4" s="1"/>
  <c r="X500" i="4"/>
  <c r="T506" i="4"/>
  <c r="L525" i="4"/>
  <c r="T525" i="4"/>
  <c r="D525" i="4"/>
  <c r="AB525" i="4"/>
  <c r="AB537" i="4"/>
  <c r="J575" i="4"/>
  <c r="K575" i="4" s="1"/>
  <c r="D677" i="4"/>
  <c r="L677" i="4"/>
  <c r="T677" i="4"/>
  <c r="AB677" i="4"/>
  <c r="T713" i="4"/>
  <c r="D713" i="4"/>
  <c r="L713" i="4"/>
  <c r="AB713" i="4"/>
  <c r="AA360" i="4"/>
  <c r="AA366" i="4"/>
  <c r="X379" i="4"/>
  <c r="L382" i="4"/>
  <c r="T396" i="4"/>
  <c r="T414" i="4"/>
  <c r="L429" i="4"/>
  <c r="AB429" i="4"/>
  <c r="L437" i="4"/>
  <c r="X438" i="4"/>
  <c r="R438" i="4"/>
  <c r="S438" i="4" s="1"/>
  <c r="Z438" i="4"/>
  <c r="AA438" i="4" s="1"/>
  <c r="P438" i="4"/>
  <c r="L443" i="4"/>
  <c r="AB449" i="4"/>
  <c r="X507" i="4"/>
  <c r="J507" i="4"/>
  <c r="K507" i="4" s="1"/>
  <c r="R507" i="4"/>
  <c r="S507" i="4" s="1"/>
  <c r="Z507" i="4"/>
  <c r="AA507" i="4" s="1"/>
  <c r="T524" i="4"/>
  <c r="T622" i="4"/>
  <c r="AB691" i="4"/>
  <c r="D691" i="4"/>
  <c r="L691" i="4"/>
  <c r="T691" i="4"/>
  <c r="S691" i="4"/>
  <c r="S699" i="4"/>
  <c r="L702" i="4"/>
  <c r="P706" i="4"/>
  <c r="Z706" i="4"/>
  <c r="AA706" i="4" s="1"/>
  <c r="J706" i="4"/>
  <c r="K706" i="4" s="1"/>
  <c r="X706" i="4"/>
  <c r="R706" i="4"/>
  <c r="S706" i="4" s="1"/>
  <c r="D344" i="4"/>
  <c r="AB344" i="4"/>
  <c r="L361" i="4"/>
  <c r="T363" i="4"/>
  <c r="J379" i="4"/>
  <c r="K379" i="4" s="1"/>
  <c r="J382" i="4"/>
  <c r="K382" i="4" s="1"/>
  <c r="R388" i="4"/>
  <c r="S388" i="4" s="1"/>
  <c r="X388" i="4"/>
  <c r="J388" i="4"/>
  <c r="K388" i="4" s="1"/>
  <c r="AB407" i="4"/>
  <c r="AB430" i="4"/>
  <c r="D430" i="4"/>
  <c r="T430" i="4"/>
  <c r="P439" i="4"/>
  <c r="Z439" i="4"/>
  <c r="AA439" i="4" s="1"/>
  <c r="X439" i="4"/>
  <c r="R440" i="4"/>
  <c r="S440" i="4" s="1"/>
  <c r="Z440" i="4"/>
  <c r="AA440" i="4" s="1"/>
  <c r="P440" i="4"/>
  <c r="AB442" i="4"/>
  <c r="D442" i="4"/>
  <c r="T442" i="4"/>
  <c r="L442" i="4"/>
  <c r="P445" i="4"/>
  <c r="J445" i="4"/>
  <c r="K445" i="4" s="1"/>
  <c r="Z445" i="4"/>
  <c r="AA445" i="4" s="1"/>
  <c r="R445" i="4"/>
  <c r="S445" i="4" s="1"/>
  <c r="T446" i="4"/>
  <c r="D446" i="4"/>
  <c r="L446" i="4"/>
  <c r="L494" i="4"/>
  <c r="AB514" i="4"/>
  <c r="X525" i="4"/>
  <c r="J525" i="4"/>
  <c r="K525" i="4" s="1"/>
  <c r="R525" i="4"/>
  <c r="S525" i="4" s="1"/>
  <c r="L557" i="4"/>
  <c r="P561" i="4"/>
  <c r="D579" i="4"/>
  <c r="T579" i="4"/>
  <c r="AB579" i="4"/>
  <c r="L579" i="4"/>
  <c r="T636" i="4"/>
  <c r="D636" i="4"/>
  <c r="AB636" i="4"/>
  <c r="L636" i="4"/>
  <c r="T637" i="4"/>
  <c r="D665" i="4"/>
  <c r="L665" i="4"/>
  <c r="T665" i="4"/>
  <c r="J305" i="4"/>
  <c r="K305" i="4" s="1"/>
  <c r="J308" i="4"/>
  <c r="K308" i="4" s="1"/>
  <c r="J320" i="4"/>
  <c r="K320" i="4" s="1"/>
  <c r="J332" i="4"/>
  <c r="K332" i="4" s="1"/>
  <c r="T341" i="4"/>
  <c r="J344" i="4"/>
  <c r="K344" i="4" s="1"/>
  <c r="J355" i="4"/>
  <c r="K355" i="4" s="1"/>
  <c r="X355" i="4"/>
  <c r="X374" i="4"/>
  <c r="K377" i="4"/>
  <c r="AA381" i="4"/>
  <c r="J391" i="4"/>
  <c r="K391" i="4" s="1"/>
  <c r="X391" i="4"/>
  <c r="AA396" i="4"/>
  <c r="K398" i="4"/>
  <c r="AA402" i="4"/>
  <c r="K404" i="4"/>
  <c r="AA408" i="4"/>
  <c r="K410" i="4"/>
  <c r="AA414" i="4"/>
  <c r="K416" i="4"/>
  <c r="P418" i="4"/>
  <c r="R418" i="4"/>
  <c r="S418" i="4" s="1"/>
  <c r="Z418" i="4"/>
  <c r="AA418" i="4" s="1"/>
  <c r="L419" i="4"/>
  <c r="J421" i="4"/>
  <c r="K421" i="4" s="1"/>
  <c r="P424" i="4"/>
  <c r="R424" i="4"/>
  <c r="S424" i="4" s="1"/>
  <c r="Z424" i="4"/>
  <c r="AA424" i="4" s="1"/>
  <c r="Z431" i="4"/>
  <c r="AA431" i="4" s="1"/>
  <c r="X431" i="4"/>
  <c r="L432" i="4"/>
  <c r="D432" i="4"/>
  <c r="X444" i="4"/>
  <c r="R444" i="4"/>
  <c r="S444" i="4" s="1"/>
  <c r="K456" i="4"/>
  <c r="Z464" i="4"/>
  <c r="AA464" i="4" s="1"/>
  <c r="R464" i="4"/>
  <c r="S464" i="4" s="1"/>
  <c r="Z473" i="4"/>
  <c r="AA473" i="4" s="1"/>
  <c r="R473" i="4"/>
  <c r="S473" i="4" s="1"/>
  <c r="Z482" i="4"/>
  <c r="AA482" i="4" s="1"/>
  <c r="R482" i="4"/>
  <c r="S482" i="4" s="1"/>
  <c r="T494" i="4"/>
  <c r="AA496" i="4"/>
  <c r="T502" i="4"/>
  <c r="K508" i="4"/>
  <c r="R515" i="4"/>
  <c r="S515" i="4" s="1"/>
  <c r="Z515" i="4"/>
  <c r="AA515" i="4" s="1"/>
  <c r="L530" i="4"/>
  <c r="T541" i="4"/>
  <c r="T547" i="4"/>
  <c r="T601" i="4"/>
  <c r="R667" i="4"/>
  <c r="S667" i="4" s="1"/>
  <c r="Z667" i="4"/>
  <c r="AA667" i="4" s="1"/>
  <c r="J667" i="4"/>
  <c r="K667" i="4" s="1"/>
  <c r="X667" i="4"/>
  <c r="L714" i="4"/>
  <c r="T716" i="4"/>
  <c r="D716" i="4"/>
  <c r="AB716" i="4"/>
  <c r="K353" i="4"/>
  <c r="AA357" i="4"/>
  <c r="K389" i="4"/>
  <c r="AA393" i="4"/>
  <c r="X420" i="4"/>
  <c r="R420" i="4"/>
  <c r="S420" i="4" s="1"/>
  <c r="Z420" i="4"/>
  <c r="AA420" i="4" s="1"/>
  <c r="AB421" i="4"/>
  <c r="D421" i="4"/>
  <c r="L421" i="4"/>
  <c r="T421" i="4"/>
  <c r="P433" i="4"/>
  <c r="Z433" i="4"/>
  <c r="AA433" i="4" s="1"/>
  <c r="X433" i="4"/>
  <c r="R434" i="4"/>
  <c r="S434" i="4" s="1"/>
  <c r="Z434" i="4"/>
  <c r="AA434" i="4" s="1"/>
  <c r="AB451" i="4"/>
  <c r="D451" i="4"/>
  <c r="L451" i="4"/>
  <c r="T451" i="4"/>
  <c r="T452" i="4"/>
  <c r="Z461" i="4"/>
  <c r="AA461" i="4" s="1"/>
  <c r="R461" i="4"/>
  <c r="S461" i="4" s="1"/>
  <c r="Z470" i="4"/>
  <c r="AA470" i="4" s="1"/>
  <c r="R470" i="4"/>
  <c r="S470" i="4" s="1"/>
  <c r="Z479" i="4"/>
  <c r="AA479" i="4" s="1"/>
  <c r="R479" i="4"/>
  <c r="S479" i="4" s="1"/>
  <c r="R488" i="4"/>
  <c r="S488" i="4" s="1"/>
  <c r="Z488" i="4"/>
  <c r="AA488" i="4" s="1"/>
  <c r="L504" i="4"/>
  <c r="AB504" i="4"/>
  <c r="AB505" i="4"/>
  <c r="AB511" i="4"/>
  <c r="AB517" i="4"/>
  <c r="L522" i="4"/>
  <c r="T522" i="4"/>
  <c r="D522" i="4"/>
  <c r="AB522" i="4"/>
  <c r="L531" i="4"/>
  <c r="AB538" i="4"/>
  <c r="L551" i="4"/>
  <c r="AA565" i="4"/>
  <c r="AA569" i="4"/>
  <c r="AA572" i="4"/>
  <c r="T573" i="4"/>
  <c r="T589" i="4"/>
  <c r="L609" i="4"/>
  <c r="T609" i="4"/>
  <c r="D609" i="4"/>
  <c r="L623" i="4"/>
  <c r="T628" i="4"/>
  <c r="L639" i="4"/>
  <c r="D639" i="4"/>
  <c r="T651" i="4"/>
  <c r="AB651" i="4"/>
  <c r="L651" i="4"/>
  <c r="D651" i="4"/>
  <c r="S651" i="4"/>
  <c r="L742" i="4"/>
  <c r="T742" i="4"/>
  <c r="D742" i="4"/>
  <c r="AB742" i="4"/>
  <c r="AA315" i="4"/>
  <c r="AA327" i="4"/>
  <c r="AA339" i="4"/>
  <c r="P359" i="4"/>
  <c r="K374" i="4"/>
  <c r="AA378" i="4"/>
  <c r="P395" i="4"/>
  <c r="P401" i="4"/>
  <c r="P407" i="4"/>
  <c r="P413" i="4"/>
  <c r="P427" i="4"/>
  <c r="Z427" i="4"/>
  <c r="AA427" i="4" s="1"/>
  <c r="X427" i="4"/>
  <c r="R428" i="4"/>
  <c r="S428" i="4" s="1"/>
  <c r="Z428" i="4"/>
  <c r="AA428" i="4" s="1"/>
  <c r="P434" i="4"/>
  <c r="L441" i="4"/>
  <c r="AA444" i="4"/>
  <c r="K453" i="4"/>
  <c r="P461" i="4"/>
  <c r="P470" i="4"/>
  <c r="P479" i="4"/>
  <c r="P488" i="4"/>
  <c r="L498" i="4"/>
  <c r="L500" i="4"/>
  <c r="X510" i="4"/>
  <c r="J510" i="4"/>
  <c r="K510" i="4" s="1"/>
  <c r="R510" i="4"/>
  <c r="S510" i="4" s="1"/>
  <c r="P510" i="4"/>
  <c r="T517" i="4"/>
  <c r="T521" i="4"/>
  <c r="AB532" i="4"/>
  <c r="X537" i="4"/>
  <c r="J537" i="4"/>
  <c r="K537" i="4" s="1"/>
  <c r="R537" i="4"/>
  <c r="S537" i="4" s="1"/>
  <c r="P537" i="4"/>
  <c r="AB570" i="4"/>
  <c r="L578" i="4"/>
  <c r="T592" i="4"/>
  <c r="S609" i="4"/>
  <c r="T621" i="4"/>
  <c r="D621" i="4"/>
  <c r="L621" i="4"/>
  <c r="AB621" i="4"/>
  <c r="T630" i="4"/>
  <c r="AB630" i="4"/>
  <c r="R632" i="4"/>
  <c r="S632" i="4" s="1"/>
  <c r="Z632" i="4"/>
  <c r="AA632" i="4" s="1"/>
  <c r="J632" i="4"/>
  <c r="K632" i="4" s="1"/>
  <c r="X632" i="4"/>
  <c r="P632" i="4"/>
  <c r="T639" i="4"/>
  <c r="L660" i="4"/>
  <c r="T660" i="4"/>
  <c r="D660" i="4"/>
  <c r="AB660" i="4"/>
  <c r="L732" i="4"/>
  <c r="L754" i="4"/>
  <c r="K359" i="4"/>
  <c r="AA363" i="4"/>
  <c r="K395" i="4"/>
  <c r="AA399" i="4"/>
  <c r="K401" i="4"/>
  <c r="AA405" i="4"/>
  <c r="K407" i="4"/>
  <c r="AA411" i="4"/>
  <c r="K413" i="4"/>
  <c r="AA417" i="4"/>
  <c r="P421" i="4"/>
  <c r="Z421" i="4"/>
  <c r="AA421" i="4" s="1"/>
  <c r="X421" i="4"/>
  <c r="R422" i="4"/>
  <c r="S422" i="4" s="1"/>
  <c r="Z422" i="4"/>
  <c r="AA422" i="4" s="1"/>
  <c r="L435" i="4"/>
  <c r="Z452" i="4"/>
  <c r="AA452" i="4" s="1"/>
  <c r="R452" i="4"/>
  <c r="S452" i="4" s="1"/>
  <c r="AB457" i="4"/>
  <c r="D457" i="4"/>
  <c r="L457" i="4"/>
  <c r="T457" i="4"/>
  <c r="T458" i="4"/>
  <c r="AB466" i="4"/>
  <c r="D466" i="4"/>
  <c r="L466" i="4"/>
  <c r="T466" i="4"/>
  <c r="T467" i="4"/>
  <c r="AB475" i="4"/>
  <c r="D475" i="4"/>
  <c r="L475" i="4"/>
  <c r="T475" i="4"/>
  <c r="T476" i="4"/>
  <c r="AB484" i="4"/>
  <c r="D484" i="4"/>
  <c r="L484" i="4"/>
  <c r="T484" i="4"/>
  <c r="T485" i="4"/>
  <c r="L489" i="4"/>
  <c r="T489" i="4"/>
  <c r="D489" i="4"/>
  <c r="AB499" i="4"/>
  <c r="X504" i="4"/>
  <c r="J504" i="4"/>
  <c r="K504" i="4" s="1"/>
  <c r="R504" i="4"/>
  <c r="S504" i="4" s="1"/>
  <c r="Z504" i="4"/>
  <c r="AA504" i="4" s="1"/>
  <c r="T505" i="4"/>
  <c r="K511" i="4"/>
  <c r="R530" i="4"/>
  <c r="S530" i="4" s="1"/>
  <c r="Z530" i="4"/>
  <c r="AA530" i="4" s="1"/>
  <c r="T530" i="4"/>
  <c r="AB547" i="4"/>
  <c r="J549" i="4"/>
  <c r="K549" i="4" s="1"/>
  <c r="P549" i="4"/>
  <c r="Z549" i="4"/>
  <c r="AA549" i="4" s="1"/>
  <c r="X549" i="4"/>
  <c r="AA556" i="4"/>
  <c r="R591" i="4"/>
  <c r="S591" i="4" s="1"/>
  <c r="Z591" i="4"/>
  <c r="AA591" i="4" s="1"/>
  <c r="J591" i="4"/>
  <c r="K591" i="4" s="1"/>
  <c r="X609" i="4"/>
  <c r="J609" i="4"/>
  <c r="K609" i="4" s="1"/>
  <c r="Z609" i="4"/>
  <c r="AA609" i="4" s="1"/>
  <c r="J618" i="4"/>
  <c r="K618" i="4" s="1"/>
  <c r="Z618" i="4"/>
  <c r="AA618" i="4" s="1"/>
  <c r="X618" i="4"/>
  <c r="P618" i="4"/>
  <c r="R650" i="4"/>
  <c r="S650" i="4" s="1"/>
  <c r="Z650" i="4"/>
  <c r="AA650" i="4" s="1"/>
  <c r="J650" i="4"/>
  <c r="K650" i="4" s="1"/>
  <c r="J651" i="4"/>
  <c r="K651" i="4" s="1"/>
  <c r="P651" i="4"/>
  <c r="Z651" i="4"/>
  <c r="AA651" i="4" s="1"/>
  <c r="T689" i="4"/>
  <c r="D689" i="4"/>
  <c r="AB689" i="4"/>
  <c r="L689" i="4"/>
  <c r="X690" i="4"/>
  <c r="J690" i="4"/>
  <c r="K690" i="4" s="1"/>
  <c r="R690" i="4"/>
  <c r="S690" i="4" s="1"/>
  <c r="P690" i="4"/>
  <c r="Z690" i="4"/>
  <c r="AA690" i="4" s="1"/>
  <c r="AB418" i="4"/>
  <c r="T422" i="4"/>
  <c r="T428" i="4"/>
  <c r="T434" i="4"/>
  <c r="T440" i="4"/>
  <c r="X498" i="4"/>
  <c r="J498" i="4"/>
  <c r="K498" i="4" s="1"/>
  <c r="R498" i="4"/>
  <c r="S498" i="4" s="1"/>
  <c r="AA499" i="4"/>
  <c r="AB502" i="4"/>
  <c r="R521" i="4"/>
  <c r="S521" i="4" s="1"/>
  <c r="Z521" i="4"/>
  <c r="AA521" i="4" s="1"/>
  <c r="T527" i="4"/>
  <c r="L528" i="4"/>
  <c r="X531" i="4"/>
  <c r="J531" i="4"/>
  <c r="K531" i="4" s="1"/>
  <c r="R531" i="4"/>
  <c r="S531" i="4" s="1"/>
  <c r="T542" i="4"/>
  <c r="AA544" i="4"/>
  <c r="J551" i="4"/>
  <c r="K551" i="4" s="1"/>
  <c r="Z555" i="4"/>
  <c r="AA555" i="4" s="1"/>
  <c r="X555" i="4"/>
  <c r="R555" i="4"/>
  <c r="S555" i="4" s="1"/>
  <c r="T571" i="4"/>
  <c r="T577" i="4"/>
  <c r="AA581" i="4"/>
  <c r="L585" i="4"/>
  <c r="T585" i="4"/>
  <c r="D585" i="4"/>
  <c r="AB627" i="4"/>
  <c r="AA640" i="4"/>
  <c r="T672" i="4"/>
  <c r="AB672" i="4"/>
  <c r="D672" i="4"/>
  <c r="L672" i="4"/>
  <c r="K703" i="4"/>
  <c r="L717" i="4"/>
  <c r="AB721" i="4"/>
  <c r="L721" i="4"/>
  <c r="D721" i="4"/>
  <c r="L776" i="4"/>
  <c r="L447" i="4"/>
  <c r="L450" i="4"/>
  <c r="L453" i="4"/>
  <c r="L456" i="4"/>
  <c r="L459" i="4"/>
  <c r="L462" i="4"/>
  <c r="L465" i="4"/>
  <c r="L468" i="4"/>
  <c r="L471" i="4"/>
  <c r="L474" i="4"/>
  <c r="L477" i="4"/>
  <c r="L480" i="4"/>
  <c r="L483" i="4"/>
  <c r="L486" i="4"/>
  <c r="AA490" i="4"/>
  <c r="AB493" i="4"/>
  <c r="T503" i="4"/>
  <c r="R509" i="4"/>
  <c r="S509" i="4" s="1"/>
  <c r="Z509" i="4"/>
  <c r="AA509" i="4" s="1"/>
  <c r="T515" i="4"/>
  <c r="L516" i="4"/>
  <c r="X522" i="4"/>
  <c r="J522" i="4"/>
  <c r="K522" i="4" s="1"/>
  <c r="R522" i="4"/>
  <c r="S522" i="4" s="1"/>
  <c r="AA523" i="4"/>
  <c r="AB526" i="4"/>
  <c r="R536" i="4"/>
  <c r="S536" i="4" s="1"/>
  <c r="Z536" i="4"/>
  <c r="AA536" i="4" s="1"/>
  <c r="T539" i="4"/>
  <c r="L540" i="4"/>
  <c r="X578" i="4"/>
  <c r="Z578" i="4"/>
  <c r="AA578" i="4" s="1"/>
  <c r="J578" i="4"/>
  <c r="K578" i="4" s="1"/>
  <c r="R578" i="4"/>
  <c r="S578" i="4" s="1"/>
  <c r="AB591" i="4"/>
  <c r="L597" i="4"/>
  <c r="T597" i="4"/>
  <c r="D597" i="4"/>
  <c r="AB600" i="4"/>
  <c r="R617" i="4"/>
  <c r="S617" i="4" s="1"/>
  <c r="P617" i="4"/>
  <c r="Z617" i="4"/>
  <c r="AA617" i="4" s="1"/>
  <c r="J617" i="4"/>
  <c r="K617" i="4" s="1"/>
  <c r="AA649" i="4"/>
  <c r="K666" i="4"/>
  <c r="R674" i="4"/>
  <c r="S674" i="4" s="1"/>
  <c r="Z674" i="4"/>
  <c r="AA674" i="4" s="1"/>
  <c r="J674" i="4"/>
  <c r="K674" i="4" s="1"/>
  <c r="X674" i="4"/>
  <c r="P674" i="4"/>
  <c r="L683" i="4"/>
  <c r="AB695" i="4"/>
  <c r="X705" i="4"/>
  <c r="J705" i="4"/>
  <c r="K705" i="4" s="1"/>
  <c r="P705" i="4"/>
  <c r="Z705" i="4"/>
  <c r="AA705" i="4" s="1"/>
  <c r="R705" i="4"/>
  <c r="S705" i="4" s="1"/>
  <c r="X720" i="4"/>
  <c r="J720" i="4"/>
  <c r="K720" i="4" s="1"/>
  <c r="Z720" i="4"/>
  <c r="AA720" i="4" s="1"/>
  <c r="P720" i="4"/>
  <c r="L741" i="4"/>
  <c r="L743" i="4"/>
  <c r="X489" i="4"/>
  <c r="J489" i="4"/>
  <c r="K489" i="4" s="1"/>
  <c r="R489" i="4"/>
  <c r="S489" i="4" s="1"/>
  <c r="T500" i="4"/>
  <c r="R506" i="4"/>
  <c r="S506" i="4" s="1"/>
  <c r="Z506" i="4"/>
  <c r="AA506" i="4" s="1"/>
  <c r="T512" i="4"/>
  <c r="L513" i="4"/>
  <c r="X519" i="4"/>
  <c r="J519" i="4"/>
  <c r="K519" i="4" s="1"/>
  <c r="R519" i="4"/>
  <c r="S519" i="4" s="1"/>
  <c r="AA520" i="4"/>
  <c r="AB523" i="4"/>
  <c r="AA529" i="4"/>
  <c r="AB549" i="4"/>
  <c r="Z551" i="4"/>
  <c r="AA551" i="4" s="1"/>
  <c r="X551" i="4"/>
  <c r="T551" i="4"/>
  <c r="L555" i="4"/>
  <c r="AB564" i="4"/>
  <c r="J573" i="4"/>
  <c r="K573" i="4" s="1"/>
  <c r="P573" i="4"/>
  <c r="R573" i="4"/>
  <c r="S573" i="4" s="1"/>
  <c r="J587" i="4"/>
  <c r="K587" i="4" s="1"/>
  <c r="Z587" i="4"/>
  <c r="AA587" i="4" s="1"/>
  <c r="X587" i="4"/>
  <c r="R587" i="4"/>
  <c r="S587" i="4" s="1"/>
  <c r="S597" i="4"/>
  <c r="T615" i="4"/>
  <c r="D642" i="4"/>
  <c r="AB642" i="4"/>
  <c r="L642" i="4"/>
  <c r="T642" i="4"/>
  <c r="L650" i="4"/>
  <c r="T657" i="4"/>
  <c r="D657" i="4"/>
  <c r="AB657" i="4"/>
  <c r="T682" i="4"/>
  <c r="D682" i="4"/>
  <c r="L682" i="4"/>
  <c r="P697" i="4"/>
  <c r="Z697" i="4"/>
  <c r="AA697" i="4" s="1"/>
  <c r="X697" i="4"/>
  <c r="J697" i="4"/>
  <c r="K697" i="4" s="1"/>
  <c r="R697" i="4"/>
  <c r="S697" i="4" s="1"/>
  <c r="AB712" i="4"/>
  <c r="D712" i="4"/>
  <c r="L712" i="4"/>
  <c r="T712" i="4"/>
  <c r="S712" i="4"/>
  <c r="T419" i="4"/>
  <c r="T425" i="4"/>
  <c r="T431" i="4"/>
  <c r="T437" i="4"/>
  <c r="T443" i="4"/>
  <c r="AB445" i="4"/>
  <c r="D445" i="4"/>
  <c r="X447" i="4"/>
  <c r="R447" i="4"/>
  <c r="S447" i="4" s="1"/>
  <c r="AA448" i="4"/>
  <c r="X450" i="4"/>
  <c r="R450" i="4"/>
  <c r="S450" i="4" s="1"/>
  <c r="AA451" i="4"/>
  <c r="X453" i="4"/>
  <c r="R453" i="4"/>
  <c r="S453" i="4" s="1"/>
  <c r="AA454" i="4"/>
  <c r="X456" i="4"/>
  <c r="R456" i="4"/>
  <c r="S456" i="4" s="1"/>
  <c r="AA457" i="4"/>
  <c r="X459" i="4"/>
  <c r="R459" i="4"/>
  <c r="S459" i="4" s="1"/>
  <c r="AA460" i="4"/>
  <c r="X462" i="4"/>
  <c r="R462" i="4"/>
  <c r="S462" i="4" s="1"/>
  <c r="AA463" i="4"/>
  <c r="X465" i="4"/>
  <c r="R465" i="4"/>
  <c r="S465" i="4" s="1"/>
  <c r="AA466" i="4"/>
  <c r="X468" i="4"/>
  <c r="R468" i="4"/>
  <c r="S468" i="4" s="1"/>
  <c r="AA469" i="4"/>
  <c r="X471" i="4"/>
  <c r="R471" i="4"/>
  <c r="S471" i="4" s="1"/>
  <c r="AA472" i="4"/>
  <c r="X474" i="4"/>
  <c r="R474" i="4"/>
  <c r="S474" i="4" s="1"/>
  <c r="AA475" i="4"/>
  <c r="X477" i="4"/>
  <c r="R477" i="4"/>
  <c r="S477" i="4" s="1"/>
  <c r="AA478" i="4"/>
  <c r="X480" i="4"/>
  <c r="R480" i="4"/>
  <c r="S480" i="4" s="1"/>
  <c r="AA481" i="4"/>
  <c r="X483" i="4"/>
  <c r="R483" i="4"/>
  <c r="S483" i="4" s="1"/>
  <c r="AA484" i="4"/>
  <c r="X486" i="4"/>
  <c r="R486" i="4"/>
  <c r="S486" i="4" s="1"/>
  <c r="AA487" i="4"/>
  <c r="AB490" i="4"/>
  <c r="T497" i="4"/>
  <c r="Z498" i="4"/>
  <c r="AA498" i="4" s="1"/>
  <c r="R503" i="4"/>
  <c r="S503" i="4" s="1"/>
  <c r="Z503" i="4"/>
  <c r="AA503" i="4" s="1"/>
  <c r="P506" i="4"/>
  <c r="L510" i="4"/>
  <c r="X516" i="4"/>
  <c r="J516" i="4"/>
  <c r="K516" i="4" s="1"/>
  <c r="R516" i="4"/>
  <c r="S516" i="4" s="1"/>
  <c r="AA517" i="4"/>
  <c r="AB520" i="4"/>
  <c r="X521" i="4"/>
  <c r="Z531" i="4"/>
  <c r="AA531" i="4" s="1"/>
  <c r="R533" i="4"/>
  <c r="S533" i="4" s="1"/>
  <c r="Z533" i="4"/>
  <c r="AA533" i="4" s="1"/>
  <c r="T536" i="4"/>
  <c r="L537" i="4"/>
  <c r="X540" i="4"/>
  <c r="J540" i="4"/>
  <c r="K540" i="4" s="1"/>
  <c r="R540" i="4"/>
  <c r="S540" i="4" s="1"/>
  <c r="R551" i="4"/>
  <c r="S551" i="4" s="1"/>
  <c r="Z552" i="4"/>
  <c r="AA552" i="4" s="1"/>
  <c r="R552" i="4"/>
  <c r="S552" i="4" s="1"/>
  <c r="P552" i="4"/>
  <c r="L553" i="4"/>
  <c r="J555" i="4"/>
  <c r="K555" i="4" s="1"/>
  <c r="T558" i="4"/>
  <c r="D558" i="4"/>
  <c r="L558" i="4"/>
  <c r="L560" i="4"/>
  <c r="D567" i="4"/>
  <c r="L567" i="4"/>
  <c r="T574" i="4"/>
  <c r="AB585" i="4"/>
  <c r="X597" i="4"/>
  <c r="J597" i="4"/>
  <c r="K597" i="4" s="1"/>
  <c r="Z597" i="4"/>
  <c r="AA597" i="4" s="1"/>
  <c r="T613" i="4"/>
  <c r="X617" i="4"/>
  <c r="R620" i="4"/>
  <c r="S620" i="4" s="1"/>
  <c r="Z620" i="4"/>
  <c r="AA620" i="4" s="1"/>
  <c r="X620" i="4"/>
  <c r="J620" i="4"/>
  <c r="K620" i="4" s="1"/>
  <c r="L681" i="4"/>
  <c r="T681" i="4"/>
  <c r="D681" i="4"/>
  <c r="T692" i="4"/>
  <c r="D692" i="4"/>
  <c r="L692" i="4"/>
  <c r="X717" i="4"/>
  <c r="J717" i="4"/>
  <c r="K717" i="4" s="1"/>
  <c r="Z717" i="4"/>
  <c r="AA717" i="4" s="1"/>
  <c r="P717" i="4"/>
  <c r="AB771" i="4"/>
  <c r="K543" i="4"/>
  <c r="AB550" i="4"/>
  <c r="Z554" i="4"/>
  <c r="AA554" i="4" s="1"/>
  <c r="X560" i="4"/>
  <c r="Z590" i="4"/>
  <c r="AA590" i="4" s="1"/>
  <c r="X590" i="4"/>
  <c r="Z602" i="4"/>
  <c r="AA602" i="4" s="1"/>
  <c r="X602" i="4"/>
  <c r="R614" i="4"/>
  <c r="S614" i="4" s="1"/>
  <c r="Z614" i="4"/>
  <c r="AA614" i="4" s="1"/>
  <c r="K616" i="4"/>
  <c r="L618" i="4"/>
  <c r="R635" i="4"/>
  <c r="S635" i="4" s="1"/>
  <c r="Z635" i="4"/>
  <c r="AA635" i="4" s="1"/>
  <c r="X635" i="4"/>
  <c r="J635" i="4"/>
  <c r="K635" i="4" s="1"/>
  <c r="J636" i="4"/>
  <c r="K636" i="4" s="1"/>
  <c r="R636" i="4"/>
  <c r="S636" i="4" s="1"/>
  <c r="J639" i="4"/>
  <c r="K639" i="4" s="1"/>
  <c r="Z639" i="4"/>
  <c r="AA639" i="4" s="1"/>
  <c r="X639" i="4"/>
  <c r="R639" i="4"/>
  <c r="S639" i="4" s="1"/>
  <c r="T652" i="4"/>
  <c r="R662" i="4"/>
  <c r="S662" i="4" s="1"/>
  <c r="Z662" i="4"/>
  <c r="AA662" i="4" s="1"/>
  <c r="J662" i="4"/>
  <c r="K662" i="4" s="1"/>
  <c r="X662" i="4"/>
  <c r="AB670" i="4"/>
  <c r="L670" i="4"/>
  <c r="D671" i="4"/>
  <c r="AB671" i="4"/>
  <c r="J677" i="4"/>
  <c r="K677" i="4" s="1"/>
  <c r="Z677" i="4"/>
  <c r="AA677" i="4" s="1"/>
  <c r="X677" i="4"/>
  <c r="J684" i="4"/>
  <c r="K684" i="4" s="1"/>
  <c r="Z684" i="4"/>
  <c r="AA684" i="4" s="1"/>
  <c r="T684" i="4"/>
  <c r="T696" i="4"/>
  <c r="L739" i="4"/>
  <c r="T739" i="4"/>
  <c r="AB739" i="4"/>
  <c r="P740" i="4"/>
  <c r="Z740" i="4"/>
  <c r="AA740" i="4" s="1"/>
  <c r="J740" i="4"/>
  <c r="K740" i="4" s="1"/>
  <c r="AB799" i="4"/>
  <c r="T842" i="4"/>
  <c r="J448" i="4"/>
  <c r="K448" i="4" s="1"/>
  <c r="J451" i="4"/>
  <c r="K451" i="4" s="1"/>
  <c r="J454" i="4"/>
  <c r="K454" i="4" s="1"/>
  <c r="J457" i="4"/>
  <c r="K457" i="4" s="1"/>
  <c r="J460" i="4"/>
  <c r="K460" i="4" s="1"/>
  <c r="J463" i="4"/>
  <c r="K463" i="4" s="1"/>
  <c r="J466" i="4"/>
  <c r="K466" i="4" s="1"/>
  <c r="J469" i="4"/>
  <c r="K469" i="4" s="1"/>
  <c r="J472" i="4"/>
  <c r="K472" i="4" s="1"/>
  <c r="J475" i="4"/>
  <c r="K475" i="4" s="1"/>
  <c r="J478" i="4"/>
  <c r="K478" i="4" s="1"/>
  <c r="J481" i="4"/>
  <c r="K481" i="4" s="1"/>
  <c r="J484" i="4"/>
  <c r="K484" i="4" s="1"/>
  <c r="J487" i="4"/>
  <c r="K487" i="4" s="1"/>
  <c r="J490" i="4"/>
  <c r="K490" i="4" s="1"/>
  <c r="J493" i="4"/>
  <c r="K493" i="4" s="1"/>
  <c r="J529" i="4"/>
  <c r="K529" i="4" s="1"/>
  <c r="J532" i="4"/>
  <c r="K532" i="4" s="1"/>
  <c r="J535" i="4"/>
  <c r="K535" i="4" s="1"/>
  <c r="J538" i="4"/>
  <c r="K538" i="4" s="1"/>
  <c r="J541" i="4"/>
  <c r="K541" i="4" s="1"/>
  <c r="P542" i="4"/>
  <c r="L543" i="4"/>
  <c r="X543" i="4"/>
  <c r="AA550" i="4"/>
  <c r="Z558" i="4"/>
  <c r="AA558" i="4" s="1"/>
  <c r="J564" i="4"/>
  <c r="K564" i="4" s="1"/>
  <c r="R567" i="4"/>
  <c r="S567" i="4" s="1"/>
  <c r="AB573" i="4"/>
  <c r="AA577" i="4"/>
  <c r="J582" i="4"/>
  <c r="K582" i="4" s="1"/>
  <c r="X582" i="4"/>
  <c r="J584" i="4"/>
  <c r="K584" i="4" s="1"/>
  <c r="R590" i="4"/>
  <c r="S590" i="4" s="1"/>
  <c r="J594" i="4"/>
  <c r="K594" i="4" s="1"/>
  <c r="X594" i="4"/>
  <c r="J596" i="4"/>
  <c r="K596" i="4" s="1"/>
  <c r="R602" i="4"/>
  <c r="S602" i="4" s="1"/>
  <c r="J606" i="4"/>
  <c r="K606" i="4" s="1"/>
  <c r="X606" i="4"/>
  <c r="J608" i="4"/>
  <c r="K608" i="4" s="1"/>
  <c r="J624" i="4"/>
  <c r="K624" i="4" s="1"/>
  <c r="X624" i="4"/>
  <c r="R624" i="4"/>
  <c r="S624" i="4" s="1"/>
  <c r="J673" i="4"/>
  <c r="K673" i="4" s="1"/>
  <c r="R684" i="4"/>
  <c r="S684" i="4" s="1"/>
  <c r="Z685" i="4"/>
  <c r="AA685" i="4" s="1"/>
  <c r="X685" i="4"/>
  <c r="J685" i="4"/>
  <c r="K685" i="4" s="1"/>
  <c r="R685" i="4"/>
  <c r="S685" i="4" s="1"/>
  <c r="P686" i="4"/>
  <c r="L688" i="4"/>
  <c r="P691" i="4"/>
  <c r="Z691" i="4"/>
  <c r="AA691" i="4" s="1"/>
  <c r="X691" i="4"/>
  <c r="J691" i="4"/>
  <c r="K691" i="4" s="1"/>
  <c r="P694" i="4"/>
  <c r="Z694" i="4"/>
  <c r="AA694" i="4" s="1"/>
  <c r="J694" i="4"/>
  <c r="K694" i="4" s="1"/>
  <c r="R694" i="4"/>
  <c r="S694" i="4" s="1"/>
  <c r="X694" i="4"/>
  <c r="X711" i="4"/>
  <c r="J711" i="4"/>
  <c r="K711" i="4" s="1"/>
  <c r="Z711" i="4"/>
  <c r="AA711" i="4" s="1"/>
  <c r="R711" i="4"/>
  <c r="S711" i="4" s="1"/>
  <c r="P712" i="4"/>
  <c r="Z712" i="4"/>
  <c r="AA712" i="4" s="1"/>
  <c r="X712" i="4"/>
  <c r="J712" i="4"/>
  <c r="K712" i="4" s="1"/>
  <c r="T714" i="4"/>
  <c r="P715" i="4"/>
  <c r="Z715" i="4"/>
  <c r="AA715" i="4" s="1"/>
  <c r="R715" i="4"/>
  <c r="S715" i="4" s="1"/>
  <c r="T720" i="4"/>
  <c r="P554" i="4"/>
  <c r="P558" i="4"/>
  <c r="T582" i="4"/>
  <c r="T594" i="4"/>
  <c r="T606" i="4"/>
  <c r="J633" i="4"/>
  <c r="K633" i="4" s="1"/>
  <c r="P633" i="4"/>
  <c r="Z633" i="4"/>
  <c r="AA633" i="4" s="1"/>
  <c r="R633" i="4"/>
  <c r="S633" i="4" s="1"/>
  <c r="R653" i="4"/>
  <c r="S653" i="4" s="1"/>
  <c r="P653" i="4"/>
  <c r="R656" i="4"/>
  <c r="S656" i="4" s="1"/>
  <c r="Z656" i="4"/>
  <c r="AA656" i="4" s="1"/>
  <c r="X656" i="4"/>
  <c r="J656" i="4"/>
  <c r="K656" i="4" s="1"/>
  <c r="J660" i="4"/>
  <c r="K660" i="4" s="1"/>
  <c r="X660" i="4"/>
  <c r="R660" i="4"/>
  <c r="S660" i="4" s="1"/>
  <c r="J665" i="4"/>
  <c r="K665" i="4" s="1"/>
  <c r="Z665" i="4"/>
  <c r="AA665" i="4" s="1"/>
  <c r="X665" i="4"/>
  <c r="T679" i="4"/>
  <c r="L679" i="4"/>
  <c r="T699" i="4"/>
  <c r="AB543" i="4"/>
  <c r="L547" i="4"/>
  <c r="AA547" i="4"/>
  <c r="P560" i="4"/>
  <c r="AA568" i="4"/>
  <c r="T570" i="4"/>
  <c r="AA580" i="4"/>
  <c r="AB582" i="4"/>
  <c r="AB594" i="4"/>
  <c r="AB606" i="4"/>
  <c r="X614" i="4"/>
  <c r="L629" i="4"/>
  <c r="Z636" i="4"/>
  <c r="AA636" i="4" s="1"/>
  <c r="L654" i="4"/>
  <c r="P673" i="4"/>
  <c r="X684" i="4"/>
  <c r="L734" i="4"/>
  <c r="AB734" i="4"/>
  <c r="T734" i="4"/>
  <c r="D734" i="4"/>
  <c r="AB752" i="4"/>
  <c r="D752" i="4"/>
  <c r="L752" i="4"/>
  <c r="T752" i="4"/>
  <c r="L760" i="4"/>
  <c r="AB541" i="4"/>
  <c r="R554" i="4"/>
  <c r="S554" i="4" s="1"/>
  <c r="P564" i="4"/>
  <c r="J567" i="4"/>
  <c r="K567" i="4" s="1"/>
  <c r="L590" i="4"/>
  <c r="L602" i="4"/>
  <c r="L614" i="4"/>
  <c r="L635" i="4"/>
  <c r="T649" i="4"/>
  <c r="L668" i="4"/>
  <c r="AA669" i="4"/>
  <c r="AA673" i="4"/>
  <c r="X686" i="4"/>
  <c r="AA693" i="4"/>
  <c r="X699" i="4"/>
  <c r="J699" i="4"/>
  <c r="K699" i="4" s="1"/>
  <c r="P699" i="4"/>
  <c r="Z699" i="4"/>
  <c r="AA699" i="4" s="1"/>
  <c r="AB707" i="4"/>
  <c r="AB719" i="4"/>
  <c r="D490" i="4"/>
  <c r="D493" i="4"/>
  <c r="D496" i="4"/>
  <c r="D499" i="4"/>
  <c r="D502" i="4"/>
  <c r="D505" i="4"/>
  <c r="D508" i="4"/>
  <c r="D511" i="4"/>
  <c r="D514" i="4"/>
  <c r="D517" i="4"/>
  <c r="D520" i="4"/>
  <c r="D523" i="4"/>
  <c r="D526" i="4"/>
  <c r="D529" i="4"/>
  <c r="D532" i="4"/>
  <c r="D535" i="4"/>
  <c r="D538" i="4"/>
  <c r="T550" i="4"/>
  <c r="P566" i="4"/>
  <c r="AA574" i="4"/>
  <c r="K579" i="4"/>
  <c r="D582" i="4"/>
  <c r="P584" i="4"/>
  <c r="J590" i="4"/>
  <c r="K590" i="4" s="1"/>
  <c r="D594" i="4"/>
  <c r="J602" i="4"/>
  <c r="K602" i="4" s="1"/>
  <c r="D606" i="4"/>
  <c r="J614" i="4"/>
  <c r="K614" i="4" s="1"/>
  <c r="K652" i="4"/>
  <c r="J654" i="4"/>
  <c r="K654" i="4" s="1"/>
  <c r="Z654" i="4"/>
  <c r="AA654" i="4" s="1"/>
  <c r="X654" i="4"/>
  <c r="R654" i="4"/>
  <c r="S654" i="4" s="1"/>
  <c r="D669" i="4"/>
  <c r="L669" i="4"/>
  <c r="AB669" i="4"/>
  <c r="D679" i="4"/>
  <c r="J686" i="4"/>
  <c r="K686" i="4" s="1"/>
  <c r="AB704" i="4"/>
  <c r="AA707" i="4"/>
  <c r="K716" i="4"/>
  <c r="X734" i="4"/>
  <c r="J734" i="4"/>
  <c r="K734" i="4" s="1"/>
  <c r="R734" i="4"/>
  <c r="S734" i="4" s="1"/>
  <c r="Z734" i="4"/>
  <c r="AA734" i="4" s="1"/>
  <c r="T751" i="4"/>
  <c r="T662" i="4"/>
  <c r="L663" i="4"/>
  <c r="AB663" i="4"/>
  <c r="AA672" i="4"/>
  <c r="T674" i="4"/>
  <c r="L675" i="4"/>
  <c r="AB675" i="4"/>
  <c r="L680" i="4"/>
  <c r="AA683" i="4"/>
  <c r="AA687" i="4"/>
  <c r="R698" i="4"/>
  <c r="S698" i="4" s="1"/>
  <c r="Z698" i="4"/>
  <c r="AA698" i="4" s="1"/>
  <c r="X698" i="4"/>
  <c r="J698" i="4"/>
  <c r="K698" i="4" s="1"/>
  <c r="X739" i="4"/>
  <c r="Z739" i="4"/>
  <c r="AA739" i="4" s="1"/>
  <c r="J739" i="4"/>
  <c r="K739" i="4" s="1"/>
  <c r="R739" i="4"/>
  <c r="S739" i="4" s="1"/>
  <c r="AB758" i="4"/>
  <c r="D758" i="4"/>
  <c r="L758" i="4"/>
  <c r="T848" i="4"/>
  <c r="L738" i="4"/>
  <c r="L747" i="4"/>
  <c r="L766" i="4"/>
  <c r="AB766" i="4"/>
  <c r="D766" i="4"/>
  <c r="Z588" i="4"/>
  <c r="AA588" i="4" s="1"/>
  <c r="Z600" i="4"/>
  <c r="AA600" i="4" s="1"/>
  <c r="Z612" i="4"/>
  <c r="AA612" i="4" s="1"/>
  <c r="K621" i="4"/>
  <c r="AA625" i="4"/>
  <c r="Z629" i="4"/>
  <c r="AA629" i="4" s="1"/>
  <c r="P642" i="4"/>
  <c r="Z648" i="4"/>
  <c r="AA648" i="4" s="1"/>
  <c r="K657" i="4"/>
  <c r="AA661" i="4"/>
  <c r="D663" i="4"/>
  <c r="D675" i="4"/>
  <c r="T701" i="4"/>
  <c r="AB701" i="4"/>
  <c r="L701" i="4"/>
  <c r="T704" i="4"/>
  <c r="D704" i="4"/>
  <c r="L711" i="4"/>
  <c r="X714" i="4"/>
  <c r="J714" i="4"/>
  <c r="K714" i="4" s="1"/>
  <c r="Z714" i="4"/>
  <c r="AA714" i="4" s="1"/>
  <c r="P714" i="4"/>
  <c r="AA719" i="4"/>
  <c r="T723" i="4"/>
  <c r="T730" i="4"/>
  <c r="T731" i="4"/>
  <c r="L750" i="4"/>
  <c r="X757" i="4"/>
  <c r="P757" i="4"/>
  <c r="J757" i="4"/>
  <c r="K757" i="4" s="1"/>
  <c r="Z757" i="4"/>
  <c r="AA757" i="4" s="1"/>
  <c r="L765" i="4"/>
  <c r="T766" i="4"/>
  <c r="L770" i="4"/>
  <c r="P627" i="4"/>
  <c r="K642" i="4"/>
  <c r="AA646" i="4"/>
  <c r="J681" i="4"/>
  <c r="K681" i="4" s="1"/>
  <c r="R681" i="4"/>
  <c r="S681" i="4" s="1"/>
  <c r="Z681" i="4"/>
  <c r="AA681" i="4" s="1"/>
  <c r="X681" i="4"/>
  <c r="Z682" i="4"/>
  <c r="AA682" i="4" s="1"/>
  <c r="J682" i="4"/>
  <c r="K682" i="4" s="1"/>
  <c r="R682" i="4"/>
  <c r="S682" i="4" s="1"/>
  <c r="L695" i="4"/>
  <c r="L699" i="4"/>
  <c r="AB718" i="4"/>
  <c r="D718" i="4"/>
  <c r="T718" i="4"/>
  <c r="L724" i="4"/>
  <c r="X766" i="4"/>
  <c r="R766" i="4"/>
  <c r="S766" i="4" s="1"/>
  <c r="Z766" i="4"/>
  <c r="AA766" i="4" s="1"/>
  <c r="J766" i="4"/>
  <c r="K766" i="4" s="1"/>
  <c r="AB808" i="4"/>
  <c r="AA583" i="4"/>
  <c r="AA595" i="4"/>
  <c r="AA607" i="4"/>
  <c r="K627" i="4"/>
  <c r="AA631" i="4"/>
  <c r="P648" i="4"/>
  <c r="T663" i="4"/>
  <c r="D664" i="4"/>
  <c r="AB664" i="4"/>
  <c r="L673" i="4"/>
  <c r="T675" i="4"/>
  <c r="D676" i="4"/>
  <c r="AB676" i="4"/>
  <c r="L685" i="4"/>
  <c r="J687" i="4"/>
  <c r="K687" i="4" s="1"/>
  <c r="X687" i="4"/>
  <c r="P687" i="4"/>
  <c r="R687" i="4"/>
  <c r="S687" i="4" s="1"/>
  <c r="AB688" i="4"/>
  <c r="D688" i="4"/>
  <c r="L690" i="4"/>
  <c r="AB694" i="4"/>
  <c r="D694" i="4"/>
  <c r="L694" i="4"/>
  <c r="R701" i="4"/>
  <c r="S701" i="4" s="1"/>
  <c r="X701" i="4"/>
  <c r="J701" i="4"/>
  <c r="K701" i="4" s="1"/>
  <c r="Z701" i="4"/>
  <c r="AA701" i="4" s="1"/>
  <c r="AB703" i="4"/>
  <c r="D703" i="4"/>
  <c r="L703" i="4"/>
  <c r="T703" i="4"/>
  <c r="AB706" i="4"/>
  <c r="D706" i="4"/>
  <c r="L706" i="4"/>
  <c r="R731" i="4"/>
  <c r="S731" i="4" s="1"/>
  <c r="X731" i="4"/>
  <c r="P731" i="4"/>
  <c r="T736" i="4"/>
  <c r="AB736" i="4"/>
  <c r="L736" i="4"/>
  <c r="D736" i="4"/>
  <c r="T788" i="4"/>
  <c r="L801" i="4"/>
  <c r="K648" i="4"/>
  <c r="T695" i="4"/>
  <c r="D695" i="4"/>
  <c r="L696" i="4"/>
  <c r="T710" i="4"/>
  <c r="D710" i="4"/>
  <c r="AB710" i="4"/>
  <c r="L710" i="4"/>
  <c r="T717" i="4"/>
  <c r="P718" i="4"/>
  <c r="Z718" i="4"/>
  <c r="AA718" i="4" s="1"/>
  <c r="R718" i="4"/>
  <c r="S718" i="4" s="1"/>
  <c r="P746" i="4"/>
  <c r="Z746" i="4"/>
  <c r="AA746" i="4" s="1"/>
  <c r="J746" i="4"/>
  <c r="K746" i="4" s="1"/>
  <c r="X746" i="4"/>
  <c r="R746" i="4"/>
  <c r="S746" i="4" s="1"/>
  <c r="S850" i="4"/>
  <c r="T668" i="4"/>
  <c r="J671" i="4"/>
  <c r="K671" i="4" s="1"/>
  <c r="J680" i="4"/>
  <c r="K680" i="4" s="1"/>
  <c r="T686" i="4"/>
  <c r="AB686" i="4"/>
  <c r="Z688" i="4"/>
  <c r="AA688" i="4" s="1"/>
  <c r="P688" i="4"/>
  <c r="L693" i="4"/>
  <c r="R695" i="4"/>
  <c r="S695" i="4" s="1"/>
  <c r="P695" i="4"/>
  <c r="Z704" i="4"/>
  <c r="AA704" i="4" s="1"/>
  <c r="T707" i="4"/>
  <c r="D707" i="4"/>
  <c r="L708" i="4"/>
  <c r="J709" i="4"/>
  <c r="K709" i="4" s="1"/>
  <c r="AA713" i="4"/>
  <c r="K728" i="4"/>
  <c r="AB749" i="4"/>
  <c r="D749" i="4"/>
  <c r="L749" i="4"/>
  <c r="L773" i="4"/>
  <c r="AB678" i="4"/>
  <c r="R689" i="4"/>
  <c r="S689" i="4" s="1"/>
  <c r="X689" i="4"/>
  <c r="J689" i="4"/>
  <c r="K689" i="4" s="1"/>
  <c r="X696" i="4"/>
  <c r="J696" i="4"/>
  <c r="K696" i="4" s="1"/>
  <c r="Z696" i="4"/>
  <c r="AA696" i="4" s="1"/>
  <c r="R696" i="4"/>
  <c r="S696" i="4" s="1"/>
  <c r="AB700" i="4"/>
  <c r="D700" i="4"/>
  <c r="P703" i="4"/>
  <c r="Z703" i="4"/>
  <c r="AA703" i="4" s="1"/>
  <c r="X703" i="4"/>
  <c r="AB709" i="4"/>
  <c r="D709" i="4"/>
  <c r="T719" i="4"/>
  <c r="D719" i="4"/>
  <c r="L720" i="4"/>
  <c r="X727" i="4"/>
  <c r="J727" i="4"/>
  <c r="K727" i="4" s="1"/>
  <c r="R727" i="4"/>
  <c r="S727" i="4" s="1"/>
  <c r="D728" i="4"/>
  <c r="AB728" i="4"/>
  <c r="L728" i="4"/>
  <c r="T728" i="4"/>
  <c r="T729" i="4"/>
  <c r="D729" i="4"/>
  <c r="L737" i="4"/>
  <c r="X751" i="4"/>
  <c r="P751" i="4"/>
  <c r="R751" i="4"/>
  <c r="S751" i="4" s="1"/>
  <c r="T785" i="4"/>
  <c r="AA666" i="4"/>
  <c r="AA678" i="4"/>
  <c r="R680" i="4"/>
  <c r="S680" i="4" s="1"/>
  <c r="Z680" i="4"/>
  <c r="AA680" i="4" s="1"/>
  <c r="P680" i="4"/>
  <c r="AB697" i="4"/>
  <c r="D697" i="4"/>
  <c r="T697" i="4"/>
  <c r="AB698" i="4"/>
  <c r="AA710" i="4"/>
  <c r="T724" i="4"/>
  <c r="AB724" i="4"/>
  <c r="AA738" i="4"/>
  <c r="T747" i="4"/>
  <c r="AA747" i="4"/>
  <c r="X777" i="4"/>
  <c r="J777" i="4"/>
  <c r="K777" i="4" s="1"/>
  <c r="P777" i="4"/>
  <c r="Z777" i="4"/>
  <c r="AA777" i="4" s="1"/>
  <c r="R777" i="4"/>
  <c r="S777" i="4" s="1"/>
  <c r="T806" i="4"/>
  <c r="J823" i="4"/>
  <c r="K823" i="4" s="1"/>
  <c r="P823" i="4"/>
  <c r="X823" i="4"/>
  <c r="Z823" i="4"/>
  <c r="AA823" i="4" s="1"/>
  <c r="R823" i="4"/>
  <c r="S823" i="4" s="1"/>
  <c r="D683" i="4"/>
  <c r="AB683" i="4"/>
  <c r="X693" i="4"/>
  <c r="J693" i="4"/>
  <c r="K693" i="4" s="1"/>
  <c r="P693" i="4"/>
  <c r="R693" i="4"/>
  <c r="S693" i="4" s="1"/>
  <c r="X708" i="4"/>
  <c r="J708" i="4"/>
  <c r="K708" i="4" s="1"/>
  <c r="Z708" i="4"/>
  <c r="AA708" i="4" s="1"/>
  <c r="R708" i="4"/>
  <c r="S708" i="4" s="1"/>
  <c r="P709" i="4"/>
  <c r="Z709" i="4"/>
  <c r="AA709" i="4" s="1"/>
  <c r="R709" i="4"/>
  <c r="S709" i="4" s="1"/>
  <c r="AB715" i="4"/>
  <c r="D715" i="4"/>
  <c r="K725" i="4"/>
  <c r="L726" i="4"/>
  <c r="Z737" i="4"/>
  <c r="AA737" i="4" s="1"/>
  <c r="X737" i="4"/>
  <c r="T737" i="4"/>
  <c r="L740" i="4"/>
  <c r="L745" i="4"/>
  <c r="T745" i="4"/>
  <c r="D745" i="4"/>
  <c r="AB745" i="4"/>
  <c r="L746" i="4"/>
  <c r="AB747" i="4"/>
  <c r="X832" i="4"/>
  <c r="J832" i="4"/>
  <c r="K832" i="4" s="1"/>
  <c r="P832" i="4"/>
  <c r="R832" i="4"/>
  <c r="S832" i="4" s="1"/>
  <c r="Z832" i="4"/>
  <c r="AA832" i="4" s="1"/>
  <c r="AB761" i="4"/>
  <c r="D761" i="4"/>
  <c r="L761" i="4"/>
  <c r="T761" i="4"/>
  <c r="K765" i="4"/>
  <c r="L769" i="4"/>
  <c r="T769" i="4"/>
  <c r="T771" i="4"/>
  <c r="D771" i="4"/>
  <c r="L779" i="4"/>
  <c r="T779" i="4"/>
  <c r="AB784" i="4"/>
  <c r="L790" i="4"/>
  <c r="J799" i="4"/>
  <c r="K799" i="4" s="1"/>
  <c r="P799" i="4"/>
  <c r="Z799" i="4"/>
  <c r="AA799" i="4" s="1"/>
  <c r="X799" i="4"/>
  <c r="R840" i="4"/>
  <c r="S840" i="4" s="1"/>
  <c r="P840" i="4"/>
  <c r="Z840" i="4"/>
  <c r="AA840" i="4" s="1"/>
  <c r="J840" i="4"/>
  <c r="K840" i="4" s="1"/>
  <c r="X840" i="4"/>
  <c r="R858" i="4"/>
  <c r="S858" i="4" s="1"/>
  <c r="P858" i="4"/>
  <c r="Z858" i="4"/>
  <c r="AA858" i="4" s="1"/>
  <c r="J858" i="4"/>
  <c r="K858" i="4" s="1"/>
  <c r="X702" i="4"/>
  <c r="J702" i="4"/>
  <c r="K702" i="4" s="1"/>
  <c r="L725" i="4"/>
  <c r="S742" i="4"/>
  <c r="AA745" i="4"/>
  <c r="AA756" i="4"/>
  <c r="X760" i="4"/>
  <c r="J760" i="4"/>
  <c r="K760" i="4" s="1"/>
  <c r="P760" i="4"/>
  <c r="T762" i="4"/>
  <c r="AB762" i="4"/>
  <c r="L768" i="4"/>
  <c r="L807" i="4"/>
  <c r="T698" i="4"/>
  <c r="R702" i="4"/>
  <c r="S702" i="4" s="1"/>
  <c r="X722" i="4"/>
  <c r="J722" i="4"/>
  <c r="K722" i="4" s="1"/>
  <c r="R722" i="4"/>
  <c r="S722" i="4" s="1"/>
  <c r="T744" i="4"/>
  <c r="L744" i="4"/>
  <c r="AB755" i="4"/>
  <c r="D755" i="4"/>
  <c r="L755" i="4"/>
  <c r="L757" i="4"/>
  <c r="S771" i="4"/>
  <c r="Z774" i="4"/>
  <c r="AA774" i="4" s="1"/>
  <c r="X774" i="4"/>
  <c r="J774" i="4"/>
  <c r="K774" i="4" s="1"/>
  <c r="P774" i="4"/>
  <c r="R774" i="4"/>
  <c r="S774" i="4" s="1"/>
  <c r="T777" i="4"/>
  <c r="D777" i="4"/>
  <c r="L777" i="4"/>
  <c r="AB777" i="4"/>
  <c r="Z802" i="4"/>
  <c r="AA802" i="4" s="1"/>
  <c r="X802" i="4"/>
  <c r="J802" i="4"/>
  <c r="K802" i="4" s="1"/>
  <c r="P802" i="4"/>
  <c r="K809" i="4"/>
  <c r="Z814" i="4"/>
  <c r="AA814" i="4" s="1"/>
  <c r="X814" i="4"/>
  <c r="J814" i="4"/>
  <c r="K814" i="4" s="1"/>
  <c r="P814" i="4"/>
  <c r="L819" i="4"/>
  <c r="T827" i="4"/>
  <c r="AB838" i="4"/>
  <c r="R852" i="4"/>
  <c r="S852" i="4" s="1"/>
  <c r="P852" i="4"/>
  <c r="Z852" i="4"/>
  <c r="AA852" i="4" s="1"/>
  <c r="J852" i="4"/>
  <c r="K852" i="4" s="1"/>
  <c r="X852" i="4"/>
  <c r="X858" i="4"/>
  <c r="P700" i="4"/>
  <c r="Z700" i="4"/>
  <c r="AA700" i="4" s="1"/>
  <c r="Z725" i="4"/>
  <c r="AA725" i="4" s="1"/>
  <c r="X725" i="4"/>
  <c r="AA726" i="4"/>
  <c r="AA730" i="4"/>
  <c r="D733" i="4"/>
  <c r="AB733" i="4"/>
  <c r="L733" i="4"/>
  <c r="AA750" i="4"/>
  <c r="AB751" i="4"/>
  <c r="X754" i="4"/>
  <c r="P754" i="4"/>
  <c r="R754" i="4"/>
  <c r="S754" i="4" s="1"/>
  <c r="AB767" i="4"/>
  <c r="D767" i="4"/>
  <c r="T767" i="4"/>
  <c r="L767" i="4"/>
  <c r="Z768" i="4"/>
  <c r="AA768" i="4" s="1"/>
  <c r="X768" i="4"/>
  <c r="J768" i="4"/>
  <c r="K768" i="4" s="1"/>
  <c r="R768" i="4"/>
  <c r="S768" i="4" s="1"/>
  <c r="D769" i="4"/>
  <c r="D779" i="4"/>
  <c r="R813" i="4"/>
  <c r="S813" i="4" s="1"/>
  <c r="Z813" i="4"/>
  <c r="AA813" i="4" s="1"/>
  <c r="J813" i="4"/>
  <c r="K813" i="4" s="1"/>
  <c r="X813" i="4"/>
  <c r="AB829" i="4"/>
  <c r="L843" i="4"/>
  <c r="Z783" i="4"/>
  <c r="AA783" i="4" s="1"/>
  <c r="R783" i="4"/>
  <c r="S783" i="4" s="1"/>
  <c r="J783" i="4"/>
  <c r="K783" i="4" s="1"/>
  <c r="X783" i="4"/>
  <c r="L787" i="4"/>
  <c r="X792" i="4"/>
  <c r="J792" i="4"/>
  <c r="K792" i="4" s="1"/>
  <c r="Z792" i="4"/>
  <c r="AA792" i="4" s="1"/>
  <c r="P792" i="4"/>
  <c r="Z795" i="4"/>
  <c r="AA795" i="4" s="1"/>
  <c r="X795" i="4"/>
  <c r="J795" i="4"/>
  <c r="K795" i="4" s="1"/>
  <c r="R795" i="4"/>
  <c r="S795" i="4" s="1"/>
  <c r="R796" i="4"/>
  <c r="S796" i="4" s="1"/>
  <c r="Z796" i="4"/>
  <c r="AA796" i="4" s="1"/>
  <c r="J796" i="4"/>
  <c r="K796" i="4" s="1"/>
  <c r="X796" i="4"/>
  <c r="T811" i="4"/>
  <c r="D811" i="4"/>
  <c r="L811" i="4"/>
  <c r="AB823" i="4"/>
  <c r="L853" i="4"/>
  <c r="T853" i="4"/>
  <c r="AB853" i="4"/>
  <c r="D853" i="4"/>
  <c r="AB740" i="4"/>
  <c r="D740" i="4"/>
  <c r="P742" i="4"/>
  <c r="T750" i="4"/>
  <c r="AB750" i="4"/>
  <c r="T753" i="4"/>
  <c r="AB753" i="4"/>
  <c r="T756" i="4"/>
  <c r="AB756" i="4"/>
  <c r="T759" i="4"/>
  <c r="AB759" i="4"/>
  <c r="K763" i="4"/>
  <c r="X769" i="4"/>
  <c r="R769" i="4"/>
  <c r="S769" i="4" s="1"/>
  <c r="P769" i="4"/>
  <c r="K772" i="4"/>
  <c r="T783" i="4"/>
  <c r="AB800" i="4"/>
  <c r="J811" i="4"/>
  <c r="K811" i="4" s="1"/>
  <c r="X811" i="4"/>
  <c r="R811" i="4"/>
  <c r="S811" i="4" s="1"/>
  <c r="X816" i="4"/>
  <c r="J816" i="4"/>
  <c r="K816" i="4" s="1"/>
  <c r="Z816" i="4"/>
  <c r="AA816" i="4" s="1"/>
  <c r="R816" i="4"/>
  <c r="S816" i="4" s="1"/>
  <c r="L837" i="4"/>
  <c r="AA837" i="4"/>
  <c r="AB841" i="4"/>
  <c r="L847" i="4"/>
  <c r="T847" i="4"/>
  <c r="D847" i="4"/>
  <c r="AB847" i="4"/>
  <c r="L730" i="4"/>
  <c r="AB743" i="4"/>
  <c r="D743" i="4"/>
  <c r="P745" i="4"/>
  <c r="D750" i="4"/>
  <c r="D753" i="4"/>
  <c r="D756" i="4"/>
  <c r="D759" i="4"/>
  <c r="Z771" i="4"/>
  <c r="AA771" i="4" s="1"/>
  <c r="X771" i="4"/>
  <c r="J771" i="4"/>
  <c r="K771" i="4" s="1"/>
  <c r="AA794" i="4"/>
  <c r="T800" i="4"/>
  <c r="K815" i="4"/>
  <c r="T836" i="4"/>
  <c r="L858" i="4"/>
  <c r="P728" i="4"/>
  <c r="AA735" i="4"/>
  <c r="T740" i="4"/>
  <c r="T741" i="4"/>
  <c r="AA741" i="4"/>
  <c r="L748" i="4"/>
  <c r="AB748" i="4"/>
  <c r="K761" i="4"/>
  <c r="AB764" i="4"/>
  <c r="D764" i="4"/>
  <c r="AA767" i="4"/>
  <c r="L772" i="4"/>
  <c r="T772" i="4"/>
  <c r="D772" i="4"/>
  <c r="T780" i="4"/>
  <c r="D780" i="4"/>
  <c r="AB780" i="4"/>
  <c r="T787" i="4"/>
  <c r="D787" i="4"/>
  <c r="AB787" i="4"/>
  <c r="L795" i="4"/>
  <c r="Z807" i="4"/>
  <c r="AA807" i="4" s="1"/>
  <c r="X807" i="4"/>
  <c r="P807" i="4"/>
  <c r="R807" i="4"/>
  <c r="S807" i="4" s="1"/>
  <c r="L828" i="4"/>
  <c r="X853" i="4"/>
  <c r="J853" i="4"/>
  <c r="K853" i="4" s="1"/>
  <c r="Z853" i="4"/>
  <c r="AA853" i="4" s="1"/>
  <c r="R853" i="4"/>
  <c r="S853" i="4" s="1"/>
  <c r="R743" i="4"/>
  <c r="S743" i="4" s="1"/>
  <c r="S745" i="4"/>
  <c r="K749" i="4"/>
  <c r="L751" i="4"/>
  <c r="K752" i="4"/>
  <c r="K755" i="4"/>
  <c r="K758" i="4"/>
  <c r="X763" i="4"/>
  <c r="R763" i="4"/>
  <c r="S763" i="4" s="1"/>
  <c r="Z763" i="4"/>
  <c r="AA763" i="4" s="1"/>
  <c r="T774" i="4"/>
  <c r="D774" i="4"/>
  <c r="L778" i="4"/>
  <c r="L783" i="4"/>
  <c r="T801" i="4"/>
  <c r="T802" i="4"/>
  <c r="D803" i="4"/>
  <c r="AB803" i="4"/>
  <c r="L803" i="4"/>
  <c r="AA815" i="4"/>
  <c r="Z819" i="4"/>
  <c r="AA819" i="4" s="1"/>
  <c r="X819" i="4"/>
  <c r="P819" i="4"/>
  <c r="R819" i="4"/>
  <c r="S819" i="4" s="1"/>
  <c r="AB746" i="4"/>
  <c r="D746" i="4"/>
  <c r="P748" i="4"/>
  <c r="T764" i="4"/>
  <c r="T765" i="4"/>
  <c r="D765" i="4"/>
  <c r="AB765" i="4"/>
  <c r="Z769" i="4"/>
  <c r="AA769" i="4" s="1"/>
  <c r="L775" i="4"/>
  <c r="T775" i="4"/>
  <c r="D775" i="4"/>
  <c r="T782" i="4"/>
  <c r="AB782" i="4"/>
  <c r="L782" i="4"/>
  <c r="T794" i="4"/>
  <c r="AB794" i="4"/>
  <c r="D794" i="4"/>
  <c r="L797" i="4"/>
  <c r="T797" i="4"/>
  <c r="Z811" i="4"/>
  <c r="AA811" i="4" s="1"/>
  <c r="R820" i="4"/>
  <c r="S820" i="4" s="1"/>
  <c r="Z820" i="4"/>
  <c r="AA820" i="4" s="1"/>
  <c r="J820" i="4"/>
  <c r="K820" i="4" s="1"/>
  <c r="AA830" i="4"/>
  <c r="P764" i="4"/>
  <c r="J764" i="4"/>
  <c r="K764" i="4" s="1"/>
  <c r="R764" i="4"/>
  <c r="S764" i="4" s="1"/>
  <c r="X765" i="4"/>
  <c r="J801" i="4"/>
  <c r="K801" i="4" s="1"/>
  <c r="T814" i="4"/>
  <c r="AA818" i="4"/>
  <c r="AA822" i="4"/>
  <c r="X835" i="4"/>
  <c r="J835" i="4"/>
  <c r="K835" i="4" s="1"/>
  <c r="P835" i="4"/>
  <c r="K845" i="4"/>
  <c r="L856" i="4"/>
  <c r="T856" i="4"/>
  <c r="P767" i="4"/>
  <c r="J767" i="4"/>
  <c r="K767" i="4" s="1"/>
  <c r="R767" i="4"/>
  <c r="S767" i="4" s="1"/>
  <c r="X780" i="4"/>
  <c r="J780" i="4"/>
  <c r="K780" i="4" s="1"/>
  <c r="R787" i="4"/>
  <c r="S787" i="4" s="1"/>
  <c r="L802" i="4"/>
  <c r="X804" i="4"/>
  <c r="J804" i="4"/>
  <c r="K804" i="4" s="1"/>
  <c r="R808" i="4"/>
  <c r="S808" i="4" s="1"/>
  <c r="Z808" i="4"/>
  <c r="AA808" i="4" s="1"/>
  <c r="P808" i="4"/>
  <c r="X829" i="4"/>
  <c r="J829" i="4"/>
  <c r="K829" i="4" s="1"/>
  <c r="P829" i="4"/>
  <c r="Z829" i="4"/>
  <c r="AA829" i="4" s="1"/>
  <c r="AB770" i="4"/>
  <c r="D770" i="4"/>
  <c r="X772" i="4"/>
  <c r="R772" i="4"/>
  <c r="S772" i="4" s="1"/>
  <c r="AA773" i="4"/>
  <c r="X775" i="4"/>
  <c r="R775" i="4"/>
  <c r="S775" i="4" s="1"/>
  <c r="AA776" i="4"/>
  <c r="P778" i="4"/>
  <c r="R780" i="4"/>
  <c r="S780" i="4" s="1"/>
  <c r="Z790" i="4"/>
  <c r="AA790" i="4" s="1"/>
  <c r="X790" i="4"/>
  <c r="J790" i="4"/>
  <c r="K790" i="4" s="1"/>
  <c r="R790" i="4"/>
  <c r="S790" i="4" s="1"/>
  <c r="D791" i="4"/>
  <c r="AB791" i="4"/>
  <c r="L791" i="4"/>
  <c r="R804" i="4"/>
  <c r="S804" i="4" s="1"/>
  <c r="K827" i="4"/>
  <c r="T830" i="4"/>
  <c r="R843" i="4"/>
  <c r="S843" i="4" s="1"/>
  <c r="P843" i="4"/>
  <c r="X843" i="4"/>
  <c r="L844" i="4"/>
  <c r="T844" i="4"/>
  <c r="D844" i="4"/>
  <c r="AB844" i="4"/>
  <c r="R855" i="4"/>
  <c r="S855" i="4" s="1"/>
  <c r="P855" i="4"/>
  <c r="Z855" i="4"/>
  <c r="AA855" i="4" s="1"/>
  <c r="J855" i="4"/>
  <c r="K855" i="4" s="1"/>
  <c r="L859" i="4"/>
  <c r="T859" i="4"/>
  <c r="D859" i="4"/>
  <c r="L763" i="4"/>
  <c r="AB763" i="4"/>
  <c r="T768" i="4"/>
  <c r="D781" i="4"/>
  <c r="AB781" i="4"/>
  <c r="R784" i="4"/>
  <c r="S784" i="4" s="1"/>
  <c r="Z784" i="4"/>
  <c r="AA784" i="4" s="1"/>
  <c r="P784" i="4"/>
  <c r="AB788" i="4"/>
  <c r="T818" i="4"/>
  <c r="T823" i="4"/>
  <c r="D823" i="4"/>
  <c r="AB832" i="4"/>
  <c r="AA834" i="4"/>
  <c r="R849" i="4"/>
  <c r="S849" i="4" s="1"/>
  <c r="P849" i="4"/>
  <c r="Z849" i="4"/>
  <c r="AA849" i="4" s="1"/>
  <c r="J849" i="4"/>
  <c r="K849" i="4" s="1"/>
  <c r="X849" i="4"/>
  <c r="X850" i="4"/>
  <c r="J850" i="4"/>
  <c r="K850" i="4" s="1"/>
  <c r="P850" i="4"/>
  <c r="S859" i="4"/>
  <c r="AA860" i="4"/>
  <c r="AB768" i="4"/>
  <c r="P770" i="4"/>
  <c r="J770" i="4"/>
  <c r="K770" i="4" s="1"/>
  <c r="R770" i="4"/>
  <c r="S770" i="4" s="1"/>
  <c r="AB773" i="4"/>
  <c r="D773" i="4"/>
  <c r="AB776" i="4"/>
  <c r="D776" i="4"/>
  <c r="R778" i="4"/>
  <c r="S778" i="4" s="1"/>
  <c r="AA782" i="4"/>
  <c r="L785" i="4"/>
  <c r="AB785" i="4"/>
  <c r="T799" i="4"/>
  <c r="D799" i="4"/>
  <c r="P801" i="4"/>
  <c r="AA806" i="4"/>
  <c r="AA810" i="4"/>
  <c r="X855" i="4"/>
  <c r="X859" i="4"/>
  <c r="J859" i="4"/>
  <c r="K859" i="4" s="1"/>
  <c r="Z859" i="4"/>
  <c r="AA859" i="4" s="1"/>
  <c r="T860" i="4"/>
  <c r="J773" i="4"/>
  <c r="K773" i="4" s="1"/>
  <c r="J776" i="4"/>
  <c r="K776" i="4" s="1"/>
  <c r="J781" i="4"/>
  <c r="K781" i="4" s="1"/>
  <c r="X786" i="4"/>
  <c r="J793" i="4"/>
  <c r="K793" i="4" s="1"/>
  <c r="X798" i="4"/>
  <c r="J805" i="4"/>
  <c r="K805" i="4" s="1"/>
  <c r="X810" i="4"/>
  <c r="J817" i="4"/>
  <c r="K817" i="4" s="1"/>
  <c r="X822" i="4"/>
  <c r="J831" i="4"/>
  <c r="K831" i="4" s="1"/>
  <c r="R846" i="4"/>
  <c r="S846" i="4" s="1"/>
  <c r="P846" i="4"/>
  <c r="L850" i="4"/>
  <c r="T850" i="4"/>
  <c r="X856" i="4"/>
  <c r="J856" i="4"/>
  <c r="K856" i="4" s="1"/>
  <c r="R856" i="4"/>
  <c r="S856" i="4" s="1"/>
  <c r="L826" i="4"/>
  <c r="R837" i="4"/>
  <c r="S837" i="4" s="1"/>
  <c r="P837" i="4"/>
  <c r="L841" i="4"/>
  <c r="T841" i="4"/>
  <c r="X847" i="4"/>
  <c r="J847" i="4"/>
  <c r="K847" i="4" s="1"/>
  <c r="R847" i="4"/>
  <c r="S847" i="4" s="1"/>
  <c r="P828" i="4"/>
  <c r="R834" i="4"/>
  <c r="S834" i="4" s="1"/>
  <c r="P834" i="4"/>
  <c r="L838" i="4"/>
  <c r="T838" i="4"/>
  <c r="X844" i="4"/>
  <c r="J844" i="4"/>
  <c r="K844" i="4" s="1"/>
  <c r="R844" i="4"/>
  <c r="S844" i="4" s="1"/>
  <c r="AA848" i="4"/>
  <c r="AA788" i="4"/>
  <c r="AB793" i="4"/>
  <c r="AA800" i="4"/>
  <c r="AB805" i="4"/>
  <c r="AA812" i="4"/>
  <c r="AB817" i="4"/>
  <c r="AA824" i="4"/>
  <c r="X826" i="4"/>
  <c r="J826" i="4"/>
  <c r="K826" i="4" s="1"/>
  <c r="R826" i="4"/>
  <c r="S826" i="4" s="1"/>
  <c r="R831" i="4"/>
  <c r="S831" i="4" s="1"/>
  <c r="P831" i="4"/>
  <c r="L835" i="4"/>
  <c r="T835" i="4"/>
  <c r="X841" i="4"/>
  <c r="J841" i="4"/>
  <c r="K841" i="4" s="1"/>
  <c r="R841" i="4"/>
  <c r="S841" i="4" s="1"/>
  <c r="AA845" i="4"/>
  <c r="D826" i="4"/>
  <c r="L829" i="4"/>
  <c r="L832" i="4"/>
  <c r="T832" i="4"/>
  <c r="X838" i="4"/>
  <c r="J838" i="4"/>
  <c r="K838" i="4" s="1"/>
  <c r="R838" i="4"/>
  <c r="S838" i="4" s="1"/>
  <c r="D841" i="4"/>
  <c r="AA842" i="4"/>
  <c r="R861" i="4"/>
  <c r="S861" i="4" s="1"/>
  <c r="P861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<sst xmlns="http://schemas.openxmlformats.org/spreadsheetml/2006/main" count="2775" uniqueCount="426">
  <si>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</si>
  <si>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</si>
  <si>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</si>
  <si>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</si>
  <si>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</si>
  <si>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</si>
  <si>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</si>
  <si>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</si>
  <si>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</si>
  <si>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</si>
  <si>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</si>
  <si>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</si>
  <si>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</si>
  <si>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</si>
  <si>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</si>
  <si>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</si>
  <si>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</si>
  <si>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</si>
  <si>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</si>
  <si>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</si>
  <si>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</si>
  <si>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準備工</t>
  </si>
  <si>
    <t>15号内訳書</t>
  </si>
  <si>
    <t>外注費</t>
  </si>
  <si>
    <t>測量</t>
  </si>
  <si>
    <t>貯留槽部土工</t>
  </si>
  <si>
    <t>m3</t>
  </si>
  <si>
    <t>16号内訳書</t>
  </si>
  <si>
    <t>掘削工</t>
  </si>
  <si>
    <t>23号内訳書</t>
  </si>
  <si>
    <t>労務費</t>
  </si>
  <si>
    <t>技工</t>
  </si>
  <si>
    <t>人</t>
  </si>
  <si>
    <t>機械費</t>
  </si>
  <si>
    <t>BH0.4</t>
  </si>
  <si>
    <t>台</t>
  </si>
  <si>
    <t>運搬費</t>
  </si>
  <si>
    <t>4tダンプ</t>
  </si>
  <si>
    <t>2tダンプ</t>
  </si>
  <si>
    <t>材料費</t>
  </si>
  <si>
    <t>軽油</t>
  </si>
  <si>
    <t>リットル</t>
  </si>
  <si>
    <t>雑材</t>
  </si>
  <si>
    <t>外注経費</t>
  </si>
  <si>
    <t>路盤工</t>
  </si>
  <si>
    <t>m2</t>
  </si>
  <si>
    <t>25号内訳書</t>
  </si>
  <si>
    <t>RC-40</t>
  </si>
  <si>
    <t>BH0.2</t>
  </si>
  <si>
    <t>コンバインドローラー</t>
  </si>
  <si>
    <t>プレート</t>
  </si>
  <si>
    <t>ランマー</t>
  </si>
  <si>
    <t>ガソリン</t>
  </si>
  <si>
    <t>不陸調整砂</t>
  </si>
  <si>
    <t>26号内訳書</t>
  </si>
  <si>
    <t>再生砂</t>
  </si>
  <si>
    <t>コンバインドローラ</t>
  </si>
  <si>
    <t>埋戻し</t>
  </si>
  <si>
    <t>27号内訳書</t>
  </si>
  <si>
    <t>残土運搬・処分</t>
  </si>
  <si>
    <t>28号内訳書</t>
  </si>
  <si>
    <t>残土運搬処分費</t>
  </si>
  <si>
    <t>排水整備工</t>
  </si>
  <si>
    <t>ｍ</t>
  </si>
  <si>
    <t>17号内訳書</t>
  </si>
  <si>
    <t>CD桝</t>
  </si>
  <si>
    <t>基</t>
  </si>
  <si>
    <t>29号内訳書</t>
  </si>
  <si>
    <t>CD500用グレーチング</t>
  </si>
  <si>
    <t>T-14　細目　鎖付き</t>
  </si>
  <si>
    <t>枚</t>
  </si>
  <si>
    <t>CD500　縁塊　H100</t>
  </si>
  <si>
    <t>個</t>
  </si>
  <si>
    <t>CD500　側塊　H300</t>
  </si>
  <si>
    <t>CD500 側塊　H150</t>
  </si>
  <si>
    <t>生コン</t>
  </si>
  <si>
    <t>BH0.15</t>
  </si>
  <si>
    <t xml:space="preserve">雨水桝　□400×H500 </t>
  </si>
  <si>
    <t>30号内訳書</t>
  </si>
  <si>
    <t>雨水桝　400×500</t>
  </si>
  <si>
    <t>T-25　グレーチング　蓋付き</t>
  </si>
  <si>
    <t>雨水桝　□500×H500～1300</t>
  </si>
  <si>
    <t>31号内訳書</t>
  </si>
  <si>
    <t>雨水桝　500×500</t>
  </si>
  <si>
    <t>T-25　グレーチング蓋付き</t>
  </si>
  <si>
    <t>雨水桝　500×550</t>
  </si>
  <si>
    <t>雨水桝　500×600</t>
  </si>
  <si>
    <t>雨水桝　500×650</t>
  </si>
  <si>
    <t>雨水桝　500×700</t>
  </si>
  <si>
    <t>雨水桝　500×750</t>
  </si>
  <si>
    <t>雨水桝　500×950</t>
  </si>
  <si>
    <t>雨水桝　500×1200</t>
  </si>
  <si>
    <t>雨水桝　500×1300</t>
  </si>
  <si>
    <t>沈砂枡</t>
  </si>
  <si>
    <t>32号内訳書</t>
  </si>
  <si>
    <t>沈砂枡　1000×1200</t>
  </si>
  <si>
    <t>WP</t>
  </si>
  <si>
    <t>浸透桝</t>
  </si>
  <si>
    <t>33号内訳書</t>
  </si>
  <si>
    <t>縁塊</t>
  </si>
  <si>
    <t>H100</t>
  </si>
  <si>
    <t>側塊</t>
  </si>
  <si>
    <t>H300</t>
  </si>
  <si>
    <t>本体</t>
  </si>
  <si>
    <t>底版</t>
  </si>
  <si>
    <t>フィルター</t>
  </si>
  <si>
    <t>コンクリート蓋</t>
  </si>
  <si>
    <t>透水シート</t>
  </si>
  <si>
    <t>運賃</t>
  </si>
  <si>
    <t>単粒砕石</t>
  </si>
  <si>
    <t>砂</t>
  </si>
  <si>
    <t>自由勾配側溝　VS300×H400</t>
  </si>
  <si>
    <t>34号内訳書</t>
  </si>
  <si>
    <t>VS 300×400×L2000</t>
  </si>
  <si>
    <t>本</t>
  </si>
  <si>
    <t>VS　300×400×L1500</t>
  </si>
  <si>
    <t>グレーチング蓋　T-25</t>
  </si>
  <si>
    <t>L=950</t>
  </si>
  <si>
    <t>コンクリート蓋　L＝500</t>
  </si>
  <si>
    <t xml:space="preserve">自由勾配側溝　VS300×H500 </t>
  </si>
  <si>
    <t>35号内訳書</t>
  </si>
  <si>
    <t>VS300×500×L2000</t>
  </si>
  <si>
    <t>VS300×500×L1500</t>
  </si>
  <si>
    <t>L=995</t>
  </si>
  <si>
    <t>L＝500</t>
  </si>
  <si>
    <t>自由勾配側溝　VS300×400～700</t>
  </si>
  <si>
    <t>36号内訳書</t>
  </si>
  <si>
    <t xml:space="preserve">VS300×400 </t>
  </si>
  <si>
    <t>VS300×500</t>
  </si>
  <si>
    <t>VS300×600</t>
  </si>
  <si>
    <t>VS300×700</t>
  </si>
  <si>
    <t>U型側溝　240×240</t>
  </si>
  <si>
    <t>37号内訳書</t>
  </si>
  <si>
    <t>U字溝　240×240×L2000</t>
  </si>
  <si>
    <t>グレーチング蓋　T-14</t>
  </si>
  <si>
    <t>PU側溝　300×500</t>
  </si>
  <si>
    <t>38号内訳書</t>
  </si>
  <si>
    <t>PU側溝　300×500 L=2000</t>
  </si>
  <si>
    <t>PU側溝　300×500　L=1000</t>
  </si>
  <si>
    <t>L＝995</t>
  </si>
  <si>
    <t>PU側溝　250×250</t>
  </si>
  <si>
    <t>39号内訳書</t>
  </si>
  <si>
    <t>PU側溝　250×250×L2000</t>
  </si>
  <si>
    <t>横断側溝　300×300</t>
  </si>
  <si>
    <t>40号内訳書</t>
  </si>
  <si>
    <t>ボルト固定300×300×L2000</t>
  </si>
  <si>
    <t>T-25　グレーチング　厚100</t>
  </si>
  <si>
    <t>T-25　グレーチング　厚150</t>
  </si>
  <si>
    <t>ボルト用キャップ</t>
  </si>
  <si>
    <t>横断側溝　300×500</t>
  </si>
  <si>
    <t>41号内訳書</t>
  </si>
  <si>
    <t>ボルト固定300×500×L2000</t>
  </si>
  <si>
    <t>T-25 グレーチング　厚100</t>
  </si>
  <si>
    <t>ボルトキャップ</t>
  </si>
  <si>
    <t>VU150</t>
  </si>
  <si>
    <t>42号内訳書</t>
  </si>
  <si>
    <t>VUφ150</t>
  </si>
  <si>
    <t>VU200</t>
  </si>
  <si>
    <t>43号内訳書</t>
  </si>
  <si>
    <t>VUφ200</t>
  </si>
  <si>
    <t>VU250</t>
  </si>
  <si>
    <t>44号内訳書</t>
  </si>
  <si>
    <t>VUφ250</t>
  </si>
  <si>
    <t>CSB150</t>
  </si>
  <si>
    <t>45号内訳書</t>
  </si>
  <si>
    <t>CSB200</t>
  </si>
  <si>
    <t>46号内訳書</t>
  </si>
  <si>
    <t>VP150</t>
  </si>
  <si>
    <t>47号内訳書</t>
  </si>
  <si>
    <t>VP250</t>
  </si>
  <si>
    <t>48号内訳書</t>
  </si>
  <si>
    <t>縁石工</t>
  </si>
  <si>
    <t>18号内訳書</t>
  </si>
  <si>
    <t>地先境界ブロックA</t>
  </si>
  <si>
    <t>49号内訳書</t>
  </si>
  <si>
    <t>地先境界ブロックC</t>
  </si>
  <si>
    <t>50号内訳書</t>
  </si>
  <si>
    <t>歩車道境界ブロックA</t>
  </si>
  <si>
    <t>51号内訳書</t>
  </si>
  <si>
    <t>舗装工</t>
  </si>
  <si>
    <t>19号内訳書</t>
  </si>
  <si>
    <t>52号内訳書</t>
  </si>
  <si>
    <t>タイヤショベル</t>
  </si>
  <si>
    <t>一般アスファルト舗装部</t>
  </si>
  <si>
    <t>53号内訳書</t>
  </si>
  <si>
    <t>ブルドーザ</t>
  </si>
  <si>
    <t>タイヤローラ3t</t>
  </si>
  <si>
    <t>下層路盤工</t>
  </si>
  <si>
    <t>半たわみ舗装部</t>
  </si>
  <si>
    <t>54号内訳書</t>
  </si>
  <si>
    <t>タイヤローラ10t</t>
  </si>
  <si>
    <t>上層路盤工</t>
  </si>
  <si>
    <t>55号内訳書</t>
  </si>
  <si>
    <t>M-30</t>
  </si>
  <si>
    <t>アスファルト舗装工</t>
  </si>
  <si>
    <t>一般アスファルト舗装</t>
  </si>
  <si>
    <t>58号内訳書</t>
  </si>
  <si>
    <t>密粒度アスコン</t>
  </si>
  <si>
    <t>ｔ</t>
  </si>
  <si>
    <t>AF　4.5m級</t>
  </si>
  <si>
    <t>アスファルト舗装工　基層</t>
  </si>
  <si>
    <t>半たわみ舗装</t>
  </si>
  <si>
    <t>59号内訳書</t>
  </si>
  <si>
    <t>粗粒度アスコン</t>
  </si>
  <si>
    <t>アスファルト乳剤</t>
  </si>
  <si>
    <t>AF　6.0m級</t>
  </si>
  <si>
    <t>ディストリビューター</t>
  </si>
  <si>
    <t>アスファルト舗装　表層</t>
  </si>
  <si>
    <t>60号内訳書</t>
  </si>
  <si>
    <t>開粒度アスコン</t>
  </si>
  <si>
    <t>セメントミルク注入</t>
  </si>
  <si>
    <t>61号内訳書</t>
  </si>
  <si>
    <t>TAセット</t>
  </si>
  <si>
    <t>袋</t>
  </si>
  <si>
    <t>養生材</t>
  </si>
  <si>
    <t>ゴムレーキ</t>
  </si>
  <si>
    <t>特殊運転工</t>
  </si>
  <si>
    <t>普通作業員</t>
  </si>
  <si>
    <t>ミキサー車</t>
  </si>
  <si>
    <t>振動ローラ</t>
  </si>
  <si>
    <t>フォークリフト</t>
  </si>
  <si>
    <t>小物機械</t>
  </si>
  <si>
    <t>コンクリート舗装</t>
  </si>
  <si>
    <t>62号内訳書</t>
  </si>
  <si>
    <t>21N/mm2</t>
  </si>
  <si>
    <t>型枠材</t>
  </si>
  <si>
    <t>ポンプ車</t>
  </si>
  <si>
    <t>砂利敷</t>
  </si>
  <si>
    <t>63号内訳書</t>
  </si>
  <si>
    <t>単粒6号砕石</t>
  </si>
  <si>
    <t>BH0.06</t>
  </si>
  <si>
    <t>付帯施設工</t>
  </si>
  <si>
    <t>20号内訳書</t>
  </si>
  <si>
    <t>擁壁ブロック設置</t>
  </si>
  <si>
    <t>64号内訳書</t>
  </si>
  <si>
    <t>ルーバーフェンス設置</t>
  </si>
  <si>
    <t>65号内訳書</t>
  </si>
  <si>
    <t>クレディフェンスHG６S</t>
  </si>
  <si>
    <t>H1200 多段柱仕様</t>
  </si>
  <si>
    <t>組立費</t>
  </si>
  <si>
    <t>コンクリート基礎</t>
  </si>
  <si>
    <t>600×600×500</t>
  </si>
  <si>
    <t>吊り上げ器</t>
  </si>
  <si>
    <t>メッシュフェンス設置</t>
  </si>
  <si>
    <t>66号内訳書</t>
  </si>
  <si>
    <t>メッシュフェンス G10</t>
  </si>
  <si>
    <t>H=1800</t>
  </si>
  <si>
    <t>基礎ブロック</t>
  </si>
  <si>
    <t>180×180×450</t>
  </si>
  <si>
    <t>基礎設置費</t>
  </si>
  <si>
    <t>H1800</t>
  </si>
  <si>
    <t>m</t>
  </si>
  <si>
    <t>カーブミラー設置</t>
  </si>
  <si>
    <t>67号内訳書</t>
  </si>
  <si>
    <t>φ600アクリル</t>
  </si>
  <si>
    <t>柱　φ76.3×3600</t>
  </si>
  <si>
    <t>注意ステッカー</t>
  </si>
  <si>
    <t>送料</t>
  </si>
  <si>
    <t>ミラー・柱・ステッカー</t>
  </si>
  <si>
    <t>500×500×600</t>
  </si>
  <si>
    <t>車止め設置</t>
  </si>
  <si>
    <t>68号内訳書</t>
  </si>
  <si>
    <t>面取り　D10 L200</t>
  </si>
  <si>
    <t>パーキングボンド</t>
  </si>
  <si>
    <t>区画線設置工</t>
  </si>
  <si>
    <t>21号内訳書</t>
  </si>
  <si>
    <t>駐車区画線</t>
  </si>
  <si>
    <t>W=150 白</t>
  </si>
  <si>
    <t>69号内訳書</t>
  </si>
  <si>
    <t>駐車区画番号</t>
  </si>
  <si>
    <t>個所</t>
  </si>
  <si>
    <t>70号内訳書</t>
  </si>
  <si>
    <t>駐輪場区画線</t>
  </si>
  <si>
    <t>71号内訳書</t>
  </si>
  <si>
    <t>W=100</t>
  </si>
  <si>
    <t>路側線</t>
  </si>
  <si>
    <t>72号内訳書</t>
  </si>
  <si>
    <t>横断歩道</t>
  </si>
  <si>
    <t>73号内訳書</t>
  </si>
  <si>
    <t>W=450</t>
  </si>
  <si>
    <t>路側線（半たわみ舗装部）</t>
  </si>
  <si>
    <t>74号内訳書</t>
  </si>
  <si>
    <t>停止線</t>
  </si>
  <si>
    <t>75号内訳書</t>
  </si>
  <si>
    <t>止まれ表示</t>
  </si>
  <si>
    <t>76号内訳書</t>
  </si>
  <si>
    <t>止まれ</t>
  </si>
  <si>
    <t>左折矢印</t>
  </si>
  <si>
    <t>77号内訳書</t>
  </si>
  <si>
    <t>国道乗り入れ部</t>
  </si>
  <si>
    <t>22号内訳書</t>
  </si>
  <si>
    <t>L型街渠撤去</t>
  </si>
  <si>
    <t>切り下げ部</t>
  </si>
  <si>
    <t>78号内訳書</t>
  </si>
  <si>
    <t>切り上げ部</t>
  </si>
  <si>
    <t>79号内訳書</t>
  </si>
  <si>
    <t>アスファルト舗装撤去</t>
  </si>
  <si>
    <t>80号内訳書</t>
  </si>
  <si>
    <t>81号内訳書</t>
  </si>
  <si>
    <t>路盤撤去</t>
  </si>
  <si>
    <t>82号内訳書</t>
  </si>
  <si>
    <t>83号内訳書</t>
  </si>
  <si>
    <t>コンクリート殻運搬</t>
  </si>
  <si>
    <t>84号内訳書</t>
  </si>
  <si>
    <t>コンクリート殻処分</t>
  </si>
  <si>
    <t>85号内訳書</t>
  </si>
  <si>
    <t>路盤廃材運搬</t>
  </si>
  <si>
    <t>86号内訳書</t>
  </si>
  <si>
    <t>10tダンプ</t>
  </si>
  <si>
    <t>路盤廃材処分</t>
  </si>
  <si>
    <t>87号内訳書</t>
  </si>
  <si>
    <t>アスファルト殻運搬</t>
  </si>
  <si>
    <t>88号内訳書</t>
  </si>
  <si>
    <t>アスファルト殻処分</t>
  </si>
  <si>
    <t>89号内訳書</t>
  </si>
  <si>
    <t>90号内訳書</t>
  </si>
  <si>
    <t>歩車道境界ブロックB</t>
  </si>
  <si>
    <t>平5㎝</t>
  </si>
  <si>
    <t>斜5㎝</t>
  </si>
  <si>
    <t>91号内訳書</t>
  </si>
  <si>
    <t>L型ブロック</t>
  </si>
  <si>
    <t>平</t>
  </si>
  <si>
    <t>斜</t>
  </si>
  <si>
    <t>92号内訳書</t>
  </si>
  <si>
    <t>RM-40</t>
  </si>
  <si>
    <t>93号内訳書</t>
  </si>
  <si>
    <t>フィルター層</t>
  </si>
  <si>
    <t>アスファルト舗装</t>
  </si>
  <si>
    <t>94号内訳書</t>
  </si>
  <si>
    <t>PK-3</t>
  </si>
  <si>
    <t>タックファイン</t>
  </si>
  <si>
    <t>スプレイヤー</t>
  </si>
  <si>
    <t>95号内訳書</t>
  </si>
  <si>
    <t>仮囲い撤去・復旧</t>
  </si>
  <si>
    <t>97号内訳書</t>
  </si>
  <si>
    <t>世話役</t>
  </si>
  <si>
    <t>機械基礎</t>
  </si>
  <si>
    <t>98号内訳書</t>
  </si>
  <si>
    <t>砕石敷</t>
  </si>
  <si>
    <t>型枠、配筋</t>
  </si>
  <si>
    <t>生コン打設</t>
  </si>
  <si>
    <t>既設看板撤去</t>
  </si>
  <si>
    <t>99号内訳書</t>
  </si>
  <si>
    <t>特殊作業員</t>
  </si>
  <si>
    <t>バックホウ</t>
  </si>
  <si>
    <t>0.2m3 ブレーカー</t>
  </si>
  <si>
    <t>重機回送</t>
  </si>
  <si>
    <t>搬入</t>
  </si>
  <si>
    <t>回</t>
  </si>
  <si>
    <t>既設横断側溝撤去</t>
  </si>
  <si>
    <t>100号内訳書</t>
  </si>
  <si>
    <t>ダンプトラック</t>
  </si>
  <si>
    <t>4tDT　　</t>
  </si>
  <si>
    <t>コンクリート殻</t>
  </si>
  <si>
    <t>t</t>
  </si>
  <si>
    <t>浄化槽設置</t>
  </si>
  <si>
    <t>掘削、土留め、砕石敷均し</t>
  </si>
  <si>
    <t>101号内訳書</t>
  </si>
  <si>
    <t>4tDT</t>
  </si>
  <si>
    <t>掘削残土運搬処分</t>
  </si>
  <si>
    <t>102号内訳書</t>
  </si>
  <si>
    <t>ランマ</t>
  </si>
  <si>
    <t>スラブ型枠</t>
  </si>
  <si>
    <t>103号内訳書</t>
  </si>
  <si>
    <t>104号内訳書</t>
  </si>
  <si>
    <t>バックホウ0.15m3</t>
  </si>
  <si>
    <t>生コンホッパー</t>
  </si>
  <si>
    <t>既設舗装版・縁石撤去</t>
  </si>
  <si>
    <t>105号内訳書</t>
  </si>
  <si>
    <t>0.45m3</t>
  </si>
  <si>
    <t>10tDT</t>
  </si>
  <si>
    <t>アスファルト殻</t>
  </si>
  <si>
    <t>ガードポール基礎設置</t>
  </si>
  <si>
    <t>106号内訳書</t>
  </si>
  <si>
    <t>400×500×500</t>
  </si>
  <si>
    <t>沈下防止コンクリート型枠組払い</t>
  </si>
  <si>
    <t>107号内訳書</t>
  </si>
  <si>
    <t>看板基礎設置</t>
  </si>
  <si>
    <t>掘削、型枠、配筋、打設</t>
  </si>
  <si>
    <t>108号内訳書</t>
  </si>
  <si>
    <t>雨桶用浸透桝、標識基礎設置</t>
  </si>
  <si>
    <t>109号内訳書</t>
  </si>
  <si>
    <t>集水桝</t>
  </si>
  <si>
    <t>□400　グレーチング蓋共</t>
  </si>
  <si>
    <t>基礎石</t>
  </si>
  <si>
    <t>□400</t>
  </si>
  <si>
    <t>既存フェンス・擁壁撤去・復旧</t>
  </si>
  <si>
    <t>110号内訳書</t>
  </si>
  <si>
    <t>削孔機</t>
  </si>
  <si>
    <t>φ50コア刃共</t>
  </si>
  <si>
    <t>バリカー設置</t>
  </si>
  <si>
    <t>111号内訳書</t>
  </si>
  <si>
    <t>削孔　φ250</t>
  </si>
  <si>
    <t>箇所</t>
  </si>
  <si>
    <t>外構残土処分</t>
  </si>
  <si>
    <t>112号内訳書</t>
  </si>
  <si>
    <t>残土運搬処分</t>
  </si>
  <si>
    <t>既存フェンス撤去</t>
  </si>
  <si>
    <t>113号内訳書</t>
  </si>
  <si>
    <t>資機材</t>
  </si>
  <si>
    <t>サンダー、モルタル</t>
  </si>
  <si>
    <t>駐車場整備</t>
  </si>
  <si>
    <t>114号内訳書</t>
  </si>
  <si>
    <t>バックホウ0.45m3</t>
  </si>
  <si>
    <t>集水桝グレーチング蓋交換</t>
  </si>
  <si>
    <t>普通目→細目</t>
  </si>
  <si>
    <t>115号内訳書</t>
  </si>
  <si>
    <t>通勤車</t>
  </si>
  <si>
    <t>グレーチング蓋</t>
  </si>
  <si>
    <t>T-14 細目</t>
  </si>
  <si>
    <t>切り下げ仮復旧</t>
  </si>
  <si>
    <t>117号内訳書</t>
  </si>
  <si>
    <t>応援職員</t>
  </si>
  <si>
    <t>交通誘導員</t>
  </si>
  <si>
    <t>保安資材</t>
  </si>
  <si>
    <t>L型街渠</t>
  </si>
  <si>
    <t>再生密粒度AS</t>
  </si>
  <si>
    <t>乳剤</t>
  </si>
  <si>
    <t>缶</t>
  </si>
  <si>
    <t>残土処分</t>
  </si>
  <si>
    <t>造園屋置場分</t>
  </si>
  <si>
    <t>118号内訳書</t>
  </si>
  <si>
    <t>法定福利費</t>
  </si>
  <si>
    <t>116号内訳書</t>
  </si>
  <si>
    <t>予算2</t>
    <phoneticPr fontId="3"/>
  </si>
  <si>
    <t>野田市蕃昌倉庫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</si>
</sst>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58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425</v>
      </c>
      <c r="G1" s="51" t="s">
        <v>19</v>
      </c>
      <c r="H1">
        <v>1</v>
      </c>
      <c r="I1" s="58">
        <v>69453000</v>
      </c>
      <c r="J1" s="59">
        <v>69453000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G2" s="51" t="s">
        <v>19</v>
      </c>
      <c r="H2">
        <v>1</v>
      </c>
      <c r="I2" s="58">
        <v>440550</v>
      </c>
      <c r="J2" s="59">
        <v>440550</v>
      </c>
      <c r="K2">
        <v>1</v>
      </c>
      <c r="M2" s="51" t="s">
        <v>22</v>
      </c>
      <c r="O2" s="52"/>
    </row>
    <row r="3" spans="1:15" x14ac:dyDescent="0.15">
      <c r="A3">
        <v>2</v>
      </c>
      <c r="D3" s="51" t="s">
        <v>23</v>
      </c>
      <c r="E3" s="51" t="s">
        <v>24</v>
      </c>
      <c r="G3" s="51" t="s">
        <v>19</v>
      </c>
      <c r="H3">
        <v>1</v>
      </c>
      <c r="I3" s="58">
        <v>440550</v>
      </c>
      <c r="J3" s="59">
        <v>440550</v>
      </c>
      <c r="K3">
        <v>1</v>
      </c>
      <c r="O3" s="52"/>
    </row>
    <row r="4" spans="1:15" x14ac:dyDescent="0.15">
      <c r="A4">
        <v>1</v>
      </c>
      <c r="D4" s="51" t="s">
        <v>20</v>
      </c>
      <c r="E4" s="51" t="s">
        <v>25</v>
      </c>
      <c r="G4" s="51" t="s">
        <v>26</v>
      </c>
      <c r="H4">
        <v>1500</v>
      </c>
      <c r="I4" s="58">
        <v>8761.26</v>
      </c>
      <c r="J4" s="59">
        <v>13141900</v>
      </c>
      <c r="K4">
        <v>1500</v>
      </c>
      <c r="M4" s="51" t="s">
        <v>27</v>
      </c>
      <c r="O4" s="52"/>
    </row>
    <row r="5" spans="1:15" x14ac:dyDescent="0.15">
      <c r="A5">
        <v>2</v>
      </c>
      <c r="D5" s="51" t="s">
        <v>20</v>
      </c>
      <c r="E5" s="51" t="s">
        <v>28</v>
      </c>
      <c r="G5" s="51" t="s">
        <v>26</v>
      </c>
      <c r="H5">
        <v>1500</v>
      </c>
      <c r="I5" s="58">
        <v>980</v>
      </c>
      <c r="J5" s="59">
        <v>1470000</v>
      </c>
      <c r="K5">
        <v>1500</v>
      </c>
      <c r="M5" s="51" t="s">
        <v>29</v>
      </c>
      <c r="O5" s="52"/>
    </row>
    <row r="6" spans="1:15" x14ac:dyDescent="0.15">
      <c r="A6">
        <v>3</v>
      </c>
      <c r="D6" s="51" t="s">
        <v>30</v>
      </c>
      <c r="E6" s="51" t="s">
        <v>31</v>
      </c>
      <c r="G6" s="51" t="s">
        <v>32</v>
      </c>
      <c r="H6">
        <v>36</v>
      </c>
      <c r="I6" s="58">
        <v>28000</v>
      </c>
      <c r="J6" s="59">
        <v>1008000</v>
      </c>
      <c r="K6">
        <v>1</v>
      </c>
      <c r="O6" s="52"/>
    </row>
    <row r="7" spans="1:15" x14ac:dyDescent="0.15">
      <c r="A7">
        <v>3</v>
      </c>
      <c r="D7" s="51" t="s">
        <v>33</v>
      </c>
      <c r="E7" s="51" t="s">
        <v>34</v>
      </c>
      <c r="G7" s="51" t="s">
        <v>35</v>
      </c>
      <c r="H7">
        <v>12</v>
      </c>
      <c r="I7" s="58">
        <v>10000</v>
      </c>
      <c r="J7" s="59">
        <v>120000</v>
      </c>
      <c r="K7">
        <v>1</v>
      </c>
      <c r="O7" s="52"/>
    </row>
    <row r="8" spans="1:15" x14ac:dyDescent="0.15">
      <c r="A8">
        <v>3</v>
      </c>
      <c r="D8" s="51" t="s">
        <v>36</v>
      </c>
      <c r="E8" s="51" t="s">
        <v>37</v>
      </c>
      <c r="G8" s="51" t="s">
        <v>35</v>
      </c>
      <c r="H8">
        <v>12</v>
      </c>
      <c r="I8" s="58">
        <v>10000</v>
      </c>
      <c r="J8" s="59">
        <v>120000</v>
      </c>
      <c r="K8">
        <v>1</v>
      </c>
      <c r="O8" s="52"/>
    </row>
    <row r="9" spans="1:15" x14ac:dyDescent="0.15">
      <c r="A9">
        <v>3</v>
      </c>
      <c r="D9" s="51" t="s">
        <v>36</v>
      </c>
      <c r="E9" s="51" t="s">
        <v>38</v>
      </c>
      <c r="G9" s="51" t="s">
        <v>35</v>
      </c>
      <c r="H9">
        <v>12</v>
      </c>
      <c r="I9" s="58">
        <v>7000</v>
      </c>
      <c r="J9" s="59">
        <v>84000</v>
      </c>
      <c r="K9">
        <v>1</v>
      </c>
      <c r="O9" s="52"/>
    </row>
    <row r="10" spans="1:15" x14ac:dyDescent="0.15">
      <c r="A10">
        <v>3</v>
      </c>
      <c r="D10" s="51" t="s">
        <v>39</v>
      </c>
      <c r="E10" s="51" t="s">
        <v>40</v>
      </c>
      <c r="G10" s="51" t="s">
        <v>41</v>
      </c>
      <c r="H10">
        <v>240</v>
      </c>
      <c r="I10" s="58">
        <v>150</v>
      </c>
      <c r="J10" s="59">
        <v>36000</v>
      </c>
      <c r="K10">
        <v>1</v>
      </c>
      <c r="O10" s="52"/>
    </row>
    <row r="11" spans="1:15" x14ac:dyDescent="0.15">
      <c r="A11">
        <v>3</v>
      </c>
      <c r="D11" s="51" t="s">
        <v>39</v>
      </c>
      <c r="E11" s="51" t="s">
        <v>42</v>
      </c>
      <c r="G11" s="51" t="s">
        <v>19</v>
      </c>
      <c r="H11">
        <v>1</v>
      </c>
      <c r="I11" s="58">
        <v>10000</v>
      </c>
      <c r="J11" s="59">
        <v>10000</v>
      </c>
      <c r="K11">
        <v>1</v>
      </c>
      <c r="O11" s="52"/>
    </row>
    <row r="12" spans="1:15" x14ac:dyDescent="0.15">
      <c r="A12">
        <v>3</v>
      </c>
      <c r="D12" s="51" t="s">
        <v>23</v>
      </c>
      <c r="E12" s="51" t="s">
        <v>43</v>
      </c>
      <c r="G12" s="51" t="s">
        <v>19</v>
      </c>
      <c r="H12">
        <v>1</v>
      </c>
      <c r="I12" s="58">
        <v>92000</v>
      </c>
      <c r="J12" s="59">
        <v>92000</v>
      </c>
      <c r="K12">
        <v>1</v>
      </c>
      <c r="O12" s="52"/>
    </row>
    <row r="13" spans="1:15" x14ac:dyDescent="0.15">
      <c r="A13">
        <v>2</v>
      </c>
      <c r="D13" s="51" t="s">
        <v>20</v>
      </c>
      <c r="E13" s="51" t="s">
        <v>44</v>
      </c>
      <c r="G13" s="51" t="s">
        <v>45</v>
      </c>
      <c r="H13">
        <v>561</v>
      </c>
      <c r="I13" s="58">
        <v>1200</v>
      </c>
      <c r="J13" s="59">
        <v>673200</v>
      </c>
      <c r="K13">
        <v>561</v>
      </c>
      <c r="M13" s="51" t="s">
        <v>46</v>
      </c>
      <c r="O13" s="52"/>
    </row>
    <row r="14" spans="1:15" x14ac:dyDescent="0.15">
      <c r="A14">
        <v>3</v>
      </c>
      <c r="D14" s="51" t="s">
        <v>30</v>
      </c>
      <c r="E14" s="51" t="s">
        <v>31</v>
      </c>
      <c r="G14" s="51" t="s">
        <v>32</v>
      </c>
      <c r="H14">
        <v>9</v>
      </c>
      <c r="I14" s="58">
        <v>28000</v>
      </c>
      <c r="J14" s="59">
        <v>252000</v>
      </c>
      <c r="K14">
        <v>1</v>
      </c>
      <c r="O14" s="52"/>
    </row>
    <row r="15" spans="1:15" x14ac:dyDescent="0.15">
      <c r="A15">
        <v>3</v>
      </c>
      <c r="D15" s="51" t="s">
        <v>39</v>
      </c>
      <c r="E15" s="51" t="s">
        <v>47</v>
      </c>
      <c r="G15" s="51" t="s">
        <v>26</v>
      </c>
      <c r="H15">
        <v>115</v>
      </c>
      <c r="I15" s="58">
        <v>1800</v>
      </c>
      <c r="J15" s="59">
        <v>207000</v>
      </c>
      <c r="K15">
        <v>1</v>
      </c>
      <c r="O15" s="52"/>
    </row>
    <row r="16" spans="1:15" x14ac:dyDescent="0.15">
      <c r="A16">
        <v>3</v>
      </c>
      <c r="D16" s="51" t="s">
        <v>33</v>
      </c>
      <c r="E16" s="51" t="s">
        <v>48</v>
      </c>
      <c r="G16" s="51" t="s">
        <v>35</v>
      </c>
      <c r="H16">
        <v>3</v>
      </c>
      <c r="I16" s="58">
        <v>9000</v>
      </c>
      <c r="J16" s="59">
        <v>27000</v>
      </c>
      <c r="K16">
        <v>1</v>
      </c>
      <c r="O16" s="52"/>
    </row>
    <row r="17" spans="1:15" x14ac:dyDescent="0.15">
      <c r="A17">
        <v>3</v>
      </c>
      <c r="D17" s="51" t="s">
        <v>33</v>
      </c>
      <c r="E17" s="51" t="s">
        <v>49</v>
      </c>
      <c r="G17" s="51" t="s">
        <v>35</v>
      </c>
      <c r="H17">
        <v>3</v>
      </c>
      <c r="I17" s="58">
        <v>8000</v>
      </c>
      <c r="J17" s="59">
        <v>24000</v>
      </c>
      <c r="K17">
        <v>1</v>
      </c>
      <c r="O17" s="52"/>
    </row>
    <row r="18" spans="1:15" x14ac:dyDescent="0.15">
      <c r="A18">
        <v>3</v>
      </c>
      <c r="D18" s="51" t="s">
        <v>33</v>
      </c>
      <c r="E18" s="51" t="s">
        <v>50</v>
      </c>
      <c r="G18" s="51" t="s">
        <v>35</v>
      </c>
      <c r="H18">
        <v>3</v>
      </c>
      <c r="I18" s="58">
        <v>1500</v>
      </c>
      <c r="J18" s="59">
        <v>4500</v>
      </c>
      <c r="K18">
        <v>1</v>
      </c>
      <c r="O18" s="52"/>
    </row>
    <row r="19" spans="1:15" x14ac:dyDescent="0.15">
      <c r="A19">
        <v>3</v>
      </c>
      <c r="D19" s="51" t="s">
        <v>33</v>
      </c>
      <c r="E19" s="51" t="s">
        <v>51</v>
      </c>
      <c r="G19" s="51" t="s">
        <v>35</v>
      </c>
      <c r="H19">
        <v>3</v>
      </c>
      <c r="I19" s="58">
        <v>1500</v>
      </c>
      <c r="J19" s="59">
        <v>4500</v>
      </c>
      <c r="K19">
        <v>1</v>
      </c>
      <c r="O19" s="52"/>
    </row>
    <row r="20" spans="1:15" x14ac:dyDescent="0.15">
      <c r="A20">
        <v>3</v>
      </c>
      <c r="D20" s="51" t="s">
        <v>36</v>
      </c>
      <c r="E20" s="51" t="s">
        <v>37</v>
      </c>
      <c r="G20" s="51" t="s">
        <v>35</v>
      </c>
      <c r="H20">
        <v>3</v>
      </c>
      <c r="I20" s="58">
        <v>10000</v>
      </c>
      <c r="J20" s="59">
        <v>30000</v>
      </c>
      <c r="K20">
        <v>1</v>
      </c>
      <c r="O20" s="52"/>
    </row>
    <row r="21" spans="1:15" x14ac:dyDescent="0.15">
      <c r="A21">
        <v>3</v>
      </c>
      <c r="D21" s="51" t="s">
        <v>36</v>
      </c>
      <c r="E21" s="51" t="s">
        <v>38</v>
      </c>
      <c r="G21" s="51" t="s">
        <v>35</v>
      </c>
      <c r="H21">
        <v>3</v>
      </c>
      <c r="I21" s="58">
        <v>7000</v>
      </c>
      <c r="J21" s="59">
        <v>21000</v>
      </c>
      <c r="K21">
        <v>1</v>
      </c>
      <c r="O21" s="52"/>
    </row>
    <row r="22" spans="1:15" x14ac:dyDescent="0.15">
      <c r="A22">
        <v>3</v>
      </c>
      <c r="D22" s="51" t="s">
        <v>39</v>
      </c>
      <c r="E22" s="51" t="s">
        <v>40</v>
      </c>
      <c r="G22" s="51" t="s">
        <v>41</v>
      </c>
      <c r="H22">
        <v>120</v>
      </c>
      <c r="I22" s="58">
        <v>150</v>
      </c>
      <c r="J22" s="59">
        <v>18000</v>
      </c>
      <c r="K22">
        <v>1</v>
      </c>
      <c r="O22" s="52"/>
    </row>
    <row r="23" spans="1:15" x14ac:dyDescent="0.15">
      <c r="A23">
        <v>3</v>
      </c>
      <c r="D23" s="51" t="s">
        <v>39</v>
      </c>
      <c r="E23" s="51" t="s">
        <v>52</v>
      </c>
      <c r="G23" s="51" t="s">
        <v>41</v>
      </c>
      <c r="H23">
        <v>120</v>
      </c>
      <c r="I23" s="58">
        <v>200</v>
      </c>
      <c r="J23" s="59">
        <v>24000</v>
      </c>
      <c r="K23">
        <v>1</v>
      </c>
      <c r="O23" s="52"/>
    </row>
    <row r="24" spans="1:15" x14ac:dyDescent="0.15">
      <c r="A24">
        <v>3</v>
      </c>
      <c r="D24" s="51" t="s">
        <v>39</v>
      </c>
      <c r="E24" s="51" t="s">
        <v>42</v>
      </c>
      <c r="G24" s="51" t="s">
        <v>19</v>
      </c>
      <c r="H24">
        <v>1</v>
      </c>
      <c r="I24" s="58">
        <v>24900</v>
      </c>
      <c r="J24" s="59">
        <v>24900</v>
      </c>
      <c r="K24">
        <v>1</v>
      </c>
      <c r="O24" s="52"/>
    </row>
    <row r="25" spans="1:15" x14ac:dyDescent="0.15">
      <c r="A25">
        <v>3</v>
      </c>
      <c r="D25" s="51" t="s">
        <v>23</v>
      </c>
      <c r="E25" s="51" t="s">
        <v>43</v>
      </c>
      <c r="G25" s="51" t="s">
        <v>19</v>
      </c>
      <c r="H25">
        <v>1</v>
      </c>
      <c r="I25" s="58">
        <v>36300</v>
      </c>
      <c r="J25" s="59">
        <v>36300</v>
      </c>
      <c r="K25">
        <v>1</v>
      </c>
      <c r="O25" s="52"/>
    </row>
    <row r="26" spans="1:15" x14ac:dyDescent="0.15">
      <c r="A26">
        <v>2</v>
      </c>
      <c r="D26" s="51" t="s">
        <v>20</v>
      </c>
      <c r="E26" s="51" t="s">
        <v>53</v>
      </c>
      <c r="G26" s="51" t="s">
        <v>45</v>
      </c>
      <c r="H26">
        <v>561</v>
      </c>
      <c r="I26" s="58">
        <v>700</v>
      </c>
      <c r="J26" s="59">
        <v>392700</v>
      </c>
      <c r="K26">
        <v>561</v>
      </c>
      <c r="M26" s="51" t="s">
        <v>54</v>
      </c>
      <c r="O26" s="52"/>
    </row>
    <row r="27" spans="1:15" x14ac:dyDescent="0.15">
      <c r="A27">
        <v>3</v>
      </c>
      <c r="D27" s="51" t="s">
        <v>30</v>
      </c>
      <c r="E27" s="51" t="s">
        <v>31</v>
      </c>
      <c r="G27" s="51" t="s">
        <v>32</v>
      </c>
      <c r="H27">
        <v>6</v>
      </c>
      <c r="I27" s="58">
        <v>28000</v>
      </c>
      <c r="J27" s="59">
        <v>168000</v>
      </c>
      <c r="K27">
        <v>1</v>
      </c>
      <c r="O27" s="52"/>
    </row>
    <row r="28" spans="1:15" x14ac:dyDescent="0.15">
      <c r="A28">
        <v>3</v>
      </c>
      <c r="D28" s="51" t="s">
        <v>39</v>
      </c>
      <c r="E28" s="51" t="s">
        <v>55</v>
      </c>
      <c r="G28" s="51" t="s">
        <v>26</v>
      </c>
      <c r="H28">
        <v>24</v>
      </c>
      <c r="I28" s="58">
        <v>3600</v>
      </c>
      <c r="J28" s="59">
        <v>86400</v>
      </c>
      <c r="K28">
        <v>1</v>
      </c>
      <c r="O28" s="52"/>
    </row>
    <row r="29" spans="1:15" x14ac:dyDescent="0.15">
      <c r="A29">
        <v>3</v>
      </c>
      <c r="D29" s="51" t="s">
        <v>33</v>
      </c>
      <c r="E29" s="51" t="s">
        <v>48</v>
      </c>
      <c r="G29" s="51" t="s">
        <v>35</v>
      </c>
      <c r="H29">
        <v>2</v>
      </c>
      <c r="I29" s="58">
        <v>9000</v>
      </c>
      <c r="J29" s="59">
        <v>18000</v>
      </c>
      <c r="K29">
        <v>1</v>
      </c>
      <c r="O29" s="52"/>
    </row>
    <row r="30" spans="1:15" x14ac:dyDescent="0.15">
      <c r="A30">
        <v>3</v>
      </c>
      <c r="D30" s="51" t="s">
        <v>33</v>
      </c>
      <c r="E30" s="51" t="s">
        <v>56</v>
      </c>
      <c r="G30" s="51" t="s">
        <v>35</v>
      </c>
      <c r="H30">
        <v>2</v>
      </c>
      <c r="I30" s="58">
        <v>8000</v>
      </c>
      <c r="J30" s="59">
        <v>16000</v>
      </c>
      <c r="K30">
        <v>1</v>
      </c>
      <c r="O30" s="52"/>
    </row>
    <row r="31" spans="1:15" x14ac:dyDescent="0.15">
      <c r="A31">
        <v>3</v>
      </c>
      <c r="D31" s="51" t="s">
        <v>33</v>
      </c>
      <c r="E31" s="51" t="s">
        <v>50</v>
      </c>
      <c r="G31" s="51" t="s">
        <v>35</v>
      </c>
      <c r="H31">
        <v>2</v>
      </c>
      <c r="I31" s="58">
        <v>1500</v>
      </c>
      <c r="J31" s="59">
        <v>3000</v>
      </c>
      <c r="K31">
        <v>1</v>
      </c>
      <c r="O31" s="52"/>
    </row>
    <row r="32" spans="1:15" x14ac:dyDescent="0.15">
      <c r="A32">
        <v>3</v>
      </c>
      <c r="D32" s="51" t="s">
        <v>36</v>
      </c>
      <c r="E32" s="51" t="s">
        <v>37</v>
      </c>
      <c r="G32" s="51" t="s">
        <v>35</v>
      </c>
      <c r="H32">
        <v>2</v>
      </c>
      <c r="I32" s="58">
        <v>10000</v>
      </c>
      <c r="J32" s="59">
        <v>20000</v>
      </c>
      <c r="K32">
        <v>1</v>
      </c>
      <c r="O32" s="52"/>
    </row>
    <row r="33" spans="1:15" x14ac:dyDescent="0.15">
      <c r="A33">
        <v>3</v>
      </c>
      <c r="D33" s="51" t="s">
        <v>36</v>
      </c>
      <c r="E33" s="51" t="s">
        <v>38</v>
      </c>
      <c r="G33" s="51" t="s">
        <v>35</v>
      </c>
      <c r="H33">
        <v>2</v>
      </c>
      <c r="I33" s="58">
        <v>7000</v>
      </c>
      <c r="J33" s="59">
        <v>14000</v>
      </c>
      <c r="K33">
        <v>1</v>
      </c>
      <c r="O33" s="52"/>
    </row>
    <row r="34" spans="1:15" x14ac:dyDescent="0.15">
      <c r="A34">
        <v>3</v>
      </c>
      <c r="D34" s="51" t="s">
        <v>39</v>
      </c>
      <c r="E34" s="51" t="s">
        <v>40</v>
      </c>
      <c r="G34" s="51" t="s">
        <v>41</v>
      </c>
      <c r="H34">
        <v>100</v>
      </c>
      <c r="I34" s="58">
        <v>150</v>
      </c>
      <c r="J34" s="59">
        <v>15000</v>
      </c>
      <c r="K34">
        <v>1</v>
      </c>
      <c r="O34" s="52"/>
    </row>
    <row r="35" spans="1:15" x14ac:dyDescent="0.15">
      <c r="A35">
        <v>3</v>
      </c>
      <c r="D35" s="51" t="s">
        <v>39</v>
      </c>
      <c r="E35" s="51" t="s">
        <v>52</v>
      </c>
      <c r="G35" s="51" t="s">
        <v>41</v>
      </c>
      <c r="H35">
        <v>80</v>
      </c>
      <c r="I35" s="58">
        <v>200</v>
      </c>
      <c r="J35" s="59">
        <v>16000</v>
      </c>
      <c r="K35">
        <v>1</v>
      </c>
      <c r="O35" s="52"/>
    </row>
    <row r="36" spans="1:15" x14ac:dyDescent="0.15">
      <c r="A36">
        <v>3</v>
      </c>
      <c r="D36" s="51" t="s">
        <v>39</v>
      </c>
      <c r="E36" s="51" t="s">
        <v>42</v>
      </c>
      <c r="G36" s="51" t="s">
        <v>19</v>
      </c>
      <c r="H36">
        <v>1</v>
      </c>
      <c r="I36" s="58">
        <v>4300</v>
      </c>
      <c r="J36" s="59">
        <v>4300</v>
      </c>
      <c r="K36">
        <v>1</v>
      </c>
      <c r="O36" s="52"/>
    </row>
    <row r="37" spans="1:15" x14ac:dyDescent="0.15">
      <c r="A37">
        <v>3</v>
      </c>
      <c r="D37" s="51" t="s">
        <v>23</v>
      </c>
      <c r="E37" s="51" t="s">
        <v>43</v>
      </c>
      <c r="G37" s="51" t="s">
        <v>19</v>
      </c>
      <c r="H37">
        <v>1</v>
      </c>
      <c r="I37" s="58">
        <v>32000</v>
      </c>
      <c r="J37" s="59">
        <v>32000</v>
      </c>
      <c r="K37">
        <v>1</v>
      </c>
      <c r="O37" s="52"/>
    </row>
    <row r="38" spans="1:15" x14ac:dyDescent="0.15">
      <c r="A38">
        <v>2</v>
      </c>
      <c r="D38" s="51" t="s">
        <v>20</v>
      </c>
      <c r="E38" s="51" t="s">
        <v>57</v>
      </c>
      <c r="G38" s="51" t="s">
        <v>26</v>
      </c>
      <c r="H38">
        <v>320</v>
      </c>
      <c r="I38" s="58">
        <v>800</v>
      </c>
      <c r="J38" s="59">
        <v>256000</v>
      </c>
      <c r="K38">
        <v>320</v>
      </c>
      <c r="M38" s="51" t="s">
        <v>58</v>
      </c>
      <c r="O38" s="52"/>
    </row>
    <row r="39" spans="1:15" x14ac:dyDescent="0.15">
      <c r="A39">
        <v>3</v>
      </c>
      <c r="D39" s="51" t="s">
        <v>30</v>
      </c>
      <c r="E39" s="51" t="s">
        <v>31</v>
      </c>
      <c r="G39" s="51" t="s">
        <v>32</v>
      </c>
      <c r="H39">
        <v>4</v>
      </c>
      <c r="I39" s="58">
        <v>28000</v>
      </c>
      <c r="J39" s="59">
        <v>112000</v>
      </c>
      <c r="K39">
        <v>1</v>
      </c>
      <c r="O39" s="52"/>
    </row>
    <row r="40" spans="1:15" x14ac:dyDescent="0.15">
      <c r="A40">
        <v>3</v>
      </c>
      <c r="D40" s="51" t="s">
        <v>33</v>
      </c>
      <c r="E40" s="51" t="s">
        <v>34</v>
      </c>
      <c r="G40" s="51" t="s">
        <v>35</v>
      </c>
      <c r="H40">
        <v>2</v>
      </c>
      <c r="I40" s="58">
        <v>13000</v>
      </c>
      <c r="J40" s="59">
        <v>26000</v>
      </c>
      <c r="K40">
        <v>1</v>
      </c>
      <c r="O40" s="52"/>
    </row>
    <row r="41" spans="1:15" x14ac:dyDescent="0.15">
      <c r="A41">
        <v>3</v>
      </c>
      <c r="D41" s="51" t="s">
        <v>33</v>
      </c>
      <c r="E41" s="51" t="s">
        <v>48</v>
      </c>
      <c r="G41" s="51" t="s">
        <v>35</v>
      </c>
      <c r="H41">
        <v>2</v>
      </c>
      <c r="I41" s="58">
        <v>9000</v>
      </c>
      <c r="J41" s="59">
        <v>18000</v>
      </c>
      <c r="K41">
        <v>1</v>
      </c>
      <c r="O41" s="52"/>
    </row>
    <row r="42" spans="1:15" x14ac:dyDescent="0.15">
      <c r="A42">
        <v>3</v>
      </c>
      <c r="D42" s="51" t="s">
        <v>33</v>
      </c>
      <c r="E42" s="51" t="s">
        <v>49</v>
      </c>
      <c r="G42" s="51" t="s">
        <v>35</v>
      </c>
      <c r="H42">
        <v>2</v>
      </c>
      <c r="I42" s="58">
        <v>8000</v>
      </c>
      <c r="J42" s="59">
        <v>16000</v>
      </c>
      <c r="K42">
        <v>1</v>
      </c>
      <c r="O42" s="52"/>
    </row>
    <row r="43" spans="1:15" x14ac:dyDescent="0.15">
      <c r="A43">
        <v>3</v>
      </c>
      <c r="D43" s="51" t="s">
        <v>33</v>
      </c>
      <c r="E43" s="51" t="s">
        <v>51</v>
      </c>
      <c r="G43" s="51" t="s">
        <v>35</v>
      </c>
      <c r="H43">
        <v>2</v>
      </c>
      <c r="I43" s="58">
        <v>1500</v>
      </c>
      <c r="J43" s="59">
        <v>3000</v>
      </c>
      <c r="K43">
        <v>1</v>
      </c>
      <c r="O43" s="52"/>
    </row>
    <row r="44" spans="1:15" x14ac:dyDescent="0.15">
      <c r="A44">
        <v>3</v>
      </c>
      <c r="D44" s="51" t="s">
        <v>33</v>
      </c>
      <c r="E44" s="51" t="s">
        <v>50</v>
      </c>
      <c r="G44" s="51" t="s">
        <v>35</v>
      </c>
      <c r="H44">
        <v>2</v>
      </c>
      <c r="I44" s="58">
        <v>1500</v>
      </c>
      <c r="J44" s="59">
        <v>3000</v>
      </c>
      <c r="K44">
        <v>1</v>
      </c>
      <c r="O44" s="52"/>
    </row>
    <row r="45" spans="1:15" x14ac:dyDescent="0.15">
      <c r="A45">
        <v>3</v>
      </c>
      <c r="D45" s="51" t="s">
        <v>39</v>
      </c>
      <c r="E45" s="51" t="s">
        <v>40</v>
      </c>
      <c r="G45" s="51" t="s">
        <v>41</v>
      </c>
      <c r="H45">
        <v>160</v>
      </c>
      <c r="I45" s="58">
        <v>150</v>
      </c>
      <c r="J45" s="59">
        <v>24000</v>
      </c>
      <c r="K45">
        <v>1</v>
      </c>
      <c r="O45" s="52"/>
    </row>
    <row r="46" spans="1:15" x14ac:dyDescent="0.15">
      <c r="A46">
        <v>3</v>
      </c>
      <c r="D46" s="51" t="s">
        <v>39</v>
      </c>
      <c r="E46" s="51" t="s">
        <v>42</v>
      </c>
      <c r="G46" s="51" t="s">
        <v>19</v>
      </c>
      <c r="H46">
        <v>1</v>
      </c>
      <c r="I46" s="58">
        <v>34000</v>
      </c>
      <c r="J46" s="59">
        <v>34000</v>
      </c>
      <c r="K46">
        <v>1</v>
      </c>
      <c r="O46" s="52"/>
    </row>
    <row r="47" spans="1:15" x14ac:dyDescent="0.15">
      <c r="A47">
        <v>3</v>
      </c>
      <c r="D47" s="51" t="s">
        <v>23</v>
      </c>
      <c r="E47" s="51" t="s">
        <v>43</v>
      </c>
      <c r="G47" s="51" t="s">
        <v>19</v>
      </c>
      <c r="H47">
        <v>1</v>
      </c>
      <c r="I47" s="58">
        <v>20000</v>
      </c>
      <c r="J47" s="59">
        <v>20000</v>
      </c>
      <c r="K47">
        <v>1</v>
      </c>
      <c r="O47" s="52"/>
    </row>
    <row r="48" spans="1:15" x14ac:dyDescent="0.15">
      <c r="A48">
        <v>2</v>
      </c>
      <c r="D48" s="51" t="s">
        <v>20</v>
      </c>
      <c r="E48" s="51" t="s">
        <v>59</v>
      </c>
      <c r="G48" s="51" t="s">
        <v>26</v>
      </c>
      <c r="H48">
        <v>1500</v>
      </c>
      <c r="I48" s="58">
        <v>6900</v>
      </c>
      <c r="J48" s="59">
        <v>10350000</v>
      </c>
      <c r="K48">
        <v>1500</v>
      </c>
      <c r="M48" s="51" t="s">
        <v>60</v>
      </c>
      <c r="O48" s="52"/>
    </row>
    <row r="49" spans="1:15" x14ac:dyDescent="0.15">
      <c r="A49">
        <v>3</v>
      </c>
      <c r="D49" s="51" t="s">
        <v>36</v>
      </c>
      <c r="E49" s="51" t="s">
        <v>61</v>
      </c>
      <c r="G49" s="51" t="s">
        <v>26</v>
      </c>
      <c r="H49">
        <v>1500</v>
      </c>
      <c r="I49" s="58">
        <v>6900</v>
      </c>
      <c r="J49" s="59">
        <v>10350000</v>
      </c>
      <c r="K49">
        <v>1</v>
      </c>
      <c r="O49" s="52"/>
    </row>
    <row r="50" spans="1:15" x14ac:dyDescent="0.15">
      <c r="A50">
        <v>1</v>
      </c>
      <c r="D50" s="51" t="s">
        <v>20</v>
      </c>
      <c r="E50" s="51" t="s">
        <v>62</v>
      </c>
      <c r="G50" s="51" t="s">
        <v>63</v>
      </c>
      <c r="H50">
        <v>235.2</v>
      </c>
      <c r="I50" s="58">
        <v>50543.45</v>
      </c>
      <c r="J50" s="59">
        <v>11887820</v>
      </c>
      <c r="K50">
        <v>235.2</v>
      </c>
      <c r="M50" s="51" t="s">
        <v>64</v>
      </c>
      <c r="O50" s="52"/>
    </row>
    <row r="51" spans="1:15" x14ac:dyDescent="0.15">
      <c r="A51">
        <v>2</v>
      </c>
      <c r="D51" s="51" t="s">
        <v>20</v>
      </c>
      <c r="E51" s="51" t="s">
        <v>65</v>
      </c>
      <c r="G51" s="51" t="s">
        <v>66</v>
      </c>
      <c r="H51">
        <v>5</v>
      </c>
      <c r="I51" s="58">
        <v>97400</v>
      </c>
      <c r="J51" s="59">
        <v>487000</v>
      </c>
      <c r="K51">
        <v>5</v>
      </c>
      <c r="M51" s="51" t="s">
        <v>67</v>
      </c>
      <c r="O51" s="52"/>
    </row>
    <row r="52" spans="1:15" x14ac:dyDescent="0.15">
      <c r="A52">
        <v>3</v>
      </c>
      <c r="D52" s="51" t="s">
        <v>39</v>
      </c>
      <c r="E52" s="51" t="s">
        <v>68</v>
      </c>
      <c r="F52" s="51" t="s">
        <v>69</v>
      </c>
      <c r="G52" s="51" t="s">
        <v>70</v>
      </c>
      <c r="H52">
        <v>5</v>
      </c>
      <c r="I52" s="58">
        <v>21410</v>
      </c>
      <c r="J52" s="59">
        <v>107050</v>
      </c>
      <c r="K52">
        <v>1</v>
      </c>
      <c r="O52" s="52"/>
    </row>
    <row r="53" spans="1:15" x14ac:dyDescent="0.15">
      <c r="A53">
        <v>3</v>
      </c>
      <c r="D53" s="51" t="s">
        <v>39</v>
      </c>
      <c r="E53" s="51" t="s">
        <v>71</v>
      </c>
      <c r="G53" s="51" t="s">
        <v>72</v>
      </c>
      <c r="H53">
        <v>5</v>
      </c>
      <c r="I53" s="58">
        <v>4260</v>
      </c>
      <c r="J53" s="59">
        <v>21300</v>
      </c>
      <c r="K53">
        <v>1</v>
      </c>
      <c r="O53" s="52"/>
    </row>
    <row r="54" spans="1:15" x14ac:dyDescent="0.15">
      <c r="A54">
        <v>3</v>
      </c>
      <c r="D54" s="51" t="s">
        <v>39</v>
      </c>
      <c r="E54" s="51" t="s">
        <v>73</v>
      </c>
      <c r="G54" s="51" t="s">
        <v>72</v>
      </c>
      <c r="H54">
        <v>14</v>
      </c>
      <c r="I54" s="58">
        <v>6460</v>
      </c>
      <c r="J54" s="59">
        <v>90440</v>
      </c>
      <c r="K54">
        <v>1</v>
      </c>
      <c r="O54" s="52"/>
    </row>
    <row r="55" spans="1:15" x14ac:dyDescent="0.15">
      <c r="A55">
        <v>3</v>
      </c>
      <c r="D55" s="51" t="s">
        <v>39</v>
      </c>
      <c r="E55" s="51" t="s">
        <v>74</v>
      </c>
      <c r="G55" s="51" t="s">
        <v>72</v>
      </c>
      <c r="H55">
        <v>1</v>
      </c>
      <c r="I55" s="58">
        <v>4200</v>
      </c>
      <c r="J55" s="59">
        <v>4200</v>
      </c>
      <c r="K55">
        <v>1</v>
      </c>
      <c r="O55" s="52"/>
    </row>
    <row r="56" spans="1:15" x14ac:dyDescent="0.15">
      <c r="A56">
        <v>3</v>
      </c>
      <c r="D56" s="51" t="s">
        <v>39</v>
      </c>
      <c r="E56" s="51" t="s">
        <v>75</v>
      </c>
      <c r="G56" s="51" t="s">
        <v>26</v>
      </c>
      <c r="H56">
        <v>1</v>
      </c>
      <c r="I56" s="58">
        <v>30000</v>
      </c>
      <c r="J56" s="59">
        <v>30000</v>
      </c>
      <c r="K56">
        <v>1</v>
      </c>
      <c r="O56" s="52"/>
    </row>
    <row r="57" spans="1:15" x14ac:dyDescent="0.15">
      <c r="A57">
        <v>3</v>
      </c>
      <c r="D57" s="51" t="s">
        <v>30</v>
      </c>
      <c r="E57" s="51" t="s">
        <v>31</v>
      </c>
      <c r="G57" s="51" t="s">
        <v>32</v>
      </c>
      <c r="H57">
        <v>6</v>
      </c>
      <c r="I57" s="58">
        <v>28000</v>
      </c>
      <c r="J57" s="59">
        <v>168000</v>
      </c>
      <c r="K57">
        <v>1</v>
      </c>
      <c r="O57" s="52"/>
    </row>
    <row r="58" spans="1:15" x14ac:dyDescent="0.15">
      <c r="A58">
        <v>3</v>
      </c>
      <c r="D58" s="51" t="s">
        <v>33</v>
      </c>
      <c r="E58" s="51" t="s">
        <v>76</v>
      </c>
      <c r="G58" s="51" t="s">
        <v>35</v>
      </c>
      <c r="H58">
        <v>2</v>
      </c>
      <c r="I58" s="58">
        <v>8000</v>
      </c>
      <c r="J58" s="59">
        <v>16000</v>
      </c>
      <c r="K58">
        <v>1</v>
      </c>
      <c r="O58" s="52"/>
    </row>
    <row r="59" spans="1:15" x14ac:dyDescent="0.15">
      <c r="A59">
        <v>3</v>
      </c>
      <c r="D59" s="51" t="s">
        <v>33</v>
      </c>
      <c r="E59" s="51" t="s">
        <v>50</v>
      </c>
      <c r="G59" s="51" t="s">
        <v>35</v>
      </c>
      <c r="H59">
        <v>2</v>
      </c>
      <c r="I59" s="58">
        <v>1500</v>
      </c>
      <c r="J59" s="59">
        <v>3000</v>
      </c>
      <c r="K59">
        <v>1</v>
      </c>
      <c r="O59" s="52"/>
    </row>
    <row r="60" spans="1:15" x14ac:dyDescent="0.15">
      <c r="A60">
        <v>3</v>
      </c>
      <c r="D60" s="51" t="s">
        <v>33</v>
      </c>
      <c r="E60" s="51" t="s">
        <v>51</v>
      </c>
      <c r="G60" s="51" t="s">
        <v>35</v>
      </c>
      <c r="H60">
        <v>2</v>
      </c>
      <c r="I60" s="58">
        <v>1500</v>
      </c>
      <c r="J60" s="59">
        <v>3000</v>
      </c>
      <c r="K60">
        <v>1</v>
      </c>
      <c r="O60" s="52"/>
    </row>
    <row r="61" spans="1:15" x14ac:dyDescent="0.15">
      <c r="A61">
        <v>3</v>
      </c>
      <c r="D61" s="51" t="s">
        <v>39</v>
      </c>
      <c r="E61" s="51" t="s">
        <v>40</v>
      </c>
      <c r="G61" s="51" t="s">
        <v>41</v>
      </c>
      <c r="H61">
        <v>80</v>
      </c>
      <c r="I61" s="58">
        <v>150</v>
      </c>
      <c r="J61" s="59">
        <v>12000</v>
      </c>
      <c r="K61">
        <v>1</v>
      </c>
      <c r="O61" s="52"/>
    </row>
    <row r="62" spans="1:15" x14ac:dyDescent="0.15">
      <c r="A62">
        <v>3</v>
      </c>
      <c r="D62" s="51" t="s">
        <v>39</v>
      </c>
      <c r="E62" s="51" t="s">
        <v>42</v>
      </c>
      <c r="G62" s="51" t="s">
        <v>19</v>
      </c>
      <c r="H62">
        <v>1</v>
      </c>
      <c r="I62" s="58">
        <v>12010</v>
      </c>
      <c r="J62" s="59">
        <v>12010</v>
      </c>
      <c r="K62">
        <v>1</v>
      </c>
      <c r="O62" s="52"/>
    </row>
    <row r="63" spans="1:15" x14ac:dyDescent="0.15">
      <c r="A63">
        <v>3</v>
      </c>
      <c r="D63" s="51" t="s">
        <v>23</v>
      </c>
      <c r="E63" s="51" t="s">
        <v>43</v>
      </c>
      <c r="G63" s="51" t="s">
        <v>19</v>
      </c>
      <c r="H63">
        <v>1</v>
      </c>
      <c r="I63" s="58">
        <v>20000</v>
      </c>
      <c r="J63" s="59">
        <v>20000</v>
      </c>
      <c r="K63">
        <v>1</v>
      </c>
      <c r="O63" s="52"/>
    </row>
    <row r="64" spans="1:15" x14ac:dyDescent="0.15">
      <c r="A64">
        <v>2</v>
      </c>
      <c r="D64" s="51" t="s">
        <v>20</v>
      </c>
      <c r="E64" s="51" t="s">
        <v>77</v>
      </c>
      <c r="G64" s="51" t="s">
        <v>66</v>
      </c>
      <c r="H64">
        <v>1</v>
      </c>
      <c r="I64" s="58">
        <v>105200</v>
      </c>
      <c r="J64" s="59">
        <v>105200</v>
      </c>
      <c r="K64">
        <v>1</v>
      </c>
      <c r="M64" s="51" t="s">
        <v>78</v>
      </c>
      <c r="O64" s="52"/>
    </row>
    <row r="65" spans="1:15" x14ac:dyDescent="0.15">
      <c r="A65">
        <v>3</v>
      </c>
      <c r="D65" s="51" t="s">
        <v>39</v>
      </c>
      <c r="E65" s="51" t="s">
        <v>79</v>
      </c>
      <c r="F65" s="51" t="s">
        <v>80</v>
      </c>
      <c r="G65" s="51" t="s">
        <v>66</v>
      </c>
      <c r="H65">
        <v>1</v>
      </c>
      <c r="I65" s="58">
        <v>42000</v>
      </c>
      <c r="J65" s="59">
        <v>42000</v>
      </c>
      <c r="K65">
        <v>1</v>
      </c>
      <c r="O65" s="52"/>
    </row>
    <row r="66" spans="1:15" x14ac:dyDescent="0.15">
      <c r="A66">
        <v>3</v>
      </c>
      <c r="D66" s="51" t="s">
        <v>30</v>
      </c>
      <c r="E66" s="51" t="s">
        <v>31</v>
      </c>
      <c r="G66" s="51" t="s">
        <v>32</v>
      </c>
      <c r="H66">
        <v>1</v>
      </c>
      <c r="I66" s="58">
        <v>28000</v>
      </c>
      <c r="J66" s="59">
        <v>28000</v>
      </c>
      <c r="K66">
        <v>1</v>
      </c>
      <c r="O66" s="52"/>
    </row>
    <row r="67" spans="1:15" x14ac:dyDescent="0.15">
      <c r="A67">
        <v>3</v>
      </c>
      <c r="D67" s="51" t="s">
        <v>33</v>
      </c>
      <c r="E67" s="51" t="s">
        <v>76</v>
      </c>
      <c r="G67" s="51" t="s">
        <v>35</v>
      </c>
      <c r="H67">
        <v>1</v>
      </c>
      <c r="I67" s="58">
        <v>8000</v>
      </c>
      <c r="J67" s="59">
        <v>8000</v>
      </c>
      <c r="K67">
        <v>1</v>
      </c>
      <c r="O67" s="52"/>
    </row>
    <row r="68" spans="1:15" x14ac:dyDescent="0.15">
      <c r="A68">
        <v>3</v>
      </c>
      <c r="D68" s="51" t="s">
        <v>33</v>
      </c>
      <c r="E68" s="51" t="s">
        <v>50</v>
      </c>
      <c r="G68" s="51" t="s">
        <v>35</v>
      </c>
      <c r="H68">
        <v>1</v>
      </c>
      <c r="I68" s="58">
        <v>1500</v>
      </c>
      <c r="J68" s="59">
        <v>1500</v>
      </c>
      <c r="K68">
        <v>1</v>
      </c>
      <c r="O68" s="52"/>
    </row>
    <row r="69" spans="1:15" x14ac:dyDescent="0.15">
      <c r="A69">
        <v>3</v>
      </c>
      <c r="D69" s="51" t="s">
        <v>33</v>
      </c>
      <c r="E69" s="51" t="s">
        <v>51</v>
      </c>
      <c r="G69" s="51" t="s">
        <v>35</v>
      </c>
      <c r="H69">
        <v>1</v>
      </c>
      <c r="I69" s="58">
        <v>1500</v>
      </c>
      <c r="J69" s="59">
        <v>1500</v>
      </c>
      <c r="K69">
        <v>1</v>
      </c>
      <c r="O69" s="52"/>
    </row>
    <row r="70" spans="1:15" x14ac:dyDescent="0.15">
      <c r="A70">
        <v>3</v>
      </c>
      <c r="D70" s="51" t="s">
        <v>39</v>
      </c>
      <c r="E70" s="51" t="s">
        <v>40</v>
      </c>
      <c r="G70" s="51" t="s">
        <v>41</v>
      </c>
      <c r="H70">
        <v>60</v>
      </c>
      <c r="I70" s="58">
        <v>150</v>
      </c>
      <c r="J70" s="59">
        <v>9000</v>
      </c>
      <c r="K70">
        <v>1</v>
      </c>
      <c r="O70" s="52"/>
    </row>
    <row r="71" spans="1:15" x14ac:dyDescent="0.15">
      <c r="A71">
        <v>3</v>
      </c>
      <c r="D71" s="51" t="s">
        <v>39</v>
      </c>
      <c r="E71" s="51" t="s">
        <v>42</v>
      </c>
      <c r="G71" s="51" t="s">
        <v>19</v>
      </c>
      <c r="H71">
        <v>1</v>
      </c>
      <c r="I71" s="58">
        <v>10400</v>
      </c>
      <c r="J71" s="59">
        <v>10400</v>
      </c>
      <c r="K71">
        <v>1</v>
      </c>
      <c r="O71" s="52"/>
    </row>
    <row r="72" spans="1:15" x14ac:dyDescent="0.15">
      <c r="A72">
        <v>3</v>
      </c>
      <c r="D72" s="51" t="s">
        <v>23</v>
      </c>
      <c r="E72" s="51" t="s">
        <v>43</v>
      </c>
      <c r="G72" s="51" t="s">
        <v>19</v>
      </c>
      <c r="H72">
        <v>1</v>
      </c>
      <c r="I72" s="58">
        <v>4800</v>
      </c>
      <c r="J72" s="59">
        <v>4800</v>
      </c>
      <c r="K72">
        <v>1</v>
      </c>
      <c r="O72" s="52"/>
    </row>
    <row r="73" spans="1:15" x14ac:dyDescent="0.15">
      <c r="A73">
        <v>2</v>
      </c>
      <c r="D73" s="51" t="s">
        <v>20</v>
      </c>
      <c r="E73" s="51" t="s">
        <v>81</v>
      </c>
      <c r="G73" s="51" t="s">
        <v>66</v>
      </c>
      <c r="H73">
        <v>19</v>
      </c>
      <c r="I73" s="58">
        <v>110000</v>
      </c>
      <c r="J73" s="59">
        <v>2090000</v>
      </c>
      <c r="K73">
        <v>19</v>
      </c>
      <c r="M73" s="51" t="s">
        <v>82</v>
      </c>
      <c r="O73" s="52"/>
    </row>
    <row r="74" spans="1:15" x14ac:dyDescent="0.15">
      <c r="A74">
        <v>3</v>
      </c>
      <c r="D74" s="51" t="s">
        <v>39</v>
      </c>
      <c r="E74" s="51" t="s">
        <v>83</v>
      </c>
      <c r="F74" s="51" t="s">
        <v>84</v>
      </c>
      <c r="G74" s="51" t="s">
        <v>66</v>
      </c>
      <c r="H74">
        <v>1</v>
      </c>
      <c r="I74" s="58">
        <v>65000</v>
      </c>
      <c r="J74" s="59">
        <v>65000</v>
      </c>
      <c r="K74">
        <v>1</v>
      </c>
      <c r="O74" s="52"/>
    </row>
    <row r="75" spans="1:15" x14ac:dyDescent="0.15">
      <c r="A75">
        <v>3</v>
      </c>
      <c r="D75" s="51" t="s">
        <v>39</v>
      </c>
      <c r="E75" s="51" t="s">
        <v>85</v>
      </c>
      <c r="F75" s="51" t="s">
        <v>84</v>
      </c>
      <c r="G75" s="51" t="s">
        <v>66</v>
      </c>
      <c r="H75">
        <v>4</v>
      </c>
      <c r="I75" s="58">
        <v>67200</v>
      </c>
      <c r="J75" s="59">
        <v>268800</v>
      </c>
      <c r="K75">
        <v>1</v>
      </c>
      <c r="O75" s="52"/>
    </row>
    <row r="76" spans="1:15" x14ac:dyDescent="0.15">
      <c r="A76">
        <v>3</v>
      </c>
      <c r="D76" s="51" t="s">
        <v>39</v>
      </c>
      <c r="E76" s="51" t="s">
        <v>86</v>
      </c>
      <c r="F76" s="51" t="s">
        <v>84</v>
      </c>
      <c r="G76" s="51" t="s">
        <v>66</v>
      </c>
      <c r="H76">
        <v>1</v>
      </c>
      <c r="I76" s="58">
        <v>69400</v>
      </c>
      <c r="J76" s="59">
        <v>69400</v>
      </c>
      <c r="K76">
        <v>1</v>
      </c>
      <c r="O76" s="52"/>
    </row>
    <row r="77" spans="1:15" x14ac:dyDescent="0.15">
      <c r="A77">
        <v>3</v>
      </c>
      <c r="D77" s="51" t="s">
        <v>39</v>
      </c>
      <c r="E77" s="51" t="s">
        <v>87</v>
      </c>
      <c r="F77" s="51" t="s">
        <v>84</v>
      </c>
      <c r="G77" s="51" t="s">
        <v>66</v>
      </c>
      <c r="H77">
        <v>2</v>
      </c>
      <c r="I77" s="58">
        <v>71600</v>
      </c>
      <c r="J77" s="59">
        <v>143200</v>
      </c>
      <c r="K77">
        <v>1</v>
      </c>
      <c r="O77" s="52"/>
    </row>
    <row r="78" spans="1:15" x14ac:dyDescent="0.15">
      <c r="A78">
        <v>3</v>
      </c>
      <c r="D78" s="51" t="s">
        <v>39</v>
      </c>
      <c r="E78" s="51" t="s">
        <v>88</v>
      </c>
      <c r="F78" s="51" t="s">
        <v>84</v>
      </c>
      <c r="G78" s="51" t="s">
        <v>66</v>
      </c>
      <c r="H78">
        <v>3</v>
      </c>
      <c r="I78" s="58">
        <v>73800</v>
      </c>
      <c r="J78" s="59">
        <v>221400</v>
      </c>
      <c r="K78">
        <v>1</v>
      </c>
      <c r="O78" s="52"/>
    </row>
    <row r="79" spans="1:15" x14ac:dyDescent="0.15">
      <c r="A79">
        <v>3</v>
      </c>
      <c r="D79" s="51" t="s">
        <v>39</v>
      </c>
      <c r="E79" s="51" t="s">
        <v>89</v>
      </c>
      <c r="F79" s="51" t="s">
        <v>84</v>
      </c>
      <c r="G79" s="51" t="s">
        <v>66</v>
      </c>
      <c r="H79">
        <v>4</v>
      </c>
      <c r="I79" s="58">
        <v>76000</v>
      </c>
      <c r="J79" s="59">
        <v>304000</v>
      </c>
      <c r="K79">
        <v>1</v>
      </c>
      <c r="O79" s="52"/>
    </row>
    <row r="80" spans="1:15" x14ac:dyDescent="0.15">
      <c r="A80">
        <v>3</v>
      </c>
      <c r="D80" s="51" t="s">
        <v>39</v>
      </c>
      <c r="E80" s="51" t="s">
        <v>90</v>
      </c>
      <c r="F80" s="51" t="s">
        <v>84</v>
      </c>
      <c r="G80" s="51" t="s">
        <v>66</v>
      </c>
      <c r="H80">
        <v>1</v>
      </c>
      <c r="I80" s="58">
        <v>88800</v>
      </c>
      <c r="J80" s="59">
        <v>88800</v>
      </c>
      <c r="K80">
        <v>1</v>
      </c>
      <c r="O80" s="52"/>
    </row>
    <row r="81" spans="1:15" x14ac:dyDescent="0.15">
      <c r="A81">
        <v>3</v>
      </c>
      <c r="D81" s="51" t="s">
        <v>39</v>
      </c>
      <c r="E81" s="51" t="s">
        <v>91</v>
      </c>
      <c r="F81" s="51" t="s">
        <v>84</v>
      </c>
      <c r="G81" s="51" t="s">
        <v>66</v>
      </c>
      <c r="H81">
        <v>2</v>
      </c>
      <c r="I81" s="58">
        <v>99800</v>
      </c>
      <c r="J81" s="59">
        <v>199600</v>
      </c>
      <c r="K81">
        <v>1</v>
      </c>
      <c r="O81" s="52"/>
    </row>
    <row r="82" spans="1:15" x14ac:dyDescent="0.15">
      <c r="A82">
        <v>3</v>
      </c>
      <c r="D82" s="51" t="s">
        <v>39</v>
      </c>
      <c r="E82" s="51" t="s">
        <v>92</v>
      </c>
      <c r="F82" s="51" t="s">
        <v>84</v>
      </c>
      <c r="G82" s="51" t="s">
        <v>66</v>
      </c>
      <c r="H82">
        <v>1</v>
      </c>
      <c r="I82" s="58">
        <v>104200</v>
      </c>
      <c r="J82" s="59">
        <v>104200</v>
      </c>
      <c r="K82">
        <v>1</v>
      </c>
      <c r="O82" s="52"/>
    </row>
    <row r="83" spans="1:15" x14ac:dyDescent="0.15">
      <c r="A83">
        <v>3</v>
      </c>
      <c r="D83" s="51" t="s">
        <v>39</v>
      </c>
      <c r="E83" s="51" t="s">
        <v>75</v>
      </c>
      <c r="G83" s="51" t="s">
        <v>26</v>
      </c>
      <c r="H83">
        <v>2</v>
      </c>
      <c r="I83" s="58">
        <v>30000</v>
      </c>
      <c r="J83" s="59">
        <v>60000</v>
      </c>
      <c r="K83">
        <v>1</v>
      </c>
      <c r="O83" s="52"/>
    </row>
    <row r="84" spans="1:15" x14ac:dyDescent="0.15">
      <c r="A84">
        <v>3</v>
      </c>
      <c r="D84" s="51" t="s">
        <v>30</v>
      </c>
      <c r="E84" s="51" t="s">
        <v>31</v>
      </c>
      <c r="G84" s="51" t="s">
        <v>32</v>
      </c>
      <c r="H84">
        <v>12</v>
      </c>
      <c r="I84" s="58">
        <v>28000</v>
      </c>
      <c r="J84" s="59">
        <v>336000</v>
      </c>
      <c r="K84">
        <v>1</v>
      </c>
      <c r="O84" s="52"/>
    </row>
    <row r="85" spans="1:15" x14ac:dyDescent="0.15">
      <c r="A85">
        <v>3</v>
      </c>
      <c r="D85" s="51" t="s">
        <v>33</v>
      </c>
      <c r="E85" s="51" t="s">
        <v>76</v>
      </c>
      <c r="G85" s="51" t="s">
        <v>35</v>
      </c>
      <c r="H85">
        <v>4</v>
      </c>
      <c r="I85" s="58">
        <v>8000</v>
      </c>
      <c r="J85" s="59">
        <v>32000</v>
      </c>
      <c r="K85">
        <v>1</v>
      </c>
      <c r="O85" s="52"/>
    </row>
    <row r="86" spans="1:15" x14ac:dyDescent="0.15">
      <c r="A86">
        <v>3</v>
      </c>
      <c r="D86" s="51" t="s">
        <v>33</v>
      </c>
      <c r="E86" s="51" t="s">
        <v>50</v>
      </c>
      <c r="G86" s="51" t="s">
        <v>35</v>
      </c>
      <c r="H86">
        <v>4</v>
      </c>
      <c r="I86" s="58">
        <v>1500</v>
      </c>
      <c r="J86" s="59">
        <v>6000</v>
      </c>
      <c r="K86">
        <v>1</v>
      </c>
      <c r="O86" s="52"/>
    </row>
    <row r="87" spans="1:15" x14ac:dyDescent="0.15">
      <c r="A87">
        <v>3</v>
      </c>
      <c r="D87" s="51" t="s">
        <v>33</v>
      </c>
      <c r="E87" s="51" t="s">
        <v>51</v>
      </c>
      <c r="G87" s="51" t="s">
        <v>35</v>
      </c>
      <c r="H87">
        <v>4</v>
      </c>
      <c r="I87" s="58">
        <v>1500</v>
      </c>
      <c r="J87" s="59">
        <v>6000</v>
      </c>
      <c r="K87">
        <v>1</v>
      </c>
      <c r="O87" s="52"/>
    </row>
    <row r="88" spans="1:15" x14ac:dyDescent="0.15">
      <c r="A88">
        <v>3</v>
      </c>
      <c r="D88" s="51" t="s">
        <v>36</v>
      </c>
      <c r="E88" s="51" t="s">
        <v>37</v>
      </c>
      <c r="G88" s="51" t="s">
        <v>35</v>
      </c>
      <c r="H88">
        <v>4</v>
      </c>
      <c r="I88" s="58">
        <v>10000</v>
      </c>
      <c r="J88" s="59">
        <v>40000</v>
      </c>
      <c r="K88">
        <v>1</v>
      </c>
      <c r="O88" s="52"/>
    </row>
    <row r="89" spans="1:15" x14ac:dyDescent="0.15">
      <c r="A89">
        <v>3</v>
      </c>
      <c r="D89" s="51" t="s">
        <v>36</v>
      </c>
      <c r="E89" s="51" t="s">
        <v>38</v>
      </c>
      <c r="G89" s="51" t="s">
        <v>35</v>
      </c>
      <c r="H89">
        <v>4</v>
      </c>
      <c r="I89" s="58">
        <v>7000</v>
      </c>
      <c r="J89" s="59">
        <v>28000</v>
      </c>
      <c r="K89">
        <v>1</v>
      </c>
      <c r="O89" s="52"/>
    </row>
    <row r="90" spans="1:15" x14ac:dyDescent="0.15">
      <c r="A90">
        <v>3</v>
      </c>
      <c r="D90" s="51" t="s">
        <v>39</v>
      </c>
      <c r="E90" s="51" t="s">
        <v>40</v>
      </c>
      <c r="G90" s="51" t="s">
        <v>41</v>
      </c>
      <c r="H90">
        <v>200</v>
      </c>
      <c r="I90" s="58">
        <v>150</v>
      </c>
      <c r="J90" s="59">
        <v>30000</v>
      </c>
      <c r="K90">
        <v>1</v>
      </c>
      <c r="O90" s="52"/>
    </row>
    <row r="91" spans="1:15" x14ac:dyDescent="0.15">
      <c r="A91">
        <v>3</v>
      </c>
      <c r="D91" s="51" t="s">
        <v>39</v>
      </c>
      <c r="E91" s="51" t="s">
        <v>42</v>
      </c>
      <c r="G91" s="51" t="s">
        <v>19</v>
      </c>
      <c r="H91">
        <v>1</v>
      </c>
      <c r="I91" s="58">
        <v>42800</v>
      </c>
      <c r="J91" s="59">
        <v>42800</v>
      </c>
      <c r="K91">
        <v>1</v>
      </c>
      <c r="O91" s="52"/>
    </row>
    <row r="92" spans="1:15" x14ac:dyDescent="0.15">
      <c r="A92">
        <v>3</v>
      </c>
      <c r="D92" s="51" t="s">
        <v>23</v>
      </c>
      <c r="E92" s="51" t="s">
        <v>43</v>
      </c>
      <c r="G92" s="51" t="s">
        <v>19</v>
      </c>
      <c r="H92">
        <v>1</v>
      </c>
      <c r="I92" s="58">
        <v>44800</v>
      </c>
      <c r="J92" s="59">
        <v>44800</v>
      </c>
      <c r="K92">
        <v>1</v>
      </c>
      <c r="O92" s="52"/>
    </row>
    <row r="93" spans="1:15" x14ac:dyDescent="0.15">
      <c r="A93">
        <v>2</v>
      </c>
      <c r="D93" s="51" t="s">
        <v>20</v>
      </c>
      <c r="E93" s="51" t="s">
        <v>93</v>
      </c>
      <c r="G93" s="51" t="s">
        <v>66</v>
      </c>
      <c r="H93">
        <v>1</v>
      </c>
      <c r="I93" s="58">
        <v>550000</v>
      </c>
      <c r="J93" s="59">
        <v>550000</v>
      </c>
      <c r="K93">
        <v>1</v>
      </c>
      <c r="M93" s="51" t="s">
        <v>94</v>
      </c>
      <c r="O93" s="52"/>
    </row>
    <row r="94" spans="1:15" x14ac:dyDescent="0.15">
      <c r="A94">
        <v>3</v>
      </c>
      <c r="D94" s="51" t="s">
        <v>39</v>
      </c>
      <c r="E94" s="51" t="s">
        <v>95</v>
      </c>
      <c r="G94" s="51" t="s">
        <v>66</v>
      </c>
      <c r="H94">
        <v>1</v>
      </c>
      <c r="I94" s="58">
        <v>270600</v>
      </c>
      <c r="J94" s="59">
        <v>270600</v>
      </c>
      <c r="K94">
        <v>1</v>
      </c>
      <c r="O94" s="52"/>
    </row>
    <row r="95" spans="1:15" x14ac:dyDescent="0.15">
      <c r="A95">
        <v>3</v>
      </c>
      <c r="D95" s="51" t="s">
        <v>39</v>
      </c>
      <c r="E95" s="51" t="s">
        <v>75</v>
      </c>
      <c r="G95" s="51" t="s">
        <v>26</v>
      </c>
      <c r="H95">
        <v>1</v>
      </c>
      <c r="I95" s="58">
        <v>30000</v>
      </c>
      <c r="J95" s="59">
        <v>30000</v>
      </c>
      <c r="K95">
        <v>1</v>
      </c>
      <c r="O95" s="52"/>
    </row>
    <row r="96" spans="1:15" x14ac:dyDescent="0.15">
      <c r="A96">
        <v>3</v>
      </c>
      <c r="D96" s="51" t="s">
        <v>30</v>
      </c>
      <c r="E96" s="51" t="s">
        <v>31</v>
      </c>
      <c r="G96" s="51" t="s">
        <v>32</v>
      </c>
      <c r="H96">
        <v>5</v>
      </c>
      <c r="I96" s="58">
        <v>28000</v>
      </c>
      <c r="J96" s="59">
        <v>140000</v>
      </c>
      <c r="K96">
        <v>1</v>
      </c>
      <c r="O96" s="52"/>
    </row>
    <row r="97" spans="1:15" x14ac:dyDescent="0.15">
      <c r="A97">
        <v>3</v>
      </c>
      <c r="D97" s="51" t="s">
        <v>33</v>
      </c>
      <c r="E97" s="51" t="s">
        <v>76</v>
      </c>
      <c r="G97" s="51" t="s">
        <v>35</v>
      </c>
      <c r="H97">
        <v>1</v>
      </c>
      <c r="I97" s="58">
        <v>8000</v>
      </c>
      <c r="J97" s="59">
        <v>8000</v>
      </c>
      <c r="K97">
        <v>1</v>
      </c>
      <c r="O97" s="52"/>
    </row>
    <row r="98" spans="1:15" x14ac:dyDescent="0.15">
      <c r="A98">
        <v>3</v>
      </c>
      <c r="D98" s="51" t="s">
        <v>33</v>
      </c>
      <c r="E98" s="51" t="s">
        <v>50</v>
      </c>
      <c r="G98" s="51" t="s">
        <v>35</v>
      </c>
      <c r="H98">
        <v>1</v>
      </c>
      <c r="I98" s="58">
        <v>1500</v>
      </c>
      <c r="J98" s="59">
        <v>1500</v>
      </c>
      <c r="K98">
        <v>1</v>
      </c>
      <c r="O98" s="52"/>
    </row>
    <row r="99" spans="1:15" x14ac:dyDescent="0.15">
      <c r="A99">
        <v>3</v>
      </c>
      <c r="D99" s="51" t="s">
        <v>33</v>
      </c>
      <c r="E99" s="51" t="s">
        <v>51</v>
      </c>
      <c r="G99" s="51" t="s">
        <v>35</v>
      </c>
      <c r="H99">
        <v>1</v>
      </c>
      <c r="I99" s="58">
        <v>1500</v>
      </c>
      <c r="J99" s="59">
        <v>1500</v>
      </c>
      <c r="K99">
        <v>1</v>
      </c>
      <c r="O99" s="52"/>
    </row>
    <row r="100" spans="1:15" x14ac:dyDescent="0.15">
      <c r="A100">
        <v>3</v>
      </c>
      <c r="D100" s="51" t="s">
        <v>36</v>
      </c>
      <c r="E100" s="51" t="s">
        <v>37</v>
      </c>
      <c r="G100" s="51" t="s">
        <v>35</v>
      </c>
      <c r="H100">
        <v>1</v>
      </c>
      <c r="I100" s="58">
        <v>10000</v>
      </c>
      <c r="J100" s="59">
        <v>10000</v>
      </c>
      <c r="K100">
        <v>1</v>
      </c>
      <c r="O100" s="52"/>
    </row>
    <row r="101" spans="1:15" x14ac:dyDescent="0.15">
      <c r="A101">
        <v>3</v>
      </c>
      <c r="D101" s="51" t="s">
        <v>36</v>
      </c>
      <c r="E101" s="51" t="s">
        <v>38</v>
      </c>
      <c r="G101" s="51" t="s">
        <v>35</v>
      </c>
      <c r="H101">
        <v>1</v>
      </c>
      <c r="I101" s="58">
        <v>7000</v>
      </c>
      <c r="J101" s="59">
        <v>7000</v>
      </c>
      <c r="K101">
        <v>1</v>
      </c>
      <c r="O101" s="52"/>
    </row>
    <row r="102" spans="1:15" x14ac:dyDescent="0.15">
      <c r="A102">
        <v>3</v>
      </c>
      <c r="D102" s="51" t="s">
        <v>36</v>
      </c>
      <c r="E102" s="51" t="s">
        <v>96</v>
      </c>
      <c r="G102" s="51" t="s">
        <v>35</v>
      </c>
      <c r="H102">
        <v>1</v>
      </c>
      <c r="I102" s="58">
        <v>7000</v>
      </c>
      <c r="J102" s="59">
        <v>7000</v>
      </c>
      <c r="K102">
        <v>1</v>
      </c>
      <c r="O102" s="52"/>
    </row>
    <row r="103" spans="1:15" x14ac:dyDescent="0.15">
      <c r="A103">
        <v>3</v>
      </c>
      <c r="D103" s="51" t="s">
        <v>39</v>
      </c>
      <c r="E103" s="51" t="s">
        <v>40</v>
      </c>
      <c r="G103" s="51" t="s">
        <v>41</v>
      </c>
      <c r="H103">
        <v>40</v>
      </c>
      <c r="I103" s="58">
        <v>150</v>
      </c>
      <c r="J103" s="59">
        <v>6000</v>
      </c>
      <c r="K103">
        <v>1</v>
      </c>
      <c r="O103" s="52"/>
    </row>
    <row r="104" spans="1:15" x14ac:dyDescent="0.15">
      <c r="A104">
        <v>3</v>
      </c>
      <c r="D104" s="51" t="s">
        <v>39</v>
      </c>
      <c r="E104" s="51" t="s">
        <v>42</v>
      </c>
      <c r="G104" s="51" t="s">
        <v>19</v>
      </c>
      <c r="H104">
        <v>1</v>
      </c>
      <c r="I104" s="58">
        <v>50900</v>
      </c>
      <c r="J104" s="59">
        <v>50900</v>
      </c>
      <c r="K104">
        <v>1</v>
      </c>
      <c r="O104" s="52"/>
    </row>
    <row r="105" spans="1:15" x14ac:dyDescent="0.15">
      <c r="A105">
        <v>3</v>
      </c>
      <c r="D105" s="51" t="s">
        <v>23</v>
      </c>
      <c r="E105" s="51" t="s">
        <v>43</v>
      </c>
      <c r="G105" s="51" t="s">
        <v>19</v>
      </c>
      <c r="H105">
        <v>1</v>
      </c>
      <c r="I105" s="58">
        <v>17500</v>
      </c>
      <c r="J105" s="59">
        <v>17500</v>
      </c>
      <c r="K105">
        <v>1</v>
      </c>
      <c r="O105" s="52"/>
    </row>
    <row r="106" spans="1:15" x14ac:dyDescent="0.15">
      <c r="A106">
        <v>2</v>
      </c>
      <c r="D106" s="51" t="s">
        <v>20</v>
      </c>
      <c r="E106" s="51" t="s">
        <v>97</v>
      </c>
      <c r="G106" s="51" t="s">
        <v>66</v>
      </c>
      <c r="H106">
        <v>1</v>
      </c>
      <c r="I106" s="58">
        <v>160000</v>
      </c>
      <c r="J106" s="59">
        <v>160000</v>
      </c>
      <c r="K106">
        <v>1</v>
      </c>
      <c r="M106" s="51" t="s">
        <v>98</v>
      </c>
      <c r="O106" s="52"/>
    </row>
    <row r="107" spans="1:15" x14ac:dyDescent="0.15">
      <c r="A107">
        <v>3</v>
      </c>
      <c r="D107" s="51" t="s">
        <v>39</v>
      </c>
      <c r="E107" s="51" t="s">
        <v>99</v>
      </c>
      <c r="F107" s="51" t="s">
        <v>100</v>
      </c>
      <c r="G107" s="51" t="s">
        <v>72</v>
      </c>
      <c r="H107">
        <v>1</v>
      </c>
      <c r="I107" s="58">
        <v>3200</v>
      </c>
      <c r="J107" s="59">
        <v>3200</v>
      </c>
      <c r="K107">
        <v>1</v>
      </c>
      <c r="O107" s="52"/>
    </row>
    <row r="108" spans="1:15" x14ac:dyDescent="0.15">
      <c r="A108">
        <v>3</v>
      </c>
      <c r="D108" s="51" t="s">
        <v>39</v>
      </c>
      <c r="E108" s="51" t="s">
        <v>101</v>
      </c>
      <c r="F108" s="51" t="s">
        <v>102</v>
      </c>
      <c r="G108" s="51" t="s">
        <v>72</v>
      </c>
      <c r="H108">
        <v>1</v>
      </c>
      <c r="I108" s="58">
        <v>4300</v>
      </c>
      <c r="J108" s="59">
        <v>4300</v>
      </c>
      <c r="K108">
        <v>1</v>
      </c>
      <c r="O108" s="52"/>
    </row>
    <row r="109" spans="1:15" x14ac:dyDescent="0.15">
      <c r="A109">
        <v>3</v>
      </c>
      <c r="D109" s="51" t="s">
        <v>39</v>
      </c>
      <c r="E109" s="51" t="s">
        <v>103</v>
      </c>
      <c r="F109" s="51" t="s">
        <v>102</v>
      </c>
      <c r="G109" s="51" t="s">
        <v>72</v>
      </c>
      <c r="H109">
        <v>1</v>
      </c>
      <c r="I109" s="58">
        <v>4100</v>
      </c>
      <c r="J109" s="59">
        <v>4100</v>
      </c>
      <c r="K109">
        <v>1</v>
      </c>
      <c r="O109" s="52"/>
    </row>
    <row r="110" spans="1:15" x14ac:dyDescent="0.15">
      <c r="A110">
        <v>3</v>
      </c>
      <c r="D110" s="51" t="s">
        <v>39</v>
      </c>
      <c r="E110" s="51" t="s">
        <v>104</v>
      </c>
      <c r="G110" s="51" t="s">
        <v>72</v>
      </c>
      <c r="H110">
        <v>1</v>
      </c>
      <c r="I110" s="58">
        <v>2250</v>
      </c>
      <c r="J110" s="59">
        <v>2250</v>
      </c>
      <c r="K110">
        <v>1</v>
      </c>
      <c r="O110" s="52"/>
    </row>
    <row r="111" spans="1:15" x14ac:dyDescent="0.15">
      <c r="A111">
        <v>3</v>
      </c>
      <c r="D111" s="51" t="s">
        <v>39</v>
      </c>
      <c r="E111" s="51" t="s">
        <v>105</v>
      </c>
      <c r="G111" s="51" t="s">
        <v>72</v>
      </c>
      <c r="H111">
        <v>1</v>
      </c>
      <c r="I111" s="58">
        <v>860</v>
      </c>
      <c r="J111" s="59">
        <v>860</v>
      </c>
      <c r="K111">
        <v>1</v>
      </c>
      <c r="O111" s="52"/>
    </row>
    <row r="112" spans="1:15" x14ac:dyDescent="0.15">
      <c r="A112">
        <v>3</v>
      </c>
      <c r="D112" s="51" t="s">
        <v>39</v>
      </c>
      <c r="E112" s="51" t="s">
        <v>106</v>
      </c>
      <c r="G112" s="51" t="s">
        <v>72</v>
      </c>
      <c r="H112">
        <v>1</v>
      </c>
      <c r="I112" s="58">
        <v>2590</v>
      </c>
      <c r="J112" s="59">
        <v>2590</v>
      </c>
      <c r="K112">
        <v>1</v>
      </c>
      <c r="O112" s="52"/>
    </row>
    <row r="113" spans="1:15" x14ac:dyDescent="0.15">
      <c r="A113">
        <v>3</v>
      </c>
      <c r="D113" s="51" t="s">
        <v>39</v>
      </c>
      <c r="E113" s="51" t="s">
        <v>107</v>
      </c>
      <c r="G113" s="51" t="s">
        <v>72</v>
      </c>
      <c r="H113">
        <v>1</v>
      </c>
      <c r="I113" s="58">
        <v>7200</v>
      </c>
      <c r="J113" s="59">
        <v>7200</v>
      </c>
      <c r="K113">
        <v>1</v>
      </c>
      <c r="O113" s="52"/>
    </row>
    <row r="114" spans="1:15" x14ac:dyDescent="0.15">
      <c r="A114">
        <v>3</v>
      </c>
      <c r="D114" s="51" t="s">
        <v>36</v>
      </c>
      <c r="E114" s="51" t="s">
        <v>108</v>
      </c>
      <c r="G114" s="51" t="s">
        <v>19</v>
      </c>
      <c r="H114">
        <v>1</v>
      </c>
      <c r="I114" s="58">
        <v>30000</v>
      </c>
      <c r="J114" s="59">
        <v>30000</v>
      </c>
      <c r="K114">
        <v>1</v>
      </c>
      <c r="O114" s="52"/>
    </row>
    <row r="115" spans="1:15" x14ac:dyDescent="0.15">
      <c r="A115">
        <v>3</v>
      </c>
      <c r="D115" s="51" t="s">
        <v>39</v>
      </c>
      <c r="E115" s="51" t="s">
        <v>109</v>
      </c>
      <c r="G115" s="51" t="s">
        <v>26</v>
      </c>
      <c r="H115">
        <v>1</v>
      </c>
      <c r="I115" s="58">
        <v>6500</v>
      </c>
      <c r="J115" s="59">
        <v>6500</v>
      </c>
      <c r="K115">
        <v>1</v>
      </c>
      <c r="O115" s="52"/>
    </row>
    <row r="116" spans="1:15" x14ac:dyDescent="0.15">
      <c r="A116">
        <v>3</v>
      </c>
      <c r="D116" s="51" t="s">
        <v>39</v>
      </c>
      <c r="E116" s="51" t="s">
        <v>110</v>
      </c>
      <c r="G116" s="51" t="s">
        <v>26</v>
      </c>
      <c r="H116">
        <v>0.1</v>
      </c>
      <c r="I116" s="58">
        <v>6000</v>
      </c>
      <c r="J116" s="59">
        <v>600</v>
      </c>
      <c r="K116">
        <v>1</v>
      </c>
      <c r="O116" s="52"/>
    </row>
    <row r="117" spans="1:15" x14ac:dyDescent="0.15">
      <c r="A117">
        <v>3</v>
      </c>
      <c r="D117" s="51" t="s">
        <v>30</v>
      </c>
      <c r="E117" s="51" t="s">
        <v>31</v>
      </c>
      <c r="G117" s="51" t="s">
        <v>32</v>
      </c>
      <c r="H117">
        <v>2</v>
      </c>
      <c r="I117" s="58">
        <v>28000</v>
      </c>
      <c r="J117" s="59">
        <v>56000</v>
      </c>
      <c r="K117">
        <v>1</v>
      </c>
      <c r="O117" s="52"/>
    </row>
    <row r="118" spans="1:15" x14ac:dyDescent="0.15">
      <c r="A118">
        <v>3</v>
      </c>
      <c r="D118" s="51" t="s">
        <v>33</v>
      </c>
      <c r="E118" s="51" t="s">
        <v>76</v>
      </c>
      <c r="G118" s="51" t="s">
        <v>35</v>
      </c>
      <c r="H118">
        <v>1</v>
      </c>
      <c r="I118" s="58">
        <v>8000</v>
      </c>
      <c r="J118" s="59">
        <v>8000</v>
      </c>
      <c r="K118">
        <v>1</v>
      </c>
      <c r="O118" s="52"/>
    </row>
    <row r="119" spans="1:15" x14ac:dyDescent="0.15">
      <c r="A119">
        <v>3</v>
      </c>
      <c r="D119" s="51" t="s">
        <v>33</v>
      </c>
      <c r="E119" s="51" t="s">
        <v>50</v>
      </c>
      <c r="G119" s="51" t="s">
        <v>35</v>
      </c>
      <c r="H119">
        <v>1</v>
      </c>
      <c r="I119" s="58">
        <v>1500</v>
      </c>
      <c r="J119" s="59">
        <v>1500</v>
      </c>
      <c r="K119">
        <v>1</v>
      </c>
      <c r="O119" s="52"/>
    </row>
    <row r="120" spans="1:15" x14ac:dyDescent="0.15">
      <c r="A120">
        <v>3</v>
      </c>
      <c r="D120" s="51" t="s">
        <v>33</v>
      </c>
      <c r="E120" s="51" t="s">
        <v>51</v>
      </c>
      <c r="G120" s="51" t="s">
        <v>35</v>
      </c>
      <c r="H120">
        <v>1</v>
      </c>
      <c r="I120" s="58">
        <v>1500</v>
      </c>
      <c r="J120" s="59">
        <v>1500</v>
      </c>
      <c r="K120">
        <v>1</v>
      </c>
      <c r="O120" s="52"/>
    </row>
    <row r="121" spans="1:15" x14ac:dyDescent="0.15">
      <c r="A121">
        <v>3</v>
      </c>
      <c r="D121" s="51" t="s">
        <v>36</v>
      </c>
      <c r="E121" s="51" t="s">
        <v>37</v>
      </c>
      <c r="G121" s="51" t="s">
        <v>35</v>
      </c>
      <c r="H121">
        <v>1</v>
      </c>
      <c r="I121" s="58">
        <v>10000</v>
      </c>
      <c r="J121" s="59">
        <v>10000</v>
      </c>
      <c r="K121">
        <v>1</v>
      </c>
      <c r="O121" s="52"/>
    </row>
    <row r="122" spans="1:15" x14ac:dyDescent="0.15">
      <c r="A122">
        <v>3</v>
      </c>
      <c r="D122" s="51" t="s">
        <v>36</v>
      </c>
      <c r="E122" s="51" t="s">
        <v>38</v>
      </c>
      <c r="G122" s="51" t="s">
        <v>35</v>
      </c>
      <c r="H122">
        <v>1</v>
      </c>
      <c r="I122" s="58">
        <v>7000</v>
      </c>
      <c r="J122" s="59">
        <v>7000</v>
      </c>
      <c r="K122">
        <v>1</v>
      </c>
      <c r="O122" s="52"/>
    </row>
    <row r="123" spans="1:15" x14ac:dyDescent="0.15">
      <c r="A123">
        <v>3</v>
      </c>
      <c r="D123" s="51" t="s">
        <v>39</v>
      </c>
      <c r="E123" s="51" t="s">
        <v>40</v>
      </c>
      <c r="G123" s="51" t="s">
        <v>41</v>
      </c>
      <c r="H123">
        <v>40</v>
      </c>
      <c r="I123" s="58">
        <v>150</v>
      </c>
      <c r="J123" s="59">
        <v>6000</v>
      </c>
      <c r="K123">
        <v>1</v>
      </c>
      <c r="O123" s="52"/>
    </row>
    <row r="124" spans="1:15" x14ac:dyDescent="0.15">
      <c r="A124">
        <v>3</v>
      </c>
      <c r="D124" s="51" t="s">
        <v>23</v>
      </c>
      <c r="E124" s="51" t="s">
        <v>43</v>
      </c>
      <c r="G124" s="51" t="s">
        <v>19</v>
      </c>
      <c r="H124">
        <v>1</v>
      </c>
      <c r="I124" s="58">
        <v>8400</v>
      </c>
      <c r="J124" s="59">
        <v>8400</v>
      </c>
      <c r="K124">
        <v>1</v>
      </c>
      <c r="O124" s="52"/>
    </row>
    <row r="125" spans="1:15" x14ac:dyDescent="0.15">
      <c r="A125">
        <v>2</v>
      </c>
      <c r="D125" s="51" t="s">
        <v>20</v>
      </c>
      <c r="E125" s="51" t="s">
        <v>111</v>
      </c>
      <c r="G125" s="51" t="s">
        <v>63</v>
      </c>
      <c r="H125">
        <v>23.2</v>
      </c>
      <c r="I125" s="58">
        <v>27300</v>
      </c>
      <c r="J125" s="59">
        <v>633360</v>
      </c>
      <c r="K125">
        <v>23.2</v>
      </c>
      <c r="M125" s="51" t="s">
        <v>112</v>
      </c>
      <c r="O125" s="52"/>
    </row>
    <row r="126" spans="1:15" x14ac:dyDescent="0.15">
      <c r="A126">
        <v>3</v>
      </c>
      <c r="D126" s="51" t="s">
        <v>39</v>
      </c>
      <c r="E126" s="51" t="s">
        <v>113</v>
      </c>
      <c r="G126" s="51" t="s">
        <v>114</v>
      </c>
      <c r="H126">
        <v>9</v>
      </c>
      <c r="I126" s="58">
        <v>10900</v>
      </c>
      <c r="J126" s="59">
        <v>98100</v>
      </c>
      <c r="K126">
        <v>1</v>
      </c>
      <c r="O126" s="52"/>
    </row>
    <row r="127" spans="1:15" x14ac:dyDescent="0.15">
      <c r="A127">
        <v>3</v>
      </c>
      <c r="D127" s="51" t="s">
        <v>39</v>
      </c>
      <c r="E127" s="51" t="s">
        <v>115</v>
      </c>
      <c r="G127" s="51" t="s">
        <v>114</v>
      </c>
      <c r="H127">
        <v>3</v>
      </c>
      <c r="I127" s="58">
        <v>9800</v>
      </c>
      <c r="J127" s="59">
        <v>29400</v>
      </c>
      <c r="K127">
        <v>1</v>
      </c>
      <c r="O127" s="52"/>
    </row>
    <row r="128" spans="1:15" x14ac:dyDescent="0.15">
      <c r="A128">
        <v>3</v>
      </c>
      <c r="D128" s="51" t="s">
        <v>39</v>
      </c>
      <c r="E128" s="51" t="s">
        <v>116</v>
      </c>
      <c r="F128" s="51" t="s">
        <v>117</v>
      </c>
      <c r="G128" s="51" t="s">
        <v>70</v>
      </c>
      <c r="H128">
        <v>2</v>
      </c>
      <c r="I128" s="58">
        <v>26000</v>
      </c>
      <c r="J128" s="59">
        <v>52000</v>
      </c>
      <c r="K128">
        <v>1</v>
      </c>
      <c r="O128" s="52"/>
    </row>
    <row r="129" spans="1:15" x14ac:dyDescent="0.15">
      <c r="A129">
        <v>3</v>
      </c>
      <c r="D129" s="51" t="s">
        <v>39</v>
      </c>
      <c r="E129" s="51" t="s">
        <v>118</v>
      </c>
      <c r="G129" s="51" t="s">
        <v>70</v>
      </c>
      <c r="H129">
        <v>45</v>
      </c>
      <c r="I129" s="58">
        <v>1510</v>
      </c>
      <c r="J129" s="59">
        <v>67950</v>
      </c>
      <c r="K129">
        <v>1</v>
      </c>
      <c r="O129" s="52"/>
    </row>
    <row r="130" spans="1:15" x14ac:dyDescent="0.15">
      <c r="A130">
        <v>3</v>
      </c>
      <c r="D130" s="51" t="s">
        <v>39</v>
      </c>
      <c r="E130" s="51" t="s">
        <v>75</v>
      </c>
      <c r="G130" s="51" t="s">
        <v>26</v>
      </c>
      <c r="H130">
        <v>1</v>
      </c>
      <c r="I130" s="58">
        <v>30000</v>
      </c>
      <c r="J130" s="59">
        <v>30000</v>
      </c>
      <c r="K130">
        <v>1</v>
      </c>
      <c r="O130" s="52"/>
    </row>
    <row r="131" spans="1:15" x14ac:dyDescent="0.15">
      <c r="A131">
        <v>3</v>
      </c>
      <c r="D131" s="51" t="s">
        <v>30</v>
      </c>
      <c r="E131" s="51" t="s">
        <v>31</v>
      </c>
      <c r="G131" s="51" t="s">
        <v>32</v>
      </c>
      <c r="H131">
        <v>8</v>
      </c>
      <c r="I131" s="58">
        <v>28000</v>
      </c>
      <c r="J131" s="59">
        <v>224000</v>
      </c>
      <c r="K131">
        <v>1</v>
      </c>
      <c r="O131" s="52"/>
    </row>
    <row r="132" spans="1:15" x14ac:dyDescent="0.15">
      <c r="A132">
        <v>3</v>
      </c>
      <c r="D132" s="51" t="s">
        <v>33</v>
      </c>
      <c r="E132" s="51" t="s">
        <v>76</v>
      </c>
      <c r="G132" s="51" t="s">
        <v>35</v>
      </c>
      <c r="H132">
        <v>2</v>
      </c>
      <c r="I132" s="58">
        <v>8000</v>
      </c>
      <c r="J132" s="59">
        <v>16000</v>
      </c>
      <c r="K132">
        <v>1</v>
      </c>
      <c r="O132" s="52"/>
    </row>
    <row r="133" spans="1:15" x14ac:dyDescent="0.15">
      <c r="A133">
        <v>3</v>
      </c>
      <c r="D133" s="51" t="s">
        <v>33</v>
      </c>
      <c r="E133" s="51" t="s">
        <v>50</v>
      </c>
      <c r="G133" s="51" t="s">
        <v>35</v>
      </c>
      <c r="H133">
        <v>2</v>
      </c>
      <c r="I133" s="58">
        <v>1500</v>
      </c>
      <c r="J133" s="59">
        <v>3000</v>
      </c>
      <c r="K133">
        <v>1</v>
      </c>
      <c r="O133" s="52"/>
    </row>
    <row r="134" spans="1:15" x14ac:dyDescent="0.15">
      <c r="A134">
        <v>3</v>
      </c>
      <c r="D134" s="51" t="s">
        <v>33</v>
      </c>
      <c r="E134" s="51" t="s">
        <v>51</v>
      </c>
      <c r="G134" s="51" t="s">
        <v>35</v>
      </c>
      <c r="H134">
        <v>2</v>
      </c>
      <c r="I134" s="58">
        <v>1500</v>
      </c>
      <c r="J134" s="59">
        <v>3000</v>
      </c>
      <c r="K134">
        <v>1</v>
      </c>
      <c r="O134" s="52"/>
    </row>
    <row r="135" spans="1:15" x14ac:dyDescent="0.15">
      <c r="A135">
        <v>3</v>
      </c>
      <c r="D135" s="51" t="s">
        <v>36</v>
      </c>
      <c r="E135" s="51" t="s">
        <v>37</v>
      </c>
      <c r="G135" s="51" t="s">
        <v>35</v>
      </c>
      <c r="H135">
        <v>2</v>
      </c>
      <c r="I135" s="58">
        <v>10000</v>
      </c>
      <c r="J135" s="59">
        <v>20000</v>
      </c>
      <c r="K135">
        <v>1</v>
      </c>
      <c r="O135" s="52"/>
    </row>
    <row r="136" spans="1:15" x14ac:dyDescent="0.15">
      <c r="A136">
        <v>3</v>
      </c>
      <c r="D136" s="51" t="s">
        <v>36</v>
      </c>
      <c r="E136" s="51" t="s">
        <v>38</v>
      </c>
      <c r="G136" s="51" t="s">
        <v>35</v>
      </c>
      <c r="H136">
        <v>2</v>
      </c>
      <c r="I136" s="58">
        <v>7000</v>
      </c>
      <c r="J136" s="59">
        <v>14000</v>
      </c>
      <c r="K136">
        <v>1</v>
      </c>
      <c r="O136" s="52"/>
    </row>
    <row r="137" spans="1:15" x14ac:dyDescent="0.15">
      <c r="A137">
        <v>3</v>
      </c>
      <c r="D137" s="51" t="s">
        <v>39</v>
      </c>
      <c r="E137" s="51" t="s">
        <v>40</v>
      </c>
      <c r="G137" s="51" t="s">
        <v>41</v>
      </c>
      <c r="H137">
        <v>80</v>
      </c>
      <c r="I137" s="58">
        <v>150</v>
      </c>
      <c r="J137" s="59">
        <v>12000</v>
      </c>
      <c r="K137">
        <v>1</v>
      </c>
      <c r="O137" s="52"/>
    </row>
    <row r="138" spans="1:15" x14ac:dyDescent="0.15">
      <c r="A138">
        <v>3</v>
      </c>
      <c r="D138" s="51" t="s">
        <v>39</v>
      </c>
      <c r="E138" s="51" t="s">
        <v>52</v>
      </c>
      <c r="G138" s="51" t="s">
        <v>41</v>
      </c>
      <c r="H138">
        <v>80</v>
      </c>
      <c r="I138" s="58">
        <v>200</v>
      </c>
      <c r="J138" s="59">
        <v>16000</v>
      </c>
      <c r="K138">
        <v>1</v>
      </c>
      <c r="O138" s="52"/>
    </row>
    <row r="139" spans="1:15" x14ac:dyDescent="0.15">
      <c r="A139">
        <v>3</v>
      </c>
      <c r="D139" s="51" t="s">
        <v>39</v>
      </c>
      <c r="E139" s="51" t="s">
        <v>42</v>
      </c>
      <c r="G139" s="51" t="s">
        <v>19</v>
      </c>
      <c r="H139">
        <v>1</v>
      </c>
      <c r="I139" s="58">
        <v>17110</v>
      </c>
      <c r="J139" s="59">
        <v>17110</v>
      </c>
      <c r="K139">
        <v>1</v>
      </c>
      <c r="O139" s="52"/>
    </row>
    <row r="140" spans="1:15" x14ac:dyDescent="0.15">
      <c r="A140">
        <v>3</v>
      </c>
      <c r="D140" s="51" t="s">
        <v>23</v>
      </c>
      <c r="E140" s="51" t="s">
        <v>43</v>
      </c>
      <c r="G140" s="51" t="s">
        <v>19</v>
      </c>
      <c r="H140">
        <v>1</v>
      </c>
      <c r="I140" s="58">
        <v>30800</v>
      </c>
      <c r="J140" s="59">
        <v>30800</v>
      </c>
      <c r="K140">
        <v>1</v>
      </c>
      <c r="O140" s="52"/>
    </row>
    <row r="141" spans="1:15" x14ac:dyDescent="0.15">
      <c r="A141">
        <v>2</v>
      </c>
      <c r="D141" s="51" t="s">
        <v>20</v>
      </c>
      <c r="E141" s="51" t="s">
        <v>119</v>
      </c>
      <c r="G141" s="51" t="s">
        <v>63</v>
      </c>
      <c r="H141">
        <v>41.4</v>
      </c>
      <c r="I141" s="58">
        <v>27400</v>
      </c>
      <c r="J141" s="59">
        <v>1134360</v>
      </c>
      <c r="K141">
        <v>41.4</v>
      </c>
      <c r="M141" s="51" t="s">
        <v>120</v>
      </c>
      <c r="O141" s="52"/>
    </row>
    <row r="142" spans="1:15" x14ac:dyDescent="0.15">
      <c r="A142">
        <v>3</v>
      </c>
      <c r="D142" s="51" t="s">
        <v>39</v>
      </c>
      <c r="E142" s="51" t="s">
        <v>121</v>
      </c>
      <c r="G142" s="51" t="s">
        <v>114</v>
      </c>
      <c r="H142">
        <v>18</v>
      </c>
      <c r="I142" s="58">
        <v>14000</v>
      </c>
      <c r="J142" s="59">
        <v>252000</v>
      </c>
      <c r="K142">
        <v>1</v>
      </c>
      <c r="O142" s="52"/>
    </row>
    <row r="143" spans="1:15" x14ac:dyDescent="0.15">
      <c r="A143">
        <v>3</v>
      </c>
      <c r="D143" s="51" t="s">
        <v>39</v>
      </c>
      <c r="E143" s="51" t="s">
        <v>122</v>
      </c>
      <c r="G143" s="51" t="s">
        <v>114</v>
      </c>
      <c r="H143">
        <v>4</v>
      </c>
      <c r="I143" s="58">
        <v>12500</v>
      </c>
      <c r="J143" s="59">
        <v>50000</v>
      </c>
      <c r="K143">
        <v>1</v>
      </c>
      <c r="O143" s="52"/>
    </row>
    <row r="144" spans="1:15" x14ac:dyDescent="0.15">
      <c r="A144">
        <v>3</v>
      </c>
      <c r="D144" s="51" t="s">
        <v>39</v>
      </c>
      <c r="E144" s="51" t="s">
        <v>116</v>
      </c>
      <c r="F144" s="51" t="s">
        <v>123</v>
      </c>
      <c r="G144" s="51" t="s">
        <v>70</v>
      </c>
      <c r="H144">
        <v>4</v>
      </c>
      <c r="I144" s="58">
        <v>26000</v>
      </c>
      <c r="J144" s="59">
        <v>104000</v>
      </c>
      <c r="K144">
        <v>1</v>
      </c>
      <c r="O144" s="52"/>
    </row>
    <row r="145" spans="1:15" x14ac:dyDescent="0.15">
      <c r="A145">
        <v>3</v>
      </c>
      <c r="D145" s="51" t="s">
        <v>39</v>
      </c>
      <c r="E145" s="51" t="s">
        <v>106</v>
      </c>
      <c r="F145" s="51" t="s">
        <v>124</v>
      </c>
      <c r="G145" s="51" t="s">
        <v>70</v>
      </c>
      <c r="H145">
        <v>79</v>
      </c>
      <c r="I145" s="58">
        <v>1510</v>
      </c>
      <c r="J145" s="59">
        <v>119290</v>
      </c>
      <c r="K145">
        <v>1</v>
      </c>
      <c r="O145" s="52"/>
    </row>
    <row r="146" spans="1:15" x14ac:dyDescent="0.15">
      <c r="A146">
        <v>3</v>
      </c>
      <c r="D146" s="51" t="s">
        <v>39</v>
      </c>
      <c r="E146" s="51" t="s">
        <v>75</v>
      </c>
      <c r="G146" s="51" t="s">
        <v>26</v>
      </c>
      <c r="H146">
        <v>2</v>
      </c>
      <c r="I146" s="58">
        <v>30000</v>
      </c>
      <c r="J146" s="59">
        <v>60000</v>
      </c>
      <c r="K146">
        <v>1</v>
      </c>
      <c r="O146" s="52"/>
    </row>
    <row r="147" spans="1:15" x14ac:dyDescent="0.15">
      <c r="A147">
        <v>3</v>
      </c>
      <c r="D147" s="51" t="s">
        <v>30</v>
      </c>
      <c r="E147" s="51" t="s">
        <v>31</v>
      </c>
      <c r="G147" s="51" t="s">
        <v>32</v>
      </c>
      <c r="H147">
        <v>12</v>
      </c>
      <c r="I147" s="58">
        <v>28000</v>
      </c>
      <c r="J147" s="59">
        <v>336000</v>
      </c>
      <c r="K147">
        <v>1</v>
      </c>
      <c r="O147" s="52"/>
    </row>
    <row r="148" spans="1:15" x14ac:dyDescent="0.15">
      <c r="A148">
        <v>3</v>
      </c>
      <c r="D148" s="51" t="s">
        <v>33</v>
      </c>
      <c r="E148" s="51" t="s">
        <v>76</v>
      </c>
      <c r="G148" s="51" t="s">
        <v>35</v>
      </c>
      <c r="H148">
        <v>3</v>
      </c>
      <c r="I148" s="58">
        <v>8000</v>
      </c>
      <c r="J148" s="59">
        <v>24000</v>
      </c>
      <c r="K148">
        <v>1</v>
      </c>
      <c r="O148" s="52"/>
    </row>
    <row r="149" spans="1:15" x14ac:dyDescent="0.15">
      <c r="A149">
        <v>3</v>
      </c>
      <c r="D149" s="51" t="s">
        <v>33</v>
      </c>
      <c r="E149" s="51" t="s">
        <v>50</v>
      </c>
      <c r="G149" s="51" t="s">
        <v>35</v>
      </c>
      <c r="H149">
        <v>3</v>
      </c>
      <c r="I149" s="58">
        <v>1500</v>
      </c>
      <c r="J149" s="59">
        <v>4500</v>
      </c>
      <c r="K149">
        <v>1</v>
      </c>
      <c r="O149" s="52"/>
    </row>
    <row r="150" spans="1:15" x14ac:dyDescent="0.15">
      <c r="A150">
        <v>3</v>
      </c>
      <c r="D150" s="51" t="s">
        <v>33</v>
      </c>
      <c r="E150" s="51" t="s">
        <v>51</v>
      </c>
      <c r="G150" s="51" t="s">
        <v>35</v>
      </c>
      <c r="H150">
        <v>3</v>
      </c>
      <c r="I150" s="58">
        <v>1500</v>
      </c>
      <c r="J150" s="59">
        <v>4500</v>
      </c>
      <c r="K150">
        <v>1</v>
      </c>
      <c r="O150" s="52"/>
    </row>
    <row r="151" spans="1:15" x14ac:dyDescent="0.15">
      <c r="A151">
        <v>3</v>
      </c>
      <c r="D151" s="51" t="s">
        <v>36</v>
      </c>
      <c r="E151" s="51" t="s">
        <v>37</v>
      </c>
      <c r="G151" s="51" t="s">
        <v>35</v>
      </c>
      <c r="H151">
        <v>3</v>
      </c>
      <c r="I151" s="58">
        <v>10000</v>
      </c>
      <c r="J151" s="59">
        <v>30000</v>
      </c>
      <c r="K151">
        <v>1</v>
      </c>
      <c r="O151" s="52"/>
    </row>
    <row r="152" spans="1:15" x14ac:dyDescent="0.15">
      <c r="A152">
        <v>3</v>
      </c>
      <c r="D152" s="51" t="s">
        <v>36</v>
      </c>
      <c r="E152" s="51" t="s">
        <v>38</v>
      </c>
      <c r="G152" s="51" t="s">
        <v>35</v>
      </c>
      <c r="H152">
        <v>3</v>
      </c>
      <c r="I152" s="58">
        <v>7000</v>
      </c>
      <c r="J152" s="59">
        <v>21000</v>
      </c>
      <c r="K152">
        <v>1</v>
      </c>
      <c r="O152" s="52"/>
    </row>
    <row r="153" spans="1:15" x14ac:dyDescent="0.15">
      <c r="A153">
        <v>3</v>
      </c>
      <c r="D153" s="51" t="s">
        <v>39</v>
      </c>
      <c r="E153" s="51" t="s">
        <v>40</v>
      </c>
      <c r="G153" s="51" t="s">
        <v>41</v>
      </c>
      <c r="H153">
        <v>120</v>
      </c>
      <c r="I153" s="58">
        <v>150</v>
      </c>
      <c r="J153" s="59">
        <v>18000</v>
      </c>
      <c r="K153">
        <v>1</v>
      </c>
      <c r="O153" s="52"/>
    </row>
    <row r="154" spans="1:15" x14ac:dyDescent="0.15">
      <c r="A154">
        <v>3</v>
      </c>
      <c r="D154" s="51" t="s">
        <v>39</v>
      </c>
      <c r="E154" s="51" t="s">
        <v>52</v>
      </c>
      <c r="G154" s="51" t="s">
        <v>41</v>
      </c>
      <c r="H154">
        <v>120</v>
      </c>
      <c r="I154" s="58">
        <v>200</v>
      </c>
      <c r="J154" s="59">
        <v>24000</v>
      </c>
      <c r="K154">
        <v>1</v>
      </c>
      <c r="O154" s="52"/>
    </row>
    <row r="155" spans="1:15" x14ac:dyDescent="0.15">
      <c r="A155">
        <v>3</v>
      </c>
      <c r="D155" s="51" t="s">
        <v>39</v>
      </c>
      <c r="E155" s="51" t="s">
        <v>42</v>
      </c>
      <c r="G155" s="51" t="s">
        <v>19</v>
      </c>
      <c r="H155">
        <v>1</v>
      </c>
      <c r="I155" s="58">
        <v>49270</v>
      </c>
      <c r="J155" s="59">
        <v>49270</v>
      </c>
      <c r="K155">
        <v>1</v>
      </c>
      <c r="O155" s="52"/>
    </row>
    <row r="156" spans="1:15" x14ac:dyDescent="0.15">
      <c r="A156">
        <v>3</v>
      </c>
      <c r="D156" s="51" t="s">
        <v>39</v>
      </c>
      <c r="E156" s="51" t="s">
        <v>43</v>
      </c>
      <c r="G156" s="51" t="s">
        <v>19</v>
      </c>
      <c r="H156">
        <v>1</v>
      </c>
      <c r="I156" s="58">
        <v>37800</v>
      </c>
      <c r="J156" s="59">
        <v>37800</v>
      </c>
      <c r="K156">
        <v>1</v>
      </c>
      <c r="O156" s="52"/>
    </row>
    <row r="157" spans="1:15" x14ac:dyDescent="0.15">
      <c r="A157">
        <v>2</v>
      </c>
      <c r="D157" s="51" t="s">
        <v>20</v>
      </c>
      <c r="E157" s="51" t="s">
        <v>125</v>
      </c>
      <c r="G157" s="51" t="s">
        <v>63</v>
      </c>
      <c r="H157">
        <v>18.2</v>
      </c>
      <c r="I157" s="58">
        <v>45000</v>
      </c>
      <c r="J157" s="59">
        <v>819000</v>
      </c>
      <c r="K157">
        <v>18.2</v>
      </c>
      <c r="M157" s="51" t="s">
        <v>126</v>
      </c>
      <c r="O157" s="52"/>
    </row>
    <row r="158" spans="1:15" x14ac:dyDescent="0.15">
      <c r="A158">
        <v>3</v>
      </c>
      <c r="D158" s="51" t="s">
        <v>39</v>
      </c>
      <c r="E158" s="51" t="s">
        <v>127</v>
      </c>
      <c r="G158" s="51" t="s">
        <v>114</v>
      </c>
      <c r="H158">
        <v>2</v>
      </c>
      <c r="I158" s="58">
        <v>10900</v>
      </c>
      <c r="J158" s="59">
        <v>21800</v>
      </c>
      <c r="K158">
        <v>1</v>
      </c>
      <c r="O158" s="52"/>
    </row>
    <row r="159" spans="1:15" x14ac:dyDescent="0.15">
      <c r="A159">
        <v>3</v>
      </c>
      <c r="D159" s="51" t="s">
        <v>39</v>
      </c>
      <c r="E159" s="51" t="s">
        <v>128</v>
      </c>
      <c r="G159" s="51" t="s">
        <v>114</v>
      </c>
      <c r="H159">
        <v>2</v>
      </c>
      <c r="I159" s="58">
        <v>14000</v>
      </c>
      <c r="J159" s="59">
        <v>28000</v>
      </c>
      <c r="K159">
        <v>1</v>
      </c>
      <c r="O159" s="52"/>
    </row>
    <row r="160" spans="1:15" x14ac:dyDescent="0.15">
      <c r="A160">
        <v>3</v>
      </c>
      <c r="D160" s="51" t="s">
        <v>39</v>
      </c>
      <c r="E160" s="51" t="s">
        <v>129</v>
      </c>
      <c r="G160" s="51" t="s">
        <v>114</v>
      </c>
      <c r="H160">
        <v>3</v>
      </c>
      <c r="I160" s="58">
        <v>16000</v>
      </c>
      <c r="J160" s="59">
        <v>48000</v>
      </c>
      <c r="K160">
        <v>1</v>
      </c>
      <c r="O160" s="52"/>
    </row>
    <row r="161" spans="1:15" x14ac:dyDescent="0.15">
      <c r="A161">
        <v>3</v>
      </c>
      <c r="D161" s="51" t="s">
        <v>39</v>
      </c>
      <c r="E161" s="51" t="s">
        <v>130</v>
      </c>
      <c r="G161" s="51" t="s">
        <v>114</v>
      </c>
      <c r="H161">
        <v>3</v>
      </c>
      <c r="I161" s="58">
        <v>17000</v>
      </c>
      <c r="J161" s="59">
        <v>51000</v>
      </c>
      <c r="K161">
        <v>1</v>
      </c>
      <c r="O161" s="52"/>
    </row>
    <row r="162" spans="1:15" x14ac:dyDescent="0.15">
      <c r="A162">
        <v>3</v>
      </c>
      <c r="D162" s="51" t="s">
        <v>39</v>
      </c>
      <c r="E162" s="51" t="s">
        <v>116</v>
      </c>
      <c r="F162" s="51" t="s">
        <v>123</v>
      </c>
      <c r="G162" s="51" t="s">
        <v>70</v>
      </c>
      <c r="H162">
        <v>19</v>
      </c>
      <c r="I162" s="58">
        <v>25750</v>
      </c>
      <c r="J162" s="59">
        <v>489250</v>
      </c>
      <c r="K162">
        <v>1</v>
      </c>
      <c r="O162" s="52"/>
    </row>
    <row r="163" spans="1:15" x14ac:dyDescent="0.15">
      <c r="A163">
        <v>3</v>
      </c>
      <c r="D163" s="51" t="s">
        <v>39</v>
      </c>
      <c r="E163" s="51" t="s">
        <v>75</v>
      </c>
      <c r="G163" s="51" t="s">
        <v>26</v>
      </c>
      <c r="H163">
        <v>1</v>
      </c>
      <c r="I163" s="58">
        <v>30000</v>
      </c>
      <c r="J163" s="59">
        <v>30000</v>
      </c>
      <c r="K163">
        <v>1</v>
      </c>
      <c r="O163" s="52"/>
    </row>
    <row r="164" spans="1:15" x14ac:dyDescent="0.15">
      <c r="A164">
        <v>3</v>
      </c>
      <c r="D164" s="51" t="s">
        <v>30</v>
      </c>
      <c r="E164" s="51" t="s">
        <v>31</v>
      </c>
      <c r="G164" s="51" t="s">
        <v>32</v>
      </c>
      <c r="H164">
        <v>3</v>
      </c>
      <c r="I164" s="58">
        <v>28000</v>
      </c>
      <c r="J164" s="59">
        <v>84000</v>
      </c>
      <c r="K164">
        <v>1</v>
      </c>
      <c r="O164" s="52"/>
    </row>
    <row r="165" spans="1:15" x14ac:dyDescent="0.15">
      <c r="A165">
        <v>3</v>
      </c>
      <c r="D165" s="51" t="s">
        <v>33</v>
      </c>
      <c r="E165" s="51" t="s">
        <v>76</v>
      </c>
      <c r="G165" s="51" t="s">
        <v>35</v>
      </c>
      <c r="H165">
        <v>1</v>
      </c>
      <c r="I165" s="58">
        <v>8000</v>
      </c>
      <c r="J165" s="59">
        <v>8000</v>
      </c>
      <c r="K165">
        <v>1</v>
      </c>
      <c r="O165" s="52"/>
    </row>
    <row r="166" spans="1:15" x14ac:dyDescent="0.15">
      <c r="A166">
        <v>3</v>
      </c>
      <c r="D166" s="51" t="s">
        <v>33</v>
      </c>
      <c r="E166" s="51" t="s">
        <v>50</v>
      </c>
      <c r="G166" s="51" t="s">
        <v>35</v>
      </c>
      <c r="H166">
        <v>1</v>
      </c>
      <c r="I166" s="58">
        <v>1500</v>
      </c>
      <c r="J166" s="59">
        <v>1500</v>
      </c>
      <c r="K166">
        <v>1</v>
      </c>
      <c r="O166" s="52"/>
    </row>
    <row r="167" spans="1:15" x14ac:dyDescent="0.15">
      <c r="A167">
        <v>3</v>
      </c>
      <c r="D167" s="51" t="s">
        <v>33</v>
      </c>
      <c r="E167" s="51" t="s">
        <v>51</v>
      </c>
      <c r="G167" s="51" t="s">
        <v>35</v>
      </c>
      <c r="H167">
        <v>1</v>
      </c>
      <c r="I167" s="58">
        <v>1500</v>
      </c>
      <c r="J167" s="59">
        <v>1500</v>
      </c>
      <c r="K167">
        <v>1</v>
      </c>
      <c r="O167" s="52"/>
    </row>
    <row r="168" spans="1:15" x14ac:dyDescent="0.15">
      <c r="A168">
        <v>3</v>
      </c>
      <c r="D168" s="51" t="s">
        <v>36</v>
      </c>
      <c r="E168" s="51" t="s">
        <v>37</v>
      </c>
      <c r="G168" s="51" t="s">
        <v>35</v>
      </c>
      <c r="H168">
        <v>1</v>
      </c>
      <c r="I168" s="58">
        <v>10000</v>
      </c>
      <c r="J168" s="59">
        <v>10000</v>
      </c>
      <c r="K168">
        <v>1</v>
      </c>
      <c r="O168" s="52"/>
    </row>
    <row r="169" spans="1:15" x14ac:dyDescent="0.15">
      <c r="A169">
        <v>3</v>
      </c>
      <c r="D169" s="51" t="s">
        <v>36</v>
      </c>
      <c r="E169" s="51" t="s">
        <v>38</v>
      </c>
      <c r="G169" s="51" t="s">
        <v>35</v>
      </c>
      <c r="H169">
        <v>1</v>
      </c>
      <c r="I169" s="58">
        <v>7000</v>
      </c>
      <c r="J169" s="59">
        <v>7000</v>
      </c>
      <c r="K169">
        <v>1</v>
      </c>
      <c r="O169" s="52"/>
    </row>
    <row r="170" spans="1:15" x14ac:dyDescent="0.15">
      <c r="A170">
        <v>3</v>
      </c>
      <c r="D170" s="51" t="s">
        <v>39</v>
      </c>
      <c r="E170" s="51" t="s">
        <v>40</v>
      </c>
      <c r="G170" s="51" t="s">
        <v>41</v>
      </c>
      <c r="H170">
        <v>40</v>
      </c>
      <c r="I170" s="58">
        <v>150</v>
      </c>
      <c r="J170" s="59">
        <v>6000</v>
      </c>
      <c r="K170">
        <v>1</v>
      </c>
      <c r="O170" s="52"/>
    </row>
    <row r="171" spans="1:15" x14ac:dyDescent="0.15">
      <c r="A171">
        <v>3</v>
      </c>
      <c r="D171" s="51" t="s">
        <v>39</v>
      </c>
      <c r="E171" s="51" t="s">
        <v>52</v>
      </c>
      <c r="G171" s="51" t="s">
        <v>41</v>
      </c>
      <c r="H171">
        <v>40</v>
      </c>
      <c r="I171" s="58">
        <v>200</v>
      </c>
      <c r="J171" s="59">
        <v>8000</v>
      </c>
      <c r="K171">
        <v>1</v>
      </c>
      <c r="O171" s="52"/>
    </row>
    <row r="172" spans="1:15" x14ac:dyDescent="0.15">
      <c r="A172">
        <v>3</v>
      </c>
      <c r="D172" s="51" t="s">
        <v>39</v>
      </c>
      <c r="E172" s="51" t="s">
        <v>42</v>
      </c>
      <c r="G172" s="51" t="s">
        <v>19</v>
      </c>
      <c r="H172">
        <v>1</v>
      </c>
      <c r="I172" s="58">
        <v>12350</v>
      </c>
      <c r="J172" s="59">
        <v>12350</v>
      </c>
      <c r="K172">
        <v>1</v>
      </c>
      <c r="O172" s="52"/>
    </row>
    <row r="173" spans="1:15" x14ac:dyDescent="0.15">
      <c r="A173">
        <v>3</v>
      </c>
      <c r="D173" s="51" t="s">
        <v>23</v>
      </c>
      <c r="E173" s="51" t="s">
        <v>43</v>
      </c>
      <c r="G173" s="51" t="s">
        <v>19</v>
      </c>
      <c r="H173">
        <v>1</v>
      </c>
      <c r="I173" s="58">
        <v>12600</v>
      </c>
      <c r="J173" s="59">
        <v>12600</v>
      </c>
      <c r="K173">
        <v>1</v>
      </c>
      <c r="O173" s="52"/>
    </row>
    <row r="174" spans="1:15" x14ac:dyDescent="0.15">
      <c r="A174">
        <v>2</v>
      </c>
      <c r="D174" s="51" t="s">
        <v>20</v>
      </c>
      <c r="E174" s="51" t="s">
        <v>131</v>
      </c>
      <c r="G174" s="51" t="s">
        <v>63</v>
      </c>
      <c r="H174">
        <v>9.6999999999999993</v>
      </c>
      <c r="I174" s="58">
        <v>29600</v>
      </c>
      <c r="J174" s="59">
        <v>287120</v>
      </c>
      <c r="K174">
        <v>9.6999999999999993</v>
      </c>
      <c r="M174" s="51" t="s">
        <v>132</v>
      </c>
      <c r="O174" s="52"/>
    </row>
    <row r="175" spans="1:15" x14ac:dyDescent="0.15">
      <c r="A175">
        <v>3</v>
      </c>
      <c r="D175" s="51" t="s">
        <v>39</v>
      </c>
      <c r="E175" s="51" t="s">
        <v>133</v>
      </c>
      <c r="G175" s="51" t="s">
        <v>114</v>
      </c>
      <c r="H175">
        <v>5</v>
      </c>
      <c r="I175" s="58">
        <v>5000</v>
      </c>
      <c r="J175" s="59">
        <v>25000</v>
      </c>
      <c r="K175">
        <v>1</v>
      </c>
      <c r="O175" s="52"/>
    </row>
    <row r="176" spans="1:15" x14ac:dyDescent="0.15">
      <c r="A176">
        <v>3</v>
      </c>
      <c r="D176" s="51" t="s">
        <v>39</v>
      </c>
      <c r="E176" s="51" t="s">
        <v>134</v>
      </c>
      <c r="G176" s="51" t="s">
        <v>70</v>
      </c>
      <c r="H176">
        <v>10</v>
      </c>
      <c r="I176" s="58">
        <v>10000</v>
      </c>
      <c r="J176" s="59">
        <v>100000</v>
      </c>
      <c r="K176">
        <v>1</v>
      </c>
      <c r="O176" s="52"/>
    </row>
    <row r="177" spans="1:15" x14ac:dyDescent="0.15">
      <c r="A177">
        <v>3</v>
      </c>
      <c r="D177" s="51" t="s">
        <v>39</v>
      </c>
      <c r="E177" s="51" t="s">
        <v>75</v>
      </c>
      <c r="G177" s="51" t="s">
        <v>26</v>
      </c>
      <c r="H177">
        <v>0.5</v>
      </c>
      <c r="I177" s="58">
        <v>30000</v>
      </c>
      <c r="J177" s="59">
        <v>15000</v>
      </c>
      <c r="K177">
        <v>1</v>
      </c>
      <c r="O177" s="52"/>
    </row>
    <row r="178" spans="1:15" x14ac:dyDescent="0.15">
      <c r="A178">
        <v>3</v>
      </c>
      <c r="D178" s="51" t="s">
        <v>30</v>
      </c>
      <c r="E178" s="51" t="s">
        <v>31</v>
      </c>
      <c r="G178" s="51" t="s">
        <v>32</v>
      </c>
      <c r="H178">
        <v>3</v>
      </c>
      <c r="I178" s="58">
        <v>28000</v>
      </c>
      <c r="J178" s="59">
        <v>84000</v>
      </c>
      <c r="K178">
        <v>1</v>
      </c>
      <c r="O178" s="52"/>
    </row>
    <row r="179" spans="1:15" x14ac:dyDescent="0.15">
      <c r="A179">
        <v>3</v>
      </c>
      <c r="D179" s="51" t="s">
        <v>33</v>
      </c>
      <c r="E179" s="51" t="s">
        <v>76</v>
      </c>
      <c r="G179" s="51" t="s">
        <v>35</v>
      </c>
      <c r="H179">
        <v>1</v>
      </c>
      <c r="I179" s="58">
        <v>8000</v>
      </c>
      <c r="J179" s="59">
        <v>8000</v>
      </c>
      <c r="K179">
        <v>1</v>
      </c>
      <c r="O179" s="52"/>
    </row>
    <row r="180" spans="1:15" x14ac:dyDescent="0.15">
      <c r="A180">
        <v>3</v>
      </c>
      <c r="D180" s="51" t="s">
        <v>33</v>
      </c>
      <c r="E180" s="51" t="s">
        <v>50</v>
      </c>
      <c r="G180" s="51" t="s">
        <v>35</v>
      </c>
      <c r="H180">
        <v>1</v>
      </c>
      <c r="I180" s="58">
        <v>1500</v>
      </c>
      <c r="J180" s="59">
        <v>1500</v>
      </c>
      <c r="K180">
        <v>1</v>
      </c>
      <c r="O180" s="52"/>
    </row>
    <row r="181" spans="1:15" x14ac:dyDescent="0.15">
      <c r="A181">
        <v>3</v>
      </c>
      <c r="D181" s="51" t="s">
        <v>33</v>
      </c>
      <c r="E181" s="51" t="s">
        <v>51</v>
      </c>
      <c r="G181" s="51" t="s">
        <v>35</v>
      </c>
      <c r="H181">
        <v>1</v>
      </c>
      <c r="I181" s="58">
        <v>1500</v>
      </c>
      <c r="J181" s="59">
        <v>1500</v>
      </c>
      <c r="K181">
        <v>1</v>
      </c>
      <c r="O181" s="52"/>
    </row>
    <row r="182" spans="1:15" x14ac:dyDescent="0.15">
      <c r="A182">
        <v>3</v>
      </c>
      <c r="D182" s="51" t="s">
        <v>36</v>
      </c>
      <c r="E182" s="51" t="s">
        <v>37</v>
      </c>
      <c r="G182" s="51" t="s">
        <v>35</v>
      </c>
      <c r="H182">
        <v>1</v>
      </c>
      <c r="I182" s="58">
        <v>10000</v>
      </c>
      <c r="J182" s="59">
        <v>10000</v>
      </c>
      <c r="K182">
        <v>1</v>
      </c>
      <c r="O182" s="52"/>
    </row>
    <row r="183" spans="1:15" x14ac:dyDescent="0.15">
      <c r="A183">
        <v>3</v>
      </c>
      <c r="D183" s="51" t="s">
        <v>36</v>
      </c>
      <c r="E183" s="51" t="s">
        <v>38</v>
      </c>
      <c r="G183" s="51" t="s">
        <v>35</v>
      </c>
      <c r="H183">
        <v>1</v>
      </c>
      <c r="I183" s="58">
        <v>7000</v>
      </c>
      <c r="J183" s="59">
        <v>7000</v>
      </c>
      <c r="K183">
        <v>1</v>
      </c>
      <c r="O183" s="52"/>
    </row>
    <row r="184" spans="1:15" x14ac:dyDescent="0.15">
      <c r="A184">
        <v>3</v>
      </c>
      <c r="D184" s="51" t="s">
        <v>39</v>
      </c>
      <c r="E184" s="51" t="s">
        <v>40</v>
      </c>
      <c r="G184" s="51" t="s">
        <v>41</v>
      </c>
      <c r="H184">
        <v>40</v>
      </c>
      <c r="I184" s="58">
        <v>150</v>
      </c>
      <c r="J184" s="59">
        <v>6000</v>
      </c>
      <c r="K184">
        <v>1</v>
      </c>
      <c r="O184" s="52"/>
    </row>
    <row r="185" spans="1:15" x14ac:dyDescent="0.15">
      <c r="A185">
        <v>3</v>
      </c>
      <c r="D185" s="51" t="s">
        <v>39</v>
      </c>
      <c r="E185" s="51" t="s">
        <v>52</v>
      </c>
      <c r="G185" s="51" t="s">
        <v>41</v>
      </c>
      <c r="H185">
        <v>40</v>
      </c>
      <c r="I185" s="58">
        <v>200</v>
      </c>
      <c r="J185" s="59">
        <v>8000</v>
      </c>
      <c r="K185">
        <v>1</v>
      </c>
      <c r="O185" s="52"/>
    </row>
    <row r="186" spans="1:15" x14ac:dyDescent="0.15">
      <c r="A186">
        <v>3</v>
      </c>
      <c r="D186" s="51" t="s">
        <v>39</v>
      </c>
      <c r="E186" s="51" t="s">
        <v>42</v>
      </c>
      <c r="G186" s="51" t="s">
        <v>19</v>
      </c>
      <c r="H186">
        <v>1</v>
      </c>
      <c r="I186" s="58">
        <v>8520</v>
      </c>
      <c r="J186" s="59">
        <v>8520</v>
      </c>
      <c r="K186">
        <v>1</v>
      </c>
      <c r="O186" s="52"/>
    </row>
    <row r="187" spans="1:15" x14ac:dyDescent="0.15">
      <c r="A187">
        <v>3</v>
      </c>
      <c r="D187" s="51" t="s">
        <v>23</v>
      </c>
      <c r="E187" s="51" t="s">
        <v>43</v>
      </c>
      <c r="G187" s="51" t="s">
        <v>19</v>
      </c>
      <c r="H187">
        <v>1</v>
      </c>
      <c r="I187" s="58">
        <v>12600</v>
      </c>
      <c r="J187" s="59">
        <v>12600</v>
      </c>
      <c r="K187">
        <v>1</v>
      </c>
      <c r="O187" s="52"/>
    </row>
    <row r="188" spans="1:15" x14ac:dyDescent="0.15">
      <c r="A188">
        <v>2</v>
      </c>
      <c r="D188" s="51" t="s">
        <v>20</v>
      </c>
      <c r="E188" s="51" t="s">
        <v>135</v>
      </c>
      <c r="G188" s="51" t="s">
        <v>63</v>
      </c>
      <c r="H188">
        <v>11.9</v>
      </c>
      <c r="I188" s="58">
        <v>42500</v>
      </c>
      <c r="J188" s="59">
        <v>505750</v>
      </c>
      <c r="K188">
        <v>11.9</v>
      </c>
      <c r="M188" s="51" t="s">
        <v>136</v>
      </c>
      <c r="O188" s="52"/>
    </row>
    <row r="189" spans="1:15" x14ac:dyDescent="0.15">
      <c r="A189">
        <v>3</v>
      </c>
      <c r="D189" s="51" t="s">
        <v>39</v>
      </c>
      <c r="E189" s="51" t="s">
        <v>137</v>
      </c>
      <c r="G189" s="51" t="s">
        <v>114</v>
      </c>
      <c r="H189">
        <v>5</v>
      </c>
      <c r="I189" s="58">
        <v>19700</v>
      </c>
      <c r="J189" s="59">
        <v>98500</v>
      </c>
      <c r="K189">
        <v>1</v>
      </c>
      <c r="O189" s="52"/>
    </row>
    <row r="190" spans="1:15" x14ac:dyDescent="0.15">
      <c r="A190">
        <v>3</v>
      </c>
      <c r="D190" s="51" t="s">
        <v>39</v>
      </c>
      <c r="E190" s="51" t="s">
        <v>138</v>
      </c>
      <c r="G190" s="51" t="s">
        <v>114</v>
      </c>
      <c r="H190">
        <v>1</v>
      </c>
      <c r="I190" s="58">
        <v>11800</v>
      </c>
      <c r="J190" s="59">
        <v>11800</v>
      </c>
      <c r="K190">
        <v>1</v>
      </c>
      <c r="O190" s="52"/>
    </row>
    <row r="191" spans="1:15" x14ac:dyDescent="0.15">
      <c r="A191">
        <v>3</v>
      </c>
      <c r="D191" s="51" t="s">
        <v>39</v>
      </c>
      <c r="E191" s="51" t="s">
        <v>116</v>
      </c>
      <c r="F191" s="51" t="s">
        <v>139</v>
      </c>
      <c r="G191" s="51" t="s">
        <v>70</v>
      </c>
      <c r="H191">
        <v>12</v>
      </c>
      <c r="I191" s="58">
        <v>20000</v>
      </c>
      <c r="J191" s="59">
        <v>240000</v>
      </c>
      <c r="K191">
        <v>1</v>
      </c>
      <c r="O191" s="52"/>
    </row>
    <row r="192" spans="1:15" x14ac:dyDescent="0.15">
      <c r="A192">
        <v>3</v>
      </c>
      <c r="D192" s="51" t="s">
        <v>39</v>
      </c>
      <c r="E192" s="51" t="s">
        <v>75</v>
      </c>
      <c r="G192" s="51" t="s">
        <v>26</v>
      </c>
      <c r="H192">
        <v>0.5</v>
      </c>
      <c r="I192" s="58">
        <v>30000</v>
      </c>
      <c r="J192" s="59">
        <v>15000</v>
      </c>
      <c r="K192">
        <v>1</v>
      </c>
      <c r="O192" s="52"/>
    </row>
    <row r="193" spans="1:15" x14ac:dyDescent="0.15">
      <c r="A193">
        <v>3</v>
      </c>
      <c r="D193" s="51" t="s">
        <v>30</v>
      </c>
      <c r="E193" s="51" t="s">
        <v>31</v>
      </c>
      <c r="G193" s="51" t="s">
        <v>32</v>
      </c>
      <c r="H193">
        <v>3</v>
      </c>
      <c r="I193" s="58">
        <v>28000</v>
      </c>
      <c r="J193" s="59">
        <v>84000</v>
      </c>
      <c r="K193">
        <v>1</v>
      </c>
      <c r="O193" s="52"/>
    </row>
    <row r="194" spans="1:15" x14ac:dyDescent="0.15">
      <c r="A194">
        <v>3</v>
      </c>
      <c r="D194" s="51" t="s">
        <v>33</v>
      </c>
      <c r="E194" s="51" t="s">
        <v>76</v>
      </c>
      <c r="G194" s="51" t="s">
        <v>35</v>
      </c>
      <c r="H194">
        <v>1</v>
      </c>
      <c r="I194" s="58">
        <v>8000</v>
      </c>
      <c r="J194" s="59">
        <v>8000</v>
      </c>
      <c r="K194">
        <v>1</v>
      </c>
      <c r="O194" s="52"/>
    </row>
    <row r="195" spans="1:15" x14ac:dyDescent="0.15">
      <c r="A195">
        <v>3</v>
      </c>
      <c r="D195" s="51" t="s">
        <v>33</v>
      </c>
      <c r="E195" s="51" t="s">
        <v>50</v>
      </c>
      <c r="G195" s="51" t="s">
        <v>35</v>
      </c>
      <c r="H195">
        <v>1</v>
      </c>
      <c r="I195" s="58">
        <v>1500</v>
      </c>
      <c r="J195" s="59">
        <v>1500</v>
      </c>
      <c r="K195">
        <v>1</v>
      </c>
      <c r="O195" s="52"/>
    </row>
    <row r="196" spans="1:15" x14ac:dyDescent="0.15">
      <c r="A196">
        <v>3</v>
      </c>
      <c r="D196" s="51" t="s">
        <v>33</v>
      </c>
      <c r="E196" s="51" t="s">
        <v>51</v>
      </c>
      <c r="G196" s="51" t="s">
        <v>35</v>
      </c>
      <c r="H196">
        <v>1</v>
      </c>
      <c r="I196" s="58">
        <v>1500</v>
      </c>
      <c r="J196" s="59">
        <v>1500</v>
      </c>
      <c r="K196">
        <v>1</v>
      </c>
      <c r="O196" s="52"/>
    </row>
    <row r="197" spans="1:15" x14ac:dyDescent="0.15">
      <c r="A197">
        <v>3</v>
      </c>
      <c r="D197" s="51" t="s">
        <v>36</v>
      </c>
      <c r="E197" s="51" t="s">
        <v>37</v>
      </c>
      <c r="G197" s="51" t="s">
        <v>35</v>
      </c>
      <c r="H197">
        <v>1</v>
      </c>
      <c r="I197" s="58">
        <v>10000</v>
      </c>
      <c r="J197" s="59">
        <v>10000</v>
      </c>
      <c r="K197">
        <v>1</v>
      </c>
      <c r="O197" s="52"/>
    </row>
    <row r="198" spans="1:15" x14ac:dyDescent="0.15">
      <c r="A198">
        <v>3</v>
      </c>
      <c r="D198" s="51" t="s">
        <v>36</v>
      </c>
      <c r="E198" s="51" t="s">
        <v>38</v>
      </c>
      <c r="G198" s="51" t="s">
        <v>35</v>
      </c>
      <c r="H198">
        <v>1</v>
      </c>
      <c r="I198" s="58">
        <v>7000</v>
      </c>
      <c r="J198" s="59">
        <v>7000</v>
      </c>
      <c r="K198">
        <v>1</v>
      </c>
      <c r="O198" s="52"/>
    </row>
    <row r="199" spans="1:15" x14ac:dyDescent="0.15">
      <c r="A199">
        <v>3</v>
      </c>
      <c r="D199" s="51" t="s">
        <v>39</v>
      </c>
      <c r="E199" s="51" t="s">
        <v>40</v>
      </c>
      <c r="G199" s="51" t="s">
        <v>41</v>
      </c>
      <c r="H199">
        <v>40</v>
      </c>
      <c r="I199" s="58">
        <v>150</v>
      </c>
      <c r="J199" s="59">
        <v>6000</v>
      </c>
      <c r="K199">
        <v>1</v>
      </c>
      <c r="O199" s="52"/>
    </row>
    <row r="200" spans="1:15" x14ac:dyDescent="0.15">
      <c r="A200">
        <v>3</v>
      </c>
      <c r="D200" s="51" t="s">
        <v>39</v>
      </c>
      <c r="E200" s="51" t="s">
        <v>52</v>
      </c>
      <c r="G200" s="51" t="s">
        <v>41</v>
      </c>
      <c r="H200">
        <v>40</v>
      </c>
      <c r="I200" s="58">
        <v>200</v>
      </c>
      <c r="J200" s="59">
        <v>8000</v>
      </c>
      <c r="K200">
        <v>1</v>
      </c>
      <c r="O200" s="52"/>
    </row>
    <row r="201" spans="1:15" x14ac:dyDescent="0.15">
      <c r="A201">
        <v>3</v>
      </c>
      <c r="D201" s="51" t="s">
        <v>39</v>
      </c>
      <c r="E201" s="51" t="s">
        <v>42</v>
      </c>
      <c r="G201" s="51" t="s">
        <v>19</v>
      </c>
      <c r="H201">
        <v>1</v>
      </c>
      <c r="I201" s="58">
        <v>1850</v>
      </c>
      <c r="J201" s="59">
        <v>1850</v>
      </c>
      <c r="K201">
        <v>1</v>
      </c>
      <c r="O201" s="52"/>
    </row>
    <row r="202" spans="1:15" x14ac:dyDescent="0.15">
      <c r="A202">
        <v>3</v>
      </c>
      <c r="D202" s="51" t="s">
        <v>23</v>
      </c>
      <c r="E202" s="51" t="s">
        <v>43</v>
      </c>
      <c r="G202" s="51" t="s">
        <v>19</v>
      </c>
      <c r="H202">
        <v>1</v>
      </c>
      <c r="I202" s="58">
        <v>12600</v>
      </c>
      <c r="J202" s="59">
        <v>12600</v>
      </c>
      <c r="K202">
        <v>1</v>
      </c>
      <c r="O202" s="52"/>
    </row>
    <row r="203" spans="1:15" x14ac:dyDescent="0.15">
      <c r="A203">
        <v>2</v>
      </c>
      <c r="D203" s="51" t="s">
        <v>20</v>
      </c>
      <c r="E203" s="51" t="s">
        <v>140</v>
      </c>
      <c r="G203" s="51" t="s">
        <v>63</v>
      </c>
      <c r="H203">
        <v>17.2</v>
      </c>
      <c r="I203" s="58">
        <v>45000</v>
      </c>
      <c r="J203" s="59">
        <v>774000</v>
      </c>
      <c r="K203">
        <v>17.2</v>
      </c>
      <c r="M203" s="51" t="s">
        <v>141</v>
      </c>
      <c r="O203" s="52"/>
    </row>
    <row r="204" spans="1:15" x14ac:dyDescent="0.15">
      <c r="A204">
        <v>3</v>
      </c>
      <c r="D204" s="51" t="s">
        <v>39</v>
      </c>
      <c r="E204" s="51" t="s">
        <v>142</v>
      </c>
      <c r="G204" s="51" t="s">
        <v>114</v>
      </c>
      <c r="H204">
        <v>9</v>
      </c>
      <c r="I204" s="58">
        <v>9800</v>
      </c>
      <c r="J204" s="59">
        <v>88200</v>
      </c>
      <c r="K204">
        <v>1</v>
      </c>
      <c r="O204" s="52"/>
    </row>
    <row r="205" spans="1:15" x14ac:dyDescent="0.15">
      <c r="A205">
        <v>3</v>
      </c>
      <c r="D205" s="51" t="s">
        <v>39</v>
      </c>
      <c r="E205" s="51" t="s">
        <v>116</v>
      </c>
      <c r="F205" s="51" t="s">
        <v>123</v>
      </c>
      <c r="G205" s="51" t="s">
        <v>70</v>
      </c>
      <c r="H205">
        <v>18</v>
      </c>
      <c r="I205" s="58">
        <v>19870</v>
      </c>
      <c r="J205" s="59">
        <v>357660</v>
      </c>
      <c r="K205">
        <v>1</v>
      </c>
      <c r="O205" s="52"/>
    </row>
    <row r="206" spans="1:15" x14ac:dyDescent="0.15">
      <c r="A206">
        <v>3</v>
      </c>
      <c r="D206" s="51" t="s">
        <v>39</v>
      </c>
      <c r="E206" s="51" t="s">
        <v>75</v>
      </c>
      <c r="G206" s="51" t="s">
        <v>26</v>
      </c>
      <c r="H206">
        <v>1</v>
      </c>
      <c r="I206" s="58">
        <v>30000</v>
      </c>
      <c r="J206" s="59">
        <v>30000</v>
      </c>
      <c r="K206">
        <v>1</v>
      </c>
      <c r="O206" s="52"/>
    </row>
    <row r="207" spans="1:15" x14ac:dyDescent="0.15">
      <c r="A207">
        <v>3</v>
      </c>
      <c r="D207" s="51" t="s">
        <v>30</v>
      </c>
      <c r="E207" s="51" t="s">
        <v>31</v>
      </c>
      <c r="G207" s="51" t="s">
        <v>32</v>
      </c>
      <c r="H207">
        <v>6</v>
      </c>
      <c r="I207" s="58">
        <v>28000</v>
      </c>
      <c r="J207" s="59">
        <v>168000</v>
      </c>
      <c r="K207">
        <v>1</v>
      </c>
      <c r="O207" s="52"/>
    </row>
    <row r="208" spans="1:15" x14ac:dyDescent="0.15">
      <c r="A208">
        <v>3</v>
      </c>
      <c r="D208" s="51" t="s">
        <v>33</v>
      </c>
      <c r="E208" s="51" t="s">
        <v>76</v>
      </c>
      <c r="G208" s="51" t="s">
        <v>35</v>
      </c>
      <c r="H208">
        <v>2</v>
      </c>
      <c r="I208" s="58">
        <v>8000</v>
      </c>
      <c r="J208" s="59">
        <v>16000</v>
      </c>
      <c r="K208">
        <v>1</v>
      </c>
      <c r="O208" s="52"/>
    </row>
    <row r="209" spans="1:15" x14ac:dyDescent="0.15">
      <c r="A209">
        <v>3</v>
      </c>
      <c r="D209" s="51" t="s">
        <v>33</v>
      </c>
      <c r="E209" s="51" t="s">
        <v>50</v>
      </c>
      <c r="G209" s="51" t="s">
        <v>35</v>
      </c>
      <c r="H209">
        <v>2</v>
      </c>
      <c r="I209" s="58">
        <v>1500</v>
      </c>
      <c r="J209" s="59">
        <v>3000</v>
      </c>
      <c r="K209">
        <v>1</v>
      </c>
      <c r="O209" s="52"/>
    </row>
    <row r="210" spans="1:15" x14ac:dyDescent="0.15">
      <c r="A210">
        <v>3</v>
      </c>
      <c r="D210" s="51" t="s">
        <v>33</v>
      </c>
      <c r="E210" s="51" t="s">
        <v>51</v>
      </c>
      <c r="G210" s="51" t="s">
        <v>35</v>
      </c>
      <c r="H210">
        <v>2</v>
      </c>
      <c r="I210" s="58">
        <v>1500</v>
      </c>
      <c r="J210" s="59">
        <v>3000</v>
      </c>
      <c r="K210">
        <v>1</v>
      </c>
      <c r="O210" s="52"/>
    </row>
    <row r="211" spans="1:15" x14ac:dyDescent="0.15">
      <c r="A211">
        <v>3</v>
      </c>
      <c r="D211" s="51" t="s">
        <v>36</v>
      </c>
      <c r="E211" s="51" t="s">
        <v>37</v>
      </c>
      <c r="G211" s="51" t="s">
        <v>35</v>
      </c>
      <c r="H211">
        <v>2</v>
      </c>
      <c r="I211" s="58">
        <v>10000</v>
      </c>
      <c r="J211" s="59">
        <v>20000</v>
      </c>
      <c r="K211">
        <v>1</v>
      </c>
      <c r="O211" s="52"/>
    </row>
    <row r="212" spans="1:15" x14ac:dyDescent="0.15">
      <c r="A212">
        <v>3</v>
      </c>
      <c r="D212" s="51" t="s">
        <v>36</v>
      </c>
      <c r="E212" s="51" t="s">
        <v>38</v>
      </c>
      <c r="G212" s="51" t="s">
        <v>35</v>
      </c>
      <c r="H212">
        <v>2</v>
      </c>
      <c r="I212" s="58">
        <v>7000</v>
      </c>
      <c r="J212" s="59">
        <v>14000</v>
      </c>
      <c r="K212">
        <v>1</v>
      </c>
      <c r="O212" s="52"/>
    </row>
    <row r="213" spans="1:15" x14ac:dyDescent="0.15">
      <c r="A213">
        <v>3</v>
      </c>
      <c r="D213" s="51" t="s">
        <v>39</v>
      </c>
      <c r="E213" s="51" t="s">
        <v>40</v>
      </c>
      <c r="G213" s="51" t="s">
        <v>41</v>
      </c>
      <c r="H213">
        <v>80</v>
      </c>
      <c r="I213" s="58">
        <v>150</v>
      </c>
      <c r="J213" s="59">
        <v>12000</v>
      </c>
      <c r="K213">
        <v>1</v>
      </c>
      <c r="O213" s="52"/>
    </row>
    <row r="214" spans="1:15" x14ac:dyDescent="0.15">
      <c r="A214">
        <v>3</v>
      </c>
      <c r="D214" s="51" t="s">
        <v>39</v>
      </c>
      <c r="E214" s="51" t="s">
        <v>52</v>
      </c>
      <c r="G214" s="51" t="s">
        <v>41</v>
      </c>
      <c r="H214">
        <v>80</v>
      </c>
      <c r="I214" s="58">
        <v>200</v>
      </c>
      <c r="J214" s="59">
        <v>16000</v>
      </c>
      <c r="K214">
        <v>1</v>
      </c>
      <c r="O214" s="52"/>
    </row>
    <row r="215" spans="1:15" x14ac:dyDescent="0.15">
      <c r="A215">
        <v>3</v>
      </c>
      <c r="D215" s="51" t="s">
        <v>39</v>
      </c>
      <c r="E215" s="51" t="s">
        <v>42</v>
      </c>
      <c r="G215" s="51" t="s">
        <v>19</v>
      </c>
      <c r="H215">
        <v>1</v>
      </c>
      <c r="I215" s="58">
        <v>23740</v>
      </c>
      <c r="J215" s="59">
        <v>23740</v>
      </c>
      <c r="K215">
        <v>1</v>
      </c>
      <c r="O215" s="52"/>
    </row>
    <row r="216" spans="1:15" x14ac:dyDescent="0.15">
      <c r="A216">
        <v>3</v>
      </c>
      <c r="D216" s="51" t="s">
        <v>23</v>
      </c>
      <c r="E216" s="51" t="s">
        <v>43</v>
      </c>
      <c r="G216" s="51" t="s">
        <v>19</v>
      </c>
      <c r="H216">
        <v>1</v>
      </c>
      <c r="I216" s="58">
        <v>22400</v>
      </c>
      <c r="J216" s="59">
        <v>22400</v>
      </c>
      <c r="K216">
        <v>1</v>
      </c>
      <c r="O216" s="52"/>
    </row>
    <row r="217" spans="1:15" x14ac:dyDescent="0.15">
      <c r="A217">
        <v>2</v>
      </c>
      <c r="D217" s="51" t="s">
        <v>20</v>
      </c>
      <c r="E217" s="51" t="s">
        <v>143</v>
      </c>
      <c r="G217" s="51" t="s">
        <v>63</v>
      </c>
      <c r="H217">
        <v>16</v>
      </c>
      <c r="I217" s="58">
        <v>80000</v>
      </c>
      <c r="J217" s="59">
        <v>1280000</v>
      </c>
      <c r="K217">
        <v>16</v>
      </c>
      <c r="M217" s="51" t="s">
        <v>144</v>
      </c>
      <c r="O217" s="52"/>
    </row>
    <row r="218" spans="1:15" x14ac:dyDescent="0.15">
      <c r="A218">
        <v>3</v>
      </c>
      <c r="D218" s="51" t="s">
        <v>39</v>
      </c>
      <c r="E218" s="51" t="s">
        <v>145</v>
      </c>
      <c r="F218" s="51" t="s">
        <v>146</v>
      </c>
      <c r="G218" s="51" t="s">
        <v>114</v>
      </c>
      <c r="H218">
        <v>2</v>
      </c>
      <c r="I218" s="58">
        <v>85100</v>
      </c>
      <c r="J218" s="59">
        <v>170200</v>
      </c>
      <c r="K218">
        <v>1</v>
      </c>
      <c r="O218" s="52"/>
    </row>
    <row r="219" spans="1:15" x14ac:dyDescent="0.15">
      <c r="A219">
        <v>3</v>
      </c>
      <c r="D219" s="51" t="s">
        <v>39</v>
      </c>
      <c r="E219" s="51" t="s">
        <v>145</v>
      </c>
      <c r="F219" s="51" t="s">
        <v>147</v>
      </c>
      <c r="G219" s="51" t="s">
        <v>114</v>
      </c>
      <c r="H219">
        <v>6</v>
      </c>
      <c r="I219" s="58">
        <v>125800</v>
      </c>
      <c r="J219" s="59">
        <v>754800</v>
      </c>
      <c r="K219">
        <v>1</v>
      </c>
      <c r="O219" s="52"/>
    </row>
    <row r="220" spans="1:15" x14ac:dyDescent="0.15">
      <c r="A220">
        <v>3</v>
      </c>
      <c r="D220" s="51" t="s">
        <v>39</v>
      </c>
      <c r="E220" s="51" t="s">
        <v>148</v>
      </c>
      <c r="G220" s="51" t="s">
        <v>72</v>
      </c>
      <c r="H220">
        <v>64</v>
      </c>
      <c r="I220" s="58">
        <v>240</v>
      </c>
      <c r="J220" s="59">
        <v>15360</v>
      </c>
      <c r="K220">
        <v>1</v>
      </c>
      <c r="O220" s="52"/>
    </row>
    <row r="221" spans="1:15" x14ac:dyDescent="0.15">
      <c r="A221">
        <v>3</v>
      </c>
      <c r="D221" s="51" t="s">
        <v>39</v>
      </c>
      <c r="E221" s="51" t="s">
        <v>75</v>
      </c>
      <c r="G221" s="51" t="s">
        <v>26</v>
      </c>
      <c r="H221">
        <v>1.5</v>
      </c>
      <c r="I221" s="58">
        <v>30000</v>
      </c>
      <c r="J221" s="59">
        <v>45000</v>
      </c>
      <c r="K221">
        <v>1</v>
      </c>
      <c r="O221" s="52"/>
    </row>
    <row r="222" spans="1:15" x14ac:dyDescent="0.15">
      <c r="A222">
        <v>3</v>
      </c>
      <c r="D222" s="51" t="s">
        <v>30</v>
      </c>
      <c r="E222" s="51" t="s">
        <v>31</v>
      </c>
      <c r="G222" s="51" t="s">
        <v>32</v>
      </c>
      <c r="H222">
        <v>6</v>
      </c>
      <c r="I222" s="58">
        <v>28000</v>
      </c>
      <c r="J222" s="59">
        <v>168000</v>
      </c>
      <c r="K222">
        <v>1</v>
      </c>
      <c r="O222" s="52"/>
    </row>
    <row r="223" spans="1:15" x14ac:dyDescent="0.15">
      <c r="A223">
        <v>3</v>
      </c>
      <c r="D223" s="51" t="s">
        <v>33</v>
      </c>
      <c r="E223" s="51" t="s">
        <v>76</v>
      </c>
      <c r="G223" s="51" t="s">
        <v>35</v>
      </c>
      <c r="H223">
        <v>2</v>
      </c>
      <c r="I223" s="58">
        <v>8000</v>
      </c>
      <c r="J223" s="59">
        <v>16000</v>
      </c>
      <c r="K223">
        <v>1</v>
      </c>
      <c r="O223" s="52"/>
    </row>
    <row r="224" spans="1:15" x14ac:dyDescent="0.15">
      <c r="A224">
        <v>3</v>
      </c>
      <c r="D224" s="51" t="s">
        <v>33</v>
      </c>
      <c r="E224" s="51" t="s">
        <v>50</v>
      </c>
      <c r="G224" s="51" t="s">
        <v>35</v>
      </c>
      <c r="H224">
        <v>2</v>
      </c>
      <c r="I224" s="58">
        <v>1500</v>
      </c>
      <c r="J224" s="59">
        <v>3000</v>
      </c>
      <c r="K224">
        <v>1</v>
      </c>
      <c r="O224" s="52"/>
    </row>
    <row r="225" spans="1:15" x14ac:dyDescent="0.15">
      <c r="A225">
        <v>3</v>
      </c>
      <c r="D225" s="51" t="s">
        <v>33</v>
      </c>
      <c r="E225" s="51" t="s">
        <v>51</v>
      </c>
      <c r="G225" s="51" t="s">
        <v>35</v>
      </c>
      <c r="H225">
        <v>2</v>
      </c>
      <c r="I225" s="58">
        <v>1500</v>
      </c>
      <c r="J225" s="59">
        <v>3000</v>
      </c>
      <c r="K225">
        <v>1</v>
      </c>
      <c r="O225" s="52"/>
    </row>
    <row r="226" spans="1:15" x14ac:dyDescent="0.15">
      <c r="A226">
        <v>3</v>
      </c>
      <c r="D226" s="51" t="s">
        <v>36</v>
      </c>
      <c r="E226" s="51" t="s">
        <v>37</v>
      </c>
      <c r="G226" s="51" t="s">
        <v>35</v>
      </c>
      <c r="H226">
        <v>2</v>
      </c>
      <c r="I226" s="58">
        <v>10000</v>
      </c>
      <c r="J226" s="59">
        <v>20000</v>
      </c>
      <c r="K226">
        <v>1</v>
      </c>
      <c r="O226" s="52"/>
    </row>
    <row r="227" spans="1:15" x14ac:dyDescent="0.15">
      <c r="A227">
        <v>3</v>
      </c>
      <c r="D227" s="51" t="s">
        <v>36</v>
      </c>
      <c r="E227" s="51" t="s">
        <v>38</v>
      </c>
      <c r="G227" s="51" t="s">
        <v>35</v>
      </c>
      <c r="H227">
        <v>2</v>
      </c>
      <c r="I227" s="58">
        <v>7000</v>
      </c>
      <c r="J227" s="59">
        <v>14000</v>
      </c>
      <c r="K227">
        <v>1</v>
      </c>
      <c r="O227" s="52"/>
    </row>
    <row r="228" spans="1:15" x14ac:dyDescent="0.15">
      <c r="A228">
        <v>3</v>
      </c>
      <c r="D228" s="51" t="s">
        <v>39</v>
      </c>
      <c r="E228" s="51" t="s">
        <v>40</v>
      </c>
      <c r="G228" s="51" t="s">
        <v>41</v>
      </c>
      <c r="H228">
        <v>80</v>
      </c>
      <c r="I228" s="58">
        <v>150</v>
      </c>
      <c r="J228" s="59">
        <v>12000</v>
      </c>
      <c r="K228">
        <v>1</v>
      </c>
      <c r="O228" s="52"/>
    </row>
    <row r="229" spans="1:15" x14ac:dyDescent="0.15">
      <c r="A229">
        <v>3</v>
      </c>
      <c r="D229" s="51" t="s">
        <v>39</v>
      </c>
      <c r="E229" s="51" t="s">
        <v>52</v>
      </c>
      <c r="G229" s="51" t="s">
        <v>41</v>
      </c>
      <c r="H229">
        <v>80</v>
      </c>
      <c r="I229" s="58">
        <v>200</v>
      </c>
      <c r="J229" s="59">
        <v>16000</v>
      </c>
      <c r="K229">
        <v>1</v>
      </c>
      <c r="O229" s="52"/>
    </row>
    <row r="230" spans="1:15" x14ac:dyDescent="0.15">
      <c r="A230">
        <v>3</v>
      </c>
      <c r="D230" s="51" t="s">
        <v>39</v>
      </c>
      <c r="E230" s="51" t="s">
        <v>42</v>
      </c>
      <c r="G230" s="51" t="s">
        <v>19</v>
      </c>
      <c r="H230">
        <v>1</v>
      </c>
      <c r="I230" s="58">
        <v>17440</v>
      </c>
      <c r="J230" s="59">
        <v>17440</v>
      </c>
      <c r="K230">
        <v>1</v>
      </c>
      <c r="O230" s="52"/>
    </row>
    <row r="231" spans="1:15" x14ac:dyDescent="0.15">
      <c r="A231">
        <v>3</v>
      </c>
      <c r="D231" s="51" t="s">
        <v>23</v>
      </c>
      <c r="E231" s="51" t="s">
        <v>43</v>
      </c>
      <c r="G231" s="51" t="s">
        <v>19</v>
      </c>
      <c r="H231">
        <v>1</v>
      </c>
      <c r="I231" s="58">
        <v>25200</v>
      </c>
      <c r="J231" s="59">
        <v>25200</v>
      </c>
      <c r="K231">
        <v>1</v>
      </c>
      <c r="O231" s="52"/>
    </row>
    <row r="232" spans="1:15" x14ac:dyDescent="0.15">
      <c r="A232">
        <v>2</v>
      </c>
      <c r="D232" s="51" t="s">
        <v>20</v>
      </c>
      <c r="E232" s="51" t="s">
        <v>149</v>
      </c>
      <c r="G232" s="51" t="s">
        <v>63</v>
      </c>
      <c r="H232">
        <v>10</v>
      </c>
      <c r="I232" s="58">
        <v>92400</v>
      </c>
      <c r="J232" s="59">
        <v>924000</v>
      </c>
      <c r="K232">
        <v>10</v>
      </c>
      <c r="M232" s="51" t="s">
        <v>150</v>
      </c>
      <c r="O232" s="52"/>
    </row>
    <row r="233" spans="1:15" x14ac:dyDescent="0.15">
      <c r="A233">
        <v>3</v>
      </c>
      <c r="D233" s="51" t="s">
        <v>39</v>
      </c>
      <c r="E233" s="51" t="s">
        <v>151</v>
      </c>
      <c r="F233" s="51" t="s">
        <v>152</v>
      </c>
      <c r="G233" s="51" t="s">
        <v>114</v>
      </c>
      <c r="H233">
        <v>5</v>
      </c>
      <c r="I233" s="58">
        <v>100000</v>
      </c>
      <c r="J233" s="59">
        <v>500000</v>
      </c>
      <c r="K233">
        <v>1</v>
      </c>
      <c r="O233" s="52"/>
    </row>
    <row r="234" spans="1:15" x14ac:dyDescent="0.15">
      <c r="A234">
        <v>3</v>
      </c>
      <c r="D234" s="51" t="s">
        <v>39</v>
      </c>
      <c r="E234" s="51" t="s">
        <v>153</v>
      </c>
      <c r="G234" s="51" t="s">
        <v>72</v>
      </c>
      <c r="H234">
        <v>40</v>
      </c>
      <c r="I234" s="58">
        <v>240</v>
      </c>
      <c r="J234" s="59">
        <v>9600</v>
      </c>
      <c r="K234">
        <v>1</v>
      </c>
      <c r="O234" s="52"/>
    </row>
    <row r="235" spans="1:15" x14ac:dyDescent="0.15">
      <c r="A235">
        <v>3</v>
      </c>
      <c r="D235" s="51" t="s">
        <v>39</v>
      </c>
      <c r="E235" s="51" t="s">
        <v>75</v>
      </c>
      <c r="G235" s="51" t="s">
        <v>26</v>
      </c>
      <c r="H235">
        <v>1</v>
      </c>
      <c r="I235" s="58">
        <v>30000</v>
      </c>
      <c r="J235" s="59">
        <v>30000</v>
      </c>
      <c r="K235">
        <v>1</v>
      </c>
      <c r="O235" s="52"/>
    </row>
    <row r="236" spans="1:15" x14ac:dyDescent="0.15">
      <c r="A236">
        <v>3</v>
      </c>
      <c r="D236" s="51" t="s">
        <v>30</v>
      </c>
      <c r="E236" s="51" t="s">
        <v>31</v>
      </c>
      <c r="G236" s="51" t="s">
        <v>32</v>
      </c>
      <c r="H236">
        <v>8</v>
      </c>
      <c r="I236" s="58">
        <v>28000</v>
      </c>
      <c r="J236" s="59">
        <v>224000</v>
      </c>
      <c r="K236">
        <v>1</v>
      </c>
      <c r="O236" s="52"/>
    </row>
    <row r="237" spans="1:15" x14ac:dyDescent="0.15">
      <c r="A237">
        <v>3</v>
      </c>
      <c r="D237" s="51" t="s">
        <v>33</v>
      </c>
      <c r="E237" s="51" t="s">
        <v>76</v>
      </c>
      <c r="G237" s="51" t="s">
        <v>35</v>
      </c>
      <c r="H237">
        <v>2</v>
      </c>
      <c r="I237" s="58">
        <v>8000</v>
      </c>
      <c r="J237" s="59">
        <v>16000</v>
      </c>
      <c r="K237">
        <v>1</v>
      </c>
      <c r="O237" s="52"/>
    </row>
    <row r="238" spans="1:15" x14ac:dyDescent="0.15">
      <c r="A238">
        <v>3</v>
      </c>
      <c r="D238" s="51" t="s">
        <v>33</v>
      </c>
      <c r="E238" s="51" t="s">
        <v>50</v>
      </c>
      <c r="G238" s="51" t="s">
        <v>35</v>
      </c>
      <c r="H238">
        <v>2</v>
      </c>
      <c r="I238" s="58">
        <v>1500</v>
      </c>
      <c r="J238" s="59">
        <v>3000</v>
      </c>
      <c r="K238">
        <v>1</v>
      </c>
      <c r="O238" s="52"/>
    </row>
    <row r="239" spans="1:15" x14ac:dyDescent="0.15">
      <c r="A239">
        <v>3</v>
      </c>
      <c r="D239" s="51" t="s">
        <v>33</v>
      </c>
      <c r="E239" s="51" t="s">
        <v>51</v>
      </c>
      <c r="G239" s="51" t="s">
        <v>35</v>
      </c>
      <c r="H239">
        <v>2</v>
      </c>
      <c r="I239" s="58">
        <v>1500</v>
      </c>
      <c r="J239" s="59">
        <v>3000</v>
      </c>
      <c r="K239">
        <v>1</v>
      </c>
      <c r="O239" s="52"/>
    </row>
    <row r="240" spans="1:15" x14ac:dyDescent="0.15">
      <c r="A240">
        <v>3</v>
      </c>
      <c r="D240" s="51" t="s">
        <v>36</v>
      </c>
      <c r="E240" s="51" t="s">
        <v>37</v>
      </c>
      <c r="G240" s="51" t="s">
        <v>35</v>
      </c>
      <c r="H240">
        <v>2</v>
      </c>
      <c r="I240" s="58">
        <v>10000</v>
      </c>
      <c r="J240" s="59">
        <v>20000</v>
      </c>
      <c r="K240">
        <v>1</v>
      </c>
      <c r="O240" s="52"/>
    </row>
    <row r="241" spans="1:15" x14ac:dyDescent="0.15">
      <c r="A241">
        <v>3</v>
      </c>
      <c r="D241" s="51" t="s">
        <v>36</v>
      </c>
      <c r="E241" s="51" t="s">
        <v>38</v>
      </c>
      <c r="G241" s="51" t="s">
        <v>35</v>
      </c>
      <c r="H241">
        <v>2</v>
      </c>
      <c r="I241" s="58">
        <v>7000</v>
      </c>
      <c r="J241" s="59">
        <v>14000</v>
      </c>
      <c r="K241">
        <v>1</v>
      </c>
      <c r="O241" s="52"/>
    </row>
    <row r="242" spans="1:15" x14ac:dyDescent="0.15">
      <c r="A242">
        <v>3</v>
      </c>
      <c r="D242" s="51" t="s">
        <v>39</v>
      </c>
      <c r="E242" s="51" t="s">
        <v>40</v>
      </c>
      <c r="G242" s="51" t="s">
        <v>41</v>
      </c>
      <c r="H242">
        <v>80</v>
      </c>
      <c r="I242" s="58">
        <v>150</v>
      </c>
      <c r="J242" s="59">
        <v>12000</v>
      </c>
      <c r="K242">
        <v>1</v>
      </c>
      <c r="O242" s="52"/>
    </row>
    <row r="243" spans="1:15" x14ac:dyDescent="0.15">
      <c r="A243">
        <v>3</v>
      </c>
      <c r="D243" s="51" t="s">
        <v>39</v>
      </c>
      <c r="E243" s="51" t="s">
        <v>52</v>
      </c>
      <c r="G243" s="51" t="s">
        <v>41</v>
      </c>
      <c r="H243">
        <v>80</v>
      </c>
      <c r="I243" s="58">
        <v>200</v>
      </c>
      <c r="J243" s="59">
        <v>16000</v>
      </c>
      <c r="K243">
        <v>1</v>
      </c>
      <c r="O243" s="52"/>
    </row>
    <row r="244" spans="1:15" x14ac:dyDescent="0.15">
      <c r="A244">
        <v>3</v>
      </c>
      <c r="D244" s="51" t="s">
        <v>39</v>
      </c>
      <c r="E244" s="51" t="s">
        <v>42</v>
      </c>
      <c r="G244" s="51" t="s">
        <v>19</v>
      </c>
      <c r="H244">
        <v>1</v>
      </c>
      <c r="I244" s="58">
        <v>51200</v>
      </c>
      <c r="J244" s="59">
        <v>51200</v>
      </c>
      <c r="K244">
        <v>1</v>
      </c>
      <c r="O244" s="52"/>
    </row>
    <row r="245" spans="1:15" x14ac:dyDescent="0.15">
      <c r="A245">
        <v>3</v>
      </c>
      <c r="D245" s="51" t="s">
        <v>23</v>
      </c>
      <c r="E245" s="51" t="s">
        <v>43</v>
      </c>
      <c r="G245" s="51" t="s">
        <v>19</v>
      </c>
      <c r="H245">
        <v>1</v>
      </c>
      <c r="I245" s="58">
        <v>25200</v>
      </c>
      <c r="J245" s="59">
        <v>25200</v>
      </c>
      <c r="K245">
        <v>1</v>
      </c>
      <c r="O245" s="52"/>
    </row>
    <row r="246" spans="1:15" x14ac:dyDescent="0.15">
      <c r="A246">
        <v>2</v>
      </c>
      <c r="D246" s="51" t="s">
        <v>20</v>
      </c>
      <c r="E246" s="51" t="s">
        <v>154</v>
      </c>
      <c r="G246" s="51" t="s">
        <v>63</v>
      </c>
      <c r="H246">
        <v>21</v>
      </c>
      <c r="I246" s="58">
        <v>16200</v>
      </c>
      <c r="J246" s="59">
        <v>340200</v>
      </c>
      <c r="K246">
        <v>21</v>
      </c>
      <c r="M246" s="51" t="s">
        <v>155</v>
      </c>
      <c r="O246" s="52"/>
    </row>
    <row r="247" spans="1:15" x14ac:dyDescent="0.15">
      <c r="A247">
        <v>3</v>
      </c>
      <c r="D247" s="51" t="s">
        <v>39</v>
      </c>
      <c r="E247" s="51" t="s">
        <v>156</v>
      </c>
      <c r="G247" s="51" t="s">
        <v>114</v>
      </c>
      <c r="H247">
        <v>6</v>
      </c>
      <c r="I247" s="58">
        <v>5340</v>
      </c>
      <c r="J247" s="59">
        <v>32040</v>
      </c>
      <c r="K247">
        <v>1</v>
      </c>
      <c r="O247" s="52"/>
    </row>
    <row r="248" spans="1:15" x14ac:dyDescent="0.15">
      <c r="A248">
        <v>3</v>
      </c>
      <c r="D248" s="51" t="s">
        <v>39</v>
      </c>
      <c r="E248" s="51" t="s">
        <v>55</v>
      </c>
      <c r="G248" s="51" t="s">
        <v>26</v>
      </c>
      <c r="H248">
        <v>10</v>
      </c>
      <c r="I248" s="58">
        <v>3000</v>
      </c>
      <c r="J248" s="59">
        <v>30000</v>
      </c>
      <c r="K248">
        <v>1</v>
      </c>
      <c r="O248" s="52"/>
    </row>
    <row r="249" spans="1:15" x14ac:dyDescent="0.15">
      <c r="A249">
        <v>3</v>
      </c>
      <c r="D249" s="51" t="s">
        <v>30</v>
      </c>
      <c r="E249" s="51" t="s">
        <v>31</v>
      </c>
      <c r="G249" s="51" t="s">
        <v>32</v>
      </c>
      <c r="H249">
        <v>6</v>
      </c>
      <c r="I249" s="58">
        <v>28000</v>
      </c>
      <c r="J249" s="59">
        <v>168000</v>
      </c>
      <c r="K249">
        <v>1</v>
      </c>
      <c r="O249" s="52"/>
    </row>
    <row r="250" spans="1:15" x14ac:dyDescent="0.15">
      <c r="A250">
        <v>3</v>
      </c>
      <c r="D250" s="51" t="s">
        <v>33</v>
      </c>
      <c r="E250" s="51" t="s">
        <v>76</v>
      </c>
      <c r="G250" s="51" t="s">
        <v>35</v>
      </c>
      <c r="H250">
        <v>2</v>
      </c>
      <c r="I250" s="58">
        <v>8000</v>
      </c>
      <c r="J250" s="59">
        <v>16000</v>
      </c>
      <c r="K250">
        <v>1</v>
      </c>
      <c r="O250" s="52"/>
    </row>
    <row r="251" spans="1:15" x14ac:dyDescent="0.15">
      <c r="A251">
        <v>3</v>
      </c>
      <c r="D251" s="51" t="s">
        <v>33</v>
      </c>
      <c r="E251" s="51" t="s">
        <v>50</v>
      </c>
      <c r="G251" s="51" t="s">
        <v>35</v>
      </c>
      <c r="H251">
        <v>2</v>
      </c>
      <c r="I251" s="58">
        <v>1500</v>
      </c>
      <c r="J251" s="59">
        <v>3000</v>
      </c>
      <c r="K251">
        <v>1</v>
      </c>
      <c r="O251" s="52"/>
    </row>
    <row r="252" spans="1:15" x14ac:dyDescent="0.15">
      <c r="A252">
        <v>3</v>
      </c>
      <c r="D252" s="51" t="s">
        <v>33</v>
      </c>
      <c r="E252" s="51" t="s">
        <v>51</v>
      </c>
      <c r="G252" s="51" t="s">
        <v>35</v>
      </c>
      <c r="H252">
        <v>2</v>
      </c>
      <c r="I252" s="58">
        <v>1500</v>
      </c>
      <c r="J252" s="59">
        <v>3000</v>
      </c>
      <c r="K252">
        <v>1</v>
      </c>
      <c r="O252" s="52"/>
    </row>
    <row r="253" spans="1:15" x14ac:dyDescent="0.15">
      <c r="A253">
        <v>3</v>
      </c>
      <c r="D253" s="51" t="s">
        <v>36</v>
      </c>
      <c r="E253" s="51" t="s">
        <v>37</v>
      </c>
      <c r="G253" s="51" t="s">
        <v>35</v>
      </c>
      <c r="H253">
        <v>2</v>
      </c>
      <c r="I253" s="58">
        <v>10000</v>
      </c>
      <c r="J253" s="59">
        <v>20000</v>
      </c>
      <c r="K253">
        <v>1</v>
      </c>
      <c r="O253" s="52"/>
    </row>
    <row r="254" spans="1:15" x14ac:dyDescent="0.15">
      <c r="A254">
        <v>3</v>
      </c>
      <c r="D254" s="51" t="s">
        <v>36</v>
      </c>
      <c r="E254" s="51" t="s">
        <v>38</v>
      </c>
      <c r="G254" s="51" t="s">
        <v>35</v>
      </c>
      <c r="H254">
        <v>2</v>
      </c>
      <c r="I254" s="58">
        <v>7000</v>
      </c>
      <c r="J254" s="59">
        <v>14000</v>
      </c>
      <c r="K254">
        <v>1</v>
      </c>
      <c r="O254" s="52"/>
    </row>
    <row r="255" spans="1:15" x14ac:dyDescent="0.15">
      <c r="A255">
        <v>3</v>
      </c>
      <c r="D255" s="51" t="s">
        <v>39</v>
      </c>
      <c r="E255" s="51" t="s">
        <v>40</v>
      </c>
      <c r="G255" s="51" t="s">
        <v>41</v>
      </c>
      <c r="H255">
        <v>80</v>
      </c>
      <c r="I255" s="58">
        <v>150</v>
      </c>
      <c r="J255" s="59">
        <v>12000</v>
      </c>
      <c r="K255">
        <v>1</v>
      </c>
      <c r="O255" s="52"/>
    </row>
    <row r="256" spans="1:15" x14ac:dyDescent="0.15">
      <c r="A256">
        <v>3</v>
      </c>
      <c r="D256" s="51" t="s">
        <v>39</v>
      </c>
      <c r="E256" s="51" t="s">
        <v>52</v>
      </c>
      <c r="G256" s="51" t="s">
        <v>41</v>
      </c>
      <c r="H256">
        <v>80</v>
      </c>
      <c r="I256" s="58">
        <v>200</v>
      </c>
      <c r="J256" s="59">
        <v>16000</v>
      </c>
      <c r="K256">
        <v>1</v>
      </c>
      <c r="O256" s="52"/>
    </row>
    <row r="257" spans="1:15" x14ac:dyDescent="0.15">
      <c r="A257">
        <v>3</v>
      </c>
      <c r="D257" s="51" t="s">
        <v>39</v>
      </c>
      <c r="E257" s="51" t="s">
        <v>42</v>
      </c>
      <c r="G257" s="51" t="s">
        <v>19</v>
      </c>
      <c r="H257">
        <v>1</v>
      </c>
      <c r="I257" s="58">
        <v>960</v>
      </c>
      <c r="J257" s="59">
        <v>960</v>
      </c>
      <c r="K257">
        <v>1</v>
      </c>
      <c r="O257" s="52"/>
    </row>
    <row r="258" spans="1:15" x14ac:dyDescent="0.15">
      <c r="A258">
        <v>3</v>
      </c>
      <c r="D258" s="51" t="s">
        <v>23</v>
      </c>
      <c r="E258" s="51" t="s">
        <v>43</v>
      </c>
      <c r="G258" s="51" t="s">
        <v>19</v>
      </c>
      <c r="H258">
        <v>1</v>
      </c>
      <c r="I258" s="58">
        <v>25200</v>
      </c>
      <c r="J258" s="59">
        <v>25200</v>
      </c>
      <c r="K258">
        <v>1</v>
      </c>
      <c r="O258" s="52"/>
    </row>
    <row r="259" spans="1:15" x14ac:dyDescent="0.15">
      <c r="A259">
        <v>2</v>
      </c>
      <c r="D259" s="51" t="s">
        <v>20</v>
      </c>
      <c r="E259" s="51" t="s">
        <v>157</v>
      </c>
      <c r="G259" s="51" t="s">
        <v>63</v>
      </c>
      <c r="H259">
        <v>20.9</v>
      </c>
      <c r="I259" s="58">
        <v>17900</v>
      </c>
      <c r="J259" s="59">
        <v>374110</v>
      </c>
      <c r="K259">
        <v>20.9</v>
      </c>
      <c r="M259" s="51" t="s">
        <v>158</v>
      </c>
      <c r="O259" s="52"/>
    </row>
    <row r="260" spans="1:15" x14ac:dyDescent="0.15">
      <c r="A260">
        <v>3</v>
      </c>
      <c r="D260" s="51" t="s">
        <v>39</v>
      </c>
      <c r="E260" s="51" t="s">
        <v>159</v>
      </c>
      <c r="G260" s="51" t="s">
        <v>114</v>
      </c>
      <c r="H260">
        <v>6</v>
      </c>
      <c r="I260" s="58">
        <v>8100</v>
      </c>
      <c r="J260" s="59">
        <v>48600</v>
      </c>
      <c r="K260">
        <v>1</v>
      </c>
      <c r="O260" s="52"/>
    </row>
    <row r="261" spans="1:15" x14ac:dyDescent="0.15">
      <c r="A261">
        <v>3</v>
      </c>
      <c r="D261" s="51" t="s">
        <v>39</v>
      </c>
      <c r="E261" s="51" t="s">
        <v>55</v>
      </c>
      <c r="G261" s="51" t="s">
        <v>26</v>
      </c>
      <c r="H261">
        <v>10</v>
      </c>
      <c r="I261" s="58">
        <v>3000</v>
      </c>
      <c r="J261" s="59">
        <v>30000</v>
      </c>
      <c r="K261">
        <v>1</v>
      </c>
      <c r="O261" s="52"/>
    </row>
    <row r="262" spans="1:15" x14ac:dyDescent="0.15">
      <c r="A262">
        <v>3</v>
      </c>
      <c r="D262" s="51" t="s">
        <v>30</v>
      </c>
      <c r="E262" s="51" t="s">
        <v>31</v>
      </c>
      <c r="G262" s="51" t="s">
        <v>32</v>
      </c>
      <c r="H262">
        <v>6</v>
      </c>
      <c r="I262" s="58">
        <v>28000</v>
      </c>
      <c r="J262" s="59">
        <v>168000</v>
      </c>
      <c r="K262">
        <v>1</v>
      </c>
      <c r="O262" s="52"/>
    </row>
    <row r="263" spans="1:15" x14ac:dyDescent="0.15">
      <c r="A263">
        <v>3</v>
      </c>
      <c r="D263" s="51" t="s">
        <v>33</v>
      </c>
      <c r="E263" s="51" t="s">
        <v>76</v>
      </c>
      <c r="G263" s="51" t="s">
        <v>35</v>
      </c>
      <c r="H263">
        <v>2</v>
      </c>
      <c r="I263" s="58">
        <v>8000</v>
      </c>
      <c r="J263" s="59">
        <v>16000</v>
      </c>
      <c r="K263">
        <v>1</v>
      </c>
      <c r="O263" s="52"/>
    </row>
    <row r="264" spans="1:15" x14ac:dyDescent="0.15">
      <c r="A264">
        <v>3</v>
      </c>
      <c r="D264" s="51" t="s">
        <v>33</v>
      </c>
      <c r="E264" s="51" t="s">
        <v>50</v>
      </c>
      <c r="G264" s="51" t="s">
        <v>35</v>
      </c>
      <c r="H264">
        <v>2</v>
      </c>
      <c r="I264" s="58">
        <v>1500</v>
      </c>
      <c r="J264" s="59">
        <v>3000</v>
      </c>
      <c r="K264">
        <v>1</v>
      </c>
      <c r="O264" s="52"/>
    </row>
    <row r="265" spans="1:15" x14ac:dyDescent="0.15">
      <c r="A265">
        <v>3</v>
      </c>
      <c r="D265" s="51" t="s">
        <v>33</v>
      </c>
      <c r="E265" s="51" t="s">
        <v>51</v>
      </c>
      <c r="G265" s="51" t="s">
        <v>35</v>
      </c>
      <c r="H265">
        <v>2</v>
      </c>
      <c r="I265" s="58">
        <v>1500</v>
      </c>
      <c r="J265" s="59">
        <v>3000</v>
      </c>
      <c r="K265">
        <v>1</v>
      </c>
      <c r="O265" s="52"/>
    </row>
    <row r="266" spans="1:15" x14ac:dyDescent="0.15">
      <c r="A266">
        <v>3</v>
      </c>
      <c r="D266" s="51" t="s">
        <v>36</v>
      </c>
      <c r="E266" s="51" t="s">
        <v>37</v>
      </c>
      <c r="G266" s="51" t="s">
        <v>35</v>
      </c>
      <c r="H266">
        <v>2</v>
      </c>
      <c r="I266" s="58">
        <v>10000</v>
      </c>
      <c r="J266" s="59">
        <v>20000</v>
      </c>
      <c r="K266">
        <v>1</v>
      </c>
      <c r="O266" s="52"/>
    </row>
    <row r="267" spans="1:15" x14ac:dyDescent="0.15">
      <c r="A267">
        <v>3</v>
      </c>
      <c r="D267" s="51" t="s">
        <v>36</v>
      </c>
      <c r="E267" s="51" t="s">
        <v>38</v>
      </c>
      <c r="G267" s="51" t="s">
        <v>35</v>
      </c>
      <c r="H267">
        <v>2</v>
      </c>
      <c r="I267" s="58">
        <v>7000</v>
      </c>
      <c r="J267" s="59">
        <v>14000</v>
      </c>
      <c r="K267">
        <v>1</v>
      </c>
      <c r="O267" s="52"/>
    </row>
    <row r="268" spans="1:15" x14ac:dyDescent="0.15">
      <c r="A268">
        <v>3</v>
      </c>
      <c r="D268" s="51" t="s">
        <v>39</v>
      </c>
      <c r="E268" s="51" t="s">
        <v>40</v>
      </c>
      <c r="G268" s="51" t="s">
        <v>41</v>
      </c>
      <c r="H268">
        <v>80</v>
      </c>
      <c r="I268" s="58">
        <v>150</v>
      </c>
      <c r="J268" s="59">
        <v>12000</v>
      </c>
      <c r="K268">
        <v>1</v>
      </c>
      <c r="O268" s="52"/>
    </row>
    <row r="269" spans="1:15" x14ac:dyDescent="0.15">
      <c r="A269">
        <v>3</v>
      </c>
      <c r="D269" s="51" t="s">
        <v>39</v>
      </c>
      <c r="E269" s="51" t="s">
        <v>52</v>
      </c>
      <c r="G269" s="51" t="s">
        <v>41</v>
      </c>
      <c r="H269">
        <v>80</v>
      </c>
      <c r="I269" s="58">
        <v>200</v>
      </c>
      <c r="J269" s="59">
        <v>16000</v>
      </c>
      <c r="K269">
        <v>1</v>
      </c>
      <c r="O269" s="52"/>
    </row>
    <row r="270" spans="1:15" x14ac:dyDescent="0.15">
      <c r="A270">
        <v>3</v>
      </c>
      <c r="D270" s="51" t="s">
        <v>39</v>
      </c>
      <c r="E270" s="51" t="s">
        <v>42</v>
      </c>
      <c r="G270" s="51" t="s">
        <v>19</v>
      </c>
      <c r="H270">
        <v>1</v>
      </c>
      <c r="I270" s="58">
        <v>18310</v>
      </c>
      <c r="J270" s="59">
        <v>18310</v>
      </c>
      <c r="K270">
        <v>1</v>
      </c>
      <c r="O270" s="52"/>
    </row>
    <row r="271" spans="1:15" x14ac:dyDescent="0.15">
      <c r="A271">
        <v>3</v>
      </c>
      <c r="D271" s="51" t="s">
        <v>23</v>
      </c>
      <c r="E271" s="51" t="s">
        <v>43</v>
      </c>
      <c r="G271" s="51" t="s">
        <v>19</v>
      </c>
      <c r="H271">
        <v>1</v>
      </c>
      <c r="I271" s="58">
        <v>25200</v>
      </c>
      <c r="J271" s="59">
        <v>25200</v>
      </c>
      <c r="K271">
        <v>1</v>
      </c>
      <c r="O271" s="52"/>
    </row>
    <row r="272" spans="1:15" x14ac:dyDescent="0.15">
      <c r="A272">
        <v>2</v>
      </c>
      <c r="D272" s="51" t="s">
        <v>20</v>
      </c>
      <c r="E272" s="51" t="s">
        <v>160</v>
      </c>
      <c r="G272" s="51" t="s">
        <v>63</v>
      </c>
      <c r="H272">
        <v>24.8</v>
      </c>
      <c r="I272" s="58">
        <v>23000</v>
      </c>
      <c r="J272" s="59">
        <v>570400</v>
      </c>
      <c r="K272">
        <v>24.8</v>
      </c>
      <c r="M272" s="51" t="s">
        <v>161</v>
      </c>
      <c r="O272" s="52"/>
    </row>
    <row r="273" spans="1:15" x14ac:dyDescent="0.15">
      <c r="A273">
        <v>3</v>
      </c>
      <c r="D273" s="51" t="s">
        <v>39</v>
      </c>
      <c r="E273" s="51" t="s">
        <v>162</v>
      </c>
      <c r="G273" s="51" t="s">
        <v>114</v>
      </c>
      <c r="H273">
        <v>7</v>
      </c>
      <c r="I273" s="58">
        <v>13600</v>
      </c>
      <c r="J273" s="59">
        <v>95200</v>
      </c>
      <c r="K273">
        <v>1</v>
      </c>
      <c r="O273" s="52"/>
    </row>
    <row r="274" spans="1:15" x14ac:dyDescent="0.15">
      <c r="A274">
        <v>3</v>
      </c>
      <c r="D274" s="51" t="s">
        <v>39</v>
      </c>
      <c r="E274" s="51" t="s">
        <v>55</v>
      </c>
      <c r="G274" s="51" t="s">
        <v>26</v>
      </c>
      <c r="H274">
        <v>10</v>
      </c>
      <c r="I274" s="58">
        <v>3000</v>
      </c>
      <c r="J274" s="59">
        <v>30000</v>
      </c>
      <c r="K274">
        <v>1</v>
      </c>
      <c r="O274" s="52"/>
    </row>
    <row r="275" spans="1:15" x14ac:dyDescent="0.15">
      <c r="A275">
        <v>3</v>
      </c>
      <c r="D275" s="51" t="s">
        <v>30</v>
      </c>
      <c r="E275" s="51" t="s">
        <v>31</v>
      </c>
      <c r="G275" s="51" t="s">
        <v>32</v>
      </c>
      <c r="H275">
        <v>9</v>
      </c>
      <c r="I275" s="58">
        <v>28000</v>
      </c>
      <c r="J275" s="59">
        <v>252000</v>
      </c>
      <c r="K275">
        <v>1</v>
      </c>
      <c r="O275" s="52"/>
    </row>
    <row r="276" spans="1:15" x14ac:dyDescent="0.15">
      <c r="A276">
        <v>3</v>
      </c>
      <c r="D276" s="51" t="s">
        <v>33</v>
      </c>
      <c r="E276" s="51" t="s">
        <v>76</v>
      </c>
      <c r="G276" s="51" t="s">
        <v>35</v>
      </c>
      <c r="H276">
        <v>3</v>
      </c>
      <c r="I276" s="58">
        <v>8000</v>
      </c>
      <c r="J276" s="59">
        <v>24000</v>
      </c>
      <c r="K276">
        <v>1</v>
      </c>
      <c r="O276" s="52"/>
    </row>
    <row r="277" spans="1:15" x14ac:dyDescent="0.15">
      <c r="A277">
        <v>3</v>
      </c>
      <c r="D277" s="51" t="s">
        <v>33</v>
      </c>
      <c r="E277" s="51" t="s">
        <v>50</v>
      </c>
      <c r="G277" s="51" t="s">
        <v>35</v>
      </c>
      <c r="H277">
        <v>3</v>
      </c>
      <c r="I277" s="58">
        <v>1500</v>
      </c>
      <c r="J277" s="59">
        <v>4500</v>
      </c>
      <c r="K277">
        <v>1</v>
      </c>
      <c r="O277" s="52"/>
    </row>
    <row r="278" spans="1:15" x14ac:dyDescent="0.15">
      <c r="A278">
        <v>3</v>
      </c>
      <c r="D278" s="51" t="s">
        <v>33</v>
      </c>
      <c r="E278" s="51" t="s">
        <v>51</v>
      </c>
      <c r="G278" s="51" t="s">
        <v>35</v>
      </c>
      <c r="H278">
        <v>3</v>
      </c>
      <c r="I278" s="58">
        <v>1500</v>
      </c>
      <c r="J278" s="59">
        <v>4500</v>
      </c>
      <c r="K278">
        <v>1</v>
      </c>
      <c r="O278" s="52"/>
    </row>
    <row r="279" spans="1:15" x14ac:dyDescent="0.15">
      <c r="A279">
        <v>3</v>
      </c>
      <c r="D279" s="51" t="s">
        <v>36</v>
      </c>
      <c r="E279" s="51" t="s">
        <v>37</v>
      </c>
      <c r="G279" s="51" t="s">
        <v>35</v>
      </c>
      <c r="H279">
        <v>3</v>
      </c>
      <c r="I279" s="58">
        <v>10000</v>
      </c>
      <c r="J279" s="59">
        <v>30000</v>
      </c>
      <c r="K279">
        <v>1</v>
      </c>
      <c r="O279" s="52"/>
    </row>
    <row r="280" spans="1:15" x14ac:dyDescent="0.15">
      <c r="A280">
        <v>3</v>
      </c>
      <c r="D280" s="51" t="s">
        <v>36</v>
      </c>
      <c r="E280" s="51" t="s">
        <v>38</v>
      </c>
      <c r="G280" s="51" t="s">
        <v>35</v>
      </c>
      <c r="H280">
        <v>3</v>
      </c>
      <c r="I280" s="58">
        <v>7000</v>
      </c>
      <c r="J280" s="59">
        <v>21000</v>
      </c>
      <c r="K280">
        <v>1</v>
      </c>
      <c r="O280" s="52"/>
    </row>
    <row r="281" spans="1:15" x14ac:dyDescent="0.15">
      <c r="A281">
        <v>3</v>
      </c>
      <c r="D281" s="51" t="s">
        <v>39</v>
      </c>
      <c r="E281" s="51" t="s">
        <v>40</v>
      </c>
      <c r="G281" s="51" t="s">
        <v>41</v>
      </c>
      <c r="H281">
        <v>120</v>
      </c>
      <c r="I281" s="58">
        <v>150</v>
      </c>
      <c r="J281" s="59">
        <v>18000</v>
      </c>
      <c r="K281">
        <v>1</v>
      </c>
      <c r="O281" s="52"/>
    </row>
    <row r="282" spans="1:15" x14ac:dyDescent="0.15">
      <c r="A282">
        <v>3</v>
      </c>
      <c r="D282" s="51" t="s">
        <v>39</v>
      </c>
      <c r="E282" s="51" t="s">
        <v>52</v>
      </c>
      <c r="G282" s="51" t="s">
        <v>41</v>
      </c>
      <c r="H282">
        <v>120</v>
      </c>
      <c r="I282" s="58">
        <v>200</v>
      </c>
      <c r="J282" s="59">
        <v>24000</v>
      </c>
      <c r="K282">
        <v>1</v>
      </c>
      <c r="O282" s="52"/>
    </row>
    <row r="283" spans="1:15" x14ac:dyDescent="0.15">
      <c r="A283">
        <v>3</v>
      </c>
      <c r="D283" s="51" t="s">
        <v>39</v>
      </c>
      <c r="E283" s="51" t="s">
        <v>42</v>
      </c>
      <c r="G283" s="51" t="s">
        <v>19</v>
      </c>
      <c r="H283">
        <v>1</v>
      </c>
      <c r="I283" s="58">
        <v>29400</v>
      </c>
      <c r="J283" s="59">
        <v>29400</v>
      </c>
      <c r="K283">
        <v>1</v>
      </c>
      <c r="O283" s="52"/>
    </row>
    <row r="284" spans="1:15" x14ac:dyDescent="0.15">
      <c r="A284">
        <v>3</v>
      </c>
      <c r="D284" s="51" t="s">
        <v>23</v>
      </c>
      <c r="E284" s="51" t="s">
        <v>43</v>
      </c>
      <c r="G284" s="51" t="s">
        <v>19</v>
      </c>
      <c r="H284">
        <v>1</v>
      </c>
      <c r="I284" s="58">
        <v>37800</v>
      </c>
      <c r="J284" s="59">
        <v>37800</v>
      </c>
      <c r="K284">
        <v>1</v>
      </c>
      <c r="O284" s="52"/>
    </row>
    <row r="285" spans="1:15" x14ac:dyDescent="0.15">
      <c r="A285">
        <v>2</v>
      </c>
      <c r="D285" s="51" t="s">
        <v>20</v>
      </c>
      <c r="E285" s="51" t="s">
        <v>163</v>
      </c>
      <c r="G285" s="51" t="s">
        <v>63</v>
      </c>
      <c r="H285">
        <v>9.3000000000000007</v>
      </c>
      <c r="I285" s="58">
        <v>39600</v>
      </c>
      <c r="J285" s="59">
        <v>368280</v>
      </c>
      <c r="K285">
        <v>9.3000000000000007</v>
      </c>
      <c r="M285" s="51" t="s">
        <v>164</v>
      </c>
      <c r="O285" s="52"/>
    </row>
    <row r="286" spans="1:15" x14ac:dyDescent="0.15">
      <c r="A286">
        <v>3</v>
      </c>
      <c r="D286" s="51" t="s">
        <v>39</v>
      </c>
      <c r="E286" s="51" t="s">
        <v>163</v>
      </c>
      <c r="G286" s="51" t="s">
        <v>114</v>
      </c>
      <c r="H286">
        <v>5</v>
      </c>
      <c r="I286" s="58">
        <v>13900</v>
      </c>
      <c r="J286" s="59">
        <v>69500</v>
      </c>
      <c r="K286">
        <v>1</v>
      </c>
      <c r="O286" s="52"/>
    </row>
    <row r="287" spans="1:15" x14ac:dyDescent="0.15">
      <c r="A287">
        <v>3</v>
      </c>
      <c r="D287" s="51" t="s">
        <v>39</v>
      </c>
      <c r="E287" s="51" t="s">
        <v>75</v>
      </c>
      <c r="G287" s="51" t="s">
        <v>26</v>
      </c>
      <c r="H287">
        <v>1</v>
      </c>
      <c r="I287" s="58">
        <v>30000</v>
      </c>
      <c r="J287" s="59">
        <v>30000</v>
      </c>
      <c r="K287">
        <v>1</v>
      </c>
      <c r="O287" s="52"/>
    </row>
    <row r="288" spans="1:15" x14ac:dyDescent="0.15">
      <c r="A288">
        <v>3</v>
      </c>
      <c r="D288" s="51" t="s">
        <v>30</v>
      </c>
      <c r="E288" s="51" t="s">
        <v>31</v>
      </c>
      <c r="G288" s="51" t="s">
        <v>32</v>
      </c>
      <c r="H288">
        <v>5</v>
      </c>
      <c r="I288" s="58">
        <v>28000</v>
      </c>
      <c r="J288" s="59">
        <v>140000</v>
      </c>
      <c r="K288">
        <v>1</v>
      </c>
      <c r="O288" s="52"/>
    </row>
    <row r="289" spans="1:15" x14ac:dyDescent="0.15">
      <c r="A289">
        <v>3</v>
      </c>
      <c r="D289" s="51" t="s">
        <v>33</v>
      </c>
      <c r="E289" s="51" t="s">
        <v>76</v>
      </c>
      <c r="G289" s="51" t="s">
        <v>35</v>
      </c>
      <c r="H289">
        <v>1</v>
      </c>
      <c r="I289" s="58">
        <v>8000</v>
      </c>
      <c r="J289" s="59">
        <v>8000</v>
      </c>
      <c r="K289">
        <v>1</v>
      </c>
      <c r="O289" s="52"/>
    </row>
    <row r="290" spans="1:15" x14ac:dyDescent="0.15">
      <c r="A290">
        <v>3</v>
      </c>
      <c r="D290" s="51" t="s">
        <v>33</v>
      </c>
      <c r="E290" s="51" t="s">
        <v>50</v>
      </c>
      <c r="G290" s="51" t="s">
        <v>35</v>
      </c>
      <c r="H290">
        <v>1</v>
      </c>
      <c r="I290" s="58">
        <v>1500</v>
      </c>
      <c r="J290" s="59">
        <v>1500</v>
      </c>
      <c r="K290">
        <v>1</v>
      </c>
      <c r="O290" s="52"/>
    </row>
    <row r="291" spans="1:15" x14ac:dyDescent="0.15">
      <c r="A291">
        <v>3</v>
      </c>
      <c r="D291" s="51" t="s">
        <v>33</v>
      </c>
      <c r="E291" s="51" t="s">
        <v>51</v>
      </c>
      <c r="G291" s="51" t="s">
        <v>35</v>
      </c>
      <c r="H291">
        <v>1</v>
      </c>
      <c r="I291" s="58">
        <v>1500</v>
      </c>
      <c r="J291" s="59">
        <v>1500</v>
      </c>
      <c r="K291">
        <v>1</v>
      </c>
      <c r="O291" s="52"/>
    </row>
    <row r="292" spans="1:15" x14ac:dyDescent="0.15">
      <c r="A292">
        <v>3</v>
      </c>
      <c r="D292" s="51" t="s">
        <v>36</v>
      </c>
      <c r="E292" s="51" t="s">
        <v>37</v>
      </c>
      <c r="G292" s="51" t="s">
        <v>35</v>
      </c>
      <c r="H292">
        <v>1</v>
      </c>
      <c r="I292" s="58">
        <v>10000</v>
      </c>
      <c r="J292" s="59">
        <v>10000</v>
      </c>
      <c r="K292">
        <v>1</v>
      </c>
      <c r="O292" s="52"/>
    </row>
    <row r="293" spans="1:15" x14ac:dyDescent="0.15">
      <c r="A293">
        <v>3</v>
      </c>
      <c r="D293" s="51" t="s">
        <v>36</v>
      </c>
      <c r="E293" s="51" t="s">
        <v>38</v>
      </c>
      <c r="G293" s="51" t="s">
        <v>35</v>
      </c>
      <c r="H293">
        <v>1</v>
      </c>
      <c r="I293" s="58">
        <v>7000</v>
      </c>
      <c r="J293" s="59">
        <v>7000</v>
      </c>
      <c r="K293">
        <v>1</v>
      </c>
      <c r="O293" s="52"/>
    </row>
    <row r="294" spans="1:15" x14ac:dyDescent="0.15">
      <c r="A294">
        <v>3</v>
      </c>
      <c r="D294" s="51" t="s">
        <v>39</v>
      </c>
      <c r="E294" s="51" t="s">
        <v>40</v>
      </c>
      <c r="G294" s="51" t="s">
        <v>41</v>
      </c>
      <c r="H294">
        <v>40</v>
      </c>
      <c r="I294" s="58">
        <v>150</v>
      </c>
      <c r="J294" s="59">
        <v>6000</v>
      </c>
      <c r="K294">
        <v>1</v>
      </c>
      <c r="O294" s="52"/>
    </row>
    <row r="295" spans="1:15" x14ac:dyDescent="0.15">
      <c r="A295">
        <v>3</v>
      </c>
      <c r="D295" s="51" t="s">
        <v>39</v>
      </c>
      <c r="E295" s="51" t="s">
        <v>52</v>
      </c>
      <c r="G295" s="51" t="s">
        <v>41</v>
      </c>
      <c r="H295">
        <v>40</v>
      </c>
      <c r="I295" s="58">
        <v>200</v>
      </c>
      <c r="J295" s="59">
        <v>8000</v>
      </c>
      <c r="K295">
        <v>1</v>
      </c>
      <c r="O295" s="52"/>
    </row>
    <row r="296" spans="1:15" x14ac:dyDescent="0.15">
      <c r="A296">
        <v>3</v>
      </c>
      <c r="D296" s="51" t="s">
        <v>39</v>
      </c>
      <c r="E296" s="51" t="s">
        <v>42</v>
      </c>
      <c r="G296" s="51" t="s">
        <v>19</v>
      </c>
      <c r="H296">
        <v>1</v>
      </c>
      <c r="I296" s="58">
        <v>68580</v>
      </c>
      <c r="J296" s="59">
        <v>68580</v>
      </c>
      <c r="K296">
        <v>1</v>
      </c>
      <c r="O296" s="52"/>
    </row>
    <row r="297" spans="1:15" x14ac:dyDescent="0.15">
      <c r="A297">
        <v>3</v>
      </c>
      <c r="D297" s="51" t="s">
        <v>23</v>
      </c>
      <c r="E297" s="51" t="s">
        <v>43</v>
      </c>
      <c r="G297" s="51" t="s">
        <v>19</v>
      </c>
      <c r="H297">
        <v>1</v>
      </c>
      <c r="I297" s="58">
        <v>18200</v>
      </c>
      <c r="J297" s="59">
        <v>18200</v>
      </c>
      <c r="K297">
        <v>1</v>
      </c>
      <c r="O297" s="52"/>
    </row>
    <row r="298" spans="1:15" x14ac:dyDescent="0.15">
      <c r="A298">
        <v>2</v>
      </c>
      <c r="D298" s="51" t="s">
        <v>20</v>
      </c>
      <c r="E298" s="51" t="s">
        <v>165</v>
      </c>
      <c r="G298" s="51" t="s">
        <v>63</v>
      </c>
      <c r="H298">
        <v>7.6</v>
      </c>
      <c r="I298" s="58">
        <v>47900</v>
      </c>
      <c r="J298" s="59">
        <v>364040</v>
      </c>
      <c r="K298">
        <v>7.6</v>
      </c>
      <c r="M298" s="51" t="s">
        <v>166</v>
      </c>
      <c r="O298" s="52"/>
    </row>
    <row r="299" spans="1:15" x14ac:dyDescent="0.15">
      <c r="A299">
        <v>3</v>
      </c>
      <c r="D299" s="51" t="s">
        <v>39</v>
      </c>
      <c r="E299" s="51" t="s">
        <v>165</v>
      </c>
      <c r="G299" s="51" t="s">
        <v>114</v>
      </c>
      <c r="H299">
        <v>4</v>
      </c>
      <c r="I299" s="58">
        <v>16000</v>
      </c>
      <c r="J299" s="59">
        <v>64000</v>
      </c>
      <c r="K299">
        <v>1</v>
      </c>
      <c r="O299" s="52"/>
    </row>
    <row r="300" spans="1:15" x14ac:dyDescent="0.15">
      <c r="A300">
        <v>3</v>
      </c>
      <c r="D300" s="51" t="s">
        <v>39</v>
      </c>
      <c r="E300" s="51" t="s">
        <v>75</v>
      </c>
      <c r="G300" s="51" t="s">
        <v>26</v>
      </c>
      <c r="H300">
        <v>1</v>
      </c>
      <c r="I300" s="58">
        <v>30000</v>
      </c>
      <c r="J300" s="59">
        <v>30000</v>
      </c>
      <c r="K300">
        <v>1</v>
      </c>
      <c r="O300" s="52"/>
    </row>
    <row r="301" spans="1:15" x14ac:dyDescent="0.15">
      <c r="A301">
        <v>3</v>
      </c>
      <c r="D301" s="51" t="s">
        <v>30</v>
      </c>
      <c r="E301" s="51" t="s">
        <v>31</v>
      </c>
      <c r="G301" s="51" t="s">
        <v>32</v>
      </c>
      <c r="H301">
        <v>5</v>
      </c>
      <c r="I301" s="58">
        <v>28000</v>
      </c>
      <c r="J301" s="59">
        <v>140000</v>
      </c>
      <c r="K301">
        <v>1</v>
      </c>
      <c r="O301" s="52"/>
    </row>
    <row r="302" spans="1:15" x14ac:dyDescent="0.15">
      <c r="A302">
        <v>3</v>
      </c>
      <c r="D302" s="51" t="s">
        <v>33</v>
      </c>
      <c r="E302" s="51" t="s">
        <v>76</v>
      </c>
      <c r="G302" s="51" t="s">
        <v>35</v>
      </c>
      <c r="H302">
        <v>1</v>
      </c>
      <c r="I302" s="58">
        <v>8000</v>
      </c>
      <c r="J302" s="59">
        <v>8000</v>
      </c>
      <c r="K302">
        <v>1</v>
      </c>
      <c r="O302" s="52"/>
    </row>
    <row r="303" spans="1:15" x14ac:dyDescent="0.15">
      <c r="A303">
        <v>3</v>
      </c>
      <c r="D303" s="51" t="s">
        <v>33</v>
      </c>
      <c r="E303" s="51" t="s">
        <v>50</v>
      </c>
      <c r="G303" s="51" t="s">
        <v>35</v>
      </c>
      <c r="H303">
        <v>1</v>
      </c>
      <c r="I303" s="58">
        <v>1500</v>
      </c>
      <c r="J303" s="59">
        <v>1500</v>
      </c>
      <c r="K303">
        <v>1</v>
      </c>
      <c r="O303" s="52"/>
    </row>
    <row r="304" spans="1:15" x14ac:dyDescent="0.15">
      <c r="A304">
        <v>3</v>
      </c>
      <c r="D304" s="51" t="s">
        <v>33</v>
      </c>
      <c r="E304" s="51" t="s">
        <v>51</v>
      </c>
      <c r="G304" s="51" t="s">
        <v>35</v>
      </c>
      <c r="H304">
        <v>1</v>
      </c>
      <c r="I304" s="58">
        <v>1500</v>
      </c>
      <c r="J304" s="59">
        <v>1500</v>
      </c>
      <c r="K304">
        <v>1</v>
      </c>
      <c r="O304" s="52"/>
    </row>
    <row r="305" spans="1:15" x14ac:dyDescent="0.15">
      <c r="A305">
        <v>3</v>
      </c>
      <c r="D305" s="51" t="s">
        <v>36</v>
      </c>
      <c r="E305" s="51" t="s">
        <v>37</v>
      </c>
      <c r="G305" s="51" t="s">
        <v>35</v>
      </c>
      <c r="H305">
        <v>1</v>
      </c>
      <c r="I305" s="58">
        <v>10000</v>
      </c>
      <c r="J305" s="59">
        <v>10000</v>
      </c>
      <c r="K305">
        <v>1</v>
      </c>
      <c r="O305" s="52"/>
    </row>
    <row r="306" spans="1:15" x14ac:dyDescent="0.15">
      <c r="A306">
        <v>3</v>
      </c>
      <c r="D306" s="51" t="s">
        <v>36</v>
      </c>
      <c r="E306" s="51" t="s">
        <v>38</v>
      </c>
      <c r="G306" s="51" t="s">
        <v>35</v>
      </c>
      <c r="H306">
        <v>1</v>
      </c>
      <c r="I306" s="58">
        <v>7000</v>
      </c>
      <c r="J306" s="59">
        <v>7000</v>
      </c>
      <c r="K306">
        <v>1</v>
      </c>
      <c r="O306" s="52"/>
    </row>
    <row r="307" spans="1:15" x14ac:dyDescent="0.15">
      <c r="A307">
        <v>3</v>
      </c>
      <c r="D307" s="51" t="s">
        <v>39</v>
      </c>
      <c r="E307" s="51" t="s">
        <v>40</v>
      </c>
      <c r="G307" s="51" t="s">
        <v>41</v>
      </c>
      <c r="H307">
        <v>40</v>
      </c>
      <c r="I307" s="58">
        <v>150</v>
      </c>
      <c r="J307" s="59">
        <v>6000</v>
      </c>
      <c r="K307">
        <v>1</v>
      </c>
      <c r="O307" s="52"/>
    </row>
    <row r="308" spans="1:15" x14ac:dyDescent="0.15">
      <c r="A308">
        <v>3</v>
      </c>
      <c r="D308" s="51" t="s">
        <v>39</v>
      </c>
      <c r="E308" s="51" t="s">
        <v>52</v>
      </c>
      <c r="G308" s="51" t="s">
        <v>41</v>
      </c>
      <c r="H308">
        <v>40</v>
      </c>
      <c r="I308" s="58">
        <v>200</v>
      </c>
      <c r="J308" s="59">
        <v>8000</v>
      </c>
      <c r="K308">
        <v>1</v>
      </c>
      <c r="O308" s="52"/>
    </row>
    <row r="309" spans="1:15" x14ac:dyDescent="0.15">
      <c r="A309">
        <v>3</v>
      </c>
      <c r="D309" s="51" t="s">
        <v>39</v>
      </c>
      <c r="E309" s="51" t="s">
        <v>42</v>
      </c>
      <c r="G309" s="51" t="s">
        <v>19</v>
      </c>
      <c r="H309">
        <v>1</v>
      </c>
      <c r="I309" s="58">
        <v>69840</v>
      </c>
      <c r="J309" s="59">
        <v>69840</v>
      </c>
      <c r="K309">
        <v>1</v>
      </c>
      <c r="O309" s="52"/>
    </row>
    <row r="310" spans="1:15" x14ac:dyDescent="0.15">
      <c r="A310">
        <v>3</v>
      </c>
      <c r="D310" s="51" t="s">
        <v>23</v>
      </c>
      <c r="E310" s="51" t="s">
        <v>43</v>
      </c>
      <c r="G310" s="51" t="s">
        <v>19</v>
      </c>
      <c r="H310">
        <v>1</v>
      </c>
      <c r="I310" s="58">
        <v>18200</v>
      </c>
      <c r="J310" s="59">
        <v>18200</v>
      </c>
      <c r="K310">
        <v>1</v>
      </c>
      <c r="O310" s="52"/>
    </row>
    <row r="311" spans="1:15" x14ac:dyDescent="0.15">
      <c r="A311">
        <v>2</v>
      </c>
      <c r="D311" s="51" t="s">
        <v>20</v>
      </c>
      <c r="E311" s="51" t="s">
        <v>167</v>
      </c>
      <c r="G311" s="51" t="s">
        <v>63</v>
      </c>
      <c r="H311">
        <v>3.5</v>
      </c>
      <c r="I311" s="58">
        <v>17000</v>
      </c>
      <c r="J311" s="59">
        <v>59500</v>
      </c>
      <c r="K311">
        <v>3.5</v>
      </c>
      <c r="M311" s="51" t="s">
        <v>168</v>
      </c>
      <c r="O311" s="52"/>
    </row>
    <row r="312" spans="1:15" x14ac:dyDescent="0.15">
      <c r="A312">
        <v>3</v>
      </c>
      <c r="D312" s="51" t="s">
        <v>39</v>
      </c>
      <c r="E312" s="51" t="s">
        <v>167</v>
      </c>
      <c r="G312" s="51" t="s">
        <v>114</v>
      </c>
      <c r="H312">
        <v>1</v>
      </c>
      <c r="I312" s="58">
        <v>12800</v>
      </c>
      <c r="J312" s="59">
        <v>12800</v>
      </c>
      <c r="K312">
        <v>1</v>
      </c>
      <c r="O312" s="52"/>
    </row>
    <row r="313" spans="1:15" x14ac:dyDescent="0.15">
      <c r="A313">
        <v>3</v>
      </c>
      <c r="D313" s="51" t="s">
        <v>39</v>
      </c>
      <c r="E313" s="51" t="s">
        <v>55</v>
      </c>
      <c r="G313" s="51" t="s">
        <v>26</v>
      </c>
      <c r="H313">
        <v>1</v>
      </c>
      <c r="I313" s="58">
        <v>3000</v>
      </c>
      <c r="J313" s="59">
        <v>3000</v>
      </c>
      <c r="K313">
        <v>1</v>
      </c>
      <c r="O313" s="52"/>
    </row>
    <row r="314" spans="1:15" x14ac:dyDescent="0.15">
      <c r="A314">
        <v>3</v>
      </c>
      <c r="D314" s="51" t="s">
        <v>30</v>
      </c>
      <c r="E314" s="51" t="s">
        <v>31</v>
      </c>
      <c r="G314" s="51" t="s">
        <v>32</v>
      </c>
      <c r="H314">
        <v>0.5</v>
      </c>
      <c r="I314" s="58">
        <v>28000</v>
      </c>
      <c r="J314" s="59">
        <v>14000</v>
      </c>
      <c r="K314">
        <v>1</v>
      </c>
      <c r="O314" s="52"/>
    </row>
    <row r="315" spans="1:15" x14ac:dyDescent="0.15">
      <c r="A315">
        <v>3</v>
      </c>
      <c r="D315" s="51" t="s">
        <v>33</v>
      </c>
      <c r="E315" s="51" t="s">
        <v>76</v>
      </c>
      <c r="G315" s="51" t="s">
        <v>35</v>
      </c>
      <c r="H315">
        <v>0.5</v>
      </c>
      <c r="I315" s="58">
        <v>8000</v>
      </c>
      <c r="J315" s="59">
        <v>4000</v>
      </c>
      <c r="K315">
        <v>1</v>
      </c>
      <c r="O315" s="52"/>
    </row>
    <row r="316" spans="1:15" x14ac:dyDescent="0.15">
      <c r="A316">
        <v>3</v>
      </c>
      <c r="D316" s="51" t="s">
        <v>33</v>
      </c>
      <c r="E316" s="51" t="s">
        <v>50</v>
      </c>
      <c r="G316" s="51" t="s">
        <v>35</v>
      </c>
      <c r="H316">
        <v>0.5</v>
      </c>
      <c r="I316" s="58">
        <v>1500</v>
      </c>
      <c r="J316" s="59">
        <v>750</v>
      </c>
      <c r="K316">
        <v>1</v>
      </c>
      <c r="O316" s="52"/>
    </row>
    <row r="317" spans="1:15" x14ac:dyDescent="0.15">
      <c r="A317">
        <v>3</v>
      </c>
      <c r="D317" s="51" t="s">
        <v>33</v>
      </c>
      <c r="E317" s="51" t="s">
        <v>51</v>
      </c>
      <c r="G317" s="51" t="s">
        <v>35</v>
      </c>
      <c r="H317">
        <v>0.5</v>
      </c>
      <c r="I317" s="58">
        <v>1500</v>
      </c>
      <c r="J317" s="59">
        <v>750</v>
      </c>
      <c r="K317">
        <v>1</v>
      </c>
      <c r="O317" s="52"/>
    </row>
    <row r="318" spans="1:15" x14ac:dyDescent="0.15">
      <c r="A318">
        <v>3</v>
      </c>
      <c r="D318" s="51" t="s">
        <v>36</v>
      </c>
      <c r="E318" s="51" t="s">
        <v>37</v>
      </c>
      <c r="G318" s="51" t="s">
        <v>35</v>
      </c>
      <c r="H318">
        <v>0.5</v>
      </c>
      <c r="I318" s="58">
        <v>10000</v>
      </c>
      <c r="J318" s="59">
        <v>5000</v>
      </c>
      <c r="K318">
        <v>1</v>
      </c>
      <c r="O318" s="52"/>
    </row>
    <row r="319" spans="1:15" x14ac:dyDescent="0.15">
      <c r="A319">
        <v>3</v>
      </c>
      <c r="D319" s="51" t="s">
        <v>36</v>
      </c>
      <c r="E319" s="51" t="s">
        <v>38</v>
      </c>
      <c r="G319" s="51" t="s">
        <v>35</v>
      </c>
      <c r="H319">
        <v>0.5</v>
      </c>
      <c r="I319" s="58">
        <v>7000</v>
      </c>
      <c r="J319" s="59">
        <v>3500</v>
      </c>
      <c r="K319">
        <v>1</v>
      </c>
      <c r="O319" s="52"/>
    </row>
    <row r="320" spans="1:15" x14ac:dyDescent="0.15">
      <c r="A320">
        <v>3</v>
      </c>
      <c r="D320" s="51" t="s">
        <v>39</v>
      </c>
      <c r="E320" s="51" t="s">
        <v>40</v>
      </c>
      <c r="G320" s="51" t="s">
        <v>41</v>
      </c>
      <c r="H320">
        <v>20</v>
      </c>
      <c r="I320" s="58">
        <v>150</v>
      </c>
      <c r="J320" s="59">
        <v>3000</v>
      </c>
      <c r="K320">
        <v>1</v>
      </c>
      <c r="O320" s="52"/>
    </row>
    <row r="321" spans="1:15" x14ac:dyDescent="0.15">
      <c r="A321">
        <v>3</v>
      </c>
      <c r="D321" s="51" t="s">
        <v>39</v>
      </c>
      <c r="E321" s="51" t="s">
        <v>52</v>
      </c>
      <c r="G321" s="51" t="s">
        <v>41</v>
      </c>
      <c r="H321">
        <v>20</v>
      </c>
      <c r="I321" s="58">
        <v>200</v>
      </c>
      <c r="J321" s="59">
        <v>4000</v>
      </c>
      <c r="K321">
        <v>1</v>
      </c>
      <c r="O321" s="52"/>
    </row>
    <row r="322" spans="1:15" x14ac:dyDescent="0.15">
      <c r="A322">
        <v>3</v>
      </c>
      <c r="D322" s="51" t="s">
        <v>39</v>
      </c>
      <c r="E322" s="51" t="s">
        <v>42</v>
      </c>
      <c r="G322" s="51" t="s">
        <v>19</v>
      </c>
      <c r="H322">
        <v>1</v>
      </c>
      <c r="I322" s="58">
        <v>3800</v>
      </c>
      <c r="J322" s="59">
        <v>3800</v>
      </c>
      <c r="K322">
        <v>1</v>
      </c>
      <c r="O322" s="52"/>
    </row>
    <row r="323" spans="1:15" x14ac:dyDescent="0.15">
      <c r="A323">
        <v>3</v>
      </c>
      <c r="D323" s="51" t="s">
        <v>23</v>
      </c>
      <c r="E323" s="51" t="s">
        <v>43</v>
      </c>
      <c r="G323" s="51" t="s">
        <v>19</v>
      </c>
      <c r="H323">
        <v>1</v>
      </c>
      <c r="I323" s="58">
        <v>4900</v>
      </c>
      <c r="J323" s="59">
        <v>4900</v>
      </c>
      <c r="K323">
        <v>1</v>
      </c>
      <c r="O323" s="52"/>
    </row>
    <row r="324" spans="1:15" x14ac:dyDescent="0.15">
      <c r="A324">
        <v>2</v>
      </c>
      <c r="D324" s="51" t="s">
        <v>20</v>
      </c>
      <c r="E324" s="51" t="s">
        <v>169</v>
      </c>
      <c r="G324" s="51" t="s">
        <v>63</v>
      </c>
      <c r="H324">
        <v>0.5</v>
      </c>
      <c r="I324" s="58">
        <v>123000</v>
      </c>
      <c r="J324" s="59">
        <v>61500</v>
      </c>
      <c r="K324">
        <v>0.5</v>
      </c>
      <c r="M324" s="51" t="s">
        <v>170</v>
      </c>
      <c r="O324" s="52"/>
    </row>
    <row r="325" spans="1:15" x14ac:dyDescent="0.15">
      <c r="A325">
        <v>3</v>
      </c>
      <c r="D325" s="51" t="s">
        <v>39</v>
      </c>
      <c r="E325" s="51" t="s">
        <v>169</v>
      </c>
      <c r="G325" s="51" t="s">
        <v>114</v>
      </c>
      <c r="H325">
        <v>1</v>
      </c>
      <c r="I325" s="58">
        <v>18000</v>
      </c>
      <c r="J325" s="59">
        <v>18000</v>
      </c>
      <c r="K325">
        <v>1</v>
      </c>
      <c r="O325" s="52"/>
    </row>
    <row r="326" spans="1:15" x14ac:dyDescent="0.15">
      <c r="A326">
        <v>3</v>
      </c>
      <c r="D326" s="51" t="s">
        <v>39</v>
      </c>
      <c r="E326" s="51" t="s">
        <v>55</v>
      </c>
      <c r="G326" s="51" t="s">
        <v>26</v>
      </c>
      <c r="H326">
        <v>0.5</v>
      </c>
      <c r="I326" s="58">
        <v>3000</v>
      </c>
      <c r="J326" s="59">
        <v>1500</v>
      </c>
      <c r="K326">
        <v>1</v>
      </c>
      <c r="O326" s="52"/>
    </row>
    <row r="327" spans="1:15" x14ac:dyDescent="0.15">
      <c r="A327">
        <v>3</v>
      </c>
      <c r="D327" s="51" t="s">
        <v>30</v>
      </c>
      <c r="E327" s="51" t="s">
        <v>31</v>
      </c>
      <c r="G327" s="51" t="s">
        <v>32</v>
      </c>
      <c r="H327">
        <v>0.5</v>
      </c>
      <c r="I327" s="58">
        <v>28000</v>
      </c>
      <c r="J327" s="59">
        <v>14000</v>
      </c>
      <c r="K327">
        <v>1</v>
      </c>
      <c r="O327" s="52"/>
    </row>
    <row r="328" spans="1:15" x14ac:dyDescent="0.15">
      <c r="A328">
        <v>3</v>
      </c>
      <c r="D328" s="51" t="s">
        <v>33</v>
      </c>
      <c r="E328" s="51" t="s">
        <v>76</v>
      </c>
      <c r="G328" s="51" t="s">
        <v>35</v>
      </c>
      <c r="H328">
        <v>0.5</v>
      </c>
      <c r="I328" s="58">
        <v>8000</v>
      </c>
      <c r="J328" s="59">
        <v>4000</v>
      </c>
      <c r="K328">
        <v>1</v>
      </c>
      <c r="O328" s="52"/>
    </row>
    <row r="329" spans="1:15" x14ac:dyDescent="0.15">
      <c r="A329">
        <v>3</v>
      </c>
      <c r="D329" s="51" t="s">
        <v>33</v>
      </c>
      <c r="E329" s="51" t="s">
        <v>50</v>
      </c>
      <c r="G329" s="51" t="s">
        <v>35</v>
      </c>
      <c r="H329">
        <v>0.5</v>
      </c>
      <c r="I329" s="58">
        <v>1500</v>
      </c>
      <c r="J329" s="59">
        <v>750</v>
      </c>
      <c r="K329">
        <v>1</v>
      </c>
      <c r="O329" s="52"/>
    </row>
    <row r="330" spans="1:15" x14ac:dyDescent="0.15">
      <c r="A330">
        <v>3</v>
      </c>
      <c r="D330" s="51" t="s">
        <v>33</v>
      </c>
      <c r="E330" s="51" t="s">
        <v>51</v>
      </c>
      <c r="G330" s="51" t="s">
        <v>35</v>
      </c>
      <c r="H330">
        <v>0.5</v>
      </c>
      <c r="I330" s="58">
        <v>1500</v>
      </c>
      <c r="J330" s="59">
        <v>750</v>
      </c>
      <c r="K330">
        <v>1</v>
      </c>
      <c r="O330" s="52"/>
    </row>
    <row r="331" spans="1:15" x14ac:dyDescent="0.15">
      <c r="A331">
        <v>3</v>
      </c>
      <c r="D331" s="51" t="s">
        <v>36</v>
      </c>
      <c r="E331" s="51" t="s">
        <v>37</v>
      </c>
      <c r="G331" s="51" t="s">
        <v>35</v>
      </c>
      <c r="H331">
        <v>0.5</v>
      </c>
      <c r="I331" s="58">
        <v>10000</v>
      </c>
      <c r="J331" s="59">
        <v>5000</v>
      </c>
      <c r="K331">
        <v>1</v>
      </c>
      <c r="O331" s="52"/>
    </row>
    <row r="332" spans="1:15" x14ac:dyDescent="0.15">
      <c r="A332">
        <v>3</v>
      </c>
      <c r="D332" s="51" t="s">
        <v>36</v>
      </c>
      <c r="E332" s="51" t="s">
        <v>38</v>
      </c>
      <c r="G332" s="51" t="s">
        <v>35</v>
      </c>
      <c r="H332">
        <v>0.5</v>
      </c>
      <c r="I332" s="58">
        <v>7000</v>
      </c>
      <c r="J332" s="59">
        <v>3500</v>
      </c>
      <c r="K332">
        <v>1</v>
      </c>
      <c r="O332" s="52"/>
    </row>
    <row r="333" spans="1:15" x14ac:dyDescent="0.15">
      <c r="A333">
        <v>3</v>
      </c>
      <c r="D333" s="51" t="s">
        <v>39</v>
      </c>
      <c r="E333" s="51" t="s">
        <v>40</v>
      </c>
      <c r="G333" s="51" t="s">
        <v>41</v>
      </c>
      <c r="H333">
        <v>20</v>
      </c>
      <c r="I333" s="58">
        <v>150</v>
      </c>
      <c r="J333" s="59">
        <v>3000</v>
      </c>
      <c r="K333">
        <v>1</v>
      </c>
      <c r="O333" s="52"/>
    </row>
    <row r="334" spans="1:15" x14ac:dyDescent="0.15">
      <c r="A334">
        <v>3</v>
      </c>
      <c r="D334" s="51" t="s">
        <v>39</v>
      </c>
      <c r="E334" s="51" t="s">
        <v>52</v>
      </c>
      <c r="G334" s="51" t="s">
        <v>41</v>
      </c>
      <c r="H334">
        <v>20</v>
      </c>
      <c r="I334" s="58">
        <v>200</v>
      </c>
      <c r="J334" s="59">
        <v>4000</v>
      </c>
      <c r="K334">
        <v>1</v>
      </c>
      <c r="O334" s="52"/>
    </row>
    <row r="335" spans="1:15" x14ac:dyDescent="0.15">
      <c r="A335">
        <v>3</v>
      </c>
      <c r="D335" s="51" t="s">
        <v>39</v>
      </c>
      <c r="E335" s="51" t="s">
        <v>42</v>
      </c>
      <c r="G335" s="51" t="s">
        <v>19</v>
      </c>
      <c r="H335">
        <v>1</v>
      </c>
      <c r="I335" s="58">
        <v>2100</v>
      </c>
      <c r="J335" s="59">
        <v>2100</v>
      </c>
      <c r="K335">
        <v>1</v>
      </c>
      <c r="O335" s="52"/>
    </row>
    <row r="336" spans="1:15" x14ac:dyDescent="0.15">
      <c r="A336">
        <v>3</v>
      </c>
      <c r="D336" s="51" t="s">
        <v>23</v>
      </c>
      <c r="E336" s="51" t="s">
        <v>43</v>
      </c>
      <c r="G336" s="51" t="s">
        <v>19</v>
      </c>
      <c r="H336">
        <v>1</v>
      </c>
      <c r="I336" s="58">
        <v>4900</v>
      </c>
      <c r="J336" s="59">
        <v>4900</v>
      </c>
      <c r="K336">
        <v>1</v>
      </c>
      <c r="O336" s="52"/>
    </row>
    <row r="337" spans="1:15" x14ac:dyDescent="0.15">
      <c r="A337">
        <v>1</v>
      </c>
      <c r="D337" s="51" t="s">
        <v>20</v>
      </c>
      <c r="E337" s="51" t="s">
        <v>171</v>
      </c>
      <c r="G337" s="51" t="s">
        <v>63</v>
      </c>
      <c r="H337">
        <v>242</v>
      </c>
      <c r="I337" s="58">
        <v>7757.44</v>
      </c>
      <c r="J337" s="59">
        <v>1877300</v>
      </c>
      <c r="K337">
        <v>242</v>
      </c>
      <c r="M337" s="51" t="s">
        <v>172</v>
      </c>
      <c r="O337" s="52"/>
    </row>
    <row r="338" spans="1:15" x14ac:dyDescent="0.15">
      <c r="A338">
        <v>2</v>
      </c>
      <c r="D338" s="51" t="s">
        <v>20</v>
      </c>
      <c r="E338" s="51" t="s">
        <v>173</v>
      </c>
      <c r="G338" s="51" t="s">
        <v>63</v>
      </c>
      <c r="H338">
        <v>52.9</v>
      </c>
      <c r="I338" s="58">
        <v>6500</v>
      </c>
      <c r="J338" s="59">
        <v>343850</v>
      </c>
      <c r="K338">
        <v>52.9</v>
      </c>
      <c r="M338" s="51" t="s">
        <v>174</v>
      </c>
      <c r="O338" s="52"/>
    </row>
    <row r="339" spans="1:15" x14ac:dyDescent="0.15">
      <c r="A339">
        <v>3</v>
      </c>
      <c r="D339" s="51" t="s">
        <v>39</v>
      </c>
      <c r="E339" s="51" t="s">
        <v>173</v>
      </c>
      <c r="G339" s="51" t="s">
        <v>114</v>
      </c>
      <c r="H339">
        <v>89</v>
      </c>
      <c r="I339" s="58">
        <v>530</v>
      </c>
      <c r="J339" s="59">
        <v>47170</v>
      </c>
      <c r="K339">
        <v>1</v>
      </c>
      <c r="O339" s="52"/>
    </row>
    <row r="340" spans="1:15" x14ac:dyDescent="0.15">
      <c r="A340">
        <v>3</v>
      </c>
      <c r="D340" s="51" t="s">
        <v>39</v>
      </c>
      <c r="E340" s="51" t="s">
        <v>75</v>
      </c>
      <c r="G340" s="51" t="s">
        <v>26</v>
      </c>
      <c r="H340">
        <v>0.5</v>
      </c>
      <c r="I340" s="58">
        <v>30000</v>
      </c>
      <c r="J340" s="59">
        <v>15000</v>
      </c>
      <c r="K340">
        <v>1</v>
      </c>
      <c r="O340" s="52"/>
    </row>
    <row r="341" spans="1:15" x14ac:dyDescent="0.15">
      <c r="A341">
        <v>3</v>
      </c>
      <c r="D341" s="51" t="s">
        <v>30</v>
      </c>
      <c r="E341" s="51" t="s">
        <v>31</v>
      </c>
      <c r="G341" s="51" t="s">
        <v>32</v>
      </c>
      <c r="H341">
        <v>6</v>
      </c>
      <c r="I341" s="58">
        <v>28000</v>
      </c>
      <c r="J341" s="59">
        <v>168000</v>
      </c>
      <c r="K341">
        <v>1</v>
      </c>
      <c r="O341" s="52"/>
    </row>
    <row r="342" spans="1:15" x14ac:dyDescent="0.15">
      <c r="A342">
        <v>3</v>
      </c>
      <c r="D342" s="51" t="s">
        <v>33</v>
      </c>
      <c r="E342" s="51" t="s">
        <v>76</v>
      </c>
      <c r="G342" s="51" t="s">
        <v>35</v>
      </c>
      <c r="H342">
        <v>2</v>
      </c>
      <c r="I342" s="58">
        <v>8000</v>
      </c>
      <c r="J342" s="59">
        <v>16000</v>
      </c>
      <c r="K342">
        <v>1</v>
      </c>
      <c r="O342" s="52"/>
    </row>
    <row r="343" spans="1:15" x14ac:dyDescent="0.15">
      <c r="A343">
        <v>3</v>
      </c>
      <c r="D343" s="51" t="s">
        <v>33</v>
      </c>
      <c r="E343" s="51" t="s">
        <v>51</v>
      </c>
      <c r="G343" s="51" t="s">
        <v>35</v>
      </c>
      <c r="H343">
        <v>2</v>
      </c>
      <c r="I343" s="58">
        <v>1500</v>
      </c>
      <c r="J343" s="59">
        <v>3000</v>
      </c>
      <c r="K343">
        <v>1</v>
      </c>
      <c r="O343" s="52"/>
    </row>
    <row r="344" spans="1:15" x14ac:dyDescent="0.15">
      <c r="A344">
        <v>3</v>
      </c>
      <c r="D344" s="51" t="s">
        <v>33</v>
      </c>
      <c r="E344" s="51" t="s">
        <v>50</v>
      </c>
      <c r="G344" s="51" t="s">
        <v>35</v>
      </c>
      <c r="H344">
        <v>2</v>
      </c>
      <c r="I344" s="58">
        <v>1500</v>
      </c>
      <c r="J344" s="59">
        <v>3000</v>
      </c>
      <c r="K344">
        <v>1</v>
      </c>
      <c r="O344" s="52"/>
    </row>
    <row r="345" spans="1:15" x14ac:dyDescent="0.15">
      <c r="A345">
        <v>3</v>
      </c>
      <c r="D345" s="51" t="s">
        <v>36</v>
      </c>
      <c r="E345" s="51" t="s">
        <v>37</v>
      </c>
      <c r="G345" s="51" t="s">
        <v>35</v>
      </c>
      <c r="H345">
        <v>2</v>
      </c>
      <c r="I345" s="58">
        <v>10000</v>
      </c>
      <c r="J345" s="59">
        <v>20000</v>
      </c>
      <c r="K345">
        <v>1</v>
      </c>
      <c r="O345" s="52"/>
    </row>
    <row r="346" spans="1:15" x14ac:dyDescent="0.15">
      <c r="A346">
        <v>3</v>
      </c>
      <c r="D346" s="51" t="s">
        <v>36</v>
      </c>
      <c r="E346" s="51" t="s">
        <v>38</v>
      </c>
      <c r="G346" s="51" t="s">
        <v>35</v>
      </c>
      <c r="H346">
        <v>2</v>
      </c>
      <c r="I346" s="58">
        <v>7000</v>
      </c>
      <c r="J346" s="59">
        <v>14000</v>
      </c>
      <c r="K346">
        <v>1</v>
      </c>
      <c r="O346" s="52"/>
    </row>
    <row r="347" spans="1:15" x14ac:dyDescent="0.15">
      <c r="A347">
        <v>3</v>
      </c>
      <c r="D347" s="51" t="s">
        <v>39</v>
      </c>
      <c r="E347" s="51" t="s">
        <v>40</v>
      </c>
      <c r="G347" s="51" t="s">
        <v>41</v>
      </c>
      <c r="H347">
        <v>80</v>
      </c>
      <c r="I347" s="58">
        <v>150</v>
      </c>
      <c r="J347" s="59">
        <v>12000</v>
      </c>
      <c r="K347">
        <v>1</v>
      </c>
      <c r="O347" s="52"/>
    </row>
    <row r="348" spans="1:15" x14ac:dyDescent="0.15">
      <c r="A348">
        <v>3</v>
      </c>
      <c r="D348" s="51" t="s">
        <v>39</v>
      </c>
      <c r="E348" s="51" t="s">
        <v>52</v>
      </c>
      <c r="G348" s="51" t="s">
        <v>41</v>
      </c>
      <c r="H348">
        <v>80</v>
      </c>
      <c r="I348" s="58">
        <v>200</v>
      </c>
      <c r="J348" s="59">
        <v>16000</v>
      </c>
      <c r="K348">
        <v>1</v>
      </c>
      <c r="O348" s="52"/>
    </row>
    <row r="349" spans="1:15" x14ac:dyDescent="0.15">
      <c r="A349">
        <v>3</v>
      </c>
      <c r="D349" s="51" t="s">
        <v>39</v>
      </c>
      <c r="E349" s="51" t="s">
        <v>42</v>
      </c>
      <c r="G349" s="51" t="s">
        <v>19</v>
      </c>
      <c r="H349">
        <v>1</v>
      </c>
      <c r="I349" s="58">
        <v>4480</v>
      </c>
      <c r="J349" s="59">
        <v>4480</v>
      </c>
      <c r="K349">
        <v>1</v>
      </c>
      <c r="O349" s="52"/>
    </row>
    <row r="350" spans="1:15" x14ac:dyDescent="0.15">
      <c r="A350">
        <v>3</v>
      </c>
      <c r="D350" s="51" t="s">
        <v>23</v>
      </c>
      <c r="E350" s="51" t="s">
        <v>43</v>
      </c>
      <c r="G350" s="51" t="s">
        <v>19</v>
      </c>
      <c r="H350">
        <v>1</v>
      </c>
      <c r="I350" s="58">
        <v>25200</v>
      </c>
      <c r="J350" s="59">
        <v>25200</v>
      </c>
      <c r="K350">
        <v>1</v>
      </c>
      <c r="O350" s="52"/>
    </row>
    <row r="351" spans="1:15" x14ac:dyDescent="0.15">
      <c r="A351">
        <v>2</v>
      </c>
      <c r="D351" s="51" t="s">
        <v>20</v>
      </c>
      <c r="E351" s="51" t="s">
        <v>175</v>
      </c>
      <c r="G351" s="51" t="s">
        <v>63</v>
      </c>
      <c r="H351">
        <v>41.3</v>
      </c>
      <c r="I351" s="58">
        <v>8500</v>
      </c>
      <c r="J351" s="59">
        <v>351050</v>
      </c>
      <c r="K351">
        <v>41.3</v>
      </c>
      <c r="M351" s="51" t="s">
        <v>176</v>
      </c>
      <c r="O351" s="52"/>
    </row>
    <row r="352" spans="1:15" x14ac:dyDescent="0.15">
      <c r="A352">
        <v>3</v>
      </c>
      <c r="D352" s="51" t="s">
        <v>39</v>
      </c>
      <c r="E352" s="51" t="s">
        <v>175</v>
      </c>
      <c r="G352" s="51" t="s">
        <v>114</v>
      </c>
      <c r="H352">
        <v>69</v>
      </c>
      <c r="I352" s="58">
        <v>810</v>
      </c>
      <c r="J352" s="59">
        <v>55890</v>
      </c>
      <c r="K352">
        <v>1</v>
      </c>
      <c r="O352" s="52"/>
    </row>
    <row r="353" spans="1:15" x14ac:dyDescent="0.15">
      <c r="A353">
        <v>3</v>
      </c>
      <c r="D353" s="51" t="s">
        <v>39</v>
      </c>
      <c r="E353" s="51" t="s">
        <v>75</v>
      </c>
      <c r="G353" s="51" t="s">
        <v>26</v>
      </c>
      <c r="H353">
        <v>0.5</v>
      </c>
      <c r="I353" s="58">
        <v>30000</v>
      </c>
      <c r="J353" s="59">
        <v>15000</v>
      </c>
      <c r="K353">
        <v>1</v>
      </c>
      <c r="O353" s="52"/>
    </row>
    <row r="354" spans="1:15" x14ac:dyDescent="0.15">
      <c r="A354">
        <v>3</v>
      </c>
      <c r="D354" s="51" t="s">
        <v>30</v>
      </c>
      <c r="E354" s="51" t="s">
        <v>31</v>
      </c>
      <c r="G354" s="51" t="s">
        <v>32</v>
      </c>
      <c r="H354">
        <v>6</v>
      </c>
      <c r="I354" s="58">
        <v>28000</v>
      </c>
      <c r="J354" s="59">
        <v>168000</v>
      </c>
      <c r="K354">
        <v>1</v>
      </c>
      <c r="O354" s="52"/>
    </row>
    <row r="355" spans="1:15" x14ac:dyDescent="0.15">
      <c r="A355">
        <v>3</v>
      </c>
      <c r="D355" s="51" t="s">
        <v>33</v>
      </c>
      <c r="E355" s="51" t="s">
        <v>76</v>
      </c>
      <c r="G355" s="51" t="s">
        <v>35</v>
      </c>
      <c r="H355">
        <v>2</v>
      </c>
      <c r="I355" s="58">
        <v>8000</v>
      </c>
      <c r="J355" s="59">
        <v>16000</v>
      </c>
      <c r="K355">
        <v>1</v>
      </c>
      <c r="O355" s="52"/>
    </row>
    <row r="356" spans="1:15" x14ac:dyDescent="0.15">
      <c r="A356">
        <v>3</v>
      </c>
      <c r="D356" s="51" t="s">
        <v>33</v>
      </c>
      <c r="E356" s="51" t="s">
        <v>51</v>
      </c>
      <c r="G356" s="51" t="s">
        <v>35</v>
      </c>
      <c r="H356">
        <v>2</v>
      </c>
      <c r="I356" s="58">
        <v>1500</v>
      </c>
      <c r="J356" s="59">
        <v>3000</v>
      </c>
      <c r="K356">
        <v>1</v>
      </c>
      <c r="O356" s="52"/>
    </row>
    <row r="357" spans="1:15" x14ac:dyDescent="0.15">
      <c r="A357">
        <v>3</v>
      </c>
      <c r="D357" s="51" t="s">
        <v>33</v>
      </c>
      <c r="E357" s="51" t="s">
        <v>50</v>
      </c>
      <c r="G357" s="51" t="s">
        <v>35</v>
      </c>
      <c r="H357">
        <v>2</v>
      </c>
      <c r="I357" s="58">
        <v>1500</v>
      </c>
      <c r="J357" s="59">
        <v>3000</v>
      </c>
      <c r="K357">
        <v>1</v>
      </c>
      <c r="O357" s="52"/>
    </row>
    <row r="358" spans="1:15" x14ac:dyDescent="0.15">
      <c r="A358">
        <v>3</v>
      </c>
      <c r="D358" s="51" t="s">
        <v>36</v>
      </c>
      <c r="E358" s="51" t="s">
        <v>37</v>
      </c>
      <c r="G358" s="51" t="s">
        <v>35</v>
      </c>
      <c r="H358">
        <v>2</v>
      </c>
      <c r="I358" s="58">
        <v>10000</v>
      </c>
      <c r="J358" s="59">
        <v>20000</v>
      </c>
      <c r="K358">
        <v>1</v>
      </c>
      <c r="O358" s="52"/>
    </row>
    <row r="359" spans="1:15" x14ac:dyDescent="0.15">
      <c r="A359">
        <v>3</v>
      </c>
      <c r="D359" s="51" t="s">
        <v>36</v>
      </c>
      <c r="E359" s="51" t="s">
        <v>38</v>
      </c>
      <c r="G359" s="51" t="s">
        <v>35</v>
      </c>
      <c r="H359">
        <v>2</v>
      </c>
      <c r="I359" s="58">
        <v>7000</v>
      </c>
      <c r="J359" s="59">
        <v>14000</v>
      </c>
      <c r="K359">
        <v>1</v>
      </c>
      <c r="O359" s="52"/>
    </row>
    <row r="360" spans="1:15" x14ac:dyDescent="0.15">
      <c r="A360">
        <v>3</v>
      </c>
      <c r="D360" s="51" t="s">
        <v>39</v>
      </c>
      <c r="E360" s="51" t="s">
        <v>40</v>
      </c>
      <c r="G360" s="51" t="s">
        <v>41</v>
      </c>
      <c r="H360">
        <v>80</v>
      </c>
      <c r="I360" s="58">
        <v>150</v>
      </c>
      <c r="J360" s="59">
        <v>12000</v>
      </c>
      <c r="K360">
        <v>1</v>
      </c>
      <c r="O360" s="52"/>
    </row>
    <row r="361" spans="1:15" x14ac:dyDescent="0.15">
      <c r="A361">
        <v>3</v>
      </c>
      <c r="D361" s="51" t="s">
        <v>39</v>
      </c>
      <c r="E361" s="51" t="s">
        <v>52</v>
      </c>
      <c r="G361" s="51" t="s">
        <v>41</v>
      </c>
      <c r="H361">
        <v>80</v>
      </c>
      <c r="I361" s="58">
        <v>200</v>
      </c>
      <c r="J361" s="59">
        <v>16000</v>
      </c>
      <c r="K361">
        <v>1</v>
      </c>
      <c r="O361" s="52"/>
    </row>
    <row r="362" spans="1:15" x14ac:dyDescent="0.15">
      <c r="A362">
        <v>3</v>
      </c>
      <c r="D362" s="51" t="s">
        <v>39</v>
      </c>
      <c r="E362" s="51" t="s">
        <v>42</v>
      </c>
      <c r="G362" s="51" t="s">
        <v>19</v>
      </c>
      <c r="H362">
        <v>1</v>
      </c>
      <c r="I362" s="58">
        <v>2960</v>
      </c>
      <c r="J362" s="59">
        <v>2960</v>
      </c>
      <c r="K362">
        <v>1</v>
      </c>
      <c r="O362" s="52"/>
    </row>
    <row r="363" spans="1:15" x14ac:dyDescent="0.15">
      <c r="A363">
        <v>3</v>
      </c>
      <c r="D363" s="51" t="s">
        <v>23</v>
      </c>
      <c r="E363" s="51" t="s">
        <v>43</v>
      </c>
      <c r="G363" s="51" t="s">
        <v>19</v>
      </c>
      <c r="H363">
        <v>1</v>
      </c>
      <c r="I363" s="58">
        <v>25200</v>
      </c>
      <c r="J363" s="59">
        <v>25200</v>
      </c>
      <c r="K363">
        <v>1</v>
      </c>
      <c r="O363" s="52"/>
    </row>
    <row r="364" spans="1:15" x14ac:dyDescent="0.15">
      <c r="A364">
        <v>2</v>
      </c>
      <c r="D364" s="51" t="s">
        <v>20</v>
      </c>
      <c r="E364" s="51" t="s">
        <v>177</v>
      </c>
      <c r="G364" s="51" t="s">
        <v>63</v>
      </c>
      <c r="H364">
        <v>147.80000000000001</v>
      </c>
      <c r="I364" s="58">
        <v>8000</v>
      </c>
      <c r="J364" s="59">
        <v>1182400</v>
      </c>
      <c r="K364">
        <v>147.80000000000001</v>
      </c>
      <c r="M364" s="51" t="s">
        <v>178</v>
      </c>
      <c r="O364" s="52"/>
    </row>
    <row r="365" spans="1:15" x14ac:dyDescent="0.15">
      <c r="A365">
        <v>3</v>
      </c>
      <c r="D365" s="51" t="s">
        <v>39</v>
      </c>
      <c r="E365" s="51" t="s">
        <v>177</v>
      </c>
      <c r="G365" s="51" t="s">
        <v>114</v>
      </c>
      <c r="H365">
        <v>247</v>
      </c>
      <c r="I365" s="58">
        <v>990</v>
      </c>
      <c r="J365" s="59">
        <v>244530</v>
      </c>
      <c r="K365">
        <v>1</v>
      </c>
      <c r="O365" s="52"/>
    </row>
    <row r="366" spans="1:15" x14ac:dyDescent="0.15">
      <c r="A366">
        <v>3</v>
      </c>
      <c r="D366" s="51" t="s">
        <v>39</v>
      </c>
      <c r="E366" s="51" t="s">
        <v>75</v>
      </c>
      <c r="G366" s="51" t="s">
        <v>26</v>
      </c>
      <c r="H366">
        <v>0.5</v>
      </c>
      <c r="I366" s="58">
        <v>30000</v>
      </c>
      <c r="J366" s="59">
        <v>15000</v>
      </c>
      <c r="K366">
        <v>1</v>
      </c>
      <c r="O366" s="52"/>
    </row>
    <row r="367" spans="1:15" x14ac:dyDescent="0.15">
      <c r="A367">
        <v>3</v>
      </c>
      <c r="D367" s="51" t="s">
        <v>30</v>
      </c>
      <c r="E367" s="51" t="s">
        <v>31</v>
      </c>
      <c r="G367" s="51" t="s">
        <v>32</v>
      </c>
      <c r="H367">
        <v>21</v>
      </c>
      <c r="I367" s="58">
        <v>28000</v>
      </c>
      <c r="J367" s="59">
        <v>588000</v>
      </c>
      <c r="K367">
        <v>1</v>
      </c>
      <c r="O367" s="52"/>
    </row>
    <row r="368" spans="1:15" x14ac:dyDescent="0.15">
      <c r="A368">
        <v>3</v>
      </c>
      <c r="D368" s="51" t="s">
        <v>33</v>
      </c>
      <c r="E368" s="51" t="s">
        <v>76</v>
      </c>
      <c r="G368" s="51" t="s">
        <v>35</v>
      </c>
      <c r="H368">
        <v>7</v>
      </c>
      <c r="I368" s="58">
        <v>8000</v>
      </c>
      <c r="J368" s="59">
        <v>56000</v>
      </c>
      <c r="K368">
        <v>1</v>
      </c>
      <c r="O368" s="52"/>
    </row>
    <row r="369" spans="1:15" x14ac:dyDescent="0.15">
      <c r="A369">
        <v>3</v>
      </c>
      <c r="D369" s="51" t="s">
        <v>33</v>
      </c>
      <c r="E369" s="51" t="s">
        <v>51</v>
      </c>
      <c r="G369" s="51" t="s">
        <v>35</v>
      </c>
      <c r="H369">
        <v>7</v>
      </c>
      <c r="I369" s="58">
        <v>1500</v>
      </c>
      <c r="J369" s="59">
        <v>10500</v>
      </c>
      <c r="K369">
        <v>1</v>
      </c>
      <c r="O369" s="52"/>
    </row>
    <row r="370" spans="1:15" x14ac:dyDescent="0.15">
      <c r="A370">
        <v>3</v>
      </c>
      <c r="D370" s="51" t="s">
        <v>33</v>
      </c>
      <c r="E370" s="51" t="s">
        <v>50</v>
      </c>
      <c r="G370" s="51" t="s">
        <v>35</v>
      </c>
      <c r="H370">
        <v>7</v>
      </c>
      <c r="I370" s="58">
        <v>1500</v>
      </c>
      <c r="J370" s="59">
        <v>10500</v>
      </c>
      <c r="K370">
        <v>1</v>
      </c>
      <c r="O370" s="52"/>
    </row>
    <row r="371" spans="1:15" x14ac:dyDescent="0.15">
      <c r="A371">
        <v>3</v>
      </c>
      <c r="D371" s="51" t="s">
        <v>36</v>
      </c>
      <c r="E371" s="51" t="s">
        <v>37</v>
      </c>
      <c r="G371" s="51" t="s">
        <v>35</v>
      </c>
      <c r="H371">
        <v>7</v>
      </c>
      <c r="I371" s="58">
        <v>10000</v>
      </c>
      <c r="J371" s="59">
        <v>70000</v>
      </c>
      <c r="K371">
        <v>1</v>
      </c>
      <c r="O371" s="52"/>
    </row>
    <row r="372" spans="1:15" x14ac:dyDescent="0.15">
      <c r="A372">
        <v>3</v>
      </c>
      <c r="D372" s="51" t="s">
        <v>36</v>
      </c>
      <c r="E372" s="51" t="s">
        <v>38</v>
      </c>
      <c r="G372" s="51" t="s">
        <v>35</v>
      </c>
      <c r="H372">
        <v>7</v>
      </c>
      <c r="I372" s="58">
        <v>7000</v>
      </c>
      <c r="J372" s="59">
        <v>49000</v>
      </c>
      <c r="K372">
        <v>1</v>
      </c>
      <c r="O372" s="52"/>
    </row>
    <row r="373" spans="1:15" x14ac:dyDescent="0.15">
      <c r="A373">
        <v>3</v>
      </c>
      <c r="D373" s="51" t="s">
        <v>39</v>
      </c>
      <c r="E373" s="51" t="s">
        <v>42</v>
      </c>
      <c r="G373" s="51" t="s">
        <v>19</v>
      </c>
      <c r="H373">
        <v>1</v>
      </c>
      <c r="I373" s="58">
        <v>62070</v>
      </c>
      <c r="J373" s="59">
        <v>62070</v>
      </c>
      <c r="K373">
        <v>1</v>
      </c>
      <c r="O373" s="52"/>
    </row>
    <row r="374" spans="1:15" x14ac:dyDescent="0.15">
      <c r="A374">
        <v>3</v>
      </c>
      <c r="D374" s="51" t="s">
        <v>23</v>
      </c>
      <c r="E374" s="51" t="s">
        <v>43</v>
      </c>
      <c r="G374" s="51" t="s">
        <v>19</v>
      </c>
      <c r="H374">
        <v>1</v>
      </c>
      <c r="I374" s="58">
        <v>76800</v>
      </c>
      <c r="J374" s="59">
        <v>76800</v>
      </c>
      <c r="K374">
        <v>1</v>
      </c>
      <c r="O374" s="52"/>
    </row>
    <row r="375" spans="1:15" x14ac:dyDescent="0.15">
      <c r="A375">
        <v>1</v>
      </c>
      <c r="D375" s="51" t="s">
        <v>20</v>
      </c>
      <c r="E375" s="51" t="s">
        <v>179</v>
      </c>
      <c r="G375" s="51" t="s">
        <v>45</v>
      </c>
      <c r="H375">
        <v>1724.7</v>
      </c>
      <c r="I375" s="58">
        <v>9744.8700000000008</v>
      </c>
      <c r="J375" s="59">
        <v>16806990</v>
      </c>
      <c r="K375">
        <v>1724.7</v>
      </c>
      <c r="M375" s="51" t="s">
        <v>180</v>
      </c>
      <c r="O375" s="52"/>
    </row>
    <row r="376" spans="1:15" x14ac:dyDescent="0.15">
      <c r="A376">
        <v>2</v>
      </c>
      <c r="D376" s="51" t="s">
        <v>20</v>
      </c>
      <c r="E376" s="51" t="s">
        <v>28</v>
      </c>
      <c r="G376" s="51" t="s">
        <v>26</v>
      </c>
      <c r="H376">
        <v>453</v>
      </c>
      <c r="I376" s="58">
        <v>1400</v>
      </c>
      <c r="J376" s="59">
        <v>634200</v>
      </c>
      <c r="K376">
        <v>453</v>
      </c>
      <c r="M376" s="51" t="s">
        <v>181</v>
      </c>
      <c r="O376" s="52"/>
    </row>
    <row r="377" spans="1:15" x14ac:dyDescent="0.15">
      <c r="A377">
        <v>3</v>
      </c>
      <c r="D377" s="51" t="s">
        <v>30</v>
      </c>
      <c r="E377" s="51" t="s">
        <v>31</v>
      </c>
      <c r="G377" s="51" t="s">
        <v>32</v>
      </c>
      <c r="H377">
        <v>12</v>
      </c>
      <c r="I377" s="58">
        <v>28000</v>
      </c>
      <c r="J377" s="59">
        <v>336000</v>
      </c>
      <c r="K377">
        <v>1</v>
      </c>
      <c r="O377" s="52"/>
    </row>
    <row r="378" spans="1:15" x14ac:dyDescent="0.15">
      <c r="A378">
        <v>3</v>
      </c>
      <c r="D378" s="51" t="s">
        <v>33</v>
      </c>
      <c r="E378" s="51" t="s">
        <v>34</v>
      </c>
      <c r="G378" s="51" t="s">
        <v>35</v>
      </c>
      <c r="H378">
        <v>3</v>
      </c>
      <c r="I378" s="58">
        <v>14000</v>
      </c>
      <c r="J378" s="59">
        <v>42000</v>
      </c>
      <c r="K378">
        <v>1</v>
      </c>
      <c r="O378" s="52"/>
    </row>
    <row r="379" spans="1:15" x14ac:dyDescent="0.15">
      <c r="A379">
        <v>3</v>
      </c>
      <c r="D379" s="51" t="s">
        <v>33</v>
      </c>
      <c r="E379" s="51" t="s">
        <v>182</v>
      </c>
      <c r="G379" s="51" t="s">
        <v>35</v>
      </c>
      <c r="H379">
        <v>3</v>
      </c>
      <c r="I379" s="58">
        <v>8000</v>
      </c>
      <c r="J379" s="59">
        <v>24000</v>
      </c>
      <c r="K379">
        <v>1</v>
      </c>
      <c r="O379" s="52"/>
    </row>
    <row r="380" spans="1:15" x14ac:dyDescent="0.15">
      <c r="A380">
        <v>3</v>
      </c>
      <c r="D380" s="51" t="s">
        <v>33</v>
      </c>
      <c r="E380" s="51" t="s">
        <v>49</v>
      </c>
      <c r="G380" s="51" t="s">
        <v>35</v>
      </c>
      <c r="H380">
        <v>3</v>
      </c>
      <c r="I380" s="58">
        <v>8000</v>
      </c>
      <c r="J380" s="59">
        <v>24000</v>
      </c>
      <c r="K380">
        <v>1</v>
      </c>
      <c r="O380" s="52"/>
    </row>
    <row r="381" spans="1:15" x14ac:dyDescent="0.15">
      <c r="A381">
        <v>3</v>
      </c>
      <c r="D381" s="51" t="s">
        <v>36</v>
      </c>
      <c r="E381" s="51" t="s">
        <v>37</v>
      </c>
      <c r="G381" s="51" t="s">
        <v>35</v>
      </c>
      <c r="H381">
        <v>3</v>
      </c>
      <c r="I381" s="58">
        <v>10000</v>
      </c>
      <c r="J381" s="59">
        <v>30000</v>
      </c>
      <c r="K381">
        <v>1</v>
      </c>
      <c r="O381" s="52"/>
    </row>
    <row r="382" spans="1:15" x14ac:dyDescent="0.15">
      <c r="A382">
        <v>3</v>
      </c>
      <c r="D382" s="51" t="s">
        <v>36</v>
      </c>
      <c r="E382" s="51" t="s">
        <v>38</v>
      </c>
      <c r="G382" s="51" t="s">
        <v>35</v>
      </c>
      <c r="H382">
        <v>3</v>
      </c>
      <c r="I382" s="58">
        <v>7000</v>
      </c>
      <c r="J382" s="59">
        <v>21000</v>
      </c>
      <c r="K382">
        <v>1</v>
      </c>
      <c r="O382" s="52"/>
    </row>
    <row r="383" spans="1:15" x14ac:dyDescent="0.15">
      <c r="A383">
        <v>3</v>
      </c>
      <c r="D383" s="51" t="s">
        <v>39</v>
      </c>
      <c r="E383" s="51" t="s">
        <v>40</v>
      </c>
      <c r="G383" s="51" t="s">
        <v>41</v>
      </c>
      <c r="H383">
        <v>200</v>
      </c>
      <c r="I383" s="58">
        <v>150</v>
      </c>
      <c r="J383" s="59">
        <v>30000</v>
      </c>
      <c r="K383">
        <v>1</v>
      </c>
      <c r="O383" s="52"/>
    </row>
    <row r="384" spans="1:15" x14ac:dyDescent="0.15">
      <c r="A384">
        <v>3</v>
      </c>
      <c r="D384" s="51" t="s">
        <v>39</v>
      </c>
      <c r="E384" s="51" t="s">
        <v>52</v>
      </c>
      <c r="G384" s="51" t="s">
        <v>41</v>
      </c>
      <c r="H384">
        <v>120</v>
      </c>
      <c r="I384" s="58">
        <v>200</v>
      </c>
      <c r="J384" s="59">
        <v>24000</v>
      </c>
      <c r="K384">
        <v>1</v>
      </c>
      <c r="O384" s="52"/>
    </row>
    <row r="385" spans="1:15" x14ac:dyDescent="0.15">
      <c r="A385">
        <v>3</v>
      </c>
      <c r="D385" s="51" t="s">
        <v>39</v>
      </c>
      <c r="E385" s="51" t="s">
        <v>42</v>
      </c>
      <c r="G385" s="51" t="s">
        <v>19</v>
      </c>
      <c r="H385">
        <v>1</v>
      </c>
      <c r="I385" s="58">
        <v>50100</v>
      </c>
      <c r="J385" s="59">
        <v>50100</v>
      </c>
      <c r="K385">
        <v>1</v>
      </c>
      <c r="O385" s="52"/>
    </row>
    <row r="386" spans="1:15" x14ac:dyDescent="0.15">
      <c r="A386">
        <v>3</v>
      </c>
      <c r="D386" s="51" t="s">
        <v>23</v>
      </c>
      <c r="E386" s="51" t="s">
        <v>43</v>
      </c>
      <c r="G386" s="51" t="s">
        <v>19</v>
      </c>
      <c r="H386">
        <v>1</v>
      </c>
      <c r="I386" s="58">
        <v>53100</v>
      </c>
      <c r="J386" s="59">
        <v>53100</v>
      </c>
      <c r="K386">
        <v>1</v>
      </c>
      <c r="O386" s="52"/>
    </row>
    <row r="387" spans="1:15" x14ac:dyDescent="0.15">
      <c r="A387">
        <v>2</v>
      </c>
      <c r="D387" s="51" t="s">
        <v>20</v>
      </c>
      <c r="E387" s="51" t="s">
        <v>44</v>
      </c>
      <c r="F387" s="51" t="s">
        <v>183</v>
      </c>
      <c r="G387" s="51" t="s">
        <v>45</v>
      </c>
      <c r="H387">
        <v>483.5</v>
      </c>
      <c r="I387" s="58">
        <v>2200</v>
      </c>
      <c r="J387" s="59">
        <v>1063700</v>
      </c>
      <c r="K387">
        <v>483.5</v>
      </c>
      <c r="M387" s="51" t="s">
        <v>184</v>
      </c>
      <c r="O387" s="52"/>
    </row>
    <row r="388" spans="1:15" x14ac:dyDescent="0.15">
      <c r="A388">
        <v>3</v>
      </c>
      <c r="D388" s="51" t="s">
        <v>39</v>
      </c>
      <c r="E388" s="51" t="s">
        <v>47</v>
      </c>
      <c r="G388" s="51" t="s">
        <v>26</v>
      </c>
      <c r="H388">
        <v>150</v>
      </c>
      <c r="I388" s="58">
        <v>1800</v>
      </c>
      <c r="J388" s="59">
        <v>270000</v>
      </c>
      <c r="K388">
        <v>1</v>
      </c>
      <c r="O388" s="52"/>
    </row>
    <row r="389" spans="1:15" x14ac:dyDescent="0.15">
      <c r="A389">
        <v>3</v>
      </c>
      <c r="D389" s="51" t="s">
        <v>30</v>
      </c>
      <c r="E389" s="51" t="s">
        <v>31</v>
      </c>
      <c r="G389" s="51" t="s">
        <v>32</v>
      </c>
      <c r="H389">
        <v>15</v>
      </c>
      <c r="I389" s="58">
        <v>28000</v>
      </c>
      <c r="J389" s="59">
        <v>420000</v>
      </c>
      <c r="K389">
        <v>1</v>
      </c>
      <c r="O389" s="52"/>
    </row>
    <row r="390" spans="1:15" x14ac:dyDescent="0.15">
      <c r="A390">
        <v>3</v>
      </c>
      <c r="D390" s="51" t="s">
        <v>33</v>
      </c>
      <c r="E390" s="51" t="s">
        <v>48</v>
      </c>
      <c r="G390" s="51" t="s">
        <v>35</v>
      </c>
      <c r="H390">
        <v>3</v>
      </c>
      <c r="I390" s="58">
        <v>9000</v>
      </c>
      <c r="J390" s="59">
        <v>27000</v>
      </c>
      <c r="K390">
        <v>1</v>
      </c>
      <c r="O390" s="52"/>
    </row>
    <row r="391" spans="1:15" x14ac:dyDescent="0.15">
      <c r="A391">
        <v>3</v>
      </c>
      <c r="D391" s="51" t="s">
        <v>33</v>
      </c>
      <c r="E391" s="51" t="s">
        <v>185</v>
      </c>
      <c r="G391" s="51" t="s">
        <v>35</v>
      </c>
      <c r="H391">
        <v>3</v>
      </c>
      <c r="I391" s="58">
        <v>8000</v>
      </c>
      <c r="J391" s="59">
        <v>24000</v>
      </c>
      <c r="K391">
        <v>1</v>
      </c>
      <c r="O391" s="52"/>
    </row>
    <row r="392" spans="1:15" x14ac:dyDescent="0.15">
      <c r="A392">
        <v>3</v>
      </c>
      <c r="D392" s="51" t="s">
        <v>33</v>
      </c>
      <c r="E392" s="51" t="s">
        <v>56</v>
      </c>
      <c r="G392" s="51" t="s">
        <v>35</v>
      </c>
      <c r="H392">
        <v>3</v>
      </c>
      <c r="I392" s="58">
        <v>8000</v>
      </c>
      <c r="J392" s="59">
        <v>24000</v>
      </c>
      <c r="K392">
        <v>1</v>
      </c>
      <c r="O392" s="52"/>
    </row>
    <row r="393" spans="1:15" x14ac:dyDescent="0.15">
      <c r="A393">
        <v>3</v>
      </c>
      <c r="D393" s="51" t="s">
        <v>33</v>
      </c>
      <c r="E393" s="51" t="s">
        <v>186</v>
      </c>
      <c r="G393" s="51" t="s">
        <v>35</v>
      </c>
      <c r="H393">
        <v>3</v>
      </c>
      <c r="I393" s="58">
        <v>9000</v>
      </c>
      <c r="J393" s="59">
        <v>27000</v>
      </c>
      <c r="K393">
        <v>1</v>
      </c>
      <c r="O393" s="52"/>
    </row>
    <row r="394" spans="1:15" x14ac:dyDescent="0.15">
      <c r="A394">
        <v>3</v>
      </c>
      <c r="D394" s="51" t="s">
        <v>33</v>
      </c>
      <c r="E394" s="51" t="s">
        <v>182</v>
      </c>
      <c r="G394" s="51" t="s">
        <v>35</v>
      </c>
      <c r="H394">
        <v>3</v>
      </c>
      <c r="I394" s="58">
        <v>8000</v>
      </c>
      <c r="J394" s="59">
        <v>24000</v>
      </c>
      <c r="K394">
        <v>1</v>
      </c>
      <c r="O394" s="52"/>
    </row>
    <row r="395" spans="1:15" x14ac:dyDescent="0.15">
      <c r="A395">
        <v>3</v>
      </c>
      <c r="D395" s="51" t="s">
        <v>33</v>
      </c>
      <c r="E395" s="51" t="s">
        <v>51</v>
      </c>
      <c r="G395" s="51" t="s">
        <v>35</v>
      </c>
      <c r="H395">
        <v>3</v>
      </c>
      <c r="I395" s="58">
        <v>1500</v>
      </c>
      <c r="J395" s="59">
        <v>4500</v>
      </c>
      <c r="K395">
        <v>1</v>
      </c>
      <c r="O395" s="52"/>
    </row>
    <row r="396" spans="1:15" x14ac:dyDescent="0.15">
      <c r="A396">
        <v>3</v>
      </c>
      <c r="D396" s="51" t="s">
        <v>33</v>
      </c>
      <c r="E396" s="51" t="s">
        <v>50</v>
      </c>
      <c r="G396" s="51" t="s">
        <v>35</v>
      </c>
      <c r="H396">
        <v>3</v>
      </c>
      <c r="I396" s="58">
        <v>1500</v>
      </c>
      <c r="J396" s="59">
        <v>4500</v>
      </c>
      <c r="K396">
        <v>1</v>
      </c>
      <c r="O396" s="52"/>
    </row>
    <row r="397" spans="1:15" x14ac:dyDescent="0.15">
      <c r="A397">
        <v>3</v>
      </c>
      <c r="D397" s="51" t="s">
        <v>36</v>
      </c>
      <c r="E397" s="51" t="s">
        <v>37</v>
      </c>
      <c r="G397" s="51" t="s">
        <v>35</v>
      </c>
      <c r="H397">
        <v>3</v>
      </c>
      <c r="I397" s="58">
        <v>10000</v>
      </c>
      <c r="J397" s="59">
        <v>30000</v>
      </c>
      <c r="K397">
        <v>1</v>
      </c>
      <c r="O397" s="52"/>
    </row>
    <row r="398" spans="1:15" x14ac:dyDescent="0.15">
      <c r="A398">
        <v>3</v>
      </c>
      <c r="D398" s="51" t="s">
        <v>36</v>
      </c>
      <c r="E398" s="51" t="s">
        <v>38</v>
      </c>
      <c r="G398" s="51" t="s">
        <v>35</v>
      </c>
      <c r="H398">
        <v>3</v>
      </c>
      <c r="I398" s="58">
        <v>7000</v>
      </c>
      <c r="J398" s="59">
        <v>21000</v>
      </c>
      <c r="K398">
        <v>1</v>
      </c>
      <c r="O398" s="52"/>
    </row>
    <row r="399" spans="1:15" x14ac:dyDescent="0.15">
      <c r="A399">
        <v>3</v>
      </c>
      <c r="D399" s="51" t="s">
        <v>36</v>
      </c>
      <c r="E399" s="51" t="s">
        <v>96</v>
      </c>
      <c r="G399" s="51" t="s">
        <v>35</v>
      </c>
      <c r="H399">
        <v>3</v>
      </c>
      <c r="I399" s="58">
        <v>7000</v>
      </c>
      <c r="J399" s="59">
        <v>21000</v>
      </c>
      <c r="K399">
        <v>1</v>
      </c>
      <c r="O399" s="52"/>
    </row>
    <row r="400" spans="1:15" x14ac:dyDescent="0.15">
      <c r="A400">
        <v>3</v>
      </c>
      <c r="D400" s="51" t="s">
        <v>39</v>
      </c>
      <c r="E400" s="51" t="s">
        <v>40</v>
      </c>
      <c r="G400" s="51" t="s">
        <v>41</v>
      </c>
      <c r="H400">
        <v>360</v>
      </c>
      <c r="I400" s="58">
        <v>150</v>
      </c>
      <c r="J400" s="59">
        <v>54000</v>
      </c>
      <c r="K400">
        <v>1</v>
      </c>
      <c r="O400" s="52"/>
    </row>
    <row r="401" spans="1:15" x14ac:dyDescent="0.15">
      <c r="A401">
        <v>3</v>
      </c>
      <c r="D401" s="51" t="s">
        <v>39</v>
      </c>
      <c r="E401" s="51" t="s">
        <v>52</v>
      </c>
      <c r="G401" s="51" t="s">
        <v>41</v>
      </c>
      <c r="H401">
        <v>120</v>
      </c>
      <c r="I401" s="58">
        <v>200</v>
      </c>
      <c r="J401" s="59">
        <v>24000</v>
      </c>
      <c r="K401">
        <v>1</v>
      </c>
      <c r="O401" s="52"/>
    </row>
    <row r="402" spans="1:15" x14ac:dyDescent="0.15">
      <c r="A402">
        <v>3</v>
      </c>
      <c r="D402" s="51" t="s">
        <v>39</v>
      </c>
      <c r="E402" s="51" t="s">
        <v>42</v>
      </c>
      <c r="G402" s="51" t="s">
        <v>19</v>
      </c>
      <c r="H402">
        <v>1</v>
      </c>
      <c r="I402" s="58">
        <v>26000</v>
      </c>
      <c r="J402" s="59">
        <v>26000</v>
      </c>
      <c r="K402">
        <v>1</v>
      </c>
      <c r="O402" s="52"/>
    </row>
    <row r="403" spans="1:15" x14ac:dyDescent="0.15">
      <c r="A403">
        <v>3</v>
      </c>
      <c r="D403" s="51" t="s">
        <v>23</v>
      </c>
      <c r="E403" s="51" t="s">
        <v>43</v>
      </c>
      <c r="G403" s="51" t="s">
        <v>19</v>
      </c>
      <c r="H403">
        <v>1</v>
      </c>
      <c r="I403" s="58">
        <v>62700</v>
      </c>
      <c r="J403" s="59">
        <v>62700</v>
      </c>
      <c r="K403">
        <v>1</v>
      </c>
      <c r="O403" s="52"/>
    </row>
    <row r="404" spans="1:15" x14ac:dyDescent="0.15">
      <c r="A404">
        <v>2</v>
      </c>
      <c r="D404" s="51" t="s">
        <v>20</v>
      </c>
      <c r="E404" s="51" t="s">
        <v>187</v>
      </c>
      <c r="F404" s="51" t="s">
        <v>188</v>
      </c>
      <c r="G404" s="51" t="s">
        <v>45</v>
      </c>
      <c r="H404">
        <v>1133</v>
      </c>
      <c r="I404" s="58">
        <v>1300</v>
      </c>
      <c r="J404" s="59">
        <v>1472900</v>
      </c>
      <c r="K404">
        <v>1133</v>
      </c>
      <c r="M404" s="51" t="s">
        <v>189</v>
      </c>
      <c r="O404" s="52"/>
    </row>
    <row r="405" spans="1:15" x14ac:dyDescent="0.15">
      <c r="A405">
        <v>3</v>
      </c>
      <c r="D405" s="51" t="s">
        <v>39</v>
      </c>
      <c r="E405" s="51" t="s">
        <v>47</v>
      </c>
      <c r="G405" s="51" t="s">
        <v>26</v>
      </c>
      <c r="H405">
        <v>205</v>
      </c>
      <c r="I405" s="58">
        <v>1800</v>
      </c>
      <c r="J405" s="59">
        <v>369000</v>
      </c>
      <c r="K405">
        <v>1</v>
      </c>
      <c r="O405" s="52"/>
    </row>
    <row r="406" spans="1:15" x14ac:dyDescent="0.15">
      <c r="A406">
        <v>3</v>
      </c>
      <c r="D406" s="51" t="s">
        <v>30</v>
      </c>
      <c r="E406" s="51" t="s">
        <v>31</v>
      </c>
      <c r="G406" s="51" t="s">
        <v>32</v>
      </c>
      <c r="H406">
        <v>20</v>
      </c>
      <c r="I406" s="58">
        <v>28000</v>
      </c>
      <c r="J406" s="59">
        <v>560000</v>
      </c>
      <c r="K406">
        <v>1</v>
      </c>
      <c r="O406" s="52"/>
    </row>
    <row r="407" spans="1:15" x14ac:dyDescent="0.15">
      <c r="A407">
        <v>3</v>
      </c>
      <c r="D407" s="51" t="s">
        <v>33</v>
      </c>
      <c r="E407" s="51" t="s">
        <v>34</v>
      </c>
      <c r="G407" s="51" t="s">
        <v>35</v>
      </c>
      <c r="H407">
        <v>4</v>
      </c>
      <c r="I407" s="58">
        <v>14000</v>
      </c>
      <c r="J407" s="59">
        <v>56000</v>
      </c>
      <c r="K407">
        <v>1</v>
      </c>
      <c r="O407" s="52"/>
    </row>
    <row r="408" spans="1:15" x14ac:dyDescent="0.15">
      <c r="A408">
        <v>3</v>
      </c>
      <c r="D408" s="51" t="s">
        <v>33</v>
      </c>
      <c r="E408" s="51" t="s">
        <v>185</v>
      </c>
      <c r="G408" s="51" t="s">
        <v>35</v>
      </c>
      <c r="H408">
        <v>4</v>
      </c>
      <c r="I408" s="58">
        <v>8000</v>
      </c>
      <c r="J408" s="59">
        <v>32000</v>
      </c>
      <c r="K408">
        <v>1</v>
      </c>
      <c r="O408" s="52"/>
    </row>
    <row r="409" spans="1:15" x14ac:dyDescent="0.15">
      <c r="A409">
        <v>3</v>
      </c>
      <c r="D409" s="51" t="s">
        <v>33</v>
      </c>
      <c r="E409" s="51" t="s">
        <v>56</v>
      </c>
      <c r="G409" s="51" t="s">
        <v>35</v>
      </c>
      <c r="H409">
        <v>4</v>
      </c>
      <c r="I409" s="58">
        <v>8000</v>
      </c>
      <c r="J409" s="59">
        <v>32000</v>
      </c>
      <c r="K409">
        <v>1</v>
      </c>
      <c r="O409" s="52"/>
    </row>
    <row r="410" spans="1:15" x14ac:dyDescent="0.15">
      <c r="A410">
        <v>3</v>
      </c>
      <c r="D410" s="51" t="s">
        <v>33</v>
      </c>
      <c r="E410" s="51" t="s">
        <v>190</v>
      </c>
      <c r="G410" s="51" t="s">
        <v>35</v>
      </c>
      <c r="H410">
        <v>4</v>
      </c>
      <c r="I410" s="58">
        <v>10000</v>
      </c>
      <c r="J410" s="59">
        <v>40000</v>
      </c>
      <c r="K410">
        <v>1</v>
      </c>
      <c r="O410" s="52"/>
    </row>
    <row r="411" spans="1:15" x14ac:dyDescent="0.15">
      <c r="A411">
        <v>3</v>
      </c>
      <c r="D411" s="51" t="s">
        <v>33</v>
      </c>
      <c r="E411" s="51" t="s">
        <v>182</v>
      </c>
      <c r="G411" s="51" t="s">
        <v>35</v>
      </c>
      <c r="H411">
        <v>4</v>
      </c>
      <c r="I411" s="58">
        <v>8000</v>
      </c>
      <c r="J411" s="59">
        <v>32000</v>
      </c>
      <c r="K411">
        <v>1</v>
      </c>
      <c r="O411" s="52"/>
    </row>
    <row r="412" spans="1:15" x14ac:dyDescent="0.15">
      <c r="A412">
        <v>3</v>
      </c>
      <c r="D412" s="51" t="s">
        <v>33</v>
      </c>
      <c r="E412" s="51" t="s">
        <v>51</v>
      </c>
      <c r="G412" s="51" t="s">
        <v>35</v>
      </c>
      <c r="H412">
        <v>4</v>
      </c>
      <c r="I412" s="58">
        <v>1500</v>
      </c>
      <c r="J412" s="59">
        <v>6000</v>
      </c>
      <c r="K412">
        <v>1</v>
      </c>
      <c r="O412" s="52"/>
    </row>
    <row r="413" spans="1:15" x14ac:dyDescent="0.15">
      <c r="A413">
        <v>3</v>
      </c>
      <c r="D413" s="51" t="s">
        <v>33</v>
      </c>
      <c r="E413" s="51" t="s">
        <v>50</v>
      </c>
      <c r="G413" s="51" t="s">
        <v>35</v>
      </c>
      <c r="H413">
        <v>4</v>
      </c>
      <c r="I413" s="58">
        <v>1500</v>
      </c>
      <c r="J413" s="59">
        <v>6000</v>
      </c>
      <c r="K413">
        <v>1</v>
      </c>
      <c r="O413" s="52"/>
    </row>
    <row r="414" spans="1:15" x14ac:dyDescent="0.15">
      <c r="A414">
        <v>3</v>
      </c>
      <c r="D414" s="51" t="s">
        <v>36</v>
      </c>
      <c r="E414" s="51" t="s">
        <v>37</v>
      </c>
      <c r="G414" s="51" t="s">
        <v>35</v>
      </c>
      <c r="H414">
        <v>4</v>
      </c>
      <c r="I414" s="58">
        <v>10000</v>
      </c>
      <c r="J414" s="59">
        <v>40000</v>
      </c>
      <c r="K414">
        <v>1</v>
      </c>
      <c r="O414" s="52"/>
    </row>
    <row r="415" spans="1:15" x14ac:dyDescent="0.15">
      <c r="A415">
        <v>3</v>
      </c>
      <c r="D415" s="51" t="s">
        <v>36</v>
      </c>
      <c r="E415" s="51" t="s">
        <v>38</v>
      </c>
      <c r="G415" s="51" t="s">
        <v>35</v>
      </c>
      <c r="H415">
        <v>4</v>
      </c>
      <c r="I415" s="58">
        <v>7000</v>
      </c>
      <c r="J415" s="59">
        <v>28000</v>
      </c>
      <c r="K415">
        <v>1</v>
      </c>
      <c r="O415" s="52"/>
    </row>
    <row r="416" spans="1:15" x14ac:dyDescent="0.15">
      <c r="A416">
        <v>3</v>
      </c>
      <c r="D416" s="51" t="s">
        <v>36</v>
      </c>
      <c r="E416" s="51" t="s">
        <v>96</v>
      </c>
      <c r="G416" s="51" t="s">
        <v>35</v>
      </c>
      <c r="H416">
        <v>4</v>
      </c>
      <c r="I416" s="58">
        <v>7000</v>
      </c>
      <c r="J416" s="59">
        <v>28000</v>
      </c>
      <c r="K416">
        <v>1</v>
      </c>
      <c r="O416" s="52"/>
    </row>
    <row r="417" spans="1:15" x14ac:dyDescent="0.15">
      <c r="A417">
        <v>3</v>
      </c>
      <c r="D417" s="51" t="s">
        <v>39</v>
      </c>
      <c r="E417" s="51" t="s">
        <v>40</v>
      </c>
      <c r="G417" s="51" t="s">
        <v>41</v>
      </c>
      <c r="H417">
        <v>480</v>
      </c>
      <c r="I417" s="58">
        <v>150</v>
      </c>
      <c r="J417" s="59">
        <v>72000</v>
      </c>
      <c r="K417">
        <v>1</v>
      </c>
      <c r="O417" s="52"/>
    </row>
    <row r="418" spans="1:15" x14ac:dyDescent="0.15">
      <c r="A418">
        <v>3</v>
      </c>
      <c r="D418" s="51" t="s">
        <v>39</v>
      </c>
      <c r="E418" s="51" t="s">
        <v>52</v>
      </c>
      <c r="G418" s="51" t="s">
        <v>41</v>
      </c>
      <c r="H418">
        <v>240</v>
      </c>
      <c r="I418" s="58">
        <v>200</v>
      </c>
      <c r="J418" s="59">
        <v>48000</v>
      </c>
      <c r="K418">
        <v>1</v>
      </c>
      <c r="O418" s="52"/>
    </row>
    <row r="419" spans="1:15" x14ac:dyDescent="0.15">
      <c r="A419">
        <v>3</v>
      </c>
      <c r="D419" s="51" t="s">
        <v>39</v>
      </c>
      <c r="E419" s="51" t="s">
        <v>42</v>
      </c>
      <c r="G419" s="51" t="s">
        <v>19</v>
      </c>
      <c r="H419">
        <v>1</v>
      </c>
      <c r="I419" s="58">
        <v>43900</v>
      </c>
      <c r="J419" s="59">
        <v>43900</v>
      </c>
      <c r="K419">
        <v>1</v>
      </c>
      <c r="O419" s="52"/>
    </row>
    <row r="420" spans="1:15" x14ac:dyDescent="0.15">
      <c r="A420">
        <v>3</v>
      </c>
      <c r="D420" s="51" t="s">
        <v>23</v>
      </c>
      <c r="E420" s="51" t="s">
        <v>43</v>
      </c>
      <c r="G420" s="51" t="s">
        <v>19</v>
      </c>
      <c r="H420">
        <v>1</v>
      </c>
      <c r="I420" s="58">
        <v>80000</v>
      </c>
      <c r="J420" s="59">
        <v>80000</v>
      </c>
      <c r="K420">
        <v>1</v>
      </c>
      <c r="O420" s="52"/>
    </row>
    <row r="421" spans="1:15" x14ac:dyDescent="0.15">
      <c r="A421">
        <v>2</v>
      </c>
      <c r="D421" s="51" t="s">
        <v>20</v>
      </c>
      <c r="E421" s="51" t="s">
        <v>191</v>
      </c>
      <c r="F421" s="51" t="s">
        <v>188</v>
      </c>
      <c r="G421" s="51" t="s">
        <v>45</v>
      </c>
      <c r="H421">
        <v>1133</v>
      </c>
      <c r="I421" s="58">
        <v>2000</v>
      </c>
      <c r="J421" s="59">
        <v>2266000</v>
      </c>
      <c r="K421">
        <v>1133</v>
      </c>
      <c r="M421" s="51" t="s">
        <v>192</v>
      </c>
      <c r="O421" s="52"/>
    </row>
    <row r="422" spans="1:15" x14ac:dyDescent="0.15">
      <c r="A422">
        <v>3</v>
      </c>
      <c r="D422" s="51" t="s">
        <v>39</v>
      </c>
      <c r="E422" s="51" t="s">
        <v>193</v>
      </c>
      <c r="G422" s="51" t="s">
        <v>26</v>
      </c>
      <c r="H422">
        <v>205</v>
      </c>
      <c r="I422" s="58">
        <v>5800</v>
      </c>
      <c r="J422" s="59">
        <v>1189000</v>
      </c>
      <c r="K422">
        <v>1</v>
      </c>
      <c r="O422" s="52"/>
    </row>
    <row r="423" spans="1:15" x14ac:dyDescent="0.15">
      <c r="A423">
        <v>3</v>
      </c>
      <c r="D423" s="51" t="s">
        <v>30</v>
      </c>
      <c r="E423" s="51" t="s">
        <v>31</v>
      </c>
      <c r="G423" s="51" t="s">
        <v>32</v>
      </c>
      <c r="H423">
        <v>20</v>
      </c>
      <c r="I423" s="58">
        <v>28000</v>
      </c>
      <c r="J423" s="59">
        <v>560000</v>
      </c>
      <c r="K423">
        <v>1</v>
      </c>
      <c r="O423" s="52"/>
    </row>
    <row r="424" spans="1:15" x14ac:dyDescent="0.15">
      <c r="A424">
        <v>3</v>
      </c>
      <c r="D424" s="51" t="s">
        <v>33</v>
      </c>
      <c r="E424" s="51" t="s">
        <v>34</v>
      </c>
      <c r="G424" s="51" t="s">
        <v>35</v>
      </c>
      <c r="H424">
        <v>4</v>
      </c>
      <c r="I424" s="58">
        <v>14000</v>
      </c>
      <c r="J424" s="59">
        <v>56000</v>
      </c>
      <c r="K424">
        <v>1</v>
      </c>
      <c r="O424" s="52"/>
    </row>
    <row r="425" spans="1:15" x14ac:dyDescent="0.15">
      <c r="A425">
        <v>3</v>
      </c>
      <c r="D425" s="51" t="s">
        <v>33</v>
      </c>
      <c r="E425" s="51" t="s">
        <v>185</v>
      </c>
      <c r="G425" s="51" t="s">
        <v>35</v>
      </c>
      <c r="H425">
        <v>4</v>
      </c>
      <c r="I425" s="58">
        <v>8000</v>
      </c>
      <c r="J425" s="59">
        <v>32000</v>
      </c>
      <c r="K425">
        <v>1</v>
      </c>
      <c r="O425" s="52"/>
    </row>
    <row r="426" spans="1:15" x14ac:dyDescent="0.15">
      <c r="A426">
        <v>3</v>
      </c>
      <c r="D426" s="51" t="s">
        <v>33</v>
      </c>
      <c r="E426" s="51" t="s">
        <v>56</v>
      </c>
      <c r="G426" s="51" t="s">
        <v>35</v>
      </c>
      <c r="H426">
        <v>4</v>
      </c>
      <c r="I426" s="58">
        <v>8000</v>
      </c>
      <c r="J426" s="59">
        <v>32000</v>
      </c>
      <c r="K426">
        <v>1</v>
      </c>
      <c r="O426" s="52"/>
    </row>
    <row r="427" spans="1:15" x14ac:dyDescent="0.15">
      <c r="A427">
        <v>3</v>
      </c>
      <c r="D427" s="51" t="s">
        <v>33</v>
      </c>
      <c r="E427" s="51" t="s">
        <v>190</v>
      </c>
      <c r="G427" s="51" t="s">
        <v>35</v>
      </c>
      <c r="H427">
        <v>4</v>
      </c>
      <c r="I427" s="58">
        <v>10000</v>
      </c>
      <c r="J427" s="59">
        <v>40000</v>
      </c>
      <c r="K427">
        <v>1</v>
      </c>
      <c r="O427" s="52"/>
    </row>
    <row r="428" spans="1:15" x14ac:dyDescent="0.15">
      <c r="A428">
        <v>3</v>
      </c>
      <c r="D428" s="51" t="s">
        <v>33</v>
      </c>
      <c r="E428" s="51" t="s">
        <v>182</v>
      </c>
      <c r="G428" s="51" t="s">
        <v>35</v>
      </c>
      <c r="H428">
        <v>4</v>
      </c>
      <c r="I428" s="58">
        <v>8000</v>
      </c>
      <c r="J428" s="59">
        <v>32000</v>
      </c>
      <c r="K428">
        <v>1</v>
      </c>
      <c r="O428" s="52"/>
    </row>
    <row r="429" spans="1:15" x14ac:dyDescent="0.15">
      <c r="A429">
        <v>3</v>
      </c>
      <c r="D429" s="51" t="s">
        <v>33</v>
      </c>
      <c r="E429" s="51" t="s">
        <v>51</v>
      </c>
      <c r="G429" s="51" t="s">
        <v>35</v>
      </c>
      <c r="H429">
        <v>4</v>
      </c>
      <c r="I429" s="58">
        <v>1500</v>
      </c>
      <c r="J429" s="59">
        <v>6000</v>
      </c>
      <c r="K429">
        <v>1</v>
      </c>
      <c r="O429" s="52"/>
    </row>
    <row r="430" spans="1:15" x14ac:dyDescent="0.15">
      <c r="A430">
        <v>3</v>
      </c>
      <c r="D430" s="51" t="s">
        <v>33</v>
      </c>
      <c r="E430" s="51" t="s">
        <v>50</v>
      </c>
      <c r="G430" s="51" t="s">
        <v>35</v>
      </c>
      <c r="H430">
        <v>4</v>
      </c>
      <c r="I430" s="58">
        <v>1500</v>
      </c>
      <c r="J430" s="59">
        <v>6000</v>
      </c>
      <c r="K430">
        <v>1</v>
      </c>
      <c r="O430" s="52"/>
    </row>
    <row r="431" spans="1:15" x14ac:dyDescent="0.15">
      <c r="A431">
        <v>3</v>
      </c>
      <c r="D431" s="51" t="s">
        <v>36</v>
      </c>
      <c r="E431" s="51" t="s">
        <v>37</v>
      </c>
      <c r="G431" s="51" t="s">
        <v>35</v>
      </c>
      <c r="H431">
        <v>4</v>
      </c>
      <c r="I431" s="58">
        <v>10000</v>
      </c>
      <c r="J431" s="59">
        <v>40000</v>
      </c>
      <c r="K431">
        <v>1</v>
      </c>
      <c r="O431" s="52"/>
    </row>
    <row r="432" spans="1:15" x14ac:dyDescent="0.15">
      <c r="A432">
        <v>3</v>
      </c>
      <c r="D432" s="51" t="s">
        <v>36</v>
      </c>
      <c r="E432" s="51" t="s">
        <v>38</v>
      </c>
      <c r="G432" s="51" t="s">
        <v>35</v>
      </c>
      <c r="H432">
        <v>4</v>
      </c>
      <c r="I432" s="58">
        <v>7000</v>
      </c>
      <c r="J432" s="59">
        <v>28000</v>
      </c>
      <c r="K432">
        <v>1</v>
      </c>
      <c r="O432" s="52"/>
    </row>
    <row r="433" spans="1:15" x14ac:dyDescent="0.15">
      <c r="A433">
        <v>3</v>
      </c>
      <c r="D433" s="51" t="s">
        <v>36</v>
      </c>
      <c r="E433" s="51" t="s">
        <v>96</v>
      </c>
      <c r="G433" s="51" t="s">
        <v>35</v>
      </c>
      <c r="H433">
        <v>4</v>
      </c>
      <c r="I433" s="58">
        <v>7000</v>
      </c>
      <c r="J433" s="59">
        <v>28000</v>
      </c>
      <c r="K433">
        <v>1</v>
      </c>
      <c r="O433" s="52"/>
    </row>
    <row r="434" spans="1:15" x14ac:dyDescent="0.15">
      <c r="A434">
        <v>3</v>
      </c>
      <c r="D434" s="51" t="s">
        <v>39</v>
      </c>
      <c r="E434" s="51" t="s">
        <v>40</v>
      </c>
      <c r="G434" s="51" t="s">
        <v>41</v>
      </c>
      <c r="H434">
        <v>480</v>
      </c>
      <c r="I434" s="58">
        <v>150</v>
      </c>
      <c r="J434" s="59">
        <v>72000</v>
      </c>
      <c r="K434">
        <v>1</v>
      </c>
      <c r="O434" s="52"/>
    </row>
    <row r="435" spans="1:15" x14ac:dyDescent="0.15">
      <c r="A435">
        <v>3</v>
      </c>
      <c r="D435" s="51" t="s">
        <v>39</v>
      </c>
      <c r="E435" s="51" t="s">
        <v>52</v>
      </c>
      <c r="G435" s="51" t="s">
        <v>41</v>
      </c>
      <c r="H435">
        <v>240</v>
      </c>
      <c r="I435" s="58">
        <v>200</v>
      </c>
      <c r="J435" s="59">
        <v>48000</v>
      </c>
      <c r="K435">
        <v>1</v>
      </c>
      <c r="O435" s="52"/>
    </row>
    <row r="436" spans="1:15" x14ac:dyDescent="0.15">
      <c r="A436">
        <v>3</v>
      </c>
      <c r="D436" s="51" t="s">
        <v>39</v>
      </c>
      <c r="E436" s="51" t="s">
        <v>42</v>
      </c>
      <c r="G436" s="51" t="s">
        <v>19</v>
      </c>
      <c r="H436">
        <v>1</v>
      </c>
      <c r="I436" s="58">
        <v>17000</v>
      </c>
      <c r="J436" s="59">
        <v>17000</v>
      </c>
      <c r="K436">
        <v>1</v>
      </c>
      <c r="O436" s="52"/>
    </row>
    <row r="437" spans="1:15" x14ac:dyDescent="0.15">
      <c r="A437">
        <v>3</v>
      </c>
      <c r="D437" s="51" t="s">
        <v>23</v>
      </c>
      <c r="E437" s="51" t="s">
        <v>43</v>
      </c>
      <c r="G437" s="51" t="s">
        <v>19</v>
      </c>
      <c r="H437">
        <v>1</v>
      </c>
      <c r="I437" s="58">
        <v>80000</v>
      </c>
      <c r="J437" s="59">
        <v>80000</v>
      </c>
      <c r="K437">
        <v>1</v>
      </c>
      <c r="O437" s="52"/>
    </row>
    <row r="438" spans="1:15" x14ac:dyDescent="0.15">
      <c r="A438">
        <v>2</v>
      </c>
      <c r="D438" s="51" t="s">
        <v>20</v>
      </c>
      <c r="E438" s="51" t="s">
        <v>194</v>
      </c>
      <c r="F438" s="51" t="s">
        <v>195</v>
      </c>
      <c r="G438" s="51" t="s">
        <v>45</v>
      </c>
      <c r="H438">
        <v>483.5</v>
      </c>
      <c r="I438" s="58">
        <v>2800</v>
      </c>
      <c r="J438" s="59">
        <v>1353800</v>
      </c>
      <c r="K438">
        <v>483.5</v>
      </c>
      <c r="M438" s="51" t="s">
        <v>196</v>
      </c>
      <c r="O438" s="52"/>
    </row>
    <row r="439" spans="1:15" x14ac:dyDescent="0.15">
      <c r="A439">
        <v>3</v>
      </c>
      <c r="D439" s="51" t="s">
        <v>39</v>
      </c>
      <c r="E439" s="51" t="s">
        <v>197</v>
      </c>
      <c r="G439" s="51" t="s">
        <v>198</v>
      </c>
      <c r="H439">
        <v>75</v>
      </c>
      <c r="I439" s="58">
        <v>11000</v>
      </c>
      <c r="J439" s="59">
        <v>825000</v>
      </c>
      <c r="K439">
        <v>1</v>
      </c>
      <c r="O439" s="52"/>
    </row>
    <row r="440" spans="1:15" x14ac:dyDescent="0.15">
      <c r="A440">
        <v>3</v>
      </c>
      <c r="D440" s="51" t="s">
        <v>30</v>
      </c>
      <c r="E440" s="51" t="s">
        <v>31</v>
      </c>
      <c r="G440" s="51" t="s">
        <v>32</v>
      </c>
      <c r="H440">
        <v>10</v>
      </c>
      <c r="I440" s="58">
        <v>28000</v>
      </c>
      <c r="J440" s="59">
        <v>280000</v>
      </c>
      <c r="K440">
        <v>1</v>
      </c>
      <c r="O440" s="52"/>
    </row>
    <row r="441" spans="1:15" x14ac:dyDescent="0.15">
      <c r="A441">
        <v>3</v>
      </c>
      <c r="D441" s="51" t="s">
        <v>33</v>
      </c>
      <c r="E441" s="51" t="s">
        <v>199</v>
      </c>
      <c r="G441" s="51" t="s">
        <v>35</v>
      </c>
      <c r="H441">
        <v>1</v>
      </c>
      <c r="I441" s="58">
        <v>100000</v>
      </c>
      <c r="J441" s="59">
        <v>100000</v>
      </c>
      <c r="K441">
        <v>1</v>
      </c>
      <c r="O441" s="52"/>
    </row>
    <row r="442" spans="1:15" x14ac:dyDescent="0.15">
      <c r="A442">
        <v>3</v>
      </c>
      <c r="D442" s="51" t="s">
        <v>33</v>
      </c>
      <c r="E442" s="51" t="s">
        <v>48</v>
      </c>
      <c r="G442" s="51" t="s">
        <v>35</v>
      </c>
      <c r="H442">
        <v>1</v>
      </c>
      <c r="I442" s="58">
        <v>9000</v>
      </c>
      <c r="J442" s="59">
        <v>9000</v>
      </c>
      <c r="K442">
        <v>1</v>
      </c>
      <c r="O442" s="52"/>
    </row>
    <row r="443" spans="1:15" x14ac:dyDescent="0.15">
      <c r="A443">
        <v>3</v>
      </c>
      <c r="D443" s="51" t="s">
        <v>33</v>
      </c>
      <c r="E443" s="51" t="s">
        <v>56</v>
      </c>
      <c r="G443" s="51" t="s">
        <v>35</v>
      </c>
      <c r="H443">
        <v>1</v>
      </c>
      <c r="I443" s="58">
        <v>8000</v>
      </c>
      <c r="J443" s="59">
        <v>8000</v>
      </c>
      <c r="K443">
        <v>1</v>
      </c>
      <c r="O443" s="52"/>
    </row>
    <row r="444" spans="1:15" x14ac:dyDescent="0.15">
      <c r="A444">
        <v>3</v>
      </c>
      <c r="D444" s="51" t="s">
        <v>33</v>
      </c>
      <c r="E444" s="51" t="s">
        <v>186</v>
      </c>
      <c r="G444" s="51" t="s">
        <v>35</v>
      </c>
      <c r="H444">
        <v>1</v>
      </c>
      <c r="I444" s="58">
        <v>9000</v>
      </c>
      <c r="J444" s="59">
        <v>9000</v>
      </c>
      <c r="K444">
        <v>1</v>
      </c>
      <c r="O444" s="52"/>
    </row>
    <row r="445" spans="1:15" x14ac:dyDescent="0.15">
      <c r="A445">
        <v>3</v>
      </c>
      <c r="D445" s="51" t="s">
        <v>33</v>
      </c>
      <c r="E445" s="51" t="s">
        <v>51</v>
      </c>
      <c r="G445" s="51" t="s">
        <v>35</v>
      </c>
      <c r="H445">
        <v>1</v>
      </c>
      <c r="I445" s="58">
        <v>1500</v>
      </c>
      <c r="J445" s="59">
        <v>1500</v>
      </c>
      <c r="K445">
        <v>1</v>
      </c>
      <c r="O445" s="52"/>
    </row>
    <row r="446" spans="1:15" x14ac:dyDescent="0.15">
      <c r="A446">
        <v>3</v>
      </c>
      <c r="D446" s="51" t="s">
        <v>33</v>
      </c>
      <c r="E446" s="51" t="s">
        <v>50</v>
      </c>
      <c r="G446" s="51" t="s">
        <v>35</v>
      </c>
      <c r="H446">
        <v>1</v>
      </c>
      <c r="I446" s="58">
        <v>1500</v>
      </c>
      <c r="J446" s="59">
        <v>1500</v>
      </c>
      <c r="K446">
        <v>1</v>
      </c>
      <c r="O446" s="52"/>
    </row>
    <row r="447" spans="1:15" x14ac:dyDescent="0.15">
      <c r="A447">
        <v>3</v>
      </c>
      <c r="D447" s="51" t="s">
        <v>36</v>
      </c>
      <c r="E447" s="51" t="s">
        <v>37</v>
      </c>
      <c r="G447" s="51" t="s">
        <v>35</v>
      </c>
      <c r="H447">
        <v>1</v>
      </c>
      <c r="I447" s="58">
        <v>10000</v>
      </c>
      <c r="J447" s="59">
        <v>10000</v>
      </c>
      <c r="K447">
        <v>1</v>
      </c>
      <c r="O447" s="52"/>
    </row>
    <row r="448" spans="1:15" x14ac:dyDescent="0.15">
      <c r="A448">
        <v>3</v>
      </c>
      <c r="D448" s="51" t="s">
        <v>36</v>
      </c>
      <c r="E448" s="51" t="s">
        <v>38</v>
      </c>
      <c r="G448" s="51" t="s">
        <v>35</v>
      </c>
      <c r="H448">
        <v>2</v>
      </c>
      <c r="I448" s="58">
        <v>7000</v>
      </c>
      <c r="J448" s="59">
        <v>14000</v>
      </c>
      <c r="K448">
        <v>1</v>
      </c>
      <c r="O448" s="52"/>
    </row>
    <row r="449" spans="1:15" x14ac:dyDescent="0.15">
      <c r="A449">
        <v>3</v>
      </c>
      <c r="D449" s="51" t="s">
        <v>36</v>
      </c>
      <c r="E449" s="51" t="s">
        <v>96</v>
      </c>
      <c r="G449" s="51" t="s">
        <v>35</v>
      </c>
      <c r="H449">
        <v>1</v>
      </c>
      <c r="I449" s="58">
        <v>7000</v>
      </c>
      <c r="J449" s="59">
        <v>7000</v>
      </c>
      <c r="K449">
        <v>1</v>
      </c>
      <c r="O449" s="52"/>
    </row>
    <row r="450" spans="1:15" x14ac:dyDescent="0.15">
      <c r="A450">
        <v>3</v>
      </c>
      <c r="D450" s="51" t="s">
        <v>39</v>
      </c>
      <c r="E450" s="51" t="s">
        <v>40</v>
      </c>
      <c r="G450" s="51" t="s">
        <v>41</v>
      </c>
      <c r="H450">
        <v>120</v>
      </c>
      <c r="I450" s="58">
        <v>150</v>
      </c>
      <c r="J450" s="59">
        <v>18000</v>
      </c>
      <c r="K450">
        <v>1</v>
      </c>
      <c r="O450" s="52"/>
    </row>
    <row r="451" spans="1:15" x14ac:dyDescent="0.15">
      <c r="A451">
        <v>3</v>
      </c>
      <c r="D451" s="51" t="s">
        <v>39</v>
      </c>
      <c r="E451" s="51" t="s">
        <v>52</v>
      </c>
      <c r="G451" s="51" t="s">
        <v>41</v>
      </c>
      <c r="H451">
        <v>80</v>
      </c>
      <c r="I451" s="58">
        <v>200</v>
      </c>
      <c r="J451" s="59">
        <v>16000</v>
      </c>
      <c r="K451">
        <v>1</v>
      </c>
      <c r="O451" s="52"/>
    </row>
    <row r="452" spans="1:15" x14ac:dyDescent="0.15">
      <c r="A452">
        <v>3</v>
      </c>
      <c r="D452" s="51" t="s">
        <v>39</v>
      </c>
      <c r="E452" s="51" t="s">
        <v>42</v>
      </c>
      <c r="G452" s="51" t="s">
        <v>19</v>
      </c>
      <c r="H452">
        <v>1</v>
      </c>
      <c r="I452" s="58">
        <v>15800</v>
      </c>
      <c r="J452" s="59">
        <v>15800</v>
      </c>
      <c r="K452">
        <v>1</v>
      </c>
      <c r="O452" s="52"/>
    </row>
    <row r="453" spans="1:15" x14ac:dyDescent="0.15">
      <c r="A453">
        <v>3</v>
      </c>
      <c r="D453" s="51" t="s">
        <v>23</v>
      </c>
      <c r="E453" s="51" t="s">
        <v>43</v>
      </c>
      <c r="G453" s="51" t="s">
        <v>19</v>
      </c>
      <c r="H453">
        <v>1</v>
      </c>
      <c r="I453" s="58">
        <v>39000</v>
      </c>
      <c r="J453" s="59">
        <v>39000</v>
      </c>
      <c r="K453">
        <v>1</v>
      </c>
      <c r="O453" s="52"/>
    </row>
    <row r="454" spans="1:15" x14ac:dyDescent="0.15">
      <c r="A454">
        <v>2</v>
      </c>
      <c r="D454" s="51" t="s">
        <v>20</v>
      </c>
      <c r="E454" s="51" t="s">
        <v>200</v>
      </c>
      <c r="F454" s="51" t="s">
        <v>201</v>
      </c>
      <c r="G454" s="51" t="s">
        <v>45</v>
      </c>
      <c r="H454">
        <v>1133</v>
      </c>
      <c r="I454" s="58">
        <v>2400</v>
      </c>
      <c r="J454" s="59">
        <v>2719200</v>
      </c>
      <c r="K454">
        <v>1133</v>
      </c>
      <c r="M454" s="51" t="s">
        <v>202</v>
      </c>
      <c r="O454" s="52"/>
    </row>
    <row r="455" spans="1:15" x14ac:dyDescent="0.15">
      <c r="A455">
        <v>3</v>
      </c>
      <c r="D455" s="51" t="s">
        <v>39</v>
      </c>
      <c r="E455" s="51" t="s">
        <v>203</v>
      </c>
      <c r="G455" s="51" t="s">
        <v>198</v>
      </c>
      <c r="H455">
        <v>160</v>
      </c>
      <c r="I455" s="58">
        <v>12000</v>
      </c>
      <c r="J455" s="59">
        <v>1920000</v>
      </c>
      <c r="K455">
        <v>1</v>
      </c>
      <c r="O455" s="52"/>
    </row>
    <row r="456" spans="1:15" x14ac:dyDescent="0.15">
      <c r="A456">
        <v>3</v>
      </c>
      <c r="D456" s="51" t="s">
        <v>39</v>
      </c>
      <c r="E456" s="51" t="s">
        <v>204</v>
      </c>
      <c r="G456" s="51" t="s">
        <v>41</v>
      </c>
      <c r="H456">
        <v>1360</v>
      </c>
      <c r="I456" s="58">
        <v>100</v>
      </c>
      <c r="J456" s="59">
        <v>136000</v>
      </c>
      <c r="K456">
        <v>1</v>
      </c>
      <c r="O456" s="52"/>
    </row>
    <row r="457" spans="1:15" x14ac:dyDescent="0.15">
      <c r="A457">
        <v>3</v>
      </c>
      <c r="D457" s="51" t="s">
        <v>30</v>
      </c>
      <c r="E457" s="51" t="s">
        <v>31</v>
      </c>
      <c r="G457" s="51" t="s">
        <v>32</v>
      </c>
      <c r="H457">
        <v>10</v>
      </c>
      <c r="I457" s="58">
        <v>28000</v>
      </c>
      <c r="J457" s="59">
        <v>280000</v>
      </c>
      <c r="K457">
        <v>1</v>
      </c>
      <c r="O457" s="52"/>
    </row>
    <row r="458" spans="1:15" x14ac:dyDescent="0.15">
      <c r="A458">
        <v>3</v>
      </c>
      <c r="D458" s="51" t="s">
        <v>33</v>
      </c>
      <c r="E458" s="51" t="s">
        <v>205</v>
      </c>
      <c r="G458" s="51" t="s">
        <v>35</v>
      </c>
      <c r="H458">
        <v>1</v>
      </c>
      <c r="I458" s="58">
        <v>150000</v>
      </c>
      <c r="J458" s="59">
        <v>150000</v>
      </c>
      <c r="K458">
        <v>1</v>
      </c>
      <c r="O458" s="52"/>
    </row>
    <row r="459" spans="1:15" x14ac:dyDescent="0.15">
      <c r="A459">
        <v>3</v>
      </c>
      <c r="D459" s="51" t="s">
        <v>33</v>
      </c>
      <c r="E459" s="51" t="s">
        <v>206</v>
      </c>
      <c r="G459" s="51" t="s">
        <v>35</v>
      </c>
      <c r="H459">
        <v>1</v>
      </c>
      <c r="I459" s="58">
        <v>50000</v>
      </c>
      <c r="J459" s="59">
        <v>50000</v>
      </c>
      <c r="K459">
        <v>1</v>
      </c>
      <c r="O459" s="52"/>
    </row>
    <row r="460" spans="1:15" x14ac:dyDescent="0.15">
      <c r="A460">
        <v>3</v>
      </c>
      <c r="D460" s="51" t="s">
        <v>33</v>
      </c>
      <c r="E460" s="51" t="s">
        <v>48</v>
      </c>
      <c r="G460" s="51" t="s">
        <v>35</v>
      </c>
      <c r="H460">
        <v>1</v>
      </c>
      <c r="I460" s="58">
        <v>9000</v>
      </c>
      <c r="J460" s="59">
        <v>9000</v>
      </c>
      <c r="K460">
        <v>1</v>
      </c>
      <c r="O460" s="52"/>
    </row>
    <row r="461" spans="1:15" x14ac:dyDescent="0.15">
      <c r="A461">
        <v>3</v>
      </c>
      <c r="D461" s="51" t="s">
        <v>33</v>
      </c>
      <c r="E461" s="51" t="s">
        <v>56</v>
      </c>
      <c r="G461" s="51" t="s">
        <v>35</v>
      </c>
      <c r="H461">
        <v>1</v>
      </c>
      <c r="I461" s="58">
        <v>8000</v>
      </c>
      <c r="J461" s="59">
        <v>8000</v>
      </c>
      <c r="K461">
        <v>1</v>
      </c>
      <c r="O461" s="52"/>
    </row>
    <row r="462" spans="1:15" x14ac:dyDescent="0.15">
      <c r="A462">
        <v>3</v>
      </c>
      <c r="D462" s="51" t="s">
        <v>33</v>
      </c>
      <c r="E462" s="51" t="s">
        <v>190</v>
      </c>
      <c r="G462" s="51" t="s">
        <v>35</v>
      </c>
      <c r="H462">
        <v>1</v>
      </c>
      <c r="I462" s="58">
        <v>10000</v>
      </c>
      <c r="J462" s="59">
        <v>10000</v>
      </c>
      <c r="K462">
        <v>1</v>
      </c>
      <c r="O462" s="52"/>
    </row>
    <row r="463" spans="1:15" x14ac:dyDescent="0.15">
      <c r="A463">
        <v>3</v>
      </c>
      <c r="D463" s="51" t="s">
        <v>33</v>
      </c>
      <c r="E463" s="51" t="s">
        <v>51</v>
      </c>
      <c r="G463" s="51" t="s">
        <v>35</v>
      </c>
      <c r="H463">
        <v>1</v>
      </c>
      <c r="I463" s="58">
        <v>1500</v>
      </c>
      <c r="J463" s="59">
        <v>1500</v>
      </c>
      <c r="K463">
        <v>1</v>
      </c>
      <c r="O463" s="52"/>
    </row>
    <row r="464" spans="1:15" x14ac:dyDescent="0.15">
      <c r="A464">
        <v>3</v>
      </c>
      <c r="D464" s="51" t="s">
        <v>33</v>
      </c>
      <c r="E464" s="51" t="s">
        <v>50</v>
      </c>
      <c r="G464" s="51" t="s">
        <v>35</v>
      </c>
      <c r="H464">
        <v>1</v>
      </c>
      <c r="I464" s="58">
        <v>1500</v>
      </c>
      <c r="J464" s="59">
        <v>1500</v>
      </c>
      <c r="K464">
        <v>1</v>
      </c>
      <c r="O464" s="52"/>
    </row>
    <row r="465" spans="1:15" x14ac:dyDescent="0.15">
      <c r="A465">
        <v>3</v>
      </c>
      <c r="D465" s="51" t="s">
        <v>36</v>
      </c>
      <c r="E465" s="51" t="s">
        <v>37</v>
      </c>
      <c r="G465" s="51" t="s">
        <v>35</v>
      </c>
      <c r="H465">
        <v>1</v>
      </c>
      <c r="I465" s="58">
        <v>10000</v>
      </c>
      <c r="J465" s="59">
        <v>10000</v>
      </c>
      <c r="K465">
        <v>1</v>
      </c>
      <c r="O465" s="52"/>
    </row>
    <row r="466" spans="1:15" x14ac:dyDescent="0.15">
      <c r="A466">
        <v>3</v>
      </c>
      <c r="D466" s="51" t="s">
        <v>36</v>
      </c>
      <c r="E466" s="51" t="s">
        <v>38</v>
      </c>
      <c r="G466" s="51" t="s">
        <v>35</v>
      </c>
      <c r="H466">
        <v>2</v>
      </c>
      <c r="I466" s="58">
        <v>7000</v>
      </c>
      <c r="J466" s="59">
        <v>14000</v>
      </c>
      <c r="K466">
        <v>1</v>
      </c>
      <c r="O466" s="52"/>
    </row>
    <row r="467" spans="1:15" x14ac:dyDescent="0.15">
      <c r="A467">
        <v>3</v>
      </c>
      <c r="D467" s="51" t="s">
        <v>36</v>
      </c>
      <c r="E467" s="51" t="s">
        <v>96</v>
      </c>
      <c r="G467" s="51" t="s">
        <v>35</v>
      </c>
      <c r="H467">
        <v>1</v>
      </c>
      <c r="I467" s="58">
        <v>7000</v>
      </c>
      <c r="J467" s="59">
        <v>7000</v>
      </c>
      <c r="K467">
        <v>1</v>
      </c>
      <c r="O467" s="52"/>
    </row>
    <row r="468" spans="1:15" x14ac:dyDescent="0.15">
      <c r="A468">
        <v>3</v>
      </c>
      <c r="D468" s="51" t="s">
        <v>39</v>
      </c>
      <c r="E468" s="51" t="s">
        <v>40</v>
      </c>
      <c r="G468" s="51" t="s">
        <v>41</v>
      </c>
      <c r="H468">
        <v>120</v>
      </c>
      <c r="I468" s="58">
        <v>150</v>
      </c>
      <c r="J468" s="59">
        <v>18000</v>
      </c>
      <c r="K468">
        <v>1</v>
      </c>
      <c r="O468" s="52"/>
    </row>
    <row r="469" spans="1:15" x14ac:dyDescent="0.15">
      <c r="A469">
        <v>3</v>
      </c>
      <c r="D469" s="51" t="s">
        <v>39</v>
      </c>
      <c r="E469" s="51" t="s">
        <v>52</v>
      </c>
      <c r="G469" s="51" t="s">
        <v>41</v>
      </c>
      <c r="H469">
        <v>80</v>
      </c>
      <c r="I469" s="58">
        <v>200</v>
      </c>
      <c r="J469" s="59">
        <v>16000</v>
      </c>
      <c r="K469">
        <v>1</v>
      </c>
      <c r="O469" s="52"/>
    </row>
    <row r="470" spans="1:15" x14ac:dyDescent="0.15">
      <c r="A470">
        <v>3</v>
      </c>
      <c r="D470" s="51" t="s">
        <v>39</v>
      </c>
      <c r="E470" s="51" t="s">
        <v>42</v>
      </c>
      <c r="G470" s="51" t="s">
        <v>19</v>
      </c>
      <c r="H470">
        <v>1</v>
      </c>
      <c r="I470" s="58">
        <v>34100</v>
      </c>
      <c r="J470" s="59">
        <v>34100</v>
      </c>
      <c r="K470">
        <v>1</v>
      </c>
      <c r="O470" s="52"/>
    </row>
    <row r="471" spans="1:15" x14ac:dyDescent="0.15">
      <c r="A471">
        <v>3</v>
      </c>
      <c r="D471" s="51" t="s">
        <v>23</v>
      </c>
      <c r="E471" s="51" t="s">
        <v>43</v>
      </c>
      <c r="G471" s="51" t="s">
        <v>19</v>
      </c>
      <c r="H471">
        <v>1</v>
      </c>
      <c r="I471" s="58">
        <v>54100</v>
      </c>
      <c r="J471" s="59">
        <v>54100</v>
      </c>
      <c r="K471">
        <v>1</v>
      </c>
      <c r="O471" s="52"/>
    </row>
    <row r="472" spans="1:15" x14ac:dyDescent="0.15">
      <c r="A472">
        <v>2</v>
      </c>
      <c r="D472" s="51" t="s">
        <v>20</v>
      </c>
      <c r="E472" s="51" t="s">
        <v>207</v>
      </c>
      <c r="F472" s="51" t="s">
        <v>201</v>
      </c>
      <c r="G472" s="51" t="s">
        <v>45</v>
      </c>
      <c r="H472">
        <v>1133</v>
      </c>
      <c r="I472" s="58">
        <v>2500</v>
      </c>
      <c r="J472" s="59">
        <v>2832500</v>
      </c>
      <c r="K472">
        <v>1133</v>
      </c>
      <c r="M472" s="51" t="s">
        <v>208</v>
      </c>
      <c r="O472" s="52"/>
    </row>
    <row r="473" spans="1:15" x14ac:dyDescent="0.15">
      <c r="A473">
        <v>3</v>
      </c>
      <c r="E473" s="51" t="s">
        <v>209</v>
      </c>
      <c r="G473" s="51" t="s">
        <v>198</v>
      </c>
      <c r="H473">
        <v>155</v>
      </c>
      <c r="I473" s="58">
        <v>14500</v>
      </c>
      <c r="J473" s="59">
        <v>2247500</v>
      </c>
      <c r="K473">
        <v>1</v>
      </c>
      <c r="O473" s="52"/>
    </row>
    <row r="474" spans="1:15" x14ac:dyDescent="0.15">
      <c r="A474">
        <v>3</v>
      </c>
      <c r="D474" s="51" t="s">
        <v>30</v>
      </c>
      <c r="E474" s="51" t="s">
        <v>31</v>
      </c>
      <c r="G474" s="51" t="s">
        <v>32</v>
      </c>
      <c r="H474">
        <v>10</v>
      </c>
      <c r="I474" s="58">
        <v>28000</v>
      </c>
      <c r="J474" s="59">
        <v>280000</v>
      </c>
      <c r="K474">
        <v>1</v>
      </c>
      <c r="O474" s="52"/>
    </row>
    <row r="475" spans="1:15" x14ac:dyDescent="0.15">
      <c r="A475">
        <v>3</v>
      </c>
      <c r="D475" s="51" t="s">
        <v>33</v>
      </c>
      <c r="E475" s="51" t="s">
        <v>205</v>
      </c>
      <c r="G475" s="51" t="s">
        <v>35</v>
      </c>
      <c r="H475">
        <v>1</v>
      </c>
      <c r="I475" s="58">
        <v>150000</v>
      </c>
      <c r="J475" s="59">
        <v>150000</v>
      </c>
      <c r="K475">
        <v>1</v>
      </c>
      <c r="O475" s="52"/>
    </row>
    <row r="476" spans="1:15" x14ac:dyDescent="0.15">
      <c r="A476">
        <v>3</v>
      </c>
      <c r="D476" s="51" t="s">
        <v>33</v>
      </c>
      <c r="E476" s="51" t="s">
        <v>48</v>
      </c>
      <c r="G476" s="51" t="s">
        <v>35</v>
      </c>
      <c r="H476">
        <v>1</v>
      </c>
      <c r="I476" s="58">
        <v>9000</v>
      </c>
      <c r="J476" s="59">
        <v>9000</v>
      </c>
      <c r="K476">
        <v>1</v>
      </c>
      <c r="O476" s="52"/>
    </row>
    <row r="477" spans="1:15" x14ac:dyDescent="0.15">
      <c r="A477">
        <v>3</v>
      </c>
      <c r="D477" s="51" t="s">
        <v>33</v>
      </c>
      <c r="E477" s="51" t="s">
        <v>56</v>
      </c>
      <c r="G477" s="51" t="s">
        <v>35</v>
      </c>
      <c r="H477">
        <v>1</v>
      </c>
      <c r="I477" s="58">
        <v>8000</v>
      </c>
      <c r="J477" s="59">
        <v>8000</v>
      </c>
      <c r="K477">
        <v>1</v>
      </c>
      <c r="O477" s="52"/>
    </row>
    <row r="478" spans="1:15" x14ac:dyDescent="0.15">
      <c r="A478">
        <v>3</v>
      </c>
      <c r="D478" s="51" t="s">
        <v>33</v>
      </c>
      <c r="E478" s="51" t="s">
        <v>190</v>
      </c>
      <c r="G478" s="51" t="s">
        <v>35</v>
      </c>
      <c r="H478">
        <v>1</v>
      </c>
      <c r="I478" s="58">
        <v>10000</v>
      </c>
      <c r="J478" s="59">
        <v>10000</v>
      </c>
      <c r="K478">
        <v>1</v>
      </c>
      <c r="O478" s="52"/>
    </row>
    <row r="479" spans="1:15" x14ac:dyDescent="0.15">
      <c r="A479">
        <v>3</v>
      </c>
      <c r="D479" s="51" t="s">
        <v>33</v>
      </c>
      <c r="E479" s="51" t="s">
        <v>51</v>
      </c>
      <c r="G479" s="51" t="s">
        <v>35</v>
      </c>
      <c r="H479">
        <v>1</v>
      </c>
      <c r="I479" s="58">
        <v>1500</v>
      </c>
      <c r="J479" s="59">
        <v>1500</v>
      </c>
      <c r="K479">
        <v>1</v>
      </c>
      <c r="O479" s="52"/>
    </row>
    <row r="480" spans="1:15" x14ac:dyDescent="0.15">
      <c r="A480">
        <v>3</v>
      </c>
      <c r="D480" s="51" t="s">
        <v>33</v>
      </c>
      <c r="E480" s="51" t="s">
        <v>50</v>
      </c>
      <c r="G480" s="51" t="s">
        <v>35</v>
      </c>
      <c r="H480">
        <v>1</v>
      </c>
      <c r="I480" s="58">
        <v>1500</v>
      </c>
      <c r="J480" s="59">
        <v>1500</v>
      </c>
      <c r="K480">
        <v>1</v>
      </c>
      <c r="O480" s="52"/>
    </row>
    <row r="481" spans="1:15" x14ac:dyDescent="0.15">
      <c r="A481">
        <v>3</v>
      </c>
      <c r="D481" s="51" t="s">
        <v>36</v>
      </c>
      <c r="E481" s="51" t="s">
        <v>37</v>
      </c>
      <c r="G481" s="51" t="s">
        <v>35</v>
      </c>
      <c r="H481">
        <v>1</v>
      </c>
      <c r="I481" s="58">
        <v>10000</v>
      </c>
      <c r="J481" s="59">
        <v>10000</v>
      </c>
      <c r="K481">
        <v>1</v>
      </c>
      <c r="O481" s="52"/>
    </row>
    <row r="482" spans="1:15" x14ac:dyDescent="0.15">
      <c r="A482">
        <v>3</v>
      </c>
      <c r="D482" s="51" t="s">
        <v>36</v>
      </c>
      <c r="E482" s="51" t="s">
        <v>38</v>
      </c>
      <c r="G482" s="51" t="s">
        <v>35</v>
      </c>
      <c r="H482">
        <v>2</v>
      </c>
      <c r="I482" s="58">
        <v>7000</v>
      </c>
      <c r="J482" s="59">
        <v>14000</v>
      </c>
      <c r="K482">
        <v>1</v>
      </c>
      <c r="O482" s="52"/>
    </row>
    <row r="483" spans="1:15" x14ac:dyDescent="0.15">
      <c r="A483">
        <v>3</v>
      </c>
      <c r="D483" s="51" t="s">
        <v>36</v>
      </c>
      <c r="E483" s="51" t="s">
        <v>96</v>
      </c>
      <c r="G483" s="51" t="s">
        <v>35</v>
      </c>
      <c r="H483">
        <v>1</v>
      </c>
      <c r="I483" s="58">
        <v>7000</v>
      </c>
      <c r="J483" s="59">
        <v>7000</v>
      </c>
      <c r="K483">
        <v>1</v>
      </c>
      <c r="O483" s="52"/>
    </row>
    <row r="484" spans="1:15" x14ac:dyDescent="0.15">
      <c r="A484">
        <v>3</v>
      </c>
      <c r="D484" s="51" t="s">
        <v>39</v>
      </c>
      <c r="E484" s="51" t="s">
        <v>40</v>
      </c>
      <c r="G484" s="51" t="s">
        <v>41</v>
      </c>
      <c r="H484">
        <v>120</v>
      </c>
      <c r="I484" s="58">
        <v>150</v>
      </c>
      <c r="J484" s="59">
        <v>18000</v>
      </c>
      <c r="K484">
        <v>1</v>
      </c>
      <c r="O484" s="52"/>
    </row>
    <row r="485" spans="1:15" x14ac:dyDescent="0.15">
      <c r="A485">
        <v>3</v>
      </c>
      <c r="D485" s="51" t="s">
        <v>39</v>
      </c>
      <c r="E485" s="51" t="s">
        <v>52</v>
      </c>
      <c r="G485" s="51" t="s">
        <v>41</v>
      </c>
      <c r="H485">
        <v>80</v>
      </c>
      <c r="I485" s="58">
        <v>200</v>
      </c>
      <c r="J485" s="59">
        <v>16000</v>
      </c>
      <c r="K485">
        <v>1</v>
      </c>
      <c r="O485" s="52"/>
    </row>
    <row r="486" spans="1:15" x14ac:dyDescent="0.15">
      <c r="A486">
        <v>3</v>
      </c>
      <c r="D486" s="51" t="s">
        <v>39</v>
      </c>
      <c r="E486" s="51" t="s">
        <v>42</v>
      </c>
      <c r="G486" s="51" t="s">
        <v>19</v>
      </c>
      <c r="H486">
        <v>1</v>
      </c>
      <c r="I486" s="58">
        <v>7500</v>
      </c>
      <c r="J486" s="59">
        <v>7500</v>
      </c>
      <c r="K486">
        <v>1</v>
      </c>
      <c r="O486" s="52"/>
    </row>
    <row r="487" spans="1:15" x14ac:dyDescent="0.15">
      <c r="A487">
        <v>3</v>
      </c>
      <c r="D487" s="51" t="s">
        <v>23</v>
      </c>
      <c r="E487" s="51" t="s">
        <v>43</v>
      </c>
      <c r="G487" s="51" t="s">
        <v>19</v>
      </c>
      <c r="H487">
        <v>1</v>
      </c>
      <c r="I487" s="58">
        <v>52500</v>
      </c>
      <c r="J487" s="59">
        <v>52500</v>
      </c>
      <c r="K487">
        <v>1</v>
      </c>
      <c r="O487" s="52"/>
    </row>
    <row r="488" spans="1:15" x14ac:dyDescent="0.15">
      <c r="A488">
        <v>2</v>
      </c>
      <c r="D488" s="51" t="s">
        <v>20</v>
      </c>
      <c r="E488" s="51" t="s">
        <v>210</v>
      </c>
      <c r="G488" s="51" t="s">
        <v>45</v>
      </c>
      <c r="H488">
        <v>1133</v>
      </c>
      <c r="I488" s="58">
        <v>3350</v>
      </c>
      <c r="J488" s="59">
        <v>3795550</v>
      </c>
      <c r="K488">
        <v>1133</v>
      </c>
      <c r="M488" s="51" t="s">
        <v>211</v>
      </c>
      <c r="O488" s="52"/>
    </row>
    <row r="489" spans="1:15" x14ac:dyDescent="0.15">
      <c r="A489">
        <v>3</v>
      </c>
      <c r="E489" s="51" t="s">
        <v>212</v>
      </c>
      <c r="G489" s="51" t="s">
        <v>213</v>
      </c>
      <c r="H489">
        <v>720</v>
      </c>
      <c r="I489" s="58">
        <v>3200</v>
      </c>
      <c r="J489" s="59">
        <v>2304000</v>
      </c>
      <c r="K489">
        <v>1</v>
      </c>
      <c r="O489" s="52"/>
    </row>
    <row r="490" spans="1:15" x14ac:dyDescent="0.15">
      <c r="A490">
        <v>3</v>
      </c>
      <c r="E490" s="51" t="s">
        <v>214</v>
      </c>
      <c r="G490" s="51" t="s">
        <v>19</v>
      </c>
      <c r="H490">
        <v>1</v>
      </c>
      <c r="I490" s="58">
        <v>30000</v>
      </c>
      <c r="J490" s="59">
        <v>30000</v>
      </c>
      <c r="K490">
        <v>1</v>
      </c>
      <c r="O490" s="52"/>
    </row>
    <row r="491" spans="1:15" x14ac:dyDescent="0.15">
      <c r="A491">
        <v>3</v>
      </c>
      <c r="E491" s="51" t="s">
        <v>215</v>
      </c>
      <c r="G491" s="51" t="s">
        <v>114</v>
      </c>
      <c r="H491">
        <v>5</v>
      </c>
      <c r="I491" s="58">
        <v>10000</v>
      </c>
      <c r="J491" s="59">
        <v>50000</v>
      </c>
      <c r="K491">
        <v>1</v>
      </c>
      <c r="O491" s="52"/>
    </row>
    <row r="492" spans="1:15" x14ac:dyDescent="0.15">
      <c r="A492">
        <v>3</v>
      </c>
      <c r="E492" s="51" t="s">
        <v>216</v>
      </c>
      <c r="G492" s="51" t="s">
        <v>32</v>
      </c>
      <c r="H492">
        <v>3</v>
      </c>
      <c r="I492" s="58">
        <v>30000</v>
      </c>
      <c r="J492" s="59">
        <v>90000</v>
      </c>
      <c r="K492">
        <v>1</v>
      </c>
      <c r="O492" s="52"/>
    </row>
    <row r="493" spans="1:15" x14ac:dyDescent="0.15">
      <c r="A493">
        <v>3</v>
      </c>
      <c r="E493" s="51" t="s">
        <v>217</v>
      </c>
      <c r="G493" s="51" t="s">
        <v>32</v>
      </c>
      <c r="H493">
        <v>21</v>
      </c>
      <c r="I493" s="58">
        <v>25000</v>
      </c>
      <c r="J493" s="59">
        <v>525000</v>
      </c>
      <c r="K493">
        <v>1</v>
      </c>
      <c r="O493" s="52"/>
    </row>
    <row r="494" spans="1:15" x14ac:dyDescent="0.15">
      <c r="A494">
        <v>3</v>
      </c>
      <c r="E494" s="51" t="s">
        <v>218</v>
      </c>
      <c r="G494" s="51" t="s">
        <v>35</v>
      </c>
      <c r="H494">
        <v>3</v>
      </c>
      <c r="I494" s="58">
        <v>150000</v>
      </c>
      <c r="J494" s="59">
        <v>450000</v>
      </c>
      <c r="K494">
        <v>1</v>
      </c>
      <c r="O494" s="52"/>
    </row>
    <row r="495" spans="1:15" x14ac:dyDescent="0.15">
      <c r="A495">
        <v>3</v>
      </c>
      <c r="E495" s="51" t="s">
        <v>219</v>
      </c>
      <c r="G495" s="51" t="s">
        <v>35</v>
      </c>
      <c r="H495">
        <v>3</v>
      </c>
      <c r="I495" s="58">
        <v>3000</v>
      </c>
      <c r="J495" s="59">
        <v>9000</v>
      </c>
      <c r="K495">
        <v>1</v>
      </c>
      <c r="O495" s="52"/>
    </row>
    <row r="496" spans="1:15" x14ac:dyDescent="0.15">
      <c r="A496">
        <v>3</v>
      </c>
      <c r="E496" s="51" t="s">
        <v>50</v>
      </c>
      <c r="G496" s="51" t="s">
        <v>35</v>
      </c>
      <c r="H496">
        <v>3</v>
      </c>
      <c r="I496" s="58">
        <v>1500</v>
      </c>
      <c r="J496" s="59">
        <v>4500</v>
      </c>
      <c r="K496">
        <v>1</v>
      </c>
      <c r="O496" s="52"/>
    </row>
    <row r="497" spans="1:15" x14ac:dyDescent="0.15">
      <c r="A497">
        <v>3</v>
      </c>
      <c r="E497" s="51" t="s">
        <v>220</v>
      </c>
      <c r="G497" s="51" t="s">
        <v>35</v>
      </c>
      <c r="H497">
        <v>3</v>
      </c>
      <c r="I497" s="58">
        <v>14000</v>
      </c>
      <c r="J497" s="59">
        <v>42000</v>
      </c>
      <c r="K497">
        <v>1</v>
      </c>
      <c r="O497" s="52"/>
    </row>
    <row r="498" spans="1:15" x14ac:dyDescent="0.15">
      <c r="A498">
        <v>3</v>
      </c>
      <c r="E498" s="51" t="s">
        <v>221</v>
      </c>
      <c r="G498" s="51" t="s">
        <v>35</v>
      </c>
      <c r="H498">
        <v>3</v>
      </c>
      <c r="I498" s="58">
        <v>4000</v>
      </c>
      <c r="J498" s="59">
        <v>12000</v>
      </c>
      <c r="K498">
        <v>1</v>
      </c>
      <c r="O498" s="52"/>
    </row>
    <row r="499" spans="1:15" x14ac:dyDescent="0.15">
      <c r="A499">
        <v>3</v>
      </c>
      <c r="E499" s="51" t="s">
        <v>37</v>
      </c>
      <c r="G499" s="51" t="s">
        <v>35</v>
      </c>
      <c r="H499">
        <v>3</v>
      </c>
      <c r="I499" s="58">
        <v>10000</v>
      </c>
      <c r="J499" s="59">
        <v>30000</v>
      </c>
      <c r="K499">
        <v>1</v>
      </c>
      <c r="O499" s="52"/>
    </row>
    <row r="500" spans="1:15" x14ac:dyDescent="0.15">
      <c r="A500">
        <v>3</v>
      </c>
      <c r="E500" s="51" t="s">
        <v>38</v>
      </c>
      <c r="G500" s="51" t="s">
        <v>35</v>
      </c>
      <c r="H500">
        <v>3</v>
      </c>
      <c r="I500" s="58">
        <v>7000</v>
      </c>
      <c r="J500" s="59">
        <v>21000</v>
      </c>
      <c r="K500">
        <v>1</v>
      </c>
      <c r="O500" s="52"/>
    </row>
    <row r="501" spans="1:15" x14ac:dyDescent="0.15">
      <c r="A501">
        <v>3</v>
      </c>
      <c r="E501" s="51" t="s">
        <v>40</v>
      </c>
      <c r="G501" s="51" t="s">
        <v>41</v>
      </c>
      <c r="H501">
        <v>270</v>
      </c>
      <c r="I501" s="58">
        <v>150</v>
      </c>
      <c r="J501" s="59">
        <v>40500</v>
      </c>
      <c r="K501">
        <v>1</v>
      </c>
      <c r="O501" s="52"/>
    </row>
    <row r="502" spans="1:15" x14ac:dyDescent="0.15">
      <c r="A502">
        <v>3</v>
      </c>
      <c r="E502" s="51" t="s">
        <v>52</v>
      </c>
      <c r="G502" s="51" t="s">
        <v>41</v>
      </c>
      <c r="H502">
        <v>240</v>
      </c>
      <c r="I502" s="58">
        <v>200</v>
      </c>
      <c r="J502" s="59">
        <v>48000</v>
      </c>
      <c r="K502">
        <v>1</v>
      </c>
      <c r="O502" s="52"/>
    </row>
    <row r="503" spans="1:15" x14ac:dyDescent="0.15">
      <c r="A503">
        <v>3</v>
      </c>
      <c r="E503" s="51" t="s">
        <v>42</v>
      </c>
      <c r="G503" s="51" t="s">
        <v>19</v>
      </c>
      <c r="H503">
        <v>1</v>
      </c>
      <c r="I503" s="58">
        <v>21200</v>
      </c>
      <c r="J503" s="59">
        <v>21200</v>
      </c>
      <c r="K503">
        <v>1</v>
      </c>
      <c r="O503" s="52"/>
    </row>
    <row r="504" spans="1:15" x14ac:dyDescent="0.15">
      <c r="A504">
        <v>3</v>
      </c>
      <c r="E504" s="51" t="s">
        <v>43</v>
      </c>
      <c r="G504" s="51" t="s">
        <v>19</v>
      </c>
      <c r="H504">
        <v>1</v>
      </c>
      <c r="I504" s="58">
        <v>118350</v>
      </c>
      <c r="J504" s="59">
        <v>118350</v>
      </c>
      <c r="K504">
        <v>1</v>
      </c>
      <c r="O504" s="52"/>
    </row>
    <row r="505" spans="1:15" x14ac:dyDescent="0.15">
      <c r="A505">
        <v>2</v>
      </c>
      <c r="D505" s="51" t="s">
        <v>20</v>
      </c>
      <c r="E505" s="51" t="s">
        <v>222</v>
      </c>
      <c r="G505" s="51" t="s">
        <v>45</v>
      </c>
      <c r="H505">
        <v>21</v>
      </c>
      <c r="I505" s="58">
        <v>16500</v>
      </c>
      <c r="J505" s="59">
        <v>346500</v>
      </c>
      <c r="K505">
        <v>21</v>
      </c>
      <c r="M505" s="51" t="s">
        <v>223</v>
      </c>
      <c r="O505" s="52"/>
    </row>
    <row r="506" spans="1:15" x14ac:dyDescent="0.15">
      <c r="A506">
        <v>3</v>
      </c>
      <c r="D506" s="51" t="s">
        <v>39</v>
      </c>
      <c r="E506" s="51" t="s">
        <v>75</v>
      </c>
      <c r="F506" s="51" t="s">
        <v>224</v>
      </c>
      <c r="G506" s="51" t="s">
        <v>26</v>
      </c>
      <c r="H506">
        <v>3</v>
      </c>
      <c r="I506" s="58">
        <v>30000</v>
      </c>
      <c r="J506" s="59">
        <v>90000</v>
      </c>
      <c r="K506">
        <v>1</v>
      </c>
      <c r="O506" s="52"/>
    </row>
    <row r="507" spans="1:15" x14ac:dyDescent="0.15">
      <c r="A507">
        <v>3</v>
      </c>
      <c r="D507" s="51" t="s">
        <v>30</v>
      </c>
      <c r="E507" s="51" t="s">
        <v>31</v>
      </c>
      <c r="G507" s="51" t="s">
        <v>32</v>
      </c>
      <c r="H507">
        <v>4</v>
      </c>
      <c r="I507" s="58">
        <v>28000</v>
      </c>
      <c r="J507" s="59">
        <v>112000</v>
      </c>
      <c r="K507">
        <v>1</v>
      </c>
      <c r="O507" s="52"/>
    </row>
    <row r="508" spans="1:15" x14ac:dyDescent="0.15">
      <c r="A508">
        <v>3</v>
      </c>
      <c r="D508" s="51" t="s">
        <v>39</v>
      </c>
      <c r="E508" s="51" t="s">
        <v>225</v>
      </c>
      <c r="G508" s="51" t="s">
        <v>19</v>
      </c>
      <c r="H508">
        <v>1</v>
      </c>
      <c r="I508" s="58">
        <v>30000</v>
      </c>
      <c r="J508" s="59">
        <v>30000</v>
      </c>
      <c r="K508">
        <v>1</v>
      </c>
      <c r="O508" s="52"/>
    </row>
    <row r="509" spans="1:15" x14ac:dyDescent="0.15">
      <c r="A509">
        <v>3</v>
      </c>
      <c r="D509" s="51" t="s">
        <v>33</v>
      </c>
      <c r="E509" s="51" t="s">
        <v>226</v>
      </c>
      <c r="G509" s="51" t="s">
        <v>35</v>
      </c>
      <c r="H509">
        <v>1</v>
      </c>
      <c r="I509" s="58">
        <v>50000</v>
      </c>
      <c r="J509" s="59">
        <v>50000</v>
      </c>
      <c r="K509">
        <v>1</v>
      </c>
      <c r="O509" s="52"/>
    </row>
    <row r="510" spans="1:15" x14ac:dyDescent="0.15">
      <c r="A510">
        <v>3</v>
      </c>
      <c r="D510" s="51" t="s">
        <v>36</v>
      </c>
      <c r="E510" s="51" t="s">
        <v>37</v>
      </c>
      <c r="G510" s="51" t="s">
        <v>35</v>
      </c>
      <c r="H510">
        <v>1</v>
      </c>
      <c r="I510" s="58">
        <v>10000</v>
      </c>
      <c r="J510" s="59">
        <v>10000</v>
      </c>
      <c r="K510">
        <v>1</v>
      </c>
      <c r="O510" s="52"/>
    </row>
    <row r="511" spans="1:15" x14ac:dyDescent="0.15">
      <c r="A511">
        <v>3</v>
      </c>
      <c r="D511" s="51" t="s">
        <v>36</v>
      </c>
      <c r="E511" s="51" t="s">
        <v>38</v>
      </c>
      <c r="G511" s="51" t="s">
        <v>35</v>
      </c>
      <c r="H511">
        <v>1</v>
      </c>
      <c r="I511" s="58">
        <v>7000</v>
      </c>
      <c r="J511" s="59">
        <v>7000</v>
      </c>
      <c r="K511">
        <v>1</v>
      </c>
      <c r="O511" s="52"/>
    </row>
    <row r="512" spans="1:15" x14ac:dyDescent="0.15">
      <c r="A512">
        <v>3</v>
      </c>
      <c r="D512" s="51" t="s">
        <v>39</v>
      </c>
      <c r="E512" s="51" t="s">
        <v>40</v>
      </c>
      <c r="G512" s="51" t="s">
        <v>41</v>
      </c>
      <c r="H512">
        <v>40</v>
      </c>
      <c r="I512" s="58">
        <v>150</v>
      </c>
      <c r="J512" s="59">
        <v>6000</v>
      </c>
      <c r="K512">
        <v>1</v>
      </c>
      <c r="O512" s="52"/>
    </row>
    <row r="513" spans="1:15" x14ac:dyDescent="0.15">
      <c r="A513">
        <v>3</v>
      </c>
      <c r="D513" s="51" t="s">
        <v>39</v>
      </c>
      <c r="E513" s="51" t="s">
        <v>52</v>
      </c>
      <c r="G513" s="51" t="s">
        <v>41</v>
      </c>
      <c r="H513">
        <v>40</v>
      </c>
      <c r="I513" s="58">
        <v>200</v>
      </c>
      <c r="J513" s="59">
        <v>8000</v>
      </c>
      <c r="K513">
        <v>1</v>
      </c>
      <c r="O513" s="52"/>
    </row>
    <row r="514" spans="1:15" x14ac:dyDescent="0.15">
      <c r="A514">
        <v>3</v>
      </c>
      <c r="D514" s="51" t="s">
        <v>39</v>
      </c>
      <c r="E514" s="51" t="s">
        <v>42</v>
      </c>
      <c r="G514" s="51" t="s">
        <v>19</v>
      </c>
      <c r="H514">
        <v>1</v>
      </c>
      <c r="I514" s="58">
        <v>9800</v>
      </c>
      <c r="J514" s="59">
        <v>9800</v>
      </c>
      <c r="K514">
        <v>1</v>
      </c>
      <c r="O514" s="52"/>
    </row>
    <row r="515" spans="1:15" x14ac:dyDescent="0.15">
      <c r="A515">
        <v>3</v>
      </c>
      <c r="D515" s="51" t="s">
        <v>23</v>
      </c>
      <c r="E515" s="51" t="s">
        <v>43</v>
      </c>
      <c r="G515" s="51" t="s">
        <v>19</v>
      </c>
      <c r="H515">
        <v>1</v>
      </c>
      <c r="I515" s="58">
        <v>23700</v>
      </c>
      <c r="J515" s="59">
        <v>23700</v>
      </c>
      <c r="K515">
        <v>1</v>
      </c>
      <c r="O515" s="52"/>
    </row>
    <row r="516" spans="1:15" x14ac:dyDescent="0.15">
      <c r="A516">
        <v>2</v>
      </c>
      <c r="D516" s="51" t="s">
        <v>20</v>
      </c>
      <c r="E516" s="51" t="s">
        <v>227</v>
      </c>
      <c r="G516" s="51" t="s">
        <v>45</v>
      </c>
      <c r="H516">
        <v>87.2</v>
      </c>
      <c r="I516" s="58">
        <v>3700</v>
      </c>
      <c r="J516" s="59">
        <v>322640</v>
      </c>
      <c r="K516">
        <v>87.2</v>
      </c>
      <c r="M516" s="51" t="s">
        <v>228</v>
      </c>
      <c r="O516" s="52"/>
    </row>
    <row r="517" spans="1:15" x14ac:dyDescent="0.15">
      <c r="A517">
        <v>3</v>
      </c>
      <c r="D517" s="51" t="s">
        <v>39</v>
      </c>
      <c r="E517" s="51" t="s">
        <v>229</v>
      </c>
      <c r="G517" s="51" t="s">
        <v>26</v>
      </c>
      <c r="H517">
        <v>9</v>
      </c>
      <c r="I517" s="58">
        <v>5000</v>
      </c>
      <c r="J517" s="59">
        <v>45000</v>
      </c>
      <c r="K517">
        <v>1</v>
      </c>
      <c r="O517" s="52"/>
    </row>
    <row r="518" spans="1:15" x14ac:dyDescent="0.15">
      <c r="A518">
        <v>3</v>
      </c>
      <c r="D518" s="51" t="s">
        <v>30</v>
      </c>
      <c r="E518" s="51" t="s">
        <v>31</v>
      </c>
      <c r="G518" s="51" t="s">
        <v>32</v>
      </c>
      <c r="H518">
        <v>6</v>
      </c>
      <c r="I518" s="58">
        <v>28000</v>
      </c>
      <c r="J518" s="59">
        <v>168000</v>
      </c>
      <c r="K518">
        <v>1</v>
      </c>
      <c r="O518" s="52"/>
    </row>
    <row r="519" spans="1:15" x14ac:dyDescent="0.15">
      <c r="A519">
        <v>3</v>
      </c>
      <c r="D519" s="51" t="s">
        <v>33</v>
      </c>
      <c r="E519" s="51" t="s">
        <v>230</v>
      </c>
      <c r="G519" s="51" t="s">
        <v>35</v>
      </c>
      <c r="H519">
        <v>2</v>
      </c>
      <c r="I519" s="58">
        <v>8000</v>
      </c>
      <c r="J519" s="59">
        <v>16000</v>
      </c>
      <c r="K519">
        <v>1</v>
      </c>
      <c r="O519" s="52"/>
    </row>
    <row r="520" spans="1:15" x14ac:dyDescent="0.15">
      <c r="A520">
        <v>3</v>
      </c>
      <c r="D520" s="51" t="s">
        <v>36</v>
      </c>
      <c r="E520" s="51" t="s">
        <v>37</v>
      </c>
      <c r="G520" s="51" t="s">
        <v>35</v>
      </c>
      <c r="H520">
        <v>2</v>
      </c>
      <c r="I520" s="58">
        <v>10000</v>
      </c>
      <c r="J520" s="59">
        <v>20000</v>
      </c>
      <c r="K520">
        <v>1</v>
      </c>
      <c r="O520" s="52"/>
    </row>
    <row r="521" spans="1:15" x14ac:dyDescent="0.15">
      <c r="A521">
        <v>3</v>
      </c>
      <c r="D521" s="51" t="s">
        <v>36</v>
      </c>
      <c r="E521" s="51" t="s">
        <v>38</v>
      </c>
      <c r="G521" s="51" t="s">
        <v>35</v>
      </c>
      <c r="H521">
        <v>2</v>
      </c>
      <c r="I521" s="58">
        <v>7000</v>
      </c>
      <c r="J521" s="59">
        <v>14000</v>
      </c>
      <c r="K521">
        <v>1</v>
      </c>
      <c r="O521" s="52"/>
    </row>
    <row r="522" spans="1:15" x14ac:dyDescent="0.15">
      <c r="A522">
        <v>3</v>
      </c>
      <c r="D522" s="51" t="s">
        <v>39</v>
      </c>
      <c r="E522" s="51" t="s">
        <v>40</v>
      </c>
      <c r="G522" s="51" t="s">
        <v>41</v>
      </c>
      <c r="H522">
        <v>40</v>
      </c>
      <c r="I522" s="58">
        <v>150</v>
      </c>
      <c r="J522" s="59">
        <v>6000</v>
      </c>
      <c r="K522">
        <v>1</v>
      </c>
      <c r="O522" s="52"/>
    </row>
    <row r="523" spans="1:15" x14ac:dyDescent="0.15">
      <c r="A523">
        <v>3</v>
      </c>
      <c r="D523" s="51" t="s">
        <v>39</v>
      </c>
      <c r="E523" s="51" t="s">
        <v>52</v>
      </c>
      <c r="G523" s="51" t="s">
        <v>41</v>
      </c>
      <c r="H523">
        <v>80</v>
      </c>
      <c r="I523" s="58">
        <v>200</v>
      </c>
      <c r="J523" s="59">
        <v>16000</v>
      </c>
      <c r="K523">
        <v>1</v>
      </c>
      <c r="O523" s="52"/>
    </row>
    <row r="524" spans="1:15" x14ac:dyDescent="0.15">
      <c r="A524">
        <v>3</v>
      </c>
      <c r="D524" s="51" t="s">
        <v>39</v>
      </c>
      <c r="E524" s="51" t="s">
        <v>42</v>
      </c>
      <c r="G524" s="51" t="s">
        <v>19</v>
      </c>
      <c r="H524">
        <v>1</v>
      </c>
      <c r="I524" s="58">
        <v>15840</v>
      </c>
      <c r="J524" s="59">
        <v>15840</v>
      </c>
      <c r="K524">
        <v>1</v>
      </c>
      <c r="O524" s="52"/>
    </row>
    <row r="525" spans="1:15" x14ac:dyDescent="0.15">
      <c r="A525">
        <v>3</v>
      </c>
      <c r="D525" s="51" t="s">
        <v>23</v>
      </c>
      <c r="E525" s="51" t="s">
        <v>43</v>
      </c>
      <c r="G525" s="51" t="s">
        <v>19</v>
      </c>
      <c r="H525">
        <v>1</v>
      </c>
      <c r="I525" s="58">
        <v>21800</v>
      </c>
      <c r="J525" s="59">
        <v>21800</v>
      </c>
      <c r="K525">
        <v>1</v>
      </c>
      <c r="O525" s="52"/>
    </row>
    <row r="526" spans="1:15" x14ac:dyDescent="0.15">
      <c r="A526">
        <v>1</v>
      </c>
      <c r="D526" s="51" t="s">
        <v>20</v>
      </c>
      <c r="E526" s="51" t="s">
        <v>231</v>
      </c>
      <c r="G526" s="51" t="s">
        <v>63</v>
      </c>
      <c r="H526">
        <v>414.1</v>
      </c>
      <c r="I526" s="58">
        <v>24972.78</v>
      </c>
      <c r="J526" s="59">
        <v>10341230</v>
      </c>
      <c r="K526">
        <v>414.1</v>
      </c>
      <c r="M526" s="51" t="s">
        <v>232</v>
      </c>
      <c r="O526" s="52"/>
    </row>
    <row r="527" spans="1:15" x14ac:dyDescent="0.15">
      <c r="A527">
        <v>2</v>
      </c>
      <c r="D527" s="51" t="s">
        <v>20</v>
      </c>
      <c r="E527" s="51" t="s">
        <v>233</v>
      </c>
      <c r="G527" s="51" t="s">
        <v>63</v>
      </c>
      <c r="H527">
        <v>55</v>
      </c>
      <c r="I527" s="58">
        <v>48700</v>
      </c>
      <c r="J527" s="59">
        <v>2678500</v>
      </c>
      <c r="K527">
        <v>55</v>
      </c>
      <c r="M527" s="51" t="s">
        <v>234</v>
      </c>
      <c r="O527" s="52"/>
    </row>
    <row r="528" spans="1:15" x14ac:dyDescent="0.15">
      <c r="A528">
        <v>3</v>
      </c>
      <c r="D528" s="51" t="s">
        <v>39</v>
      </c>
      <c r="E528" s="51" t="s">
        <v>75</v>
      </c>
      <c r="G528" s="51" t="s">
        <v>26</v>
      </c>
      <c r="H528">
        <v>30</v>
      </c>
      <c r="I528" s="58">
        <v>30000</v>
      </c>
      <c r="J528" s="59">
        <v>900000</v>
      </c>
      <c r="K528">
        <v>1</v>
      </c>
      <c r="O528" s="52"/>
    </row>
    <row r="529" spans="1:15" x14ac:dyDescent="0.15">
      <c r="A529">
        <v>3</v>
      </c>
      <c r="D529" s="51" t="s">
        <v>30</v>
      </c>
      <c r="E529" s="51" t="s">
        <v>31</v>
      </c>
      <c r="G529" s="51" t="s">
        <v>32</v>
      </c>
      <c r="H529">
        <v>30</v>
      </c>
      <c r="I529" s="58">
        <v>28000</v>
      </c>
      <c r="J529" s="59">
        <v>840000</v>
      </c>
      <c r="K529">
        <v>1</v>
      </c>
      <c r="O529" s="52"/>
    </row>
    <row r="530" spans="1:15" x14ac:dyDescent="0.15">
      <c r="A530">
        <v>3</v>
      </c>
      <c r="D530" s="51" t="s">
        <v>33</v>
      </c>
      <c r="E530" s="51" t="s">
        <v>226</v>
      </c>
      <c r="G530" s="51" t="s">
        <v>35</v>
      </c>
      <c r="H530">
        <v>6</v>
      </c>
      <c r="I530" s="58">
        <v>60000</v>
      </c>
      <c r="J530" s="59">
        <v>360000</v>
      </c>
      <c r="K530">
        <v>1</v>
      </c>
      <c r="O530" s="52"/>
    </row>
    <row r="531" spans="1:15" x14ac:dyDescent="0.15">
      <c r="A531">
        <v>3</v>
      </c>
      <c r="D531" s="51" t="s">
        <v>33</v>
      </c>
      <c r="E531" s="51" t="s">
        <v>76</v>
      </c>
      <c r="G531" s="51" t="s">
        <v>35</v>
      </c>
      <c r="H531">
        <v>6</v>
      </c>
      <c r="I531" s="58">
        <v>8000</v>
      </c>
      <c r="J531" s="59">
        <v>48000</v>
      </c>
      <c r="K531">
        <v>1</v>
      </c>
      <c r="O531" s="52"/>
    </row>
    <row r="532" spans="1:15" x14ac:dyDescent="0.15">
      <c r="A532">
        <v>3</v>
      </c>
      <c r="D532" s="51" t="s">
        <v>39</v>
      </c>
      <c r="E532" s="51" t="s">
        <v>225</v>
      </c>
      <c r="G532" s="51" t="s">
        <v>19</v>
      </c>
      <c r="H532">
        <v>1</v>
      </c>
      <c r="I532" s="58">
        <v>200000</v>
      </c>
      <c r="J532" s="59">
        <v>200000</v>
      </c>
      <c r="K532">
        <v>1</v>
      </c>
      <c r="O532" s="52"/>
    </row>
    <row r="533" spans="1:15" x14ac:dyDescent="0.15">
      <c r="A533">
        <v>3</v>
      </c>
      <c r="D533" s="51" t="s">
        <v>36</v>
      </c>
      <c r="E533" s="51" t="s">
        <v>37</v>
      </c>
      <c r="G533" s="51" t="s">
        <v>35</v>
      </c>
      <c r="H533">
        <v>6</v>
      </c>
      <c r="I533" s="58">
        <v>10000</v>
      </c>
      <c r="J533" s="59">
        <v>60000</v>
      </c>
      <c r="K533">
        <v>1</v>
      </c>
      <c r="O533" s="52"/>
    </row>
    <row r="534" spans="1:15" x14ac:dyDescent="0.15">
      <c r="A534">
        <v>3</v>
      </c>
      <c r="D534" s="51" t="s">
        <v>36</v>
      </c>
      <c r="E534" s="51" t="s">
        <v>38</v>
      </c>
      <c r="G534" s="51" t="s">
        <v>35</v>
      </c>
      <c r="H534">
        <v>6</v>
      </c>
      <c r="I534" s="58">
        <v>7000</v>
      </c>
      <c r="J534" s="59">
        <v>42000</v>
      </c>
      <c r="K534">
        <v>1</v>
      </c>
      <c r="O534" s="52"/>
    </row>
    <row r="535" spans="1:15" x14ac:dyDescent="0.15">
      <c r="A535">
        <v>3</v>
      </c>
      <c r="D535" s="51" t="s">
        <v>39</v>
      </c>
      <c r="E535" s="51" t="s">
        <v>40</v>
      </c>
      <c r="G535" s="51" t="s">
        <v>41</v>
      </c>
      <c r="H535">
        <v>240</v>
      </c>
      <c r="I535" s="58">
        <v>150</v>
      </c>
      <c r="J535" s="59">
        <v>36000</v>
      </c>
      <c r="K535">
        <v>1</v>
      </c>
      <c r="O535" s="52"/>
    </row>
    <row r="536" spans="1:15" x14ac:dyDescent="0.15">
      <c r="A536">
        <v>3</v>
      </c>
      <c r="D536" s="51" t="s">
        <v>39</v>
      </c>
      <c r="E536" s="51" t="s">
        <v>52</v>
      </c>
      <c r="G536" s="51" t="s">
        <v>41</v>
      </c>
      <c r="H536">
        <v>240</v>
      </c>
      <c r="I536" s="58">
        <v>200</v>
      </c>
      <c r="J536" s="59">
        <v>48000</v>
      </c>
      <c r="K536">
        <v>1</v>
      </c>
      <c r="O536" s="52"/>
    </row>
    <row r="537" spans="1:15" x14ac:dyDescent="0.15">
      <c r="A537">
        <v>3</v>
      </c>
      <c r="D537" s="51" t="s">
        <v>39</v>
      </c>
      <c r="E537" s="51" t="s">
        <v>42</v>
      </c>
      <c r="G537" s="51" t="s">
        <v>19</v>
      </c>
      <c r="H537">
        <v>1</v>
      </c>
      <c r="I537" s="58">
        <v>9500</v>
      </c>
      <c r="J537" s="59">
        <v>9500</v>
      </c>
      <c r="K537">
        <v>1</v>
      </c>
      <c r="O537" s="52"/>
    </row>
    <row r="538" spans="1:15" x14ac:dyDescent="0.15">
      <c r="A538">
        <v>3</v>
      </c>
      <c r="D538" s="51" t="s">
        <v>23</v>
      </c>
      <c r="E538" s="51" t="s">
        <v>43</v>
      </c>
      <c r="G538" s="51" t="s">
        <v>19</v>
      </c>
      <c r="H538">
        <v>1</v>
      </c>
      <c r="I538" s="58">
        <v>135000</v>
      </c>
      <c r="J538" s="59">
        <v>135000</v>
      </c>
      <c r="K538">
        <v>1</v>
      </c>
      <c r="O538" s="52"/>
    </row>
    <row r="539" spans="1:15" x14ac:dyDescent="0.15">
      <c r="A539">
        <v>2</v>
      </c>
      <c r="D539" s="51" t="s">
        <v>20</v>
      </c>
      <c r="E539" s="51" t="s">
        <v>235</v>
      </c>
      <c r="G539" s="51" t="s">
        <v>63</v>
      </c>
      <c r="H539">
        <v>148.4</v>
      </c>
      <c r="I539" s="58">
        <v>39250</v>
      </c>
      <c r="J539" s="59">
        <v>5824700</v>
      </c>
      <c r="K539">
        <v>148.4</v>
      </c>
      <c r="M539" s="51" t="s">
        <v>236</v>
      </c>
      <c r="O539" s="52"/>
    </row>
    <row r="540" spans="1:15" x14ac:dyDescent="0.15">
      <c r="A540">
        <v>3</v>
      </c>
      <c r="D540" s="51" t="s">
        <v>39</v>
      </c>
      <c r="E540" s="51" t="s">
        <v>237</v>
      </c>
      <c r="F540" s="51" t="s">
        <v>238</v>
      </c>
      <c r="G540" s="51" t="s">
        <v>63</v>
      </c>
      <c r="H540">
        <v>148.4</v>
      </c>
      <c r="I540" s="58">
        <v>27000</v>
      </c>
      <c r="J540" s="59">
        <v>4006800</v>
      </c>
      <c r="K540">
        <v>1</v>
      </c>
      <c r="O540" s="52"/>
    </row>
    <row r="541" spans="1:15" x14ac:dyDescent="0.15">
      <c r="A541">
        <v>3</v>
      </c>
      <c r="D541" s="51" t="s">
        <v>23</v>
      </c>
      <c r="E541" s="51" t="s">
        <v>239</v>
      </c>
      <c r="G541" s="51" t="s">
        <v>63</v>
      </c>
      <c r="H541">
        <v>148.4</v>
      </c>
      <c r="I541" s="58">
        <v>1500</v>
      </c>
      <c r="J541" s="59">
        <v>222600</v>
      </c>
      <c r="K541">
        <v>1</v>
      </c>
      <c r="O541" s="52"/>
    </row>
    <row r="542" spans="1:15" x14ac:dyDescent="0.15">
      <c r="A542">
        <v>3</v>
      </c>
      <c r="D542" s="51" t="s">
        <v>39</v>
      </c>
      <c r="E542" s="51" t="s">
        <v>240</v>
      </c>
      <c r="F542" s="51" t="s">
        <v>241</v>
      </c>
      <c r="G542" s="51" t="s">
        <v>72</v>
      </c>
      <c r="H542">
        <v>80</v>
      </c>
      <c r="I542" s="58">
        <v>12000</v>
      </c>
      <c r="J542" s="59">
        <v>960000</v>
      </c>
      <c r="K542">
        <v>1</v>
      </c>
      <c r="O542" s="52"/>
    </row>
    <row r="543" spans="1:15" x14ac:dyDescent="0.15">
      <c r="A543">
        <v>3</v>
      </c>
      <c r="D543" s="51" t="s">
        <v>30</v>
      </c>
      <c r="E543" s="51" t="s">
        <v>31</v>
      </c>
      <c r="G543" s="51" t="s">
        <v>32</v>
      </c>
      <c r="H543">
        <v>12</v>
      </c>
      <c r="I543" s="58">
        <v>28000</v>
      </c>
      <c r="J543" s="59">
        <v>336000</v>
      </c>
      <c r="K543">
        <v>1</v>
      </c>
      <c r="O543" s="52"/>
    </row>
    <row r="544" spans="1:15" x14ac:dyDescent="0.15">
      <c r="A544">
        <v>3</v>
      </c>
      <c r="D544" s="51" t="s">
        <v>33</v>
      </c>
      <c r="E544" s="51" t="s">
        <v>76</v>
      </c>
      <c r="G544" s="51" t="s">
        <v>35</v>
      </c>
      <c r="H544">
        <v>4</v>
      </c>
      <c r="I544" s="58">
        <v>8000</v>
      </c>
      <c r="J544" s="59">
        <v>32000</v>
      </c>
      <c r="K544">
        <v>1</v>
      </c>
      <c r="O544" s="52"/>
    </row>
    <row r="545" spans="1:15" x14ac:dyDescent="0.15">
      <c r="A545">
        <v>3</v>
      </c>
      <c r="D545" s="51" t="s">
        <v>33</v>
      </c>
      <c r="E545" s="51" t="s">
        <v>242</v>
      </c>
      <c r="G545" s="51" t="s">
        <v>35</v>
      </c>
      <c r="H545">
        <v>4</v>
      </c>
      <c r="I545" s="58">
        <v>3000</v>
      </c>
      <c r="J545" s="59">
        <v>12000</v>
      </c>
      <c r="K545">
        <v>1</v>
      </c>
      <c r="O545" s="52"/>
    </row>
    <row r="546" spans="1:15" x14ac:dyDescent="0.15">
      <c r="A546">
        <v>3</v>
      </c>
      <c r="D546" s="51" t="s">
        <v>36</v>
      </c>
      <c r="E546" s="51" t="s">
        <v>37</v>
      </c>
      <c r="G546" s="51" t="s">
        <v>35</v>
      </c>
      <c r="H546">
        <v>4</v>
      </c>
      <c r="I546" s="58">
        <v>10000</v>
      </c>
      <c r="J546" s="59">
        <v>40000</v>
      </c>
      <c r="K546">
        <v>1</v>
      </c>
      <c r="O546" s="52"/>
    </row>
    <row r="547" spans="1:15" x14ac:dyDescent="0.15">
      <c r="A547">
        <v>3</v>
      </c>
      <c r="D547" s="51" t="s">
        <v>36</v>
      </c>
      <c r="E547" s="51" t="s">
        <v>38</v>
      </c>
      <c r="G547" s="51" t="s">
        <v>35</v>
      </c>
      <c r="H547">
        <v>4</v>
      </c>
      <c r="I547" s="58">
        <v>7000</v>
      </c>
      <c r="J547" s="59">
        <v>28000</v>
      </c>
      <c r="K547">
        <v>1</v>
      </c>
      <c r="O547" s="52"/>
    </row>
    <row r="548" spans="1:15" x14ac:dyDescent="0.15">
      <c r="A548">
        <v>3</v>
      </c>
      <c r="D548" s="51" t="s">
        <v>39</v>
      </c>
      <c r="E548" s="51" t="s">
        <v>40</v>
      </c>
      <c r="G548" s="51" t="s">
        <v>41</v>
      </c>
      <c r="H548">
        <v>80</v>
      </c>
      <c r="I548" s="58">
        <v>150</v>
      </c>
      <c r="J548" s="59">
        <v>12000</v>
      </c>
      <c r="K548">
        <v>1</v>
      </c>
      <c r="O548" s="52"/>
    </row>
    <row r="549" spans="1:15" x14ac:dyDescent="0.15">
      <c r="A549">
        <v>3</v>
      </c>
      <c r="D549" s="51" t="s">
        <v>39</v>
      </c>
      <c r="E549" s="51" t="s">
        <v>52</v>
      </c>
      <c r="G549" s="51" t="s">
        <v>41</v>
      </c>
      <c r="H549">
        <v>160</v>
      </c>
      <c r="I549" s="58">
        <v>200</v>
      </c>
      <c r="J549" s="59">
        <v>32000</v>
      </c>
      <c r="K549">
        <v>1</v>
      </c>
      <c r="O549" s="52"/>
    </row>
    <row r="550" spans="1:15" x14ac:dyDescent="0.15">
      <c r="A550">
        <v>3</v>
      </c>
      <c r="D550" s="51" t="s">
        <v>23</v>
      </c>
      <c r="E550" s="51" t="s">
        <v>36</v>
      </c>
      <c r="G550" s="51" t="s">
        <v>19</v>
      </c>
      <c r="H550">
        <v>1</v>
      </c>
      <c r="I550" s="58">
        <v>76300</v>
      </c>
      <c r="J550" s="59">
        <v>76300</v>
      </c>
      <c r="K550">
        <v>1</v>
      </c>
      <c r="O550" s="52"/>
    </row>
    <row r="551" spans="1:15" x14ac:dyDescent="0.15">
      <c r="A551">
        <v>3</v>
      </c>
      <c r="D551" s="51" t="s">
        <v>23</v>
      </c>
      <c r="E551" s="51" t="s">
        <v>43</v>
      </c>
      <c r="G551" s="51" t="s">
        <v>19</v>
      </c>
      <c r="H551">
        <v>1</v>
      </c>
      <c r="I551" s="58">
        <v>67000</v>
      </c>
      <c r="J551" s="59">
        <v>67000</v>
      </c>
      <c r="K551">
        <v>1</v>
      </c>
      <c r="O551" s="52"/>
    </row>
    <row r="552" spans="1:15" x14ac:dyDescent="0.15">
      <c r="A552">
        <v>2</v>
      </c>
      <c r="D552" s="51" t="s">
        <v>20</v>
      </c>
      <c r="E552" s="51" t="s">
        <v>243</v>
      </c>
      <c r="G552" s="51" t="s">
        <v>63</v>
      </c>
      <c r="H552">
        <v>149.69999999999999</v>
      </c>
      <c r="I552" s="58">
        <v>9900</v>
      </c>
      <c r="J552" s="59">
        <v>1482030</v>
      </c>
      <c r="K552">
        <v>149.69999999999999</v>
      </c>
      <c r="M552" s="51" t="s">
        <v>244</v>
      </c>
      <c r="O552" s="52"/>
    </row>
    <row r="553" spans="1:15" x14ac:dyDescent="0.15">
      <c r="A553">
        <v>3</v>
      </c>
      <c r="D553" s="51" t="s">
        <v>39</v>
      </c>
      <c r="E553" s="51" t="s">
        <v>245</v>
      </c>
      <c r="F553" s="51" t="s">
        <v>246</v>
      </c>
      <c r="G553" s="51" t="s">
        <v>63</v>
      </c>
      <c r="H553">
        <v>149.69999999999999</v>
      </c>
      <c r="I553" s="58">
        <v>5700</v>
      </c>
      <c r="J553" s="59">
        <v>853290</v>
      </c>
      <c r="K553">
        <v>1</v>
      </c>
      <c r="O553" s="52"/>
    </row>
    <row r="554" spans="1:15" x14ac:dyDescent="0.15">
      <c r="A554">
        <v>3</v>
      </c>
      <c r="D554" s="51" t="s">
        <v>39</v>
      </c>
      <c r="E554" s="51" t="s">
        <v>247</v>
      </c>
      <c r="F554" s="51" t="s">
        <v>248</v>
      </c>
      <c r="G554" s="51" t="s">
        <v>114</v>
      </c>
      <c r="H554">
        <v>78</v>
      </c>
      <c r="I554" s="58">
        <v>800</v>
      </c>
      <c r="J554" s="59">
        <v>62400</v>
      </c>
      <c r="K554">
        <v>1</v>
      </c>
      <c r="O554" s="52"/>
    </row>
    <row r="555" spans="1:15" x14ac:dyDescent="0.15">
      <c r="A555">
        <v>3</v>
      </c>
      <c r="D555" s="51" t="s">
        <v>23</v>
      </c>
      <c r="E555" s="51" t="s">
        <v>249</v>
      </c>
      <c r="G555" s="51" t="s">
        <v>114</v>
      </c>
      <c r="H555">
        <v>78</v>
      </c>
      <c r="I555" s="58">
        <v>1500</v>
      </c>
      <c r="J555" s="59">
        <v>117000</v>
      </c>
      <c r="K555">
        <v>1</v>
      </c>
      <c r="O555" s="52"/>
    </row>
    <row r="556" spans="1:15" x14ac:dyDescent="0.15">
      <c r="A556">
        <v>3</v>
      </c>
      <c r="D556" s="51" t="s">
        <v>23</v>
      </c>
      <c r="E556" s="51" t="s">
        <v>239</v>
      </c>
      <c r="F556" s="51" t="s">
        <v>250</v>
      </c>
      <c r="G556" s="51" t="s">
        <v>251</v>
      </c>
      <c r="H556">
        <v>149.69999999999999</v>
      </c>
      <c r="I556" s="58">
        <v>2200</v>
      </c>
      <c r="J556" s="59">
        <v>329340</v>
      </c>
      <c r="K556">
        <v>1</v>
      </c>
      <c r="O556" s="52"/>
    </row>
    <row r="557" spans="1:15" x14ac:dyDescent="0.15">
      <c r="A557">
        <v>3</v>
      </c>
      <c r="D557" s="51" t="s">
        <v>39</v>
      </c>
      <c r="E557" s="51" t="s">
        <v>42</v>
      </c>
      <c r="G557" s="51" t="s">
        <v>19</v>
      </c>
      <c r="H557">
        <v>1</v>
      </c>
      <c r="I557" s="58">
        <v>6000</v>
      </c>
      <c r="J557" s="59">
        <v>6000</v>
      </c>
      <c r="K557">
        <v>1</v>
      </c>
      <c r="O557" s="52"/>
    </row>
    <row r="558" spans="1:15" x14ac:dyDescent="0.15">
      <c r="A558">
        <v>3</v>
      </c>
      <c r="D558" s="51" t="s">
        <v>23</v>
      </c>
      <c r="E558" s="51" t="s">
        <v>36</v>
      </c>
      <c r="G558" s="51" t="s">
        <v>19</v>
      </c>
      <c r="H558">
        <v>1</v>
      </c>
      <c r="I558" s="58">
        <v>75000</v>
      </c>
      <c r="J558" s="59">
        <v>75000</v>
      </c>
      <c r="K558">
        <v>1</v>
      </c>
      <c r="O558" s="52"/>
    </row>
    <row r="559" spans="1:15" x14ac:dyDescent="0.15">
      <c r="A559">
        <v>3</v>
      </c>
      <c r="D559" s="51" t="s">
        <v>23</v>
      </c>
      <c r="E559" s="51" t="s">
        <v>43</v>
      </c>
      <c r="G559" s="51" t="s">
        <v>19</v>
      </c>
      <c r="H559">
        <v>1</v>
      </c>
      <c r="I559" s="58">
        <v>39000</v>
      </c>
      <c r="J559" s="59">
        <v>39000</v>
      </c>
      <c r="K559">
        <v>1</v>
      </c>
      <c r="O559" s="52"/>
    </row>
    <row r="560" spans="1:15" x14ac:dyDescent="0.15">
      <c r="A560">
        <v>2</v>
      </c>
      <c r="D560" s="51" t="s">
        <v>20</v>
      </c>
      <c r="E560" s="51" t="s">
        <v>252</v>
      </c>
      <c r="G560" s="51" t="s">
        <v>66</v>
      </c>
      <c r="H560">
        <v>1</v>
      </c>
      <c r="I560" s="58">
        <v>230000</v>
      </c>
      <c r="J560" s="59">
        <v>230000</v>
      </c>
      <c r="K560">
        <v>1</v>
      </c>
      <c r="M560" s="51" t="s">
        <v>253</v>
      </c>
      <c r="O560" s="52"/>
    </row>
    <row r="561" spans="1:15" x14ac:dyDescent="0.15">
      <c r="A561">
        <v>3</v>
      </c>
      <c r="D561" s="51" t="s">
        <v>39</v>
      </c>
      <c r="E561" s="51" t="s">
        <v>254</v>
      </c>
      <c r="G561" s="51" t="s">
        <v>70</v>
      </c>
      <c r="H561">
        <v>1</v>
      </c>
      <c r="I561" s="58">
        <v>16200</v>
      </c>
      <c r="J561" s="59">
        <v>16200</v>
      </c>
      <c r="K561">
        <v>1</v>
      </c>
      <c r="O561" s="52"/>
    </row>
    <row r="562" spans="1:15" x14ac:dyDescent="0.15">
      <c r="A562">
        <v>3</v>
      </c>
      <c r="D562" s="51" t="s">
        <v>39</v>
      </c>
      <c r="E562" s="51" t="s">
        <v>255</v>
      </c>
      <c r="G562" s="51" t="s">
        <v>114</v>
      </c>
      <c r="H562">
        <v>1</v>
      </c>
      <c r="I562" s="58">
        <v>11700</v>
      </c>
      <c r="J562" s="59">
        <v>11700</v>
      </c>
      <c r="K562">
        <v>1</v>
      </c>
      <c r="O562" s="52"/>
    </row>
    <row r="563" spans="1:15" x14ac:dyDescent="0.15">
      <c r="A563">
        <v>3</v>
      </c>
      <c r="D563" s="51" t="s">
        <v>39</v>
      </c>
      <c r="E563" s="51" t="s">
        <v>256</v>
      </c>
      <c r="G563" s="51" t="s">
        <v>70</v>
      </c>
      <c r="H563">
        <v>1</v>
      </c>
      <c r="I563" s="58">
        <v>3800</v>
      </c>
      <c r="J563" s="59">
        <v>3800</v>
      </c>
      <c r="K563">
        <v>1</v>
      </c>
      <c r="O563" s="52"/>
    </row>
    <row r="564" spans="1:15" x14ac:dyDescent="0.15">
      <c r="A564">
        <v>3</v>
      </c>
      <c r="D564" s="51" t="s">
        <v>36</v>
      </c>
      <c r="E564" s="51" t="s">
        <v>257</v>
      </c>
      <c r="F564" s="51" t="s">
        <v>258</v>
      </c>
      <c r="G564" s="51" t="s">
        <v>19</v>
      </c>
      <c r="H564">
        <v>1</v>
      </c>
      <c r="I564" s="58">
        <v>6000</v>
      </c>
      <c r="J564" s="59">
        <v>6000</v>
      </c>
      <c r="K564">
        <v>1</v>
      </c>
      <c r="O564" s="52"/>
    </row>
    <row r="565" spans="1:15" x14ac:dyDescent="0.15">
      <c r="A565">
        <v>3</v>
      </c>
      <c r="D565" s="51" t="s">
        <v>39</v>
      </c>
      <c r="E565" s="51" t="s">
        <v>247</v>
      </c>
      <c r="F565" s="51" t="s">
        <v>259</v>
      </c>
      <c r="G565" s="51" t="s">
        <v>72</v>
      </c>
      <c r="H565">
        <v>1</v>
      </c>
      <c r="I565" s="58">
        <v>8400</v>
      </c>
      <c r="J565" s="59">
        <v>8400</v>
      </c>
      <c r="K565">
        <v>1</v>
      </c>
      <c r="O565" s="52"/>
    </row>
    <row r="566" spans="1:15" x14ac:dyDescent="0.15">
      <c r="A566">
        <v>3</v>
      </c>
      <c r="D566" s="51" t="s">
        <v>39</v>
      </c>
      <c r="E566" s="51" t="s">
        <v>47</v>
      </c>
      <c r="G566" s="51" t="s">
        <v>26</v>
      </c>
      <c r="H566">
        <v>1</v>
      </c>
      <c r="I566" s="58">
        <v>1800</v>
      </c>
      <c r="J566" s="59">
        <v>1800</v>
      </c>
      <c r="K566">
        <v>1</v>
      </c>
      <c r="O566" s="52"/>
    </row>
    <row r="567" spans="1:15" x14ac:dyDescent="0.15">
      <c r="A567">
        <v>3</v>
      </c>
      <c r="D567" s="51" t="s">
        <v>39</v>
      </c>
      <c r="E567" s="51" t="s">
        <v>75</v>
      </c>
      <c r="G567" s="51" t="s">
        <v>26</v>
      </c>
      <c r="H567">
        <v>0.5</v>
      </c>
      <c r="I567" s="58">
        <v>30000</v>
      </c>
      <c r="J567" s="59">
        <v>15000</v>
      </c>
      <c r="K567">
        <v>1</v>
      </c>
      <c r="O567" s="52"/>
    </row>
    <row r="568" spans="1:15" x14ac:dyDescent="0.15">
      <c r="A568">
        <v>3</v>
      </c>
      <c r="D568" s="51" t="s">
        <v>30</v>
      </c>
      <c r="E568" s="51" t="s">
        <v>31</v>
      </c>
      <c r="G568" s="51" t="s">
        <v>32</v>
      </c>
      <c r="H568">
        <v>3</v>
      </c>
      <c r="I568" s="58">
        <v>28000</v>
      </c>
      <c r="J568" s="59">
        <v>84000</v>
      </c>
      <c r="K568">
        <v>1</v>
      </c>
      <c r="O568" s="52"/>
    </row>
    <row r="569" spans="1:15" x14ac:dyDescent="0.15">
      <c r="A569">
        <v>3</v>
      </c>
      <c r="D569" s="51" t="s">
        <v>33</v>
      </c>
      <c r="E569" s="51" t="s">
        <v>76</v>
      </c>
      <c r="G569" s="51" t="s">
        <v>35</v>
      </c>
      <c r="H569">
        <v>1</v>
      </c>
      <c r="I569" s="58">
        <v>8000</v>
      </c>
      <c r="J569" s="59">
        <v>8000</v>
      </c>
      <c r="K569">
        <v>1</v>
      </c>
      <c r="O569" s="52"/>
    </row>
    <row r="570" spans="1:15" x14ac:dyDescent="0.15">
      <c r="A570">
        <v>3</v>
      </c>
      <c r="D570" s="51" t="s">
        <v>36</v>
      </c>
      <c r="E570" s="51" t="s">
        <v>37</v>
      </c>
      <c r="G570" s="51" t="s">
        <v>35</v>
      </c>
      <c r="H570">
        <v>1</v>
      </c>
      <c r="I570" s="58">
        <v>10000</v>
      </c>
      <c r="J570" s="59">
        <v>10000</v>
      </c>
      <c r="K570">
        <v>1</v>
      </c>
      <c r="O570" s="52"/>
    </row>
    <row r="571" spans="1:15" x14ac:dyDescent="0.15">
      <c r="A571">
        <v>3</v>
      </c>
      <c r="D571" s="51" t="s">
        <v>36</v>
      </c>
      <c r="E571" s="51" t="s">
        <v>38</v>
      </c>
      <c r="G571" s="51" t="s">
        <v>35</v>
      </c>
      <c r="H571">
        <v>1</v>
      </c>
      <c r="I571" s="58">
        <v>7000</v>
      </c>
      <c r="J571" s="59">
        <v>7000</v>
      </c>
      <c r="K571">
        <v>1</v>
      </c>
      <c r="O571" s="52"/>
    </row>
    <row r="572" spans="1:15" x14ac:dyDescent="0.15">
      <c r="A572">
        <v>3</v>
      </c>
      <c r="D572" s="51" t="s">
        <v>39</v>
      </c>
      <c r="E572" s="51" t="s">
        <v>40</v>
      </c>
      <c r="G572" s="51" t="s">
        <v>41</v>
      </c>
      <c r="H572">
        <v>20</v>
      </c>
      <c r="I572" s="58">
        <v>150</v>
      </c>
      <c r="J572" s="59">
        <v>3000</v>
      </c>
      <c r="K572">
        <v>1</v>
      </c>
      <c r="O572" s="52"/>
    </row>
    <row r="573" spans="1:15" x14ac:dyDescent="0.15">
      <c r="A573">
        <v>3</v>
      </c>
      <c r="D573" s="51" t="s">
        <v>39</v>
      </c>
      <c r="E573" s="51" t="s">
        <v>52</v>
      </c>
      <c r="G573" s="51" t="s">
        <v>41</v>
      </c>
      <c r="H573">
        <v>40</v>
      </c>
      <c r="I573" s="58">
        <v>200</v>
      </c>
      <c r="J573" s="59">
        <v>8000</v>
      </c>
      <c r="K573">
        <v>1</v>
      </c>
      <c r="O573" s="52"/>
    </row>
    <row r="574" spans="1:15" x14ac:dyDescent="0.15">
      <c r="A574">
        <v>3</v>
      </c>
      <c r="D574" s="51" t="s">
        <v>39</v>
      </c>
      <c r="E574" s="51" t="s">
        <v>42</v>
      </c>
      <c r="G574" s="51" t="s">
        <v>19</v>
      </c>
      <c r="H574">
        <v>1</v>
      </c>
      <c r="I574" s="58">
        <v>36200</v>
      </c>
      <c r="J574" s="59">
        <v>36200</v>
      </c>
      <c r="K574">
        <v>1</v>
      </c>
      <c r="O574" s="52"/>
    </row>
    <row r="575" spans="1:15" x14ac:dyDescent="0.15">
      <c r="A575">
        <v>3</v>
      </c>
      <c r="D575" s="51" t="s">
        <v>23</v>
      </c>
      <c r="E575" s="51" t="s">
        <v>43</v>
      </c>
      <c r="G575" s="51" t="s">
        <v>19</v>
      </c>
      <c r="H575">
        <v>1</v>
      </c>
      <c r="I575" s="58">
        <v>10900</v>
      </c>
      <c r="J575" s="59">
        <v>10900</v>
      </c>
      <c r="K575">
        <v>1</v>
      </c>
      <c r="O575" s="52"/>
    </row>
    <row r="576" spans="1:15" x14ac:dyDescent="0.15">
      <c r="A576">
        <v>2</v>
      </c>
      <c r="D576" s="51" t="s">
        <v>20</v>
      </c>
      <c r="E576" s="51" t="s">
        <v>260</v>
      </c>
      <c r="G576" s="51" t="s">
        <v>66</v>
      </c>
      <c r="H576">
        <v>30</v>
      </c>
      <c r="I576" s="58">
        <v>4200</v>
      </c>
      <c r="J576" s="59">
        <v>126000</v>
      </c>
      <c r="K576">
        <v>30</v>
      </c>
      <c r="M576" s="51" t="s">
        <v>261</v>
      </c>
      <c r="O576" s="52"/>
    </row>
    <row r="577" spans="1:15" x14ac:dyDescent="0.15">
      <c r="A577">
        <v>3</v>
      </c>
      <c r="D577" s="51" t="s">
        <v>39</v>
      </c>
      <c r="E577" s="51" t="s">
        <v>173</v>
      </c>
      <c r="F577" s="51" t="s">
        <v>262</v>
      </c>
      <c r="G577" s="51" t="s">
        <v>114</v>
      </c>
      <c r="H577">
        <v>30</v>
      </c>
      <c r="I577" s="58">
        <v>2500</v>
      </c>
      <c r="J577" s="59">
        <v>75000</v>
      </c>
      <c r="K577">
        <v>1</v>
      </c>
      <c r="O577" s="52"/>
    </row>
    <row r="578" spans="1:15" x14ac:dyDescent="0.15">
      <c r="A578">
        <v>3</v>
      </c>
      <c r="D578" s="51" t="s">
        <v>30</v>
      </c>
      <c r="E578" s="51" t="s">
        <v>31</v>
      </c>
      <c r="G578" s="51" t="s">
        <v>32</v>
      </c>
      <c r="H578">
        <v>1</v>
      </c>
      <c r="I578" s="58">
        <v>28000</v>
      </c>
      <c r="J578" s="59">
        <v>28000</v>
      </c>
      <c r="K578">
        <v>1</v>
      </c>
      <c r="O578" s="52"/>
    </row>
    <row r="579" spans="1:15" x14ac:dyDescent="0.15">
      <c r="A579">
        <v>3</v>
      </c>
      <c r="D579" s="51" t="s">
        <v>39</v>
      </c>
      <c r="E579" s="51" t="s">
        <v>263</v>
      </c>
      <c r="G579" s="51" t="s">
        <v>114</v>
      </c>
      <c r="H579">
        <v>5</v>
      </c>
      <c r="I579" s="58">
        <v>3000</v>
      </c>
      <c r="J579" s="59">
        <v>15000</v>
      </c>
      <c r="K579">
        <v>1</v>
      </c>
      <c r="O579" s="52"/>
    </row>
    <row r="580" spans="1:15" x14ac:dyDescent="0.15">
      <c r="A580">
        <v>3</v>
      </c>
      <c r="D580" s="51" t="s">
        <v>33</v>
      </c>
      <c r="E580" s="51" t="s">
        <v>221</v>
      </c>
      <c r="G580" s="51" t="s">
        <v>19</v>
      </c>
      <c r="H580">
        <v>1</v>
      </c>
      <c r="I580" s="58">
        <v>3000</v>
      </c>
      <c r="J580" s="59">
        <v>3000</v>
      </c>
      <c r="K580">
        <v>1</v>
      </c>
      <c r="O580" s="52"/>
    </row>
    <row r="581" spans="1:15" x14ac:dyDescent="0.15">
      <c r="A581">
        <v>3</v>
      </c>
      <c r="D581" s="51" t="s">
        <v>39</v>
      </c>
      <c r="E581" s="51" t="s">
        <v>42</v>
      </c>
      <c r="G581" s="51" t="s">
        <v>19</v>
      </c>
      <c r="H581">
        <v>1</v>
      </c>
      <c r="I581" s="58">
        <v>1900</v>
      </c>
      <c r="J581" s="59">
        <v>1900</v>
      </c>
      <c r="K581">
        <v>1</v>
      </c>
      <c r="O581" s="52"/>
    </row>
    <row r="582" spans="1:15" x14ac:dyDescent="0.15">
      <c r="A582">
        <v>3</v>
      </c>
      <c r="D582" s="51" t="s">
        <v>23</v>
      </c>
      <c r="E582" s="51" t="s">
        <v>43</v>
      </c>
      <c r="G582" s="51" t="s">
        <v>19</v>
      </c>
      <c r="H582">
        <v>1</v>
      </c>
      <c r="I582" s="58">
        <v>3100</v>
      </c>
      <c r="J582" s="59">
        <v>3100</v>
      </c>
      <c r="K582">
        <v>1</v>
      </c>
      <c r="O582" s="52"/>
    </row>
    <row r="583" spans="1:15" x14ac:dyDescent="0.15">
      <c r="A583">
        <v>1</v>
      </c>
      <c r="D583" s="51" t="s">
        <v>20</v>
      </c>
      <c r="E583" s="51" t="s">
        <v>264</v>
      </c>
      <c r="G583" s="51" t="s">
        <v>63</v>
      </c>
      <c r="H583">
        <v>197.6</v>
      </c>
      <c r="I583" s="58">
        <v>478.8</v>
      </c>
      <c r="J583" s="59">
        <v>94610</v>
      </c>
      <c r="K583">
        <v>197.6</v>
      </c>
      <c r="M583" s="51" t="s">
        <v>265</v>
      </c>
      <c r="O583" s="52"/>
    </row>
    <row r="584" spans="1:15" x14ac:dyDescent="0.15">
      <c r="A584">
        <v>2</v>
      </c>
      <c r="D584" s="51" t="s">
        <v>20</v>
      </c>
      <c r="E584" s="51" t="s">
        <v>266</v>
      </c>
      <c r="F584" s="51" t="s">
        <v>267</v>
      </c>
      <c r="G584" s="51" t="s">
        <v>63</v>
      </c>
      <c r="H584">
        <v>46.8</v>
      </c>
      <c r="I584" s="58">
        <v>250</v>
      </c>
      <c r="J584" s="59">
        <v>11700</v>
      </c>
      <c r="K584">
        <v>46.8</v>
      </c>
      <c r="M584" s="51" t="s">
        <v>268</v>
      </c>
      <c r="O584" s="52"/>
    </row>
    <row r="585" spans="1:15" x14ac:dyDescent="0.15">
      <c r="A585">
        <v>3</v>
      </c>
      <c r="D585" s="51" t="s">
        <v>23</v>
      </c>
      <c r="E585" s="51" t="s">
        <v>266</v>
      </c>
      <c r="F585" s="51" t="s">
        <v>267</v>
      </c>
      <c r="G585" s="51" t="s">
        <v>63</v>
      </c>
      <c r="H585">
        <v>46.8</v>
      </c>
      <c r="I585" s="58">
        <v>250</v>
      </c>
      <c r="J585" s="59">
        <v>11700</v>
      </c>
      <c r="K585">
        <v>1</v>
      </c>
      <c r="O585" s="52"/>
    </row>
    <row r="586" spans="1:15" x14ac:dyDescent="0.15">
      <c r="A586">
        <v>2</v>
      </c>
      <c r="D586" s="51" t="s">
        <v>20</v>
      </c>
      <c r="E586" s="51" t="s">
        <v>269</v>
      </c>
      <c r="G586" s="51" t="s">
        <v>270</v>
      </c>
      <c r="H586">
        <v>12</v>
      </c>
      <c r="I586" s="58">
        <v>1000</v>
      </c>
      <c r="J586" s="59">
        <v>12000</v>
      </c>
      <c r="K586">
        <v>12</v>
      </c>
      <c r="M586" s="51" t="s">
        <v>271</v>
      </c>
      <c r="O586" s="52"/>
    </row>
    <row r="587" spans="1:15" x14ac:dyDescent="0.15">
      <c r="A587">
        <v>3</v>
      </c>
      <c r="D587" s="51" t="s">
        <v>23</v>
      </c>
      <c r="E587" s="51" t="s">
        <v>269</v>
      </c>
      <c r="G587" s="51" t="s">
        <v>270</v>
      </c>
      <c r="H587">
        <v>12</v>
      </c>
      <c r="I587" s="58">
        <v>1000</v>
      </c>
      <c r="J587" s="59">
        <v>12000</v>
      </c>
      <c r="K587">
        <v>1</v>
      </c>
      <c r="O587" s="52"/>
    </row>
    <row r="588" spans="1:15" x14ac:dyDescent="0.15">
      <c r="A588">
        <v>2</v>
      </c>
      <c r="D588" s="51" t="s">
        <v>20</v>
      </c>
      <c r="E588" s="51" t="s">
        <v>272</v>
      </c>
      <c r="G588" s="51" t="s">
        <v>63</v>
      </c>
      <c r="H588">
        <v>26</v>
      </c>
      <c r="I588" s="58">
        <v>250</v>
      </c>
      <c r="J588" s="59">
        <v>6500</v>
      </c>
      <c r="K588">
        <v>26</v>
      </c>
      <c r="M588" s="51" t="s">
        <v>273</v>
      </c>
      <c r="O588" s="52"/>
    </row>
    <row r="589" spans="1:15" x14ac:dyDescent="0.15">
      <c r="A589">
        <v>3</v>
      </c>
      <c r="D589" s="51" t="s">
        <v>23</v>
      </c>
      <c r="E589" s="51" t="s">
        <v>272</v>
      </c>
      <c r="F589" s="51" t="s">
        <v>274</v>
      </c>
      <c r="G589" s="51" t="s">
        <v>63</v>
      </c>
      <c r="H589">
        <v>26</v>
      </c>
      <c r="I589" s="58">
        <v>250</v>
      </c>
      <c r="J589" s="59">
        <v>6500</v>
      </c>
      <c r="K589">
        <v>1</v>
      </c>
      <c r="O589" s="52"/>
    </row>
    <row r="590" spans="1:15" x14ac:dyDescent="0.15">
      <c r="A590">
        <v>2</v>
      </c>
      <c r="D590" s="51" t="s">
        <v>20</v>
      </c>
      <c r="E590" s="51" t="s">
        <v>275</v>
      </c>
      <c r="G590" s="51" t="s">
        <v>63</v>
      </c>
      <c r="H590">
        <v>63</v>
      </c>
      <c r="I590" s="58">
        <v>250</v>
      </c>
      <c r="J590" s="59">
        <v>15750</v>
      </c>
      <c r="K590">
        <v>63</v>
      </c>
      <c r="M590" s="51" t="s">
        <v>276</v>
      </c>
      <c r="O590" s="52"/>
    </row>
    <row r="591" spans="1:15" x14ac:dyDescent="0.15">
      <c r="A591">
        <v>3</v>
      </c>
      <c r="D591" s="51" t="s">
        <v>23</v>
      </c>
      <c r="E591" s="51" t="s">
        <v>275</v>
      </c>
      <c r="F591" s="51" t="s">
        <v>274</v>
      </c>
      <c r="G591" s="51" t="s">
        <v>63</v>
      </c>
      <c r="H591">
        <v>63</v>
      </c>
      <c r="I591" s="58">
        <v>250</v>
      </c>
      <c r="J591" s="59">
        <v>15750</v>
      </c>
      <c r="K591">
        <v>1</v>
      </c>
      <c r="O591" s="52"/>
    </row>
    <row r="592" spans="1:15" x14ac:dyDescent="0.15">
      <c r="A592">
        <v>2</v>
      </c>
      <c r="D592" s="51" t="s">
        <v>20</v>
      </c>
      <c r="E592" s="51" t="s">
        <v>277</v>
      </c>
      <c r="G592" s="51" t="s">
        <v>63</v>
      </c>
      <c r="H592">
        <v>19.5</v>
      </c>
      <c r="I592" s="58">
        <v>800</v>
      </c>
      <c r="J592" s="59">
        <v>15600</v>
      </c>
      <c r="K592">
        <v>19.5</v>
      </c>
      <c r="M592" s="51" t="s">
        <v>278</v>
      </c>
      <c r="O592" s="52"/>
    </row>
    <row r="593" spans="1:15" x14ac:dyDescent="0.15">
      <c r="A593">
        <v>3</v>
      </c>
      <c r="D593" s="51" t="s">
        <v>23</v>
      </c>
      <c r="E593" s="51" t="s">
        <v>277</v>
      </c>
      <c r="F593" s="51" t="s">
        <v>279</v>
      </c>
      <c r="G593" s="51" t="s">
        <v>63</v>
      </c>
      <c r="H593">
        <v>19.5</v>
      </c>
      <c r="I593" s="58">
        <v>800</v>
      </c>
      <c r="J593" s="59">
        <v>15600</v>
      </c>
      <c r="K593">
        <v>1</v>
      </c>
      <c r="O593" s="52"/>
    </row>
    <row r="594" spans="1:15" x14ac:dyDescent="0.15">
      <c r="A594">
        <v>2</v>
      </c>
      <c r="D594" s="51" t="s">
        <v>20</v>
      </c>
      <c r="E594" s="51" t="s">
        <v>280</v>
      </c>
      <c r="G594" s="51" t="s">
        <v>63</v>
      </c>
      <c r="H594">
        <v>30.3</v>
      </c>
      <c r="I594" s="58">
        <v>300</v>
      </c>
      <c r="J594" s="59">
        <v>9090</v>
      </c>
      <c r="K594">
        <v>30.3</v>
      </c>
      <c r="M594" s="51" t="s">
        <v>281</v>
      </c>
      <c r="O594" s="52"/>
    </row>
    <row r="595" spans="1:15" x14ac:dyDescent="0.15">
      <c r="A595">
        <v>3</v>
      </c>
      <c r="D595" s="51" t="s">
        <v>23</v>
      </c>
      <c r="E595" s="51" t="s">
        <v>275</v>
      </c>
      <c r="F595" s="51" t="s">
        <v>274</v>
      </c>
      <c r="G595" s="51" t="s">
        <v>63</v>
      </c>
      <c r="H595">
        <v>30.3</v>
      </c>
      <c r="I595" s="58">
        <v>300</v>
      </c>
      <c r="J595" s="59">
        <v>9090</v>
      </c>
      <c r="K595">
        <v>1</v>
      </c>
      <c r="O595" s="52"/>
    </row>
    <row r="596" spans="1:15" x14ac:dyDescent="0.15">
      <c r="A596">
        <v>2</v>
      </c>
      <c r="D596" s="51" t="s">
        <v>20</v>
      </c>
      <c r="E596" s="51" t="s">
        <v>282</v>
      </c>
      <c r="G596" s="51" t="s">
        <v>63</v>
      </c>
      <c r="H596">
        <v>12</v>
      </c>
      <c r="I596" s="58">
        <v>810</v>
      </c>
      <c r="J596" s="59">
        <v>9720</v>
      </c>
      <c r="K596">
        <v>12</v>
      </c>
      <c r="M596" s="51" t="s">
        <v>283</v>
      </c>
      <c r="O596" s="52"/>
    </row>
    <row r="597" spans="1:15" x14ac:dyDescent="0.15">
      <c r="A597">
        <v>3</v>
      </c>
      <c r="D597" s="51" t="s">
        <v>23</v>
      </c>
      <c r="E597" s="51" t="s">
        <v>282</v>
      </c>
      <c r="F597" s="51" t="s">
        <v>279</v>
      </c>
      <c r="G597" s="51" t="s">
        <v>63</v>
      </c>
      <c r="H597">
        <v>12</v>
      </c>
      <c r="I597" s="58">
        <v>810</v>
      </c>
      <c r="J597" s="59">
        <v>9720</v>
      </c>
      <c r="K597">
        <v>1</v>
      </c>
      <c r="O597" s="52"/>
    </row>
    <row r="598" spans="1:15" x14ac:dyDescent="0.15">
      <c r="A598">
        <v>2</v>
      </c>
      <c r="D598" s="51" t="s">
        <v>20</v>
      </c>
      <c r="E598" s="51" t="s">
        <v>284</v>
      </c>
      <c r="G598" s="51" t="s">
        <v>270</v>
      </c>
      <c r="H598">
        <v>1</v>
      </c>
      <c r="I598" s="58">
        <v>10500</v>
      </c>
      <c r="J598" s="59">
        <v>10500</v>
      </c>
      <c r="K598">
        <v>1</v>
      </c>
      <c r="M598" s="51" t="s">
        <v>285</v>
      </c>
      <c r="O598" s="52"/>
    </row>
    <row r="599" spans="1:15" x14ac:dyDescent="0.15">
      <c r="A599">
        <v>3</v>
      </c>
      <c r="D599" s="51" t="s">
        <v>23</v>
      </c>
      <c r="E599" s="51" t="s">
        <v>286</v>
      </c>
      <c r="G599" s="51" t="s">
        <v>270</v>
      </c>
      <c r="H599">
        <v>1</v>
      </c>
      <c r="I599" s="58">
        <v>10500</v>
      </c>
      <c r="J599" s="59">
        <v>10500</v>
      </c>
      <c r="K599">
        <v>1</v>
      </c>
      <c r="O599" s="52"/>
    </row>
    <row r="600" spans="1:15" x14ac:dyDescent="0.15">
      <c r="A600">
        <v>2</v>
      </c>
      <c r="D600" s="51" t="s">
        <v>20</v>
      </c>
      <c r="E600" s="51" t="s">
        <v>287</v>
      </c>
      <c r="G600" s="51" t="s">
        <v>270</v>
      </c>
      <c r="H600">
        <v>1</v>
      </c>
      <c r="I600" s="58">
        <v>3750</v>
      </c>
      <c r="J600" s="59">
        <v>3750</v>
      </c>
      <c r="K600">
        <v>1</v>
      </c>
      <c r="M600" s="51" t="s">
        <v>288</v>
      </c>
      <c r="O600" s="52"/>
    </row>
    <row r="601" spans="1:15" x14ac:dyDescent="0.15">
      <c r="A601">
        <v>3</v>
      </c>
      <c r="D601" s="51" t="s">
        <v>23</v>
      </c>
      <c r="E601" s="51" t="s">
        <v>287</v>
      </c>
      <c r="G601" s="51" t="s">
        <v>270</v>
      </c>
      <c r="H601">
        <v>1</v>
      </c>
      <c r="I601" s="58">
        <v>3750</v>
      </c>
      <c r="J601" s="59">
        <v>3750</v>
      </c>
      <c r="K601">
        <v>1</v>
      </c>
      <c r="O601" s="52"/>
    </row>
    <row r="602" spans="1:15" x14ac:dyDescent="0.15">
      <c r="A602">
        <v>1</v>
      </c>
      <c r="D602" s="51" t="s">
        <v>20</v>
      </c>
      <c r="E602" s="51" t="s">
        <v>289</v>
      </c>
      <c r="G602" s="51" t="s">
        <v>45</v>
      </c>
      <c r="H602">
        <v>95</v>
      </c>
      <c r="I602" s="58">
        <v>43048.43</v>
      </c>
      <c r="J602" s="59">
        <v>4089600</v>
      </c>
      <c r="K602">
        <v>95</v>
      </c>
      <c r="M602" s="51" t="s">
        <v>290</v>
      </c>
      <c r="O602" s="52"/>
    </row>
    <row r="603" spans="1:15" x14ac:dyDescent="0.15">
      <c r="A603">
        <v>2</v>
      </c>
      <c r="D603" s="51" t="s">
        <v>20</v>
      </c>
      <c r="E603" s="51" t="s">
        <v>291</v>
      </c>
      <c r="F603" s="51" t="s">
        <v>292</v>
      </c>
      <c r="G603" s="51" t="s">
        <v>63</v>
      </c>
      <c r="H603">
        <v>13.2</v>
      </c>
      <c r="I603" s="58">
        <v>15000</v>
      </c>
      <c r="J603" s="59">
        <v>198000</v>
      </c>
      <c r="K603">
        <v>13.2</v>
      </c>
      <c r="M603" s="51" t="s">
        <v>293</v>
      </c>
      <c r="O603" s="52"/>
    </row>
    <row r="604" spans="1:15" x14ac:dyDescent="0.15">
      <c r="A604">
        <v>3</v>
      </c>
      <c r="D604" s="51" t="s">
        <v>30</v>
      </c>
      <c r="E604" s="51" t="s">
        <v>31</v>
      </c>
      <c r="G604" s="51" t="s">
        <v>32</v>
      </c>
      <c r="H604">
        <v>4</v>
      </c>
      <c r="I604" s="58">
        <v>32000</v>
      </c>
      <c r="J604" s="59">
        <v>128000</v>
      </c>
      <c r="K604">
        <v>1</v>
      </c>
      <c r="O604" s="52"/>
    </row>
    <row r="605" spans="1:15" x14ac:dyDescent="0.15">
      <c r="A605">
        <v>3</v>
      </c>
      <c r="D605" s="51" t="s">
        <v>33</v>
      </c>
      <c r="E605" s="51" t="s">
        <v>76</v>
      </c>
      <c r="G605" s="51" t="s">
        <v>35</v>
      </c>
      <c r="H605">
        <v>1</v>
      </c>
      <c r="I605" s="58">
        <v>8000</v>
      </c>
      <c r="J605" s="59">
        <v>8000</v>
      </c>
      <c r="K605">
        <v>1</v>
      </c>
      <c r="O605" s="52"/>
    </row>
    <row r="606" spans="1:15" x14ac:dyDescent="0.15">
      <c r="A606">
        <v>3</v>
      </c>
      <c r="D606" s="51" t="s">
        <v>33</v>
      </c>
      <c r="E606" s="51" t="s">
        <v>182</v>
      </c>
      <c r="G606" s="51" t="s">
        <v>35</v>
      </c>
      <c r="H606">
        <v>1</v>
      </c>
      <c r="I606" s="58">
        <v>8000</v>
      </c>
      <c r="J606" s="59">
        <v>8000</v>
      </c>
      <c r="K606">
        <v>1</v>
      </c>
      <c r="O606" s="52"/>
    </row>
    <row r="607" spans="1:15" x14ac:dyDescent="0.15">
      <c r="A607">
        <v>3</v>
      </c>
      <c r="D607" s="51" t="s">
        <v>33</v>
      </c>
      <c r="E607" s="51" t="s">
        <v>221</v>
      </c>
      <c r="G607" s="51" t="s">
        <v>35</v>
      </c>
      <c r="H607">
        <v>1</v>
      </c>
      <c r="I607" s="58">
        <v>3000</v>
      </c>
      <c r="J607" s="59">
        <v>3000</v>
      </c>
      <c r="K607">
        <v>1</v>
      </c>
      <c r="O607" s="52"/>
    </row>
    <row r="608" spans="1:15" x14ac:dyDescent="0.15">
      <c r="A608">
        <v>3</v>
      </c>
      <c r="D608" s="51" t="s">
        <v>36</v>
      </c>
      <c r="E608" s="51" t="s">
        <v>37</v>
      </c>
      <c r="G608" s="51" t="s">
        <v>35</v>
      </c>
      <c r="H608">
        <v>1</v>
      </c>
      <c r="I608" s="58">
        <v>10000</v>
      </c>
      <c r="J608" s="59">
        <v>10000</v>
      </c>
      <c r="K608">
        <v>1</v>
      </c>
      <c r="O608" s="52"/>
    </row>
    <row r="609" spans="1:15" x14ac:dyDescent="0.15">
      <c r="A609">
        <v>3</v>
      </c>
      <c r="D609" s="51" t="s">
        <v>36</v>
      </c>
      <c r="E609" s="51" t="s">
        <v>38</v>
      </c>
      <c r="G609" s="51" t="s">
        <v>35</v>
      </c>
      <c r="H609">
        <v>1</v>
      </c>
      <c r="I609" s="58">
        <v>7000</v>
      </c>
      <c r="J609" s="59">
        <v>7000</v>
      </c>
      <c r="K609">
        <v>1</v>
      </c>
      <c r="O609" s="52"/>
    </row>
    <row r="610" spans="1:15" x14ac:dyDescent="0.15">
      <c r="A610">
        <v>3</v>
      </c>
      <c r="D610" s="51" t="s">
        <v>39</v>
      </c>
      <c r="E610" s="51" t="s">
        <v>40</v>
      </c>
      <c r="G610" s="51" t="s">
        <v>41</v>
      </c>
      <c r="H610">
        <v>50</v>
      </c>
      <c r="I610" s="58">
        <v>150</v>
      </c>
      <c r="J610" s="59">
        <v>7500</v>
      </c>
      <c r="K610">
        <v>1</v>
      </c>
      <c r="O610" s="52"/>
    </row>
    <row r="611" spans="1:15" x14ac:dyDescent="0.15">
      <c r="A611">
        <v>3</v>
      </c>
      <c r="D611" s="51" t="s">
        <v>39</v>
      </c>
      <c r="E611" s="51" t="s">
        <v>52</v>
      </c>
      <c r="G611" s="51" t="s">
        <v>41</v>
      </c>
      <c r="H611">
        <v>40</v>
      </c>
      <c r="I611" s="58">
        <v>200</v>
      </c>
      <c r="J611" s="59">
        <v>8000</v>
      </c>
      <c r="K611">
        <v>1</v>
      </c>
      <c r="O611" s="52"/>
    </row>
    <row r="612" spans="1:15" x14ac:dyDescent="0.15">
      <c r="A612">
        <v>3</v>
      </c>
      <c r="D612" s="51" t="s">
        <v>39</v>
      </c>
      <c r="E612" s="51" t="s">
        <v>42</v>
      </c>
      <c r="G612" s="51" t="s">
        <v>19</v>
      </c>
      <c r="H612">
        <v>1</v>
      </c>
      <c r="I612" s="58">
        <v>2100</v>
      </c>
      <c r="J612" s="59">
        <v>2100</v>
      </c>
      <c r="K612">
        <v>1</v>
      </c>
      <c r="O612" s="52"/>
    </row>
    <row r="613" spans="1:15" x14ac:dyDescent="0.15">
      <c r="A613">
        <v>3</v>
      </c>
      <c r="D613" s="51" t="s">
        <v>23</v>
      </c>
      <c r="E613" s="51" t="s">
        <v>43</v>
      </c>
      <c r="G613" s="51" t="s">
        <v>19</v>
      </c>
      <c r="H613">
        <v>1</v>
      </c>
      <c r="I613" s="58">
        <v>16400</v>
      </c>
      <c r="J613" s="59">
        <v>16400</v>
      </c>
      <c r="K613">
        <v>1</v>
      </c>
      <c r="O613" s="52"/>
    </row>
    <row r="614" spans="1:15" x14ac:dyDescent="0.15">
      <c r="A614">
        <v>2</v>
      </c>
      <c r="D614" s="51" t="s">
        <v>20</v>
      </c>
      <c r="E614" s="51" t="s">
        <v>291</v>
      </c>
      <c r="F614" s="51" t="s">
        <v>294</v>
      </c>
      <c r="G614" s="51" t="s">
        <v>63</v>
      </c>
      <c r="H614">
        <v>9.6</v>
      </c>
      <c r="I614" s="58">
        <v>20700</v>
      </c>
      <c r="J614" s="59">
        <v>198720</v>
      </c>
      <c r="K614">
        <v>9.6</v>
      </c>
      <c r="M614" s="51" t="s">
        <v>295</v>
      </c>
      <c r="O614" s="52"/>
    </row>
    <row r="615" spans="1:15" x14ac:dyDescent="0.15">
      <c r="A615">
        <v>3</v>
      </c>
      <c r="D615" s="51" t="s">
        <v>30</v>
      </c>
      <c r="E615" s="51" t="s">
        <v>31</v>
      </c>
      <c r="G615" s="51" t="s">
        <v>32</v>
      </c>
      <c r="H615">
        <v>4</v>
      </c>
      <c r="I615" s="58">
        <v>32000</v>
      </c>
      <c r="J615" s="59">
        <v>128000</v>
      </c>
      <c r="K615">
        <v>1</v>
      </c>
      <c r="O615" s="52"/>
    </row>
    <row r="616" spans="1:15" x14ac:dyDescent="0.15">
      <c r="A616">
        <v>3</v>
      </c>
      <c r="D616" s="51" t="s">
        <v>33</v>
      </c>
      <c r="E616" s="51" t="s">
        <v>76</v>
      </c>
      <c r="G616" s="51" t="s">
        <v>35</v>
      </c>
      <c r="H616">
        <v>1</v>
      </c>
      <c r="I616" s="58">
        <v>8000</v>
      </c>
      <c r="J616" s="59">
        <v>8000</v>
      </c>
      <c r="K616">
        <v>1</v>
      </c>
      <c r="O616" s="52"/>
    </row>
    <row r="617" spans="1:15" x14ac:dyDescent="0.15">
      <c r="A617">
        <v>3</v>
      </c>
      <c r="D617" s="51" t="s">
        <v>33</v>
      </c>
      <c r="E617" s="51" t="s">
        <v>182</v>
      </c>
      <c r="G617" s="51" t="s">
        <v>35</v>
      </c>
      <c r="H617">
        <v>1</v>
      </c>
      <c r="I617" s="58">
        <v>8000</v>
      </c>
      <c r="J617" s="59">
        <v>8000</v>
      </c>
      <c r="K617">
        <v>1</v>
      </c>
      <c r="O617" s="52"/>
    </row>
    <row r="618" spans="1:15" x14ac:dyDescent="0.15">
      <c r="A618">
        <v>3</v>
      </c>
      <c r="D618" s="51" t="s">
        <v>33</v>
      </c>
      <c r="E618" s="51" t="s">
        <v>221</v>
      </c>
      <c r="G618" s="51" t="s">
        <v>35</v>
      </c>
      <c r="H618">
        <v>1</v>
      </c>
      <c r="I618" s="58">
        <v>3000</v>
      </c>
      <c r="J618" s="59">
        <v>3000</v>
      </c>
      <c r="K618">
        <v>1</v>
      </c>
      <c r="O618" s="52"/>
    </row>
    <row r="619" spans="1:15" x14ac:dyDescent="0.15">
      <c r="A619">
        <v>3</v>
      </c>
      <c r="D619" s="51" t="s">
        <v>36</v>
      </c>
      <c r="E619" s="51" t="s">
        <v>37</v>
      </c>
      <c r="G619" s="51" t="s">
        <v>35</v>
      </c>
      <c r="H619">
        <v>1</v>
      </c>
      <c r="I619" s="58">
        <v>10000</v>
      </c>
      <c r="J619" s="59">
        <v>10000</v>
      </c>
      <c r="K619">
        <v>1</v>
      </c>
      <c r="O619" s="52"/>
    </row>
    <row r="620" spans="1:15" x14ac:dyDescent="0.15">
      <c r="A620">
        <v>3</v>
      </c>
      <c r="D620" s="51" t="s">
        <v>36</v>
      </c>
      <c r="E620" s="51" t="s">
        <v>38</v>
      </c>
      <c r="G620" s="51" t="s">
        <v>35</v>
      </c>
      <c r="H620">
        <v>1</v>
      </c>
      <c r="I620" s="58">
        <v>7000</v>
      </c>
      <c r="J620" s="59">
        <v>7000</v>
      </c>
      <c r="K620">
        <v>1</v>
      </c>
      <c r="O620" s="52"/>
    </row>
    <row r="621" spans="1:15" x14ac:dyDescent="0.15">
      <c r="A621">
        <v>3</v>
      </c>
      <c r="D621" s="51" t="s">
        <v>39</v>
      </c>
      <c r="E621" s="51" t="s">
        <v>40</v>
      </c>
      <c r="G621" s="51" t="s">
        <v>41</v>
      </c>
      <c r="H621">
        <v>50</v>
      </c>
      <c r="I621" s="58">
        <v>150</v>
      </c>
      <c r="J621" s="59">
        <v>7500</v>
      </c>
      <c r="K621">
        <v>1</v>
      </c>
      <c r="O621" s="52"/>
    </row>
    <row r="622" spans="1:15" x14ac:dyDescent="0.15">
      <c r="A622">
        <v>3</v>
      </c>
      <c r="D622" s="51" t="s">
        <v>39</v>
      </c>
      <c r="E622" s="51" t="s">
        <v>52</v>
      </c>
      <c r="G622" s="51" t="s">
        <v>41</v>
      </c>
      <c r="H622">
        <v>40</v>
      </c>
      <c r="I622" s="58">
        <v>200</v>
      </c>
      <c r="J622" s="59">
        <v>8000</v>
      </c>
      <c r="K622">
        <v>1</v>
      </c>
      <c r="O622" s="52"/>
    </row>
    <row r="623" spans="1:15" x14ac:dyDescent="0.15">
      <c r="A623">
        <v>3</v>
      </c>
      <c r="D623" s="51" t="s">
        <v>39</v>
      </c>
      <c r="E623" s="51" t="s">
        <v>42</v>
      </c>
      <c r="G623" s="51" t="s">
        <v>19</v>
      </c>
      <c r="H623">
        <v>1</v>
      </c>
      <c r="I623" s="58">
        <v>2820</v>
      </c>
      <c r="J623" s="59">
        <v>2820</v>
      </c>
      <c r="K623">
        <v>1</v>
      </c>
      <c r="O623" s="52"/>
    </row>
    <row r="624" spans="1:15" x14ac:dyDescent="0.15">
      <c r="A624">
        <v>3</v>
      </c>
      <c r="D624" s="51" t="s">
        <v>23</v>
      </c>
      <c r="E624" s="51" t="s">
        <v>43</v>
      </c>
      <c r="G624" s="51" t="s">
        <v>19</v>
      </c>
      <c r="H624">
        <v>1</v>
      </c>
      <c r="I624" s="58">
        <v>16400</v>
      </c>
      <c r="J624" s="59">
        <v>16400</v>
      </c>
      <c r="K624">
        <v>1</v>
      </c>
      <c r="O624" s="52"/>
    </row>
    <row r="625" spans="1:15" x14ac:dyDescent="0.15">
      <c r="A625">
        <v>2</v>
      </c>
      <c r="D625" s="51" t="s">
        <v>20</v>
      </c>
      <c r="E625" s="51" t="s">
        <v>296</v>
      </c>
      <c r="F625" s="51" t="s">
        <v>292</v>
      </c>
      <c r="G625" s="51" t="s">
        <v>45</v>
      </c>
      <c r="H625">
        <v>45</v>
      </c>
      <c r="I625" s="58">
        <v>5100</v>
      </c>
      <c r="J625" s="59">
        <v>229500</v>
      </c>
      <c r="K625">
        <v>45</v>
      </c>
      <c r="M625" s="51" t="s">
        <v>297</v>
      </c>
      <c r="O625" s="52"/>
    </row>
    <row r="626" spans="1:15" x14ac:dyDescent="0.15">
      <c r="A626">
        <v>3</v>
      </c>
      <c r="D626" s="51" t="s">
        <v>30</v>
      </c>
      <c r="E626" s="51" t="s">
        <v>31</v>
      </c>
      <c r="G626" s="51" t="s">
        <v>32</v>
      </c>
      <c r="H626">
        <v>5</v>
      </c>
      <c r="I626" s="58">
        <v>32000</v>
      </c>
      <c r="J626" s="59">
        <v>160000</v>
      </c>
      <c r="K626">
        <v>1</v>
      </c>
      <c r="O626" s="52"/>
    </row>
    <row r="627" spans="1:15" x14ac:dyDescent="0.15">
      <c r="A627">
        <v>3</v>
      </c>
      <c r="D627" s="51" t="s">
        <v>33</v>
      </c>
      <c r="E627" s="51" t="s">
        <v>76</v>
      </c>
      <c r="G627" s="51" t="s">
        <v>35</v>
      </c>
      <c r="H627">
        <v>1</v>
      </c>
      <c r="I627" s="58">
        <v>8000</v>
      </c>
      <c r="J627" s="59">
        <v>8000</v>
      </c>
      <c r="K627">
        <v>1</v>
      </c>
      <c r="O627" s="52"/>
    </row>
    <row r="628" spans="1:15" x14ac:dyDescent="0.15">
      <c r="A628">
        <v>3</v>
      </c>
      <c r="D628" s="51" t="s">
        <v>33</v>
      </c>
      <c r="E628" s="51" t="s">
        <v>182</v>
      </c>
      <c r="G628" s="51" t="s">
        <v>35</v>
      </c>
      <c r="H628">
        <v>1</v>
      </c>
      <c r="I628" s="58">
        <v>8000</v>
      </c>
      <c r="J628" s="59">
        <v>8000</v>
      </c>
      <c r="K628">
        <v>1</v>
      </c>
      <c r="O628" s="52"/>
    </row>
    <row r="629" spans="1:15" x14ac:dyDescent="0.15">
      <c r="A629">
        <v>3</v>
      </c>
      <c r="D629" s="51" t="s">
        <v>36</v>
      </c>
      <c r="E629" s="51" t="s">
        <v>37</v>
      </c>
      <c r="G629" s="51" t="s">
        <v>35</v>
      </c>
      <c r="H629">
        <v>1</v>
      </c>
      <c r="I629" s="58">
        <v>10000</v>
      </c>
      <c r="J629" s="59">
        <v>10000</v>
      </c>
      <c r="K629">
        <v>1</v>
      </c>
      <c r="O629" s="52"/>
    </row>
    <row r="630" spans="1:15" x14ac:dyDescent="0.15">
      <c r="A630">
        <v>3</v>
      </c>
      <c r="D630" s="51" t="s">
        <v>36</v>
      </c>
      <c r="E630" s="51" t="s">
        <v>38</v>
      </c>
      <c r="G630" s="51" t="s">
        <v>35</v>
      </c>
      <c r="H630">
        <v>1</v>
      </c>
      <c r="I630" s="58">
        <v>7000</v>
      </c>
      <c r="J630" s="59">
        <v>7000</v>
      </c>
      <c r="K630">
        <v>1</v>
      </c>
      <c r="O630" s="52"/>
    </row>
    <row r="631" spans="1:15" x14ac:dyDescent="0.15">
      <c r="A631">
        <v>3</v>
      </c>
      <c r="D631" s="51" t="s">
        <v>39</v>
      </c>
      <c r="E631" s="51" t="s">
        <v>40</v>
      </c>
      <c r="G631" s="51" t="s">
        <v>41</v>
      </c>
      <c r="H631">
        <v>40</v>
      </c>
      <c r="I631" s="58">
        <v>150</v>
      </c>
      <c r="J631" s="59">
        <v>6000</v>
      </c>
      <c r="K631">
        <v>1</v>
      </c>
      <c r="O631" s="52"/>
    </row>
    <row r="632" spans="1:15" x14ac:dyDescent="0.15">
      <c r="A632">
        <v>3</v>
      </c>
      <c r="D632" s="51" t="s">
        <v>39</v>
      </c>
      <c r="E632" s="51" t="s">
        <v>52</v>
      </c>
      <c r="G632" s="51" t="s">
        <v>41</v>
      </c>
      <c r="H632">
        <v>40</v>
      </c>
      <c r="I632" s="58">
        <v>200</v>
      </c>
      <c r="J632" s="59">
        <v>8000</v>
      </c>
      <c r="K632">
        <v>1</v>
      </c>
      <c r="O632" s="52"/>
    </row>
    <row r="633" spans="1:15" x14ac:dyDescent="0.15">
      <c r="A633">
        <v>3</v>
      </c>
      <c r="D633" s="51" t="s">
        <v>39</v>
      </c>
      <c r="E633" s="51" t="s">
        <v>42</v>
      </c>
      <c r="G633" s="51" t="s">
        <v>19</v>
      </c>
      <c r="H633">
        <v>1</v>
      </c>
      <c r="I633" s="58">
        <v>3200</v>
      </c>
      <c r="J633" s="59">
        <v>3200</v>
      </c>
      <c r="K633">
        <v>1</v>
      </c>
      <c r="O633" s="52"/>
    </row>
    <row r="634" spans="1:15" x14ac:dyDescent="0.15">
      <c r="A634">
        <v>3</v>
      </c>
      <c r="D634" s="51" t="s">
        <v>23</v>
      </c>
      <c r="E634" s="51" t="s">
        <v>43</v>
      </c>
      <c r="G634" s="51" t="s">
        <v>19</v>
      </c>
      <c r="H634">
        <v>1</v>
      </c>
      <c r="I634" s="58">
        <v>19300</v>
      </c>
      <c r="J634" s="59">
        <v>19300</v>
      </c>
      <c r="K634">
        <v>1</v>
      </c>
      <c r="O634" s="52"/>
    </row>
    <row r="635" spans="1:15" x14ac:dyDescent="0.15">
      <c r="A635">
        <v>2</v>
      </c>
      <c r="D635" s="51" t="s">
        <v>20</v>
      </c>
      <c r="E635" s="51" t="s">
        <v>296</v>
      </c>
      <c r="F635" s="51" t="s">
        <v>294</v>
      </c>
      <c r="G635" s="51" t="s">
        <v>45</v>
      </c>
      <c r="H635">
        <v>50</v>
      </c>
      <c r="I635" s="58">
        <v>4600</v>
      </c>
      <c r="J635" s="59">
        <v>230000</v>
      </c>
      <c r="K635">
        <v>50</v>
      </c>
      <c r="M635" s="51" t="s">
        <v>298</v>
      </c>
      <c r="O635" s="52"/>
    </row>
    <row r="636" spans="1:15" x14ac:dyDescent="0.15">
      <c r="A636">
        <v>3</v>
      </c>
      <c r="D636" s="51" t="s">
        <v>30</v>
      </c>
      <c r="E636" s="51" t="s">
        <v>31</v>
      </c>
      <c r="G636" s="51" t="s">
        <v>32</v>
      </c>
      <c r="H636">
        <v>5</v>
      </c>
      <c r="I636" s="58">
        <v>32000</v>
      </c>
      <c r="J636" s="59">
        <v>160000</v>
      </c>
      <c r="K636">
        <v>1</v>
      </c>
      <c r="O636" s="52"/>
    </row>
    <row r="637" spans="1:15" x14ac:dyDescent="0.15">
      <c r="A637">
        <v>3</v>
      </c>
      <c r="D637" s="51" t="s">
        <v>33</v>
      </c>
      <c r="E637" s="51" t="s">
        <v>76</v>
      </c>
      <c r="G637" s="51" t="s">
        <v>35</v>
      </c>
      <c r="H637">
        <v>1</v>
      </c>
      <c r="I637" s="58">
        <v>8000</v>
      </c>
      <c r="J637" s="59">
        <v>8000</v>
      </c>
      <c r="K637">
        <v>1</v>
      </c>
      <c r="O637" s="52"/>
    </row>
    <row r="638" spans="1:15" x14ac:dyDescent="0.15">
      <c r="A638">
        <v>3</v>
      </c>
      <c r="D638" s="51" t="s">
        <v>33</v>
      </c>
      <c r="E638" s="51" t="s">
        <v>182</v>
      </c>
      <c r="G638" s="51" t="s">
        <v>35</v>
      </c>
      <c r="H638">
        <v>1</v>
      </c>
      <c r="I638" s="58">
        <v>8000</v>
      </c>
      <c r="J638" s="59">
        <v>8000</v>
      </c>
      <c r="K638">
        <v>1</v>
      </c>
      <c r="O638" s="52"/>
    </row>
    <row r="639" spans="1:15" x14ac:dyDescent="0.15">
      <c r="A639">
        <v>3</v>
      </c>
      <c r="D639" s="51" t="s">
        <v>36</v>
      </c>
      <c r="E639" s="51" t="s">
        <v>37</v>
      </c>
      <c r="G639" s="51" t="s">
        <v>35</v>
      </c>
      <c r="H639">
        <v>1</v>
      </c>
      <c r="I639" s="58">
        <v>10000</v>
      </c>
      <c r="J639" s="59">
        <v>10000</v>
      </c>
      <c r="K639">
        <v>1</v>
      </c>
      <c r="O639" s="52"/>
    </row>
    <row r="640" spans="1:15" x14ac:dyDescent="0.15">
      <c r="A640">
        <v>3</v>
      </c>
      <c r="D640" s="51" t="s">
        <v>36</v>
      </c>
      <c r="E640" s="51" t="s">
        <v>38</v>
      </c>
      <c r="G640" s="51" t="s">
        <v>35</v>
      </c>
      <c r="H640">
        <v>1</v>
      </c>
      <c r="I640" s="58">
        <v>7000</v>
      </c>
      <c r="J640" s="59">
        <v>7000</v>
      </c>
      <c r="K640">
        <v>1</v>
      </c>
      <c r="O640" s="52"/>
    </row>
    <row r="641" spans="1:15" x14ac:dyDescent="0.15">
      <c r="A641">
        <v>3</v>
      </c>
      <c r="D641" s="51" t="s">
        <v>39</v>
      </c>
      <c r="E641" s="51" t="s">
        <v>40</v>
      </c>
      <c r="G641" s="51" t="s">
        <v>41</v>
      </c>
      <c r="H641">
        <v>40</v>
      </c>
      <c r="I641" s="58">
        <v>150</v>
      </c>
      <c r="J641" s="59">
        <v>6000</v>
      </c>
      <c r="K641">
        <v>1</v>
      </c>
      <c r="O641" s="52"/>
    </row>
    <row r="642" spans="1:15" x14ac:dyDescent="0.15">
      <c r="A642">
        <v>3</v>
      </c>
      <c r="D642" s="51" t="s">
        <v>39</v>
      </c>
      <c r="E642" s="51" t="s">
        <v>52</v>
      </c>
      <c r="G642" s="51" t="s">
        <v>41</v>
      </c>
      <c r="H642">
        <v>40</v>
      </c>
      <c r="I642" s="58">
        <v>200</v>
      </c>
      <c r="J642" s="59">
        <v>8000</v>
      </c>
      <c r="K642">
        <v>1</v>
      </c>
      <c r="O642" s="52"/>
    </row>
    <row r="643" spans="1:15" x14ac:dyDescent="0.15">
      <c r="A643">
        <v>3</v>
      </c>
      <c r="D643" s="51" t="s">
        <v>39</v>
      </c>
      <c r="E643" s="51" t="s">
        <v>42</v>
      </c>
      <c r="G643" s="51" t="s">
        <v>19</v>
      </c>
      <c r="H643">
        <v>1</v>
      </c>
      <c r="I643" s="58">
        <v>3700</v>
      </c>
      <c r="J643" s="59">
        <v>3700</v>
      </c>
      <c r="K643">
        <v>1</v>
      </c>
      <c r="O643" s="52"/>
    </row>
    <row r="644" spans="1:15" x14ac:dyDescent="0.15">
      <c r="A644">
        <v>3</v>
      </c>
      <c r="D644" s="51" t="s">
        <v>23</v>
      </c>
      <c r="E644" s="51" t="s">
        <v>43</v>
      </c>
      <c r="G644" s="51" t="s">
        <v>19</v>
      </c>
      <c r="H644">
        <v>1</v>
      </c>
      <c r="I644" s="58">
        <v>19300</v>
      </c>
      <c r="J644" s="59">
        <v>19300</v>
      </c>
      <c r="K644">
        <v>1</v>
      </c>
      <c r="O644" s="52"/>
    </row>
    <row r="645" spans="1:15" x14ac:dyDescent="0.15">
      <c r="A645">
        <v>2</v>
      </c>
      <c r="D645" s="51" t="s">
        <v>20</v>
      </c>
      <c r="E645" s="51" t="s">
        <v>299</v>
      </c>
      <c r="F645" s="51" t="s">
        <v>292</v>
      </c>
      <c r="G645" s="51" t="s">
        <v>45</v>
      </c>
      <c r="H645">
        <v>45</v>
      </c>
      <c r="I645" s="58">
        <v>5100</v>
      </c>
      <c r="J645" s="59">
        <v>229500</v>
      </c>
      <c r="K645">
        <v>45</v>
      </c>
      <c r="M645" s="51" t="s">
        <v>300</v>
      </c>
      <c r="O645" s="52"/>
    </row>
    <row r="646" spans="1:15" x14ac:dyDescent="0.15">
      <c r="A646">
        <v>3</v>
      </c>
      <c r="D646" s="51" t="s">
        <v>30</v>
      </c>
      <c r="E646" s="51" t="s">
        <v>31</v>
      </c>
      <c r="G646" s="51" t="s">
        <v>32</v>
      </c>
      <c r="H646">
        <v>5</v>
      </c>
      <c r="I646" s="58">
        <v>32000</v>
      </c>
      <c r="J646" s="59">
        <v>160000</v>
      </c>
      <c r="K646">
        <v>1</v>
      </c>
      <c r="O646" s="52"/>
    </row>
    <row r="647" spans="1:15" x14ac:dyDescent="0.15">
      <c r="A647">
        <v>3</v>
      </c>
      <c r="D647" s="51" t="s">
        <v>33</v>
      </c>
      <c r="E647" s="51" t="s">
        <v>76</v>
      </c>
      <c r="G647" s="51" t="s">
        <v>35</v>
      </c>
      <c r="H647">
        <v>1</v>
      </c>
      <c r="I647" s="58">
        <v>8000</v>
      </c>
      <c r="J647" s="59">
        <v>8000</v>
      </c>
      <c r="K647">
        <v>1</v>
      </c>
      <c r="O647" s="52"/>
    </row>
    <row r="648" spans="1:15" x14ac:dyDescent="0.15">
      <c r="A648">
        <v>3</v>
      </c>
      <c r="D648" s="51" t="s">
        <v>33</v>
      </c>
      <c r="E648" s="51" t="s">
        <v>182</v>
      </c>
      <c r="G648" s="51" t="s">
        <v>35</v>
      </c>
      <c r="H648">
        <v>1</v>
      </c>
      <c r="I648" s="58">
        <v>8000</v>
      </c>
      <c r="J648" s="59">
        <v>8000</v>
      </c>
      <c r="K648">
        <v>1</v>
      </c>
      <c r="O648" s="52"/>
    </row>
    <row r="649" spans="1:15" x14ac:dyDescent="0.15">
      <c r="A649">
        <v>3</v>
      </c>
      <c r="D649" s="51" t="s">
        <v>36</v>
      </c>
      <c r="E649" s="51" t="s">
        <v>37</v>
      </c>
      <c r="G649" s="51" t="s">
        <v>35</v>
      </c>
      <c r="H649">
        <v>1</v>
      </c>
      <c r="I649" s="58">
        <v>10000</v>
      </c>
      <c r="J649" s="59">
        <v>10000</v>
      </c>
      <c r="K649">
        <v>1</v>
      </c>
      <c r="O649" s="52"/>
    </row>
    <row r="650" spans="1:15" x14ac:dyDescent="0.15">
      <c r="A650">
        <v>3</v>
      </c>
      <c r="D650" s="51" t="s">
        <v>36</v>
      </c>
      <c r="E650" s="51" t="s">
        <v>38</v>
      </c>
      <c r="G650" s="51" t="s">
        <v>35</v>
      </c>
      <c r="H650">
        <v>1</v>
      </c>
      <c r="I650" s="58">
        <v>7000</v>
      </c>
      <c r="J650" s="59">
        <v>7000</v>
      </c>
      <c r="K650">
        <v>1</v>
      </c>
      <c r="O650" s="52"/>
    </row>
    <row r="651" spans="1:15" x14ac:dyDescent="0.15">
      <c r="A651">
        <v>3</v>
      </c>
      <c r="D651" s="51" t="s">
        <v>39</v>
      </c>
      <c r="E651" s="51" t="s">
        <v>40</v>
      </c>
      <c r="G651" s="51" t="s">
        <v>41</v>
      </c>
      <c r="H651">
        <v>40</v>
      </c>
      <c r="I651" s="58">
        <v>150</v>
      </c>
      <c r="J651" s="59">
        <v>6000</v>
      </c>
      <c r="K651">
        <v>1</v>
      </c>
      <c r="O651" s="52"/>
    </row>
    <row r="652" spans="1:15" x14ac:dyDescent="0.15">
      <c r="A652">
        <v>3</v>
      </c>
      <c r="D652" s="51" t="s">
        <v>39</v>
      </c>
      <c r="E652" s="51" t="s">
        <v>52</v>
      </c>
      <c r="G652" s="51" t="s">
        <v>41</v>
      </c>
      <c r="H652">
        <v>40</v>
      </c>
      <c r="I652" s="58">
        <v>200</v>
      </c>
      <c r="J652" s="59">
        <v>8000</v>
      </c>
      <c r="K652">
        <v>1</v>
      </c>
      <c r="O652" s="52"/>
    </row>
    <row r="653" spans="1:15" x14ac:dyDescent="0.15">
      <c r="A653">
        <v>3</v>
      </c>
      <c r="D653" s="51" t="s">
        <v>39</v>
      </c>
      <c r="E653" s="51" t="s">
        <v>42</v>
      </c>
      <c r="G653" s="51" t="s">
        <v>19</v>
      </c>
      <c r="H653">
        <v>1</v>
      </c>
      <c r="I653" s="58">
        <v>3200</v>
      </c>
      <c r="J653" s="59">
        <v>3200</v>
      </c>
      <c r="K653">
        <v>1</v>
      </c>
      <c r="O653" s="52"/>
    </row>
    <row r="654" spans="1:15" x14ac:dyDescent="0.15">
      <c r="A654">
        <v>3</v>
      </c>
      <c r="D654" s="51" t="s">
        <v>23</v>
      </c>
      <c r="E654" s="51" t="s">
        <v>43</v>
      </c>
      <c r="G654" s="51" t="s">
        <v>19</v>
      </c>
      <c r="H654">
        <v>1</v>
      </c>
      <c r="I654" s="58">
        <v>19300</v>
      </c>
      <c r="J654" s="59">
        <v>19300</v>
      </c>
      <c r="K654">
        <v>1</v>
      </c>
      <c r="O654" s="52"/>
    </row>
    <row r="655" spans="1:15" x14ac:dyDescent="0.15">
      <c r="A655">
        <v>2</v>
      </c>
      <c r="D655" s="51" t="s">
        <v>20</v>
      </c>
      <c r="E655" s="51" t="s">
        <v>299</v>
      </c>
      <c r="F655" s="51" t="s">
        <v>294</v>
      </c>
      <c r="G655" s="51" t="s">
        <v>45</v>
      </c>
      <c r="H655">
        <v>50</v>
      </c>
      <c r="I655" s="58">
        <v>4600</v>
      </c>
      <c r="J655" s="59">
        <v>230000</v>
      </c>
      <c r="K655">
        <v>50</v>
      </c>
      <c r="M655" s="51" t="s">
        <v>301</v>
      </c>
      <c r="O655" s="52"/>
    </row>
    <row r="656" spans="1:15" x14ac:dyDescent="0.15">
      <c r="A656">
        <v>3</v>
      </c>
      <c r="D656" s="51" t="s">
        <v>30</v>
      </c>
      <c r="E656" s="51" t="s">
        <v>31</v>
      </c>
      <c r="G656" s="51" t="s">
        <v>32</v>
      </c>
      <c r="H656">
        <v>5</v>
      </c>
      <c r="I656" s="58">
        <v>32000</v>
      </c>
      <c r="J656" s="59">
        <v>160000</v>
      </c>
      <c r="K656">
        <v>1</v>
      </c>
      <c r="O656" s="52"/>
    </row>
    <row r="657" spans="1:15" x14ac:dyDescent="0.15">
      <c r="A657">
        <v>3</v>
      </c>
      <c r="D657" s="51" t="s">
        <v>33</v>
      </c>
      <c r="E657" s="51" t="s">
        <v>76</v>
      </c>
      <c r="G657" s="51" t="s">
        <v>35</v>
      </c>
      <c r="H657">
        <v>1</v>
      </c>
      <c r="I657" s="58">
        <v>8000</v>
      </c>
      <c r="J657" s="59">
        <v>8000</v>
      </c>
      <c r="K657">
        <v>1</v>
      </c>
      <c r="O657" s="52"/>
    </row>
    <row r="658" spans="1:15" x14ac:dyDescent="0.15">
      <c r="A658">
        <v>3</v>
      </c>
      <c r="D658" s="51" t="s">
        <v>33</v>
      </c>
      <c r="E658" s="51" t="s">
        <v>182</v>
      </c>
      <c r="G658" s="51" t="s">
        <v>35</v>
      </c>
      <c r="H658">
        <v>1</v>
      </c>
      <c r="I658" s="58">
        <v>8000</v>
      </c>
      <c r="J658" s="59">
        <v>8000</v>
      </c>
      <c r="K658">
        <v>1</v>
      </c>
      <c r="O658" s="52"/>
    </row>
    <row r="659" spans="1:15" x14ac:dyDescent="0.15">
      <c r="A659">
        <v>3</v>
      </c>
      <c r="D659" s="51" t="s">
        <v>36</v>
      </c>
      <c r="E659" s="51" t="s">
        <v>37</v>
      </c>
      <c r="G659" s="51" t="s">
        <v>35</v>
      </c>
      <c r="H659">
        <v>1</v>
      </c>
      <c r="I659" s="58">
        <v>10000</v>
      </c>
      <c r="J659" s="59">
        <v>10000</v>
      </c>
      <c r="K659">
        <v>1</v>
      </c>
      <c r="O659" s="52"/>
    </row>
    <row r="660" spans="1:15" x14ac:dyDescent="0.15">
      <c r="A660">
        <v>3</v>
      </c>
      <c r="D660" s="51" t="s">
        <v>36</v>
      </c>
      <c r="E660" s="51" t="s">
        <v>38</v>
      </c>
      <c r="G660" s="51" t="s">
        <v>35</v>
      </c>
      <c r="H660">
        <v>1</v>
      </c>
      <c r="I660" s="58">
        <v>7000</v>
      </c>
      <c r="J660" s="59">
        <v>7000</v>
      </c>
      <c r="K660">
        <v>1</v>
      </c>
      <c r="O660" s="52"/>
    </row>
    <row r="661" spans="1:15" x14ac:dyDescent="0.15">
      <c r="A661">
        <v>3</v>
      </c>
      <c r="D661" s="51" t="s">
        <v>39</v>
      </c>
      <c r="E661" s="51" t="s">
        <v>40</v>
      </c>
      <c r="G661" s="51" t="s">
        <v>41</v>
      </c>
      <c r="H661">
        <v>40</v>
      </c>
      <c r="I661" s="58">
        <v>150</v>
      </c>
      <c r="J661" s="59">
        <v>6000</v>
      </c>
      <c r="K661">
        <v>1</v>
      </c>
      <c r="O661" s="52"/>
    </row>
    <row r="662" spans="1:15" x14ac:dyDescent="0.15">
      <c r="A662">
        <v>3</v>
      </c>
      <c r="D662" s="51" t="s">
        <v>39</v>
      </c>
      <c r="E662" s="51" t="s">
        <v>52</v>
      </c>
      <c r="G662" s="51" t="s">
        <v>41</v>
      </c>
      <c r="H662">
        <v>40</v>
      </c>
      <c r="I662" s="58">
        <v>200</v>
      </c>
      <c r="J662" s="59">
        <v>8000</v>
      </c>
      <c r="K662">
        <v>1</v>
      </c>
      <c r="O662" s="52"/>
    </row>
    <row r="663" spans="1:15" x14ac:dyDescent="0.15">
      <c r="A663">
        <v>3</v>
      </c>
      <c r="D663" s="51" t="s">
        <v>39</v>
      </c>
      <c r="E663" s="51" t="s">
        <v>42</v>
      </c>
      <c r="G663" s="51" t="s">
        <v>19</v>
      </c>
      <c r="H663">
        <v>1</v>
      </c>
      <c r="I663" s="58">
        <v>3700</v>
      </c>
      <c r="J663" s="59">
        <v>3700</v>
      </c>
      <c r="K663">
        <v>1</v>
      </c>
      <c r="O663" s="52"/>
    </row>
    <row r="664" spans="1:15" x14ac:dyDescent="0.15">
      <c r="A664">
        <v>3</v>
      </c>
      <c r="D664" s="51" t="s">
        <v>23</v>
      </c>
      <c r="E664" s="51" t="s">
        <v>43</v>
      </c>
      <c r="G664" s="51" t="s">
        <v>19</v>
      </c>
      <c r="H664">
        <v>1</v>
      </c>
      <c r="I664" s="58">
        <v>19300</v>
      </c>
      <c r="J664" s="59">
        <v>19300</v>
      </c>
      <c r="K664">
        <v>1</v>
      </c>
      <c r="O664" s="52"/>
    </row>
    <row r="665" spans="1:15" x14ac:dyDescent="0.15">
      <c r="A665">
        <v>2</v>
      </c>
      <c r="D665" s="51" t="s">
        <v>20</v>
      </c>
      <c r="E665" s="51" t="s">
        <v>302</v>
      </c>
      <c r="G665" s="51" t="s">
        <v>198</v>
      </c>
      <c r="H665">
        <v>2.2999999999999998</v>
      </c>
      <c r="I665" s="58">
        <v>15000</v>
      </c>
      <c r="J665" s="59">
        <v>34500</v>
      </c>
      <c r="K665">
        <v>2.2999999999999998</v>
      </c>
      <c r="M665" s="51" t="s">
        <v>303</v>
      </c>
      <c r="O665" s="52"/>
    </row>
    <row r="666" spans="1:15" x14ac:dyDescent="0.15">
      <c r="A666">
        <v>3</v>
      </c>
      <c r="D666" s="51" t="s">
        <v>36</v>
      </c>
      <c r="E666" s="51" t="s">
        <v>37</v>
      </c>
      <c r="G666" s="51" t="s">
        <v>35</v>
      </c>
      <c r="H666">
        <v>1</v>
      </c>
      <c r="I666" s="58">
        <v>34500</v>
      </c>
      <c r="J666" s="59">
        <v>34500</v>
      </c>
      <c r="K666">
        <v>1</v>
      </c>
      <c r="O666" s="52"/>
    </row>
    <row r="667" spans="1:15" x14ac:dyDescent="0.15">
      <c r="A667">
        <v>2</v>
      </c>
      <c r="D667" s="51" t="s">
        <v>20</v>
      </c>
      <c r="E667" s="51" t="s">
        <v>304</v>
      </c>
      <c r="G667" s="51" t="s">
        <v>198</v>
      </c>
      <c r="H667">
        <v>2.2999999999999998</v>
      </c>
      <c r="I667" s="58">
        <v>1500</v>
      </c>
      <c r="J667" s="59">
        <v>3450</v>
      </c>
      <c r="K667">
        <v>2.2999999999999998</v>
      </c>
      <c r="M667" s="51" t="s">
        <v>305</v>
      </c>
      <c r="O667" s="52"/>
    </row>
    <row r="668" spans="1:15" x14ac:dyDescent="0.15">
      <c r="A668">
        <v>3</v>
      </c>
      <c r="D668" s="51" t="s">
        <v>36</v>
      </c>
      <c r="E668" s="51" t="s">
        <v>304</v>
      </c>
      <c r="G668" s="51" t="s">
        <v>198</v>
      </c>
      <c r="H668">
        <v>2.2999999999999998</v>
      </c>
      <c r="I668" s="58">
        <v>1500</v>
      </c>
      <c r="J668" s="59">
        <v>3450</v>
      </c>
      <c r="K668">
        <v>1</v>
      </c>
      <c r="O668" s="52"/>
    </row>
    <row r="669" spans="1:15" x14ac:dyDescent="0.15">
      <c r="A669">
        <v>2</v>
      </c>
      <c r="D669" s="51" t="s">
        <v>20</v>
      </c>
      <c r="E669" s="51" t="s">
        <v>306</v>
      </c>
      <c r="G669" s="51" t="s">
        <v>198</v>
      </c>
      <c r="H669">
        <v>31</v>
      </c>
      <c r="I669" s="58">
        <v>4700</v>
      </c>
      <c r="J669" s="59">
        <v>145700</v>
      </c>
      <c r="K669">
        <v>31</v>
      </c>
      <c r="M669" s="51" t="s">
        <v>307</v>
      </c>
      <c r="O669" s="52"/>
    </row>
    <row r="670" spans="1:15" x14ac:dyDescent="0.15">
      <c r="A670">
        <v>3</v>
      </c>
      <c r="D670" s="51" t="s">
        <v>36</v>
      </c>
      <c r="E670" s="51" t="s">
        <v>308</v>
      </c>
      <c r="G670" s="51" t="s">
        <v>35</v>
      </c>
      <c r="H670">
        <v>3</v>
      </c>
      <c r="I670" s="58">
        <v>48000</v>
      </c>
      <c r="J670" s="59">
        <v>144000</v>
      </c>
      <c r="K670">
        <v>1</v>
      </c>
      <c r="O670" s="52"/>
    </row>
    <row r="671" spans="1:15" x14ac:dyDescent="0.15">
      <c r="A671">
        <v>3</v>
      </c>
      <c r="D671" s="51" t="s">
        <v>39</v>
      </c>
      <c r="E671" s="51" t="s">
        <v>42</v>
      </c>
      <c r="G671" s="51" t="s">
        <v>19</v>
      </c>
      <c r="H671">
        <v>1</v>
      </c>
      <c r="I671" s="58">
        <v>1700</v>
      </c>
      <c r="J671" s="59">
        <v>1700</v>
      </c>
      <c r="K671">
        <v>1</v>
      </c>
      <c r="O671" s="52"/>
    </row>
    <row r="672" spans="1:15" x14ac:dyDescent="0.15">
      <c r="A672">
        <v>2</v>
      </c>
      <c r="D672" s="51" t="s">
        <v>20</v>
      </c>
      <c r="E672" s="51" t="s">
        <v>309</v>
      </c>
      <c r="G672" s="51" t="s">
        <v>198</v>
      </c>
      <c r="H672">
        <v>31</v>
      </c>
      <c r="I672" s="58">
        <v>1500</v>
      </c>
      <c r="J672" s="59">
        <v>46500</v>
      </c>
      <c r="K672">
        <v>31</v>
      </c>
      <c r="M672" s="51" t="s">
        <v>310</v>
      </c>
      <c r="O672" s="52"/>
    </row>
    <row r="673" spans="1:15" x14ac:dyDescent="0.15">
      <c r="A673">
        <v>3</v>
      </c>
      <c r="D673" s="51" t="s">
        <v>36</v>
      </c>
      <c r="E673" s="51" t="s">
        <v>309</v>
      </c>
      <c r="G673" s="51" t="s">
        <v>198</v>
      </c>
      <c r="H673">
        <v>31</v>
      </c>
      <c r="I673" s="58">
        <v>1500</v>
      </c>
      <c r="J673" s="59">
        <v>46500</v>
      </c>
      <c r="K673">
        <v>1</v>
      </c>
      <c r="O673" s="52"/>
    </row>
    <row r="674" spans="1:15" x14ac:dyDescent="0.15">
      <c r="A674">
        <v>2</v>
      </c>
      <c r="D674" s="51" t="s">
        <v>20</v>
      </c>
      <c r="E674" s="51" t="s">
        <v>311</v>
      </c>
      <c r="G674" s="51" t="s">
        <v>198</v>
      </c>
      <c r="H674">
        <v>12</v>
      </c>
      <c r="I674" s="58">
        <v>4000</v>
      </c>
      <c r="J674" s="59">
        <v>48000</v>
      </c>
      <c r="K674">
        <v>12</v>
      </c>
      <c r="M674" s="51" t="s">
        <v>312</v>
      </c>
      <c r="O674" s="52"/>
    </row>
    <row r="675" spans="1:15" x14ac:dyDescent="0.15">
      <c r="A675">
        <v>3</v>
      </c>
      <c r="D675" s="51" t="s">
        <v>36</v>
      </c>
      <c r="E675" s="51" t="s">
        <v>308</v>
      </c>
      <c r="G675" s="51" t="s">
        <v>35</v>
      </c>
      <c r="H675">
        <v>1</v>
      </c>
      <c r="I675" s="58">
        <v>48000</v>
      </c>
      <c r="J675" s="59">
        <v>48000</v>
      </c>
      <c r="K675">
        <v>1</v>
      </c>
      <c r="O675" s="52"/>
    </row>
    <row r="676" spans="1:15" x14ac:dyDescent="0.15">
      <c r="A676">
        <v>2</v>
      </c>
      <c r="D676" s="51" t="s">
        <v>20</v>
      </c>
      <c r="E676" s="51" t="s">
        <v>313</v>
      </c>
      <c r="G676" s="51" t="s">
        <v>198</v>
      </c>
      <c r="H676">
        <v>12</v>
      </c>
      <c r="I676" s="58">
        <v>600</v>
      </c>
      <c r="J676" s="59">
        <v>7200</v>
      </c>
      <c r="K676">
        <v>12</v>
      </c>
      <c r="M676" s="51" t="s">
        <v>314</v>
      </c>
      <c r="O676" s="52"/>
    </row>
    <row r="677" spans="1:15" x14ac:dyDescent="0.15">
      <c r="A677">
        <v>3</v>
      </c>
      <c r="D677" s="51" t="s">
        <v>36</v>
      </c>
      <c r="E677" s="51" t="s">
        <v>313</v>
      </c>
      <c r="G677" s="51" t="s">
        <v>198</v>
      </c>
      <c r="H677">
        <v>12</v>
      </c>
      <c r="I677" s="58">
        <v>600</v>
      </c>
      <c r="J677" s="59">
        <v>7200</v>
      </c>
      <c r="K677">
        <v>1</v>
      </c>
      <c r="O677" s="52"/>
    </row>
    <row r="678" spans="1:15" x14ac:dyDescent="0.15">
      <c r="A678">
        <v>2</v>
      </c>
      <c r="D678" s="51" t="s">
        <v>20</v>
      </c>
      <c r="E678" s="51" t="s">
        <v>171</v>
      </c>
      <c r="F678" s="51" t="s">
        <v>292</v>
      </c>
      <c r="G678" s="51" t="s">
        <v>63</v>
      </c>
      <c r="H678">
        <v>13.2</v>
      </c>
      <c r="I678" s="58">
        <v>19500</v>
      </c>
      <c r="J678" s="59">
        <v>257400</v>
      </c>
      <c r="K678">
        <v>13.2</v>
      </c>
      <c r="M678" s="51" t="s">
        <v>315</v>
      </c>
      <c r="O678" s="52"/>
    </row>
    <row r="679" spans="1:15" x14ac:dyDescent="0.15">
      <c r="A679">
        <v>3</v>
      </c>
      <c r="D679" s="51" t="s">
        <v>39</v>
      </c>
      <c r="E679" s="51" t="s">
        <v>316</v>
      </c>
      <c r="F679" s="51" t="s">
        <v>317</v>
      </c>
      <c r="G679" s="51" t="s">
        <v>114</v>
      </c>
      <c r="H679">
        <v>20</v>
      </c>
      <c r="I679" s="58">
        <v>1600</v>
      </c>
      <c r="J679" s="59">
        <v>32000</v>
      </c>
      <c r="K679">
        <v>1</v>
      </c>
      <c r="O679" s="52"/>
    </row>
    <row r="680" spans="1:15" x14ac:dyDescent="0.15">
      <c r="A680">
        <v>3</v>
      </c>
      <c r="D680" s="51" t="s">
        <v>39</v>
      </c>
      <c r="E680" s="51" t="s">
        <v>316</v>
      </c>
      <c r="F680" s="51" t="s">
        <v>318</v>
      </c>
      <c r="G680" s="51" t="s">
        <v>114</v>
      </c>
      <c r="H680">
        <v>2</v>
      </c>
      <c r="I680" s="58">
        <v>2000</v>
      </c>
      <c r="J680" s="59">
        <v>4000</v>
      </c>
      <c r="K680">
        <v>1</v>
      </c>
      <c r="O680" s="52"/>
    </row>
    <row r="681" spans="1:15" x14ac:dyDescent="0.15">
      <c r="A681">
        <v>3</v>
      </c>
      <c r="D681" s="51" t="s">
        <v>39</v>
      </c>
      <c r="E681" s="51" t="s">
        <v>47</v>
      </c>
      <c r="G681" s="51" t="s">
        <v>26</v>
      </c>
      <c r="H681">
        <v>1</v>
      </c>
      <c r="I681" s="58">
        <v>1800</v>
      </c>
      <c r="J681" s="59">
        <v>1800</v>
      </c>
      <c r="K681">
        <v>1</v>
      </c>
      <c r="O681" s="52"/>
    </row>
    <row r="682" spans="1:15" x14ac:dyDescent="0.15">
      <c r="A682">
        <v>3</v>
      </c>
      <c r="D682" s="51" t="s">
        <v>39</v>
      </c>
      <c r="E682" s="51" t="s">
        <v>75</v>
      </c>
      <c r="G682" s="51" t="s">
        <v>26</v>
      </c>
      <c r="H682">
        <v>1</v>
      </c>
      <c r="I682" s="58">
        <v>30000</v>
      </c>
      <c r="J682" s="59">
        <v>30000</v>
      </c>
      <c r="K682">
        <v>1</v>
      </c>
      <c r="O682" s="52"/>
    </row>
    <row r="683" spans="1:15" x14ac:dyDescent="0.15">
      <c r="A683">
        <v>3</v>
      </c>
      <c r="D683" s="51" t="s">
        <v>30</v>
      </c>
      <c r="E683" s="51" t="s">
        <v>31</v>
      </c>
      <c r="G683" s="51" t="s">
        <v>32</v>
      </c>
      <c r="H683">
        <v>4</v>
      </c>
      <c r="I683" s="58">
        <v>32000</v>
      </c>
      <c r="J683" s="59">
        <v>128000</v>
      </c>
      <c r="K683">
        <v>1</v>
      </c>
      <c r="O683" s="52"/>
    </row>
    <row r="684" spans="1:15" x14ac:dyDescent="0.15">
      <c r="A684">
        <v>3</v>
      </c>
      <c r="D684" s="51" t="s">
        <v>33</v>
      </c>
      <c r="E684" s="51" t="s">
        <v>182</v>
      </c>
      <c r="G684" s="51" t="s">
        <v>35</v>
      </c>
      <c r="H684">
        <v>1</v>
      </c>
      <c r="I684" s="58">
        <v>8000</v>
      </c>
      <c r="J684" s="59">
        <v>8000</v>
      </c>
      <c r="K684">
        <v>1</v>
      </c>
      <c r="O684" s="52"/>
    </row>
    <row r="685" spans="1:15" x14ac:dyDescent="0.15">
      <c r="A685">
        <v>3</v>
      </c>
      <c r="D685" s="51" t="s">
        <v>36</v>
      </c>
      <c r="E685" s="51" t="s">
        <v>37</v>
      </c>
      <c r="G685" s="51" t="s">
        <v>35</v>
      </c>
      <c r="H685">
        <v>1</v>
      </c>
      <c r="I685" s="58">
        <v>10000</v>
      </c>
      <c r="J685" s="59">
        <v>10000</v>
      </c>
      <c r="K685">
        <v>1</v>
      </c>
      <c r="O685" s="52"/>
    </row>
    <row r="686" spans="1:15" x14ac:dyDescent="0.15">
      <c r="A686">
        <v>3</v>
      </c>
      <c r="D686" s="51" t="s">
        <v>36</v>
      </c>
      <c r="E686" s="51" t="s">
        <v>38</v>
      </c>
      <c r="G686" s="51" t="s">
        <v>35</v>
      </c>
      <c r="H686">
        <v>1</v>
      </c>
      <c r="I686" s="58">
        <v>7000</v>
      </c>
      <c r="J686" s="59">
        <v>7000</v>
      </c>
      <c r="K686">
        <v>1</v>
      </c>
      <c r="O686" s="52"/>
    </row>
    <row r="687" spans="1:15" x14ac:dyDescent="0.15">
      <c r="A687">
        <v>3</v>
      </c>
      <c r="D687" s="51" t="s">
        <v>39</v>
      </c>
      <c r="E687" s="51" t="s">
        <v>40</v>
      </c>
      <c r="G687" s="51" t="s">
        <v>41</v>
      </c>
      <c r="H687">
        <v>20</v>
      </c>
      <c r="I687" s="58">
        <v>150</v>
      </c>
      <c r="J687" s="59">
        <v>3000</v>
      </c>
      <c r="K687">
        <v>1</v>
      </c>
      <c r="O687" s="52"/>
    </row>
    <row r="688" spans="1:15" x14ac:dyDescent="0.15">
      <c r="A688">
        <v>3</v>
      </c>
      <c r="D688" s="51" t="s">
        <v>39</v>
      </c>
      <c r="E688" s="51" t="s">
        <v>52</v>
      </c>
      <c r="G688" s="51" t="s">
        <v>41</v>
      </c>
      <c r="H688">
        <v>40</v>
      </c>
      <c r="I688" s="58">
        <v>200</v>
      </c>
      <c r="J688" s="59">
        <v>8000</v>
      </c>
      <c r="K688">
        <v>1</v>
      </c>
      <c r="O688" s="52"/>
    </row>
    <row r="689" spans="1:15" x14ac:dyDescent="0.15">
      <c r="A689">
        <v>3</v>
      </c>
      <c r="D689" s="51" t="s">
        <v>23</v>
      </c>
      <c r="E689" s="51" t="s">
        <v>43</v>
      </c>
      <c r="G689" s="51" t="s">
        <v>19</v>
      </c>
      <c r="H689">
        <v>1</v>
      </c>
      <c r="I689" s="58">
        <v>15820</v>
      </c>
      <c r="J689" s="59">
        <v>15820</v>
      </c>
      <c r="K689">
        <v>1</v>
      </c>
      <c r="O689" s="52"/>
    </row>
    <row r="690" spans="1:15" x14ac:dyDescent="0.15">
      <c r="A690">
        <v>3</v>
      </c>
      <c r="D690" s="51" t="s">
        <v>39</v>
      </c>
      <c r="E690" s="51" t="s">
        <v>42</v>
      </c>
      <c r="G690" s="51" t="s">
        <v>19</v>
      </c>
      <c r="H690">
        <v>1</v>
      </c>
      <c r="I690" s="58">
        <v>9780</v>
      </c>
      <c r="J690" s="59">
        <v>9780</v>
      </c>
      <c r="K690">
        <v>1</v>
      </c>
      <c r="O690" s="52"/>
    </row>
    <row r="691" spans="1:15" x14ac:dyDescent="0.15">
      <c r="A691">
        <v>2</v>
      </c>
      <c r="D691" s="51" t="s">
        <v>20</v>
      </c>
      <c r="E691" s="51" t="s">
        <v>171</v>
      </c>
      <c r="F691" s="51" t="s">
        <v>294</v>
      </c>
      <c r="G691" s="51" t="s">
        <v>63</v>
      </c>
      <c r="H691">
        <v>9.6</v>
      </c>
      <c r="I691" s="58">
        <v>35300</v>
      </c>
      <c r="J691" s="59">
        <v>338880</v>
      </c>
      <c r="K691">
        <v>9.6</v>
      </c>
      <c r="M691" s="51" t="s">
        <v>319</v>
      </c>
      <c r="O691" s="52"/>
    </row>
    <row r="692" spans="1:15" x14ac:dyDescent="0.15">
      <c r="A692">
        <v>3</v>
      </c>
      <c r="D692" s="51" t="s">
        <v>39</v>
      </c>
      <c r="E692" s="51" t="s">
        <v>320</v>
      </c>
      <c r="F692" s="51" t="s">
        <v>321</v>
      </c>
      <c r="G692" s="51" t="s">
        <v>114</v>
      </c>
      <c r="H692">
        <v>14</v>
      </c>
      <c r="I692" s="58">
        <v>7110</v>
      </c>
      <c r="J692" s="59">
        <v>99540</v>
      </c>
      <c r="K692">
        <v>1</v>
      </c>
      <c r="O692" s="52"/>
    </row>
    <row r="693" spans="1:15" x14ac:dyDescent="0.15">
      <c r="A693">
        <v>3</v>
      </c>
      <c r="D693" s="51" t="s">
        <v>39</v>
      </c>
      <c r="E693" s="51" t="s">
        <v>320</v>
      </c>
      <c r="F693" s="51" t="s">
        <v>322</v>
      </c>
      <c r="G693" s="51" t="s">
        <v>114</v>
      </c>
      <c r="H693">
        <v>2</v>
      </c>
      <c r="I693" s="58">
        <v>8440</v>
      </c>
      <c r="J693" s="59">
        <v>16880</v>
      </c>
      <c r="K693">
        <v>1</v>
      </c>
      <c r="O693" s="52"/>
    </row>
    <row r="694" spans="1:15" x14ac:dyDescent="0.15">
      <c r="A694">
        <v>3</v>
      </c>
      <c r="D694" s="51" t="s">
        <v>39</v>
      </c>
      <c r="E694" s="51" t="s">
        <v>47</v>
      </c>
      <c r="G694" s="51" t="s">
        <v>26</v>
      </c>
      <c r="H694">
        <v>1</v>
      </c>
      <c r="I694" s="58">
        <v>1800</v>
      </c>
      <c r="J694" s="59">
        <v>1800</v>
      </c>
      <c r="K694">
        <v>1</v>
      </c>
      <c r="O694" s="52"/>
    </row>
    <row r="695" spans="1:15" x14ac:dyDescent="0.15">
      <c r="A695">
        <v>3</v>
      </c>
      <c r="D695" s="51" t="s">
        <v>39</v>
      </c>
      <c r="E695" s="51" t="s">
        <v>75</v>
      </c>
      <c r="G695" s="51" t="s">
        <v>26</v>
      </c>
      <c r="H695">
        <v>1</v>
      </c>
      <c r="I695" s="58">
        <v>30000</v>
      </c>
      <c r="J695" s="59">
        <v>30000</v>
      </c>
      <c r="K695">
        <v>1</v>
      </c>
      <c r="O695" s="52"/>
    </row>
    <row r="696" spans="1:15" x14ac:dyDescent="0.15">
      <c r="A696">
        <v>3</v>
      </c>
      <c r="D696" s="51" t="s">
        <v>30</v>
      </c>
      <c r="E696" s="51" t="s">
        <v>31</v>
      </c>
      <c r="G696" s="51" t="s">
        <v>32</v>
      </c>
      <c r="H696">
        <v>4</v>
      </c>
      <c r="I696" s="58">
        <v>32000</v>
      </c>
      <c r="J696" s="59">
        <v>128000</v>
      </c>
      <c r="K696">
        <v>1</v>
      </c>
      <c r="O696" s="52"/>
    </row>
    <row r="697" spans="1:15" x14ac:dyDescent="0.15">
      <c r="A697">
        <v>3</v>
      </c>
      <c r="D697" s="51" t="s">
        <v>33</v>
      </c>
      <c r="E697" s="51" t="s">
        <v>182</v>
      </c>
      <c r="G697" s="51" t="s">
        <v>35</v>
      </c>
      <c r="H697">
        <v>1</v>
      </c>
      <c r="I697" s="58">
        <v>8000</v>
      </c>
      <c r="J697" s="59">
        <v>8000</v>
      </c>
      <c r="K697">
        <v>1</v>
      </c>
      <c r="O697" s="52"/>
    </row>
    <row r="698" spans="1:15" x14ac:dyDescent="0.15">
      <c r="A698">
        <v>3</v>
      </c>
      <c r="D698" s="51" t="s">
        <v>36</v>
      </c>
      <c r="E698" s="51" t="s">
        <v>37</v>
      </c>
      <c r="G698" s="51" t="s">
        <v>35</v>
      </c>
      <c r="H698">
        <v>1</v>
      </c>
      <c r="I698" s="58">
        <v>10000</v>
      </c>
      <c r="J698" s="59">
        <v>10000</v>
      </c>
      <c r="K698">
        <v>1</v>
      </c>
      <c r="O698" s="52"/>
    </row>
    <row r="699" spans="1:15" x14ac:dyDescent="0.15">
      <c r="A699">
        <v>3</v>
      </c>
      <c r="D699" s="51" t="s">
        <v>36</v>
      </c>
      <c r="E699" s="51" t="s">
        <v>38</v>
      </c>
      <c r="G699" s="51" t="s">
        <v>35</v>
      </c>
      <c r="H699">
        <v>1</v>
      </c>
      <c r="I699" s="58">
        <v>7000</v>
      </c>
      <c r="J699" s="59">
        <v>7000</v>
      </c>
      <c r="K699">
        <v>1</v>
      </c>
      <c r="O699" s="52"/>
    </row>
    <row r="700" spans="1:15" x14ac:dyDescent="0.15">
      <c r="A700">
        <v>3</v>
      </c>
      <c r="D700" s="51" t="s">
        <v>39</v>
      </c>
      <c r="E700" s="51" t="s">
        <v>40</v>
      </c>
      <c r="G700" s="51" t="s">
        <v>41</v>
      </c>
      <c r="H700">
        <v>20</v>
      </c>
      <c r="I700" s="58">
        <v>150</v>
      </c>
      <c r="J700" s="59">
        <v>3000</v>
      </c>
      <c r="K700">
        <v>1</v>
      </c>
      <c r="O700" s="52"/>
    </row>
    <row r="701" spans="1:15" x14ac:dyDescent="0.15">
      <c r="A701">
        <v>3</v>
      </c>
      <c r="D701" s="51" t="s">
        <v>39</v>
      </c>
      <c r="E701" s="51" t="s">
        <v>52</v>
      </c>
      <c r="G701" s="51" t="s">
        <v>41</v>
      </c>
      <c r="H701">
        <v>40</v>
      </c>
      <c r="I701" s="58">
        <v>200</v>
      </c>
      <c r="J701" s="59">
        <v>8000</v>
      </c>
      <c r="K701">
        <v>1</v>
      </c>
      <c r="O701" s="52"/>
    </row>
    <row r="702" spans="1:15" x14ac:dyDescent="0.15">
      <c r="A702">
        <v>3</v>
      </c>
      <c r="D702" s="51" t="s">
        <v>23</v>
      </c>
      <c r="E702" s="51" t="s">
        <v>43</v>
      </c>
      <c r="G702" s="51" t="s">
        <v>19</v>
      </c>
      <c r="H702">
        <v>1</v>
      </c>
      <c r="I702" s="58">
        <v>16100</v>
      </c>
      <c r="J702" s="59">
        <v>16100</v>
      </c>
      <c r="K702">
        <v>1</v>
      </c>
      <c r="O702" s="52"/>
    </row>
    <row r="703" spans="1:15" x14ac:dyDescent="0.15">
      <c r="A703">
        <v>3</v>
      </c>
      <c r="D703" s="51" t="s">
        <v>39</v>
      </c>
      <c r="E703" s="51" t="s">
        <v>42</v>
      </c>
      <c r="G703" s="51" t="s">
        <v>19</v>
      </c>
      <c r="H703">
        <v>1</v>
      </c>
      <c r="I703" s="58">
        <v>10560</v>
      </c>
      <c r="J703" s="59">
        <v>10560</v>
      </c>
      <c r="K703">
        <v>1</v>
      </c>
      <c r="O703" s="52"/>
    </row>
    <row r="704" spans="1:15" x14ac:dyDescent="0.15">
      <c r="A704">
        <v>2</v>
      </c>
      <c r="D704" s="51" t="s">
        <v>20</v>
      </c>
      <c r="E704" s="51" t="s">
        <v>44</v>
      </c>
      <c r="F704" s="51" t="s">
        <v>292</v>
      </c>
      <c r="G704" s="51" t="s">
        <v>45</v>
      </c>
      <c r="H704">
        <v>45</v>
      </c>
      <c r="I704" s="58">
        <v>6700</v>
      </c>
      <c r="J704" s="59">
        <v>301500</v>
      </c>
      <c r="K704">
        <v>45</v>
      </c>
      <c r="M704" s="51" t="s">
        <v>323</v>
      </c>
      <c r="O704" s="52"/>
    </row>
    <row r="705" spans="1:15" x14ac:dyDescent="0.15">
      <c r="A705">
        <v>3</v>
      </c>
      <c r="D705" s="51" t="s">
        <v>39</v>
      </c>
      <c r="E705" s="51" t="s">
        <v>324</v>
      </c>
      <c r="G705" s="51" t="s">
        <v>26</v>
      </c>
      <c r="H705">
        <v>18</v>
      </c>
      <c r="I705" s="58">
        <v>3000</v>
      </c>
      <c r="J705" s="59">
        <v>54000</v>
      </c>
      <c r="K705">
        <v>1</v>
      </c>
      <c r="O705" s="52"/>
    </row>
    <row r="706" spans="1:15" x14ac:dyDescent="0.15">
      <c r="A706">
        <v>3</v>
      </c>
      <c r="D706" s="51" t="s">
        <v>30</v>
      </c>
      <c r="E706" s="51" t="s">
        <v>31</v>
      </c>
      <c r="G706" s="51" t="s">
        <v>32</v>
      </c>
      <c r="H706">
        <v>5</v>
      </c>
      <c r="I706" s="58">
        <v>32000</v>
      </c>
      <c r="J706" s="59">
        <v>160000</v>
      </c>
      <c r="K706">
        <v>1</v>
      </c>
      <c r="O706" s="52"/>
    </row>
    <row r="707" spans="1:15" x14ac:dyDescent="0.15">
      <c r="A707">
        <v>3</v>
      </c>
      <c r="D707" s="51" t="s">
        <v>33</v>
      </c>
      <c r="E707" s="51" t="s">
        <v>76</v>
      </c>
      <c r="G707" s="51" t="s">
        <v>35</v>
      </c>
      <c r="H707">
        <v>1</v>
      </c>
      <c r="I707" s="58">
        <v>8000</v>
      </c>
      <c r="J707" s="59">
        <v>8000</v>
      </c>
      <c r="K707">
        <v>1</v>
      </c>
      <c r="O707" s="52"/>
    </row>
    <row r="708" spans="1:15" x14ac:dyDescent="0.15">
      <c r="A708">
        <v>3</v>
      </c>
      <c r="D708" s="51" t="s">
        <v>33</v>
      </c>
      <c r="E708" s="51" t="s">
        <v>56</v>
      </c>
      <c r="G708" s="51" t="s">
        <v>35</v>
      </c>
      <c r="H708">
        <v>1</v>
      </c>
      <c r="I708" s="58">
        <v>8000</v>
      </c>
      <c r="J708" s="59">
        <v>8000</v>
      </c>
      <c r="K708">
        <v>1</v>
      </c>
      <c r="O708" s="52"/>
    </row>
    <row r="709" spans="1:15" x14ac:dyDescent="0.15">
      <c r="A709">
        <v>3</v>
      </c>
      <c r="D709" s="51" t="s">
        <v>33</v>
      </c>
      <c r="E709" s="51" t="s">
        <v>51</v>
      </c>
      <c r="G709" s="51" t="s">
        <v>35</v>
      </c>
      <c r="H709">
        <v>1</v>
      </c>
      <c r="I709" s="58">
        <v>1500</v>
      </c>
      <c r="J709" s="59">
        <v>1500</v>
      </c>
      <c r="K709">
        <v>1</v>
      </c>
      <c r="O709" s="52"/>
    </row>
    <row r="710" spans="1:15" x14ac:dyDescent="0.15">
      <c r="A710">
        <v>3</v>
      </c>
      <c r="D710" s="51" t="s">
        <v>33</v>
      </c>
      <c r="E710" s="51" t="s">
        <v>50</v>
      </c>
      <c r="G710" s="51" t="s">
        <v>35</v>
      </c>
      <c r="H710">
        <v>1</v>
      </c>
      <c r="I710" s="58">
        <v>1500</v>
      </c>
      <c r="J710" s="59">
        <v>1500</v>
      </c>
      <c r="K710">
        <v>1</v>
      </c>
      <c r="O710" s="52"/>
    </row>
    <row r="711" spans="1:15" x14ac:dyDescent="0.15">
      <c r="A711">
        <v>3</v>
      </c>
      <c r="D711" s="51" t="s">
        <v>36</v>
      </c>
      <c r="E711" s="51" t="s">
        <v>37</v>
      </c>
      <c r="G711" s="51" t="s">
        <v>35</v>
      </c>
      <c r="H711">
        <v>1</v>
      </c>
      <c r="I711" s="58">
        <v>10000</v>
      </c>
      <c r="J711" s="59">
        <v>10000</v>
      </c>
      <c r="K711">
        <v>1</v>
      </c>
      <c r="O711" s="52"/>
    </row>
    <row r="712" spans="1:15" x14ac:dyDescent="0.15">
      <c r="A712">
        <v>3</v>
      </c>
      <c r="D712" s="51" t="s">
        <v>36</v>
      </c>
      <c r="E712" s="51" t="s">
        <v>38</v>
      </c>
      <c r="G712" s="51" t="s">
        <v>35</v>
      </c>
      <c r="H712">
        <v>1</v>
      </c>
      <c r="I712" s="58">
        <v>7000</v>
      </c>
      <c r="J712" s="59">
        <v>7000</v>
      </c>
      <c r="K712">
        <v>1</v>
      </c>
      <c r="O712" s="52"/>
    </row>
    <row r="713" spans="1:15" x14ac:dyDescent="0.15">
      <c r="A713">
        <v>3</v>
      </c>
      <c r="D713" s="51" t="s">
        <v>39</v>
      </c>
      <c r="E713" s="51" t="s">
        <v>40</v>
      </c>
      <c r="G713" s="51" t="s">
        <v>41</v>
      </c>
      <c r="H713">
        <v>60</v>
      </c>
      <c r="I713" s="58">
        <v>150</v>
      </c>
      <c r="J713" s="59">
        <v>9000</v>
      </c>
      <c r="K713">
        <v>1</v>
      </c>
      <c r="O713" s="52"/>
    </row>
    <row r="714" spans="1:15" x14ac:dyDescent="0.15">
      <c r="A714">
        <v>3</v>
      </c>
      <c r="D714" s="51" t="s">
        <v>39</v>
      </c>
      <c r="E714" s="51" t="s">
        <v>52</v>
      </c>
      <c r="G714" s="51" t="s">
        <v>41</v>
      </c>
      <c r="H714">
        <v>40</v>
      </c>
      <c r="I714" s="58">
        <v>200</v>
      </c>
      <c r="J714" s="59">
        <v>8000</v>
      </c>
      <c r="K714">
        <v>1</v>
      </c>
      <c r="O714" s="52"/>
    </row>
    <row r="715" spans="1:15" x14ac:dyDescent="0.15">
      <c r="A715">
        <v>3</v>
      </c>
      <c r="D715" s="51" t="s">
        <v>23</v>
      </c>
      <c r="E715" s="51" t="s">
        <v>43</v>
      </c>
      <c r="G715" s="51" t="s">
        <v>19</v>
      </c>
      <c r="H715">
        <v>1</v>
      </c>
      <c r="I715" s="58">
        <v>21000</v>
      </c>
      <c r="J715" s="59">
        <v>21000</v>
      </c>
      <c r="K715">
        <v>1</v>
      </c>
      <c r="O715" s="52"/>
    </row>
    <row r="716" spans="1:15" x14ac:dyDescent="0.15">
      <c r="A716">
        <v>3</v>
      </c>
      <c r="D716" s="51" t="s">
        <v>39</v>
      </c>
      <c r="E716" s="51" t="s">
        <v>42</v>
      </c>
      <c r="G716" s="51" t="s">
        <v>19</v>
      </c>
      <c r="H716">
        <v>1</v>
      </c>
      <c r="I716" s="58">
        <v>13500</v>
      </c>
      <c r="J716" s="59">
        <v>13500</v>
      </c>
      <c r="K716">
        <v>1</v>
      </c>
      <c r="O716" s="52"/>
    </row>
    <row r="717" spans="1:15" x14ac:dyDescent="0.15">
      <c r="A717">
        <v>2</v>
      </c>
      <c r="D717" s="51" t="s">
        <v>20</v>
      </c>
      <c r="E717" s="51" t="s">
        <v>44</v>
      </c>
      <c r="F717" s="51" t="s">
        <v>294</v>
      </c>
      <c r="G717" s="51" t="s">
        <v>45</v>
      </c>
      <c r="H717">
        <v>50</v>
      </c>
      <c r="I717" s="58">
        <v>5900</v>
      </c>
      <c r="J717" s="59">
        <v>295000</v>
      </c>
      <c r="K717">
        <v>50</v>
      </c>
      <c r="M717" s="51" t="s">
        <v>325</v>
      </c>
      <c r="O717" s="52"/>
    </row>
    <row r="718" spans="1:15" x14ac:dyDescent="0.15">
      <c r="A718">
        <v>3</v>
      </c>
      <c r="D718" s="51" t="s">
        <v>39</v>
      </c>
      <c r="E718" s="51" t="s">
        <v>47</v>
      </c>
      <c r="G718" s="51" t="s">
        <v>26</v>
      </c>
      <c r="H718">
        <v>7</v>
      </c>
      <c r="I718" s="58">
        <v>1800</v>
      </c>
      <c r="J718" s="59">
        <v>12600</v>
      </c>
      <c r="K718">
        <v>1</v>
      </c>
      <c r="O718" s="52"/>
    </row>
    <row r="719" spans="1:15" x14ac:dyDescent="0.15">
      <c r="A719">
        <v>3</v>
      </c>
      <c r="D719" s="51" t="s">
        <v>39</v>
      </c>
      <c r="E719" s="51" t="s">
        <v>110</v>
      </c>
      <c r="F719" s="51" t="s">
        <v>326</v>
      </c>
      <c r="G719" s="51" t="s">
        <v>26</v>
      </c>
      <c r="H719">
        <v>7</v>
      </c>
      <c r="I719" s="58">
        <v>4000</v>
      </c>
      <c r="J719" s="59">
        <v>28000</v>
      </c>
      <c r="K719">
        <v>1</v>
      </c>
      <c r="O719" s="52"/>
    </row>
    <row r="720" spans="1:15" x14ac:dyDescent="0.15">
      <c r="A720">
        <v>3</v>
      </c>
      <c r="D720" s="51" t="s">
        <v>30</v>
      </c>
      <c r="E720" s="51" t="s">
        <v>31</v>
      </c>
      <c r="G720" s="51" t="s">
        <v>32</v>
      </c>
      <c r="H720">
        <v>5</v>
      </c>
      <c r="I720" s="58">
        <v>32000</v>
      </c>
      <c r="J720" s="59">
        <v>160000</v>
      </c>
      <c r="K720">
        <v>1</v>
      </c>
      <c r="O720" s="52"/>
    </row>
    <row r="721" spans="1:15" x14ac:dyDescent="0.15">
      <c r="A721">
        <v>3</v>
      </c>
      <c r="D721" s="51" t="s">
        <v>33</v>
      </c>
      <c r="E721" s="51" t="s">
        <v>76</v>
      </c>
      <c r="G721" s="51" t="s">
        <v>35</v>
      </c>
      <c r="H721">
        <v>1</v>
      </c>
      <c r="I721" s="58">
        <v>8000</v>
      </c>
      <c r="J721" s="59">
        <v>8000</v>
      </c>
      <c r="K721">
        <v>1</v>
      </c>
      <c r="O721" s="52"/>
    </row>
    <row r="722" spans="1:15" x14ac:dyDescent="0.15">
      <c r="A722">
        <v>3</v>
      </c>
      <c r="D722" s="51" t="s">
        <v>33</v>
      </c>
      <c r="E722" s="51" t="s">
        <v>56</v>
      </c>
      <c r="G722" s="51" t="s">
        <v>35</v>
      </c>
      <c r="H722">
        <v>1</v>
      </c>
      <c r="I722" s="58">
        <v>8000</v>
      </c>
      <c r="J722" s="59">
        <v>8000</v>
      </c>
      <c r="K722">
        <v>1</v>
      </c>
      <c r="O722" s="52"/>
    </row>
    <row r="723" spans="1:15" x14ac:dyDescent="0.15">
      <c r="A723">
        <v>3</v>
      </c>
      <c r="D723" s="51" t="s">
        <v>33</v>
      </c>
      <c r="E723" s="51" t="s">
        <v>51</v>
      </c>
      <c r="G723" s="51" t="s">
        <v>35</v>
      </c>
      <c r="H723">
        <v>1</v>
      </c>
      <c r="I723" s="58">
        <v>1500</v>
      </c>
      <c r="J723" s="59">
        <v>1500</v>
      </c>
      <c r="K723">
        <v>1</v>
      </c>
      <c r="O723" s="52"/>
    </row>
    <row r="724" spans="1:15" x14ac:dyDescent="0.15">
      <c r="A724">
        <v>3</v>
      </c>
      <c r="D724" s="51" t="s">
        <v>33</v>
      </c>
      <c r="E724" s="51" t="s">
        <v>50</v>
      </c>
      <c r="G724" s="51" t="s">
        <v>35</v>
      </c>
      <c r="H724">
        <v>1</v>
      </c>
      <c r="I724" s="58">
        <v>1500</v>
      </c>
      <c r="J724" s="59">
        <v>1500</v>
      </c>
      <c r="K724">
        <v>1</v>
      </c>
      <c r="O724" s="52"/>
    </row>
    <row r="725" spans="1:15" x14ac:dyDescent="0.15">
      <c r="A725">
        <v>3</v>
      </c>
      <c r="D725" s="51" t="s">
        <v>36</v>
      </c>
      <c r="E725" s="51" t="s">
        <v>37</v>
      </c>
      <c r="G725" s="51" t="s">
        <v>35</v>
      </c>
      <c r="H725">
        <v>1</v>
      </c>
      <c r="I725" s="58">
        <v>10000</v>
      </c>
      <c r="J725" s="59">
        <v>10000</v>
      </c>
      <c r="K725">
        <v>1</v>
      </c>
      <c r="O725" s="52"/>
    </row>
    <row r="726" spans="1:15" x14ac:dyDescent="0.15">
      <c r="A726">
        <v>3</v>
      </c>
      <c r="D726" s="51" t="s">
        <v>36</v>
      </c>
      <c r="E726" s="51" t="s">
        <v>38</v>
      </c>
      <c r="G726" s="51" t="s">
        <v>35</v>
      </c>
      <c r="H726">
        <v>1</v>
      </c>
      <c r="I726" s="58">
        <v>7000</v>
      </c>
      <c r="J726" s="59">
        <v>7000</v>
      </c>
      <c r="K726">
        <v>1</v>
      </c>
      <c r="O726" s="52"/>
    </row>
    <row r="727" spans="1:15" x14ac:dyDescent="0.15">
      <c r="A727">
        <v>3</v>
      </c>
      <c r="D727" s="51" t="s">
        <v>39</v>
      </c>
      <c r="E727" s="51" t="s">
        <v>40</v>
      </c>
      <c r="G727" s="51" t="s">
        <v>41</v>
      </c>
      <c r="H727">
        <v>60</v>
      </c>
      <c r="I727" s="58">
        <v>150</v>
      </c>
      <c r="J727" s="59">
        <v>9000</v>
      </c>
      <c r="K727">
        <v>1</v>
      </c>
      <c r="O727" s="52"/>
    </row>
    <row r="728" spans="1:15" x14ac:dyDescent="0.15">
      <c r="A728">
        <v>3</v>
      </c>
      <c r="D728" s="51" t="s">
        <v>39</v>
      </c>
      <c r="E728" s="51" t="s">
        <v>52</v>
      </c>
      <c r="G728" s="51" t="s">
        <v>41</v>
      </c>
      <c r="H728">
        <v>40</v>
      </c>
      <c r="I728" s="58">
        <v>200</v>
      </c>
      <c r="J728" s="59">
        <v>8000</v>
      </c>
      <c r="K728">
        <v>1</v>
      </c>
      <c r="O728" s="52"/>
    </row>
    <row r="729" spans="1:15" x14ac:dyDescent="0.15">
      <c r="A729">
        <v>3</v>
      </c>
      <c r="D729" s="51" t="s">
        <v>23</v>
      </c>
      <c r="E729" s="51" t="s">
        <v>43</v>
      </c>
      <c r="G729" s="51" t="s">
        <v>19</v>
      </c>
      <c r="H729">
        <v>1</v>
      </c>
      <c r="I729" s="58">
        <v>21400</v>
      </c>
      <c r="J729" s="59">
        <v>21400</v>
      </c>
      <c r="K729">
        <v>1</v>
      </c>
      <c r="O729" s="52"/>
    </row>
    <row r="730" spans="1:15" x14ac:dyDescent="0.15">
      <c r="A730">
        <v>3</v>
      </c>
      <c r="D730" s="51" t="s">
        <v>39</v>
      </c>
      <c r="E730" s="51" t="s">
        <v>42</v>
      </c>
      <c r="G730" s="51" t="s">
        <v>19</v>
      </c>
      <c r="H730">
        <v>1</v>
      </c>
      <c r="I730" s="58">
        <v>20000</v>
      </c>
      <c r="J730" s="59">
        <v>20000</v>
      </c>
      <c r="K730">
        <v>1</v>
      </c>
      <c r="O730" s="52"/>
    </row>
    <row r="731" spans="1:15" x14ac:dyDescent="0.15">
      <c r="A731">
        <v>2</v>
      </c>
      <c r="D731" s="51" t="s">
        <v>20</v>
      </c>
      <c r="E731" s="51" t="s">
        <v>327</v>
      </c>
      <c r="F731" s="51" t="s">
        <v>292</v>
      </c>
      <c r="G731" s="51" t="s">
        <v>45</v>
      </c>
      <c r="H731">
        <v>45</v>
      </c>
      <c r="I731" s="58">
        <v>16350</v>
      </c>
      <c r="J731" s="59">
        <v>735750</v>
      </c>
      <c r="K731">
        <v>45</v>
      </c>
      <c r="M731" s="51" t="s">
        <v>328</v>
      </c>
      <c r="O731" s="52"/>
    </row>
    <row r="732" spans="1:15" x14ac:dyDescent="0.15">
      <c r="A732">
        <v>3</v>
      </c>
      <c r="D732" s="51" t="s">
        <v>39</v>
      </c>
      <c r="E732" s="51" t="s">
        <v>197</v>
      </c>
      <c r="G732" s="51" t="s">
        <v>198</v>
      </c>
      <c r="H732">
        <v>8</v>
      </c>
      <c r="I732" s="58">
        <v>11000</v>
      </c>
      <c r="J732" s="59">
        <v>88000</v>
      </c>
      <c r="K732">
        <v>1</v>
      </c>
      <c r="O732" s="52"/>
    </row>
    <row r="733" spans="1:15" x14ac:dyDescent="0.15">
      <c r="A733">
        <v>3</v>
      </c>
      <c r="D733" s="51" t="s">
        <v>39</v>
      </c>
      <c r="E733" s="51" t="s">
        <v>203</v>
      </c>
      <c r="G733" s="51" t="s">
        <v>198</v>
      </c>
      <c r="H733">
        <v>15</v>
      </c>
      <c r="I733" s="58">
        <v>12000</v>
      </c>
      <c r="J733" s="59">
        <v>180000</v>
      </c>
      <c r="K733">
        <v>1</v>
      </c>
      <c r="O733" s="52"/>
    </row>
    <row r="734" spans="1:15" x14ac:dyDescent="0.15">
      <c r="A734">
        <v>3</v>
      </c>
      <c r="D734" s="51" t="s">
        <v>39</v>
      </c>
      <c r="E734" s="51" t="s">
        <v>329</v>
      </c>
      <c r="G734" s="51" t="s">
        <v>41</v>
      </c>
      <c r="H734">
        <v>60</v>
      </c>
      <c r="I734" s="58">
        <v>100</v>
      </c>
      <c r="J734" s="59">
        <v>6000</v>
      </c>
      <c r="K734">
        <v>1</v>
      </c>
      <c r="O734" s="52"/>
    </row>
    <row r="735" spans="1:15" x14ac:dyDescent="0.15">
      <c r="A735">
        <v>3</v>
      </c>
      <c r="D735" s="51" t="s">
        <v>39</v>
      </c>
      <c r="E735" s="51" t="s">
        <v>330</v>
      </c>
      <c r="G735" s="51" t="s">
        <v>41</v>
      </c>
      <c r="H735">
        <v>30</v>
      </c>
      <c r="I735" s="58">
        <v>150</v>
      </c>
      <c r="J735" s="59">
        <v>4500</v>
      </c>
      <c r="K735">
        <v>1</v>
      </c>
      <c r="O735" s="52"/>
    </row>
    <row r="736" spans="1:15" x14ac:dyDescent="0.15">
      <c r="A736">
        <v>3</v>
      </c>
      <c r="D736" s="51" t="s">
        <v>30</v>
      </c>
      <c r="E736" s="51" t="s">
        <v>31</v>
      </c>
      <c r="G736" s="51" t="s">
        <v>32</v>
      </c>
      <c r="H736">
        <v>10</v>
      </c>
      <c r="I736" s="58">
        <v>32000</v>
      </c>
      <c r="J736" s="59">
        <v>320000</v>
      </c>
      <c r="K736">
        <v>1</v>
      </c>
      <c r="O736" s="52"/>
    </row>
    <row r="737" spans="1:15" x14ac:dyDescent="0.15">
      <c r="A737">
        <v>3</v>
      </c>
      <c r="D737" s="51" t="s">
        <v>33</v>
      </c>
      <c r="E737" s="51" t="s">
        <v>76</v>
      </c>
      <c r="G737" s="51" t="s">
        <v>35</v>
      </c>
      <c r="H737">
        <v>1</v>
      </c>
      <c r="I737" s="58">
        <v>8000</v>
      </c>
      <c r="J737" s="59">
        <v>8000</v>
      </c>
      <c r="K737">
        <v>1</v>
      </c>
      <c r="O737" s="52"/>
    </row>
    <row r="738" spans="1:15" x14ac:dyDescent="0.15">
      <c r="A738">
        <v>3</v>
      </c>
      <c r="D738" s="51" t="s">
        <v>33</v>
      </c>
      <c r="E738" s="51" t="s">
        <v>182</v>
      </c>
      <c r="G738" s="51" t="s">
        <v>35</v>
      </c>
      <c r="H738">
        <v>1</v>
      </c>
      <c r="I738" s="58">
        <v>8000</v>
      </c>
      <c r="J738" s="59">
        <v>8000</v>
      </c>
      <c r="K738">
        <v>1</v>
      </c>
      <c r="O738" s="52"/>
    </row>
    <row r="739" spans="1:15" x14ac:dyDescent="0.15">
      <c r="A739">
        <v>3</v>
      </c>
      <c r="D739" s="51" t="s">
        <v>33</v>
      </c>
      <c r="E739" s="51" t="s">
        <v>56</v>
      </c>
      <c r="G739" s="51" t="s">
        <v>35</v>
      </c>
      <c r="H739">
        <v>1</v>
      </c>
      <c r="I739" s="58">
        <v>8000</v>
      </c>
      <c r="J739" s="59">
        <v>8000</v>
      </c>
      <c r="K739">
        <v>1</v>
      </c>
      <c r="O739" s="52"/>
    </row>
    <row r="740" spans="1:15" x14ac:dyDescent="0.15">
      <c r="A740">
        <v>3</v>
      </c>
      <c r="D740" s="51" t="s">
        <v>33</v>
      </c>
      <c r="E740" s="51" t="s">
        <v>51</v>
      </c>
      <c r="G740" s="51" t="s">
        <v>35</v>
      </c>
      <c r="H740">
        <v>1</v>
      </c>
      <c r="I740" s="58">
        <v>1500</v>
      </c>
      <c r="J740" s="59">
        <v>1500</v>
      </c>
      <c r="K740">
        <v>1</v>
      </c>
      <c r="O740" s="52"/>
    </row>
    <row r="741" spans="1:15" x14ac:dyDescent="0.15">
      <c r="A741">
        <v>3</v>
      </c>
      <c r="D741" s="51" t="s">
        <v>33</v>
      </c>
      <c r="E741" s="51" t="s">
        <v>50</v>
      </c>
      <c r="G741" s="51" t="s">
        <v>35</v>
      </c>
      <c r="H741">
        <v>1</v>
      </c>
      <c r="I741" s="58">
        <v>1500</v>
      </c>
      <c r="J741" s="59">
        <v>1500</v>
      </c>
      <c r="K741">
        <v>1</v>
      </c>
      <c r="O741" s="52"/>
    </row>
    <row r="742" spans="1:15" x14ac:dyDescent="0.15">
      <c r="A742">
        <v>3</v>
      </c>
      <c r="D742" s="51" t="s">
        <v>33</v>
      </c>
      <c r="E742" s="51" t="s">
        <v>221</v>
      </c>
      <c r="F742" s="51" t="s">
        <v>331</v>
      </c>
      <c r="G742" s="51" t="s">
        <v>35</v>
      </c>
      <c r="H742">
        <v>1</v>
      </c>
      <c r="I742" s="58">
        <v>1500</v>
      </c>
      <c r="J742" s="59">
        <v>1500</v>
      </c>
      <c r="K742">
        <v>1</v>
      </c>
      <c r="O742" s="52"/>
    </row>
    <row r="743" spans="1:15" x14ac:dyDescent="0.15">
      <c r="A743">
        <v>3</v>
      </c>
      <c r="D743" s="51" t="s">
        <v>36</v>
      </c>
      <c r="E743" s="51" t="s">
        <v>37</v>
      </c>
      <c r="G743" s="51" t="s">
        <v>35</v>
      </c>
      <c r="H743">
        <v>1</v>
      </c>
      <c r="I743" s="58">
        <v>10000</v>
      </c>
      <c r="J743" s="59">
        <v>10000</v>
      </c>
      <c r="K743">
        <v>1</v>
      </c>
      <c r="O743" s="52"/>
    </row>
    <row r="744" spans="1:15" x14ac:dyDescent="0.15">
      <c r="A744">
        <v>3</v>
      </c>
      <c r="D744" s="51" t="s">
        <v>36</v>
      </c>
      <c r="E744" s="51" t="s">
        <v>38</v>
      </c>
      <c r="G744" s="51" t="s">
        <v>35</v>
      </c>
      <c r="H744">
        <v>2</v>
      </c>
      <c r="I744" s="58">
        <v>7000</v>
      </c>
      <c r="J744" s="59">
        <v>14000</v>
      </c>
      <c r="K744">
        <v>1</v>
      </c>
      <c r="O744" s="52"/>
    </row>
    <row r="745" spans="1:15" x14ac:dyDescent="0.15">
      <c r="A745">
        <v>3</v>
      </c>
      <c r="D745" s="51" t="s">
        <v>36</v>
      </c>
      <c r="E745" s="51" t="s">
        <v>96</v>
      </c>
      <c r="G745" s="51" t="s">
        <v>35</v>
      </c>
      <c r="H745">
        <v>2</v>
      </c>
      <c r="I745" s="58">
        <v>7000</v>
      </c>
      <c r="J745" s="59">
        <v>14000</v>
      </c>
      <c r="K745">
        <v>1</v>
      </c>
      <c r="O745" s="52"/>
    </row>
    <row r="746" spans="1:15" x14ac:dyDescent="0.15">
      <c r="A746">
        <v>3</v>
      </c>
      <c r="D746" s="51" t="s">
        <v>39</v>
      </c>
      <c r="E746" s="51" t="s">
        <v>40</v>
      </c>
      <c r="G746" s="51" t="s">
        <v>41</v>
      </c>
      <c r="H746">
        <v>90</v>
      </c>
      <c r="I746" s="58">
        <v>150</v>
      </c>
      <c r="J746" s="59">
        <v>13500</v>
      </c>
      <c r="K746">
        <v>1</v>
      </c>
      <c r="O746" s="52"/>
    </row>
    <row r="747" spans="1:15" x14ac:dyDescent="0.15">
      <c r="A747">
        <v>3</v>
      </c>
      <c r="D747" s="51" t="s">
        <v>39</v>
      </c>
      <c r="E747" s="51" t="s">
        <v>52</v>
      </c>
      <c r="G747" s="51" t="s">
        <v>41</v>
      </c>
      <c r="H747">
        <v>100</v>
      </c>
      <c r="I747" s="58">
        <v>200</v>
      </c>
      <c r="J747" s="59">
        <v>20000</v>
      </c>
      <c r="K747">
        <v>1</v>
      </c>
      <c r="O747" s="52"/>
    </row>
    <row r="748" spans="1:15" x14ac:dyDescent="0.15">
      <c r="A748">
        <v>3</v>
      </c>
      <c r="D748" s="51" t="s">
        <v>23</v>
      </c>
      <c r="E748" s="51" t="s">
        <v>43</v>
      </c>
      <c r="G748" s="51" t="s">
        <v>19</v>
      </c>
      <c r="H748">
        <v>1</v>
      </c>
      <c r="I748" s="58">
        <v>37250</v>
      </c>
      <c r="J748" s="59">
        <v>37250</v>
      </c>
      <c r="K748">
        <v>1</v>
      </c>
      <c r="O748" s="52"/>
    </row>
    <row r="749" spans="1:15" x14ac:dyDescent="0.15">
      <c r="A749">
        <v>2</v>
      </c>
      <c r="D749" s="51" t="s">
        <v>20</v>
      </c>
      <c r="E749" s="51" t="s">
        <v>327</v>
      </c>
      <c r="F749" s="51" t="s">
        <v>294</v>
      </c>
      <c r="G749" s="51" t="s">
        <v>45</v>
      </c>
      <c r="H749">
        <v>50</v>
      </c>
      <c r="I749" s="58">
        <v>11200</v>
      </c>
      <c r="J749" s="59">
        <v>560000</v>
      </c>
      <c r="K749">
        <v>50</v>
      </c>
      <c r="M749" s="51" t="s">
        <v>332</v>
      </c>
      <c r="O749" s="52"/>
    </row>
    <row r="750" spans="1:15" x14ac:dyDescent="0.15">
      <c r="A750">
        <v>3</v>
      </c>
      <c r="D750" s="51" t="s">
        <v>39</v>
      </c>
      <c r="E750" s="51" t="s">
        <v>209</v>
      </c>
      <c r="G750" s="51" t="s">
        <v>198</v>
      </c>
      <c r="H750">
        <v>7</v>
      </c>
      <c r="I750" s="58">
        <v>14500</v>
      </c>
      <c r="J750" s="59">
        <v>101500</v>
      </c>
      <c r="K750">
        <v>1</v>
      </c>
      <c r="O750" s="52"/>
    </row>
    <row r="751" spans="1:15" x14ac:dyDescent="0.15">
      <c r="A751">
        <v>3</v>
      </c>
      <c r="D751" s="51" t="s">
        <v>30</v>
      </c>
      <c r="E751" s="51" t="s">
        <v>31</v>
      </c>
      <c r="G751" s="51" t="s">
        <v>32</v>
      </c>
      <c r="H751">
        <v>10</v>
      </c>
      <c r="I751" s="58">
        <v>32000</v>
      </c>
      <c r="J751" s="59">
        <v>320000</v>
      </c>
      <c r="K751">
        <v>1</v>
      </c>
      <c r="O751" s="52"/>
    </row>
    <row r="752" spans="1:15" x14ac:dyDescent="0.15">
      <c r="A752">
        <v>3</v>
      </c>
      <c r="D752" s="51" t="s">
        <v>33</v>
      </c>
      <c r="E752" s="51" t="s">
        <v>76</v>
      </c>
      <c r="G752" s="51" t="s">
        <v>35</v>
      </c>
      <c r="H752">
        <v>1</v>
      </c>
      <c r="I752" s="58">
        <v>8000</v>
      </c>
      <c r="J752" s="59">
        <v>8000</v>
      </c>
      <c r="K752">
        <v>1</v>
      </c>
      <c r="O752" s="52"/>
    </row>
    <row r="753" spans="1:15" x14ac:dyDescent="0.15">
      <c r="A753">
        <v>3</v>
      </c>
      <c r="D753" s="51" t="s">
        <v>33</v>
      </c>
      <c r="E753" s="51" t="s">
        <v>182</v>
      </c>
      <c r="G753" s="51" t="s">
        <v>35</v>
      </c>
      <c r="H753">
        <v>1</v>
      </c>
      <c r="I753" s="58">
        <v>8000</v>
      </c>
      <c r="J753" s="59">
        <v>8000</v>
      </c>
      <c r="K753">
        <v>1</v>
      </c>
      <c r="O753" s="52"/>
    </row>
    <row r="754" spans="1:15" x14ac:dyDescent="0.15">
      <c r="A754">
        <v>3</v>
      </c>
      <c r="D754" s="51" t="s">
        <v>33</v>
      </c>
      <c r="E754" s="51" t="s">
        <v>56</v>
      </c>
      <c r="G754" s="51" t="s">
        <v>35</v>
      </c>
      <c r="H754">
        <v>1</v>
      </c>
      <c r="I754" s="58">
        <v>8000</v>
      </c>
      <c r="J754" s="59">
        <v>8000</v>
      </c>
      <c r="K754">
        <v>1</v>
      </c>
      <c r="O754" s="52"/>
    </row>
    <row r="755" spans="1:15" x14ac:dyDescent="0.15">
      <c r="A755">
        <v>3</v>
      </c>
      <c r="D755" s="51" t="s">
        <v>33</v>
      </c>
      <c r="E755" s="51" t="s">
        <v>51</v>
      </c>
      <c r="G755" s="51" t="s">
        <v>35</v>
      </c>
      <c r="H755">
        <v>1</v>
      </c>
      <c r="I755" s="58">
        <v>1500</v>
      </c>
      <c r="J755" s="59">
        <v>1500</v>
      </c>
      <c r="K755">
        <v>1</v>
      </c>
      <c r="O755" s="52"/>
    </row>
    <row r="756" spans="1:15" x14ac:dyDescent="0.15">
      <c r="A756">
        <v>3</v>
      </c>
      <c r="D756" s="51" t="s">
        <v>33</v>
      </c>
      <c r="E756" s="51" t="s">
        <v>50</v>
      </c>
      <c r="G756" s="51" t="s">
        <v>35</v>
      </c>
      <c r="H756">
        <v>1</v>
      </c>
      <c r="I756" s="58">
        <v>1500</v>
      </c>
      <c r="J756" s="59">
        <v>1500</v>
      </c>
      <c r="K756">
        <v>1</v>
      </c>
      <c r="O756" s="52"/>
    </row>
    <row r="757" spans="1:15" x14ac:dyDescent="0.15">
      <c r="A757">
        <v>3</v>
      </c>
      <c r="D757" s="51" t="s">
        <v>36</v>
      </c>
      <c r="E757" s="51" t="s">
        <v>37</v>
      </c>
      <c r="G757" s="51" t="s">
        <v>35</v>
      </c>
      <c r="H757">
        <v>1</v>
      </c>
      <c r="I757" s="58">
        <v>10000</v>
      </c>
      <c r="J757" s="59">
        <v>10000</v>
      </c>
      <c r="K757">
        <v>1</v>
      </c>
      <c r="O757" s="52"/>
    </row>
    <row r="758" spans="1:15" x14ac:dyDescent="0.15">
      <c r="A758">
        <v>3</v>
      </c>
      <c r="D758" s="51" t="s">
        <v>36</v>
      </c>
      <c r="E758" s="51" t="s">
        <v>38</v>
      </c>
      <c r="G758" s="51" t="s">
        <v>35</v>
      </c>
      <c r="H758">
        <v>2</v>
      </c>
      <c r="I758" s="58">
        <v>7000</v>
      </c>
      <c r="J758" s="59">
        <v>14000</v>
      </c>
      <c r="K758">
        <v>1</v>
      </c>
      <c r="O758" s="52"/>
    </row>
    <row r="759" spans="1:15" x14ac:dyDescent="0.15">
      <c r="A759">
        <v>3</v>
      </c>
      <c r="D759" s="51" t="s">
        <v>36</v>
      </c>
      <c r="E759" s="51" t="s">
        <v>96</v>
      </c>
      <c r="G759" s="51" t="s">
        <v>35</v>
      </c>
      <c r="H759">
        <v>2</v>
      </c>
      <c r="I759" s="58">
        <v>7000</v>
      </c>
      <c r="J759" s="59">
        <v>14000</v>
      </c>
      <c r="K759">
        <v>1</v>
      </c>
      <c r="O759" s="52"/>
    </row>
    <row r="760" spans="1:15" x14ac:dyDescent="0.15">
      <c r="A760">
        <v>3</v>
      </c>
      <c r="D760" s="51" t="s">
        <v>39</v>
      </c>
      <c r="E760" s="51" t="s">
        <v>40</v>
      </c>
      <c r="G760" s="51" t="s">
        <v>41</v>
      </c>
      <c r="H760">
        <v>90</v>
      </c>
      <c r="I760" s="58">
        <v>150</v>
      </c>
      <c r="J760" s="59">
        <v>13500</v>
      </c>
      <c r="K760">
        <v>1</v>
      </c>
      <c r="O760" s="52"/>
    </row>
    <row r="761" spans="1:15" x14ac:dyDescent="0.15">
      <c r="A761">
        <v>3</v>
      </c>
      <c r="D761" s="51" t="s">
        <v>39</v>
      </c>
      <c r="E761" s="51" t="s">
        <v>52</v>
      </c>
      <c r="G761" s="51" t="s">
        <v>41</v>
      </c>
      <c r="H761">
        <v>100</v>
      </c>
      <c r="I761" s="58">
        <v>200</v>
      </c>
      <c r="J761" s="59">
        <v>20000</v>
      </c>
      <c r="K761">
        <v>1</v>
      </c>
      <c r="O761" s="52"/>
    </row>
    <row r="762" spans="1:15" x14ac:dyDescent="0.15">
      <c r="A762">
        <v>3</v>
      </c>
      <c r="D762" s="51" t="s">
        <v>23</v>
      </c>
      <c r="E762" s="51" t="s">
        <v>43</v>
      </c>
      <c r="G762" s="51" t="s">
        <v>19</v>
      </c>
      <c r="H762">
        <v>1</v>
      </c>
      <c r="I762" s="58">
        <v>40000</v>
      </c>
      <c r="J762" s="59">
        <v>40000</v>
      </c>
      <c r="K762">
        <v>1</v>
      </c>
      <c r="O762" s="52"/>
    </row>
    <row r="763" spans="1:15" x14ac:dyDescent="0.15">
      <c r="A763">
        <v>1</v>
      </c>
      <c r="D763" s="51" t="s">
        <v>20</v>
      </c>
      <c r="E763" s="51" t="s">
        <v>333</v>
      </c>
      <c r="G763" s="51" t="s">
        <v>19</v>
      </c>
      <c r="H763">
        <v>1</v>
      </c>
      <c r="I763" s="58">
        <v>105000</v>
      </c>
      <c r="J763" s="59">
        <v>105000</v>
      </c>
      <c r="K763">
        <v>1</v>
      </c>
      <c r="M763" s="51" t="s">
        <v>334</v>
      </c>
      <c r="O763" s="52"/>
    </row>
    <row r="764" spans="1:15" x14ac:dyDescent="0.15">
      <c r="A764">
        <v>2</v>
      </c>
      <c r="D764" s="51" t="s">
        <v>30</v>
      </c>
      <c r="E764" s="51" t="s">
        <v>335</v>
      </c>
      <c r="G764" s="51" t="s">
        <v>32</v>
      </c>
      <c r="H764">
        <v>1</v>
      </c>
      <c r="I764" s="58">
        <v>30000</v>
      </c>
      <c r="J764" s="59">
        <v>30000</v>
      </c>
      <c r="K764">
        <v>1</v>
      </c>
      <c r="O764" s="52"/>
    </row>
    <row r="765" spans="1:15" x14ac:dyDescent="0.15">
      <c r="A765">
        <v>2</v>
      </c>
      <c r="D765" s="51" t="s">
        <v>30</v>
      </c>
      <c r="E765" s="51" t="s">
        <v>217</v>
      </c>
      <c r="G765" s="51" t="s">
        <v>32</v>
      </c>
      <c r="H765">
        <v>3</v>
      </c>
      <c r="I765" s="58">
        <v>25000</v>
      </c>
      <c r="J765" s="59">
        <v>75000</v>
      </c>
      <c r="K765">
        <v>1</v>
      </c>
      <c r="O765" s="52"/>
    </row>
    <row r="766" spans="1:15" x14ac:dyDescent="0.15">
      <c r="A766">
        <v>1</v>
      </c>
      <c r="D766" s="51" t="s">
        <v>20</v>
      </c>
      <c r="E766" s="51" t="s">
        <v>336</v>
      </c>
      <c r="G766" s="51" t="s">
        <v>19</v>
      </c>
      <c r="H766">
        <v>1</v>
      </c>
      <c r="I766" s="58">
        <v>125000</v>
      </c>
      <c r="J766" s="59">
        <v>125000</v>
      </c>
      <c r="K766">
        <v>1</v>
      </c>
      <c r="M766" s="51" t="s">
        <v>337</v>
      </c>
      <c r="O766" s="52"/>
    </row>
    <row r="767" spans="1:15" x14ac:dyDescent="0.15">
      <c r="A767">
        <v>2</v>
      </c>
      <c r="D767" s="51" t="s">
        <v>30</v>
      </c>
      <c r="E767" s="51" t="s">
        <v>217</v>
      </c>
      <c r="F767" s="51" t="s">
        <v>338</v>
      </c>
      <c r="G767" s="51" t="s">
        <v>32</v>
      </c>
      <c r="H767">
        <v>1</v>
      </c>
      <c r="I767" s="58">
        <v>25000</v>
      </c>
      <c r="J767" s="59">
        <v>25000</v>
      </c>
      <c r="K767">
        <v>1</v>
      </c>
      <c r="O767" s="52"/>
    </row>
    <row r="768" spans="1:15" x14ac:dyDescent="0.15">
      <c r="A768">
        <v>2</v>
      </c>
      <c r="D768" s="51" t="s">
        <v>30</v>
      </c>
      <c r="E768" s="51" t="s">
        <v>217</v>
      </c>
      <c r="F768" s="51" t="s">
        <v>339</v>
      </c>
      <c r="G768" s="51" t="s">
        <v>32</v>
      </c>
      <c r="H768">
        <v>2</v>
      </c>
      <c r="I768" s="58">
        <v>25000</v>
      </c>
      <c r="J768" s="59">
        <v>50000</v>
      </c>
      <c r="K768">
        <v>1</v>
      </c>
      <c r="O768" s="52"/>
    </row>
    <row r="769" spans="1:15" x14ac:dyDescent="0.15">
      <c r="A769">
        <v>2</v>
      </c>
      <c r="D769" s="51" t="s">
        <v>30</v>
      </c>
      <c r="E769" s="51" t="s">
        <v>217</v>
      </c>
      <c r="F769" s="51" t="s">
        <v>340</v>
      </c>
      <c r="G769" s="51" t="s">
        <v>32</v>
      </c>
      <c r="H769">
        <v>2</v>
      </c>
      <c r="I769" s="58">
        <v>25000</v>
      </c>
      <c r="J769" s="59">
        <v>50000</v>
      </c>
      <c r="K769">
        <v>1</v>
      </c>
      <c r="O769" s="52"/>
    </row>
    <row r="770" spans="1:15" x14ac:dyDescent="0.15">
      <c r="A770">
        <v>1</v>
      </c>
      <c r="D770" s="51" t="s">
        <v>20</v>
      </c>
      <c r="E770" s="51" t="s">
        <v>341</v>
      </c>
      <c r="G770" s="51" t="s">
        <v>19</v>
      </c>
      <c r="H770">
        <v>1</v>
      </c>
      <c r="I770" s="58">
        <v>145000</v>
      </c>
      <c r="J770" s="59">
        <v>145000</v>
      </c>
      <c r="K770">
        <v>1</v>
      </c>
      <c r="M770" s="51" t="s">
        <v>342</v>
      </c>
      <c r="O770" s="52"/>
    </row>
    <row r="771" spans="1:15" x14ac:dyDescent="0.15">
      <c r="A771">
        <v>2</v>
      </c>
      <c r="D771" s="51" t="s">
        <v>30</v>
      </c>
      <c r="E771" s="51" t="s">
        <v>343</v>
      </c>
      <c r="G771" s="51" t="s">
        <v>32</v>
      </c>
      <c r="H771">
        <v>1</v>
      </c>
      <c r="I771" s="58">
        <v>25000</v>
      </c>
      <c r="J771" s="59">
        <v>25000</v>
      </c>
      <c r="K771">
        <v>1</v>
      </c>
      <c r="O771" s="52"/>
    </row>
    <row r="772" spans="1:15" x14ac:dyDescent="0.15">
      <c r="A772">
        <v>2</v>
      </c>
      <c r="D772" s="51" t="s">
        <v>30</v>
      </c>
      <c r="E772" s="51" t="s">
        <v>217</v>
      </c>
      <c r="G772" s="51" t="s">
        <v>32</v>
      </c>
      <c r="H772">
        <v>3</v>
      </c>
      <c r="I772" s="58">
        <v>25000</v>
      </c>
      <c r="J772" s="59">
        <v>75000</v>
      </c>
      <c r="K772">
        <v>1</v>
      </c>
      <c r="O772" s="52"/>
    </row>
    <row r="773" spans="1:15" x14ac:dyDescent="0.15">
      <c r="A773">
        <v>2</v>
      </c>
      <c r="D773" s="51" t="s">
        <v>33</v>
      </c>
      <c r="E773" s="51" t="s">
        <v>344</v>
      </c>
      <c r="F773" s="51" t="s">
        <v>345</v>
      </c>
      <c r="G773" s="51" t="s">
        <v>35</v>
      </c>
      <c r="H773">
        <v>1</v>
      </c>
      <c r="I773" s="58">
        <v>25000</v>
      </c>
      <c r="J773" s="59">
        <v>25000</v>
      </c>
      <c r="K773">
        <v>1</v>
      </c>
      <c r="O773" s="52"/>
    </row>
    <row r="774" spans="1:15" x14ac:dyDescent="0.15">
      <c r="A774">
        <v>2</v>
      </c>
      <c r="D774" s="51" t="s">
        <v>36</v>
      </c>
      <c r="E774" s="51" t="s">
        <v>346</v>
      </c>
      <c r="F774" s="51" t="s">
        <v>347</v>
      </c>
      <c r="G774" s="51" t="s">
        <v>348</v>
      </c>
      <c r="H774">
        <v>1</v>
      </c>
      <c r="I774" s="58">
        <v>20000</v>
      </c>
      <c r="J774" s="59">
        <v>20000</v>
      </c>
      <c r="K774">
        <v>1</v>
      </c>
      <c r="O774" s="52"/>
    </row>
    <row r="775" spans="1:15" x14ac:dyDescent="0.15">
      <c r="A775">
        <v>1</v>
      </c>
      <c r="D775" s="51" t="s">
        <v>20</v>
      </c>
      <c r="E775" s="51" t="s">
        <v>349</v>
      </c>
      <c r="G775" s="51" t="s">
        <v>19</v>
      </c>
      <c r="H775">
        <v>1</v>
      </c>
      <c r="I775" s="58">
        <v>266500</v>
      </c>
      <c r="J775" s="59">
        <v>266500</v>
      </c>
      <c r="K775">
        <v>1</v>
      </c>
      <c r="M775" s="51" t="s">
        <v>350</v>
      </c>
      <c r="O775" s="52"/>
    </row>
    <row r="776" spans="1:15" x14ac:dyDescent="0.15">
      <c r="A776">
        <v>2</v>
      </c>
      <c r="D776" s="51" t="s">
        <v>30</v>
      </c>
      <c r="E776" s="51" t="s">
        <v>343</v>
      </c>
      <c r="G776" s="51" t="s">
        <v>32</v>
      </c>
      <c r="H776">
        <v>2</v>
      </c>
      <c r="I776" s="58">
        <v>25000</v>
      </c>
      <c r="J776" s="59">
        <v>50000</v>
      </c>
      <c r="K776">
        <v>1</v>
      </c>
      <c r="O776" s="52"/>
    </row>
    <row r="777" spans="1:15" x14ac:dyDescent="0.15">
      <c r="A777">
        <v>2</v>
      </c>
      <c r="D777" s="51" t="s">
        <v>30</v>
      </c>
      <c r="E777" s="51" t="s">
        <v>217</v>
      </c>
      <c r="G777" s="51" t="s">
        <v>32</v>
      </c>
      <c r="H777">
        <v>4</v>
      </c>
      <c r="I777" s="58">
        <v>25000</v>
      </c>
      <c r="J777" s="59">
        <v>100000</v>
      </c>
      <c r="K777">
        <v>1</v>
      </c>
      <c r="O777" s="52"/>
    </row>
    <row r="778" spans="1:15" x14ac:dyDescent="0.15">
      <c r="A778">
        <v>2</v>
      </c>
      <c r="D778" s="51" t="s">
        <v>33</v>
      </c>
      <c r="E778" s="51" t="s">
        <v>344</v>
      </c>
      <c r="F778" s="51" t="s">
        <v>345</v>
      </c>
      <c r="G778" s="51" t="s">
        <v>35</v>
      </c>
      <c r="H778">
        <v>2</v>
      </c>
      <c r="I778" s="58">
        <v>25000</v>
      </c>
      <c r="J778" s="59">
        <v>50000</v>
      </c>
      <c r="K778">
        <v>1</v>
      </c>
      <c r="O778" s="52"/>
    </row>
    <row r="779" spans="1:15" x14ac:dyDescent="0.15">
      <c r="A779">
        <v>2</v>
      </c>
      <c r="D779" s="51" t="s">
        <v>36</v>
      </c>
      <c r="E779" s="51" t="s">
        <v>351</v>
      </c>
      <c r="F779" s="51" t="s">
        <v>352</v>
      </c>
      <c r="G779" s="51" t="s">
        <v>35</v>
      </c>
      <c r="H779">
        <v>1</v>
      </c>
      <c r="I779" s="58">
        <v>15000</v>
      </c>
      <c r="J779" s="59">
        <v>15000</v>
      </c>
      <c r="K779">
        <v>1</v>
      </c>
      <c r="O779" s="52"/>
    </row>
    <row r="780" spans="1:15" x14ac:dyDescent="0.15">
      <c r="A780">
        <v>2</v>
      </c>
      <c r="D780" s="51" t="s">
        <v>36</v>
      </c>
      <c r="E780" s="51" t="s">
        <v>353</v>
      </c>
      <c r="G780" s="51" t="s">
        <v>354</v>
      </c>
      <c r="H780">
        <v>9</v>
      </c>
      <c r="I780" s="58">
        <v>3500</v>
      </c>
      <c r="J780" s="59">
        <v>31500</v>
      </c>
      <c r="K780">
        <v>1</v>
      </c>
      <c r="O780" s="52"/>
    </row>
    <row r="781" spans="1:15" x14ac:dyDescent="0.15">
      <c r="A781">
        <v>2</v>
      </c>
      <c r="D781" s="51" t="s">
        <v>36</v>
      </c>
      <c r="E781" s="51" t="s">
        <v>346</v>
      </c>
      <c r="G781" s="51" t="s">
        <v>348</v>
      </c>
      <c r="H781">
        <v>1</v>
      </c>
      <c r="I781" s="58">
        <v>20000</v>
      </c>
      <c r="J781" s="59">
        <v>20000</v>
      </c>
      <c r="K781">
        <v>1</v>
      </c>
      <c r="O781" s="52"/>
    </row>
    <row r="782" spans="1:15" x14ac:dyDescent="0.15">
      <c r="A782">
        <v>1</v>
      </c>
      <c r="D782" s="51" t="s">
        <v>20</v>
      </c>
      <c r="E782" s="51" t="s">
        <v>355</v>
      </c>
      <c r="F782" s="51" t="s">
        <v>356</v>
      </c>
      <c r="G782" s="51" t="s">
        <v>19</v>
      </c>
      <c r="H782">
        <v>1</v>
      </c>
      <c r="I782" s="58">
        <v>455500</v>
      </c>
      <c r="J782" s="59">
        <v>455500</v>
      </c>
      <c r="K782">
        <v>1</v>
      </c>
      <c r="M782" s="51" t="s">
        <v>357</v>
      </c>
      <c r="O782" s="52"/>
    </row>
    <row r="783" spans="1:15" x14ac:dyDescent="0.15">
      <c r="A783">
        <v>2</v>
      </c>
      <c r="D783" s="51" t="s">
        <v>30</v>
      </c>
      <c r="E783" s="51" t="s">
        <v>335</v>
      </c>
      <c r="G783" s="51" t="s">
        <v>32</v>
      </c>
      <c r="H783">
        <v>1</v>
      </c>
      <c r="I783" s="58">
        <v>30000</v>
      </c>
      <c r="J783" s="59">
        <v>30000</v>
      </c>
      <c r="K783">
        <v>1</v>
      </c>
      <c r="O783" s="52"/>
    </row>
    <row r="784" spans="1:15" x14ac:dyDescent="0.15">
      <c r="A784">
        <v>2</v>
      </c>
      <c r="D784" s="51" t="s">
        <v>30</v>
      </c>
      <c r="E784" s="51" t="s">
        <v>343</v>
      </c>
      <c r="G784" s="51" t="s">
        <v>32</v>
      </c>
      <c r="H784">
        <v>1</v>
      </c>
      <c r="I784" s="58">
        <v>25000</v>
      </c>
      <c r="J784" s="59">
        <v>25000</v>
      </c>
      <c r="K784">
        <v>1</v>
      </c>
      <c r="O784" s="52"/>
    </row>
    <row r="785" spans="1:15" x14ac:dyDescent="0.15">
      <c r="A785">
        <v>2</v>
      </c>
      <c r="D785" s="51" t="s">
        <v>30</v>
      </c>
      <c r="E785" s="51" t="s">
        <v>217</v>
      </c>
      <c r="G785" s="51" t="s">
        <v>32</v>
      </c>
      <c r="H785">
        <v>3</v>
      </c>
      <c r="I785" s="58">
        <v>25000</v>
      </c>
      <c r="J785" s="59">
        <v>75000</v>
      </c>
      <c r="K785">
        <v>1</v>
      </c>
      <c r="O785" s="52"/>
    </row>
    <row r="786" spans="1:15" x14ac:dyDescent="0.15">
      <c r="A786">
        <v>2</v>
      </c>
      <c r="D786" s="51" t="s">
        <v>36</v>
      </c>
      <c r="E786" s="51" t="s">
        <v>351</v>
      </c>
      <c r="F786" s="51" t="s">
        <v>358</v>
      </c>
      <c r="G786" s="51" t="s">
        <v>35</v>
      </c>
      <c r="H786">
        <v>1</v>
      </c>
      <c r="I786" s="58">
        <v>15000</v>
      </c>
      <c r="J786" s="59">
        <v>15000</v>
      </c>
      <c r="K786">
        <v>1</v>
      </c>
      <c r="O786" s="52"/>
    </row>
    <row r="787" spans="1:15" x14ac:dyDescent="0.15">
      <c r="A787">
        <v>2</v>
      </c>
      <c r="D787" s="51" t="s">
        <v>36</v>
      </c>
      <c r="E787" s="51" t="s">
        <v>359</v>
      </c>
      <c r="G787" s="51" t="s">
        <v>26</v>
      </c>
      <c r="H787">
        <v>45</v>
      </c>
      <c r="I787" s="58">
        <v>6900</v>
      </c>
      <c r="J787" s="59">
        <v>310500</v>
      </c>
      <c r="K787">
        <v>1</v>
      </c>
      <c r="O787" s="52"/>
    </row>
    <row r="788" spans="1:15" x14ac:dyDescent="0.15">
      <c r="A788">
        <v>1</v>
      </c>
      <c r="D788" s="51" t="s">
        <v>20</v>
      </c>
      <c r="E788" s="51" t="s">
        <v>355</v>
      </c>
      <c r="F788" s="51" t="s">
        <v>57</v>
      </c>
      <c r="G788" s="51" t="s">
        <v>19</v>
      </c>
      <c r="H788">
        <v>1</v>
      </c>
      <c r="I788" s="58">
        <v>127800</v>
      </c>
      <c r="J788" s="59">
        <v>127800</v>
      </c>
      <c r="K788">
        <v>1</v>
      </c>
      <c r="M788" s="51" t="s">
        <v>360</v>
      </c>
      <c r="O788" s="52"/>
    </row>
    <row r="789" spans="1:15" x14ac:dyDescent="0.15">
      <c r="A789">
        <v>2</v>
      </c>
      <c r="E789" s="51" t="s">
        <v>343</v>
      </c>
      <c r="G789" s="51" t="s">
        <v>32</v>
      </c>
      <c r="H789">
        <v>1</v>
      </c>
      <c r="I789" s="58">
        <v>25000</v>
      </c>
      <c r="J789" s="59">
        <v>25000</v>
      </c>
      <c r="K789">
        <v>1</v>
      </c>
      <c r="O789" s="52"/>
    </row>
    <row r="790" spans="1:15" x14ac:dyDescent="0.15">
      <c r="A790">
        <v>2</v>
      </c>
      <c r="E790" s="51" t="s">
        <v>217</v>
      </c>
      <c r="G790" s="51" t="s">
        <v>32</v>
      </c>
      <c r="H790">
        <v>3</v>
      </c>
      <c r="I790" s="58">
        <v>25000</v>
      </c>
      <c r="J790" s="59">
        <v>75000</v>
      </c>
      <c r="K790">
        <v>1</v>
      </c>
      <c r="O790" s="52"/>
    </row>
    <row r="791" spans="1:15" x14ac:dyDescent="0.15">
      <c r="A791">
        <v>2</v>
      </c>
      <c r="E791" s="51" t="s">
        <v>351</v>
      </c>
      <c r="G791" s="51" t="s">
        <v>35</v>
      </c>
      <c r="H791">
        <v>1</v>
      </c>
      <c r="I791" s="58">
        <v>15000</v>
      </c>
      <c r="J791" s="59">
        <v>15000</v>
      </c>
      <c r="K791">
        <v>1</v>
      </c>
      <c r="O791" s="52"/>
    </row>
    <row r="792" spans="1:15" x14ac:dyDescent="0.15">
      <c r="A792">
        <v>2</v>
      </c>
      <c r="E792" s="51" t="s">
        <v>361</v>
      </c>
      <c r="G792" s="51" t="s">
        <v>35</v>
      </c>
      <c r="H792">
        <v>1</v>
      </c>
      <c r="I792" s="58">
        <v>2000</v>
      </c>
      <c r="J792" s="59">
        <v>2000</v>
      </c>
      <c r="K792">
        <v>1</v>
      </c>
      <c r="O792" s="52"/>
    </row>
    <row r="793" spans="1:15" x14ac:dyDescent="0.15">
      <c r="A793">
        <v>2</v>
      </c>
      <c r="E793" s="51" t="s">
        <v>55</v>
      </c>
      <c r="G793" s="51" t="s">
        <v>26</v>
      </c>
      <c r="H793">
        <v>9</v>
      </c>
      <c r="I793" s="58">
        <v>1200</v>
      </c>
      <c r="J793" s="59">
        <v>10800</v>
      </c>
      <c r="K793">
        <v>1</v>
      </c>
      <c r="O793" s="52"/>
    </row>
    <row r="794" spans="1:15" x14ac:dyDescent="0.15">
      <c r="A794">
        <v>1</v>
      </c>
      <c r="D794" s="51" t="s">
        <v>20</v>
      </c>
      <c r="E794" s="51" t="s">
        <v>355</v>
      </c>
      <c r="F794" s="51" t="s">
        <v>362</v>
      </c>
      <c r="G794" s="51" t="s">
        <v>19</v>
      </c>
      <c r="H794">
        <v>1</v>
      </c>
      <c r="I794" s="58">
        <v>25000</v>
      </c>
      <c r="J794" s="59">
        <v>25000</v>
      </c>
      <c r="K794">
        <v>1</v>
      </c>
      <c r="M794" s="51" t="s">
        <v>363</v>
      </c>
      <c r="O794" s="52"/>
    </row>
    <row r="795" spans="1:15" x14ac:dyDescent="0.15">
      <c r="A795">
        <v>2</v>
      </c>
      <c r="D795" s="51" t="s">
        <v>30</v>
      </c>
      <c r="E795" s="51" t="s">
        <v>217</v>
      </c>
      <c r="G795" s="51" t="s">
        <v>32</v>
      </c>
      <c r="H795">
        <v>1</v>
      </c>
      <c r="I795" s="58">
        <v>25000</v>
      </c>
      <c r="J795" s="59">
        <v>25000</v>
      </c>
      <c r="K795">
        <v>1</v>
      </c>
      <c r="O795" s="52"/>
    </row>
    <row r="796" spans="1:15" x14ac:dyDescent="0.15">
      <c r="A796">
        <v>1</v>
      </c>
      <c r="D796" s="51" t="s">
        <v>20</v>
      </c>
      <c r="E796" s="51" t="s">
        <v>355</v>
      </c>
      <c r="F796" s="51" t="s">
        <v>340</v>
      </c>
      <c r="G796" s="51" t="s">
        <v>19</v>
      </c>
      <c r="H796">
        <v>1</v>
      </c>
      <c r="I796" s="58">
        <v>97500</v>
      </c>
      <c r="J796" s="59">
        <v>97500</v>
      </c>
      <c r="K796">
        <v>1</v>
      </c>
      <c r="M796" s="51" t="s">
        <v>364</v>
      </c>
      <c r="O796" s="52"/>
    </row>
    <row r="797" spans="1:15" x14ac:dyDescent="0.15">
      <c r="A797">
        <v>2</v>
      </c>
      <c r="D797" s="51" t="s">
        <v>30</v>
      </c>
      <c r="E797" s="51" t="s">
        <v>343</v>
      </c>
      <c r="G797" s="51" t="s">
        <v>32</v>
      </c>
      <c r="H797">
        <v>0.5</v>
      </c>
      <c r="I797" s="58">
        <v>25000</v>
      </c>
      <c r="J797" s="59">
        <v>12500</v>
      </c>
      <c r="K797">
        <v>1</v>
      </c>
      <c r="O797" s="52"/>
    </row>
    <row r="798" spans="1:15" x14ac:dyDescent="0.15">
      <c r="A798">
        <v>2</v>
      </c>
      <c r="D798" s="51" t="s">
        <v>30</v>
      </c>
      <c r="E798" s="51" t="s">
        <v>217</v>
      </c>
      <c r="G798" s="51" t="s">
        <v>32</v>
      </c>
      <c r="H798">
        <v>3</v>
      </c>
      <c r="I798" s="58">
        <v>25000</v>
      </c>
      <c r="J798" s="59">
        <v>75000</v>
      </c>
      <c r="K798">
        <v>1</v>
      </c>
      <c r="O798" s="52"/>
    </row>
    <row r="799" spans="1:15" x14ac:dyDescent="0.15">
      <c r="A799">
        <v>2</v>
      </c>
      <c r="D799" s="51" t="s">
        <v>33</v>
      </c>
      <c r="E799" s="51" t="s">
        <v>365</v>
      </c>
      <c r="G799" s="51" t="s">
        <v>35</v>
      </c>
      <c r="H799">
        <v>0.5</v>
      </c>
      <c r="I799" s="58">
        <v>10000</v>
      </c>
      <c r="J799" s="59">
        <v>5000</v>
      </c>
      <c r="K799">
        <v>1</v>
      </c>
      <c r="O799" s="52"/>
    </row>
    <row r="800" spans="1:15" x14ac:dyDescent="0.15">
      <c r="A800">
        <v>2</v>
      </c>
      <c r="D800" s="51" t="s">
        <v>33</v>
      </c>
      <c r="E800" s="51" t="s">
        <v>366</v>
      </c>
      <c r="G800" s="51" t="s">
        <v>35</v>
      </c>
      <c r="H800">
        <v>1</v>
      </c>
      <c r="I800" s="58">
        <v>5000</v>
      </c>
      <c r="J800" s="59">
        <v>5000</v>
      </c>
      <c r="K800">
        <v>1</v>
      </c>
      <c r="O800" s="52"/>
    </row>
    <row r="801" spans="1:15" x14ac:dyDescent="0.15">
      <c r="A801">
        <v>1</v>
      </c>
      <c r="D801" s="51" t="s">
        <v>20</v>
      </c>
      <c r="E801" s="51" t="s">
        <v>367</v>
      </c>
      <c r="G801" s="51" t="s">
        <v>19</v>
      </c>
      <c r="H801">
        <v>1</v>
      </c>
      <c r="I801" s="58">
        <v>841500</v>
      </c>
      <c r="J801" s="59">
        <v>841500</v>
      </c>
      <c r="K801">
        <v>1</v>
      </c>
      <c r="M801" s="51" t="s">
        <v>368</v>
      </c>
      <c r="O801" s="52"/>
    </row>
    <row r="802" spans="1:15" x14ac:dyDescent="0.15">
      <c r="A802">
        <v>2</v>
      </c>
      <c r="D802" s="51" t="s">
        <v>30</v>
      </c>
      <c r="E802" s="51" t="s">
        <v>335</v>
      </c>
      <c r="G802" s="51" t="s">
        <v>32</v>
      </c>
      <c r="H802">
        <v>1</v>
      </c>
      <c r="I802" s="58">
        <v>30000</v>
      </c>
      <c r="J802" s="59">
        <v>30000</v>
      </c>
      <c r="K802">
        <v>1</v>
      </c>
      <c r="O802" s="52"/>
    </row>
    <row r="803" spans="1:15" x14ac:dyDescent="0.15">
      <c r="A803">
        <v>2</v>
      </c>
      <c r="D803" s="51" t="s">
        <v>30</v>
      </c>
      <c r="E803" s="51" t="s">
        <v>343</v>
      </c>
      <c r="G803" s="51" t="s">
        <v>32</v>
      </c>
      <c r="H803">
        <v>5</v>
      </c>
      <c r="I803" s="58">
        <v>25000</v>
      </c>
      <c r="J803" s="59">
        <v>125000</v>
      </c>
      <c r="K803">
        <v>1</v>
      </c>
      <c r="O803" s="52"/>
    </row>
    <row r="804" spans="1:15" x14ac:dyDescent="0.15">
      <c r="A804">
        <v>2</v>
      </c>
      <c r="D804" s="51" t="s">
        <v>30</v>
      </c>
      <c r="E804" s="51" t="s">
        <v>217</v>
      </c>
      <c r="G804" s="51" t="s">
        <v>32</v>
      </c>
      <c r="H804">
        <v>6</v>
      </c>
      <c r="I804" s="58">
        <v>25000</v>
      </c>
      <c r="J804" s="59">
        <v>150000</v>
      </c>
      <c r="K804">
        <v>1</v>
      </c>
      <c r="O804" s="52"/>
    </row>
    <row r="805" spans="1:15" x14ac:dyDescent="0.15">
      <c r="A805">
        <v>2</v>
      </c>
      <c r="D805" s="51" t="s">
        <v>33</v>
      </c>
      <c r="E805" s="51" t="s">
        <v>344</v>
      </c>
      <c r="F805" s="51" t="s">
        <v>369</v>
      </c>
      <c r="G805" s="51" t="s">
        <v>35</v>
      </c>
      <c r="H805">
        <v>5</v>
      </c>
      <c r="I805" s="58">
        <v>23000</v>
      </c>
      <c r="J805" s="59">
        <v>115000</v>
      </c>
      <c r="K805">
        <v>1</v>
      </c>
      <c r="O805" s="52"/>
    </row>
    <row r="806" spans="1:15" x14ac:dyDescent="0.15">
      <c r="A806">
        <v>2</v>
      </c>
      <c r="D806" s="51" t="s">
        <v>36</v>
      </c>
      <c r="E806" s="51" t="s">
        <v>351</v>
      </c>
      <c r="F806" s="51" t="s">
        <v>358</v>
      </c>
      <c r="G806" s="51" t="s">
        <v>35</v>
      </c>
      <c r="H806">
        <v>4</v>
      </c>
      <c r="I806" s="58">
        <v>35000</v>
      </c>
      <c r="J806" s="59">
        <v>140000</v>
      </c>
      <c r="K806">
        <v>1</v>
      </c>
      <c r="O806" s="52"/>
    </row>
    <row r="807" spans="1:15" x14ac:dyDescent="0.15">
      <c r="A807">
        <v>2</v>
      </c>
      <c r="D807" s="51" t="s">
        <v>36</v>
      </c>
      <c r="E807" s="51" t="s">
        <v>351</v>
      </c>
      <c r="F807" s="51" t="s">
        <v>370</v>
      </c>
      <c r="G807" s="51" t="s">
        <v>35</v>
      </c>
      <c r="H807">
        <v>3</v>
      </c>
      <c r="I807" s="58">
        <v>48000</v>
      </c>
      <c r="J807" s="59">
        <v>144000</v>
      </c>
      <c r="K807">
        <v>1</v>
      </c>
      <c r="O807" s="52"/>
    </row>
    <row r="808" spans="1:15" x14ac:dyDescent="0.15">
      <c r="A808">
        <v>2</v>
      </c>
      <c r="D808" s="51" t="s">
        <v>36</v>
      </c>
      <c r="E808" s="51" t="s">
        <v>371</v>
      </c>
      <c r="G808" s="51" t="s">
        <v>354</v>
      </c>
      <c r="H808">
        <v>90</v>
      </c>
      <c r="I808" s="58">
        <v>400</v>
      </c>
      <c r="J808" s="59">
        <v>36000</v>
      </c>
      <c r="K808">
        <v>1</v>
      </c>
      <c r="O808" s="52"/>
    </row>
    <row r="809" spans="1:15" x14ac:dyDescent="0.15">
      <c r="A809">
        <v>2</v>
      </c>
      <c r="D809" s="51" t="s">
        <v>36</v>
      </c>
      <c r="E809" s="51" t="s">
        <v>353</v>
      </c>
      <c r="G809" s="51" t="s">
        <v>354</v>
      </c>
      <c r="H809">
        <v>29</v>
      </c>
      <c r="I809" s="58">
        <v>3500</v>
      </c>
      <c r="J809" s="59">
        <v>101500</v>
      </c>
      <c r="K809">
        <v>1</v>
      </c>
      <c r="O809" s="52"/>
    </row>
    <row r="810" spans="1:15" x14ac:dyDescent="0.15">
      <c r="A810">
        <v>1</v>
      </c>
      <c r="D810" s="51" t="s">
        <v>20</v>
      </c>
      <c r="E810" s="51" t="s">
        <v>372</v>
      </c>
      <c r="G810" s="51" t="s">
        <v>19</v>
      </c>
      <c r="H810">
        <v>1</v>
      </c>
      <c r="I810" s="58">
        <v>120000</v>
      </c>
      <c r="J810" s="59">
        <v>120000</v>
      </c>
      <c r="K810">
        <v>1</v>
      </c>
      <c r="M810" s="51" t="s">
        <v>373</v>
      </c>
      <c r="O810" s="52"/>
    </row>
    <row r="811" spans="1:15" x14ac:dyDescent="0.15">
      <c r="A811">
        <v>2</v>
      </c>
      <c r="D811" s="51" t="s">
        <v>30</v>
      </c>
      <c r="E811" s="51" t="s">
        <v>217</v>
      </c>
      <c r="G811" s="51" t="s">
        <v>32</v>
      </c>
      <c r="H811">
        <v>1</v>
      </c>
      <c r="I811" s="58">
        <v>25000</v>
      </c>
      <c r="J811" s="59">
        <v>25000</v>
      </c>
      <c r="K811">
        <v>1</v>
      </c>
      <c r="O811" s="52"/>
    </row>
    <row r="812" spans="1:15" x14ac:dyDescent="0.15">
      <c r="A812">
        <v>2</v>
      </c>
      <c r="D812" s="51" t="s">
        <v>39</v>
      </c>
      <c r="E812" s="51" t="s">
        <v>247</v>
      </c>
      <c r="F812" s="51" t="s">
        <v>374</v>
      </c>
      <c r="G812" s="51" t="s">
        <v>72</v>
      </c>
      <c r="H812">
        <v>10</v>
      </c>
      <c r="I812" s="58">
        <v>9500</v>
      </c>
      <c r="J812" s="59">
        <v>95000</v>
      </c>
      <c r="K812">
        <v>1</v>
      </c>
      <c r="O812" s="52"/>
    </row>
    <row r="813" spans="1:15" x14ac:dyDescent="0.15">
      <c r="A813">
        <v>1</v>
      </c>
      <c r="D813" s="51" t="s">
        <v>20</v>
      </c>
      <c r="E813" s="51" t="s">
        <v>375</v>
      </c>
      <c r="G813" s="51" t="s">
        <v>19</v>
      </c>
      <c r="H813">
        <v>1</v>
      </c>
      <c r="I813" s="58">
        <v>50000</v>
      </c>
      <c r="J813" s="59">
        <v>50000</v>
      </c>
      <c r="K813">
        <v>1</v>
      </c>
      <c r="M813" s="51" t="s">
        <v>376</v>
      </c>
      <c r="O813" s="52"/>
    </row>
    <row r="814" spans="1:15" x14ac:dyDescent="0.15">
      <c r="A814">
        <v>2</v>
      </c>
      <c r="D814" s="51" t="s">
        <v>30</v>
      </c>
      <c r="E814" s="51" t="s">
        <v>217</v>
      </c>
      <c r="G814" s="51" t="s">
        <v>32</v>
      </c>
      <c r="H814">
        <v>2</v>
      </c>
      <c r="I814" s="58">
        <v>25000</v>
      </c>
      <c r="J814" s="59">
        <v>50000</v>
      </c>
      <c r="K814">
        <v>1</v>
      </c>
      <c r="O814" s="52"/>
    </row>
    <row r="815" spans="1:15" x14ac:dyDescent="0.15">
      <c r="A815">
        <v>1</v>
      </c>
      <c r="D815" s="51" t="s">
        <v>20</v>
      </c>
      <c r="E815" s="51" t="s">
        <v>377</v>
      </c>
      <c r="F815" s="51" t="s">
        <v>378</v>
      </c>
      <c r="G815" s="51" t="s">
        <v>19</v>
      </c>
      <c r="H815">
        <v>1</v>
      </c>
      <c r="I815" s="58">
        <v>55000</v>
      </c>
      <c r="J815" s="59">
        <v>55000</v>
      </c>
      <c r="K815">
        <v>1</v>
      </c>
      <c r="M815" s="51" t="s">
        <v>379</v>
      </c>
      <c r="O815" s="52"/>
    </row>
    <row r="816" spans="1:15" x14ac:dyDescent="0.15">
      <c r="A816">
        <v>2</v>
      </c>
      <c r="D816" s="51" t="s">
        <v>30</v>
      </c>
      <c r="E816" s="51" t="s">
        <v>343</v>
      </c>
      <c r="G816" s="51" t="s">
        <v>32</v>
      </c>
      <c r="H816">
        <v>0.5</v>
      </c>
      <c r="I816" s="58">
        <v>25000</v>
      </c>
      <c r="J816" s="59">
        <v>12500</v>
      </c>
      <c r="K816">
        <v>1</v>
      </c>
      <c r="O816" s="52"/>
    </row>
    <row r="817" spans="1:15" x14ac:dyDescent="0.15">
      <c r="A817">
        <v>2</v>
      </c>
      <c r="D817" s="51" t="s">
        <v>30</v>
      </c>
      <c r="E817" s="51" t="s">
        <v>217</v>
      </c>
      <c r="G817" s="51" t="s">
        <v>32</v>
      </c>
      <c r="H817">
        <v>1.5</v>
      </c>
      <c r="I817" s="58">
        <v>25000</v>
      </c>
      <c r="J817" s="59">
        <v>37500</v>
      </c>
      <c r="K817">
        <v>1</v>
      </c>
      <c r="O817" s="52"/>
    </row>
    <row r="818" spans="1:15" x14ac:dyDescent="0.15">
      <c r="A818">
        <v>2</v>
      </c>
      <c r="D818" s="51" t="s">
        <v>33</v>
      </c>
      <c r="E818" s="51" t="s">
        <v>365</v>
      </c>
      <c r="G818" s="51" t="s">
        <v>35</v>
      </c>
      <c r="H818">
        <v>0.5</v>
      </c>
      <c r="I818" s="58">
        <v>10000</v>
      </c>
      <c r="J818" s="59">
        <v>5000</v>
      </c>
      <c r="K818">
        <v>1</v>
      </c>
      <c r="O818" s="52"/>
    </row>
    <row r="819" spans="1:15" x14ac:dyDescent="0.15">
      <c r="A819">
        <v>1</v>
      </c>
      <c r="D819" s="51" t="s">
        <v>20</v>
      </c>
      <c r="E819" s="51" t="s">
        <v>380</v>
      </c>
      <c r="G819" s="51" t="s">
        <v>19</v>
      </c>
      <c r="H819">
        <v>1</v>
      </c>
      <c r="I819" s="58">
        <v>36000</v>
      </c>
      <c r="J819" s="59">
        <v>36000</v>
      </c>
      <c r="K819">
        <v>1</v>
      </c>
      <c r="M819" s="51" t="s">
        <v>381</v>
      </c>
      <c r="O819" s="52"/>
    </row>
    <row r="820" spans="1:15" x14ac:dyDescent="0.15">
      <c r="A820">
        <v>2</v>
      </c>
      <c r="D820" s="51" t="s">
        <v>30</v>
      </c>
      <c r="E820" s="51" t="s">
        <v>217</v>
      </c>
      <c r="G820" s="51" t="s">
        <v>32</v>
      </c>
      <c r="H820">
        <v>1</v>
      </c>
      <c r="I820" s="58">
        <v>25000</v>
      </c>
      <c r="J820" s="59">
        <v>25000</v>
      </c>
      <c r="K820">
        <v>1</v>
      </c>
      <c r="O820" s="52"/>
    </row>
    <row r="821" spans="1:15" x14ac:dyDescent="0.15">
      <c r="A821">
        <v>2</v>
      </c>
      <c r="D821" s="51" t="s">
        <v>39</v>
      </c>
      <c r="E821" s="51" t="s">
        <v>382</v>
      </c>
      <c r="F821" s="51" t="s">
        <v>383</v>
      </c>
      <c r="G821" s="51" t="s">
        <v>72</v>
      </c>
      <c r="H821">
        <v>1</v>
      </c>
      <c r="I821" s="58">
        <v>8000</v>
      </c>
      <c r="J821" s="59">
        <v>8000</v>
      </c>
      <c r="K821">
        <v>1</v>
      </c>
      <c r="O821" s="52"/>
    </row>
    <row r="822" spans="1:15" x14ac:dyDescent="0.15">
      <c r="A822">
        <v>2</v>
      </c>
      <c r="D822" s="51" t="s">
        <v>39</v>
      </c>
      <c r="E822" s="51" t="s">
        <v>384</v>
      </c>
      <c r="F822" s="51" t="s">
        <v>385</v>
      </c>
      <c r="G822" s="51" t="s">
        <v>72</v>
      </c>
      <c r="H822">
        <v>1</v>
      </c>
      <c r="I822" s="58">
        <v>3000</v>
      </c>
      <c r="J822" s="59">
        <v>3000</v>
      </c>
      <c r="K822">
        <v>1</v>
      </c>
      <c r="O822" s="52"/>
    </row>
    <row r="823" spans="1:15" x14ac:dyDescent="0.15">
      <c r="A823">
        <v>1</v>
      </c>
      <c r="D823" s="51" t="s">
        <v>20</v>
      </c>
      <c r="E823" s="51" t="s">
        <v>386</v>
      </c>
      <c r="G823" s="51" t="s">
        <v>19</v>
      </c>
      <c r="H823">
        <v>1</v>
      </c>
      <c r="I823" s="58">
        <v>75000</v>
      </c>
      <c r="J823" s="59">
        <v>75000</v>
      </c>
      <c r="K823">
        <v>1</v>
      </c>
      <c r="M823" s="51" t="s">
        <v>387</v>
      </c>
      <c r="O823" s="52"/>
    </row>
    <row r="824" spans="1:15" x14ac:dyDescent="0.15">
      <c r="A824">
        <v>2</v>
      </c>
      <c r="D824" s="51" t="s">
        <v>30</v>
      </c>
      <c r="E824" s="51" t="s">
        <v>343</v>
      </c>
      <c r="G824" s="51" t="s">
        <v>32</v>
      </c>
      <c r="H824">
        <v>0.5</v>
      </c>
      <c r="I824" s="58">
        <v>25000</v>
      </c>
      <c r="J824" s="59">
        <v>12500</v>
      </c>
      <c r="K824">
        <v>1</v>
      </c>
      <c r="O824" s="52"/>
    </row>
    <row r="825" spans="1:15" x14ac:dyDescent="0.15">
      <c r="A825">
        <v>2</v>
      </c>
      <c r="D825" s="51" t="s">
        <v>30</v>
      </c>
      <c r="E825" s="51" t="s">
        <v>217</v>
      </c>
      <c r="G825" s="51" t="s">
        <v>32</v>
      </c>
      <c r="H825">
        <v>1.5</v>
      </c>
      <c r="I825" s="58">
        <v>25000</v>
      </c>
      <c r="J825" s="59">
        <v>37500</v>
      </c>
      <c r="K825">
        <v>1</v>
      </c>
      <c r="O825" s="52"/>
    </row>
    <row r="826" spans="1:15" x14ac:dyDescent="0.15">
      <c r="A826">
        <v>2</v>
      </c>
      <c r="D826" s="51" t="s">
        <v>33</v>
      </c>
      <c r="E826" s="51" t="s">
        <v>365</v>
      </c>
      <c r="G826" s="51" t="s">
        <v>35</v>
      </c>
      <c r="H826">
        <v>0.5</v>
      </c>
      <c r="I826" s="58">
        <v>10000</v>
      </c>
      <c r="J826" s="59">
        <v>5000</v>
      </c>
      <c r="K826">
        <v>1</v>
      </c>
      <c r="O826" s="52"/>
    </row>
    <row r="827" spans="1:15" x14ac:dyDescent="0.15">
      <c r="A827">
        <v>2</v>
      </c>
      <c r="D827" s="51" t="s">
        <v>33</v>
      </c>
      <c r="E827" s="51" t="s">
        <v>388</v>
      </c>
      <c r="F827" s="51" t="s">
        <v>389</v>
      </c>
      <c r="G827" s="51" t="s">
        <v>19</v>
      </c>
      <c r="H827">
        <v>1</v>
      </c>
      <c r="I827" s="58">
        <v>20000</v>
      </c>
      <c r="J827" s="59">
        <v>20000</v>
      </c>
      <c r="K827">
        <v>1</v>
      </c>
      <c r="O827" s="52"/>
    </row>
    <row r="828" spans="1:15" x14ac:dyDescent="0.15">
      <c r="A828">
        <v>1</v>
      </c>
      <c r="D828" s="51" t="s">
        <v>20</v>
      </c>
      <c r="E828" s="51" t="s">
        <v>390</v>
      </c>
      <c r="G828" s="51" t="s">
        <v>19</v>
      </c>
      <c r="H828">
        <v>1</v>
      </c>
      <c r="I828" s="58">
        <v>70000</v>
      </c>
      <c r="J828" s="59">
        <v>70000</v>
      </c>
      <c r="K828">
        <v>1</v>
      </c>
      <c r="M828" s="51" t="s">
        <v>391</v>
      </c>
      <c r="O828" s="52"/>
    </row>
    <row r="829" spans="1:15" x14ac:dyDescent="0.15">
      <c r="A829">
        <v>2</v>
      </c>
      <c r="D829" s="51" t="s">
        <v>23</v>
      </c>
      <c r="E829" s="51" t="s">
        <v>392</v>
      </c>
      <c r="G829" s="51" t="s">
        <v>393</v>
      </c>
      <c r="H829">
        <v>2</v>
      </c>
      <c r="I829" s="58">
        <v>35000</v>
      </c>
      <c r="J829" s="59">
        <v>70000</v>
      </c>
      <c r="K829">
        <v>1</v>
      </c>
      <c r="O829" s="52"/>
    </row>
    <row r="830" spans="1:15" x14ac:dyDescent="0.15">
      <c r="A830">
        <v>1</v>
      </c>
      <c r="D830" s="51" t="s">
        <v>20</v>
      </c>
      <c r="E830" s="51" t="s">
        <v>394</v>
      </c>
      <c r="G830" s="51" t="s">
        <v>19</v>
      </c>
      <c r="H830">
        <v>1</v>
      </c>
      <c r="I830" s="58">
        <v>552000</v>
      </c>
      <c r="J830" s="59">
        <v>552000</v>
      </c>
      <c r="K830">
        <v>1</v>
      </c>
      <c r="M830" s="51" t="s">
        <v>395</v>
      </c>
      <c r="O830" s="52"/>
    </row>
    <row r="831" spans="1:15" x14ac:dyDescent="0.15">
      <c r="A831">
        <v>2</v>
      </c>
      <c r="D831" s="51" t="s">
        <v>36</v>
      </c>
      <c r="E831" s="51" t="s">
        <v>396</v>
      </c>
      <c r="G831" s="51" t="s">
        <v>26</v>
      </c>
      <c r="H831">
        <v>80</v>
      </c>
      <c r="I831" s="58">
        <v>6900</v>
      </c>
      <c r="J831" s="59">
        <v>552000</v>
      </c>
      <c r="K831">
        <v>1</v>
      </c>
      <c r="O831" s="52"/>
    </row>
    <row r="832" spans="1:15" x14ac:dyDescent="0.15">
      <c r="A832">
        <v>1</v>
      </c>
      <c r="D832" s="51" t="s">
        <v>20</v>
      </c>
      <c r="E832" s="51" t="s">
        <v>397</v>
      </c>
      <c r="G832" s="51" t="s">
        <v>19</v>
      </c>
      <c r="H832">
        <v>1</v>
      </c>
      <c r="I832" s="58">
        <v>54000</v>
      </c>
      <c r="J832" s="59">
        <v>54000</v>
      </c>
      <c r="K832">
        <v>1</v>
      </c>
      <c r="M832" s="51" t="s">
        <v>398</v>
      </c>
      <c r="O832" s="52"/>
    </row>
    <row r="833" spans="1:15" x14ac:dyDescent="0.15">
      <c r="A833">
        <v>2</v>
      </c>
      <c r="D833" s="51" t="s">
        <v>30</v>
      </c>
      <c r="E833" s="51" t="s">
        <v>217</v>
      </c>
      <c r="G833" s="51" t="s">
        <v>32</v>
      </c>
      <c r="H833">
        <v>2</v>
      </c>
      <c r="I833" s="58">
        <v>25000</v>
      </c>
      <c r="J833" s="59">
        <v>50000</v>
      </c>
      <c r="K833">
        <v>1</v>
      </c>
      <c r="O833" s="52"/>
    </row>
    <row r="834" spans="1:15" x14ac:dyDescent="0.15">
      <c r="A834">
        <v>2</v>
      </c>
      <c r="D834" s="51" t="s">
        <v>39</v>
      </c>
      <c r="E834" s="51" t="s">
        <v>399</v>
      </c>
      <c r="F834" s="51" t="s">
        <v>400</v>
      </c>
      <c r="G834" s="51" t="s">
        <v>19</v>
      </c>
      <c r="H834">
        <v>1</v>
      </c>
      <c r="I834" s="58">
        <v>4000</v>
      </c>
      <c r="J834" s="59">
        <v>4000</v>
      </c>
      <c r="K834">
        <v>1</v>
      </c>
      <c r="O834" s="52"/>
    </row>
    <row r="835" spans="1:15" x14ac:dyDescent="0.15">
      <c r="A835">
        <v>1</v>
      </c>
      <c r="D835" s="51" t="s">
        <v>20</v>
      </c>
      <c r="E835" s="51" t="s">
        <v>401</v>
      </c>
      <c r="G835" s="51" t="s">
        <v>19</v>
      </c>
      <c r="H835">
        <v>1</v>
      </c>
      <c r="I835" s="58">
        <v>317900</v>
      </c>
      <c r="J835" s="59">
        <v>317900</v>
      </c>
      <c r="K835">
        <v>1</v>
      </c>
      <c r="M835" s="51" t="s">
        <v>402</v>
      </c>
      <c r="O835" s="52"/>
    </row>
    <row r="836" spans="1:15" x14ac:dyDescent="0.15">
      <c r="A836">
        <v>2</v>
      </c>
      <c r="D836" s="51" t="s">
        <v>30</v>
      </c>
      <c r="E836" s="51" t="s">
        <v>343</v>
      </c>
      <c r="G836" s="51" t="s">
        <v>32</v>
      </c>
      <c r="H836">
        <v>2</v>
      </c>
      <c r="I836" s="58">
        <v>25000</v>
      </c>
      <c r="J836" s="59">
        <v>50000</v>
      </c>
      <c r="K836">
        <v>1</v>
      </c>
      <c r="O836" s="52"/>
    </row>
    <row r="837" spans="1:15" x14ac:dyDescent="0.15">
      <c r="A837">
        <v>2</v>
      </c>
      <c r="D837" s="51" t="s">
        <v>30</v>
      </c>
      <c r="E837" s="51" t="s">
        <v>217</v>
      </c>
      <c r="G837" s="51" t="s">
        <v>32</v>
      </c>
      <c r="H837">
        <v>4</v>
      </c>
      <c r="I837" s="58">
        <v>25000</v>
      </c>
      <c r="J837" s="59">
        <v>100000</v>
      </c>
      <c r="K837">
        <v>1</v>
      </c>
      <c r="O837" s="52"/>
    </row>
    <row r="838" spans="1:15" x14ac:dyDescent="0.15">
      <c r="A838">
        <v>2</v>
      </c>
      <c r="D838" s="51" t="s">
        <v>33</v>
      </c>
      <c r="E838" s="51" t="s">
        <v>403</v>
      </c>
      <c r="G838" s="51" t="s">
        <v>35</v>
      </c>
      <c r="H838">
        <v>1</v>
      </c>
      <c r="I838" s="58">
        <v>23000</v>
      </c>
      <c r="J838" s="59">
        <v>23000</v>
      </c>
      <c r="K838">
        <v>1</v>
      </c>
      <c r="O838" s="52"/>
    </row>
    <row r="839" spans="1:15" x14ac:dyDescent="0.15">
      <c r="A839">
        <v>2</v>
      </c>
      <c r="D839" s="51" t="s">
        <v>36</v>
      </c>
      <c r="E839" s="51" t="s">
        <v>396</v>
      </c>
      <c r="G839" s="51" t="s">
        <v>26</v>
      </c>
      <c r="H839">
        <v>21</v>
      </c>
      <c r="I839" s="58">
        <v>6900</v>
      </c>
      <c r="J839" s="59">
        <v>144900</v>
      </c>
      <c r="K839">
        <v>1</v>
      </c>
      <c r="O839" s="52"/>
    </row>
    <row r="840" spans="1:15" x14ac:dyDescent="0.15">
      <c r="A840">
        <v>1</v>
      </c>
      <c r="D840" s="51" t="s">
        <v>20</v>
      </c>
      <c r="E840" s="51" t="s">
        <v>404</v>
      </c>
      <c r="F840" s="51" t="s">
        <v>405</v>
      </c>
      <c r="G840" s="51" t="s">
        <v>19</v>
      </c>
      <c r="H840">
        <v>1</v>
      </c>
      <c r="I840" s="58">
        <v>63000</v>
      </c>
      <c r="J840" s="59">
        <v>63000</v>
      </c>
      <c r="K840">
        <v>1</v>
      </c>
      <c r="M840" s="51" t="s">
        <v>406</v>
      </c>
      <c r="O840" s="52"/>
    </row>
    <row r="841" spans="1:15" x14ac:dyDescent="0.15">
      <c r="A841">
        <v>2</v>
      </c>
      <c r="D841" s="51" t="s">
        <v>30</v>
      </c>
      <c r="E841" s="51" t="s">
        <v>217</v>
      </c>
      <c r="G841" s="51" t="s">
        <v>32</v>
      </c>
      <c r="H841">
        <v>1</v>
      </c>
      <c r="I841" s="58">
        <v>25000</v>
      </c>
      <c r="J841" s="59">
        <v>25000</v>
      </c>
      <c r="K841">
        <v>1</v>
      </c>
      <c r="O841" s="52"/>
    </row>
    <row r="842" spans="1:15" x14ac:dyDescent="0.15">
      <c r="A842">
        <v>2</v>
      </c>
      <c r="D842" s="51" t="s">
        <v>36</v>
      </c>
      <c r="E842" s="51" t="s">
        <v>407</v>
      </c>
      <c r="G842" s="51" t="s">
        <v>35</v>
      </c>
      <c r="H842">
        <v>1</v>
      </c>
      <c r="I842" s="58">
        <v>3000</v>
      </c>
      <c r="J842" s="59">
        <v>3000</v>
      </c>
      <c r="K842">
        <v>1</v>
      </c>
      <c r="O842" s="52"/>
    </row>
    <row r="843" spans="1:15" x14ac:dyDescent="0.15">
      <c r="A843">
        <v>2</v>
      </c>
      <c r="D843" s="51" t="s">
        <v>39</v>
      </c>
      <c r="E843" s="51" t="s">
        <v>408</v>
      </c>
      <c r="F843" s="51" t="s">
        <v>409</v>
      </c>
      <c r="G843" s="51" t="s">
        <v>70</v>
      </c>
      <c r="H843">
        <v>1</v>
      </c>
      <c r="I843" s="58">
        <v>35000</v>
      </c>
      <c r="J843" s="59">
        <v>35000</v>
      </c>
      <c r="K843">
        <v>1</v>
      </c>
      <c r="O843" s="52"/>
    </row>
    <row r="844" spans="1:15" x14ac:dyDescent="0.15">
      <c r="A844">
        <v>1</v>
      </c>
      <c r="D844" s="51" t="s">
        <v>20</v>
      </c>
      <c r="E844" s="51" t="s">
        <v>410</v>
      </c>
      <c r="G844" s="51" t="s">
        <v>19</v>
      </c>
      <c r="H844">
        <v>1</v>
      </c>
      <c r="I844" s="58">
        <v>887300</v>
      </c>
      <c r="J844" s="59">
        <v>887300</v>
      </c>
      <c r="K844">
        <v>1</v>
      </c>
      <c r="M844" s="51" t="s">
        <v>411</v>
      </c>
      <c r="O844" s="52"/>
    </row>
    <row r="845" spans="1:15" x14ac:dyDescent="0.15">
      <c r="A845">
        <v>2</v>
      </c>
      <c r="D845" s="51" t="s">
        <v>30</v>
      </c>
      <c r="E845" s="51" t="s">
        <v>335</v>
      </c>
      <c r="G845" s="51" t="s">
        <v>32</v>
      </c>
      <c r="H845">
        <v>2</v>
      </c>
      <c r="I845" s="58">
        <v>30000</v>
      </c>
      <c r="J845" s="59">
        <v>60000</v>
      </c>
      <c r="K845">
        <v>1</v>
      </c>
      <c r="O845" s="52"/>
    </row>
    <row r="846" spans="1:15" x14ac:dyDescent="0.15">
      <c r="A846">
        <v>2</v>
      </c>
      <c r="D846" s="51" t="s">
        <v>30</v>
      </c>
      <c r="E846" s="51" t="s">
        <v>217</v>
      </c>
      <c r="G846" s="51" t="s">
        <v>32</v>
      </c>
      <c r="H846">
        <v>10</v>
      </c>
      <c r="I846" s="58">
        <v>25000</v>
      </c>
      <c r="J846" s="59">
        <v>250000</v>
      </c>
      <c r="K846">
        <v>1</v>
      </c>
      <c r="O846" s="52"/>
    </row>
    <row r="847" spans="1:15" x14ac:dyDescent="0.15">
      <c r="A847">
        <v>2</v>
      </c>
      <c r="D847" s="51" t="s">
        <v>33</v>
      </c>
      <c r="E847" s="51" t="s">
        <v>344</v>
      </c>
      <c r="G847" s="51" t="s">
        <v>35</v>
      </c>
      <c r="H847">
        <v>2</v>
      </c>
      <c r="I847" s="58">
        <v>12000</v>
      </c>
      <c r="J847" s="59">
        <v>24000</v>
      </c>
      <c r="K847">
        <v>1</v>
      </c>
      <c r="O847" s="52"/>
    </row>
    <row r="848" spans="1:15" x14ac:dyDescent="0.15">
      <c r="A848">
        <v>2</v>
      </c>
      <c r="D848" s="51" t="s">
        <v>36</v>
      </c>
      <c r="E848" s="51" t="s">
        <v>351</v>
      </c>
      <c r="F848" s="51" t="s">
        <v>358</v>
      </c>
      <c r="G848" s="51" t="s">
        <v>35</v>
      </c>
      <c r="H848">
        <v>2</v>
      </c>
      <c r="I848" s="58">
        <v>15000</v>
      </c>
      <c r="J848" s="59">
        <v>30000</v>
      </c>
      <c r="K848">
        <v>1</v>
      </c>
      <c r="O848" s="52"/>
    </row>
    <row r="849" spans="1:15" x14ac:dyDescent="0.15">
      <c r="A849">
        <v>2</v>
      </c>
      <c r="D849" s="51" t="s">
        <v>30</v>
      </c>
      <c r="E849" s="51" t="s">
        <v>412</v>
      </c>
      <c r="G849" s="51" t="s">
        <v>32</v>
      </c>
      <c r="H849">
        <v>1</v>
      </c>
      <c r="I849" s="58">
        <v>38800</v>
      </c>
      <c r="J849" s="59">
        <v>38800</v>
      </c>
      <c r="K849">
        <v>1</v>
      </c>
      <c r="O849" s="52"/>
    </row>
    <row r="850" spans="1:15" x14ac:dyDescent="0.15">
      <c r="A850">
        <v>2</v>
      </c>
      <c r="D850" s="51" t="s">
        <v>23</v>
      </c>
      <c r="E850" s="51" t="s">
        <v>413</v>
      </c>
      <c r="G850" s="51" t="s">
        <v>32</v>
      </c>
      <c r="H850">
        <v>4</v>
      </c>
      <c r="I850" s="58">
        <v>25000</v>
      </c>
      <c r="J850" s="59">
        <v>100000</v>
      </c>
      <c r="K850">
        <v>1</v>
      </c>
      <c r="O850" s="52"/>
    </row>
    <row r="851" spans="1:15" x14ac:dyDescent="0.15">
      <c r="A851">
        <v>2</v>
      </c>
      <c r="D851" s="51" t="s">
        <v>39</v>
      </c>
      <c r="E851" s="51" t="s">
        <v>414</v>
      </c>
      <c r="G851" s="51" t="s">
        <v>19</v>
      </c>
      <c r="H851">
        <v>1</v>
      </c>
      <c r="I851" s="58">
        <v>81100</v>
      </c>
      <c r="J851" s="59">
        <v>81100</v>
      </c>
      <c r="K851">
        <v>1</v>
      </c>
      <c r="O851" s="52"/>
    </row>
    <row r="852" spans="1:15" x14ac:dyDescent="0.15">
      <c r="A852">
        <v>2</v>
      </c>
      <c r="D852" s="51" t="s">
        <v>39</v>
      </c>
      <c r="E852" s="51" t="s">
        <v>415</v>
      </c>
      <c r="G852" s="51" t="s">
        <v>19</v>
      </c>
      <c r="H852">
        <v>1</v>
      </c>
      <c r="I852" s="58">
        <v>220000</v>
      </c>
      <c r="J852" s="59">
        <v>220000</v>
      </c>
      <c r="K852">
        <v>1</v>
      </c>
      <c r="O852" s="52"/>
    </row>
    <row r="853" spans="1:15" x14ac:dyDescent="0.15">
      <c r="A853">
        <v>2</v>
      </c>
      <c r="D853" s="51" t="s">
        <v>39</v>
      </c>
      <c r="E853" s="51" t="s">
        <v>416</v>
      </c>
      <c r="G853" s="51" t="s">
        <v>354</v>
      </c>
      <c r="H853">
        <v>8</v>
      </c>
      <c r="I853" s="58">
        <v>9300</v>
      </c>
      <c r="J853" s="59">
        <v>74400</v>
      </c>
      <c r="K853">
        <v>1</v>
      </c>
      <c r="O853" s="52"/>
    </row>
    <row r="854" spans="1:15" x14ac:dyDescent="0.15">
      <c r="A854">
        <v>2</v>
      </c>
      <c r="D854" s="51" t="s">
        <v>39</v>
      </c>
      <c r="E854" s="51" t="s">
        <v>417</v>
      </c>
      <c r="G854" s="51" t="s">
        <v>418</v>
      </c>
      <c r="H854">
        <v>1</v>
      </c>
      <c r="I854" s="58">
        <v>9000</v>
      </c>
      <c r="J854" s="59">
        <v>9000</v>
      </c>
      <c r="K854">
        <v>1</v>
      </c>
      <c r="O854" s="52"/>
    </row>
    <row r="855" spans="1:15" x14ac:dyDescent="0.15">
      <c r="A855">
        <v>1</v>
      </c>
      <c r="D855" s="51" t="s">
        <v>20</v>
      </c>
      <c r="E855" s="51" t="s">
        <v>419</v>
      </c>
      <c r="F855" s="51" t="s">
        <v>420</v>
      </c>
      <c r="G855" s="51" t="s">
        <v>19</v>
      </c>
      <c r="H855">
        <v>1</v>
      </c>
      <c r="I855" s="58">
        <v>-672000</v>
      </c>
      <c r="J855" s="59">
        <v>-672000</v>
      </c>
      <c r="K855">
        <v>1</v>
      </c>
      <c r="M855" s="51" t="s">
        <v>421</v>
      </c>
      <c r="O855" s="52"/>
    </row>
    <row r="856" spans="1:15" x14ac:dyDescent="0.15">
      <c r="A856">
        <v>2</v>
      </c>
      <c r="D856" s="51" t="s">
        <v>36</v>
      </c>
      <c r="E856" s="51" t="s">
        <v>419</v>
      </c>
      <c r="G856" s="51" t="s">
        <v>26</v>
      </c>
      <c r="H856">
        <v>224</v>
      </c>
      <c r="I856" s="58">
        <v>-3000</v>
      </c>
      <c r="J856" s="59">
        <v>-672000</v>
      </c>
      <c r="K856">
        <v>1</v>
      </c>
      <c r="O856" s="52"/>
    </row>
    <row r="857" spans="1:15" x14ac:dyDescent="0.15">
      <c r="A857">
        <v>1</v>
      </c>
      <c r="D857" s="51" t="s">
        <v>20</v>
      </c>
      <c r="E857" s="51" t="s">
        <v>422</v>
      </c>
      <c r="G857" s="51" t="s">
        <v>19</v>
      </c>
      <c r="H857">
        <v>1</v>
      </c>
      <c r="I857" s="58">
        <v>203000</v>
      </c>
      <c r="J857" s="59">
        <v>203000</v>
      </c>
      <c r="K857">
        <v>1</v>
      </c>
      <c r="M857" s="51" t="s">
        <v>423</v>
      </c>
      <c r="O857" s="52"/>
    </row>
    <row r="858" spans="1:15" x14ac:dyDescent="0.15">
      <c r="A858">
        <v>2</v>
      </c>
      <c r="D858" s="51" t="s">
        <v>30</v>
      </c>
      <c r="E858" s="51" t="s">
        <v>422</v>
      </c>
      <c r="G858" s="51" t="s">
        <v>19</v>
      </c>
      <c r="H858">
        <v>1</v>
      </c>
      <c r="I858" s="58">
        <v>203000</v>
      </c>
      <c r="J858" s="59">
        <v>203000</v>
      </c>
      <c r="K858">
        <v>1</v>
      </c>
      <c r="O858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862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野田市蕃昌倉庫</v>
      </c>
      <c r="G1" s="4"/>
      <c r="H1" s="16" t="s">
        <v>15</v>
      </c>
      <c r="I1" s="13">
        <v>80500000</v>
      </c>
      <c r="J1" s="17">
        <f>I4/I$1</f>
        <v>0.8627701863354037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424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野田市蕃昌倉庫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69453000</v>
      </c>
      <c r="I4" s="48">
        <f>データ!J1</f>
        <v>69453000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｜準備工</v>
      </c>
      <c r="E5" s="37" t="str">
        <f>TRIM(データ!F2)</f>
        <v/>
      </c>
      <c r="F5" s="38" t="str">
        <f>TRIM(データ!G2)</f>
        <v>式</v>
      </c>
      <c r="G5" s="50">
        <f>データ!H2</f>
        <v>1</v>
      </c>
      <c r="H5" s="48">
        <f>データ!I2</f>
        <v>440550</v>
      </c>
      <c r="I5" s="48">
        <f>データ!J2</f>
        <v>440550</v>
      </c>
      <c r="J5" s="39">
        <f>IF(OR($C5="総括",$C5="内訳書",$C5="内訳代価",$C5="明細書",$C5="明細代価",$C5="代価表",$C5="単価表"),データ!K2,"")</f>
        <v>1</v>
      </c>
      <c r="K5" s="11" t="str">
        <f t="shared" ref="K5:K68" si="0">IF(OR(J5="",G5=J5),"","*")</f>
        <v/>
      </c>
      <c r="L5" s="46">
        <f t="shared" ref="L5:L68" si="1">IF($A5&lt;=L$1,I5/I$4,"")</f>
        <v>6.3431385253336792E-3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外注費</v>
      </c>
      <c r="D6" s="36" t="str">
        <f>REPT("｜",$A6)&amp;TRIM(データ!E3)</f>
        <v>｜｜測量</v>
      </c>
      <c r="E6" s="37" t="str">
        <f>TRIM(データ!F3)</f>
        <v/>
      </c>
      <c r="F6" s="38" t="str">
        <f>TRIM(データ!G3)</f>
        <v>式</v>
      </c>
      <c r="G6" s="50">
        <f>データ!H3</f>
        <v>1</v>
      </c>
      <c r="H6" s="48">
        <f>データ!I3</f>
        <v>440550</v>
      </c>
      <c r="I6" s="48">
        <f>データ!J3</f>
        <v>440550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6.3431385253336792E-3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1</v>
      </c>
      <c r="B7" s="47" t="str">
        <f>TRIM(データ!C4)</f>
        <v/>
      </c>
      <c r="C7" s="47" t="str">
        <f>TRIM(データ!D4)</f>
        <v>内訳書</v>
      </c>
      <c r="D7" s="36" t="str">
        <f>REPT("｜",$A7)&amp;TRIM(データ!E4)</f>
        <v>｜貯留槽部土工</v>
      </c>
      <c r="E7" s="37" t="str">
        <f>TRIM(データ!F4)</f>
        <v/>
      </c>
      <c r="F7" s="38" t="str">
        <f>TRIM(データ!G4)</f>
        <v>m3</v>
      </c>
      <c r="G7" s="50">
        <f>データ!H4</f>
        <v>1500</v>
      </c>
      <c r="H7" s="48">
        <f>データ!I4</f>
        <v>8761.26</v>
      </c>
      <c r="I7" s="48">
        <f>データ!J4</f>
        <v>13141900</v>
      </c>
      <c r="J7" s="39">
        <f>IF(OR($C7="総括",$C7="内訳書",$C7="内訳代価",$C7="明細書",$C7="明細代価",$C7="代価表",$C7="単価表"),データ!K4,"")</f>
        <v>1500</v>
      </c>
      <c r="K7" s="11" t="str">
        <f t="shared" si="0"/>
        <v/>
      </c>
      <c r="L7" s="46">
        <f t="shared" si="1"/>
        <v>0.18922004809007531</v>
      </c>
      <c r="M7" s="40" t="str">
        <f>IF(データ!L4="","",データ!L4)</f>
        <v/>
      </c>
      <c r="N7" s="41" t="str">
        <f>IF(データ!M4="","",データ!M4)</f>
        <v>16号内訳書</v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>
        <f>IF(OR($C7="総括",$C7="内訳書",$C7="内訳代価",$C7="明細書",$C7="明細代価",$C7="代価表",$C7="単価表"),データ!Q4,"")</f>
        <v>0</v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>
        <f>IF(OR($C7="総括",$C7="内訳書",$C7="内訳代価",$C7="明細書",$C7="明細代価",$C7="代価表",$C7="単価表"),データ!W4,"")</f>
        <v>0</v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内訳書</v>
      </c>
      <c r="D8" s="36" t="str">
        <f>REPT("｜",$A8)&amp;TRIM(データ!E5)</f>
        <v>｜｜掘削工</v>
      </c>
      <c r="E8" s="37" t="str">
        <f>TRIM(データ!F5)</f>
        <v/>
      </c>
      <c r="F8" s="38" t="str">
        <f>TRIM(データ!G5)</f>
        <v>m3</v>
      </c>
      <c r="G8" s="50">
        <f>データ!H5</f>
        <v>1500</v>
      </c>
      <c r="H8" s="48">
        <f>データ!I5</f>
        <v>980</v>
      </c>
      <c r="I8" s="48">
        <f>データ!J5</f>
        <v>1470000</v>
      </c>
      <c r="J8" s="39">
        <f>IF(OR($C8="総括",$C8="内訳書",$C8="内訳代価",$C8="明細書",$C8="明細代価",$C8="代価表",$C8="単価表"),データ!K5,"")</f>
        <v>1500</v>
      </c>
      <c r="K8" s="11" t="str">
        <f t="shared" si="0"/>
        <v/>
      </c>
      <c r="L8" s="46">
        <f t="shared" si="1"/>
        <v>2.1165392423653406E-2</v>
      </c>
      <c r="M8" s="40" t="str">
        <f>IF(データ!L5="","",データ!L5)</f>
        <v/>
      </c>
      <c r="N8" s="41" t="str">
        <f>IF(データ!M5="","",データ!M5)</f>
        <v>23号内訳書</v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>
        <f>IF(OR($C8="総括",$C8="内訳書",$C8="内訳代価",$C8="明細書",$C8="明細代価",$C8="代価表",$C8="単価表"),データ!Q5,"")</f>
        <v>0</v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>
        <f>IF(OR($C8="総括",$C8="内訳書",$C8="内訳代価",$C8="明細書",$C8="明細代価",$C8="代価表",$C8="単価表"),データ!W5,"")</f>
        <v>0</v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3</v>
      </c>
      <c r="B9" s="47" t="str">
        <f>TRIM(データ!C6)</f>
        <v/>
      </c>
      <c r="C9" s="47" t="str">
        <f>TRIM(データ!D6)</f>
        <v>労務費</v>
      </c>
      <c r="D9" s="36" t="str">
        <f>REPT("｜",$A9)&amp;TRIM(データ!E6)</f>
        <v>｜｜｜技工</v>
      </c>
      <c r="E9" s="37" t="str">
        <f>TRIM(データ!F6)</f>
        <v/>
      </c>
      <c r="F9" s="38" t="str">
        <f>TRIM(データ!G6)</f>
        <v>人</v>
      </c>
      <c r="G9" s="50">
        <f>データ!H6</f>
        <v>36</v>
      </c>
      <c r="H9" s="48">
        <f>データ!I6</f>
        <v>28000</v>
      </c>
      <c r="I9" s="48">
        <f>データ!J6</f>
        <v>1008000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1.4513411947648049E-2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3</v>
      </c>
      <c r="B10" s="47" t="str">
        <f>TRIM(データ!C7)</f>
        <v/>
      </c>
      <c r="C10" s="47" t="str">
        <f>TRIM(データ!D7)</f>
        <v>機械費</v>
      </c>
      <c r="D10" s="36" t="str">
        <f>REPT("｜",$A10)&amp;TRIM(データ!E7)</f>
        <v>｜｜｜BH0.4</v>
      </c>
      <c r="E10" s="37" t="str">
        <f>TRIM(データ!F7)</f>
        <v/>
      </c>
      <c r="F10" s="38" t="str">
        <f>TRIM(データ!G7)</f>
        <v>台</v>
      </c>
      <c r="G10" s="50">
        <f>データ!H7</f>
        <v>12</v>
      </c>
      <c r="H10" s="48">
        <f>データ!I7</f>
        <v>10000</v>
      </c>
      <c r="I10" s="48">
        <f>データ!J7</f>
        <v>120000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1.7277871366247679E-3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3</v>
      </c>
      <c r="B11" s="47" t="str">
        <f>TRIM(データ!C8)</f>
        <v/>
      </c>
      <c r="C11" s="47" t="str">
        <f>TRIM(データ!D8)</f>
        <v>運搬費</v>
      </c>
      <c r="D11" s="36" t="str">
        <f>REPT("｜",$A11)&amp;TRIM(データ!E8)</f>
        <v>｜｜｜4tダンプ</v>
      </c>
      <c r="E11" s="37" t="str">
        <f>TRIM(データ!F8)</f>
        <v/>
      </c>
      <c r="F11" s="38" t="str">
        <f>TRIM(データ!G8)</f>
        <v>台</v>
      </c>
      <c r="G11" s="50">
        <f>データ!H8</f>
        <v>12</v>
      </c>
      <c r="H11" s="48">
        <f>データ!I8</f>
        <v>10000</v>
      </c>
      <c r="I11" s="48">
        <f>データ!J8</f>
        <v>120000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1.7277871366247679E-3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3</v>
      </c>
      <c r="B12" s="47" t="str">
        <f>TRIM(データ!C9)</f>
        <v/>
      </c>
      <c r="C12" s="47" t="str">
        <f>TRIM(データ!D9)</f>
        <v>運搬費</v>
      </c>
      <c r="D12" s="36" t="str">
        <f>REPT("｜",$A12)&amp;TRIM(データ!E9)</f>
        <v>｜｜｜2tダンプ</v>
      </c>
      <c r="E12" s="37" t="str">
        <f>TRIM(データ!F9)</f>
        <v/>
      </c>
      <c r="F12" s="38" t="str">
        <f>TRIM(データ!G9)</f>
        <v>台</v>
      </c>
      <c r="G12" s="50">
        <f>データ!H9</f>
        <v>12</v>
      </c>
      <c r="H12" s="48">
        <f>データ!I9</f>
        <v>7000</v>
      </c>
      <c r="I12" s="48">
        <f>データ!J9</f>
        <v>84000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1.2094509956373375E-3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3</v>
      </c>
      <c r="B13" s="47" t="str">
        <f>TRIM(データ!C10)</f>
        <v/>
      </c>
      <c r="C13" s="47" t="str">
        <f>TRIM(データ!D10)</f>
        <v>材料費</v>
      </c>
      <c r="D13" s="36" t="str">
        <f>REPT("｜",$A13)&amp;TRIM(データ!E10)</f>
        <v>｜｜｜軽油</v>
      </c>
      <c r="E13" s="37" t="str">
        <f>TRIM(データ!F10)</f>
        <v/>
      </c>
      <c r="F13" s="38" t="str">
        <f>TRIM(データ!G10)</f>
        <v>リットル</v>
      </c>
      <c r="G13" s="50">
        <f>データ!H10</f>
        <v>240</v>
      </c>
      <c r="H13" s="48">
        <f>データ!I10</f>
        <v>150</v>
      </c>
      <c r="I13" s="48">
        <f>データ!J10</f>
        <v>36000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5.1833614098743038E-4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3</v>
      </c>
      <c r="B14" s="47" t="str">
        <f>TRIM(データ!C11)</f>
        <v/>
      </c>
      <c r="C14" s="47" t="str">
        <f>TRIM(データ!D11)</f>
        <v>材料費</v>
      </c>
      <c r="D14" s="36" t="str">
        <f>REPT("｜",$A14)&amp;TRIM(データ!E11)</f>
        <v>｜｜｜雑材</v>
      </c>
      <c r="E14" s="37" t="str">
        <f>TRIM(データ!F11)</f>
        <v/>
      </c>
      <c r="F14" s="38" t="str">
        <f>TRIM(データ!G11)</f>
        <v>式</v>
      </c>
      <c r="G14" s="50">
        <f>データ!H11</f>
        <v>1</v>
      </c>
      <c r="H14" s="48">
        <f>データ!I11</f>
        <v>10000</v>
      </c>
      <c r="I14" s="48">
        <f>データ!J11</f>
        <v>10000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1.4398226138539731E-4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3</v>
      </c>
      <c r="B15" s="47" t="str">
        <f>TRIM(データ!C12)</f>
        <v/>
      </c>
      <c r="C15" s="47" t="str">
        <f>TRIM(データ!D12)</f>
        <v>外注費</v>
      </c>
      <c r="D15" s="36" t="str">
        <f>REPT("｜",$A15)&amp;TRIM(データ!E12)</f>
        <v>｜｜｜外注経費</v>
      </c>
      <c r="E15" s="37" t="str">
        <f>TRIM(データ!F12)</f>
        <v/>
      </c>
      <c r="F15" s="38" t="str">
        <f>TRIM(データ!G12)</f>
        <v>式</v>
      </c>
      <c r="G15" s="50">
        <f>データ!H12</f>
        <v>1</v>
      </c>
      <c r="H15" s="48">
        <f>データ!I12</f>
        <v>92000</v>
      </c>
      <c r="I15" s="48">
        <f>データ!J12</f>
        <v>92000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1.3246368047456554E-3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内訳書</v>
      </c>
      <c r="D16" s="36" t="str">
        <f>REPT("｜",$A16)&amp;TRIM(データ!E13)</f>
        <v>｜｜路盤工</v>
      </c>
      <c r="E16" s="37" t="str">
        <f>TRIM(データ!F13)</f>
        <v/>
      </c>
      <c r="F16" s="38" t="str">
        <f>TRIM(データ!G13)</f>
        <v>m2</v>
      </c>
      <c r="G16" s="50">
        <f>データ!H13</f>
        <v>561</v>
      </c>
      <c r="H16" s="48">
        <f>データ!I13</f>
        <v>1200</v>
      </c>
      <c r="I16" s="48">
        <f>データ!J13</f>
        <v>673200</v>
      </c>
      <c r="J16" s="39">
        <f>IF(OR($C16="総括",$C16="内訳書",$C16="内訳代価",$C16="明細書",$C16="明細代価",$C16="代価表",$C16="単価表"),データ!K13,"")</f>
        <v>561</v>
      </c>
      <c r="K16" s="11" t="str">
        <f t="shared" si="0"/>
        <v/>
      </c>
      <c r="L16" s="46">
        <f t="shared" si="1"/>
        <v>9.6928858364649477E-3</v>
      </c>
      <c r="M16" s="40" t="str">
        <f>IF(データ!L13="","",データ!L13)</f>
        <v/>
      </c>
      <c r="N16" s="41" t="str">
        <f>IF(データ!M13="","",データ!M13)</f>
        <v>25号内訳書</v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>
        <f>IF(OR($C16="総括",$C16="内訳書",$C16="内訳代価",$C16="明細書",$C16="明細代価",$C16="代価表",$C16="単価表"),データ!Q13,"")</f>
        <v>0</v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>
        <f>IF(OR($C16="総括",$C16="内訳書",$C16="内訳代価",$C16="明細書",$C16="明細代価",$C16="代価表",$C16="単価表"),データ!W13,"")</f>
        <v>0</v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3</v>
      </c>
      <c r="B17" s="47" t="str">
        <f>TRIM(データ!C14)</f>
        <v/>
      </c>
      <c r="C17" s="47" t="str">
        <f>TRIM(データ!D14)</f>
        <v>労務費</v>
      </c>
      <c r="D17" s="36" t="str">
        <f>REPT("｜",$A17)&amp;TRIM(データ!E14)</f>
        <v>｜｜｜技工</v>
      </c>
      <c r="E17" s="37" t="str">
        <f>TRIM(データ!F14)</f>
        <v/>
      </c>
      <c r="F17" s="38" t="str">
        <f>TRIM(データ!G14)</f>
        <v>人</v>
      </c>
      <c r="G17" s="50">
        <f>データ!H14</f>
        <v>9</v>
      </c>
      <c r="H17" s="48">
        <f>データ!I14</f>
        <v>28000</v>
      </c>
      <c r="I17" s="48">
        <f>データ!J14</f>
        <v>252000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3.6283529869120122E-3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3</v>
      </c>
      <c r="B18" s="47" t="str">
        <f>TRIM(データ!C15)</f>
        <v/>
      </c>
      <c r="C18" s="47" t="str">
        <f>TRIM(データ!D15)</f>
        <v>材料費</v>
      </c>
      <c r="D18" s="36" t="str">
        <f>REPT("｜",$A18)&amp;TRIM(データ!E15)</f>
        <v>｜｜｜RC-40</v>
      </c>
      <c r="E18" s="37" t="str">
        <f>TRIM(データ!F15)</f>
        <v/>
      </c>
      <c r="F18" s="38" t="str">
        <f>TRIM(データ!G15)</f>
        <v>m3</v>
      </c>
      <c r="G18" s="50">
        <f>データ!H15</f>
        <v>115</v>
      </c>
      <c r="H18" s="48">
        <f>データ!I15</f>
        <v>1800</v>
      </c>
      <c r="I18" s="48">
        <f>データ!J15</f>
        <v>207000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2.9804328106777245E-3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3</v>
      </c>
      <c r="B19" s="47" t="str">
        <f>TRIM(データ!C16)</f>
        <v/>
      </c>
      <c r="C19" s="47" t="str">
        <f>TRIM(データ!D16)</f>
        <v>機械費</v>
      </c>
      <c r="D19" s="36" t="str">
        <f>REPT("｜",$A19)&amp;TRIM(データ!E16)</f>
        <v>｜｜｜BH0.2</v>
      </c>
      <c r="E19" s="37" t="str">
        <f>TRIM(データ!F16)</f>
        <v/>
      </c>
      <c r="F19" s="38" t="str">
        <f>TRIM(データ!G16)</f>
        <v>台</v>
      </c>
      <c r="G19" s="50">
        <f>データ!H16</f>
        <v>3</v>
      </c>
      <c r="H19" s="48">
        <f>データ!I16</f>
        <v>9000</v>
      </c>
      <c r="I19" s="48">
        <f>データ!J16</f>
        <v>27000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3.8875210574057279E-4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3</v>
      </c>
      <c r="B20" s="47" t="str">
        <f>TRIM(データ!C17)</f>
        <v/>
      </c>
      <c r="C20" s="47" t="str">
        <f>TRIM(データ!D17)</f>
        <v>機械費</v>
      </c>
      <c r="D20" s="36" t="str">
        <f>REPT("｜",$A20)&amp;TRIM(データ!E17)</f>
        <v>｜｜｜コンバインドローラー</v>
      </c>
      <c r="E20" s="37" t="str">
        <f>TRIM(データ!F17)</f>
        <v/>
      </c>
      <c r="F20" s="38" t="str">
        <f>TRIM(データ!G17)</f>
        <v>台</v>
      </c>
      <c r="G20" s="50">
        <f>データ!H17</f>
        <v>3</v>
      </c>
      <c r="H20" s="48">
        <f>データ!I17</f>
        <v>8000</v>
      </c>
      <c r="I20" s="48">
        <f>データ!J17</f>
        <v>24000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3.4555742732495355E-4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3</v>
      </c>
      <c r="B21" s="47" t="str">
        <f>TRIM(データ!C18)</f>
        <v/>
      </c>
      <c r="C21" s="47" t="str">
        <f>TRIM(データ!D18)</f>
        <v>機械費</v>
      </c>
      <c r="D21" s="36" t="str">
        <f>REPT("｜",$A21)&amp;TRIM(データ!E18)</f>
        <v>｜｜｜プレート</v>
      </c>
      <c r="E21" s="37" t="str">
        <f>TRIM(データ!F18)</f>
        <v/>
      </c>
      <c r="F21" s="38" t="str">
        <f>TRIM(データ!G18)</f>
        <v>台</v>
      </c>
      <c r="G21" s="50">
        <f>データ!H18</f>
        <v>3</v>
      </c>
      <c r="H21" s="48">
        <f>データ!I18</f>
        <v>1500</v>
      </c>
      <c r="I21" s="48">
        <f>データ!J18</f>
        <v>4500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6.4792017623428798E-5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3</v>
      </c>
      <c r="B22" s="47" t="str">
        <f>TRIM(データ!C19)</f>
        <v/>
      </c>
      <c r="C22" s="47" t="str">
        <f>TRIM(データ!D19)</f>
        <v>機械費</v>
      </c>
      <c r="D22" s="36" t="str">
        <f>REPT("｜",$A22)&amp;TRIM(データ!E19)</f>
        <v>｜｜｜ランマー</v>
      </c>
      <c r="E22" s="37" t="str">
        <f>TRIM(データ!F19)</f>
        <v/>
      </c>
      <c r="F22" s="38" t="str">
        <f>TRIM(データ!G19)</f>
        <v>台</v>
      </c>
      <c r="G22" s="50">
        <f>データ!H19</f>
        <v>3</v>
      </c>
      <c r="H22" s="48">
        <f>データ!I19</f>
        <v>1500</v>
      </c>
      <c r="I22" s="48">
        <f>データ!J19</f>
        <v>4500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6.4792017623428798E-5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3</v>
      </c>
      <c r="B23" s="47" t="str">
        <f>TRIM(データ!C20)</f>
        <v/>
      </c>
      <c r="C23" s="47" t="str">
        <f>TRIM(データ!D20)</f>
        <v>運搬費</v>
      </c>
      <c r="D23" s="36" t="str">
        <f>REPT("｜",$A23)&amp;TRIM(データ!E20)</f>
        <v>｜｜｜4tダンプ</v>
      </c>
      <c r="E23" s="37" t="str">
        <f>TRIM(データ!F20)</f>
        <v/>
      </c>
      <c r="F23" s="38" t="str">
        <f>TRIM(データ!G20)</f>
        <v>台</v>
      </c>
      <c r="G23" s="50">
        <f>データ!H20</f>
        <v>3</v>
      </c>
      <c r="H23" s="48">
        <f>データ!I20</f>
        <v>10000</v>
      </c>
      <c r="I23" s="48">
        <f>データ!J20</f>
        <v>30000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4.3194678415619197E-4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3</v>
      </c>
      <c r="B24" s="47" t="str">
        <f>TRIM(データ!C21)</f>
        <v/>
      </c>
      <c r="C24" s="47" t="str">
        <f>TRIM(データ!D21)</f>
        <v>運搬費</v>
      </c>
      <c r="D24" s="36" t="str">
        <f>REPT("｜",$A24)&amp;TRIM(データ!E21)</f>
        <v>｜｜｜2tダンプ</v>
      </c>
      <c r="E24" s="37" t="str">
        <f>TRIM(データ!F21)</f>
        <v/>
      </c>
      <c r="F24" s="38" t="str">
        <f>TRIM(データ!G21)</f>
        <v>台</v>
      </c>
      <c r="G24" s="50">
        <f>データ!H21</f>
        <v>3</v>
      </c>
      <c r="H24" s="48">
        <f>データ!I21</f>
        <v>7000</v>
      </c>
      <c r="I24" s="48">
        <f>データ!J21</f>
        <v>21000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3.0236274890933437E-4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3</v>
      </c>
      <c r="B25" s="47" t="str">
        <f>TRIM(データ!C22)</f>
        <v/>
      </c>
      <c r="C25" s="47" t="str">
        <f>TRIM(データ!D22)</f>
        <v>材料費</v>
      </c>
      <c r="D25" s="36" t="str">
        <f>REPT("｜",$A25)&amp;TRIM(データ!E22)</f>
        <v>｜｜｜軽油</v>
      </c>
      <c r="E25" s="37" t="str">
        <f>TRIM(データ!F22)</f>
        <v/>
      </c>
      <c r="F25" s="38" t="str">
        <f>TRIM(データ!G22)</f>
        <v>リットル</v>
      </c>
      <c r="G25" s="50">
        <f>データ!H22</f>
        <v>120</v>
      </c>
      <c r="H25" s="48">
        <f>データ!I22</f>
        <v>150</v>
      </c>
      <c r="I25" s="48">
        <f>データ!J22</f>
        <v>18000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2.5916807049371519E-4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3</v>
      </c>
      <c r="B26" s="47" t="str">
        <f>TRIM(データ!C23)</f>
        <v/>
      </c>
      <c r="C26" s="47" t="str">
        <f>TRIM(データ!D23)</f>
        <v>材料費</v>
      </c>
      <c r="D26" s="36" t="str">
        <f>REPT("｜",$A26)&amp;TRIM(データ!E23)</f>
        <v>｜｜｜ガソリン</v>
      </c>
      <c r="E26" s="37" t="str">
        <f>TRIM(データ!F23)</f>
        <v/>
      </c>
      <c r="F26" s="38" t="str">
        <f>TRIM(データ!G23)</f>
        <v>リットル</v>
      </c>
      <c r="G26" s="50">
        <f>データ!H23</f>
        <v>120</v>
      </c>
      <c r="H26" s="48">
        <f>データ!I23</f>
        <v>200</v>
      </c>
      <c r="I26" s="48">
        <f>データ!J23</f>
        <v>24000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3.4555742732495355E-4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3</v>
      </c>
      <c r="B27" s="47" t="str">
        <f>TRIM(データ!C24)</f>
        <v/>
      </c>
      <c r="C27" s="47" t="str">
        <f>TRIM(データ!D24)</f>
        <v>材料費</v>
      </c>
      <c r="D27" s="36" t="str">
        <f>REPT("｜",$A27)&amp;TRIM(データ!E24)</f>
        <v>｜｜｜雑材</v>
      </c>
      <c r="E27" s="37" t="str">
        <f>TRIM(データ!F24)</f>
        <v/>
      </c>
      <c r="F27" s="38" t="str">
        <f>TRIM(データ!G24)</f>
        <v>式</v>
      </c>
      <c r="G27" s="50">
        <f>データ!H24</f>
        <v>1</v>
      </c>
      <c r="H27" s="48">
        <f>データ!I24</f>
        <v>24900</v>
      </c>
      <c r="I27" s="48">
        <f>データ!J24</f>
        <v>24900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3.5851583084963931E-4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3</v>
      </c>
      <c r="B28" s="47" t="str">
        <f>TRIM(データ!C25)</f>
        <v/>
      </c>
      <c r="C28" s="47" t="str">
        <f>TRIM(データ!D25)</f>
        <v>外注費</v>
      </c>
      <c r="D28" s="36" t="str">
        <f>REPT("｜",$A28)&amp;TRIM(データ!E25)</f>
        <v>｜｜｜外注経費</v>
      </c>
      <c r="E28" s="37" t="str">
        <f>TRIM(データ!F25)</f>
        <v/>
      </c>
      <c r="F28" s="38" t="str">
        <f>TRIM(データ!G25)</f>
        <v>式</v>
      </c>
      <c r="G28" s="50">
        <f>データ!H25</f>
        <v>1</v>
      </c>
      <c r="H28" s="48">
        <f>データ!I25</f>
        <v>36300</v>
      </c>
      <c r="I28" s="48">
        <f>データ!J25</f>
        <v>36300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5.2265560882899223E-4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内訳書</v>
      </c>
      <c r="D29" s="36" t="str">
        <f>REPT("｜",$A29)&amp;TRIM(データ!E26)</f>
        <v>｜｜不陸調整砂</v>
      </c>
      <c r="E29" s="37" t="str">
        <f>TRIM(データ!F26)</f>
        <v/>
      </c>
      <c r="F29" s="38" t="str">
        <f>TRIM(データ!G26)</f>
        <v>m2</v>
      </c>
      <c r="G29" s="50">
        <f>データ!H26</f>
        <v>561</v>
      </c>
      <c r="H29" s="48">
        <f>データ!I26</f>
        <v>700</v>
      </c>
      <c r="I29" s="48">
        <f>データ!J26</f>
        <v>392700</v>
      </c>
      <c r="J29" s="39">
        <f>IF(OR($C29="総括",$C29="内訳書",$C29="内訳代価",$C29="明細書",$C29="明細代価",$C29="代価表",$C29="単価表"),データ!K26,"")</f>
        <v>561</v>
      </c>
      <c r="K29" s="11" t="str">
        <f t="shared" si="0"/>
        <v/>
      </c>
      <c r="L29" s="46">
        <f t="shared" si="1"/>
        <v>5.6541834046045531E-3</v>
      </c>
      <c r="M29" s="40" t="str">
        <f>IF(データ!L26="","",データ!L26)</f>
        <v/>
      </c>
      <c r="N29" s="41" t="str">
        <f>IF(データ!M26="","",データ!M26)</f>
        <v>26号内訳書</v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>
        <f>IF(OR($C29="総括",$C29="内訳書",$C29="内訳代価",$C29="明細書",$C29="明細代価",$C29="代価表",$C29="単価表"),データ!Q26,"")</f>
        <v>0</v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>
        <f>IF(OR($C29="総括",$C29="内訳書",$C29="内訳代価",$C29="明細書",$C29="明細代価",$C29="代価表",$C29="単価表"),データ!W26,"")</f>
        <v>0</v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3</v>
      </c>
      <c r="B30" s="47" t="str">
        <f>TRIM(データ!C27)</f>
        <v/>
      </c>
      <c r="C30" s="47" t="str">
        <f>TRIM(データ!D27)</f>
        <v>労務費</v>
      </c>
      <c r="D30" s="36" t="str">
        <f>REPT("｜",$A30)&amp;TRIM(データ!E27)</f>
        <v>｜｜｜技工</v>
      </c>
      <c r="E30" s="37" t="str">
        <f>TRIM(データ!F27)</f>
        <v/>
      </c>
      <c r="F30" s="38" t="str">
        <f>TRIM(データ!G27)</f>
        <v>人</v>
      </c>
      <c r="G30" s="50">
        <f>データ!H27</f>
        <v>6</v>
      </c>
      <c r="H30" s="48">
        <f>データ!I27</f>
        <v>28000</v>
      </c>
      <c r="I30" s="48">
        <f>データ!J27</f>
        <v>168000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2.418901991274675E-3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3</v>
      </c>
      <c r="B31" s="47" t="str">
        <f>TRIM(データ!C28)</f>
        <v/>
      </c>
      <c r="C31" s="47" t="str">
        <f>TRIM(データ!D28)</f>
        <v>材料費</v>
      </c>
      <c r="D31" s="36" t="str">
        <f>REPT("｜",$A31)&amp;TRIM(データ!E28)</f>
        <v>｜｜｜再生砂</v>
      </c>
      <c r="E31" s="37" t="str">
        <f>TRIM(データ!F28)</f>
        <v/>
      </c>
      <c r="F31" s="38" t="str">
        <f>TRIM(データ!G28)</f>
        <v>m3</v>
      </c>
      <c r="G31" s="50">
        <f>データ!H28</f>
        <v>24</v>
      </c>
      <c r="H31" s="48">
        <f>データ!I28</f>
        <v>3600</v>
      </c>
      <c r="I31" s="48">
        <f>データ!J28</f>
        <v>86400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1.2440067383698329E-3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3</v>
      </c>
      <c r="B32" s="47" t="str">
        <f>TRIM(データ!C29)</f>
        <v/>
      </c>
      <c r="C32" s="47" t="str">
        <f>TRIM(データ!D29)</f>
        <v>機械費</v>
      </c>
      <c r="D32" s="36" t="str">
        <f>REPT("｜",$A32)&amp;TRIM(データ!E29)</f>
        <v>｜｜｜BH0.2</v>
      </c>
      <c r="E32" s="37" t="str">
        <f>TRIM(データ!F29)</f>
        <v/>
      </c>
      <c r="F32" s="38" t="str">
        <f>TRIM(データ!G29)</f>
        <v>台</v>
      </c>
      <c r="G32" s="50">
        <f>データ!H29</f>
        <v>2</v>
      </c>
      <c r="H32" s="48">
        <f>データ!I29</f>
        <v>9000</v>
      </c>
      <c r="I32" s="48">
        <f>データ!J29</f>
        <v>18000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2.5916807049371519E-4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3</v>
      </c>
      <c r="B33" s="47" t="str">
        <f>TRIM(データ!C30)</f>
        <v/>
      </c>
      <c r="C33" s="47" t="str">
        <f>TRIM(データ!D30)</f>
        <v>機械費</v>
      </c>
      <c r="D33" s="36" t="str">
        <f>REPT("｜",$A33)&amp;TRIM(データ!E30)</f>
        <v>｜｜｜コンバインドローラ</v>
      </c>
      <c r="E33" s="37" t="str">
        <f>TRIM(データ!F30)</f>
        <v/>
      </c>
      <c r="F33" s="38" t="str">
        <f>TRIM(データ!G30)</f>
        <v>台</v>
      </c>
      <c r="G33" s="50">
        <f>データ!H30</f>
        <v>2</v>
      </c>
      <c r="H33" s="48">
        <f>データ!I30</f>
        <v>8000</v>
      </c>
      <c r="I33" s="48">
        <f>データ!J30</f>
        <v>16000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2.303716182166357E-4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3</v>
      </c>
      <c r="B34" s="47" t="str">
        <f>TRIM(データ!C31)</f>
        <v/>
      </c>
      <c r="C34" s="47" t="str">
        <f>TRIM(データ!D31)</f>
        <v>機械費</v>
      </c>
      <c r="D34" s="36" t="str">
        <f>REPT("｜",$A34)&amp;TRIM(データ!E31)</f>
        <v>｜｜｜プレート</v>
      </c>
      <c r="E34" s="37" t="str">
        <f>TRIM(データ!F31)</f>
        <v/>
      </c>
      <c r="F34" s="38" t="str">
        <f>TRIM(データ!G31)</f>
        <v>台</v>
      </c>
      <c r="G34" s="50">
        <f>データ!H31</f>
        <v>2</v>
      </c>
      <c r="H34" s="48">
        <f>データ!I31</f>
        <v>1500</v>
      </c>
      <c r="I34" s="48">
        <f>データ!J31</f>
        <v>3000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4.3194678415619194E-5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3</v>
      </c>
      <c r="B35" s="47" t="str">
        <f>TRIM(データ!C32)</f>
        <v/>
      </c>
      <c r="C35" s="47" t="str">
        <f>TRIM(データ!D32)</f>
        <v>運搬費</v>
      </c>
      <c r="D35" s="36" t="str">
        <f>REPT("｜",$A35)&amp;TRIM(データ!E32)</f>
        <v>｜｜｜4tダンプ</v>
      </c>
      <c r="E35" s="37" t="str">
        <f>TRIM(データ!F32)</f>
        <v/>
      </c>
      <c r="F35" s="38" t="str">
        <f>TRIM(データ!G32)</f>
        <v>台</v>
      </c>
      <c r="G35" s="50">
        <f>データ!H32</f>
        <v>2</v>
      </c>
      <c r="H35" s="48">
        <f>データ!I32</f>
        <v>10000</v>
      </c>
      <c r="I35" s="48">
        <f>データ!J32</f>
        <v>20000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2.8796452277079463E-4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3</v>
      </c>
      <c r="B36" s="47" t="str">
        <f>TRIM(データ!C33)</f>
        <v/>
      </c>
      <c r="C36" s="47" t="str">
        <f>TRIM(データ!D33)</f>
        <v>運搬費</v>
      </c>
      <c r="D36" s="36" t="str">
        <f>REPT("｜",$A36)&amp;TRIM(データ!E33)</f>
        <v>｜｜｜2tダンプ</v>
      </c>
      <c r="E36" s="37" t="str">
        <f>TRIM(データ!F33)</f>
        <v/>
      </c>
      <c r="F36" s="38" t="str">
        <f>TRIM(データ!G33)</f>
        <v>台</v>
      </c>
      <c r="G36" s="50">
        <f>データ!H33</f>
        <v>2</v>
      </c>
      <c r="H36" s="48">
        <f>データ!I33</f>
        <v>7000</v>
      </c>
      <c r="I36" s="48">
        <f>データ!J33</f>
        <v>14000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2.0157516593955624E-4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3</v>
      </c>
      <c r="B37" s="47" t="str">
        <f>TRIM(データ!C34)</f>
        <v/>
      </c>
      <c r="C37" s="47" t="str">
        <f>TRIM(データ!D34)</f>
        <v>材料費</v>
      </c>
      <c r="D37" s="36" t="str">
        <f>REPT("｜",$A37)&amp;TRIM(データ!E34)</f>
        <v>｜｜｜軽油</v>
      </c>
      <c r="E37" s="37" t="str">
        <f>TRIM(データ!F34)</f>
        <v/>
      </c>
      <c r="F37" s="38" t="str">
        <f>TRIM(データ!G34)</f>
        <v>リットル</v>
      </c>
      <c r="G37" s="50">
        <f>データ!H34</f>
        <v>100</v>
      </c>
      <c r="H37" s="48">
        <f>データ!I34</f>
        <v>150</v>
      </c>
      <c r="I37" s="48">
        <f>データ!J34</f>
        <v>15000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2.1597339207809598E-4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3</v>
      </c>
      <c r="B38" s="47" t="str">
        <f>TRIM(データ!C35)</f>
        <v/>
      </c>
      <c r="C38" s="47" t="str">
        <f>TRIM(データ!D35)</f>
        <v>材料費</v>
      </c>
      <c r="D38" s="36" t="str">
        <f>REPT("｜",$A38)&amp;TRIM(データ!E35)</f>
        <v>｜｜｜ガソリン</v>
      </c>
      <c r="E38" s="37" t="str">
        <f>TRIM(データ!F35)</f>
        <v/>
      </c>
      <c r="F38" s="38" t="str">
        <f>TRIM(データ!G35)</f>
        <v>リットル</v>
      </c>
      <c r="G38" s="50">
        <f>データ!H35</f>
        <v>80</v>
      </c>
      <c r="H38" s="48">
        <f>データ!I35</f>
        <v>200</v>
      </c>
      <c r="I38" s="48">
        <f>データ!J35</f>
        <v>16000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2.303716182166357E-4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3</v>
      </c>
      <c r="B39" s="47" t="str">
        <f>TRIM(データ!C36)</f>
        <v/>
      </c>
      <c r="C39" s="47" t="str">
        <f>TRIM(データ!D36)</f>
        <v>材料費</v>
      </c>
      <c r="D39" s="36" t="str">
        <f>REPT("｜",$A39)&amp;TRIM(データ!E36)</f>
        <v>｜｜｜雑材</v>
      </c>
      <c r="E39" s="37" t="str">
        <f>TRIM(データ!F36)</f>
        <v/>
      </c>
      <c r="F39" s="38" t="str">
        <f>TRIM(データ!G36)</f>
        <v>式</v>
      </c>
      <c r="G39" s="50">
        <f>データ!H36</f>
        <v>1</v>
      </c>
      <c r="H39" s="48">
        <f>データ!I36</f>
        <v>4300</v>
      </c>
      <c r="I39" s="48">
        <f>データ!J36</f>
        <v>4300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6.1912372395720841E-5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3</v>
      </c>
      <c r="B40" s="47" t="str">
        <f>TRIM(データ!C37)</f>
        <v/>
      </c>
      <c r="C40" s="47" t="str">
        <f>TRIM(データ!D37)</f>
        <v>外注費</v>
      </c>
      <c r="D40" s="36" t="str">
        <f>REPT("｜",$A40)&amp;TRIM(データ!E37)</f>
        <v>｜｜｜外注経費</v>
      </c>
      <c r="E40" s="37" t="str">
        <f>TRIM(データ!F37)</f>
        <v/>
      </c>
      <c r="F40" s="38" t="str">
        <f>TRIM(データ!G37)</f>
        <v>式</v>
      </c>
      <c r="G40" s="50">
        <f>データ!H37</f>
        <v>1</v>
      </c>
      <c r="H40" s="48">
        <f>データ!I37</f>
        <v>32000</v>
      </c>
      <c r="I40" s="48">
        <f>データ!J37</f>
        <v>32000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4.607432364332714E-4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内訳書</v>
      </c>
      <c r="D41" s="36" t="str">
        <f>REPT("｜",$A41)&amp;TRIM(データ!E38)</f>
        <v>｜｜埋戻し</v>
      </c>
      <c r="E41" s="37" t="str">
        <f>TRIM(データ!F38)</f>
        <v/>
      </c>
      <c r="F41" s="38" t="str">
        <f>TRIM(データ!G38)</f>
        <v>m3</v>
      </c>
      <c r="G41" s="50">
        <f>データ!H38</f>
        <v>320</v>
      </c>
      <c r="H41" s="48">
        <f>データ!I38</f>
        <v>800</v>
      </c>
      <c r="I41" s="48">
        <f>データ!J38</f>
        <v>256000</v>
      </c>
      <c r="J41" s="39">
        <f>IF(OR($C41="総括",$C41="内訳書",$C41="内訳代価",$C41="明細書",$C41="明細代価",$C41="代価表",$C41="単価表"),データ!K38,"")</f>
        <v>320</v>
      </c>
      <c r="K41" s="11" t="str">
        <f t="shared" si="0"/>
        <v/>
      </c>
      <c r="L41" s="46">
        <f t="shared" si="1"/>
        <v>3.6859458914661712E-3</v>
      </c>
      <c r="M41" s="40" t="str">
        <f>IF(データ!L38="","",データ!L38)</f>
        <v/>
      </c>
      <c r="N41" s="41" t="str">
        <f>IF(データ!M38="","",データ!M38)</f>
        <v>27号内訳書</v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>
        <f>IF(OR($C41="総括",$C41="内訳書",$C41="内訳代価",$C41="明細書",$C41="明細代価",$C41="代価表",$C41="単価表"),データ!Q38,"")</f>
        <v>0</v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>
        <f>IF(OR($C41="総括",$C41="内訳書",$C41="内訳代価",$C41="明細書",$C41="明細代価",$C41="代価表",$C41="単価表"),データ!W38,"")</f>
        <v>0</v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3</v>
      </c>
      <c r="B42" s="47" t="str">
        <f>TRIM(データ!C39)</f>
        <v/>
      </c>
      <c r="C42" s="47" t="str">
        <f>TRIM(データ!D39)</f>
        <v>労務費</v>
      </c>
      <c r="D42" s="36" t="str">
        <f>REPT("｜",$A42)&amp;TRIM(データ!E39)</f>
        <v>｜｜｜技工</v>
      </c>
      <c r="E42" s="37" t="str">
        <f>TRIM(データ!F39)</f>
        <v/>
      </c>
      <c r="F42" s="38" t="str">
        <f>TRIM(データ!G39)</f>
        <v>人</v>
      </c>
      <c r="G42" s="50">
        <f>データ!H39</f>
        <v>4</v>
      </c>
      <c r="H42" s="48">
        <f>データ!I39</f>
        <v>28000</v>
      </c>
      <c r="I42" s="48">
        <f>データ!J39</f>
        <v>112000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1.6126013275164499E-3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3</v>
      </c>
      <c r="B43" s="47" t="str">
        <f>TRIM(データ!C40)</f>
        <v/>
      </c>
      <c r="C43" s="47" t="str">
        <f>TRIM(データ!D40)</f>
        <v>機械費</v>
      </c>
      <c r="D43" s="36" t="str">
        <f>REPT("｜",$A43)&amp;TRIM(データ!E40)</f>
        <v>｜｜｜BH0.4</v>
      </c>
      <c r="E43" s="37" t="str">
        <f>TRIM(データ!F40)</f>
        <v/>
      </c>
      <c r="F43" s="38" t="str">
        <f>TRIM(データ!G40)</f>
        <v>台</v>
      </c>
      <c r="G43" s="50">
        <f>データ!H40</f>
        <v>2</v>
      </c>
      <c r="H43" s="48">
        <f>データ!I40</f>
        <v>13000</v>
      </c>
      <c r="I43" s="48">
        <f>データ!J40</f>
        <v>26000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3.7435387960203304E-4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3</v>
      </c>
      <c r="B44" s="47" t="str">
        <f>TRIM(データ!C41)</f>
        <v/>
      </c>
      <c r="C44" s="47" t="str">
        <f>TRIM(データ!D41)</f>
        <v>機械費</v>
      </c>
      <c r="D44" s="36" t="str">
        <f>REPT("｜",$A44)&amp;TRIM(データ!E41)</f>
        <v>｜｜｜BH0.2</v>
      </c>
      <c r="E44" s="37" t="str">
        <f>TRIM(データ!F41)</f>
        <v/>
      </c>
      <c r="F44" s="38" t="str">
        <f>TRIM(データ!G41)</f>
        <v>台</v>
      </c>
      <c r="G44" s="50">
        <f>データ!H41</f>
        <v>2</v>
      </c>
      <c r="H44" s="48">
        <f>データ!I41</f>
        <v>9000</v>
      </c>
      <c r="I44" s="48">
        <f>データ!J41</f>
        <v>18000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2.5916807049371519E-4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3</v>
      </c>
      <c r="B45" s="47" t="str">
        <f>TRIM(データ!C42)</f>
        <v/>
      </c>
      <c r="C45" s="47" t="str">
        <f>TRIM(データ!D42)</f>
        <v>機械費</v>
      </c>
      <c r="D45" s="36" t="str">
        <f>REPT("｜",$A45)&amp;TRIM(データ!E42)</f>
        <v>｜｜｜コンバインドローラー</v>
      </c>
      <c r="E45" s="37" t="str">
        <f>TRIM(データ!F42)</f>
        <v/>
      </c>
      <c r="F45" s="38" t="str">
        <f>TRIM(データ!G42)</f>
        <v>台</v>
      </c>
      <c r="G45" s="50">
        <f>データ!H42</f>
        <v>2</v>
      </c>
      <c r="H45" s="48">
        <f>データ!I42</f>
        <v>8000</v>
      </c>
      <c r="I45" s="48">
        <f>データ!J42</f>
        <v>16000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2.303716182166357E-4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3</v>
      </c>
      <c r="B46" s="47" t="str">
        <f>TRIM(データ!C43)</f>
        <v/>
      </c>
      <c r="C46" s="47" t="str">
        <f>TRIM(データ!D43)</f>
        <v>機械費</v>
      </c>
      <c r="D46" s="36" t="str">
        <f>REPT("｜",$A46)&amp;TRIM(データ!E43)</f>
        <v>｜｜｜ランマー</v>
      </c>
      <c r="E46" s="37" t="str">
        <f>TRIM(データ!F43)</f>
        <v/>
      </c>
      <c r="F46" s="38" t="str">
        <f>TRIM(データ!G43)</f>
        <v>台</v>
      </c>
      <c r="G46" s="50">
        <f>データ!H43</f>
        <v>2</v>
      </c>
      <c r="H46" s="48">
        <f>データ!I43</f>
        <v>1500</v>
      </c>
      <c r="I46" s="48">
        <f>データ!J43</f>
        <v>3000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4.3194678415619194E-5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3</v>
      </c>
      <c r="B47" s="47" t="str">
        <f>TRIM(データ!C44)</f>
        <v/>
      </c>
      <c r="C47" s="47" t="str">
        <f>TRIM(データ!D44)</f>
        <v>機械費</v>
      </c>
      <c r="D47" s="36" t="str">
        <f>REPT("｜",$A47)&amp;TRIM(データ!E44)</f>
        <v>｜｜｜プレート</v>
      </c>
      <c r="E47" s="37" t="str">
        <f>TRIM(データ!F44)</f>
        <v/>
      </c>
      <c r="F47" s="38" t="str">
        <f>TRIM(データ!G44)</f>
        <v>台</v>
      </c>
      <c r="G47" s="50">
        <f>データ!H44</f>
        <v>2</v>
      </c>
      <c r="H47" s="48">
        <f>データ!I44</f>
        <v>1500</v>
      </c>
      <c r="I47" s="48">
        <f>データ!J44</f>
        <v>3000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4.3194678415619194E-5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3</v>
      </c>
      <c r="B48" s="47" t="str">
        <f>TRIM(データ!C45)</f>
        <v/>
      </c>
      <c r="C48" s="47" t="str">
        <f>TRIM(データ!D45)</f>
        <v>材料費</v>
      </c>
      <c r="D48" s="36" t="str">
        <f>REPT("｜",$A48)&amp;TRIM(データ!E45)</f>
        <v>｜｜｜軽油</v>
      </c>
      <c r="E48" s="37" t="str">
        <f>TRIM(データ!F45)</f>
        <v/>
      </c>
      <c r="F48" s="38" t="str">
        <f>TRIM(データ!G45)</f>
        <v>リットル</v>
      </c>
      <c r="G48" s="50">
        <f>データ!H45</f>
        <v>160</v>
      </c>
      <c r="H48" s="48">
        <f>データ!I45</f>
        <v>150</v>
      </c>
      <c r="I48" s="48">
        <f>データ!J45</f>
        <v>24000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3.4555742732495355E-4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3</v>
      </c>
      <c r="B49" s="47" t="str">
        <f>TRIM(データ!C46)</f>
        <v/>
      </c>
      <c r="C49" s="47" t="str">
        <f>TRIM(データ!D46)</f>
        <v>材料費</v>
      </c>
      <c r="D49" s="36" t="str">
        <f>REPT("｜",$A49)&amp;TRIM(データ!E46)</f>
        <v>｜｜｜雑材</v>
      </c>
      <c r="E49" s="37" t="str">
        <f>TRIM(データ!F46)</f>
        <v/>
      </c>
      <c r="F49" s="38" t="str">
        <f>TRIM(データ!G46)</f>
        <v>式</v>
      </c>
      <c r="G49" s="50">
        <f>データ!H46</f>
        <v>1</v>
      </c>
      <c r="H49" s="48">
        <f>データ!I46</f>
        <v>34000</v>
      </c>
      <c r="I49" s="48">
        <f>データ!J46</f>
        <v>34000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4.8953968871035089E-4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3</v>
      </c>
      <c r="B50" s="47" t="str">
        <f>TRIM(データ!C47)</f>
        <v/>
      </c>
      <c r="C50" s="47" t="str">
        <f>TRIM(データ!D47)</f>
        <v>外注費</v>
      </c>
      <c r="D50" s="36" t="str">
        <f>REPT("｜",$A50)&amp;TRIM(データ!E47)</f>
        <v>｜｜｜外注経費</v>
      </c>
      <c r="E50" s="37" t="str">
        <f>TRIM(データ!F47)</f>
        <v/>
      </c>
      <c r="F50" s="38" t="str">
        <f>TRIM(データ!G47)</f>
        <v>式</v>
      </c>
      <c r="G50" s="50">
        <f>データ!H47</f>
        <v>1</v>
      </c>
      <c r="H50" s="48">
        <f>データ!I47</f>
        <v>20000</v>
      </c>
      <c r="I50" s="48">
        <f>データ!J47</f>
        <v>20000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2.8796452277079463E-4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内訳書</v>
      </c>
      <c r="D51" s="36" t="str">
        <f>REPT("｜",$A51)&amp;TRIM(データ!E48)</f>
        <v>｜｜残土運搬・処分</v>
      </c>
      <c r="E51" s="37" t="str">
        <f>TRIM(データ!F48)</f>
        <v/>
      </c>
      <c r="F51" s="38" t="str">
        <f>TRIM(データ!G48)</f>
        <v>m3</v>
      </c>
      <c r="G51" s="50">
        <f>データ!H48</f>
        <v>1500</v>
      </c>
      <c r="H51" s="48">
        <f>データ!I48</f>
        <v>6900</v>
      </c>
      <c r="I51" s="48">
        <f>データ!J48</f>
        <v>10350000</v>
      </c>
      <c r="J51" s="39">
        <f>IF(OR($C51="総括",$C51="内訳書",$C51="内訳代価",$C51="明細書",$C51="明細代価",$C51="代価表",$C51="単価表"),データ!K48,"")</f>
        <v>1500</v>
      </c>
      <c r="K51" s="11" t="str">
        <f t="shared" si="0"/>
        <v/>
      </c>
      <c r="L51" s="46">
        <f t="shared" si="1"/>
        <v>0.14902164053388622</v>
      </c>
      <c r="M51" s="40" t="str">
        <f>IF(データ!L48="","",データ!L48)</f>
        <v/>
      </c>
      <c r="N51" s="41" t="str">
        <f>IF(データ!M48="","",データ!M48)</f>
        <v>28号内訳書</v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>
        <f>IF(OR($C51="総括",$C51="内訳書",$C51="内訳代価",$C51="明細書",$C51="明細代価",$C51="代価表",$C51="単価表"),データ!Q48,"")</f>
        <v>0</v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>
        <f>IF(OR($C51="総括",$C51="内訳書",$C51="内訳代価",$C51="明細書",$C51="明細代価",$C51="代価表",$C51="単価表"),データ!W48,"")</f>
        <v>0</v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3</v>
      </c>
      <c r="B52" s="47" t="str">
        <f>TRIM(データ!C49)</f>
        <v/>
      </c>
      <c r="C52" s="47" t="str">
        <f>TRIM(データ!D49)</f>
        <v>運搬費</v>
      </c>
      <c r="D52" s="36" t="str">
        <f>REPT("｜",$A52)&amp;TRIM(データ!E49)</f>
        <v>｜｜｜残土運搬処分費</v>
      </c>
      <c r="E52" s="37" t="str">
        <f>TRIM(データ!F49)</f>
        <v/>
      </c>
      <c r="F52" s="38" t="str">
        <f>TRIM(データ!G49)</f>
        <v>m3</v>
      </c>
      <c r="G52" s="50">
        <f>データ!H49</f>
        <v>1500</v>
      </c>
      <c r="H52" s="48">
        <f>データ!I49</f>
        <v>6900</v>
      </c>
      <c r="I52" s="48">
        <f>データ!J49</f>
        <v>10350000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0.14902164053388622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1</v>
      </c>
      <c r="B53" s="47" t="str">
        <f>TRIM(データ!C50)</f>
        <v/>
      </c>
      <c r="C53" s="47" t="str">
        <f>TRIM(データ!D50)</f>
        <v>内訳書</v>
      </c>
      <c r="D53" s="36" t="str">
        <f>REPT("｜",$A53)&amp;TRIM(データ!E50)</f>
        <v>｜排水整備工</v>
      </c>
      <c r="E53" s="37" t="str">
        <f>TRIM(データ!F50)</f>
        <v/>
      </c>
      <c r="F53" s="38" t="str">
        <f>TRIM(データ!G50)</f>
        <v>ｍ</v>
      </c>
      <c r="G53" s="50">
        <f>データ!H50</f>
        <v>235.2</v>
      </c>
      <c r="H53" s="48">
        <f>データ!I50</f>
        <v>50543.45</v>
      </c>
      <c r="I53" s="48">
        <f>データ!J50</f>
        <v>11887820</v>
      </c>
      <c r="J53" s="39">
        <f>IF(OR($C53="総括",$C53="内訳書",$C53="内訳代価",$C53="明細書",$C53="明細代価",$C53="代価表",$C53="単価表"),データ!K50,"")</f>
        <v>235.2</v>
      </c>
      <c r="K53" s="11" t="str">
        <f t="shared" si="0"/>
        <v/>
      </c>
      <c r="L53" s="46">
        <f t="shared" si="1"/>
        <v>0.17116352065425539</v>
      </c>
      <c r="M53" s="40" t="str">
        <f>IF(データ!L50="","",データ!L50)</f>
        <v/>
      </c>
      <c r="N53" s="41" t="str">
        <f>IF(データ!M50="","",データ!M50)</f>
        <v>17号内訳書</v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>
        <f>IF(OR($C53="総括",$C53="内訳書",$C53="内訳代価",$C53="明細書",$C53="明細代価",$C53="代価表",$C53="単価表"),データ!Q50,"")</f>
        <v>0</v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>
        <f>IF(OR($C53="総括",$C53="内訳書",$C53="内訳代価",$C53="明細書",$C53="明細代価",$C53="代価表",$C53="単価表"),データ!W50,"")</f>
        <v>0</v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内訳書</v>
      </c>
      <c r="D54" s="36" t="str">
        <f>REPT("｜",$A54)&amp;TRIM(データ!E51)</f>
        <v>｜｜CD桝</v>
      </c>
      <c r="E54" s="37" t="str">
        <f>TRIM(データ!F51)</f>
        <v/>
      </c>
      <c r="F54" s="38" t="str">
        <f>TRIM(データ!G51)</f>
        <v>基</v>
      </c>
      <c r="G54" s="50">
        <f>データ!H51</f>
        <v>5</v>
      </c>
      <c r="H54" s="48">
        <f>データ!I51</f>
        <v>97400</v>
      </c>
      <c r="I54" s="48">
        <f>データ!J51</f>
        <v>487000</v>
      </c>
      <c r="J54" s="39">
        <f>IF(OR($C54="総括",$C54="内訳書",$C54="内訳代価",$C54="明細書",$C54="明細代価",$C54="代価表",$C54="単価表"),データ!K51,"")</f>
        <v>5</v>
      </c>
      <c r="K54" s="11" t="str">
        <f t="shared" si="0"/>
        <v/>
      </c>
      <c r="L54" s="46">
        <f t="shared" si="1"/>
        <v>7.0119361294688496E-3</v>
      </c>
      <c r="M54" s="40" t="str">
        <f>IF(データ!L51="","",データ!L51)</f>
        <v/>
      </c>
      <c r="N54" s="41" t="str">
        <f>IF(データ!M51="","",データ!M51)</f>
        <v>29号内訳書</v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>
        <f>IF(OR($C54="総括",$C54="内訳書",$C54="内訳代価",$C54="明細書",$C54="明細代価",$C54="代価表",$C54="単価表"),データ!Q51,"")</f>
        <v>0</v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>
        <f>IF(OR($C54="総括",$C54="内訳書",$C54="内訳代価",$C54="明細書",$C54="明細代価",$C54="代価表",$C54="単価表"),データ!W51,"")</f>
        <v>0</v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3</v>
      </c>
      <c r="B55" s="47" t="str">
        <f>TRIM(データ!C52)</f>
        <v/>
      </c>
      <c r="C55" s="47" t="str">
        <f>TRIM(データ!D52)</f>
        <v>材料費</v>
      </c>
      <c r="D55" s="36" t="str">
        <f>REPT("｜",$A55)&amp;TRIM(データ!E52)</f>
        <v>｜｜｜CD500用グレーチング</v>
      </c>
      <c r="E55" s="37" t="str">
        <f>TRIM(データ!F52)</f>
        <v>T-14　細目　鎖付き</v>
      </c>
      <c r="F55" s="38" t="str">
        <f>TRIM(データ!G52)</f>
        <v>枚</v>
      </c>
      <c r="G55" s="50">
        <f>データ!H52</f>
        <v>5</v>
      </c>
      <c r="H55" s="48">
        <f>データ!I52</f>
        <v>21410</v>
      </c>
      <c r="I55" s="48">
        <f>データ!J52</f>
        <v>107050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1.5413301081306783E-3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3</v>
      </c>
      <c r="B56" s="47" t="str">
        <f>TRIM(データ!C53)</f>
        <v/>
      </c>
      <c r="C56" s="47" t="str">
        <f>TRIM(データ!D53)</f>
        <v>材料費</v>
      </c>
      <c r="D56" s="36" t="str">
        <f>REPT("｜",$A56)&amp;TRIM(データ!E53)</f>
        <v>｜｜｜CD500　縁塊　H100</v>
      </c>
      <c r="E56" s="37" t="str">
        <f>TRIM(データ!F53)</f>
        <v/>
      </c>
      <c r="F56" s="38" t="str">
        <f>TRIM(データ!G53)</f>
        <v>個</v>
      </c>
      <c r="G56" s="50">
        <f>データ!H53</f>
        <v>5</v>
      </c>
      <c r="H56" s="48">
        <f>データ!I53</f>
        <v>4260</v>
      </c>
      <c r="I56" s="48">
        <f>データ!J53</f>
        <v>21300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3.0668221675089627E-4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3</v>
      </c>
      <c r="B57" s="47" t="str">
        <f>TRIM(データ!C54)</f>
        <v/>
      </c>
      <c r="C57" s="47" t="str">
        <f>TRIM(データ!D54)</f>
        <v>材料費</v>
      </c>
      <c r="D57" s="36" t="str">
        <f>REPT("｜",$A57)&amp;TRIM(データ!E54)</f>
        <v>｜｜｜CD500　側塊　H300</v>
      </c>
      <c r="E57" s="37" t="str">
        <f>TRIM(データ!F54)</f>
        <v/>
      </c>
      <c r="F57" s="38" t="str">
        <f>TRIM(データ!G54)</f>
        <v>個</v>
      </c>
      <c r="G57" s="50">
        <f>データ!H54</f>
        <v>14</v>
      </c>
      <c r="H57" s="48">
        <f>データ!I54</f>
        <v>6460</v>
      </c>
      <c r="I57" s="48">
        <f>データ!J54</f>
        <v>90440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1.3021755719695334E-3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3</v>
      </c>
      <c r="B58" s="47" t="str">
        <f>TRIM(データ!C55)</f>
        <v/>
      </c>
      <c r="C58" s="47" t="str">
        <f>TRIM(データ!D55)</f>
        <v>材料費</v>
      </c>
      <c r="D58" s="36" t="str">
        <f>REPT("｜",$A58)&amp;TRIM(データ!E55)</f>
        <v>｜｜｜CD500 側塊　H150</v>
      </c>
      <c r="E58" s="37" t="str">
        <f>TRIM(データ!F55)</f>
        <v/>
      </c>
      <c r="F58" s="38" t="str">
        <f>TRIM(データ!G55)</f>
        <v>個</v>
      </c>
      <c r="G58" s="50">
        <f>データ!H55</f>
        <v>1</v>
      </c>
      <c r="H58" s="48">
        <f>データ!I55</f>
        <v>4200</v>
      </c>
      <c r="I58" s="48">
        <f>データ!J55</f>
        <v>4200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6.0472549781866876E-5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3</v>
      </c>
      <c r="B59" s="47" t="str">
        <f>TRIM(データ!C56)</f>
        <v/>
      </c>
      <c r="C59" s="47" t="str">
        <f>TRIM(データ!D56)</f>
        <v>材料費</v>
      </c>
      <c r="D59" s="36" t="str">
        <f>REPT("｜",$A59)&amp;TRIM(データ!E56)</f>
        <v>｜｜｜生コン</v>
      </c>
      <c r="E59" s="37" t="str">
        <f>TRIM(データ!F56)</f>
        <v/>
      </c>
      <c r="F59" s="38" t="str">
        <f>TRIM(データ!G56)</f>
        <v>m3</v>
      </c>
      <c r="G59" s="50">
        <f>データ!H56</f>
        <v>1</v>
      </c>
      <c r="H59" s="48">
        <f>データ!I56</f>
        <v>30000</v>
      </c>
      <c r="I59" s="48">
        <f>データ!J56</f>
        <v>30000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4.3194678415619197E-4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3</v>
      </c>
      <c r="B60" s="47" t="str">
        <f>TRIM(データ!C57)</f>
        <v/>
      </c>
      <c r="C60" s="47" t="str">
        <f>TRIM(データ!D57)</f>
        <v>労務費</v>
      </c>
      <c r="D60" s="36" t="str">
        <f>REPT("｜",$A60)&amp;TRIM(データ!E57)</f>
        <v>｜｜｜技工</v>
      </c>
      <c r="E60" s="37" t="str">
        <f>TRIM(データ!F57)</f>
        <v/>
      </c>
      <c r="F60" s="38" t="str">
        <f>TRIM(データ!G57)</f>
        <v>人</v>
      </c>
      <c r="G60" s="50">
        <f>データ!H57</f>
        <v>6</v>
      </c>
      <c r="H60" s="48">
        <f>データ!I57</f>
        <v>28000</v>
      </c>
      <c r="I60" s="48">
        <f>データ!J57</f>
        <v>168000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2.418901991274675E-3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3</v>
      </c>
      <c r="B61" s="47" t="str">
        <f>TRIM(データ!C58)</f>
        <v/>
      </c>
      <c r="C61" s="47" t="str">
        <f>TRIM(データ!D58)</f>
        <v>機械費</v>
      </c>
      <c r="D61" s="36" t="str">
        <f>REPT("｜",$A61)&amp;TRIM(データ!E58)</f>
        <v>｜｜｜BH0.15</v>
      </c>
      <c r="E61" s="37" t="str">
        <f>TRIM(データ!F58)</f>
        <v/>
      </c>
      <c r="F61" s="38" t="str">
        <f>TRIM(データ!G58)</f>
        <v>台</v>
      </c>
      <c r="G61" s="50">
        <f>データ!H58</f>
        <v>2</v>
      </c>
      <c r="H61" s="48">
        <f>データ!I58</f>
        <v>8000</v>
      </c>
      <c r="I61" s="48">
        <f>データ!J58</f>
        <v>16000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2.303716182166357E-4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/>
      </c>
    </row>
    <row r="62" spans="1:32" x14ac:dyDescent="0.15">
      <c r="A62" s="47">
        <f>データ!A59</f>
        <v>3</v>
      </c>
      <c r="B62" s="47" t="str">
        <f>TRIM(データ!C59)</f>
        <v/>
      </c>
      <c r="C62" s="47" t="str">
        <f>TRIM(データ!D59)</f>
        <v>機械費</v>
      </c>
      <c r="D62" s="36" t="str">
        <f>REPT("｜",$A62)&amp;TRIM(データ!E59)</f>
        <v>｜｜｜プレート</v>
      </c>
      <c r="E62" s="37" t="str">
        <f>TRIM(データ!F59)</f>
        <v/>
      </c>
      <c r="F62" s="38" t="str">
        <f>TRIM(データ!G59)</f>
        <v>台</v>
      </c>
      <c r="G62" s="50">
        <f>データ!H59</f>
        <v>2</v>
      </c>
      <c r="H62" s="48">
        <f>データ!I59</f>
        <v>1500</v>
      </c>
      <c r="I62" s="48">
        <f>データ!J59</f>
        <v>3000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4.3194678415619194E-5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3</v>
      </c>
      <c r="B63" s="47" t="str">
        <f>TRIM(データ!C60)</f>
        <v/>
      </c>
      <c r="C63" s="47" t="str">
        <f>TRIM(データ!D60)</f>
        <v>機械費</v>
      </c>
      <c r="D63" s="36" t="str">
        <f>REPT("｜",$A63)&amp;TRIM(データ!E60)</f>
        <v>｜｜｜ランマー</v>
      </c>
      <c r="E63" s="37" t="str">
        <f>TRIM(データ!F60)</f>
        <v/>
      </c>
      <c r="F63" s="38" t="str">
        <f>TRIM(データ!G60)</f>
        <v>台</v>
      </c>
      <c r="G63" s="50">
        <f>データ!H60</f>
        <v>2</v>
      </c>
      <c r="H63" s="48">
        <f>データ!I60</f>
        <v>1500</v>
      </c>
      <c r="I63" s="48">
        <f>データ!J60</f>
        <v>3000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4.3194678415619194E-5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/>
      </c>
      <c r="AF63" s="43" t="str">
        <f>TRIM(データ!Z60)</f>
        <v/>
      </c>
    </row>
    <row r="64" spans="1:32" x14ac:dyDescent="0.15">
      <c r="A64" s="47">
        <f>データ!A61</f>
        <v>3</v>
      </c>
      <c r="B64" s="47" t="str">
        <f>TRIM(データ!C61)</f>
        <v/>
      </c>
      <c r="C64" s="47" t="str">
        <f>TRIM(データ!D61)</f>
        <v>材料費</v>
      </c>
      <c r="D64" s="36" t="str">
        <f>REPT("｜",$A64)&amp;TRIM(データ!E61)</f>
        <v>｜｜｜軽油</v>
      </c>
      <c r="E64" s="37" t="str">
        <f>TRIM(データ!F61)</f>
        <v/>
      </c>
      <c r="F64" s="38" t="str">
        <f>TRIM(データ!G61)</f>
        <v>リットル</v>
      </c>
      <c r="G64" s="50">
        <f>データ!H61</f>
        <v>80</v>
      </c>
      <c r="H64" s="48">
        <f>データ!I61</f>
        <v>150</v>
      </c>
      <c r="I64" s="48">
        <f>データ!J61</f>
        <v>12000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1.7277871366247678E-4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3</v>
      </c>
      <c r="B65" s="47" t="str">
        <f>TRIM(データ!C62)</f>
        <v/>
      </c>
      <c r="C65" s="47" t="str">
        <f>TRIM(データ!D62)</f>
        <v>材料費</v>
      </c>
      <c r="D65" s="36" t="str">
        <f>REPT("｜",$A65)&amp;TRIM(データ!E62)</f>
        <v>｜｜｜雑材</v>
      </c>
      <c r="E65" s="37" t="str">
        <f>TRIM(データ!F62)</f>
        <v/>
      </c>
      <c r="F65" s="38" t="str">
        <f>TRIM(データ!G62)</f>
        <v>式</v>
      </c>
      <c r="G65" s="50">
        <f>データ!H62</f>
        <v>1</v>
      </c>
      <c r="H65" s="48">
        <f>データ!I62</f>
        <v>12010</v>
      </c>
      <c r="I65" s="48">
        <f>データ!J62</f>
        <v>12010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1.7292269592386218E-4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/>
      </c>
      <c r="AF65" s="43" t="str">
        <f>TRIM(データ!Z62)</f>
        <v/>
      </c>
    </row>
    <row r="66" spans="1:32" x14ac:dyDescent="0.15">
      <c r="A66" s="47">
        <f>データ!A63</f>
        <v>3</v>
      </c>
      <c r="B66" s="47" t="str">
        <f>TRIM(データ!C63)</f>
        <v/>
      </c>
      <c r="C66" s="47" t="str">
        <f>TRIM(データ!D63)</f>
        <v>外注費</v>
      </c>
      <c r="D66" s="36" t="str">
        <f>REPT("｜",$A66)&amp;TRIM(データ!E63)</f>
        <v>｜｜｜外注経費</v>
      </c>
      <c r="E66" s="37" t="str">
        <f>TRIM(データ!F63)</f>
        <v/>
      </c>
      <c r="F66" s="38" t="str">
        <f>TRIM(データ!G63)</f>
        <v>式</v>
      </c>
      <c r="G66" s="50">
        <f>データ!H63</f>
        <v>1</v>
      </c>
      <c r="H66" s="48">
        <f>データ!I63</f>
        <v>20000</v>
      </c>
      <c r="I66" s="48">
        <f>データ!J63</f>
        <v>20000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2.8796452277079463E-4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/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内訳書</v>
      </c>
      <c r="D67" s="36" t="str">
        <f>REPT("｜",$A67)&amp;TRIM(データ!E64)</f>
        <v>｜｜雨水桝　□400×H500</v>
      </c>
      <c r="E67" s="37" t="str">
        <f>TRIM(データ!F64)</f>
        <v/>
      </c>
      <c r="F67" s="38" t="str">
        <f>TRIM(データ!G64)</f>
        <v>基</v>
      </c>
      <c r="G67" s="50">
        <f>データ!H64</f>
        <v>1</v>
      </c>
      <c r="H67" s="48">
        <f>データ!I64</f>
        <v>105200</v>
      </c>
      <c r="I67" s="48">
        <f>データ!J64</f>
        <v>105200</v>
      </c>
      <c r="J67" s="39">
        <f>IF(OR($C67="総括",$C67="内訳書",$C67="内訳代価",$C67="明細書",$C67="明細代価",$C67="代価表",$C67="単価表"),データ!K64,"")</f>
        <v>1</v>
      </c>
      <c r="K67" s="11" t="str">
        <f t="shared" si="0"/>
        <v/>
      </c>
      <c r="L67" s="46">
        <f t="shared" si="1"/>
        <v>1.5146933897743798E-3</v>
      </c>
      <c r="M67" s="40" t="str">
        <f>IF(データ!L64="","",データ!L64)</f>
        <v/>
      </c>
      <c r="N67" s="41" t="str">
        <f>IF(データ!M64="","",データ!M64)</f>
        <v>30号内訳書</v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>
        <f>IF(OR($C67="総括",$C67="内訳書",$C67="内訳代価",$C67="明細書",$C67="明細代価",$C67="代価表",$C67="単価表"),データ!Q64,"")</f>
        <v>0</v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>
        <f>IF(OR($C67="総括",$C67="内訳書",$C67="内訳代価",$C67="明細書",$C67="明細代価",$C67="代価表",$C67="単価表"),データ!W64,"")</f>
        <v>0</v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3</v>
      </c>
      <c r="B68" s="47" t="str">
        <f>TRIM(データ!C65)</f>
        <v/>
      </c>
      <c r="C68" s="47" t="str">
        <f>TRIM(データ!D65)</f>
        <v>材料費</v>
      </c>
      <c r="D68" s="36" t="str">
        <f>REPT("｜",$A68)&amp;TRIM(データ!E65)</f>
        <v>｜｜｜雨水桝　400×500</v>
      </c>
      <c r="E68" s="37" t="str">
        <f>TRIM(データ!F65)</f>
        <v>T-25　グレーチング　蓋付き</v>
      </c>
      <c r="F68" s="38" t="str">
        <f>TRIM(データ!G65)</f>
        <v>基</v>
      </c>
      <c r="G68" s="50">
        <f>データ!H65</f>
        <v>1</v>
      </c>
      <c r="H68" s="48">
        <f>データ!I65</f>
        <v>42000</v>
      </c>
      <c r="I68" s="48">
        <f>データ!J65</f>
        <v>42000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6.0472549781866874E-4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/>
      </c>
    </row>
    <row r="69" spans="1:32" x14ac:dyDescent="0.15">
      <c r="A69" s="47">
        <f>データ!A66</f>
        <v>3</v>
      </c>
      <c r="B69" s="47" t="str">
        <f>TRIM(データ!C66)</f>
        <v/>
      </c>
      <c r="C69" s="47" t="str">
        <f>TRIM(データ!D66)</f>
        <v>労務費</v>
      </c>
      <c r="D69" s="36" t="str">
        <f>REPT("｜",$A69)&amp;TRIM(データ!E66)</f>
        <v>｜｜｜技工</v>
      </c>
      <c r="E69" s="37" t="str">
        <f>TRIM(データ!F66)</f>
        <v/>
      </c>
      <c r="F69" s="38" t="str">
        <f>TRIM(データ!G66)</f>
        <v>人</v>
      </c>
      <c r="G69" s="50">
        <f>データ!H66</f>
        <v>1</v>
      </c>
      <c r="H69" s="48">
        <f>データ!I66</f>
        <v>28000</v>
      </c>
      <c r="I69" s="48">
        <f>データ!J66</f>
        <v>28000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32" si="6">IF(OR(J69="",G69=J69),"","*")</f>
        <v/>
      </c>
      <c r="L69" s="46">
        <f t="shared" ref="L69:L132" si="7">IF($A69&lt;=L$1,I69/I$4,"")</f>
        <v>4.0315033187911248E-4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32" si="8">IF(OR(R69="",O69=R69),"","*")</f>
        <v/>
      </c>
      <c r="T69" s="46" t="e">
        <f t="shared" ref="T69:T132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32" si="10">IF(OR(Z69="",W69=Z69),"","*")</f>
        <v/>
      </c>
      <c r="AB69" s="46" t="e">
        <f t="shared" ref="AB69:AB132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/>
      </c>
    </row>
    <row r="70" spans="1:32" x14ac:dyDescent="0.15">
      <c r="A70" s="47">
        <f>データ!A67</f>
        <v>3</v>
      </c>
      <c r="B70" s="47" t="str">
        <f>TRIM(データ!C67)</f>
        <v/>
      </c>
      <c r="C70" s="47" t="str">
        <f>TRIM(データ!D67)</f>
        <v>機械費</v>
      </c>
      <c r="D70" s="36" t="str">
        <f>REPT("｜",$A70)&amp;TRIM(データ!E67)</f>
        <v>｜｜｜BH0.15</v>
      </c>
      <c r="E70" s="37" t="str">
        <f>TRIM(データ!F67)</f>
        <v/>
      </c>
      <c r="F70" s="38" t="str">
        <f>TRIM(データ!G67)</f>
        <v>台</v>
      </c>
      <c r="G70" s="50">
        <f>データ!H67</f>
        <v>1</v>
      </c>
      <c r="H70" s="48">
        <f>データ!I67</f>
        <v>8000</v>
      </c>
      <c r="I70" s="48">
        <f>データ!J67</f>
        <v>8000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1.1518580910831785E-4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/>
      </c>
    </row>
    <row r="71" spans="1:32" x14ac:dyDescent="0.15">
      <c r="A71" s="47">
        <f>データ!A68</f>
        <v>3</v>
      </c>
      <c r="B71" s="47" t="str">
        <f>TRIM(データ!C68)</f>
        <v/>
      </c>
      <c r="C71" s="47" t="str">
        <f>TRIM(データ!D68)</f>
        <v>機械費</v>
      </c>
      <c r="D71" s="36" t="str">
        <f>REPT("｜",$A71)&amp;TRIM(データ!E68)</f>
        <v>｜｜｜プレート</v>
      </c>
      <c r="E71" s="37" t="str">
        <f>TRIM(データ!F68)</f>
        <v/>
      </c>
      <c r="F71" s="38" t="str">
        <f>TRIM(データ!G68)</f>
        <v>台</v>
      </c>
      <c r="G71" s="50">
        <f>データ!H68</f>
        <v>1</v>
      </c>
      <c r="H71" s="48">
        <f>データ!I68</f>
        <v>1500</v>
      </c>
      <c r="I71" s="48">
        <f>データ!J68</f>
        <v>1500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2.1597339207809597E-5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/>
      </c>
    </row>
    <row r="72" spans="1:32" x14ac:dyDescent="0.15">
      <c r="A72" s="47">
        <f>データ!A69</f>
        <v>3</v>
      </c>
      <c r="B72" s="47" t="str">
        <f>TRIM(データ!C69)</f>
        <v/>
      </c>
      <c r="C72" s="47" t="str">
        <f>TRIM(データ!D69)</f>
        <v>機械費</v>
      </c>
      <c r="D72" s="36" t="str">
        <f>REPT("｜",$A72)&amp;TRIM(データ!E69)</f>
        <v>｜｜｜ランマー</v>
      </c>
      <c r="E72" s="37" t="str">
        <f>TRIM(データ!F69)</f>
        <v/>
      </c>
      <c r="F72" s="38" t="str">
        <f>TRIM(データ!G69)</f>
        <v>台</v>
      </c>
      <c r="G72" s="50">
        <f>データ!H69</f>
        <v>1</v>
      </c>
      <c r="H72" s="48">
        <f>データ!I69</f>
        <v>1500</v>
      </c>
      <c r="I72" s="48">
        <f>データ!J69</f>
        <v>1500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2.1597339207809597E-5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3</v>
      </c>
      <c r="B73" s="47" t="str">
        <f>TRIM(データ!C70)</f>
        <v/>
      </c>
      <c r="C73" s="47" t="str">
        <f>TRIM(データ!D70)</f>
        <v>材料費</v>
      </c>
      <c r="D73" s="36" t="str">
        <f>REPT("｜",$A73)&amp;TRIM(データ!E70)</f>
        <v>｜｜｜軽油</v>
      </c>
      <c r="E73" s="37" t="str">
        <f>TRIM(データ!F70)</f>
        <v/>
      </c>
      <c r="F73" s="38" t="str">
        <f>TRIM(データ!G70)</f>
        <v>リットル</v>
      </c>
      <c r="G73" s="50">
        <f>データ!H70</f>
        <v>60</v>
      </c>
      <c r="H73" s="48">
        <f>データ!I70</f>
        <v>150</v>
      </c>
      <c r="I73" s="48">
        <f>データ!J70</f>
        <v>9000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1.295840352468576E-4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3</v>
      </c>
      <c r="B74" s="47" t="str">
        <f>TRIM(データ!C71)</f>
        <v/>
      </c>
      <c r="C74" s="47" t="str">
        <f>TRIM(データ!D71)</f>
        <v>材料費</v>
      </c>
      <c r="D74" s="36" t="str">
        <f>REPT("｜",$A74)&amp;TRIM(データ!E71)</f>
        <v>｜｜｜雑材</v>
      </c>
      <c r="E74" s="37" t="str">
        <f>TRIM(データ!F71)</f>
        <v/>
      </c>
      <c r="F74" s="38" t="str">
        <f>TRIM(データ!G71)</f>
        <v>式</v>
      </c>
      <c r="G74" s="50">
        <f>データ!H71</f>
        <v>1</v>
      </c>
      <c r="H74" s="48">
        <f>データ!I71</f>
        <v>10400</v>
      </c>
      <c r="I74" s="48">
        <f>データ!J71</f>
        <v>10400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1.497415518408132E-4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3</v>
      </c>
      <c r="B75" s="47" t="str">
        <f>TRIM(データ!C72)</f>
        <v/>
      </c>
      <c r="C75" s="47" t="str">
        <f>TRIM(データ!D72)</f>
        <v>外注費</v>
      </c>
      <c r="D75" s="36" t="str">
        <f>REPT("｜",$A75)&amp;TRIM(データ!E72)</f>
        <v>｜｜｜外注経費</v>
      </c>
      <c r="E75" s="37" t="str">
        <f>TRIM(データ!F72)</f>
        <v/>
      </c>
      <c r="F75" s="38" t="str">
        <f>TRIM(データ!G72)</f>
        <v>式</v>
      </c>
      <c r="G75" s="50">
        <f>データ!H72</f>
        <v>1</v>
      </c>
      <c r="H75" s="48">
        <f>データ!I72</f>
        <v>4800</v>
      </c>
      <c r="I75" s="48">
        <f>データ!J72</f>
        <v>4800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6.9111485464990713E-5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2</v>
      </c>
      <c r="B76" s="47" t="str">
        <f>TRIM(データ!C73)</f>
        <v/>
      </c>
      <c r="C76" s="47" t="str">
        <f>TRIM(データ!D73)</f>
        <v>内訳書</v>
      </c>
      <c r="D76" s="36" t="str">
        <f>REPT("｜",$A76)&amp;TRIM(データ!E73)</f>
        <v>｜｜雨水桝　□500×H500～1300</v>
      </c>
      <c r="E76" s="37" t="str">
        <f>TRIM(データ!F73)</f>
        <v/>
      </c>
      <c r="F76" s="38" t="str">
        <f>TRIM(データ!G73)</f>
        <v>基</v>
      </c>
      <c r="G76" s="50">
        <f>データ!H73</f>
        <v>19</v>
      </c>
      <c r="H76" s="48">
        <f>データ!I73</f>
        <v>110000</v>
      </c>
      <c r="I76" s="48">
        <f>データ!J73</f>
        <v>2090000</v>
      </c>
      <c r="J76" s="39">
        <f>IF(OR($C76="総括",$C76="内訳書",$C76="内訳代価",$C76="明細書",$C76="明細代価",$C76="代価表",$C76="単価表"),データ!K73,"")</f>
        <v>19</v>
      </c>
      <c r="K76" s="11" t="str">
        <f t="shared" si="6"/>
        <v/>
      </c>
      <c r="L76" s="46">
        <f t="shared" si="7"/>
        <v>3.0092292629548038E-2</v>
      </c>
      <c r="M76" s="40" t="str">
        <f>IF(データ!L73="","",データ!L73)</f>
        <v/>
      </c>
      <c r="N76" s="41" t="str">
        <f>IF(データ!M73="","",データ!M73)</f>
        <v>31号内訳書</v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>
        <f>IF(OR($C76="総括",$C76="内訳書",$C76="内訳代価",$C76="明細書",$C76="明細代価",$C76="代価表",$C76="単価表"),データ!Q73,"")</f>
        <v>0</v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>
        <f>IF(OR($C76="総括",$C76="内訳書",$C76="内訳代価",$C76="明細書",$C76="明細代価",$C76="代価表",$C76="単価表"),データ!W73,"")</f>
        <v>0</v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/>
      </c>
    </row>
    <row r="77" spans="1:32" x14ac:dyDescent="0.15">
      <c r="A77" s="47">
        <f>データ!A74</f>
        <v>3</v>
      </c>
      <c r="B77" s="47" t="str">
        <f>TRIM(データ!C74)</f>
        <v/>
      </c>
      <c r="C77" s="47" t="str">
        <f>TRIM(データ!D74)</f>
        <v>材料費</v>
      </c>
      <c r="D77" s="36" t="str">
        <f>REPT("｜",$A77)&amp;TRIM(データ!E74)</f>
        <v>｜｜｜雨水桝　500×500</v>
      </c>
      <c r="E77" s="37" t="str">
        <f>TRIM(データ!F74)</f>
        <v>T-25　グレーチング蓋付き</v>
      </c>
      <c r="F77" s="38" t="str">
        <f>TRIM(データ!G74)</f>
        <v>基</v>
      </c>
      <c r="G77" s="50">
        <f>データ!H74</f>
        <v>1</v>
      </c>
      <c r="H77" s="48">
        <f>データ!I74</f>
        <v>65000</v>
      </c>
      <c r="I77" s="48">
        <f>データ!J74</f>
        <v>65000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9.3588469900508255E-4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3</v>
      </c>
      <c r="B78" s="47" t="str">
        <f>TRIM(データ!C75)</f>
        <v/>
      </c>
      <c r="C78" s="47" t="str">
        <f>TRIM(データ!D75)</f>
        <v>材料費</v>
      </c>
      <c r="D78" s="36" t="str">
        <f>REPT("｜",$A78)&amp;TRIM(データ!E75)</f>
        <v>｜｜｜雨水桝　500×550</v>
      </c>
      <c r="E78" s="37" t="str">
        <f>TRIM(データ!F75)</f>
        <v>T-25　グレーチング蓋付き</v>
      </c>
      <c r="F78" s="38" t="str">
        <f>TRIM(データ!G75)</f>
        <v>基</v>
      </c>
      <c r="G78" s="50">
        <f>データ!H75</f>
        <v>4</v>
      </c>
      <c r="H78" s="48">
        <f>データ!I75</f>
        <v>67200</v>
      </c>
      <c r="I78" s="48">
        <f>データ!J75</f>
        <v>268800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3.87024318603948E-3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7">
        <f>データ!A76</f>
        <v>3</v>
      </c>
      <c r="B79" s="47" t="str">
        <f>TRIM(データ!C76)</f>
        <v/>
      </c>
      <c r="C79" s="47" t="str">
        <f>TRIM(データ!D76)</f>
        <v>材料費</v>
      </c>
      <c r="D79" s="36" t="str">
        <f>REPT("｜",$A79)&amp;TRIM(データ!E76)</f>
        <v>｜｜｜雨水桝　500×600</v>
      </c>
      <c r="E79" s="37" t="str">
        <f>TRIM(データ!F76)</f>
        <v>T-25　グレーチング蓋付き</v>
      </c>
      <c r="F79" s="38" t="str">
        <f>TRIM(データ!G76)</f>
        <v>基</v>
      </c>
      <c r="G79" s="50">
        <f>データ!H76</f>
        <v>1</v>
      </c>
      <c r="H79" s="48">
        <f>データ!I76</f>
        <v>69400</v>
      </c>
      <c r="I79" s="48">
        <f>データ!J76</f>
        <v>69400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9.9923689401465736E-4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3</v>
      </c>
      <c r="B80" s="47" t="str">
        <f>TRIM(データ!C77)</f>
        <v/>
      </c>
      <c r="C80" s="47" t="str">
        <f>TRIM(データ!D77)</f>
        <v>材料費</v>
      </c>
      <c r="D80" s="36" t="str">
        <f>REPT("｜",$A80)&amp;TRIM(データ!E77)</f>
        <v>｜｜｜雨水桝　500×650</v>
      </c>
      <c r="E80" s="37" t="str">
        <f>TRIM(データ!F77)</f>
        <v>T-25　グレーチング蓋付き</v>
      </c>
      <c r="F80" s="38" t="str">
        <f>TRIM(データ!G77)</f>
        <v>基</v>
      </c>
      <c r="G80" s="50">
        <f>データ!H77</f>
        <v>2</v>
      </c>
      <c r="H80" s="48">
        <f>データ!I77</f>
        <v>71600</v>
      </c>
      <c r="I80" s="48">
        <f>データ!J77</f>
        <v>143200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2.0618259830388896E-3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/>
      </c>
      <c r="AF80" s="43" t="str">
        <f>TRIM(データ!Z77)</f>
        <v/>
      </c>
    </row>
    <row r="81" spans="1:32" x14ac:dyDescent="0.15">
      <c r="A81" s="47">
        <f>データ!A78</f>
        <v>3</v>
      </c>
      <c r="B81" s="47" t="str">
        <f>TRIM(データ!C78)</f>
        <v/>
      </c>
      <c r="C81" s="47" t="str">
        <f>TRIM(データ!D78)</f>
        <v>材料費</v>
      </c>
      <c r="D81" s="36" t="str">
        <f>REPT("｜",$A81)&amp;TRIM(データ!E78)</f>
        <v>｜｜｜雨水桝　500×700</v>
      </c>
      <c r="E81" s="37" t="str">
        <f>TRIM(データ!F78)</f>
        <v>T-25　グレーチング蓋付き</v>
      </c>
      <c r="F81" s="38" t="str">
        <f>TRIM(データ!G78)</f>
        <v>基</v>
      </c>
      <c r="G81" s="50">
        <f>データ!H78</f>
        <v>3</v>
      </c>
      <c r="H81" s="48">
        <f>データ!I78</f>
        <v>73800</v>
      </c>
      <c r="I81" s="48">
        <f>データ!J78</f>
        <v>221400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3.1877672670726966E-3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/>
      </c>
      <c r="AF81" s="43" t="str">
        <f>TRIM(データ!Z78)</f>
        <v/>
      </c>
    </row>
    <row r="82" spans="1:32" x14ac:dyDescent="0.15">
      <c r="A82" s="47">
        <f>データ!A79</f>
        <v>3</v>
      </c>
      <c r="B82" s="47" t="str">
        <f>TRIM(データ!C79)</f>
        <v/>
      </c>
      <c r="C82" s="47" t="str">
        <f>TRIM(データ!D79)</f>
        <v>材料費</v>
      </c>
      <c r="D82" s="36" t="str">
        <f>REPT("｜",$A82)&amp;TRIM(データ!E79)</f>
        <v>｜｜｜雨水桝　500×750</v>
      </c>
      <c r="E82" s="37" t="str">
        <f>TRIM(データ!F79)</f>
        <v>T-25　グレーチング蓋付き</v>
      </c>
      <c r="F82" s="38" t="str">
        <f>TRIM(データ!G79)</f>
        <v>基</v>
      </c>
      <c r="G82" s="50">
        <f>データ!H79</f>
        <v>4</v>
      </c>
      <c r="H82" s="48">
        <f>データ!I79</f>
        <v>76000</v>
      </c>
      <c r="I82" s="48">
        <f>データ!J79</f>
        <v>304000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4.3770607461160781E-3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/>
      </c>
      <c r="AF82" s="43" t="str">
        <f>TRIM(データ!Z79)</f>
        <v/>
      </c>
    </row>
    <row r="83" spans="1:32" x14ac:dyDescent="0.15">
      <c r="A83" s="47">
        <f>データ!A80</f>
        <v>3</v>
      </c>
      <c r="B83" s="47" t="str">
        <f>TRIM(データ!C80)</f>
        <v/>
      </c>
      <c r="C83" s="47" t="str">
        <f>TRIM(データ!D80)</f>
        <v>材料費</v>
      </c>
      <c r="D83" s="36" t="str">
        <f>REPT("｜",$A83)&amp;TRIM(データ!E80)</f>
        <v>｜｜｜雨水桝　500×950</v>
      </c>
      <c r="E83" s="37" t="str">
        <f>TRIM(データ!F80)</f>
        <v>T-25　グレーチング蓋付き</v>
      </c>
      <c r="F83" s="38" t="str">
        <f>TRIM(データ!G80)</f>
        <v>基</v>
      </c>
      <c r="G83" s="50">
        <f>データ!H80</f>
        <v>1</v>
      </c>
      <c r="H83" s="48">
        <f>データ!I80</f>
        <v>88800</v>
      </c>
      <c r="I83" s="48">
        <f>データ!J80</f>
        <v>88800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1.2785624811023281E-3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/>
      </c>
    </row>
    <row r="84" spans="1:32" x14ac:dyDescent="0.15">
      <c r="A84" s="47">
        <f>データ!A81</f>
        <v>3</v>
      </c>
      <c r="B84" s="47" t="str">
        <f>TRIM(データ!C81)</f>
        <v/>
      </c>
      <c r="C84" s="47" t="str">
        <f>TRIM(データ!D81)</f>
        <v>材料費</v>
      </c>
      <c r="D84" s="36" t="str">
        <f>REPT("｜",$A84)&amp;TRIM(データ!E81)</f>
        <v>｜｜｜雨水桝　500×1200</v>
      </c>
      <c r="E84" s="37" t="str">
        <f>TRIM(データ!F81)</f>
        <v>T-25　グレーチング蓋付き</v>
      </c>
      <c r="F84" s="38" t="str">
        <f>TRIM(データ!G81)</f>
        <v>基</v>
      </c>
      <c r="G84" s="50">
        <f>データ!H81</f>
        <v>2</v>
      </c>
      <c r="H84" s="48">
        <f>データ!I81</f>
        <v>99800</v>
      </c>
      <c r="I84" s="48">
        <f>データ!J81</f>
        <v>199600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2.8738859372525304E-3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/>
      </c>
      <c r="AF84" s="43" t="str">
        <f>TRIM(データ!Z81)</f>
        <v/>
      </c>
    </row>
    <row r="85" spans="1:32" x14ac:dyDescent="0.15">
      <c r="A85" s="47">
        <f>データ!A82</f>
        <v>3</v>
      </c>
      <c r="B85" s="47" t="str">
        <f>TRIM(データ!C82)</f>
        <v/>
      </c>
      <c r="C85" s="47" t="str">
        <f>TRIM(データ!D82)</f>
        <v>材料費</v>
      </c>
      <c r="D85" s="36" t="str">
        <f>REPT("｜",$A85)&amp;TRIM(データ!E82)</f>
        <v>｜｜｜雨水桝　500×1300</v>
      </c>
      <c r="E85" s="37" t="str">
        <f>TRIM(データ!F82)</f>
        <v>T-25　グレーチング蓋付き</v>
      </c>
      <c r="F85" s="38" t="str">
        <f>TRIM(データ!G82)</f>
        <v>基</v>
      </c>
      <c r="G85" s="50">
        <f>データ!H82</f>
        <v>1</v>
      </c>
      <c r="H85" s="48">
        <f>データ!I82</f>
        <v>104200</v>
      </c>
      <c r="I85" s="48">
        <f>データ!J82</f>
        <v>104200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1.5002951636358401E-3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/>
      </c>
      <c r="AF85" s="43" t="str">
        <f>TRIM(データ!Z82)</f>
        <v/>
      </c>
    </row>
    <row r="86" spans="1:32" x14ac:dyDescent="0.15">
      <c r="A86" s="47">
        <f>データ!A83</f>
        <v>3</v>
      </c>
      <c r="B86" s="47" t="str">
        <f>TRIM(データ!C83)</f>
        <v/>
      </c>
      <c r="C86" s="47" t="str">
        <f>TRIM(データ!D83)</f>
        <v>材料費</v>
      </c>
      <c r="D86" s="36" t="str">
        <f>REPT("｜",$A86)&amp;TRIM(データ!E83)</f>
        <v>｜｜｜生コン</v>
      </c>
      <c r="E86" s="37" t="str">
        <f>TRIM(データ!F83)</f>
        <v/>
      </c>
      <c r="F86" s="38" t="str">
        <f>TRIM(データ!G83)</f>
        <v>m3</v>
      </c>
      <c r="G86" s="50">
        <f>データ!H83</f>
        <v>2</v>
      </c>
      <c r="H86" s="48">
        <f>データ!I83</f>
        <v>30000</v>
      </c>
      <c r="I86" s="48">
        <f>データ!J83</f>
        <v>60000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8.6389356831238393E-4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/>
      </c>
      <c r="AF86" s="43" t="str">
        <f>TRIM(データ!Z83)</f>
        <v/>
      </c>
    </row>
    <row r="87" spans="1:32" x14ac:dyDescent="0.15">
      <c r="A87" s="47">
        <f>データ!A84</f>
        <v>3</v>
      </c>
      <c r="B87" s="47" t="str">
        <f>TRIM(データ!C84)</f>
        <v/>
      </c>
      <c r="C87" s="47" t="str">
        <f>TRIM(データ!D84)</f>
        <v>労務費</v>
      </c>
      <c r="D87" s="36" t="str">
        <f>REPT("｜",$A87)&amp;TRIM(データ!E84)</f>
        <v>｜｜｜技工</v>
      </c>
      <c r="E87" s="37" t="str">
        <f>TRIM(データ!F84)</f>
        <v/>
      </c>
      <c r="F87" s="38" t="str">
        <f>TRIM(データ!G84)</f>
        <v>人</v>
      </c>
      <c r="G87" s="50">
        <f>データ!H84</f>
        <v>12</v>
      </c>
      <c r="H87" s="48">
        <f>データ!I84</f>
        <v>28000</v>
      </c>
      <c r="I87" s="48">
        <f>データ!J84</f>
        <v>336000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4.8378039825493499E-3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3</v>
      </c>
      <c r="B88" s="47" t="str">
        <f>TRIM(データ!C85)</f>
        <v/>
      </c>
      <c r="C88" s="47" t="str">
        <f>TRIM(データ!D85)</f>
        <v>機械費</v>
      </c>
      <c r="D88" s="36" t="str">
        <f>REPT("｜",$A88)&amp;TRIM(データ!E85)</f>
        <v>｜｜｜BH0.15</v>
      </c>
      <c r="E88" s="37" t="str">
        <f>TRIM(データ!F85)</f>
        <v/>
      </c>
      <c r="F88" s="38" t="str">
        <f>TRIM(データ!G85)</f>
        <v>台</v>
      </c>
      <c r="G88" s="50">
        <f>データ!H85</f>
        <v>4</v>
      </c>
      <c r="H88" s="48">
        <f>データ!I85</f>
        <v>8000</v>
      </c>
      <c r="I88" s="48">
        <f>データ!J85</f>
        <v>32000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4.607432364332714E-4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/>
      </c>
      <c r="AF88" s="43" t="str">
        <f>TRIM(データ!Z85)</f>
        <v/>
      </c>
    </row>
    <row r="89" spans="1:32" x14ac:dyDescent="0.15">
      <c r="A89" s="47">
        <f>データ!A86</f>
        <v>3</v>
      </c>
      <c r="B89" s="47" t="str">
        <f>TRIM(データ!C86)</f>
        <v/>
      </c>
      <c r="C89" s="47" t="str">
        <f>TRIM(データ!D86)</f>
        <v>機械費</v>
      </c>
      <c r="D89" s="36" t="str">
        <f>REPT("｜",$A89)&amp;TRIM(データ!E86)</f>
        <v>｜｜｜プレート</v>
      </c>
      <c r="E89" s="37" t="str">
        <f>TRIM(データ!F86)</f>
        <v/>
      </c>
      <c r="F89" s="38" t="str">
        <f>TRIM(データ!G86)</f>
        <v>台</v>
      </c>
      <c r="G89" s="50">
        <f>データ!H86</f>
        <v>4</v>
      </c>
      <c r="H89" s="48">
        <f>データ!I86</f>
        <v>1500</v>
      </c>
      <c r="I89" s="48">
        <f>データ!J86</f>
        <v>6000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8.6389356831238388E-5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3</v>
      </c>
      <c r="B90" s="47" t="str">
        <f>TRIM(データ!C87)</f>
        <v/>
      </c>
      <c r="C90" s="47" t="str">
        <f>TRIM(データ!D87)</f>
        <v>機械費</v>
      </c>
      <c r="D90" s="36" t="str">
        <f>REPT("｜",$A90)&amp;TRIM(データ!E87)</f>
        <v>｜｜｜ランマー</v>
      </c>
      <c r="E90" s="37" t="str">
        <f>TRIM(データ!F87)</f>
        <v/>
      </c>
      <c r="F90" s="38" t="str">
        <f>TRIM(データ!G87)</f>
        <v>台</v>
      </c>
      <c r="G90" s="50">
        <f>データ!H87</f>
        <v>4</v>
      </c>
      <c r="H90" s="48">
        <f>データ!I87</f>
        <v>1500</v>
      </c>
      <c r="I90" s="48">
        <f>データ!J87</f>
        <v>6000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8.6389356831238388E-5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3</v>
      </c>
      <c r="B91" s="47" t="str">
        <f>TRIM(データ!C88)</f>
        <v/>
      </c>
      <c r="C91" s="47" t="str">
        <f>TRIM(データ!D88)</f>
        <v>運搬費</v>
      </c>
      <c r="D91" s="36" t="str">
        <f>REPT("｜",$A91)&amp;TRIM(データ!E88)</f>
        <v>｜｜｜4tダンプ</v>
      </c>
      <c r="E91" s="37" t="str">
        <f>TRIM(データ!F88)</f>
        <v/>
      </c>
      <c r="F91" s="38" t="str">
        <f>TRIM(データ!G88)</f>
        <v>台</v>
      </c>
      <c r="G91" s="50">
        <f>データ!H88</f>
        <v>4</v>
      </c>
      <c r="H91" s="48">
        <f>データ!I88</f>
        <v>10000</v>
      </c>
      <c r="I91" s="48">
        <f>データ!J88</f>
        <v>40000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5.7592904554158925E-4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/>
      </c>
      <c r="AF91" s="43" t="str">
        <f>TRIM(データ!Z88)</f>
        <v/>
      </c>
    </row>
    <row r="92" spans="1:32" x14ac:dyDescent="0.15">
      <c r="A92" s="47">
        <f>データ!A89</f>
        <v>3</v>
      </c>
      <c r="B92" s="47" t="str">
        <f>TRIM(データ!C89)</f>
        <v/>
      </c>
      <c r="C92" s="47" t="str">
        <f>TRIM(データ!D89)</f>
        <v>運搬費</v>
      </c>
      <c r="D92" s="36" t="str">
        <f>REPT("｜",$A92)&amp;TRIM(データ!E89)</f>
        <v>｜｜｜2tダンプ</v>
      </c>
      <c r="E92" s="37" t="str">
        <f>TRIM(データ!F89)</f>
        <v/>
      </c>
      <c r="F92" s="38" t="str">
        <f>TRIM(データ!G89)</f>
        <v>台</v>
      </c>
      <c r="G92" s="50">
        <f>データ!H89</f>
        <v>4</v>
      </c>
      <c r="H92" s="48">
        <f>データ!I89</f>
        <v>7000</v>
      </c>
      <c r="I92" s="48">
        <f>データ!J89</f>
        <v>28000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4.0315033187911248E-4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/>
      </c>
      <c r="AF92" s="43" t="str">
        <f>TRIM(データ!Z89)</f>
        <v/>
      </c>
    </row>
    <row r="93" spans="1:32" x14ac:dyDescent="0.15">
      <c r="A93" s="47">
        <f>データ!A90</f>
        <v>3</v>
      </c>
      <c r="B93" s="47" t="str">
        <f>TRIM(データ!C90)</f>
        <v/>
      </c>
      <c r="C93" s="47" t="str">
        <f>TRIM(データ!D90)</f>
        <v>材料費</v>
      </c>
      <c r="D93" s="36" t="str">
        <f>REPT("｜",$A93)&amp;TRIM(データ!E90)</f>
        <v>｜｜｜軽油</v>
      </c>
      <c r="E93" s="37" t="str">
        <f>TRIM(データ!F90)</f>
        <v/>
      </c>
      <c r="F93" s="38" t="str">
        <f>TRIM(データ!G90)</f>
        <v>リットル</v>
      </c>
      <c r="G93" s="50">
        <f>データ!H90</f>
        <v>200</v>
      </c>
      <c r="H93" s="48">
        <f>データ!I90</f>
        <v>150</v>
      </c>
      <c r="I93" s="48">
        <f>データ!J90</f>
        <v>30000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4.3194678415619197E-4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/>
      </c>
      <c r="AF93" s="43" t="str">
        <f>TRIM(データ!Z90)</f>
        <v/>
      </c>
    </row>
    <row r="94" spans="1:32" x14ac:dyDescent="0.15">
      <c r="A94" s="47">
        <f>データ!A91</f>
        <v>3</v>
      </c>
      <c r="B94" s="47" t="str">
        <f>TRIM(データ!C91)</f>
        <v/>
      </c>
      <c r="C94" s="47" t="str">
        <f>TRIM(データ!D91)</f>
        <v>材料費</v>
      </c>
      <c r="D94" s="36" t="str">
        <f>REPT("｜",$A94)&amp;TRIM(データ!E91)</f>
        <v>｜｜｜雑材</v>
      </c>
      <c r="E94" s="37" t="str">
        <f>TRIM(データ!F91)</f>
        <v/>
      </c>
      <c r="F94" s="38" t="str">
        <f>TRIM(データ!G91)</f>
        <v>式</v>
      </c>
      <c r="G94" s="50">
        <f>データ!H91</f>
        <v>1</v>
      </c>
      <c r="H94" s="48">
        <f>データ!I91</f>
        <v>42800</v>
      </c>
      <c r="I94" s="48">
        <f>データ!J91</f>
        <v>42800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6.1624407872950052E-4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3</v>
      </c>
      <c r="B95" s="47" t="str">
        <f>TRIM(データ!C92)</f>
        <v/>
      </c>
      <c r="C95" s="47" t="str">
        <f>TRIM(データ!D92)</f>
        <v>外注費</v>
      </c>
      <c r="D95" s="36" t="str">
        <f>REPT("｜",$A95)&amp;TRIM(データ!E92)</f>
        <v>｜｜｜外注経費</v>
      </c>
      <c r="E95" s="37" t="str">
        <f>TRIM(データ!F92)</f>
        <v/>
      </c>
      <c r="F95" s="38" t="str">
        <f>TRIM(データ!G92)</f>
        <v>式</v>
      </c>
      <c r="G95" s="50">
        <f>データ!H92</f>
        <v>1</v>
      </c>
      <c r="H95" s="48">
        <f>データ!I92</f>
        <v>44800</v>
      </c>
      <c r="I95" s="48">
        <f>データ!J92</f>
        <v>44800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6.4504053100658001E-4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/>
      </c>
      <c r="AF95" s="43" t="str">
        <f>TRIM(データ!Z92)</f>
        <v/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内訳書</v>
      </c>
      <c r="D96" s="36" t="str">
        <f>REPT("｜",$A96)&amp;TRIM(データ!E93)</f>
        <v>｜｜沈砂枡</v>
      </c>
      <c r="E96" s="37" t="str">
        <f>TRIM(データ!F93)</f>
        <v/>
      </c>
      <c r="F96" s="38" t="str">
        <f>TRIM(データ!G93)</f>
        <v>基</v>
      </c>
      <c r="G96" s="50">
        <f>データ!H93</f>
        <v>1</v>
      </c>
      <c r="H96" s="48">
        <f>データ!I93</f>
        <v>550000</v>
      </c>
      <c r="I96" s="48">
        <f>データ!J93</f>
        <v>550000</v>
      </c>
      <c r="J96" s="39">
        <f>IF(OR($C96="総括",$C96="内訳書",$C96="内訳代価",$C96="明細書",$C96="明細代価",$C96="代価表",$C96="単価表"),データ!K93,"")</f>
        <v>1</v>
      </c>
      <c r="K96" s="11" t="str">
        <f t="shared" si="6"/>
        <v/>
      </c>
      <c r="L96" s="46">
        <f t="shared" si="7"/>
        <v>7.9190243761968534E-3</v>
      </c>
      <c r="M96" s="40" t="str">
        <f>IF(データ!L93="","",データ!L93)</f>
        <v/>
      </c>
      <c r="N96" s="41" t="str">
        <f>IF(データ!M93="","",データ!M93)</f>
        <v>32号内訳書</v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>
        <f>IF(OR($C96="総括",$C96="内訳書",$C96="内訳代価",$C96="明細書",$C96="明細代価",$C96="代価表",$C96="単価表"),データ!Q93,"")</f>
        <v>0</v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>
        <f>IF(OR($C96="総括",$C96="内訳書",$C96="内訳代価",$C96="明細書",$C96="明細代価",$C96="代価表",$C96="単価表"),データ!W93,"")</f>
        <v>0</v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/>
      </c>
      <c r="AF96" s="43" t="str">
        <f>TRIM(データ!Z93)</f>
        <v/>
      </c>
    </row>
    <row r="97" spans="1:32" x14ac:dyDescent="0.15">
      <c r="A97" s="47">
        <f>データ!A94</f>
        <v>3</v>
      </c>
      <c r="B97" s="47" t="str">
        <f>TRIM(データ!C94)</f>
        <v/>
      </c>
      <c r="C97" s="47" t="str">
        <f>TRIM(データ!D94)</f>
        <v>材料費</v>
      </c>
      <c r="D97" s="36" t="str">
        <f>REPT("｜",$A97)&amp;TRIM(データ!E94)</f>
        <v>｜｜｜沈砂枡　1000×1200</v>
      </c>
      <c r="E97" s="37" t="str">
        <f>TRIM(データ!F94)</f>
        <v/>
      </c>
      <c r="F97" s="38" t="str">
        <f>TRIM(データ!G94)</f>
        <v>基</v>
      </c>
      <c r="G97" s="50">
        <f>データ!H94</f>
        <v>1</v>
      </c>
      <c r="H97" s="48">
        <f>データ!I94</f>
        <v>270600</v>
      </c>
      <c r="I97" s="48">
        <f>データ!J94</f>
        <v>270600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3.8961599930888513E-3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/>
      </c>
      <c r="AF97" s="43" t="str">
        <f>TRIM(データ!Z94)</f>
        <v/>
      </c>
    </row>
    <row r="98" spans="1:32" x14ac:dyDescent="0.15">
      <c r="A98" s="47">
        <f>データ!A95</f>
        <v>3</v>
      </c>
      <c r="B98" s="47" t="str">
        <f>TRIM(データ!C95)</f>
        <v/>
      </c>
      <c r="C98" s="47" t="str">
        <f>TRIM(データ!D95)</f>
        <v>材料費</v>
      </c>
      <c r="D98" s="36" t="str">
        <f>REPT("｜",$A98)&amp;TRIM(データ!E95)</f>
        <v>｜｜｜生コン</v>
      </c>
      <c r="E98" s="37" t="str">
        <f>TRIM(データ!F95)</f>
        <v/>
      </c>
      <c r="F98" s="38" t="str">
        <f>TRIM(データ!G95)</f>
        <v>m3</v>
      </c>
      <c r="G98" s="50">
        <f>データ!H95</f>
        <v>1</v>
      </c>
      <c r="H98" s="48">
        <f>データ!I95</f>
        <v>30000</v>
      </c>
      <c r="I98" s="48">
        <f>データ!J95</f>
        <v>30000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4.3194678415619197E-4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/>
      </c>
      <c r="AF98" s="43" t="str">
        <f>TRIM(データ!Z95)</f>
        <v/>
      </c>
    </row>
    <row r="99" spans="1:32" x14ac:dyDescent="0.15">
      <c r="A99" s="47">
        <f>データ!A96</f>
        <v>3</v>
      </c>
      <c r="B99" s="47" t="str">
        <f>TRIM(データ!C96)</f>
        <v/>
      </c>
      <c r="C99" s="47" t="str">
        <f>TRIM(データ!D96)</f>
        <v>労務費</v>
      </c>
      <c r="D99" s="36" t="str">
        <f>REPT("｜",$A99)&amp;TRIM(データ!E96)</f>
        <v>｜｜｜技工</v>
      </c>
      <c r="E99" s="37" t="str">
        <f>TRIM(データ!F96)</f>
        <v/>
      </c>
      <c r="F99" s="38" t="str">
        <f>TRIM(データ!G96)</f>
        <v>人</v>
      </c>
      <c r="G99" s="50">
        <f>データ!H96</f>
        <v>5</v>
      </c>
      <c r="H99" s="48">
        <f>データ!I96</f>
        <v>28000</v>
      </c>
      <c r="I99" s="48">
        <f>データ!J96</f>
        <v>140000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2.0157516593955625E-3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/>
      </c>
      <c r="AF99" s="43" t="str">
        <f>TRIM(データ!Z96)</f>
        <v/>
      </c>
    </row>
    <row r="100" spans="1:32" x14ac:dyDescent="0.15">
      <c r="A100" s="47">
        <f>データ!A97</f>
        <v>3</v>
      </c>
      <c r="B100" s="47" t="str">
        <f>TRIM(データ!C97)</f>
        <v/>
      </c>
      <c r="C100" s="47" t="str">
        <f>TRIM(データ!D97)</f>
        <v>機械費</v>
      </c>
      <c r="D100" s="36" t="str">
        <f>REPT("｜",$A100)&amp;TRIM(データ!E97)</f>
        <v>｜｜｜BH0.15</v>
      </c>
      <c r="E100" s="37" t="str">
        <f>TRIM(データ!F97)</f>
        <v/>
      </c>
      <c r="F100" s="38" t="str">
        <f>TRIM(データ!G97)</f>
        <v>台</v>
      </c>
      <c r="G100" s="50">
        <f>データ!H97</f>
        <v>1</v>
      </c>
      <c r="H100" s="48">
        <f>データ!I97</f>
        <v>8000</v>
      </c>
      <c r="I100" s="48">
        <f>データ!J97</f>
        <v>8000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1.1518580910831785E-4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/>
      </c>
      <c r="AF100" s="43" t="str">
        <f>TRIM(データ!Z97)</f>
        <v/>
      </c>
    </row>
    <row r="101" spans="1:32" x14ac:dyDescent="0.15">
      <c r="A101" s="47">
        <f>データ!A98</f>
        <v>3</v>
      </c>
      <c r="B101" s="47" t="str">
        <f>TRIM(データ!C98)</f>
        <v/>
      </c>
      <c r="C101" s="47" t="str">
        <f>TRIM(データ!D98)</f>
        <v>機械費</v>
      </c>
      <c r="D101" s="36" t="str">
        <f>REPT("｜",$A101)&amp;TRIM(データ!E98)</f>
        <v>｜｜｜プレート</v>
      </c>
      <c r="E101" s="37" t="str">
        <f>TRIM(データ!F98)</f>
        <v/>
      </c>
      <c r="F101" s="38" t="str">
        <f>TRIM(データ!G98)</f>
        <v>台</v>
      </c>
      <c r="G101" s="50">
        <f>データ!H98</f>
        <v>1</v>
      </c>
      <c r="H101" s="48">
        <f>データ!I98</f>
        <v>1500</v>
      </c>
      <c r="I101" s="48">
        <f>データ!J98</f>
        <v>1500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2.1597339207809597E-5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/>
      </c>
      <c r="AF101" s="43" t="str">
        <f>TRIM(データ!Z98)</f>
        <v/>
      </c>
    </row>
    <row r="102" spans="1:32" x14ac:dyDescent="0.15">
      <c r="A102" s="47">
        <f>データ!A99</f>
        <v>3</v>
      </c>
      <c r="B102" s="47" t="str">
        <f>TRIM(データ!C99)</f>
        <v/>
      </c>
      <c r="C102" s="47" t="str">
        <f>TRIM(データ!D99)</f>
        <v>機械費</v>
      </c>
      <c r="D102" s="36" t="str">
        <f>REPT("｜",$A102)&amp;TRIM(データ!E99)</f>
        <v>｜｜｜ランマー</v>
      </c>
      <c r="E102" s="37" t="str">
        <f>TRIM(データ!F99)</f>
        <v/>
      </c>
      <c r="F102" s="38" t="str">
        <f>TRIM(データ!G99)</f>
        <v>台</v>
      </c>
      <c r="G102" s="50">
        <f>データ!H99</f>
        <v>1</v>
      </c>
      <c r="H102" s="48">
        <f>データ!I99</f>
        <v>1500</v>
      </c>
      <c r="I102" s="48">
        <f>データ!J99</f>
        <v>1500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2.1597339207809597E-5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/>
      </c>
      <c r="AF102" s="43" t="str">
        <f>TRIM(データ!Z99)</f>
        <v/>
      </c>
    </row>
    <row r="103" spans="1:32" x14ac:dyDescent="0.15">
      <c r="A103" s="47">
        <f>データ!A100</f>
        <v>3</v>
      </c>
      <c r="B103" s="47" t="str">
        <f>TRIM(データ!C100)</f>
        <v/>
      </c>
      <c r="C103" s="47" t="str">
        <f>TRIM(データ!D100)</f>
        <v>運搬費</v>
      </c>
      <c r="D103" s="36" t="str">
        <f>REPT("｜",$A103)&amp;TRIM(データ!E100)</f>
        <v>｜｜｜4tダンプ</v>
      </c>
      <c r="E103" s="37" t="str">
        <f>TRIM(データ!F100)</f>
        <v/>
      </c>
      <c r="F103" s="38" t="str">
        <f>TRIM(データ!G100)</f>
        <v>台</v>
      </c>
      <c r="G103" s="50">
        <f>データ!H100</f>
        <v>1</v>
      </c>
      <c r="H103" s="48">
        <f>データ!I100</f>
        <v>10000</v>
      </c>
      <c r="I103" s="48">
        <f>データ!J100</f>
        <v>10000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1.4398226138539731E-4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/>
      </c>
      <c r="AF103" s="43" t="str">
        <f>TRIM(データ!Z100)</f>
        <v/>
      </c>
    </row>
    <row r="104" spans="1:32" x14ac:dyDescent="0.15">
      <c r="A104" s="47">
        <f>データ!A101</f>
        <v>3</v>
      </c>
      <c r="B104" s="47" t="str">
        <f>TRIM(データ!C101)</f>
        <v/>
      </c>
      <c r="C104" s="47" t="str">
        <f>TRIM(データ!D101)</f>
        <v>運搬費</v>
      </c>
      <c r="D104" s="36" t="str">
        <f>REPT("｜",$A104)&amp;TRIM(データ!E101)</f>
        <v>｜｜｜2tダンプ</v>
      </c>
      <c r="E104" s="37" t="str">
        <f>TRIM(データ!F101)</f>
        <v/>
      </c>
      <c r="F104" s="38" t="str">
        <f>TRIM(データ!G101)</f>
        <v>台</v>
      </c>
      <c r="G104" s="50">
        <f>データ!H101</f>
        <v>1</v>
      </c>
      <c r="H104" s="48">
        <f>データ!I101</f>
        <v>7000</v>
      </c>
      <c r="I104" s="48">
        <f>データ!J101</f>
        <v>7000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1.0078758296977812E-4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/>
      </c>
      <c r="AF104" s="43" t="str">
        <f>TRIM(データ!Z101)</f>
        <v/>
      </c>
    </row>
    <row r="105" spans="1:32" x14ac:dyDescent="0.15">
      <c r="A105" s="47">
        <f>データ!A102</f>
        <v>3</v>
      </c>
      <c r="B105" s="47" t="str">
        <f>TRIM(データ!C102)</f>
        <v/>
      </c>
      <c r="C105" s="47" t="str">
        <f>TRIM(データ!D102)</f>
        <v>運搬費</v>
      </c>
      <c r="D105" s="36" t="str">
        <f>REPT("｜",$A105)&amp;TRIM(データ!E102)</f>
        <v>｜｜｜WP</v>
      </c>
      <c r="E105" s="37" t="str">
        <f>TRIM(データ!F102)</f>
        <v/>
      </c>
      <c r="F105" s="38" t="str">
        <f>TRIM(データ!G102)</f>
        <v>台</v>
      </c>
      <c r="G105" s="50">
        <f>データ!H102</f>
        <v>1</v>
      </c>
      <c r="H105" s="48">
        <f>データ!I102</f>
        <v>7000</v>
      </c>
      <c r="I105" s="48">
        <f>データ!J102</f>
        <v>7000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1.0078758296977812E-4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/>
      </c>
      <c r="AF105" s="43" t="str">
        <f>TRIM(データ!Z102)</f>
        <v/>
      </c>
    </row>
    <row r="106" spans="1:32" x14ac:dyDescent="0.15">
      <c r="A106" s="47">
        <f>データ!A103</f>
        <v>3</v>
      </c>
      <c r="B106" s="47" t="str">
        <f>TRIM(データ!C103)</f>
        <v/>
      </c>
      <c r="C106" s="47" t="str">
        <f>TRIM(データ!D103)</f>
        <v>材料費</v>
      </c>
      <c r="D106" s="36" t="str">
        <f>REPT("｜",$A106)&amp;TRIM(データ!E103)</f>
        <v>｜｜｜軽油</v>
      </c>
      <c r="E106" s="37" t="str">
        <f>TRIM(データ!F103)</f>
        <v/>
      </c>
      <c r="F106" s="38" t="str">
        <f>TRIM(データ!G103)</f>
        <v>リットル</v>
      </c>
      <c r="G106" s="50">
        <f>データ!H103</f>
        <v>40</v>
      </c>
      <c r="H106" s="48">
        <f>データ!I103</f>
        <v>150</v>
      </c>
      <c r="I106" s="48">
        <f>データ!J103</f>
        <v>6000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8.6389356831238388E-5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/>
      </c>
      <c r="AF106" s="43" t="str">
        <f>TRIM(データ!Z103)</f>
        <v/>
      </c>
    </row>
    <row r="107" spans="1:32" x14ac:dyDescent="0.15">
      <c r="A107" s="47">
        <f>データ!A104</f>
        <v>3</v>
      </c>
      <c r="B107" s="47" t="str">
        <f>TRIM(データ!C104)</f>
        <v/>
      </c>
      <c r="C107" s="47" t="str">
        <f>TRIM(データ!D104)</f>
        <v>材料費</v>
      </c>
      <c r="D107" s="36" t="str">
        <f>REPT("｜",$A107)&amp;TRIM(データ!E104)</f>
        <v>｜｜｜雑材</v>
      </c>
      <c r="E107" s="37" t="str">
        <f>TRIM(データ!F104)</f>
        <v/>
      </c>
      <c r="F107" s="38" t="str">
        <f>TRIM(データ!G104)</f>
        <v>式</v>
      </c>
      <c r="G107" s="50">
        <f>データ!H104</f>
        <v>1</v>
      </c>
      <c r="H107" s="48">
        <f>データ!I104</f>
        <v>50900</v>
      </c>
      <c r="I107" s="48">
        <f>データ!J104</f>
        <v>50900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7.3286971045167235E-4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/>
      </c>
      <c r="AF107" s="43" t="str">
        <f>TRIM(データ!Z104)</f>
        <v/>
      </c>
    </row>
    <row r="108" spans="1:32" x14ac:dyDescent="0.15">
      <c r="A108" s="47">
        <f>データ!A105</f>
        <v>3</v>
      </c>
      <c r="B108" s="47" t="str">
        <f>TRIM(データ!C105)</f>
        <v/>
      </c>
      <c r="C108" s="47" t="str">
        <f>TRIM(データ!D105)</f>
        <v>外注費</v>
      </c>
      <c r="D108" s="36" t="str">
        <f>REPT("｜",$A108)&amp;TRIM(データ!E105)</f>
        <v>｜｜｜外注経費</v>
      </c>
      <c r="E108" s="37" t="str">
        <f>TRIM(データ!F105)</f>
        <v/>
      </c>
      <c r="F108" s="38" t="str">
        <f>TRIM(データ!G105)</f>
        <v>式</v>
      </c>
      <c r="G108" s="50">
        <f>データ!H105</f>
        <v>1</v>
      </c>
      <c r="H108" s="48">
        <f>データ!I105</f>
        <v>17500</v>
      </c>
      <c r="I108" s="48">
        <f>データ!J105</f>
        <v>17500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2.5196895742444532E-4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2</v>
      </c>
      <c r="B109" s="47" t="str">
        <f>TRIM(データ!C106)</f>
        <v/>
      </c>
      <c r="C109" s="47" t="str">
        <f>TRIM(データ!D106)</f>
        <v>内訳書</v>
      </c>
      <c r="D109" s="36" t="str">
        <f>REPT("｜",$A109)&amp;TRIM(データ!E106)</f>
        <v>｜｜浸透桝</v>
      </c>
      <c r="E109" s="37" t="str">
        <f>TRIM(データ!F106)</f>
        <v/>
      </c>
      <c r="F109" s="38" t="str">
        <f>TRIM(データ!G106)</f>
        <v>基</v>
      </c>
      <c r="G109" s="50">
        <f>データ!H106</f>
        <v>1</v>
      </c>
      <c r="H109" s="48">
        <f>データ!I106</f>
        <v>160000</v>
      </c>
      <c r="I109" s="48">
        <f>データ!J106</f>
        <v>160000</v>
      </c>
      <c r="J109" s="39">
        <f>IF(OR($C109="総括",$C109="内訳書",$C109="内訳代価",$C109="明細書",$C109="明細代価",$C109="代価表",$C109="単価表"),データ!K106,"")</f>
        <v>1</v>
      </c>
      <c r="K109" s="11" t="str">
        <f t="shared" si="6"/>
        <v/>
      </c>
      <c r="L109" s="46">
        <f t="shared" si="7"/>
        <v>2.303716182166357E-3</v>
      </c>
      <c r="M109" s="40" t="str">
        <f>IF(データ!L106="","",データ!L106)</f>
        <v/>
      </c>
      <c r="N109" s="41" t="str">
        <f>IF(データ!M106="","",データ!M106)</f>
        <v>33号内訳書</v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>
        <f>IF(OR($C109="総括",$C109="内訳書",$C109="内訳代価",$C109="明細書",$C109="明細代価",$C109="代価表",$C109="単価表"),データ!Q106,"")</f>
        <v>0</v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>
        <f>IF(OR($C109="総括",$C109="内訳書",$C109="内訳代価",$C109="明細書",$C109="明細代価",$C109="代価表",$C109="単価表"),データ!W106,"")</f>
        <v>0</v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/>
      </c>
      <c r="AF109" s="43" t="str">
        <f>TRIM(データ!Z106)</f>
        <v/>
      </c>
    </row>
    <row r="110" spans="1:32" x14ac:dyDescent="0.15">
      <c r="A110" s="47">
        <f>データ!A107</f>
        <v>3</v>
      </c>
      <c r="B110" s="47" t="str">
        <f>TRIM(データ!C107)</f>
        <v/>
      </c>
      <c r="C110" s="47" t="str">
        <f>TRIM(データ!D107)</f>
        <v>材料費</v>
      </c>
      <c r="D110" s="36" t="str">
        <f>REPT("｜",$A110)&amp;TRIM(データ!E107)</f>
        <v>｜｜｜縁塊</v>
      </c>
      <c r="E110" s="37" t="str">
        <f>TRIM(データ!F107)</f>
        <v>H100</v>
      </c>
      <c r="F110" s="38" t="str">
        <f>TRIM(データ!G107)</f>
        <v>個</v>
      </c>
      <c r="G110" s="50">
        <f>データ!H107</f>
        <v>1</v>
      </c>
      <c r="H110" s="48">
        <f>データ!I107</f>
        <v>3200</v>
      </c>
      <c r="I110" s="48">
        <f>データ!J107</f>
        <v>3200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4.6074323643327144E-5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/>
      </c>
      <c r="AF110" s="43" t="str">
        <f>TRIM(データ!Z107)</f>
        <v/>
      </c>
    </row>
    <row r="111" spans="1:32" x14ac:dyDescent="0.15">
      <c r="A111" s="47">
        <f>データ!A108</f>
        <v>3</v>
      </c>
      <c r="B111" s="47" t="str">
        <f>TRIM(データ!C108)</f>
        <v/>
      </c>
      <c r="C111" s="47" t="str">
        <f>TRIM(データ!D108)</f>
        <v>材料費</v>
      </c>
      <c r="D111" s="36" t="str">
        <f>REPT("｜",$A111)&amp;TRIM(データ!E108)</f>
        <v>｜｜｜側塊</v>
      </c>
      <c r="E111" s="37" t="str">
        <f>TRIM(データ!F108)</f>
        <v>H300</v>
      </c>
      <c r="F111" s="38" t="str">
        <f>TRIM(データ!G108)</f>
        <v>個</v>
      </c>
      <c r="G111" s="50">
        <f>データ!H108</f>
        <v>1</v>
      </c>
      <c r="H111" s="48">
        <f>データ!I108</f>
        <v>4300</v>
      </c>
      <c r="I111" s="48">
        <f>データ!J108</f>
        <v>4300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6.1912372395720841E-5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/>
      </c>
      <c r="AF111" s="43" t="str">
        <f>TRIM(データ!Z108)</f>
        <v/>
      </c>
    </row>
    <row r="112" spans="1:32" x14ac:dyDescent="0.15">
      <c r="A112" s="47">
        <f>データ!A109</f>
        <v>3</v>
      </c>
      <c r="B112" s="47" t="str">
        <f>TRIM(データ!C109)</f>
        <v/>
      </c>
      <c r="C112" s="47" t="str">
        <f>TRIM(データ!D109)</f>
        <v>材料費</v>
      </c>
      <c r="D112" s="36" t="str">
        <f>REPT("｜",$A112)&amp;TRIM(データ!E109)</f>
        <v>｜｜｜本体</v>
      </c>
      <c r="E112" s="37" t="str">
        <f>TRIM(データ!F109)</f>
        <v>H300</v>
      </c>
      <c r="F112" s="38" t="str">
        <f>TRIM(データ!G109)</f>
        <v>個</v>
      </c>
      <c r="G112" s="50">
        <f>データ!H109</f>
        <v>1</v>
      </c>
      <c r="H112" s="48">
        <f>データ!I109</f>
        <v>4100</v>
      </c>
      <c r="I112" s="48">
        <f>データ!J109</f>
        <v>4100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5.9032727168012904E-5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/>
      </c>
      <c r="AF112" s="43" t="str">
        <f>TRIM(データ!Z109)</f>
        <v/>
      </c>
    </row>
    <row r="113" spans="1:32" x14ac:dyDescent="0.15">
      <c r="A113" s="47">
        <f>データ!A110</f>
        <v>3</v>
      </c>
      <c r="B113" s="47" t="str">
        <f>TRIM(データ!C110)</f>
        <v/>
      </c>
      <c r="C113" s="47" t="str">
        <f>TRIM(データ!D110)</f>
        <v>材料費</v>
      </c>
      <c r="D113" s="36" t="str">
        <f>REPT("｜",$A113)&amp;TRIM(データ!E110)</f>
        <v>｜｜｜底版</v>
      </c>
      <c r="E113" s="37" t="str">
        <f>TRIM(データ!F110)</f>
        <v/>
      </c>
      <c r="F113" s="38" t="str">
        <f>TRIM(データ!G110)</f>
        <v>個</v>
      </c>
      <c r="G113" s="50">
        <f>データ!H110</f>
        <v>1</v>
      </c>
      <c r="H113" s="48">
        <f>データ!I110</f>
        <v>2250</v>
      </c>
      <c r="I113" s="48">
        <f>データ!J110</f>
        <v>2250</v>
      </c>
      <c r="J113" s="39" t="str">
        <f>IF(OR($C113="総括",$C113="内訳書",$C113="内訳代価",$C113="明細書",$C113="明細代価",$C113="代価表",$C113="単価表"),データ!K110,"")</f>
        <v/>
      </c>
      <c r="K113" s="11" t="str">
        <f t="shared" si="6"/>
        <v/>
      </c>
      <c r="L113" s="46">
        <f t="shared" si="7"/>
        <v>3.2396008811714399E-5</v>
      </c>
      <c r="M113" s="40" t="str">
        <f>IF(データ!L110="","",データ!L110)</f>
        <v/>
      </c>
      <c r="N113" s="41" t="str">
        <f>IF(データ!M110="","",データ!M110)</f>
        <v/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 t="str">
        <f>IF(OR($C113="総括",$C113="内訳書",$C113="内訳代価",$C113="明細書",$C113="明細代価",$C113="代価表",$C113="単価表"),データ!Q110,"")</f>
        <v/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 t="str">
        <f>IF(OR($C113="総括",$C113="内訳書",$C113="内訳代価",$C113="明細書",$C113="明細代価",$C113="代価表",$C113="単価表"),データ!W110,"")</f>
        <v/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3</v>
      </c>
      <c r="B114" s="47" t="str">
        <f>TRIM(データ!C111)</f>
        <v/>
      </c>
      <c r="C114" s="47" t="str">
        <f>TRIM(データ!D111)</f>
        <v>材料費</v>
      </c>
      <c r="D114" s="36" t="str">
        <f>REPT("｜",$A114)&amp;TRIM(データ!E111)</f>
        <v>｜｜｜フィルター</v>
      </c>
      <c r="E114" s="37" t="str">
        <f>TRIM(データ!F111)</f>
        <v/>
      </c>
      <c r="F114" s="38" t="str">
        <f>TRIM(データ!G111)</f>
        <v>個</v>
      </c>
      <c r="G114" s="50">
        <f>データ!H111</f>
        <v>1</v>
      </c>
      <c r="H114" s="48">
        <f>データ!I111</f>
        <v>860</v>
      </c>
      <c r="I114" s="48">
        <f>データ!J111</f>
        <v>860</v>
      </c>
      <c r="J114" s="39" t="str">
        <f>IF(OR($C114="総括",$C114="内訳書",$C114="内訳代価",$C114="明細書",$C114="明細代価",$C114="代価表",$C114="単価表"),データ!K111,"")</f>
        <v/>
      </c>
      <c r="K114" s="11" t="str">
        <f t="shared" si="6"/>
        <v/>
      </c>
      <c r="L114" s="46">
        <f t="shared" si="7"/>
        <v>1.2382474479144169E-5</v>
      </c>
      <c r="M114" s="40" t="str">
        <f>IF(データ!L111="","",データ!L111)</f>
        <v/>
      </c>
      <c r="N114" s="41" t="str">
        <f>IF(データ!M111="","",データ!M111)</f>
        <v/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 t="str">
        <f>IF(OR($C114="総括",$C114="内訳書",$C114="内訳代価",$C114="明細書",$C114="明細代価",$C114="代価表",$C114="単価表"),データ!Q111,"")</f>
        <v/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 t="str">
        <f>IF(OR($C114="総括",$C114="内訳書",$C114="内訳代価",$C114="明細書",$C114="明細代価",$C114="代価表",$C114="単価表"),データ!W111,"")</f>
        <v/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3</v>
      </c>
      <c r="B115" s="47" t="str">
        <f>TRIM(データ!C112)</f>
        <v/>
      </c>
      <c r="C115" s="47" t="str">
        <f>TRIM(データ!D112)</f>
        <v>材料費</v>
      </c>
      <c r="D115" s="36" t="str">
        <f>REPT("｜",$A115)&amp;TRIM(データ!E112)</f>
        <v>｜｜｜コンクリート蓋</v>
      </c>
      <c r="E115" s="37" t="str">
        <f>TRIM(データ!F112)</f>
        <v/>
      </c>
      <c r="F115" s="38" t="str">
        <f>TRIM(データ!G112)</f>
        <v>個</v>
      </c>
      <c r="G115" s="50">
        <f>データ!H112</f>
        <v>1</v>
      </c>
      <c r="H115" s="48">
        <f>データ!I112</f>
        <v>2590</v>
      </c>
      <c r="I115" s="48">
        <f>データ!J112</f>
        <v>2590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3.7291405698817903E-5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/>
      </c>
      <c r="AF115" s="43" t="str">
        <f>TRIM(データ!Z112)</f>
        <v/>
      </c>
    </row>
    <row r="116" spans="1:32" x14ac:dyDescent="0.15">
      <c r="A116" s="47">
        <f>データ!A113</f>
        <v>3</v>
      </c>
      <c r="B116" s="47" t="str">
        <f>TRIM(データ!C113)</f>
        <v/>
      </c>
      <c r="C116" s="47" t="str">
        <f>TRIM(データ!D113)</f>
        <v>材料費</v>
      </c>
      <c r="D116" s="36" t="str">
        <f>REPT("｜",$A116)&amp;TRIM(データ!E113)</f>
        <v>｜｜｜透水シート</v>
      </c>
      <c r="E116" s="37" t="str">
        <f>TRIM(データ!F113)</f>
        <v/>
      </c>
      <c r="F116" s="38" t="str">
        <f>TRIM(データ!G113)</f>
        <v>個</v>
      </c>
      <c r="G116" s="50">
        <f>データ!H113</f>
        <v>1</v>
      </c>
      <c r="H116" s="48">
        <f>データ!I113</f>
        <v>7200</v>
      </c>
      <c r="I116" s="48">
        <f>データ!J113</f>
        <v>7200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1.0366722819748608E-4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/>
      </c>
      <c r="AF116" s="43" t="str">
        <f>TRIM(データ!Z113)</f>
        <v/>
      </c>
    </row>
    <row r="117" spans="1:32" x14ac:dyDescent="0.15">
      <c r="A117" s="47">
        <f>データ!A114</f>
        <v>3</v>
      </c>
      <c r="B117" s="47" t="str">
        <f>TRIM(データ!C114)</f>
        <v/>
      </c>
      <c r="C117" s="47" t="str">
        <f>TRIM(データ!D114)</f>
        <v>運搬費</v>
      </c>
      <c r="D117" s="36" t="str">
        <f>REPT("｜",$A117)&amp;TRIM(データ!E114)</f>
        <v>｜｜｜運賃</v>
      </c>
      <c r="E117" s="37" t="str">
        <f>TRIM(データ!F114)</f>
        <v/>
      </c>
      <c r="F117" s="38" t="str">
        <f>TRIM(データ!G114)</f>
        <v>式</v>
      </c>
      <c r="G117" s="50">
        <f>データ!H114</f>
        <v>1</v>
      </c>
      <c r="H117" s="48">
        <f>データ!I114</f>
        <v>30000</v>
      </c>
      <c r="I117" s="48">
        <f>データ!J114</f>
        <v>30000</v>
      </c>
      <c r="J117" s="39" t="str">
        <f>IF(OR($C117="総括",$C117="内訳書",$C117="内訳代価",$C117="明細書",$C117="明細代価",$C117="代価表",$C117="単価表"),データ!K114,"")</f>
        <v/>
      </c>
      <c r="K117" s="11" t="str">
        <f t="shared" si="6"/>
        <v/>
      </c>
      <c r="L117" s="46">
        <f t="shared" si="7"/>
        <v>4.3194678415619197E-4</v>
      </c>
      <c r="M117" s="40" t="str">
        <f>IF(データ!L114="","",データ!L114)</f>
        <v/>
      </c>
      <c r="N117" s="41" t="str">
        <f>IF(データ!M114="","",データ!M114)</f>
        <v/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 t="str">
        <f>IF(OR($C117="総括",$C117="内訳書",$C117="内訳代価",$C117="明細書",$C117="明細代価",$C117="代価表",$C117="単価表"),データ!Q114,"")</f>
        <v/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 t="str">
        <f>IF(OR($C117="総括",$C117="内訳書",$C117="内訳代価",$C117="明細書",$C117="明細代価",$C117="代価表",$C117="単価表"),データ!W114,"")</f>
        <v/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/>
      </c>
      <c r="AF117" s="43" t="str">
        <f>TRIM(データ!Z114)</f>
        <v/>
      </c>
    </row>
    <row r="118" spans="1:32" x14ac:dyDescent="0.15">
      <c r="A118" s="47">
        <f>データ!A115</f>
        <v>3</v>
      </c>
      <c r="B118" s="47" t="str">
        <f>TRIM(データ!C115)</f>
        <v/>
      </c>
      <c r="C118" s="47" t="str">
        <f>TRIM(データ!D115)</f>
        <v>材料費</v>
      </c>
      <c r="D118" s="36" t="str">
        <f>REPT("｜",$A118)&amp;TRIM(データ!E115)</f>
        <v>｜｜｜単粒砕石</v>
      </c>
      <c r="E118" s="37" t="str">
        <f>TRIM(データ!F115)</f>
        <v/>
      </c>
      <c r="F118" s="38" t="str">
        <f>TRIM(データ!G115)</f>
        <v>m3</v>
      </c>
      <c r="G118" s="50">
        <f>データ!H115</f>
        <v>1</v>
      </c>
      <c r="H118" s="48">
        <f>データ!I115</f>
        <v>6500</v>
      </c>
      <c r="I118" s="48">
        <f>データ!J115</f>
        <v>6500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9.358846990050826E-5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/>
      </c>
      <c r="AF118" s="43" t="str">
        <f>TRIM(データ!Z115)</f>
        <v/>
      </c>
    </row>
    <row r="119" spans="1:32" x14ac:dyDescent="0.15">
      <c r="A119" s="47">
        <f>データ!A116</f>
        <v>3</v>
      </c>
      <c r="B119" s="47" t="str">
        <f>TRIM(データ!C116)</f>
        <v/>
      </c>
      <c r="C119" s="47" t="str">
        <f>TRIM(データ!D116)</f>
        <v>材料費</v>
      </c>
      <c r="D119" s="36" t="str">
        <f>REPT("｜",$A119)&amp;TRIM(データ!E116)</f>
        <v>｜｜｜砂</v>
      </c>
      <c r="E119" s="37" t="str">
        <f>TRIM(データ!F116)</f>
        <v/>
      </c>
      <c r="F119" s="38" t="str">
        <f>TRIM(データ!G116)</f>
        <v>m3</v>
      </c>
      <c r="G119" s="50">
        <f>データ!H116</f>
        <v>0.1</v>
      </c>
      <c r="H119" s="48">
        <f>データ!I116</f>
        <v>6000</v>
      </c>
      <c r="I119" s="48">
        <f>データ!J116</f>
        <v>600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8.6389356831238391E-6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/>
      </c>
      <c r="AF119" s="43" t="str">
        <f>TRIM(データ!Z116)</f>
        <v/>
      </c>
    </row>
    <row r="120" spans="1:32" x14ac:dyDescent="0.15">
      <c r="A120" s="47">
        <f>データ!A117</f>
        <v>3</v>
      </c>
      <c r="B120" s="47" t="str">
        <f>TRIM(データ!C117)</f>
        <v/>
      </c>
      <c r="C120" s="47" t="str">
        <f>TRIM(データ!D117)</f>
        <v>労務費</v>
      </c>
      <c r="D120" s="36" t="str">
        <f>REPT("｜",$A120)&amp;TRIM(データ!E117)</f>
        <v>｜｜｜技工</v>
      </c>
      <c r="E120" s="37" t="str">
        <f>TRIM(データ!F117)</f>
        <v/>
      </c>
      <c r="F120" s="38" t="str">
        <f>TRIM(データ!G117)</f>
        <v>人</v>
      </c>
      <c r="G120" s="50">
        <f>データ!H117</f>
        <v>2</v>
      </c>
      <c r="H120" s="48">
        <f>データ!I117</f>
        <v>28000</v>
      </c>
      <c r="I120" s="48">
        <f>データ!J117</f>
        <v>56000</v>
      </c>
      <c r="J120" s="39" t="str">
        <f>IF(OR($C120="総括",$C120="内訳書",$C120="内訳代価",$C120="明細書",$C120="明細代価",$C120="代価表",$C120="単価表"),データ!K117,"")</f>
        <v/>
      </c>
      <c r="K120" s="11" t="str">
        <f t="shared" si="6"/>
        <v/>
      </c>
      <c r="L120" s="46">
        <f t="shared" si="7"/>
        <v>8.0630066375822495E-4</v>
      </c>
      <c r="M120" s="40" t="str">
        <f>IF(データ!L117="","",データ!L117)</f>
        <v/>
      </c>
      <c r="N120" s="41" t="str">
        <f>IF(データ!M117="","",データ!M117)</f>
        <v/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 t="str">
        <f>IF(OR($C120="総括",$C120="内訳書",$C120="内訳代価",$C120="明細書",$C120="明細代価",$C120="代価表",$C120="単価表"),データ!Q117,"")</f>
        <v/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 t="str">
        <f>IF(OR($C120="総括",$C120="内訳書",$C120="内訳代価",$C120="明細書",$C120="明細代価",$C120="代価表",$C120="単価表"),データ!W117,"")</f>
        <v/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/>
      </c>
      <c r="AF120" s="43" t="str">
        <f>TRIM(データ!Z117)</f>
        <v/>
      </c>
    </row>
    <row r="121" spans="1:32" x14ac:dyDescent="0.15">
      <c r="A121" s="47">
        <f>データ!A118</f>
        <v>3</v>
      </c>
      <c r="B121" s="47" t="str">
        <f>TRIM(データ!C118)</f>
        <v/>
      </c>
      <c r="C121" s="47" t="str">
        <f>TRIM(データ!D118)</f>
        <v>機械費</v>
      </c>
      <c r="D121" s="36" t="str">
        <f>REPT("｜",$A121)&amp;TRIM(データ!E118)</f>
        <v>｜｜｜BH0.15</v>
      </c>
      <c r="E121" s="37" t="str">
        <f>TRIM(データ!F118)</f>
        <v/>
      </c>
      <c r="F121" s="38" t="str">
        <f>TRIM(データ!G118)</f>
        <v>台</v>
      </c>
      <c r="G121" s="50">
        <f>データ!H118</f>
        <v>1</v>
      </c>
      <c r="H121" s="48">
        <f>データ!I118</f>
        <v>8000</v>
      </c>
      <c r="I121" s="48">
        <f>データ!J118</f>
        <v>8000</v>
      </c>
      <c r="J121" s="39" t="str">
        <f>IF(OR($C121="総括",$C121="内訳書",$C121="内訳代価",$C121="明細書",$C121="明細代価",$C121="代価表",$C121="単価表"),データ!K118,"")</f>
        <v/>
      </c>
      <c r="K121" s="11" t="str">
        <f t="shared" si="6"/>
        <v/>
      </c>
      <c r="L121" s="46">
        <f t="shared" si="7"/>
        <v>1.1518580910831785E-4</v>
      </c>
      <c r="M121" s="40" t="str">
        <f>IF(データ!L118="","",データ!L118)</f>
        <v/>
      </c>
      <c r="N121" s="41" t="str">
        <f>IF(データ!M118="","",データ!M118)</f>
        <v/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 t="str">
        <f>IF(OR($C121="総括",$C121="内訳書",$C121="内訳代価",$C121="明細書",$C121="明細代価",$C121="代価表",$C121="単価表"),データ!Q118,"")</f>
        <v/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 t="str">
        <f>IF(OR($C121="総括",$C121="内訳書",$C121="内訳代価",$C121="明細書",$C121="明細代価",$C121="代価表",$C121="単価表"),データ!W118,"")</f>
        <v/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/>
      </c>
      <c r="AF121" s="43" t="str">
        <f>TRIM(データ!Z118)</f>
        <v/>
      </c>
    </row>
    <row r="122" spans="1:32" x14ac:dyDescent="0.15">
      <c r="A122" s="47">
        <f>データ!A119</f>
        <v>3</v>
      </c>
      <c r="B122" s="47" t="str">
        <f>TRIM(データ!C119)</f>
        <v/>
      </c>
      <c r="C122" s="47" t="str">
        <f>TRIM(データ!D119)</f>
        <v>機械費</v>
      </c>
      <c r="D122" s="36" t="str">
        <f>REPT("｜",$A122)&amp;TRIM(データ!E119)</f>
        <v>｜｜｜プレート</v>
      </c>
      <c r="E122" s="37" t="str">
        <f>TRIM(データ!F119)</f>
        <v/>
      </c>
      <c r="F122" s="38" t="str">
        <f>TRIM(データ!G119)</f>
        <v>台</v>
      </c>
      <c r="G122" s="50">
        <f>データ!H119</f>
        <v>1</v>
      </c>
      <c r="H122" s="48">
        <f>データ!I119</f>
        <v>1500</v>
      </c>
      <c r="I122" s="48">
        <f>データ!J119</f>
        <v>1500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2.1597339207809597E-5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/>
      </c>
      <c r="AF122" s="43" t="str">
        <f>TRIM(データ!Z119)</f>
        <v/>
      </c>
    </row>
    <row r="123" spans="1:32" x14ac:dyDescent="0.15">
      <c r="A123" s="47">
        <f>データ!A120</f>
        <v>3</v>
      </c>
      <c r="B123" s="47" t="str">
        <f>TRIM(データ!C120)</f>
        <v/>
      </c>
      <c r="C123" s="47" t="str">
        <f>TRIM(データ!D120)</f>
        <v>機械費</v>
      </c>
      <c r="D123" s="36" t="str">
        <f>REPT("｜",$A123)&amp;TRIM(データ!E120)</f>
        <v>｜｜｜ランマー</v>
      </c>
      <c r="E123" s="37" t="str">
        <f>TRIM(データ!F120)</f>
        <v/>
      </c>
      <c r="F123" s="38" t="str">
        <f>TRIM(データ!G120)</f>
        <v>台</v>
      </c>
      <c r="G123" s="50">
        <f>データ!H120</f>
        <v>1</v>
      </c>
      <c r="H123" s="48">
        <f>データ!I120</f>
        <v>1500</v>
      </c>
      <c r="I123" s="48">
        <f>データ!J120</f>
        <v>1500</v>
      </c>
      <c r="J123" s="39" t="str">
        <f>IF(OR($C123="総括",$C123="内訳書",$C123="内訳代価",$C123="明細書",$C123="明細代価",$C123="代価表",$C123="単価表"),データ!K120,"")</f>
        <v/>
      </c>
      <c r="K123" s="11" t="str">
        <f t="shared" si="6"/>
        <v/>
      </c>
      <c r="L123" s="46">
        <f t="shared" si="7"/>
        <v>2.1597339207809597E-5</v>
      </c>
      <c r="M123" s="40" t="str">
        <f>IF(データ!L120="","",データ!L120)</f>
        <v/>
      </c>
      <c r="N123" s="41" t="str">
        <f>IF(データ!M120="","",データ!M120)</f>
        <v/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 t="str">
        <f>IF(OR($C123="総括",$C123="内訳書",$C123="内訳代価",$C123="明細書",$C123="明細代価",$C123="代価表",$C123="単価表"),データ!Q120,"")</f>
        <v/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 t="str">
        <f>IF(OR($C123="総括",$C123="内訳書",$C123="内訳代価",$C123="明細書",$C123="明細代価",$C123="代価表",$C123="単価表"),データ!W120,"")</f>
        <v/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/>
      </c>
      <c r="AF123" s="43" t="str">
        <f>TRIM(データ!Z120)</f>
        <v/>
      </c>
    </row>
    <row r="124" spans="1:32" x14ac:dyDescent="0.15">
      <c r="A124" s="47">
        <f>データ!A121</f>
        <v>3</v>
      </c>
      <c r="B124" s="47" t="str">
        <f>TRIM(データ!C121)</f>
        <v/>
      </c>
      <c r="C124" s="47" t="str">
        <f>TRIM(データ!D121)</f>
        <v>運搬費</v>
      </c>
      <c r="D124" s="36" t="str">
        <f>REPT("｜",$A124)&amp;TRIM(データ!E121)</f>
        <v>｜｜｜4tダンプ</v>
      </c>
      <c r="E124" s="37" t="str">
        <f>TRIM(データ!F121)</f>
        <v/>
      </c>
      <c r="F124" s="38" t="str">
        <f>TRIM(データ!G121)</f>
        <v>台</v>
      </c>
      <c r="G124" s="50">
        <f>データ!H121</f>
        <v>1</v>
      </c>
      <c r="H124" s="48">
        <f>データ!I121</f>
        <v>10000</v>
      </c>
      <c r="I124" s="48">
        <f>データ!J121</f>
        <v>10000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1.4398226138539731E-4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/>
      </c>
      <c r="AF124" s="43" t="str">
        <f>TRIM(データ!Z121)</f>
        <v/>
      </c>
    </row>
    <row r="125" spans="1:32" x14ac:dyDescent="0.15">
      <c r="A125" s="47">
        <f>データ!A122</f>
        <v>3</v>
      </c>
      <c r="B125" s="47" t="str">
        <f>TRIM(データ!C122)</f>
        <v/>
      </c>
      <c r="C125" s="47" t="str">
        <f>TRIM(データ!D122)</f>
        <v>運搬費</v>
      </c>
      <c r="D125" s="36" t="str">
        <f>REPT("｜",$A125)&amp;TRIM(データ!E122)</f>
        <v>｜｜｜2tダンプ</v>
      </c>
      <c r="E125" s="37" t="str">
        <f>TRIM(データ!F122)</f>
        <v/>
      </c>
      <c r="F125" s="38" t="str">
        <f>TRIM(データ!G122)</f>
        <v>台</v>
      </c>
      <c r="G125" s="50">
        <f>データ!H122</f>
        <v>1</v>
      </c>
      <c r="H125" s="48">
        <f>データ!I122</f>
        <v>7000</v>
      </c>
      <c r="I125" s="48">
        <f>データ!J122</f>
        <v>7000</v>
      </c>
      <c r="J125" s="39" t="str">
        <f>IF(OR($C125="総括",$C125="内訳書",$C125="内訳代価",$C125="明細書",$C125="明細代価",$C125="代価表",$C125="単価表"),データ!K122,"")</f>
        <v/>
      </c>
      <c r="K125" s="11" t="str">
        <f t="shared" si="6"/>
        <v/>
      </c>
      <c r="L125" s="46">
        <f t="shared" si="7"/>
        <v>1.0078758296977812E-4</v>
      </c>
      <c r="M125" s="40" t="str">
        <f>IF(データ!L122="","",データ!L122)</f>
        <v/>
      </c>
      <c r="N125" s="41" t="str">
        <f>IF(データ!M122="","",データ!M122)</f>
        <v/>
      </c>
      <c r="O125" s="42">
        <f>データ!N122</f>
        <v>0</v>
      </c>
      <c r="P125" s="48">
        <f>IF($C125="集計行","",データ!O122)</f>
        <v>0</v>
      </c>
      <c r="Q125" s="48">
        <f>データ!P122</f>
        <v>0</v>
      </c>
      <c r="R125" s="39" t="str">
        <f>IF(OR($C125="総括",$C125="内訳書",$C125="内訳代価",$C125="明細書",$C125="明細代価",$C125="代価表",$C125="単価表"),データ!Q122,"")</f>
        <v/>
      </c>
      <c r="S125" s="11" t="str">
        <f t="shared" si="8"/>
        <v/>
      </c>
      <c r="T125" s="46" t="e">
        <f t="shared" si="9"/>
        <v>#DIV/0!</v>
      </c>
      <c r="U125" s="40" t="str">
        <f>IF(データ!R122="","",データ!R122)</f>
        <v/>
      </c>
      <c r="V125" s="41" t="str">
        <f>IF(データ!S122="","",データ!S122)</f>
        <v/>
      </c>
      <c r="W125" s="42">
        <f>データ!T122</f>
        <v>0</v>
      </c>
      <c r="X125" s="48">
        <f>IF($C125="集計行","",データ!U122)</f>
        <v>0</v>
      </c>
      <c r="Y125" s="48">
        <f>データ!V122</f>
        <v>0</v>
      </c>
      <c r="Z125" s="39" t="str">
        <f>IF(OR($C125="総括",$C125="内訳書",$C125="内訳代価",$C125="明細書",$C125="明細代価",$C125="代価表",$C125="単価表"),データ!W122,"")</f>
        <v/>
      </c>
      <c r="AA125" s="11" t="str">
        <f t="shared" si="10"/>
        <v/>
      </c>
      <c r="AB125" s="46" t="e">
        <f t="shared" si="11"/>
        <v>#DIV/0!</v>
      </c>
      <c r="AC125" s="40" t="str">
        <f>IF(データ!X122="","",データ!X122)</f>
        <v/>
      </c>
      <c r="AD125" s="41" t="str">
        <f>IF(データ!Y122="","",データ!Y122)</f>
        <v/>
      </c>
      <c r="AE125" s="47" t="str">
        <f>TRIM(データ!B122)</f>
        <v/>
      </c>
      <c r="AF125" s="43" t="str">
        <f>TRIM(データ!Z122)</f>
        <v/>
      </c>
    </row>
    <row r="126" spans="1:32" x14ac:dyDescent="0.15">
      <c r="A126" s="47">
        <f>データ!A123</f>
        <v>3</v>
      </c>
      <c r="B126" s="47" t="str">
        <f>TRIM(データ!C123)</f>
        <v/>
      </c>
      <c r="C126" s="47" t="str">
        <f>TRIM(データ!D123)</f>
        <v>材料費</v>
      </c>
      <c r="D126" s="36" t="str">
        <f>REPT("｜",$A126)&amp;TRIM(データ!E123)</f>
        <v>｜｜｜軽油</v>
      </c>
      <c r="E126" s="37" t="str">
        <f>TRIM(データ!F123)</f>
        <v/>
      </c>
      <c r="F126" s="38" t="str">
        <f>TRIM(データ!G123)</f>
        <v>リットル</v>
      </c>
      <c r="G126" s="50">
        <f>データ!H123</f>
        <v>40</v>
      </c>
      <c r="H126" s="48">
        <f>データ!I123</f>
        <v>150</v>
      </c>
      <c r="I126" s="48">
        <f>データ!J123</f>
        <v>6000</v>
      </c>
      <c r="J126" s="39" t="str">
        <f>IF(OR($C126="総括",$C126="内訳書",$C126="内訳代価",$C126="明細書",$C126="明細代価",$C126="代価表",$C126="単価表"),データ!K123,"")</f>
        <v/>
      </c>
      <c r="K126" s="11" t="str">
        <f t="shared" si="6"/>
        <v/>
      </c>
      <c r="L126" s="46">
        <f t="shared" si="7"/>
        <v>8.6389356831238388E-5</v>
      </c>
      <c r="M126" s="40" t="str">
        <f>IF(データ!L123="","",データ!L123)</f>
        <v/>
      </c>
      <c r="N126" s="41" t="str">
        <f>IF(データ!M123="","",データ!M123)</f>
        <v/>
      </c>
      <c r="O126" s="42">
        <f>データ!N123</f>
        <v>0</v>
      </c>
      <c r="P126" s="48">
        <f>IF($C126="集計行","",データ!O123)</f>
        <v>0</v>
      </c>
      <c r="Q126" s="48">
        <f>データ!P123</f>
        <v>0</v>
      </c>
      <c r="R126" s="39" t="str">
        <f>IF(OR($C126="総括",$C126="内訳書",$C126="内訳代価",$C126="明細書",$C126="明細代価",$C126="代価表",$C126="単価表"),データ!Q123,"")</f>
        <v/>
      </c>
      <c r="S126" s="11" t="str">
        <f t="shared" si="8"/>
        <v/>
      </c>
      <c r="T126" s="46" t="e">
        <f t="shared" si="9"/>
        <v>#DIV/0!</v>
      </c>
      <c r="U126" s="40" t="str">
        <f>IF(データ!R123="","",データ!R123)</f>
        <v/>
      </c>
      <c r="V126" s="41" t="str">
        <f>IF(データ!S123="","",データ!S123)</f>
        <v/>
      </c>
      <c r="W126" s="42">
        <f>データ!T123</f>
        <v>0</v>
      </c>
      <c r="X126" s="48">
        <f>IF($C126="集計行","",データ!U123)</f>
        <v>0</v>
      </c>
      <c r="Y126" s="48">
        <f>データ!V123</f>
        <v>0</v>
      </c>
      <c r="Z126" s="39" t="str">
        <f>IF(OR($C126="総括",$C126="内訳書",$C126="内訳代価",$C126="明細書",$C126="明細代価",$C126="代価表",$C126="単価表"),データ!W123,"")</f>
        <v/>
      </c>
      <c r="AA126" s="11" t="str">
        <f t="shared" si="10"/>
        <v/>
      </c>
      <c r="AB126" s="46" t="e">
        <f t="shared" si="11"/>
        <v>#DIV/0!</v>
      </c>
      <c r="AC126" s="40" t="str">
        <f>IF(データ!X123="","",データ!X123)</f>
        <v/>
      </c>
      <c r="AD126" s="41" t="str">
        <f>IF(データ!Y123="","",データ!Y123)</f>
        <v/>
      </c>
      <c r="AE126" s="47" t="str">
        <f>TRIM(データ!B123)</f>
        <v/>
      </c>
      <c r="AF126" s="43" t="str">
        <f>TRIM(データ!Z123)</f>
        <v/>
      </c>
    </row>
    <row r="127" spans="1:32" x14ac:dyDescent="0.15">
      <c r="A127" s="47">
        <f>データ!A124</f>
        <v>3</v>
      </c>
      <c r="B127" s="47" t="str">
        <f>TRIM(データ!C124)</f>
        <v/>
      </c>
      <c r="C127" s="47" t="str">
        <f>TRIM(データ!D124)</f>
        <v>外注費</v>
      </c>
      <c r="D127" s="36" t="str">
        <f>REPT("｜",$A127)&amp;TRIM(データ!E124)</f>
        <v>｜｜｜外注経費</v>
      </c>
      <c r="E127" s="37" t="str">
        <f>TRIM(データ!F124)</f>
        <v/>
      </c>
      <c r="F127" s="38" t="str">
        <f>TRIM(データ!G124)</f>
        <v>式</v>
      </c>
      <c r="G127" s="50">
        <f>データ!H124</f>
        <v>1</v>
      </c>
      <c r="H127" s="48">
        <f>データ!I124</f>
        <v>8400</v>
      </c>
      <c r="I127" s="48">
        <f>データ!J124</f>
        <v>8400</v>
      </c>
      <c r="J127" s="39" t="str">
        <f>IF(OR($C127="総括",$C127="内訳書",$C127="内訳代価",$C127="明細書",$C127="明細代価",$C127="代価表",$C127="単価表"),データ!K124,"")</f>
        <v/>
      </c>
      <c r="K127" s="11" t="str">
        <f t="shared" si="6"/>
        <v/>
      </c>
      <c r="L127" s="46">
        <f t="shared" si="7"/>
        <v>1.2094509956373375E-4</v>
      </c>
      <c r="M127" s="40" t="str">
        <f>IF(データ!L124="","",データ!L124)</f>
        <v/>
      </c>
      <c r="N127" s="41" t="str">
        <f>IF(データ!M124="","",データ!M124)</f>
        <v/>
      </c>
      <c r="O127" s="42">
        <f>データ!N124</f>
        <v>0</v>
      </c>
      <c r="P127" s="48">
        <f>IF($C127="集計行","",データ!O124)</f>
        <v>0</v>
      </c>
      <c r="Q127" s="48">
        <f>データ!P124</f>
        <v>0</v>
      </c>
      <c r="R127" s="39" t="str">
        <f>IF(OR($C127="総括",$C127="内訳書",$C127="内訳代価",$C127="明細書",$C127="明細代価",$C127="代価表",$C127="単価表"),データ!Q124,"")</f>
        <v/>
      </c>
      <c r="S127" s="11" t="str">
        <f t="shared" si="8"/>
        <v/>
      </c>
      <c r="T127" s="46" t="e">
        <f t="shared" si="9"/>
        <v>#DIV/0!</v>
      </c>
      <c r="U127" s="40" t="str">
        <f>IF(データ!R124="","",データ!R124)</f>
        <v/>
      </c>
      <c r="V127" s="41" t="str">
        <f>IF(データ!S124="","",データ!S124)</f>
        <v/>
      </c>
      <c r="W127" s="42">
        <f>データ!T124</f>
        <v>0</v>
      </c>
      <c r="X127" s="48">
        <f>IF($C127="集計行","",データ!U124)</f>
        <v>0</v>
      </c>
      <c r="Y127" s="48">
        <f>データ!V124</f>
        <v>0</v>
      </c>
      <c r="Z127" s="39" t="str">
        <f>IF(OR($C127="総括",$C127="内訳書",$C127="内訳代価",$C127="明細書",$C127="明細代価",$C127="代価表",$C127="単価表"),データ!W124,"")</f>
        <v/>
      </c>
      <c r="AA127" s="11" t="str">
        <f t="shared" si="10"/>
        <v/>
      </c>
      <c r="AB127" s="46" t="e">
        <f t="shared" si="11"/>
        <v>#DIV/0!</v>
      </c>
      <c r="AC127" s="40" t="str">
        <f>IF(データ!X124="","",データ!X124)</f>
        <v/>
      </c>
      <c r="AD127" s="41" t="str">
        <f>IF(データ!Y124="","",データ!Y124)</f>
        <v/>
      </c>
      <c r="AE127" s="47" t="str">
        <f>TRIM(データ!B124)</f>
        <v/>
      </c>
      <c r="AF127" s="43" t="str">
        <f>TRIM(データ!Z124)</f>
        <v/>
      </c>
    </row>
    <row r="128" spans="1:32" x14ac:dyDescent="0.15">
      <c r="A128" s="47">
        <f>データ!A125</f>
        <v>2</v>
      </c>
      <c r="B128" s="47" t="str">
        <f>TRIM(データ!C125)</f>
        <v/>
      </c>
      <c r="C128" s="47" t="str">
        <f>TRIM(データ!D125)</f>
        <v>内訳書</v>
      </c>
      <c r="D128" s="36" t="str">
        <f>REPT("｜",$A128)&amp;TRIM(データ!E125)</f>
        <v>｜｜自由勾配側溝　VS300×H400</v>
      </c>
      <c r="E128" s="37" t="str">
        <f>TRIM(データ!F125)</f>
        <v/>
      </c>
      <c r="F128" s="38" t="str">
        <f>TRIM(データ!G125)</f>
        <v>ｍ</v>
      </c>
      <c r="G128" s="50">
        <f>データ!H125</f>
        <v>23.2</v>
      </c>
      <c r="H128" s="48">
        <f>データ!I125</f>
        <v>27300</v>
      </c>
      <c r="I128" s="48">
        <f>データ!J125</f>
        <v>633360</v>
      </c>
      <c r="J128" s="39">
        <f>IF(OR($C128="総括",$C128="内訳書",$C128="内訳代価",$C128="明細書",$C128="明細代価",$C128="代価表",$C128="単価表"),データ!K125,"")</f>
        <v>23.2</v>
      </c>
      <c r="K128" s="11" t="str">
        <f t="shared" si="6"/>
        <v/>
      </c>
      <c r="L128" s="46">
        <f t="shared" si="7"/>
        <v>9.1192605071055248E-3</v>
      </c>
      <c r="M128" s="40" t="str">
        <f>IF(データ!L125="","",データ!L125)</f>
        <v/>
      </c>
      <c r="N128" s="41" t="str">
        <f>IF(データ!M125="","",データ!M125)</f>
        <v>34号内訳書</v>
      </c>
      <c r="O128" s="42">
        <f>データ!N125</f>
        <v>0</v>
      </c>
      <c r="P128" s="48">
        <f>IF($C128="集計行","",データ!O125)</f>
        <v>0</v>
      </c>
      <c r="Q128" s="48">
        <f>データ!P125</f>
        <v>0</v>
      </c>
      <c r="R128" s="39">
        <f>IF(OR($C128="総括",$C128="内訳書",$C128="内訳代価",$C128="明細書",$C128="明細代価",$C128="代価表",$C128="単価表"),データ!Q125,"")</f>
        <v>0</v>
      </c>
      <c r="S128" s="11" t="str">
        <f t="shared" si="8"/>
        <v/>
      </c>
      <c r="T128" s="46" t="e">
        <f t="shared" si="9"/>
        <v>#DIV/0!</v>
      </c>
      <c r="U128" s="40" t="str">
        <f>IF(データ!R125="","",データ!R125)</f>
        <v/>
      </c>
      <c r="V128" s="41" t="str">
        <f>IF(データ!S125="","",データ!S125)</f>
        <v/>
      </c>
      <c r="W128" s="42">
        <f>データ!T125</f>
        <v>0</v>
      </c>
      <c r="X128" s="48">
        <f>IF($C128="集計行","",データ!U125)</f>
        <v>0</v>
      </c>
      <c r="Y128" s="48">
        <f>データ!V125</f>
        <v>0</v>
      </c>
      <c r="Z128" s="39">
        <f>IF(OR($C128="総括",$C128="内訳書",$C128="内訳代価",$C128="明細書",$C128="明細代価",$C128="代価表",$C128="単価表"),データ!W125,"")</f>
        <v>0</v>
      </c>
      <c r="AA128" s="11" t="str">
        <f t="shared" si="10"/>
        <v/>
      </c>
      <c r="AB128" s="46" t="e">
        <f t="shared" si="11"/>
        <v>#DIV/0!</v>
      </c>
      <c r="AC128" s="40" t="str">
        <f>IF(データ!X125="","",データ!X125)</f>
        <v/>
      </c>
      <c r="AD128" s="41" t="str">
        <f>IF(データ!Y125="","",データ!Y125)</f>
        <v/>
      </c>
      <c r="AE128" s="47" t="str">
        <f>TRIM(データ!B125)</f>
        <v/>
      </c>
      <c r="AF128" s="43" t="str">
        <f>TRIM(データ!Z125)</f>
        <v/>
      </c>
    </row>
    <row r="129" spans="1:32" x14ac:dyDescent="0.15">
      <c r="A129" s="47">
        <f>データ!A126</f>
        <v>3</v>
      </c>
      <c r="B129" s="47" t="str">
        <f>TRIM(データ!C126)</f>
        <v/>
      </c>
      <c r="C129" s="47" t="str">
        <f>TRIM(データ!D126)</f>
        <v>材料費</v>
      </c>
      <c r="D129" s="36" t="str">
        <f>REPT("｜",$A129)&amp;TRIM(データ!E126)</f>
        <v>｜｜｜VS 300×400×L2000</v>
      </c>
      <c r="E129" s="37" t="str">
        <f>TRIM(データ!F126)</f>
        <v/>
      </c>
      <c r="F129" s="38" t="str">
        <f>TRIM(データ!G126)</f>
        <v>本</v>
      </c>
      <c r="G129" s="50">
        <f>データ!H126</f>
        <v>9</v>
      </c>
      <c r="H129" s="48">
        <f>データ!I126</f>
        <v>10900</v>
      </c>
      <c r="I129" s="48">
        <f>データ!J126</f>
        <v>98100</v>
      </c>
      <c r="J129" s="39" t="str">
        <f>IF(OR($C129="総括",$C129="内訳書",$C129="内訳代価",$C129="明細書",$C129="明細代価",$C129="代価表",$C129="単価表"),データ!K126,"")</f>
        <v/>
      </c>
      <c r="K129" s="11" t="str">
        <f t="shared" si="6"/>
        <v/>
      </c>
      <c r="L129" s="46">
        <f t="shared" si="7"/>
        <v>1.4124659841907477E-3</v>
      </c>
      <c r="M129" s="40" t="str">
        <f>IF(データ!L126="","",データ!L126)</f>
        <v/>
      </c>
      <c r="N129" s="41" t="str">
        <f>IF(データ!M126="","",データ!M126)</f>
        <v/>
      </c>
      <c r="O129" s="42">
        <f>データ!N126</f>
        <v>0</v>
      </c>
      <c r="P129" s="48">
        <f>IF($C129="集計行","",データ!O126)</f>
        <v>0</v>
      </c>
      <c r="Q129" s="48">
        <f>データ!P126</f>
        <v>0</v>
      </c>
      <c r="R129" s="39" t="str">
        <f>IF(OR($C129="総括",$C129="内訳書",$C129="内訳代価",$C129="明細書",$C129="明細代価",$C129="代価表",$C129="単価表"),データ!Q126,"")</f>
        <v/>
      </c>
      <c r="S129" s="11" t="str">
        <f t="shared" si="8"/>
        <v/>
      </c>
      <c r="T129" s="46" t="e">
        <f t="shared" si="9"/>
        <v>#DIV/0!</v>
      </c>
      <c r="U129" s="40" t="str">
        <f>IF(データ!R126="","",データ!R126)</f>
        <v/>
      </c>
      <c r="V129" s="41" t="str">
        <f>IF(データ!S126="","",データ!S126)</f>
        <v/>
      </c>
      <c r="W129" s="42">
        <f>データ!T126</f>
        <v>0</v>
      </c>
      <c r="X129" s="48">
        <f>IF($C129="集計行","",データ!U126)</f>
        <v>0</v>
      </c>
      <c r="Y129" s="48">
        <f>データ!V126</f>
        <v>0</v>
      </c>
      <c r="Z129" s="39" t="str">
        <f>IF(OR($C129="総括",$C129="内訳書",$C129="内訳代価",$C129="明細書",$C129="明細代価",$C129="代価表",$C129="単価表"),データ!W126,"")</f>
        <v/>
      </c>
      <c r="AA129" s="11" t="str">
        <f t="shared" si="10"/>
        <v/>
      </c>
      <c r="AB129" s="46" t="e">
        <f t="shared" si="11"/>
        <v>#DIV/0!</v>
      </c>
      <c r="AC129" s="40" t="str">
        <f>IF(データ!X126="","",データ!X126)</f>
        <v/>
      </c>
      <c r="AD129" s="41" t="str">
        <f>IF(データ!Y126="","",データ!Y126)</f>
        <v/>
      </c>
      <c r="AE129" s="47" t="str">
        <f>TRIM(データ!B126)</f>
        <v/>
      </c>
      <c r="AF129" s="43" t="str">
        <f>TRIM(データ!Z126)</f>
        <v/>
      </c>
    </row>
    <row r="130" spans="1:32" x14ac:dyDescent="0.15">
      <c r="A130" s="47">
        <f>データ!A127</f>
        <v>3</v>
      </c>
      <c r="B130" s="47" t="str">
        <f>TRIM(データ!C127)</f>
        <v/>
      </c>
      <c r="C130" s="47" t="str">
        <f>TRIM(データ!D127)</f>
        <v>材料費</v>
      </c>
      <c r="D130" s="36" t="str">
        <f>REPT("｜",$A130)&amp;TRIM(データ!E127)</f>
        <v>｜｜｜VS　300×400×L1500</v>
      </c>
      <c r="E130" s="37" t="str">
        <f>TRIM(データ!F127)</f>
        <v/>
      </c>
      <c r="F130" s="38" t="str">
        <f>TRIM(データ!G127)</f>
        <v>本</v>
      </c>
      <c r="G130" s="50">
        <f>データ!H127</f>
        <v>3</v>
      </c>
      <c r="H130" s="48">
        <f>データ!I127</f>
        <v>9800</v>
      </c>
      <c r="I130" s="48">
        <f>データ!J127</f>
        <v>29400</v>
      </c>
      <c r="J130" s="39" t="str">
        <f>IF(OR($C130="総括",$C130="内訳書",$C130="内訳代価",$C130="明細書",$C130="明細代価",$C130="代価表",$C130="単価表"),データ!K127,"")</f>
        <v/>
      </c>
      <c r="K130" s="11" t="str">
        <f t="shared" si="6"/>
        <v/>
      </c>
      <c r="L130" s="46">
        <f t="shared" si="7"/>
        <v>4.2330784847306811E-4</v>
      </c>
      <c r="M130" s="40" t="str">
        <f>IF(データ!L127="","",データ!L127)</f>
        <v/>
      </c>
      <c r="N130" s="41" t="str">
        <f>IF(データ!M127="","",データ!M127)</f>
        <v/>
      </c>
      <c r="O130" s="42">
        <f>データ!N127</f>
        <v>0</v>
      </c>
      <c r="P130" s="48">
        <f>IF($C130="集計行","",データ!O127)</f>
        <v>0</v>
      </c>
      <c r="Q130" s="48">
        <f>データ!P127</f>
        <v>0</v>
      </c>
      <c r="R130" s="39" t="str">
        <f>IF(OR($C130="総括",$C130="内訳書",$C130="内訳代価",$C130="明細書",$C130="明細代価",$C130="代価表",$C130="単価表"),データ!Q127,"")</f>
        <v/>
      </c>
      <c r="S130" s="11" t="str">
        <f t="shared" si="8"/>
        <v/>
      </c>
      <c r="T130" s="46" t="e">
        <f t="shared" si="9"/>
        <v>#DIV/0!</v>
      </c>
      <c r="U130" s="40" t="str">
        <f>IF(データ!R127="","",データ!R127)</f>
        <v/>
      </c>
      <c r="V130" s="41" t="str">
        <f>IF(データ!S127="","",データ!S127)</f>
        <v/>
      </c>
      <c r="W130" s="42">
        <f>データ!T127</f>
        <v>0</v>
      </c>
      <c r="X130" s="48">
        <f>IF($C130="集計行","",データ!U127)</f>
        <v>0</v>
      </c>
      <c r="Y130" s="48">
        <f>データ!V127</f>
        <v>0</v>
      </c>
      <c r="Z130" s="39" t="str">
        <f>IF(OR($C130="総括",$C130="内訳書",$C130="内訳代価",$C130="明細書",$C130="明細代価",$C130="代価表",$C130="単価表"),データ!W127,"")</f>
        <v/>
      </c>
      <c r="AA130" s="11" t="str">
        <f t="shared" si="10"/>
        <v/>
      </c>
      <c r="AB130" s="46" t="e">
        <f t="shared" si="11"/>
        <v>#DIV/0!</v>
      </c>
      <c r="AC130" s="40" t="str">
        <f>IF(データ!X127="","",データ!X127)</f>
        <v/>
      </c>
      <c r="AD130" s="41" t="str">
        <f>IF(データ!Y127="","",データ!Y127)</f>
        <v/>
      </c>
      <c r="AE130" s="47" t="str">
        <f>TRIM(データ!B127)</f>
        <v/>
      </c>
      <c r="AF130" s="43" t="str">
        <f>TRIM(データ!Z127)</f>
        <v/>
      </c>
    </row>
    <row r="131" spans="1:32" x14ac:dyDescent="0.15">
      <c r="A131" s="47">
        <f>データ!A128</f>
        <v>3</v>
      </c>
      <c r="B131" s="47" t="str">
        <f>TRIM(データ!C128)</f>
        <v/>
      </c>
      <c r="C131" s="47" t="str">
        <f>TRIM(データ!D128)</f>
        <v>材料費</v>
      </c>
      <c r="D131" s="36" t="str">
        <f>REPT("｜",$A131)&amp;TRIM(データ!E128)</f>
        <v>｜｜｜グレーチング蓋　T-25</v>
      </c>
      <c r="E131" s="37" t="str">
        <f>TRIM(データ!F128)</f>
        <v>L=950</v>
      </c>
      <c r="F131" s="38" t="str">
        <f>TRIM(データ!G128)</f>
        <v>枚</v>
      </c>
      <c r="G131" s="50">
        <f>データ!H128</f>
        <v>2</v>
      </c>
      <c r="H131" s="48">
        <f>データ!I128</f>
        <v>26000</v>
      </c>
      <c r="I131" s="48">
        <f>データ!J128</f>
        <v>52000</v>
      </c>
      <c r="J131" s="39" t="str">
        <f>IF(OR($C131="総括",$C131="内訳書",$C131="内訳代価",$C131="明細書",$C131="明細代価",$C131="代価表",$C131="単価表"),データ!K128,"")</f>
        <v/>
      </c>
      <c r="K131" s="11" t="str">
        <f t="shared" si="6"/>
        <v/>
      </c>
      <c r="L131" s="46">
        <f t="shared" si="7"/>
        <v>7.4870775920406608E-4</v>
      </c>
      <c r="M131" s="40" t="str">
        <f>IF(データ!L128="","",データ!L128)</f>
        <v/>
      </c>
      <c r="N131" s="41" t="str">
        <f>IF(データ!M128="","",データ!M128)</f>
        <v/>
      </c>
      <c r="O131" s="42">
        <f>データ!N128</f>
        <v>0</v>
      </c>
      <c r="P131" s="48">
        <f>IF($C131="集計行","",データ!O128)</f>
        <v>0</v>
      </c>
      <c r="Q131" s="48">
        <f>データ!P128</f>
        <v>0</v>
      </c>
      <c r="R131" s="39" t="str">
        <f>IF(OR($C131="総括",$C131="内訳書",$C131="内訳代価",$C131="明細書",$C131="明細代価",$C131="代価表",$C131="単価表"),データ!Q128,"")</f>
        <v/>
      </c>
      <c r="S131" s="11" t="str">
        <f t="shared" si="8"/>
        <v/>
      </c>
      <c r="T131" s="46" t="e">
        <f t="shared" si="9"/>
        <v>#DIV/0!</v>
      </c>
      <c r="U131" s="40" t="str">
        <f>IF(データ!R128="","",データ!R128)</f>
        <v/>
      </c>
      <c r="V131" s="41" t="str">
        <f>IF(データ!S128="","",データ!S128)</f>
        <v/>
      </c>
      <c r="W131" s="42">
        <f>データ!T128</f>
        <v>0</v>
      </c>
      <c r="X131" s="48">
        <f>IF($C131="集計行","",データ!U128)</f>
        <v>0</v>
      </c>
      <c r="Y131" s="48">
        <f>データ!V128</f>
        <v>0</v>
      </c>
      <c r="Z131" s="39" t="str">
        <f>IF(OR($C131="総括",$C131="内訳書",$C131="内訳代価",$C131="明細書",$C131="明細代価",$C131="代価表",$C131="単価表"),データ!W128,"")</f>
        <v/>
      </c>
      <c r="AA131" s="11" t="str">
        <f t="shared" si="10"/>
        <v/>
      </c>
      <c r="AB131" s="46" t="e">
        <f t="shared" si="11"/>
        <v>#DIV/0!</v>
      </c>
      <c r="AC131" s="40" t="str">
        <f>IF(データ!X128="","",データ!X128)</f>
        <v/>
      </c>
      <c r="AD131" s="41" t="str">
        <f>IF(データ!Y128="","",データ!Y128)</f>
        <v/>
      </c>
      <c r="AE131" s="47" t="str">
        <f>TRIM(データ!B128)</f>
        <v/>
      </c>
      <c r="AF131" s="43" t="str">
        <f>TRIM(データ!Z128)</f>
        <v/>
      </c>
    </row>
    <row r="132" spans="1:32" x14ac:dyDescent="0.15">
      <c r="A132" s="47">
        <f>データ!A129</f>
        <v>3</v>
      </c>
      <c r="B132" s="47" t="str">
        <f>TRIM(データ!C129)</f>
        <v/>
      </c>
      <c r="C132" s="47" t="str">
        <f>TRIM(データ!D129)</f>
        <v>材料費</v>
      </c>
      <c r="D132" s="36" t="str">
        <f>REPT("｜",$A132)&amp;TRIM(データ!E129)</f>
        <v>｜｜｜コンクリート蓋　L＝500</v>
      </c>
      <c r="E132" s="37" t="str">
        <f>TRIM(データ!F129)</f>
        <v/>
      </c>
      <c r="F132" s="38" t="str">
        <f>TRIM(データ!G129)</f>
        <v>枚</v>
      </c>
      <c r="G132" s="50">
        <f>データ!H129</f>
        <v>45</v>
      </c>
      <c r="H132" s="48">
        <f>データ!I129</f>
        <v>1510</v>
      </c>
      <c r="I132" s="48">
        <f>データ!J129</f>
        <v>67950</v>
      </c>
      <c r="J132" s="39" t="str">
        <f>IF(OR($C132="総括",$C132="内訳書",$C132="内訳代価",$C132="明細書",$C132="明細代価",$C132="代価表",$C132="単価表"),データ!K129,"")</f>
        <v/>
      </c>
      <c r="K132" s="11" t="str">
        <f t="shared" si="6"/>
        <v/>
      </c>
      <c r="L132" s="46">
        <f t="shared" si="7"/>
        <v>9.7835946611377479E-4</v>
      </c>
      <c r="M132" s="40" t="str">
        <f>IF(データ!L129="","",データ!L129)</f>
        <v/>
      </c>
      <c r="N132" s="41" t="str">
        <f>IF(データ!M129="","",データ!M129)</f>
        <v/>
      </c>
      <c r="O132" s="42">
        <f>データ!N129</f>
        <v>0</v>
      </c>
      <c r="P132" s="48">
        <f>IF($C132="集計行","",データ!O129)</f>
        <v>0</v>
      </c>
      <c r="Q132" s="48">
        <f>データ!P129</f>
        <v>0</v>
      </c>
      <c r="R132" s="39" t="str">
        <f>IF(OR($C132="総括",$C132="内訳書",$C132="内訳代価",$C132="明細書",$C132="明細代価",$C132="代価表",$C132="単価表"),データ!Q129,"")</f>
        <v/>
      </c>
      <c r="S132" s="11" t="str">
        <f t="shared" si="8"/>
        <v/>
      </c>
      <c r="T132" s="46" t="e">
        <f t="shared" si="9"/>
        <v>#DIV/0!</v>
      </c>
      <c r="U132" s="40" t="str">
        <f>IF(データ!R129="","",データ!R129)</f>
        <v/>
      </c>
      <c r="V132" s="41" t="str">
        <f>IF(データ!S129="","",データ!S129)</f>
        <v/>
      </c>
      <c r="W132" s="42">
        <f>データ!T129</f>
        <v>0</v>
      </c>
      <c r="X132" s="48">
        <f>IF($C132="集計行","",データ!U129)</f>
        <v>0</v>
      </c>
      <c r="Y132" s="48">
        <f>データ!V129</f>
        <v>0</v>
      </c>
      <c r="Z132" s="39" t="str">
        <f>IF(OR($C132="総括",$C132="内訳書",$C132="内訳代価",$C132="明細書",$C132="明細代価",$C132="代価表",$C132="単価表"),データ!W129,"")</f>
        <v/>
      </c>
      <c r="AA132" s="11" t="str">
        <f t="shared" si="10"/>
        <v/>
      </c>
      <c r="AB132" s="46" t="e">
        <f t="shared" si="11"/>
        <v>#DIV/0!</v>
      </c>
      <c r="AC132" s="40" t="str">
        <f>IF(データ!X129="","",データ!X129)</f>
        <v/>
      </c>
      <c r="AD132" s="41" t="str">
        <f>IF(データ!Y129="","",データ!Y129)</f>
        <v/>
      </c>
      <c r="AE132" s="47" t="str">
        <f>TRIM(データ!B129)</f>
        <v/>
      </c>
      <c r="AF132" s="43" t="str">
        <f>TRIM(データ!Z129)</f>
        <v/>
      </c>
    </row>
    <row r="133" spans="1:32" x14ac:dyDescent="0.15">
      <c r="A133" s="47">
        <f>データ!A130</f>
        <v>3</v>
      </c>
      <c r="B133" s="47" t="str">
        <f>TRIM(データ!C130)</f>
        <v/>
      </c>
      <c r="C133" s="47" t="str">
        <f>TRIM(データ!D130)</f>
        <v>材料費</v>
      </c>
      <c r="D133" s="36" t="str">
        <f>REPT("｜",$A133)&amp;TRIM(データ!E130)</f>
        <v>｜｜｜生コン</v>
      </c>
      <c r="E133" s="37" t="str">
        <f>TRIM(データ!F130)</f>
        <v/>
      </c>
      <c r="F133" s="38" t="str">
        <f>TRIM(データ!G130)</f>
        <v>m3</v>
      </c>
      <c r="G133" s="50">
        <f>データ!H130</f>
        <v>1</v>
      </c>
      <c r="H133" s="48">
        <f>データ!I130</f>
        <v>30000</v>
      </c>
      <c r="I133" s="48">
        <f>データ!J130</f>
        <v>30000</v>
      </c>
      <c r="J133" s="39" t="str">
        <f>IF(OR($C133="総括",$C133="内訳書",$C133="内訳代価",$C133="明細書",$C133="明細代価",$C133="代価表",$C133="単価表"),データ!K130,"")</f>
        <v/>
      </c>
      <c r="K133" s="11" t="str">
        <f t="shared" ref="K133:K196" si="12">IF(OR(J133="",G133=J133),"","*")</f>
        <v/>
      </c>
      <c r="L133" s="46">
        <f t="shared" ref="L133:L196" si="13">IF($A133&lt;=L$1,I133/I$4,"")</f>
        <v>4.3194678415619197E-4</v>
      </c>
      <c r="M133" s="40" t="str">
        <f>IF(データ!L130="","",データ!L130)</f>
        <v/>
      </c>
      <c r="N133" s="41" t="str">
        <f>IF(データ!M130="","",データ!M130)</f>
        <v/>
      </c>
      <c r="O133" s="42">
        <f>データ!N130</f>
        <v>0</v>
      </c>
      <c r="P133" s="48">
        <f>IF($C133="集計行","",データ!O130)</f>
        <v>0</v>
      </c>
      <c r="Q133" s="48">
        <f>データ!P130</f>
        <v>0</v>
      </c>
      <c r="R133" s="39" t="str">
        <f>IF(OR($C133="総括",$C133="内訳書",$C133="内訳代価",$C133="明細書",$C133="明細代価",$C133="代価表",$C133="単価表"),データ!Q130,"")</f>
        <v/>
      </c>
      <c r="S133" s="11" t="str">
        <f t="shared" ref="S133:S196" si="14">IF(OR(R133="",O133=R133),"","*")</f>
        <v/>
      </c>
      <c r="T133" s="46" t="e">
        <f t="shared" ref="T133:T196" si="15">IF($A133&lt;=T$1,Q133/Q$4,"")</f>
        <v>#DIV/0!</v>
      </c>
      <c r="U133" s="40" t="str">
        <f>IF(データ!R130="","",データ!R130)</f>
        <v/>
      </c>
      <c r="V133" s="41" t="str">
        <f>IF(データ!S130="","",データ!S130)</f>
        <v/>
      </c>
      <c r="W133" s="42">
        <f>データ!T130</f>
        <v>0</v>
      </c>
      <c r="X133" s="48">
        <f>IF($C133="集計行","",データ!U130)</f>
        <v>0</v>
      </c>
      <c r="Y133" s="48">
        <f>データ!V130</f>
        <v>0</v>
      </c>
      <c r="Z133" s="39" t="str">
        <f>IF(OR($C133="総括",$C133="内訳書",$C133="内訳代価",$C133="明細書",$C133="明細代価",$C133="代価表",$C133="単価表"),データ!W130,"")</f>
        <v/>
      </c>
      <c r="AA133" s="11" t="str">
        <f t="shared" ref="AA133:AA196" si="16">IF(OR(Z133="",W133=Z133),"","*")</f>
        <v/>
      </c>
      <c r="AB133" s="46" t="e">
        <f t="shared" ref="AB133:AB196" si="17">IF($A133&lt;=AB$1,Y133/Y$4,"")</f>
        <v>#DIV/0!</v>
      </c>
      <c r="AC133" s="40" t="str">
        <f>IF(データ!X130="","",データ!X130)</f>
        <v/>
      </c>
      <c r="AD133" s="41" t="str">
        <f>IF(データ!Y130="","",データ!Y130)</f>
        <v/>
      </c>
      <c r="AE133" s="47" t="str">
        <f>TRIM(データ!B130)</f>
        <v/>
      </c>
      <c r="AF133" s="43" t="str">
        <f>TRIM(データ!Z130)</f>
        <v/>
      </c>
    </row>
    <row r="134" spans="1:32" x14ac:dyDescent="0.15">
      <c r="A134" s="47">
        <f>データ!A131</f>
        <v>3</v>
      </c>
      <c r="B134" s="47" t="str">
        <f>TRIM(データ!C131)</f>
        <v/>
      </c>
      <c r="C134" s="47" t="str">
        <f>TRIM(データ!D131)</f>
        <v>労務費</v>
      </c>
      <c r="D134" s="36" t="str">
        <f>REPT("｜",$A134)&amp;TRIM(データ!E131)</f>
        <v>｜｜｜技工</v>
      </c>
      <c r="E134" s="37" t="str">
        <f>TRIM(データ!F131)</f>
        <v/>
      </c>
      <c r="F134" s="38" t="str">
        <f>TRIM(データ!G131)</f>
        <v>人</v>
      </c>
      <c r="G134" s="50">
        <f>データ!H131</f>
        <v>8</v>
      </c>
      <c r="H134" s="48">
        <f>データ!I131</f>
        <v>28000</v>
      </c>
      <c r="I134" s="48">
        <f>データ!J131</f>
        <v>224000</v>
      </c>
      <c r="J134" s="39" t="str">
        <f>IF(OR($C134="総括",$C134="内訳書",$C134="内訳代価",$C134="明細書",$C134="明細代価",$C134="代価表",$C134="単価表"),データ!K131,"")</f>
        <v/>
      </c>
      <c r="K134" s="11" t="str">
        <f t="shared" si="12"/>
        <v/>
      </c>
      <c r="L134" s="46">
        <f t="shared" si="13"/>
        <v>3.2252026550328998E-3</v>
      </c>
      <c r="M134" s="40" t="str">
        <f>IF(データ!L131="","",データ!L131)</f>
        <v/>
      </c>
      <c r="N134" s="41" t="str">
        <f>IF(データ!M131="","",データ!M131)</f>
        <v/>
      </c>
      <c r="O134" s="42">
        <f>データ!N131</f>
        <v>0</v>
      </c>
      <c r="P134" s="48">
        <f>IF($C134="集計行","",データ!O131)</f>
        <v>0</v>
      </c>
      <c r="Q134" s="48">
        <f>データ!P131</f>
        <v>0</v>
      </c>
      <c r="R134" s="39" t="str">
        <f>IF(OR($C134="総括",$C134="内訳書",$C134="内訳代価",$C134="明細書",$C134="明細代価",$C134="代価表",$C134="単価表"),データ!Q131,"")</f>
        <v/>
      </c>
      <c r="S134" s="11" t="str">
        <f t="shared" si="14"/>
        <v/>
      </c>
      <c r="T134" s="46" t="e">
        <f t="shared" si="15"/>
        <v>#DIV/0!</v>
      </c>
      <c r="U134" s="40" t="str">
        <f>IF(データ!R131="","",データ!R131)</f>
        <v/>
      </c>
      <c r="V134" s="41" t="str">
        <f>IF(データ!S131="","",データ!S131)</f>
        <v/>
      </c>
      <c r="W134" s="42">
        <f>データ!T131</f>
        <v>0</v>
      </c>
      <c r="X134" s="48">
        <f>IF($C134="集計行","",データ!U131)</f>
        <v>0</v>
      </c>
      <c r="Y134" s="48">
        <f>データ!V131</f>
        <v>0</v>
      </c>
      <c r="Z134" s="39" t="str">
        <f>IF(OR($C134="総括",$C134="内訳書",$C134="内訳代価",$C134="明細書",$C134="明細代価",$C134="代価表",$C134="単価表"),データ!W131,"")</f>
        <v/>
      </c>
      <c r="AA134" s="11" t="str">
        <f t="shared" si="16"/>
        <v/>
      </c>
      <c r="AB134" s="46" t="e">
        <f t="shared" si="17"/>
        <v>#DIV/0!</v>
      </c>
      <c r="AC134" s="40" t="str">
        <f>IF(データ!X131="","",データ!X131)</f>
        <v/>
      </c>
      <c r="AD134" s="41" t="str">
        <f>IF(データ!Y131="","",データ!Y131)</f>
        <v/>
      </c>
      <c r="AE134" s="47" t="str">
        <f>TRIM(データ!B131)</f>
        <v/>
      </c>
      <c r="AF134" s="43" t="str">
        <f>TRIM(データ!Z131)</f>
        <v/>
      </c>
    </row>
    <row r="135" spans="1:32" x14ac:dyDescent="0.15">
      <c r="A135" s="47">
        <f>データ!A132</f>
        <v>3</v>
      </c>
      <c r="B135" s="47" t="str">
        <f>TRIM(データ!C132)</f>
        <v/>
      </c>
      <c r="C135" s="47" t="str">
        <f>TRIM(データ!D132)</f>
        <v>機械費</v>
      </c>
      <c r="D135" s="36" t="str">
        <f>REPT("｜",$A135)&amp;TRIM(データ!E132)</f>
        <v>｜｜｜BH0.15</v>
      </c>
      <c r="E135" s="37" t="str">
        <f>TRIM(データ!F132)</f>
        <v/>
      </c>
      <c r="F135" s="38" t="str">
        <f>TRIM(データ!G132)</f>
        <v>台</v>
      </c>
      <c r="G135" s="50">
        <f>データ!H132</f>
        <v>2</v>
      </c>
      <c r="H135" s="48">
        <f>データ!I132</f>
        <v>8000</v>
      </c>
      <c r="I135" s="48">
        <f>データ!J132</f>
        <v>16000</v>
      </c>
      <c r="J135" s="39" t="str">
        <f>IF(OR($C135="総括",$C135="内訳書",$C135="内訳代価",$C135="明細書",$C135="明細代価",$C135="代価表",$C135="単価表"),データ!K132,"")</f>
        <v/>
      </c>
      <c r="K135" s="11" t="str">
        <f t="shared" si="12"/>
        <v/>
      </c>
      <c r="L135" s="46">
        <f t="shared" si="13"/>
        <v>2.303716182166357E-4</v>
      </c>
      <c r="M135" s="40" t="str">
        <f>IF(データ!L132="","",データ!L132)</f>
        <v/>
      </c>
      <c r="N135" s="41" t="str">
        <f>IF(データ!M132="","",データ!M132)</f>
        <v/>
      </c>
      <c r="O135" s="42">
        <f>データ!N132</f>
        <v>0</v>
      </c>
      <c r="P135" s="48">
        <f>IF($C135="集計行","",データ!O132)</f>
        <v>0</v>
      </c>
      <c r="Q135" s="48">
        <f>データ!P132</f>
        <v>0</v>
      </c>
      <c r="R135" s="39" t="str">
        <f>IF(OR($C135="総括",$C135="内訳書",$C135="内訳代価",$C135="明細書",$C135="明細代価",$C135="代価表",$C135="単価表"),データ!Q132,"")</f>
        <v/>
      </c>
      <c r="S135" s="11" t="str">
        <f t="shared" si="14"/>
        <v/>
      </c>
      <c r="T135" s="46" t="e">
        <f t="shared" si="15"/>
        <v>#DIV/0!</v>
      </c>
      <c r="U135" s="40" t="str">
        <f>IF(データ!R132="","",データ!R132)</f>
        <v/>
      </c>
      <c r="V135" s="41" t="str">
        <f>IF(データ!S132="","",データ!S132)</f>
        <v/>
      </c>
      <c r="W135" s="42">
        <f>データ!T132</f>
        <v>0</v>
      </c>
      <c r="X135" s="48">
        <f>IF($C135="集計行","",データ!U132)</f>
        <v>0</v>
      </c>
      <c r="Y135" s="48">
        <f>データ!V132</f>
        <v>0</v>
      </c>
      <c r="Z135" s="39" t="str">
        <f>IF(OR($C135="総括",$C135="内訳書",$C135="内訳代価",$C135="明細書",$C135="明細代価",$C135="代価表",$C135="単価表"),データ!W132,"")</f>
        <v/>
      </c>
      <c r="AA135" s="11" t="str">
        <f t="shared" si="16"/>
        <v/>
      </c>
      <c r="AB135" s="46" t="e">
        <f t="shared" si="17"/>
        <v>#DIV/0!</v>
      </c>
      <c r="AC135" s="40" t="str">
        <f>IF(データ!X132="","",データ!X132)</f>
        <v/>
      </c>
      <c r="AD135" s="41" t="str">
        <f>IF(データ!Y132="","",データ!Y132)</f>
        <v/>
      </c>
      <c r="AE135" s="47" t="str">
        <f>TRIM(データ!B132)</f>
        <v/>
      </c>
      <c r="AF135" s="43" t="str">
        <f>TRIM(データ!Z132)</f>
        <v/>
      </c>
    </row>
    <row r="136" spans="1:32" x14ac:dyDescent="0.15">
      <c r="A136" s="47">
        <f>データ!A133</f>
        <v>3</v>
      </c>
      <c r="B136" s="47" t="str">
        <f>TRIM(データ!C133)</f>
        <v/>
      </c>
      <c r="C136" s="47" t="str">
        <f>TRIM(データ!D133)</f>
        <v>機械費</v>
      </c>
      <c r="D136" s="36" t="str">
        <f>REPT("｜",$A136)&amp;TRIM(データ!E133)</f>
        <v>｜｜｜プレート</v>
      </c>
      <c r="E136" s="37" t="str">
        <f>TRIM(データ!F133)</f>
        <v/>
      </c>
      <c r="F136" s="38" t="str">
        <f>TRIM(データ!G133)</f>
        <v>台</v>
      </c>
      <c r="G136" s="50">
        <f>データ!H133</f>
        <v>2</v>
      </c>
      <c r="H136" s="48">
        <f>データ!I133</f>
        <v>1500</v>
      </c>
      <c r="I136" s="48">
        <f>データ!J133</f>
        <v>3000</v>
      </c>
      <c r="J136" s="39" t="str">
        <f>IF(OR($C136="総括",$C136="内訳書",$C136="内訳代価",$C136="明細書",$C136="明細代価",$C136="代価表",$C136="単価表"),データ!K133,"")</f>
        <v/>
      </c>
      <c r="K136" s="11" t="str">
        <f t="shared" si="12"/>
        <v/>
      </c>
      <c r="L136" s="46">
        <f t="shared" si="13"/>
        <v>4.3194678415619194E-5</v>
      </c>
      <c r="M136" s="40" t="str">
        <f>IF(データ!L133="","",データ!L133)</f>
        <v/>
      </c>
      <c r="N136" s="41" t="str">
        <f>IF(データ!M133="","",データ!M133)</f>
        <v/>
      </c>
      <c r="O136" s="42">
        <f>データ!N133</f>
        <v>0</v>
      </c>
      <c r="P136" s="48">
        <f>IF($C136="集計行","",データ!O133)</f>
        <v>0</v>
      </c>
      <c r="Q136" s="48">
        <f>データ!P133</f>
        <v>0</v>
      </c>
      <c r="R136" s="39" t="str">
        <f>IF(OR($C136="総括",$C136="内訳書",$C136="内訳代価",$C136="明細書",$C136="明細代価",$C136="代価表",$C136="単価表"),データ!Q133,"")</f>
        <v/>
      </c>
      <c r="S136" s="11" t="str">
        <f t="shared" si="14"/>
        <v/>
      </c>
      <c r="T136" s="46" t="e">
        <f t="shared" si="15"/>
        <v>#DIV/0!</v>
      </c>
      <c r="U136" s="40" t="str">
        <f>IF(データ!R133="","",データ!R133)</f>
        <v/>
      </c>
      <c r="V136" s="41" t="str">
        <f>IF(データ!S133="","",データ!S133)</f>
        <v/>
      </c>
      <c r="W136" s="42">
        <f>データ!T133</f>
        <v>0</v>
      </c>
      <c r="X136" s="48">
        <f>IF($C136="集計行","",データ!U133)</f>
        <v>0</v>
      </c>
      <c r="Y136" s="48">
        <f>データ!V133</f>
        <v>0</v>
      </c>
      <c r="Z136" s="39" t="str">
        <f>IF(OR($C136="総括",$C136="内訳書",$C136="内訳代価",$C136="明細書",$C136="明細代価",$C136="代価表",$C136="単価表"),データ!W133,"")</f>
        <v/>
      </c>
      <c r="AA136" s="11" t="str">
        <f t="shared" si="16"/>
        <v/>
      </c>
      <c r="AB136" s="46" t="e">
        <f t="shared" si="17"/>
        <v>#DIV/0!</v>
      </c>
      <c r="AC136" s="40" t="str">
        <f>IF(データ!X133="","",データ!X133)</f>
        <v/>
      </c>
      <c r="AD136" s="41" t="str">
        <f>IF(データ!Y133="","",データ!Y133)</f>
        <v/>
      </c>
      <c r="AE136" s="47" t="str">
        <f>TRIM(データ!B133)</f>
        <v/>
      </c>
      <c r="AF136" s="43" t="str">
        <f>TRIM(データ!Z133)</f>
        <v/>
      </c>
    </row>
    <row r="137" spans="1:32" x14ac:dyDescent="0.15">
      <c r="A137" s="47">
        <f>データ!A134</f>
        <v>3</v>
      </c>
      <c r="B137" s="47" t="str">
        <f>TRIM(データ!C134)</f>
        <v/>
      </c>
      <c r="C137" s="47" t="str">
        <f>TRIM(データ!D134)</f>
        <v>機械費</v>
      </c>
      <c r="D137" s="36" t="str">
        <f>REPT("｜",$A137)&amp;TRIM(データ!E134)</f>
        <v>｜｜｜ランマー</v>
      </c>
      <c r="E137" s="37" t="str">
        <f>TRIM(データ!F134)</f>
        <v/>
      </c>
      <c r="F137" s="38" t="str">
        <f>TRIM(データ!G134)</f>
        <v>台</v>
      </c>
      <c r="G137" s="50">
        <f>データ!H134</f>
        <v>2</v>
      </c>
      <c r="H137" s="48">
        <f>データ!I134</f>
        <v>1500</v>
      </c>
      <c r="I137" s="48">
        <f>データ!J134</f>
        <v>3000</v>
      </c>
      <c r="J137" s="39" t="str">
        <f>IF(OR($C137="総括",$C137="内訳書",$C137="内訳代価",$C137="明細書",$C137="明細代価",$C137="代価表",$C137="単価表"),データ!K134,"")</f>
        <v/>
      </c>
      <c r="K137" s="11" t="str">
        <f t="shared" si="12"/>
        <v/>
      </c>
      <c r="L137" s="46">
        <f t="shared" si="13"/>
        <v>4.3194678415619194E-5</v>
      </c>
      <c r="M137" s="40" t="str">
        <f>IF(データ!L134="","",データ!L134)</f>
        <v/>
      </c>
      <c r="N137" s="41" t="str">
        <f>IF(データ!M134="","",データ!M134)</f>
        <v/>
      </c>
      <c r="O137" s="42">
        <f>データ!N134</f>
        <v>0</v>
      </c>
      <c r="P137" s="48">
        <f>IF($C137="集計行","",データ!O134)</f>
        <v>0</v>
      </c>
      <c r="Q137" s="48">
        <f>データ!P134</f>
        <v>0</v>
      </c>
      <c r="R137" s="39" t="str">
        <f>IF(OR($C137="総括",$C137="内訳書",$C137="内訳代価",$C137="明細書",$C137="明細代価",$C137="代価表",$C137="単価表"),データ!Q134,"")</f>
        <v/>
      </c>
      <c r="S137" s="11" t="str">
        <f t="shared" si="14"/>
        <v/>
      </c>
      <c r="T137" s="46" t="e">
        <f t="shared" si="15"/>
        <v>#DIV/0!</v>
      </c>
      <c r="U137" s="40" t="str">
        <f>IF(データ!R134="","",データ!R134)</f>
        <v/>
      </c>
      <c r="V137" s="41" t="str">
        <f>IF(データ!S134="","",データ!S134)</f>
        <v/>
      </c>
      <c r="W137" s="42">
        <f>データ!T134</f>
        <v>0</v>
      </c>
      <c r="X137" s="48">
        <f>IF($C137="集計行","",データ!U134)</f>
        <v>0</v>
      </c>
      <c r="Y137" s="48">
        <f>データ!V134</f>
        <v>0</v>
      </c>
      <c r="Z137" s="39" t="str">
        <f>IF(OR($C137="総括",$C137="内訳書",$C137="内訳代価",$C137="明細書",$C137="明細代価",$C137="代価表",$C137="単価表"),データ!W134,"")</f>
        <v/>
      </c>
      <c r="AA137" s="11" t="str">
        <f t="shared" si="16"/>
        <v/>
      </c>
      <c r="AB137" s="46" t="e">
        <f t="shared" si="17"/>
        <v>#DIV/0!</v>
      </c>
      <c r="AC137" s="40" t="str">
        <f>IF(データ!X134="","",データ!X134)</f>
        <v/>
      </c>
      <c r="AD137" s="41" t="str">
        <f>IF(データ!Y134="","",データ!Y134)</f>
        <v/>
      </c>
      <c r="AE137" s="47" t="str">
        <f>TRIM(データ!B134)</f>
        <v/>
      </c>
      <c r="AF137" s="43" t="str">
        <f>TRIM(データ!Z134)</f>
        <v/>
      </c>
    </row>
    <row r="138" spans="1:32" x14ac:dyDescent="0.15">
      <c r="A138" s="47">
        <f>データ!A135</f>
        <v>3</v>
      </c>
      <c r="B138" s="47" t="str">
        <f>TRIM(データ!C135)</f>
        <v/>
      </c>
      <c r="C138" s="47" t="str">
        <f>TRIM(データ!D135)</f>
        <v>運搬費</v>
      </c>
      <c r="D138" s="36" t="str">
        <f>REPT("｜",$A138)&amp;TRIM(データ!E135)</f>
        <v>｜｜｜4tダンプ</v>
      </c>
      <c r="E138" s="37" t="str">
        <f>TRIM(データ!F135)</f>
        <v/>
      </c>
      <c r="F138" s="38" t="str">
        <f>TRIM(データ!G135)</f>
        <v>台</v>
      </c>
      <c r="G138" s="50">
        <f>データ!H135</f>
        <v>2</v>
      </c>
      <c r="H138" s="48">
        <f>データ!I135</f>
        <v>10000</v>
      </c>
      <c r="I138" s="48">
        <f>データ!J135</f>
        <v>20000</v>
      </c>
      <c r="J138" s="39" t="str">
        <f>IF(OR($C138="総括",$C138="内訳書",$C138="内訳代価",$C138="明細書",$C138="明細代価",$C138="代価表",$C138="単価表"),データ!K135,"")</f>
        <v/>
      </c>
      <c r="K138" s="11" t="str">
        <f t="shared" si="12"/>
        <v/>
      </c>
      <c r="L138" s="46">
        <f t="shared" si="13"/>
        <v>2.8796452277079463E-4</v>
      </c>
      <c r="M138" s="40" t="str">
        <f>IF(データ!L135="","",データ!L135)</f>
        <v/>
      </c>
      <c r="N138" s="41" t="str">
        <f>IF(データ!M135="","",データ!M135)</f>
        <v/>
      </c>
      <c r="O138" s="42">
        <f>データ!N135</f>
        <v>0</v>
      </c>
      <c r="P138" s="48">
        <f>IF($C138="集計行","",データ!O135)</f>
        <v>0</v>
      </c>
      <c r="Q138" s="48">
        <f>データ!P135</f>
        <v>0</v>
      </c>
      <c r="R138" s="39" t="str">
        <f>IF(OR($C138="総括",$C138="内訳書",$C138="内訳代価",$C138="明細書",$C138="明細代価",$C138="代価表",$C138="単価表"),データ!Q135,"")</f>
        <v/>
      </c>
      <c r="S138" s="11" t="str">
        <f t="shared" si="14"/>
        <v/>
      </c>
      <c r="T138" s="46" t="e">
        <f t="shared" si="15"/>
        <v>#DIV/0!</v>
      </c>
      <c r="U138" s="40" t="str">
        <f>IF(データ!R135="","",データ!R135)</f>
        <v/>
      </c>
      <c r="V138" s="41" t="str">
        <f>IF(データ!S135="","",データ!S135)</f>
        <v/>
      </c>
      <c r="W138" s="42">
        <f>データ!T135</f>
        <v>0</v>
      </c>
      <c r="X138" s="48">
        <f>IF($C138="集計行","",データ!U135)</f>
        <v>0</v>
      </c>
      <c r="Y138" s="48">
        <f>データ!V135</f>
        <v>0</v>
      </c>
      <c r="Z138" s="39" t="str">
        <f>IF(OR($C138="総括",$C138="内訳書",$C138="内訳代価",$C138="明細書",$C138="明細代価",$C138="代価表",$C138="単価表"),データ!W135,"")</f>
        <v/>
      </c>
      <c r="AA138" s="11" t="str">
        <f t="shared" si="16"/>
        <v/>
      </c>
      <c r="AB138" s="46" t="e">
        <f t="shared" si="17"/>
        <v>#DIV/0!</v>
      </c>
      <c r="AC138" s="40" t="str">
        <f>IF(データ!X135="","",データ!X135)</f>
        <v/>
      </c>
      <c r="AD138" s="41" t="str">
        <f>IF(データ!Y135="","",データ!Y135)</f>
        <v/>
      </c>
      <c r="AE138" s="47" t="str">
        <f>TRIM(データ!B135)</f>
        <v/>
      </c>
      <c r="AF138" s="43" t="str">
        <f>TRIM(データ!Z135)</f>
        <v/>
      </c>
    </row>
    <row r="139" spans="1:32" x14ac:dyDescent="0.15">
      <c r="A139" s="47">
        <f>データ!A136</f>
        <v>3</v>
      </c>
      <c r="B139" s="47" t="str">
        <f>TRIM(データ!C136)</f>
        <v/>
      </c>
      <c r="C139" s="47" t="str">
        <f>TRIM(データ!D136)</f>
        <v>運搬費</v>
      </c>
      <c r="D139" s="36" t="str">
        <f>REPT("｜",$A139)&amp;TRIM(データ!E136)</f>
        <v>｜｜｜2tダンプ</v>
      </c>
      <c r="E139" s="37" t="str">
        <f>TRIM(データ!F136)</f>
        <v/>
      </c>
      <c r="F139" s="38" t="str">
        <f>TRIM(データ!G136)</f>
        <v>台</v>
      </c>
      <c r="G139" s="50">
        <f>データ!H136</f>
        <v>2</v>
      </c>
      <c r="H139" s="48">
        <f>データ!I136</f>
        <v>7000</v>
      </c>
      <c r="I139" s="48">
        <f>データ!J136</f>
        <v>14000</v>
      </c>
      <c r="J139" s="39" t="str">
        <f>IF(OR($C139="総括",$C139="内訳書",$C139="内訳代価",$C139="明細書",$C139="明細代価",$C139="代価表",$C139="単価表"),データ!K136,"")</f>
        <v/>
      </c>
      <c r="K139" s="11" t="str">
        <f t="shared" si="12"/>
        <v/>
      </c>
      <c r="L139" s="46">
        <f t="shared" si="13"/>
        <v>2.0157516593955624E-4</v>
      </c>
      <c r="M139" s="40" t="str">
        <f>IF(データ!L136="","",データ!L136)</f>
        <v/>
      </c>
      <c r="N139" s="41" t="str">
        <f>IF(データ!M136="","",データ!M136)</f>
        <v/>
      </c>
      <c r="O139" s="42">
        <f>データ!N136</f>
        <v>0</v>
      </c>
      <c r="P139" s="48">
        <f>IF($C139="集計行","",データ!O136)</f>
        <v>0</v>
      </c>
      <c r="Q139" s="48">
        <f>データ!P136</f>
        <v>0</v>
      </c>
      <c r="R139" s="39" t="str">
        <f>IF(OR($C139="総括",$C139="内訳書",$C139="内訳代価",$C139="明細書",$C139="明細代価",$C139="代価表",$C139="単価表"),データ!Q136,"")</f>
        <v/>
      </c>
      <c r="S139" s="11" t="str">
        <f t="shared" si="14"/>
        <v/>
      </c>
      <c r="T139" s="46" t="e">
        <f t="shared" si="15"/>
        <v>#DIV/0!</v>
      </c>
      <c r="U139" s="40" t="str">
        <f>IF(データ!R136="","",データ!R136)</f>
        <v/>
      </c>
      <c r="V139" s="41" t="str">
        <f>IF(データ!S136="","",データ!S136)</f>
        <v/>
      </c>
      <c r="W139" s="42">
        <f>データ!T136</f>
        <v>0</v>
      </c>
      <c r="X139" s="48">
        <f>IF($C139="集計行","",データ!U136)</f>
        <v>0</v>
      </c>
      <c r="Y139" s="48">
        <f>データ!V136</f>
        <v>0</v>
      </c>
      <c r="Z139" s="39" t="str">
        <f>IF(OR($C139="総括",$C139="内訳書",$C139="内訳代価",$C139="明細書",$C139="明細代価",$C139="代価表",$C139="単価表"),データ!W136,"")</f>
        <v/>
      </c>
      <c r="AA139" s="11" t="str">
        <f t="shared" si="16"/>
        <v/>
      </c>
      <c r="AB139" s="46" t="e">
        <f t="shared" si="17"/>
        <v>#DIV/0!</v>
      </c>
      <c r="AC139" s="40" t="str">
        <f>IF(データ!X136="","",データ!X136)</f>
        <v/>
      </c>
      <c r="AD139" s="41" t="str">
        <f>IF(データ!Y136="","",データ!Y136)</f>
        <v/>
      </c>
      <c r="AE139" s="47" t="str">
        <f>TRIM(データ!B136)</f>
        <v/>
      </c>
      <c r="AF139" s="43" t="str">
        <f>TRIM(データ!Z136)</f>
        <v/>
      </c>
    </row>
    <row r="140" spans="1:32" x14ac:dyDescent="0.15">
      <c r="A140" s="47">
        <f>データ!A137</f>
        <v>3</v>
      </c>
      <c r="B140" s="47" t="str">
        <f>TRIM(データ!C137)</f>
        <v/>
      </c>
      <c r="C140" s="47" t="str">
        <f>TRIM(データ!D137)</f>
        <v>材料費</v>
      </c>
      <c r="D140" s="36" t="str">
        <f>REPT("｜",$A140)&amp;TRIM(データ!E137)</f>
        <v>｜｜｜軽油</v>
      </c>
      <c r="E140" s="37" t="str">
        <f>TRIM(データ!F137)</f>
        <v/>
      </c>
      <c r="F140" s="38" t="str">
        <f>TRIM(データ!G137)</f>
        <v>リットル</v>
      </c>
      <c r="G140" s="50">
        <f>データ!H137</f>
        <v>80</v>
      </c>
      <c r="H140" s="48">
        <f>データ!I137</f>
        <v>150</v>
      </c>
      <c r="I140" s="48">
        <f>データ!J137</f>
        <v>12000</v>
      </c>
      <c r="J140" s="39" t="str">
        <f>IF(OR($C140="総括",$C140="内訳書",$C140="内訳代価",$C140="明細書",$C140="明細代価",$C140="代価表",$C140="単価表"),データ!K137,"")</f>
        <v/>
      </c>
      <c r="K140" s="11" t="str">
        <f t="shared" si="12"/>
        <v/>
      </c>
      <c r="L140" s="46">
        <f t="shared" si="13"/>
        <v>1.7277871366247678E-4</v>
      </c>
      <c r="M140" s="40" t="str">
        <f>IF(データ!L137="","",データ!L137)</f>
        <v/>
      </c>
      <c r="N140" s="41" t="str">
        <f>IF(データ!M137="","",データ!M137)</f>
        <v/>
      </c>
      <c r="O140" s="42">
        <f>データ!N137</f>
        <v>0</v>
      </c>
      <c r="P140" s="48">
        <f>IF($C140="集計行","",データ!O137)</f>
        <v>0</v>
      </c>
      <c r="Q140" s="48">
        <f>データ!P137</f>
        <v>0</v>
      </c>
      <c r="R140" s="39" t="str">
        <f>IF(OR($C140="総括",$C140="内訳書",$C140="内訳代価",$C140="明細書",$C140="明細代価",$C140="代価表",$C140="単価表"),データ!Q137,"")</f>
        <v/>
      </c>
      <c r="S140" s="11" t="str">
        <f t="shared" si="14"/>
        <v/>
      </c>
      <c r="T140" s="46" t="e">
        <f t="shared" si="15"/>
        <v>#DIV/0!</v>
      </c>
      <c r="U140" s="40" t="str">
        <f>IF(データ!R137="","",データ!R137)</f>
        <v/>
      </c>
      <c r="V140" s="41" t="str">
        <f>IF(データ!S137="","",データ!S137)</f>
        <v/>
      </c>
      <c r="W140" s="42">
        <f>データ!T137</f>
        <v>0</v>
      </c>
      <c r="X140" s="48">
        <f>IF($C140="集計行","",データ!U137)</f>
        <v>0</v>
      </c>
      <c r="Y140" s="48">
        <f>データ!V137</f>
        <v>0</v>
      </c>
      <c r="Z140" s="39" t="str">
        <f>IF(OR($C140="総括",$C140="内訳書",$C140="内訳代価",$C140="明細書",$C140="明細代価",$C140="代価表",$C140="単価表"),データ!W137,"")</f>
        <v/>
      </c>
      <c r="AA140" s="11" t="str">
        <f t="shared" si="16"/>
        <v/>
      </c>
      <c r="AB140" s="46" t="e">
        <f t="shared" si="17"/>
        <v>#DIV/0!</v>
      </c>
      <c r="AC140" s="40" t="str">
        <f>IF(データ!X137="","",データ!X137)</f>
        <v/>
      </c>
      <c r="AD140" s="41" t="str">
        <f>IF(データ!Y137="","",データ!Y137)</f>
        <v/>
      </c>
      <c r="AE140" s="47" t="str">
        <f>TRIM(データ!B137)</f>
        <v/>
      </c>
      <c r="AF140" s="43" t="str">
        <f>TRIM(データ!Z137)</f>
        <v/>
      </c>
    </row>
    <row r="141" spans="1:32" x14ac:dyDescent="0.15">
      <c r="A141" s="47">
        <f>データ!A138</f>
        <v>3</v>
      </c>
      <c r="B141" s="47" t="str">
        <f>TRIM(データ!C138)</f>
        <v/>
      </c>
      <c r="C141" s="47" t="str">
        <f>TRIM(データ!D138)</f>
        <v>材料費</v>
      </c>
      <c r="D141" s="36" t="str">
        <f>REPT("｜",$A141)&amp;TRIM(データ!E138)</f>
        <v>｜｜｜ガソリン</v>
      </c>
      <c r="E141" s="37" t="str">
        <f>TRIM(データ!F138)</f>
        <v/>
      </c>
      <c r="F141" s="38" t="str">
        <f>TRIM(データ!G138)</f>
        <v>リットル</v>
      </c>
      <c r="G141" s="50">
        <f>データ!H138</f>
        <v>80</v>
      </c>
      <c r="H141" s="48">
        <f>データ!I138</f>
        <v>200</v>
      </c>
      <c r="I141" s="48">
        <f>データ!J138</f>
        <v>16000</v>
      </c>
      <c r="J141" s="39" t="str">
        <f>IF(OR($C141="総括",$C141="内訳書",$C141="内訳代価",$C141="明細書",$C141="明細代価",$C141="代価表",$C141="単価表"),データ!K138,"")</f>
        <v/>
      </c>
      <c r="K141" s="11" t="str">
        <f t="shared" si="12"/>
        <v/>
      </c>
      <c r="L141" s="46">
        <f t="shared" si="13"/>
        <v>2.303716182166357E-4</v>
      </c>
      <c r="M141" s="40" t="str">
        <f>IF(データ!L138="","",データ!L138)</f>
        <v/>
      </c>
      <c r="N141" s="41" t="str">
        <f>IF(データ!M138="","",データ!M138)</f>
        <v/>
      </c>
      <c r="O141" s="42">
        <f>データ!N138</f>
        <v>0</v>
      </c>
      <c r="P141" s="48">
        <f>IF($C141="集計行","",データ!O138)</f>
        <v>0</v>
      </c>
      <c r="Q141" s="48">
        <f>データ!P138</f>
        <v>0</v>
      </c>
      <c r="R141" s="39" t="str">
        <f>IF(OR($C141="総括",$C141="内訳書",$C141="内訳代価",$C141="明細書",$C141="明細代価",$C141="代価表",$C141="単価表"),データ!Q138,"")</f>
        <v/>
      </c>
      <c r="S141" s="11" t="str">
        <f t="shared" si="14"/>
        <v/>
      </c>
      <c r="T141" s="46" t="e">
        <f t="shared" si="15"/>
        <v>#DIV/0!</v>
      </c>
      <c r="U141" s="40" t="str">
        <f>IF(データ!R138="","",データ!R138)</f>
        <v/>
      </c>
      <c r="V141" s="41" t="str">
        <f>IF(データ!S138="","",データ!S138)</f>
        <v/>
      </c>
      <c r="W141" s="42">
        <f>データ!T138</f>
        <v>0</v>
      </c>
      <c r="X141" s="48">
        <f>IF($C141="集計行","",データ!U138)</f>
        <v>0</v>
      </c>
      <c r="Y141" s="48">
        <f>データ!V138</f>
        <v>0</v>
      </c>
      <c r="Z141" s="39" t="str">
        <f>IF(OR($C141="総括",$C141="内訳書",$C141="内訳代価",$C141="明細書",$C141="明細代価",$C141="代価表",$C141="単価表"),データ!W138,"")</f>
        <v/>
      </c>
      <c r="AA141" s="11" t="str">
        <f t="shared" si="16"/>
        <v/>
      </c>
      <c r="AB141" s="46" t="e">
        <f t="shared" si="17"/>
        <v>#DIV/0!</v>
      </c>
      <c r="AC141" s="40" t="str">
        <f>IF(データ!X138="","",データ!X138)</f>
        <v/>
      </c>
      <c r="AD141" s="41" t="str">
        <f>IF(データ!Y138="","",データ!Y138)</f>
        <v/>
      </c>
      <c r="AE141" s="47" t="str">
        <f>TRIM(データ!B138)</f>
        <v/>
      </c>
      <c r="AF141" s="43" t="str">
        <f>TRIM(データ!Z138)</f>
        <v/>
      </c>
    </row>
    <row r="142" spans="1:32" x14ac:dyDescent="0.15">
      <c r="A142" s="47">
        <f>データ!A139</f>
        <v>3</v>
      </c>
      <c r="B142" s="47" t="str">
        <f>TRIM(データ!C139)</f>
        <v/>
      </c>
      <c r="C142" s="47" t="str">
        <f>TRIM(データ!D139)</f>
        <v>材料費</v>
      </c>
      <c r="D142" s="36" t="str">
        <f>REPT("｜",$A142)&amp;TRIM(データ!E139)</f>
        <v>｜｜｜雑材</v>
      </c>
      <c r="E142" s="37" t="str">
        <f>TRIM(データ!F139)</f>
        <v/>
      </c>
      <c r="F142" s="38" t="str">
        <f>TRIM(データ!G139)</f>
        <v>式</v>
      </c>
      <c r="G142" s="50">
        <f>データ!H139</f>
        <v>1</v>
      </c>
      <c r="H142" s="48">
        <f>データ!I139</f>
        <v>17110</v>
      </c>
      <c r="I142" s="48">
        <f>データ!J139</f>
        <v>17110</v>
      </c>
      <c r="J142" s="39" t="str">
        <f>IF(OR($C142="総括",$C142="内訳書",$C142="内訳代価",$C142="明細書",$C142="明細代価",$C142="代価表",$C142="単価表"),データ!K139,"")</f>
        <v/>
      </c>
      <c r="K142" s="11" t="str">
        <f t="shared" si="12"/>
        <v/>
      </c>
      <c r="L142" s="46">
        <f t="shared" si="13"/>
        <v>2.4635364923041481E-4</v>
      </c>
      <c r="M142" s="40" t="str">
        <f>IF(データ!L139="","",データ!L139)</f>
        <v/>
      </c>
      <c r="N142" s="41" t="str">
        <f>IF(データ!M139="","",データ!M139)</f>
        <v/>
      </c>
      <c r="O142" s="42">
        <f>データ!N139</f>
        <v>0</v>
      </c>
      <c r="P142" s="48">
        <f>IF($C142="集計行","",データ!O139)</f>
        <v>0</v>
      </c>
      <c r="Q142" s="48">
        <f>データ!P139</f>
        <v>0</v>
      </c>
      <c r="R142" s="39" t="str">
        <f>IF(OR($C142="総括",$C142="内訳書",$C142="内訳代価",$C142="明細書",$C142="明細代価",$C142="代価表",$C142="単価表"),データ!Q139,"")</f>
        <v/>
      </c>
      <c r="S142" s="11" t="str">
        <f t="shared" si="14"/>
        <v/>
      </c>
      <c r="T142" s="46" t="e">
        <f t="shared" si="15"/>
        <v>#DIV/0!</v>
      </c>
      <c r="U142" s="40" t="str">
        <f>IF(データ!R139="","",データ!R139)</f>
        <v/>
      </c>
      <c r="V142" s="41" t="str">
        <f>IF(データ!S139="","",データ!S139)</f>
        <v/>
      </c>
      <c r="W142" s="42">
        <f>データ!T139</f>
        <v>0</v>
      </c>
      <c r="X142" s="48">
        <f>IF($C142="集計行","",データ!U139)</f>
        <v>0</v>
      </c>
      <c r="Y142" s="48">
        <f>データ!V139</f>
        <v>0</v>
      </c>
      <c r="Z142" s="39" t="str">
        <f>IF(OR($C142="総括",$C142="内訳書",$C142="内訳代価",$C142="明細書",$C142="明細代価",$C142="代価表",$C142="単価表"),データ!W139,"")</f>
        <v/>
      </c>
      <c r="AA142" s="11" t="str">
        <f t="shared" si="16"/>
        <v/>
      </c>
      <c r="AB142" s="46" t="e">
        <f t="shared" si="17"/>
        <v>#DIV/0!</v>
      </c>
      <c r="AC142" s="40" t="str">
        <f>IF(データ!X139="","",データ!X139)</f>
        <v/>
      </c>
      <c r="AD142" s="41" t="str">
        <f>IF(データ!Y139="","",データ!Y139)</f>
        <v/>
      </c>
      <c r="AE142" s="47" t="str">
        <f>TRIM(データ!B139)</f>
        <v/>
      </c>
      <c r="AF142" s="43" t="str">
        <f>TRIM(データ!Z139)</f>
        <v/>
      </c>
    </row>
    <row r="143" spans="1:32" x14ac:dyDescent="0.15">
      <c r="A143" s="47">
        <f>データ!A140</f>
        <v>3</v>
      </c>
      <c r="B143" s="47" t="str">
        <f>TRIM(データ!C140)</f>
        <v/>
      </c>
      <c r="C143" s="47" t="str">
        <f>TRIM(データ!D140)</f>
        <v>外注費</v>
      </c>
      <c r="D143" s="36" t="str">
        <f>REPT("｜",$A143)&amp;TRIM(データ!E140)</f>
        <v>｜｜｜外注経費</v>
      </c>
      <c r="E143" s="37" t="str">
        <f>TRIM(データ!F140)</f>
        <v/>
      </c>
      <c r="F143" s="38" t="str">
        <f>TRIM(データ!G140)</f>
        <v>式</v>
      </c>
      <c r="G143" s="50">
        <f>データ!H140</f>
        <v>1</v>
      </c>
      <c r="H143" s="48">
        <f>データ!I140</f>
        <v>30800</v>
      </c>
      <c r="I143" s="48">
        <f>データ!J140</f>
        <v>30800</v>
      </c>
      <c r="J143" s="39" t="str">
        <f>IF(OR($C143="総括",$C143="内訳書",$C143="内訳代価",$C143="明細書",$C143="明細代価",$C143="代価表",$C143="単価表"),データ!K140,"")</f>
        <v/>
      </c>
      <c r="K143" s="11" t="str">
        <f t="shared" si="12"/>
        <v/>
      </c>
      <c r="L143" s="46">
        <f t="shared" si="13"/>
        <v>4.4346536506702374E-4</v>
      </c>
      <c r="M143" s="40" t="str">
        <f>IF(データ!L140="","",データ!L140)</f>
        <v/>
      </c>
      <c r="N143" s="41" t="str">
        <f>IF(データ!M140="","",データ!M140)</f>
        <v/>
      </c>
      <c r="O143" s="42">
        <f>データ!N140</f>
        <v>0</v>
      </c>
      <c r="P143" s="48">
        <f>IF($C143="集計行","",データ!O140)</f>
        <v>0</v>
      </c>
      <c r="Q143" s="48">
        <f>データ!P140</f>
        <v>0</v>
      </c>
      <c r="R143" s="39" t="str">
        <f>IF(OR($C143="総括",$C143="内訳書",$C143="内訳代価",$C143="明細書",$C143="明細代価",$C143="代価表",$C143="単価表"),データ!Q140,"")</f>
        <v/>
      </c>
      <c r="S143" s="11" t="str">
        <f t="shared" si="14"/>
        <v/>
      </c>
      <c r="T143" s="46" t="e">
        <f t="shared" si="15"/>
        <v>#DIV/0!</v>
      </c>
      <c r="U143" s="40" t="str">
        <f>IF(データ!R140="","",データ!R140)</f>
        <v/>
      </c>
      <c r="V143" s="41" t="str">
        <f>IF(データ!S140="","",データ!S140)</f>
        <v/>
      </c>
      <c r="W143" s="42">
        <f>データ!T140</f>
        <v>0</v>
      </c>
      <c r="X143" s="48">
        <f>IF($C143="集計行","",データ!U140)</f>
        <v>0</v>
      </c>
      <c r="Y143" s="48">
        <f>データ!V140</f>
        <v>0</v>
      </c>
      <c r="Z143" s="39" t="str">
        <f>IF(OR($C143="総括",$C143="内訳書",$C143="内訳代価",$C143="明細書",$C143="明細代価",$C143="代価表",$C143="単価表"),データ!W140,"")</f>
        <v/>
      </c>
      <c r="AA143" s="11" t="str">
        <f t="shared" si="16"/>
        <v/>
      </c>
      <c r="AB143" s="46" t="e">
        <f t="shared" si="17"/>
        <v>#DIV/0!</v>
      </c>
      <c r="AC143" s="40" t="str">
        <f>IF(データ!X140="","",データ!X140)</f>
        <v/>
      </c>
      <c r="AD143" s="41" t="str">
        <f>IF(データ!Y140="","",データ!Y140)</f>
        <v/>
      </c>
      <c r="AE143" s="47" t="str">
        <f>TRIM(データ!B140)</f>
        <v/>
      </c>
      <c r="AF143" s="43" t="str">
        <f>TRIM(データ!Z140)</f>
        <v/>
      </c>
    </row>
    <row r="144" spans="1:32" x14ac:dyDescent="0.15">
      <c r="A144" s="47">
        <f>データ!A141</f>
        <v>2</v>
      </c>
      <c r="B144" s="47" t="str">
        <f>TRIM(データ!C141)</f>
        <v/>
      </c>
      <c r="C144" s="47" t="str">
        <f>TRIM(データ!D141)</f>
        <v>内訳書</v>
      </c>
      <c r="D144" s="36" t="str">
        <f>REPT("｜",$A144)&amp;TRIM(データ!E141)</f>
        <v>｜｜自由勾配側溝　VS300×H500</v>
      </c>
      <c r="E144" s="37" t="str">
        <f>TRIM(データ!F141)</f>
        <v/>
      </c>
      <c r="F144" s="38" t="str">
        <f>TRIM(データ!G141)</f>
        <v>ｍ</v>
      </c>
      <c r="G144" s="50">
        <f>データ!H141</f>
        <v>41.4</v>
      </c>
      <c r="H144" s="48">
        <f>データ!I141</f>
        <v>27400</v>
      </c>
      <c r="I144" s="48">
        <f>データ!J141</f>
        <v>1134360</v>
      </c>
      <c r="J144" s="39">
        <f>IF(OR($C144="総括",$C144="内訳書",$C144="内訳代価",$C144="明細書",$C144="明細代価",$C144="代価表",$C144="単価表"),データ!K141,"")</f>
        <v>41.4</v>
      </c>
      <c r="K144" s="11" t="str">
        <f t="shared" si="12"/>
        <v/>
      </c>
      <c r="L144" s="46">
        <f t="shared" si="13"/>
        <v>1.633277180251393E-2</v>
      </c>
      <c r="M144" s="40" t="str">
        <f>IF(データ!L141="","",データ!L141)</f>
        <v/>
      </c>
      <c r="N144" s="41" t="str">
        <f>IF(データ!M141="","",データ!M141)</f>
        <v>35号内訳書</v>
      </c>
      <c r="O144" s="42">
        <f>データ!N141</f>
        <v>0</v>
      </c>
      <c r="P144" s="48">
        <f>IF($C144="集計行","",データ!O141)</f>
        <v>0</v>
      </c>
      <c r="Q144" s="48">
        <f>データ!P141</f>
        <v>0</v>
      </c>
      <c r="R144" s="39">
        <f>IF(OR($C144="総括",$C144="内訳書",$C144="内訳代価",$C144="明細書",$C144="明細代価",$C144="代価表",$C144="単価表"),データ!Q141,"")</f>
        <v>0</v>
      </c>
      <c r="S144" s="11" t="str">
        <f t="shared" si="14"/>
        <v/>
      </c>
      <c r="T144" s="46" t="e">
        <f t="shared" si="15"/>
        <v>#DIV/0!</v>
      </c>
      <c r="U144" s="40" t="str">
        <f>IF(データ!R141="","",データ!R141)</f>
        <v/>
      </c>
      <c r="V144" s="41" t="str">
        <f>IF(データ!S141="","",データ!S141)</f>
        <v/>
      </c>
      <c r="W144" s="42">
        <f>データ!T141</f>
        <v>0</v>
      </c>
      <c r="X144" s="48">
        <f>IF($C144="集計行","",データ!U141)</f>
        <v>0</v>
      </c>
      <c r="Y144" s="48">
        <f>データ!V141</f>
        <v>0</v>
      </c>
      <c r="Z144" s="39">
        <f>IF(OR($C144="総括",$C144="内訳書",$C144="内訳代価",$C144="明細書",$C144="明細代価",$C144="代価表",$C144="単価表"),データ!W141,"")</f>
        <v>0</v>
      </c>
      <c r="AA144" s="11" t="str">
        <f t="shared" si="16"/>
        <v/>
      </c>
      <c r="AB144" s="46" t="e">
        <f t="shared" si="17"/>
        <v>#DIV/0!</v>
      </c>
      <c r="AC144" s="40" t="str">
        <f>IF(データ!X141="","",データ!X141)</f>
        <v/>
      </c>
      <c r="AD144" s="41" t="str">
        <f>IF(データ!Y141="","",データ!Y141)</f>
        <v/>
      </c>
      <c r="AE144" s="47" t="str">
        <f>TRIM(データ!B141)</f>
        <v/>
      </c>
      <c r="AF144" s="43" t="str">
        <f>TRIM(データ!Z141)</f>
        <v/>
      </c>
    </row>
    <row r="145" spans="1:32" x14ac:dyDescent="0.15">
      <c r="A145" s="47">
        <f>データ!A142</f>
        <v>3</v>
      </c>
      <c r="B145" s="47" t="str">
        <f>TRIM(データ!C142)</f>
        <v/>
      </c>
      <c r="C145" s="47" t="str">
        <f>TRIM(データ!D142)</f>
        <v>材料費</v>
      </c>
      <c r="D145" s="36" t="str">
        <f>REPT("｜",$A145)&amp;TRIM(データ!E142)</f>
        <v>｜｜｜VS300×500×L2000</v>
      </c>
      <c r="E145" s="37" t="str">
        <f>TRIM(データ!F142)</f>
        <v/>
      </c>
      <c r="F145" s="38" t="str">
        <f>TRIM(データ!G142)</f>
        <v>本</v>
      </c>
      <c r="G145" s="50">
        <f>データ!H142</f>
        <v>18</v>
      </c>
      <c r="H145" s="48">
        <f>データ!I142</f>
        <v>14000</v>
      </c>
      <c r="I145" s="48">
        <f>データ!J142</f>
        <v>252000</v>
      </c>
      <c r="J145" s="39" t="str">
        <f>IF(OR($C145="総括",$C145="内訳書",$C145="内訳代価",$C145="明細書",$C145="明細代価",$C145="代価表",$C145="単価表"),データ!K142,"")</f>
        <v/>
      </c>
      <c r="K145" s="11" t="str">
        <f t="shared" si="12"/>
        <v/>
      </c>
      <c r="L145" s="46">
        <f t="shared" si="13"/>
        <v>3.6283529869120122E-3</v>
      </c>
      <c r="M145" s="40" t="str">
        <f>IF(データ!L142="","",データ!L142)</f>
        <v/>
      </c>
      <c r="N145" s="41" t="str">
        <f>IF(データ!M142="","",データ!M142)</f>
        <v/>
      </c>
      <c r="O145" s="42">
        <f>データ!N142</f>
        <v>0</v>
      </c>
      <c r="P145" s="48">
        <f>IF($C145="集計行","",データ!O142)</f>
        <v>0</v>
      </c>
      <c r="Q145" s="48">
        <f>データ!P142</f>
        <v>0</v>
      </c>
      <c r="R145" s="39" t="str">
        <f>IF(OR($C145="総括",$C145="内訳書",$C145="内訳代価",$C145="明細書",$C145="明細代価",$C145="代価表",$C145="単価表"),データ!Q142,"")</f>
        <v/>
      </c>
      <c r="S145" s="11" t="str">
        <f t="shared" si="14"/>
        <v/>
      </c>
      <c r="T145" s="46" t="e">
        <f t="shared" si="15"/>
        <v>#DIV/0!</v>
      </c>
      <c r="U145" s="40" t="str">
        <f>IF(データ!R142="","",データ!R142)</f>
        <v/>
      </c>
      <c r="V145" s="41" t="str">
        <f>IF(データ!S142="","",データ!S142)</f>
        <v/>
      </c>
      <c r="W145" s="42">
        <f>データ!T142</f>
        <v>0</v>
      </c>
      <c r="X145" s="48">
        <f>IF($C145="集計行","",データ!U142)</f>
        <v>0</v>
      </c>
      <c r="Y145" s="48">
        <f>データ!V142</f>
        <v>0</v>
      </c>
      <c r="Z145" s="39" t="str">
        <f>IF(OR($C145="総括",$C145="内訳書",$C145="内訳代価",$C145="明細書",$C145="明細代価",$C145="代価表",$C145="単価表"),データ!W142,"")</f>
        <v/>
      </c>
      <c r="AA145" s="11" t="str">
        <f t="shared" si="16"/>
        <v/>
      </c>
      <c r="AB145" s="46" t="e">
        <f t="shared" si="17"/>
        <v>#DIV/0!</v>
      </c>
      <c r="AC145" s="40" t="str">
        <f>IF(データ!X142="","",データ!X142)</f>
        <v/>
      </c>
      <c r="AD145" s="41" t="str">
        <f>IF(データ!Y142="","",データ!Y142)</f>
        <v/>
      </c>
      <c r="AE145" s="47" t="str">
        <f>TRIM(データ!B142)</f>
        <v/>
      </c>
      <c r="AF145" s="43" t="str">
        <f>TRIM(データ!Z142)</f>
        <v/>
      </c>
    </row>
    <row r="146" spans="1:32" x14ac:dyDescent="0.15">
      <c r="A146" s="47">
        <f>データ!A143</f>
        <v>3</v>
      </c>
      <c r="B146" s="47" t="str">
        <f>TRIM(データ!C143)</f>
        <v/>
      </c>
      <c r="C146" s="47" t="str">
        <f>TRIM(データ!D143)</f>
        <v>材料費</v>
      </c>
      <c r="D146" s="36" t="str">
        <f>REPT("｜",$A146)&amp;TRIM(データ!E143)</f>
        <v>｜｜｜VS300×500×L1500</v>
      </c>
      <c r="E146" s="37" t="str">
        <f>TRIM(データ!F143)</f>
        <v/>
      </c>
      <c r="F146" s="38" t="str">
        <f>TRIM(データ!G143)</f>
        <v>本</v>
      </c>
      <c r="G146" s="50">
        <f>データ!H143</f>
        <v>4</v>
      </c>
      <c r="H146" s="48">
        <f>データ!I143</f>
        <v>12500</v>
      </c>
      <c r="I146" s="48">
        <f>データ!J143</f>
        <v>50000</v>
      </c>
      <c r="J146" s="39" t="str">
        <f>IF(OR($C146="総括",$C146="内訳書",$C146="内訳代価",$C146="明細書",$C146="明細代価",$C146="代価表",$C146="単価表"),データ!K143,"")</f>
        <v/>
      </c>
      <c r="K146" s="11" t="str">
        <f t="shared" si="12"/>
        <v/>
      </c>
      <c r="L146" s="46">
        <f t="shared" si="13"/>
        <v>7.1991130692698659E-4</v>
      </c>
      <c r="M146" s="40" t="str">
        <f>IF(データ!L143="","",データ!L143)</f>
        <v/>
      </c>
      <c r="N146" s="41" t="str">
        <f>IF(データ!M143="","",データ!M143)</f>
        <v/>
      </c>
      <c r="O146" s="42">
        <f>データ!N143</f>
        <v>0</v>
      </c>
      <c r="P146" s="48">
        <f>IF($C146="集計行","",データ!O143)</f>
        <v>0</v>
      </c>
      <c r="Q146" s="48">
        <f>データ!P143</f>
        <v>0</v>
      </c>
      <c r="R146" s="39" t="str">
        <f>IF(OR($C146="総括",$C146="内訳書",$C146="内訳代価",$C146="明細書",$C146="明細代価",$C146="代価表",$C146="単価表"),データ!Q143,"")</f>
        <v/>
      </c>
      <c r="S146" s="11" t="str">
        <f t="shared" si="14"/>
        <v/>
      </c>
      <c r="T146" s="46" t="e">
        <f t="shared" si="15"/>
        <v>#DIV/0!</v>
      </c>
      <c r="U146" s="40" t="str">
        <f>IF(データ!R143="","",データ!R143)</f>
        <v/>
      </c>
      <c r="V146" s="41" t="str">
        <f>IF(データ!S143="","",データ!S143)</f>
        <v/>
      </c>
      <c r="W146" s="42">
        <f>データ!T143</f>
        <v>0</v>
      </c>
      <c r="X146" s="48">
        <f>IF($C146="集計行","",データ!U143)</f>
        <v>0</v>
      </c>
      <c r="Y146" s="48">
        <f>データ!V143</f>
        <v>0</v>
      </c>
      <c r="Z146" s="39" t="str">
        <f>IF(OR($C146="総括",$C146="内訳書",$C146="内訳代価",$C146="明細書",$C146="明細代価",$C146="代価表",$C146="単価表"),データ!W143,"")</f>
        <v/>
      </c>
      <c r="AA146" s="11" t="str">
        <f t="shared" si="16"/>
        <v/>
      </c>
      <c r="AB146" s="46" t="e">
        <f t="shared" si="17"/>
        <v>#DIV/0!</v>
      </c>
      <c r="AC146" s="40" t="str">
        <f>IF(データ!X143="","",データ!X143)</f>
        <v/>
      </c>
      <c r="AD146" s="41" t="str">
        <f>IF(データ!Y143="","",データ!Y143)</f>
        <v/>
      </c>
      <c r="AE146" s="47" t="str">
        <f>TRIM(データ!B143)</f>
        <v/>
      </c>
      <c r="AF146" s="43" t="str">
        <f>TRIM(データ!Z143)</f>
        <v/>
      </c>
    </row>
    <row r="147" spans="1:32" x14ac:dyDescent="0.15">
      <c r="A147" s="47">
        <f>データ!A144</f>
        <v>3</v>
      </c>
      <c r="B147" s="47" t="str">
        <f>TRIM(データ!C144)</f>
        <v/>
      </c>
      <c r="C147" s="47" t="str">
        <f>TRIM(データ!D144)</f>
        <v>材料費</v>
      </c>
      <c r="D147" s="36" t="str">
        <f>REPT("｜",$A147)&amp;TRIM(データ!E144)</f>
        <v>｜｜｜グレーチング蓋　T-25</v>
      </c>
      <c r="E147" s="37" t="str">
        <f>TRIM(データ!F144)</f>
        <v>L=995</v>
      </c>
      <c r="F147" s="38" t="str">
        <f>TRIM(データ!G144)</f>
        <v>枚</v>
      </c>
      <c r="G147" s="50">
        <f>データ!H144</f>
        <v>4</v>
      </c>
      <c r="H147" s="48">
        <f>データ!I144</f>
        <v>26000</v>
      </c>
      <c r="I147" s="48">
        <f>データ!J144</f>
        <v>104000</v>
      </c>
      <c r="J147" s="39" t="str">
        <f>IF(OR($C147="総括",$C147="内訳書",$C147="内訳代価",$C147="明細書",$C147="明細代価",$C147="代価表",$C147="単価表"),データ!K144,"")</f>
        <v/>
      </c>
      <c r="K147" s="11" t="str">
        <f t="shared" si="12"/>
        <v/>
      </c>
      <c r="L147" s="46">
        <f t="shared" si="13"/>
        <v>1.4974155184081322E-3</v>
      </c>
      <c r="M147" s="40" t="str">
        <f>IF(データ!L144="","",データ!L144)</f>
        <v/>
      </c>
      <c r="N147" s="41" t="str">
        <f>IF(データ!M144="","",データ!M144)</f>
        <v/>
      </c>
      <c r="O147" s="42">
        <f>データ!N144</f>
        <v>0</v>
      </c>
      <c r="P147" s="48">
        <f>IF($C147="集計行","",データ!O144)</f>
        <v>0</v>
      </c>
      <c r="Q147" s="48">
        <f>データ!P144</f>
        <v>0</v>
      </c>
      <c r="R147" s="39" t="str">
        <f>IF(OR($C147="総括",$C147="内訳書",$C147="内訳代価",$C147="明細書",$C147="明細代価",$C147="代価表",$C147="単価表"),データ!Q144,"")</f>
        <v/>
      </c>
      <c r="S147" s="11" t="str">
        <f t="shared" si="14"/>
        <v/>
      </c>
      <c r="T147" s="46" t="e">
        <f t="shared" si="15"/>
        <v>#DIV/0!</v>
      </c>
      <c r="U147" s="40" t="str">
        <f>IF(データ!R144="","",データ!R144)</f>
        <v/>
      </c>
      <c r="V147" s="41" t="str">
        <f>IF(データ!S144="","",データ!S144)</f>
        <v/>
      </c>
      <c r="W147" s="42">
        <f>データ!T144</f>
        <v>0</v>
      </c>
      <c r="X147" s="48">
        <f>IF($C147="集計行","",データ!U144)</f>
        <v>0</v>
      </c>
      <c r="Y147" s="48">
        <f>データ!V144</f>
        <v>0</v>
      </c>
      <c r="Z147" s="39" t="str">
        <f>IF(OR($C147="総括",$C147="内訳書",$C147="内訳代価",$C147="明細書",$C147="明細代価",$C147="代価表",$C147="単価表"),データ!W144,"")</f>
        <v/>
      </c>
      <c r="AA147" s="11" t="str">
        <f t="shared" si="16"/>
        <v/>
      </c>
      <c r="AB147" s="46" t="e">
        <f t="shared" si="17"/>
        <v>#DIV/0!</v>
      </c>
      <c r="AC147" s="40" t="str">
        <f>IF(データ!X144="","",データ!X144)</f>
        <v/>
      </c>
      <c r="AD147" s="41" t="str">
        <f>IF(データ!Y144="","",データ!Y144)</f>
        <v/>
      </c>
      <c r="AE147" s="47" t="str">
        <f>TRIM(データ!B144)</f>
        <v/>
      </c>
      <c r="AF147" s="43" t="str">
        <f>TRIM(データ!Z144)</f>
        <v/>
      </c>
    </row>
    <row r="148" spans="1:32" x14ac:dyDescent="0.15">
      <c r="A148" s="47">
        <f>データ!A145</f>
        <v>3</v>
      </c>
      <c r="B148" s="47" t="str">
        <f>TRIM(データ!C145)</f>
        <v/>
      </c>
      <c r="C148" s="47" t="str">
        <f>TRIM(データ!D145)</f>
        <v>材料費</v>
      </c>
      <c r="D148" s="36" t="str">
        <f>REPT("｜",$A148)&amp;TRIM(データ!E145)</f>
        <v>｜｜｜コンクリート蓋</v>
      </c>
      <c r="E148" s="37" t="str">
        <f>TRIM(データ!F145)</f>
        <v>L＝500</v>
      </c>
      <c r="F148" s="38" t="str">
        <f>TRIM(データ!G145)</f>
        <v>枚</v>
      </c>
      <c r="G148" s="50">
        <f>データ!H145</f>
        <v>79</v>
      </c>
      <c r="H148" s="48">
        <f>データ!I145</f>
        <v>1510</v>
      </c>
      <c r="I148" s="48">
        <f>データ!J145</f>
        <v>119290</v>
      </c>
      <c r="J148" s="39" t="str">
        <f>IF(OR($C148="総括",$C148="内訳書",$C148="内訳代価",$C148="明細書",$C148="明細代価",$C148="代価表",$C148="単価表"),データ!K145,"")</f>
        <v/>
      </c>
      <c r="K148" s="11" t="str">
        <f t="shared" si="12"/>
        <v/>
      </c>
      <c r="L148" s="46">
        <f t="shared" si="13"/>
        <v>1.7175643960664047E-3</v>
      </c>
      <c r="M148" s="40" t="str">
        <f>IF(データ!L145="","",データ!L145)</f>
        <v/>
      </c>
      <c r="N148" s="41" t="str">
        <f>IF(データ!M145="","",データ!M145)</f>
        <v/>
      </c>
      <c r="O148" s="42">
        <f>データ!N145</f>
        <v>0</v>
      </c>
      <c r="P148" s="48">
        <f>IF($C148="集計行","",データ!O145)</f>
        <v>0</v>
      </c>
      <c r="Q148" s="48">
        <f>データ!P145</f>
        <v>0</v>
      </c>
      <c r="R148" s="39" t="str">
        <f>IF(OR($C148="総括",$C148="内訳書",$C148="内訳代価",$C148="明細書",$C148="明細代価",$C148="代価表",$C148="単価表"),データ!Q145,"")</f>
        <v/>
      </c>
      <c r="S148" s="11" t="str">
        <f t="shared" si="14"/>
        <v/>
      </c>
      <c r="T148" s="46" t="e">
        <f t="shared" si="15"/>
        <v>#DIV/0!</v>
      </c>
      <c r="U148" s="40" t="str">
        <f>IF(データ!R145="","",データ!R145)</f>
        <v/>
      </c>
      <c r="V148" s="41" t="str">
        <f>IF(データ!S145="","",データ!S145)</f>
        <v/>
      </c>
      <c r="W148" s="42">
        <f>データ!T145</f>
        <v>0</v>
      </c>
      <c r="X148" s="48">
        <f>IF($C148="集計行","",データ!U145)</f>
        <v>0</v>
      </c>
      <c r="Y148" s="48">
        <f>データ!V145</f>
        <v>0</v>
      </c>
      <c r="Z148" s="39" t="str">
        <f>IF(OR($C148="総括",$C148="内訳書",$C148="内訳代価",$C148="明細書",$C148="明細代価",$C148="代価表",$C148="単価表"),データ!W145,"")</f>
        <v/>
      </c>
      <c r="AA148" s="11" t="str">
        <f t="shared" si="16"/>
        <v/>
      </c>
      <c r="AB148" s="46" t="e">
        <f t="shared" si="17"/>
        <v>#DIV/0!</v>
      </c>
      <c r="AC148" s="40" t="str">
        <f>IF(データ!X145="","",データ!X145)</f>
        <v/>
      </c>
      <c r="AD148" s="41" t="str">
        <f>IF(データ!Y145="","",データ!Y145)</f>
        <v/>
      </c>
      <c r="AE148" s="47" t="str">
        <f>TRIM(データ!B145)</f>
        <v/>
      </c>
      <c r="AF148" s="43" t="str">
        <f>TRIM(データ!Z145)</f>
        <v/>
      </c>
    </row>
    <row r="149" spans="1:32" x14ac:dyDescent="0.15">
      <c r="A149" s="47">
        <f>データ!A146</f>
        <v>3</v>
      </c>
      <c r="B149" s="47" t="str">
        <f>TRIM(データ!C146)</f>
        <v/>
      </c>
      <c r="C149" s="47" t="str">
        <f>TRIM(データ!D146)</f>
        <v>材料費</v>
      </c>
      <c r="D149" s="36" t="str">
        <f>REPT("｜",$A149)&amp;TRIM(データ!E146)</f>
        <v>｜｜｜生コン</v>
      </c>
      <c r="E149" s="37" t="str">
        <f>TRIM(データ!F146)</f>
        <v/>
      </c>
      <c r="F149" s="38" t="str">
        <f>TRIM(データ!G146)</f>
        <v>m3</v>
      </c>
      <c r="G149" s="50">
        <f>データ!H146</f>
        <v>2</v>
      </c>
      <c r="H149" s="48">
        <f>データ!I146</f>
        <v>30000</v>
      </c>
      <c r="I149" s="48">
        <f>データ!J146</f>
        <v>60000</v>
      </c>
      <c r="J149" s="39" t="str">
        <f>IF(OR($C149="総括",$C149="内訳書",$C149="内訳代価",$C149="明細書",$C149="明細代価",$C149="代価表",$C149="単価表"),データ!K146,"")</f>
        <v/>
      </c>
      <c r="K149" s="11" t="str">
        <f t="shared" si="12"/>
        <v/>
      </c>
      <c r="L149" s="46">
        <f t="shared" si="13"/>
        <v>8.6389356831238393E-4</v>
      </c>
      <c r="M149" s="40" t="str">
        <f>IF(データ!L146="","",データ!L146)</f>
        <v/>
      </c>
      <c r="N149" s="41" t="str">
        <f>IF(データ!M146="","",データ!M146)</f>
        <v/>
      </c>
      <c r="O149" s="42">
        <f>データ!N146</f>
        <v>0</v>
      </c>
      <c r="P149" s="48">
        <f>IF($C149="集計行","",データ!O146)</f>
        <v>0</v>
      </c>
      <c r="Q149" s="48">
        <f>データ!P146</f>
        <v>0</v>
      </c>
      <c r="R149" s="39" t="str">
        <f>IF(OR($C149="総括",$C149="内訳書",$C149="内訳代価",$C149="明細書",$C149="明細代価",$C149="代価表",$C149="単価表"),データ!Q146,"")</f>
        <v/>
      </c>
      <c r="S149" s="11" t="str">
        <f t="shared" si="14"/>
        <v/>
      </c>
      <c r="T149" s="46" t="e">
        <f t="shared" si="15"/>
        <v>#DIV/0!</v>
      </c>
      <c r="U149" s="40" t="str">
        <f>IF(データ!R146="","",データ!R146)</f>
        <v/>
      </c>
      <c r="V149" s="41" t="str">
        <f>IF(データ!S146="","",データ!S146)</f>
        <v/>
      </c>
      <c r="W149" s="42">
        <f>データ!T146</f>
        <v>0</v>
      </c>
      <c r="X149" s="48">
        <f>IF($C149="集計行","",データ!U146)</f>
        <v>0</v>
      </c>
      <c r="Y149" s="48">
        <f>データ!V146</f>
        <v>0</v>
      </c>
      <c r="Z149" s="39" t="str">
        <f>IF(OR($C149="総括",$C149="内訳書",$C149="内訳代価",$C149="明細書",$C149="明細代価",$C149="代価表",$C149="単価表"),データ!W146,"")</f>
        <v/>
      </c>
      <c r="AA149" s="11" t="str">
        <f t="shared" si="16"/>
        <v/>
      </c>
      <c r="AB149" s="46" t="e">
        <f t="shared" si="17"/>
        <v>#DIV/0!</v>
      </c>
      <c r="AC149" s="40" t="str">
        <f>IF(データ!X146="","",データ!X146)</f>
        <v/>
      </c>
      <c r="AD149" s="41" t="str">
        <f>IF(データ!Y146="","",データ!Y146)</f>
        <v/>
      </c>
      <c r="AE149" s="47" t="str">
        <f>TRIM(データ!B146)</f>
        <v/>
      </c>
      <c r="AF149" s="43" t="str">
        <f>TRIM(データ!Z146)</f>
        <v/>
      </c>
    </row>
    <row r="150" spans="1:32" x14ac:dyDescent="0.15">
      <c r="A150" s="47">
        <f>データ!A147</f>
        <v>3</v>
      </c>
      <c r="B150" s="47" t="str">
        <f>TRIM(データ!C147)</f>
        <v/>
      </c>
      <c r="C150" s="47" t="str">
        <f>TRIM(データ!D147)</f>
        <v>労務費</v>
      </c>
      <c r="D150" s="36" t="str">
        <f>REPT("｜",$A150)&amp;TRIM(データ!E147)</f>
        <v>｜｜｜技工</v>
      </c>
      <c r="E150" s="37" t="str">
        <f>TRIM(データ!F147)</f>
        <v/>
      </c>
      <c r="F150" s="38" t="str">
        <f>TRIM(データ!G147)</f>
        <v>人</v>
      </c>
      <c r="G150" s="50">
        <f>データ!H147</f>
        <v>12</v>
      </c>
      <c r="H150" s="48">
        <f>データ!I147</f>
        <v>28000</v>
      </c>
      <c r="I150" s="48">
        <f>データ!J147</f>
        <v>336000</v>
      </c>
      <c r="J150" s="39" t="str">
        <f>IF(OR($C150="総括",$C150="内訳書",$C150="内訳代価",$C150="明細書",$C150="明細代価",$C150="代価表",$C150="単価表"),データ!K147,"")</f>
        <v/>
      </c>
      <c r="K150" s="11" t="str">
        <f t="shared" si="12"/>
        <v/>
      </c>
      <c r="L150" s="46">
        <f t="shared" si="13"/>
        <v>4.8378039825493499E-3</v>
      </c>
      <c r="M150" s="40" t="str">
        <f>IF(データ!L147="","",データ!L147)</f>
        <v/>
      </c>
      <c r="N150" s="41" t="str">
        <f>IF(データ!M147="","",データ!M147)</f>
        <v/>
      </c>
      <c r="O150" s="42">
        <f>データ!N147</f>
        <v>0</v>
      </c>
      <c r="P150" s="48">
        <f>IF($C150="集計行","",データ!O147)</f>
        <v>0</v>
      </c>
      <c r="Q150" s="48">
        <f>データ!P147</f>
        <v>0</v>
      </c>
      <c r="R150" s="39" t="str">
        <f>IF(OR($C150="総括",$C150="内訳書",$C150="内訳代価",$C150="明細書",$C150="明細代価",$C150="代価表",$C150="単価表"),データ!Q147,"")</f>
        <v/>
      </c>
      <c r="S150" s="11" t="str">
        <f t="shared" si="14"/>
        <v/>
      </c>
      <c r="T150" s="46" t="e">
        <f t="shared" si="15"/>
        <v>#DIV/0!</v>
      </c>
      <c r="U150" s="40" t="str">
        <f>IF(データ!R147="","",データ!R147)</f>
        <v/>
      </c>
      <c r="V150" s="41" t="str">
        <f>IF(データ!S147="","",データ!S147)</f>
        <v/>
      </c>
      <c r="W150" s="42">
        <f>データ!T147</f>
        <v>0</v>
      </c>
      <c r="X150" s="48">
        <f>IF($C150="集計行","",データ!U147)</f>
        <v>0</v>
      </c>
      <c r="Y150" s="48">
        <f>データ!V147</f>
        <v>0</v>
      </c>
      <c r="Z150" s="39" t="str">
        <f>IF(OR($C150="総括",$C150="内訳書",$C150="内訳代価",$C150="明細書",$C150="明細代価",$C150="代価表",$C150="単価表"),データ!W147,"")</f>
        <v/>
      </c>
      <c r="AA150" s="11" t="str">
        <f t="shared" si="16"/>
        <v/>
      </c>
      <c r="AB150" s="46" t="e">
        <f t="shared" si="17"/>
        <v>#DIV/0!</v>
      </c>
      <c r="AC150" s="40" t="str">
        <f>IF(データ!X147="","",データ!X147)</f>
        <v/>
      </c>
      <c r="AD150" s="41" t="str">
        <f>IF(データ!Y147="","",データ!Y147)</f>
        <v/>
      </c>
      <c r="AE150" s="47" t="str">
        <f>TRIM(データ!B147)</f>
        <v/>
      </c>
      <c r="AF150" s="43" t="str">
        <f>TRIM(データ!Z147)</f>
        <v/>
      </c>
    </row>
    <row r="151" spans="1:32" x14ac:dyDescent="0.15">
      <c r="A151" s="47">
        <f>データ!A148</f>
        <v>3</v>
      </c>
      <c r="B151" s="47" t="str">
        <f>TRIM(データ!C148)</f>
        <v/>
      </c>
      <c r="C151" s="47" t="str">
        <f>TRIM(データ!D148)</f>
        <v>機械費</v>
      </c>
      <c r="D151" s="36" t="str">
        <f>REPT("｜",$A151)&amp;TRIM(データ!E148)</f>
        <v>｜｜｜BH0.15</v>
      </c>
      <c r="E151" s="37" t="str">
        <f>TRIM(データ!F148)</f>
        <v/>
      </c>
      <c r="F151" s="38" t="str">
        <f>TRIM(データ!G148)</f>
        <v>台</v>
      </c>
      <c r="G151" s="50">
        <f>データ!H148</f>
        <v>3</v>
      </c>
      <c r="H151" s="48">
        <f>データ!I148</f>
        <v>8000</v>
      </c>
      <c r="I151" s="48">
        <f>データ!J148</f>
        <v>24000</v>
      </c>
      <c r="J151" s="39" t="str">
        <f>IF(OR($C151="総括",$C151="内訳書",$C151="内訳代価",$C151="明細書",$C151="明細代価",$C151="代価表",$C151="単価表"),データ!K148,"")</f>
        <v/>
      </c>
      <c r="K151" s="11" t="str">
        <f t="shared" si="12"/>
        <v/>
      </c>
      <c r="L151" s="46">
        <f t="shared" si="13"/>
        <v>3.4555742732495355E-4</v>
      </c>
      <c r="M151" s="40" t="str">
        <f>IF(データ!L148="","",データ!L148)</f>
        <v/>
      </c>
      <c r="N151" s="41" t="str">
        <f>IF(データ!M148="","",データ!M148)</f>
        <v/>
      </c>
      <c r="O151" s="42">
        <f>データ!N148</f>
        <v>0</v>
      </c>
      <c r="P151" s="48">
        <f>IF($C151="集計行","",データ!O148)</f>
        <v>0</v>
      </c>
      <c r="Q151" s="48">
        <f>データ!P148</f>
        <v>0</v>
      </c>
      <c r="R151" s="39" t="str">
        <f>IF(OR($C151="総括",$C151="内訳書",$C151="内訳代価",$C151="明細書",$C151="明細代価",$C151="代価表",$C151="単価表"),データ!Q148,"")</f>
        <v/>
      </c>
      <c r="S151" s="11" t="str">
        <f t="shared" si="14"/>
        <v/>
      </c>
      <c r="T151" s="46" t="e">
        <f t="shared" si="15"/>
        <v>#DIV/0!</v>
      </c>
      <c r="U151" s="40" t="str">
        <f>IF(データ!R148="","",データ!R148)</f>
        <v/>
      </c>
      <c r="V151" s="41" t="str">
        <f>IF(データ!S148="","",データ!S148)</f>
        <v/>
      </c>
      <c r="W151" s="42">
        <f>データ!T148</f>
        <v>0</v>
      </c>
      <c r="X151" s="48">
        <f>IF($C151="集計行","",データ!U148)</f>
        <v>0</v>
      </c>
      <c r="Y151" s="48">
        <f>データ!V148</f>
        <v>0</v>
      </c>
      <c r="Z151" s="39" t="str">
        <f>IF(OR($C151="総括",$C151="内訳書",$C151="内訳代価",$C151="明細書",$C151="明細代価",$C151="代価表",$C151="単価表"),データ!W148,"")</f>
        <v/>
      </c>
      <c r="AA151" s="11" t="str">
        <f t="shared" si="16"/>
        <v/>
      </c>
      <c r="AB151" s="46" t="e">
        <f t="shared" si="17"/>
        <v>#DIV/0!</v>
      </c>
      <c r="AC151" s="40" t="str">
        <f>IF(データ!X148="","",データ!X148)</f>
        <v/>
      </c>
      <c r="AD151" s="41" t="str">
        <f>IF(データ!Y148="","",データ!Y148)</f>
        <v/>
      </c>
      <c r="AE151" s="47" t="str">
        <f>TRIM(データ!B148)</f>
        <v/>
      </c>
      <c r="AF151" s="43" t="str">
        <f>TRIM(データ!Z148)</f>
        <v/>
      </c>
    </row>
    <row r="152" spans="1:32" x14ac:dyDescent="0.15">
      <c r="A152" s="47">
        <f>データ!A149</f>
        <v>3</v>
      </c>
      <c r="B152" s="47" t="str">
        <f>TRIM(データ!C149)</f>
        <v/>
      </c>
      <c r="C152" s="47" t="str">
        <f>TRIM(データ!D149)</f>
        <v>機械費</v>
      </c>
      <c r="D152" s="36" t="str">
        <f>REPT("｜",$A152)&amp;TRIM(データ!E149)</f>
        <v>｜｜｜プレート</v>
      </c>
      <c r="E152" s="37" t="str">
        <f>TRIM(データ!F149)</f>
        <v/>
      </c>
      <c r="F152" s="38" t="str">
        <f>TRIM(データ!G149)</f>
        <v>台</v>
      </c>
      <c r="G152" s="50">
        <f>データ!H149</f>
        <v>3</v>
      </c>
      <c r="H152" s="48">
        <f>データ!I149</f>
        <v>1500</v>
      </c>
      <c r="I152" s="48">
        <f>データ!J149</f>
        <v>4500</v>
      </c>
      <c r="J152" s="39" t="str">
        <f>IF(OR($C152="総括",$C152="内訳書",$C152="内訳代価",$C152="明細書",$C152="明細代価",$C152="代価表",$C152="単価表"),データ!K149,"")</f>
        <v/>
      </c>
      <c r="K152" s="11" t="str">
        <f t="shared" si="12"/>
        <v/>
      </c>
      <c r="L152" s="46">
        <f t="shared" si="13"/>
        <v>6.4792017623428798E-5</v>
      </c>
      <c r="M152" s="40" t="str">
        <f>IF(データ!L149="","",データ!L149)</f>
        <v/>
      </c>
      <c r="N152" s="41" t="str">
        <f>IF(データ!M149="","",データ!M149)</f>
        <v/>
      </c>
      <c r="O152" s="42">
        <f>データ!N149</f>
        <v>0</v>
      </c>
      <c r="P152" s="48">
        <f>IF($C152="集計行","",データ!O149)</f>
        <v>0</v>
      </c>
      <c r="Q152" s="48">
        <f>データ!P149</f>
        <v>0</v>
      </c>
      <c r="R152" s="39" t="str">
        <f>IF(OR($C152="総括",$C152="内訳書",$C152="内訳代価",$C152="明細書",$C152="明細代価",$C152="代価表",$C152="単価表"),データ!Q149,"")</f>
        <v/>
      </c>
      <c r="S152" s="11" t="str">
        <f t="shared" si="14"/>
        <v/>
      </c>
      <c r="T152" s="46" t="e">
        <f t="shared" si="15"/>
        <v>#DIV/0!</v>
      </c>
      <c r="U152" s="40" t="str">
        <f>IF(データ!R149="","",データ!R149)</f>
        <v/>
      </c>
      <c r="V152" s="41" t="str">
        <f>IF(データ!S149="","",データ!S149)</f>
        <v/>
      </c>
      <c r="W152" s="42">
        <f>データ!T149</f>
        <v>0</v>
      </c>
      <c r="X152" s="48">
        <f>IF($C152="集計行","",データ!U149)</f>
        <v>0</v>
      </c>
      <c r="Y152" s="48">
        <f>データ!V149</f>
        <v>0</v>
      </c>
      <c r="Z152" s="39" t="str">
        <f>IF(OR($C152="総括",$C152="内訳書",$C152="内訳代価",$C152="明細書",$C152="明細代価",$C152="代価表",$C152="単価表"),データ!W149,"")</f>
        <v/>
      </c>
      <c r="AA152" s="11" t="str">
        <f t="shared" si="16"/>
        <v/>
      </c>
      <c r="AB152" s="46" t="e">
        <f t="shared" si="17"/>
        <v>#DIV/0!</v>
      </c>
      <c r="AC152" s="40" t="str">
        <f>IF(データ!X149="","",データ!X149)</f>
        <v/>
      </c>
      <c r="AD152" s="41" t="str">
        <f>IF(データ!Y149="","",データ!Y149)</f>
        <v/>
      </c>
      <c r="AE152" s="47" t="str">
        <f>TRIM(データ!B149)</f>
        <v/>
      </c>
      <c r="AF152" s="43" t="str">
        <f>TRIM(データ!Z149)</f>
        <v/>
      </c>
    </row>
    <row r="153" spans="1:32" x14ac:dyDescent="0.15">
      <c r="A153" s="47">
        <f>データ!A150</f>
        <v>3</v>
      </c>
      <c r="B153" s="47" t="str">
        <f>TRIM(データ!C150)</f>
        <v/>
      </c>
      <c r="C153" s="47" t="str">
        <f>TRIM(データ!D150)</f>
        <v>機械費</v>
      </c>
      <c r="D153" s="36" t="str">
        <f>REPT("｜",$A153)&amp;TRIM(データ!E150)</f>
        <v>｜｜｜ランマー</v>
      </c>
      <c r="E153" s="37" t="str">
        <f>TRIM(データ!F150)</f>
        <v/>
      </c>
      <c r="F153" s="38" t="str">
        <f>TRIM(データ!G150)</f>
        <v>台</v>
      </c>
      <c r="G153" s="50">
        <f>データ!H150</f>
        <v>3</v>
      </c>
      <c r="H153" s="48">
        <f>データ!I150</f>
        <v>1500</v>
      </c>
      <c r="I153" s="48">
        <f>データ!J150</f>
        <v>4500</v>
      </c>
      <c r="J153" s="39" t="str">
        <f>IF(OR($C153="総括",$C153="内訳書",$C153="内訳代価",$C153="明細書",$C153="明細代価",$C153="代価表",$C153="単価表"),データ!K150,"")</f>
        <v/>
      </c>
      <c r="K153" s="11" t="str">
        <f t="shared" si="12"/>
        <v/>
      </c>
      <c r="L153" s="46">
        <f t="shared" si="13"/>
        <v>6.4792017623428798E-5</v>
      </c>
      <c r="M153" s="40" t="str">
        <f>IF(データ!L150="","",データ!L150)</f>
        <v/>
      </c>
      <c r="N153" s="41" t="str">
        <f>IF(データ!M150="","",データ!M150)</f>
        <v/>
      </c>
      <c r="O153" s="42">
        <f>データ!N150</f>
        <v>0</v>
      </c>
      <c r="P153" s="48">
        <f>IF($C153="集計行","",データ!O150)</f>
        <v>0</v>
      </c>
      <c r="Q153" s="48">
        <f>データ!P150</f>
        <v>0</v>
      </c>
      <c r="R153" s="39" t="str">
        <f>IF(OR($C153="総括",$C153="内訳書",$C153="内訳代価",$C153="明細書",$C153="明細代価",$C153="代価表",$C153="単価表"),データ!Q150,"")</f>
        <v/>
      </c>
      <c r="S153" s="11" t="str">
        <f t="shared" si="14"/>
        <v/>
      </c>
      <c r="T153" s="46" t="e">
        <f t="shared" si="15"/>
        <v>#DIV/0!</v>
      </c>
      <c r="U153" s="40" t="str">
        <f>IF(データ!R150="","",データ!R150)</f>
        <v/>
      </c>
      <c r="V153" s="41" t="str">
        <f>IF(データ!S150="","",データ!S150)</f>
        <v/>
      </c>
      <c r="W153" s="42">
        <f>データ!T150</f>
        <v>0</v>
      </c>
      <c r="X153" s="48">
        <f>IF($C153="集計行","",データ!U150)</f>
        <v>0</v>
      </c>
      <c r="Y153" s="48">
        <f>データ!V150</f>
        <v>0</v>
      </c>
      <c r="Z153" s="39" t="str">
        <f>IF(OR($C153="総括",$C153="内訳書",$C153="内訳代価",$C153="明細書",$C153="明細代価",$C153="代価表",$C153="単価表"),データ!W150,"")</f>
        <v/>
      </c>
      <c r="AA153" s="11" t="str">
        <f t="shared" si="16"/>
        <v/>
      </c>
      <c r="AB153" s="46" t="e">
        <f t="shared" si="17"/>
        <v>#DIV/0!</v>
      </c>
      <c r="AC153" s="40" t="str">
        <f>IF(データ!X150="","",データ!X150)</f>
        <v/>
      </c>
      <c r="AD153" s="41" t="str">
        <f>IF(データ!Y150="","",データ!Y150)</f>
        <v/>
      </c>
      <c r="AE153" s="47" t="str">
        <f>TRIM(データ!B150)</f>
        <v/>
      </c>
      <c r="AF153" s="43" t="str">
        <f>TRIM(データ!Z150)</f>
        <v/>
      </c>
    </row>
    <row r="154" spans="1:32" x14ac:dyDescent="0.15">
      <c r="A154" s="47">
        <f>データ!A151</f>
        <v>3</v>
      </c>
      <c r="B154" s="47" t="str">
        <f>TRIM(データ!C151)</f>
        <v/>
      </c>
      <c r="C154" s="47" t="str">
        <f>TRIM(データ!D151)</f>
        <v>運搬費</v>
      </c>
      <c r="D154" s="36" t="str">
        <f>REPT("｜",$A154)&amp;TRIM(データ!E151)</f>
        <v>｜｜｜4tダンプ</v>
      </c>
      <c r="E154" s="37" t="str">
        <f>TRIM(データ!F151)</f>
        <v/>
      </c>
      <c r="F154" s="38" t="str">
        <f>TRIM(データ!G151)</f>
        <v>台</v>
      </c>
      <c r="G154" s="50">
        <f>データ!H151</f>
        <v>3</v>
      </c>
      <c r="H154" s="48">
        <f>データ!I151</f>
        <v>10000</v>
      </c>
      <c r="I154" s="48">
        <f>データ!J151</f>
        <v>30000</v>
      </c>
      <c r="J154" s="39" t="str">
        <f>IF(OR($C154="総括",$C154="内訳書",$C154="内訳代価",$C154="明細書",$C154="明細代価",$C154="代価表",$C154="単価表"),データ!K151,"")</f>
        <v/>
      </c>
      <c r="K154" s="11" t="str">
        <f t="shared" si="12"/>
        <v/>
      </c>
      <c r="L154" s="46">
        <f t="shared" si="13"/>
        <v>4.3194678415619197E-4</v>
      </c>
      <c r="M154" s="40" t="str">
        <f>IF(データ!L151="","",データ!L151)</f>
        <v/>
      </c>
      <c r="N154" s="41" t="str">
        <f>IF(データ!M151="","",データ!M151)</f>
        <v/>
      </c>
      <c r="O154" s="42">
        <f>データ!N151</f>
        <v>0</v>
      </c>
      <c r="P154" s="48">
        <f>IF($C154="集計行","",データ!O151)</f>
        <v>0</v>
      </c>
      <c r="Q154" s="48">
        <f>データ!P151</f>
        <v>0</v>
      </c>
      <c r="R154" s="39" t="str">
        <f>IF(OR($C154="総括",$C154="内訳書",$C154="内訳代価",$C154="明細書",$C154="明細代価",$C154="代価表",$C154="単価表"),データ!Q151,"")</f>
        <v/>
      </c>
      <c r="S154" s="11" t="str">
        <f t="shared" si="14"/>
        <v/>
      </c>
      <c r="T154" s="46" t="e">
        <f t="shared" si="15"/>
        <v>#DIV/0!</v>
      </c>
      <c r="U154" s="40" t="str">
        <f>IF(データ!R151="","",データ!R151)</f>
        <v/>
      </c>
      <c r="V154" s="41" t="str">
        <f>IF(データ!S151="","",データ!S151)</f>
        <v/>
      </c>
      <c r="W154" s="42">
        <f>データ!T151</f>
        <v>0</v>
      </c>
      <c r="X154" s="48">
        <f>IF($C154="集計行","",データ!U151)</f>
        <v>0</v>
      </c>
      <c r="Y154" s="48">
        <f>データ!V151</f>
        <v>0</v>
      </c>
      <c r="Z154" s="39" t="str">
        <f>IF(OR($C154="総括",$C154="内訳書",$C154="内訳代価",$C154="明細書",$C154="明細代価",$C154="代価表",$C154="単価表"),データ!W151,"")</f>
        <v/>
      </c>
      <c r="AA154" s="11" t="str">
        <f t="shared" si="16"/>
        <v/>
      </c>
      <c r="AB154" s="46" t="e">
        <f t="shared" si="17"/>
        <v>#DIV/0!</v>
      </c>
      <c r="AC154" s="40" t="str">
        <f>IF(データ!X151="","",データ!X151)</f>
        <v/>
      </c>
      <c r="AD154" s="41" t="str">
        <f>IF(データ!Y151="","",データ!Y151)</f>
        <v/>
      </c>
      <c r="AE154" s="47" t="str">
        <f>TRIM(データ!B151)</f>
        <v/>
      </c>
      <c r="AF154" s="43" t="str">
        <f>TRIM(データ!Z151)</f>
        <v/>
      </c>
    </row>
    <row r="155" spans="1:32" x14ac:dyDescent="0.15">
      <c r="A155" s="47">
        <f>データ!A152</f>
        <v>3</v>
      </c>
      <c r="B155" s="47" t="str">
        <f>TRIM(データ!C152)</f>
        <v/>
      </c>
      <c r="C155" s="47" t="str">
        <f>TRIM(データ!D152)</f>
        <v>運搬費</v>
      </c>
      <c r="D155" s="36" t="str">
        <f>REPT("｜",$A155)&amp;TRIM(データ!E152)</f>
        <v>｜｜｜2tダンプ</v>
      </c>
      <c r="E155" s="37" t="str">
        <f>TRIM(データ!F152)</f>
        <v/>
      </c>
      <c r="F155" s="38" t="str">
        <f>TRIM(データ!G152)</f>
        <v>台</v>
      </c>
      <c r="G155" s="50">
        <f>データ!H152</f>
        <v>3</v>
      </c>
      <c r="H155" s="48">
        <f>データ!I152</f>
        <v>7000</v>
      </c>
      <c r="I155" s="48">
        <f>データ!J152</f>
        <v>21000</v>
      </c>
      <c r="J155" s="39" t="str">
        <f>IF(OR($C155="総括",$C155="内訳書",$C155="内訳代価",$C155="明細書",$C155="明細代価",$C155="代価表",$C155="単価表"),データ!K152,"")</f>
        <v/>
      </c>
      <c r="K155" s="11" t="str">
        <f t="shared" si="12"/>
        <v/>
      </c>
      <c r="L155" s="46">
        <f t="shared" si="13"/>
        <v>3.0236274890933437E-4</v>
      </c>
      <c r="M155" s="40" t="str">
        <f>IF(データ!L152="","",データ!L152)</f>
        <v/>
      </c>
      <c r="N155" s="41" t="str">
        <f>IF(データ!M152="","",データ!M152)</f>
        <v/>
      </c>
      <c r="O155" s="42">
        <f>データ!N152</f>
        <v>0</v>
      </c>
      <c r="P155" s="48">
        <f>IF($C155="集計行","",データ!O152)</f>
        <v>0</v>
      </c>
      <c r="Q155" s="48">
        <f>データ!P152</f>
        <v>0</v>
      </c>
      <c r="R155" s="39" t="str">
        <f>IF(OR($C155="総括",$C155="内訳書",$C155="内訳代価",$C155="明細書",$C155="明細代価",$C155="代価表",$C155="単価表"),データ!Q152,"")</f>
        <v/>
      </c>
      <c r="S155" s="11" t="str">
        <f t="shared" si="14"/>
        <v/>
      </c>
      <c r="T155" s="46" t="e">
        <f t="shared" si="15"/>
        <v>#DIV/0!</v>
      </c>
      <c r="U155" s="40" t="str">
        <f>IF(データ!R152="","",データ!R152)</f>
        <v/>
      </c>
      <c r="V155" s="41" t="str">
        <f>IF(データ!S152="","",データ!S152)</f>
        <v/>
      </c>
      <c r="W155" s="42">
        <f>データ!T152</f>
        <v>0</v>
      </c>
      <c r="X155" s="48">
        <f>IF($C155="集計行","",データ!U152)</f>
        <v>0</v>
      </c>
      <c r="Y155" s="48">
        <f>データ!V152</f>
        <v>0</v>
      </c>
      <c r="Z155" s="39" t="str">
        <f>IF(OR($C155="総括",$C155="内訳書",$C155="内訳代価",$C155="明細書",$C155="明細代価",$C155="代価表",$C155="単価表"),データ!W152,"")</f>
        <v/>
      </c>
      <c r="AA155" s="11" t="str">
        <f t="shared" si="16"/>
        <v/>
      </c>
      <c r="AB155" s="46" t="e">
        <f t="shared" si="17"/>
        <v>#DIV/0!</v>
      </c>
      <c r="AC155" s="40" t="str">
        <f>IF(データ!X152="","",データ!X152)</f>
        <v/>
      </c>
      <c r="AD155" s="41" t="str">
        <f>IF(データ!Y152="","",データ!Y152)</f>
        <v/>
      </c>
      <c r="AE155" s="47" t="str">
        <f>TRIM(データ!B152)</f>
        <v/>
      </c>
      <c r="AF155" s="43" t="str">
        <f>TRIM(データ!Z152)</f>
        <v/>
      </c>
    </row>
    <row r="156" spans="1:32" x14ac:dyDescent="0.15">
      <c r="A156" s="47">
        <f>データ!A153</f>
        <v>3</v>
      </c>
      <c r="B156" s="47" t="str">
        <f>TRIM(データ!C153)</f>
        <v/>
      </c>
      <c r="C156" s="47" t="str">
        <f>TRIM(データ!D153)</f>
        <v>材料費</v>
      </c>
      <c r="D156" s="36" t="str">
        <f>REPT("｜",$A156)&amp;TRIM(データ!E153)</f>
        <v>｜｜｜軽油</v>
      </c>
      <c r="E156" s="37" t="str">
        <f>TRIM(データ!F153)</f>
        <v/>
      </c>
      <c r="F156" s="38" t="str">
        <f>TRIM(データ!G153)</f>
        <v>リットル</v>
      </c>
      <c r="G156" s="50">
        <f>データ!H153</f>
        <v>120</v>
      </c>
      <c r="H156" s="48">
        <f>データ!I153</f>
        <v>150</v>
      </c>
      <c r="I156" s="48">
        <f>データ!J153</f>
        <v>18000</v>
      </c>
      <c r="J156" s="39" t="str">
        <f>IF(OR($C156="総括",$C156="内訳書",$C156="内訳代価",$C156="明細書",$C156="明細代価",$C156="代価表",$C156="単価表"),データ!K153,"")</f>
        <v/>
      </c>
      <c r="K156" s="11" t="str">
        <f t="shared" si="12"/>
        <v/>
      </c>
      <c r="L156" s="46">
        <f t="shared" si="13"/>
        <v>2.5916807049371519E-4</v>
      </c>
      <c r="M156" s="40" t="str">
        <f>IF(データ!L153="","",データ!L153)</f>
        <v/>
      </c>
      <c r="N156" s="41" t="str">
        <f>IF(データ!M153="","",データ!M153)</f>
        <v/>
      </c>
      <c r="O156" s="42">
        <f>データ!N153</f>
        <v>0</v>
      </c>
      <c r="P156" s="48">
        <f>IF($C156="集計行","",データ!O153)</f>
        <v>0</v>
      </c>
      <c r="Q156" s="48">
        <f>データ!P153</f>
        <v>0</v>
      </c>
      <c r="R156" s="39" t="str">
        <f>IF(OR($C156="総括",$C156="内訳書",$C156="内訳代価",$C156="明細書",$C156="明細代価",$C156="代価表",$C156="単価表"),データ!Q153,"")</f>
        <v/>
      </c>
      <c r="S156" s="11" t="str">
        <f t="shared" si="14"/>
        <v/>
      </c>
      <c r="T156" s="46" t="e">
        <f t="shared" si="15"/>
        <v>#DIV/0!</v>
      </c>
      <c r="U156" s="40" t="str">
        <f>IF(データ!R153="","",データ!R153)</f>
        <v/>
      </c>
      <c r="V156" s="41" t="str">
        <f>IF(データ!S153="","",データ!S153)</f>
        <v/>
      </c>
      <c r="W156" s="42">
        <f>データ!T153</f>
        <v>0</v>
      </c>
      <c r="X156" s="48">
        <f>IF($C156="集計行","",データ!U153)</f>
        <v>0</v>
      </c>
      <c r="Y156" s="48">
        <f>データ!V153</f>
        <v>0</v>
      </c>
      <c r="Z156" s="39" t="str">
        <f>IF(OR($C156="総括",$C156="内訳書",$C156="内訳代価",$C156="明細書",$C156="明細代価",$C156="代価表",$C156="単価表"),データ!W153,"")</f>
        <v/>
      </c>
      <c r="AA156" s="11" t="str">
        <f t="shared" si="16"/>
        <v/>
      </c>
      <c r="AB156" s="46" t="e">
        <f t="shared" si="17"/>
        <v>#DIV/0!</v>
      </c>
      <c r="AC156" s="40" t="str">
        <f>IF(データ!X153="","",データ!X153)</f>
        <v/>
      </c>
      <c r="AD156" s="41" t="str">
        <f>IF(データ!Y153="","",データ!Y153)</f>
        <v/>
      </c>
      <c r="AE156" s="47" t="str">
        <f>TRIM(データ!B153)</f>
        <v/>
      </c>
      <c r="AF156" s="43" t="str">
        <f>TRIM(データ!Z153)</f>
        <v/>
      </c>
    </row>
    <row r="157" spans="1:32" x14ac:dyDescent="0.15">
      <c r="A157" s="47">
        <f>データ!A154</f>
        <v>3</v>
      </c>
      <c r="B157" s="47" t="str">
        <f>TRIM(データ!C154)</f>
        <v/>
      </c>
      <c r="C157" s="47" t="str">
        <f>TRIM(データ!D154)</f>
        <v>材料費</v>
      </c>
      <c r="D157" s="36" t="str">
        <f>REPT("｜",$A157)&amp;TRIM(データ!E154)</f>
        <v>｜｜｜ガソリン</v>
      </c>
      <c r="E157" s="37" t="str">
        <f>TRIM(データ!F154)</f>
        <v/>
      </c>
      <c r="F157" s="38" t="str">
        <f>TRIM(データ!G154)</f>
        <v>リットル</v>
      </c>
      <c r="G157" s="50">
        <f>データ!H154</f>
        <v>120</v>
      </c>
      <c r="H157" s="48">
        <f>データ!I154</f>
        <v>200</v>
      </c>
      <c r="I157" s="48">
        <f>データ!J154</f>
        <v>24000</v>
      </c>
      <c r="J157" s="39" t="str">
        <f>IF(OR($C157="総括",$C157="内訳書",$C157="内訳代価",$C157="明細書",$C157="明細代価",$C157="代価表",$C157="単価表"),データ!K154,"")</f>
        <v/>
      </c>
      <c r="K157" s="11" t="str">
        <f t="shared" si="12"/>
        <v/>
      </c>
      <c r="L157" s="46">
        <f t="shared" si="13"/>
        <v>3.4555742732495355E-4</v>
      </c>
      <c r="M157" s="40" t="str">
        <f>IF(データ!L154="","",データ!L154)</f>
        <v/>
      </c>
      <c r="N157" s="41" t="str">
        <f>IF(データ!M154="","",データ!M154)</f>
        <v/>
      </c>
      <c r="O157" s="42">
        <f>データ!N154</f>
        <v>0</v>
      </c>
      <c r="P157" s="48">
        <f>IF($C157="集計行","",データ!O154)</f>
        <v>0</v>
      </c>
      <c r="Q157" s="48">
        <f>データ!P154</f>
        <v>0</v>
      </c>
      <c r="R157" s="39" t="str">
        <f>IF(OR($C157="総括",$C157="内訳書",$C157="内訳代価",$C157="明細書",$C157="明細代価",$C157="代価表",$C157="単価表"),データ!Q154,"")</f>
        <v/>
      </c>
      <c r="S157" s="11" t="str">
        <f t="shared" si="14"/>
        <v/>
      </c>
      <c r="T157" s="46" t="e">
        <f t="shared" si="15"/>
        <v>#DIV/0!</v>
      </c>
      <c r="U157" s="40" t="str">
        <f>IF(データ!R154="","",データ!R154)</f>
        <v/>
      </c>
      <c r="V157" s="41" t="str">
        <f>IF(データ!S154="","",データ!S154)</f>
        <v/>
      </c>
      <c r="W157" s="42">
        <f>データ!T154</f>
        <v>0</v>
      </c>
      <c r="X157" s="48">
        <f>IF($C157="集計行","",データ!U154)</f>
        <v>0</v>
      </c>
      <c r="Y157" s="48">
        <f>データ!V154</f>
        <v>0</v>
      </c>
      <c r="Z157" s="39" t="str">
        <f>IF(OR($C157="総括",$C157="内訳書",$C157="内訳代価",$C157="明細書",$C157="明細代価",$C157="代価表",$C157="単価表"),データ!W154,"")</f>
        <v/>
      </c>
      <c r="AA157" s="11" t="str">
        <f t="shared" si="16"/>
        <v/>
      </c>
      <c r="AB157" s="46" t="e">
        <f t="shared" si="17"/>
        <v>#DIV/0!</v>
      </c>
      <c r="AC157" s="40" t="str">
        <f>IF(データ!X154="","",データ!X154)</f>
        <v/>
      </c>
      <c r="AD157" s="41" t="str">
        <f>IF(データ!Y154="","",データ!Y154)</f>
        <v/>
      </c>
      <c r="AE157" s="47" t="str">
        <f>TRIM(データ!B154)</f>
        <v/>
      </c>
      <c r="AF157" s="43" t="str">
        <f>TRIM(データ!Z154)</f>
        <v/>
      </c>
    </row>
    <row r="158" spans="1:32" x14ac:dyDescent="0.15">
      <c r="A158" s="47">
        <f>データ!A155</f>
        <v>3</v>
      </c>
      <c r="B158" s="47" t="str">
        <f>TRIM(データ!C155)</f>
        <v/>
      </c>
      <c r="C158" s="47" t="str">
        <f>TRIM(データ!D155)</f>
        <v>材料費</v>
      </c>
      <c r="D158" s="36" t="str">
        <f>REPT("｜",$A158)&amp;TRIM(データ!E155)</f>
        <v>｜｜｜雑材</v>
      </c>
      <c r="E158" s="37" t="str">
        <f>TRIM(データ!F155)</f>
        <v/>
      </c>
      <c r="F158" s="38" t="str">
        <f>TRIM(データ!G155)</f>
        <v>式</v>
      </c>
      <c r="G158" s="50">
        <f>データ!H155</f>
        <v>1</v>
      </c>
      <c r="H158" s="48">
        <f>データ!I155</f>
        <v>49270</v>
      </c>
      <c r="I158" s="48">
        <f>データ!J155</f>
        <v>49270</v>
      </c>
      <c r="J158" s="39" t="str">
        <f>IF(OR($C158="総括",$C158="内訳書",$C158="内訳代価",$C158="明細書",$C158="明細代価",$C158="代価表",$C158="単価表"),データ!K155,"")</f>
        <v/>
      </c>
      <c r="K158" s="11" t="str">
        <f t="shared" si="12"/>
        <v/>
      </c>
      <c r="L158" s="46">
        <f t="shared" si="13"/>
        <v>7.0940060184585256E-4</v>
      </c>
      <c r="M158" s="40" t="str">
        <f>IF(データ!L155="","",データ!L155)</f>
        <v/>
      </c>
      <c r="N158" s="41" t="str">
        <f>IF(データ!M155="","",データ!M155)</f>
        <v/>
      </c>
      <c r="O158" s="42">
        <f>データ!N155</f>
        <v>0</v>
      </c>
      <c r="P158" s="48">
        <f>IF($C158="集計行","",データ!O155)</f>
        <v>0</v>
      </c>
      <c r="Q158" s="48">
        <f>データ!P155</f>
        <v>0</v>
      </c>
      <c r="R158" s="39" t="str">
        <f>IF(OR($C158="総括",$C158="内訳書",$C158="内訳代価",$C158="明細書",$C158="明細代価",$C158="代価表",$C158="単価表"),データ!Q155,"")</f>
        <v/>
      </c>
      <c r="S158" s="11" t="str">
        <f t="shared" si="14"/>
        <v/>
      </c>
      <c r="T158" s="46" t="e">
        <f t="shared" si="15"/>
        <v>#DIV/0!</v>
      </c>
      <c r="U158" s="40" t="str">
        <f>IF(データ!R155="","",データ!R155)</f>
        <v/>
      </c>
      <c r="V158" s="41" t="str">
        <f>IF(データ!S155="","",データ!S155)</f>
        <v/>
      </c>
      <c r="W158" s="42">
        <f>データ!T155</f>
        <v>0</v>
      </c>
      <c r="X158" s="48">
        <f>IF($C158="集計行","",データ!U155)</f>
        <v>0</v>
      </c>
      <c r="Y158" s="48">
        <f>データ!V155</f>
        <v>0</v>
      </c>
      <c r="Z158" s="39" t="str">
        <f>IF(OR($C158="総括",$C158="内訳書",$C158="内訳代価",$C158="明細書",$C158="明細代価",$C158="代価表",$C158="単価表"),データ!W155,"")</f>
        <v/>
      </c>
      <c r="AA158" s="11" t="str">
        <f t="shared" si="16"/>
        <v/>
      </c>
      <c r="AB158" s="46" t="e">
        <f t="shared" si="17"/>
        <v>#DIV/0!</v>
      </c>
      <c r="AC158" s="40" t="str">
        <f>IF(データ!X155="","",データ!X155)</f>
        <v/>
      </c>
      <c r="AD158" s="41" t="str">
        <f>IF(データ!Y155="","",データ!Y155)</f>
        <v/>
      </c>
      <c r="AE158" s="47" t="str">
        <f>TRIM(データ!B155)</f>
        <v/>
      </c>
      <c r="AF158" s="43" t="str">
        <f>TRIM(データ!Z155)</f>
        <v/>
      </c>
    </row>
    <row r="159" spans="1:32" x14ac:dyDescent="0.15">
      <c r="A159" s="47">
        <f>データ!A156</f>
        <v>3</v>
      </c>
      <c r="B159" s="47" t="str">
        <f>TRIM(データ!C156)</f>
        <v/>
      </c>
      <c r="C159" s="47" t="str">
        <f>TRIM(データ!D156)</f>
        <v>材料費</v>
      </c>
      <c r="D159" s="36" t="str">
        <f>REPT("｜",$A159)&amp;TRIM(データ!E156)</f>
        <v>｜｜｜外注経費</v>
      </c>
      <c r="E159" s="37" t="str">
        <f>TRIM(データ!F156)</f>
        <v/>
      </c>
      <c r="F159" s="38" t="str">
        <f>TRIM(データ!G156)</f>
        <v>式</v>
      </c>
      <c r="G159" s="50">
        <f>データ!H156</f>
        <v>1</v>
      </c>
      <c r="H159" s="48">
        <f>データ!I156</f>
        <v>37800</v>
      </c>
      <c r="I159" s="48">
        <f>データ!J156</f>
        <v>37800</v>
      </c>
      <c r="J159" s="39" t="str">
        <f>IF(OR($C159="総括",$C159="内訳書",$C159="内訳代価",$C159="明細書",$C159="明細代価",$C159="代価表",$C159="単価表"),データ!K156,"")</f>
        <v/>
      </c>
      <c r="K159" s="11" t="str">
        <f t="shared" si="12"/>
        <v/>
      </c>
      <c r="L159" s="46">
        <f t="shared" si="13"/>
        <v>5.442529480368019E-4</v>
      </c>
      <c r="M159" s="40" t="str">
        <f>IF(データ!L156="","",データ!L156)</f>
        <v/>
      </c>
      <c r="N159" s="41" t="str">
        <f>IF(データ!M156="","",データ!M156)</f>
        <v/>
      </c>
      <c r="O159" s="42">
        <f>データ!N156</f>
        <v>0</v>
      </c>
      <c r="P159" s="48">
        <f>IF($C159="集計行","",データ!O156)</f>
        <v>0</v>
      </c>
      <c r="Q159" s="48">
        <f>データ!P156</f>
        <v>0</v>
      </c>
      <c r="R159" s="39" t="str">
        <f>IF(OR($C159="総括",$C159="内訳書",$C159="内訳代価",$C159="明細書",$C159="明細代価",$C159="代価表",$C159="単価表"),データ!Q156,"")</f>
        <v/>
      </c>
      <c r="S159" s="11" t="str">
        <f t="shared" si="14"/>
        <v/>
      </c>
      <c r="T159" s="46" t="e">
        <f t="shared" si="15"/>
        <v>#DIV/0!</v>
      </c>
      <c r="U159" s="40" t="str">
        <f>IF(データ!R156="","",データ!R156)</f>
        <v/>
      </c>
      <c r="V159" s="41" t="str">
        <f>IF(データ!S156="","",データ!S156)</f>
        <v/>
      </c>
      <c r="W159" s="42">
        <f>データ!T156</f>
        <v>0</v>
      </c>
      <c r="X159" s="48">
        <f>IF($C159="集計行","",データ!U156)</f>
        <v>0</v>
      </c>
      <c r="Y159" s="48">
        <f>データ!V156</f>
        <v>0</v>
      </c>
      <c r="Z159" s="39" t="str">
        <f>IF(OR($C159="総括",$C159="内訳書",$C159="内訳代価",$C159="明細書",$C159="明細代価",$C159="代価表",$C159="単価表"),データ!W156,"")</f>
        <v/>
      </c>
      <c r="AA159" s="11" t="str">
        <f t="shared" si="16"/>
        <v/>
      </c>
      <c r="AB159" s="46" t="e">
        <f t="shared" si="17"/>
        <v>#DIV/0!</v>
      </c>
      <c r="AC159" s="40" t="str">
        <f>IF(データ!X156="","",データ!X156)</f>
        <v/>
      </c>
      <c r="AD159" s="41" t="str">
        <f>IF(データ!Y156="","",データ!Y156)</f>
        <v/>
      </c>
      <c r="AE159" s="47" t="str">
        <f>TRIM(データ!B156)</f>
        <v/>
      </c>
      <c r="AF159" s="43" t="str">
        <f>TRIM(データ!Z156)</f>
        <v/>
      </c>
    </row>
    <row r="160" spans="1:32" x14ac:dyDescent="0.15">
      <c r="A160" s="47">
        <f>データ!A157</f>
        <v>2</v>
      </c>
      <c r="B160" s="47" t="str">
        <f>TRIM(データ!C157)</f>
        <v/>
      </c>
      <c r="C160" s="47" t="str">
        <f>TRIM(データ!D157)</f>
        <v>内訳書</v>
      </c>
      <c r="D160" s="36" t="str">
        <f>REPT("｜",$A160)&amp;TRIM(データ!E157)</f>
        <v>｜｜自由勾配側溝　VS300×400～700</v>
      </c>
      <c r="E160" s="37" t="str">
        <f>TRIM(データ!F157)</f>
        <v/>
      </c>
      <c r="F160" s="38" t="str">
        <f>TRIM(データ!G157)</f>
        <v>ｍ</v>
      </c>
      <c r="G160" s="50">
        <f>データ!H157</f>
        <v>18.2</v>
      </c>
      <c r="H160" s="48">
        <f>データ!I157</f>
        <v>45000</v>
      </c>
      <c r="I160" s="48">
        <f>データ!J157</f>
        <v>819000</v>
      </c>
      <c r="J160" s="39">
        <f>IF(OR($C160="総括",$C160="内訳書",$C160="内訳代価",$C160="明細書",$C160="明細代価",$C160="代価表",$C160="単価表"),データ!K157,"")</f>
        <v>18.2</v>
      </c>
      <c r="K160" s="11" t="str">
        <f t="shared" si="12"/>
        <v/>
      </c>
      <c r="L160" s="46">
        <f t="shared" si="13"/>
        <v>1.179214720746404E-2</v>
      </c>
      <c r="M160" s="40" t="str">
        <f>IF(データ!L157="","",データ!L157)</f>
        <v/>
      </c>
      <c r="N160" s="41" t="str">
        <f>IF(データ!M157="","",データ!M157)</f>
        <v>36号内訳書</v>
      </c>
      <c r="O160" s="42">
        <f>データ!N157</f>
        <v>0</v>
      </c>
      <c r="P160" s="48">
        <f>IF($C160="集計行","",データ!O157)</f>
        <v>0</v>
      </c>
      <c r="Q160" s="48">
        <f>データ!P157</f>
        <v>0</v>
      </c>
      <c r="R160" s="39">
        <f>IF(OR($C160="総括",$C160="内訳書",$C160="内訳代価",$C160="明細書",$C160="明細代価",$C160="代価表",$C160="単価表"),データ!Q157,"")</f>
        <v>0</v>
      </c>
      <c r="S160" s="11" t="str">
        <f t="shared" si="14"/>
        <v/>
      </c>
      <c r="T160" s="46" t="e">
        <f t="shared" si="15"/>
        <v>#DIV/0!</v>
      </c>
      <c r="U160" s="40" t="str">
        <f>IF(データ!R157="","",データ!R157)</f>
        <v/>
      </c>
      <c r="V160" s="41" t="str">
        <f>IF(データ!S157="","",データ!S157)</f>
        <v/>
      </c>
      <c r="W160" s="42">
        <f>データ!T157</f>
        <v>0</v>
      </c>
      <c r="X160" s="48">
        <f>IF($C160="集計行","",データ!U157)</f>
        <v>0</v>
      </c>
      <c r="Y160" s="48">
        <f>データ!V157</f>
        <v>0</v>
      </c>
      <c r="Z160" s="39">
        <f>IF(OR($C160="総括",$C160="内訳書",$C160="内訳代価",$C160="明細書",$C160="明細代価",$C160="代価表",$C160="単価表"),データ!W157,"")</f>
        <v>0</v>
      </c>
      <c r="AA160" s="11" t="str">
        <f t="shared" si="16"/>
        <v/>
      </c>
      <c r="AB160" s="46" t="e">
        <f t="shared" si="17"/>
        <v>#DIV/0!</v>
      </c>
      <c r="AC160" s="40" t="str">
        <f>IF(データ!X157="","",データ!X157)</f>
        <v/>
      </c>
      <c r="AD160" s="41" t="str">
        <f>IF(データ!Y157="","",データ!Y157)</f>
        <v/>
      </c>
      <c r="AE160" s="47" t="str">
        <f>TRIM(データ!B157)</f>
        <v/>
      </c>
      <c r="AF160" s="43" t="str">
        <f>TRIM(データ!Z157)</f>
        <v/>
      </c>
    </row>
    <row r="161" spans="1:32" x14ac:dyDescent="0.15">
      <c r="A161" s="47">
        <f>データ!A158</f>
        <v>3</v>
      </c>
      <c r="B161" s="47" t="str">
        <f>TRIM(データ!C158)</f>
        <v/>
      </c>
      <c r="C161" s="47" t="str">
        <f>TRIM(データ!D158)</f>
        <v>材料費</v>
      </c>
      <c r="D161" s="36" t="str">
        <f>REPT("｜",$A161)&amp;TRIM(データ!E158)</f>
        <v>｜｜｜VS300×400</v>
      </c>
      <c r="E161" s="37" t="str">
        <f>TRIM(データ!F158)</f>
        <v/>
      </c>
      <c r="F161" s="38" t="str">
        <f>TRIM(データ!G158)</f>
        <v>本</v>
      </c>
      <c r="G161" s="50">
        <f>データ!H158</f>
        <v>2</v>
      </c>
      <c r="H161" s="48">
        <f>データ!I158</f>
        <v>10900</v>
      </c>
      <c r="I161" s="48">
        <f>データ!J158</f>
        <v>21800</v>
      </c>
      <c r="J161" s="39" t="str">
        <f>IF(OR($C161="総括",$C161="内訳書",$C161="内訳代価",$C161="明細書",$C161="明細代価",$C161="代価表",$C161="単価表"),データ!K158,"")</f>
        <v/>
      </c>
      <c r="K161" s="11" t="str">
        <f t="shared" si="12"/>
        <v/>
      </c>
      <c r="L161" s="46">
        <f t="shared" si="13"/>
        <v>3.1388132982016615E-4</v>
      </c>
      <c r="M161" s="40" t="str">
        <f>IF(データ!L158="","",データ!L158)</f>
        <v/>
      </c>
      <c r="N161" s="41" t="str">
        <f>IF(データ!M158="","",データ!M158)</f>
        <v/>
      </c>
      <c r="O161" s="42">
        <f>データ!N158</f>
        <v>0</v>
      </c>
      <c r="P161" s="48">
        <f>IF($C161="集計行","",データ!O158)</f>
        <v>0</v>
      </c>
      <c r="Q161" s="48">
        <f>データ!P158</f>
        <v>0</v>
      </c>
      <c r="R161" s="39" t="str">
        <f>IF(OR($C161="総括",$C161="内訳書",$C161="内訳代価",$C161="明細書",$C161="明細代価",$C161="代価表",$C161="単価表"),データ!Q158,"")</f>
        <v/>
      </c>
      <c r="S161" s="11" t="str">
        <f t="shared" si="14"/>
        <v/>
      </c>
      <c r="T161" s="46" t="e">
        <f t="shared" si="15"/>
        <v>#DIV/0!</v>
      </c>
      <c r="U161" s="40" t="str">
        <f>IF(データ!R158="","",データ!R158)</f>
        <v/>
      </c>
      <c r="V161" s="41" t="str">
        <f>IF(データ!S158="","",データ!S158)</f>
        <v/>
      </c>
      <c r="W161" s="42">
        <f>データ!T158</f>
        <v>0</v>
      </c>
      <c r="X161" s="48">
        <f>IF($C161="集計行","",データ!U158)</f>
        <v>0</v>
      </c>
      <c r="Y161" s="48">
        <f>データ!V158</f>
        <v>0</v>
      </c>
      <c r="Z161" s="39" t="str">
        <f>IF(OR($C161="総括",$C161="内訳書",$C161="内訳代価",$C161="明細書",$C161="明細代価",$C161="代価表",$C161="単価表"),データ!W158,"")</f>
        <v/>
      </c>
      <c r="AA161" s="11" t="str">
        <f t="shared" si="16"/>
        <v/>
      </c>
      <c r="AB161" s="46" t="e">
        <f t="shared" si="17"/>
        <v>#DIV/0!</v>
      </c>
      <c r="AC161" s="40" t="str">
        <f>IF(データ!X158="","",データ!X158)</f>
        <v/>
      </c>
      <c r="AD161" s="41" t="str">
        <f>IF(データ!Y158="","",データ!Y158)</f>
        <v/>
      </c>
      <c r="AE161" s="47" t="str">
        <f>TRIM(データ!B158)</f>
        <v/>
      </c>
      <c r="AF161" s="43" t="str">
        <f>TRIM(データ!Z158)</f>
        <v/>
      </c>
    </row>
    <row r="162" spans="1:32" x14ac:dyDescent="0.15">
      <c r="A162" s="47">
        <f>データ!A159</f>
        <v>3</v>
      </c>
      <c r="B162" s="47" t="str">
        <f>TRIM(データ!C159)</f>
        <v/>
      </c>
      <c r="C162" s="47" t="str">
        <f>TRIM(データ!D159)</f>
        <v>材料費</v>
      </c>
      <c r="D162" s="36" t="str">
        <f>REPT("｜",$A162)&amp;TRIM(データ!E159)</f>
        <v>｜｜｜VS300×500</v>
      </c>
      <c r="E162" s="37" t="str">
        <f>TRIM(データ!F159)</f>
        <v/>
      </c>
      <c r="F162" s="38" t="str">
        <f>TRIM(データ!G159)</f>
        <v>本</v>
      </c>
      <c r="G162" s="50">
        <f>データ!H159</f>
        <v>2</v>
      </c>
      <c r="H162" s="48">
        <f>データ!I159</f>
        <v>14000</v>
      </c>
      <c r="I162" s="48">
        <f>データ!J159</f>
        <v>28000</v>
      </c>
      <c r="J162" s="39" t="str">
        <f>IF(OR($C162="総括",$C162="内訳書",$C162="内訳代価",$C162="明細書",$C162="明細代価",$C162="代価表",$C162="単価表"),データ!K159,"")</f>
        <v/>
      </c>
      <c r="K162" s="11" t="str">
        <f t="shared" si="12"/>
        <v/>
      </c>
      <c r="L162" s="46">
        <f t="shared" si="13"/>
        <v>4.0315033187911248E-4</v>
      </c>
      <c r="M162" s="40" t="str">
        <f>IF(データ!L159="","",データ!L159)</f>
        <v/>
      </c>
      <c r="N162" s="41" t="str">
        <f>IF(データ!M159="","",データ!M159)</f>
        <v/>
      </c>
      <c r="O162" s="42">
        <f>データ!N159</f>
        <v>0</v>
      </c>
      <c r="P162" s="48">
        <f>IF($C162="集計行","",データ!O159)</f>
        <v>0</v>
      </c>
      <c r="Q162" s="48">
        <f>データ!P159</f>
        <v>0</v>
      </c>
      <c r="R162" s="39" t="str">
        <f>IF(OR($C162="総括",$C162="内訳書",$C162="内訳代価",$C162="明細書",$C162="明細代価",$C162="代価表",$C162="単価表"),データ!Q159,"")</f>
        <v/>
      </c>
      <c r="S162" s="11" t="str">
        <f t="shared" si="14"/>
        <v/>
      </c>
      <c r="T162" s="46" t="e">
        <f t="shared" si="15"/>
        <v>#DIV/0!</v>
      </c>
      <c r="U162" s="40" t="str">
        <f>IF(データ!R159="","",データ!R159)</f>
        <v/>
      </c>
      <c r="V162" s="41" t="str">
        <f>IF(データ!S159="","",データ!S159)</f>
        <v/>
      </c>
      <c r="W162" s="42">
        <f>データ!T159</f>
        <v>0</v>
      </c>
      <c r="X162" s="48">
        <f>IF($C162="集計行","",データ!U159)</f>
        <v>0</v>
      </c>
      <c r="Y162" s="48">
        <f>データ!V159</f>
        <v>0</v>
      </c>
      <c r="Z162" s="39" t="str">
        <f>IF(OR($C162="総括",$C162="内訳書",$C162="内訳代価",$C162="明細書",$C162="明細代価",$C162="代価表",$C162="単価表"),データ!W159,"")</f>
        <v/>
      </c>
      <c r="AA162" s="11" t="str">
        <f t="shared" si="16"/>
        <v/>
      </c>
      <c r="AB162" s="46" t="e">
        <f t="shared" si="17"/>
        <v>#DIV/0!</v>
      </c>
      <c r="AC162" s="40" t="str">
        <f>IF(データ!X159="","",データ!X159)</f>
        <v/>
      </c>
      <c r="AD162" s="41" t="str">
        <f>IF(データ!Y159="","",データ!Y159)</f>
        <v/>
      </c>
      <c r="AE162" s="47" t="str">
        <f>TRIM(データ!B159)</f>
        <v/>
      </c>
      <c r="AF162" s="43" t="str">
        <f>TRIM(データ!Z159)</f>
        <v/>
      </c>
    </row>
    <row r="163" spans="1:32" x14ac:dyDescent="0.15">
      <c r="A163" s="47">
        <f>データ!A160</f>
        <v>3</v>
      </c>
      <c r="B163" s="47" t="str">
        <f>TRIM(データ!C160)</f>
        <v/>
      </c>
      <c r="C163" s="47" t="str">
        <f>TRIM(データ!D160)</f>
        <v>材料費</v>
      </c>
      <c r="D163" s="36" t="str">
        <f>REPT("｜",$A163)&amp;TRIM(データ!E160)</f>
        <v>｜｜｜VS300×600</v>
      </c>
      <c r="E163" s="37" t="str">
        <f>TRIM(データ!F160)</f>
        <v/>
      </c>
      <c r="F163" s="38" t="str">
        <f>TRIM(データ!G160)</f>
        <v>本</v>
      </c>
      <c r="G163" s="50">
        <f>データ!H160</f>
        <v>3</v>
      </c>
      <c r="H163" s="48">
        <f>データ!I160</f>
        <v>16000</v>
      </c>
      <c r="I163" s="48">
        <f>データ!J160</f>
        <v>48000</v>
      </c>
      <c r="J163" s="39" t="str">
        <f>IF(OR($C163="総括",$C163="内訳書",$C163="内訳代価",$C163="明細書",$C163="明細代価",$C163="代価表",$C163="単価表"),データ!K160,"")</f>
        <v/>
      </c>
      <c r="K163" s="11" t="str">
        <f t="shared" si="12"/>
        <v/>
      </c>
      <c r="L163" s="46">
        <f t="shared" si="13"/>
        <v>6.911148546499071E-4</v>
      </c>
      <c r="M163" s="40" t="str">
        <f>IF(データ!L160="","",データ!L160)</f>
        <v/>
      </c>
      <c r="N163" s="41" t="str">
        <f>IF(データ!M160="","",データ!M160)</f>
        <v/>
      </c>
      <c r="O163" s="42">
        <f>データ!N160</f>
        <v>0</v>
      </c>
      <c r="P163" s="48">
        <f>IF($C163="集計行","",データ!O160)</f>
        <v>0</v>
      </c>
      <c r="Q163" s="48">
        <f>データ!P160</f>
        <v>0</v>
      </c>
      <c r="R163" s="39" t="str">
        <f>IF(OR($C163="総括",$C163="内訳書",$C163="内訳代価",$C163="明細書",$C163="明細代価",$C163="代価表",$C163="単価表"),データ!Q160,"")</f>
        <v/>
      </c>
      <c r="S163" s="11" t="str">
        <f t="shared" si="14"/>
        <v/>
      </c>
      <c r="T163" s="46" t="e">
        <f t="shared" si="15"/>
        <v>#DIV/0!</v>
      </c>
      <c r="U163" s="40" t="str">
        <f>IF(データ!R160="","",データ!R160)</f>
        <v/>
      </c>
      <c r="V163" s="41" t="str">
        <f>IF(データ!S160="","",データ!S160)</f>
        <v/>
      </c>
      <c r="W163" s="42">
        <f>データ!T160</f>
        <v>0</v>
      </c>
      <c r="X163" s="48">
        <f>IF($C163="集計行","",データ!U160)</f>
        <v>0</v>
      </c>
      <c r="Y163" s="48">
        <f>データ!V160</f>
        <v>0</v>
      </c>
      <c r="Z163" s="39" t="str">
        <f>IF(OR($C163="総括",$C163="内訳書",$C163="内訳代価",$C163="明細書",$C163="明細代価",$C163="代価表",$C163="単価表"),データ!W160,"")</f>
        <v/>
      </c>
      <c r="AA163" s="11" t="str">
        <f t="shared" si="16"/>
        <v/>
      </c>
      <c r="AB163" s="46" t="e">
        <f t="shared" si="17"/>
        <v>#DIV/0!</v>
      </c>
      <c r="AC163" s="40" t="str">
        <f>IF(データ!X160="","",データ!X160)</f>
        <v/>
      </c>
      <c r="AD163" s="41" t="str">
        <f>IF(データ!Y160="","",データ!Y160)</f>
        <v/>
      </c>
      <c r="AE163" s="47" t="str">
        <f>TRIM(データ!B160)</f>
        <v/>
      </c>
      <c r="AF163" s="43" t="str">
        <f>TRIM(データ!Z160)</f>
        <v/>
      </c>
    </row>
    <row r="164" spans="1:32" x14ac:dyDescent="0.15">
      <c r="A164" s="47">
        <f>データ!A161</f>
        <v>3</v>
      </c>
      <c r="B164" s="47" t="str">
        <f>TRIM(データ!C161)</f>
        <v/>
      </c>
      <c r="C164" s="47" t="str">
        <f>TRIM(データ!D161)</f>
        <v>材料費</v>
      </c>
      <c r="D164" s="36" t="str">
        <f>REPT("｜",$A164)&amp;TRIM(データ!E161)</f>
        <v>｜｜｜VS300×700</v>
      </c>
      <c r="E164" s="37" t="str">
        <f>TRIM(データ!F161)</f>
        <v/>
      </c>
      <c r="F164" s="38" t="str">
        <f>TRIM(データ!G161)</f>
        <v>本</v>
      </c>
      <c r="G164" s="50">
        <f>データ!H161</f>
        <v>3</v>
      </c>
      <c r="H164" s="48">
        <f>データ!I161</f>
        <v>17000</v>
      </c>
      <c r="I164" s="48">
        <f>データ!J161</f>
        <v>51000</v>
      </c>
      <c r="J164" s="39" t="str">
        <f>IF(OR($C164="総括",$C164="内訳書",$C164="内訳代価",$C164="明細書",$C164="明細代価",$C164="代価表",$C164="単価表"),データ!K161,"")</f>
        <v/>
      </c>
      <c r="K164" s="11" t="str">
        <f t="shared" si="12"/>
        <v/>
      </c>
      <c r="L164" s="46">
        <f t="shared" si="13"/>
        <v>7.3430953306552634E-4</v>
      </c>
      <c r="M164" s="40" t="str">
        <f>IF(データ!L161="","",データ!L161)</f>
        <v/>
      </c>
      <c r="N164" s="41" t="str">
        <f>IF(データ!M161="","",データ!M161)</f>
        <v/>
      </c>
      <c r="O164" s="42">
        <f>データ!N161</f>
        <v>0</v>
      </c>
      <c r="P164" s="48">
        <f>IF($C164="集計行","",データ!O161)</f>
        <v>0</v>
      </c>
      <c r="Q164" s="48">
        <f>データ!P161</f>
        <v>0</v>
      </c>
      <c r="R164" s="39" t="str">
        <f>IF(OR($C164="総括",$C164="内訳書",$C164="内訳代価",$C164="明細書",$C164="明細代価",$C164="代価表",$C164="単価表"),データ!Q161,"")</f>
        <v/>
      </c>
      <c r="S164" s="11" t="str">
        <f t="shared" si="14"/>
        <v/>
      </c>
      <c r="T164" s="46" t="e">
        <f t="shared" si="15"/>
        <v>#DIV/0!</v>
      </c>
      <c r="U164" s="40" t="str">
        <f>IF(データ!R161="","",データ!R161)</f>
        <v/>
      </c>
      <c r="V164" s="41" t="str">
        <f>IF(データ!S161="","",データ!S161)</f>
        <v/>
      </c>
      <c r="W164" s="42">
        <f>データ!T161</f>
        <v>0</v>
      </c>
      <c r="X164" s="48">
        <f>IF($C164="集計行","",データ!U161)</f>
        <v>0</v>
      </c>
      <c r="Y164" s="48">
        <f>データ!V161</f>
        <v>0</v>
      </c>
      <c r="Z164" s="39" t="str">
        <f>IF(OR($C164="総括",$C164="内訳書",$C164="内訳代価",$C164="明細書",$C164="明細代価",$C164="代価表",$C164="単価表"),データ!W161,"")</f>
        <v/>
      </c>
      <c r="AA164" s="11" t="str">
        <f t="shared" si="16"/>
        <v/>
      </c>
      <c r="AB164" s="46" t="e">
        <f t="shared" si="17"/>
        <v>#DIV/0!</v>
      </c>
      <c r="AC164" s="40" t="str">
        <f>IF(データ!X161="","",データ!X161)</f>
        <v/>
      </c>
      <c r="AD164" s="41" t="str">
        <f>IF(データ!Y161="","",データ!Y161)</f>
        <v/>
      </c>
      <c r="AE164" s="47" t="str">
        <f>TRIM(データ!B161)</f>
        <v/>
      </c>
      <c r="AF164" s="43" t="str">
        <f>TRIM(データ!Z161)</f>
        <v/>
      </c>
    </row>
    <row r="165" spans="1:32" x14ac:dyDescent="0.15">
      <c r="A165" s="47">
        <f>データ!A162</f>
        <v>3</v>
      </c>
      <c r="B165" s="47" t="str">
        <f>TRIM(データ!C162)</f>
        <v/>
      </c>
      <c r="C165" s="47" t="str">
        <f>TRIM(データ!D162)</f>
        <v>材料費</v>
      </c>
      <c r="D165" s="36" t="str">
        <f>REPT("｜",$A165)&amp;TRIM(データ!E162)</f>
        <v>｜｜｜グレーチング蓋　T-25</v>
      </c>
      <c r="E165" s="37" t="str">
        <f>TRIM(データ!F162)</f>
        <v>L=995</v>
      </c>
      <c r="F165" s="38" t="str">
        <f>TRIM(データ!G162)</f>
        <v>枚</v>
      </c>
      <c r="G165" s="50">
        <f>データ!H162</f>
        <v>19</v>
      </c>
      <c r="H165" s="48">
        <f>データ!I162</f>
        <v>25750</v>
      </c>
      <c r="I165" s="48">
        <f>データ!J162</f>
        <v>489250</v>
      </c>
      <c r="J165" s="39" t="str">
        <f>IF(OR($C165="総括",$C165="内訳書",$C165="内訳代価",$C165="明細書",$C165="明細代価",$C165="代価表",$C165="単価表"),データ!K162,"")</f>
        <v/>
      </c>
      <c r="K165" s="11" t="str">
        <f t="shared" si="12"/>
        <v/>
      </c>
      <c r="L165" s="46">
        <f t="shared" si="13"/>
        <v>7.0443321382805636E-3</v>
      </c>
      <c r="M165" s="40" t="str">
        <f>IF(データ!L162="","",データ!L162)</f>
        <v/>
      </c>
      <c r="N165" s="41" t="str">
        <f>IF(データ!M162="","",データ!M162)</f>
        <v/>
      </c>
      <c r="O165" s="42">
        <f>データ!N162</f>
        <v>0</v>
      </c>
      <c r="P165" s="48">
        <f>IF($C165="集計行","",データ!O162)</f>
        <v>0</v>
      </c>
      <c r="Q165" s="48">
        <f>データ!P162</f>
        <v>0</v>
      </c>
      <c r="R165" s="39" t="str">
        <f>IF(OR($C165="総括",$C165="内訳書",$C165="内訳代価",$C165="明細書",$C165="明細代価",$C165="代価表",$C165="単価表"),データ!Q162,"")</f>
        <v/>
      </c>
      <c r="S165" s="11" t="str">
        <f t="shared" si="14"/>
        <v/>
      </c>
      <c r="T165" s="46" t="e">
        <f t="shared" si="15"/>
        <v>#DIV/0!</v>
      </c>
      <c r="U165" s="40" t="str">
        <f>IF(データ!R162="","",データ!R162)</f>
        <v/>
      </c>
      <c r="V165" s="41" t="str">
        <f>IF(データ!S162="","",データ!S162)</f>
        <v/>
      </c>
      <c r="W165" s="42">
        <f>データ!T162</f>
        <v>0</v>
      </c>
      <c r="X165" s="48">
        <f>IF($C165="集計行","",データ!U162)</f>
        <v>0</v>
      </c>
      <c r="Y165" s="48">
        <f>データ!V162</f>
        <v>0</v>
      </c>
      <c r="Z165" s="39" t="str">
        <f>IF(OR($C165="総括",$C165="内訳書",$C165="内訳代価",$C165="明細書",$C165="明細代価",$C165="代価表",$C165="単価表"),データ!W162,"")</f>
        <v/>
      </c>
      <c r="AA165" s="11" t="str">
        <f t="shared" si="16"/>
        <v/>
      </c>
      <c r="AB165" s="46" t="e">
        <f t="shared" si="17"/>
        <v>#DIV/0!</v>
      </c>
      <c r="AC165" s="40" t="str">
        <f>IF(データ!X162="","",データ!X162)</f>
        <v/>
      </c>
      <c r="AD165" s="41" t="str">
        <f>IF(データ!Y162="","",データ!Y162)</f>
        <v/>
      </c>
      <c r="AE165" s="47" t="str">
        <f>TRIM(データ!B162)</f>
        <v/>
      </c>
      <c r="AF165" s="43" t="str">
        <f>TRIM(データ!Z162)</f>
        <v/>
      </c>
    </row>
    <row r="166" spans="1:32" x14ac:dyDescent="0.15">
      <c r="A166" s="47">
        <f>データ!A163</f>
        <v>3</v>
      </c>
      <c r="B166" s="47" t="str">
        <f>TRIM(データ!C163)</f>
        <v/>
      </c>
      <c r="C166" s="47" t="str">
        <f>TRIM(データ!D163)</f>
        <v>材料費</v>
      </c>
      <c r="D166" s="36" t="str">
        <f>REPT("｜",$A166)&amp;TRIM(データ!E163)</f>
        <v>｜｜｜生コン</v>
      </c>
      <c r="E166" s="37" t="str">
        <f>TRIM(データ!F163)</f>
        <v/>
      </c>
      <c r="F166" s="38" t="str">
        <f>TRIM(データ!G163)</f>
        <v>m3</v>
      </c>
      <c r="G166" s="50">
        <f>データ!H163</f>
        <v>1</v>
      </c>
      <c r="H166" s="48">
        <f>データ!I163</f>
        <v>30000</v>
      </c>
      <c r="I166" s="48">
        <f>データ!J163</f>
        <v>30000</v>
      </c>
      <c r="J166" s="39" t="str">
        <f>IF(OR($C166="総括",$C166="内訳書",$C166="内訳代価",$C166="明細書",$C166="明細代価",$C166="代価表",$C166="単価表"),データ!K163,"")</f>
        <v/>
      </c>
      <c r="K166" s="11" t="str">
        <f t="shared" si="12"/>
        <v/>
      </c>
      <c r="L166" s="46">
        <f t="shared" si="13"/>
        <v>4.3194678415619197E-4</v>
      </c>
      <c r="M166" s="40" t="str">
        <f>IF(データ!L163="","",データ!L163)</f>
        <v/>
      </c>
      <c r="N166" s="41" t="str">
        <f>IF(データ!M163="","",データ!M163)</f>
        <v/>
      </c>
      <c r="O166" s="42">
        <f>データ!N163</f>
        <v>0</v>
      </c>
      <c r="P166" s="48">
        <f>IF($C166="集計行","",データ!O163)</f>
        <v>0</v>
      </c>
      <c r="Q166" s="48">
        <f>データ!P163</f>
        <v>0</v>
      </c>
      <c r="R166" s="39" t="str">
        <f>IF(OR($C166="総括",$C166="内訳書",$C166="内訳代価",$C166="明細書",$C166="明細代価",$C166="代価表",$C166="単価表"),データ!Q163,"")</f>
        <v/>
      </c>
      <c r="S166" s="11" t="str">
        <f t="shared" si="14"/>
        <v/>
      </c>
      <c r="T166" s="46" t="e">
        <f t="shared" si="15"/>
        <v>#DIV/0!</v>
      </c>
      <c r="U166" s="40" t="str">
        <f>IF(データ!R163="","",データ!R163)</f>
        <v/>
      </c>
      <c r="V166" s="41" t="str">
        <f>IF(データ!S163="","",データ!S163)</f>
        <v/>
      </c>
      <c r="W166" s="42">
        <f>データ!T163</f>
        <v>0</v>
      </c>
      <c r="X166" s="48">
        <f>IF($C166="集計行","",データ!U163)</f>
        <v>0</v>
      </c>
      <c r="Y166" s="48">
        <f>データ!V163</f>
        <v>0</v>
      </c>
      <c r="Z166" s="39" t="str">
        <f>IF(OR($C166="総括",$C166="内訳書",$C166="内訳代価",$C166="明細書",$C166="明細代価",$C166="代価表",$C166="単価表"),データ!W163,"")</f>
        <v/>
      </c>
      <c r="AA166" s="11" t="str">
        <f t="shared" si="16"/>
        <v/>
      </c>
      <c r="AB166" s="46" t="e">
        <f t="shared" si="17"/>
        <v>#DIV/0!</v>
      </c>
      <c r="AC166" s="40" t="str">
        <f>IF(データ!X163="","",データ!X163)</f>
        <v/>
      </c>
      <c r="AD166" s="41" t="str">
        <f>IF(データ!Y163="","",データ!Y163)</f>
        <v/>
      </c>
      <c r="AE166" s="47" t="str">
        <f>TRIM(データ!B163)</f>
        <v/>
      </c>
      <c r="AF166" s="43" t="str">
        <f>TRIM(データ!Z163)</f>
        <v/>
      </c>
    </row>
    <row r="167" spans="1:32" x14ac:dyDescent="0.15">
      <c r="A167" s="47">
        <f>データ!A164</f>
        <v>3</v>
      </c>
      <c r="B167" s="47" t="str">
        <f>TRIM(データ!C164)</f>
        <v/>
      </c>
      <c r="C167" s="47" t="str">
        <f>TRIM(データ!D164)</f>
        <v>労務費</v>
      </c>
      <c r="D167" s="36" t="str">
        <f>REPT("｜",$A167)&amp;TRIM(データ!E164)</f>
        <v>｜｜｜技工</v>
      </c>
      <c r="E167" s="37" t="str">
        <f>TRIM(データ!F164)</f>
        <v/>
      </c>
      <c r="F167" s="38" t="str">
        <f>TRIM(データ!G164)</f>
        <v>人</v>
      </c>
      <c r="G167" s="50">
        <f>データ!H164</f>
        <v>3</v>
      </c>
      <c r="H167" s="48">
        <f>データ!I164</f>
        <v>28000</v>
      </c>
      <c r="I167" s="48">
        <f>データ!J164</f>
        <v>84000</v>
      </c>
      <c r="J167" s="39" t="str">
        <f>IF(OR($C167="総括",$C167="内訳書",$C167="内訳代価",$C167="明細書",$C167="明細代価",$C167="代価表",$C167="単価表"),データ!K164,"")</f>
        <v/>
      </c>
      <c r="K167" s="11" t="str">
        <f t="shared" si="12"/>
        <v/>
      </c>
      <c r="L167" s="46">
        <f t="shared" si="13"/>
        <v>1.2094509956373375E-3</v>
      </c>
      <c r="M167" s="40" t="str">
        <f>IF(データ!L164="","",データ!L164)</f>
        <v/>
      </c>
      <c r="N167" s="41" t="str">
        <f>IF(データ!M164="","",データ!M164)</f>
        <v/>
      </c>
      <c r="O167" s="42">
        <f>データ!N164</f>
        <v>0</v>
      </c>
      <c r="P167" s="48">
        <f>IF($C167="集計行","",データ!O164)</f>
        <v>0</v>
      </c>
      <c r="Q167" s="48">
        <f>データ!P164</f>
        <v>0</v>
      </c>
      <c r="R167" s="39" t="str">
        <f>IF(OR($C167="総括",$C167="内訳書",$C167="内訳代価",$C167="明細書",$C167="明細代価",$C167="代価表",$C167="単価表"),データ!Q164,"")</f>
        <v/>
      </c>
      <c r="S167" s="11" t="str">
        <f t="shared" si="14"/>
        <v/>
      </c>
      <c r="T167" s="46" t="e">
        <f t="shared" si="15"/>
        <v>#DIV/0!</v>
      </c>
      <c r="U167" s="40" t="str">
        <f>IF(データ!R164="","",データ!R164)</f>
        <v/>
      </c>
      <c r="V167" s="41" t="str">
        <f>IF(データ!S164="","",データ!S164)</f>
        <v/>
      </c>
      <c r="W167" s="42">
        <f>データ!T164</f>
        <v>0</v>
      </c>
      <c r="X167" s="48">
        <f>IF($C167="集計行","",データ!U164)</f>
        <v>0</v>
      </c>
      <c r="Y167" s="48">
        <f>データ!V164</f>
        <v>0</v>
      </c>
      <c r="Z167" s="39" t="str">
        <f>IF(OR($C167="総括",$C167="内訳書",$C167="内訳代価",$C167="明細書",$C167="明細代価",$C167="代価表",$C167="単価表"),データ!W164,"")</f>
        <v/>
      </c>
      <c r="AA167" s="11" t="str">
        <f t="shared" si="16"/>
        <v/>
      </c>
      <c r="AB167" s="46" t="e">
        <f t="shared" si="17"/>
        <v>#DIV/0!</v>
      </c>
      <c r="AC167" s="40" t="str">
        <f>IF(データ!X164="","",データ!X164)</f>
        <v/>
      </c>
      <c r="AD167" s="41" t="str">
        <f>IF(データ!Y164="","",データ!Y164)</f>
        <v/>
      </c>
      <c r="AE167" s="47" t="str">
        <f>TRIM(データ!B164)</f>
        <v/>
      </c>
      <c r="AF167" s="43" t="str">
        <f>TRIM(データ!Z164)</f>
        <v/>
      </c>
    </row>
    <row r="168" spans="1:32" x14ac:dyDescent="0.15">
      <c r="A168" s="47">
        <f>データ!A165</f>
        <v>3</v>
      </c>
      <c r="B168" s="47" t="str">
        <f>TRIM(データ!C165)</f>
        <v/>
      </c>
      <c r="C168" s="47" t="str">
        <f>TRIM(データ!D165)</f>
        <v>機械費</v>
      </c>
      <c r="D168" s="36" t="str">
        <f>REPT("｜",$A168)&amp;TRIM(データ!E165)</f>
        <v>｜｜｜BH0.15</v>
      </c>
      <c r="E168" s="37" t="str">
        <f>TRIM(データ!F165)</f>
        <v/>
      </c>
      <c r="F168" s="38" t="str">
        <f>TRIM(データ!G165)</f>
        <v>台</v>
      </c>
      <c r="G168" s="50">
        <f>データ!H165</f>
        <v>1</v>
      </c>
      <c r="H168" s="48">
        <f>データ!I165</f>
        <v>8000</v>
      </c>
      <c r="I168" s="48">
        <f>データ!J165</f>
        <v>8000</v>
      </c>
      <c r="J168" s="39" t="str">
        <f>IF(OR($C168="総括",$C168="内訳書",$C168="内訳代価",$C168="明細書",$C168="明細代価",$C168="代価表",$C168="単価表"),データ!K165,"")</f>
        <v/>
      </c>
      <c r="K168" s="11" t="str">
        <f t="shared" si="12"/>
        <v/>
      </c>
      <c r="L168" s="46">
        <f t="shared" si="13"/>
        <v>1.1518580910831785E-4</v>
      </c>
      <c r="M168" s="40" t="str">
        <f>IF(データ!L165="","",データ!L165)</f>
        <v/>
      </c>
      <c r="N168" s="41" t="str">
        <f>IF(データ!M165="","",データ!M165)</f>
        <v/>
      </c>
      <c r="O168" s="42">
        <f>データ!N165</f>
        <v>0</v>
      </c>
      <c r="P168" s="48">
        <f>IF($C168="集計行","",データ!O165)</f>
        <v>0</v>
      </c>
      <c r="Q168" s="48">
        <f>データ!P165</f>
        <v>0</v>
      </c>
      <c r="R168" s="39" t="str">
        <f>IF(OR($C168="総括",$C168="内訳書",$C168="内訳代価",$C168="明細書",$C168="明細代価",$C168="代価表",$C168="単価表"),データ!Q165,"")</f>
        <v/>
      </c>
      <c r="S168" s="11" t="str">
        <f t="shared" si="14"/>
        <v/>
      </c>
      <c r="T168" s="46" t="e">
        <f t="shared" si="15"/>
        <v>#DIV/0!</v>
      </c>
      <c r="U168" s="40" t="str">
        <f>IF(データ!R165="","",データ!R165)</f>
        <v/>
      </c>
      <c r="V168" s="41" t="str">
        <f>IF(データ!S165="","",データ!S165)</f>
        <v/>
      </c>
      <c r="W168" s="42">
        <f>データ!T165</f>
        <v>0</v>
      </c>
      <c r="X168" s="48">
        <f>IF($C168="集計行","",データ!U165)</f>
        <v>0</v>
      </c>
      <c r="Y168" s="48">
        <f>データ!V165</f>
        <v>0</v>
      </c>
      <c r="Z168" s="39" t="str">
        <f>IF(OR($C168="総括",$C168="内訳書",$C168="内訳代価",$C168="明細書",$C168="明細代価",$C168="代価表",$C168="単価表"),データ!W165,"")</f>
        <v/>
      </c>
      <c r="AA168" s="11" t="str">
        <f t="shared" si="16"/>
        <v/>
      </c>
      <c r="AB168" s="46" t="e">
        <f t="shared" si="17"/>
        <v>#DIV/0!</v>
      </c>
      <c r="AC168" s="40" t="str">
        <f>IF(データ!X165="","",データ!X165)</f>
        <v/>
      </c>
      <c r="AD168" s="41" t="str">
        <f>IF(データ!Y165="","",データ!Y165)</f>
        <v/>
      </c>
      <c r="AE168" s="47" t="str">
        <f>TRIM(データ!B165)</f>
        <v/>
      </c>
      <c r="AF168" s="43" t="str">
        <f>TRIM(データ!Z165)</f>
        <v/>
      </c>
    </row>
    <row r="169" spans="1:32" x14ac:dyDescent="0.15">
      <c r="A169" s="47">
        <f>データ!A166</f>
        <v>3</v>
      </c>
      <c r="B169" s="47" t="str">
        <f>TRIM(データ!C166)</f>
        <v/>
      </c>
      <c r="C169" s="47" t="str">
        <f>TRIM(データ!D166)</f>
        <v>機械費</v>
      </c>
      <c r="D169" s="36" t="str">
        <f>REPT("｜",$A169)&amp;TRIM(データ!E166)</f>
        <v>｜｜｜プレート</v>
      </c>
      <c r="E169" s="37" t="str">
        <f>TRIM(データ!F166)</f>
        <v/>
      </c>
      <c r="F169" s="38" t="str">
        <f>TRIM(データ!G166)</f>
        <v>台</v>
      </c>
      <c r="G169" s="50">
        <f>データ!H166</f>
        <v>1</v>
      </c>
      <c r="H169" s="48">
        <f>データ!I166</f>
        <v>1500</v>
      </c>
      <c r="I169" s="48">
        <f>データ!J166</f>
        <v>1500</v>
      </c>
      <c r="J169" s="39" t="str">
        <f>IF(OR($C169="総括",$C169="内訳書",$C169="内訳代価",$C169="明細書",$C169="明細代価",$C169="代価表",$C169="単価表"),データ!K166,"")</f>
        <v/>
      </c>
      <c r="K169" s="11" t="str">
        <f t="shared" si="12"/>
        <v/>
      </c>
      <c r="L169" s="46">
        <f t="shared" si="13"/>
        <v>2.1597339207809597E-5</v>
      </c>
      <c r="M169" s="40" t="str">
        <f>IF(データ!L166="","",データ!L166)</f>
        <v/>
      </c>
      <c r="N169" s="41" t="str">
        <f>IF(データ!M166="","",データ!M166)</f>
        <v/>
      </c>
      <c r="O169" s="42">
        <f>データ!N166</f>
        <v>0</v>
      </c>
      <c r="P169" s="48">
        <f>IF($C169="集計行","",データ!O166)</f>
        <v>0</v>
      </c>
      <c r="Q169" s="48">
        <f>データ!P166</f>
        <v>0</v>
      </c>
      <c r="R169" s="39" t="str">
        <f>IF(OR($C169="総括",$C169="内訳書",$C169="内訳代価",$C169="明細書",$C169="明細代価",$C169="代価表",$C169="単価表"),データ!Q166,"")</f>
        <v/>
      </c>
      <c r="S169" s="11" t="str">
        <f t="shared" si="14"/>
        <v/>
      </c>
      <c r="T169" s="46" t="e">
        <f t="shared" si="15"/>
        <v>#DIV/0!</v>
      </c>
      <c r="U169" s="40" t="str">
        <f>IF(データ!R166="","",データ!R166)</f>
        <v/>
      </c>
      <c r="V169" s="41" t="str">
        <f>IF(データ!S166="","",データ!S166)</f>
        <v/>
      </c>
      <c r="W169" s="42">
        <f>データ!T166</f>
        <v>0</v>
      </c>
      <c r="X169" s="48">
        <f>IF($C169="集計行","",データ!U166)</f>
        <v>0</v>
      </c>
      <c r="Y169" s="48">
        <f>データ!V166</f>
        <v>0</v>
      </c>
      <c r="Z169" s="39" t="str">
        <f>IF(OR($C169="総括",$C169="内訳書",$C169="内訳代価",$C169="明細書",$C169="明細代価",$C169="代価表",$C169="単価表"),データ!W166,"")</f>
        <v/>
      </c>
      <c r="AA169" s="11" t="str">
        <f t="shared" si="16"/>
        <v/>
      </c>
      <c r="AB169" s="46" t="e">
        <f t="shared" si="17"/>
        <v>#DIV/0!</v>
      </c>
      <c r="AC169" s="40" t="str">
        <f>IF(データ!X166="","",データ!X166)</f>
        <v/>
      </c>
      <c r="AD169" s="41" t="str">
        <f>IF(データ!Y166="","",データ!Y166)</f>
        <v/>
      </c>
      <c r="AE169" s="47" t="str">
        <f>TRIM(データ!B166)</f>
        <v/>
      </c>
      <c r="AF169" s="43" t="str">
        <f>TRIM(データ!Z166)</f>
        <v/>
      </c>
    </row>
    <row r="170" spans="1:32" x14ac:dyDescent="0.15">
      <c r="A170" s="47">
        <f>データ!A167</f>
        <v>3</v>
      </c>
      <c r="B170" s="47" t="str">
        <f>TRIM(データ!C167)</f>
        <v/>
      </c>
      <c r="C170" s="47" t="str">
        <f>TRIM(データ!D167)</f>
        <v>機械費</v>
      </c>
      <c r="D170" s="36" t="str">
        <f>REPT("｜",$A170)&amp;TRIM(データ!E167)</f>
        <v>｜｜｜ランマー</v>
      </c>
      <c r="E170" s="37" t="str">
        <f>TRIM(データ!F167)</f>
        <v/>
      </c>
      <c r="F170" s="38" t="str">
        <f>TRIM(データ!G167)</f>
        <v>台</v>
      </c>
      <c r="G170" s="50">
        <f>データ!H167</f>
        <v>1</v>
      </c>
      <c r="H170" s="48">
        <f>データ!I167</f>
        <v>1500</v>
      </c>
      <c r="I170" s="48">
        <f>データ!J167</f>
        <v>1500</v>
      </c>
      <c r="J170" s="39" t="str">
        <f>IF(OR($C170="総括",$C170="内訳書",$C170="内訳代価",$C170="明細書",$C170="明細代価",$C170="代価表",$C170="単価表"),データ!K167,"")</f>
        <v/>
      </c>
      <c r="K170" s="11" t="str">
        <f t="shared" si="12"/>
        <v/>
      </c>
      <c r="L170" s="46">
        <f t="shared" si="13"/>
        <v>2.1597339207809597E-5</v>
      </c>
      <c r="M170" s="40" t="str">
        <f>IF(データ!L167="","",データ!L167)</f>
        <v/>
      </c>
      <c r="N170" s="41" t="str">
        <f>IF(データ!M167="","",データ!M167)</f>
        <v/>
      </c>
      <c r="O170" s="42">
        <f>データ!N167</f>
        <v>0</v>
      </c>
      <c r="P170" s="48">
        <f>IF($C170="集計行","",データ!O167)</f>
        <v>0</v>
      </c>
      <c r="Q170" s="48">
        <f>データ!P167</f>
        <v>0</v>
      </c>
      <c r="R170" s="39" t="str">
        <f>IF(OR($C170="総括",$C170="内訳書",$C170="内訳代価",$C170="明細書",$C170="明細代価",$C170="代価表",$C170="単価表"),データ!Q167,"")</f>
        <v/>
      </c>
      <c r="S170" s="11" t="str">
        <f t="shared" si="14"/>
        <v/>
      </c>
      <c r="T170" s="46" t="e">
        <f t="shared" si="15"/>
        <v>#DIV/0!</v>
      </c>
      <c r="U170" s="40" t="str">
        <f>IF(データ!R167="","",データ!R167)</f>
        <v/>
      </c>
      <c r="V170" s="41" t="str">
        <f>IF(データ!S167="","",データ!S167)</f>
        <v/>
      </c>
      <c r="W170" s="42">
        <f>データ!T167</f>
        <v>0</v>
      </c>
      <c r="X170" s="48">
        <f>IF($C170="集計行","",データ!U167)</f>
        <v>0</v>
      </c>
      <c r="Y170" s="48">
        <f>データ!V167</f>
        <v>0</v>
      </c>
      <c r="Z170" s="39" t="str">
        <f>IF(OR($C170="総括",$C170="内訳書",$C170="内訳代価",$C170="明細書",$C170="明細代価",$C170="代価表",$C170="単価表"),データ!W167,"")</f>
        <v/>
      </c>
      <c r="AA170" s="11" t="str">
        <f t="shared" si="16"/>
        <v/>
      </c>
      <c r="AB170" s="46" t="e">
        <f t="shared" si="17"/>
        <v>#DIV/0!</v>
      </c>
      <c r="AC170" s="40" t="str">
        <f>IF(データ!X167="","",データ!X167)</f>
        <v/>
      </c>
      <c r="AD170" s="41" t="str">
        <f>IF(データ!Y167="","",データ!Y167)</f>
        <v/>
      </c>
      <c r="AE170" s="47" t="str">
        <f>TRIM(データ!B167)</f>
        <v/>
      </c>
      <c r="AF170" s="43" t="str">
        <f>TRIM(データ!Z167)</f>
        <v/>
      </c>
    </row>
    <row r="171" spans="1:32" x14ac:dyDescent="0.15">
      <c r="A171" s="47">
        <f>データ!A168</f>
        <v>3</v>
      </c>
      <c r="B171" s="47" t="str">
        <f>TRIM(データ!C168)</f>
        <v/>
      </c>
      <c r="C171" s="47" t="str">
        <f>TRIM(データ!D168)</f>
        <v>運搬費</v>
      </c>
      <c r="D171" s="36" t="str">
        <f>REPT("｜",$A171)&amp;TRIM(データ!E168)</f>
        <v>｜｜｜4tダンプ</v>
      </c>
      <c r="E171" s="37" t="str">
        <f>TRIM(データ!F168)</f>
        <v/>
      </c>
      <c r="F171" s="38" t="str">
        <f>TRIM(データ!G168)</f>
        <v>台</v>
      </c>
      <c r="G171" s="50">
        <f>データ!H168</f>
        <v>1</v>
      </c>
      <c r="H171" s="48">
        <f>データ!I168</f>
        <v>10000</v>
      </c>
      <c r="I171" s="48">
        <f>データ!J168</f>
        <v>10000</v>
      </c>
      <c r="J171" s="39" t="str">
        <f>IF(OR($C171="総括",$C171="内訳書",$C171="内訳代価",$C171="明細書",$C171="明細代価",$C171="代価表",$C171="単価表"),データ!K168,"")</f>
        <v/>
      </c>
      <c r="K171" s="11" t="str">
        <f t="shared" si="12"/>
        <v/>
      </c>
      <c r="L171" s="46">
        <f t="shared" si="13"/>
        <v>1.4398226138539731E-4</v>
      </c>
      <c r="M171" s="40" t="str">
        <f>IF(データ!L168="","",データ!L168)</f>
        <v/>
      </c>
      <c r="N171" s="41" t="str">
        <f>IF(データ!M168="","",データ!M168)</f>
        <v/>
      </c>
      <c r="O171" s="42">
        <f>データ!N168</f>
        <v>0</v>
      </c>
      <c r="P171" s="48">
        <f>IF($C171="集計行","",データ!O168)</f>
        <v>0</v>
      </c>
      <c r="Q171" s="48">
        <f>データ!P168</f>
        <v>0</v>
      </c>
      <c r="R171" s="39" t="str">
        <f>IF(OR($C171="総括",$C171="内訳書",$C171="内訳代価",$C171="明細書",$C171="明細代価",$C171="代価表",$C171="単価表"),データ!Q168,"")</f>
        <v/>
      </c>
      <c r="S171" s="11" t="str">
        <f t="shared" si="14"/>
        <v/>
      </c>
      <c r="T171" s="46" t="e">
        <f t="shared" si="15"/>
        <v>#DIV/0!</v>
      </c>
      <c r="U171" s="40" t="str">
        <f>IF(データ!R168="","",データ!R168)</f>
        <v/>
      </c>
      <c r="V171" s="41" t="str">
        <f>IF(データ!S168="","",データ!S168)</f>
        <v/>
      </c>
      <c r="W171" s="42">
        <f>データ!T168</f>
        <v>0</v>
      </c>
      <c r="X171" s="48">
        <f>IF($C171="集計行","",データ!U168)</f>
        <v>0</v>
      </c>
      <c r="Y171" s="48">
        <f>データ!V168</f>
        <v>0</v>
      </c>
      <c r="Z171" s="39" t="str">
        <f>IF(OR($C171="総括",$C171="内訳書",$C171="内訳代価",$C171="明細書",$C171="明細代価",$C171="代価表",$C171="単価表"),データ!W168,"")</f>
        <v/>
      </c>
      <c r="AA171" s="11" t="str">
        <f t="shared" si="16"/>
        <v/>
      </c>
      <c r="AB171" s="46" t="e">
        <f t="shared" si="17"/>
        <v>#DIV/0!</v>
      </c>
      <c r="AC171" s="40" t="str">
        <f>IF(データ!X168="","",データ!X168)</f>
        <v/>
      </c>
      <c r="AD171" s="41" t="str">
        <f>IF(データ!Y168="","",データ!Y168)</f>
        <v/>
      </c>
      <c r="AE171" s="47" t="str">
        <f>TRIM(データ!B168)</f>
        <v/>
      </c>
      <c r="AF171" s="43" t="str">
        <f>TRIM(データ!Z168)</f>
        <v/>
      </c>
    </row>
    <row r="172" spans="1:32" x14ac:dyDescent="0.15">
      <c r="A172" s="47">
        <f>データ!A169</f>
        <v>3</v>
      </c>
      <c r="B172" s="47" t="str">
        <f>TRIM(データ!C169)</f>
        <v/>
      </c>
      <c r="C172" s="47" t="str">
        <f>TRIM(データ!D169)</f>
        <v>運搬費</v>
      </c>
      <c r="D172" s="36" t="str">
        <f>REPT("｜",$A172)&amp;TRIM(データ!E169)</f>
        <v>｜｜｜2tダンプ</v>
      </c>
      <c r="E172" s="37" t="str">
        <f>TRIM(データ!F169)</f>
        <v/>
      </c>
      <c r="F172" s="38" t="str">
        <f>TRIM(データ!G169)</f>
        <v>台</v>
      </c>
      <c r="G172" s="50">
        <f>データ!H169</f>
        <v>1</v>
      </c>
      <c r="H172" s="48">
        <f>データ!I169</f>
        <v>7000</v>
      </c>
      <c r="I172" s="48">
        <f>データ!J169</f>
        <v>7000</v>
      </c>
      <c r="J172" s="39" t="str">
        <f>IF(OR($C172="総括",$C172="内訳書",$C172="内訳代価",$C172="明細書",$C172="明細代価",$C172="代価表",$C172="単価表"),データ!K169,"")</f>
        <v/>
      </c>
      <c r="K172" s="11" t="str">
        <f t="shared" si="12"/>
        <v/>
      </c>
      <c r="L172" s="46">
        <f t="shared" si="13"/>
        <v>1.0078758296977812E-4</v>
      </c>
      <c r="M172" s="40" t="str">
        <f>IF(データ!L169="","",データ!L169)</f>
        <v/>
      </c>
      <c r="N172" s="41" t="str">
        <f>IF(データ!M169="","",データ!M169)</f>
        <v/>
      </c>
      <c r="O172" s="42">
        <f>データ!N169</f>
        <v>0</v>
      </c>
      <c r="P172" s="48">
        <f>IF($C172="集計行","",データ!O169)</f>
        <v>0</v>
      </c>
      <c r="Q172" s="48">
        <f>データ!P169</f>
        <v>0</v>
      </c>
      <c r="R172" s="39" t="str">
        <f>IF(OR($C172="総括",$C172="内訳書",$C172="内訳代価",$C172="明細書",$C172="明細代価",$C172="代価表",$C172="単価表"),データ!Q169,"")</f>
        <v/>
      </c>
      <c r="S172" s="11" t="str">
        <f t="shared" si="14"/>
        <v/>
      </c>
      <c r="T172" s="46" t="e">
        <f t="shared" si="15"/>
        <v>#DIV/0!</v>
      </c>
      <c r="U172" s="40" t="str">
        <f>IF(データ!R169="","",データ!R169)</f>
        <v/>
      </c>
      <c r="V172" s="41" t="str">
        <f>IF(データ!S169="","",データ!S169)</f>
        <v/>
      </c>
      <c r="W172" s="42">
        <f>データ!T169</f>
        <v>0</v>
      </c>
      <c r="X172" s="48">
        <f>IF($C172="集計行","",データ!U169)</f>
        <v>0</v>
      </c>
      <c r="Y172" s="48">
        <f>データ!V169</f>
        <v>0</v>
      </c>
      <c r="Z172" s="39" t="str">
        <f>IF(OR($C172="総括",$C172="内訳書",$C172="内訳代価",$C172="明細書",$C172="明細代価",$C172="代価表",$C172="単価表"),データ!W169,"")</f>
        <v/>
      </c>
      <c r="AA172" s="11" t="str">
        <f t="shared" si="16"/>
        <v/>
      </c>
      <c r="AB172" s="46" t="e">
        <f t="shared" si="17"/>
        <v>#DIV/0!</v>
      </c>
      <c r="AC172" s="40" t="str">
        <f>IF(データ!X169="","",データ!X169)</f>
        <v/>
      </c>
      <c r="AD172" s="41" t="str">
        <f>IF(データ!Y169="","",データ!Y169)</f>
        <v/>
      </c>
      <c r="AE172" s="47" t="str">
        <f>TRIM(データ!B169)</f>
        <v/>
      </c>
      <c r="AF172" s="43" t="str">
        <f>TRIM(データ!Z169)</f>
        <v/>
      </c>
    </row>
    <row r="173" spans="1:32" x14ac:dyDescent="0.15">
      <c r="A173" s="47">
        <f>データ!A170</f>
        <v>3</v>
      </c>
      <c r="B173" s="47" t="str">
        <f>TRIM(データ!C170)</f>
        <v/>
      </c>
      <c r="C173" s="47" t="str">
        <f>TRIM(データ!D170)</f>
        <v>材料費</v>
      </c>
      <c r="D173" s="36" t="str">
        <f>REPT("｜",$A173)&amp;TRIM(データ!E170)</f>
        <v>｜｜｜軽油</v>
      </c>
      <c r="E173" s="37" t="str">
        <f>TRIM(データ!F170)</f>
        <v/>
      </c>
      <c r="F173" s="38" t="str">
        <f>TRIM(データ!G170)</f>
        <v>リットル</v>
      </c>
      <c r="G173" s="50">
        <f>データ!H170</f>
        <v>40</v>
      </c>
      <c r="H173" s="48">
        <f>データ!I170</f>
        <v>150</v>
      </c>
      <c r="I173" s="48">
        <f>データ!J170</f>
        <v>6000</v>
      </c>
      <c r="J173" s="39" t="str">
        <f>IF(OR($C173="総括",$C173="内訳書",$C173="内訳代価",$C173="明細書",$C173="明細代価",$C173="代価表",$C173="単価表"),データ!K170,"")</f>
        <v/>
      </c>
      <c r="K173" s="11" t="str">
        <f t="shared" si="12"/>
        <v/>
      </c>
      <c r="L173" s="46">
        <f t="shared" si="13"/>
        <v>8.6389356831238388E-5</v>
      </c>
      <c r="M173" s="40" t="str">
        <f>IF(データ!L170="","",データ!L170)</f>
        <v/>
      </c>
      <c r="N173" s="41" t="str">
        <f>IF(データ!M170="","",データ!M170)</f>
        <v/>
      </c>
      <c r="O173" s="42">
        <f>データ!N170</f>
        <v>0</v>
      </c>
      <c r="P173" s="48">
        <f>IF($C173="集計行","",データ!O170)</f>
        <v>0</v>
      </c>
      <c r="Q173" s="48">
        <f>データ!P170</f>
        <v>0</v>
      </c>
      <c r="R173" s="39" t="str">
        <f>IF(OR($C173="総括",$C173="内訳書",$C173="内訳代価",$C173="明細書",$C173="明細代価",$C173="代価表",$C173="単価表"),データ!Q170,"")</f>
        <v/>
      </c>
      <c r="S173" s="11" t="str">
        <f t="shared" si="14"/>
        <v/>
      </c>
      <c r="T173" s="46" t="e">
        <f t="shared" si="15"/>
        <v>#DIV/0!</v>
      </c>
      <c r="U173" s="40" t="str">
        <f>IF(データ!R170="","",データ!R170)</f>
        <v/>
      </c>
      <c r="V173" s="41" t="str">
        <f>IF(データ!S170="","",データ!S170)</f>
        <v/>
      </c>
      <c r="W173" s="42">
        <f>データ!T170</f>
        <v>0</v>
      </c>
      <c r="X173" s="48">
        <f>IF($C173="集計行","",データ!U170)</f>
        <v>0</v>
      </c>
      <c r="Y173" s="48">
        <f>データ!V170</f>
        <v>0</v>
      </c>
      <c r="Z173" s="39" t="str">
        <f>IF(OR($C173="総括",$C173="内訳書",$C173="内訳代価",$C173="明細書",$C173="明細代価",$C173="代価表",$C173="単価表"),データ!W170,"")</f>
        <v/>
      </c>
      <c r="AA173" s="11" t="str">
        <f t="shared" si="16"/>
        <v/>
      </c>
      <c r="AB173" s="46" t="e">
        <f t="shared" si="17"/>
        <v>#DIV/0!</v>
      </c>
      <c r="AC173" s="40" t="str">
        <f>IF(データ!X170="","",データ!X170)</f>
        <v/>
      </c>
      <c r="AD173" s="41" t="str">
        <f>IF(データ!Y170="","",データ!Y170)</f>
        <v/>
      </c>
      <c r="AE173" s="47" t="str">
        <f>TRIM(データ!B170)</f>
        <v/>
      </c>
      <c r="AF173" s="43" t="str">
        <f>TRIM(データ!Z170)</f>
        <v/>
      </c>
    </row>
    <row r="174" spans="1:32" x14ac:dyDescent="0.15">
      <c r="A174" s="47">
        <f>データ!A171</f>
        <v>3</v>
      </c>
      <c r="B174" s="47" t="str">
        <f>TRIM(データ!C171)</f>
        <v/>
      </c>
      <c r="C174" s="47" t="str">
        <f>TRIM(データ!D171)</f>
        <v>材料費</v>
      </c>
      <c r="D174" s="36" t="str">
        <f>REPT("｜",$A174)&amp;TRIM(データ!E171)</f>
        <v>｜｜｜ガソリン</v>
      </c>
      <c r="E174" s="37" t="str">
        <f>TRIM(データ!F171)</f>
        <v/>
      </c>
      <c r="F174" s="38" t="str">
        <f>TRIM(データ!G171)</f>
        <v>リットル</v>
      </c>
      <c r="G174" s="50">
        <f>データ!H171</f>
        <v>40</v>
      </c>
      <c r="H174" s="48">
        <f>データ!I171</f>
        <v>200</v>
      </c>
      <c r="I174" s="48">
        <f>データ!J171</f>
        <v>8000</v>
      </c>
      <c r="J174" s="39" t="str">
        <f>IF(OR($C174="総括",$C174="内訳書",$C174="内訳代価",$C174="明細書",$C174="明細代価",$C174="代価表",$C174="単価表"),データ!K171,"")</f>
        <v/>
      </c>
      <c r="K174" s="11" t="str">
        <f t="shared" si="12"/>
        <v/>
      </c>
      <c r="L174" s="46">
        <f t="shared" si="13"/>
        <v>1.1518580910831785E-4</v>
      </c>
      <c r="M174" s="40" t="str">
        <f>IF(データ!L171="","",データ!L171)</f>
        <v/>
      </c>
      <c r="N174" s="41" t="str">
        <f>IF(データ!M171="","",データ!M171)</f>
        <v/>
      </c>
      <c r="O174" s="42">
        <f>データ!N171</f>
        <v>0</v>
      </c>
      <c r="P174" s="48">
        <f>IF($C174="集計行","",データ!O171)</f>
        <v>0</v>
      </c>
      <c r="Q174" s="48">
        <f>データ!P171</f>
        <v>0</v>
      </c>
      <c r="R174" s="39" t="str">
        <f>IF(OR($C174="総括",$C174="内訳書",$C174="内訳代価",$C174="明細書",$C174="明細代価",$C174="代価表",$C174="単価表"),データ!Q171,"")</f>
        <v/>
      </c>
      <c r="S174" s="11" t="str">
        <f t="shared" si="14"/>
        <v/>
      </c>
      <c r="T174" s="46" t="e">
        <f t="shared" si="15"/>
        <v>#DIV/0!</v>
      </c>
      <c r="U174" s="40" t="str">
        <f>IF(データ!R171="","",データ!R171)</f>
        <v/>
      </c>
      <c r="V174" s="41" t="str">
        <f>IF(データ!S171="","",データ!S171)</f>
        <v/>
      </c>
      <c r="W174" s="42">
        <f>データ!T171</f>
        <v>0</v>
      </c>
      <c r="X174" s="48">
        <f>IF($C174="集計行","",データ!U171)</f>
        <v>0</v>
      </c>
      <c r="Y174" s="48">
        <f>データ!V171</f>
        <v>0</v>
      </c>
      <c r="Z174" s="39" t="str">
        <f>IF(OR($C174="総括",$C174="内訳書",$C174="内訳代価",$C174="明細書",$C174="明細代価",$C174="代価表",$C174="単価表"),データ!W171,"")</f>
        <v/>
      </c>
      <c r="AA174" s="11" t="str">
        <f t="shared" si="16"/>
        <v/>
      </c>
      <c r="AB174" s="46" t="e">
        <f t="shared" si="17"/>
        <v>#DIV/0!</v>
      </c>
      <c r="AC174" s="40" t="str">
        <f>IF(データ!X171="","",データ!X171)</f>
        <v/>
      </c>
      <c r="AD174" s="41" t="str">
        <f>IF(データ!Y171="","",データ!Y171)</f>
        <v/>
      </c>
      <c r="AE174" s="47" t="str">
        <f>TRIM(データ!B171)</f>
        <v/>
      </c>
      <c r="AF174" s="43" t="str">
        <f>TRIM(データ!Z171)</f>
        <v/>
      </c>
    </row>
    <row r="175" spans="1:32" x14ac:dyDescent="0.15">
      <c r="A175" s="47">
        <f>データ!A172</f>
        <v>3</v>
      </c>
      <c r="B175" s="47" t="str">
        <f>TRIM(データ!C172)</f>
        <v/>
      </c>
      <c r="C175" s="47" t="str">
        <f>TRIM(データ!D172)</f>
        <v>材料費</v>
      </c>
      <c r="D175" s="36" t="str">
        <f>REPT("｜",$A175)&amp;TRIM(データ!E172)</f>
        <v>｜｜｜雑材</v>
      </c>
      <c r="E175" s="37" t="str">
        <f>TRIM(データ!F172)</f>
        <v/>
      </c>
      <c r="F175" s="38" t="str">
        <f>TRIM(データ!G172)</f>
        <v>式</v>
      </c>
      <c r="G175" s="50">
        <f>データ!H172</f>
        <v>1</v>
      </c>
      <c r="H175" s="48">
        <f>データ!I172</f>
        <v>12350</v>
      </c>
      <c r="I175" s="48">
        <f>データ!J172</f>
        <v>12350</v>
      </c>
      <c r="J175" s="39" t="str">
        <f>IF(OR($C175="総括",$C175="内訳書",$C175="内訳代価",$C175="明細書",$C175="明細代価",$C175="代価表",$C175="単価表"),データ!K172,"")</f>
        <v/>
      </c>
      <c r="K175" s="11" t="str">
        <f t="shared" si="12"/>
        <v/>
      </c>
      <c r="L175" s="46">
        <f t="shared" si="13"/>
        <v>1.778180928109657E-4</v>
      </c>
      <c r="M175" s="40" t="str">
        <f>IF(データ!L172="","",データ!L172)</f>
        <v/>
      </c>
      <c r="N175" s="41" t="str">
        <f>IF(データ!M172="","",データ!M172)</f>
        <v/>
      </c>
      <c r="O175" s="42">
        <f>データ!N172</f>
        <v>0</v>
      </c>
      <c r="P175" s="48">
        <f>IF($C175="集計行","",データ!O172)</f>
        <v>0</v>
      </c>
      <c r="Q175" s="48">
        <f>データ!P172</f>
        <v>0</v>
      </c>
      <c r="R175" s="39" t="str">
        <f>IF(OR($C175="総括",$C175="内訳書",$C175="内訳代価",$C175="明細書",$C175="明細代価",$C175="代価表",$C175="単価表"),データ!Q172,"")</f>
        <v/>
      </c>
      <c r="S175" s="11" t="str">
        <f t="shared" si="14"/>
        <v/>
      </c>
      <c r="T175" s="46" t="e">
        <f t="shared" si="15"/>
        <v>#DIV/0!</v>
      </c>
      <c r="U175" s="40" t="str">
        <f>IF(データ!R172="","",データ!R172)</f>
        <v/>
      </c>
      <c r="V175" s="41" t="str">
        <f>IF(データ!S172="","",データ!S172)</f>
        <v/>
      </c>
      <c r="W175" s="42">
        <f>データ!T172</f>
        <v>0</v>
      </c>
      <c r="X175" s="48">
        <f>IF($C175="集計行","",データ!U172)</f>
        <v>0</v>
      </c>
      <c r="Y175" s="48">
        <f>データ!V172</f>
        <v>0</v>
      </c>
      <c r="Z175" s="39" t="str">
        <f>IF(OR($C175="総括",$C175="内訳書",$C175="内訳代価",$C175="明細書",$C175="明細代価",$C175="代価表",$C175="単価表"),データ!W172,"")</f>
        <v/>
      </c>
      <c r="AA175" s="11" t="str">
        <f t="shared" si="16"/>
        <v/>
      </c>
      <c r="AB175" s="46" t="e">
        <f t="shared" si="17"/>
        <v>#DIV/0!</v>
      </c>
      <c r="AC175" s="40" t="str">
        <f>IF(データ!X172="","",データ!X172)</f>
        <v/>
      </c>
      <c r="AD175" s="41" t="str">
        <f>IF(データ!Y172="","",データ!Y172)</f>
        <v/>
      </c>
      <c r="AE175" s="47" t="str">
        <f>TRIM(データ!B172)</f>
        <v/>
      </c>
      <c r="AF175" s="43" t="str">
        <f>TRIM(データ!Z172)</f>
        <v/>
      </c>
    </row>
    <row r="176" spans="1:32" x14ac:dyDescent="0.15">
      <c r="A176" s="47">
        <f>データ!A173</f>
        <v>3</v>
      </c>
      <c r="B176" s="47" t="str">
        <f>TRIM(データ!C173)</f>
        <v/>
      </c>
      <c r="C176" s="47" t="str">
        <f>TRIM(データ!D173)</f>
        <v>外注費</v>
      </c>
      <c r="D176" s="36" t="str">
        <f>REPT("｜",$A176)&amp;TRIM(データ!E173)</f>
        <v>｜｜｜外注経費</v>
      </c>
      <c r="E176" s="37" t="str">
        <f>TRIM(データ!F173)</f>
        <v/>
      </c>
      <c r="F176" s="38" t="str">
        <f>TRIM(データ!G173)</f>
        <v>式</v>
      </c>
      <c r="G176" s="50">
        <f>データ!H173</f>
        <v>1</v>
      </c>
      <c r="H176" s="48">
        <f>データ!I173</f>
        <v>12600</v>
      </c>
      <c r="I176" s="48">
        <f>データ!J173</f>
        <v>12600</v>
      </c>
      <c r="J176" s="39" t="str">
        <f>IF(OR($C176="総括",$C176="内訳書",$C176="内訳代価",$C176="明細書",$C176="明細代価",$C176="代価表",$C176="単価表"),データ!K173,"")</f>
        <v/>
      </c>
      <c r="K176" s="11" t="str">
        <f t="shared" si="12"/>
        <v/>
      </c>
      <c r="L176" s="46">
        <f t="shared" si="13"/>
        <v>1.8141764934560063E-4</v>
      </c>
      <c r="M176" s="40" t="str">
        <f>IF(データ!L173="","",データ!L173)</f>
        <v/>
      </c>
      <c r="N176" s="41" t="str">
        <f>IF(データ!M173="","",データ!M173)</f>
        <v/>
      </c>
      <c r="O176" s="42">
        <f>データ!N173</f>
        <v>0</v>
      </c>
      <c r="P176" s="48">
        <f>IF($C176="集計行","",データ!O173)</f>
        <v>0</v>
      </c>
      <c r="Q176" s="48">
        <f>データ!P173</f>
        <v>0</v>
      </c>
      <c r="R176" s="39" t="str">
        <f>IF(OR($C176="総括",$C176="内訳書",$C176="内訳代価",$C176="明細書",$C176="明細代価",$C176="代価表",$C176="単価表"),データ!Q173,"")</f>
        <v/>
      </c>
      <c r="S176" s="11" t="str">
        <f t="shared" si="14"/>
        <v/>
      </c>
      <c r="T176" s="46" t="e">
        <f t="shared" si="15"/>
        <v>#DIV/0!</v>
      </c>
      <c r="U176" s="40" t="str">
        <f>IF(データ!R173="","",データ!R173)</f>
        <v/>
      </c>
      <c r="V176" s="41" t="str">
        <f>IF(データ!S173="","",データ!S173)</f>
        <v/>
      </c>
      <c r="W176" s="42">
        <f>データ!T173</f>
        <v>0</v>
      </c>
      <c r="X176" s="48">
        <f>IF($C176="集計行","",データ!U173)</f>
        <v>0</v>
      </c>
      <c r="Y176" s="48">
        <f>データ!V173</f>
        <v>0</v>
      </c>
      <c r="Z176" s="39" t="str">
        <f>IF(OR($C176="総括",$C176="内訳書",$C176="内訳代価",$C176="明細書",$C176="明細代価",$C176="代価表",$C176="単価表"),データ!W173,"")</f>
        <v/>
      </c>
      <c r="AA176" s="11" t="str">
        <f t="shared" si="16"/>
        <v/>
      </c>
      <c r="AB176" s="46" t="e">
        <f t="shared" si="17"/>
        <v>#DIV/0!</v>
      </c>
      <c r="AC176" s="40" t="str">
        <f>IF(データ!X173="","",データ!X173)</f>
        <v/>
      </c>
      <c r="AD176" s="41" t="str">
        <f>IF(データ!Y173="","",データ!Y173)</f>
        <v/>
      </c>
      <c r="AE176" s="47" t="str">
        <f>TRIM(データ!B173)</f>
        <v/>
      </c>
      <c r="AF176" s="43" t="str">
        <f>TRIM(データ!Z173)</f>
        <v/>
      </c>
    </row>
    <row r="177" spans="1:32" x14ac:dyDescent="0.15">
      <c r="A177" s="47">
        <f>データ!A174</f>
        <v>2</v>
      </c>
      <c r="B177" s="47" t="str">
        <f>TRIM(データ!C174)</f>
        <v/>
      </c>
      <c r="C177" s="47" t="str">
        <f>TRIM(データ!D174)</f>
        <v>内訳書</v>
      </c>
      <c r="D177" s="36" t="str">
        <f>REPT("｜",$A177)&amp;TRIM(データ!E174)</f>
        <v>｜｜U型側溝　240×240</v>
      </c>
      <c r="E177" s="37" t="str">
        <f>TRIM(データ!F174)</f>
        <v/>
      </c>
      <c r="F177" s="38" t="str">
        <f>TRIM(データ!G174)</f>
        <v>ｍ</v>
      </c>
      <c r="G177" s="50">
        <f>データ!H174</f>
        <v>9.6999999999999993</v>
      </c>
      <c r="H177" s="48">
        <f>データ!I174</f>
        <v>29600</v>
      </c>
      <c r="I177" s="48">
        <f>データ!J174</f>
        <v>287120</v>
      </c>
      <c r="J177" s="39">
        <f>IF(OR($C177="総括",$C177="内訳書",$C177="内訳代価",$C177="明細書",$C177="明細代価",$C177="代価表",$C177="単価表"),データ!K174,"")</f>
        <v>9.6999999999999993</v>
      </c>
      <c r="K177" s="11" t="str">
        <f t="shared" si="12"/>
        <v/>
      </c>
      <c r="L177" s="46">
        <f t="shared" si="13"/>
        <v>4.1340186888975282E-3</v>
      </c>
      <c r="M177" s="40" t="str">
        <f>IF(データ!L174="","",データ!L174)</f>
        <v/>
      </c>
      <c r="N177" s="41" t="str">
        <f>IF(データ!M174="","",データ!M174)</f>
        <v>37号内訳書</v>
      </c>
      <c r="O177" s="42">
        <f>データ!N174</f>
        <v>0</v>
      </c>
      <c r="P177" s="48">
        <f>IF($C177="集計行","",データ!O174)</f>
        <v>0</v>
      </c>
      <c r="Q177" s="48">
        <f>データ!P174</f>
        <v>0</v>
      </c>
      <c r="R177" s="39">
        <f>IF(OR($C177="総括",$C177="内訳書",$C177="内訳代価",$C177="明細書",$C177="明細代価",$C177="代価表",$C177="単価表"),データ!Q174,"")</f>
        <v>0</v>
      </c>
      <c r="S177" s="11" t="str">
        <f t="shared" si="14"/>
        <v/>
      </c>
      <c r="T177" s="46" t="e">
        <f t="shared" si="15"/>
        <v>#DIV/0!</v>
      </c>
      <c r="U177" s="40" t="str">
        <f>IF(データ!R174="","",データ!R174)</f>
        <v/>
      </c>
      <c r="V177" s="41" t="str">
        <f>IF(データ!S174="","",データ!S174)</f>
        <v/>
      </c>
      <c r="W177" s="42">
        <f>データ!T174</f>
        <v>0</v>
      </c>
      <c r="X177" s="48">
        <f>IF($C177="集計行","",データ!U174)</f>
        <v>0</v>
      </c>
      <c r="Y177" s="48">
        <f>データ!V174</f>
        <v>0</v>
      </c>
      <c r="Z177" s="39">
        <f>IF(OR($C177="総括",$C177="内訳書",$C177="内訳代価",$C177="明細書",$C177="明細代価",$C177="代価表",$C177="単価表"),データ!W174,"")</f>
        <v>0</v>
      </c>
      <c r="AA177" s="11" t="str">
        <f t="shared" si="16"/>
        <v/>
      </c>
      <c r="AB177" s="46" t="e">
        <f t="shared" si="17"/>
        <v>#DIV/0!</v>
      </c>
      <c r="AC177" s="40" t="str">
        <f>IF(データ!X174="","",データ!X174)</f>
        <v/>
      </c>
      <c r="AD177" s="41" t="str">
        <f>IF(データ!Y174="","",データ!Y174)</f>
        <v/>
      </c>
      <c r="AE177" s="47" t="str">
        <f>TRIM(データ!B174)</f>
        <v/>
      </c>
      <c r="AF177" s="43" t="str">
        <f>TRIM(データ!Z174)</f>
        <v/>
      </c>
    </row>
    <row r="178" spans="1:32" x14ac:dyDescent="0.15">
      <c r="A178" s="47">
        <f>データ!A175</f>
        <v>3</v>
      </c>
      <c r="B178" s="47" t="str">
        <f>TRIM(データ!C175)</f>
        <v/>
      </c>
      <c r="C178" s="47" t="str">
        <f>TRIM(データ!D175)</f>
        <v>材料費</v>
      </c>
      <c r="D178" s="36" t="str">
        <f>REPT("｜",$A178)&amp;TRIM(データ!E175)</f>
        <v>｜｜｜U字溝　240×240×L2000</v>
      </c>
      <c r="E178" s="37" t="str">
        <f>TRIM(データ!F175)</f>
        <v/>
      </c>
      <c r="F178" s="38" t="str">
        <f>TRIM(データ!G175)</f>
        <v>本</v>
      </c>
      <c r="G178" s="50">
        <f>データ!H175</f>
        <v>5</v>
      </c>
      <c r="H178" s="48">
        <f>データ!I175</f>
        <v>5000</v>
      </c>
      <c r="I178" s="48">
        <f>データ!J175</f>
        <v>25000</v>
      </c>
      <c r="J178" s="39" t="str">
        <f>IF(OR($C178="総括",$C178="内訳書",$C178="内訳代価",$C178="明細書",$C178="明細代価",$C178="代価表",$C178="単価表"),データ!K175,"")</f>
        <v/>
      </c>
      <c r="K178" s="11" t="str">
        <f t="shared" si="12"/>
        <v/>
      </c>
      <c r="L178" s="46">
        <f t="shared" si="13"/>
        <v>3.599556534634933E-4</v>
      </c>
      <c r="M178" s="40" t="str">
        <f>IF(データ!L175="","",データ!L175)</f>
        <v/>
      </c>
      <c r="N178" s="41" t="str">
        <f>IF(データ!M175="","",データ!M175)</f>
        <v/>
      </c>
      <c r="O178" s="42">
        <f>データ!N175</f>
        <v>0</v>
      </c>
      <c r="P178" s="48">
        <f>IF($C178="集計行","",データ!O175)</f>
        <v>0</v>
      </c>
      <c r="Q178" s="48">
        <f>データ!P175</f>
        <v>0</v>
      </c>
      <c r="R178" s="39" t="str">
        <f>IF(OR($C178="総括",$C178="内訳書",$C178="内訳代価",$C178="明細書",$C178="明細代価",$C178="代価表",$C178="単価表"),データ!Q175,"")</f>
        <v/>
      </c>
      <c r="S178" s="11" t="str">
        <f t="shared" si="14"/>
        <v/>
      </c>
      <c r="T178" s="46" t="e">
        <f t="shared" si="15"/>
        <v>#DIV/0!</v>
      </c>
      <c r="U178" s="40" t="str">
        <f>IF(データ!R175="","",データ!R175)</f>
        <v/>
      </c>
      <c r="V178" s="41" t="str">
        <f>IF(データ!S175="","",データ!S175)</f>
        <v/>
      </c>
      <c r="W178" s="42">
        <f>データ!T175</f>
        <v>0</v>
      </c>
      <c r="X178" s="48">
        <f>IF($C178="集計行","",データ!U175)</f>
        <v>0</v>
      </c>
      <c r="Y178" s="48">
        <f>データ!V175</f>
        <v>0</v>
      </c>
      <c r="Z178" s="39" t="str">
        <f>IF(OR($C178="総括",$C178="内訳書",$C178="内訳代価",$C178="明細書",$C178="明細代価",$C178="代価表",$C178="単価表"),データ!W175,"")</f>
        <v/>
      </c>
      <c r="AA178" s="11" t="str">
        <f t="shared" si="16"/>
        <v/>
      </c>
      <c r="AB178" s="46" t="e">
        <f t="shared" si="17"/>
        <v>#DIV/0!</v>
      </c>
      <c r="AC178" s="40" t="str">
        <f>IF(データ!X175="","",データ!X175)</f>
        <v/>
      </c>
      <c r="AD178" s="41" t="str">
        <f>IF(データ!Y175="","",データ!Y175)</f>
        <v/>
      </c>
      <c r="AE178" s="47" t="str">
        <f>TRIM(データ!B175)</f>
        <v/>
      </c>
      <c r="AF178" s="43" t="str">
        <f>TRIM(データ!Z175)</f>
        <v/>
      </c>
    </row>
    <row r="179" spans="1:32" x14ac:dyDescent="0.15">
      <c r="A179" s="47">
        <f>データ!A176</f>
        <v>3</v>
      </c>
      <c r="B179" s="47" t="str">
        <f>TRIM(データ!C176)</f>
        <v/>
      </c>
      <c r="C179" s="47" t="str">
        <f>TRIM(データ!D176)</f>
        <v>材料費</v>
      </c>
      <c r="D179" s="36" t="str">
        <f>REPT("｜",$A179)&amp;TRIM(データ!E176)</f>
        <v>｜｜｜グレーチング蓋　T-14</v>
      </c>
      <c r="E179" s="37" t="str">
        <f>TRIM(データ!F176)</f>
        <v/>
      </c>
      <c r="F179" s="38" t="str">
        <f>TRIM(データ!G176)</f>
        <v>枚</v>
      </c>
      <c r="G179" s="50">
        <f>データ!H176</f>
        <v>10</v>
      </c>
      <c r="H179" s="48">
        <f>データ!I176</f>
        <v>10000</v>
      </c>
      <c r="I179" s="48">
        <f>データ!J176</f>
        <v>100000</v>
      </c>
      <c r="J179" s="39" t="str">
        <f>IF(OR($C179="総括",$C179="内訳書",$C179="内訳代価",$C179="明細書",$C179="明細代価",$C179="代価表",$C179="単価表"),データ!K176,"")</f>
        <v/>
      </c>
      <c r="K179" s="11" t="str">
        <f t="shared" si="12"/>
        <v/>
      </c>
      <c r="L179" s="46">
        <f t="shared" si="13"/>
        <v>1.4398226138539732E-3</v>
      </c>
      <c r="M179" s="40" t="str">
        <f>IF(データ!L176="","",データ!L176)</f>
        <v/>
      </c>
      <c r="N179" s="41" t="str">
        <f>IF(データ!M176="","",データ!M176)</f>
        <v/>
      </c>
      <c r="O179" s="42">
        <f>データ!N176</f>
        <v>0</v>
      </c>
      <c r="P179" s="48">
        <f>IF($C179="集計行","",データ!O176)</f>
        <v>0</v>
      </c>
      <c r="Q179" s="48">
        <f>データ!P176</f>
        <v>0</v>
      </c>
      <c r="R179" s="39" t="str">
        <f>IF(OR($C179="総括",$C179="内訳書",$C179="内訳代価",$C179="明細書",$C179="明細代価",$C179="代価表",$C179="単価表"),データ!Q176,"")</f>
        <v/>
      </c>
      <c r="S179" s="11" t="str">
        <f t="shared" si="14"/>
        <v/>
      </c>
      <c r="T179" s="46" t="e">
        <f t="shared" si="15"/>
        <v>#DIV/0!</v>
      </c>
      <c r="U179" s="40" t="str">
        <f>IF(データ!R176="","",データ!R176)</f>
        <v/>
      </c>
      <c r="V179" s="41" t="str">
        <f>IF(データ!S176="","",データ!S176)</f>
        <v/>
      </c>
      <c r="W179" s="42">
        <f>データ!T176</f>
        <v>0</v>
      </c>
      <c r="X179" s="48">
        <f>IF($C179="集計行","",データ!U176)</f>
        <v>0</v>
      </c>
      <c r="Y179" s="48">
        <f>データ!V176</f>
        <v>0</v>
      </c>
      <c r="Z179" s="39" t="str">
        <f>IF(OR($C179="総括",$C179="内訳書",$C179="内訳代価",$C179="明細書",$C179="明細代価",$C179="代価表",$C179="単価表"),データ!W176,"")</f>
        <v/>
      </c>
      <c r="AA179" s="11" t="str">
        <f t="shared" si="16"/>
        <v/>
      </c>
      <c r="AB179" s="46" t="e">
        <f t="shared" si="17"/>
        <v>#DIV/0!</v>
      </c>
      <c r="AC179" s="40" t="str">
        <f>IF(データ!X176="","",データ!X176)</f>
        <v/>
      </c>
      <c r="AD179" s="41" t="str">
        <f>IF(データ!Y176="","",データ!Y176)</f>
        <v/>
      </c>
      <c r="AE179" s="47" t="str">
        <f>TRIM(データ!B176)</f>
        <v/>
      </c>
      <c r="AF179" s="43" t="str">
        <f>TRIM(データ!Z176)</f>
        <v/>
      </c>
    </row>
    <row r="180" spans="1:32" x14ac:dyDescent="0.15">
      <c r="A180" s="47">
        <f>データ!A177</f>
        <v>3</v>
      </c>
      <c r="B180" s="47" t="str">
        <f>TRIM(データ!C177)</f>
        <v/>
      </c>
      <c r="C180" s="47" t="str">
        <f>TRIM(データ!D177)</f>
        <v>材料費</v>
      </c>
      <c r="D180" s="36" t="str">
        <f>REPT("｜",$A180)&amp;TRIM(データ!E177)</f>
        <v>｜｜｜生コン</v>
      </c>
      <c r="E180" s="37" t="str">
        <f>TRIM(データ!F177)</f>
        <v/>
      </c>
      <c r="F180" s="38" t="str">
        <f>TRIM(データ!G177)</f>
        <v>m3</v>
      </c>
      <c r="G180" s="50">
        <f>データ!H177</f>
        <v>0.5</v>
      </c>
      <c r="H180" s="48">
        <f>データ!I177</f>
        <v>30000</v>
      </c>
      <c r="I180" s="48">
        <f>データ!J177</f>
        <v>15000</v>
      </c>
      <c r="J180" s="39" t="str">
        <f>IF(OR($C180="総括",$C180="内訳書",$C180="内訳代価",$C180="明細書",$C180="明細代価",$C180="代価表",$C180="単価表"),データ!K177,"")</f>
        <v/>
      </c>
      <c r="K180" s="11" t="str">
        <f t="shared" si="12"/>
        <v/>
      </c>
      <c r="L180" s="46">
        <f t="shared" si="13"/>
        <v>2.1597339207809598E-4</v>
      </c>
      <c r="M180" s="40" t="str">
        <f>IF(データ!L177="","",データ!L177)</f>
        <v/>
      </c>
      <c r="N180" s="41" t="str">
        <f>IF(データ!M177="","",データ!M177)</f>
        <v/>
      </c>
      <c r="O180" s="42">
        <f>データ!N177</f>
        <v>0</v>
      </c>
      <c r="P180" s="48">
        <f>IF($C180="集計行","",データ!O177)</f>
        <v>0</v>
      </c>
      <c r="Q180" s="48">
        <f>データ!P177</f>
        <v>0</v>
      </c>
      <c r="R180" s="39" t="str">
        <f>IF(OR($C180="総括",$C180="内訳書",$C180="内訳代価",$C180="明細書",$C180="明細代価",$C180="代価表",$C180="単価表"),データ!Q177,"")</f>
        <v/>
      </c>
      <c r="S180" s="11" t="str">
        <f t="shared" si="14"/>
        <v/>
      </c>
      <c r="T180" s="46" t="e">
        <f t="shared" si="15"/>
        <v>#DIV/0!</v>
      </c>
      <c r="U180" s="40" t="str">
        <f>IF(データ!R177="","",データ!R177)</f>
        <v/>
      </c>
      <c r="V180" s="41" t="str">
        <f>IF(データ!S177="","",データ!S177)</f>
        <v/>
      </c>
      <c r="W180" s="42">
        <f>データ!T177</f>
        <v>0</v>
      </c>
      <c r="X180" s="48">
        <f>IF($C180="集計行","",データ!U177)</f>
        <v>0</v>
      </c>
      <c r="Y180" s="48">
        <f>データ!V177</f>
        <v>0</v>
      </c>
      <c r="Z180" s="39" t="str">
        <f>IF(OR($C180="総括",$C180="内訳書",$C180="内訳代価",$C180="明細書",$C180="明細代価",$C180="代価表",$C180="単価表"),データ!W177,"")</f>
        <v/>
      </c>
      <c r="AA180" s="11" t="str">
        <f t="shared" si="16"/>
        <v/>
      </c>
      <c r="AB180" s="46" t="e">
        <f t="shared" si="17"/>
        <v>#DIV/0!</v>
      </c>
      <c r="AC180" s="40" t="str">
        <f>IF(データ!X177="","",データ!X177)</f>
        <v/>
      </c>
      <c r="AD180" s="41" t="str">
        <f>IF(データ!Y177="","",データ!Y177)</f>
        <v/>
      </c>
      <c r="AE180" s="47" t="str">
        <f>TRIM(データ!B177)</f>
        <v/>
      </c>
      <c r="AF180" s="43" t="str">
        <f>TRIM(データ!Z177)</f>
        <v/>
      </c>
    </row>
    <row r="181" spans="1:32" x14ac:dyDescent="0.15">
      <c r="A181" s="47">
        <f>データ!A178</f>
        <v>3</v>
      </c>
      <c r="B181" s="47" t="str">
        <f>TRIM(データ!C178)</f>
        <v/>
      </c>
      <c r="C181" s="47" t="str">
        <f>TRIM(データ!D178)</f>
        <v>労務費</v>
      </c>
      <c r="D181" s="36" t="str">
        <f>REPT("｜",$A181)&amp;TRIM(データ!E178)</f>
        <v>｜｜｜技工</v>
      </c>
      <c r="E181" s="37" t="str">
        <f>TRIM(データ!F178)</f>
        <v/>
      </c>
      <c r="F181" s="38" t="str">
        <f>TRIM(データ!G178)</f>
        <v>人</v>
      </c>
      <c r="G181" s="50">
        <f>データ!H178</f>
        <v>3</v>
      </c>
      <c r="H181" s="48">
        <f>データ!I178</f>
        <v>28000</v>
      </c>
      <c r="I181" s="48">
        <f>データ!J178</f>
        <v>84000</v>
      </c>
      <c r="J181" s="39" t="str">
        <f>IF(OR($C181="総括",$C181="内訳書",$C181="内訳代価",$C181="明細書",$C181="明細代価",$C181="代価表",$C181="単価表"),データ!K178,"")</f>
        <v/>
      </c>
      <c r="K181" s="11" t="str">
        <f t="shared" si="12"/>
        <v/>
      </c>
      <c r="L181" s="46">
        <f t="shared" si="13"/>
        <v>1.2094509956373375E-3</v>
      </c>
      <c r="M181" s="40" t="str">
        <f>IF(データ!L178="","",データ!L178)</f>
        <v/>
      </c>
      <c r="N181" s="41" t="str">
        <f>IF(データ!M178="","",データ!M178)</f>
        <v/>
      </c>
      <c r="O181" s="42">
        <f>データ!N178</f>
        <v>0</v>
      </c>
      <c r="P181" s="48">
        <f>IF($C181="集計行","",データ!O178)</f>
        <v>0</v>
      </c>
      <c r="Q181" s="48">
        <f>データ!P178</f>
        <v>0</v>
      </c>
      <c r="R181" s="39" t="str">
        <f>IF(OR($C181="総括",$C181="内訳書",$C181="内訳代価",$C181="明細書",$C181="明細代価",$C181="代価表",$C181="単価表"),データ!Q178,"")</f>
        <v/>
      </c>
      <c r="S181" s="11" t="str">
        <f t="shared" si="14"/>
        <v/>
      </c>
      <c r="T181" s="46" t="e">
        <f t="shared" si="15"/>
        <v>#DIV/0!</v>
      </c>
      <c r="U181" s="40" t="str">
        <f>IF(データ!R178="","",データ!R178)</f>
        <v/>
      </c>
      <c r="V181" s="41" t="str">
        <f>IF(データ!S178="","",データ!S178)</f>
        <v/>
      </c>
      <c r="W181" s="42">
        <f>データ!T178</f>
        <v>0</v>
      </c>
      <c r="X181" s="48">
        <f>IF($C181="集計行","",データ!U178)</f>
        <v>0</v>
      </c>
      <c r="Y181" s="48">
        <f>データ!V178</f>
        <v>0</v>
      </c>
      <c r="Z181" s="39" t="str">
        <f>IF(OR($C181="総括",$C181="内訳書",$C181="内訳代価",$C181="明細書",$C181="明細代価",$C181="代価表",$C181="単価表"),データ!W178,"")</f>
        <v/>
      </c>
      <c r="AA181" s="11" t="str">
        <f t="shared" si="16"/>
        <v/>
      </c>
      <c r="AB181" s="46" t="e">
        <f t="shared" si="17"/>
        <v>#DIV/0!</v>
      </c>
      <c r="AC181" s="40" t="str">
        <f>IF(データ!X178="","",データ!X178)</f>
        <v/>
      </c>
      <c r="AD181" s="41" t="str">
        <f>IF(データ!Y178="","",データ!Y178)</f>
        <v/>
      </c>
      <c r="AE181" s="47" t="str">
        <f>TRIM(データ!B178)</f>
        <v/>
      </c>
      <c r="AF181" s="43" t="str">
        <f>TRIM(データ!Z178)</f>
        <v/>
      </c>
    </row>
    <row r="182" spans="1:32" x14ac:dyDescent="0.15">
      <c r="A182" s="47">
        <f>データ!A179</f>
        <v>3</v>
      </c>
      <c r="B182" s="47" t="str">
        <f>TRIM(データ!C179)</f>
        <v/>
      </c>
      <c r="C182" s="47" t="str">
        <f>TRIM(データ!D179)</f>
        <v>機械費</v>
      </c>
      <c r="D182" s="36" t="str">
        <f>REPT("｜",$A182)&amp;TRIM(データ!E179)</f>
        <v>｜｜｜BH0.15</v>
      </c>
      <c r="E182" s="37" t="str">
        <f>TRIM(データ!F179)</f>
        <v/>
      </c>
      <c r="F182" s="38" t="str">
        <f>TRIM(データ!G179)</f>
        <v>台</v>
      </c>
      <c r="G182" s="50">
        <f>データ!H179</f>
        <v>1</v>
      </c>
      <c r="H182" s="48">
        <f>データ!I179</f>
        <v>8000</v>
      </c>
      <c r="I182" s="48">
        <f>データ!J179</f>
        <v>8000</v>
      </c>
      <c r="J182" s="39" t="str">
        <f>IF(OR($C182="総括",$C182="内訳書",$C182="内訳代価",$C182="明細書",$C182="明細代価",$C182="代価表",$C182="単価表"),データ!K179,"")</f>
        <v/>
      </c>
      <c r="K182" s="11" t="str">
        <f t="shared" si="12"/>
        <v/>
      </c>
      <c r="L182" s="46">
        <f t="shared" si="13"/>
        <v>1.1518580910831785E-4</v>
      </c>
      <c r="M182" s="40" t="str">
        <f>IF(データ!L179="","",データ!L179)</f>
        <v/>
      </c>
      <c r="N182" s="41" t="str">
        <f>IF(データ!M179="","",データ!M179)</f>
        <v/>
      </c>
      <c r="O182" s="42">
        <f>データ!N179</f>
        <v>0</v>
      </c>
      <c r="P182" s="48">
        <f>IF($C182="集計行","",データ!O179)</f>
        <v>0</v>
      </c>
      <c r="Q182" s="48">
        <f>データ!P179</f>
        <v>0</v>
      </c>
      <c r="R182" s="39" t="str">
        <f>IF(OR($C182="総括",$C182="内訳書",$C182="内訳代価",$C182="明細書",$C182="明細代価",$C182="代価表",$C182="単価表"),データ!Q179,"")</f>
        <v/>
      </c>
      <c r="S182" s="11" t="str">
        <f t="shared" si="14"/>
        <v/>
      </c>
      <c r="T182" s="46" t="e">
        <f t="shared" si="15"/>
        <v>#DIV/0!</v>
      </c>
      <c r="U182" s="40" t="str">
        <f>IF(データ!R179="","",データ!R179)</f>
        <v/>
      </c>
      <c r="V182" s="41" t="str">
        <f>IF(データ!S179="","",データ!S179)</f>
        <v/>
      </c>
      <c r="W182" s="42">
        <f>データ!T179</f>
        <v>0</v>
      </c>
      <c r="X182" s="48">
        <f>IF($C182="集計行","",データ!U179)</f>
        <v>0</v>
      </c>
      <c r="Y182" s="48">
        <f>データ!V179</f>
        <v>0</v>
      </c>
      <c r="Z182" s="39" t="str">
        <f>IF(OR($C182="総括",$C182="内訳書",$C182="内訳代価",$C182="明細書",$C182="明細代価",$C182="代価表",$C182="単価表"),データ!W179,"")</f>
        <v/>
      </c>
      <c r="AA182" s="11" t="str">
        <f t="shared" si="16"/>
        <v/>
      </c>
      <c r="AB182" s="46" t="e">
        <f t="shared" si="17"/>
        <v>#DIV/0!</v>
      </c>
      <c r="AC182" s="40" t="str">
        <f>IF(データ!X179="","",データ!X179)</f>
        <v/>
      </c>
      <c r="AD182" s="41" t="str">
        <f>IF(データ!Y179="","",データ!Y179)</f>
        <v/>
      </c>
      <c r="AE182" s="47" t="str">
        <f>TRIM(データ!B179)</f>
        <v/>
      </c>
      <c r="AF182" s="43" t="str">
        <f>TRIM(データ!Z179)</f>
        <v/>
      </c>
    </row>
    <row r="183" spans="1:32" x14ac:dyDescent="0.15">
      <c r="A183" s="47">
        <f>データ!A180</f>
        <v>3</v>
      </c>
      <c r="B183" s="47" t="str">
        <f>TRIM(データ!C180)</f>
        <v/>
      </c>
      <c r="C183" s="47" t="str">
        <f>TRIM(データ!D180)</f>
        <v>機械費</v>
      </c>
      <c r="D183" s="36" t="str">
        <f>REPT("｜",$A183)&amp;TRIM(データ!E180)</f>
        <v>｜｜｜プレート</v>
      </c>
      <c r="E183" s="37" t="str">
        <f>TRIM(データ!F180)</f>
        <v/>
      </c>
      <c r="F183" s="38" t="str">
        <f>TRIM(データ!G180)</f>
        <v>台</v>
      </c>
      <c r="G183" s="50">
        <f>データ!H180</f>
        <v>1</v>
      </c>
      <c r="H183" s="48">
        <f>データ!I180</f>
        <v>1500</v>
      </c>
      <c r="I183" s="48">
        <f>データ!J180</f>
        <v>1500</v>
      </c>
      <c r="J183" s="39" t="str">
        <f>IF(OR($C183="総括",$C183="内訳書",$C183="内訳代価",$C183="明細書",$C183="明細代価",$C183="代価表",$C183="単価表"),データ!K180,"")</f>
        <v/>
      </c>
      <c r="K183" s="11" t="str">
        <f t="shared" si="12"/>
        <v/>
      </c>
      <c r="L183" s="46">
        <f t="shared" si="13"/>
        <v>2.1597339207809597E-5</v>
      </c>
      <c r="M183" s="40" t="str">
        <f>IF(データ!L180="","",データ!L180)</f>
        <v/>
      </c>
      <c r="N183" s="41" t="str">
        <f>IF(データ!M180="","",データ!M180)</f>
        <v/>
      </c>
      <c r="O183" s="42">
        <f>データ!N180</f>
        <v>0</v>
      </c>
      <c r="P183" s="48">
        <f>IF($C183="集計行","",データ!O180)</f>
        <v>0</v>
      </c>
      <c r="Q183" s="48">
        <f>データ!P180</f>
        <v>0</v>
      </c>
      <c r="R183" s="39" t="str">
        <f>IF(OR($C183="総括",$C183="内訳書",$C183="内訳代価",$C183="明細書",$C183="明細代価",$C183="代価表",$C183="単価表"),データ!Q180,"")</f>
        <v/>
      </c>
      <c r="S183" s="11" t="str">
        <f t="shared" si="14"/>
        <v/>
      </c>
      <c r="T183" s="46" t="e">
        <f t="shared" si="15"/>
        <v>#DIV/0!</v>
      </c>
      <c r="U183" s="40" t="str">
        <f>IF(データ!R180="","",データ!R180)</f>
        <v/>
      </c>
      <c r="V183" s="41" t="str">
        <f>IF(データ!S180="","",データ!S180)</f>
        <v/>
      </c>
      <c r="W183" s="42">
        <f>データ!T180</f>
        <v>0</v>
      </c>
      <c r="X183" s="48">
        <f>IF($C183="集計行","",データ!U180)</f>
        <v>0</v>
      </c>
      <c r="Y183" s="48">
        <f>データ!V180</f>
        <v>0</v>
      </c>
      <c r="Z183" s="39" t="str">
        <f>IF(OR($C183="総括",$C183="内訳書",$C183="内訳代価",$C183="明細書",$C183="明細代価",$C183="代価表",$C183="単価表"),データ!W180,"")</f>
        <v/>
      </c>
      <c r="AA183" s="11" t="str">
        <f t="shared" si="16"/>
        <v/>
      </c>
      <c r="AB183" s="46" t="e">
        <f t="shared" si="17"/>
        <v>#DIV/0!</v>
      </c>
      <c r="AC183" s="40" t="str">
        <f>IF(データ!X180="","",データ!X180)</f>
        <v/>
      </c>
      <c r="AD183" s="41" t="str">
        <f>IF(データ!Y180="","",データ!Y180)</f>
        <v/>
      </c>
      <c r="AE183" s="47" t="str">
        <f>TRIM(データ!B180)</f>
        <v/>
      </c>
      <c r="AF183" s="43" t="str">
        <f>TRIM(データ!Z180)</f>
        <v/>
      </c>
    </row>
    <row r="184" spans="1:32" x14ac:dyDescent="0.15">
      <c r="A184" s="47">
        <f>データ!A181</f>
        <v>3</v>
      </c>
      <c r="B184" s="47" t="str">
        <f>TRIM(データ!C181)</f>
        <v/>
      </c>
      <c r="C184" s="47" t="str">
        <f>TRIM(データ!D181)</f>
        <v>機械費</v>
      </c>
      <c r="D184" s="36" t="str">
        <f>REPT("｜",$A184)&amp;TRIM(データ!E181)</f>
        <v>｜｜｜ランマー</v>
      </c>
      <c r="E184" s="37" t="str">
        <f>TRIM(データ!F181)</f>
        <v/>
      </c>
      <c r="F184" s="38" t="str">
        <f>TRIM(データ!G181)</f>
        <v>台</v>
      </c>
      <c r="G184" s="50">
        <f>データ!H181</f>
        <v>1</v>
      </c>
      <c r="H184" s="48">
        <f>データ!I181</f>
        <v>1500</v>
      </c>
      <c r="I184" s="48">
        <f>データ!J181</f>
        <v>1500</v>
      </c>
      <c r="J184" s="39" t="str">
        <f>IF(OR($C184="総括",$C184="内訳書",$C184="内訳代価",$C184="明細書",$C184="明細代価",$C184="代価表",$C184="単価表"),データ!K181,"")</f>
        <v/>
      </c>
      <c r="K184" s="11" t="str">
        <f t="shared" si="12"/>
        <v/>
      </c>
      <c r="L184" s="46">
        <f t="shared" si="13"/>
        <v>2.1597339207809597E-5</v>
      </c>
      <c r="M184" s="40" t="str">
        <f>IF(データ!L181="","",データ!L181)</f>
        <v/>
      </c>
      <c r="N184" s="41" t="str">
        <f>IF(データ!M181="","",データ!M181)</f>
        <v/>
      </c>
      <c r="O184" s="42">
        <f>データ!N181</f>
        <v>0</v>
      </c>
      <c r="P184" s="48">
        <f>IF($C184="集計行","",データ!O181)</f>
        <v>0</v>
      </c>
      <c r="Q184" s="48">
        <f>データ!P181</f>
        <v>0</v>
      </c>
      <c r="R184" s="39" t="str">
        <f>IF(OR($C184="総括",$C184="内訳書",$C184="内訳代価",$C184="明細書",$C184="明細代価",$C184="代価表",$C184="単価表"),データ!Q181,"")</f>
        <v/>
      </c>
      <c r="S184" s="11" t="str">
        <f t="shared" si="14"/>
        <v/>
      </c>
      <c r="T184" s="46" t="e">
        <f t="shared" si="15"/>
        <v>#DIV/0!</v>
      </c>
      <c r="U184" s="40" t="str">
        <f>IF(データ!R181="","",データ!R181)</f>
        <v/>
      </c>
      <c r="V184" s="41" t="str">
        <f>IF(データ!S181="","",データ!S181)</f>
        <v/>
      </c>
      <c r="W184" s="42">
        <f>データ!T181</f>
        <v>0</v>
      </c>
      <c r="X184" s="48">
        <f>IF($C184="集計行","",データ!U181)</f>
        <v>0</v>
      </c>
      <c r="Y184" s="48">
        <f>データ!V181</f>
        <v>0</v>
      </c>
      <c r="Z184" s="39" t="str">
        <f>IF(OR($C184="総括",$C184="内訳書",$C184="内訳代価",$C184="明細書",$C184="明細代価",$C184="代価表",$C184="単価表"),データ!W181,"")</f>
        <v/>
      </c>
      <c r="AA184" s="11" t="str">
        <f t="shared" si="16"/>
        <v/>
      </c>
      <c r="AB184" s="46" t="e">
        <f t="shared" si="17"/>
        <v>#DIV/0!</v>
      </c>
      <c r="AC184" s="40" t="str">
        <f>IF(データ!X181="","",データ!X181)</f>
        <v/>
      </c>
      <c r="AD184" s="41" t="str">
        <f>IF(データ!Y181="","",データ!Y181)</f>
        <v/>
      </c>
      <c r="AE184" s="47" t="str">
        <f>TRIM(データ!B181)</f>
        <v/>
      </c>
      <c r="AF184" s="43" t="str">
        <f>TRIM(データ!Z181)</f>
        <v/>
      </c>
    </row>
    <row r="185" spans="1:32" x14ac:dyDescent="0.15">
      <c r="A185" s="47">
        <f>データ!A182</f>
        <v>3</v>
      </c>
      <c r="B185" s="47" t="str">
        <f>TRIM(データ!C182)</f>
        <v/>
      </c>
      <c r="C185" s="47" t="str">
        <f>TRIM(データ!D182)</f>
        <v>運搬費</v>
      </c>
      <c r="D185" s="36" t="str">
        <f>REPT("｜",$A185)&amp;TRIM(データ!E182)</f>
        <v>｜｜｜4tダンプ</v>
      </c>
      <c r="E185" s="37" t="str">
        <f>TRIM(データ!F182)</f>
        <v/>
      </c>
      <c r="F185" s="38" t="str">
        <f>TRIM(データ!G182)</f>
        <v>台</v>
      </c>
      <c r="G185" s="50">
        <f>データ!H182</f>
        <v>1</v>
      </c>
      <c r="H185" s="48">
        <f>データ!I182</f>
        <v>10000</v>
      </c>
      <c r="I185" s="48">
        <f>データ!J182</f>
        <v>10000</v>
      </c>
      <c r="J185" s="39" t="str">
        <f>IF(OR($C185="総括",$C185="内訳書",$C185="内訳代価",$C185="明細書",$C185="明細代価",$C185="代価表",$C185="単価表"),データ!K182,"")</f>
        <v/>
      </c>
      <c r="K185" s="11" t="str">
        <f t="shared" si="12"/>
        <v/>
      </c>
      <c r="L185" s="46">
        <f t="shared" si="13"/>
        <v>1.4398226138539731E-4</v>
      </c>
      <c r="M185" s="40" t="str">
        <f>IF(データ!L182="","",データ!L182)</f>
        <v/>
      </c>
      <c r="N185" s="41" t="str">
        <f>IF(データ!M182="","",データ!M182)</f>
        <v/>
      </c>
      <c r="O185" s="42">
        <f>データ!N182</f>
        <v>0</v>
      </c>
      <c r="P185" s="48">
        <f>IF($C185="集計行","",データ!O182)</f>
        <v>0</v>
      </c>
      <c r="Q185" s="48">
        <f>データ!P182</f>
        <v>0</v>
      </c>
      <c r="R185" s="39" t="str">
        <f>IF(OR($C185="総括",$C185="内訳書",$C185="内訳代価",$C185="明細書",$C185="明細代価",$C185="代価表",$C185="単価表"),データ!Q182,"")</f>
        <v/>
      </c>
      <c r="S185" s="11" t="str">
        <f t="shared" si="14"/>
        <v/>
      </c>
      <c r="T185" s="46" t="e">
        <f t="shared" si="15"/>
        <v>#DIV/0!</v>
      </c>
      <c r="U185" s="40" t="str">
        <f>IF(データ!R182="","",データ!R182)</f>
        <v/>
      </c>
      <c r="V185" s="41" t="str">
        <f>IF(データ!S182="","",データ!S182)</f>
        <v/>
      </c>
      <c r="W185" s="42">
        <f>データ!T182</f>
        <v>0</v>
      </c>
      <c r="X185" s="48">
        <f>IF($C185="集計行","",データ!U182)</f>
        <v>0</v>
      </c>
      <c r="Y185" s="48">
        <f>データ!V182</f>
        <v>0</v>
      </c>
      <c r="Z185" s="39" t="str">
        <f>IF(OR($C185="総括",$C185="内訳書",$C185="内訳代価",$C185="明細書",$C185="明細代価",$C185="代価表",$C185="単価表"),データ!W182,"")</f>
        <v/>
      </c>
      <c r="AA185" s="11" t="str">
        <f t="shared" si="16"/>
        <v/>
      </c>
      <c r="AB185" s="46" t="e">
        <f t="shared" si="17"/>
        <v>#DIV/0!</v>
      </c>
      <c r="AC185" s="40" t="str">
        <f>IF(データ!X182="","",データ!X182)</f>
        <v/>
      </c>
      <c r="AD185" s="41" t="str">
        <f>IF(データ!Y182="","",データ!Y182)</f>
        <v/>
      </c>
      <c r="AE185" s="47" t="str">
        <f>TRIM(データ!B182)</f>
        <v/>
      </c>
      <c r="AF185" s="43" t="str">
        <f>TRIM(データ!Z182)</f>
        <v/>
      </c>
    </row>
    <row r="186" spans="1:32" x14ac:dyDescent="0.15">
      <c r="A186" s="47">
        <f>データ!A183</f>
        <v>3</v>
      </c>
      <c r="B186" s="47" t="str">
        <f>TRIM(データ!C183)</f>
        <v/>
      </c>
      <c r="C186" s="47" t="str">
        <f>TRIM(データ!D183)</f>
        <v>運搬費</v>
      </c>
      <c r="D186" s="36" t="str">
        <f>REPT("｜",$A186)&amp;TRIM(データ!E183)</f>
        <v>｜｜｜2tダンプ</v>
      </c>
      <c r="E186" s="37" t="str">
        <f>TRIM(データ!F183)</f>
        <v/>
      </c>
      <c r="F186" s="38" t="str">
        <f>TRIM(データ!G183)</f>
        <v>台</v>
      </c>
      <c r="G186" s="50">
        <f>データ!H183</f>
        <v>1</v>
      </c>
      <c r="H186" s="48">
        <f>データ!I183</f>
        <v>7000</v>
      </c>
      <c r="I186" s="48">
        <f>データ!J183</f>
        <v>7000</v>
      </c>
      <c r="J186" s="39" t="str">
        <f>IF(OR($C186="総括",$C186="内訳書",$C186="内訳代価",$C186="明細書",$C186="明細代価",$C186="代価表",$C186="単価表"),データ!K183,"")</f>
        <v/>
      </c>
      <c r="K186" s="11" t="str">
        <f t="shared" si="12"/>
        <v/>
      </c>
      <c r="L186" s="46">
        <f t="shared" si="13"/>
        <v>1.0078758296977812E-4</v>
      </c>
      <c r="M186" s="40" t="str">
        <f>IF(データ!L183="","",データ!L183)</f>
        <v/>
      </c>
      <c r="N186" s="41" t="str">
        <f>IF(データ!M183="","",データ!M183)</f>
        <v/>
      </c>
      <c r="O186" s="42">
        <f>データ!N183</f>
        <v>0</v>
      </c>
      <c r="P186" s="48">
        <f>IF($C186="集計行","",データ!O183)</f>
        <v>0</v>
      </c>
      <c r="Q186" s="48">
        <f>データ!P183</f>
        <v>0</v>
      </c>
      <c r="R186" s="39" t="str">
        <f>IF(OR($C186="総括",$C186="内訳書",$C186="内訳代価",$C186="明細書",$C186="明細代価",$C186="代価表",$C186="単価表"),データ!Q183,"")</f>
        <v/>
      </c>
      <c r="S186" s="11" t="str">
        <f t="shared" si="14"/>
        <v/>
      </c>
      <c r="T186" s="46" t="e">
        <f t="shared" si="15"/>
        <v>#DIV/0!</v>
      </c>
      <c r="U186" s="40" t="str">
        <f>IF(データ!R183="","",データ!R183)</f>
        <v/>
      </c>
      <c r="V186" s="41" t="str">
        <f>IF(データ!S183="","",データ!S183)</f>
        <v/>
      </c>
      <c r="W186" s="42">
        <f>データ!T183</f>
        <v>0</v>
      </c>
      <c r="X186" s="48">
        <f>IF($C186="集計行","",データ!U183)</f>
        <v>0</v>
      </c>
      <c r="Y186" s="48">
        <f>データ!V183</f>
        <v>0</v>
      </c>
      <c r="Z186" s="39" t="str">
        <f>IF(OR($C186="総括",$C186="内訳書",$C186="内訳代価",$C186="明細書",$C186="明細代価",$C186="代価表",$C186="単価表"),データ!W183,"")</f>
        <v/>
      </c>
      <c r="AA186" s="11" t="str">
        <f t="shared" si="16"/>
        <v/>
      </c>
      <c r="AB186" s="46" t="e">
        <f t="shared" si="17"/>
        <v>#DIV/0!</v>
      </c>
      <c r="AC186" s="40" t="str">
        <f>IF(データ!X183="","",データ!X183)</f>
        <v/>
      </c>
      <c r="AD186" s="41" t="str">
        <f>IF(データ!Y183="","",データ!Y183)</f>
        <v/>
      </c>
      <c r="AE186" s="47" t="str">
        <f>TRIM(データ!B183)</f>
        <v/>
      </c>
      <c r="AF186" s="43" t="str">
        <f>TRIM(データ!Z183)</f>
        <v/>
      </c>
    </row>
    <row r="187" spans="1:32" x14ac:dyDescent="0.15">
      <c r="A187" s="47">
        <f>データ!A184</f>
        <v>3</v>
      </c>
      <c r="B187" s="47" t="str">
        <f>TRIM(データ!C184)</f>
        <v/>
      </c>
      <c r="C187" s="47" t="str">
        <f>TRIM(データ!D184)</f>
        <v>材料費</v>
      </c>
      <c r="D187" s="36" t="str">
        <f>REPT("｜",$A187)&amp;TRIM(データ!E184)</f>
        <v>｜｜｜軽油</v>
      </c>
      <c r="E187" s="37" t="str">
        <f>TRIM(データ!F184)</f>
        <v/>
      </c>
      <c r="F187" s="38" t="str">
        <f>TRIM(データ!G184)</f>
        <v>リットル</v>
      </c>
      <c r="G187" s="50">
        <f>データ!H184</f>
        <v>40</v>
      </c>
      <c r="H187" s="48">
        <f>データ!I184</f>
        <v>150</v>
      </c>
      <c r="I187" s="48">
        <f>データ!J184</f>
        <v>6000</v>
      </c>
      <c r="J187" s="39" t="str">
        <f>IF(OR($C187="総括",$C187="内訳書",$C187="内訳代価",$C187="明細書",$C187="明細代価",$C187="代価表",$C187="単価表"),データ!K184,"")</f>
        <v/>
      </c>
      <c r="K187" s="11" t="str">
        <f t="shared" si="12"/>
        <v/>
      </c>
      <c r="L187" s="46">
        <f t="shared" si="13"/>
        <v>8.6389356831238388E-5</v>
      </c>
      <c r="M187" s="40" t="str">
        <f>IF(データ!L184="","",データ!L184)</f>
        <v/>
      </c>
      <c r="N187" s="41" t="str">
        <f>IF(データ!M184="","",データ!M184)</f>
        <v/>
      </c>
      <c r="O187" s="42">
        <f>データ!N184</f>
        <v>0</v>
      </c>
      <c r="P187" s="48">
        <f>IF($C187="集計行","",データ!O184)</f>
        <v>0</v>
      </c>
      <c r="Q187" s="48">
        <f>データ!P184</f>
        <v>0</v>
      </c>
      <c r="R187" s="39" t="str">
        <f>IF(OR($C187="総括",$C187="内訳書",$C187="内訳代価",$C187="明細書",$C187="明細代価",$C187="代価表",$C187="単価表"),データ!Q184,"")</f>
        <v/>
      </c>
      <c r="S187" s="11" t="str">
        <f t="shared" si="14"/>
        <v/>
      </c>
      <c r="T187" s="46" t="e">
        <f t="shared" si="15"/>
        <v>#DIV/0!</v>
      </c>
      <c r="U187" s="40" t="str">
        <f>IF(データ!R184="","",データ!R184)</f>
        <v/>
      </c>
      <c r="V187" s="41" t="str">
        <f>IF(データ!S184="","",データ!S184)</f>
        <v/>
      </c>
      <c r="W187" s="42">
        <f>データ!T184</f>
        <v>0</v>
      </c>
      <c r="X187" s="48">
        <f>IF($C187="集計行","",データ!U184)</f>
        <v>0</v>
      </c>
      <c r="Y187" s="48">
        <f>データ!V184</f>
        <v>0</v>
      </c>
      <c r="Z187" s="39" t="str">
        <f>IF(OR($C187="総括",$C187="内訳書",$C187="内訳代価",$C187="明細書",$C187="明細代価",$C187="代価表",$C187="単価表"),データ!W184,"")</f>
        <v/>
      </c>
      <c r="AA187" s="11" t="str">
        <f t="shared" si="16"/>
        <v/>
      </c>
      <c r="AB187" s="46" t="e">
        <f t="shared" si="17"/>
        <v>#DIV/0!</v>
      </c>
      <c r="AC187" s="40" t="str">
        <f>IF(データ!X184="","",データ!X184)</f>
        <v/>
      </c>
      <c r="AD187" s="41" t="str">
        <f>IF(データ!Y184="","",データ!Y184)</f>
        <v/>
      </c>
      <c r="AE187" s="47" t="str">
        <f>TRIM(データ!B184)</f>
        <v/>
      </c>
      <c r="AF187" s="43" t="str">
        <f>TRIM(データ!Z184)</f>
        <v/>
      </c>
    </row>
    <row r="188" spans="1:32" x14ac:dyDescent="0.15">
      <c r="A188" s="47">
        <f>データ!A185</f>
        <v>3</v>
      </c>
      <c r="B188" s="47" t="str">
        <f>TRIM(データ!C185)</f>
        <v/>
      </c>
      <c r="C188" s="47" t="str">
        <f>TRIM(データ!D185)</f>
        <v>材料費</v>
      </c>
      <c r="D188" s="36" t="str">
        <f>REPT("｜",$A188)&amp;TRIM(データ!E185)</f>
        <v>｜｜｜ガソリン</v>
      </c>
      <c r="E188" s="37" t="str">
        <f>TRIM(データ!F185)</f>
        <v/>
      </c>
      <c r="F188" s="38" t="str">
        <f>TRIM(データ!G185)</f>
        <v>リットル</v>
      </c>
      <c r="G188" s="50">
        <f>データ!H185</f>
        <v>40</v>
      </c>
      <c r="H188" s="48">
        <f>データ!I185</f>
        <v>200</v>
      </c>
      <c r="I188" s="48">
        <f>データ!J185</f>
        <v>8000</v>
      </c>
      <c r="J188" s="39" t="str">
        <f>IF(OR($C188="総括",$C188="内訳書",$C188="内訳代価",$C188="明細書",$C188="明細代価",$C188="代価表",$C188="単価表"),データ!K185,"")</f>
        <v/>
      </c>
      <c r="K188" s="11" t="str">
        <f t="shared" si="12"/>
        <v/>
      </c>
      <c r="L188" s="46">
        <f t="shared" si="13"/>
        <v>1.1518580910831785E-4</v>
      </c>
      <c r="M188" s="40" t="str">
        <f>IF(データ!L185="","",データ!L185)</f>
        <v/>
      </c>
      <c r="N188" s="41" t="str">
        <f>IF(データ!M185="","",データ!M185)</f>
        <v/>
      </c>
      <c r="O188" s="42">
        <f>データ!N185</f>
        <v>0</v>
      </c>
      <c r="P188" s="48">
        <f>IF($C188="集計行","",データ!O185)</f>
        <v>0</v>
      </c>
      <c r="Q188" s="48">
        <f>データ!P185</f>
        <v>0</v>
      </c>
      <c r="R188" s="39" t="str">
        <f>IF(OR($C188="総括",$C188="内訳書",$C188="内訳代価",$C188="明細書",$C188="明細代価",$C188="代価表",$C188="単価表"),データ!Q185,"")</f>
        <v/>
      </c>
      <c r="S188" s="11" t="str">
        <f t="shared" si="14"/>
        <v/>
      </c>
      <c r="T188" s="46" t="e">
        <f t="shared" si="15"/>
        <v>#DIV/0!</v>
      </c>
      <c r="U188" s="40" t="str">
        <f>IF(データ!R185="","",データ!R185)</f>
        <v/>
      </c>
      <c r="V188" s="41" t="str">
        <f>IF(データ!S185="","",データ!S185)</f>
        <v/>
      </c>
      <c r="W188" s="42">
        <f>データ!T185</f>
        <v>0</v>
      </c>
      <c r="X188" s="48">
        <f>IF($C188="集計行","",データ!U185)</f>
        <v>0</v>
      </c>
      <c r="Y188" s="48">
        <f>データ!V185</f>
        <v>0</v>
      </c>
      <c r="Z188" s="39" t="str">
        <f>IF(OR($C188="総括",$C188="内訳書",$C188="内訳代価",$C188="明細書",$C188="明細代価",$C188="代価表",$C188="単価表"),データ!W185,"")</f>
        <v/>
      </c>
      <c r="AA188" s="11" t="str">
        <f t="shared" si="16"/>
        <v/>
      </c>
      <c r="AB188" s="46" t="e">
        <f t="shared" si="17"/>
        <v>#DIV/0!</v>
      </c>
      <c r="AC188" s="40" t="str">
        <f>IF(データ!X185="","",データ!X185)</f>
        <v/>
      </c>
      <c r="AD188" s="41" t="str">
        <f>IF(データ!Y185="","",データ!Y185)</f>
        <v/>
      </c>
      <c r="AE188" s="47" t="str">
        <f>TRIM(データ!B185)</f>
        <v/>
      </c>
      <c r="AF188" s="43" t="str">
        <f>TRIM(データ!Z185)</f>
        <v/>
      </c>
    </row>
    <row r="189" spans="1:32" x14ac:dyDescent="0.15">
      <c r="A189" s="47">
        <f>データ!A186</f>
        <v>3</v>
      </c>
      <c r="B189" s="47" t="str">
        <f>TRIM(データ!C186)</f>
        <v/>
      </c>
      <c r="C189" s="47" t="str">
        <f>TRIM(データ!D186)</f>
        <v>材料費</v>
      </c>
      <c r="D189" s="36" t="str">
        <f>REPT("｜",$A189)&amp;TRIM(データ!E186)</f>
        <v>｜｜｜雑材</v>
      </c>
      <c r="E189" s="37" t="str">
        <f>TRIM(データ!F186)</f>
        <v/>
      </c>
      <c r="F189" s="38" t="str">
        <f>TRIM(データ!G186)</f>
        <v>式</v>
      </c>
      <c r="G189" s="50">
        <f>データ!H186</f>
        <v>1</v>
      </c>
      <c r="H189" s="48">
        <f>データ!I186</f>
        <v>8520</v>
      </c>
      <c r="I189" s="48">
        <f>データ!J186</f>
        <v>8520</v>
      </c>
      <c r="J189" s="39" t="str">
        <f>IF(OR($C189="総括",$C189="内訳書",$C189="内訳代価",$C189="明細書",$C189="明細代価",$C189="代価表",$C189="単価表"),データ!K186,"")</f>
        <v/>
      </c>
      <c r="K189" s="11" t="str">
        <f t="shared" si="12"/>
        <v/>
      </c>
      <c r="L189" s="46">
        <f t="shared" si="13"/>
        <v>1.226728867003585E-4</v>
      </c>
      <c r="M189" s="40" t="str">
        <f>IF(データ!L186="","",データ!L186)</f>
        <v/>
      </c>
      <c r="N189" s="41" t="str">
        <f>IF(データ!M186="","",データ!M186)</f>
        <v/>
      </c>
      <c r="O189" s="42">
        <f>データ!N186</f>
        <v>0</v>
      </c>
      <c r="P189" s="48">
        <f>IF($C189="集計行","",データ!O186)</f>
        <v>0</v>
      </c>
      <c r="Q189" s="48">
        <f>データ!P186</f>
        <v>0</v>
      </c>
      <c r="R189" s="39" t="str">
        <f>IF(OR($C189="総括",$C189="内訳書",$C189="内訳代価",$C189="明細書",$C189="明細代価",$C189="代価表",$C189="単価表"),データ!Q186,"")</f>
        <v/>
      </c>
      <c r="S189" s="11" t="str">
        <f t="shared" si="14"/>
        <v/>
      </c>
      <c r="T189" s="46" t="e">
        <f t="shared" si="15"/>
        <v>#DIV/0!</v>
      </c>
      <c r="U189" s="40" t="str">
        <f>IF(データ!R186="","",データ!R186)</f>
        <v/>
      </c>
      <c r="V189" s="41" t="str">
        <f>IF(データ!S186="","",データ!S186)</f>
        <v/>
      </c>
      <c r="W189" s="42">
        <f>データ!T186</f>
        <v>0</v>
      </c>
      <c r="X189" s="48">
        <f>IF($C189="集計行","",データ!U186)</f>
        <v>0</v>
      </c>
      <c r="Y189" s="48">
        <f>データ!V186</f>
        <v>0</v>
      </c>
      <c r="Z189" s="39" t="str">
        <f>IF(OR($C189="総括",$C189="内訳書",$C189="内訳代価",$C189="明細書",$C189="明細代価",$C189="代価表",$C189="単価表"),データ!W186,"")</f>
        <v/>
      </c>
      <c r="AA189" s="11" t="str">
        <f t="shared" si="16"/>
        <v/>
      </c>
      <c r="AB189" s="46" t="e">
        <f t="shared" si="17"/>
        <v>#DIV/0!</v>
      </c>
      <c r="AC189" s="40" t="str">
        <f>IF(データ!X186="","",データ!X186)</f>
        <v/>
      </c>
      <c r="AD189" s="41" t="str">
        <f>IF(データ!Y186="","",データ!Y186)</f>
        <v/>
      </c>
      <c r="AE189" s="47" t="str">
        <f>TRIM(データ!B186)</f>
        <v/>
      </c>
      <c r="AF189" s="43" t="str">
        <f>TRIM(データ!Z186)</f>
        <v/>
      </c>
    </row>
    <row r="190" spans="1:32" x14ac:dyDescent="0.15">
      <c r="A190" s="47">
        <f>データ!A187</f>
        <v>3</v>
      </c>
      <c r="B190" s="47" t="str">
        <f>TRIM(データ!C187)</f>
        <v/>
      </c>
      <c r="C190" s="47" t="str">
        <f>TRIM(データ!D187)</f>
        <v>外注費</v>
      </c>
      <c r="D190" s="36" t="str">
        <f>REPT("｜",$A190)&amp;TRIM(データ!E187)</f>
        <v>｜｜｜外注経費</v>
      </c>
      <c r="E190" s="37" t="str">
        <f>TRIM(データ!F187)</f>
        <v/>
      </c>
      <c r="F190" s="38" t="str">
        <f>TRIM(データ!G187)</f>
        <v>式</v>
      </c>
      <c r="G190" s="50">
        <f>データ!H187</f>
        <v>1</v>
      </c>
      <c r="H190" s="48">
        <f>データ!I187</f>
        <v>12600</v>
      </c>
      <c r="I190" s="48">
        <f>データ!J187</f>
        <v>12600</v>
      </c>
      <c r="J190" s="39" t="str">
        <f>IF(OR($C190="総括",$C190="内訳書",$C190="内訳代価",$C190="明細書",$C190="明細代価",$C190="代価表",$C190="単価表"),データ!K187,"")</f>
        <v/>
      </c>
      <c r="K190" s="11" t="str">
        <f t="shared" si="12"/>
        <v/>
      </c>
      <c r="L190" s="46">
        <f t="shared" si="13"/>
        <v>1.8141764934560063E-4</v>
      </c>
      <c r="M190" s="40" t="str">
        <f>IF(データ!L187="","",データ!L187)</f>
        <v/>
      </c>
      <c r="N190" s="41" t="str">
        <f>IF(データ!M187="","",データ!M187)</f>
        <v/>
      </c>
      <c r="O190" s="42">
        <f>データ!N187</f>
        <v>0</v>
      </c>
      <c r="P190" s="48">
        <f>IF($C190="集計行","",データ!O187)</f>
        <v>0</v>
      </c>
      <c r="Q190" s="48">
        <f>データ!P187</f>
        <v>0</v>
      </c>
      <c r="R190" s="39" t="str">
        <f>IF(OR($C190="総括",$C190="内訳書",$C190="内訳代価",$C190="明細書",$C190="明細代価",$C190="代価表",$C190="単価表"),データ!Q187,"")</f>
        <v/>
      </c>
      <c r="S190" s="11" t="str">
        <f t="shared" si="14"/>
        <v/>
      </c>
      <c r="T190" s="46" t="e">
        <f t="shared" si="15"/>
        <v>#DIV/0!</v>
      </c>
      <c r="U190" s="40" t="str">
        <f>IF(データ!R187="","",データ!R187)</f>
        <v/>
      </c>
      <c r="V190" s="41" t="str">
        <f>IF(データ!S187="","",データ!S187)</f>
        <v/>
      </c>
      <c r="W190" s="42">
        <f>データ!T187</f>
        <v>0</v>
      </c>
      <c r="X190" s="48">
        <f>IF($C190="集計行","",データ!U187)</f>
        <v>0</v>
      </c>
      <c r="Y190" s="48">
        <f>データ!V187</f>
        <v>0</v>
      </c>
      <c r="Z190" s="39" t="str">
        <f>IF(OR($C190="総括",$C190="内訳書",$C190="内訳代価",$C190="明細書",$C190="明細代価",$C190="代価表",$C190="単価表"),データ!W187,"")</f>
        <v/>
      </c>
      <c r="AA190" s="11" t="str">
        <f t="shared" si="16"/>
        <v/>
      </c>
      <c r="AB190" s="46" t="e">
        <f t="shared" si="17"/>
        <v>#DIV/0!</v>
      </c>
      <c r="AC190" s="40" t="str">
        <f>IF(データ!X187="","",データ!X187)</f>
        <v/>
      </c>
      <c r="AD190" s="41" t="str">
        <f>IF(データ!Y187="","",データ!Y187)</f>
        <v/>
      </c>
      <c r="AE190" s="47" t="str">
        <f>TRIM(データ!B187)</f>
        <v/>
      </c>
      <c r="AF190" s="43" t="str">
        <f>TRIM(データ!Z187)</f>
        <v/>
      </c>
    </row>
    <row r="191" spans="1:32" x14ac:dyDescent="0.15">
      <c r="A191" s="47">
        <f>データ!A188</f>
        <v>2</v>
      </c>
      <c r="B191" s="47" t="str">
        <f>TRIM(データ!C188)</f>
        <v/>
      </c>
      <c r="C191" s="47" t="str">
        <f>TRIM(データ!D188)</f>
        <v>内訳書</v>
      </c>
      <c r="D191" s="36" t="str">
        <f>REPT("｜",$A191)&amp;TRIM(データ!E188)</f>
        <v>｜｜PU側溝　300×500</v>
      </c>
      <c r="E191" s="37" t="str">
        <f>TRIM(データ!F188)</f>
        <v/>
      </c>
      <c r="F191" s="38" t="str">
        <f>TRIM(データ!G188)</f>
        <v>ｍ</v>
      </c>
      <c r="G191" s="50">
        <f>データ!H188</f>
        <v>11.9</v>
      </c>
      <c r="H191" s="48">
        <f>データ!I188</f>
        <v>42500</v>
      </c>
      <c r="I191" s="48">
        <f>データ!J188</f>
        <v>505750</v>
      </c>
      <c r="J191" s="39">
        <f>IF(OR($C191="総括",$C191="内訳書",$C191="内訳代価",$C191="明細書",$C191="明細代価",$C191="代価表",$C191="単価表"),データ!K188,"")</f>
        <v>11.9</v>
      </c>
      <c r="K191" s="11" t="str">
        <f t="shared" si="12"/>
        <v/>
      </c>
      <c r="L191" s="46">
        <f t="shared" si="13"/>
        <v>7.281902869566469E-3</v>
      </c>
      <c r="M191" s="40" t="str">
        <f>IF(データ!L188="","",データ!L188)</f>
        <v/>
      </c>
      <c r="N191" s="41" t="str">
        <f>IF(データ!M188="","",データ!M188)</f>
        <v>38号内訳書</v>
      </c>
      <c r="O191" s="42">
        <f>データ!N188</f>
        <v>0</v>
      </c>
      <c r="P191" s="48">
        <f>IF($C191="集計行","",データ!O188)</f>
        <v>0</v>
      </c>
      <c r="Q191" s="48">
        <f>データ!P188</f>
        <v>0</v>
      </c>
      <c r="R191" s="39">
        <f>IF(OR($C191="総括",$C191="内訳書",$C191="内訳代価",$C191="明細書",$C191="明細代価",$C191="代価表",$C191="単価表"),データ!Q188,"")</f>
        <v>0</v>
      </c>
      <c r="S191" s="11" t="str">
        <f t="shared" si="14"/>
        <v/>
      </c>
      <c r="T191" s="46" t="e">
        <f t="shared" si="15"/>
        <v>#DIV/0!</v>
      </c>
      <c r="U191" s="40" t="str">
        <f>IF(データ!R188="","",データ!R188)</f>
        <v/>
      </c>
      <c r="V191" s="41" t="str">
        <f>IF(データ!S188="","",データ!S188)</f>
        <v/>
      </c>
      <c r="W191" s="42">
        <f>データ!T188</f>
        <v>0</v>
      </c>
      <c r="X191" s="48">
        <f>IF($C191="集計行","",データ!U188)</f>
        <v>0</v>
      </c>
      <c r="Y191" s="48">
        <f>データ!V188</f>
        <v>0</v>
      </c>
      <c r="Z191" s="39">
        <f>IF(OR($C191="総括",$C191="内訳書",$C191="内訳代価",$C191="明細書",$C191="明細代価",$C191="代価表",$C191="単価表"),データ!W188,"")</f>
        <v>0</v>
      </c>
      <c r="AA191" s="11" t="str">
        <f t="shared" si="16"/>
        <v/>
      </c>
      <c r="AB191" s="46" t="e">
        <f t="shared" si="17"/>
        <v>#DIV/0!</v>
      </c>
      <c r="AC191" s="40" t="str">
        <f>IF(データ!X188="","",データ!X188)</f>
        <v/>
      </c>
      <c r="AD191" s="41" t="str">
        <f>IF(データ!Y188="","",データ!Y188)</f>
        <v/>
      </c>
      <c r="AE191" s="47" t="str">
        <f>TRIM(データ!B188)</f>
        <v/>
      </c>
      <c r="AF191" s="43" t="str">
        <f>TRIM(データ!Z188)</f>
        <v/>
      </c>
    </row>
    <row r="192" spans="1:32" x14ac:dyDescent="0.15">
      <c r="A192" s="47">
        <f>データ!A189</f>
        <v>3</v>
      </c>
      <c r="B192" s="47" t="str">
        <f>TRIM(データ!C189)</f>
        <v/>
      </c>
      <c r="C192" s="47" t="str">
        <f>TRIM(データ!D189)</f>
        <v>材料費</v>
      </c>
      <c r="D192" s="36" t="str">
        <f>REPT("｜",$A192)&amp;TRIM(データ!E189)</f>
        <v>｜｜｜PU側溝　300×500 L=2000</v>
      </c>
      <c r="E192" s="37" t="str">
        <f>TRIM(データ!F189)</f>
        <v/>
      </c>
      <c r="F192" s="38" t="str">
        <f>TRIM(データ!G189)</f>
        <v>本</v>
      </c>
      <c r="G192" s="50">
        <f>データ!H189</f>
        <v>5</v>
      </c>
      <c r="H192" s="48">
        <f>データ!I189</f>
        <v>19700</v>
      </c>
      <c r="I192" s="48">
        <f>データ!J189</f>
        <v>98500</v>
      </c>
      <c r="J192" s="39" t="str">
        <f>IF(OR($C192="総括",$C192="内訳書",$C192="内訳代価",$C192="明細書",$C192="明細代価",$C192="代価表",$C192="単価表"),データ!K189,"")</f>
        <v/>
      </c>
      <c r="K192" s="11" t="str">
        <f t="shared" si="12"/>
        <v/>
      </c>
      <c r="L192" s="46">
        <f t="shared" si="13"/>
        <v>1.4182252746461636E-3</v>
      </c>
      <c r="M192" s="40" t="str">
        <f>IF(データ!L189="","",データ!L189)</f>
        <v/>
      </c>
      <c r="N192" s="41" t="str">
        <f>IF(データ!M189="","",データ!M189)</f>
        <v/>
      </c>
      <c r="O192" s="42">
        <f>データ!N189</f>
        <v>0</v>
      </c>
      <c r="P192" s="48">
        <f>IF($C192="集計行","",データ!O189)</f>
        <v>0</v>
      </c>
      <c r="Q192" s="48">
        <f>データ!P189</f>
        <v>0</v>
      </c>
      <c r="R192" s="39" t="str">
        <f>IF(OR($C192="総括",$C192="内訳書",$C192="内訳代価",$C192="明細書",$C192="明細代価",$C192="代価表",$C192="単価表"),データ!Q189,"")</f>
        <v/>
      </c>
      <c r="S192" s="11" t="str">
        <f t="shared" si="14"/>
        <v/>
      </c>
      <c r="T192" s="46" t="e">
        <f t="shared" si="15"/>
        <v>#DIV/0!</v>
      </c>
      <c r="U192" s="40" t="str">
        <f>IF(データ!R189="","",データ!R189)</f>
        <v/>
      </c>
      <c r="V192" s="41" t="str">
        <f>IF(データ!S189="","",データ!S189)</f>
        <v/>
      </c>
      <c r="W192" s="42">
        <f>データ!T189</f>
        <v>0</v>
      </c>
      <c r="X192" s="48">
        <f>IF($C192="集計行","",データ!U189)</f>
        <v>0</v>
      </c>
      <c r="Y192" s="48">
        <f>データ!V189</f>
        <v>0</v>
      </c>
      <c r="Z192" s="39" t="str">
        <f>IF(OR($C192="総括",$C192="内訳書",$C192="内訳代価",$C192="明細書",$C192="明細代価",$C192="代価表",$C192="単価表"),データ!W189,"")</f>
        <v/>
      </c>
      <c r="AA192" s="11" t="str">
        <f t="shared" si="16"/>
        <v/>
      </c>
      <c r="AB192" s="46" t="e">
        <f t="shared" si="17"/>
        <v>#DIV/0!</v>
      </c>
      <c r="AC192" s="40" t="str">
        <f>IF(データ!X189="","",データ!X189)</f>
        <v/>
      </c>
      <c r="AD192" s="41" t="str">
        <f>IF(データ!Y189="","",データ!Y189)</f>
        <v/>
      </c>
      <c r="AE192" s="47" t="str">
        <f>TRIM(データ!B189)</f>
        <v/>
      </c>
      <c r="AF192" s="43" t="str">
        <f>TRIM(データ!Z189)</f>
        <v/>
      </c>
    </row>
    <row r="193" spans="1:32" x14ac:dyDescent="0.15">
      <c r="A193" s="47">
        <f>データ!A190</f>
        <v>3</v>
      </c>
      <c r="B193" s="47" t="str">
        <f>TRIM(データ!C190)</f>
        <v/>
      </c>
      <c r="C193" s="47" t="str">
        <f>TRIM(データ!D190)</f>
        <v>材料費</v>
      </c>
      <c r="D193" s="36" t="str">
        <f>REPT("｜",$A193)&amp;TRIM(データ!E190)</f>
        <v>｜｜｜PU側溝　300×500　L=1000</v>
      </c>
      <c r="E193" s="37" t="str">
        <f>TRIM(データ!F190)</f>
        <v/>
      </c>
      <c r="F193" s="38" t="str">
        <f>TRIM(データ!G190)</f>
        <v>本</v>
      </c>
      <c r="G193" s="50">
        <f>データ!H190</f>
        <v>1</v>
      </c>
      <c r="H193" s="48">
        <f>データ!I190</f>
        <v>11800</v>
      </c>
      <c r="I193" s="48">
        <f>データ!J190</f>
        <v>11800</v>
      </c>
      <c r="J193" s="39" t="str">
        <f>IF(OR($C193="総括",$C193="内訳書",$C193="内訳代価",$C193="明細書",$C193="明細代価",$C193="代価表",$C193="単価表"),データ!K190,"")</f>
        <v/>
      </c>
      <c r="K193" s="11" t="str">
        <f t="shared" si="12"/>
        <v/>
      </c>
      <c r="L193" s="46">
        <f t="shared" si="13"/>
        <v>1.6989906843476883E-4</v>
      </c>
      <c r="M193" s="40" t="str">
        <f>IF(データ!L190="","",データ!L190)</f>
        <v/>
      </c>
      <c r="N193" s="41" t="str">
        <f>IF(データ!M190="","",データ!M190)</f>
        <v/>
      </c>
      <c r="O193" s="42">
        <f>データ!N190</f>
        <v>0</v>
      </c>
      <c r="P193" s="48">
        <f>IF($C193="集計行","",データ!O190)</f>
        <v>0</v>
      </c>
      <c r="Q193" s="48">
        <f>データ!P190</f>
        <v>0</v>
      </c>
      <c r="R193" s="39" t="str">
        <f>IF(OR($C193="総括",$C193="内訳書",$C193="内訳代価",$C193="明細書",$C193="明細代価",$C193="代価表",$C193="単価表"),データ!Q190,"")</f>
        <v/>
      </c>
      <c r="S193" s="11" t="str">
        <f t="shared" si="14"/>
        <v/>
      </c>
      <c r="T193" s="46" t="e">
        <f t="shared" si="15"/>
        <v>#DIV/0!</v>
      </c>
      <c r="U193" s="40" t="str">
        <f>IF(データ!R190="","",データ!R190)</f>
        <v/>
      </c>
      <c r="V193" s="41" t="str">
        <f>IF(データ!S190="","",データ!S190)</f>
        <v/>
      </c>
      <c r="W193" s="42">
        <f>データ!T190</f>
        <v>0</v>
      </c>
      <c r="X193" s="48">
        <f>IF($C193="集計行","",データ!U190)</f>
        <v>0</v>
      </c>
      <c r="Y193" s="48">
        <f>データ!V190</f>
        <v>0</v>
      </c>
      <c r="Z193" s="39" t="str">
        <f>IF(OR($C193="総括",$C193="内訳書",$C193="内訳代価",$C193="明細書",$C193="明細代価",$C193="代価表",$C193="単価表"),データ!W190,"")</f>
        <v/>
      </c>
      <c r="AA193" s="11" t="str">
        <f t="shared" si="16"/>
        <v/>
      </c>
      <c r="AB193" s="46" t="e">
        <f t="shared" si="17"/>
        <v>#DIV/0!</v>
      </c>
      <c r="AC193" s="40" t="str">
        <f>IF(データ!X190="","",データ!X190)</f>
        <v/>
      </c>
      <c r="AD193" s="41" t="str">
        <f>IF(データ!Y190="","",データ!Y190)</f>
        <v/>
      </c>
      <c r="AE193" s="47" t="str">
        <f>TRIM(データ!B190)</f>
        <v/>
      </c>
      <c r="AF193" s="43" t="str">
        <f>TRIM(データ!Z190)</f>
        <v/>
      </c>
    </row>
    <row r="194" spans="1:32" x14ac:dyDescent="0.15">
      <c r="A194" s="47">
        <f>データ!A191</f>
        <v>3</v>
      </c>
      <c r="B194" s="47" t="str">
        <f>TRIM(データ!C191)</f>
        <v/>
      </c>
      <c r="C194" s="47" t="str">
        <f>TRIM(データ!D191)</f>
        <v>材料費</v>
      </c>
      <c r="D194" s="36" t="str">
        <f>REPT("｜",$A194)&amp;TRIM(データ!E191)</f>
        <v>｜｜｜グレーチング蓋　T-25</v>
      </c>
      <c r="E194" s="37" t="str">
        <f>TRIM(データ!F191)</f>
        <v>L＝995</v>
      </c>
      <c r="F194" s="38" t="str">
        <f>TRIM(データ!G191)</f>
        <v>枚</v>
      </c>
      <c r="G194" s="50">
        <f>データ!H191</f>
        <v>12</v>
      </c>
      <c r="H194" s="48">
        <f>データ!I191</f>
        <v>20000</v>
      </c>
      <c r="I194" s="48">
        <f>データ!J191</f>
        <v>240000</v>
      </c>
      <c r="J194" s="39" t="str">
        <f>IF(OR($C194="総括",$C194="内訳書",$C194="内訳代価",$C194="明細書",$C194="明細代価",$C194="代価表",$C194="単価表"),データ!K191,"")</f>
        <v/>
      </c>
      <c r="K194" s="11" t="str">
        <f t="shared" si="12"/>
        <v/>
      </c>
      <c r="L194" s="46">
        <f t="shared" si="13"/>
        <v>3.4555742732495357E-3</v>
      </c>
      <c r="M194" s="40" t="str">
        <f>IF(データ!L191="","",データ!L191)</f>
        <v/>
      </c>
      <c r="N194" s="41" t="str">
        <f>IF(データ!M191="","",データ!M191)</f>
        <v/>
      </c>
      <c r="O194" s="42">
        <f>データ!N191</f>
        <v>0</v>
      </c>
      <c r="P194" s="48">
        <f>IF($C194="集計行","",データ!O191)</f>
        <v>0</v>
      </c>
      <c r="Q194" s="48">
        <f>データ!P191</f>
        <v>0</v>
      </c>
      <c r="R194" s="39" t="str">
        <f>IF(OR($C194="総括",$C194="内訳書",$C194="内訳代価",$C194="明細書",$C194="明細代価",$C194="代価表",$C194="単価表"),データ!Q191,"")</f>
        <v/>
      </c>
      <c r="S194" s="11" t="str">
        <f t="shared" si="14"/>
        <v/>
      </c>
      <c r="T194" s="46" t="e">
        <f t="shared" si="15"/>
        <v>#DIV/0!</v>
      </c>
      <c r="U194" s="40" t="str">
        <f>IF(データ!R191="","",データ!R191)</f>
        <v/>
      </c>
      <c r="V194" s="41" t="str">
        <f>IF(データ!S191="","",データ!S191)</f>
        <v/>
      </c>
      <c r="W194" s="42">
        <f>データ!T191</f>
        <v>0</v>
      </c>
      <c r="X194" s="48">
        <f>IF($C194="集計行","",データ!U191)</f>
        <v>0</v>
      </c>
      <c r="Y194" s="48">
        <f>データ!V191</f>
        <v>0</v>
      </c>
      <c r="Z194" s="39" t="str">
        <f>IF(OR($C194="総括",$C194="内訳書",$C194="内訳代価",$C194="明細書",$C194="明細代価",$C194="代価表",$C194="単価表"),データ!W191,"")</f>
        <v/>
      </c>
      <c r="AA194" s="11" t="str">
        <f t="shared" si="16"/>
        <v/>
      </c>
      <c r="AB194" s="46" t="e">
        <f t="shared" si="17"/>
        <v>#DIV/0!</v>
      </c>
      <c r="AC194" s="40" t="str">
        <f>IF(データ!X191="","",データ!X191)</f>
        <v/>
      </c>
      <c r="AD194" s="41" t="str">
        <f>IF(データ!Y191="","",データ!Y191)</f>
        <v/>
      </c>
      <c r="AE194" s="47" t="str">
        <f>TRIM(データ!B191)</f>
        <v/>
      </c>
      <c r="AF194" s="43" t="str">
        <f>TRIM(データ!Z191)</f>
        <v/>
      </c>
    </row>
    <row r="195" spans="1:32" x14ac:dyDescent="0.15">
      <c r="A195" s="47">
        <f>データ!A192</f>
        <v>3</v>
      </c>
      <c r="B195" s="47" t="str">
        <f>TRIM(データ!C192)</f>
        <v/>
      </c>
      <c r="C195" s="47" t="str">
        <f>TRIM(データ!D192)</f>
        <v>材料費</v>
      </c>
      <c r="D195" s="36" t="str">
        <f>REPT("｜",$A195)&amp;TRIM(データ!E192)</f>
        <v>｜｜｜生コン</v>
      </c>
      <c r="E195" s="37" t="str">
        <f>TRIM(データ!F192)</f>
        <v/>
      </c>
      <c r="F195" s="38" t="str">
        <f>TRIM(データ!G192)</f>
        <v>m3</v>
      </c>
      <c r="G195" s="50">
        <f>データ!H192</f>
        <v>0.5</v>
      </c>
      <c r="H195" s="48">
        <f>データ!I192</f>
        <v>30000</v>
      </c>
      <c r="I195" s="48">
        <f>データ!J192</f>
        <v>15000</v>
      </c>
      <c r="J195" s="39" t="str">
        <f>IF(OR($C195="総括",$C195="内訳書",$C195="内訳代価",$C195="明細書",$C195="明細代価",$C195="代価表",$C195="単価表"),データ!K192,"")</f>
        <v/>
      </c>
      <c r="K195" s="11" t="str">
        <f t="shared" si="12"/>
        <v/>
      </c>
      <c r="L195" s="46">
        <f t="shared" si="13"/>
        <v>2.1597339207809598E-4</v>
      </c>
      <c r="M195" s="40" t="str">
        <f>IF(データ!L192="","",データ!L192)</f>
        <v/>
      </c>
      <c r="N195" s="41" t="str">
        <f>IF(データ!M192="","",データ!M192)</f>
        <v/>
      </c>
      <c r="O195" s="42">
        <f>データ!N192</f>
        <v>0</v>
      </c>
      <c r="P195" s="48">
        <f>IF($C195="集計行","",データ!O192)</f>
        <v>0</v>
      </c>
      <c r="Q195" s="48">
        <f>データ!P192</f>
        <v>0</v>
      </c>
      <c r="R195" s="39" t="str">
        <f>IF(OR($C195="総括",$C195="内訳書",$C195="内訳代価",$C195="明細書",$C195="明細代価",$C195="代価表",$C195="単価表"),データ!Q192,"")</f>
        <v/>
      </c>
      <c r="S195" s="11" t="str">
        <f t="shared" si="14"/>
        <v/>
      </c>
      <c r="T195" s="46" t="e">
        <f t="shared" si="15"/>
        <v>#DIV/0!</v>
      </c>
      <c r="U195" s="40" t="str">
        <f>IF(データ!R192="","",データ!R192)</f>
        <v/>
      </c>
      <c r="V195" s="41" t="str">
        <f>IF(データ!S192="","",データ!S192)</f>
        <v/>
      </c>
      <c r="W195" s="42">
        <f>データ!T192</f>
        <v>0</v>
      </c>
      <c r="X195" s="48">
        <f>IF($C195="集計行","",データ!U192)</f>
        <v>0</v>
      </c>
      <c r="Y195" s="48">
        <f>データ!V192</f>
        <v>0</v>
      </c>
      <c r="Z195" s="39" t="str">
        <f>IF(OR($C195="総括",$C195="内訳書",$C195="内訳代価",$C195="明細書",$C195="明細代価",$C195="代価表",$C195="単価表"),データ!W192,"")</f>
        <v/>
      </c>
      <c r="AA195" s="11" t="str">
        <f t="shared" si="16"/>
        <v/>
      </c>
      <c r="AB195" s="46" t="e">
        <f t="shared" si="17"/>
        <v>#DIV/0!</v>
      </c>
      <c r="AC195" s="40" t="str">
        <f>IF(データ!X192="","",データ!X192)</f>
        <v/>
      </c>
      <c r="AD195" s="41" t="str">
        <f>IF(データ!Y192="","",データ!Y192)</f>
        <v/>
      </c>
      <c r="AE195" s="47" t="str">
        <f>TRIM(データ!B192)</f>
        <v/>
      </c>
      <c r="AF195" s="43" t="str">
        <f>TRIM(データ!Z192)</f>
        <v/>
      </c>
    </row>
    <row r="196" spans="1:32" x14ac:dyDescent="0.15">
      <c r="A196" s="47">
        <f>データ!A193</f>
        <v>3</v>
      </c>
      <c r="B196" s="47" t="str">
        <f>TRIM(データ!C193)</f>
        <v/>
      </c>
      <c r="C196" s="47" t="str">
        <f>TRIM(データ!D193)</f>
        <v>労務費</v>
      </c>
      <c r="D196" s="36" t="str">
        <f>REPT("｜",$A196)&amp;TRIM(データ!E193)</f>
        <v>｜｜｜技工</v>
      </c>
      <c r="E196" s="37" t="str">
        <f>TRIM(データ!F193)</f>
        <v/>
      </c>
      <c r="F196" s="38" t="str">
        <f>TRIM(データ!G193)</f>
        <v>人</v>
      </c>
      <c r="G196" s="50">
        <f>データ!H193</f>
        <v>3</v>
      </c>
      <c r="H196" s="48">
        <f>データ!I193</f>
        <v>28000</v>
      </c>
      <c r="I196" s="48">
        <f>データ!J193</f>
        <v>84000</v>
      </c>
      <c r="J196" s="39" t="str">
        <f>IF(OR($C196="総括",$C196="内訳書",$C196="内訳代価",$C196="明細書",$C196="明細代価",$C196="代価表",$C196="単価表"),データ!K193,"")</f>
        <v/>
      </c>
      <c r="K196" s="11" t="str">
        <f t="shared" si="12"/>
        <v/>
      </c>
      <c r="L196" s="46">
        <f t="shared" si="13"/>
        <v>1.2094509956373375E-3</v>
      </c>
      <c r="M196" s="40" t="str">
        <f>IF(データ!L193="","",データ!L193)</f>
        <v/>
      </c>
      <c r="N196" s="41" t="str">
        <f>IF(データ!M193="","",データ!M193)</f>
        <v/>
      </c>
      <c r="O196" s="42">
        <f>データ!N193</f>
        <v>0</v>
      </c>
      <c r="P196" s="48">
        <f>IF($C196="集計行","",データ!O193)</f>
        <v>0</v>
      </c>
      <c r="Q196" s="48">
        <f>データ!P193</f>
        <v>0</v>
      </c>
      <c r="R196" s="39" t="str">
        <f>IF(OR($C196="総括",$C196="内訳書",$C196="内訳代価",$C196="明細書",$C196="明細代価",$C196="代価表",$C196="単価表"),データ!Q193,"")</f>
        <v/>
      </c>
      <c r="S196" s="11" t="str">
        <f t="shared" si="14"/>
        <v/>
      </c>
      <c r="T196" s="46" t="e">
        <f t="shared" si="15"/>
        <v>#DIV/0!</v>
      </c>
      <c r="U196" s="40" t="str">
        <f>IF(データ!R193="","",データ!R193)</f>
        <v/>
      </c>
      <c r="V196" s="41" t="str">
        <f>IF(データ!S193="","",データ!S193)</f>
        <v/>
      </c>
      <c r="W196" s="42">
        <f>データ!T193</f>
        <v>0</v>
      </c>
      <c r="X196" s="48">
        <f>IF($C196="集計行","",データ!U193)</f>
        <v>0</v>
      </c>
      <c r="Y196" s="48">
        <f>データ!V193</f>
        <v>0</v>
      </c>
      <c r="Z196" s="39" t="str">
        <f>IF(OR($C196="総括",$C196="内訳書",$C196="内訳代価",$C196="明細書",$C196="明細代価",$C196="代価表",$C196="単価表"),データ!W193,"")</f>
        <v/>
      </c>
      <c r="AA196" s="11" t="str">
        <f t="shared" si="16"/>
        <v/>
      </c>
      <c r="AB196" s="46" t="e">
        <f t="shared" si="17"/>
        <v>#DIV/0!</v>
      </c>
      <c r="AC196" s="40" t="str">
        <f>IF(データ!X193="","",データ!X193)</f>
        <v/>
      </c>
      <c r="AD196" s="41" t="str">
        <f>IF(データ!Y193="","",データ!Y193)</f>
        <v/>
      </c>
      <c r="AE196" s="47" t="str">
        <f>TRIM(データ!B193)</f>
        <v/>
      </c>
      <c r="AF196" s="43" t="str">
        <f>TRIM(データ!Z193)</f>
        <v/>
      </c>
    </row>
    <row r="197" spans="1:32" x14ac:dyDescent="0.15">
      <c r="A197" s="47">
        <f>データ!A194</f>
        <v>3</v>
      </c>
      <c r="B197" s="47" t="str">
        <f>TRIM(データ!C194)</f>
        <v/>
      </c>
      <c r="C197" s="47" t="str">
        <f>TRIM(データ!D194)</f>
        <v>機械費</v>
      </c>
      <c r="D197" s="36" t="str">
        <f>REPT("｜",$A197)&amp;TRIM(データ!E194)</f>
        <v>｜｜｜BH0.15</v>
      </c>
      <c r="E197" s="37" t="str">
        <f>TRIM(データ!F194)</f>
        <v/>
      </c>
      <c r="F197" s="38" t="str">
        <f>TRIM(データ!G194)</f>
        <v>台</v>
      </c>
      <c r="G197" s="50">
        <f>データ!H194</f>
        <v>1</v>
      </c>
      <c r="H197" s="48">
        <f>データ!I194</f>
        <v>8000</v>
      </c>
      <c r="I197" s="48">
        <f>データ!J194</f>
        <v>8000</v>
      </c>
      <c r="J197" s="39" t="str">
        <f>IF(OR($C197="総括",$C197="内訳書",$C197="内訳代価",$C197="明細書",$C197="明細代価",$C197="代価表",$C197="単価表"),データ!K194,"")</f>
        <v/>
      </c>
      <c r="K197" s="11" t="str">
        <f t="shared" ref="K197:K260" si="18">IF(OR(J197="",G197=J197),"","*")</f>
        <v/>
      </c>
      <c r="L197" s="46">
        <f t="shared" ref="L197:L260" si="19">IF($A197&lt;=L$1,I197/I$4,"")</f>
        <v>1.1518580910831785E-4</v>
      </c>
      <c r="M197" s="40" t="str">
        <f>IF(データ!L194="","",データ!L194)</f>
        <v/>
      </c>
      <c r="N197" s="41" t="str">
        <f>IF(データ!M194="","",データ!M194)</f>
        <v/>
      </c>
      <c r="O197" s="42">
        <f>データ!N194</f>
        <v>0</v>
      </c>
      <c r="P197" s="48">
        <f>IF($C197="集計行","",データ!O194)</f>
        <v>0</v>
      </c>
      <c r="Q197" s="48">
        <f>データ!P194</f>
        <v>0</v>
      </c>
      <c r="R197" s="39" t="str">
        <f>IF(OR($C197="総括",$C197="内訳書",$C197="内訳代価",$C197="明細書",$C197="明細代価",$C197="代価表",$C197="単価表"),データ!Q194,"")</f>
        <v/>
      </c>
      <c r="S197" s="11" t="str">
        <f t="shared" ref="S197:S260" si="20">IF(OR(R197="",O197=R197),"","*")</f>
        <v/>
      </c>
      <c r="T197" s="46" t="e">
        <f t="shared" ref="T197:T260" si="21">IF($A197&lt;=T$1,Q197/Q$4,"")</f>
        <v>#DIV/0!</v>
      </c>
      <c r="U197" s="40" t="str">
        <f>IF(データ!R194="","",データ!R194)</f>
        <v/>
      </c>
      <c r="V197" s="41" t="str">
        <f>IF(データ!S194="","",データ!S194)</f>
        <v/>
      </c>
      <c r="W197" s="42">
        <f>データ!T194</f>
        <v>0</v>
      </c>
      <c r="X197" s="48">
        <f>IF($C197="集計行","",データ!U194)</f>
        <v>0</v>
      </c>
      <c r="Y197" s="48">
        <f>データ!V194</f>
        <v>0</v>
      </c>
      <c r="Z197" s="39" t="str">
        <f>IF(OR($C197="総括",$C197="内訳書",$C197="内訳代価",$C197="明細書",$C197="明細代価",$C197="代価表",$C197="単価表"),データ!W194,"")</f>
        <v/>
      </c>
      <c r="AA197" s="11" t="str">
        <f t="shared" ref="AA197:AA260" si="22">IF(OR(Z197="",W197=Z197),"","*")</f>
        <v/>
      </c>
      <c r="AB197" s="46" t="e">
        <f t="shared" ref="AB197:AB260" si="23">IF($A197&lt;=AB$1,Y197/Y$4,"")</f>
        <v>#DIV/0!</v>
      </c>
      <c r="AC197" s="40" t="str">
        <f>IF(データ!X194="","",データ!X194)</f>
        <v/>
      </c>
      <c r="AD197" s="41" t="str">
        <f>IF(データ!Y194="","",データ!Y194)</f>
        <v/>
      </c>
      <c r="AE197" s="47" t="str">
        <f>TRIM(データ!B194)</f>
        <v/>
      </c>
      <c r="AF197" s="43" t="str">
        <f>TRIM(データ!Z194)</f>
        <v/>
      </c>
    </row>
    <row r="198" spans="1:32" x14ac:dyDescent="0.15">
      <c r="A198" s="47">
        <f>データ!A195</f>
        <v>3</v>
      </c>
      <c r="B198" s="47" t="str">
        <f>TRIM(データ!C195)</f>
        <v/>
      </c>
      <c r="C198" s="47" t="str">
        <f>TRIM(データ!D195)</f>
        <v>機械費</v>
      </c>
      <c r="D198" s="36" t="str">
        <f>REPT("｜",$A198)&amp;TRIM(データ!E195)</f>
        <v>｜｜｜プレート</v>
      </c>
      <c r="E198" s="37" t="str">
        <f>TRIM(データ!F195)</f>
        <v/>
      </c>
      <c r="F198" s="38" t="str">
        <f>TRIM(データ!G195)</f>
        <v>台</v>
      </c>
      <c r="G198" s="50">
        <f>データ!H195</f>
        <v>1</v>
      </c>
      <c r="H198" s="48">
        <f>データ!I195</f>
        <v>1500</v>
      </c>
      <c r="I198" s="48">
        <f>データ!J195</f>
        <v>1500</v>
      </c>
      <c r="J198" s="39" t="str">
        <f>IF(OR($C198="総括",$C198="内訳書",$C198="内訳代価",$C198="明細書",$C198="明細代価",$C198="代価表",$C198="単価表"),データ!K195,"")</f>
        <v/>
      </c>
      <c r="K198" s="11" t="str">
        <f t="shared" si="18"/>
        <v/>
      </c>
      <c r="L198" s="46">
        <f t="shared" si="19"/>
        <v>2.1597339207809597E-5</v>
      </c>
      <c r="M198" s="40" t="str">
        <f>IF(データ!L195="","",データ!L195)</f>
        <v/>
      </c>
      <c r="N198" s="41" t="str">
        <f>IF(データ!M195="","",データ!M195)</f>
        <v/>
      </c>
      <c r="O198" s="42">
        <f>データ!N195</f>
        <v>0</v>
      </c>
      <c r="P198" s="48">
        <f>IF($C198="集計行","",データ!O195)</f>
        <v>0</v>
      </c>
      <c r="Q198" s="48">
        <f>データ!P195</f>
        <v>0</v>
      </c>
      <c r="R198" s="39" t="str">
        <f>IF(OR($C198="総括",$C198="内訳書",$C198="内訳代価",$C198="明細書",$C198="明細代価",$C198="代価表",$C198="単価表"),データ!Q195,"")</f>
        <v/>
      </c>
      <c r="S198" s="11" t="str">
        <f t="shared" si="20"/>
        <v/>
      </c>
      <c r="T198" s="46" t="e">
        <f t="shared" si="21"/>
        <v>#DIV/0!</v>
      </c>
      <c r="U198" s="40" t="str">
        <f>IF(データ!R195="","",データ!R195)</f>
        <v/>
      </c>
      <c r="V198" s="41" t="str">
        <f>IF(データ!S195="","",データ!S195)</f>
        <v/>
      </c>
      <c r="W198" s="42">
        <f>データ!T195</f>
        <v>0</v>
      </c>
      <c r="X198" s="48">
        <f>IF($C198="集計行","",データ!U195)</f>
        <v>0</v>
      </c>
      <c r="Y198" s="48">
        <f>データ!V195</f>
        <v>0</v>
      </c>
      <c r="Z198" s="39" t="str">
        <f>IF(OR($C198="総括",$C198="内訳書",$C198="内訳代価",$C198="明細書",$C198="明細代価",$C198="代価表",$C198="単価表"),データ!W195,"")</f>
        <v/>
      </c>
      <c r="AA198" s="11" t="str">
        <f t="shared" si="22"/>
        <v/>
      </c>
      <c r="AB198" s="46" t="e">
        <f t="shared" si="23"/>
        <v>#DIV/0!</v>
      </c>
      <c r="AC198" s="40" t="str">
        <f>IF(データ!X195="","",データ!X195)</f>
        <v/>
      </c>
      <c r="AD198" s="41" t="str">
        <f>IF(データ!Y195="","",データ!Y195)</f>
        <v/>
      </c>
      <c r="AE198" s="47" t="str">
        <f>TRIM(データ!B195)</f>
        <v/>
      </c>
      <c r="AF198" s="43" t="str">
        <f>TRIM(データ!Z195)</f>
        <v/>
      </c>
    </row>
    <row r="199" spans="1:32" x14ac:dyDescent="0.15">
      <c r="A199" s="47">
        <f>データ!A196</f>
        <v>3</v>
      </c>
      <c r="B199" s="47" t="str">
        <f>TRIM(データ!C196)</f>
        <v/>
      </c>
      <c r="C199" s="47" t="str">
        <f>TRIM(データ!D196)</f>
        <v>機械費</v>
      </c>
      <c r="D199" s="36" t="str">
        <f>REPT("｜",$A199)&amp;TRIM(データ!E196)</f>
        <v>｜｜｜ランマー</v>
      </c>
      <c r="E199" s="37" t="str">
        <f>TRIM(データ!F196)</f>
        <v/>
      </c>
      <c r="F199" s="38" t="str">
        <f>TRIM(データ!G196)</f>
        <v>台</v>
      </c>
      <c r="G199" s="50">
        <f>データ!H196</f>
        <v>1</v>
      </c>
      <c r="H199" s="48">
        <f>データ!I196</f>
        <v>1500</v>
      </c>
      <c r="I199" s="48">
        <f>データ!J196</f>
        <v>1500</v>
      </c>
      <c r="J199" s="39" t="str">
        <f>IF(OR($C199="総括",$C199="内訳書",$C199="内訳代価",$C199="明細書",$C199="明細代価",$C199="代価表",$C199="単価表"),データ!K196,"")</f>
        <v/>
      </c>
      <c r="K199" s="11" t="str">
        <f t="shared" si="18"/>
        <v/>
      </c>
      <c r="L199" s="46">
        <f t="shared" si="19"/>
        <v>2.1597339207809597E-5</v>
      </c>
      <c r="M199" s="40" t="str">
        <f>IF(データ!L196="","",データ!L196)</f>
        <v/>
      </c>
      <c r="N199" s="41" t="str">
        <f>IF(データ!M196="","",データ!M196)</f>
        <v/>
      </c>
      <c r="O199" s="42">
        <f>データ!N196</f>
        <v>0</v>
      </c>
      <c r="P199" s="48">
        <f>IF($C199="集計行","",データ!O196)</f>
        <v>0</v>
      </c>
      <c r="Q199" s="48">
        <f>データ!P196</f>
        <v>0</v>
      </c>
      <c r="R199" s="39" t="str">
        <f>IF(OR($C199="総括",$C199="内訳書",$C199="内訳代価",$C199="明細書",$C199="明細代価",$C199="代価表",$C199="単価表"),データ!Q196,"")</f>
        <v/>
      </c>
      <c r="S199" s="11" t="str">
        <f t="shared" si="20"/>
        <v/>
      </c>
      <c r="T199" s="46" t="e">
        <f t="shared" si="21"/>
        <v>#DIV/0!</v>
      </c>
      <c r="U199" s="40" t="str">
        <f>IF(データ!R196="","",データ!R196)</f>
        <v/>
      </c>
      <c r="V199" s="41" t="str">
        <f>IF(データ!S196="","",データ!S196)</f>
        <v/>
      </c>
      <c r="W199" s="42">
        <f>データ!T196</f>
        <v>0</v>
      </c>
      <c r="X199" s="48">
        <f>IF($C199="集計行","",データ!U196)</f>
        <v>0</v>
      </c>
      <c r="Y199" s="48">
        <f>データ!V196</f>
        <v>0</v>
      </c>
      <c r="Z199" s="39" t="str">
        <f>IF(OR($C199="総括",$C199="内訳書",$C199="内訳代価",$C199="明細書",$C199="明細代価",$C199="代価表",$C199="単価表"),データ!W196,"")</f>
        <v/>
      </c>
      <c r="AA199" s="11" t="str">
        <f t="shared" si="22"/>
        <v/>
      </c>
      <c r="AB199" s="46" t="e">
        <f t="shared" si="23"/>
        <v>#DIV/0!</v>
      </c>
      <c r="AC199" s="40" t="str">
        <f>IF(データ!X196="","",データ!X196)</f>
        <v/>
      </c>
      <c r="AD199" s="41" t="str">
        <f>IF(データ!Y196="","",データ!Y196)</f>
        <v/>
      </c>
      <c r="AE199" s="47" t="str">
        <f>TRIM(データ!B196)</f>
        <v/>
      </c>
      <c r="AF199" s="43" t="str">
        <f>TRIM(データ!Z196)</f>
        <v/>
      </c>
    </row>
    <row r="200" spans="1:32" x14ac:dyDescent="0.15">
      <c r="A200" s="47">
        <f>データ!A197</f>
        <v>3</v>
      </c>
      <c r="B200" s="47" t="str">
        <f>TRIM(データ!C197)</f>
        <v/>
      </c>
      <c r="C200" s="47" t="str">
        <f>TRIM(データ!D197)</f>
        <v>運搬費</v>
      </c>
      <c r="D200" s="36" t="str">
        <f>REPT("｜",$A200)&amp;TRIM(データ!E197)</f>
        <v>｜｜｜4tダンプ</v>
      </c>
      <c r="E200" s="37" t="str">
        <f>TRIM(データ!F197)</f>
        <v/>
      </c>
      <c r="F200" s="38" t="str">
        <f>TRIM(データ!G197)</f>
        <v>台</v>
      </c>
      <c r="G200" s="50">
        <f>データ!H197</f>
        <v>1</v>
      </c>
      <c r="H200" s="48">
        <f>データ!I197</f>
        <v>10000</v>
      </c>
      <c r="I200" s="48">
        <f>データ!J197</f>
        <v>10000</v>
      </c>
      <c r="J200" s="39" t="str">
        <f>IF(OR($C200="総括",$C200="内訳書",$C200="内訳代価",$C200="明細書",$C200="明細代価",$C200="代価表",$C200="単価表"),データ!K197,"")</f>
        <v/>
      </c>
      <c r="K200" s="11" t="str">
        <f t="shared" si="18"/>
        <v/>
      </c>
      <c r="L200" s="46">
        <f t="shared" si="19"/>
        <v>1.4398226138539731E-4</v>
      </c>
      <c r="M200" s="40" t="str">
        <f>IF(データ!L197="","",データ!L197)</f>
        <v/>
      </c>
      <c r="N200" s="41" t="str">
        <f>IF(データ!M197="","",データ!M197)</f>
        <v/>
      </c>
      <c r="O200" s="42">
        <f>データ!N197</f>
        <v>0</v>
      </c>
      <c r="P200" s="48">
        <f>IF($C200="集計行","",データ!O197)</f>
        <v>0</v>
      </c>
      <c r="Q200" s="48">
        <f>データ!P197</f>
        <v>0</v>
      </c>
      <c r="R200" s="39" t="str">
        <f>IF(OR($C200="総括",$C200="内訳書",$C200="内訳代価",$C200="明細書",$C200="明細代価",$C200="代価表",$C200="単価表"),データ!Q197,"")</f>
        <v/>
      </c>
      <c r="S200" s="11" t="str">
        <f t="shared" si="20"/>
        <v/>
      </c>
      <c r="T200" s="46" t="e">
        <f t="shared" si="21"/>
        <v>#DIV/0!</v>
      </c>
      <c r="U200" s="40" t="str">
        <f>IF(データ!R197="","",データ!R197)</f>
        <v/>
      </c>
      <c r="V200" s="41" t="str">
        <f>IF(データ!S197="","",データ!S197)</f>
        <v/>
      </c>
      <c r="W200" s="42">
        <f>データ!T197</f>
        <v>0</v>
      </c>
      <c r="X200" s="48">
        <f>IF($C200="集計行","",データ!U197)</f>
        <v>0</v>
      </c>
      <c r="Y200" s="48">
        <f>データ!V197</f>
        <v>0</v>
      </c>
      <c r="Z200" s="39" t="str">
        <f>IF(OR($C200="総括",$C200="内訳書",$C200="内訳代価",$C200="明細書",$C200="明細代価",$C200="代価表",$C200="単価表"),データ!W197,"")</f>
        <v/>
      </c>
      <c r="AA200" s="11" t="str">
        <f t="shared" si="22"/>
        <v/>
      </c>
      <c r="AB200" s="46" t="e">
        <f t="shared" si="23"/>
        <v>#DIV/0!</v>
      </c>
      <c r="AC200" s="40" t="str">
        <f>IF(データ!X197="","",データ!X197)</f>
        <v/>
      </c>
      <c r="AD200" s="41" t="str">
        <f>IF(データ!Y197="","",データ!Y197)</f>
        <v/>
      </c>
      <c r="AE200" s="47" t="str">
        <f>TRIM(データ!B197)</f>
        <v/>
      </c>
      <c r="AF200" s="43" t="str">
        <f>TRIM(データ!Z197)</f>
        <v/>
      </c>
    </row>
    <row r="201" spans="1:32" x14ac:dyDescent="0.15">
      <c r="A201" s="47">
        <f>データ!A198</f>
        <v>3</v>
      </c>
      <c r="B201" s="47" t="str">
        <f>TRIM(データ!C198)</f>
        <v/>
      </c>
      <c r="C201" s="47" t="str">
        <f>TRIM(データ!D198)</f>
        <v>運搬費</v>
      </c>
      <c r="D201" s="36" t="str">
        <f>REPT("｜",$A201)&amp;TRIM(データ!E198)</f>
        <v>｜｜｜2tダンプ</v>
      </c>
      <c r="E201" s="37" t="str">
        <f>TRIM(データ!F198)</f>
        <v/>
      </c>
      <c r="F201" s="38" t="str">
        <f>TRIM(データ!G198)</f>
        <v>台</v>
      </c>
      <c r="G201" s="50">
        <f>データ!H198</f>
        <v>1</v>
      </c>
      <c r="H201" s="48">
        <f>データ!I198</f>
        <v>7000</v>
      </c>
      <c r="I201" s="48">
        <f>データ!J198</f>
        <v>7000</v>
      </c>
      <c r="J201" s="39" t="str">
        <f>IF(OR($C201="総括",$C201="内訳書",$C201="内訳代価",$C201="明細書",$C201="明細代価",$C201="代価表",$C201="単価表"),データ!K198,"")</f>
        <v/>
      </c>
      <c r="K201" s="11" t="str">
        <f t="shared" si="18"/>
        <v/>
      </c>
      <c r="L201" s="46">
        <f t="shared" si="19"/>
        <v>1.0078758296977812E-4</v>
      </c>
      <c r="M201" s="40" t="str">
        <f>IF(データ!L198="","",データ!L198)</f>
        <v/>
      </c>
      <c r="N201" s="41" t="str">
        <f>IF(データ!M198="","",データ!M198)</f>
        <v/>
      </c>
      <c r="O201" s="42">
        <f>データ!N198</f>
        <v>0</v>
      </c>
      <c r="P201" s="48">
        <f>IF($C201="集計行","",データ!O198)</f>
        <v>0</v>
      </c>
      <c r="Q201" s="48">
        <f>データ!P198</f>
        <v>0</v>
      </c>
      <c r="R201" s="39" t="str">
        <f>IF(OR($C201="総括",$C201="内訳書",$C201="内訳代価",$C201="明細書",$C201="明細代価",$C201="代価表",$C201="単価表"),データ!Q198,"")</f>
        <v/>
      </c>
      <c r="S201" s="11" t="str">
        <f t="shared" si="20"/>
        <v/>
      </c>
      <c r="T201" s="46" t="e">
        <f t="shared" si="21"/>
        <v>#DIV/0!</v>
      </c>
      <c r="U201" s="40" t="str">
        <f>IF(データ!R198="","",データ!R198)</f>
        <v/>
      </c>
      <c r="V201" s="41" t="str">
        <f>IF(データ!S198="","",データ!S198)</f>
        <v/>
      </c>
      <c r="W201" s="42">
        <f>データ!T198</f>
        <v>0</v>
      </c>
      <c r="X201" s="48">
        <f>IF($C201="集計行","",データ!U198)</f>
        <v>0</v>
      </c>
      <c r="Y201" s="48">
        <f>データ!V198</f>
        <v>0</v>
      </c>
      <c r="Z201" s="39" t="str">
        <f>IF(OR($C201="総括",$C201="内訳書",$C201="内訳代価",$C201="明細書",$C201="明細代価",$C201="代価表",$C201="単価表"),データ!W198,"")</f>
        <v/>
      </c>
      <c r="AA201" s="11" t="str">
        <f t="shared" si="22"/>
        <v/>
      </c>
      <c r="AB201" s="46" t="e">
        <f t="shared" si="23"/>
        <v>#DIV/0!</v>
      </c>
      <c r="AC201" s="40" t="str">
        <f>IF(データ!X198="","",データ!X198)</f>
        <v/>
      </c>
      <c r="AD201" s="41" t="str">
        <f>IF(データ!Y198="","",データ!Y198)</f>
        <v/>
      </c>
      <c r="AE201" s="47" t="str">
        <f>TRIM(データ!B198)</f>
        <v/>
      </c>
      <c r="AF201" s="43" t="str">
        <f>TRIM(データ!Z198)</f>
        <v/>
      </c>
    </row>
    <row r="202" spans="1:32" x14ac:dyDescent="0.15">
      <c r="A202" s="47">
        <f>データ!A199</f>
        <v>3</v>
      </c>
      <c r="B202" s="47" t="str">
        <f>TRIM(データ!C199)</f>
        <v/>
      </c>
      <c r="C202" s="47" t="str">
        <f>TRIM(データ!D199)</f>
        <v>材料費</v>
      </c>
      <c r="D202" s="36" t="str">
        <f>REPT("｜",$A202)&amp;TRIM(データ!E199)</f>
        <v>｜｜｜軽油</v>
      </c>
      <c r="E202" s="37" t="str">
        <f>TRIM(データ!F199)</f>
        <v/>
      </c>
      <c r="F202" s="38" t="str">
        <f>TRIM(データ!G199)</f>
        <v>リットル</v>
      </c>
      <c r="G202" s="50">
        <f>データ!H199</f>
        <v>40</v>
      </c>
      <c r="H202" s="48">
        <f>データ!I199</f>
        <v>150</v>
      </c>
      <c r="I202" s="48">
        <f>データ!J199</f>
        <v>6000</v>
      </c>
      <c r="J202" s="39" t="str">
        <f>IF(OR($C202="総括",$C202="内訳書",$C202="内訳代価",$C202="明細書",$C202="明細代価",$C202="代価表",$C202="単価表"),データ!K199,"")</f>
        <v/>
      </c>
      <c r="K202" s="11" t="str">
        <f t="shared" si="18"/>
        <v/>
      </c>
      <c r="L202" s="46">
        <f t="shared" si="19"/>
        <v>8.6389356831238388E-5</v>
      </c>
      <c r="M202" s="40" t="str">
        <f>IF(データ!L199="","",データ!L199)</f>
        <v/>
      </c>
      <c r="N202" s="41" t="str">
        <f>IF(データ!M199="","",データ!M199)</f>
        <v/>
      </c>
      <c r="O202" s="42">
        <f>データ!N199</f>
        <v>0</v>
      </c>
      <c r="P202" s="48">
        <f>IF($C202="集計行","",データ!O199)</f>
        <v>0</v>
      </c>
      <c r="Q202" s="48">
        <f>データ!P199</f>
        <v>0</v>
      </c>
      <c r="R202" s="39" t="str">
        <f>IF(OR($C202="総括",$C202="内訳書",$C202="内訳代価",$C202="明細書",$C202="明細代価",$C202="代価表",$C202="単価表"),データ!Q199,"")</f>
        <v/>
      </c>
      <c r="S202" s="11" t="str">
        <f t="shared" si="20"/>
        <v/>
      </c>
      <c r="T202" s="46" t="e">
        <f t="shared" si="21"/>
        <v>#DIV/0!</v>
      </c>
      <c r="U202" s="40" t="str">
        <f>IF(データ!R199="","",データ!R199)</f>
        <v/>
      </c>
      <c r="V202" s="41" t="str">
        <f>IF(データ!S199="","",データ!S199)</f>
        <v/>
      </c>
      <c r="W202" s="42">
        <f>データ!T199</f>
        <v>0</v>
      </c>
      <c r="X202" s="48">
        <f>IF($C202="集計行","",データ!U199)</f>
        <v>0</v>
      </c>
      <c r="Y202" s="48">
        <f>データ!V199</f>
        <v>0</v>
      </c>
      <c r="Z202" s="39" t="str">
        <f>IF(OR($C202="総括",$C202="内訳書",$C202="内訳代価",$C202="明細書",$C202="明細代価",$C202="代価表",$C202="単価表"),データ!W199,"")</f>
        <v/>
      </c>
      <c r="AA202" s="11" t="str">
        <f t="shared" si="22"/>
        <v/>
      </c>
      <c r="AB202" s="46" t="e">
        <f t="shared" si="23"/>
        <v>#DIV/0!</v>
      </c>
      <c r="AC202" s="40" t="str">
        <f>IF(データ!X199="","",データ!X199)</f>
        <v/>
      </c>
      <c r="AD202" s="41" t="str">
        <f>IF(データ!Y199="","",データ!Y199)</f>
        <v/>
      </c>
      <c r="AE202" s="47" t="str">
        <f>TRIM(データ!B199)</f>
        <v/>
      </c>
      <c r="AF202" s="43" t="str">
        <f>TRIM(データ!Z199)</f>
        <v/>
      </c>
    </row>
    <row r="203" spans="1:32" x14ac:dyDescent="0.15">
      <c r="A203" s="47">
        <f>データ!A200</f>
        <v>3</v>
      </c>
      <c r="B203" s="47" t="str">
        <f>TRIM(データ!C200)</f>
        <v/>
      </c>
      <c r="C203" s="47" t="str">
        <f>TRIM(データ!D200)</f>
        <v>材料費</v>
      </c>
      <c r="D203" s="36" t="str">
        <f>REPT("｜",$A203)&amp;TRIM(データ!E200)</f>
        <v>｜｜｜ガソリン</v>
      </c>
      <c r="E203" s="37" t="str">
        <f>TRIM(データ!F200)</f>
        <v/>
      </c>
      <c r="F203" s="38" t="str">
        <f>TRIM(データ!G200)</f>
        <v>リットル</v>
      </c>
      <c r="G203" s="50">
        <f>データ!H200</f>
        <v>40</v>
      </c>
      <c r="H203" s="48">
        <f>データ!I200</f>
        <v>200</v>
      </c>
      <c r="I203" s="48">
        <f>データ!J200</f>
        <v>8000</v>
      </c>
      <c r="J203" s="39" t="str">
        <f>IF(OR($C203="総括",$C203="内訳書",$C203="内訳代価",$C203="明細書",$C203="明細代価",$C203="代価表",$C203="単価表"),データ!K200,"")</f>
        <v/>
      </c>
      <c r="K203" s="11" t="str">
        <f t="shared" si="18"/>
        <v/>
      </c>
      <c r="L203" s="46">
        <f t="shared" si="19"/>
        <v>1.1518580910831785E-4</v>
      </c>
      <c r="M203" s="40" t="str">
        <f>IF(データ!L200="","",データ!L200)</f>
        <v/>
      </c>
      <c r="N203" s="41" t="str">
        <f>IF(データ!M200="","",データ!M200)</f>
        <v/>
      </c>
      <c r="O203" s="42">
        <f>データ!N200</f>
        <v>0</v>
      </c>
      <c r="P203" s="48">
        <f>IF($C203="集計行","",データ!O200)</f>
        <v>0</v>
      </c>
      <c r="Q203" s="48">
        <f>データ!P200</f>
        <v>0</v>
      </c>
      <c r="R203" s="39" t="str">
        <f>IF(OR($C203="総括",$C203="内訳書",$C203="内訳代価",$C203="明細書",$C203="明細代価",$C203="代価表",$C203="単価表"),データ!Q200,"")</f>
        <v/>
      </c>
      <c r="S203" s="11" t="str">
        <f t="shared" si="20"/>
        <v/>
      </c>
      <c r="T203" s="46" t="e">
        <f t="shared" si="21"/>
        <v>#DIV/0!</v>
      </c>
      <c r="U203" s="40" t="str">
        <f>IF(データ!R200="","",データ!R200)</f>
        <v/>
      </c>
      <c r="V203" s="41" t="str">
        <f>IF(データ!S200="","",データ!S200)</f>
        <v/>
      </c>
      <c r="W203" s="42">
        <f>データ!T200</f>
        <v>0</v>
      </c>
      <c r="X203" s="48">
        <f>IF($C203="集計行","",データ!U200)</f>
        <v>0</v>
      </c>
      <c r="Y203" s="48">
        <f>データ!V200</f>
        <v>0</v>
      </c>
      <c r="Z203" s="39" t="str">
        <f>IF(OR($C203="総括",$C203="内訳書",$C203="内訳代価",$C203="明細書",$C203="明細代価",$C203="代価表",$C203="単価表"),データ!W200,"")</f>
        <v/>
      </c>
      <c r="AA203" s="11" t="str">
        <f t="shared" si="22"/>
        <v/>
      </c>
      <c r="AB203" s="46" t="e">
        <f t="shared" si="23"/>
        <v>#DIV/0!</v>
      </c>
      <c r="AC203" s="40" t="str">
        <f>IF(データ!X200="","",データ!X200)</f>
        <v/>
      </c>
      <c r="AD203" s="41" t="str">
        <f>IF(データ!Y200="","",データ!Y200)</f>
        <v/>
      </c>
      <c r="AE203" s="47" t="str">
        <f>TRIM(データ!B200)</f>
        <v/>
      </c>
      <c r="AF203" s="43" t="str">
        <f>TRIM(データ!Z200)</f>
        <v/>
      </c>
    </row>
    <row r="204" spans="1:32" x14ac:dyDescent="0.15">
      <c r="A204" s="47">
        <f>データ!A201</f>
        <v>3</v>
      </c>
      <c r="B204" s="47" t="str">
        <f>TRIM(データ!C201)</f>
        <v/>
      </c>
      <c r="C204" s="47" t="str">
        <f>TRIM(データ!D201)</f>
        <v>材料費</v>
      </c>
      <c r="D204" s="36" t="str">
        <f>REPT("｜",$A204)&amp;TRIM(データ!E201)</f>
        <v>｜｜｜雑材</v>
      </c>
      <c r="E204" s="37" t="str">
        <f>TRIM(データ!F201)</f>
        <v/>
      </c>
      <c r="F204" s="38" t="str">
        <f>TRIM(データ!G201)</f>
        <v>式</v>
      </c>
      <c r="G204" s="50">
        <f>データ!H201</f>
        <v>1</v>
      </c>
      <c r="H204" s="48">
        <f>データ!I201</f>
        <v>1850</v>
      </c>
      <c r="I204" s="48">
        <f>データ!J201</f>
        <v>1850</v>
      </c>
      <c r="J204" s="39" t="str">
        <f>IF(OR($C204="総括",$C204="内訳書",$C204="内訳代価",$C204="明細書",$C204="明細代価",$C204="代価表",$C204="単価表"),データ!K201,"")</f>
        <v/>
      </c>
      <c r="K204" s="11" t="str">
        <f t="shared" si="18"/>
        <v/>
      </c>
      <c r="L204" s="46">
        <f t="shared" si="19"/>
        <v>2.6636718356298505E-5</v>
      </c>
      <c r="M204" s="40" t="str">
        <f>IF(データ!L201="","",データ!L201)</f>
        <v/>
      </c>
      <c r="N204" s="41" t="str">
        <f>IF(データ!M201="","",データ!M201)</f>
        <v/>
      </c>
      <c r="O204" s="42">
        <f>データ!N201</f>
        <v>0</v>
      </c>
      <c r="P204" s="48">
        <f>IF($C204="集計行","",データ!O201)</f>
        <v>0</v>
      </c>
      <c r="Q204" s="48">
        <f>データ!P201</f>
        <v>0</v>
      </c>
      <c r="R204" s="39" t="str">
        <f>IF(OR($C204="総括",$C204="内訳書",$C204="内訳代価",$C204="明細書",$C204="明細代価",$C204="代価表",$C204="単価表"),データ!Q201,"")</f>
        <v/>
      </c>
      <c r="S204" s="11" t="str">
        <f t="shared" si="20"/>
        <v/>
      </c>
      <c r="T204" s="46" t="e">
        <f t="shared" si="21"/>
        <v>#DIV/0!</v>
      </c>
      <c r="U204" s="40" t="str">
        <f>IF(データ!R201="","",データ!R201)</f>
        <v/>
      </c>
      <c r="V204" s="41" t="str">
        <f>IF(データ!S201="","",データ!S201)</f>
        <v/>
      </c>
      <c r="W204" s="42">
        <f>データ!T201</f>
        <v>0</v>
      </c>
      <c r="X204" s="48">
        <f>IF($C204="集計行","",データ!U201)</f>
        <v>0</v>
      </c>
      <c r="Y204" s="48">
        <f>データ!V201</f>
        <v>0</v>
      </c>
      <c r="Z204" s="39" t="str">
        <f>IF(OR($C204="総括",$C204="内訳書",$C204="内訳代価",$C204="明細書",$C204="明細代価",$C204="代価表",$C204="単価表"),データ!W201,"")</f>
        <v/>
      </c>
      <c r="AA204" s="11" t="str">
        <f t="shared" si="22"/>
        <v/>
      </c>
      <c r="AB204" s="46" t="e">
        <f t="shared" si="23"/>
        <v>#DIV/0!</v>
      </c>
      <c r="AC204" s="40" t="str">
        <f>IF(データ!X201="","",データ!X201)</f>
        <v/>
      </c>
      <c r="AD204" s="41" t="str">
        <f>IF(データ!Y201="","",データ!Y201)</f>
        <v/>
      </c>
      <c r="AE204" s="47" t="str">
        <f>TRIM(データ!B201)</f>
        <v/>
      </c>
      <c r="AF204" s="43" t="str">
        <f>TRIM(データ!Z201)</f>
        <v/>
      </c>
    </row>
    <row r="205" spans="1:32" x14ac:dyDescent="0.15">
      <c r="A205" s="47">
        <f>データ!A202</f>
        <v>3</v>
      </c>
      <c r="B205" s="47" t="str">
        <f>TRIM(データ!C202)</f>
        <v/>
      </c>
      <c r="C205" s="47" t="str">
        <f>TRIM(データ!D202)</f>
        <v>外注費</v>
      </c>
      <c r="D205" s="36" t="str">
        <f>REPT("｜",$A205)&amp;TRIM(データ!E202)</f>
        <v>｜｜｜外注経費</v>
      </c>
      <c r="E205" s="37" t="str">
        <f>TRIM(データ!F202)</f>
        <v/>
      </c>
      <c r="F205" s="38" t="str">
        <f>TRIM(データ!G202)</f>
        <v>式</v>
      </c>
      <c r="G205" s="50">
        <f>データ!H202</f>
        <v>1</v>
      </c>
      <c r="H205" s="48">
        <f>データ!I202</f>
        <v>12600</v>
      </c>
      <c r="I205" s="48">
        <f>データ!J202</f>
        <v>12600</v>
      </c>
      <c r="J205" s="39" t="str">
        <f>IF(OR($C205="総括",$C205="内訳書",$C205="内訳代価",$C205="明細書",$C205="明細代価",$C205="代価表",$C205="単価表"),データ!K202,"")</f>
        <v/>
      </c>
      <c r="K205" s="11" t="str">
        <f t="shared" si="18"/>
        <v/>
      </c>
      <c r="L205" s="46">
        <f t="shared" si="19"/>
        <v>1.8141764934560063E-4</v>
      </c>
      <c r="M205" s="40" t="str">
        <f>IF(データ!L202="","",データ!L202)</f>
        <v/>
      </c>
      <c r="N205" s="41" t="str">
        <f>IF(データ!M202="","",データ!M202)</f>
        <v/>
      </c>
      <c r="O205" s="42">
        <f>データ!N202</f>
        <v>0</v>
      </c>
      <c r="P205" s="48">
        <f>IF($C205="集計行","",データ!O202)</f>
        <v>0</v>
      </c>
      <c r="Q205" s="48">
        <f>データ!P202</f>
        <v>0</v>
      </c>
      <c r="R205" s="39" t="str">
        <f>IF(OR($C205="総括",$C205="内訳書",$C205="内訳代価",$C205="明細書",$C205="明細代価",$C205="代価表",$C205="単価表"),データ!Q202,"")</f>
        <v/>
      </c>
      <c r="S205" s="11" t="str">
        <f t="shared" si="20"/>
        <v/>
      </c>
      <c r="T205" s="46" t="e">
        <f t="shared" si="21"/>
        <v>#DIV/0!</v>
      </c>
      <c r="U205" s="40" t="str">
        <f>IF(データ!R202="","",データ!R202)</f>
        <v/>
      </c>
      <c r="V205" s="41" t="str">
        <f>IF(データ!S202="","",データ!S202)</f>
        <v/>
      </c>
      <c r="W205" s="42">
        <f>データ!T202</f>
        <v>0</v>
      </c>
      <c r="X205" s="48">
        <f>IF($C205="集計行","",データ!U202)</f>
        <v>0</v>
      </c>
      <c r="Y205" s="48">
        <f>データ!V202</f>
        <v>0</v>
      </c>
      <c r="Z205" s="39" t="str">
        <f>IF(OR($C205="総括",$C205="内訳書",$C205="内訳代価",$C205="明細書",$C205="明細代価",$C205="代価表",$C205="単価表"),データ!W202,"")</f>
        <v/>
      </c>
      <c r="AA205" s="11" t="str">
        <f t="shared" si="22"/>
        <v/>
      </c>
      <c r="AB205" s="46" t="e">
        <f t="shared" si="23"/>
        <v>#DIV/0!</v>
      </c>
      <c r="AC205" s="40" t="str">
        <f>IF(データ!X202="","",データ!X202)</f>
        <v/>
      </c>
      <c r="AD205" s="41" t="str">
        <f>IF(データ!Y202="","",データ!Y202)</f>
        <v/>
      </c>
      <c r="AE205" s="47" t="str">
        <f>TRIM(データ!B202)</f>
        <v/>
      </c>
      <c r="AF205" s="43" t="str">
        <f>TRIM(データ!Z202)</f>
        <v/>
      </c>
    </row>
    <row r="206" spans="1:32" x14ac:dyDescent="0.15">
      <c r="A206" s="47">
        <f>データ!A203</f>
        <v>2</v>
      </c>
      <c r="B206" s="47" t="str">
        <f>TRIM(データ!C203)</f>
        <v/>
      </c>
      <c r="C206" s="47" t="str">
        <f>TRIM(データ!D203)</f>
        <v>内訳書</v>
      </c>
      <c r="D206" s="36" t="str">
        <f>REPT("｜",$A206)&amp;TRIM(データ!E203)</f>
        <v>｜｜PU側溝　250×250</v>
      </c>
      <c r="E206" s="37" t="str">
        <f>TRIM(データ!F203)</f>
        <v/>
      </c>
      <c r="F206" s="38" t="str">
        <f>TRIM(データ!G203)</f>
        <v>ｍ</v>
      </c>
      <c r="G206" s="50">
        <f>データ!H203</f>
        <v>17.2</v>
      </c>
      <c r="H206" s="48">
        <f>データ!I203</f>
        <v>45000</v>
      </c>
      <c r="I206" s="48">
        <f>データ!J203</f>
        <v>774000</v>
      </c>
      <c r="J206" s="39">
        <f>IF(OR($C206="総括",$C206="内訳書",$C206="内訳代価",$C206="明細書",$C206="明細代価",$C206="代価表",$C206="単価表"),データ!K203,"")</f>
        <v>17.2</v>
      </c>
      <c r="K206" s="11" t="str">
        <f t="shared" si="18"/>
        <v/>
      </c>
      <c r="L206" s="46">
        <f t="shared" si="19"/>
        <v>1.1144227031229753E-2</v>
      </c>
      <c r="M206" s="40" t="str">
        <f>IF(データ!L203="","",データ!L203)</f>
        <v/>
      </c>
      <c r="N206" s="41" t="str">
        <f>IF(データ!M203="","",データ!M203)</f>
        <v>39号内訳書</v>
      </c>
      <c r="O206" s="42">
        <f>データ!N203</f>
        <v>0</v>
      </c>
      <c r="P206" s="48">
        <f>IF($C206="集計行","",データ!O203)</f>
        <v>0</v>
      </c>
      <c r="Q206" s="48">
        <f>データ!P203</f>
        <v>0</v>
      </c>
      <c r="R206" s="39">
        <f>IF(OR($C206="総括",$C206="内訳書",$C206="内訳代価",$C206="明細書",$C206="明細代価",$C206="代価表",$C206="単価表"),データ!Q203,"")</f>
        <v>0</v>
      </c>
      <c r="S206" s="11" t="str">
        <f t="shared" si="20"/>
        <v/>
      </c>
      <c r="T206" s="46" t="e">
        <f t="shared" si="21"/>
        <v>#DIV/0!</v>
      </c>
      <c r="U206" s="40" t="str">
        <f>IF(データ!R203="","",データ!R203)</f>
        <v/>
      </c>
      <c r="V206" s="41" t="str">
        <f>IF(データ!S203="","",データ!S203)</f>
        <v/>
      </c>
      <c r="W206" s="42">
        <f>データ!T203</f>
        <v>0</v>
      </c>
      <c r="X206" s="48">
        <f>IF($C206="集計行","",データ!U203)</f>
        <v>0</v>
      </c>
      <c r="Y206" s="48">
        <f>データ!V203</f>
        <v>0</v>
      </c>
      <c r="Z206" s="39">
        <f>IF(OR($C206="総括",$C206="内訳書",$C206="内訳代価",$C206="明細書",$C206="明細代価",$C206="代価表",$C206="単価表"),データ!W203,"")</f>
        <v>0</v>
      </c>
      <c r="AA206" s="11" t="str">
        <f t="shared" si="22"/>
        <v/>
      </c>
      <c r="AB206" s="46" t="e">
        <f t="shared" si="23"/>
        <v>#DIV/0!</v>
      </c>
      <c r="AC206" s="40" t="str">
        <f>IF(データ!X203="","",データ!X203)</f>
        <v/>
      </c>
      <c r="AD206" s="41" t="str">
        <f>IF(データ!Y203="","",データ!Y203)</f>
        <v/>
      </c>
      <c r="AE206" s="47" t="str">
        <f>TRIM(データ!B203)</f>
        <v/>
      </c>
      <c r="AF206" s="43" t="str">
        <f>TRIM(データ!Z203)</f>
        <v/>
      </c>
    </row>
    <row r="207" spans="1:32" x14ac:dyDescent="0.15">
      <c r="A207" s="47">
        <f>データ!A204</f>
        <v>3</v>
      </c>
      <c r="B207" s="47" t="str">
        <f>TRIM(データ!C204)</f>
        <v/>
      </c>
      <c r="C207" s="47" t="str">
        <f>TRIM(データ!D204)</f>
        <v>材料費</v>
      </c>
      <c r="D207" s="36" t="str">
        <f>REPT("｜",$A207)&amp;TRIM(データ!E204)</f>
        <v>｜｜｜PU側溝　250×250×L2000</v>
      </c>
      <c r="E207" s="37" t="str">
        <f>TRIM(データ!F204)</f>
        <v/>
      </c>
      <c r="F207" s="38" t="str">
        <f>TRIM(データ!G204)</f>
        <v>本</v>
      </c>
      <c r="G207" s="50">
        <f>データ!H204</f>
        <v>9</v>
      </c>
      <c r="H207" s="48">
        <f>データ!I204</f>
        <v>9800</v>
      </c>
      <c r="I207" s="48">
        <f>データ!J204</f>
        <v>88200</v>
      </c>
      <c r="J207" s="39" t="str">
        <f>IF(OR($C207="総括",$C207="内訳書",$C207="内訳代価",$C207="明細書",$C207="明細代価",$C207="代価表",$C207="単価表"),データ!K204,"")</f>
        <v/>
      </c>
      <c r="K207" s="11" t="str">
        <f t="shared" si="18"/>
        <v/>
      </c>
      <c r="L207" s="46">
        <f t="shared" si="19"/>
        <v>1.2699235454192044E-3</v>
      </c>
      <c r="M207" s="40" t="str">
        <f>IF(データ!L204="","",データ!L204)</f>
        <v/>
      </c>
      <c r="N207" s="41" t="str">
        <f>IF(データ!M204="","",データ!M204)</f>
        <v/>
      </c>
      <c r="O207" s="42">
        <f>データ!N204</f>
        <v>0</v>
      </c>
      <c r="P207" s="48">
        <f>IF($C207="集計行","",データ!O204)</f>
        <v>0</v>
      </c>
      <c r="Q207" s="48">
        <f>データ!P204</f>
        <v>0</v>
      </c>
      <c r="R207" s="39" t="str">
        <f>IF(OR($C207="総括",$C207="内訳書",$C207="内訳代価",$C207="明細書",$C207="明細代価",$C207="代価表",$C207="単価表"),データ!Q204,"")</f>
        <v/>
      </c>
      <c r="S207" s="11" t="str">
        <f t="shared" si="20"/>
        <v/>
      </c>
      <c r="T207" s="46" t="e">
        <f t="shared" si="21"/>
        <v>#DIV/0!</v>
      </c>
      <c r="U207" s="40" t="str">
        <f>IF(データ!R204="","",データ!R204)</f>
        <v/>
      </c>
      <c r="V207" s="41" t="str">
        <f>IF(データ!S204="","",データ!S204)</f>
        <v/>
      </c>
      <c r="W207" s="42">
        <f>データ!T204</f>
        <v>0</v>
      </c>
      <c r="X207" s="48">
        <f>IF($C207="集計行","",データ!U204)</f>
        <v>0</v>
      </c>
      <c r="Y207" s="48">
        <f>データ!V204</f>
        <v>0</v>
      </c>
      <c r="Z207" s="39" t="str">
        <f>IF(OR($C207="総括",$C207="内訳書",$C207="内訳代価",$C207="明細書",$C207="明細代価",$C207="代価表",$C207="単価表"),データ!W204,"")</f>
        <v/>
      </c>
      <c r="AA207" s="11" t="str">
        <f t="shared" si="22"/>
        <v/>
      </c>
      <c r="AB207" s="46" t="e">
        <f t="shared" si="23"/>
        <v>#DIV/0!</v>
      </c>
      <c r="AC207" s="40" t="str">
        <f>IF(データ!X204="","",データ!X204)</f>
        <v/>
      </c>
      <c r="AD207" s="41" t="str">
        <f>IF(データ!Y204="","",データ!Y204)</f>
        <v/>
      </c>
      <c r="AE207" s="47" t="str">
        <f>TRIM(データ!B204)</f>
        <v/>
      </c>
      <c r="AF207" s="43" t="str">
        <f>TRIM(データ!Z204)</f>
        <v/>
      </c>
    </row>
    <row r="208" spans="1:32" x14ac:dyDescent="0.15">
      <c r="A208" s="47">
        <f>データ!A205</f>
        <v>3</v>
      </c>
      <c r="B208" s="47" t="str">
        <f>TRIM(データ!C205)</f>
        <v/>
      </c>
      <c r="C208" s="47" t="str">
        <f>TRIM(データ!D205)</f>
        <v>材料費</v>
      </c>
      <c r="D208" s="36" t="str">
        <f>REPT("｜",$A208)&amp;TRIM(データ!E205)</f>
        <v>｜｜｜グレーチング蓋　T-25</v>
      </c>
      <c r="E208" s="37" t="str">
        <f>TRIM(データ!F205)</f>
        <v>L=995</v>
      </c>
      <c r="F208" s="38" t="str">
        <f>TRIM(データ!G205)</f>
        <v>枚</v>
      </c>
      <c r="G208" s="50">
        <f>データ!H205</f>
        <v>18</v>
      </c>
      <c r="H208" s="48">
        <f>データ!I205</f>
        <v>19870</v>
      </c>
      <c r="I208" s="48">
        <f>データ!J205</f>
        <v>357660</v>
      </c>
      <c r="J208" s="39" t="str">
        <f>IF(OR($C208="総括",$C208="内訳書",$C208="内訳代価",$C208="明細書",$C208="明細代価",$C208="代価表",$C208="単価表"),データ!K205,"")</f>
        <v/>
      </c>
      <c r="K208" s="11" t="str">
        <f t="shared" si="18"/>
        <v/>
      </c>
      <c r="L208" s="46">
        <f t="shared" si="19"/>
        <v>5.1496695607101206E-3</v>
      </c>
      <c r="M208" s="40" t="str">
        <f>IF(データ!L205="","",データ!L205)</f>
        <v/>
      </c>
      <c r="N208" s="41" t="str">
        <f>IF(データ!M205="","",データ!M205)</f>
        <v/>
      </c>
      <c r="O208" s="42">
        <f>データ!N205</f>
        <v>0</v>
      </c>
      <c r="P208" s="48">
        <f>IF($C208="集計行","",データ!O205)</f>
        <v>0</v>
      </c>
      <c r="Q208" s="48">
        <f>データ!P205</f>
        <v>0</v>
      </c>
      <c r="R208" s="39" t="str">
        <f>IF(OR($C208="総括",$C208="内訳書",$C208="内訳代価",$C208="明細書",$C208="明細代価",$C208="代価表",$C208="単価表"),データ!Q205,"")</f>
        <v/>
      </c>
      <c r="S208" s="11" t="str">
        <f t="shared" si="20"/>
        <v/>
      </c>
      <c r="T208" s="46" t="e">
        <f t="shared" si="21"/>
        <v>#DIV/0!</v>
      </c>
      <c r="U208" s="40" t="str">
        <f>IF(データ!R205="","",データ!R205)</f>
        <v/>
      </c>
      <c r="V208" s="41" t="str">
        <f>IF(データ!S205="","",データ!S205)</f>
        <v/>
      </c>
      <c r="W208" s="42">
        <f>データ!T205</f>
        <v>0</v>
      </c>
      <c r="X208" s="48">
        <f>IF($C208="集計行","",データ!U205)</f>
        <v>0</v>
      </c>
      <c r="Y208" s="48">
        <f>データ!V205</f>
        <v>0</v>
      </c>
      <c r="Z208" s="39" t="str">
        <f>IF(OR($C208="総括",$C208="内訳書",$C208="内訳代価",$C208="明細書",$C208="明細代価",$C208="代価表",$C208="単価表"),データ!W205,"")</f>
        <v/>
      </c>
      <c r="AA208" s="11" t="str">
        <f t="shared" si="22"/>
        <v/>
      </c>
      <c r="AB208" s="46" t="e">
        <f t="shared" si="23"/>
        <v>#DIV/0!</v>
      </c>
      <c r="AC208" s="40" t="str">
        <f>IF(データ!X205="","",データ!X205)</f>
        <v/>
      </c>
      <c r="AD208" s="41" t="str">
        <f>IF(データ!Y205="","",データ!Y205)</f>
        <v/>
      </c>
      <c r="AE208" s="47" t="str">
        <f>TRIM(データ!B205)</f>
        <v/>
      </c>
      <c r="AF208" s="43" t="str">
        <f>TRIM(データ!Z205)</f>
        <v/>
      </c>
    </row>
    <row r="209" spans="1:32" x14ac:dyDescent="0.15">
      <c r="A209" s="47">
        <f>データ!A206</f>
        <v>3</v>
      </c>
      <c r="B209" s="47" t="str">
        <f>TRIM(データ!C206)</f>
        <v/>
      </c>
      <c r="C209" s="47" t="str">
        <f>TRIM(データ!D206)</f>
        <v>材料費</v>
      </c>
      <c r="D209" s="36" t="str">
        <f>REPT("｜",$A209)&amp;TRIM(データ!E206)</f>
        <v>｜｜｜生コン</v>
      </c>
      <c r="E209" s="37" t="str">
        <f>TRIM(データ!F206)</f>
        <v/>
      </c>
      <c r="F209" s="38" t="str">
        <f>TRIM(データ!G206)</f>
        <v>m3</v>
      </c>
      <c r="G209" s="50">
        <f>データ!H206</f>
        <v>1</v>
      </c>
      <c r="H209" s="48">
        <f>データ!I206</f>
        <v>30000</v>
      </c>
      <c r="I209" s="48">
        <f>データ!J206</f>
        <v>30000</v>
      </c>
      <c r="J209" s="39" t="str">
        <f>IF(OR($C209="総括",$C209="内訳書",$C209="内訳代価",$C209="明細書",$C209="明細代価",$C209="代価表",$C209="単価表"),データ!K206,"")</f>
        <v/>
      </c>
      <c r="K209" s="11" t="str">
        <f t="shared" si="18"/>
        <v/>
      </c>
      <c r="L209" s="46">
        <f t="shared" si="19"/>
        <v>4.3194678415619197E-4</v>
      </c>
      <c r="M209" s="40" t="str">
        <f>IF(データ!L206="","",データ!L206)</f>
        <v/>
      </c>
      <c r="N209" s="41" t="str">
        <f>IF(データ!M206="","",データ!M206)</f>
        <v/>
      </c>
      <c r="O209" s="42">
        <f>データ!N206</f>
        <v>0</v>
      </c>
      <c r="P209" s="48">
        <f>IF($C209="集計行","",データ!O206)</f>
        <v>0</v>
      </c>
      <c r="Q209" s="48">
        <f>データ!P206</f>
        <v>0</v>
      </c>
      <c r="R209" s="39" t="str">
        <f>IF(OR($C209="総括",$C209="内訳書",$C209="内訳代価",$C209="明細書",$C209="明細代価",$C209="代価表",$C209="単価表"),データ!Q206,"")</f>
        <v/>
      </c>
      <c r="S209" s="11" t="str">
        <f t="shared" si="20"/>
        <v/>
      </c>
      <c r="T209" s="46" t="e">
        <f t="shared" si="21"/>
        <v>#DIV/0!</v>
      </c>
      <c r="U209" s="40" t="str">
        <f>IF(データ!R206="","",データ!R206)</f>
        <v/>
      </c>
      <c r="V209" s="41" t="str">
        <f>IF(データ!S206="","",データ!S206)</f>
        <v/>
      </c>
      <c r="W209" s="42">
        <f>データ!T206</f>
        <v>0</v>
      </c>
      <c r="X209" s="48">
        <f>IF($C209="集計行","",データ!U206)</f>
        <v>0</v>
      </c>
      <c r="Y209" s="48">
        <f>データ!V206</f>
        <v>0</v>
      </c>
      <c r="Z209" s="39" t="str">
        <f>IF(OR($C209="総括",$C209="内訳書",$C209="内訳代価",$C209="明細書",$C209="明細代価",$C209="代価表",$C209="単価表"),データ!W206,"")</f>
        <v/>
      </c>
      <c r="AA209" s="11" t="str">
        <f t="shared" si="22"/>
        <v/>
      </c>
      <c r="AB209" s="46" t="e">
        <f t="shared" si="23"/>
        <v>#DIV/0!</v>
      </c>
      <c r="AC209" s="40" t="str">
        <f>IF(データ!X206="","",データ!X206)</f>
        <v/>
      </c>
      <c r="AD209" s="41" t="str">
        <f>IF(データ!Y206="","",データ!Y206)</f>
        <v/>
      </c>
      <c r="AE209" s="47" t="str">
        <f>TRIM(データ!B206)</f>
        <v/>
      </c>
      <c r="AF209" s="43" t="str">
        <f>TRIM(データ!Z206)</f>
        <v/>
      </c>
    </row>
    <row r="210" spans="1:32" x14ac:dyDescent="0.15">
      <c r="A210" s="47">
        <f>データ!A207</f>
        <v>3</v>
      </c>
      <c r="B210" s="47" t="str">
        <f>TRIM(データ!C207)</f>
        <v/>
      </c>
      <c r="C210" s="47" t="str">
        <f>TRIM(データ!D207)</f>
        <v>労務費</v>
      </c>
      <c r="D210" s="36" t="str">
        <f>REPT("｜",$A210)&amp;TRIM(データ!E207)</f>
        <v>｜｜｜技工</v>
      </c>
      <c r="E210" s="37" t="str">
        <f>TRIM(データ!F207)</f>
        <v/>
      </c>
      <c r="F210" s="38" t="str">
        <f>TRIM(データ!G207)</f>
        <v>人</v>
      </c>
      <c r="G210" s="50">
        <f>データ!H207</f>
        <v>6</v>
      </c>
      <c r="H210" s="48">
        <f>データ!I207</f>
        <v>28000</v>
      </c>
      <c r="I210" s="48">
        <f>データ!J207</f>
        <v>168000</v>
      </c>
      <c r="J210" s="39" t="str">
        <f>IF(OR($C210="総括",$C210="内訳書",$C210="内訳代価",$C210="明細書",$C210="明細代価",$C210="代価表",$C210="単価表"),データ!K207,"")</f>
        <v/>
      </c>
      <c r="K210" s="11" t="str">
        <f t="shared" si="18"/>
        <v/>
      </c>
      <c r="L210" s="46">
        <f t="shared" si="19"/>
        <v>2.418901991274675E-3</v>
      </c>
      <c r="M210" s="40" t="str">
        <f>IF(データ!L207="","",データ!L207)</f>
        <v/>
      </c>
      <c r="N210" s="41" t="str">
        <f>IF(データ!M207="","",データ!M207)</f>
        <v/>
      </c>
      <c r="O210" s="42">
        <f>データ!N207</f>
        <v>0</v>
      </c>
      <c r="P210" s="48">
        <f>IF($C210="集計行","",データ!O207)</f>
        <v>0</v>
      </c>
      <c r="Q210" s="48">
        <f>データ!P207</f>
        <v>0</v>
      </c>
      <c r="R210" s="39" t="str">
        <f>IF(OR($C210="総括",$C210="内訳書",$C210="内訳代価",$C210="明細書",$C210="明細代価",$C210="代価表",$C210="単価表"),データ!Q207,"")</f>
        <v/>
      </c>
      <c r="S210" s="11" t="str">
        <f t="shared" si="20"/>
        <v/>
      </c>
      <c r="T210" s="46" t="e">
        <f t="shared" si="21"/>
        <v>#DIV/0!</v>
      </c>
      <c r="U210" s="40" t="str">
        <f>IF(データ!R207="","",データ!R207)</f>
        <v/>
      </c>
      <c r="V210" s="41" t="str">
        <f>IF(データ!S207="","",データ!S207)</f>
        <v/>
      </c>
      <c r="W210" s="42">
        <f>データ!T207</f>
        <v>0</v>
      </c>
      <c r="X210" s="48">
        <f>IF($C210="集計行","",データ!U207)</f>
        <v>0</v>
      </c>
      <c r="Y210" s="48">
        <f>データ!V207</f>
        <v>0</v>
      </c>
      <c r="Z210" s="39" t="str">
        <f>IF(OR($C210="総括",$C210="内訳書",$C210="内訳代価",$C210="明細書",$C210="明細代価",$C210="代価表",$C210="単価表"),データ!W207,"")</f>
        <v/>
      </c>
      <c r="AA210" s="11" t="str">
        <f t="shared" si="22"/>
        <v/>
      </c>
      <c r="AB210" s="46" t="e">
        <f t="shared" si="23"/>
        <v>#DIV/0!</v>
      </c>
      <c r="AC210" s="40" t="str">
        <f>IF(データ!X207="","",データ!X207)</f>
        <v/>
      </c>
      <c r="AD210" s="41" t="str">
        <f>IF(データ!Y207="","",データ!Y207)</f>
        <v/>
      </c>
      <c r="AE210" s="47" t="str">
        <f>TRIM(データ!B207)</f>
        <v/>
      </c>
      <c r="AF210" s="43" t="str">
        <f>TRIM(データ!Z207)</f>
        <v/>
      </c>
    </row>
    <row r="211" spans="1:32" x14ac:dyDescent="0.15">
      <c r="A211" s="47">
        <f>データ!A208</f>
        <v>3</v>
      </c>
      <c r="B211" s="47" t="str">
        <f>TRIM(データ!C208)</f>
        <v/>
      </c>
      <c r="C211" s="47" t="str">
        <f>TRIM(データ!D208)</f>
        <v>機械費</v>
      </c>
      <c r="D211" s="36" t="str">
        <f>REPT("｜",$A211)&amp;TRIM(データ!E208)</f>
        <v>｜｜｜BH0.15</v>
      </c>
      <c r="E211" s="37" t="str">
        <f>TRIM(データ!F208)</f>
        <v/>
      </c>
      <c r="F211" s="38" t="str">
        <f>TRIM(データ!G208)</f>
        <v>台</v>
      </c>
      <c r="G211" s="50">
        <f>データ!H208</f>
        <v>2</v>
      </c>
      <c r="H211" s="48">
        <f>データ!I208</f>
        <v>8000</v>
      </c>
      <c r="I211" s="48">
        <f>データ!J208</f>
        <v>16000</v>
      </c>
      <c r="J211" s="39" t="str">
        <f>IF(OR($C211="総括",$C211="内訳書",$C211="内訳代価",$C211="明細書",$C211="明細代価",$C211="代価表",$C211="単価表"),データ!K208,"")</f>
        <v/>
      </c>
      <c r="K211" s="11" t="str">
        <f t="shared" si="18"/>
        <v/>
      </c>
      <c r="L211" s="46">
        <f t="shared" si="19"/>
        <v>2.303716182166357E-4</v>
      </c>
      <c r="M211" s="40" t="str">
        <f>IF(データ!L208="","",データ!L208)</f>
        <v/>
      </c>
      <c r="N211" s="41" t="str">
        <f>IF(データ!M208="","",データ!M208)</f>
        <v/>
      </c>
      <c r="O211" s="42">
        <f>データ!N208</f>
        <v>0</v>
      </c>
      <c r="P211" s="48">
        <f>IF($C211="集計行","",データ!O208)</f>
        <v>0</v>
      </c>
      <c r="Q211" s="48">
        <f>データ!P208</f>
        <v>0</v>
      </c>
      <c r="R211" s="39" t="str">
        <f>IF(OR($C211="総括",$C211="内訳書",$C211="内訳代価",$C211="明細書",$C211="明細代価",$C211="代価表",$C211="単価表"),データ!Q208,"")</f>
        <v/>
      </c>
      <c r="S211" s="11" t="str">
        <f t="shared" si="20"/>
        <v/>
      </c>
      <c r="T211" s="46" t="e">
        <f t="shared" si="21"/>
        <v>#DIV/0!</v>
      </c>
      <c r="U211" s="40" t="str">
        <f>IF(データ!R208="","",データ!R208)</f>
        <v/>
      </c>
      <c r="V211" s="41" t="str">
        <f>IF(データ!S208="","",データ!S208)</f>
        <v/>
      </c>
      <c r="W211" s="42">
        <f>データ!T208</f>
        <v>0</v>
      </c>
      <c r="X211" s="48">
        <f>IF($C211="集計行","",データ!U208)</f>
        <v>0</v>
      </c>
      <c r="Y211" s="48">
        <f>データ!V208</f>
        <v>0</v>
      </c>
      <c r="Z211" s="39" t="str">
        <f>IF(OR($C211="総括",$C211="内訳書",$C211="内訳代価",$C211="明細書",$C211="明細代価",$C211="代価表",$C211="単価表"),データ!W208,"")</f>
        <v/>
      </c>
      <c r="AA211" s="11" t="str">
        <f t="shared" si="22"/>
        <v/>
      </c>
      <c r="AB211" s="46" t="e">
        <f t="shared" si="23"/>
        <v>#DIV/0!</v>
      </c>
      <c r="AC211" s="40" t="str">
        <f>IF(データ!X208="","",データ!X208)</f>
        <v/>
      </c>
      <c r="AD211" s="41" t="str">
        <f>IF(データ!Y208="","",データ!Y208)</f>
        <v/>
      </c>
      <c r="AE211" s="47" t="str">
        <f>TRIM(データ!B208)</f>
        <v/>
      </c>
      <c r="AF211" s="43" t="str">
        <f>TRIM(データ!Z208)</f>
        <v/>
      </c>
    </row>
    <row r="212" spans="1:32" x14ac:dyDescent="0.15">
      <c r="A212" s="47">
        <f>データ!A209</f>
        <v>3</v>
      </c>
      <c r="B212" s="47" t="str">
        <f>TRIM(データ!C209)</f>
        <v/>
      </c>
      <c r="C212" s="47" t="str">
        <f>TRIM(データ!D209)</f>
        <v>機械費</v>
      </c>
      <c r="D212" s="36" t="str">
        <f>REPT("｜",$A212)&amp;TRIM(データ!E209)</f>
        <v>｜｜｜プレート</v>
      </c>
      <c r="E212" s="37" t="str">
        <f>TRIM(データ!F209)</f>
        <v/>
      </c>
      <c r="F212" s="38" t="str">
        <f>TRIM(データ!G209)</f>
        <v>台</v>
      </c>
      <c r="G212" s="50">
        <f>データ!H209</f>
        <v>2</v>
      </c>
      <c r="H212" s="48">
        <f>データ!I209</f>
        <v>1500</v>
      </c>
      <c r="I212" s="48">
        <f>データ!J209</f>
        <v>3000</v>
      </c>
      <c r="J212" s="39" t="str">
        <f>IF(OR($C212="総括",$C212="内訳書",$C212="内訳代価",$C212="明細書",$C212="明細代価",$C212="代価表",$C212="単価表"),データ!K209,"")</f>
        <v/>
      </c>
      <c r="K212" s="11" t="str">
        <f t="shared" si="18"/>
        <v/>
      </c>
      <c r="L212" s="46">
        <f t="shared" si="19"/>
        <v>4.3194678415619194E-5</v>
      </c>
      <c r="M212" s="40" t="str">
        <f>IF(データ!L209="","",データ!L209)</f>
        <v/>
      </c>
      <c r="N212" s="41" t="str">
        <f>IF(データ!M209="","",データ!M209)</f>
        <v/>
      </c>
      <c r="O212" s="42">
        <f>データ!N209</f>
        <v>0</v>
      </c>
      <c r="P212" s="48">
        <f>IF($C212="集計行","",データ!O209)</f>
        <v>0</v>
      </c>
      <c r="Q212" s="48">
        <f>データ!P209</f>
        <v>0</v>
      </c>
      <c r="R212" s="39" t="str">
        <f>IF(OR($C212="総括",$C212="内訳書",$C212="内訳代価",$C212="明細書",$C212="明細代価",$C212="代価表",$C212="単価表"),データ!Q209,"")</f>
        <v/>
      </c>
      <c r="S212" s="11" t="str">
        <f t="shared" si="20"/>
        <v/>
      </c>
      <c r="T212" s="46" t="e">
        <f t="shared" si="21"/>
        <v>#DIV/0!</v>
      </c>
      <c r="U212" s="40" t="str">
        <f>IF(データ!R209="","",データ!R209)</f>
        <v/>
      </c>
      <c r="V212" s="41" t="str">
        <f>IF(データ!S209="","",データ!S209)</f>
        <v/>
      </c>
      <c r="W212" s="42">
        <f>データ!T209</f>
        <v>0</v>
      </c>
      <c r="X212" s="48">
        <f>IF($C212="集計行","",データ!U209)</f>
        <v>0</v>
      </c>
      <c r="Y212" s="48">
        <f>データ!V209</f>
        <v>0</v>
      </c>
      <c r="Z212" s="39" t="str">
        <f>IF(OR($C212="総括",$C212="内訳書",$C212="内訳代価",$C212="明細書",$C212="明細代価",$C212="代価表",$C212="単価表"),データ!W209,"")</f>
        <v/>
      </c>
      <c r="AA212" s="11" t="str">
        <f t="shared" si="22"/>
        <v/>
      </c>
      <c r="AB212" s="46" t="e">
        <f t="shared" si="23"/>
        <v>#DIV/0!</v>
      </c>
      <c r="AC212" s="40" t="str">
        <f>IF(データ!X209="","",データ!X209)</f>
        <v/>
      </c>
      <c r="AD212" s="41" t="str">
        <f>IF(データ!Y209="","",データ!Y209)</f>
        <v/>
      </c>
      <c r="AE212" s="47" t="str">
        <f>TRIM(データ!B209)</f>
        <v/>
      </c>
      <c r="AF212" s="43" t="str">
        <f>TRIM(データ!Z209)</f>
        <v/>
      </c>
    </row>
    <row r="213" spans="1:32" x14ac:dyDescent="0.15">
      <c r="A213" s="47">
        <f>データ!A210</f>
        <v>3</v>
      </c>
      <c r="B213" s="47" t="str">
        <f>TRIM(データ!C210)</f>
        <v/>
      </c>
      <c r="C213" s="47" t="str">
        <f>TRIM(データ!D210)</f>
        <v>機械費</v>
      </c>
      <c r="D213" s="36" t="str">
        <f>REPT("｜",$A213)&amp;TRIM(データ!E210)</f>
        <v>｜｜｜ランマー</v>
      </c>
      <c r="E213" s="37" t="str">
        <f>TRIM(データ!F210)</f>
        <v/>
      </c>
      <c r="F213" s="38" t="str">
        <f>TRIM(データ!G210)</f>
        <v>台</v>
      </c>
      <c r="G213" s="50">
        <f>データ!H210</f>
        <v>2</v>
      </c>
      <c r="H213" s="48">
        <f>データ!I210</f>
        <v>1500</v>
      </c>
      <c r="I213" s="48">
        <f>データ!J210</f>
        <v>3000</v>
      </c>
      <c r="J213" s="39" t="str">
        <f>IF(OR($C213="総括",$C213="内訳書",$C213="内訳代価",$C213="明細書",$C213="明細代価",$C213="代価表",$C213="単価表"),データ!K210,"")</f>
        <v/>
      </c>
      <c r="K213" s="11" t="str">
        <f t="shared" si="18"/>
        <v/>
      </c>
      <c r="L213" s="46">
        <f t="shared" si="19"/>
        <v>4.3194678415619194E-5</v>
      </c>
      <c r="M213" s="40" t="str">
        <f>IF(データ!L210="","",データ!L210)</f>
        <v/>
      </c>
      <c r="N213" s="41" t="str">
        <f>IF(データ!M210="","",データ!M210)</f>
        <v/>
      </c>
      <c r="O213" s="42">
        <f>データ!N210</f>
        <v>0</v>
      </c>
      <c r="P213" s="48">
        <f>IF($C213="集計行","",データ!O210)</f>
        <v>0</v>
      </c>
      <c r="Q213" s="48">
        <f>データ!P210</f>
        <v>0</v>
      </c>
      <c r="R213" s="39" t="str">
        <f>IF(OR($C213="総括",$C213="内訳書",$C213="内訳代価",$C213="明細書",$C213="明細代価",$C213="代価表",$C213="単価表"),データ!Q210,"")</f>
        <v/>
      </c>
      <c r="S213" s="11" t="str">
        <f t="shared" si="20"/>
        <v/>
      </c>
      <c r="T213" s="46" t="e">
        <f t="shared" si="21"/>
        <v>#DIV/0!</v>
      </c>
      <c r="U213" s="40" t="str">
        <f>IF(データ!R210="","",データ!R210)</f>
        <v/>
      </c>
      <c r="V213" s="41" t="str">
        <f>IF(データ!S210="","",データ!S210)</f>
        <v/>
      </c>
      <c r="W213" s="42">
        <f>データ!T210</f>
        <v>0</v>
      </c>
      <c r="X213" s="48">
        <f>IF($C213="集計行","",データ!U210)</f>
        <v>0</v>
      </c>
      <c r="Y213" s="48">
        <f>データ!V210</f>
        <v>0</v>
      </c>
      <c r="Z213" s="39" t="str">
        <f>IF(OR($C213="総括",$C213="内訳書",$C213="内訳代価",$C213="明細書",$C213="明細代価",$C213="代価表",$C213="単価表"),データ!W210,"")</f>
        <v/>
      </c>
      <c r="AA213" s="11" t="str">
        <f t="shared" si="22"/>
        <v/>
      </c>
      <c r="AB213" s="46" t="e">
        <f t="shared" si="23"/>
        <v>#DIV/0!</v>
      </c>
      <c r="AC213" s="40" t="str">
        <f>IF(データ!X210="","",データ!X210)</f>
        <v/>
      </c>
      <c r="AD213" s="41" t="str">
        <f>IF(データ!Y210="","",データ!Y210)</f>
        <v/>
      </c>
      <c r="AE213" s="47" t="str">
        <f>TRIM(データ!B210)</f>
        <v/>
      </c>
      <c r="AF213" s="43" t="str">
        <f>TRIM(データ!Z210)</f>
        <v/>
      </c>
    </row>
    <row r="214" spans="1:32" x14ac:dyDescent="0.15">
      <c r="A214" s="47">
        <f>データ!A211</f>
        <v>3</v>
      </c>
      <c r="B214" s="47" t="str">
        <f>TRIM(データ!C211)</f>
        <v/>
      </c>
      <c r="C214" s="47" t="str">
        <f>TRIM(データ!D211)</f>
        <v>運搬費</v>
      </c>
      <c r="D214" s="36" t="str">
        <f>REPT("｜",$A214)&amp;TRIM(データ!E211)</f>
        <v>｜｜｜4tダンプ</v>
      </c>
      <c r="E214" s="37" t="str">
        <f>TRIM(データ!F211)</f>
        <v/>
      </c>
      <c r="F214" s="38" t="str">
        <f>TRIM(データ!G211)</f>
        <v>台</v>
      </c>
      <c r="G214" s="50">
        <f>データ!H211</f>
        <v>2</v>
      </c>
      <c r="H214" s="48">
        <f>データ!I211</f>
        <v>10000</v>
      </c>
      <c r="I214" s="48">
        <f>データ!J211</f>
        <v>20000</v>
      </c>
      <c r="J214" s="39" t="str">
        <f>IF(OR($C214="総括",$C214="内訳書",$C214="内訳代価",$C214="明細書",$C214="明細代価",$C214="代価表",$C214="単価表"),データ!K211,"")</f>
        <v/>
      </c>
      <c r="K214" s="11" t="str">
        <f t="shared" si="18"/>
        <v/>
      </c>
      <c r="L214" s="46">
        <f t="shared" si="19"/>
        <v>2.8796452277079463E-4</v>
      </c>
      <c r="M214" s="40" t="str">
        <f>IF(データ!L211="","",データ!L211)</f>
        <v/>
      </c>
      <c r="N214" s="41" t="str">
        <f>IF(データ!M211="","",データ!M211)</f>
        <v/>
      </c>
      <c r="O214" s="42">
        <f>データ!N211</f>
        <v>0</v>
      </c>
      <c r="P214" s="48">
        <f>IF($C214="集計行","",データ!O211)</f>
        <v>0</v>
      </c>
      <c r="Q214" s="48">
        <f>データ!P211</f>
        <v>0</v>
      </c>
      <c r="R214" s="39" t="str">
        <f>IF(OR($C214="総括",$C214="内訳書",$C214="内訳代価",$C214="明細書",$C214="明細代価",$C214="代価表",$C214="単価表"),データ!Q211,"")</f>
        <v/>
      </c>
      <c r="S214" s="11" t="str">
        <f t="shared" si="20"/>
        <v/>
      </c>
      <c r="T214" s="46" t="e">
        <f t="shared" si="21"/>
        <v>#DIV/0!</v>
      </c>
      <c r="U214" s="40" t="str">
        <f>IF(データ!R211="","",データ!R211)</f>
        <v/>
      </c>
      <c r="V214" s="41" t="str">
        <f>IF(データ!S211="","",データ!S211)</f>
        <v/>
      </c>
      <c r="W214" s="42">
        <f>データ!T211</f>
        <v>0</v>
      </c>
      <c r="X214" s="48">
        <f>IF($C214="集計行","",データ!U211)</f>
        <v>0</v>
      </c>
      <c r="Y214" s="48">
        <f>データ!V211</f>
        <v>0</v>
      </c>
      <c r="Z214" s="39" t="str">
        <f>IF(OR($C214="総括",$C214="内訳書",$C214="内訳代価",$C214="明細書",$C214="明細代価",$C214="代価表",$C214="単価表"),データ!W211,"")</f>
        <v/>
      </c>
      <c r="AA214" s="11" t="str">
        <f t="shared" si="22"/>
        <v/>
      </c>
      <c r="AB214" s="46" t="e">
        <f t="shared" si="23"/>
        <v>#DIV/0!</v>
      </c>
      <c r="AC214" s="40" t="str">
        <f>IF(データ!X211="","",データ!X211)</f>
        <v/>
      </c>
      <c r="AD214" s="41" t="str">
        <f>IF(データ!Y211="","",データ!Y211)</f>
        <v/>
      </c>
      <c r="AE214" s="47" t="str">
        <f>TRIM(データ!B211)</f>
        <v/>
      </c>
      <c r="AF214" s="43" t="str">
        <f>TRIM(データ!Z211)</f>
        <v/>
      </c>
    </row>
    <row r="215" spans="1:32" x14ac:dyDescent="0.15">
      <c r="A215" s="47">
        <f>データ!A212</f>
        <v>3</v>
      </c>
      <c r="B215" s="47" t="str">
        <f>TRIM(データ!C212)</f>
        <v/>
      </c>
      <c r="C215" s="47" t="str">
        <f>TRIM(データ!D212)</f>
        <v>運搬費</v>
      </c>
      <c r="D215" s="36" t="str">
        <f>REPT("｜",$A215)&amp;TRIM(データ!E212)</f>
        <v>｜｜｜2tダンプ</v>
      </c>
      <c r="E215" s="37" t="str">
        <f>TRIM(データ!F212)</f>
        <v/>
      </c>
      <c r="F215" s="38" t="str">
        <f>TRIM(データ!G212)</f>
        <v>台</v>
      </c>
      <c r="G215" s="50">
        <f>データ!H212</f>
        <v>2</v>
      </c>
      <c r="H215" s="48">
        <f>データ!I212</f>
        <v>7000</v>
      </c>
      <c r="I215" s="48">
        <f>データ!J212</f>
        <v>14000</v>
      </c>
      <c r="J215" s="39" t="str">
        <f>IF(OR($C215="総括",$C215="内訳書",$C215="内訳代価",$C215="明細書",$C215="明細代価",$C215="代価表",$C215="単価表"),データ!K212,"")</f>
        <v/>
      </c>
      <c r="K215" s="11" t="str">
        <f t="shared" si="18"/>
        <v/>
      </c>
      <c r="L215" s="46">
        <f t="shared" si="19"/>
        <v>2.0157516593955624E-4</v>
      </c>
      <c r="M215" s="40" t="str">
        <f>IF(データ!L212="","",データ!L212)</f>
        <v/>
      </c>
      <c r="N215" s="41" t="str">
        <f>IF(データ!M212="","",データ!M212)</f>
        <v/>
      </c>
      <c r="O215" s="42">
        <f>データ!N212</f>
        <v>0</v>
      </c>
      <c r="P215" s="48">
        <f>IF($C215="集計行","",データ!O212)</f>
        <v>0</v>
      </c>
      <c r="Q215" s="48">
        <f>データ!P212</f>
        <v>0</v>
      </c>
      <c r="R215" s="39" t="str">
        <f>IF(OR($C215="総括",$C215="内訳書",$C215="内訳代価",$C215="明細書",$C215="明細代価",$C215="代価表",$C215="単価表"),データ!Q212,"")</f>
        <v/>
      </c>
      <c r="S215" s="11" t="str">
        <f t="shared" si="20"/>
        <v/>
      </c>
      <c r="T215" s="46" t="e">
        <f t="shared" si="21"/>
        <v>#DIV/0!</v>
      </c>
      <c r="U215" s="40" t="str">
        <f>IF(データ!R212="","",データ!R212)</f>
        <v/>
      </c>
      <c r="V215" s="41" t="str">
        <f>IF(データ!S212="","",データ!S212)</f>
        <v/>
      </c>
      <c r="W215" s="42">
        <f>データ!T212</f>
        <v>0</v>
      </c>
      <c r="X215" s="48">
        <f>IF($C215="集計行","",データ!U212)</f>
        <v>0</v>
      </c>
      <c r="Y215" s="48">
        <f>データ!V212</f>
        <v>0</v>
      </c>
      <c r="Z215" s="39" t="str">
        <f>IF(OR($C215="総括",$C215="内訳書",$C215="内訳代価",$C215="明細書",$C215="明細代価",$C215="代価表",$C215="単価表"),データ!W212,"")</f>
        <v/>
      </c>
      <c r="AA215" s="11" t="str">
        <f t="shared" si="22"/>
        <v/>
      </c>
      <c r="AB215" s="46" t="e">
        <f t="shared" si="23"/>
        <v>#DIV/0!</v>
      </c>
      <c r="AC215" s="40" t="str">
        <f>IF(データ!X212="","",データ!X212)</f>
        <v/>
      </c>
      <c r="AD215" s="41" t="str">
        <f>IF(データ!Y212="","",データ!Y212)</f>
        <v/>
      </c>
      <c r="AE215" s="47" t="str">
        <f>TRIM(データ!B212)</f>
        <v/>
      </c>
      <c r="AF215" s="43" t="str">
        <f>TRIM(データ!Z212)</f>
        <v/>
      </c>
    </row>
    <row r="216" spans="1:32" x14ac:dyDescent="0.15">
      <c r="A216" s="47">
        <f>データ!A213</f>
        <v>3</v>
      </c>
      <c r="B216" s="47" t="str">
        <f>TRIM(データ!C213)</f>
        <v/>
      </c>
      <c r="C216" s="47" t="str">
        <f>TRIM(データ!D213)</f>
        <v>材料費</v>
      </c>
      <c r="D216" s="36" t="str">
        <f>REPT("｜",$A216)&amp;TRIM(データ!E213)</f>
        <v>｜｜｜軽油</v>
      </c>
      <c r="E216" s="37" t="str">
        <f>TRIM(データ!F213)</f>
        <v/>
      </c>
      <c r="F216" s="38" t="str">
        <f>TRIM(データ!G213)</f>
        <v>リットル</v>
      </c>
      <c r="G216" s="50">
        <f>データ!H213</f>
        <v>80</v>
      </c>
      <c r="H216" s="48">
        <f>データ!I213</f>
        <v>150</v>
      </c>
      <c r="I216" s="48">
        <f>データ!J213</f>
        <v>12000</v>
      </c>
      <c r="J216" s="39" t="str">
        <f>IF(OR($C216="総括",$C216="内訳書",$C216="内訳代価",$C216="明細書",$C216="明細代価",$C216="代価表",$C216="単価表"),データ!K213,"")</f>
        <v/>
      </c>
      <c r="K216" s="11" t="str">
        <f t="shared" si="18"/>
        <v/>
      </c>
      <c r="L216" s="46">
        <f t="shared" si="19"/>
        <v>1.7277871366247678E-4</v>
      </c>
      <c r="M216" s="40" t="str">
        <f>IF(データ!L213="","",データ!L213)</f>
        <v/>
      </c>
      <c r="N216" s="41" t="str">
        <f>IF(データ!M213="","",データ!M213)</f>
        <v/>
      </c>
      <c r="O216" s="42">
        <f>データ!N213</f>
        <v>0</v>
      </c>
      <c r="P216" s="48">
        <f>IF($C216="集計行","",データ!O213)</f>
        <v>0</v>
      </c>
      <c r="Q216" s="48">
        <f>データ!P213</f>
        <v>0</v>
      </c>
      <c r="R216" s="39" t="str">
        <f>IF(OR($C216="総括",$C216="内訳書",$C216="内訳代価",$C216="明細書",$C216="明細代価",$C216="代価表",$C216="単価表"),データ!Q213,"")</f>
        <v/>
      </c>
      <c r="S216" s="11" t="str">
        <f t="shared" si="20"/>
        <v/>
      </c>
      <c r="T216" s="46" t="e">
        <f t="shared" si="21"/>
        <v>#DIV/0!</v>
      </c>
      <c r="U216" s="40" t="str">
        <f>IF(データ!R213="","",データ!R213)</f>
        <v/>
      </c>
      <c r="V216" s="41" t="str">
        <f>IF(データ!S213="","",データ!S213)</f>
        <v/>
      </c>
      <c r="W216" s="42">
        <f>データ!T213</f>
        <v>0</v>
      </c>
      <c r="X216" s="48">
        <f>IF($C216="集計行","",データ!U213)</f>
        <v>0</v>
      </c>
      <c r="Y216" s="48">
        <f>データ!V213</f>
        <v>0</v>
      </c>
      <c r="Z216" s="39" t="str">
        <f>IF(OR($C216="総括",$C216="内訳書",$C216="内訳代価",$C216="明細書",$C216="明細代価",$C216="代価表",$C216="単価表"),データ!W213,"")</f>
        <v/>
      </c>
      <c r="AA216" s="11" t="str">
        <f t="shared" si="22"/>
        <v/>
      </c>
      <c r="AB216" s="46" t="e">
        <f t="shared" si="23"/>
        <v>#DIV/0!</v>
      </c>
      <c r="AC216" s="40" t="str">
        <f>IF(データ!X213="","",データ!X213)</f>
        <v/>
      </c>
      <c r="AD216" s="41" t="str">
        <f>IF(データ!Y213="","",データ!Y213)</f>
        <v/>
      </c>
      <c r="AE216" s="47" t="str">
        <f>TRIM(データ!B213)</f>
        <v/>
      </c>
      <c r="AF216" s="43" t="str">
        <f>TRIM(データ!Z213)</f>
        <v/>
      </c>
    </row>
    <row r="217" spans="1:32" x14ac:dyDescent="0.15">
      <c r="A217" s="47">
        <f>データ!A214</f>
        <v>3</v>
      </c>
      <c r="B217" s="47" t="str">
        <f>TRIM(データ!C214)</f>
        <v/>
      </c>
      <c r="C217" s="47" t="str">
        <f>TRIM(データ!D214)</f>
        <v>材料費</v>
      </c>
      <c r="D217" s="36" t="str">
        <f>REPT("｜",$A217)&amp;TRIM(データ!E214)</f>
        <v>｜｜｜ガソリン</v>
      </c>
      <c r="E217" s="37" t="str">
        <f>TRIM(データ!F214)</f>
        <v/>
      </c>
      <c r="F217" s="38" t="str">
        <f>TRIM(データ!G214)</f>
        <v>リットル</v>
      </c>
      <c r="G217" s="50">
        <f>データ!H214</f>
        <v>80</v>
      </c>
      <c r="H217" s="48">
        <f>データ!I214</f>
        <v>200</v>
      </c>
      <c r="I217" s="48">
        <f>データ!J214</f>
        <v>16000</v>
      </c>
      <c r="J217" s="39" t="str">
        <f>IF(OR($C217="総括",$C217="内訳書",$C217="内訳代価",$C217="明細書",$C217="明細代価",$C217="代価表",$C217="単価表"),データ!K214,"")</f>
        <v/>
      </c>
      <c r="K217" s="11" t="str">
        <f t="shared" si="18"/>
        <v/>
      </c>
      <c r="L217" s="46">
        <f t="shared" si="19"/>
        <v>2.303716182166357E-4</v>
      </c>
      <c r="M217" s="40" t="str">
        <f>IF(データ!L214="","",データ!L214)</f>
        <v/>
      </c>
      <c r="N217" s="41" t="str">
        <f>IF(データ!M214="","",データ!M214)</f>
        <v/>
      </c>
      <c r="O217" s="42">
        <f>データ!N214</f>
        <v>0</v>
      </c>
      <c r="P217" s="48">
        <f>IF($C217="集計行","",データ!O214)</f>
        <v>0</v>
      </c>
      <c r="Q217" s="48">
        <f>データ!P214</f>
        <v>0</v>
      </c>
      <c r="R217" s="39" t="str">
        <f>IF(OR($C217="総括",$C217="内訳書",$C217="内訳代価",$C217="明細書",$C217="明細代価",$C217="代価表",$C217="単価表"),データ!Q214,"")</f>
        <v/>
      </c>
      <c r="S217" s="11" t="str">
        <f t="shared" si="20"/>
        <v/>
      </c>
      <c r="T217" s="46" t="e">
        <f t="shared" si="21"/>
        <v>#DIV/0!</v>
      </c>
      <c r="U217" s="40" t="str">
        <f>IF(データ!R214="","",データ!R214)</f>
        <v/>
      </c>
      <c r="V217" s="41" t="str">
        <f>IF(データ!S214="","",データ!S214)</f>
        <v/>
      </c>
      <c r="W217" s="42">
        <f>データ!T214</f>
        <v>0</v>
      </c>
      <c r="X217" s="48">
        <f>IF($C217="集計行","",データ!U214)</f>
        <v>0</v>
      </c>
      <c r="Y217" s="48">
        <f>データ!V214</f>
        <v>0</v>
      </c>
      <c r="Z217" s="39" t="str">
        <f>IF(OR($C217="総括",$C217="内訳書",$C217="内訳代価",$C217="明細書",$C217="明細代価",$C217="代価表",$C217="単価表"),データ!W214,"")</f>
        <v/>
      </c>
      <c r="AA217" s="11" t="str">
        <f t="shared" si="22"/>
        <v/>
      </c>
      <c r="AB217" s="46" t="e">
        <f t="shared" si="23"/>
        <v>#DIV/0!</v>
      </c>
      <c r="AC217" s="40" t="str">
        <f>IF(データ!X214="","",データ!X214)</f>
        <v/>
      </c>
      <c r="AD217" s="41" t="str">
        <f>IF(データ!Y214="","",データ!Y214)</f>
        <v/>
      </c>
      <c r="AE217" s="47" t="str">
        <f>TRIM(データ!B214)</f>
        <v/>
      </c>
      <c r="AF217" s="43" t="str">
        <f>TRIM(データ!Z214)</f>
        <v/>
      </c>
    </row>
    <row r="218" spans="1:32" x14ac:dyDescent="0.15">
      <c r="A218" s="47">
        <f>データ!A215</f>
        <v>3</v>
      </c>
      <c r="B218" s="47" t="str">
        <f>TRIM(データ!C215)</f>
        <v/>
      </c>
      <c r="C218" s="47" t="str">
        <f>TRIM(データ!D215)</f>
        <v>材料費</v>
      </c>
      <c r="D218" s="36" t="str">
        <f>REPT("｜",$A218)&amp;TRIM(データ!E215)</f>
        <v>｜｜｜雑材</v>
      </c>
      <c r="E218" s="37" t="str">
        <f>TRIM(データ!F215)</f>
        <v/>
      </c>
      <c r="F218" s="38" t="str">
        <f>TRIM(データ!G215)</f>
        <v>式</v>
      </c>
      <c r="G218" s="50">
        <f>データ!H215</f>
        <v>1</v>
      </c>
      <c r="H218" s="48">
        <f>データ!I215</f>
        <v>23740</v>
      </c>
      <c r="I218" s="48">
        <f>データ!J215</f>
        <v>23740</v>
      </c>
      <c r="J218" s="39" t="str">
        <f>IF(OR($C218="総括",$C218="内訳書",$C218="内訳代価",$C218="明細書",$C218="明細代価",$C218="代価表",$C218="単価表"),データ!K215,"")</f>
        <v/>
      </c>
      <c r="K218" s="11" t="str">
        <f t="shared" si="18"/>
        <v/>
      </c>
      <c r="L218" s="46">
        <f t="shared" si="19"/>
        <v>3.4181388852893321E-4</v>
      </c>
      <c r="M218" s="40" t="str">
        <f>IF(データ!L215="","",データ!L215)</f>
        <v/>
      </c>
      <c r="N218" s="41" t="str">
        <f>IF(データ!M215="","",データ!M215)</f>
        <v/>
      </c>
      <c r="O218" s="42">
        <f>データ!N215</f>
        <v>0</v>
      </c>
      <c r="P218" s="48">
        <f>IF($C218="集計行","",データ!O215)</f>
        <v>0</v>
      </c>
      <c r="Q218" s="48">
        <f>データ!P215</f>
        <v>0</v>
      </c>
      <c r="R218" s="39" t="str">
        <f>IF(OR($C218="総括",$C218="内訳書",$C218="内訳代価",$C218="明細書",$C218="明細代価",$C218="代価表",$C218="単価表"),データ!Q215,"")</f>
        <v/>
      </c>
      <c r="S218" s="11" t="str">
        <f t="shared" si="20"/>
        <v/>
      </c>
      <c r="T218" s="46" t="e">
        <f t="shared" si="21"/>
        <v>#DIV/0!</v>
      </c>
      <c r="U218" s="40" t="str">
        <f>IF(データ!R215="","",データ!R215)</f>
        <v/>
      </c>
      <c r="V218" s="41" t="str">
        <f>IF(データ!S215="","",データ!S215)</f>
        <v/>
      </c>
      <c r="W218" s="42">
        <f>データ!T215</f>
        <v>0</v>
      </c>
      <c r="X218" s="48">
        <f>IF($C218="集計行","",データ!U215)</f>
        <v>0</v>
      </c>
      <c r="Y218" s="48">
        <f>データ!V215</f>
        <v>0</v>
      </c>
      <c r="Z218" s="39" t="str">
        <f>IF(OR($C218="総括",$C218="内訳書",$C218="内訳代価",$C218="明細書",$C218="明細代価",$C218="代価表",$C218="単価表"),データ!W215,"")</f>
        <v/>
      </c>
      <c r="AA218" s="11" t="str">
        <f t="shared" si="22"/>
        <v/>
      </c>
      <c r="AB218" s="46" t="e">
        <f t="shared" si="23"/>
        <v>#DIV/0!</v>
      </c>
      <c r="AC218" s="40" t="str">
        <f>IF(データ!X215="","",データ!X215)</f>
        <v/>
      </c>
      <c r="AD218" s="41" t="str">
        <f>IF(データ!Y215="","",データ!Y215)</f>
        <v/>
      </c>
      <c r="AE218" s="47" t="str">
        <f>TRIM(データ!B215)</f>
        <v/>
      </c>
      <c r="AF218" s="43" t="str">
        <f>TRIM(データ!Z215)</f>
        <v/>
      </c>
    </row>
    <row r="219" spans="1:32" x14ac:dyDescent="0.15">
      <c r="A219" s="47">
        <f>データ!A216</f>
        <v>3</v>
      </c>
      <c r="B219" s="47" t="str">
        <f>TRIM(データ!C216)</f>
        <v/>
      </c>
      <c r="C219" s="47" t="str">
        <f>TRIM(データ!D216)</f>
        <v>外注費</v>
      </c>
      <c r="D219" s="36" t="str">
        <f>REPT("｜",$A219)&amp;TRIM(データ!E216)</f>
        <v>｜｜｜外注経費</v>
      </c>
      <c r="E219" s="37" t="str">
        <f>TRIM(データ!F216)</f>
        <v/>
      </c>
      <c r="F219" s="38" t="str">
        <f>TRIM(データ!G216)</f>
        <v>式</v>
      </c>
      <c r="G219" s="50">
        <f>データ!H216</f>
        <v>1</v>
      </c>
      <c r="H219" s="48">
        <f>データ!I216</f>
        <v>22400</v>
      </c>
      <c r="I219" s="48">
        <f>データ!J216</f>
        <v>22400</v>
      </c>
      <c r="J219" s="39" t="str">
        <f>IF(OR($C219="総括",$C219="内訳書",$C219="内訳代価",$C219="明細書",$C219="明細代価",$C219="代価表",$C219="単価表"),データ!K216,"")</f>
        <v/>
      </c>
      <c r="K219" s="11" t="str">
        <f t="shared" si="18"/>
        <v/>
      </c>
      <c r="L219" s="46">
        <f t="shared" si="19"/>
        <v>3.2252026550329E-4</v>
      </c>
      <c r="M219" s="40" t="str">
        <f>IF(データ!L216="","",データ!L216)</f>
        <v/>
      </c>
      <c r="N219" s="41" t="str">
        <f>IF(データ!M216="","",データ!M216)</f>
        <v/>
      </c>
      <c r="O219" s="42">
        <f>データ!N216</f>
        <v>0</v>
      </c>
      <c r="P219" s="48">
        <f>IF($C219="集計行","",データ!O216)</f>
        <v>0</v>
      </c>
      <c r="Q219" s="48">
        <f>データ!P216</f>
        <v>0</v>
      </c>
      <c r="R219" s="39" t="str">
        <f>IF(OR($C219="総括",$C219="内訳書",$C219="内訳代価",$C219="明細書",$C219="明細代価",$C219="代価表",$C219="単価表"),データ!Q216,"")</f>
        <v/>
      </c>
      <c r="S219" s="11" t="str">
        <f t="shared" si="20"/>
        <v/>
      </c>
      <c r="T219" s="46" t="e">
        <f t="shared" si="21"/>
        <v>#DIV/0!</v>
      </c>
      <c r="U219" s="40" t="str">
        <f>IF(データ!R216="","",データ!R216)</f>
        <v/>
      </c>
      <c r="V219" s="41" t="str">
        <f>IF(データ!S216="","",データ!S216)</f>
        <v/>
      </c>
      <c r="W219" s="42">
        <f>データ!T216</f>
        <v>0</v>
      </c>
      <c r="X219" s="48">
        <f>IF($C219="集計行","",データ!U216)</f>
        <v>0</v>
      </c>
      <c r="Y219" s="48">
        <f>データ!V216</f>
        <v>0</v>
      </c>
      <c r="Z219" s="39" t="str">
        <f>IF(OR($C219="総括",$C219="内訳書",$C219="内訳代価",$C219="明細書",$C219="明細代価",$C219="代価表",$C219="単価表"),データ!W216,"")</f>
        <v/>
      </c>
      <c r="AA219" s="11" t="str">
        <f t="shared" si="22"/>
        <v/>
      </c>
      <c r="AB219" s="46" t="e">
        <f t="shared" si="23"/>
        <v>#DIV/0!</v>
      </c>
      <c r="AC219" s="40" t="str">
        <f>IF(データ!X216="","",データ!X216)</f>
        <v/>
      </c>
      <c r="AD219" s="41" t="str">
        <f>IF(データ!Y216="","",データ!Y216)</f>
        <v/>
      </c>
      <c r="AE219" s="47" t="str">
        <f>TRIM(データ!B216)</f>
        <v/>
      </c>
      <c r="AF219" s="43" t="str">
        <f>TRIM(データ!Z216)</f>
        <v/>
      </c>
    </row>
    <row r="220" spans="1:32" x14ac:dyDescent="0.15">
      <c r="A220" s="47">
        <f>データ!A217</f>
        <v>2</v>
      </c>
      <c r="B220" s="47" t="str">
        <f>TRIM(データ!C217)</f>
        <v/>
      </c>
      <c r="C220" s="47" t="str">
        <f>TRIM(データ!D217)</f>
        <v>内訳書</v>
      </c>
      <c r="D220" s="36" t="str">
        <f>REPT("｜",$A220)&amp;TRIM(データ!E217)</f>
        <v>｜｜横断側溝　300×300</v>
      </c>
      <c r="E220" s="37" t="str">
        <f>TRIM(データ!F217)</f>
        <v/>
      </c>
      <c r="F220" s="38" t="str">
        <f>TRIM(データ!G217)</f>
        <v>ｍ</v>
      </c>
      <c r="G220" s="50">
        <f>データ!H217</f>
        <v>16</v>
      </c>
      <c r="H220" s="48">
        <f>データ!I217</f>
        <v>80000</v>
      </c>
      <c r="I220" s="48">
        <f>データ!J217</f>
        <v>1280000</v>
      </c>
      <c r="J220" s="39">
        <f>IF(OR($C220="総括",$C220="内訳書",$C220="内訳代価",$C220="明細書",$C220="明細代価",$C220="代価表",$C220="単価表"),データ!K217,"")</f>
        <v>16</v>
      </c>
      <c r="K220" s="11" t="str">
        <f t="shared" si="18"/>
        <v/>
      </c>
      <c r="L220" s="46">
        <f t="shared" si="19"/>
        <v>1.8429729457330856E-2</v>
      </c>
      <c r="M220" s="40" t="str">
        <f>IF(データ!L217="","",データ!L217)</f>
        <v/>
      </c>
      <c r="N220" s="41" t="str">
        <f>IF(データ!M217="","",データ!M217)</f>
        <v>40号内訳書</v>
      </c>
      <c r="O220" s="42">
        <f>データ!N217</f>
        <v>0</v>
      </c>
      <c r="P220" s="48">
        <f>IF($C220="集計行","",データ!O217)</f>
        <v>0</v>
      </c>
      <c r="Q220" s="48">
        <f>データ!P217</f>
        <v>0</v>
      </c>
      <c r="R220" s="39">
        <f>IF(OR($C220="総括",$C220="内訳書",$C220="内訳代価",$C220="明細書",$C220="明細代価",$C220="代価表",$C220="単価表"),データ!Q217,"")</f>
        <v>0</v>
      </c>
      <c r="S220" s="11" t="str">
        <f t="shared" si="20"/>
        <v/>
      </c>
      <c r="T220" s="46" t="e">
        <f t="shared" si="21"/>
        <v>#DIV/0!</v>
      </c>
      <c r="U220" s="40" t="str">
        <f>IF(データ!R217="","",データ!R217)</f>
        <v/>
      </c>
      <c r="V220" s="41" t="str">
        <f>IF(データ!S217="","",データ!S217)</f>
        <v/>
      </c>
      <c r="W220" s="42">
        <f>データ!T217</f>
        <v>0</v>
      </c>
      <c r="X220" s="48">
        <f>IF($C220="集計行","",データ!U217)</f>
        <v>0</v>
      </c>
      <c r="Y220" s="48">
        <f>データ!V217</f>
        <v>0</v>
      </c>
      <c r="Z220" s="39">
        <f>IF(OR($C220="総括",$C220="内訳書",$C220="内訳代価",$C220="明細書",$C220="明細代価",$C220="代価表",$C220="単価表"),データ!W217,"")</f>
        <v>0</v>
      </c>
      <c r="AA220" s="11" t="str">
        <f t="shared" si="22"/>
        <v/>
      </c>
      <c r="AB220" s="46" t="e">
        <f t="shared" si="23"/>
        <v>#DIV/0!</v>
      </c>
      <c r="AC220" s="40" t="str">
        <f>IF(データ!X217="","",データ!X217)</f>
        <v/>
      </c>
      <c r="AD220" s="41" t="str">
        <f>IF(データ!Y217="","",データ!Y217)</f>
        <v/>
      </c>
      <c r="AE220" s="47" t="str">
        <f>TRIM(データ!B217)</f>
        <v/>
      </c>
      <c r="AF220" s="43" t="str">
        <f>TRIM(データ!Z217)</f>
        <v/>
      </c>
    </row>
    <row r="221" spans="1:32" x14ac:dyDescent="0.15">
      <c r="A221" s="47">
        <f>データ!A218</f>
        <v>3</v>
      </c>
      <c r="B221" s="47" t="str">
        <f>TRIM(データ!C218)</f>
        <v/>
      </c>
      <c r="C221" s="47" t="str">
        <f>TRIM(データ!D218)</f>
        <v>材料費</v>
      </c>
      <c r="D221" s="36" t="str">
        <f>REPT("｜",$A221)&amp;TRIM(データ!E218)</f>
        <v>｜｜｜ボルト固定300×300×L2000</v>
      </c>
      <c r="E221" s="37" t="str">
        <f>TRIM(データ!F218)</f>
        <v>T-25　グレーチング　厚100</v>
      </c>
      <c r="F221" s="38" t="str">
        <f>TRIM(データ!G218)</f>
        <v>本</v>
      </c>
      <c r="G221" s="50">
        <f>データ!H218</f>
        <v>2</v>
      </c>
      <c r="H221" s="48">
        <f>データ!I218</f>
        <v>85100</v>
      </c>
      <c r="I221" s="48">
        <f>データ!J218</f>
        <v>170200</v>
      </c>
      <c r="J221" s="39" t="str">
        <f>IF(OR($C221="総括",$C221="内訳書",$C221="内訳代価",$C221="明細書",$C221="明細代価",$C221="代価表",$C221="単価表"),データ!K218,"")</f>
        <v/>
      </c>
      <c r="K221" s="11" t="str">
        <f t="shared" si="18"/>
        <v/>
      </c>
      <c r="L221" s="46">
        <f t="shared" si="19"/>
        <v>2.4505780887794622E-3</v>
      </c>
      <c r="M221" s="40" t="str">
        <f>IF(データ!L218="","",データ!L218)</f>
        <v/>
      </c>
      <c r="N221" s="41" t="str">
        <f>IF(データ!M218="","",データ!M218)</f>
        <v/>
      </c>
      <c r="O221" s="42">
        <f>データ!N218</f>
        <v>0</v>
      </c>
      <c r="P221" s="48">
        <f>IF($C221="集計行","",データ!O218)</f>
        <v>0</v>
      </c>
      <c r="Q221" s="48">
        <f>データ!P218</f>
        <v>0</v>
      </c>
      <c r="R221" s="39" t="str">
        <f>IF(OR($C221="総括",$C221="内訳書",$C221="内訳代価",$C221="明細書",$C221="明細代価",$C221="代価表",$C221="単価表"),データ!Q218,"")</f>
        <v/>
      </c>
      <c r="S221" s="11" t="str">
        <f t="shared" si="20"/>
        <v/>
      </c>
      <c r="T221" s="46" t="e">
        <f t="shared" si="21"/>
        <v>#DIV/0!</v>
      </c>
      <c r="U221" s="40" t="str">
        <f>IF(データ!R218="","",データ!R218)</f>
        <v/>
      </c>
      <c r="V221" s="41" t="str">
        <f>IF(データ!S218="","",データ!S218)</f>
        <v/>
      </c>
      <c r="W221" s="42">
        <f>データ!T218</f>
        <v>0</v>
      </c>
      <c r="X221" s="48">
        <f>IF($C221="集計行","",データ!U218)</f>
        <v>0</v>
      </c>
      <c r="Y221" s="48">
        <f>データ!V218</f>
        <v>0</v>
      </c>
      <c r="Z221" s="39" t="str">
        <f>IF(OR($C221="総括",$C221="内訳書",$C221="内訳代価",$C221="明細書",$C221="明細代価",$C221="代価表",$C221="単価表"),データ!W218,"")</f>
        <v/>
      </c>
      <c r="AA221" s="11" t="str">
        <f t="shared" si="22"/>
        <v/>
      </c>
      <c r="AB221" s="46" t="e">
        <f t="shared" si="23"/>
        <v>#DIV/0!</v>
      </c>
      <c r="AC221" s="40" t="str">
        <f>IF(データ!X218="","",データ!X218)</f>
        <v/>
      </c>
      <c r="AD221" s="41" t="str">
        <f>IF(データ!Y218="","",データ!Y218)</f>
        <v/>
      </c>
      <c r="AE221" s="47" t="str">
        <f>TRIM(データ!B218)</f>
        <v/>
      </c>
      <c r="AF221" s="43" t="str">
        <f>TRIM(データ!Z218)</f>
        <v/>
      </c>
    </row>
    <row r="222" spans="1:32" x14ac:dyDescent="0.15">
      <c r="A222" s="47">
        <f>データ!A219</f>
        <v>3</v>
      </c>
      <c r="B222" s="47" t="str">
        <f>TRIM(データ!C219)</f>
        <v/>
      </c>
      <c r="C222" s="47" t="str">
        <f>TRIM(データ!D219)</f>
        <v>材料費</v>
      </c>
      <c r="D222" s="36" t="str">
        <f>REPT("｜",$A222)&amp;TRIM(データ!E219)</f>
        <v>｜｜｜ボルト固定300×300×L2000</v>
      </c>
      <c r="E222" s="37" t="str">
        <f>TRIM(データ!F219)</f>
        <v>T-25　グレーチング　厚150</v>
      </c>
      <c r="F222" s="38" t="str">
        <f>TRIM(データ!G219)</f>
        <v>本</v>
      </c>
      <c r="G222" s="50">
        <f>データ!H219</f>
        <v>6</v>
      </c>
      <c r="H222" s="48">
        <f>データ!I219</f>
        <v>125800</v>
      </c>
      <c r="I222" s="48">
        <f>データ!J219</f>
        <v>754800</v>
      </c>
      <c r="J222" s="39" t="str">
        <f>IF(OR($C222="総括",$C222="内訳書",$C222="内訳代価",$C222="明細書",$C222="明細代価",$C222="代価表",$C222="単価表"),データ!K219,"")</f>
        <v/>
      </c>
      <c r="K222" s="11" t="str">
        <f t="shared" si="18"/>
        <v/>
      </c>
      <c r="L222" s="46">
        <f t="shared" si="19"/>
        <v>1.0867781089369789E-2</v>
      </c>
      <c r="M222" s="40" t="str">
        <f>IF(データ!L219="","",データ!L219)</f>
        <v/>
      </c>
      <c r="N222" s="41" t="str">
        <f>IF(データ!M219="","",データ!M219)</f>
        <v/>
      </c>
      <c r="O222" s="42">
        <f>データ!N219</f>
        <v>0</v>
      </c>
      <c r="P222" s="48">
        <f>IF($C222="集計行","",データ!O219)</f>
        <v>0</v>
      </c>
      <c r="Q222" s="48">
        <f>データ!P219</f>
        <v>0</v>
      </c>
      <c r="R222" s="39" t="str">
        <f>IF(OR($C222="総括",$C222="内訳書",$C222="内訳代価",$C222="明細書",$C222="明細代価",$C222="代価表",$C222="単価表"),データ!Q219,"")</f>
        <v/>
      </c>
      <c r="S222" s="11" t="str">
        <f t="shared" si="20"/>
        <v/>
      </c>
      <c r="T222" s="46" t="e">
        <f t="shared" si="21"/>
        <v>#DIV/0!</v>
      </c>
      <c r="U222" s="40" t="str">
        <f>IF(データ!R219="","",データ!R219)</f>
        <v/>
      </c>
      <c r="V222" s="41" t="str">
        <f>IF(データ!S219="","",データ!S219)</f>
        <v/>
      </c>
      <c r="W222" s="42">
        <f>データ!T219</f>
        <v>0</v>
      </c>
      <c r="X222" s="48">
        <f>IF($C222="集計行","",データ!U219)</f>
        <v>0</v>
      </c>
      <c r="Y222" s="48">
        <f>データ!V219</f>
        <v>0</v>
      </c>
      <c r="Z222" s="39" t="str">
        <f>IF(OR($C222="総括",$C222="内訳書",$C222="内訳代価",$C222="明細書",$C222="明細代価",$C222="代価表",$C222="単価表"),データ!W219,"")</f>
        <v/>
      </c>
      <c r="AA222" s="11" t="str">
        <f t="shared" si="22"/>
        <v/>
      </c>
      <c r="AB222" s="46" t="e">
        <f t="shared" si="23"/>
        <v>#DIV/0!</v>
      </c>
      <c r="AC222" s="40" t="str">
        <f>IF(データ!X219="","",データ!X219)</f>
        <v/>
      </c>
      <c r="AD222" s="41" t="str">
        <f>IF(データ!Y219="","",データ!Y219)</f>
        <v/>
      </c>
      <c r="AE222" s="47" t="str">
        <f>TRIM(データ!B219)</f>
        <v/>
      </c>
      <c r="AF222" s="43" t="str">
        <f>TRIM(データ!Z219)</f>
        <v/>
      </c>
    </row>
    <row r="223" spans="1:32" x14ac:dyDescent="0.15">
      <c r="A223" s="47">
        <f>データ!A220</f>
        <v>3</v>
      </c>
      <c r="B223" s="47" t="str">
        <f>TRIM(データ!C220)</f>
        <v/>
      </c>
      <c r="C223" s="47" t="str">
        <f>TRIM(データ!D220)</f>
        <v>材料費</v>
      </c>
      <c r="D223" s="36" t="str">
        <f>REPT("｜",$A223)&amp;TRIM(データ!E220)</f>
        <v>｜｜｜ボルト用キャップ</v>
      </c>
      <c r="E223" s="37" t="str">
        <f>TRIM(データ!F220)</f>
        <v/>
      </c>
      <c r="F223" s="38" t="str">
        <f>TRIM(データ!G220)</f>
        <v>個</v>
      </c>
      <c r="G223" s="50">
        <f>データ!H220</f>
        <v>64</v>
      </c>
      <c r="H223" s="48">
        <f>データ!I220</f>
        <v>240</v>
      </c>
      <c r="I223" s="48">
        <f>データ!J220</f>
        <v>15360</v>
      </c>
      <c r="J223" s="39" t="str">
        <f>IF(OR($C223="総括",$C223="内訳書",$C223="内訳代価",$C223="明細書",$C223="明細代価",$C223="代価表",$C223="単価表"),データ!K220,"")</f>
        <v/>
      </c>
      <c r="K223" s="11" t="str">
        <f t="shared" si="18"/>
        <v/>
      </c>
      <c r="L223" s="46">
        <f t="shared" si="19"/>
        <v>2.2115675348797028E-4</v>
      </c>
      <c r="M223" s="40" t="str">
        <f>IF(データ!L220="","",データ!L220)</f>
        <v/>
      </c>
      <c r="N223" s="41" t="str">
        <f>IF(データ!M220="","",データ!M220)</f>
        <v/>
      </c>
      <c r="O223" s="42">
        <f>データ!N220</f>
        <v>0</v>
      </c>
      <c r="P223" s="48">
        <f>IF($C223="集計行","",データ!O220)</f>
        <v>0</v>
      </c>
      <c r="Q223" s="48">
        <f>データ!P220</f>
        <v>0</v>
      </c>
      <c r="R223" s="39" t="str">
        <f>IF(OR($C223="総括",$C223="内訳書",$C223="内訳代価",$C223="明細書",$C223="明細代価",$C223="代価表",$C223="単価表"),データ!Q220,"")</f>
        <v/>
      </c>
      <c r="S223" s="11" t="str">
        <f t="shared" si="20"/>
        <v/>
      </c>
      <c r="T223" s="46" t="e">
        <f t="shared" si="21"/>
        <v>#DIV/0!</v>
      </c>
      <c r="U223" s="40" t="str">
        <f>IF(データ!R220="","",データ!R220)</f>
        <v/>
      </c>
      <c r="V223" s="41" t="str">
        <f>IF(データ!S220="","",データ!S220)</f>
        <v/>
      </c>
      <c r="W223" s="42">
        <f>データ!T220</f>
        <v>0</v>
      </c>
      <c r="X223" s="48">
        <f>IF($C223="集計行","",データ!U220)</f>
        <v>0</v>
      </c>
      <c r="Y223" s="48">
        <f>データ!V220</f>
        <v>0</v>
      </c>
      <c r="Z223" s="39" t="str">
        <f>IF(OR($C223="総括",$C223="内訳書",$C223="内訳代価",$C223="明細書",$C223="明細代価",$C223="代価表",$C223="単価表"),データ!W220,"")</f>
        <v/>
      </c>
      <c r="AA223" s="11" t="str">
        <f t="shared" si="22"/>
        <v/>
      </c>
      <c r="AB223" s="46" t="e">
        <f t="shared" si="23"/>
        <v>#DIV/0!</v>
      </c>
      <c r="AC223" s="40" t="str">
        <f>IF(データ!X220="","",データ!X220)</f>
        <v/>
      </c>
      <c r="AD223" s="41" t="str">
        <f>IF(データ!Y220="","",データ!Y220)</f>
        <v/>
      </c>
      <c r="AE223" s="47" t="str">
        <f>TRIM(データ!B220)</f>
        <v/>
      </c>
      <c r="AF223" s="43" t="str">
        <f>TRIM(データ!Z220)</f>
        <v/>
      </c>
    </row>
    <row r="224" spans="1:32" x14ac:dyDescent="0.15">
      <c r="A224" s="47">
        <f>データ!A221</f>
        <v>3</v>
      </c>
      <c r="B224" s="47" t="str">
        <f>TRIM(データ!C221)</f>
        <v/>
      </c>
      <c r="C224" s="47" t="str">
        <f>TRIM(データ!D221)</f>
        <v>材料費</v>
      </c>
      <c r="D224" s="36" t="str">
        <f>REPT("｜",$A224)&amp;TRIM(データ!E221)</f>
        <v>｜｜｜生コン</v>
      </c>
      <c r="E224" s="37" t="str">
        <f>TRIM(データ!F221)</f>
        <v/>
      </c>
      <c r="F224" s="38" t="str">
        <f>TRIM(データ!G221)</f>
        <v>m3</v>
      </c>
      <c r="G224" s="50">
        <f>データ!H221</f>
        <v>1.5</v>
      </c>
      <c r="H224" s="48">
        <f>データ!I221</f>
        <v>30000</v>
      </c>
      <c r="I224" s="48">
        <f>データ!J221</f>
        <v>45000</v>
      </c>
      <c r="J224" s="39" t="str">
        <f>IF(OR($C224="総括",$C224="内訳書",$C224="内訳代価",$C224="明細書",$C224="明細代価",$C224="代価表",$C224="単価表"),データ!K221,"")</f>
        <v/>
      </c>
      <c r="K224" s="11" t="str">
        <f t="shared" si="18"/>
        <v/>
      </c>
      <c r="L224" s="46">
        <f t="shared" si="19"/>
        <v>6.4792017623428798E-4</v>
      </c>
      <c r="M224" s="40" t="str">
        <f>IF(データ!L221="","",データ!L221)</f>
        <v/>
      </c>
      <c r="N224" s="41" t="str">
        <f>IF(データ!M221="","",データ!M221)</f>
        <v/>
      </c>
      <c r="O224" s="42">
        <f>データ!N221</f>
        <v>0</v>
      </c>
      <c r="P224" s="48">
        <f>IF($C224="集計行","",データ!O221)</f>
        <v>0</v>
      </c>
      <c r="Q224" s="48">
        <f>データ!P221</f>
        <v>0</v>
      </c>
      <c r="R224" s="39" t="str">
        <f>IF(OR($C224="総括",$C224="内訳書",$C224="内訳代価",$C224="明細書",$C224="明細代価",$C224="代価表",$C224="単価表"),データ!Q221,"")</f>
        <v/>
      </c>
      <c r="S224" s="11" t="str">
        <f t="shared" si="20"/>
        <v/>
      </c>
      <c r="T224" s="46" t="e">
        <f t="shared" si="21"/>
        <v>#DIV/0!</v>
      </c>
      <c r="U224" s="40" t="str">
        <f>IF(データ!R221="","",データ!R221)</f>
        <v/>
      </c>
      <c r="V224" s="41" t="str">
        <f>IF(データ!S221="","",データ!S221)</f>
        <v/>
      </c>
      <c r="W224" s="42">
        <f>データ!T221</f>
        <v>0</v>
      </c>
      <c r="X224" s="48">
        <f>IF($C224="集計行","",データ!U221)</f>
        <v>0</v>
      </c>
      <c r="Y224" s="48">
        <f>データ!V221</f>
        <v>0</v>
      </c>
      <c r="Z224" s="39" t="str">
        <f>IF(OR($C224="総括",$C224="内訳書",$C224="内訳代価",$C224="明細書",$C224="明細代価",$C224="代価表",$C224="単価表"),データ!W221,"")</f>
        <v/>
      </c>
      <c r="AA224" s="11" t="str">
        <f t="shared" si="22"/>
        <v/>
      </c>
      <c r="AB224" s="46" t="e">
        <f t="shared" si="23"/>
        <v>#DIV/0!</v>
      </c>
      <c r="AC224" s="40" t="str">
        <f>IF(データ!X221="","",データ!X221)</f>
        <v/>
      </c>
      <c r="AD224" s="41" t="str">
        <f>IF(データ!Y221="","",データ!Y221)</f>
        <v/>
      </c>
      <c r="AE224" s="47" t="str">
        <f>TRIM(データ!B221)</f>
        <v/>
      </c>
      <c r="AF224" s="43" t="str">
        <f>TRIM(データ!Z221)</f>
        <v/>
      </c>
    </row>
    <row r="225" spans="1:32" x14ac:dyDescent="0.15">
      <c r="A225" s="47">
        <f>データ!A222</f>
        <v>3</v>
      </c>
      <c r="B225" s="47" t="str">
        <f>TRIM(データ!C222)</f>
        <v/>
      </c>
      <c r="C225" s="47" t="str">
        <f>TRIM(データ!D222)</f>
        <v>労務費</v>
      </c>
      <c r="D225" s="36" t="str">
        <f>REPT("｜",$A225)&amp;TRIM(データ!E222)</f>
        <v>｜｜｜技工</v>
      </c>
      <c r="E225" s="37" t="str">
        <f>TRIM(データ!F222)</f>
        <v/>
      </c>
      <c r="F225" s="38" t="str">
        <f>TRIM(データ!G222)</f>
        <v>人</v>
      </c>
      <c r="G225" s="50">
        <f>データ!H222</f>
        <v>6</v>
      </c>
      <c r="H225" s="48">
        <f>データ!I222</f>
        <v>28000</v>
      </c>
      <c r="I225" s="48">
        <f>データ!J222</f>
        <v>168000</v>
      </c>
      <c r="J225" s="39" t="str">
        <f>IF(OR($C225="総括",$C225="内訳書",$C225="内訳代価",$C225="明細書",$C225="明細代価",$C225="代価表",$C225="単価表"),データ!K222,"")</f>
        <v/>
      </c>
      <c r="K225" s="11" t="str">
        <f t="shared" si="18"/>
        <v/>
      </c>
      <c r="L225" s="46">
        <f t="shared" si="19"/>
        <v>2.418901991274675E-3</v>
      </c>
      <c r="M225" s="40" t="str">
        <f>IF(データ!L222="","",データ!L222)</f>
        <v/>
      </c>
      <c r="N225" s="41" t="str">
        <f>IF(データ!M222="","",データ!M222)</f>
        <v/>
      </c>
      <c r="O225" s="42">
        <f>データ!N222</f>
        <v>0</v>
      </c>
      <c r="P225" s="48">
        <f>IF($C225="集計行","",データ!O222)</f>
        <v>0</v>
      </c>
      <c r="Q225" s="48">
        <f>データ!P222</f>
        <v>0</v>
      </c>
      <c r="R225" s="39" t="str">
        <f>IF(OR($C225="総括",$C225="内訳書",$C225="内訳代価",$C225="明細書",$C225="明細代価",$C225="代価表",$C225="単価表"),データ!Q222,"")</f>
        <v/>
      </c>
      <c r="S225" s="11" t="str">
        <f t="shared" si="20"/>
        <v/>
      </c>
      <c r="T225" s="46" t="e">
        <f t="shared" si="21"/>
        <v>#DIV/0!</v>
      </c>
      <c r="U225" s="40" t="str">
        <f>IF(データ!R222="","",データ!R222)</f>
        <v/>
      </c>
      <c r="V225" s="41" t="str">
        <f>IF(データ!S222="","",データ!S222)</f>
        <v/>
      </c>
      <c r="W225" s="42">
        <f>データ!T222</f>
        <v>0</v>
      </c>
      <c r="X225" s="48">
        <f>IF($C225="集計行","",データ!U222)</f>
        <v>0</v>
      </c>
      <c r="Y225" s="48">
        <f>データ!V222</f>
        <v>0</v>
      </c>
      <c r="Z225" s="39" t="str">
        <f>IF(OR($C225="総括",$C225="内訳書",$C225="内訳代価",$C225="明細書",$C225="明細代価",$C225="代価表",$C225="単価表"),データ!W222,"")</f>
        <v/>
      </c>
      <c r="AA225" s="11" t="str">
        <f t="shared" si="22"/>
        <v/>
      </c>
      <c r="AB225" s="46" t="e">
        <f t="shared" si="23"/>
        <v>#DIV/0!</v>
      </c>
      <c r="AC225" s="40" t="str">
        <f>IF(データ!X222="","",データ!X222)</f>
        <v/>
      </c>
      <c r="AD225" s="41" t="str">
        <f>IF(データ!Y222="","",データ!Y222)</f>
        <v/>
      </c>
      <c r="AE225" s="47" t="str">
        <f>TRIM(データ!B222)</f>
        <v/>
      </c>
      <c r="AF225" s="43" t="str">
        <f>TRIM(データ!Z222)</f>
        <v/>
      </c>
    </row>
    <row r="226" spans="1:32" x14ac:dyDescent="0.15">
      <c r="A226" s="47">
        <f>データ!A223</f>
        <v>3</v>
      </c>
      <c r="B226" s="47" t="str">
        <f>TRIM(データ!C223)</f>
        <v/>
      </c>
      <c r="C226" s="47" t="str">
        <f>TRIM(データ!D223)</f>
        <v>機械費</v>
      </c>
      <c r="D226" s="36" t="str">
        <f>REPT("｜",$A226)&amp;TRIM(データ!E223)</f>
        <v>｜｜｜BH0.15</v>
      </c>
      <c r="E226" s="37" t="str">
        <f>TRIM(データ!F223)</f>
        <v/>
      </c>
      <c r="F226" s="38" t="str">
        <f>TRIM(データ!G223)</f>
        <v>台</v>
      </c>
      <c r="G226" s="50">
        <f>データ!H223</f>
        <v>2</v>
      </c>
      <c r="H226" s="48">
        <f>データ!I223</f>
        <v>8000</v>
      </c>
      <c r="I226" s="48">
        <f>データ!J223</f>
        <v>16000</v>
      </c>
      <c r="J226" s="39" t="str">
        <f>IF(OR($C226="総括",$C226="内訳書",$C226="内訳代価",$C226="明細書",$C226="明細代価",$C226="代価表",$C226="単価表"),データ!K223,"")</f>
        <v/>
      </c>
      <c r="K226" s="11" t="str">
        <f t="shared" si="18"/>
        <v/>
      </c>
      <c r="L226" s="46">
        <f t="shared" si="19"/>
        <v>2.303716182166357E-4</v>
      </c>
      <c r="M226" s="40" t="str">
        <f>IF(データ!L223="","",データ!L223)</f>
        <v/>
      </c>
      <c r="N226" s="41" t="str">
        <f>IF(データ!M223="","",データ!M223)</f>
        <v/>
      </c>
      <c r="O226" s="42">
        <f>データ!N223</f>
        <v>0</v>
      </c>
      <c r="P226" s="48">
        <f>IF($C226="集計行","",データ!O223)</f>
        <v>0</v>
      </c>
      <c r="Q226" s="48">
        <f>データ!P223</f>
        <v>0</v>
      </c>
      <c r="R226" s="39" t="str">
        <f>IF(OR($C226="総括",$C226="内訳書",$C226="内訳代価",$C226="明細書",$C226="明細代価",$C226="代価表",$C226="単価表"),データ!Q223,"")</f>
        <v/>
      </c>
      <c r="S226" s="11" t="str">
        <f t="shared" si="20"/>
        <v/>
      </c>
      <c r="T226" s="46" t="e">
        <f t="shared" si="21"/>
        <v>#DIV/0!</v>
      </c>
      <c r="U226" s="40" t="str">
        <f>IF(データ!R223="","",データ!R223)</f>
        <v/>
      </c>
      <c r="V226" s="41" t="str">
        <f>IF(データ!S223="","",データ!S223)</f>
        <v/>
      </c>
      <c r="W226" s="42">
        <f>データ!T223</f>
        <v>0</v>
      </c>
      <c r="X226" s="48">
        <f>IF($C226="集計行","",データ!U223)</f>
        <v>0</v>
      </c>
      <c r="Y226" s="48">
        <f>データ!V223</f>
        <v>0</v>
      </c>
      <c r="Z226" s="39" t="str">
        <f>IF(OR($C226="総括",$C226="内訳書",$C226="内訳代価",$C226="明細書",$C226="明細代価",$C226="代価表",$C226="単価表"),データ!W223,"")</f>
        <v/>
      </c>
      <c r="AA226" s="11" t="str">
        <f t="shared" si="22"/>
        <v/>
      </c>
      <c r="AB226" s="46" t="e">
        <f t="shared" si="23"/>
        <v>#DIV/0!</v>
      </c>
      <c r="AC226" s="40" t="str">
        <f>IF(データ!X223="","",データ!X223)</f>
        <v/>
      </c>
      <c r="AD226" s="41" t="str">
        <f>IF(データ!Y223="","",データ!Y223)</f>
        <v/>
      </c>
      <c r="AE226" s="47" t="str">
        <f>TRIM(データ!B223)</f>
        <v/>
      </c>
      <c r="AF226" s="43" t="str">
        <f>TRIM(データ!Z223)</f>
        <v/>
      </c>
    </row>
    <row r="227" spans="1:32" x14ac:dyDescent="0.15">
      <c r="A227" s="47">
        <f>データ!A224</f>
        <v>3</v>
      </c>
      <c r="B227" s="47" t="str">
        <f>TRIM(データ!C224)</f>
        <v/>
      </c>
      <c r="C227" s="47" t="str">
        <f>TRIM(データ!D224)</f>
        <v>機械費</v>
      </c>
      <c r="D227" s="36" t="str">
        <f>REPT("｜",$A227)&amp;TRIM(データ!E224)</f>
        <v>｜｜｜プレート</v>
      </c>
      <c r="E227" s="37" t="str">
        <f>TRIM(データ!F224)</f>
        <v/>
      </c>
      <c r="F227" s="38" t="str">
        <f>TRIM(データ!G224)</f>
        <v>台</v>
      </c>
      <c r="G227" s="50">
        <f>データ!H224</f>
        <v>2</v>
      </c>
      <c r="H227" s="48">
        <f>データ!I224</f>
        <v>1500</v>
      </c>
      <c r="I227" s="48">
        <f>データ!J224</f>
        <v>3000</v>
      </c>
      <c r="J227" s="39" t="str">
        <f>IF(OR($C227="総括",$C227="内訳書",$C227="内訳代価",$C227="明細書",$C227="明細代価",$C227="代価表",$C227="単価表"),データ!K224,"")</f>
        <v/>
      </c>
      <c r="K227" s="11" t="str">
        <f t="shared" si="18"/>
        <v/>
      </c>
      <c r="L227" s="46">
        <f t="shared" si="19"/>
        <v>4.3194678415619194E-5</v>
      </c>
      <c r="M227" s="40" t="str">
        <f>IF(データ!L224="","",データ!L224)</f>
        <v/>
      </c>
      <c r="N227" s="41" t="str">
        <f>IF(データ!M224="","",データ!M224)</f>
        <v/>
      </c>
      <c r="O227" s="42">
        <f>データ!N224</f>
        <v>0</v>
      </c>
      <c r="P227" s="48">
        <f>IF($C227="集計行","",データ!O224)</f>
        <v>0</v>
      </c>
      <c r="Q227" s="48">
        <f>データ!P224</f>
        <v>0</v>
      </c>
      <c r="R227" s="39" t="str">
        <f>IF(OR($C227="総括",$C227="内訳書",$C227="内訳代価",$C227="明細書",$C227="明細代価",$C227="代価表",$C227="単価表"),データ!Q224,"")</f>
        <v/>
      </c>
      <c r="S227" s="11" t="str">
        <f t="shared" si="20"/>
        <v/>
      </c>
      <c r="T227" s="46" t="e">
        <f t="shared" si="21"/>
        <v>#DIV/0!</v>
      </c>
      <c r="U227" s="40" t="str">
        <f>IF(データ!R224="","",データ!R224)</f>
        <v/>
      </c>
      <c r="V227" s="41" t="str">
        <f>IF(データ!S224="","",データ!S224)</f>
        <v/>
      </c>
      <c r="W227" s="42">
        <f>データ!T224</f>
        <v>0</v>
      </c>
      <c r="X227" s="48">
        <f>IF($C227="集計行","",データ!U224)</f>
        <v>0</v>
      </c>
      <c r="Y227" s="48">
        <f>データ!V224</f>
        <v>0</v>
      </c>
      <c r="Z227" s="39" t="str">
        <f>IF(OR($C227="総括",$C227="内訳書",$C227="内訳代価",$C227="明細書",$C227="明細代価",$C227="代価表",$C227="単価表"),データ!W224,"")</f>
        <v/>
      </c>
      <c r="AA227" s="11" t="str">
        <f t="shared" si="22"/>
        <v/>
      </c>
      <c r="AB227" s="46" t="e">
        <f t="shared" si="23"/>
        <v>#DIV/0!</v>
      </c>
      <c r="AC227" s="40" t="str">
        <f>IF(データ!X224="","",データ!X224)</f>
        <v/>
      </c>
      <c r="AD227" s="41" t="str">
        <f>IF(データ!Y224="","",データ!Y224)</f>
        <v/>
      </c>
      <c r="AE227" s="47" t="str">
        <f>TRIM(データ!B224)</f>
        <v/>
      </c>
      <c r="AF227" s="43" t="str">
        <f>TRIM(データ!Z224)</f>
        <v/>
      </c>
    </row>
    <row r="228" spans="1:32" x14ac:dyDescent="0.15">
      <c r="A228" s="47">
        <f>データ!A225</f>
        <v>3</v>
      </c>
      <c r="B228" s="47" t="str">
        <f>TRIM(データ!C225)</f>
        <v/>
      </c>
      <c r="C228" s="47" t="str">
        <f>TRIM(データ!D225)</f>
        <v>機械費</v>
      </c>
      <c r="D228" s="36" t="str">
        <f>REPT("｜",$A228)&amp;TRIM(データ!E225)</f>
        <v>｜｜｜ランマー</v>
      </c>
      <c r="E228" s="37" t="str">
        <f>TRIM(データ!F225)</f>
        <v/>
      </c>
      <c r="F228" s="38" t="str">
        <f>TRIM(データ!G225)</f>
        <v>台</v>
      </c>
      <c r="G228" s="50">
        <f>データ!H225</f>
        <v>2</v>
      </c>
      <c r="H228" s="48">
        <f>データ!I225</f>
        <v>1500</v>
      </c>
      <c r="I228" s="48">
        <f>データ!J225</f>
        <v>3000</v>
      </c>
      <c r="J228" s="39" t="str">
        <f>IF(OR($C228="総括",$C228="内訳書",$C228="内訳代価",$C228="明細書",$C228="明細代価",$C228="代価表",$C228="単価表"),データ!K225,"")</f>
        <v/>
      </c>
      <c r="K228" s="11" t="str">
        <f t="shared" si="18"/>
        <v/>
      </c>
      <c r="L228" s="46">
        <f t="shared" si="19"/>
        <v>4.3194678415619194E-5</v>
      </c>
      <c r="M228" s="40" t="str">
        <f>IF(データ!L225="","",データ!L225)</f>
        <v/>
      </c>
      <c r="N228" s="41" t="str">
        <f>IF(データ!M225="","",データ!M225)</f>
        <v/>
      </c>
      <c r="O228" s="42">
        <f>データ!N225</f>
        <v>0</v>
      </c>
      <c r="P228" s="48">
        <f>IF($C228="集計行","",データ!O225)</f>
        <v>0</v>
      </c>
      <c r="Q228" s="48">
        <f>データ!P225</f>
        <v>0</v>
      </c>
      <c r="R228" s="39" t="str">
        <f>IF(OR($C228="総括",$C228="内訳書",$C228="内訳代価",$C228="明細書",$C228="明細代価",$C228="代価表",$C228="単価表"),データ!Q225,"")</f>
        <v/>
      </c>
      <c r="S228" s="11" t="str">
        <f t="shared" si="20"/>
        <v/>
      </c>
      <c r="T228" s="46" t="e">
        <f t="shared" si="21"/>
        <v>#DIV/0!</v>
      </c>
      <c r="U228" s="40" t="str">
        <f>IF(データ!R225="","",データ!R225)</f>
        <v/>
      </c>
      <c r="V228" s="41" t="str">
        <f>IF(データ!S225="","",データ!S225)</f>
        <v/>
      </c>
      <c r="W228" s="42">
        <f>データ!T225</f>
        <v>0</v>
      </c>
      <c r="X228" s="48">
        <f>IF($C228="集計行","",データ!U225)</f>
        <v>0</v>
      </c>
      <c r="Y228" s="48">
        <f>データ!V225</f>
        <v>0</v>
      </c>
      <c r="Z228" s="39" t="str">
        <f>IF(OR($C228="総括",$C228="内訳書",$C228="内訳代価",$C228="明細書",$C228="明細代価",$C228="代価表",$C228="単価表"),データ!W225,"")</f>
        <v/>
      </c>
      <c r="AA228" s="11" t="str">
        <f t="shared" si="22"/>
        <v/>
      </c>
      <c r="AB228" s="46" t="e">
        <f t="shared" si="23"/>
        <v>#DIV/0!</v>
      </c>
      <c r="AC228" s="40" t="str">
        <f>IF(データ!X225="","",データ!X225)</f>
        <v/>
      </c>
      <c r="AD228" s="41" t="str">
        <f>IF(データ!Y225="","",データ!Y225)</f>
        <v/>
      </c>
      <c r="AE228" s="47" t="str">
        <f>TRIM(データ!B225)</f>
        <v/>
      </c>
      <c r="AF228" s="43" t="str">
        <f>TRIM(データ!Z225)</f>
        <v/>
      </c>
    </row>
    <row r="229" spans="1:32" x14ac:dyDescent="0.15">
      <c r="A229" s="47">
        <f>データ!A226</f>
        <v>3</v>
      </c>
      <c r="B229" s="47" t="str">
        <f>TRIM(データ!C226)</f>
        <v/>
      </c>
      <c r="C229" s="47" t="str">
        <f>TRIM(データ!D226)</f>
        <v>運搬費</v>
      </c>
      <c r="D229" s="36" t="str">
        <f>REPT("｜",$A229)&amp;TRIM(データ!E226)</f>
        <v>｜｜｜4tダンプ</v>
      </c>
      <c r="E229" s="37" t="str">
        <f>TRIM(データ!F226)</f>
        <v/>
      </c>
      <c r="F229" s="38" t="str">
        <f>TRIM(データ!G226)</f>
        <v>台</v>
      </c>
      <c r="G229" s="50">
        <f>データ!H226</f>
        <v>2</v>
      </c>
      <c r="H229" s="48">
        <f>データ!I226</f>
        <v>10000</v>
      </c>
      <c r="I229" s="48">
        <f>データ!J226</f>
        <v>20000</v>
      </c>
      <c r="J229" s="39" t="str">
        <f>IF(OR($C229="総括",$C229="内訳書",$C229="内訳代価",$C229="明細書",$C229="明細代価",$C229="代価表",$C229="単価表"),データ!K226,"")</f>
        <v/>
      </c>
      <c r="K229" s="11" t="str">
        <f t="shared" si="18"/>
        <v/>
      </c>
      <c r="L229" s="46">
        <f t="shared" si="19"/>
        <v>2.8796452277079463E-4</v>
      </c>
      <c r="M229" s="40" t="str">
        <f>IF(データ!L226="","",データ!L226)</f>
        <v/>
      </c>
      <c r="N229" s="41" t="str">
        <f>IF(データ!M226="","",データ!M226)</f>
        <v/>
      </c>
      <c r="O229" s="42">
        <f>データ!N226</f>
        <v>0</v>
      </c>
      <c r="P229" s="48">
        <f>IF($C229="集計行","",データ!O226)</f>
        <v>0</v>
      </c>
      <c r="Q229" s="48">
        <f>データ!P226</f>
        <v>0</v>
      </c>
      <c r="R229" s="39" t="str">
        <f>IF(OR($C229="総括",$C229="内訳書",$C229="内訳代価",$C229="明細書",$C229="明細代価",$C229="代価表",$C229="単価表"),データ!Q226,"")</f>
        <v/>
      </c>
      <c r="S229" s="11" t="str">
        <f t="shared" si="20"/>
        <v/>
      </c>
      <c r="T229" s="46" t="e">
        <f t="shared" si="21"/>
        <v>#DIV/0!</v>
      </c>
      <c r="U229" s="40" t="str">
        <f>IF(データ!R226="","",データ!R226)</f>
        <v/>
      </c>
      <c r="V229" s="41" t="str">
        <f>IF(データ!S226="","",データ!S226)</f>
        <v/>
      </c>
      <c r="W229" s="42">
        <f>データ!T226</f>
        <v>0</v>
      </c>
      <c r="X229" s="48">
        <f>IF($C229="集計行","",データ!U226)</f>
        <v>0</v>
      </c>
      <c r="Y229" s="48">
        <f>データ!V226</f>
        <v>0</v>
      </c>
      <c r="Z229" s="39" t="str">
        <f>IF(OR($C229="総括",$C229="内訳書",$C229="内訳代価",$C229="明細書",$C229="明細代価",$C229="代価表",$C229="単価表"),データ!W226,"")</f>
        <v/>
      </c>
      <c r="AA229" s="11" t="str">
        <f t="shared" si="22"/>
        <v/>
      </c>
      <c r="AB229" s="46" t="e">
        <f t="shared" si="23"/>
        <v>#DIV/0!</v>
      </c>
      <c r="AC229" s="40" t="str">
        <f>IF(データ!X226="","",データ!X226)</f>
        <v/>
      </c>
      <c r="AD229" s="41" t="str">
        <f>IF(データ!Y226="","",データ!Y226)</f>
        <v/>
      </c>
      <c r="AE229" s="47" t="str">
        <f>TRIM(データ!B226)</f>
        <v/>
      </c>
      <c r="AF229" s="43" t="str">
        <f>TRIM(データ!Z226)</f>
        <v/>
      </c>
    </row>
    <row r="230" spans="1:32" x14ac:dyDescent="0.15">
      <c r="A230" s="47">
        <f>データ!A227</f>
        <v>3</v>
      </c>
      <c r="B230" s="47" t="str">
        <f>TRIM(データ!C227)</f>
        <v/>
      </c>
      <c r="C230" s="47" t="str">
        <f>TRIM(データ!D227)</f>
        <v>運搬費</v>
      </c>
      <c r="D230" s="36" t="str">
        <f>REPT("｜",$A230)&amp;TRIM(データ!E227)</f>
        <v>｜｜｜2tダンプ</v>
      </c>
      <c r="E230" s="37" t="str">
        <f>TRIM(データ!F227)</f>
        <v/>
      </c>
      <c r="F230" s="38" t="str">
        <f>TRIM(データ!G227)</f>
        <v>台</v>
      </c>
      <c r="G230" s="50">
        <f>データ!H227</f>
        <v>2</v>
      </c>
      <c r="H230" s="48">
        <f>データ!I227</f>
        <v>7000</v>
      </c>
      <c r="I230" s="48">
        <f>データ!J227</f>
        <v>14000</v>
      </c>
      <c r="J230" s="39" t="str">
        <f>IF(OR($C230="総括",$C230="内訳書",$C230="内訳代価",$C230="明細書",$C230="明細代価",$C230="代価表",$C230="単価表"),データ!K227,"")</f>
        <v/>
      </c>
      <c r="K230" s="11" t="str">
        <f t="shared" si="18"/>
        <v/>
      </c>
      <c r="L230" s="46">
        <f t="shared" si="19"/>
        <v>2.0157516593955624E-4</v>
      </c>
      <c r="M230" s="40" t="str">
        <f>IF(データ!L227="","",データ!L227)</f>
        <v/>
      </c>
      <c r="N230" s="41" t="str">
        <f>IF(データ!M227="","",データ!M227)</f>
        <v/>
      </c>
      <c r="O230" s="42">
        <f>データ!N227</f>
        <v>0</v>
      </c>
      <c r="P230" s="48">
        <f>IF($C230="集計行","",データ!O227)</f>
        <v>0</v>
      </c>
      <c r="Q230" s="48">
        <f>データ!P227</f>
        <v>0</v>
      </c>
      <c r="R230" s="39" t="str">
        <f>IF(OR($C230="総括",$C230="内訳書",$C230="内訳代価",$C230="明細書",$C230="明細代価",$C230="代価表",$C230="単価表"),データ!Q227,"")</f>
        <v/>
      </c>
      <c r="S230" s="11" t="str">
        <f t="shared" si="20"/>
        <v/>
      </c>
      <c r="T230" s="46" t="e">
        <f t="shared" si="21"/>
        <v>#DIV/0!</v>
      </c>
      <c r="U230" s="40" t="str">
        <f>IF(データ!R227="","",データ!R227)</f>
        <v/>
      </c>
      <c r="V230" s="41" t="str">
        <f>IF(データ!S227="","",データ!S227)</f>
        <v/>
      </c>
      <c r="W230" s="42">
        <f>データ!T227</f>
        <v>0</v>
      </c>
      <c r="X230" s="48">
        <f>IF($C230="集計行","",データ!U227)</f>
        <v>0</v>
      </c>
      <c r="Y230" s="48">
        <f>データ!V227</f>
        <v>0</v>
      </c>
      <c r="Z230" s="39" t="str">
        <f>IF(OR($C230="総括",$C230="内訳書",$C230="内訳代価",$C230="明細書",$C230="明細代価",$C230="代価表",$C230="単価表"),データ!W227,"")</f>
        <v/>
      </c>
      <c r="AA230" s="11" t="str">
        <f t="shared" si="22"/>
        <v/>
      </c>
      <c r="AB230" s="46" t="e">
        <f t="shared" si="23"/>
        <v>#DIV/0!</v>
      </c>
      <c r="AC230" s="40" t="str">
        <f>IF(データ!X227="","",データ!X227)</f>
        <v/>
      </c>
      <c r="AD230" s="41" t="str">
        <f>IF(データ!Y227="","",データ!Y227)</f>
        <v/>
      </c>
      <c r="AE230" s="47" t="str">
        <f>TRIM(データ!B227)</f>
        <v/>
      </c>
      <c r="AF230" s="43" t="str">
        <f>TRIM(データ!Z227)</f>
        <v/>
      </c>
    </row>
    <row r="231" spans="1:32" x14ac:dyDescent="0.15">
      <c r="A231" s="47">
        <f>データ!A228</f>
        <v>3</v>
      </c>
      <c r="B231" s="47" t="str">
        <f>TRIM(データ!C228)</f>
        <v/>
      </c>
      <c r="C231" s="47" t="str">
        <f>TRIM(データ!D228)</f>
        <v>材料費</v>
      </c>
      <c r="D231" s="36" t="str">
        <f>REPT("｜",$A231)&amp;TRIM(データ!E228)</f>
        <v>｜｜｜軽油</v>
      </c>
      <c r="E231" s="37" t="str">
        <f>TRIM(データ!F228)</f>
        <v/>
      </c>
      <c r="F231" s="38" t="str">
        <f>TRIM(データ!G228)</f>
        <v>リットル</v>
      </c>
      <c r="G231" s="50">
        <f>データ!H228</f>
        <v>80</v>
      </c>
      <c r="H231" s="48">
        <f>データ!I228</f>
        <v>150</v>
      </c>
      <c r="I231" s="48">
        <f>データ!J228</f>
        <v>12000</v>
      </c>
      <c r="J231" s="39" t="str">
        <f>IF(OR($C231="総括",$C231="内訳書",$C231="内訳代価",$C231="明細書",$C231="明細代価",$C231="代価表",$C231="単価表"),データ!K228,"")</f>
        <v/>
      </c>
      <c r="K231" s="11" t="str">
        <f t="shared" si="18"/>
        <v/>
      </c>
      <c r="L231" s="46">
        <f t="shared" si="19"/>
        <v>1.7277871366247678E-4</v>
      </c>
      <c r="M231" s="40" t="str">
        <f>IF(データ!L228="","",データ!L228)</f>
        <v/>
      </c>
      <c r="N231" s="41" t="str">
        <f>IF(データ!M228="","",データ!M228)</f>
        <v/>
      </c>
      <c r="O231" s="42">
        <f>データ!N228</f>
        <v>0</v>
      </c>
      <c r="P231" s="48">
        <f>IF($C231="集計行","",データ!O228)</f>
        <v>0</v>
      </c>
      <c r="Q231" s="48">
        <f>データ!P228</f>
        <v>0</v>
      </c>
      <c r="R231" s="39" t="str">
        <f>IF(OR($C231="総括",$C231="内訳書",$C231="内訳代価",$C231="明細書",$C231="明細代価",$C231="代価表",$C231="単価表"),データ!Q228,"")</f>
        <v/>
      </c>
      <c r="S231" s="11" t="str">
        <f t="shared" si="20"/>
        <v/>
      </c>
      <c r="T231" s="46" t="e">
        <f t="shared" si="21"/>
        <v>#DIV/0!</v>
      </c>
      <c r="U231" s="40" t="str">
        <f>IF(データ!R228="","",データ!R228)</f>
        <v/>
      </c>
      <c r="V231" s="41" t="str">
        <f>IF(データ!S228="","",データ!S228)</f>
        <v/>
      </c>
      <c r="W231" s="42">
        <f>データ!T228</f>
        <v>0</v>
      </c>
      <c r="X231" s="48">
        <f>IF($C231="集計行","",データ!U228)</f>
        <v>0</v>
      </c>
      <c r="Y231" s="48">
        <f>データ!V228</f>
        <v>0</v>
      </c>
      <c r="Z231" s="39" t="str">
        <f>IF(OR($C231="総括",$C231="内訳書",$C231="内訳代価",$C231="明細書",$C231="明細代価",$C231="代価表",$C231="単価表"),データ!W228,"")</f>
        <v/>
      </c>
      <c r="AA231" s="11" t="str">
        <f t="shared" si="22"/>
        <v/>
      </c>
      <c r="AB231" s="46" t="e">
        <f t="shared" si="23"/>
        <v>#DIV/0!</v>
      </c>
      <c r="AC231" s="40" t="str">
        <f>IF(データ!X228="","",データ!X228)</f>
        <v/>
      </c>
      <c r="AD231" s="41" t="str">
        <f>IF(データ!Y228="","",データ!Y228)</f>
        <v/>
      </c>
      <c r="AE231" s="47" t="str">
        <f>TRIM(データ!B228)</f>
        <v/>
      </c>
      <c r="AF231" s="43" t="str">
        <f>TRIM(データ!Z228)</f>
        <v/>
      </c>
    </row>
    <row r="232" spans="1:32" x14ac:dyDescent="0.15">
      <c r="A232" s="47">
        <f>データ!A229</f>
        <v>3</v>
      </c>
      <c r="B232" s="47" t="str">
        <f>TRIM(データ!C229)</f>
        <v/>
      </c>
      <c r="C232" s="47" t="str">
        <f>TRIM(データ!D229)</f>
        <v>材料費</v>
      </c>
      <c r="D232" s="36" t="str">
        <f>REPT("｜",$A232)&amp;TRIM(データ!E229)</f>
        <v>｜｜｜ガソリン</v>
      </c>
      <c r="E232" s="37" t="str">
        <f>TRIM(データ!F229)</f>
        <v/>
      </c>
      <c r="F232" s="38" t="str">
        <f>TRIM(データ!G229)</f>
        <v>リットル</v>
      </c>
      <c r="G232" s="50">
        <f>データ!H229</f>
        <v>80</v>
      </c>
      <c r="H232" s="48">
        <f>データ!I229</f>
        <v>200</v>
      </c>
      <c r="I232" s="48">
        <f>データ!J229</f>
        <v>16000</v>
      </c>
      <c r="J232" s="39" t="str">
        <f>IF(OR($C232="総括",$C232="内訳書",$C232="内訳代価",$C232="明細書",$C232="明細代価",$C232="代価表",$C232="単価表"),データ!K229,"")</f>
        <v/>
      </c>
      <c r="K232" s="11" t="str">
        <f t="shared" si="18"/>
        <v/>
      </c>
      <c r="L232" s="46">
        <f t="shared" si="19"/>
        <v>2.303716182166357E-4</v>
      </c>
      <c r="M232" s="40" t="str">
        <f>IF(データ!L229="","",データ!L229)</f>
        <v/>
      </c>
      <c r="N232" s="41" t="str">
        <f>IF(データ!M229="","",データ!M229)</f>
        <v/>
      </c>
      <c r="O232" s="42">
        <f>データ!N229</f>
        <v>0</v>
      </c>
      <c r="P232" s="48">
        <f>IF($C232="集計行","",データ!O229)</f>
        <v>0</v>
      </c>
      <c r="Q232" s="48">
        <f>データ!P229</f>
        <v>0</v>
      </c>
      <c r="R232" s="39" t="str">
        <f>IF(OR($C232="総括",$C232="内訳書",$C232="内訳代価",$C232="明細書",$C232="明細代価",$C232="代価表",$C232="単価表"),データ!Q229,"")</f>
        <v/>
      </c>
      <c r="S232" s="11" t="str">
        <f t="shared" si="20"/>
        <v/>
      </c>
      <c r="T232" s="46" t="e">
        <f t="shared" si="21"/>
        <v>#DIV/0!</v>
      </c>
      <c r="U232" s="40" t="str">
        <f>IF(データ!R229="","",データ!R229)</f>
        <v/>
      </c>
      <c r="V232" s="41" t="str">
        <f>IF(データ!S229="","",データ!S229)</f>
        <v/>
      </c>
      <c r="W232" s="42">
        <f>データ!T229</f>
        <v>0</v>
      </c>
      <c r="X232" s="48">
        <f>IF($C232="集計行","",データ!U229)</f>
        <v>0</v>
      </c>
      <c r="Y232" s="48">
        <f>データ!V229</f>
        <v>0</v>
      </c>
      <c r="Z232" s="39" t="str">
        <f>IF(OR($C232="総括",$C232="内訳書",$C232="内訳代価",$C232="明細書",$C232="明細代価",$C232="代価表",$C232="単価表"),データ!W229,"")</f>
        <v/>
      </c>
      <c r="AA232" s="11" t="str">
        <f t="shared" si="22"/>
        <v/>
      </c>
      <c r="AB232" s="46" t="e">
        <f t="shared" si="23"/>
        <v>#DIV/0!</v>
      </c>
      <c r="AC232" s="40" t="str">
        <f>IF(データ!X229="","",データ!X229)</f>
        <v/>
      </c>
      <c r="AD232" s="41" t="str">
        <f>IF(データ!Y229="","",データ!Y229)</f>
        <v/>
      </c>
      <c r="AE232" s="47" t="str">
        <f>TRIM(データ!B229)</f>
        <v/>
      </c>
      <c r="AF232" s="43" t="str">
        <f>TRIM(データ!Z229)</f>
        <v/>
      </c>
    </row>
    <row r="233" spans="1:32" x14ac:dyDescent="0.15">
      <c r="A233" s="47">
        <f>データ!A230</f>
        <v>3</v>
      </c>
      <c r="B233" s="47" t="str">
        <f>TRIM(データ!C230)</f>
        <v/>
      </c>
      <c r="C233" s="47" t="str">
        <f>TRIM(データ!D230)</f>
        <v>材料費</v>
      </c>
      <c r="D233" s="36" t="str">
        <f>REPT("｜",$A233)&amp;TRIM(データ!E230)</f>
        <v>｜｜｜雑材</v>
      </c>
      <c r="E233" s="37" t="str">
        <f>TRIM(データ!F230)</f>
        <v/>
      </c>
      <c r="F233" s="38" t="str">
        <f>TRIM(データ!G230)</f>
        <v>式</v>
      </c>
      <c r="G233" s="50">
        <f>データ!H230</f>
        <v>1</v>
      </c>
      <c r="H233" s="48">
        <f>データ!I230</f>
        <v>17440</v>
      </c>
      <c r="I233" s="48">
        <f>データ!J230</f>
        <v>17440</v>
      </c>
      <c r="J233" s="39" t="str">
        <f>IF(OR($C233="総括",$C233="内訳書",$C233="内訳代価",$C233="明細書",$C233="明細代価",$C233="代価表",$C233="単価表"),データ!K230,"")</f>
        <v/>
      </c>
      <c r="K233" s="11" t="str">
        <f t="shared" si="18"/>
        <v/>
      </c>
      <c r="L233" s="46">
        <f t="shared" si="19"/>
        <v>2.5110506385613295E-4</v>
      </c>
      <c r="M233" s="40" t="str">
        <f>IF(データ!L230="","",データ!L230)</f>
        <v/>
      </c>
      <c r="N233" s="41" t="str">
        <f>IF(データ!M230="","",データ!M230)</f>
        <v/>
      </c>
      <c r="O233" s="42">
        <f>データ!N230</f>
        <v>0</v>
      </c>
      <c r="P233" s="48">
        <f>IF($C233="集計行","",データ!O230)</f>
        <v>0</v>
      </c>
      <c r="Q233" s="48">
        <f>データ!P230</f>
        <v>0</v>
      </c>
      <c r="R233" s="39" t="str">
        <f>IF(OR($C233="総括",$C233="内訳書",$C233="内訳代価",$C233="明細書",$C233="明細代価",$C233="代価表",$C233="単価表"),データ!Q230,"")</f>
        <v/>
      </c>
      <c r="S233" s="11" t="str">
        <f t="shared" si="20"/>
        <v/>
      </c>
      <c r="T233" s="46" t="e">
        <f t="shared" si="21"/>
        <v>#DIV/0!</v>
      </c>
      <c r="U233" s="40" t="str">
        <f>IF(データ!R230="","",データ!R230)</f>
        <v/>
      </c>
      <c r="V233" s="41" t="str">
        <f>IF(データ!S230="","",データ!S230)</f>
        <v/>
      </c>
      <c r="W233" s="42">
        <f>データ!T230</f>
        <v>0</v>
      </c>
      <c r="X233" s="48">
        <f>IF($C233="集計行","",データ!U230)</f>
        <v>0</v>
      </c>
      <c r="Y233" s="48">
        <f>データ!V230</f>
        <v>0</v>
      </c>
      <c r="Z233" s="39" t="str">
        <f>IF(OR($C233="総括",$C233="内訳書",$C233="内訳代価",$C233="明細書",$C233="明細代価",$C233="代価表",$C233="単価表"),データ!W230,"")</f>
        <v/>
      </c>
      <c r="AA233" s="11" t="str">
        <f t="shared" si="22"/>
        <v/>
      </c>
      <c r="AB233" s="46" t="e">
        <f t="shared" si="23"/>
        <v>#DIV/0!</v>
      </c>
      <c r="AC233" s="40" t="str">
        <f>IF(データ!X230="","",データ!X230)</f>
        <v/>
      </c>
      <c r="AD233" s="41" t="str">
        <f>IF(データ!Y230="","",データ!Y230)</f>
        <v/>
      </c>
      <c r="AE233" s="47" t="str">
        <f>TRIM(データ!B230)</f>
        <v/>
      </c>
      <c r="AF233" s="43" t="str">
        <f>TRIM(データ!Z230)</f>
        <v/>
      </c>
    </row>
    <row r="234" spans="1:32" x14ac:dyDescent="0.15">
      <c r="A234" s="47">
        <f>データ!A231</f>
        <v>3</v>
      </c>
      <c r="B234" s="47" t="str">
        <f>TRIM(データ!C231)</f>
        <v/>
      </c>
      <c r="C234" s="47" t="str">
        <f>TRIM(データ!D231)</f>
        <v>外注費</v>
      </c>
      <c r="D234" s="36" t="str">
        <f>REPT("｜",$A234)&amp;TRIM(データ!E231)</f>
        <v>｜｜｜外注経費</v>
      </c>
      <c r="E234" s="37" t="str">
        <f>TRIM(データ!F231)</f>
        <v/>
      </c>
      <c r="F234" s="38" t="str">
        <f>TRIM(データ!G231)</f>
        <v>式</v>
      </c>
      <c r="G234" s="50">
        <f>データ!H231</f>
        <v>1</v>
      </c>
      <c r="H234" s="48">
        <f>データ!I231</f>
        <v>25200</v>
      </c>
      <c r="I234" s="48">
        <f>データ!J231</f>
        <v>25200</v>
      </c>
      <c r="J234" s="39" t="str">
        <f>IF(OR($C234="総括",$C234="内訳書",$C234="内訳代価",$C234="明細書",$C234="明細代価",$C234="代価表",$C234="単価表"),データ!K231,"")</f>
        <v/>
      </c>
      <c r="K234" s="11" t="str">
        <f t="shared" si="18"/>
        <v/>
      </c>
      <c r="L234" s="46">
        <f t="shared" si="19"/>
        <v>3.6283529869120127E-4</v>
      </c>
      <c r="M234" s="40" t="str">
        <f>IF(データ!L231="","",データ!L231)</f>
        <v/>
      </c>
      <c r="N234" s="41" t="str">
        <f>IF(データ!M231="","",データ!M231)</f>
        <v/>
      </c>
      <c r="O234" s="42">
        <f>データ!N231</f>
        <v>0</v>
      </c>
      <c r="P234" s="48">
        <f>IF($C234="集計行","",データ!O231)</f>
        <v>0</v>
      </c>
      <c r="Q234" s="48">
        <f>データ!P231</f>
        <v>0</v>
      </c>
      <c r="R234" s="39" t="str">
        <f>IF(OR($C234="総括",$C234="内訳書",$C234="内訳代価",$C234="明細書",$C234="明細代価",$C234="代価表",$C234="単価表"),データ!Q231,"")</f>
        <v/>
      </c>
      <c r="S234" s="11" t="str">
        <f t="shared" si="20"/>
        <v/>
      </c>
      <c r="T234" s="46" t="e">
        <f t="shared" si="21"/>
        <v>#DIV/0!</v>
      </c>
      <c r="U234" s="40" t="str">
        <f>IF(データ!R231="","",データ!R231)</f>
        <v/>
      </c>
      <c r="V234" s="41" t="str">
        <f>IF(データ!S231="","",データ!S231)</f>
        <v/>
      </c>
      <c r="W234" s="42">
        <f>データ!T231</f>
        <v>0</v>
      </c>
      <c r="X234" s="48">
        <f>IF($C234="集計行","",データ!U231)</f>
        <v>0</v>
      </c>
      <c r="Y234" s="48">
        <f>データ!V231</f>
        <v>0</v>
      </c>
      <c r="Z234" s="39" t="str">
        <f>IF(OR($C234="総括",$C234="内訳書",$C234="内訳代価",$C234="明細書",$C234="明細代価",$C234="代価表",$C234="単価表"),データ!W231,"")</f>
        <v/>
      </c>
      <c r="AA234" s="11" t="str">
        <f t="shared" si="22"/>
        <v/>
      </c>
      <c r="AB234" s="46" t="e">
        <f t="shared" si="23"/>
        <v>#DIV/0!</v>
      </c>
      <c r="AC234" s="40" t="str">
        <f>IF(データ!X231="","",データ!X231)</f>
        <v/>
      </c>
      <c r="AD234" s="41" t="str">
        <f>IF(データ!Y231="","",データ!Y231)</f>
        <v/>
      </c>
      <c r="AE234" s="47" t="str">
        <f>TRIM(データ!B231)</f>
        <v/>
      </c>
      <c r="AF234" s="43" t="str">
        <f>TRIM(データ!Z231)</f>
        <v/>
      </c>
    </row>
    <row r="235" spans="1:32" x14ac:dyDescent="0.15">
      <c r="A235" s="47">
        <f>データ!A232</f>
        <v>2</v>
      </c>
      <c r="B235" s="47" t="str">
        <f>TRIM(データ!C232)</f>
        <v/>
      </c>
      <c r="C235" s="47" t="str">
        <f>TRIM(データ!D232)</f>
        <v>内訳書</v>
      </c>
      <c r="D235" s="36" t="str">
        <f>REPT("｜",$A235)&amp;TRIM(データ!E232)</f>
        <v>｜｜横断側溝　300×500</v>
      </c>
      <c r="E235" s="37" t="str">
        <f>TRIM(データ!F232)</f>
        <v/>
      </c>
      <c r="F235" s="38" t="str">
        <f>TRIM(データ!G232)</f>
        <v>ｍ</v>
      </c>
      <c r="G235" s="50">
        <f>データ!H232</f>
        <v>10</v>
      </c>
      <c r="H235" s="48">
        <f>データ!I232</f>
        <v>92400</v>
      </c>
      <c r="I235" s="48">
        <f>データ!J232</f>
        <v>924000</v>
      </c>
      <c r="J235" s="39">
        <f>IF(OR($C235="総括",$C235="内訳書",$C235="内訳代価",$C235="明細書",$C235="明細代価",$C235="代価表",$C235="単価表"),データ!K232,"")</f>
        <v>10</v>
      </c>
      <c r="K235" s="11" t="str">
        <f t="shared" si="18"/>
        <v/>
      </c>
      <c r="L235" s="46">
        <f t="shared" si="19"/>
        <v>1.3303960952010712E-2</v>
      </c>
      <c r="M235" s="40" t="str">
        <f>IF(データ!L232="","",データ!L232)</f>
        <v/>
      </c>
      <c r="N235" s="41" t="str">
        <f>IF(データ!M232="","",データ!M232)</f>
        <v>41号内訳書</v>
      </c>
      <c r="O235" s="42">
        <f>データ!N232</f>
        <v>0</v>
      </c>
      <c r="P235" s="48">
        <f>IF($C235="集計行","",データ!O232)</f>
        <v>0</v>
      </c>
      <c r="Q235" s="48">
        <f>データ!P232</f>
        <v>0</v>
      </c>
      <c r="R235" s="39">
        <f>IF(OR($C235="総括",$C235="内訳書",$C235="内訳代価",$C235="明細書",$C235="明細代価",$C235="代価表",$C235="単価表"),データ!Q232,"")</f>
        <v>0</v>
      </c>
      <c r="S235" s="11" t="str">
        <f t="shared" si="20"/>
        <v/>
      </c>
      <c r="T235" s="46" t="e">
        <f t="shared" si="21"/>
        <v>#DIV/0!</v>
      </c>
      <c r="U235" s="40" t="str">
        <f>IF(データ!R232="","",データ!R232)</f>
        <v/>
      </c>
      <c r="V235" s="41" t="str">
        <f>IF(データ!S232="","",データ!S232)</f>
        <v/>
      </c>
      <c r="W235" s="42">
        <f>データ!T232</f>
        <v>0</v>
      </c>
      <c r="X235" s="48">
        <f>IF($C235="集計行","",データ!U232)</f>
        <v>0</v>
      </c>
      <c r="Y235" s="48">
        <f>データ!V232</f>
        <v>0</v>
      </c>
      <c r="Z235" s="39">
        <f>IF(OR($C235="総括",$C235="内訳書",$C235="内訳代価",$C235="明細書",$C235="明細代価",$C235="代価表",$C235="単価表"),データ!W232,"")</f>
        <v>0</v>
      </c>
      <c r="AA235" s="11" t="str">
        <f t="shared" si="22"/>
        <v/>
      </c>
      <c r="AB235" s="46" t="e">
        <f t="shared" si="23"/>
        <v>#DIV/0!</v>
      </c>
      <c r="AC235" s="40" t="str">
        <f>IF(データ!X232="","",データ!X232)</f>
        <v/>
      </c>
      <c r="AD235" s="41" t="str">
        <f>IF(データ!Y232="","",データ!Y232)</f>
        <v/>
      </c>
      <c r="AE235" s="47" t="str">
        <f>TRIM(データ!B232)</f>
        <v/>
      </c>
      <c r="AF235" s="43" t="str">
        <f>TRIM(データ!Z232)</f>
        <v/>
      </c>
    </row>
    <row r="236" spans="1:32" x14ac:dyDescent="0.15">
      <c r="A236" s="47">
        <f>データ!A233</f>
        <v>3</v>
      </c>
      <c r="B236" s="47" t="str">
        <f>TRIM(データ!C233)</f>
        <v/>
      </c>
      <c r="C236" s="47" t="str">
        <f>TRIM(データ!D233)</f>
        <v>材料費</v>
      </c>
      <c r="D236" s="36" t="str">
        <f>REPT("｜",$A236)&amp;TRIM(データ!E233)</f>
        <v>｜｜｜ボルト固定300×500×L2000</v>
      </c>
      <c r="E236" s="37" t="str">
        <f>TRIM(データ!F233)</f>
        <v>T-25 グレーチング　厚100</v>
      </c>
      <c r="F236" s="38" t="str">
        <f>TRIM(データ!G233)</f>
        <v>本</v>
      </c>
      <c r="G236" s="50">
        <f>データ!H233</f>
        <v>5</v>
      </c>
      <c r="H236" s="48">
        <f>データ!I233</f>
        <v>100000</v>
      </c>
      <c r="I236" s="48">
        <f>データ!J233</f>
        <v>500000</v>
      </c>
      <c r="J236" s="39" t="str">
        <f>IF(OR($C236="総括",$C236="内訳書",$C236="内訳代価",$C236="明細書",$C236="明細代価",$C236="代価表",$C236="単価表"),データ!K233,"")</f>
        <v/>
      </c>
      <c r="K236" s="11" t="str">
        <f t="shared" si="18"/>
        <v/>
      </c>
      <c r="L236" s="46">
        <f t="shared" si="19"/>
        <v>7.1991130692698659E-3</v>
      </c>
      <c r="M236" s="40" t="str">
        <f>IF(データ!L233="","",データ!L233)</f>
        <v/>
      </c>
      <c r="N236" s="41" t="str">
        <f>IF(データ!M233="","",データ!M233)</f>
        <v/>
      </c>
      <c r="O236" s="42">
        <f>データ!N233</f>
        <v>0</v>
      </c>
      <c r="P236" s="48">
        <f>IF($C236="集計行","",データ!O233)</f>
        <v>0</v>
      </c>
      <c r="Q236" s="48">
        <f>データ!P233</f>
        <v>0</v>
      </c>
      <c r="R236" s="39" t="str">
        <f>IF(OR($C236="総括",$C236="内訳書",$C236="内訳代価",$C236="明細書",$C236="明細代価",$C236="代価表",$C236="単価表"),データ!Q233,"")</f>
        <v/>
      </c>
      <c r="S236" s="11" t="str">
        <f t="shared" si="20"/>
        <v/>
      </c>
      <c r="T236" s="46" t="e">
        <f t="shared" si="21"/>
        <v>#DIV/0!</v>
      </c>
      <c r="U236" s="40" t="str">
        <f>IF(データ!R233="","",データ!R233)</f>
        <v/>
      </c>
      <c r="V236" s="41" t="str">
        <f>IF(データ!S233="","",データ!S233)</f>
        <v/>
      </c>
      <c r="W236" s="42">
        <f>データ!T233</f>
        <v>0</v>
      </c>
      <c r="X236" s="48">
        <f>IF($C236="集計行","",データ!U233)</f>
        <v>0</v>
      </c>
      <c r="Y236" s="48">
        <f>データ!V233</f>
        <v>0</v>
      </c>
      <c r="Z236" s="39" t="str">
        <f>IF(OR($C236="総括",$C236="内訳書",$C236="内訳代価",$C236="明細書",$C236="明細代価",$C236="代価表",$C236="単価表"),データ!W233,"")</f>
        <v/>
      </c>
      <c r="AA236" s="11" t="str">
        <f t="shared" si="22"/>
        <v/>
      </c>
      <c r="AB236" s="46" t="e">
        <f t="shared" si="23"/>
        <v>#DIV/0!</v>
      </c>
      <c r="AC236" s="40" t="str">
        <f>IF(データ!X233="","",データ!X233)</f>
        <v/>
      </c>
      <c r="AD236" s="41" t="str">
        <f>IF(データ!Y233="","",データ!Y233)</f>
        <v/>
      </c>
      <c r="AE236" s="47" t="str">
        <f>TRIM(データ!B233)</f>
        <v/>
      </c>
      <c r="AF236" s="43" t="str">
        <f>TRIM(データ!Z233)</f>
        <v/>
      </c>
    </row>
    <row r="237" spans="1:32" x14ac:dyDescent="0.15">
      <c r="A237" s="47">
        <f>データ!A234</f>
        <v>3</v>
      </c>
      <c r="B237" s="47" t="str">
        <f>TRIM(データ!C234)</f>
        <v/>
      </c>
      <c r="C237" s="47" t="str">
        <f>TRIM(データ!D234)</f>
        <v>材料費</v>
      </c>
      <c r="D237" s="36" t="str">
        <f>REPT("｜",$A237)&amp;TRIM(データ!E234)</f>
        <v>｜｜｜ボルトキャップ</v>
      </c>
      <c r="E237" s="37" t="str">
        <f>TRIM(データ!F234)</f>
        <v/>
      </c>
      <c r="F237" s="38" t="str">
        <f>TRIM(データ!G234)</f>
        <v>個</v>
      </c>
      <c r="G237" s="50">
        <f>データ!H234</f>
        <v>40</v>
      </c>
      <c r="H237" s="48">
        <f>データ!I234</f>
        <v>240</v>
      </c>
      <c r="I237" s="48">
        <f>データ!J234</f>
        <v>9600</v>
      </c>
      <c r="J237" s="39" t="str">
        <f>IF(OR($C237="総括",$C237="内訳書",$C237="内訳代価",$C237="明細書",$C237="明細代価",$C237="代価表",$C237="単価表"),データ!K234,"")</f>
        <v/>
      </c>
      <c r="K237" s="11" t="str">
        <f t="shared" si="18"/>
        <v/>
      </c>
      <c r="L237" s="46">
        <f t="shared" si="19"/>
        <v>1.3822297092998143E-4</v>
      </c>
      <c r="M237" s="40" t="str">
        <f>IF(データ!L234="","",データ!L234)</f>
        <v/>
      </c>
      <c r="N237" s="41" t="str">
        <f>IF(データ!M234="","",データ!M234)</f>
        <v/>
      </c>
      <c r="O237" s="42">
        <f>データ!N234</f>
        <v>0</v>
      </c>
      <c r="P237" s="48">
        <f>IF($C237="集計行","",データ!O234)</f>
        <v>0</v>
      </c>
      <c r="Q237" s="48">
        <f>データ!P234</f>
        <v>0</v>
      </c>
      <c r="R237" s="39" t="str">
        <f>IF(OR($C237="総括",$C237="内訳書",$C237="内訳代価",$C237="明細書",$C237="明細代価",$C237="代価表",$C237="単価表"),データ!Q234,"")</f>
        <v/>
      </c>
      <c r="S237" s="11" t="str">
        <f t="shared" si="20"/>
        <v/>
      </c>
      <c r="T237" s="46" t="e">
        <f t="shared" si="21"/>
        <v>#DIV/0!</v>
      </c>
      <c r="U237" s="40" t="str">
        <f>IF(データ!R234="","",データ!R234)</f>
        <v/>
      </c>
      <c r="V237" s="41" t="str">
        <f>IF(データ!S234="","",データ!S234)</f>
        <v/>
      </c>
      <c r="W237" s="42">
        <f>データ!T234</f>
        <v>0</v>
      </c>
      <c r="X237" s="48">
        <f>IF($C237="集計行","",データ!U234)</f>
        <v>0</v>
      </c>
      <c r="Y237" s="48">
        <f>データ!V234</f>
        <v>0</v>
      </c>
      <c r="Z237" s="39" t="str">
        <f>IF(OR($C237="総括",$C237="内訳書",$C237="内訳代価",$C237="明細書",$C237="明細代価",$C237="代価表",$C237="単価表"),データ!W234,"")</f>
        <v/>
      </c>
      <c r="AA237" s="11" t="str">
        <f t="shared" si="22"/>
        <v/>
      </c>
      <c r="AB237" s="46" t="e">
        <f t="shared" si="23"/>
        <v>#DIV/0!</v>
      </c>
      <c r="AC237" s="40" t="str">
        <f>IF(データ!X234="","",データ!X234)</f>
        <v/>
      </c>
      <c r="AD237" s="41" t="str">
        <f>IF(データ!Y234="","",データ!Y234)</f>
        <v/>
      </c>
      <c r="AE237" s="47" t="str">
        <f>TRIM(データ!B234)</f>
        <v/>
      </c>
      <c r="AF237" s="43" t="str">
        <f>TRIM(データ!Z234)</f>
        <v/>
      </c>
    </row>
    <row r="238" spans="1:32" x14ac:dyDescent="0.15">
      <c r="A238" s="47">
        <f>データ!A235</f>
        <v>3</v>
      </c>
      <c r="B238" s="47" t="str">
        <f>TRIM(データ!C235)</f>
        <v/>
      </c>
      <c r="C238" s="47" t="str">
        <f>TRIM(データ!D235)</f>
        <v>材料費</v>
      </c>
      <c r="D238" s="36" t="str">
        <f>REPT("｜",$A238)&amp;TRIM(データ!E235)</f>
        <v>｜｜｜生コン</v>
      </c>
      <c r="E238" s="37" t="str">
        <f>TRIM(データ!F235)</f>
        <v/>
      </c>
      <c r="F238" s="38" t="str">
        <f>TRIM(データ!G235)</f>
        <v>m3</v>
      </c>
      <c r="G238" s="50">
        <f>データ!H235</f>
        <v>1</v>
      </c>
      <c r="H238" s="48">
        <f>データ!I235</f>
        <v>30000</v>
      </c>
      <c r="I238" s="48">
        <f>データ!J235</f>
        <v>30000</v>
      </c>
      <c r="J238" s="39" t="str">
        <f>IF(OR($C238="総括",$C238="内訳書",$C238="内訳代価",$C238="明細書",$C238="明細代価",$C238="代価表",$C238="単価表"),データ!K235,"")</f>
        <v/>
      </c>
      <c r="K238" s="11" t="str">
        <f t="shared" si="18"/>
        <v/>
      </c>
      <c r="L238" s="46">
        <f t="shared" si="19"/>
        <v>4.3194678415619197E-4</v>
      </c>
      <c r="M238" s="40" t="str">
        <f>IF(データ!L235="","",データ!L235)</f>
        <v/>
      </c>
      <c r="N238" s="41" t="str">
        <f>IF(データ!M235="","",データ!M235)</f>
        <v/>
      </c>
      <c r="O238" s="42">
        <f>データ!N235</f>
        <v>0</v>
      </c>
      <c r="P238" s="48">
        <f>IF($C238="集計行","",データ!O235)</f>
        <v>0</v>
      </c>
      <c r="Q238" s="48">
        <f>データ!P235</f>
        <v>0</v>
      </c>
      <c r="R238" s="39" t="str">
        <f>IF(OR($C238="総括",$C238="内訳書",$C238="内訳代価",$C238="明細書",$C238="明細代価",$C238="代価表",$C238="単価表"),データ!Q235,"")</f>
        <v/>
      </c>
      <c r="S238" s="11" t="str">
        <f t="shared" si="20"/>
        <v/>
      </c>
      <c r="T238" s="46" t="e">
        <f t="shared" si="21"/>
        <v>#DIV/0!</v>
      </c>
      <c r="U238" s="40" t="str">
        <f>IF(データ!R235="","",データ!R235)</f>
        <v/>
      </c>
      <c r="V238" s="41" t="str">
        <f>IF(データ!S235="","",データ!S235)</f>
        <v/>
      </c>
      <c r="W238" s="42">
        <f>データ!T235</f>
        <v>0</v>
      </c>
      <c r="X238" s="48">
        <f>IF($C238="集計行","",データ!U235)</f>
        <v>0</v>
      </c>
      <c r="Y238" s="48">
        <f>データ!V235</f>
        <v>0</v>
      </c>
      <c r="Z238" s="39" t="str">
        <f>IF(OR($C238="総括",$C238="内訳書",$C238="内訳代価",$C238="明細書",$C238="明細代価",$C238="代価表",$C238="単価表"),データ!W235,"")</f>
        <v/>
      </c>
      <c r="AA238" s="11" t="str">
        <f t="shared" si="22"/>
        <v/>
      </c>
      <c r="AB238" s="46" t="e">
        <f t="shared" si="23"/>
        <v>#DIV/0!</v>
      </c>
      <c r="AC238" s="40" t="str">
        <f>IF(データ!X235="","",データ!X235)</f>
        <v/>
      </c>
      <c r="AD238" s="41" t="str">
        <f>IF(データ!Y235="","",データ!Y235)</f>
        <v/>
      </c>
      <c r="AE238" s="47" t="str">
        <f>TRIM(データ!B235)</f>
        <v/>
      </c>
      <c r="AF238" s="43" t="str">
        <f>TRIM(データ!Z235)</f>
        <v/>
      </c>
    </row>
    <row r="239" spans="1:32" x14ac:dyDescent="0.15">
      <c r="A239" s="47">
        <f>データ!A236</f>
        <v>3</v>
      </c>
      <c r="B239" s="47" t="str">
        <f>TRIM(データ!C236)</f>
        <v/>
      </c>
      <c r="C239" s="47" t="str">
        <f>TRIM(データ!D236)</f>
        <v>労務費</v>
      </c>
      <c r="D239" s="36" t="str">
        <f>REPT("｜",$A239)&amp;TRIM(データ!E236)</f>
        <v>｜｜｜技工</v>
      </c>
      <c r="E239" s="37" t="str">
        <f>TRIM(データ!F236)</f>
        <v/>
      </c>
      <c r="F239" s="38" t="str">
        <f>TRIM(データ!G236)</f>
        <v>人</v>
      </c>
      <c r="G239" s="50">
        <f>データ!H236</f>
        <v>8</v>
      </c>
      <c r="H239" s="48">
        <f>データ!I236</f>
        <v>28000</v>
      </c>
      <c r="I239" s="48">
        <f>データ!J236</f>
        <v>224000</v>
      </c>
      <c r="J239" s="39" t="str">
        <f>IF(OR($C239="総括",$C239="内訳書",$C239="内訳代価",$C239="明細書",$C239="明細代価",$C239="代価表",$C239="単価表"),データ!K236,"")</f>
        <v/>
      </c>
      <c r="K239" s="11" t="str">
        <f t="shared" si="18"/>
        <v/>
      </c>
      <c r="L239" s="46">
        <f t="shared" si="19"/>
        <v>3.2252026550328998E-3</v>
      </c>
      <c r="M239" s="40" t="str">
        <f>IF(データ!L236="","",データ!L236)</f>
        <v/>
      </c>
      <c r="N239" s="41" t="str">
        <f>IF(データ!M236="","",データ!M236)</f>
        <v/>
      </c>
      <c r="O239" s="42">
        <f>データ!N236</f>
        <v>0</v>
      </c>
      <c r="P239" s="48">
        <f>IF($C239="集計行","",データ!O236)</f>
        <v>0</v>
      </c>
      <c r="Q239" s="48">
        <f>データ!P236</f>
        <v>0</v>
      </c>
      <c r="R239" s="39" t="str">
        <f>IF(OR($C239="総括",$C239="内訳書",$C239="内訳代価",$C239="明細書",$C239="明細代価",$C239="代価表",$C239="単価表"),データ!Q236,"")</f>
        <v/>
      </c>
      <c r="S239" s="11" t="str">
        <f t="shared" si="20"/>
        <v/>
      </c>
      <c r="T239" s="46" t="e">
        <f t="shared" si="21"/>
        <v>#DIV/0!</v>
      </c>
      <c r="U239" s="40" t="str">
        <f>IF(データ!R236="","",データ!R236)</f>
        <v/>
      </c>
      <c r="V239" s="41" t="str">
        <f>IF(データ!S236="","",データ!S236)</f>
        <v/>
      </c>
      <c r="W239" s="42">
        <f>データ!T236</f>
        <v>0</v>
      </c>
      <c r="X239" s="48">
        <f>IF($C239="集計行","",データ!U236)</f>
        <v>0</v>
      </c>
      <c r="Y239" s="48">
        <f>データ!V236</f>
        <v>0</v>
      </c>
      <c r="Z239" s="39" t="str">
        <f>IF(OR($C239="総括",$C239="内訳書",$C239="内訳代価",$C239="明細書",$C239="明細代価",$C239="代価表",$C239="単価表"),データ!W236,"")</f>
        <v/>
      </c>
      <c r="AA239" s="11" t="str">
        <f t="shared" si="22"/>
        <v/>
      </c>
      <c r="AB239" s="46" t="e">
        <f t="shared" si="23"/>
        <v>#DIV/0!</v>
      </c>
      <c r="AC239" s="40" t="str">
        <f>IF(データ!X236="","",データ!X236)</f>
        <v/>
      </c>
      <c r="AD239" s="41" t="str">
        <f>IF(データ!Y236="","",データ!Y236)</f>
        <v/>
      </c>
      <c r="AE239" s="47" t="str">
        <f>TRIM(データ!B236)</f>
        <v/>
      </c>
      <c r="AF239" s="43" t="str">
        <f>TRIM(データ!Z236)</f>
        <v/>
      </c>
    </row>
    <row r="240" spans="1:32" x14ac:dyDescent="0.15">
      <c r="A240" s="47">
        <f>データ!A237</f>
        <v>3</v>
      </c>
      <c r="B240" s="47" t="str">
        <f>TRIM(データ!C237)</f>
        <v/>
      </c>
      <c r="C240" s="47" t="str">
        <f>TRIM(データ!D237)</f>
        <v>機械費</v>
      </c>
      <c r="D240" s="36" t="str">
        <f>REPT("｜",$A240)&amp;TRIM(データ!E237)</f>
        <v>｜｜｜BH0.15</v>
      </c>
      <c r="E240" s="37" t="str">
        <f>TRIM(データ!F237)</f>
        <v/>
      </c>
      <c r="F240" s="38" t="str">
        <f>TRIM(データ!G237)</f>
        <v>台</v>
      </c>
      <c r="G240" s="50">
        <f>データ!H237</f>
        <v>2</v>
      </c>
      <c r="H240" s="48">
        <f>データ!I237</f>
        <v>8000</v>
      </c>
      <c r="I240" s="48">
        <f>データ!J237</f>
        <v>16000</v>
      </c>
      <c r="J240" s="39" t="str">
        <f>IF(OR($C240="総括",$C240="内訳書",$C240="内訳代価",$C240="明細書",$C240="明細代価",$C240="代価表",$C240="単価表"),データ!K237,"")</f>
        <v/>
      </c>
      <c r="K240" s="11" t="str">
        <f t="shared" si="18"/>
        <v/>
      </c>
      <c r="L240" s="46">
        <f t="shared" si="19"/>
        <v>2.303716182166357E-4</v>
      </c>
      <c r="M240" s="40" t="str">
        <f>IF(データ!L237="","",データ!L237)</f>
        <v/>
      </c>
      <c r="N240" s="41" t="str">
        <f>IF(データ!M237="","",データ!M237)</f>
        <v/>
      </c>
      <c r="O240" s="42">
        <f>データ!N237</f>
        <v>0</v>
      </c>
      <c r="P240" s="48">
        <f>IF($C240="集計行","",データ!O237)</f>
        <v>0</v>
      </c>
      <c r="Q240" s="48">
        <f>データ!P237</f>
        <v>0</v>
      </c>
      <c r="R240" s="39" t="str">
        <f>IF(OR($C240="総括",$C240="内訳書",$C240="内訳代価",$C240="明細書",$C240="明細代価",$C240="代価表",$C240="単価表"),データ!Q237,"")</f>
        <v/>
      </c>
      <c r="S240" s="11" t="str">
        <f t="shared" si="20"/>
        <v/>
      </c>
      <c r="T240" s="46" t="e">
        <f t="shared" si="21"/>
        <v>#DIV/0!</v>
      </c>
      <c r="U240" s="40" t="str">
        <f>IF(データ!R237="","",データ!R237)</f>
        <v/>
      </c>
      <c r="V240" s="41" t="str">
        <f>IF(データ!S237="","",データ!S237)</f>
        <v/>
      </c>
      <c r="W240" s="42">
        <f>データ!T237</f>
        <v>0</v>
      </c>
      <c r="X240" s="48">
        <f>IF($C240="集計行","",データ!U237)</f>
        <v>0</v>
      </c>
      <c r="Y240" s="48">
        <f>データ!V237</f>
        <v>0</v>
      </c>
      <c r="Z240" s="39" t="str">
        <f>IF(OR($C240="総括",$C240="内訳書",$C240="内訳代価",$C240="明細書",$C240="明細代価",$C240="代価表",$C240="単価表"),データ!W237,"")</f>
        <v/>
      </c>
      <c r="AA240" s="11" t="str">
        <f t="shared" si="22"/>
        <v/>
      </c>
      <c r="AB240" s="46" t="e">
        <f t="shared" si="23"/>
        <v>#DIV/0!</v>
      </c>
      <c r="AC240" s="40" t="str">
        <f>IF(データ!X237="","",データ!X237)</f>
        <v/>
      </c>
      <c r="AD240" s="41" t="str">
        <f>IF(データ!Y237="","",データ!Y237)</f>
        <v/>
      </c>
      <c r="AE240" s="47" t="str">
        <f>TRIM(データ!B237)</f>
        <v/>
      </c>
      <c r="AF240" s="43" t="str">
        <f>TRIM(データ!Z237)</f>
        <v/>
      </c>
    </row>
    <row r="241" spans="1:32" x14ac:dyDescent="0.15">
      <c r="A241" s="47">
        <f>データ!A238</f>
        <v>3</v>
      </c>
      <c r="B241" s="47" t="str">
        <f>TRIM(データ!C238)</f>
        <v/>
      </c>
      <c r="C241" s="47" t="str">
        <f>TRIM(データ!D238)</f>
        <v>機械費</v>
      </c>
      <c r="D241" s="36" t="str">
        <f>REPT("｜",$A241)&amp;TRIM(データ!E238)</f>
        <v>｜｜｜プレート</v>
      </c>
      <c r="E241" s="37" t="str">
        <f>TRIM(データ!F238)</f>
        <v/>
      </c>
      <c r="F241" s="38" t="str">
        <f>TRIM(データ!G238)</f>
        <v>台</v>
      </c>
      <c r="G241" s="50">
        <f>データ!H238</f>
        <v>2</v>
      </c>
      <c r="H241" s="48">
        <f>データ!I238</f>
        <v>1500</v>
      </c>
      <c r="I241" s="48">
        <f>データ!J238</f>
        <v>3000</v>
      </c>
      <c r="J241" s="39" t="str">
        <f>IF(OR($C241="総括",$C241="内訳書",$C241="内訳代価",$C241="明細書",$C241="明細代価",$C241="代価表",$C241="単価表"),データ!K238,"")</f>
        <v/>
      </c>
      <c r="K241" s="11" t="str">
        <f t="shared" si="18"/>
        <v/>
      </c>
      <c r="L241" s="46">
        <f t="shared" si="19"/>
        <v>4.3194678415619194E-5</v>
      </c>
      <c r="M241" s="40" t="str">
        <f>IF(データ!L238="","",データ!L238)</f>
        <v/>
      </c>
      <c r="N241" s="41" t="str">
        <f>IF(データ!M238="","",データ!M238)</f>
        <v/>
      </c>
      <c r="O241" s="42">
        <f>データ!N238</f>
        <v>0</v>
      </c>
      <c r="P241" s="48">
        <f>IF($C241="集計行","",データ!O238)</f>
        <v>0</v>
      </c>
      <c r="Q241" s="48">
        <f>データ!P238</f>
        <v>0</v>
      </c>
      <c r="R241" s="39" t="str">
        <f>IF(OR($C241="総括",$C241="内訳書",$C241="内訳代価",$C241="明細書",$C241="明細代価",$C241="代価表",$C241="単価表"),データ!Q238,"")</f>
        <v/>
      </c>
      <c r="S241" s="11" t="str">
        <f t="shared" si="20"/>
        <v/>
      </c>
      <c r="T241" s="46" t="e">
        <f t="shared" si="21"/>
        <v>#DIV/0!</v>
      </c>
      <c r="U241" s="40" t="str">
        <f>IF(データ!R238="","",データ!R238)</f>
        <v/>
      </c>
      <c r="V241" s="41" t="str">
        <f>IF(データ!S238="","",データ!S238)</f>
        <v/>
      </c>
      <c r="W241" s="42">
        <f>データ!T238</f>
        <v>0</v>
      </c>
      <c r="X241" s="48">
        <f>IF($C241="集計行","",データ!U238)</f>
        <v>0</v>
      </c>
      <c r="Y241" s="48">
        <f>データ!V238</f>
        <v>0</v>
      </c>
      <c r="Z241" s="39" t="str">
        <f>IF(OR($C241="総括",$C241="内訳書",$C241="内訳代価",$C241="明細書",$C241="明細代価",$C241="代価表",$C241="単価表"),データ!W238,"")</f>
        <v/>
      </c>
      <c r="AA241" s="11" t="str">
        <f t="shared" si="22"/>
        <v/>
      </c>
      <c r="AB241" s="46" t="e">
        <f t="shared" si="23"/>
        <v>#DIV/0!</v>
      </c>
      <c r="AC241" s="40" t="str">
        <f>IF(データ!X238="","",データ!X238)</f>
        <v/>
      </c>
      <c r="AD241" s="41" t="str">
        <f>IF(データ!Y238="","",データ!Y238)</f>
        <v/>
      </c>
      <c r="AE241" s="47" t="str">
        <f>TRIM(データ!B238)</f>
        <v/>
      </c>
      <c r="AF241" s="43" t="str">
        <f>TRIM(データ!Z238)</f>
        <v/>
      </c>
    </row>
    <row r="242" spans="1:32" x14ac:dyDescent="0.15">
      <c r="A242" s="47">
        <f>データ!A239</f>
        <v>3</v>
      </c>
      <c r="B242" s="47" t="str">
        <f>TRIM(データ!C239)</f>
        <v/>
      </c>
      <c r="C242" s="47" t="str">
        <f>TRIM(データ!D239)</f>
        <v>機械費</v>
      </c>
      <c r="D242" s="36" t="str">
        <f>REPT("｜",$A242)&amp;TRIM(データ!E239)</f>
        <v>｜｜｜ランマー</v>
      </c>
      <c r="E242" s="37" t="str">
        <f>TRIM(データ!F239)</f>
        <v/>
      </c>
      <c r="F242" s="38" t="str">
        <f>TRIM(データ!G239)</f>
        <v>台</v>
      </c>
      <c r="G242" s="50">
        <f>データ!H239</f>
        <v>2</v>
      </c>
      <c r="H242" s="48">
        <f>データ!I239</f>
        <v>1500</v>
      </c>
      <c r="I242" s="48">
        <f>データ!J239</f>
        <v>3000</v>
      </c>
      <c r="J242" s="39" t="str">
        <f>IF(OR($C242="総括",$C242="内訳書",$C242="内訳代価",$C242="明細書",$C242="明細代価",$C242="代価表",$C242="単価表"),データ!K239,"")</f>
        <v/>
      </c>
      <c r="K242" s="11" t="str">
        <f t="shared" si="18"/>
        <v/>
      </c>
      <c r="L242" s="46">
        <f t="shared" si="19"/>
        <v>4.3194678415619194E-5</v>
      </c>
      <c r="M242" s="40" t="str">
        <f>IF(データ!L239="","",データ!L239)</f>
        <v/>
      </c>
      <c r="N242" s="41" t="str">
        <f>IF(データ!M239="","",データ!M239)</f>
        <v/>
      </c>
      <c r="O242" s="42">
        <f>データ!N239</f>
        <v>0</v>
      </c>
      <c r="P242" s="48">
        <f>IF($C242="集計行","",データ!O239)</f>
        <v>0</v>
      </c>
      <c r="Q242" s="48">
        <f>データ!P239</f>
        <v>0</v>
      </c>
      <c r="R242" s="39" t="str">
        <f>IF(OR($C242="総括",$C242="内訳書",$C242="内訳代価",$C242="明細書",$C242="明細代価",$C242="代価表",$C242="単価表"),データ!Q239,"")</f>
        <v/>
      </c>
      <c r="S242" s="11" t="str">
        <f t="shared" si="20"/>
        <v/>
      </c>
      <c r="T242" s="46" t="e">
        <f t="shared" si="21"/>
        <v>#DIV/0!</v>
      </c>
      <c r="U242" s="40" t="str">
        <f>IF(データ!R239="","",データ!R239)</f>
        <v/>
      </c>
      <c r="V242" s="41" t="str">
        <f>IF(データ!S239="","",データ!S239)</f>
        <v/>
      </c>
      <c r="W242" s="42">
        <f>データ!T239</f>
        <v>0</v>
      </c>
      <c r="X242" s="48">
        <f>IF($C242="集計行","",データ!U239)</f>
        <v>0</v>
      </c>
      <c r="Y242" s="48">
        <f>データ!V239</f>
        <v>0</v>
      </c>
      <c r="Z242" s="39" t="str">
        <f>IF(OR($C242="総括",$C242="内訳書",$C242="内訳代価",$C242="明細書",$C242="明細代価",$C242="代価表",$C242="単価表"),データ!W239,"")</f>
        <v/>
      </c>
      <c r="AA242" s="11" t="str">
        <f t="shared" si="22"/>
        <v/>
      </c>
      <c r="AB242" s="46" t="e">
        <f t="shared" si="23"/>
        <v>#DIV/0!</v>
      </c>
      <c r="AC242" s="40" t="str">
        <f>IF(データ!X239="","",データ!X239)</f>
        <v/>
      </c>
      <c r="AD242" s="41" t="str">
        <f>IF(データ!Y239="","",データ!Y239)</f>
        <v/>
      </c>
      <c r="AE242" s="47" t="str">
        <f>TRIM(データ!B239)</f>
        <v/>
      </c>
      <c r="AF242" s="43" t="str">
        <f>TRIM(データ!Z239)</f>
        <v/>
      </c>
    </row>
    <row r="243" spans="1:32" x14ac:dyDescent="0.15">
      <c r="A243" s="47">
        <f>データ!A240</f>
        <v>3</v>
      </c>
      <c r="B243" s="47" t="str">
        <f>TRIM(データ!C240)</f>
        <v/>
      </c>
      <c r="C243" s="47" t="str">
        <f>TRIM(データ!D240)</f>
        <v>運搬費</v>
      </c>
      <c r="D243" s="36" t="str">
        <f>REPT("｜",$A243)&amp;TRIM(データ!E240)</f>
        <v>｜｜｜4tダンプ</v>
      </c>
      <c r="E243" s="37" t="str">
        <f>TRIM(データ!F240)</f>
        <v/>
      </c>
      <c r="F243" s="38" t="str">
        <f>TRIM(データ!G240)</f>
        <v>台</v>
      </c>
      <c r="G243" s="50">
        <f>データ!H240</f>
        <v>2</v>
      </c>
      <c r="H243" s="48">
        <f>データ!I240</f>
        <v>10000</v>
      </c>
      <c r="I243" s="48">
        <f>データ!J240</f>
        <v>20000</v>
      </c>
      <c r="J243" s="39" t="str">
        <f>IF(OR($C243="総括",$C243="内訳書",$C243="内訳代価",$C243="明細書",$C243="明細代価",$C243="代価表",$C243="単価表"),データ!K240,"")</f>
        <v/>
      </c>
      <c r="K243" s="11" t="str">
        <f t="shared" si="18"/>
        <v/>
      </c>
      <c r="L243" s="46">
        <f t="shared" si="19"/>
        <v>2.8796452277079463E-4</v>
      </c>
      <c r="M243" s="40" t="str">
        <f>IF(データ!L240="","",データ!L240)</f>
        <v/>
      </c>
      <c r="N243" s="41" t="str">
        <f>IF(データ!M240="","",データ!M240)</f>
        <v/>
      </c>
      <c r="O243" s="42">
        <f>データ!N240</f>
        <v>0</v>
      </c>
      <c r="P243" s="48">
        <f>IF($C243="集計行","",データ!O240)</f>
        <v>0</v>
      </c>
      <c r="Q243" s="48">
        <f>データ!P240</f>
        <v>0</v>
      </c>
      <c r="R243" s="39" t="str">
        <f>IF(OR($C243="総括",$C243="内訳書",$C243="内訳代価",$C243="明細書",$C243="明細代価",$C243="代価表",$C243="単価表"),データ!Q240,"")</f>
        <v/>
      </c>
      <c r="S243" s="11" t="str">
        <f t="shared" si="20"/>
        <v/>
      </c>
      <c r="T243" s="46" t="e">
        <f t="shared" si="21"/>
        <v>#DIV/0!</v>
      </c>
      <c r="U243" s="40" t="str">
        <f>IF(データ!R240="","",データ!R240)</f>
        <v/>
      </c>
      <c r="V243" s="41" t="str">
        <f>IF(データ!S240="","",データ!S240)</f>
        <v/>
      </c>
      <c r="W243" s="42">
        <f>データ!T240</f>
        <v>0</v>
      </c>
      <c r="X243" s="48">
        <f>IF($C243="集計行","",データ!U240)</f>
        <v>0</v>
      </c>
      <c r="Y243" s="48">
        <f>データ!V240</f>
        <v>0</v>
      </c>
      <c r="Z243" s="39" t="str">
        <f>IF(OR($C243="総括",$C243="内訳書",$C243="内訳代価",$C243="明細書",$C243="明細代価",$C243="代価表",$C243="単価表"),データ!W240,"")</f>
        <v/>
      </c>
      <c r="AA243" s="11" t="str">
        <f t="shared" si="22"/>
        <v/>
      </c>
      <c r="AB243" s="46" t="e">
        <f t="shared" si="23"/>
        <v>#DIV/0!</v>
      </c>
      <c r="AC243" s="40" t="str">
        <f>IF(データ!X240="","",データ!X240)</f>
        <v/>
      </c>
      <c r="AD243" s="41" t="str">
        <f>IF(データ!Y240="","",データ!Y240)</f>
        <v/>
      </c>
      <c r="AE243" s="47" t="str">
        <f>TRIM(データ!B240)</f>
        <v/>
      </c>
      <c r="AF243" s="43" t="str">
        <f>TRIM(データ!Z240)</f>
        <v/>
      </c>
    </row>
    <row r="244" spans="1:32" x14ac:dyDescent="0.15">
      <c r="A244" s="47">
        <f>データ!A241</f>
        <v>3</v>
      </c>
      <c r="B244" s="47" t="str">
        <f>TRIM(データ!C241)</f>
        <v/>
      </c>
      <c r="C244" s="47" t="str">
        <f>TRIM(データ!D241)</f>
        <v>運搬費</v>
      </c>
      <c r="D244" s="36" t="str">
        <f>REPT("｜",$A244)&amp;TRIM(データ!E241)</f>
        <v>｜｜｜2tダンプ</v>
      </c>
      <c r="E244" s="37" t="str">
        <f>TRIM(データ!F241)</f>
        <v/>
      </c>
      <c r="F244" s="38" t="str">
        <f>TRIM(データ!G241)</f>
        <v>台</v>
      </c>
      <c r="G244" s="50">
        <f>データ!H241</f>
        <v>2</v>
      </c>
      <c r="H244" s="48">
        <f>データ!I241</f>
        <v>7000</v>
      </c>
      <c r="I244" s="48">
        <f>データ!J241</f>
        <v>14000</v>
      </c>
      <c r="J244" s="39" t="str">
        <f>IF(OR($C244="総括",$C244="内訳書",$C244="内訳代価",$C244="明細書",$C244="明細代価",$C244="代価表",$C244="単価表"),データ!K241,"")</f>
        <v/>
      </c>
      <c r="K244" s="11" t="str">
        <f t="shared" si="18"/>
        <v/>
      </c>
      <c r="L244" s="46">
        <f t="shared" si="19"/>
        <v>2.0157516593955624E-4</v>
      </c>
      <c r="M244" s="40" t="str">
        <f>IF(データ!L241="","",データ!L241)</f>
        <v/>
      </c>
      <c r="N244" s="41" t="str">
        <f>IF(データ!M241="","",データ!M241)</f>
        <v/>
      </c>
      <c r="O244" s="42">
        <f>データ!N241</f>
        <v>0</v>
      </c>
      <c r="P244" s="48">
        <f>IF($C244="集計行","",データ!O241)</f>
        <v>0</v>
      </c>
      <c r="Q244" s="48">
        <f>データ!P241</f>
        <v>0</v>
      </c>
      <c r="R244" s="39" t="str">
        <f>IF(OR($C244="総括",$C244="内訳書",$C244="内訳代価",$C244="明細書",$C244="明細代価",$C244="代価表",$C244="単価表"),データ!Q241,"")</f>
        <v/>
      </c>
      <c r="S244" s="11" t="str">
        <f t="shared" si="20"/>
        <v/>
      </c>
      <c r="T244" s="46" t="e">
        <f t="shared" si="21"/>
        <v>#DIV/0!</v>
      </c>
      <c r="U244" s="40" t="str">
        <f>IF(データ!R241="","",データ!R241)</f>
        <v/>
      </c>
      <c r="V244" s="41" t="str">
        <f>IF(データ!S241="","",データ!S241)</f>
        <v/>
      </c>
      <c r="W244" s="42">
        <f>データ!T241</f>
        <v>0</v>
      </c>
      <c r="X244" s="48">
        <f>IF($C244="集計行","",データ!U241)</f>
        <v>0</v>
      </c>
      <c r="Y244" s="48">
        <f>データ!V241</f>
        <v>0</v>
      </c>
      <c r="Z244" s="39" t="str">
        <f>IF(OR($C244="総括",$C244="内訳書",$C244="内訳代価",$C244="明細書",$C244="明細代価",$C244="代価表",$C244="単価表"),データ!W241,"")</f>
        <v/>
      </c>
      <c r="AA244" s="11" t="str">
        <f t="shared" si="22"/>
        <v/>
      </c>
      <c r="AB244" s="46" t="e">
        <f t="shared" si="23"/>
        <v>#DIV/0!</v>
      </c>
      <c r="AC244" s="40" t="str">
        <f>IF(データ!X241="","",データ!X241)</f>
        <v/>
      </c>
      <c r="AD244" s="41" t="str">
        <f>IF(データ!Y241="","",データ!Y241)</f>
        <v/>
      </c>
      <c r="AE244" s="47" t="str">
        <f>TRIM(データ!B241)</f>
        <v/>
      </c>
      <c r="AF244" s="43" t="str">
        <f>TRIM(データ!Z241)</f>
        <v/>
      </c>
    </row>
    <row r="245" spans="1:32" x14ac:dyDescent="0.15">
      <c r="A245" s="47">
        <f>データ!A242</f>
        <v>3</v>
      </c>
      <c r="B245" s="47" t="str">
        <f>TRIM(データ!C242)</f>
        <v/>
      </c>
      <c r="C245" s="47" t="str">
        <f>TRIM(データ!D242)</f>
        <v>材料費</v>
      </c>
      <c r="D245" s="36" t="str">
        <f>REPT("｜",$A245)&amp;TRIM(データ!E242)</f>
        <v>｜｜｜軽油</v>
      </c>
      <c r="E245" s="37" t="str">
        <f>TRIM(データ!F242)</f>
        <v/>
      </c>
      <c r="F245" s="38" t="str">
        <f>TRIM(データ!G242)</f>
        <v>リットル</v>
      </c>
      <c r="G245" s="50">
        <f>データ!H242</f>
        <v>80</v>
      </c>
      <c r="H245" s="48">
        <f>データ!I242</f>
        <v>150</v>
      </c>
      <c r="I245" s="48">
        <f>データ!J242</f>
        <v>12000</v>
      </c>
      <c r="J245" s="39" t="str">
        <f>IF(OR($C245="総括",$C245="内訳書",$C245="内訳代価",$C245="明細書",$C245="明細代価",$C245="代価表",$C245="単価表"),データ!K242,"")</f>
        <v/>
      </c>
      <c r="K245" s="11" t="str">
        <f t="shared" si="18"/>
        <v/>
      </c>
      <c r="L245" s="46">
        <f t="shared" si="19"/>
        <v>1.7277871366247678E-4</v>
      </c>
      <c r="M245" s="40" t="str">
        <f>IF(データ!L242="","",データ!L242)</f>
        <v/>
      </c>
      <c r="N245" s="41" t="str">
        <f>IF(データ!M242="","",データ!M242)</f>
        <v/>
      </c>
      <c r="O245" s="42">
        <f>データ!N242</f>
        <v>0</v>
      </c>
      <c r="P245" s="48">
        <f>IF($C245="集計行","",データ!O242)</f>
        <v>0</v>
      </c>
      <c r="Q245" s="48">
        <f>データ!P242</f>
        <v>0</v>
      </c>
      <c r="R245" s="39" t="str">
        <f>IF(OR($C245="総括",$C245="内訳書",$C245="内訳代価",$C245="明細書",$C245="明細代価",$C245="代価表",$C245="単価表"),データ!Q242,"")</f>
        <v/>
      </c>
      <c r="S245" s="11" t="str">
        <f t="shared" si="20"/>
        <v/>
      </c>
      <c r="T245" s="46" t="e">
        <f t="shared" si="21"/>
        <v>#DIV/0!</v>
      </c>
      <c r="U245" s="40" t="str">
        <f>IF(データ!R242="","",データ!R242)</f>
        <v/>
      </c>
      <c r="V245" s="41" t="str">
        <f>IF(データ!S242="","",データ!S242)</f>
        <v/>
      </c>
      <c r="W245" s="42">
        <f>データ!T242</f>
        <v>0</v>
      </c>
      <c r="X245" s="48">
        <f>IF($C245="集計行","",データ!U242)</f>
        <v>0</v>
      </c>
      <c r="Y245" s="48">
        <f>データ!V242</f>
        <v>0</v>
      </c>
      <c r="Z245" s="39" t="str">
        <f>IF(OR($C245="総括",$C245="内訳書",$C245="内訳代価",$C245="明細書",$C245="明細代価",$C245="代価表",$C245="単価表"),データ!W242,"")</f>
        <v/>
      </c>
      <c r="AA245" s="11" t="str">
        <f t="shared" si="22"/>
        <v/>
      </c>
      <c r="AB245" s="46" t="e">
        <f t="shared" si="23"/>
        <v>#DIV/0!</v>
      </c>
      <c r="AC245" s="40" t="str">
        <f>IF(データ!X242="","",データ!X242)</f>
        <v/>
      </c>
      <c r="AD245" s="41" t="str">
        <f>IF(データ!Y242="","",データ!Y242)</f>
        <v/>
      </c>
      <c r="AE245" s="47" t="str">
        <f>TRIM(データ!B242)</f>
        <v/>
      </c>
      <c r="AF245" s="43" t="str">
        <f>TRIM(データ!Z242)</f>
        <v/>
      </c>
    </row>
    <row r="246" spans="1:32" x14ac:dyDescent="0.15">
      <c r="A246" s="47">
        <f>データ!A243</f>
        <v>3</v>
      </c>
      <c r="B246" s="47" t="str">
        <f>TRIM(データ!C243)</f>
        <v/>
      </c>
      <c r="C246" s="47" t="str">
        <f>TRIM(データ!D243)</f>
        <v>材料費</v>
      </c>
      <c r="D246" s="36" t="str">
        <f>REPT("｜",$A246)&amp;TRIM(データ!E243)</f>
        <v>｜｜｜ガソリン</v>
      </c>
      <c r="E246" s="37" t="str">
        <f>TRIM(データ!F243)</f>
        <v/>
      </c>
      <c r="F246" s="38" t="str">
        <f>TRIM(データ!G243)</f>
        <v>リットル</v>
      </c>
      <c r="G246" s="50">
        <f>データ!H243</f>
        <v>80</v>
      </c>
      <c r="H246" s="48">
        <f>データ!I243</f>
        <v>200</v>
      </c>
      <c r="I246" s="48">
        <f>データ!J243</f>
        <v>16000</v>
      </c>
      <c r="J246" s="39" t="str">
        <f>IF(OR($C246="総括",$C246="内訳書",$C246="内訳代価",$C246="明細書",$C246="明細代価",$C246="代価表",$C246="単価表"),データ!K243,"")</f>
        <v/>
      </c>
      <c r="K246" s="11" t="str">
        <f t="shared" si="18"/>
        <v/>
      </c>
      <c r="L246" s="46">
        <f t="shared" si="19"/>
        <v>2.303716182166357E-4</v>
      </c>
      <c r="M246" s="40" t="str">
        <f>IF(データ!L243="","",データ!L243)</f>
        <v/>
      </c>
      <c r="N246" s="41" t="str">
        <f>IF(データ!M243="","",データ!M243)</f>
        <v/>
      </c>
      <c r="O246" s="42">
        <f>データ!N243</f>
        <v>0</v>
      </c>
      <c r="P246" s="48">
        <f>IF($C246="集計行","",データ!O243)</f>
        <v>0</v>
      </c>
      <c r="Q246" s="48">
        <f>データ!P243</f>
        <v>0</v>
      </c>
      <c r="R246" s="39" t="str">
        <f>IF(OR($C246="総括",$C246="内訳書",$C246="内訳代価",$C246="明細書",$C246="明細代価",$C246="代価表",$C246="単価表"),データ!Q243,"")</f>
        <v/>
      </c>
      <c r="S246" s="11" t="str">
        <f t="shared" si="20"/>
        <v/>
      </c>
      <c r="T246" s="46" t="e">
        <f t="shared" si="21"/>
        <v>#DIV/0!</v>
      </c>
      <c r="U246" s="40" t="str">
        <f>IF(データ!R243="","",データ!R243)</f>
        <v/>
      </c>
      <c r="V246" s="41" t="str">
        <f>IF(データ!S243="","",データ!S243)</f>
        <v/>
      </c>
      <c r="W246" s="42">
        <f>データ!T243</f>
        <v>0</v>
      </c>
      <c r="X246" s="48">
        <f>IF($C246="集計行","",データ!U243)</f>
        <v>0</v>
      </c>
      <c r="Y246" s="48">
        <f>データ!V243</f>
        <v>0</v>
      </c>
      <c r="Z246" s="39" t="str">
        <f>IF(OR($C246="総括",$C246="内訳書",$C246="内訳代価",$C246="明細書",$C246="明細代価",$C246="代価表",$C246="単価表"),データ!W243,"")</f>
        <v/>
      </c>
      <c r="AA246" s="11" t="str">
        <f t="shared" si="22"/>
        <v/>
      </c>
      <c r="AB246" s="46" t="e">
        <f t="shared" si="23"/>
        <v>#DIV/0!</v>
      </c>
      <c r="AC246" s="40" t="str">
        <f>IF(データ!X243="","",データ!X243)</f>
        <v/>
      </c>
      <c r="AD246" s="41" t="str">
        <f>IF(データ!Y243="","",データ!Y243)</f>
        <v/>
      </c>
      <c r="AE246" s="47" t="str">
        <f>TRIM(データ!B243)</f>
        <v/>
      </c>
      <c r="AF246" s="43" t="str">
        <f>TRIM(データ!Z243)</f>
        <v/>
      </c>
    </row>
    <row r="247" spans="1:32" x14ac:dyDescent="0.15">
      <c r="A247" s="47">
        <f>データ!A244</f>
        <v>3</v>
      </c>
      <c r="B247" s="47" t="str">
        <f>TRIM(データ!C244)</f>
        <v/>
      </c>
      <c r="C247" s="47" t="str">
        <f>TRIM(データ!D244)</f>
        <v>材料費</v>
      </c>
      <c r="D247" s="36" t="str">
        <f>REPT("｜",$A247)&amp;TRIM(データ!E244)</f>
        <v>｜｜｜雑材</v>
      </c>
      <c r="E247" s="37" t="str">
        <f>TRIM(データ!F244)</f>
        <v/>
      </c>
      <c r="F247" s="38" t="str">
        <f>TRIM(データ!G244)</f>
        <v>式</v>
      </c>
      <c r="G247" s="50">
        <f>データ!H244</f>
        <v>1</v>
      </c>
      <c r="H247" s="48">
        <f>データ!I244</f>
        <v>51200</v>
      </c>
      <c r="I247" s="48">
        <f>データ!J244</f>
        <v>51200</v>
      </c>
      <c r="J247" s="39" t="str">
        <f>IF(OR($C247="総括",$C247="内訳書",$C247="内訳代価",$C247="明細書",$C247="明細代価",$C247="代価表",$C247="単価表"),データ!K244,"")</f>
        <v/>
      </c>
      <c r="K247" s="11" t="str">
        <f t="shared" si="18"/>
        <v/>
      </c>
      <c r="L247" s="46">
        <f t="shared" si="19"/>
        <v>7.3718917829323431E-4</v>
      </c>
      <c r="M247" s="40" t="str">
        <f>IF(データ!L244="","",データ!L244)</f>
        <v/>
      </c>
      <c r="N247" s="41" t="str">
        <f>IF(データ!M244="","",データ!M244)</f>
        <v/>
      </c>
      <c r="O247" s="42">
        <f>データ!N244</f>
        <v>0</v>
      </c>
      <c r="P247" s="48">
        <f>IF($C247="集計行","",データ!O244)</f>
        <v>0</v>
      </c>
      <c r="Q247" s="48">
        <f>データ!P244</f>
        <v>0</v>
      </c>
      <c r="R247" s="39" t="str">
        <f>IF(OR($C247="総括",$C247="内訳書",$C247="内訳代価",$C247="明細書",$C247="明細代価",$C247="代価表",$C247="単価表"),データ!Q244,"")</f>
        <v/>
      </c>
      <c r="S247" s="11" t="str">
        <f t="shared" si="20"/>
        <v/>
      </c>
      <c r="T247" s="46" t="e">
        <f t="shared" si="21"/>
        <v>#DIV/0!</v>
      </c>
      <c r="U247" s="40" t="str">
        <f>IF(データ!R244="","",データ!R244)</f>
        <v/>
      </c>
      <c r="V247" s="41" t="str">
        <f>IF(データ!S244="","",データ!S244)</f>
        <v/>
      </c>
      <c r="W247" s="42">
        <f>データ!T244</f>
        <v>0</v>
      </c>
      <c r="X247" s="48">
        <f>IF($C247="集計行","",データ!U244)</f>
        <v>0</v>
      </c>
      <c r="Y247" s="48">
        <f>データ!V244</f>
        <v>0</v>
      </c>
      <c r="Z247" s="39" t="str">
        <f>IF(OR($C247="総括",$C247="内訳書",$C247="内訳代価",$C247="明細書",$C247="明細代価",$C247="代価表",$C247="単価表"),データ!W244,"")</f>
        <v/>
      </c>
      <c r="AA247" s="11" t="str">
        <f t="shared" si="22"/>
        <v/>
      </c>
      <c r="AB247" s="46" t="e">
        <f t="shared" si="23"/>
        <v>#DIV/0!</v>
      </c>
      <c r="AC247" s="40" t="str">
        <f>IF(データ!X244="","",データ!X244)</f>
        <v/>
      </c>
      <c r="AD247" s="41" t="str">
        <f>IF(データ!Y244="","",データ!Y244)</f>
        <v/>
      </c>
      <c r="AE247" s="47" t="str">
        <f>TRIM(データ!B244)</f>
        <v/>
      </c>
      <c r="AF247" s="43" t="str">
        <f>TRIM(データ!Z244)</f>
        <v/>
      </c>
    </row>
    <row r="248" spans="1:32" x14ac:dyDescent="0.15">
      <c r="A248" s="47">
        <f>データ!A245</f>
        <v>3</v>
      </c>
      <c r="B248" s="47" t="str">
        <f>TRIM(データ!C245)</f>
        <v/>
      </c>
      <c r="C248" s="47" t="str">
        <f>TRIM(データ!D245)</f>
        <v>外注費</v>
      </c>
      <c r="D248" s="36" t="str">
        <f>REPT("｜",$A248)&amp;TRIM(データ!E245)</f>
        <v>｜｜｜外注経費</v>
      </c>
      <c r="E248" s="37" t="str">
        <f>TRIM(データ!F245)</f>
        <v/>
      </c>
      <c r="F248" s="38" t="str">
        <f>TRIM(データ!G245)</f>
        <v>式</v>
      </c>
      <c r="G248" s="50">
        <f>データ!H245</f>
        <v>1</v>
      </c>
      <c r="H248" s="48">
        <f>データ!I245</f>
        <v>25200</v>
      </c>
      <c r="I248" s="48">
        <f>データ!J245</f>
        <v>25200</v>
      </c>
      <c r="J248" s="39" t="str">
        <f>IF(OR($C248="総括",$C248="内訳書",$C248="内訳代価",$C248="明細書",$C248="明細代価",$C248="代価表",$C248="単価表"),データ!K245,"")</f>
        <v/>
      </c>
      <c r="K248" s="11" t="str">
        <f t="shared" si="18"/>
        <v/>
      </c>
      <c r="L248" s="46">
        <f t="shared" si="19"/>
        <v>3.6283529869120127E-4</v>
      </c>
      <c r="M248" s="40" t="str">
        <f>IF(データ!L245="","",データ!L245)</f>
        <v/>
      </c>
      <c r="N248" s="41" t="str">
        <f>IF(データ!M245="","",データ!M245)</f>
        <v/>
      </c>
      <c r="O248" s="42">
        <f>データ!N245</f>
        <v>0</v>
      </c>
      <c r="P248" s="48">
        <f>IF($C248="集計行","",データ!O245)</f>
        <v>0</v>
      </c>
      <c r="Q248" s="48">
        <f>データ!P245</f>
        <v>0</v>
      </c>
      <c r="R248" s="39" t="str">
        <f>IF(OR($C248="総括",$C248="内訳書",$C248="内訳代価",$C248="明細書",$C248="明細代価",$C248="代価表",$C248="単価表"),データ!Q245,"")</f>
        <v/>
      </c>
      <c r="S248" s="11" t="str">
        <f t="shared" si="20"/>
        <v/>
      </c>
      <c r="T248" s="46" t="e">
        <f t="shared" si="21"/>
        <v>#DIV/0!</v>
      </c>
      <c r="U248" s="40" t="str">
        <f>IF(データ!R245="","",データ!R245)</f>
        <v/>
      </c>
      <c r="V248" s="41" t="str">
        <f>IF(データ!S245="","",データ!S245)</f>
        <v/>
      </c>
      <c r="W248" s="42">
        <f>データ!T245</f>
        <v>0</v>
      </c>
      <c r="X248" s="48">
        <f>IF($C248="集計行","",データ!U245)</f>
        <v>0</v>
      </c>
      <c r="Y248" s="48">
        <f>データ!V245</f>
        <v>0</v>
      </c>
      <c r="Z248" s="39" t="str">
        <f>IF(OR($C248="総括",$C248="内訳書",$C248="内訳代価",$C248="明細書",$C248="明細代価",$C248="代価表",$C248="単価表"),データ!W245,"")</f>
        <v/>
      </c>
      <c r="AA248" s="11" t="str">
        <f t="shared" si="22"/>
        <v/>
      </c>
      <c r="AB248" s="46" t="e">
        <f t="shared" si="23"/>
        <v>#DIV/0!</v>
      </c>
      <c r="AC248" s="40" t="str">
        <f>IF(データ!X245="","",データ!X245)</f>
        <v/>
      </c>
      <c r="AD248" s="41" t="str">
        <f>IF(データ!Y245="","",データ!Y245)</f>
        <v/>
      </c>
      <c r="AE248" s="47" t="str">
        <f>TRIM(データ!B245)</f>
        <v/>
      </c>
      <c r="AF248" s="43" t="str">
        <f>TRIM(データ!Z245)</f>
        <v/>
      </c>
    </row>
    <row r="249" spans="1:32" x14ac:dyDescent="0.15">
      <c r="A249" s="47">
        <f>データ!A246</f>
        <v>2</v>
      </c>
      <c r="B249" s="47" t="str">
        <f>TRIM(データ!C246)</f>
        <v/>
      </c>
      <c r="C249" s="47" t="str">
        <f>TRIM(データ!D246)</f>
        <v>内訳書</v>
      </c>
      <c r="D249" s="36" t="str">
        <f>REPT("｜",$A249)&amp;TRIM(データ!E246)</f>
        <v>｜｜VU150</v>
      </c>
      <c r="E249" s="37" t="str">
        <f>TRIM(データ!F246)</f>
        <v/>
      </c>
      <c r="F249" s="38" t="str">
        <f>TRIM(データ!G246)</f>
        <v>ｍ</v>
      </c>
      <c r="G249" s="50">
        <f>データ!H246</f>
        <v>21</v>
      </c>
      <c r="H249" s="48">
        <f>データ!I246</f>
        <v>16200</v>
      </c>
      <c r="I249" s="48">
        <f>データ!J246</f>
        <v>340200</v>
      </c>
      <c r="J249" s="39">
        <f>IF(OR($C249="総括",$C249="内訳書",$C249="内訳代価",$C249="明細書",$C249="明細代価",$C249="代価表",$C249="単価表"),データ!K246,"")</f>
        <v>21</v>
      </c>
      <c r="K249" s="11" t="str">
        <f t="shared" si="18"/>
        <v/>
      </c>
      <c r="L249" s="46">
        <f t="shared" si="19"/>
        <v>4.8982765323312165E-3</v>
      </c>
      <c r="M249" s="40" t="str">
        <f>IF(データ!L246="","",データ!L246)</f>
        <v/>
      </c>
      <c r="N249" s="41" t="str">
        <f>IF(データ!M246="","",データ!M246)</f>
        <v>42号内訳書</v>
      </c>
      <c r="O249" s="42">
        <f>データ!N246</f>
        <v>0</v>
      </c>
      <c r="P249" s="48">
        <f>IF($C249="集計行","",データ!O246)</f>
        <v>0</v>
      </c>
      <c r="Q249" s="48">
        <f>データ!P246</f>
        <v>0</v>
      </c>
      <c r="R249" s="39">
        <f>IF(OR($C249="総括",$C249="内訳書",$C249="内訳代価",$C249="明細書",$C249="明細代価",$C249="代価表",$C249="単価表"),データ!Q246,"")</f>
        <v>0</v>
      </c>
      <c r="S249" s="11" t="str">
        <f t="shared" si="20"/>
        <v/>
      </c>
      <c r="T249" s="46" t="e">
        <f t="shared" si="21"/>
        <v>#DIV/0!</v>
      </c>
      <c r="U249" s="40" t="str">
        <f>IF(データ!R246="","",データ!R246)</f>
        <v/>
      </c>
      <c r="V249" s="41" t="str">
        <f>IF(データ!S246="","",データ!S246)</f>
        <v/>
      </c>
      <c r="W249" s="42">
        <f>データ!T246</f>
        <v>0</v>
      </c>
      <c r="X249" s="48">
        <f>IF($C249="集計行","",データ!U246)</f>
        <v>0</v>
      </c>
      <c r="Y249" s="48">
        <f>データ!V246</f>
        <v>0</v>
      </c>
      <c r="Z249" s="39">
        <f>IF(OR($C249="総括",$C249="内訳書",$C249="内訳代価",$C249="明細書",$C249="明細代価",$C249="代価表",$C249="単価表"),データ!W246,"")</f>
        <v>0</v>
      </c>
      <c r="AA249" s="11" t="str">
        <f t="shared" si="22"/>
        <v/>
      </c>
      <c r="AB249" s="46" t="e">
        <f t="shared" si="23"/>
        <v>#DIV/0!</v>
      </c>
      <c r="AC249" s="40" t="str">
        <f>IF(データ!X246="","",データ!X246)</f>
        <v/>
      </c>
      <c r="AD249" s="41" t="str">
        <f>IF(データ!Y246="","",データ!Y246)</f>
        <v/>
      </c>
      <c r="AE249" s="47" t="str">
        <f>TRIM(データ!B246)</f>
        <v/>
      </c>
      <c r="AF249" s="43" t="str">
        <f>TRIM(データ!Z246)</f>
        <v/>
      </c>
    </row>
    <row r="250" spans="1:32" x14ac:dyDescent="0.15">
      <c r="A250" s="47">
        <f>データ!A247</f>
        <v>3</v>
      </c>
      <c r="B250" s="47" t="str">
        <f>TRIM(データ!C247)</f>
        <v/>
      </c>
      <c r="C250" s="47" t="str">
        <f>TRIM(データ!D247)</f>
        <v>材料費</v>
      </c>
      <c r="D250" s="36" t="str">
        <f>REPT("｜",$A250)&amp;TRIM(データ!E247)</f>
        <v>｜｜｜VUφ150</v>
      </c>
      <c r="E250" s="37" t="str">
        <f>TRIM(データ!F247)</f>
        <v/>
      </c>
      <c r="F250" s="38" t="str">
        <f>TRIM(データ!G247)</f>
        <v>本</v>
      </c>
      <c r="G250" s="50">
        <f>データ!H247</f>
        <v>6</v>
      </c>
      <c r="H250" s="48">
        <f>データ!I247</f>
        <v>5340</v>
      </c>
      <c r="I250" s="48">
        <f>データ!J247</f>
        <v>32040</v>
      </c>
      <c r="J250" s="39" t="str">
        <f>IF(OR($C250="総括",$C250="内訳書",$C250="内訳代価",$C250="明細書",$C250="明細代価",$C250="代価表",$C250="単価表"),データ!K247,"")</f>
        <v/>
      </c>
      <c r="K250" s="11" t="str">
        <f t="shared" si="18"/>
        <v/>
      </c>
      <c r="L250" s="46">
        <f t="shared" si="19"/>
        <v>4.6131916547881302E-4</v>
      </c>
      <c r="M250" s="40" t="str">
        <f>IF(データ!L247="","",データ!L247)</f>
        <v/>
      </c>
      <c r="N250" s="41" t="str">
        <f>IF(データ!M247="","",データ!M247)</f>
        <v/>
      </c>
      <c r="O250" s="42">
        <f>データ!N247</f>
        <v>0</v>
      </c>
      <c r="P250" s="48">
        <f>IF($C250="集計行","",データ!O247)</f>
        <v>0</v>
      </c>
      <c r="Q250" s="48">
        <f>データ!P247</f>
        <v>0</v>
      </c>
      <c r="R250" s="39" t="str">
        <f>IF(OR($C250="総括",$C250="内訳書",$C250="内訳代価",$C250="明細書",$C250="明細代価",$C250="代価表",$C250="単価表"),データ!Q247,"")</f>
        <v/>
      </c>
      <c r="S250" s="11" t="str">
        <f t="shared" si="20"/>
        <v/>
      </c>
      <c r="T250" s="46" t="e">
        <f t="shared" si="21"/>
        <v>#DIV/0!</v>
      </c>
      <c r="U250" s="40" t="str">
        <f>IF(データ!R247="","",データ!R247)</f>
        <v/>
      </c>
      <c r="V250" s="41" t="str">
        <f>IF(データ!S247="","",データ!S247)</f>
        <v/>
      </c>
      <c r="W250" s="42">
        <f>データ!T247</f>
        <v>0</v>
      </c>
      <c r="X250" s="48">
        <f>IF($C250="集計行","",データ!U247)</f>
        <v>0</v>
      </c>
      <c r="Y250" s="48">
        <f>データ!V247</f>
        <v>0</v>
      </c>
      <c r="Z250" s="39" t="str">
        <f>IF(OR($C250="総括",$C250="内訳書",$C250="内訳代価",$C250="明細書",$C250="明細代価",$C250="代価表",$C250="単価表"),データ!W247,"")</f>
        <v/>
      </c>
      <c r="AA250" s="11" t="str">
        <f t="shared" si="22"/>
        <v/>
      </c>
      <c r="AB250" s="46" t="e">
        <f t="shared" si="23"/>
        <v>#DIV/0!</v>
      </c>
      <c r="AC250" s="40" t="str">
        <f>IF(データ!X247="","",データ!X247)</f>
        <v/>
      </c>
      <c r="AD250" s="41" t="str">
        <f>IF(データ!Y247="","",データ!Y247)</f>
        <v/>
      </c>
      <c r="AE250" s="47" t="str">
        <f>TRIM(データ!B247)</f>
        <v/>
      </c>
      <c r="AF250" s="43" t="str">
        <f>TRIM(データ!Z247)</f>
        <v/>
      </c>
    </row>
    <row r="251" spans="1:32" x14ac:dyDescent="0.15">
      <c r="A251" s="47">
        <f>データ!A248</f>
        <v>3</v>
      </c>
      <c r="B251" s="47" t="str">
        <f>TRIM(データ!C248)</f>
        <v/>
      </c>
      <c r="C251" s="47" t="str">
        <f>TRIM(データ!D248)</f>
        <v>材料費</v>
      </c>
      <c r="D251" s="36" t="str">
        <f>REPT("｜",$A251)&amp;TRIM(データ!E248)</f>
        <v>｜｜｜再生砂</v>
      </c>
      <c r="E251" s="37" t="str">
        <f>TRIM(データ!F248)</f>
        <v/>
      </c>
      <c r="F251" s="38" t="str">
        <f>TRIM(データ!G248)</f>
        <v>m3</v>
      </c>
      <c r="G251" s="50">
        <f>データ!H248</f>
        <v>10</v>
      </c>
      <c r="H251" s="48">
        <f>データ!I248</f>
        <v>3000</v>
      </c>
      <c r="I251" s="48">
        <f>データ!J248</f>
        <v>30000</v>
      </c>
      <c r="J251" s="39" t="str">
        <f>IF(OR($C251="総括",$C251="内訳書",$C251="内訳代価",$C251="明細書",$C251="明細代価",$C251="代価表",$C251="単価表"),データ!K248,"")</f>
        <v/>
      </c>
      <c r="K251" s="11" t="str">
        <f t="shared" si="18"/>
        <v/>
      </c>
      <c r="L251" s="46">
        <f t="shared" si="19"/>
        <v>4.3194678415619197E-4</v>
      </c>
      <c r="M251" s="40" t="str">
        <f>IF(データ!L248="","",データ!L248)</f>
        <v/>
      </c>
      <c r="N251" s="41" t="str">
        <f>IF(データ!M248="","",データ!M248)</f>
        <v/>
      </c>
      <c r="O251" s="42">
        <f>データ!N248</f>
        <v>0</v>
      </c>
      <c r="P251" s="48">
        <f>IF($C251="集計行","",データ!O248)</f>
        <v>0</v>
      </c>
      <c r="Q251" s="48">
        <f>データ!P248</f>
        <v>0</v>
      </c>
      <c r="R251" s="39" t="str">
        <f>IF(OR($C251="総括",$C251="内訳書",$C251="内訳代価",$C251="明細書",$C251="明細代価",$C251="代価表",$C251="単価表"),データ!Q248,"")</f>
        <v/>
      </c>
      <c r="S251" s="11" t="str">
        <f t="shared" si="20"/>
        <v/>
      </c>
      <c r="T251" s="46" t="e">
        <f t="shared" si="21"/>
        <v>#DIV/0!</v>
      </c>
      <c r="U251" s="40" t="str">
        <f>IF(データ!R248="","",データ!R248)</f>
        <v/>
      </c>
      <c r="V251" s="41" t="str">
        <f>IF(データ!S248="","",データ!S248)</f>
        <v/>
      </c>
      <c r="W251" s="42">
        <f>データ!T248</f>
        <v>0</v>
      </c>
      <c r="X251" s="48">
        <f>IF($C251="集計行","",データ!U248)</f>
        <v>0</v>
      </c>
      <c r="Y251" s="48">
        <f>データ!V248</f>
        <v>0</v>
      </c>
      <c r="Z251" s="39" t="str">
        <f>IF(OR($C251="総括",$C251="内訳書",$C251="内訳代価",$C251="明細書",$C251="明細代価",$C251="代価表",$C251="単価表"),データ!W248,"")</f>
        <v/>
      </c>
      <c r="AA251" s="11" t="str">
        <f t="shared" si="22"/>
        <v/>
      </c>
      <c r="AB251" s="46" t="e">
        <f t="shared" si="23"/>
        <v>#DIV/0!</v>
      </c>
      <c r="AC251" s="40" t="str">
        <f>IF(データ!X248="","",データ!X248)</f>
        <v/>
      </c>
      <c r="AD251" s="41" t="str">
        <f>IF(データ!Y248="","",データ!Y248)</f>
        <v/>
      </c>
      <c r="AE251" s="47" t="str">
        <f>TRIM(データ!B248)</f>
        <v/>
      </c>
      <c r="AF251" s="43" t="str">
        <f>TRIM(データ!Z248)</f>
        <v/>
      </c>
    </row>
    <row r="252" spans="1:32" x14ac:dyDescent="0.15">
      <c r="A252" s="47">
        <f>データ!A249</f>
        <v>3</v>
      </c>
      <c r="B252" s="47" t="str">
        <f>TRIM(データ!C249)</f>
        <v/>
      </c>
      <c r="C252" s="47" t="str">
        <f>TRIM(データ!D249)</f>
        <v>労務費</v>
      </c>
      <c r="D252" s="36" t="str">
        <f>REPT("｜",$A252)&amp;TRIM(データ!E249)</f>
        <v>｜｜｜技工</v>
      </c>
      <c r="E252" s="37" t="str">
        <f>TRIM(データ!F249)</f>
        <v/>
      </c>
      <c r="F252" s="38" t="str">
        <f>TRIM(データ!G249)</f>
        <v>人</v>
      </c>
      <c r="G252" s="50">
        <f>データ!H249</f>
        <v>6</v>
      </c>
      <c r="H252" s="48">
        <f>データ!I249</f>
        <v>28000</v>
      </c>
      <c r="I252" s="48">
        <f>データ!J249</f>
        <v>168000</v>
      </c>
      <c r="J252" s="39" t="str">
        <f>IF(OR($C252="総括",$C252="内訳書",$C252="内訳代価",$C252="明細書",$C252="明細代価",$C252="代価表",$C252="単価表"),データ!K249,"")</f>
        <v/>
      </c>
      <c r="K252" s="11" t="str">
        <f t="shared" si="18"/>
        <v/>
      </c>
      <c r="L252" s="46">
        <f t="shared" si="19"/>
        <v>2.418901991274675E-3</v>
      </c>
      <c r="M252" s="40" t="str">
        <f>IF(データ!L249="","",データ!L249)</f>
        <v/>
      </c>
      <c r="N252" s="41" t="str">
        <f>IF(データ!M249="","",データ!M249)</f>
        <v/>
      </c>
      <c r="O252" s="42">
        <f>データ!N249</f>
        <v>0</v>
      </c>
      <c r="P252" s="48">
        <f>IF($C252="集計行","",データ!O249)</f>
        <v>0</v>
      </c>
      <c r="Q252" s="48">
        <f>データ!P249</f>
        <v>0</v>
      </c>
      <c r="R252" s="39" t="str">
        <f>IF(OR($C252="総括",$C252="内訳書",$C252="内訳代価",$C252="明細書",$C252="明細代価",$C252="代価表",$C252="単価表"),データ!Q249,"")</f>
        <v/>
      </c>
      <c r="S252" s="11" t="str">
        <f t="shared" si="20"/>
        <v/>
      </c>
      <c r="T252" s="46" t="e">
        <f t="shared" si="21"/>
        <v>#DIV/0!</v>
      </c>
      <c r="U252" s="40" t="str">
        <f>IF(データ!R249="","",データ!R249)</f>
        <v/>
      </c>
      <c r="V252" s="41" t="str">
        <f>IF(データ!S249="","",データ!S249)</f>
        <v/>
      </c>
      <c r="W252" s="42">
        <f>データ!T249</f>
        <v>0</v>
      </c>
      <c r="X252" s="48">
        <f>IF($C252="集計行","",データ!U249)</f>
        <v>0</v>
      </c>
      <c r="Y252" s="48">
        <f>データ!V249</f>
        <v>0</v>
      </c>
      <c r="Z252" s="39" t="str">
        <f>IF(OR($C252="総括",$C252="内訳書",$C252="内訳代価",$C252="明細書",$C252="明細代価",$C252="代価表",$C252="単価表"),データ!W249,"")</f>
        <v/>
      </c>
      <c r="AA252" s="11" t="str">
        <f t="shared" si="22"/>
        <v/>
      </c>
      <c r="AB252" s="46" t="e">
        <f t="shared" si="23"/>
        <v>#DIV/0!</v>
      </c>
      <c r="AC252" s="40" t="str">
        <f>IF(データ!X249="","",データ!X249)</f>
        <v/>
      </c>
      <c r="AD252" s="41" t="str">
        <f>IF(データ!Y249="","",データ!Y249)</f>
        <v/>
      </c>
      <c r="AE252" s="47" t="str">
        <f>TRIM(データ!B249)</f>
        <v/>
      </c>
      <c r="AF252" s="43" t="str">
        <f>TRIM(データ!Z249)</f>
        <v/>
      </c>
    </row>
    <row r="253" spans="1:32" x14ac:dyDescent="0.15">
      <c r="A253" s="47">
        <f>データ!A250</f>
        <v>3</v>
      </c>
      <c r="B253" s="47" t="str">
        <f>TRIM(データ!C250)</f>
        <v/>
      </c>
      <c r="C253" s="47" t="str">
        <f>TRIM(データ!D250)</f>
        <v>機械費</v>
      </c>
      <c r="D253" s="36" t="str">
        <f>REPT("｜",$A253)&amp;TRIM(データ!E250)</f>
        <v>｜｜｜BH0.15</v>
      </c>
      <c r="E253" s="37" t="str">
        <f>TRIM(データ!F250)</f>
        <v/>
      </c>
      <c r="F253" s="38" t="str">
        <f>TRIM(データ!G250)</f>
        <v>台</v>
      </c>
      <c r="G253" s="50">
        <f>データ!H250</f>
        <v>2</v>
      </c>
      <c r="H253" s="48">
        <f>データ!I250</f>
        <v>8000</v>
      </c>
      <c r="I253" s="48">
        <f>データ!J250</f>
        <v>16000</v>
      </c>
      <c r="J253" s="39" t="str">
        <f>IF(OR($C253="総括",$C253="内訳書",$C253="内訳代価",$C253="明細書",$C253="明細代価",$C253="代価表",$C253="単価表"),データ!K250,"")</f>
        <v/>
      </c>
      <c r="K253" s="11" t="str">
        <f t="shared" si="18"/>
        <v/>
      </c>
      <c r="L253" s="46">
        <f t="shared" si="19"/>
        <v>2.303716182166357E-4</v>
      </c>
      <c r="M253" s="40" t="str">
        <f>IF(データ!L250="","",データ!L250)</f>
        <v/>
      </c>
      <c r="N253" s="41" t="str">
        <f>IF(データ!M250="","",データ!M250)</f>
        <v/>
      </c>
      <c r="O253" s="42">
        <f>データ!N250</f>
        <v>0</v>
      </c>
      <c r="P253" s="48">
        <f>IF($C253="集計行","",データ!O250)</f>
        <v>0</v>
      </c>
      <c r="Q253" s="48">
        <f>データ!P250</f>
        <v>0</v>
      </c>
      <c r="R253" s="39" t="str">
        <f>IF(OR($C253="総括",$C253="内訳書",$C253="内訳代価",$C253="明細書",$C253="明細代価",$C253="代価表",$C253="単価表"),データ!Q250,"")</f>
        <v/>
      </c>
      <c r="S253" s="11" t="str">
        <f t="shared" si="20"/>
        <v/>
      </c>
      <c r="T253" s="46" t="e">
        <f t="shared" si="21"/>
        <v>#DIV/0!</v>
      </c>
      <c r="U253" s="40" t="str">
        <f>IF(データ!R250="","",データ!R250)</f>
        <v/>
      </c>
      <c r="V253" s="41" t="str">
        <f>IF(データ!S250="","",データ!S250)</f>
        <v/>
      </c>
      <c r="W253" s="42">
        <f>データ!T250</f>
        <v>0</v>
      </c>
      <c r="X253" s="48">
        <f>IF($C253="集計行","",データ!U250)</f>
        <v>0</v>
      </c>
      <c r="Y253" s="48">
        <f>データ!V250</f>
        <v>0</v>
      </c>
      <c r="Z253" s="39" t="str">
        <f>IF(OR($C253="総括",$C253="内訳書",$C253="内訳代価",$C253="明細書",$C253="明細代価",$C253="代価表",$C253="単価表"),データ!W250,"")</f>
        <v/>
      </c>
      <c r="AA253" s="11" t="str">
        <f t="shared" si="22"/>
        <v/>
      </c>
      <c r="AB253" s="46" t="e">
        <f t="shared" si="23"/>
        <v>#DIV/0!</v>
      </c>
      <c r="AC253" s="40" t="str">
        <f>IF(データ!X250="","",データ!X250)</f>
        <v/>
      </c>
      <c r="AD253" s="41" t="str">
        <f>IF(データ!Y250="","",データ!Y250)</f>
        <v/>
      </c>
      <c r="AE253" s="47" t="str">
        <f>TRIM(データ!B250)</f>
        <v/>
      </c>
      <c r="AF253" s="43" t="str">
        <f>TRIM(データ!Z250)</f>
        <v/>
      </c>
    </row>
    <row r="254" spans="1:32" x14ac:dyDescent="0.15">
      <c r="A254" s="47">
        <f>データ!A251</f>
        <v>3</v>
      </c>
      <c r="B254" s="47" t="str">
        <f>TRIM(データ!C251)</f>
        <v/>
      </c>
      <c r="C254" s="47" t="str">
        <f>TRIM(データ!D251)</f>
        <v>機械費</v>
      </c>
      <c r="D254" s="36" t="str">
        <f>REPT("｜",$A254)&amp;TRIM(データ!E251)</f>
        <v>｜｜｜プレート</v>
      </c>
      <c r="E254" s="37" t="str">
        <f>TRIM(データ!F251)</f>
        <v/>
      </c>
      <c r="F254" s="38" t="str">
        <f>TRIM(データ!G251)</f>
        <v>台</v>
      </c>
      <c r="G254" s="50">
        <f>データ!H251</f>
        <v>2</v>
      </c>
      <c r="H254" s="48">
        <f>データ!I251</f>
        <v>1500</v>
      </c>
      <c r="I254" s="48">
        <f>データ!J251</f>
        <v>3000</v>
      </c>
      <c r="J254" s="39" t="str">
        <f>IF(OR($C254="総括",$C254="内訳書",$C254="内訳代価",$C254="明細書",$C254="明細代価",$C254="代価表",$C254="単価表"),データ!K251,"")</f>
        <v/>
      </c>
      <c r="K254" s="11" t="str">
        <f t="shared" si="18"/>
        <v/>
      </c>
      <c r="L254" s="46">
        <f t="shared" si="19"/>
        <v>4.3194678415619194E-5</v>
      </c>
      <c r="M254" s="40" t="str">
        <f>IF(データ!L251="","",データ!L251)</f>
        <v/>
      </c>
      <c r="N254" s="41" t="str">
        <f>IF(データ!M251="","",データ!M251)</f>
        <v/>
      </c>
      <c r="O254" s="42">
        <f>データ!N251</f>
        <v>0</v>
      </c>
      <c r="P254" s="48">
        <f>IF($C254="集計行","",データ!O251)</f>
        <v>0</v>
      </c>
      <c r="Q254" s="48">
        <f>データ!P251</f>
        <v>0</v>
      </c>
      <c r="R254" s="39" t="str">
        <f>IF(OR($C254="総括",$C254="内訳書",$C254="内訳代価",$C254="明細書",$C254="明細代価",$C254="代価表",$C254="単価表"),データ!Q251,"")</f>
        <v/>
      </c>
      <c r="S254" s="11" t="str">
        <f t="shared" si="20"/>
        <v/>
      </c>
      <c r="T254" s="46" t="e">
        <f t="shared" si="21"/>
        <v>#DIV/0!</v>
      </c>
      <c r="U254" s="40" t="str">
        <f>IF(データ!R251="","",データ!R251)</f>
        <v/>
      </c>
      <c r="V254" s="41" t="str">
        <f>IF(データ!S251="","",データ!S251)</f>
        <v/>
      </c>
      <c r="W254" s="42">
        <f>データ!T251</f>
        <v>0</v>
      </c>
      <c r="X254" s="48">
        <f>IF($C254="集計行","",データ!U251)</f>
        <v>0</v>
      </c>
      <c r="Y254" s="48">
        <f>データ!V251</f>
        <v>0</v>
      </c>
      <c r="Z254" s="39" t="str">
        <f>IF(OR($C254="総括",$C254="内訳書",$C254="内訳代価",$C254="明細書",$C254="明細代価",$C254="代価表",$C254="単価表"),データ!W251,"")</f>
        <v/>
      </c>
      <c r="AA254" s="11" t="str">
        <f t="shared" si="22"/>
        <v/>
      </c>
      <c r="AB254" s="46" t="e">
        <f t="shared" si="23"/>
        <v>#DIV/0!</v>
      </c>
      <c r="AC254" s="40" t="str">
        <f>IF(データ!X251="","",データ!X251)</f>
        <v/>
      </c>
      <c r="AD254" s="41" t="str">
        <f>IF(データ!Y251="","",データ!Y251)</f>
        <v/>
      </c>
      <c r="AE254" s="47" t="str">
        <f>TRIM(データ!B251)</f>
        <v/>
      </c>
      <c r="AF254" s="43" t="str">
        <f>TRIM(データ!Z251)</f>
        <v/>
      </c>
    </row>
    <row r="255" spans="1:32" x14ac:dyDescent="0.15">
      <c r="A255" s="47">
        <f>データ!A252</f>
        <v>3</v>
      </c>
      <c r="B255" s="47" t="str">
        <f>TRIM(データ!C252)</f>
        <v/>
      </c>
      <c r="C255" s="47" t="str">
        <f>TRIM(データ!D252)</f>
        <v>機械費</v>
      </c>
      <c r="D255" s="36" t="str">
        <f>REPT("｜",$A255)&amp;TRIM(データ!E252)</f>
        <v>｜｜｜ランマー</v>
      </c>
      <c r="E255" s="37" t="str">
        <f>TRIM(データ!F252)</f>
        <v/>
      </c>
      <c r="F255" s="38" t="str">
        <f>TRIM(データ!G252)</f>
        <v>台</v>
      </c>
      <c r="G255" s="50">
        <f>データ!H252</f>
        <v>2</v>
      </c>
      <c r="H255" s="48">
        <f>データ!I252</f>
        <v>1500</v>
      </c>
      <c r="I255" s="48">
        <f>データ!J252</f>
        <v>3000</v>
      </c>
      <c r="J255" s="39" t="str">
        <f>IF(OR($C255="総括",$C255="内訳書",$C255="内訳代価",$C255="明細書",$C255="明細代価",$C255="代価表",$C255="単価表"),データ!K252,"")</f>
        <v/>
      </c>
      <c r="K255" s="11" t="str">
        <f t="shared" si="18"/>
        <v/>
      </c>
      <c r="L255" s="46">
        <f t="shared" si="19"/>
        <v>4.3194678415619194E-5</v>
      </c>
      <c r="M255" s="40" t="str">
        <f>IF(データ!L252="","",データ!L252)</f>
        <v/>
      </c>
      <c r="N255" s="41" t="str">
        <f>IF(データ!M252="","",データ!M252)</f>
        <v/>
      </c>
      <c r="O255" s="42">
        <f>データ!N252</f>
        <v>0</v>
      </c>
      <c r="P255" s="48">
        <f>IF($C255="集計行","",データ!O252)</f>
        <v>0</v>
      </c>
      <c r="Q255" s="48">
        <f>データ!P252</f>
        <v>0</v>
      </c>
      <c r="R255" s="39" t="str">
        <f>IF(OR($C255="総括",$C255="内訳書",$C255="内訳代価",$C255="明細書",$C255="明細代価",$C255="代価表",$C255="単価表"),データ!Q252,"")</f>
        <v/>
      </c>
      <c r="S255" s="11" t="str">
        <f t="shared" si="20"/>
        <v/>
      </c>
      <c r="T255" s="46" t="e">
        <f t="shared" si="21"/>
        <v>#DIV/0!</v>
      </c>
      <c r="U255" s="40" t="str">
        <f>IF(データ!R252="","",データ!R252)</f>
        <v/>
      </c>
      <c r="V255" s="41" t="str">
        <f>IF(データ!S252="","",データ!S252)</f>
        <v/>
      </c>
      <c r="W255" s="42">
        <f>データ!T252</f>
        <v>0</v>
      </c>
      <c r="X255" s="48">
        <f>IF($C255="集計行","",データ!U252)</f>
        <v>0</v>
      </c>
      <c r="Y255" s="48">
        <f>データ!V252</f>
        <v>0</v>
      </c>
      <c r="Z255" s="39" t="str">
        <f>IF(OR($C255="総括",$C255="内訳書",$C255="内訳代価",$C255="明細書",$C255="明細代価",$C255="代価表",$C255="単価表"),データ!W252,"")</f>
        <v/>
      </c>
      <c r="AA255" s="11" t="str">
        <f t="shared" si="22"/>
        <v/>
      </c>
      <c r="AB255" s="46" t="e">
        <f t="shared" si="23"/>
        <v>#DIV/0!</v>
      </c>
      <c r="AC255" s="40" t="str">
        <f>IF(データ!X252="","",データ!X252)</f>
        <v/>
      </c>
      <c r="AD255" s="41" t="str">
        <f>IF(データ!Y252="","",データ!Y252)</f>
        <v/>
      </c>
      <c r="AE255" s="47" t="str">
        <f>TRIM(データ!B252)</f>
        <v/>
      </c>
      <c r="AF255" s="43" t="str">
        <f>TRIM(データ!Z252)</f>
        <v/>
      </c>
    </row>
    <row r="256" spans="1:32" x14ac:dyDescent="0.15">
      <c r="A256" s="47">
        <f>データ!A253</f>
        <v>3</v>
      </c>
      <c r="B256" s="47" t="str">
        <f>TRIM(データ!C253)</f>
        <v/>
      </c>
      <c r="C256" s="47" t="str">
        <f>TRIM(データ!D253)</f>
        <v>運搬費</v>
      </c>
      <c r="D256" s="36" t="str">
        <f>REPT("｜",$A256)&amp;TRIM(データ!E253)</f>
        <v>｜｜｜4tダンプ</v>
      </c>
      <c r="E256" s="37" t="str">
        <f>TRIM(データ!F253)</f>
        <v/>
      </c>
      <c r="F256" s="38" t="str">
        <f>TRIM(データ!G253)</f>
        <v>台</v>
      </c>
      <c r="G256" s="50">
        <f>データ!H253</f>
        <v>2</v>
      </c>
      <c r="H256" s="48">
        <f>データ!I253</f>
        <v>10000</v>
      </c>
      <c r="I256" s="48">
        <f>データ!J253</f>
        <v>20000</v>
      </c>
      <c r="J256" s="39" t="str">
        <f>IF(OR($C256="総括",$C256="内訳書",$C256="内訳代価",$C256="明細書",$C256="明細代価",$C256="代価表",$C256="単価表"),データ!K253,"")</f>
        <v/>
      </c>
      <c r="K256" s="11" t="str">
        <f t="shared" si="18"/>
        <v/>
      </c>
      <c r="L256" s="46">
        <f t="shared" si="19"/>
        <v>2.8796452277079463E-4</v>
      </c>
      <c r="M256" s="40" t="str">
        <f>IF(データ!L253="","",データ!L253)</f>
        <v/>
      </c>
      <c r="N256" s="41" t="str">
        <f>IF(データ!M253="","",データ!M253)</f>
        <v/>
      </c>
      <c r="O256" s="42">
        <f>データ!N253</f>
        <v>0</v>
      </c>
      <c r="P256" s="48">
        <f>IF($C256="集計行","",データ!O253)</f>
        <v>0</v>
      </c>
      <c r="Q256" s="48">
        <f>データ!P253</f>
        <v>0</v>
      </c>
      <c r="R256" s="39" t="str">
        <f>IF(OR($C256="総括",$C256="内訳書",$C256="内訳代価",$C256="明細書",$C256="明細代価",$C256="代価表",$C256="単価表"),データ!Q253,"")</f>
        <v/>
      </c>
      <c r="S256" s="11" t="str">
        <f t="shared" si="20"/>
        <v/>
      </c>
      <c r="T256" s="46" t="e">
        <f t="shared" si="21"/>
        <v>#DIV/0!</v>
      </c>
      <c r="U256" s="40" t="str">
        <f>IF(データ!R253="","",データ!R253)</f>
        <v/>
      </c>
      <c r="V256" s="41" t="str">
        <f>IF(データ!S253="","",データ!S253)</f>
        <v/>
      </c>
      <c r="W256" s="42">
        <f>データ!T253</f>
        <v>0</v>
      </c>
      <c r="X256" s="48">
        <f>IF($C256="集計行","",データ!U253)</f>
        <v>0</v>
      </c>
      <c r="Y256" s="48">
        <f>データ!V253</f>
        <v>0</v>
      </c>
      <c r="Z256" s="39" t="str">
        <f>IF(OR($C256="総括",$C256="内訳書",$C256="内訳代価",$C256="明細書",$C256="明細代価",$C256="代価表",$C256="単価表"),データ!W253,"")</f>
        <v/>
      </c>
      <c r="AA256" s="11" t="str">
        <f t="shared" si="22"/>
        <v/>
      </c>
      <c r="AB256" s="46" t="e">
        <f t="shared" si="23"/>
        <v>#DIV/0!</v>
      </c>
      <c r="AC256" s="40" t="str">
        <f>IF(データ!X253="","",データ!X253)</f>
        <v/>
      </c>
      <c r="AD256" s="41" t="str">
        <f>IF(データ!Y253="","",データ!Y253)</f>
        <v/>
      </c>
      <c r="AE256" s="47" t="str">
        <f>TRIM(データ!B253)</f>
        <v/>
      </c>
      <c r="AF256" s="43" t="str">
        <f>TRIM(データ!Z253)</f>
        <v/>
      </c>
    </row>
    <row r="257" spans="1:32" x14ac:dyDescent="0.15">
      <c r="A257" s="47">
        <f>データ!A254</f>
        <v>3</v>
      </c>
      <c r="B257" s="47" t="str">
        <f>TRIM(データ!C254)</f>
        <v/>
      </c>
      <c r="C257" s="47" t="str">
        <f>TRIM(データ!D254)</f>
        <v>運搬費</v>
      </c>
      <c r="D257" s="36" t="str">
        <f>REPT("｜",$A257)&amp;TRIM(データ!E254)</f>
        <v>｜｜｜2tダンプ</v>
      </c>
      <c r="E257" s="37" t="str">
        <f>TRIM(データ!F254)</f>
        <v/>
      </c>
      <c r="F257" s="38" t="str">
        <f>TRIM(データ!G254)</f>
        <v>台</v>
      </c>
      <c r="G257" s="50">
        <f>データ!H254</f>
        <v>2</v>
      </c>
      <c r="H257" s="48">
        <f>データ!I254</f>
        <v>7000</v>
      </c>
      <c r="I257" s="48">
        <f>データ!J254</f>
        <v>14000</v>
      </c>
      <c r="J257" s="39" t="str">
        <f>IF(OR($C257="総括",$C257="内訳書",$C257="内訳代価",$C257="明細書",$C257="明細代価",$C257="代価表",$C257="単価表"),データ!K254,"")</f>
        <v/>
      </c>
      <c r="K257" s="11" t="str">
        <f t="shared" si="18"/>
        <v/>
      </c>
      <c r="L257" s="46">
        <f t="shared" si="19"/>
        <v>2.0157516593955624E-4</v>
      </c>
      <c r="M257" s="40" t="str">
        <f>IF(データ!L254="","",データ!L254)</f>
        <v/>
      </c>
      <c r="N257" s="41" t="str">
        <f>IF(データ!M254="","",データ!M254)</f>
        <v/>
      </c>
      <c r="O257" s="42">
        <f>データ!N254</f>
        <v>0</v>
      </c>
      <c r="P257" s="48">
        <f>IF($C257="集計行","",データ!O254)</f>
        <v>0</v>
      </c>
      <c r="Q257" s="48">
        <f>データ!P254</f>
        <v>0</v>
      </c>
      <c r="R257" s="39" t="str">
        <f>IF(OR($C257="総括",$C257="内訳書",$C257="内訳代価",$C257="明細書",$C257="明細代価",$C257="代価表",$C257="単価表"),データ!Q254,"")</f>
        <v/>
      </c>
      <c r="S257" s="11" t="str">
        <f t="shared" si="20"/>
        <v/>
      </c>
      <c r="T257" s="46" t="e">
        <f t="shared" si="21"/>
        <v>#DIV/0!</v>
      </c>
      <c r="U257" s="40" t="str">
        <f>IF(データ!R254="","",データ!R254)</f>
        <v/>
      </c>
      <c r="V257" s="41" t="str">
        <f>IF(データ!S254="","",データ!S254)</f>
        <v/>
      </c>
      <c r="W257" s="42">
        <f>データ!T254</f>
        <v>0</v>
      </c>
      <c r="X257" s="48">
        <f>IF($C257="集計行","",データ!U254)</f>
        <v>0</v>
      </c>
      <c r="Y257" s="48">
        <f>データ!V254</f>
        <v>0</v>
      </c>
      <c r="Z257" s="39" t="str">
        <f>IF(OR($C257="総括",$C257="内訳書",$C257="内訳代価",$C257="明細書",$C257="明細代価",$C257="代価表",$C257="単価表"),データ!W254,"")</f>
        <v/>
      </c>
      <c r="AA257" s="11" t="str">
        <f t="shared" si="22"/>
        <v/>
      </c>
      <c r="AB257" s="46" t="e">
        <f t="shared" si="23"/>
        <v>#DIV/0!</v>
      </c>
      <c r="AC257" s="40" t="str">
        <f>IF(データ!X254="","",データ!X254)</f>
        <v/>
      </c>
      <c r="AD257" s="41" t="str">
        <f>IF(データ!Y254="","",データ!Y254)</f>
        <v/>
      </c>
      <c r="AE257" s="47" t="str">
        <f>TRIM(データ!B254)</f>
        <v/>
      </c>
      <c r="AF257" s="43" t="str">
        <f>TRIM(データ!Z254)</f>
        <v/>
      </c>
    </row>
    <row r="258" spans="1:32" x14ac:dyDescent="0.15">
      <c r="A258" s="47">
        <f>データ!A255</f>
        <v>3</v>
      </c>
      <c r="B258" s="47" t="str">
        <f>TRIM(データ!C255)</f>
        <v/>
      </c>
      <c r="C258" s="47" t="str">
        <f>TRIM(データ!D255)</f>
        <v>材料費</v>
      </c>
      <c r="D258" s="36" t="str">
        <f>REPT("｜",$A258)&amp;TRIM(データ!E255)</f>
        <v>｜｜｜軽油</v>
      </c>
      <c r="E258" s="37" t="str">
        <f>TRIM(データ!F255)</f>
        <v/>
      </c>
      <c r="F258" s="38" t="str">
        <f>TRIM(データ!G255)</f>
        <v>リットル</v>
      </c>
      <c r="G258" s="50">
        <f>データ!H255</f>
        <v>80</v>
      </c>
      <c r="H258" s="48">
        <f>データ!I255</f>
        <v>150</v>
      </c>
      <c r="I258" s="48">
        <f>データ!J255</f>
        <v>12000</v>
      </c>
      <c r="J258" s="39" t="str">
        <f>IF(OR($C258="総括",$C258="内訳書",$C258="内訳代価",$C258="明細書",$C258="明細代価",$C258="代価表",$C258="単価表"),データ!K255,"")</f>
        <v/>
      </c>
      <c r="K258" s="11" t="str">
        <f t="shared" si="18"/>
        <v/>
      </c>
      <c r="L258" s="46">
        <f t="shared" si="19"/>
        <v>1.7277871366247678E-4</v>
      </c>
      <c r="M258" s="40" t="str">
        <f>IF(データ!L255="","",データ!L255)</f>
        <v/>
      </c>
      <c r="N258" s="41" t="str">
        <f>IF(データ!M255="","",データ!M255)</f>
        <v/>
      </c>
      <c r="O258" s="42">
        <f>データ!N255</f>
        <v>0</v>
      </c>
      <c r="P258" s="48">
        <f>IF($C258="集計行","",データ!O255)</f>
        <v>0</v>
      </c>
      <c r="Q258" s="48">
        <f>データ!P255</f>
        <v>0</v>
      </c>
      <c r="R258" s="39" t="str">
        <f>IF(OR($C258="総括",$C258="内訳書",$C258="内訳代価",$C258="明細書",$C258="明細代価",$C258="代価表",$C258="単価表"),データ!Q255,"")</f>
        <v/>
      </c>
      <c r="S258" s="11" t="str">
        <f t="shared" si="20"/>
        <v/>
      </c>
      <c r="T258" s="46" t="e">
        <f t="shared" si="21"/>
        <v>#DIV/0!</v>
      </c>
      <c r="U258" s="40" t="str">
        <f>IF(データ!R255="","",データ!R255)</f>
        <v/>
      </c>
      <c r="V258" s="41" t="str">
        <f>IF(データ!S255="","",データ!S255)</f>
        <v/>
      </c>
      <c r="W258" s="42">
        <f>データ!T255</f>
        <v>0</v>
      </c>
      <c r="X258" s="48">
        <f>IF($C258="集計行","",データ!U255)</f>
        <v>0</v>
      </c>
      <c r="Y258" s="48">
        <f>データ!V255</f>
        <v>0</v>
      </c>
      <c r="Z258" s="39" t="str">
        <f>IF(OR($C258="総括",$C258="内訳書",$C258="内訳代価",$C258="明細書",$C258="明細代価",$C258="代価表",$C258="単価表"),データ!W255,"")</f>
        <v/>
      </c>
      <c r="AA258" s="11" t="str">
        <f t="shared" si="22"/>
        <v/>
      </c>
      <c r="AB258" s="46" t="e">
        <f t="shared" si="23"/>
        <v>#DIV/0!</v>
      </c>
      <c r="AC258" s="40" t="str">
        <f>IF(データ!X255="","",データ!X255)</f>
        <v/>
      </c>
      <c r="AD258" s="41" t="str">
        <f>IF(データ!Y255="","",データ!Y255)</f>
        <v/>
      </c>
      <c r="AE258" s="47" t="str">
        <f>TRIM(データ!B255)</f>
        <v/>
      </c>
      <c r="AF258" s="43" t="str">
        <f>TRIM(データ!Z255)</f>
        <v/>
      </c>
    </row>
    <row r="259" spans="1:32" x14ac:dyDescent="0.15">
      <c r="A259" s="47">
        <f>データ!A256</f>
        <v>3</v>
      </c>
      <c r="B259" s="47" t="str">
        <f>TRIM(データ!C256)</f>
        <v/>
      </c>
      <c r="C259" s="47" t="str">
        <f>TRIM(データ!D256)</f>
        <v>材料費</v>
      </c>
      <c r="D259" s="36" t="str">
        <f>REPT("｜",$A259)&amp;TRIM(データ!E256)</f>
        <v>｜｜｜ガソリン</v>
      </c>
      <c r="E259" s="37" t="str">
        <f>TRIM(データ!F256)</f>
        <v/>
      </c>
      <c r="F259" s="38" t="str">
        <f>TRIM(データ!G256)</f>
        <v>リットル</v>
      </c>
      <c r="G259" s="50">
        <f>データ!H256</f>
        <v>80</v>
      </c>
      <c r="H259" s="48">
        <f>データ!I256</f>
        <v>200</v>
      </c>
      <c r="I259" s="48">
        <f>データ!J256</f>
        <v>16000</v>
      </c>
      <c r="J259" s="39" t="str">
        <f>IF(OR($C259="総括",$C259="内訳書",$C259="内訳代価",$C259="明細書",$C259="明細代価",$C259="代価表",$C259="単価表"),データ!K256,"")</f>
        <v/>
      </c>
      <c r="K259" s="11" t="str">
        <f t="shared" si="18"/>
        <v/>
      </c>
      <c r="L259" s="46">
        <f t="shared" si="19"/>
        <v>2.303716182166357E-4</v>
      </c>
      <c r="M259" s="40" t="str">
        <f>IF(データ!L256="","",データ!L256)</f>
        <v/>
      </c>
      <c r="N259" s="41" t="str">
        <f>IF(データ!M256="","",データ!M256)</f>
        <v/>
      </c>
      <c r="O259" s="42">
        <f>データ!N256</f>
        <v>0</v>
      </c>
      <c r="P259" s="48">
        <f>IF($C259="集計行","",データ!O256)</f>
        <v>0</v>
      </c>
      <c r="Q259" s="48">
        <f>データ!P256</f>
        <v>0</v>
      </c>
      <c r="R259" s="39" t="str">
        <f>IF(OR($C259="総括",$C259="内訳書",$C259="内訳代価",$C259="明細書",$C259="明細代価",$C259="代価表",$C259="単価表"),データ!Q256,"")</f>
        <v/>
      </c>
      <c r="S259" s="11" t="str">
        <f t="shared" si="20"/>
        <v/>
      </c>
      <c r="T259" s="46" t="e">
        <f t="shared" si="21"/>
        <v>#DIV/0!</v>
      </c>
      <c r="U259" s="40" t="str">
        <f>IF(データ!R256="","",データ!R256)</f>
        <v/>
      </c>
      <c r="V259" s="41" t="str">
        <f>IF(データ!S256="","",データ!S256)</f>
        <v/>
      </c>
      <c r="W259" s="42">
        <f>データ!T256</f>
        <v>0</v>
      </c>
      <c r="X259" s="48">
        <f>IF($C259="集計行","",データ!U256)</f>
        <v>0</v>
      </c>
      <c r="Y259" s="48">
        <f>データ!V256</f>
        <v>0</v>
      </c>
      <c r="Z259" s="39" t="str">
        <f>IF(OR($C259="総括",$C259="内訳書",$C259="内訳代価",$C259="明細書",$C259="明細代価",$C259="代価表",$C259="単価表"),データ!W256,"")</f>
        <v/>
      </c>
      <c r="AA259" s="11" t="str">
        <f t="shared" si="22"/>
        <v/>
      </c>
      <c r="AB259" s="46" t="e">
        <f t="shared" si="23"/>
        <v>#DIV/0!</v>
      </c>
      <c r="AC259" s="40" t="str">
        <f>IF(データ!X256="","",データ!X256)</f>
        <v/>
      </c>
      <c r="AD259" s="41" t="str">
        <f>IF(データ!Y256="","",データ!Y256)</f>
        <v/>
      </c>
      <c r="AE259" s="47" t="str">
        <f>TRIM(データ!B256)</f>
        <v/>
      </c>
      <c r="AF259" s="43" t="str">
        <f>TRIM(データ!Z256)</f>
        <v/>
      </c>
    </row>
    <row r="260" spans="1:32" x14ac:dyDescent="0.15">
      <c r="A260" s="47">
        <f>データ!A257</f>
        <v>3</v>
      </c>
      <c r="B260" s="47" t="str">
        <f>TRIM(データ!C257)</f>
        <v/>
      </c>
      <c r="C260" s="47" t="str">
        <f>TRIM(データ!D257)</f>
        <v>材料費</v>
      </c>
      <c r="D260" s="36" t="str">
        <f>REPT("｜",$A260)&amp;TRIM(データ!E257)</f>
        <v>｜｜｜雑材</v>
      </c>
      <c r="E260" s="37" t="str">
        <f>TRIM(データ!F257)</f>
        <v/>
      </c>
      <c r="F260" s="38" t="str">
        <f>TRIM(データ!G257)</f>
        <v>式</v>
      </c>
      <c r="G260" s="50">
        <f>データ!H257</f>
        <v>1</v>
      </c>
      <c r="H260" s="48">
        <f>データ!I257</f>
        <v>960</v>
      </c>
      <c r="I260" s="48">
        <f>データ!J257</f>
        <v>960</v>
      </c>
      <c r="J260" s="39" t="str">
        <f>IF(OR($C260="総括",$C260="内訳書",$C260="内訳代価",$C260="明細書",$C260="明細代価",$C260="代価表",$C260="単価表"),データ!K257,"")</f>
        <v/>
      </c>
      <c r="K260" s="11" t="str">
        <f t="shared" si="18"/>
        <v/>
      </c>
      <c r="L260" s="46">
        <f t="shared" si="19"/>
        <v>1.3822297092998143E-5</v>
      </c>
      <c r="M260" s="40" t="str">
        <f>IF(データ!L257="","",データ!L257)</f>
        <v/>
      </c>
      <c r="N260" s="41" t="str">
        <f>IF(データ!M257="","",データ!M257)</f>
        <v/>
      </c>
      <c r="O260" s="42">
        <f>データ!N257</f>
        <v>0</v>
      </c>
      <c r="P260" s="48">
        <f>IF($C260="集計行","",データ!O257)</f>
        <v>0</v>
      </c>
      <c r="Q260" s="48">
        <f>データ!P257</f>
        <v>0</v>
      </c>
      <c r="R260" s="39" t="str">
        <f>IF(OR($C260="総括",$C260="内訳書",$C260="内訳代価",$C260="明細書",$C260="明細代価",$C260="代価表",$C260="単価表"),データ!Q257,"")</f>
        <v/>
      </c>
      <c r="S260" s="11" t="str">
        <f t="shared" si="20"/>
        <v/>
      </c>
      <c r="T260" s="46" t="e">
        <f t="shared" si="21"/>
        <v>#DIV/0!</v>
      </c>
      <c r="U260" s="40" t="str">
        <f>IF(データ!R257="","",データ!R257)</f>
        <v/>
      </c>
      <c r="V260" s="41" t="str">
        <f>IF(データ!S257="","",データ!S257)</f>
        <v/>
      </c>
      <c r="W260" s="42">
        <f>データ!T257</f>
        <v>0</v>
      </c>
      <c r="X260" s="48">
        <f>IF($C260="集計行","",データ!U257)</f>
        <v>0</v>
      </c>
      <c r="Y260" s="48">
        <f>データ!V257</f>
        <v>0</v>
      </c>
      <c r="Z260" s="39" t="str">
        <f>IF(OR($C260="総括",$C260="内訳書",$C260="内訳代価",$C260="明細書",$C260="明細代価",$C260="代価表",$C260="単価表"),データ!W257,"")</f>
        <v/>
      </c>
      <c r="AA260" s="11" t="str">
        <f t="shared" si="22"/>
        <v/>
      </c>
      <c r="AB260" s="46" t="e">
        <f t="shared" si="23"/>
        <v>#DIV/0!</v>
      </c>
      <c r="AC260" s="40" t="str">
        <f>IF(データ!X257="","",データ!X257)</f>
        <v/>
      </c>
      <c r="AD260" s="41" t="str">
        <f>IF(データ!Y257="","",データ!Y257)</f>
        <v/>
      </c>
      <c r="AE260" s="47" t="str">
        <f>TRIM(データ!B257)</f>
        <v/>
      </c>
      <c r="AF260" s="43" t="str">
        <f>TRIM(データ!Z257)</f>
        <v/>
      </c>
    </row>
    <row r="261" spans="1:32" x14ac:dyDescent="0.15">
      <c r="A261" s="47">
        <f>データ!A258</f>
        <v>3</v>
      </c>
      <c r="B261" s="47" t="str">
        <f>TRIM(データ!C258)</f>
        <v/>
      </c>
      <c r="C261" s="47" t="str">
        <f>TRIM(データ!D258)</f>
        <v>外注費</v>
      </c>
      <c r="D261" s="36" t="str">
        <f>REPT("｜",$A261)&amp;TRIM(データ!E258)</f>
        <v>｜｜｜外注経費</v>
      </c>
      <c r="E261" s="37" t="str">
        <f>TRIM(データ!F258)</f>
        <v/>
      </c>
      <c r="F261" s="38" t="str">
        <f>TRIM(データ!G258)</f>
        <v>式</v>
      </c>
      <c r="G261" s="50">
        <f>データ!H258</f>
        <v>1</v>
      </c>
      <c r="H261" s="48">
        <f>データ!I258</f>
        <v>25200</v>
      </c>
      <c r="I261" s="48">
        <f>データ!J258</f>
        <v>25200</v>
      </c>
      <c r="J261" s="39" t="str">
        <f>IF(OR($C261="総括",$C261="内訳書",$C261="内訳代価",$C261="明細書",$C261="明細代価",$C261="代価表",$C261="単価表"),データ!K258,"")</f>
        <v/>
      </c>
      <c r="K261" s="11" t="str">
        <f t="shared" ref="K261:K324" si="24">IF(OR(J261="",G261=J261),"","*")</f>
        <v/>
      </c>
      <c r="L261" s="46">
        <f t="shared" ref="L261:L324" si="25">IF($A261&lt;=L$1,I261/I$4,"")</f>
        <v>3.6283529869120127E-4</v>
      </c>
      <c r="M261" s="40" t="str">
        <f>IF(データ!L258="","",データ!L258)</f>
        <v/>
      </c>
      <c r="N261" s="41" t="str">
        <f>IF(データ!M258="","",データ!M258)</f>
        <v/>
      </c>
      <c r="O261" s="42">
        <f>データ!N258</f>
        <v>0</v>
      </c>
      <c r="P261" s="48">
        <f>IF($C261="集計行","",データ!O258)</f>
        <v>0</v>
      </c>
      <c r="Q261" s="48">
        <f>データ!P258</f>
        <v>0</v>
      </c>
      <c r="R261" s="39" t="str">
        <f>IF(OR($C261="総括",$C261="内訳書",$C261="内訳代価",$C261="明細書",$C261="明細代価",$C261="代価表",$C261="単価表"),データ!Q258,"")</f>
        <v/>
      </c>
      <c r="S261" s="11" t="str">
        <f t="shared" ref="S261:S324" si="26">IF(OR(R261="",O261=R261),"","*")</f>
        <v/>
      </c>
      <c r="T261" s="46" t="e">
        <f t="shared" ref="T261:T324" si="27">IF($A261&lt;=T$1,Q261/Q$4,"")</f>
        <v>#DIV/0!</v>
      </c>
      <c r="U261" s="40" t="str">
        <f>IF(データ!R258="","",データ!R258)</f>
        <v/>
      </c>
      <c r="V261" s="41" t="str">
        <f>IF(データ!S258="","",データ!S258)</f>
        <v/>
      </c>
      <c r="W261" s="42">
        <f>データ!T258</f>
        <v>0</v>
      </c>
      <c r="X261" s="48">
        <f>IF($C261="集計行","",データ!U258)</f>
        <v>0</v>
      </c>
      <c r="Y261" s="48">
        <f>データ!V258</f>
        <v>0</v>
      </c>
      <c r="Z261" s="39" t="str">
        <f>IF(OR($C261="総括",$C261="内訳書",$C261="内訳代価",$C261="明細書",$C261="明細代価",$C261="代価表",$C261="単価表"),データ!W258,"")</f>
        <v/>
      </c>
      <c r="AA261" s="11" t="str">
        <f t="shared" ref="AA261:AA324" si="28">IF(OR(Z261="",W261=Z261),"","*")</f>
        <v/>
      </c>
      <c r="AB261" s="46" t="e">
        <f t="shared" ref="AB261:AB324" si="29">IF($A261&lt;=AB$1,Y261/Y$4,"")</f>
        <v>#DIV/0!</v>
      </c>
      <c r="AC261" s="40" t="str">
        <f>IF(データ!X258="","",データ!X258)</f>
        <v/>
      </c>
      <c r="AD261" s="41" t="str">
        <f>IF(データ!Y258="","",データ!Y258)</f>
        <v/>
      </c>
      <c r="AE261" s="47" t="str">
        <f>TRIM(データ!B258)</f>
        <v/>
      </c>
      <c r="AF261" s="43" t="str">
        <f>TRIM(データ!Z258)</f>
        <v/>
      </c>
    </row>
    <row r="262" spans="1:32" x14ac:dyDescent="0.15">
      <c r="A262" s="47">
        <f>データ!A259</f>
        <v>2</v>
      </c>
      <c r="B262" s="47" t="str">
        <f>TRIM(データ!C259)</f>
        <v/>
      </c>
      <c r="C262" s="47" t="str">
        <f>TRIM(データ!D259)</f>
        <v>内訳書</v>
      </c>
      <c r="D262" s="36" t="str">
        <f>REPT("｜",$A262)&amp;TRIM(データ!E259)</f>
        <v>｜｜VU200</v>
      </c>
      <c r="E262" s="37" t="str">
        <f>TRIM(データ!F259)</f>
        <v/>
      </c>
      <c r="F262" s="38" t="str">
        <f>TRIM(データ!G259)</f>
        <v>ｍ</v>
      </c>
      <c r="G262" s="50">
        <f>データ!H259</f>
        <v>20.9</v>
      </c>
      <c r="H262" s="48">
        <f>データ!I259</f>
        <v>17900</v>
      </c>
      <c r="I262" s="48">
        <f>データ!J259</f>
        <v>374110</v>
      </c>
      <c r="J262" s="39">
        <f>IF(OR($C262="総括",$C262="内訳書",$C262="内訳代価",$C262="明細書",$C262="明細代価",$C262="代価表",$C262="単価表"),データ!K259,"")</f>
        <v>20.9</v>
      </c>
      <c r="K262" s="11" t="str">
        <f t="shared" si="24"/>
        <v/>
      </c>
      <c r="L262" s="46">
        <f t="shared" si="25"/>
        <v>5.3865203806890988E-3</v>
      </c>
      <c r="M262" s="40" t="str">
        <f>IF(データ!L259="","",データ!L259)</f>
        <v/>
      </c>
      <c r="N262" s="41" t="str">
        <f>IF(データ!M259="","",データ!M259)</f>
        <v>43号内訳書</v>
      </c>
      <c r="O262" s="42">
        <f>データ!N259</f>
        <v>0</v>
      </c>
      <c r="P262" s="48">
        <f>IF($C262="集計行","",データ!O259)</f>
        <v>0</v>
      </c>
      <c r="Q262" s="48">
        <f>データ!P259</f>
        <v>0</v>
      </c>
      <c r="R262" s="39">
        <f>IF(OR($C262="総括",$C262="内訳書",$C262="内訳代価",$C262="明細書",$C262="明細代価",$C262="代価表",$C262="単価表"),データ!Q259,"")</f>
        <v>0</v>
      </c>
      <c r="S262" s="11" t="str">
        <f t="shared" si="26"/>
        <v/>
      </c>
      <c r="T262" s="46" t="e">
        <f t="shared" si="27"/>
        <v>#DIV/0!</v>
      </c>
      <c r="U262" s="40" t="str">
        <f>IF(データ!R259="","",データ!R259)</f>
        <v/>
      </c>
      <c r="V262" s="41" t="str">
        <f>IF(データ!S259="","",データ!S259)</f>
        <v/>
      </c>
      <c r="W262" s="42">
        <f>データ!T259</f>
        <v>0</v>
      </c>
      <c r="X262" s="48">
        <f>IF($C262="集計行","",データ!U259)</f>
        <v>0</v>
      </c>
      <c r="Y262" s="48">
        <f>データ!V259</f>
        <v>0</v>
      </c>
      <c r="Z262" s="39">
        <f>IF(OR($C262="総括",$C262="内訳書",$C262="内訳代価",$C262="明細書",$C262="明細代価",$C262="代価表",$C262="単価表"),データ!W259,"")</f>
        <v>0</v>
      </c>
      <c r="AA262" s="11" t="str">
        <f t="shared" si="28"/>
        <v/>
      </c>
      <c r="AB262" s="46" t="e">
        <f t="shared" si="29"/>
        <v>#DIV/0!</v>
      </c>
      <c r="AC262" s="40" t="str">
        <f>IF(データ!X259="","",データ!X259)</f>
        <v/>
      </c>
      <c r="AD262" s="41" t="str">
        <f>IF(データ!Y259="","",データ!Y259)</f>
        <v/>
      </c>
      <c r="AE262" s="47" t="str">
        <f>TRIM(データ!B259)</f>
        <v/>
      </c>
      <c r="AF262" s="43" t="str">
        <f>TRIM(データ!Z259)</f>
        <v/>
      </c>
    </row>
    <row r="263" spans="1:32" x14ac:dyDescent="0.15">
      <c r="A263" s="47">
        <f>データ!A260</f>
        <v>3</v>
      </c>
      <c r="B263" s="47" t="str">
        <f>TRIM(データ!C260)</f>
        <v/>
      </c>
      <c r="C263" s="47" t="str">
        <f>TRIM(データ!D260)</f>
        <v>材料費</v>
      </c>
      <c r="D263" s="36" t="str">
        <f>REPT("｜",$A263)&amp;TRIM(データ!E260)</f>
        <v>｜｜｜VUφ200</v>
      </c>
      <c r="E263" s="37" t="str">
        <f>TRIM(データ!F260)</f>
        <v/>
      </c>
      <c r="F263" s="38" t="str">
        <f>TRIM(データ!G260)</f>
        <v>本</v>
      </c>
      <c r="G263" s="50">
        <f>データ!H260</f>
        <v>6</v>
      </c>
      <c r="H263" s="48">
        <f>データ!I260</f>
        <v>8100</v>
      </c>
      <c r="I263" s="48">
        <f>データ!J260</f>
        <v>48600</v>
      </c>
      <c r="J263" s="39" t="str">
        <f>IF(OR($C263="総括",$C263="内訳書",$C263="内訳代価",$C263="明細書",$C263="明細代価",$C263="代価表",$C263="単価表"),データ!K260,"")</f>
        <v/>
      </c>
      <c r="K263" s="11" t="str">
        <f t="shared" si="24"/>
        <v/>
      </c>
      <c r="L263" s="46">
        <f t="shared" si="25"/>
        <v>6.9975379033303101E-4</v>
      </c>
      <c r="M263" s="40" t="str">
        <f>IF(データ!L260="","",データ!L260)</f>
        <v/>
      </c>
      <c r="N263" s="41" t="str">
        <f>IF(データ!M260="","",データ!M260)</f>
        <v/>
      </c>
      <c r="O263" s="42">
        <f>データ!N260</f>
        <v>0</v>
      </c>
      <c r="P263" s="48">
        <f>IF($C263="集計行","",データ!O260)</f>
        <v>0</v>
      </c>
      <c r="Q263" s="48">
        <f>データ!P260</f>
        <v>0</v>
      </c>
      <c r="R263" s="39" t="str">
        <f>IF(OR($C263="総括",$C263="内訳書",$C263="内訳代価",$C263="明細書",$C263="明細代価",$C263="代価表",$C263="単価表"),データ!Q260,"")</f>
        <v/>
      </c>
      <c r="S263" s="11" t="str">
        <f t="shared" si="26"/>
        <v/>
      </c>
      <c r="T263" s="46" t="e">
        <f t="shared" si="27"/>
        <v>#DIV/0!</v>
      </c>
      <c r="U263" s="40" t="str">
        <f>IF(データ!R260="","",データ!R260)</f>
        <v/>
      </c>
      <c r="V263" s="41" t="str">
        <f>IF(データ!S260="","",データ!S260)</f>
        <v/>
      </c>
      <c r="W263" s="42">
        <f>データ!T260</f>
        <v>0</v>
      </c>
      <c r="X263" s="48">
        <f>IF($C263="集計行","",データ!U260)</f>
        <v>0</v>
      </c>
      <c r="Y263" s="48">
        <f>データ!V260</f>
        <v>0</v>
      </c>
      <c r="Z263" s="39" t="str">
        <f>IF(OR($C263="総括",$C263="内訳書",$C263="内訳代価",$C263="明細書",$C263="明細代価",$C263="代価表",$C263="単価表"),データ!W260,"")</f>
        <v/>
      </c>
      <c r="AA263" s="11" t="str">
        <f t="shared" si="28"/>
        <v/>
      </c>
      <c r="AB263" s="46" t="e">
        <f t="shared" si="29"/>
        <v>#DIV/0!</v>
      </c>
      <c r="AC263" s="40" t="str">
        <f>IF(データ!X260="","",データ!X260)</f>
        <v/>
      </c>
      <c r="AD263" s="41" t="str">
        <f>IF(データ!Y260="","",データ!Y260)</f>
        <v/>
      </c>
      <c r="AE263" s="47" t="str">
        <f>TRIM(データ!B260)</f>
        <v/>
      </c>
      <c r="AF263" s="43" t="str">
        <f>TRIM(データ!Z260)</f>
        <v/>
      </c>
    </row>
    <row r="264" spans="1:32" x14ac:dyDescent="0.15">
      <c r="A264" s="47">
        <f>データ!A261</f>
        <v>3</v>
      </c>
      <c r="B264" s="47" t="str">
        <f>TRIM(データ!C261)</f>
        <v/>
      </c>
      <c r="C264" s="47" t="str">
        <f>TRIM(データ!D261)</f>
        <v>材料費</v>
      </c>
      <c r="D264" s="36" t="str">
        <f>REPT("｜",$A264)&amp;TRIM(データ!E261)</f>
        <v>｜｜｜再生砂</v>
      </c>
      <c r="E264" s="37" t="str">
        <f>TRIM(データ!F261)</f>
        <v/>
      </c>
      <c r="F264" s="38" t="str">
        <f>TRIM(データ!G261)</f>
        <v>m3</v>
      </c>
      <c r="G264" s="50">
        <f>データ!H261</f>
        <v>10</v>
      </c>
      <c r="H264" s="48">
        <f>データ!I261</f>
        <v>3000</v>
      </c>
      <c r="I264" s="48">
        <f>データ!J261</f>
        <v>30000</v>
      </c>
      <c r="J264" s="39" t="str">
        <f>IF(OR($C264="総括",$C264="内訳書",$C264="内訳代価",$C264="明細書",$C264="明細代価",$C264="代価表",$C264="単価表"),データ!K261,"")</f>
        <v/>
      </c>
      <c r="K264" s="11" t="str">
        <f t="shared" si="24"/>
        <v/>
      </c>
      <c r="L264" s="46">
        <f t="shared" si="25"/>
        <v>4.3194678415619197E-4</v>
      </c>
      <c r="M264" s="40" t="str">
        <f>IF(データ!L261="","",データ!L261)</f>
        <v/>
      </c>
      <c r="N264" s="41" t="str">
        <f>IF(データ!M261="","",データ!M261)</f>
        <v/>
      </c>
      <c r="O264" s="42">
        <f>データ!N261</f>
        <v>0</v>
      </c>
      <c r="P264" s="48">
        <f>IF($C264="集計行","",データ!O261)</f>
        <v>0</v>
      </c>
      <c r="Q264" s="48">
        <f>データ!P261</f>
        <v>0</v>
      </c>
      <c r="R264" s="39" t="str">
        <f>IF(OR($C264="総括",$C264="内訳書",$C264="内訳代価",$C264="明細書",$C264="明細代価",$C264="代価表",$C264="単価表"),データ!Q261,"")</f>
        <v/>
      </c>
      <c r="S264" s="11" t="str">
        <f t="shared" si="26"/>
        <v/>
      </c>
      <c r="T264" s="46" t="e">
        <f t="shared" si="27"/>
        <v>#DIV/0!</v>
      </c>
      <c r="U264" s="40" t="str">
        <f>IF(データ!R261="","",データ!R261)</f>
        <v/>
      </c>
      <c r="V264" s="41" t="str">
        <f>IF(データ!S261="","",データ!S261)</f>
        <v/>
      </c>
      <c r="W264" s="42">
        <f>データ!T261</f>
        <v>0</v>
      </c>
      <c r="X264" s="48">
        <f>IF($C264="集計行","",データ!U261)</f>
        <v>0</v>
      </c>
      <c r="Y264" s="48">
        <f>データ!V261</f>
        <v>0</v>
      </c>
      <c r="Z264" s="39" t="str">
        <f>IF(OR($C264="総括",$C264="内訳書",$C264="内訳代価",$C264="明細書",$C264="明細代価",$C264="代価表",$C264="単価表"),データ!W261,"")</f>
        <v/>
      </c>
      <c r="AA264" s="11" t="str">
        <f t="shared" si="28"/>
        <v/>
      </c>
      <c r="AB264" s="46" t="e">
        <f t="shared" si="29"/>
        <v>#DIV/0!</v>
      </c>
      <c r="AC264" s="40" t="str">
        <f>IF(データ!X261="","",データ!X261)</f>
        <v/>
      </c>
      <c r="AD264" s="41" t="str">
        <f>IF(データ!Y261="","",データ!Y261)</f>
        <v/>
      </c>
      <c r="AE264" s="47" t="str">
        <f>TRIM(データ!B261)</f>
        <v/>
      </c>
      <c r="AF264" s="43" t="str">
        <f>TRIM(データ!Z261)</f>
        <v/>
      </c>
    </row>
    <row r="265" spans="1:32" x14ac:dyDescent="0.15">
      <c r="A265" s="47">
        <f>データ!A262</f>
        <v>3</v>
      </c>
      <c r="B265" s="47" t="str">
        <f>TRIM(データ!C262)</f>
        <v/>
      </c>
      <c r="C265" s="47" t="str">
        <f>TRIM(データ!D262)</f>
        <v>労務費</v>
      </c>
      <c r="D265" s="36" t="str">
        <f>REPT("｜",$A265)&amp;TRIM(データ!E262)</f>
        <v>｜｜｜技工</v>
      </c>
      <c r="E265" s="37" t="str">
        <f>TRIM(データ!F262)</f>
        <v/>
      </c>
      <c r="F265" s="38" t="str">
        <f>TRIM(データ!G262)</f>
        <v>人</v>
      </c>
      <c r="G265" s="50">
        <f>データ!H262</f>
        <v>6</v>
      </c>
      <c r="H265" s="48">
        <f>データ!I262</f>
        <v>28000</v>
      </c>
      <c r="I265" s="48">
        <f>データ!J262</f>
        <v>168000</v>
      </c>
      <c r="J265" s="39" t="str">
        <f>IF(OR($C265="総括",$C265="内訳書",$C265="内訳代価",$C265="明細書",$C265="明細代価",$C265="代価表",$C265="単価表"),データ!K262,"")</f>
        <v/>
      </c>
      <c r="K265" s="11" t="str">
        <f t="shared" si="24"/>
        <v/>
      </c>
      <c r="L265" s="46">
        <f t="shared" si="25"/>
        <v>2.418901991274675E-3</v>
      </c>
      <c r="M265" s="40" t="str">
        <f>IF(データ!L262="","",データ!L262)</f>
        <v/>
      </c>
      <c r="N265" s="41" t="str">
        <f>IF(データ!M262="","",データ!M262)</f>
        <v/>
      </c>
      <c r="O265" s="42">
        <f>データ!N262</f>
        <v>0</v>
      </c>
      <c r="P265" s="48">
        <f>IF($C265="集計行","",データ!O262)</f>
        <v>0</v>
      </c>
      <c r="Q265" s="48">
        <f>データ!P262</f>
        <v>0</v>
      </c>
      <c r="R265" s="39" t="str">
        <f>IF(OR($C265="総括",$C265="内訳書",$C265="内訳代価",$C265="明細書",$C265="明細代価",$C265="代価表",$C265="単価表"),データ!Q262,"")</f>
        <v/>
      </c>
      <c r="S265" s="11" t="str">
        <f t="shared" si="26"/>
        <v/>
      </c>
      <c r="T265" s="46" t="e">
        <f t="shared" si="27"/>
        <v>#DIV/0!</v>
      </c>
      <c r="U265" s="40" t="str">
        <f>IF(データ!R262="","",データ!R262)</f>
        <v/>
      </c>
      <c r="V265" s="41" t="str">
        <f>IF(データ!S262="","",データ!S262)</f>
        <v/>
      </c>
      <c r="W265" s="42">
        <f>データ!T262</f>
        <v>0</v>
      </c>
      <c r="X265" s="48">
        <f>IF($C265="集計行","",データ!U262)</f>
        <v>0</v>
      </c>
      <c r="Y265" s="48">
        <f>データ!V262</f>
        <v>0</v>
      </c>
      <c r="Z265" s="39" t="str">
        <f>IF(OR($C265="総括",$C265="内訳書",$C265="内訳代価",$C265="明細書",$C265="明細代価",$C265="代価表",$C265="単価表"),データ!W262,"")</f>
        <v/>
      </c>
      <c r="AA265" s="11" t="str">
        <f t="shared" si="28"/>
        <v/>
      </c>
      <c r="AB265" s="46" t="e">
        <f t="shared" si="29"/>
        <v>#DIV/0!</v>
      </c>
      <c r="AC265" s="40" t="str">
        <f>IF(データ!X262="","",データ!X262)</f>
        <v/>
      </c>
      <c r="AD265" s="41" t="str">
        <f>IF(データ!Y262="","",データ!Y262)</f>
        <v/>
      </c>
      <c r="AE265" s="47" t="str">
        <f>TRIM(データ!B262)</f>
        <v/>
      </c>
      <c r="AF265" s="43" t="str">
        <f>TRIM(データ!Z262)</f>
        <v/>
      </c>
    </row>
    <row r="266" spans="1:32" x14ac:dyDescent="0.15">
      <c r="A266" s="47">
        <f>データ!A263</f>
        <v>3</v>
      </c>
      <c r="B266" s="47" t="str">
        <f>TRIM(データ!C263)</f>
        <v/>
      </c>
      <c r="C266" s="47" t="str">
        <f>TRIM(データ!D263)</f>
        <v>機械費</v>
      </c>
      <c r="D266" s="36" t="str">
        <f>REPT("｜",$A266)&amp;TRIM(データ!E263)</f>
        <v>｜｜｜BH0.15</v>
      </c>
      <c r="E266" s="37" t="str">
        <f>TRIM(データ!F263)</f>
        <v/>
      </c>
      <c r="F266" s="38" t="str">
        <f>TRIM(データ!G263)</f>
        <v>台</v>
      </c>
      <c r="G266" s="50">
        <f>データ!H263</f>
        <v>2</v>
      </c>
      <c r="H266" s="48">
        <f>データ!I263</f>
        <v>8000</v>
      </c>
      <c r="I266" s="48">
        <f>データ!J263</f>
        <v>16000</v>
      </c>
      <c r="J266" s="39" t="str">
        <f>IF(OR($C266="総括",$C266="内訳書",$C266="内訳代価",$C266="明細書",$C266="明細代価",$C266="代価表",$C266="単価表"),データ!K263,"")</f>
        <v/>
      </c>
      <c r="K266" s="11" t="str">
        <f t="shared" si="24"/>
        <v/>
      </c>
      <c r="L266" s="46">
        <f t="shared" si="25"/>
        <v>2.303716182166357E-4</v>
      </c>
      <c r="M266" s="40" t="str">
        <f>IF(データ!L263="","",データ!L263)</f>
        <v/>
      </c>
      <c r="N266" s="41" t="str">
        <f>IF(データ!M263="","",データ!M263)</f>
        <v/>
      </c>
      <c r="O266" s="42">
        <f>データ!N263</f>
        <v>0</v>
      </c>
      <c r="P266" s="48">
        <f>IF($C266="集計行","",データ!O263)</f>
        <v>0</v>
      </c>
      <c r="Q266" s="48">
        <f>データ!P263</f>
        <v>0</v>
      </c>
      <c r="R266" s="39" t="str">
        <f>IF(OR($C266="総括",$C266="内訳書",$C266="内訳代価",$C266="明細書",$C266="明細代価",$C266="代価表",$C266="単価表"),データ!Q263,"")</f>
        <v/>
      </c>
      <c r="S266" s="11" t="str">
        <f t="shared" si="26"/>
        <v/>
      </c>
      <c r="T266" s="46" t="e">
        <f t="shared" si="27"/>
        <v>#DIV/0!</v>
      </c>
      <c r="U266" s="40" t="str">
        <f>IF(データ!R263="","",データ!R263)</f>
        <v/>
      </c>
      <c r="V266" s="41" t="str">
        <f>IF(データ!S263="","",データ!S263)</f>
        <v/>
      </c>
      <c r="W266" s="42">
        <f>データ!T263</f>
        <v>0</v>
      </c>
      <c r="X266" s="48">
        <f>IF($C266="集計行","",データ!U263)</f>
        <v>0</v>
      </c>
      <c r="Y266" s="48">
        <f>データ!V263</f>
        <v>0</v>
      </c>
      <c r="Z266" s="39" t="str">
        <f>IF(OR($C266="総括",$C266="内訳書",$C266="内訳代価",$C266="明細書",$C266="明細代価",$C266="代価表",$C266="単価表"),データ!W263,"")</f>
        <v/>
      </c>
      <c r="AA266" s="11" t="str">
        <f t="shared" si="28"/>
        <v/>
      </c>
      <c r="AB266" s="46" t="e">
        <f t="shared" si="29"/>
        <v>#DIV/0!</v>
      </c>
      <c r="AC266" s="40" t="str">
        <f>IF(データ!X263="","",データ!X263)</f>
        <v/>
      </c>
      <c r="AD266" s="41" t="str">
        <f>IF(データ!Y263="","",データ!Y263)</f>
        <v/>
      </c>
      <c r="AE266" s="47" t="str">
        <f>TRIM(データ!B263)</f>
        <v/>
      </c>
      <c r="AF266" s="43" t="str">
        <f>TRIM(データ!Z263)</f>
        <v/>
      </c>
    </row>
    <row r="267" spans="1:32" x14ac:dyDescent="0.15">
      <c r="A267" s="47">
        <f>データ!A264</f>
        <v>3</v>
      </c>
      <c r="B267" s="47" t="str">
        <f>TRIM(データ!C264)</f>
        <v/>
      </c>
      <c r="C267" s="47" t="str">
        <f>TRIM(データ!D264)</f>
        <v>機械費</v>
      </c>
      <c r="D267" s="36" t="str">
        <f>REPT("｜",$A267)&amp;TRIM(データ!E264)</f>
        <v>｜｜｜プレート</v>
      </c>
      <c r="E267" s="37" t="str">
        <f>TRIM(データ!F264)</f>
        <v/>
      </c>
      <c r="F267" s="38" t="str">
        <f>TRIM(データ!G264)</f>
        <v>台</v>
      </c>
      <c r="G267" s="50">
        <f>データ!H264</f>
        <v>2</v>
      </c>
      <c r="H267" s="48">
        <f>データ!I264</f>
        <v>1500</v>
      </c>
      <c r="I267" s="48">
        <f>データ!J264</f>
        <v>3000</v>
      </c>
      <c r="J267" s="39" t="str">
        <f>IF(OR($C267="総括",$C267="内訳書",$C267="内訳代価",$C267="明細書",$C267="明細代価",$C267="代価表",$C267="単価表"),データ!K264,"")</f>
        <v/>
      </c>
      <c r="K267" s="11" t="str">
        <f t="shared" si="24"/>
        <v/>
      </c>
      <c r="L267" s="46">
        <f t="shared" si="25"/>
        <v>4.3194678415619194E-5</v>
      </c>
      <c r="M267" s="40" t="str">
        <f>IF(データ!L264="","",データ!L264)</f>
        <v/>
      </c>
      <c r="N267" s="41" t="str">
        <f>IF(データ!M264="","",データ!M264)</f>
        <v/>
      </c>
      <c r="O267" s="42">
        <f>データ!N264</f>
        <v>0</v>
      </c>
      <c r="P267" s="48">
        <f>IF($C267="集計行","",データ!O264)</f>
        <v>0</v>
      </c>
      <c r="Q267" s="48">
        <f>データ!P264</f>
        <v>0</v>
      </c>
      <c r="R267" s="39" t="str">
        <f>IF(OR($C267="総括",$C267="内訳書",$C267="内訳代価",$C267="明細書",$C267="明細代価",$C267="代価表",$C267="単価表"),データ!Q264,"")</f>
        <v/>
      </c>
      <c r="S267" s="11" t="str">
        <f t="shared" si="26"/>
        <v/>
      </c>
      <c r="T267" s="46" t="e">
        <f t="shared" si="27"/>
        <v>#DIV/0!</v>
      </c>
      <c r="U267" s="40" t="str">
        <f>IF(データ!R264="","",データ!R264)</f>
        <v/>
      </c>
      <c r="V267" s="41" t="str">
        <f>IF(データ!S264="","",データ!S264)</f>
        <v/>
      </c>
      <c r="W267" s="42">
        <f>データ!T264</f>
        <v>0</v>
      </c>
      <c r="X267" s="48">
        <f>IF($C267="集計行","",データ!U264)</f>
        <v>0</v>
      </c>
      <c r="Y267" s="48">
        <f>データ!V264</f>
        <v>0</v>
      </c>
      <c r="Z267" s="39" t="str">
        <f>IF(OR($C267="総括",$C267="内訳書",$C267="内訳代価",$C267="明細書",$C267="明細代価",$C267="代価表",$C267="単価表"),データ!W264,"")</f>
        <v/>
      </c>
      <c r="AA267" s="11" t="str">
        <f t="shared" si="28"/>
        <v/>
      </c>
      <c r="AB267" s="46" t="e">
        <f t="shared" si="29"/>
        <v>#DIV/0!</v>
      </c>
      <c r="AC267" s="40" t="str">
        <f>IF(データ!X264="","",データ!X264)</f>
        <v/>
      </c>
      <c r="AD267" s="41" t="str">
        <f>IF(データ!Y264="","",データ!Y264)</f>
        <v/>
      </c>
      <c r="AE267" s="47" t="str">
        <f>TRIM(データ!B264)</f>
        <v/>
      </c>
      <c r="AF267" s="43" t="str">
        <f>TRIM(データ!Z264)</f>
        <v/>
      </c>
    </row>
    <row r="268" spans="1:32" x14ac:dyDescent="0.15">
      <c r="A268" s="47">
        <f>データ!A265</f>
        <v>3</v>
      </c>
      <c r="B268" s="47" t="str">
        <f>TRIM(データ!C265)</f>
        <v/>
      </c>
      <c r="C268" s="47" t="str">
        <f>TRIM(データ!D265)</f>
        <v>機械費</v>
      </c>
      <c r="D268" s="36" t="str">
        <f>REPT("｜",$A268)&amp;TRIM(データ!E265)</f>
        <v>｜｜｜ランマー</v>
      </c>
      <c r="E268" s="37" t="str">
        <f>TRIM(データ!F265)</f>
        <v/>
      </c>
      <c r="F268" s="38" t="str">
        <f>TRIM(データ!G265)</f>
        <v>台</v>
      </c>
      <c r="G268" s="50">
        <f>データ!H265</f>
        <v>2</v>
      </c>
      <c r="H268" s="48">
        <f>データ!I265</f>
        <v>1500</v>
      </c>
      <c r="I268" s="48">
        <f>データ!J265</f>
        <v>3000</v>
      </c>
      <c r="J268" s="39" t="str">
        <f>IF(OR($C268="総括",$C268="内訳書",$C268="内訳代価",$C268="明細書",$C268="明細代価",$C268="代価表",$C268="単価表"),データ!K265,"")</f>
        <v/>
      </c>
      <c r="K268" s="11" t="str">
        <f t="shared" si="24"/>
        <v/>
      </c>
      <c r="L268" s="46">
        <f t="shared" si="25"/>
        <v>4.3194678415619194E-5</v>
      </c>
      <c r="M268" s="40" t="str">
        <f>IF(データ!L265="","",データ!L265)</f>
        <v/>
      </c>
      <c r="N268" s="41" t="str">
        <f>IF(データ!M265="","",データ!M265)</f>
        <v/>
      </c>
      <c r="O268" s="42">
        <f>データ!N265</f>
        <v>0</v>
      </c>
      <c r="P268" s="48">
        <f>IF($C268="集計行","",データ!O265)</f>
        <v>0</v>
      </c>
      <c r="Q268" s="48">
        <f>データ!P265</f>
        <v>0</v>
      </c>
      <c r="R268" s="39" t="str">
        <f>IF(OR($C268="総括",$C268="内訳書",$C268="内訳代価",$C268="明細書",$C268="明細代価",$C268="代価表",$C268="単価表"),データ!Q265,"")</f>
        <v/>
      </c>
      <c r="S268" s="11" t="str">
        <f t="shared" si="26"/>
        <v/>
      </c>
      <c r="T268" s="46" t="e">
        <f t="shared" si="27"/>
        <v>#DIV/0!</v>
      </c>
      <c r="U268" s="40" t="str">
        <f>IF(データ!R265="","",データ!R265)</f>
        <v/>
      </c>
      <c r="V268" s="41" t="str">
        <f>IF(データ!S265="","",データ!S265)</f>
        <v/>
      </c>
      <c r="W268" s="42">
        <f>データ!T265</f>
        <v>0</v>
      </c>
      <c r="X268" s="48">
        <f>IF($C268="集計行","",データ!U265)</f>
        <v>0</v>
      </c>
      <c r="Y268" s="48">
        <f>データ!V265</f>
        <v>0</v>
      </c>
      <c r="Z268" s="39" t="str">
        <f>IF(OR($C268="総括",$C268="内訳書",$C268="内訳代価",$C268="明細書",$C268="明細代価",$C268="代価表",$C268="単価表"),データ!W265,"")</f>
        <v/>
      </c>
      <c r="AA268" s="11" t="str">
        <f t="shared" si="28"/>
        <v/>
      </c>
      <c r="AB268" s="46" t="e">
        <f t="shared" si="29"/>
        <v>#DIV/0!</v>
      </c>
      <c r="AC268" s="40" t="str">
        <f>IF(データ!X265="","",データ!X265)</f>
        <v/>
      </c>
      <c r="AD268" s="41" t="str">
        <f>IF(データ!Y265="","",データ!Y265)</f>
        <v/>
      </c>
      <c r="AE268" s="47" t="str">
        <f>TRIM(データ!B265)</f>
        <v/>
      </c>
      <c r="AF268" s="43" t="str">
        <f>TRIM(データ!Z265)</f>
        <v/>
      </c>
    </row>
    <row r="269" spans="1:32" x14ac:dyDescent="0.15">
      <c r="A269" s="47">
        <f>データ!A266</f>
        <v>3</v>
      </c>
      <c r="B269" s="47" t="str">
        <f>TRIM(データ!C266)</f>
        <v/>
      </c>
      <c r="C269" s="47" t="str">
        <f>TRIM(データ!D266)</f>
        <v>運搬費</v>
      </c>
      <c r="D269" s="36" t="str">
        <f>REPT("｜",$A269)&amp;TRIM(データ!E266)</f>
        <v>｜｜｜4tダンプ</v>
      </c>
      <c r="E269" s="37" t="str">
        <f>TRIM(データ!F266)</f>
        <v/>
      </c>
      <c r="F269" s="38" t="str">
        <f>TRIM(データ!G266)</f>
        <v>台</v>
      </c>
      <c r="G269" s="50">
        <f>データ!H266</f>
        <v>2</v>
      </c>
      <c r="H269" s="48">
        <f>データ!I266</f>
        <v>10000</v>
      </c>
      <c r="I269" s="48">
        <f>データ!J266</f>
        <v>20000</v>
      </c>
      <c r="J269" s="39" t="str">
        <f>IF(OR($C269="総括",$C269="内訳書",$C269="内訳代価",$C269="明細書",$C269="明細代価",$C269="代価表",$C269="単価表"),データ!K266,"")</f>
        <v/>
      </c>
      <c r="K269" s="11" t="str">
        <f t="shared" si="24"/>
        <v/>
      </c>
      <c r="L269" s="46">
        <f t="shared" si="25"/>
        <v>2.8796452277079463E-4</v>
      </c>
      <c r="M269" s="40" t="str">
        <f>IF(データ!L266="","",データ!L266)</f>
        <v/>
      </c>
      <c r="N269" s="41" t="str">
        <f>IF(データ!M266="","",データ!M266)</f>
        <v/>
      </c>
      <c r="O269" s="42">
        <f>データ!N266</f>
        <v>0</v>
      </c>
      <c r="P269" s="48">
        <f>IF($C269="集計行","",データ!O266)</f>
        <v>0</v>
      </c>
      <c r="Q269" s="48">
        <f>データ!P266</f>
        <v>0</v>
      </c>
      <c r="R269" s="39" t="str">
        <f>IF(OR($C269="総括",$C269="内訳書",$C269="内訳代価",$C269="明細書",$C269="明細代価",$C269="代価表",$C269="単価表"),データ!Q266,"")</f>
        <v/>
      </c>
      <c r="S269" s="11" t="str">
        <f t="shared" si="26"/>
        <v/>
      </c>
      <c r="T269" s="46" t="e">
        <f t="shared" si="27"/>
        <v>#DIV/0!</v>
      </c>
      <c r="U269" s="40" t="str">
        <f>IF(データ!R266="","",データ!R266)</f>
        <v/>
      </c>
      <c r="V269" s="41" t="str">
        <f>IF(データ!S266="","",データ!S266)</f>
        <v/>
      </c>
      <c r="W269" s="42">
        <f>データ!T266</f>
        <v>0</v>
      </c>
      <c r="X269" s="48">
        <f>IF($C269="集計行","",データ!U266)</f>
        <v>0</v>
      </c>
      <c r="Y269" s="48">
        <f>データ!V266</f>
        <v>0</v>
      </c>
      <c r="Z269" s="39" t="str">
        <f>IF(OR($C269="総括",$C269="内訳書",$C269="内訳代価",$C269="明細書",$C269="明細代価",$C269="代価表",$C269="単価表"),データ!W266,"")</f>
        <v/>
      </c>
      <c r="AA269" s="11" t="str">
        <f t="shared" si="28"/>
        <v/>
      </c>
      <c r="AB269" s="46" t="e">
        <f t="shared" si="29"/>
        <v>#DIV/0!</v>
      </c>
      <c r="AC269" s="40" t="str">
        <f>IF(データ!X266="","",データ!X266)</f>
        <v/>
      </c>
      <c r="AD269" s="41" t="str">
        <f>IF(データ!Y266="","",データ!Y266)</f>
        <v/>
      </c>
      <c r="AE269" s="47" t="str">
        <f>TRIM(データ!B266)</f>
        <v/>
      </c>
      <c r="AF269" s="43" t="str">
        <f>TRIM(データ!Z266)</f>
        <v/>
      </c>
    </row>
    <row r="270" spans="1:32" x14ac:dyDescent="0.15">
      <c r="A270" s="47">
        <f>データ!A267</f>
        <v>3</v>
      </c>
      <c r="B270" s="47" t="str">
        <f>TRIM(データ!C267)</f>
        <v/>
      </c>
      <c r="C270" s="47" t="str">
        <f>TRIM(データ!D267)</f>
        <v>運搬費</v>
      </c>
      <c r="D270" s="36" t="str">
        <f>REPT("｜",$A270)&amp;TRIM(データ!E267)</f>
        <v>｜｜｜2tダンプ</v>
      </c>
      <c r="E270" s="37" t="str">
        <f>TRIM(データ!F267)</f>
        <v/>
      </c>
      <c r="F270" s="38" t="str">
        <f>TRIM(データ!G267)</f>
        <v>台</v>
      </c>
      <c r="G270" s="50">
        <f>データ!H267</f>
        <v>2</v>
      </c>
      <c r="H270" s="48">
        <f>データ!I267</f>
        <v>7000</v>
      </c>
      <c r="I270" s="48">
        <f>データ!J267</f>
        <v>14000</v>
      </c>
      <c r="J270" s="39" t="str">
        <f>IF(OR($C270="総括",$C270="内訳書",$C270="内訳代価",$C270="明細書",$C270="明細代価",$C270="代価表",$C270="単価表"),データ!K267,"")</f>
        <v/>
      </c>
      <c r="K270" s="11" t="str">
        <f t="shared" si="24"/>
        <v/>
      </c>
      <c r="L270" s="46">
        <f t="shared" si="25"/>
        <v>2.0157516593955624E-4</v>
      </c>
      <c r="M270" s="40" t="str">
        <f>IF(データ!L267="","",データ!L267)</f>
        <v/>
      </c>
      <c r="N270" s="41" t="str">
        <f>IF(データ!M267="","",データ!M267)</f>
        <v/>
      </c>
      <c r="O270" s="42">
        <f>データ!N267</f>
        <v>0</v>
      </c>
      <c r="P270" s="48">
        <f>IF($C270="集計行","",データ!O267)</f>
        <v>0</v>
      </c>
      <c r="Q270" s="48">
        <f>データ!P267</f>
        <v>0</v>
      </c>
      <c r="R270" s="39" t="str">
        <f>IF(OR($C270="総括",$C270="内訳書",$C270="内訳代価",$C270="明細書",$C270="明細代価",$C270="代価表",$C270="単価表"),データ!Q267,"")</f>
        <v/>
      </c>
      <c r="S270" s="11" t="str">
        <f t="shared" si="26"/>
        <v/>
      </c>
      <c r="T270" s="46" t="e">
        <f t="shared" si="27"/>
        <v>#DIV/0!</v>
      </c>
      <c r="U270" s="40" t="str">
        <f>IF(データ!R267="","",データ!R267)</f>
        <v/>
      </c>
      <c r="V270" s="41" t="str">
        <f>IF(データ!S267="","",データ!S267)</f>
        <v/>
      </c>
      <c r="W270" s="42">
        <f>データ!T267</f>
        <v>0</v>
      </c>
      <c r="X270" s="48">
        <f>IF($C270="集計行","",データ!U267)</f>
        <v>0</v>
      </c>
      <c r="Y270" s="48">
        <f>データ!V267</f>
        <v>0</v>
      </c>
      <c r="Z270" s="39" t="str">
        <f>IF(OR($C270="総括",$C270="内訳書",$C270="内訳代価",$C270="明細書",$C270="明細代価",$C270="代価表",$C270="単価表"),データ!W267,"")</f>
        <v/>
      </c>
      <c r="AA270" s="11" t="str">
        <f t="shared" si="28"/>
        <v/>
      </c>
      <c r="AB270" s="46" t="e">
        <f t="shared" si="29"/>
        <v>#DIV/0!</v>
      </c>
      <c r="AC270" s="40" t="str">
        <f>IF(データ!X267="","",データ!X267)</f>
        <v/>
      </c>
      <c r="AD270" s="41" t="str">
        <f>IF(データ!Y267="","",データ!Y267)</f>
        <v/>
      </c>
      <c r="AE270" s="47" t="str">
        <f>TRIM(データ!B267)</f>
        <v/>
      </c>
      <c r="AF270" s="43" t="str">
        <f>TRIM(データ!Z267)</f>
        <v/>
      </c>
    </row>
    <row r="271" spans="1:32" x14ac:dyDescent="0.15">
      <c r="A271" s="47">
        <f>データ!A268</f>
        <v>3</v>
      </c>
      <c r="B271" s="47" t="str">
        <f>TRIM(データ!C268)</f>
        <v/>
      </c>
      <c r="C271" s="47" t="str">
        <f>TRIM(データ!D268)</f>
        <v>材料費</v>
      </c>
      <c r="D271" s="36" t="str">
        <f>REPT("｜",$A271)&amp;TRIM(データ!E268)</f>
        <v>｜｜｜軽油</v>
      </c>
      <c r="E271" s="37" t="str">
        <f>TRIM(データ!F268)</f>
        <v/>
      </c>
      <c r="F271" s="38" t="str">
        <f>TRIM(データ!G268)</f>
        <v>リットル</v>
      </c>
      <c r="G271" s="50">
        <f>データ!H268</f>
        <v>80</v>
      </c>
      <c r="H271" s="48">
        <f>データ!I268</f>
        <v>150</v>
      </c>
      <c r="I271" s="48">
        <f>データ!J268</f>
        <v>12000</v>
      </c>
      <c r="J271" s="39" t="str">
        <f>IF(OR($C271="総括",$C271="内訳書",$C271="内訳代価",$C271="明細書",$C271="明細代価",$C271="代価表",$C271="単価表"),データ!K268,"")</f>
        <v/>
      </c>
      <c r="K271" s="11" t="str">
        <f t="shared" si="24"/>
        <v/>
      </c>
      <c r="L271" s="46">
        <f t="shared" si="25"/>
        <v>1.7277871366247678E-4</v>
      </c>
      <c r="M271" s="40" t="str">
        <f>IF(データ!L268="","",データ!L268)</f>
        <v/>
      </c>
      <c r="N271" s="41" t="str">
        <f>IF(データ!M268="","",データ!M268)</f>
        <v/>
      </c>
      <c r="O271" s="42">
        <f>データ!N268</f>
        <v>0</v>
      </c>
      <c r="P271" s="48">
        <f>IF($C271="集計行","",データ!O268)</f>
        <v>0</v>
      </c>
      <c r="Q271" s="48">
        <f>データ!P268</f>
        <v>0</v>
      </c>
      <c r="R271" s="39" t="str">
        <f>IF(OR($C271="総括",$C271="内訳書",$C271="内訳代価",$C271="明細書",$C271="明細代価",$C271="代価表",$C271="単価表"),データ!Q268,"")</f>
        <v/>
      </c>
      <c r="S271" s="11" t="str">
        <f t="shared" si="26"/>
        <v/>
      </c>
      <c r="T271" s="46" t="e">
        <f t="shared" si="27"/>
        <v>#DIV/0!</v>
      </c>
      <c r="U271" s="40" t="str">
        <f>IF(データ!R268="","",データ!R268)</f>
        <v/>
      </c>
      <c r="V271" s="41" t="str">
        <f>IF(データ!S268="","",データ!S268)</f>
        <v/>
      </c>
      <c r="W271" s="42">
        <f>データ!T268</f>
        <v>0</v>
      </c>
      <c r="X271" s="48">
        <f>IF($C271="集計行","",データ!U268)</f>
        <v>0</v>
      </c>
      <c r="Y271" s="48">
        <f>データ!V268</f>
        <v>0</v>
      </c>
      <c r="Z271" s="39" t="str">
        <f>IF(OR($C271="総括",$C271="内訳書",$C271="内訳代価",$C271="明細書",$C271="明細代価",$C271="代価表",$C271="単価表"),データ!W268,"")</f>
        <v/>
      </c>
      <c r="AA271" s="11" t="str">
        <f t="shared" si="28"/>
        <v/>
      </c>
      <c r="AB271" s="46" t="e">
        <f t="shared" si="29"/>
        <v>#DIV/0!</v>
      </c>
      <c r="AC271" s="40" t="str">
        <f>IF(データ!X268="","",データ!X268)</f>
        <v/>
      </c>
      <c r="AD271" s="41" t="str">
        <f>IF(データ!Y268="","",データ!Y268)</f>
        <v/>
      </c>
      <c r="AE271" s="47" t="str">
        <f>TRIM(データ!B268)</f>
        <v/>
      </c>
      <c r="AF271" s="43" t="str">
        <f>TRIM(データ!Z268)</f>
        <v/>
      </c>
    </row>
    <row r="272" spans="1:32" x14ac:dyDescent="0.15">
      <c r="A272" s="47">
        <f>データ!A269</f>
        <v>3</v>
      </c>
      <c r="B272" s="47" t="str">
        <f>TRIM(データ!C269)</f>
        <v/>
      </c>
      <c r="C272" s="47" t="str">
        <f>TRIM(データ!D269)</f>
        <v>材料費</v>
      </c>
      <c r="D272" s="36" t="str">
        <f>REPT("｜",$A272)&amp;TRIM(データ!E269)</f>
        <v>｜｜｜ガソリン</v>
      </c>
      <c r="E272" s="37" t="str">
        <f>TRIM(データ!F269)</f>
        <v/>
      </c>
      <c r="F272" s="38" t="str">
        <f>TRIM(データ!G269)</f>
        <v>リットル</v>
      </c>
      <c r="G272" s="50">
        <f>データ!H269</f>
        <v>80</v>
      </c>
      <c r="H272" s="48">
        <f>データ!I269</f>
        <v>200</v>
      </c>
      <c r="I272" s="48">
        <f>データ!J269</f>
        <v>16000</v>
      </c>
      <c r="J272" s="39" t="str">
        <f>IF(OR($C272="総括",$C272="内訳書",$C272="内訳代価",$C272="明細書",$C272="明細代価",$C272="代価表",$C272="単価表"),データ!K269,"")</f>
        <v/>
      </c>
      <c r="K272" s="11" t="str">
        <f t="shared" si="24"/>
        <v/>
      </c>
      <c r="L272" s="46">
        <f t="shared" si="25"/>
        <v>2.303716182166357E-4</v>
      </c>
      <c r="M272" s="40" t="str">
        <f>IF(データ!L269="","",データ!L269)</f>
        <v/>
      </c>
      <c r="N272" s="41" t="str">
        <f>IF(データ!M269="","",データ!M269)</f>
        <v/>
      </c>
      <c r="O272" s="42">
        <f>データ!N269</f>
        <v>0</v>
      </c>
      <c r="P272" s="48">
        <f>IF($C272="集計行","",データ!O269)</f>
        <v>0</v>
      </c>
      <c r="Q272" s="48">
        <f>データ!P269</f>
        <v>0</v>
      </c>
      <c r="R272" s="39" t="str">
        <f>IF(OR($C272="総括",$C272="内訳書",$C272="内訳代価",$C272="明細書",$C272="明細代価",$C272="代価表",$C272="単価表"),データ!Q269,"")</f>
        <v/>
      </c>
      <c r="S272" s="11" t="str">
        <f t="shared" si="26"/>
        <v/>
      </c>
      <c r="T272" s="46" t="e">
        <f t="shared" si="27"/>
        <v>#DIV/0!</v>
      </c>
      <c r="U272" s="40" t="str">
        <f>IF(データ!R269="","",データ!R269)</f>
        <v/>
      </c>
      <c r="V272" s="41" t="str">
        <f>IF(データ!S269="","",データ!S269)</f>
        <v/>
      </c>
      <c r="W272" s="42">
        <f>データ!T269</f>
        <v>0</v>
      </c>
      <c r="X272" s="48">
        <f>IF($C272="集計行","",データ!U269)</f>
        <v>0</v>
      </c>
      <c r="Y272" s="48">
        <f>データ!V269</f>
        <v>0</v>
      </c>
      <c r="Z272" s="39" t="str">
        <f>IF(OR($C272="総括",$C272="内訳書",$C272="内訳代価",$C272="明細書",$C272="明細代価",$C272="代価表",$C272="単価表"),データ!W269,"")</f>
        <v/>
      </c>
      <c r="AA272" s="11" t="str">
        <f t="shared" si="28"/>
        <v/>
      </c>
      <c r="AB272" s="46" t="e">
        <f t="shared" si="29"/>
        <v>#DIV/0!</v>
      </c>
      <c r="AC272" s="40" t="str">
        <f>IF(データ!X269="","",データ!X269)</f>
        <v/>
      </c>
      <c r="AD272" s="41" t="str">
        <f>IF(データ!Y269="","",データ!Y269)</f>
        <v/>
      </c>
      <c r="AE272" s="47" t="str">
        <f>TRIM(データ!B269)</f>
        <v/>
      </c>
      <c r="AF272" s="43" t="str">
        <f>TRIM(データ!Z269)</f>
        <v/>
      </c>
    </row>
    <row r="273" spans="1:32" x14ac:dyDescent="0.15">
      <c r="A273" s="47">
        <f>データ!A270</f>
        <v>3</v>
      </c>
      <c r="B273" s="47" t="str">
        <f>TRIM(データ!C270)</f>
        <v/>
      </c>
      <c r="C273" s="47" t="str">
        <f>TRIM(データ!D270)</f>
        <v>材料費</v>
      </c>
      <c r="D273" s="36" t="str">
        <f>REPT("｜",$A273)&amp;TRIM(データ!E270)</f>
        <v>｜｜｜雑材</v>
      </c>
      <c r="E273" s="37" t="str">
        <f>TRIM(データ!F270)</f>
        <v/>
      </c>
      <c r="F273" s="38" t="str">
        <f>TRIM(データ!G270)</f>
        <v>式</v>
      </c>
      <c r="G273" s="50">
        <f>データ!H270</f>
        <v>1</v>
      </c>
      <c r="H273" s="48">
        <f>データ!I270</f>
        <v>18310</v>
      </c>
      <c r="I273" s="48">
        <f>データ!J270</f>
        <v>18310</v>
      </c>
      <c r="J273" s="39" t="str">
        <f>IF(OR($C273="総括",$C273="内訳書",$C273="内訳代価",$C273="明細書",$C273="明細代価",$C273="代価表",$C273="単価表"),データ!K270,"")</f>
        <v/>
      </c>
      <c r="K273" s="11" t="str">
        <f t="shared" si="24"/>
        <v/>
      </c>
      <c r="L273" s="46">
        <f t="shared" si="25"/>
        <v>2.6363152059666247E-4</v>
      </c>
      <c r="M273" s="40" t="str">
        <f>IF(データ!L270="","",データ!L270)</f>
        <v/>
      </c>
      <c r="N273" s="41" t="str">
        <f>IF(データ!M270="","",データ!M270)</f>
        <v/>
      </c>
      <c r="O273" s="42">
        <f>データ!N270</f>
        <v>0</v>
      </c>
      <c r="P273" s="48">
        <f>IF($C273="集計行","",データ!O270)</f>
        <v>0</v>
      </c>
      <c r="Q273" s="48">
        <f>データ!P270</f>
        <v>0</v>
      </c>
      <c r="R273" s="39" t="str">
        <f>IF(OR($C273="総括",$C273="内訳書",$C273="内訳代価",$C273="明細書",$C273="明細代価",$C273="代価表",$C273="単価表"),データ!Q270,"")</f>
        <v/>
      </c>
      <c r="S273" s="11" t="str">
        <f t="shared" si="26"/>
        <v/>
      </c>
      <c r="T273" s="46" t="e">
        <f t="shared" si="27"/>
        <v>#DIV/0!</v>
      </c>
      <c r="U273" s="40" t="str">
        <f>IF(データ!R270="","",データ!R270)</f>
        <v/>
      </c>
      <c r="V273" s="41" t="str">
        <f>IF(データ!S270="","",データ!S270)</f>
        <v/>
      </c>
      <c r="W273" s="42">
        <f>データ!T270</f>
        <v>0</v>
      </c>
      <c r="X273" s="48">
        <f>IF($C273="集計行","",データ!U270)</f>
        <v>0</v>
      </c>
      <c r="Y273" s="48">
        <f>データ!V270</f>
        <v>0</v>
      </c>
      <c r="Z273" s="39" t="str">
        <f>IF(OR($C273="総括",$C273="内訳書",$C273="内訳代価",$C273="明細書",$C273="明細代価",$C273="代価表",$C273="単価表"),データ!W270,"")</f>
        <v/>
      </c>
      <c r="AA273" s="11" t="str">
        <f t="shared" si="28"/>
        <v/>
      </c>
      <c r="AB273" s="46" t="e">
        <f t="shared" si="29"/>
        <v>#DIV/0!</v>
      </c>
      <c r="AC273" s="40" t="str">
        <f>IF(データ!X270="","",データ!X270)</f>
        <v/>
      </c>
      <c r="AD273" s="41" t="str">
        <f>IF(データ!Y270="","",データ!Y270)</f>
        <v/>
      </c>
      <c r="AE273" s="47" t="str">
        <f>TRIM(データ!B270)</f>
        <v/>
      </c>
      <c r="AF273" s="43" t="str">
        <f>TRIM(データ!Z270)</f>
        <v/>
      </c>
    </row>
    <row r="274" spans="1:32" x14ac:dyDescent="0.15">
      <c r="A274" s="47">
        <f>データ!A271</f>
        <v>3</v>
      </c>
      <c r="B274" s="47" t="str">
        <f>TRIM(データ!C271)</f>
        <v/>
      </c>
      <c r="C274" s="47" t="str">
        <f>TRIM(データ!D271)</f>
        <v>外注費</v>
      </c>
      <c r="D274" s="36" t="str">
        <f>REPT("｜",$A274)&amp;TRIM(データ!E271)</f>
        <v>｜｜｜外注経費</v>
      </c>
      <c r="E274" s="37" t="str">
        <f>TRIM(データ!F271)</f>
        <v/>
      </c>
      <c r="F274" s="38" t="str">
        <f>TRIM(データ!G271)</f>
        <v>式</v>
      </c>
      <c r="G274" s="50">
        <f>データ!H271</f>
        <v>1</v>
      </c>
      <c r="H274" s="48">
        <f>データ!I271</f>
        <v>25200</v>
      </c>
      <c r="I274" s="48">
        <f>データ!J271</f>
        <v>25200</v>
      </c>
      <c r="J274" s="39" t="str">
        <f>IF(OR($C274="総括",$C274="内訳書",$C274="内訳代価",$C274="明細書",$C274="明細代価",$C274="代価表",$C274="単価表"),データ!K271,"")</f>
        <v/>
      </c>
      <c r="K274" s="11" t="str">
        <f t="shared" si="24"/>
        <v/>
      </c>
      <c r="L274" s="46">
        <f t="shared" si="25"/>
        <v>3.6283529869120127E-4</v>
      </c>
      <c r="M274" s="40" t="str">
        <f>IF(データ!L271="","",データ!L271)</f>
        <v/>
      </c>
      <c r="N274" s="41" t="str">
        <f>IF(データ!M271="","",データ!M271)</f>
        <v/>
      </c>
      <c r="O274" s="42">
        <f>データ!N271</f>
        <v>0</v>
      </c>
      <c r="P274" s="48">
        <f>IF($C274="集計行","",データ!O271)</f>
        <v>0</v>
      </c>
      <c r="Q274" s="48">
        <f>データ!P271</f>
        <v>0</v>
      </c>
      <c r="R274" s="39" t="str">
        <f>IF(OR($C274="総括",$C274="内訳書",$C274="内訳代価",$C274="明細書",$C274="明細代価",$C274="代価表",$C274="単価表"),データ!Q271,"")</f>
        <v/>
      </c>
      <c r="S274" s="11" t="str">
        <f t="shared" si="26"/>
        <v/>
      </c>
      <c r="T274" s="46" t="e">
        <f t="shared" si="27"/>
        <v>#DIV/0!</v>
      </c>
      <c r="U274" s="40" t="str">
        <f>IF(データ!R271="","",データ!R271)</f>
        <v/>
      </c>
      <c r="V274" s="41" t="str">
        <f>IF(データ!S271="","",データ!S271)</f>
        <v/>
      </c>
      <c r="W274" s="42">
        <f>データ!T271</f>
        <v>0</v>
      </c>
      <c r="X274" s="48">
        <f>IF($C274="集計行","",データ!U271)</f>
        <v>0</v>
      </c>
      <c r="Y274" s="48">
        <f>データ!V271</f>
        <v>0</v>
      </c>
      <c r="Z274" s="39" t="str">
        <f>IF(OR($C274="総括",$C274="内訳書",$C274="内訳代価",$C274="明細書",$C274="明細代価",$C274="代価表",$C274="単価表"),データ!W271,"")</f>
        <v/>
      </c>
      <c r="AA274" s="11" t="str">
        <f t="shared" si="28"/>
        <v/>
      </c>
      <c r="AB274" s="46" t="e">
        <f t="shared" si="29"/>
        <v>#DIV/0!</v>
      </c>
      <c r="AC274" s="40" t="str">
        <f>IF(データ!X271="","",データ!X271)</f>
        <v/>
      </c>
      <c r="AD274" s="41" t="str">
        <f>IF(データ!Y271="","",データ!Y271)</f>
        <v/>
      </c>
      <c r="AE274" s="47" t="str">
        <f>TRIM(データ!B271)</f>
        <v/>
      </c>
      <c r="AF274" s="43" t="str">
        <f>TRIM(データ!Z271)</f>
        <v/>
      </c>
    </row>
    <row r="275" spans="1:32" x14ac:dyDescent="0.15">
      <c r="A275" s="47">
        <f>データ!A272</f>
        <v>2</v>
      </c>
      <c r="B275" s="47" t="str">
        <f>TRIM(データ!C272)</f>
        <v/>
      </c>
      <c r="C275" s="47" t="str">
        <f>TRIM(データ!D272)</f>
        <v>内訳書</v>
      </c>
      <c r="D275" s="36" t="str">
        <f>REPT("｜",$A275)&amp;TRIM(データ!E272)</f>
        <v>｜｜VU250</v>
      </c>
      <c r="E275" s="37" t="str">
        <f>TRIM(データ!F272)</f>
        <v/>
      </c>
      <c r="F275" s="38" t="str">
        <f>TRIM(データ!G272)</f>
        <v>ｍ</v>
      </c>
      <c r="G275" s="50">
        <f>データ!H272</f>
        <v>24.8</v>
      </c>
      <c r="H275" s="48">
        <f>データ!I272</f>
        <v>23000</v>
      </c>
      <c r="I275" s="48">
        <f>データ!J272</f>
        <v>570400</v>
      </c>
      <c r="J275" s="39">
        <f>IF(OR($C275="総括",$C275="内訳書",$C275="内訳代価",$C275="明細書",$C275="明細代価",$C275="代価表",$C275="単価表"),データ!K272,"")</f>
        <v>24.8</v>
      </c>
      <c r="K275" s="11" t="str">
        <f t="shared" si="24"/>
        <v/>
      </c>
      <c r="L275" s="46">
        <f t="shared" si="25"/>
        <v>8.2127481894230629E-3</v>
      </c>
      <c r="M275" s="40" t="str">
        <f>IF(データ!L272="","",データ!L272)</f>
        <v/>
      </c>
      <c r="N275" s="41" t="str">
        <f>IF(データ!M272="","",データ!M272)</f>
        <v>44号内訳書</v>
      </c>
      <c r="O275" s="42">
        <f>データ!N272</f>
        <v>0</v>
      </c>
      <c r="P275" s="48">
        <f>IF($C275="集計行","",データ!O272)</f>
        <v>0</v>
      </c>
      <c r="Q275" s="48">
        <f>データ!P272</f>
        <v>0</v>
      </c>
      <c r="R275" s="39">
        <f>IF(OR($C275="総括",$C275="内訳書",$C275="内訳代価",$C275="明細書",$C275="明細代価",$C275="代価表",$C275="単価表"),データ!Q272,"")</f>
        <v>0</v>
      </c>
      <c r="S275" s="11" t="str">
        <f t="shared" si="26"/>
        <v/>
      </c>
      <c r="T275" s="46" t="e">
        <f t="shared" si="27"/>
        <v>#DIV/0!</v>
      </c>
      <c r="U275" s="40" t="str">
        <f>IF(データ!R272="","",データ!R272)</f>
        <v/>
      </c>
      <c r="V275" s="41" t="str">
        <f>IF(データ!S272="","",データ!S272)</f>
        <v/>
      </c>
      <c r="W275" s="42">
        <f>データ!T272</f>
        <v>0</v>
      </c>
      <c r="X275" s="48">
        <f>IF($C275="集計行","",データ!U272)</f>
        <v>0</v>
      </c>
      <c r="Y275" s="48">
        <f>データ!V272</f>
        <v>0</v>
      </c>
      <c r="Z275" s="39">
        <f>IF(OR($C275="総括",$C275="内訳書",$C275="内訳代価",$C275="明細書",$C275="明細代価",$C275="代価表",$C275="単価表"),データ!W272,"")</f>
        <v>0</v>
      </c>
      <c r="AA275" s="11" t="str">
        <f t="shared" si="28"/>
        <v/>
      </c>
      <c r="AB275" s="46" t="e">
        <f t="shared" si="29"/>
        <v>#DIV/0!</v>
      </c>
      <c r="AC275" s="40" t="str">
        <f>IF(データ!X272="","",データ!X272)</f>
        <v/>
      </c>
      <c r="AD275" s="41" t="str">
        <f>IF(データ!Y272="","",データ!Y272)</f>
        <v/>
      </c>
      <c r="AE275" s="47" t="str">
        <f>TRIM(データ!B272)</f>
        <v/>
      </c>
      <c r="AF275" s="43" t="str">
        <f>TRIM(データ!Z272)</f>
        <v/>
      </c>
    </row>
    <row r="276" spans="1:32" x14ac:dyDescent="0.15">
      <c r="A276" s="47">
        <f>データ!A273</f>
        <v>3</v>
      </c>
      <c r="B276" s="47" t="str">
        <f>TRIM(データ!C273)</f>
        <v/>
      </c>
      <c r="C276" s="47" t="str">
        <f>TRIM(データ!D273)</f>
        <v>材料費</v>
      </c>
      <c r="D276" s="36" t="str">
        <f>REPT("｜",$A276)&amp;TRIM(データ!E273)</f>
        <v>｜｜｜VUφ250</v>
      </c>
      <c r="E276" s="37" t="str">
        <f>TRIM(データ!F273)</f>
        <v/>
      </c>
      <c r="F276" s="38" t="str">
        <f>TRIM(データ!G273)</f>
        <v>本</v>
      </c>
      <c r="G276" s="50">
        <f>データ!H273</f>
        <v>7</v>
      </c>
      <c r="H276" s="48">
        <f>データ!I273</f>
        <v>13600</v>
      </c>
      <c r="I276" s="48">
        <f>データ!J273</f>
        <v>95200</v>
      </c>
      <c r="J276" s="39" t="str">
        <f>IF(OR($C276="総括",$C276="内訳書",$C276="内訳代価",$C276="明細書",$C276="明細代価",$C276="代価表",$C276="単価表"),データ!K273,"")</f>
        <v/>
      </c>
      <c r="K276" s="11" t="str">
        <f t="shared" si="24"/>
        <v/>
      </c>
      <c r="L276" s="46">
        <f t="shared" si="25"/>
        <v>1.3707111283889825E-3</v>
      </c>
      <c r="M276" s="40" t="str">
        <f>IF(データ!L273="","",データ!L273)</f>
        <v/>
      </c>
      <c r="N276" s="41" t="str">
        <f>IF(データ!M273="","",データ!M273)</f>
        <v/>
      </c>
      <c r="O276" s="42">
        <f>データ!N273</f>
        <v>0</v>
      </c>
      <c r="P276" s="48">
        <f>IF($C276="集計行","",データ!O273)</f>
        <v>0</v>
      </c>
      <c r="Q276" s="48">
        <f>データ!P273</f>
        <v>0</v>
      </c>
      <c r="R276" s="39" t="str">
        <f>IF(OR($C276="総括",$C276="内訳書",$C276="内訳代価",$C276="明細書",$C276="明細代価",$C276="代価表",$C276="単価表"),データ!Q273,"")</f>
        <v/>
      </c>
      <c r="S276" s="11" t="str">
        <f t="shared" si="26"/>
        <v/>
      </c>
      <c r="T276" s="46" t="e">
        <f t="shared" si="27"/>
        <v>#DIV/0!</v>
      </c>
      <c r="U276" s="40" t="str">
        <f>IF(データ!R273="","",データ!R273)</f>
        <v/>
      </c>
      <c r="V276" s="41" t="str">
        <f>IF(データ!S273="","",データ!S273)</f>
        <v/>
      </c>
      <c r="W276" s="42">
        <f>データ!T273</f>
        <v>0</v>
      </c>
      <c r="X276" s="48">
        <f>IF($C276="集計行","",データ!U273)</f>
        <v>0</v>
      </c>
      <c r="Y276" s="48">
        <f>データ!V273</f>
        <v>0</v>
      </c>
      <c r="Z276" s="39" t="str">
        <f>IF(OR($C276="総括",$C276="内訳書",$C276="内訳代価",$C276="明細書",$C276="明細代価",$C276="代価表",$C276="単価表"),データ!W273,"")</f>
        <v/>
      </c>
      <c r="AA276" s="11" t="str">
        <f t="shared" si="28"/>
        <v/>
      </c>
      <c r="AB276" s="46" t="e">
        <f t="shared" si="29"/>
        <v>#DIV/0!</v>
      </c>
      <c r="AC276" s="40" t="str">
        <f>IF(データ!X273="","",データ!X273)</f>
        <v/>
      </c>
      <c r="AD276" s="41" t="str">
        <f>IF(データ!Y273="","",データ!Y273)</f>
        <v/>
      </c>
      <c r="AE276" s="47" t="str">
        <f>TRIM(データ!B273)</f>
        <v/>
      </c>
      <c r="AF276" s="43" t="str">
        <f>TRIM(データ!Z273)</f>
        <v/>
      </c>
    </row>
    <row r="277" spans="1:32" x14ac:dyDescent="0.15">
      <c r="A277" s="47">
        <f>データ!A274</f>
        <v>3</v>
      </c>
      <c r="B277" s="47" t="str">
        <f>TRIM(データ!C274)</f>
        <v/>
      </c>
      <c r="C277" s="47" t="str">
        <f>TRIM(データ!D274)</f>
        <v>材料費</v>
      </c>
      <c r="D277" s="36" t="str">
        <f>REPT("｜",$A277)&amp;TRIM(データ!E274)</f>
        <v>｜｜｜再生砂</v>
      </c>
      <c r="E277" s="37" t="str">
        <f>TRIM(データ!F274)</f>
        <v/>
      </c>
      <c r="F277" s="38" t="str">
        <f>TRIM(データ!G274)</f>
        <v>m3</v>
      </c>
      <c r="G277" s="50">
        <f>データ!H274</f>
        <v>10</v>
      </c>
      <c r="H277" s="48">
        <f>データ!I274</f>
        <v>3000</v>
      </c>
      <c r="I277" s="48">
        <f>データ!J274</f>
        <v>30000</v>
      </c>
      <c r="J277" s="39" t="str">
        <f>IF(OR($C277="総括",$C277="内訳書",$C277="内訳代価",$C277="明細書",$C277="明細代価",$C277="代価表",$C277="単価表"),データ!K274,"")</f>
        <v/>
      </c>
      <c r="K277" s="11" t="str">
        <f t="shared" si="24"/>
        <v/>
      </c>
      <c r="L277" s="46">
        <f t="shared" si="25"/>
        <v>4.3194678415619197E-4</v>
      </c>
      <c r="M277" s="40" t="str">
        <f>IF(データ!L274="","",データ!L274)</f>
        <v/>
      </c>
      <c r="N277" s="41" t="str">
        <f>IF(データ!M274="","",データ!M274)</f>
        <v/>
      </c>
      <c r="O277" s="42">
        <f>データ!N274</f>
        <v>0</v>
      </c>
      <c r="P277" s="48">
        <f>IF($C277="集計行","",データ!O274)</f>
        <v>0</v>
      </c>
      <c r="Q277" s="48">
        <f>データ!P274</f>
        <v>0</v>
      </c>
      <c r="R277" s="39" t="str">
        <f>IF(OR($C277="総括",$C277="内訳書",$C277="内訳代価",$C277="明細書",$C277="明細代価",$C277="代価表",$C277="単価表"),データ!Q274,"")</f>
        <v/>
      </c>
      <c r="S277" s="11" t="str">
        <f t="shared" si="26"/>
        <v/>
      </c>
      <c r="T277" s="46" t="e">
        <f t="shared" si="27"/>
        <v>#DIV/0!</v>
      </c>
      <c r="U277" s="40" t="str">
        <f>IF(データ!R274="","",データ!R274)</f>
        <v/>
      </c>
      <c r="V277" s="41" t="str">
        <f>IF(データ!S274="","",データ!S274)</f>
        <v/>
      </c>
      <c r="W277" s="42">
        <f>データ!T274</f>
        <v>0</v>
      </c>
      <c r="X277" s="48">
        <f>IF($C277="集計行","",データ!U274)</f>
        <v>0</v>
      </c>
      <c r="Y277" s="48">
        <f>データ!V274</f>
        <v>0</v>
      </c>
      <c r="Z277" s="39" t="str">
        <f>IF(OR($C277="総括",$C277="内訳書",$C277="内訳代価",$C277="明細書",$C277="明細代価",$C277="代価表",$C277="単価表"),データ!W274,"")</f>
        <v/>
      </c>
      <c r="AA277" s="11" t="str">
        <f t="shared" si="28"/>
        <v/>
      </c>
      <c r="AB277" s="46" t="e">
        <f t="shared" si="29"/>
        <v>#DIV/0!</v>
      </c>
      <c r="AC277" s="40" t="str">
        <f>IF(データ!X274="","",データ!X274)</f>
        <v/>
      </c>
      <c r="AD277" s="41" t="str">
        <f>IF(データ!Y274="","",データ!Y274)</f>
        <v/>
      </c>
      <c r="AE277" s="47" t="str">
        <f>TRIM(データ!B274)</f>
        <v/>
      </c>
      <c r="AF277" s="43" t="str">
        <f>TRIM(データ!Z274)</f>
        <v/>
      </c>
    </row>
    <row r="278" spans="1:32" x14ac:dyDescent="0.15">
      <c r="A278" s="47">
        <f>データ!A275</f>
        <v>3</v>
      </c>
      <c r="B278" s="47" t="str">
        <f>TRIM(データ!C275)</f>
        <v/>
      </c>
      <c r="C278" s="47" t="str">
        <f>TRIM(データ!D275)</f>
        <v>労務費</v>
      </c>
      <c r="D278" s="36" t="str">
        <f>REPT("｜",$A278)&amp;TRIM(データ!E275)</f>
        <v>｜｜｜技工</v>
      </c>
      <c r="E278" s="37" t="str">
        <f>TRIM(データ!F275)</f>
        <v/>
      </c>
      <c r="F278" s="38" t="str">
        <f>TRIM(データ!G275)</f>
        <v>人</v>
      </c>
      <c r="G278" s="50">
        <f>データ!H275</f>
        <v>9</v>
      </c>
      <c r="H278" s="48">
        <f>データ!I275</f>
        <v>28000</v>
      </c>
      <c r="I278" s="48">
        <f>データ!J275</f>
        <v>252000</v>
      </c>
      <c r="J278" s="39" t="str">
        <f>IF(OR($C278="総括",$C278="内訳書",$C278="内訳代価",$C278="明細書",$C278="明細代価",$C278="代価表",$C278="単価表"),データ!K275,"")</f>
        <v/>
      </c>
      <c r="K278" s="11" t="str">
        <f t="shared" si="24"/>
        <v/>
      </c>
      <c r="L278" s="46">
        <f t="shared" si="25"/>
        <v>3.6283529869120122E-3</v>
      </c>
      <c r="M278" s="40" t="str">
        <f>IF(データ!L275="","",データ!L275)</f>
        <v/>
      </c>
      <c r="N278" s="41" t="str">
        <f>IF(データ!M275="","",データ!M275)</f>
        <v/>
      </c>
      <c r="O278" s="42">
        <f>データ!N275</f>
        <v>0</v>
      </c>
      <c r="P278" s="48">
        <f>IF($C278="集計行","",データ!O275)</f>
        <v>0</v>
      </c>
      <c r="Q278" s="48">
        <f>データ!P275</f>
        <v>0</v>
      </c>
      <c r="R278" s="39" t="str">
        <f>IF(OR($C278="総括",$C278="内訳書",$C278="内訳代価",$C278="明細書",$C278="明細代価",$C278="代価表",$C278="単価表"),データ!Q275,"")</f>
        <v/>
      </c>
      <c r="S278" s="11" t="str">
        <f t="shared" si="26"/>
        <v/>
      </c>
      <c r="T278" s="46" t="e">
        <f t="shared" si="27"/>
        <v>#DIV/0!</v>
      </c>
      <c r="U278" s="40" t="str">
        <f>IF(データ!R275="","",データ!R275)</f>
        <v/>
      </c>
      <c r="V278" s="41" t="str">
        <f>IF(データ!S275="","",データ!S275)</f>
        <v/>
      </c>
      <c r="W278" s="42">
        <f>データ!T275</f>
        <v>0</v>
      </c>
      <c r="X278" s="48">
        <f>IF($C278="集計行","",データ!U275)</f>
        <v>0</v>
      </c>
      <c r="Y278" s="48">
        <f>データ!V275</f>
        <v>0</v>
      </c>
      <c r="Z278" s="39" t="str">
        <f>IF(OR($C278="総括",$C278="内訳書",$C278="内訳代価",$C278="明細書",$C278="明細代価",$C278="代価表",$C278="単価表"),データ!W275,"")</f>
        <v/>
      </c>
      <c r="AA278" s="11" t="str">
        <f t="shared" si="28"/>
        <v/>
      </c>
      <c r="AB278" s="46" t="e">
        <f t="shared" si="29"/>
        <v>#DIV/0!</v>
      </c>
      <c r="AC278" s="40" t="str">
        <f>IF(データ!X275="","",データ!X275)</f>
        <v/>
      </c>
      <c r="AD278" s="41" t="str">
        <f>IF(データ!Y275="","",データ!Y275)</f>
        <v/>
      </c>
      <c r="AE278" s="47" t="str">
        <f>TRIM(データ!B275)</f>
        <v/>
      </c>
      <c r="AF278" s="43" t="str">
        <f>TRIM(データ!Z275)</f>
        <v/>
      </c>
    </row>
    <row r="279" spans="1:32" x14ac:dyDescent="0.15">
      <c r="A279" s="47">
        <f>データ!A276</f>
        <v>3</v>
      </c>
      <c r="B279" s="47" t="str">
        <f>TRIM(データ!C276)</f>
        <v/>
      </c>
      <c r="C279" s="47" t="str">
        <f>TRIM(データ!D276)</f>
        <v>機械費</v>
      </c>
      <c r="D279" s="36" t="str">
        <f>REPT("｜",$A279)&amp;TRIM(データ!E276)</f>
        <v>｜｜｜BH0.15</v>
      </c>
      <c r="E279" s="37" t="str">
        <f>TRIM(データ!F276)</f>
        <v/>
      </c>
      <c r="F279" s="38" t="str">
        <f>TRIM(データ!G276)</f>
        <v>台</v>
      </c>
      <c r="G279" s="50">
        <f>データ!H276</f>
        <v>3</v>
      </c>
      <c r="H279" s="48">
        <f>データ!I276</f>
        <v>8000</v>
      </c>
      <c r="I279" s="48">
        <f>データ!J276</f>
        <v>24000</v>
      </c>
      <c r="J279" s="39" t="str">
        <f>IF(OR($C279="総括",$C279="内訳書",$C279="内訳代価",$C279="明細書",$C279="明細代価",$C279="代価表",$C279="単価表"),データ!K276,"")</f>
        <v/>
      </c>
      <c r="K279" s="11" t="str">
        <f t="shared" si="24"/>
        <v/>
      </c>
      <c r="L279" s="46">
        <f t="shared" si="25"/>
        <v>3.4555742732495355E-4</v>
      </c>
      <c r="M279" s="40" t="str">
        <f>IF(データ!L276="","",データ!L276)</f>
        <v/>
      </c>
      <c r="N279" s="41" t="str">
        <f>IF(データ!M276="","",データ!M276)</f>
        <v/>
      </c>
      <c r="O279" s="42">
        <f>データ!N276</f>
        <v>0</v>
      </c>
      <c r="P279" s="48">
        <f>IF($C279="集計行","",データ!O276)</f>
        <v>0</v>
      </c>
      <c r="Q279" s="48">
        <f>データ!P276</f>
        <v>0</v>
      </c>
      <c r="R279" s="39" t="str">
        <f>IF(OR($C279="総括",$C279="内訳書",$C279="内訳代価",$C279="明細書",$C279="明細代価",$C279="代価表",$C279="単価表"),データ!Q276,"")</f>
        <v/>
      </c>
      <c r="S279" s="11" t="str">
        <f t="shared" si="26"/>
        <v/>
      </c>
      <c r="T279" s="46" t="e">
        <f t="shared" si="27"/>
        <v>#DIV/0!</v>
      </c>
      <c r="U279" s="40" t="str">
        <f>IF(データ!R276="","",データ!R276)</f>
        <v/>
      </c>
      <c r="V279" s="41" t="str">
        <f>IF(データ!S276="","",データ!S276)</f>
        <v/>
      </c>
      <c r="W279" s="42">
        <f>データ!T276</f>
        <v>0</v>
      </c>
      <c r="X279" s="48">
        <f>IF($C279="集計行","",データ!U276)</f>
        <v>0</v>
      </c>
      <c r="Y279" s="48">
        <f>データ!V276</f>
        <v>0</v>
      </c>
      <c r="Z279" s="39" t="str">
        <f>IF(OR($C279="総括",$C279="内訳書",$C279="内訳代価",$C279="明細書",$C279="明細代価",$C279="代価表",$C279="単価表"),データ!W276,"")</f>
        <v/>
      </c>
      <c r="AA279" s="11" t="str">
        <f t="shared" si="28"/>
        <v/>
      </c>
      <c r="AB279" s="46" t="e">
        <f t="shared" si="29"/>
        <v>#DIV/0!</v>
      </c>
      <c r="AC279" s="40" t="str">
        <f>IF(データ!X276="","",データ!X276)</f>
        <v/>
      </c>
      <c r="AD279" s="41" t="str">
        <f>IF(データ!Y276="","",データ!Y276)</f>
        <v/>
      </c>
      <c r="AE279" s="47" t="str">
        <f>TRIM(データ!B276)</f>
        <v/>
      </c>
      <c r="AF279" s="43" t="str">
        <f>TRIM(データ!Z276)</f>
        <v/>
      </c>
    </row>
    <row r="280" spans="1:32" x14ac:dyDescent="0.15">
      <c r="A280" s="47">
        <f>データ!A277</f>
        <v>3</v>
      </c>
      <c r="B280" s="47" t="str">
        <f>TRIM(データ!C277)</f>
        <v/>
      </c>
      <c r="C280" s="47" t="str">
        <f>TRIM(データ!D277)</f>
        <v>機械費</v>
      </c>
      <c r="D280" s="36" t="str">
        <f>REPT("｜",$A280)&amp;TRIM(データ!E277)</f>
        <v>｜｜｜プレート</v>
      </c>
      <c r="E280" s="37" t="str">
        <f>TRIM(データ!F277)</f>
        <v/>
      </c>
      <c r="F280" s="38" t="str">
        <f>TRIM(データ!G277)</f>
        <v>台</v>
      </c>
      <c r="G280" s="50">
        <f>データ!H277</f>
        <v>3</v>
      </c>
      <c r="H280" s="48">
        <f>データ!I277</f>
        <v>1500</v>
      </c>
      <c r="I280" s="48">
        <f>データ!J277</f>
        <v>4500</v>
      </c>
      <c r="J280" s="39" t="str">
        <f>IF(OR($C280="総括",$C280="内訳書",$C280="内訳代価",$C280="明細書",$C280="明細代価",$C280="代価表",$C280="単価表"),データ!K277,"")</f>
        <v/>
      </c>
      <c r="K280" s="11" t="str">
        <f t="shared" si="24"/>
        <v/>
      </c>
      <c r="L280" s="46">
        <f t="shared" si="25"/>
        <v>6.4792017623428798E-5</v>
      </c>
      <c r="M280" s="40" t="str">
        <f>IF(データ!L277="","",データ!L277)</f>
        <v/>
      </c>
      <c r="N280" s="41" t="str">
        <f>IF(データ!M277="","",データ!M277)</f>
        <v/>
      </c>
      <c r="O280" s="42">
        <f>データ!N277</f>
        <v>0</v>
      </c>
      <c r="P280" s="48">
        <f>IF($C280="集計行","",データ!O277)</f>
        <v>0</v>
      </c>
      <c r="Q280" s="48">
        <f>データ!P277</f>
        <v>0</v>
      </c>
      <c r="R280" s="39" t="str">
        <f>IF(OR($C280="総括",$C280="内訳書",$C280="内訳代価",$C280="明細書",$C280="明細代価",$C280="代価表",$C280="単価表"),データ!Q277,"")</f>
        <v/>
      </c>
      <c r="S280" s="11" t="str">
        <f t="shared" si="26"/>
        <v/>
      </c>
      <c r="T280" s="46" t="e">
        <f t="shared" si="27"/>
        <v>#DIV/0!</v>
      </c>
      <c r="U280" s="40" t="str">
        <f>IF(データ!R277="","",データ!R277)</f>
        <v/>
      </c>
      <c r="V280" s="41" t="str">
        <f>IF(データ!S277="","",データ!S277)</f>
        <v/>
      </c>
      <c r="W280" s="42">
        <f>データ!T277</f>
        <v>0</v>
      </c>
      <c r="X280" s="48">
        <f>IF($C280="集計行","",データ!U277)</f>
        <v>0</v>
      </c>
      <c r="Y280" s="48">
        <f>データ!V277</f>
        <v>0</v>
      </c>
      <c r="Z280" s="39" t="str">
        <f>IF(OR($C280="総括",$C280="内訳書",$C280="内訳代価",$C280="明細書",$C280="明細代価",$C280="代価表",$C280="単価表"),データ!W277,"")</f>
        <v/>
      </c>
      <c r="AA280" s="11" t="str">
        <f t="shared" si="28"/>
        <v/>
      </c>
      <c r="AB280" s="46" t="e">
        <f t="shared" si="29"/>
        <v>#DIV/0!</v>
      </c>
      <c r="AC280" s="40" t="str">
        <f>IF(データ!X277="","",データ!X277)</f>
        <v/>
      </c>
      <c r="AD280" s="41" t="str">
        <f>IF(データ!Y277="","",データ!Y277)</f>
        <v/>
      </c>
      <c r="AE280" s="47" t="str">
        <f>TRIM(データ!B277)</f>
        <v/>
      </c>
      <c r="AF280" s="43" t="str">
        <f>TRIM(データ!Z277)</f>
        <v/>
      </c>
    </row>
    <row r="281" spans="1:32" x14ac:dyDescent="0.15">
      <c r="A281" s="47">
        <f>データ!A278</f>
        <v>3</v>
      </c>
      <c r="B281" s="47" t="str">
        <f>TRIM(データ!C278)</f>
        <v/>
      </c>
      <c r="C281" s="47" t="str">
        <f>TRIM(データ!D278)</f>
        <v>機械費</v>
      </c>
      <c r="D281" s="36" t="str">
        <f>REPT("｜",$A281)&amp;TRIM(データ!E278)</f>
        <v>｜｜｜ランマー</v>
      </c>
      <c r="E281" s="37" t="str">
        <f>TRIM(データ!F278)</f>
        <v/>
      </c>
      <c r="F281" s="38" t="str">
        <f>TRIM(データ!G278)</f>
        <v>台</v>
      </c>
      <c r="G281" s="50">
        <f>データ!H278</f>
        <v>3</v>
      </c>
      <c r="H281" s="48">
        <f>データ!I278</f>
        <v>1500</v>
      </c>
      <c r="I281" s="48">
        <f>データ!J278</f>
        <v>4500</v>
      </c>
      <c r="J281" s="39" t="str">
        <f>IF(OR($C281="総括",$C281="内訳書",$C281="内訳代価",$C281="明細書",$C281="明細代価",$C281="代価表",$C281="単価表"),データ!K278,"")</f>
        <v/>
      </c>
      <c r="K281" s="11" t="str">
        <f t="shared" si="24"/>
        <v/>
      </c>
      <c r="L281" s="46">
        <f t="shared" si="25"/>
        <v>6.4792017623428798E-5</v>
      </c>
      <c r="M281" s="40" t="str">
        <f>IF(データ!L278="","",データ!L278)</f>
        <v/>
      </c>
      <c r="N281" s="41" t="str">
        <f>IF(データ!M278="","",データ!M278)</f>
        <v/>
      </c>
      <c r="O281" s="42">
        <f>データ!N278</f>
        <v>0</v>
      </c>
      <c r="P281" s="48">
        <f>IF($C281="集計行","",データ!O278)</f>
        <v>0</v>
      </c>
      <c r="Q281" s="48">
        <f>データ!P278</f>
        <v>0</v>
      </c>
      <c r="R281" s="39" t="str">
        <f>IF(OR($C281="総括",$C281="内訳書",$C281="内訳代価",$C281="明細書",$C281="明細代価",$C281="代価表",$C281="単価表"),データ!Q278,"")</f>
        <v/>
      </c>
      <c r="S281" s="11" t="str">
        <f t="shared" si="26"/>
        <v/>
      </c>
      <c r="T281" s="46" t="e">
        <f t="shared" si="27"/>
        <v>#DIV/0!</v>
      </c>
      <c r="U281" s="40" t="str">
        <f>IF(データ!R278="","",データ!R278)</f>
        <v/>
      </c>
      <c r="V281" s="41" t="str">
        <f>IF(データ!S278="","",データ!S278)</f>
        <v/>
      </c>
      <c r="W281" s="42">
        <f>データ!T278</f>
        <v>0</v>
      </c>
      <c r="X281" s="48">
        <f>IF($C281="集計行","",データ!U278)</f>
        <v>0</v>
      </c>
      <c r="Y281" s="48">
        <f>データ!V278</f>
        <v>0</v>
      </c>
      <c r="Z281" s="39" t="str">
        <f>IF(OR($C281="総括",$C281="内訳書",$C281="内訳代価",$C281="明細書",$C281="明細代価",$C281="代価表",$C281="単価表"),データ!W278,"")</f>
        <v/>
      </c>
      <c r="AA281" s="11" t="str">
        <f t="shared" si="28"/>
        <v/>
      </c>
      <c r="AB281" s="46" t="e">
        <f t="shared" si="29"/>
        <v>#DIV/0!</v>
      </c>
      <c r="AC281" s="40" t="str">
        <f>IF(データ!X278="","",データ!X278)</f>
        <v/>
      </c>
      <c r="AD281" s="41" t="str">
        <f>IF(データ!Y278="","",データ!Y278)</f>
        <v/>
      </c>
      <c r="AE281" s="47" t="str">
        <f>TRIM(データ!B278)</f>
        <v/>
      </c>
      <c r="AF281" s="43" t="str">
        <f>TRIM(データ!Z278)</f>
        <v/>
      </c>
    </row>
    <row r="282" spans="1:32" x14ac:dyDescent="0.15">
      <c r="A282" s="47">
        <f>データ!A279</f>
        <v>3</v>
      </c>
      <c r="B282" s="47" t="str">
        <f>TRIM(データ!C279)</f>
        <v/>
      </c>
      <c r="C282" s="47" t="str">
        <f>TRIM(データ!D279)</f>
        <v>運搬費</v>
      </c>
      <c r="D282" s="36" t="str">
        <f>REPT("｜",$A282)&amp;TRIM(データ!E279)</f>
        <v>｜｜｜4tダンプ</v>
      </c>
      <c r="E282" s="37" t="str">
        <f>TRIM(データ!F279)</f>
        <v/>
      </c>
      <c r="F282" s="38" t="str">
        <f>TRIM(データ!G279)</f>
        <v>台</v>
      </c>
      <c r="G282" s="50">
        <f>データ!H279</f>
        <v>3</v>
      </c>
      <c r="H282" s="48">
        <f>データ!I279</f>
        <v>10000</v>
      </c>
      <c r="I282" s="48">
        <f>データ!J279</f>
        <v>30000</v>
      </c>
      <c r="J282" s="39" t="str">
        <f>IF(OR($C282="総括",$C282="内訳書",$C282="内訳代価",$C282="明細書",$C282="明細代価",$C282="代価表",$C282="単価表"),データ!K279,"")</f>
        <v/>
      </c>
      <c r="K282" s="11" t="str">
        <f t="shared" si="24"/>
        <v/>
      </c>
      <c r="L282" s="46">
        <f t="shared" si="25"/>
        <v>4.3194678415619197E-4</v>
      </c>
      <c r="M282" s="40" t="str">
        <f>IF(データ!L279="","",データ!L279)</f>
        <v/>
      </c>
      <c r="N282" s="41" t="str">
        <f>IF(データ!M279="","",データ!M279)</f>
        <v/>
      </c>
      <c r="O282" s="42">
        <f>データ!N279</f>
        <v>0</v>
      </c>
      <c r="P282" s="48">
        <f>IF($C282="集計行","",データ!O279)</f>
        <v>0</v>
      </c>
      <c r="Q282" s="48">
        <f>データ!P279</f>
        <v>0</v>
      </c>
      <c r="R282" s="39" t="str">
        <f>IF(OR($C282="総括",$C282="内訳書",$C282="内訳代価",$C282="明細書",$C282="明細代価",$C282="代価表",$C282="単価表"),データ!Q279,"")</f>
        <v/>
      </c>
      <c r="S282" s="11" t="str">
        <f t="shared" si="26"/>
        <v/>
      </c>
      <c r="T282" s="46" t="e">
        <f t="shared" si="27"/>
        <v>#DIV/0!</v>
      </c>
      <c r="U282" s="40" t="str">
        <f>IF(データ!R279="","",データ!R279)</f>
        <v/>
      </c>
      <c r="V282" s="41" t="str">
        <f>IF(データ!S279="","",データ!S279)</f>
        <v/>
      </c>
      <c r="W282" s="42">
        <f>データ!T279</f>
        <v>0</v>
      </c>
      <c r="X282" s="48">
        <f>IF($C282="集計行","",データ!U279)</f>
        <v>0</v>
      </c>
      <c r="Y282" s="48">
        <f>データ!V279</f>
        <v>0</v>
      </c>
      <c r="Z282" s="39" t="str">
        <f>IF(OR($C282="総括",$C282="内訳書",$C282="内訳代価",$C282="明細書",$C282="明細代価",$C282="代価表",$C282="単価表"),データ!W279,"")</f>
        <v/>
      </c>
      <c r="AA282" s="11" t="str">
        <f t="shared" si="28"/>
        <v/>
      </c>
      <c r="AB282" s="46" t="e">
        <f t="shared" si="29"/>
        <v>#DIV/0!</v>
      </c>
      <c r="AC282" s="40" t="str">
        <f>IF(データ!X279="","",データ!X279)</f>
        <v/>
      </c>
      <c r="AD282" s="41" t="str">
        <f>IF(データ!Y279="","",データ!Y279)</f>
        <v/>
      </c>
      <c r="AE282" s="47" t="str">
        <f>TRIM(データ!B279)</f>
        <v/>
      </c>
      <c r="AF282" s="43" t="str">
        <f>TRIM(データ!Z279)</f>
        <v/>
      </c>
    </row>
    <row r="283" spans="1:32" x14ac:dyDescent="0.15">
      <c r="A283" s="47">
        <f>データ!A280</f>
        <v>3</v>
      </c>
      <c r="B283" s="47" t="str">
        <f>TRIM(データ!C280)</f>
        <v/>
      </c>
      <c r="C283" s="47" t="str">
        <f>TRIM(データ!D280)</f>
        <v>運搬費</v>
      </c>
      <c r="D283" s="36" t="str">
        <f>REPT("｜",$A283)&amp;TRIM(データ!E280)</f>
        <v>｜｜｜2tダンプ</v>
      </c>
      <c r="E283" s="37" t="str">
        <f>TRIM(データ!F280)</f>
        <v/>
      </c>
      <c r="F283" s="38" t="str">
        <f>TRIM(データ!G280)</f>
        <v>台</v>
      </c>
      <c r="G283" s="50">
        <f>データ!H280</f>
        <v>3</v>
      </c>
      <c r="H283" s="48">
        <f>データ!I280</f>
        <v>7000</v>
      </c>
      <c r="I283" s="48">
        <f>データ!J280</f>
        <v>21000</v>
      </c>
      <c r="J283" s="39" t="str">
        <f>IF(OR($C283="総括",$C283="内訳書",$C283="内訳代価",$C283="明細書",$C283="明細代価",$C283="代価表",$C283="単価表"),データ!K280,"")</f>
        <v/>
      </c>
      <c r="K283" s="11" t="str">
        <f t="shared" si="24"/>
        <v/>
      </c>
      <c r="L283" s="46">
        <f t="shared" si="25"/>
        <v>3.0236274890933437E-4</v>
      </c>
      <c r="M283" s="40" t="str">
        <f>IF(データ!L280="","",データ!L280)</f>
        <v/>
      </c>
      <c r="N283" s="41" t="str">
        <f>IF(データ!M280="","",データ!M280)</f>
        <v/>
      </c>
      <c r="O283" s="42">
        <f>データ!N280</f>
        <v>0</v>
      </c>
      <c r="P283" s="48">
        <f>IF($C283="集計行","",データ!O280)</f>
        <v>0</v>
      </c>
      <c r="Q283" s="48">
        <f>データ!P280</f>
        <v>0</v>
      </c>
      <c r="R283" s="39" t="str">
        <f>IF(OR($C283="総括",$C283="内訳書",$C283="内訳代価",$C283="明細書",$C283="明細代価",$C283="代価表",$C283="単価表"),データ!Q280,"")</f>
        <v/>
      </c>
      <c r="S283" s="11" t="str">
        <f t="shared" si="26"/>
        <v/>
      </c>
      <c r="T283" s="46" t="e">
        <f t="shared" si="27"/>
        <v>#DIV/0!</v>
      </c>
      <c r="U283" s="40" t="str">
        <f>IF(データ!R280="","",データ!R280)</f>
        <v/>
      </c>
      <c r="V283" s="41" t="str">
        <f>IF(データ!S280="","",データ!S280)</f>
        <v/>
      </c>
      <c r="W283" s="42">
        <f>データ!T280</f>
        <v>0</v>
      </c>
      <c r="X283" s="48">
        <f>IF($C283="集計行","",データ!U280)</f>
        <v>0</v>
      </c>
      <c r="Y283" s="48">
        <f>データ!V280</f>
        <v>0</v>
      </c>
      <c r="Z283" s="39" t="str">
        <f>IF(OR($C283="総括",$C283="内訳書",$C283="内訳代価",$C283="明細書",$C283="明細代価",$C283="代価表",$C283="単価表"),データ!W280,"")</f>
        <v/>
      </c>
      <c r="AA283" s="11" t="str">
        <f t="shared" si="28"/>
        <v/>
      </c>
      <c r="AB283" s="46" t="e">
        <f t="shared" si="29"/>
        <v>#DIV/0!</v>
      </c>
      <c r="AC283" s="40" t="str">
        <f>IF(データ!X280="","",データ!X280)</f>
        <v/>
      </c>
      <c r="AD283" s="41" t="str">
        <f>IF(データ!Y280="","",データ!Y280)</f>
        <v/>
      </c>
      <c r="AE283" s="47" t="str">
        <f>TRIM(データ!B280)</f>
        <v/>
      </c>
      <c r="AF283" s="43" t="str">
        <f>TRIM(データ!Z280)</f>
        <v/>
      </c>
    </row>
    <row r="284" spans="1:32" x14ac:dyDescent="0.15">
      <c r="A284" s="47">
        <f>データ!A281</f>
        <v>3</v>
      </c>
      <c r="B284" s="47" t="str">
        <f>TRIM(データ!C281)</f>
        <v/>
      </c>
      <c r="C284" s="47" t="str">
        <f>TRIM(データ!D281)</f>
        <v>材料費</v>
      </c>
      <c r="D284" s="36" t="str">
        <f>REPT("｜",$A284)&amp;TRIM(データ!E281)</f>
        <v>｜｜｜軽油</v>
      </c>
      <c r="E284" s="37" t="str">
        <f>TRIM(データ!F281)</f>
        <v/>
      </c>
      <c r="F284" s="38" t="str">
        <f>TRIM(データ!G281)</f>
        <v>リットル</v>
      </c>
      <c r="G284" s="50">
        <f>データ!H281</f>
        <v>120</v>
      </c>
      <c r="H284" s="48">
        <f>データ!I281</f>
        <v>150</v>
      </c>
      <c r="I284" s="48">
        <f>データ!J281</f>
        <v>18000</v>
      </c>
      <c r="J284" s="39" t="str">
        <f>IF(OR($C284="総括",$C284="内訳書",$C284="内訳代価",$C284="明細書",$C284="明細代価",$C284="代価表",$C284="単価表"),データ!K281,"")</f>
        <v/>
      </c>
      <c r="K284" s="11" t="str">
        <f t="shared" si="24"/>
        <v/>
      </c>
      <c r="L284" s="46">
        <f t="shared" si="25"/>
        <v>2.5916807049371519E-4</v>
      </c>
      <c r="M284" s="40" t="str">
        <f>IF(データ!L281="","",データ!L281)</f>
        <v/>
      </c>
      <c r="N284" s="41" t="str">
        <f>IF(データ!M281="","",データ!M281)</f>
        <v/>
      </c>
      <c r="O284" s="42">
        <f>データ!N281</f>
        <v>0</v>
      </c>
      <c r="P284" s="48">
        <f>IF($C284="集計行","",データ!O281)</f>
        <v>0</v>
      </c>
      <c r="Q284" s="48">
        <f>データ!P281</f>
        <v>0</v>
      </c>
      <c r="R284" s="39" t="str">
        <f>IF(OR($C284="総括",$C284="内訳書",$C284="内訳代価",$C284="明細書",$C284="明細代価",$C284="代価表",$C284="単価表"),データ!Q281,"")</f>
        <v/>
      </c>
      <c r="S284" s="11" t="str">
        <f t="shared" si="26"/>
        <v/>
      </c>
      <c r="T284" s="46" t="e">
        <f t="shared" si="27"/>
        <v>#DIV/0!</v>
      </c>
      <c r="U284" s="40" t="str">
        <f>IF(データ!R281="","",データ!R281)</f>
        <v/>
      </c>
      <c r="V284" s="41" t="str">
        <f>IF(データ!S281="","",データ!S281)</f>
        <v/>
      </c>
      <c r="W284" s="42">
        <f>データ!T281</f>
        <v>0</v>
      </c>
      <c r="X284" s="48">
        <f>IF($C284="集計行","",データ!U281)</f>
        <v>0</v>
      </c>
      <c r="Y284" s="48">
        <f>データ!V281</f>
        <v>0</v>
      </c>
      <c r="Z284" s="39" t="str">
        <f>IF(OR($C284="総括",$C284="内訳書",$C284="内訳代価",$C284="明細書",$C284="明細代価",$C284="代価表",$C284="単価表"),データ!W281,"")</f>
        <v/>
      </c>
      <c r="AA284" s="11" t="str">
        <f t="shared" si="28"/>
        <v/>
      </c>
      <c r="AB284" s="46" t="e">
        <f t="shared" si="29"/>
        <v>#DIV/0!</v>
      </c>
      <c r="AC284" s="40" t="str">
        <f>IF(データ!X281="","",データ!X281)</f>
        <v/>
      </c>
      <c r="AD284" s="41" t="str">
        <f>IF(データ!Y281="","",データ!Y281)</f>
        <v/>
      </c>
      <c r="AE284" s="47" t="str">
        <f>TRIM(データ!B281)</f>
        <v/>
      </c>
      <c r="AF284" s="43" t="str">
        <f>TRIM(データ!Z281)</f>
        <v/>
      </c>
    </row>
    <row r="285" spans="1:32" x14ac:dyDescent="0.15">
      <c r="A285" s="47">
        <f>データ!A282</f>
        <v>3</v>
      </c>
      <c r="B285" s="47" t="str">
        <f>TRIM(データ!C282)</f>
        <v/>
      </c>
      <c r="C285" s="47" t="str">
        <f>TRIM(データ!D282)</f>
        <v>材料費</v>
      </c>
      <c r="D285" s="36" t="str">
        <f>REPT("｜",$A285)&amp;TRIM(データ!E282)</f>
        <v>｜｜｜ガソリン</v>
      </c>
      <c r="E285" s="37" t="str">
        <f>TRIM(データ!F282)</f>
        <v/>
      </c>
      <c r="F285" s="38" t="str">
        <f>TRIM(データ!G282)</f>
        <v>リットル</v>
      </c>
      <c r="G285" s="50">
        <f>データ!H282</f>
        <v>120</v>
      </c>
      <c r="H285" s="48">
        <f>データ!I282</f>
        <v>200</v>
      </c>
      <c r="I285" s="48">
        <f>データ!J282</f>
        <v>24000</v>
      </c>
      <c r="J285" s="39" t="str">
        <f>IF(OR($C285="総括",$C285="内訳書",$C285="内訳代価",$C285="明細書",$C285="明細代価",$C285="代価表",$C285="単価表"),データ!K282,"")</f>
        <v/>
      </c>
      <c r="K285" s="11" t="str">
        <f t="shared" si="24"/>
        <v/>
      </c>
      <c r="L285" s="46">
        <f t="shared" si="25"/>
        <v>3.4555742732495355E-4</v>
      </c>
      <c r="M285" s="40" t="str">
        <f>IF(データ!L282="","",データ!L282)</f>
        <v/>
      </c>
      <c r="N285" s="41" t="str">
        <f>IF(データ!M282="","",データ!M282)</f>
        <v/>
      </c>
      <c r="O285" s="42">
        <f>データ!N282</f>
        <v>0</v>
      </c>
      <c r="P285" s="48">
        <f>IF($C285="集計行","",データ!O282)</f>
        <v>0</v>
      </c>
      <c r="Q285" s="48">
        <f>データ!P282</f>
        <v>0</v>
      </c>
      <c r="R285" s="39" t="str">
        <f>IF(OR($C285="総括",$C285="内訳書",$C285="内訳代価",$C285="明細書",$C285="明細代価",$C285="代価表",$C285="単価表"),データ!Q282,"")</f>
        <v/>
      </c>
      <c r="S285" s="11" t="str">
        <f t="shared" si="26"/>
        <v/>
      </c>
      <c r="T285" s="46" t="e">
        <f t="shared" si="27"/>
        <v>#DIV/0!</v>
      </c>
      <c r="U285" s="40" t="str">
        <f>IF(データ!R282="","",データ!R282)</f>
        <v/>
      </c>
      <c r="V285" s="41" t="str">
        <f>IF(データ!S282="","",データ!S282)</f>
        <v/>
      </c>
      <c r="W285" s="42">
        <f>データ!T282</f>
        <v>0</v>
      </c>
      <c r="X285" s="48">
        <f>IF($C285="集計行","",データ!U282)</f>
        <v>0</v>
      </c>
      <c r="Y285" s="48">
        <f>データ!V282</f>
        <v>0</v>
      </c>
      <c r="Z285" s="39" t="str">
        <f>IF(OR($C285="総括",$C285="内訳書",$C285="内訳代価",$C285="明細書",$C285="明細代価",$C285="代価表",$C285="単価表"),データ!W282,"")</f>
        <v/>
      </c>
      <c r="AA285" s="11" t="str">
        <f t="shared" si="28"/>
        <v/>
      </c>
      <c r="AB285" s="46" t="e">
        <f t="shared" si="29"/>
        <v>#DIV/0!</v>
      </c>
      <c r="AC285" s="40" t="str">
        <f>IF(データ!X282="","",データ!X282)</f>
        <v/>
      </c>
      <c r="AD285" s="41" t="str">
        <f>IF(データ!Y282="","",データ!Y282)</f>
        <v/>
      </c>
      <c r="AE285" s="47" t="str">
        <f>TRIM(データ!B282)</f>
        <v/>
      </c>
      <c r="AF285" s="43" t="str">
        <f>TRIM(データ!Z282)</f>
        <v/>
      </c>
    </row>
    <row r="286" spans="1:32" x14ac:dyDescent="0.15">
      <c r="A286" s="47">
        <f>データ!A283</f>
        <v>3</v>
      </c>
      <c r="B286" s="47" t="str">
        <f>TRIM(データ!C283)</f>
        <v/>
      </c>
      <c r="C286" s="47" t="str">
        <f>TRIM(データ!D283)</f>
        <v>材料費</v>
      </c>
      <c r="D286" s="36" t="str">
        <f>REPT("｜",$A286)&amp;TRIM(データ!E283)</f>
        <v>｜｜｜雑材</v>
      </c>
      <c r="E286" s="37" t="str">
        <f>TRIM(データ!F283)</f>
        <v/>
      </c>
      <c r="F286" s="38" t="str">
        <f>TRIM(データ!G283)</f>
        <v>式</v>
      </c>
      <c r="G286" s="50">
        <f>データ!H283</f>
        <v>1</v>
      </c>
      <c r="H286" s="48">
        <f>データ!I283</f>
        <v>29400</v>
      </c>
      <c r="I286" s="48">
        <f>データ!J283</f>
        <v>29400</v>
      </c>
      <c r="J286" s="39" t="str">
        <f>IF(OR($C286="総括",$C286="内訳書",$C286="内訳代価",$C286="明細書",$C286="明細代価",$C286="代価表",$C286="単価表"),データ!K283,"")</f>
        <v/>
      </c>
      <c r="K286" s="11" t="str">
        <f t="shared" si="24"/>
        <v/>
      </c>
      <c r="L286" s="46">
        <f t="shared" si="25"/>
        <v>4.2330784847306811E-4</v>
      </c>
      <c r="M286" s="40" t="str">
        <f>IF(データ!L283="","",データ!L283)</f>
        <v/>
      </c>
      <c r="N286" s="41" t="str">
        <f>IF(データ!M283="","",データ!M283)</f>
        <v/>
      </c>
      <c r="O286" s="42">
        <f>データ!N283</f>
        <v>0</v>
      </c>
      <c r="P286" s="48">
        <f>IF($C286="集計行","",データ!O283)</f>
        <v>0</v>
      </c>
      <c r="Q286" s="48">
        <f>データ!P283</f>
        <v>0</v>
      </c>
      <c r="R286" s="39" t="str">
        <f>IF(OR($C286="総括",$C286="内訳書",$C286="内訳代価",$C286="明細書",$C286="明細代価",$C286="代価表",$C286="単価表"),データ!Q283,"")</f>
        <v/>
      </c>
      <c r="S286" s="11" t="str">
        <f t="shared" si="26"/>
        <v/>
      </c>
      <c r="T286" s="46" t="e">
        <f t="shared" si="27"/>
        <v>#DIV/0!</v>
      </c>
      <c r="U286" s="40" t="str">
        <f>IF(データ!R283="","",データ!R283)</f>
        <v/>
      </c>
      <c r="V286" s="41" t="str">
        <f>IF(データ!S283="","",データ!S283)</f>
        <v/>
      </c>
      <c r="W286" s="42">
        <f>データ!T283</f>
        <v>0</v>
      </c>
      <c r="X286" s="48">
        <f>IF($C286="集計行","",データ!U283)</f>
        <v>0</v>
      </c>
      <c r="Y286" s="48">
        <f>データ!V283</f>
        <v>0</v>
      </c>
      <c r="Z286" s="39" t="str">
        <f>IF(OR($C286="総括",$C286="内訳書",$C286="内訳代価",$C286="明細書",$C286="明細代価",$C286="代価表",$C286="単価表"),データ!W283,"")</f>
        <v/>
      </c>
      <c r="AA286" s="11" t="str">
        <f t="shared" si="28"/>
        <v/>
      </c>
      <c r="AB286" s="46" t="e">
        <f t="shared" si="29"/>
        <v>#DIV/0!</v>
      </c>
      <c r="AC286" s="40" t="str">
        <f>IF(データ!X283="","",データ!X283)</f>
        <v/>
      </c>
      <c r="AD286" s="41" t="str">
        <f>IF(データ!Y283="","",データ!Y283)</f>
        <v/>
      </c>
      <c r="AE286" s="47" t="str">
        <f>TRIM(データ!B283)</f>
        <v/>
      </c>
      <c r="AF286" s="43" t="str">
        <f>TRIM(データ!Z283)</f>
        <v/>
      </c>
    </row>
    <row r="287" spans="1:32" x14ac:dyDescent="0.15">
      <c r="A287" s="47">
        <f>データ!A284</f>
        <v>3</v>
      </c>
      <c r="B287" s="47" t="str">
        <f>TRIM(データ!C284)</f>
        <v/>
      </c>
      <c r="C287" s="47" t="str">
        <f>TRIM(データ!D284)</f>
        <v>外注費</v>
      </c>
      <c r="D287" s="36" t="str">
        <f>REPT("｜",$A287)&amp;TRIM(データ!E284)</f>
        <v>｜｜｜外注経費</v>
      </c>
      <c r="E287" s="37" t="str">
        <f>TRIM(データ!F284)</f>
        <v/>
      </c>
      <c r="F287" s="38" t="str">
        <f>TRIM(データ!G284)</f>
        <v>式</v>
      </c>
      <c r="G287" s="50">
        <f>データ!H284</f>
        <v>1</v>
      </c>
      <c r="H287" s="48">
        <f>データ!I284</f>
        <v>37800</v>
      </c>
      <c r="I287" s="48">
        <f>データ!J284</f>
        <v>37800</v>
      </c>
      <c r="J287" s="39" t="str">
        <f>IF(OR($C287="総括",$C287="内訳書",$C287="内訳代価",$C287="明細書",$C287="明細代価",$C287="代価表",$C287="単価表"),データ!K284,"")</f>
        <v/>
      </c>
      <c r="K287" s="11" t="str">
        <f t="shared" si="24"/>
        <v/>
      </c>
      <c r="L287" s="46">
        <f t="shared" si="25"/>
        <v>5.442529480368019E-4</v>
      </c>
      <c r="M287" s="40" t="str">
        <f>IF(データ!L284="","",データ!L284)</f>
        <v/>
      </c>
      <c r="N287" s="41" t="str">
        <f>IF(データ!M284="","",データ!M284)</f>
        <v/>
      </c>
      <c r="O287" s="42">
        <f>データ!N284</f>
        <v>0</v>
      </c>
      <c r="P287" s="48">
        <f>IF($C287="集計行","",データ!O284)</f>
        <v>0</v>
      </c>
      <c r="Q287" s="48">
        <f>データ!P284</f>
        <v>0</v>
      </c>
      <c r="R287" s="39" t="str">
        <f>IF(OR($C287="総括",$C287="内訳書",$C287="内訳代価",$C287="明細書",$C287="明細代価",$C287="代価表",$C287="単価表"),データ!Q284,"")</f>
        <v/>
      </c>
      <c r="S287" s="11" t="str">
        <f t="shared" si="26"/>
        <v/>
      </c>
      <c r="T287" s="46" t="e">
        <f t="shared" si="27"/>
        <v>#DIV/0!</v>
      </c>
      <c r="U287" s="40" t="str">
        <f>IF(データ!R284="","",データ!R284)</f>
        <v/>
      </c>
      <c r="V287" s="41" t="str">
        <f>IF(データ!S284="","",データ!S284)</f>
        <v/>
      </c>
      <c r="W287" s="42">
        <f>データ!T284</f>
        <v>0</v>
      </c>
      <c r="X287" s="48">
        <f>IF($C287="集計行","",データ!U284)</f>
        <v>0</v>
      </c>
      <c r="Y287" s="48">
        <f>データ!V284</f>
        <v>0</v>
      </c>
      <c r="Z287" s="39" t="str">
        <f>IF(OR($C287="総括",$C287="内訳書",$C287="内訳代価",$C287="明細書",$C287="明細代価",$C287="代価表",$C287="単価表"),データ!W284,"")</f>
        <v/>
      </c>
      <c r="AA287" s="11" t="str">
        <f t="shared" si="28"/>
        <v/>
      </c>
      <c r="AB287" s="46" t="e">
        <f t="shared" si="29"/>
        <v>#DIV/0!</v>
      </c>
      <c r="AC287" s="40" t="str">
        <f>IF(データ!X284="","",データ!X284)</f>
        <v/>
      </c>
      <c r="AD287" s="41" t="str">
        <f>IF(データ!Y284="","",データ!Y284)</f>
        <v/>
      </c>
      <c r="AE287" s="47" t="str">
        <f>TRIM(データ!B284)</f>
        <v/>
      </c>
      <c r="AF287" s="43" t="str">
        <f>TRIM(データ!Z284)</f>
        <v/>
      </c>
    </row>
    <row r="288" spans="1:32" x14ac:dyDescent="0.15">
      <c r="A288" s="47">
        <f>データ!A285</f>
        <v>2</v>
      </c>
      <c r="B288" s="47" t="str">
        <f>TRIM(データ!C285)</f>
        <v/>
      </c>
      <c r="C288" s="47" t="str">
        <f>TRIM(データ!D285)</f>
        <v>内訳書</v>
      </c>
      <c r="D288" s="36" t="str">
        <f>REPT("｜",$A288)&amp;TRIM(データ!E285)</f>
        <v>｜｜CSB150</v>
      </c>
      <c r="E288" s="37" t="str">
        <f>TRIM(データ!F285)</f>
        <v/>
      </c>
      <c r="F288" s="38" t="str">
        <f>TRIM(データ!G285)</f>
        <v>ｍ</v>
      </c>
      <c r="G288" s="50">
        <f>データ!H285</f>
        <v>9.3000000000000007</v>
      </c>
      <c r="H288" s="48">
        <f>データ!I285</f>
        <v>39600</v>
      </c>
      <c r="I288" s="48">
        <f>データ!J285</f>
        <v>368280</v>
      </c>
      <c r="J288" s="39">
        <f>IF(OR($C288="総括",$C288="内訳書",$C288="内訳代価",$C288="明細書",$C288="明細代価",$C288="代価表",$C288="単価表"),データ!K285,"")</f>
        <v>9.3000000000000007</v>
      </c>
      <c r="K288" s="11" t="str">
        <f t="shared" si="24"/>
        <v/>
      </c>
      <c r="L288" s="46">
        <f t="shared" si="25"/>
        <v>5.3025787223014128E-3</v>
      </c>
      <c r="M288" s="40" t="str">
        <f>IF(データ!L285="","",データ!L285)</f>
        <v/>
      </c>
      <c r="N288" s="41" t="str">
        <f>IF(データ!M285="","",データ!M285)</f>
        <v>45号内訳書</v>
      </c>
      <c r="O288" s="42">
        <f>データ!N285</f>
        <v>0</v>
      </c>
      <c r="P288" s="48">
        <f>IF($C288="集計行","",データ!O285)</f>
        <v>0</v>
      </c>
      <c r="Q288" s="48">
        <f>データ!P285</f>
        <v>0</v>
      </c>
      <c r="R288" s="39">
        <f>IF(OR($C288="総括",$C288="内訳書",$C288="内訳代価",$C288="明細書",$C288="明細代価",$C288="代価表",$C288="単価表"),データ!Q285,"")</f>
        <v>0</v>
      </c>
      <c r="S288" s="11" t="str">
        <f t="shared" si="26"/>
        <v/>
      </c>
      <c r="T288" s="46" t="e">
        <f t="shared" si="27"/>
        <v>#DIV/0!</v>
      </c>
      <c r="U288" s="40" t="str">
        <f>IF(データ!R285="","",データ!R285)</f>
        <v/>
      </c>
      <c r="V288" s="41" t="str">
        <f>IF(データ!S285="","",データ!S285)</f>
        <v/>
      </c>
      <c r="W288" s="42">
        <f>データ!T285</f>
        <v>0</v>
      </c>
      <c r="X288" s="48">
        <f>IF($C288="集計行","",データ!U285)</f>
        <v>0</v>
      </c>
      <c r="Y288" s="48">
        <f>データ!V285</f>
        <v>0</v>
      </c>
      <c r="Z288" s="39">
        <f>IF(OR($C288="総括",$C288="内訳書",$C288="内訳代価",$C288="明細書",$C288="明細代価",$C288="代価表",$C288="単価表"),データ!W285,"")</f>
        <v>0</v>
      </c>
      <c r="AA288" s="11" t="str">
        <f t="shared" si="28"/>
        <v/>
      </c>
      <c r="AB288" s="46" t="e">
        <f t="shared" si="29"/>
        <v>#DIV/0!</v>
      </c>
      <c r="AC288" s="40" t="str">
        <f>IF(データ!X285="","",データ!X285)</f>
        <v/>
      </c>
      <c r="AD288" s="41" t="str">
        <f>IF(データ!Y285="","",データ!Y285)</f>
        <v/>
      </c>
      <c r="AE288" s="47" t="str">
        <f>TRIM(データ!B285)</f>
        <v/>
      </c>
      <c r="AF288" s="43" t="str">
        <f>TRIM(データ!Z285)</f>
        <v/>
      </c>
    </row>
    <row r="289" spans="1:32" x14ac:dyDescent="0.15">
      <c r="A289" s="47">
        <f>データ!A286</f>
        <v>3</v>
      </c>
      <c r="B289" s="47" t="str">
        <f>TRIM(データ!C286)</f>
        <v/>
      </c>
      <c r="C289" s="47" t="str">
        <f>TRIM(データ!D286)</f>
        <v>材料費</v>
      </c>
      <c r="D289" s="36" t="str">
        <f>REPT("｜",$A289)&amp;TRIM(データ!E286)</f>
        <v>｜｜｜CSB150</v>
      </c>
      <c r="E289" s="37" t="str">
        <f>TRIM(データ!F286)</f>
        <v/>
      </c>
      <c r="F289" s="38" t="str">
        <f>TRIM(データ!G286)</f>
        <v>本</v>
      </c>
      <c r="G289" s="50">
        <f>データ!H286</f>
        <v>5</v>
      </c>
      <c r="H289" s="48">
        <f>データ!I286</f>
        <v>13900</v>
      </c>
      <c r="I289" s="48">
        <f>データ!J286</f>
        <v>69500</v>
      </c>
      <c r="J289" s="39" t="str">
        <f>IF(OR($C289="総括",$C289="内訳書",$C289="内訳代価",$C289="明細書",$C289="明細代価",$C289="代価表",$C289="単価表"),データ!K286,"")</f>
        <v/>
      </c>
      <c r="K289" s="11" t="str">
        <f t="shared" si="24"/>
        <v/>
      </c>
      <c r="L289" s="46">
        <f t="shared" si="25"/>
        <v>1.0006767166285113E-3</v>
      </c>
      <c r="M289" s="40" t="str">
        <f>IF(データ!L286="","",データ!L286)</f>
        <v/>
      </c>
      <c r="N289" s="41" t="str">
        <f>IF(データ!M286="","",データ!M286)</f>
        <v/>
      </c>
      <c r="O289" s="42">
        <f>データ!N286</f>
        <v>0</v>
      </c>
      <c r="P289" s="48">
        <f>IF($C289="集計行","",データ!O286)</f>
        <v>0</v>
      </c>
      <c r="Q289" s="48">
        <f>データ!P286</f>
        <v>0</v>
      </c>
      <c r="R289" s="39" t="str">
        <f>IF(OR($C289="総括",$C289="内訳書",$C289="内訳代価",$C289="明細書",$C289="明細代価",$C289="代価表",$C289="単価表"),データ!Q286,"")</f>
        <v/>
      </c>
      <c r="S289" s="11" t="str">
        <f t="shared" si="26"/>
        <v/>
      </c>
      <c r="T289" s="46" t="e">
        <f t="shared" si="27"/>
        <v>#DIV/0!</v>
      </c>
      <c r="U289" s="40" t="str">
        <f>IF(データ!R286="","",データ!R286)</f>
        <v/>
      </c>
      <c r="V289" s="41" t="str">
        <f>IF(データ!S286="","",データ!S286)</f>
        <v/>
      </c>
      <c r="W289" s="42">
        <f>データ!T286</f>
        <v>0</v>
      </c>
      <c r="X289" s="48">
        <f>IF($C289="集計行","",データ!U286)</f>
        <v>0</v>
      </c>
      <c r="Y289" s="48">
        <f>データ!V286</f>
        <v>0</v>
      </c>
      <c r="Z289" s="39" t="str">
        <f>IF(OR($C289="総括",$C289="内訳書",$C289="内訳代価",$C289="明細書",$C289="明細代価",$C289="代価表",$C289="単価表"),データ!W286,"")</f>
        <v/>
      </c>
      <c r="AA289" s="11" t="str">
        <f t="shared" si="28"/>
        <v/>
      </c>
      <c r="AB289" s="46" t="e">
        <f t="shared" si="29"/>
        <v>#DIV/0!</v>
      </c>
      <c r="AC289" s="40" t="str">
        <f>IF(データ!X286="","",データ!X286)</f>
        <v/>
      </c>
      <c r="AD289" s="41" t="str">
        <f>IF(データ!Y286="","",データ!Y286)</f>
        <v/>
      </c>
      <c r="AE289" s="47" t="str">
        <f>TRIM(データ!B286)</f>
        <v/>
      </c>
      <c r="AF289" s="43" t="str">
        <f>TRIM(データ!Z286)</f>
        <v/>
      </c>
    </row>
    <row r="290" spans="1:32" x14ac:dyDescent="0.15">
      <c r="A290" s="47">
        <f>データ!A287</f>
        <v>3</v>
      </c>
      <c r="B290" s="47" t="str">
        <f>TRIM(データ!C287)</f>
        <v/>
      </c>
      <c r="C290" s="47" t="str">
        <f>TRIM(データ!D287)</f>
        <v>材料費</v>
      </c>
      <c r="D290" s="36" t="str">
        <f>REPT("｜",$A290)&amp;TRIM(データ!E287)</f>
        <v>｜｜｜生コン</v>
      </c>
      <c r="E290" s="37" t="str">
        <f>TRIM(データ!F287)</f>
        <v/>
      </c>
      <c r="F290" s="38" t="str">
        <f>TRIM(データ!G287)</f>
        <v>m3</v>
      </c>
      <c r="G290" s="50">
        <f>データ!H287</f>
        <v>1</v>
      </c>
      <c r="H290" s="48">
        <f>データ!I287</f>
        <v>30000</v>
      </c>
      <c r="I290" s="48">
        <f>データ!J287</f>
        <v>30000</v>
      </c>
      <c r="J290" s="39" t="str">
        <f>IF(OR($C290="総括",$C290="内訳書",$C290="内訳代価",$C290="明細書",$C290="明細代価",$C290="代価表",$C290="単価表"),データ!K287,"")</f>
        <v/>
      </c>
      <c r="K290" s="11" t="str">
        <f t="shared" si="24"/>
        <v/>
      </c>
      <c r="L290" s="46">
        <f t="shared" si="25"/>
        <v>4.3194678415619197E-4</v>
      </c>
      <c r="M290" s="40" t="str">
        <f>IF(データ!L287="","",データ!L287)</f>
        <v/>
      </c>
      <c r="N290" s="41" t="str">
        <f>IF(データ!M287="","",データ!M287)</f>
        <v/>
      </c>
      <c r="O290" s="42">
        <f>データ!N287</f>
        <v>0</v>
      </c>
      <c r="P290" s="48">
        <f>IF($C290="集計行","",データ!O287)</f>
        <v>0</v>
      </c>
      <c r="Q290" s="48">
        <f>データ!P287</f>
        <v>0</v>
      </c>
      <c r="R290" s="39" t="str">
        <f>IF(OR($C290="総括",$C290="内訳書",$C290="内訳代価",$C290="明細書",$C290="明細代価",$C290="代価表",$C290="単価表"),データ!Q287,"")</f>
        <v/>
      </c>
      <c r="S290" s="11" t="str">
        <f t="shared" si="26"/>
        <v/>
      </c>
      <c r="T290" s="46" t="e">
        <f t="shared" si="27"/>
        <v>#DIV/0!</v>
      </c>
      <c r="U290" s="40" t="str">
        <f>IF(データ!R287="","",データ!R287)</f>
        <v/>
      </c>
      <c r="V290" s="41" t="str">
        <f>IF(データ!S287="","",データ!S287)</f>
        <v/>
      </c>
      <c r="W290" s="42">
        <f>データ!T287</f>
        <v>0</v>
      </c>
      <c r="X290" s="48">
        <f>IF($C290="集計行","",データ!U287)</f>
        <v>0</v>
      </c>
      <c r="Y290" s="48">
        <f>データ!V287</f>
        <v>0</v>
      </c>
      <c r="Z290" s="39" t="str">
        <f>IF(OR($C290="総括",$C290="内訳書",$C290="内訳代価",$C290="明細書",$C290="明細代価",$C290="代価表",$C290="単価表"),データ!W287,"")</f>
        <v/>
      </c>
      <c r="AA290" s="11" t="str">
        <f t="shared" si="28"/>
        <v/>
      </c>
      <c r="AB290" s="46" t="e">
        <f t="shared" si="29"/>
        <v>#DIV/0!</v>
      </c>
      <c r="AC290" s="40" t="str">
        <f>IF(データ!X287="","",データ!X287)</f>
        <v/>
      </c>
      <c r="AD290" s="41" t="str">
        <f>IF(データ!Y287="","",データ!Y287)</f>
        <v/>
      </c>
      <c r="AE290" s="47" t="str">
        <f>TRIM(データ!B287)</f>
        <v/>
      </c>
      <c r="AF290" s="43" t="str">
        <f>TRIM(データ!Z287)</f>
        <v/>
      </c>
    </row>
    <row r="291" spans="1:32" x14ac:dyDescent="0.15">
      <c r="A291" s="47">
        <f>データ!A288</f>
        <v>3</v>
      </c>
      <c r="B291" s="47" t="str">
        <f>TRIM(データ!C288)</f>
        <v/>
      </c>
      <c r="C291" s="47" t="str">
        <f>TRIM(データ!D288)</f>
        <v>労務費</v>
      </c>
      <c r="D291" s="36" t="str">
        <f>REPT("｜",$A291)&amp;TRIM(データ!E288)</f>
        <v>｜｜｜技工</v>
      </c>
      <c r="E291" s="37" t="str">
        <f>TRIM(データ!F288)</f>
        <v/>
      </c>
      <c r="F291" s="38" t="str">
        <f>TRIM(データ!G288)</f>
        <v>人</v>
      </c>
      <c r="G291" s="50">
        <f>データ!H288</f>
        <v>5</v>
      </c>
      <c r="H291" s="48">
        <f>データ!I288</f>
        <v>28000</v>
      </c>
      <c r="I291" s="48">
        <f>データ!J288</f>
        <v>140000</v>
      </c>
      <c r="J291" s="39" t="str">
        <f>IF(OR($C291="総括",$C291="内訳書",$C291="内訳代価",$C291="明細書",$C291="明細代価",$C291="代価表",$C291="単価表"),データ!K288,"")</f>
        <v/>
      </c>
      <c r="K291" s="11" t="str">
        <f t="shared" si="24"/>
        <v/>
      </c>
      <c r="L291" s="46">
        <f t="shared" si="25"/>
        <v>2.0157516593955625E-3</v>
      </c>
      <c r="M291" s="40" t="str">
        <f>IF(データ!L288="","",データ!L288)</f>
        <v/>
      </c>
      <c r="N291" s="41" t="str">
        <f>IF(データ!M288="","",データ!M288)</f>
        <v/>
      </c>
      <c r="O291" s="42">
        <f>データ!N288</f>
        <v>0</v>
      </c>
      <c r="P291" s="48">
        <f>IF($C291="集計行","",データ!O288)</f>
        <v>0</v>
      </c>
      <c r="Q291" s="48">
        <f>データ!P288</f>
        <v>0</v>
      </c>
      <c r="R291" s="39" t="str">
        <f>IF(OR($C291="総括",$C291="内訳書",$C291="内訳代価",$C291="明細書",$C291="明細代価",$C291="代価表",$C291="単価表"),データ!Q288,"")</f>
        <v/>
      </c>
      <c r="S291" s="11" t="str">
        <f t="shared" si="26"/>
        <v/>
      </c>
      <c r="T291" s="46" t="e">
        <f t="shared" si="27"/>
        <v>#DIV/0!</v>
      </c>
      <c r="U291" s="40" t="str">
        <f>IF(データ!R288="","",データ!R288)</f>
        <v/>
      </c>
      <c r="V291" s="41" t="str">
        <f>IF(データ!S288="","",データ!S288)</f>
        <v/>
      </c>
      <c r="W291" s="42">
        <f>データ!T288</f>
        <v>0</v>
      </c>
      <c r="X291" s="48">
        <f>IF($C291="集計行","",データ!U288)</f>
        <v>0</v>
      </c>
      <c r="Y291" s="48">
        <f>データ!V288</f>
        <v>0</v>
      </c>
      <c r="Z291" s="39" t="str">
        <f>IF(OR($C291="総括",$C291="内訳書",$C291="内訳代価",$C291="明細書",$C291="明細代価",$C291="代価表",$C291="単価表"),データ!W288,"")</f>
        <v/>
      </c>
      <c r="AA291" s="11" t="str">
        <f t="shared" si="28"/>
        <v/>
      </c>
      <c r="AB291" s="46" t="e">
        <f t="shared" si="29"/>
        <v>#DIV/0!</v>
      </c>
      <c r="AC291" s="40" t="str">
        <f>IF(データ!X288="","",データ!X288)</f>
        <v/>
      </c>
      <c r="AD291" s="41" t="str">
        <f>IF(データ!Y288="","",データ!Y288)</f>
        <v/>
      </c>
      <c r="AE291" s="47" t="str">
        <f>TRIM(データ!B288)</f>
        <v/>
      </c>
      <c r="AF291" s="43" t="str">
        <f>TRIM(データ!Z288)</f>
        <v/>
      </c>
    </row>
    <row r="292" spans="1:32" x14ac:dyDescent="0.15">
      <c r="A292" s="47">
        <f>データ!A289</f>
        <v>3</v>
      </c>
      <c r="B292" s="47" t="str">
        <f>TRIM(データ!C289)</f>
        <v/>
      </c>
      <c r="C292" s="47" t="str">
        <f>TRIM(データ!D289)</f>
        <v>機械費</v>
      </c>
      <c r="D292" s="36" t="str">
        <f>REPT("｜",$A292)&amp;TRIM(データ!E289)</f>
        <v>｜｜｜BH0.15</v>
      </c>
      <c r="E292" s="37" t="str">
        <f>TRIM(データ!F289)</f>
        <v/>
      </c>
      <c r="F292" s="38" t="str">
        <f>TRIM(データ!G289)</f>
        <v>台</v>
      </c>
      <c r="G292" s="50">
        <f>データ!H289</f>
        <v>1</v>
      </c>
      <c r="H292" s="48">
        <f>データ!I289</f>
        <v>8000</v>
      </c>
      <c r="I292" s="48">
        <f>データ!J289</f>
        <v>8000</v>
      </c>
      <c r="J292" s="39" t="str">
        <f>IF(OR($C292="総括",$C292="内訳書",$C292="内訳代価",$C292="明細書",$C292="明細代価",$C292="代価表",$C292="単価表"),データ!K289,"")</f>
        <v/>
      </c>
      <c r="K292" s="11" t="str">
        <f t="shared" si="24"/>
        <v/>
      </c>
      <c r="L292" s="46">
        <f t="shared" si="25"/>
        <v>1.1518580910831785E-4</v>
      </c>
      <c r="M292" s="40" t="str">
        <f>IF(データ!L289="","",データ!L289)</f>
        <v/>
      </c>
      <c r="N292" s="41" t="str">
        <f>IF(データ!M289="","",データ!M289)</f>
        <v/>
      </c>
      <c r="O292" s="42">
        <f>データ!N289</f>
        <v>0</v>
      </c>
      <c r="P292" s="48">
        <f>IF($C292="集計行","",データ!O289)</f>
        <v>0</v>
      </c>
      <c r="Q292" s="48">
        <f>データ!P289</f>
        <v>0</v>
      </c>
      <c r="R292" s="39" t="str">
        <f>IF(OR($C292="総括",$C292="内訳書",$C292="内訳代価",$C292="明細書",$C292="明細代価",$C292="代価表",$C292="単価表"),データ!Q289,"")</f>
        <v/>
      </c>
      <c r="S292" s="11" t="str">
        <f t="shared" si="26"/>
        <v/>
      </c>
      <c r="T292" s="46" t="e">
        <f t="shared" si="27"/>
        <v>#DIV/0!</v>
      </c>
      <c r="U292" s="40" t="str">
        <f>IF(データ!R289="","",データ!R289)</f>
        <v/>
      </c>
      <c r="V292" s="41" t="str">
        <f>IF(データ!S289="","",データ!S289)</f>
        <v/>
      </c>
      <c r="W292" s="42">
        <f>データ!T289</f>
        <v>0</v>
      </c>
      <c r="X292" s="48">
        <f>IF($C292="集計行","",データ!U289)</f>
        <v>0</v>
      </c>
      <c r="Y292" s="48">
        <f>データ!V289</f>
        <v>0</v>
      </c>
      <c r="Z292" s="39" t="str">
        <f>IF(OR($C292="総括",$C292="内訳書",$C292="内訳代価",$C292="明細書",$C292="明細代価",$C292="代価表",$C292="単価表"),データ!W289,"")</f>
        <v/>
      </c>
      <c r="AA292" s="11" t="str">
        <f t="shared" si="28"/>
        <v/>
      </c>
      <c r="AB292" s="46" t="e">
        <f t="shared" si="29"/>
        <v>#DIV/0!</v>
      </c>
      <c r="AC292" s="40" t="str">
        <f>IF(データ!X289="","",データ!X289)</f>
        <v/>
      </c>
      <c r="AD292" s="41" t="str">
        <f>IF(データ!Y289="","",データ!Y289)</f>
        <v/>
      </c>
      <c r="AE292" s="47" t="str">
        <f>TRIM(データ!B289)</f>
        <v/>
      </c>
      <c r="AF292" s="43" t="str">
        <f>TRIM(データ!Z289)</f>
        <v/>
      </c>
    </row>
    <row r="293" spans="1:32" x14ac:dyDescent="0.15">
      <c r="A293" s="47">
        <f>データ!A290</f>
        <v>3</v>
      </c>
      <c r="B293" s="47" t="str">
        <f>TRIM(データ!C290)</f>
        <v/>
      </c>
      <c r="C293" s="47" t="str">
        <f>TRIM(データ!D290)</f>
        <v>機械費</v>
      </c>
      <c r="D293" s="36" t="str">
        <f>REPT("｜",$A293)&amp;TRIM(データ!E290)</f>
        <v>｜｜｜プレート</v>
      </c>
      <c r="E293" s="37" t="str">
        <f>TRIM(データ!F290)</f>
        <v/>
      </c>
      <c r="F293" s="38" t="str">
        <f>TRIM(データ!G290)</f>
        <v>台</v>
      </c>
      <c r="G293" s="50">
        <f>データ!H290</f>
        <v>1</v>
      </c>
      <c r="H293" s="48">
        <f>データ!I290</f>
        <v>1500</v>
      </c>
      <c r="I293" s="48">
        <f>データ!J290</f>
        <v>1500</v>
      </c>
      <c r="J293" s="39" t="str">
        <f>IF(OR($C293="総括",$C293="内訳書",$C293="内訳代価",$C293="明細書",$C293="明細代価",$C293="代価表",$C293="単価表"),データ!K290,"")</f>
        <v/>
      </c>
      <c r="K293" s="11" t="str">
        <f t="shared" si="24"/>
        <v/>
      </c>
      <c r="L293" s="46">
        <f t="shared" si="25"/>
        <v>2.1597339207809597E-5</v>
      </c>
      <c r="M293" s="40" t="str">
        <f>IF(データ!L290="","",データ!L290)</f>
        <v/>
      </c>
      <c r="N293" s="41" t="str">
        <f>IF(データ!M290="","",データ!M290)</f>
        <v/>
      </c>
      <c r="O293" s="42">
        <f>データ!N290</f>
        <v>0</v>
      </c>
      <c r="P293" s="48">
        <f>IF($C293="集計行","",データ!O290)</f>
        <v>0</v>
      </c>
      <c r="Q293" s="48">
        <f>データ!P290</f>
        <v>0</v>
      </c>
      <c r="R293" s="39" t="str">
        <f>IF(OR($C293="総括",$C293="内訳書",$C293="内訳代価",$C293="明細書",$C293="明細代価",$C293="代価表",$C293="単価表"),データ!Q290,"")</f>
        <v/>
      </c>
      <c r="S293" s="11" t="str">
        <f t="shared" si="26"/>
        <v/>
      </c>
      <c r="T293" s="46" t="e">
        <f t="shared" si="27"/>
        <v>#DIV/0!</v>
      </c>
      <c r="U293" s="40" t="str">
        <f>IF(データ!R290="","",データ!R290)</f>
        <v/>
      </c>
      <c r="V293" s="41" t="str">
        <f>IF(データ!S290="","",データ!S290)</f>
        <v/>
      </c>
      <c r="W293" s="42">
        <f>データ!T290</f>
        <v>0</v>
      </c>
      <c r="X293" s="48">
        <f>IF($C293="集計行","",データ!U290)</f>
        <v>0</v>
      </c>
      <c r="Y293" s="48">
        <f>データ!V290</f>
        <v>0</v>
      </c>
      <c r="Z293" s="39" t="str">
        <f>IF(OR($C293="総括",$C293="内訳書",$C293="内訳代価",$C293="明細書",$C293="明細代価",$C293="代価表",$C293="単価表"),データ!W290,"")</f>
        <v/>
      </c>
      <c r="AA293" s="11" t="str">
        <f t="shared" si="28"/>
        <v/>
      </c>
      <c r="AB293" s="46" t="e">
        <f t="shared" si="29"/>
        <v>#DIV/0!</v>
      </c>
      <c r="AC293" s="40" t="str">
        <f>IF(データ!X290="","",データ!X290)</f>
        <v/>
      </c>
      <c r="AD293" s="41" t="str">
        <f>IF(データ!Y290="","",データ!Y290)</f>
        <v/>
      </c>
      <c r="AE293" s="47" t="str">
        <f>TRIM(データ!B290)</f>
        <v/>
      </c>
      <c r="AF293" s="43" t="str">
        <f>TRIM(データ!Z290)</f>
        <v/>
      </c>
    </row>
    <row r="294" spans="1:32" x14ac:dyDescent="0.15">
      <c r="A294" s="47">
        <f>データ!A291</f>
        <v>3</v>
      </c>
      <c r="B294" s="47" t="str">
        <f>TRIM(データ!C291)</f>
        <v/>
      </c>
      <c r="C294" s="47" t="str">
        <f>TRIM(データ!D291)</f>
        <v>機械費</v>
      </c>
      <c r="D294" s="36" t="str">
        <f>REPT("｜",$A294)&amp;TRIM(データ!E291)</f>
        <v>｜｜｜ランマー</v>
      </c>
      <c r="E294" s="37" t="str">
        <f>TRIM(データ!F291)</f>
        <v/>
      </c>
      <c r="F294" s="38" t="str">
        <f>TRIM(データ!G291)</f>
        <v>台</v>
      </c>
      <c r="G294" s="50">
        <f>データ!H291</f>
        <v>1</v>
      </c>
      <c r="H294" s="48">
        <f>データ!I291</f>
        <v>1500</v>
      </c>
      <c r="I294" s="48">
        <f>データ!J291</f>
        <v>1500</v>
      </c>
      <c r="J294" s="39" t="str">
        <f>IF(OR($C294="総括",$C294="内訳書",$C294="内訳代価",$C294="明細書",$C294="明細代価",$C294="代価表",$C294="単価表"),データ!K291,"")</f>
        <v/>
      </c>
      <c r="K294" s="11" t="str">
        <f t="shared" si="24"/>
        <v/>
      </c>
      <c r="L294" s="46">
        <f t="shared" si="25"/>
        <v>2.1597339207809597E-5</v>
      </c>
      <c r="M294" s="40" t="str">
        <f>IF(データ!L291="","",データ!L291)</f>
        <v/>
      </c>
      <c r="N294" s="41" t="str">
        <f>IF(データ!M291="","",データ!M291)</f>
        <v/>
      </c>
      <c r="O294" s="42">
        <f>データ!N291</f>
        <v>0</v>
      </c>
      <c r="P294" s="48">
        <f>IF($C294="集計行","",データ!O291)</f>
        <v>0</v>
      </c>
      <c r="Q294" s="48">
        <f>データ!P291</f>
        <v>0</v>
      </c>
      <c r="R294" s="39" t="str">
        <f>IF(OR($C294="総括",$C294="内訳書",$C294="内訳代価",$C294="明細書",$C294="明細代価",$C294="代価表",$C294="単価表"),データ!Q291,"")</f>
        <v/>
      </c>
      <c r="S294" s="11" t="str">
        <f t="shared" si="26"/>
        <v/>
      </c>
      <c r="T294" s="46" t="e">
        <f t="shared" si="27"/>
        <v>#DIV/0!</v>
      </c>
      <c r="U294" s="40" t="str">
        <f>IF(データ!R291="","",データ!R291)</f>
        <v/>
      </c>
      <c r="V294" s="41" t="str">
        <f>IF(データ!S291="","",データ!S291)</f>
        <v/>
      </c>
      <c r="W294" s="42">
        <f>データ!T291</f>
        <v>0</v>
      </c>
      <c r="X294" s="48">
        <f>IF($C294="集計行","",データ!U291)</f>
        <v>0</v>
      </c>
      <c r="Y294" s="48">
        <f>データ!V291</f>
        <v>0</v>
      </c>
      <c r="Z294" s="39" t="str">
        <f>IF(OR($C294="総括",$C294="内訳書",$C294="内訳代価",$C294="明細書",$C294="明細代価",$C294="代価表",$C294="単価表"),データ!W291,"")</f>
        <v/>
      </c>
      <c r="AA294" s="11" t="str">
        <f t="shared" si="28"/>
        <v/>
      </c>
      <c r="AB294" s="46" t="e">
        <f t="shared" si="29"/>
        <v>#DIV/0!</v>
      </c>
      <c r="AC294" s="40" t="str">
        <f>IF(データ!X291="","",データ!X291)</f>
        <v/>
      </c>
      <c r="AD294" s="41" t="str">
        <f>IF(データ!Y291="","",データ!Y291)</f>
        <v/>
      </c>
      <c r="AE294" s="47" t="str">
        <f>TRIM(データ!B291)</f>
        <v/>
      </c>
      <c r="AF294" s="43" t="str">
        <f>TRIM(データ!Z291)</f>
        <v/>
      </c>
    </row>
    <row r="295" spans="1:32" x14ac:dyDescent="0.15">
      <c r="A295" s="47">
        <f>データ!A292</f>
        <v>3</v>
      </c>
      <c r="B295" s="47" t="str">
        <f>TRIM(データ!C292)</f>
        <v/>
      </c>
      <c r="C295" s="47" t="str">
        <f>TRIM(データ!D292)</f>
        <v>運搬費</v>
      </c>
      <c r="D295" s="36" t="str">
        <f>REPT("｜",$A295)&amp;TRIM(データ!E292)</f>
        <v>｜｜｜4tダンプ</v>
      </c>
      <c r="E295" s="37" t="str">
        <f>TRIM(データ!F292)</f>
        <v/>
      </c>
      <c r="F295" s="38" t="str">
        <f>TRIM(データ!G292)</f>
        <v>台</v>
      </c>
      <c r="G295" s="50">
        <f>データ!H292</f>
        <v>1</v>
      </c>
      <c r="H295" s="48">
        <f>データ!I292</f>
        <v>10000</v>
      </c>
      <c r="I295" s="48">
        <f>データ!J292</f>
        <v>10000</v>
      </c>
      <c r="J295" s="39" t="str">
        <f>IF(OR($C295="総括",$C295="内訳書",$C295="内訳代価",$C295="明細書",$C295="明細代価",$C295="代価表",$C295="単価表"),データ!K292,"")</f>
        <v/>
      </c>
      <c r="K295" s="11" t="str">
        <f t="shared" si="24"/>
        <v/>
      </c>
      <c r="L295" s="46">
        <f t="shared" si="25"/>
        <v>1.4398226138539731E-4</v>
      </c>
      <c r="M295" s="40" t="str">
        <f>IF(データ!L292="","",データ!L292)</f>
        <v/>
      </c>
      <c r="N295" s="41" t="str">
        <f>IF(データ!M292="","",データ!M292)</f>
        <v/>
      </c>
      <c r="O295" s="42">
        <f>データ!N292</f>
        <v>0</v>
      </c>
      <c r="P295" s="48">
        <f>IF($C295="集計行","",データ!O292)</f>
        <v>0</v>
      </c>
      <c r="Q295" s="48">
        <f>データ!P292</f>
        <v>0</v>
      </c>
      <c r="R295" s="39" t="str">
        <f>IF(OR($C295="総括",$C295="内訳書",$C295="内訳代価",$C295="明細書",$C295="明細代価",$C295="代価表",$C295="単価表"),データ!Q292,"")</f>
        <v/>
      </c>
      <c r="S295" s="11" t="str">
        <f t="shared" si="26"/>
        <v/>
      </c>
      <c r="T295" s="46" t="e">
        <f t="shared" si="27"/>
        <v>#DIV/0!</v>
      </c>
      <c r="U295" s="40" t="str">
        <f>IF(データ!R292="","",データ!R292)</f>
        <v/>
      </c>
      <c r="V295" s="41" t="str">
        <f>IF(データ!S292="","",データ!S292)</f>
        <v/>
      </c>
      <c r="W295" s="42">
        <f>データ!T292</f>
        <v>0</v>
      </c>
      <c r="X295" s="48">
        <f>IF($C295="集計行","",データ!U292)</f>
        <v>0</v>
      </c>
      <c r="Y295" s="48">
        <f>データ!V292</f>
        <v>0</v>
      </c>
      <c r="Z295" s="39" t="str">
        <f>IF(OR($C295="総括",$C295="内訳書",$C295="内訳代価",$C295="明細書",$C295="明細代価",$C295="代価表",$C295="単価表"),データ!W292,"")</f>
        <v/>
      </c>
      <c r="AA295" s="11" t="str">
        <f t="shared" si="28"/>
        <v/>
      </c>
      <c r="AB295" s="46" t="e">
        <f t="shared" si="29"/>
        <v>#DIV/0!</v>
      </c>
      <c r="AC295" s="40" t="str">
        <f>IF(データ!X292="","",データ!X292)</f>
        <v/>
      </c>
      <c r="AD295" s="41" t="str">
        <f>IF(データ!Y292="","",データ!Y292)</f>
        <v/>
      </c>
      <c r="AE295" s="47" t="str">
        <f>TRIM(データ!B292)</f>
        <v/>
      </c>
      <c r="AF295" s="43" t="str">
        <f>TRIM(データ!Z292)</f>
        <v/>
      </c>
    </row>
    <row r="296" spans="1:32" x14ac:dyDescent="0.15">
      <c r="A296" s="47">
        <f>データ!A293</f>
        <v>3</v>
      </c>
      <c r="B296" s="47" t="str">
        <f>TRIM(データ!C293)</f>
        <v/>
      </c>
      <c r="C296" s="47" t="str">
        <f>TRIM(データ!D293)</f>
        <v>運搬費</v>
      </c>
      <c r="D296" s="36" t="str">
        <f>REPT("｜",$A296)&amp;TRIM(データ!E293)</f>
        <v>｜｜｜2tダンプ</v>
      </c>
      <c r="E296" s="37" t="str">
        <f>TRIM(データ!F293)</f>
        <v/>
      </c>
      <c r="F296" s="38" t="str">
        <f>TRIM(データ!G293)</f>
        <v>台</v>
      </c>
      <c r="G296" s="50">
        <f>データ!H293</f>
        <v>1</v>
      </c>
      <c r="H296" s="48">
        <f>データ!I293</f>
        <v>7000</v>
      </c>
      <c r="I296" s="48">
        <f>データ!J293</f>
        <v>7000</v>
      </c>
      <c r="J296" s="39" t="str">
        <f>IF(OR($C296="総括",$C296="内訳書",$C296="内訳代価",$C296="明細書",$C296="明細代価",$C296="代価表",$C296="単価表"),データ!K293,"")</f>
        <v/>
      </c>
      <c r="K296" s="11" t="str">
        <f t="shared" si="24"/>
        <v/>
      </c>
      <c r="L296" s="46">
        <f t="shared" si="25"/>
        <v>1.0078758296977812E-4</v>
      </c>
      <c r="M296" s="40" t="str">
        <f>IF(データ!L293="","",データ!L293)</f>
        <v/>
      </c>
      <c r="N296" s="41" t="str">
        <f>IF(データ!M293="","",データ!M293)</f>
        <v/>
      </c>
      <c r="O296" s="42">
        <f>データ!N293</f>
        <v>0</v>
      </c>
      <c r="P296" s="48">
        <f>IF($C296="集計行","",データ!O293)</f>
        <v>0</v>
      </c>
      <c r="Q296" s="48">
        <f>データ!P293</f>
        <v>0</v>
      </c>
      <c r="R296" s="39" t="str">
        <f>IF(OR($C296="総括",$C296="内訳書",$C296="内訳代価",$C296="明細書",$C296="明細代価",$C296="代価表",$C296="単価表"),データ!Q293,"")</f>
        <v/>
      </c>
      <c r="S296" s="11" t="str">
        <f t="shared" si="26"/>
        <v/>
      </c>
      <c r="T296" s="46" t="e">
        <f t="shared" si="27"/>
        <v>#DIV/0!</v>
      </c>
      <c r="U296" s="40" t="str">
        <f>IF(データ!R293="","",データ!R293)</f>
        <v/>
      </c>
      <c r="V296" s="41" t="str">
        <f>IF(データ!S293="","",データ!S293)</f>
        <v/>
      </c>
      <c r="W296" s="42">
        <f>データ!T293</f>
        <v>0</v>
      </c>
      <c r="X296" s="48">
        <f>IF($C296="集計行","",データ!U293)</f>
        <v>0</v>
      </c>
      <c r="Y296" s="48">
        <f>データ!V293</f>
        <v>0</v>
      </c>
      <c r="Z296" s="39" t="str">
        <f>IF(OR($C296="総括",$C296="内訳書",$C296="内訳代価",$C296="明細書",$C296="明細代価",$C296="代価表",$C296="単価表"),データ!W293,"")</f>
        <v/>
      </c>
      <c r="AA296" s="11" t="str">
        <f t="shared" si="28"/>
        <v/>
      </c>
      <c r="AB296" s="46" t="e">
        <f t="shared" si="29"/>
        <v>#DIV/0!</v>
      </c>
      <c r="AC296" s="40" t="str">
        <f>IF(データ!X293="","",データ!X293)</f>
        <v/>
      </c>
      <c r="AD296" s="41" t="str">
        <f>IF(データ!Y293="","",データ!Y293)</f>
        <v/>
      </c>
      <c r="AE296" s="47" t="str">
        <f>TRIM(データ!B293)</f>
        <v/>
      </c>
      <c r="AF296" s="43" t="str">
        <f>TRIM(データ!Z293)</f>
        <v/>
      </c>
    </row>
    <row r="297" spans="1:32" x14ac:dyDescent="0.15">
      <c r="A297" s="47">
        <f>データ!A294</f>
        <v>3</v>
      </c>
      <c r="B297" s="47" t="str">
        <f>TRIM(データ!C294)</f>
        <v/>
      </c>
      <c r="C297" s="47" t="str">
        <f>TRIM(データ!D294)</f>
        <v>材料費</v>
      </c>
      <c r="D297" s="36" t="str">
        <f>REPT("｜",$A297)&amp;TRIM(データ!E294)</f>
        <v>｜｜｜軽油</v>
      </c>
      <c r="E297" s="37" t="str">
        <f>TRIM(データ!F294)</f>
        <v/>
      </c>
      <c r="F297" s="38" t="str">
        <f>TRIM(データ!G294)</f>
        <v>リットル</v>
      </c>
      <c r="G297" s="50">
        <f>データ!H294</f>
        <v>40</v>
      </c>
      <c r="H297" s="48">
        <f>データ!I294</f>
        <v>150</v>
      </c>
      <c r="I297" s="48">
        <f>データ!J294</f>
        <v>6000</v>
      </c>
      <c r="J297" s="39" t="str">
        <f>IF(OR($C297="総括",$C297="内訳書",$C297="内訳代価",$C297="明細書",$C297="明細代価",$C297="代価表",$C297="単価表"),データ!K294,"")</f>
        <v/>
      </c>
      <c r="K297" s="11" t="str">
        <f t="shared" si="24"/>
        <v/>
      </c>
      <c r="L297" s="46">
        <f t="shared" si="25"/>
        <v>8.6389356831238388E-5</v>
      </c>
      <c r="M297" s="40" t="str">
        <f>IF(データ!L294="","",データ!L294)</f>
        <v/>
      </c>
      <c r="N297" s="41" t="str">
        <f>IF(データ!M294="","",データ!M294)</f>
        <v/>
      </c>
      <c r="O297" s="42">
        <f>データ!N294</f>
        <v>0</v>
      </c>
      <c r="P297" s="48">
        <f>IF($C297="集計行","",データ!O294)</f>
        <v>0</v>
      </c>
      <c r="Q297" s="48">
        <f>データ!P294</f>
        <v>0</v>
      </c>
      <c r="R297" s="39" t="str">
        <f>IF(OR($C297="総括",$C297="内訳書",$C297="内訳代価",$C297="明細書",$C297="明細代価",$C297="代価表",$C297="単価表"),データ!Q294,"")</f>
        <v/>
      </c>
      <c r="S297" s="11" t="str">
        <f t="shared" si="26"/>
        <v/>
      </c>
      <c r="T297" s="46" t="e">
        <f t="shared" si="27"/>
        <v>#DIV/0!</v>
      </c>
      <c r="U297" s="40" t="str">
        <f>IF(データ!R294="","",データ!R294)</f>
        <v/>
      </c>
      <c r="V297" s="41" t="str">
        <f>IF(データ!S294="","",データ!S294)</f>
        <v/>
      </c>
      <c r="W297" s="42">
        <f>データ!T294</f>
        <v>0</v>
      </c>
      <c r="X297" s="48">
        <f>IF($C297="集計行","",データ!U294)</f>
        <v>0</v>
      </c>
      <c r="Y297" s="48">
        <f>データ!V294</f>
        <v>0</v>
      </c>
      <c r="Z297" s="39" t="str">
        <f>IF(OR($C297="総括",$C297="内訳書",$C297="内訳代価",$C297="明細書",$C297="明細代価",$C297="代価表",$C297="単価表"),データ!W294,"")</f>
        <v/>
      </c>
      <c r="AA297" s="11" t="str">
        <f t="shared" si="28"/>
        <v/>
      </c>
      <c r="AB297" s="46" t="e">
        <f t="shared" si="29"/>
        <v>#DIV/0!</v>
      </c>
      <c r="AC297" s="40" t="str">
        <f>IF(データ!X294="","",データ!X294)</f>
        <v/>
      </c>
      <c r="AD297" s="41" t="str">
        <f>IF(データ!Y294="","",データ!Y294)</f>
        <v/>
      </c>
      <c r="AE297" s="47" t="str">
        <f>TRIM(データ!B294)</f>
        <v/>
      </c>
      <c r="AF297" s="43" t="str">
        <f>TRIM(データ!Z294)</f>
        <v/>
      </c>
    </row>
    <row r="298" spans="1:32" x14ac:dyDescent="0.15">
      <c r="A298" s="47">
        <f>データ!A295</f>
        <v>3</v>
      </c>
      <c r="B298" s="47" t="str">
        <f>TRIM(データ!C295)</f>
        <v/>
      </c>
      <c r="C298" s="47" t="str">
        <f>TRIM(データ!D295)</f>
        <v>材料費</v>
      </c>
      <c r="D298" s="36" t="str">
        <f>REPT("｜",$A298)&amp;TRIM(データ!E295)</f>
        <v>｜｜｜ガソリン</v>
      </c>
      <c r="E298" s="37" t="str">
        <f>TRIM(データ!F295)</f>
        <v/>
      </c>
      <c r="F298" s="38" t="str">
        <f>TRIM(データ!G295)</f>
        <v>リットル</v>
      </c>
      <c r="G298" s="50">
        <f>データ!H295</f>
        <v>40</v>
      </c>
      <c r="H298" s="48">
        <f>データ!I295</f>
        <v>200</v>
      </c>
      <c r="I298" s="48">
        <f>データ!J295</f>
        <v>8000</v>
      </c>
      <c r="J298" s="39" t="str">
        <f>IF(OR($C298="総括",$C298="内訳書",$C298="内訳代価",$C298="明細書",$C298="明細代価",$C298="代価表",$C298="単価表"),データ!K295,"")</f>
        <v/>
      </c>
      <c r="K298" s="11" t="str">
        <f t="shared" si="24"/>
        <v/>
      </c>
      <c r="L298" s="46">
        <f t="shared" si="25"/>
        <v>1.1518580910831785E-4</v>
      </c>
      <c r="M298" s="40" t="str">
        <f>IF(データ!L295="","",データ!L295)</f>
        <v/>
      </c>
      <c r="N298" s="41" t="str">
        <f>IF(データ!M295="","",データ!M295)</f>
        <v/>
      </c>
      <c r="O298" s="42">
        <f>データ!N295</f>
        <v>0</v>
      </c>
      <c r="P298" s="48">
        <f>IF($C298="集計行","",データ!O295)</f>
        <v>0</v>
      </c>
      <c r="Q298" s="48">
        <f>データ!P295</f>
        <v>0</v>
      </c>
      <c r="R298" s="39" t="str">
        <f>IF(OR($C298="総括",$C298="内訳書",$C298="内訳代価",$C298="明細書",$C298="明細代価",$C298="代価表",$C298="単価表"),データ!Q295,"")</f>
        <v/>
      </c>
      <c r="S298" s="11" t="str">
        <f t="shared" si="26"/>
        <v/>
      </c>
      <c r="T298" s="46" t="e">
        <f t="shared" si="27"/>
        <v>#DIV/0!</v>
      </c>
      <c r="U298" s="40" t="str">
        <f>IF(データ!R295="","",データ!R295)</f>
        <v/>
      </c>
      <c r="V298" s="41" t="str">
        <f>IF(データ!S295="","",データ!S295)</f>
        <v/>
      </c>
      <c r="W298" s="42">
        <f>データ!T295</f>
        <v>0</v>
      </c>
      <c r="X298" s="48">
        <f>IF($C298="集計行","",データ!U295)</f>
        <v>0</v>
      </c>
      <c r="Y298" s="48">
        <f>データ!V295</f>
        <v>0</v>
      </c>
      <c r="Z298" s="39" t="str">
        <f>IF(OR($C298="総括",$C298="内訳書",$C298="内訳代価",$C298="明細書",$C298="明細代価",$C298="代価表",$C298="単価表"),データ!W295,"")</f>
        <v/>
      </c>
      <c r="AA298" s="11" t="str">
        <f t="shared" si="28"/>
        <v/>
      </c>
      <c r="AB298" s="46" t="e">
        <f t="shared" si="29"/>
        <v>#DIV/0!</v>
      </c>
      <c r="AC298" s="40" t="str">
        <f>IF(データ!X295="","",データ!X295)</f>
        <v/>
      </c>
      <c r="AD298" s="41" t="str">
        <f>IF(データ!Y295="","",データ!Y295)</f>
        <v/>
      </c>
      <c r="AE298" s="47" t="str">
        <f>TRIM(データ!B295)</f>
        <v/>
      </c>
      <c r="AF298" s="43" t="str">
        <f>TRIM(データ!Z295)</f>
        <v/>
      </c>
    </row>
    <row r="299" spans="1:32" x14ac:dyDescent="0.15">
      <c r="A299" s="47">
        <f>データ!A296</f>
        <v>3</v>
      </c>
      <c r="B299" s="47" t="str">
        <f>TRIM(データ!C296)</f>
        <v/>
      </c>
      <c r="C299" s="47" t="str">
        <f>TRIM(データ!D296)</f>
        <v>材料費</v>
      </c>
      <c r="D299" s="36" t="str">
        <f>REPT("｜",$A299)&amp;TRIM(データ!E296)</f>
        <v>｜｜｜雑材</v>
      </c>
      <c r="E299" s="37" t="str">
        <f>TRIM(データ!F296)</f>
        <v/>
      </c>
      <c r="F299" s="38" t="str">
        <f>TRIM(データ!G296)</f>
        <v>式</v>
      </c>
      <c r="G299" s="50">
        <f>データ!H296</f>
        <v>1</v>
      </c>
      <c r="H299" s="48">
        <f>データ!I296</f>
        <v>68580</v>
      </c>
      <c r="I299" s="48">
        <f>データ!J296</f>
        <v>68580</v>
      </c>
      <c r="J299" s="39" t="str">
        <f>IF(OR($C299="総括",$C299="内訳書",$C299="内訳代価",$C299="明細書",$C299="明細代価",$C299="代価表",$C299="単価表"),データ!K296,"")</f>
        <v/>
      </c>
      <c r="K299" s="11" t="str">
        <f t="shared" si="24"/>
        <v/>
      </c>
      <c r="L299" s="46">
        <f t="shared" si="25"/>
        <v>9.8743034858105472E-4</v>
      </c>
      <c r="M299" s="40" t="str">
        <f>IF(データ!L296="","",データ!L296)</f>
        <v/>
      </c>
      <c r="N299" s="41" t="str">
        <f>IF(データ!M296="","",データ!M296)</f>
        <v/>
      </c>
      <c r="O299" s="42">
        <f>データ!N296</f>
        <v>0</v>
      </c>
      <c r="P299" s="48">
        <f>IF($C299="集計行","",データ!O296)</f>
        <v>0</v>
      </c>
      <c r="Q299" s="48">
        <f>データ!P296</f>
        <v>0</v>
      </c>
      <c r="R299" s="39" t="str">
        <f>IF(OR($C299="総括",$C299="内訳書",$C299="内訳代価",$C299="明細書",$C299="明細代価",$C299="代価表",$C299="単価表"),データ!Q296,"")</f>
        <v/>
      </c>
      <c r="S299" s="11" t="str">
        <f t="shared" si="26"/>
        <v/>
      </c>
      <c r="T299" s="46" t="e">
        <f t="shared" si="27"/>
        <v>#DIV/0!</v>
      </c>
      <c r="U299" s="40" t="str">
        <f>IF(データ!R296="","",データ!R296)</f>
        <v/>
      </c>
      <c r="V299" s="41" t="str">
        <f>IF(データ!S296="","",データ!S296)</f>
        <v/>
      </c>
      <c r="W299" s="42">
        <f>データ!T296</f>
        <v>0</v>
      </c>
      <c r="X299" s="48">
        <f>IF($C299="集計行","",データ!U296)</f>
        <v>0</v>
      </c>
      <c r="Y299" s="48">
        <f>データ!V296</f>
        <v>0</v>
      </c>
      <c r="Z299" s="39" t="str">
        <f>IF(OR($C299="総括",$C299="内訳書",$C299="内訳代価",$C299="明細書",$C299="明細代価",$C299="代価表",$C299="単価表"),データ!W296,"")</f>
        <v/>
      </c>
      <c r="AA299" s="11" t="str">
        <f t="shared" si="28"/>
        <v/>
      </c>
      <c r="AB299" s="46" t="e">
        <f t="shared" si="29"/>
        <v>#DIV/0!</v>
      </c>
      <c r="AC299" s="40" t="str">
        <f>IF(データ!X296="","",データ!X296)</f>
        <v/>
      </c>
      <c r="AD299" s="41" t="str">
        <f>IF(データ!Y296="","",データ!Y296)</f>
        <v/>
      </c>
      <c r="AE299" s="47" t="str">
        <f>TRIM(データ!B296)</f>
        <v/>
      </c>
      <c r="AF299" s="43" t="str">
        <f>TRIM(データ!Z296)</f>
        <v/>
      </c>
    </row>
    <row r="300" spans="1:32" x14ac:dyDescent="0.15">
      <c r="A300" s="47">
        <f>データ!A297</f>
        <v>3</v>
      </c>
      <c r="B300" s="47" t="str">
        <f>TRIM(データ!C297)</f>
        <v/>
      </c>
      <c r="C300" s="47" t="str">
        <f>TRIM(データ!D297)</f>
        <v>外注費</v>
      </c>
      <c r="D300" s="36" t="str">
        <f>REPT("｜",$A300)&amp;TRIM(データ!E297)</f>
        <v>｜｜｜外注経費</v>
      </c>
      <c r="E300" s="37" t="str">
        <f>TRIM(データ!F297)</f>
        <v/>
      </c>
      <c r="F300" s="38" t="str">
        <f>TRIM(データ!G297)</f>
        <v>式</v>
      </c>
      <c r="G300" s="50">
        <f>データ!H297</f>
        <v>1</v>
      </c>
      <c r="H300" s="48">
        <f>データ!I297</f>
        <v>18200</v>
      </c>
      <c r="I300" s="48">
        <f>データ!J297</f>
        <v>18200</v>
      </c>
      <c r="J300" s="39" t="str">
        <f>IF(OR($C300="総括",$C300="内訳書",$C300="内訳代価",$C300="明細書",$C300="明細代価",$C300="代価表",$C300="単価表"),データ!K297,"")</f>
        <v/>
      </c>
      <c r="K300" s="11" t="str">
        <f t="shared" si="24"/>
        <v/>
      </c>
      <c r="L300" s="46">
        <f t="shared" si="25"/>
        <v>2.6204771572142311E-4</v>
      </c>
      <c r="M300" s="40" t="str">
        <f>IF(データ!L297="","",データ!L297)</f>
        <v/>
      </c>
      <c r="N300" s="41" t="str">
        <f>IF(データ!M297="","",データ!M297)</f>
        <v/>
      </c>
      <c r="O300" s="42">
        <f>データ!N297</f>
        <v>0</v>
      </c>
      <c r="P300" s="48">
        <f>IF($C300="集計行","",データ!O297)</f>
        <v>0</v>
      </c>
      <c r="Q300" s="48">
        <f>データ!P297</f>
        <v>0</v>
      </c>
      <c r="R300" s="39" t="str">
        <f>IF(OR($C300="総括",$C300="内訳書",$C300="内訳代価",$C300="明細書",$C300="明細代価",$C300="代価表",$C300="単価表"),データ!Q297,"")</f>
        <v/>
      </c>
      <c r="S300" s="11" t="str">
        <f t="shared" si="26"/>
        <v/>
      </c>
      <c r="T300" s="46" t="e">
        <f t="shared" si="27"/>
        <v>#DIV/0!</v>
      </c>
      <c r="U300" s="40" t="str">
        <f>IF(データ!R297="","",データ!R297)</f>
        <v/>
      </c>
      <c r="V300" s="41" t="str">
        <f>IF(データ!S297="","",データ!S297)</f>
        <v/>
      </c>
      <c r="W300" s="42">
        <f>データ!T297</f>
        <v>0</v>
      </c>
      <c r="X300" s="48">
        <f>IF($C300="集計行","",データ!U297)</f>
        <v>0</v>
      </c>
      <c r="Y300" s="48">
        <f>データ!V297</f>
        <v>0</v>
      </c>
      <c r="Z300" s="39" t="str">
        <f>IF(OR($C300="総括",$C300="内訳書",$C300="内訳代価",$C300="明細書",$C300="明細代価",$C300="代価表",$C300="単価表"),データ!W297,"")</f>
        <v/>
      </c>
      <c r="AA300" s="11" t="str">
        <f t="shared" si="28"/>
        <v/>
      </c>
      <c r="AB300" s="46" t="e">
        <f t="shared" si="29"/>
        <v>#DIV/0!</v>
      </c>
      <c r="AC300" s="40" t="str">
        <f>IF(データ!X297="","",データ!X297)</f>
        <v/>
      </c>
      <c r="AD300" s="41" t="str">
        <f>IF(データ!Y297="","",データ!Y297)</f>
        <v/>
      </c>
      <c r="AE300" s="47" t="str">
        <f>TRIM(データ!B297)</f>
        <v/>
      </c>
      <c r="AF300" s="43" t="str">
        <f>TRIM(データ!Z297)</f>
        <v/>
      </c>
    </row>
    <row r="301" spans="1:32" x14ac:dyDescent="0.15">
      <c r="A301" s="47">
        <f>データ!A298</f>
        <v>2</v>
      </c>
      <c r="B301" s="47" t="str">
        <f>TRIM(データ!C298)</f>
        <v/>
      </c>
      <c r="C301" s="47" t="str">
        <f>TRIM(データ!D298)</f>
        <v>内訳書</v>
      </c>
      <c r="D301" s="36" t="str">
        <f>REPT("｜",$A301)&amp;TRIM(データ!E298)</f>
        <v>｜｜CSB200</v>
      </c>
      <c r="E301" s="37" t="str">
        <f>TRIM(データ!F298)</f>
        <v/>
      </c>
      <c r="F301" s="38" t="str">
        <f>TRIM(データ!G298)</f>
        <v>ｍ</v>
      </c>
      <c r="G301" s="50">
        <f>データ!H298</f>
        <v>7.6</v>
      </c>
      <c r="H301" s="48">
        <f>データ!I298</f>
        <v>47900</v>
      </c>
      <c r="I301" s="48">
        <f>データ!J298</f>
        <v>364040</v>
      </c>
      <c r="J301" s="39">
        <f>IF(OR($C301="総括",$C301="内訳書",$C301="内訳代価",$C301="明細書",$C301="明細代価",$C301="代価表",$C301="単価表"),データ!K298,"")</f>
        <v>7.6</v>
      </c>
      <c r="K301" s="11" t="str">
        <f t="shared" si="24"/>
        <v/>
      </c>
      <c r="L301" s="46">
        <f t="shared" si="25"/>
        <v>5.2415302434740043E-3</v>
      </c>
      <c r="M301" s="40" t="str">
        <f>IF(データ!L298="","",データ!L298)</f>
        <v/>
      </c>
      <c r="N301" s="41" t="str">
        <f>IF(データ!M298="","",データ!M298)</f>
        <v>46号内訳書</v>
      </c>
      <c r="O301" s="42">
        <f>データ!N298</f>
        <v>0</v>
      </c>
      <c r="P301" s="48">
        <f>IF($C301="集計行","",データ!O298)</f>
        <v>0</v>
      </c>
      <c r="Q301" s="48">
        <f>データ!P298</f>
        <v>0</v>
      </c>
      <c r="R301" s="39">
        <f>IF(OR($C301="総括",$C301="内訳書",$C301="内訳代価",$C301="明細書",$C301="明細代価",$C301="代価表",$C301="単価表"),データ!Q298,"")</f>
        <v>0</v>
      </c>
      <c r="S301" s="11" t="str">
        <f t="shared" si="26"/>
        <v/>
      </c>
      <c r="T301" s="46" t="e">
        <f t="shared" si="27"/>
        <v>#DIV/0!</v>
      </c>
      <c r="U301" s="40" t="str">
        <f>IF(データ!R298="","",データ!R298)</f>
        <v/>
      </c>
      <c r="V301" s="41" t="str">
        <f>IF(データ!S298="","",データ!S298)</f>
        <v/>
      </c>
      <c r="W301" s="42">
        <f>データ!T298</f>
        <v>0</v>
      </c>
      <c r="X301" s="48">
        <f>IF($C301="集計行","",データ!U298)</f>
        <v>0</v>
      </c>
      <c r="Y301" s="48">
        <f>データ!V298</f>
        <v>0</v>
      </c>
      <c r="Z301" s="39">
        <f>IF(OR($C301="総括",$C301="内訳書",$C301="内訳代価",$C301="明細書",$C301="明細代価",$C301="代価表",$C301="単価表"),データ!W298,"")</f>
        <v>0</v>
      </c>
      <c r="AA301" s="11" t="str">
        <f t="shared" si="28"/>
        <v/>
      </c>
      <c r="AB301" s="46" t="e">
        <f t="shared" si="29"/>
        <v>#DIV/0!</v>
      </c>
      <c r="AC301" s="40" t="str">
        <f>IF(データ!X298="","",データ!X298)</f>
        <v/>
      </c>
      <c r="AD301" s="41" t="str">
        <f>IF(データ!Y298="","",データ!Y298)</f>
        <v/>
      </c>
      <c r="AE301" s="47" t="str">
        <f>TRIM(データ!B298)</f>
        <v/>
      </c>
      <c r="AF301" s="43" t="str">
        <f>TRIM(データ!Z298)</f>
        <v/>
      </c>
    </row>
    <row r="302" spans="1:32" x14ac:dyDescent="0.15">
      <c r="A302" s="47">
        <f>データ!A299</f>
        <v>3</v>
      </c>
      <c r="B302" s="47" t="str">
        <f>TRIM(データ!C299)</f>
        <v/>
      </c>
      <c r="C302" s="47" t="str">
        <f>TRIM(データ!D299)</f>
        <v>材料費</v>
      </c>
      <c r="D302" s="36" t="str">
        <f>REPT("｜",$A302)&amp;TRIM(データ!E299)</f>
        <v>｜｜｜CSB200</v>
      </c>
      <c r="E302" s="37" t="str">
        <f>TRIM(データ!F299)</f>
        <v/>
      </c>
      <c r="F302" s="38" t="str">
        <f>TRIM(データ!G299)</f>
        <v>本</v>
      </c>
      <c r="G302" s="50">
        <f>データ!H299</f>
        <v>4</v>
      </c>
      <c r="H302" s="48">
        <f>データ!I299</f>
        <v>16000</v>
      </c>
      <c r="I302" s="48">
        <f>データ!J299</f>
        <v>64000</v>
      </c>
      <c r="J302" s="39" t="str">
        <f>IF(OR($C302="総括",$C302="内訳書",$C302="内訳代価",$C302="明細書",$C302="明細代価",$C302="代価表",$C302="単価表"),データ!K299,"")</f>
        <v/>
      </c>
      <c r="K302" s="11" t="str">
        <f t="shared" si="24"/>
        <v/>
      </c>
      <c r="L302" s="46">
        <f t="shared" si="25"/>
        <v>9.214864728665428E-4</v>
      </c>
      <c r="M302" s="40" t="str">
        <f>IF(データ!L299="","",データ!L299)</f>
        <v/>
      </c>
      <c r="N302" s="41" t="str">
        <f>IF(データ!M299="","",データ!M299)</f>
        <v/>
      </c>
      <c r="O302" s="42">
        <f>データ!N299</f>
        <v>0</v>
      </c>
      <c r="P302" s="48">
        <f>IF($C302="集計行","",データ!O299)</f>
        <v>0</v>
      </c>
      <c r="Q302" s="48">
        <f>データ!P299</f>
        <v>0</v>
      </c>
      <c r="R302" s="39" t="str">
        <f>IF(OR($C302="総括",$C302="内訳書",$C302="内訳代価",$C302="明細書",$C302="明細代価",$C302="代価表",$C302="単価表"),データ!Q299,"")</f>
        <v/>
      </c>
      <c r="S302" s="11" t="str">
        <f t="shared" si="26"/>
        <v/>
      </c>
      <c r="T302" s="46" t="e">
        <f t="shared" si="27"/>
        <v>#DIV/0!</v>
      </c>
      <c r="U302" s="40" t="str">
        <f>IF(データ!R299="","",データ!R299)</f>
        <v/>
      </c>
      <c r="V302" s="41" t="str">
        <f>IF(データ!S299="","",データ!S299)</f>
        <v/>
      </c>
      <c r="W302" s="42">
        <f>データ!T299</f>
        <v>0</v>
      </c>
      <c r="X302" s="48">
        <f>IF($C302="集計行","",データ!U299)</f>
        <v>0</v>
      </c>
      <c r="Y302" s="48">
        <f>データ!V299</f>
        <v>0</v>
      </c>
      <c r="Z302" s="39" t="str">
        <f>IF(OR($C302="総括",$C302="内訳書",$C302="内訳代価",$C302="明細書",$C302="明細代価",$C302="代価表",$C302="単価表"),データ!W299,"")</f>
        <v/>
      </c>
      <c r="AA302" s="11" t="str">
        <f t="shared" si="28"/>
        <v/>
      </c>
      <c r="AB302" s="46" t="e">
        <f t="shared" si="29"/>
        <v>#DIV/0!</v>
      </c>
      <c r="AC302" s="40" t="str">
        <f>IF(データ!X299="","",データ!X299)</f>
        <v/>
      </c>
      <c r="AD302" s="41" t="str">
        <f>IF(データ!Y299="","",データ!Y299)</f>
        <v/>
      </c>
      <c r="AE302" s="47" t="str">
        <f>TRIM(データ!B299)</f>
        <v/>
      </c>
      <c r="AF302" s="43" t="str">
        <f>TRIM(データ!Z299)</f>
        <v/>
      </c>
    </row>
    <row r="303" spans="1:32" x14ac:dyDescent="0.15">
      <c r="A303" s="47">
        <f>データ!A300</f>
        <v>3</v>
      </c>
      <c r="B303" s="47" t="str">
        <f>TRIM(データ!C300)</f>
        <v/>
      </c>
      <c r="C303" s="47" t="str">
        <f>TRIM(データ!D300)</f>
        <v>材料費</v>
      </c>
      <c r="D303" s="36" t="str">
        <f>REPT("｜",$A303)&amp;TRIM(データ!E300)</f>
        <v>｜｜｜生コン</v>
      </c>
      <c r="E303" s="37" t="str">
        <f>TRIM(データ!F300)</f>
        <v/>
      </c>
      <c r="F303" s="38" t="str">
        <f>TRIM(データ!G300)</f>
        <v>m3</v>
      </c>
      <c r="G303" s="50">
        <f>データ!H300</f>
        <v>1</v>
      </c>
      <c r="H303" s="48">
        <f>データ!I300</f>
        <v>30000</v>
      </c>
      <c r="I303" s="48">
        <f>データ!J300</f>
        <v>30000</v>
      </c>
      <c r="J303" s="39" t="str">
        <f>IF(OR($C303="総括",$C303="内訳書",$C303="内訳代価",$C303="明細書",$C303="明細代価",$C303="代価表",$C303="単価表"),データ!K300,"")</f>
        <v/>
      </c>
      <c r="K303" s="11" t="str">
        <f t="shared" si="24"/>
        <v/>
      </c>
      <c r="L303" s="46">
        <f t="shared" si="25"/>
        <v>4.3194678415619197E-4</v>
      </c>
      <c r="M303" s="40" t="str">
        <f>IF(データ!L300="","",データ!L300)</f>
        <v/>
      </c>
      <c r="N303" s="41" t="str">
        <f>IF(データ!M300="","",データ!M300)</f>
        <v/>
      </c>
      <c r="O303" s="42">
        <f>データ!N300</f>
        <v>0</v>
      </c>
      <c r="P303" s="48">
        <f>IF($C303="集計行","",データ!O300)</f>
        <v>0</v>
      </c>
      <c r="Q303" s="48">
        <f>データ!P300</f>
        <v>0</v>
      </c>
      <c r="R303" s="39" t="str">
        <f>IF(OR($C303="総括",$C303="内訳書",$C303="内訳代価",$C303="明細書",$C303="明細代価",$C303="代価表",$C303="単価表"),データ!Q300,"")</f>
        <v/>
      </c>
      <c r="S303" s="11" t="str">
        <f t="shared" si="26"/>
        <v/>
      </c>
      <c r="T303" s="46" t="e">
        <f t="shared" si="27"/>
        <v>#DIV/0!</v>
      </c>
      <c r="U303" s="40" t="str">
        <f>IF(データ!R300="","",データ!R300)</f>
        <v/>
      </c>
      <c r="V303" s="41" t="str">
        <f>IF(データ!S300="","",データ!S300)</f>
        <v/>
      </c>
      <c r="W303" s="42">
        <f>データ!T300</f>
        <v>0</v>
      </c>
      <c r="X303" s="48">
        <f>IF($C303="集計行","",データ!U300)</f>
        <v>0</v>
      </c>
      <c r="Y303" s="48">
        <f>データ!V300</f>
        <v>0</v>
      </c>
      <c r="Z303" s="39" t="str">
        <f>IF(OR($C303="総括",$C303="内訳書",$C303="内訳代価",$C303="明細書",$C303="明細代価",$C303="代価表",$C303="単価表"),データ!W300,"")</f>
        <v/>
      </c>
      <c r="AA303" s="11" t="str">
        <f t="shared" si="28"/>
        <v/>
      </c>
      <c r="AB303" s="46" t="e">
        <f t="shared" si="29"/>
        <v>#DIV/0!</v>
      </c>
      <c r="AC303" s="40" t="str">
        <f>IF(データ!X300="","",データ!X300)</f>
        <v/>
      </c>
      <c r="AD303" s="41" t="str">
        <f>IF(データ!Y300="","",データ!Y300)</f>
        <v/>
      </c>
      <c r="AE303" s="47" t="str">
        <f>TRIM(データ!B300)</f>
        <v/>
      </c>
      <c r="AF303" s="43" t="str">
        <f>TRIM(データ!Z300)</f>
        <v/>
      </c>
    </row>
    <row r="304" spans="1:32" x14ac:dyDescent="0.15">
      <c r="A304" s="47">
        <f>データ!A301</f>
        <v>3</v>
      </c>
      <c r="B304" s="47" t="str">
        <f>TRIM(データ!C301)</f>
        <v/>
      </c>
      <c r="C304" s="47" t="str">
        <f>TRIM(データ!D301)</f>
        <v>労務費</v>
      </c>
      <c r="D304" s="36" t="str">
        <f>REPT("｜",$A304)&amp;TRIM(データ!E301)</f>
        <v>｜｜｜技工</v>
      </c>
      <c r="E304" s="37" t="str">
        <f>TRIM(データ!F301)</f>
        <v/>
      </c>
      <c r="F304" s="38" t="str">
        <f>TRIM(データ!G301)</f>
        <v>人</v>
      </c>
      <c r="G304" s="50">
        <f>データ!H301</f>
        <v>5</v>
      </c>
      <c r="H304" s="48">
        <f>データ!I301</f>
        <v>28000</v>
      </c>
      <c r="I304" s="48">
        <f>データ!J301</f>
        <v>140000</v>
      </c>
      <c r="J304" s="39" t="str">
        <f>IF(OR($C304="総括",$C304="内訳書",$C304="内訳代価",$C304="明細書",$C304="明細代価",$C304="代価表",$C304="単価表"),データ!K301,"")</f>
        <v/>
      </c>
      <c r="K304" s="11" t="str">
        <f t="shared" si="24"/>
        <v/>
      </c>
      <c r="L304" s="46">
        <f t="shared" si="25"/>
        <v>2.0157516593955625E-3</v>
      </c>
      <c r="M304" s="40" t="str">
        <f>IF(データ!L301="","",データ!L301)</f>
        <v/>
      </c>
      <c r="N304" s="41" t="str">
        <f>IF(データ!M301="","",データ!M301)</f>
        <v/>
      </c>
      <c r="O304" s="42">
        <f>データ!N301</f>
        <v>0</v>
      </c>
      <c r="P304" s="48">
        <f>IF($C304="集計行","",データ!O301)</f>
        <v>0</v>
      </c>
      <c r="Q304" s="48">
        <f>データ!P301</f>
        <v>0</v>
      </c>
      <c r="R304" s="39" t="str">
        <f>IF(OR($C304="総括",$C304="内訳書",$C304="内訳代価",$C304="明細書",$C304="明細代価",$C304="代価表",$C304="単価表"),データ!Q301,"")</f>
        <v/>
      </c>
      <c r="S304" s="11" t="str">
        <f t="shared" si="26"/>
        <v/>
      </c>
      <c r="T304" s="46" t="e">
        <f t="shared" si="27"/>
        <v>#DIV/0!</v>
      </c>
      <c r="U304" s="40" t="str">
        <f>IF(データ!R301="","",データ!R301)</f>
        <v/>
      </c>
      <c r="V304" s="41" t="str">
        <f>IF(データ!S301="","",データ!S301)</f>
        <v/>
      </c>
      <c r="W304" s="42">
        <f>データ!T301</f>
        <v>0</v>
      </c>
      <c r="X304" s="48">
        <f>IF($C304="集計行","",データ!U301)</f>
        <v>0</v>
      </c>
      <c r="Y304" s="48">
        <f>データ!V301</f>
        <v>0</v>
      </c>
      <c r="Z304" s="39" t="str">
        <f>IF(OR($C304="総括",$C304="内訳書",$C304="内訳代価",$C304="明細書",$C304="明細代価",$C304="代価表",$C304="単価表"),データ!W301,"")</f>
        <v/>
      </c>
      <c r="AA304" s="11" t="str">
        <f t="shared" si="28"/>
        <v/>
      </c>
      <c r="AB304" s="46" t="e">
        <f t="shared" si="29"/>
        <v>#DIV/0!</v>
      </c>
      <c r="AC304" s="40" t="str">
        <f>IF(データ!X301="","",データ!X301)</f>
        <v/>
      </c>
      <c r="AD304" s="41" t="str">
        <f>IF(データ!Y301="","",データ!Y301)</f>
        <v/>
      </c>
      <c r="AE304" s="47" t="str">
        <f>TRIM(データ!B301)</f>
        <v/>
      </c>
      <c r="AF304" s="43" t="str">
        <f>TRIM(データ!Z301)</f>
        <v/>
      </c>
    </row>
    <row r="305" spans="1:32" x14ac:dyDescent="0.15">
      <c r="A305" s="47">
        <f>データ!A302</f>
        <v>3</v>
      </c>
      <c r="B305" s="47" t="str">
        <f>TRIM(データ!C302)</f>
        <v/>
      </c>
      <c r="C305" s="47" t="str">
        <f>TRIM(データ!D302)</f>
        <v>機械費</v>
      </c>
      <c r="D305" s="36" t="str">
        <f>REPT("｜",$A305)&amp;TRIM(データ!E302)</f>
        <v>｜｜｜BH0.15</v>
      </c>
      <c r="E305" s="37" t="str">
        <f>TRIM(データ!F302)</f>
        <v/>
      </c>
      <c r="F305" s="38" t="str">
        <f>TRIM(データ!G302)</f>
        <v>台</v>
      </c>
      <c r="G305" s="50">
        <f>データ!H302</f>
        <v>1</v>
      </c>
      <c r="H305" s="48">
        <f>データ!I302</f>
        <v>8000</v>
      </c>
      <c r="I305" s="48">
        <f>データ!J302</f>
        <v>8000</v>
      </c>
      <c r="J305" s="39" t="str">
        <f>IF(OR($C305="総括",$C305="内訳書",$C305="内訳代価",$C305="明細書",$C305="明細代価",$C305="代価表",$C305="単価表"),データ!K302,"")</f>
        <v/>
      </c>
      <c r="K305" s="11" t="str">
        <f t="shared" si="24"/>
        <v/>
      </c>
      <c r="L305" s="46">
        <f t="shared" si="25"/>
        <v>1.1518580910831785E-4</v>
      </c>
      <c r="M305" s="40" t="str">
        <f>IF(データ!L302="","",データ!L302)</f>
        <v/>
      </c>
      <c r="N305" s="41" t="str">
        <f>IF(データ!M302="","",データ!M302)</f>
        <v/>
      </c>
      <c r="O305" s="42">
        <f>データ!N302</f>
        <v>0</v>
      </c>
      <c r="P305" s="48">
        <f>IF($C305="集計行","",データ!O302)</f>
        <v>0</v>
      </c>
      <c r="Q305" s="48">
        <f>データ!P302</f>
        <v>0</v>
      </c>
      <c r="R305" s="39" t="str">
        <f>IF(OR($C305="総括",$C305="内訳書",$C305="内訳代価",$C305="明細書",$C305="明細代価",$C305="代価表",$C305="単価表"),データ!Q302,"")</f>
        <v/>
      </c>
      <c r="S305" s="11" t="str">
        <f t="shared" si="26"/>
        <v/>
      </c>
      <c r="T305" s="46" t="e">
        <f t="shared" si="27"/>
        <v>#DIV/0!</v>
      </c>
      <c r="U305" s="40" t="str">
        <f>IF(データ!R302="","",データ!R302)</f>
        <v/>
      </c>
      <c r="V305" s="41" t="str">
        <f>IF(データ!S302="","",データ!S302)</f>
        <v/>
      </c>
      <c r="W305" s="42">
        <f>データ!T302</f>
        <v>0</v>
      </c>
      <c r="X305" s="48">
        <f>IF($C305="集計行","",データ!U302)</f>
        <v>0</v>
      </c>
      <c r="Y305" s="48">
        <f>データ!V302</f>
        <v>0</v>
      </c>
      <c r="Z305" s="39" t="str">
        <f>IF(OR($C305="総括",$C305="内訳書",$C305="内訳代価",$C305="明細書",$C305="明細代価",$C305="代価表",$C305="単価表"),データ!W302,"")</f>
        <v/>
      </c>
      <c r="AA305" s="11" t="str">
        <f t="shared" si="28"/>
        <v/>
      </c>
      <c r="AB305" s="46" t="e">
        <f t="shared" si="29"/>
        <v>#DIV/0!</v>
      </c>
      <c r="AC305" s="40" t="str">
        <f>IF(データ!X302="","",データ!X302)</f>
        <v/>
      </c>
      <c r="AD305" s="41" t="str">
        <f>IF(データ!Y302="","",データ!Y302)</f>
        <v/>
      </c>
      <c r="AE305" s="47" t="str">
        <f>TRIM(データ!B302)</f>
        <v/>
      </c>
      <c r="AF305" s="43" t="str">
        <f>TRIM(データ!Z302)</f>
        <v/>
      </c>
    </row>
    <row r="306" spans="1:32" x14ac:dyDescent="0.15">
      <c r="A306" s="47">
        <f>データ!A303</f>
        <v>3</v>
      </c>
      <c r="B306" s="47" t="str">
        <f>TRIM(データ!C303)</f>
        <v/>
      </c>
      <c r="C306" s="47" t="str">
        <f>TRIM(データ!D303)</f>
        <v>機械費</v>
      </c>
      <c r="D306" s="36" t="str">
        <f>REPT("｜",$A306)&amp;TRIM(データ!E303)</f>
        <v>｜｜｜プレート</v>
      </c>
      <c r="E306" s="37" t="str">
        <f>TRIM(データ!F303)</f>
        <v/>
      </c>
      <c r="F306" s="38" t="str">
        <f>TRIM(データ!G303)</f>
        <v>台</v>
      </c>
      <c r="G306" s="50">
        <f>データ!H303</f>
        <v>1</v>
      </c>
      <c r="H306" s="48">
        <f>データ!I303</f>
        <v>1500</v>
      </c>
      <c r="I306" s="48">
        <f>データ!J303</f>
        <v>1500</v>
      </c>
      <c r="J306" s="39" t="str">
        <f>IF(OR($C306="総括",$C306="内訳書",$C306="内訳代価",$C306="明細書",$C306="明細代価",$C306="代価表",$C306="単価表"),データ!K303,"")</f>
        <v/>
      </c>
      <c r="K306" s="11" t="str">
        <f t="shared" si="24"/>
        <v/>
      </c>
      <c r="L306" s="46">
        <f t="shared" si="25"/>
        <v>2.1597339207809597E-5</v>
      </c>
      <c r="M306" s="40" t="str">
        <f>IF(データ!L303="","",データ!L303)</f>
        <v/>
      </c>
      <c r="N306" s="41" t="str">
        <f>IF(データ!M303="","",データ!M303)</f>
        <v/>
      </c>
      <c r="O306" s="42">
        <f>データ!N303</f>
        <v>0</v>
      </c>
      <c r="P306" s="48">
        <f>IF($C306="集計行","",データ!O303)</f>
        <v>0</v>
      </c>
      <c r="Q306" s="48">
        <f>データ!P303</f>
        <v>0</v>
      </c>
      <c r="R306" s="39" t="str">
        <f>IF(OR($C306="総括",$C306="内訳書",$C306="内訳代価",$C306="明細書",$C306="明細代価",$C306="代価表",$C306="単価表"),データ!Q303,"")</f>
        <v/>
      </c>
      <c r="S306" s="11" t="str">
        <f t="shared" si="26"/>
        <v/>
      </c>
      <c r="T306" s="46" t="e">
        <f t="shared" si="27"/>
        <v>#DIV/0!</v>
      </c>
      <c r="U306" s="40" t="str">
        <f>IF(データ!R303="","",データ!R303)</f>
        <v/>
      </c>
      <c r="V306" s="41" t="str">
        <f>IF(データ!S303="","",データ!S303)</f>
        <v/>
      </c>
      <c r="W306" s="42">
        <f>データ!T303</f>
        <v>0</v>
      </c>
      <c r="X306" s="48">
        <f>IF($C306="集計行","",データ!U303)</f>
        <v>0</v>
      </c>
      <c r="Y306" s="48">
        <f>データ!V303</f>
        <v>0</v>
      </c>
      <c r="Z306" s="39" t="str">
        <f>IF(OR($C306="総括",$C306="内訳書",$C306="内訳代価",$C306="明細書",$C306="明細代価",$C306="代価表",$C306="単価表"),データ!W303,"")</f>
        <v/>
      </c>
      <c r="AA306" s="11" t="str">
        <f t="shared" si="28"/>
        <v/>
      </c>
      <c r="AB306" s="46" t="e">
        <f t="shared" si="29"/>
        <v>#DIV/0!</v>
      </c>
      <c r="AC306" s="40" t="str">
        <f>IF(データ!X303="","",データ!X303)</f>
        <v/>
      </c>
      <c r="AD306" s="41" t="str">
        <f>IF(データ!Y303="","",データ!Y303)</f>
        <v/>
      </c>
      <c r="AE306" s="47" t="str">
        <f>TRIM(データ!B303)</f>
        <v/>
      </c>
      <c r="AF306" s="43" t="str">
        <f>TRIM(データ!Z303)</f>
        <v/>
      </c>
    </row>
    <row r="307" spans="1:32" x14ac:dyDescent="0.15">
      <c r="A307" s="47">
        <f>データ!A304</f>
        <v>3</v>
      </c>
      <c r="B307" s="47" t="str">
        <f>TRIM(データ!C304)</f>
        <v/>
      </c>
      <c r="C307" s="47" t="str">
        <f>TRIM(データ!D304)</f>
        <v>機械費</v>
      </c>
      <c r="D307" s="36" t="str">
        <f>REPT("｜",$A307)&amp;TRIM(データ!E304)</f>
        <v>｜｜｜ランマー</v>
      </c>
      <c r="E307" s="37" t="str">
        <f>TRIM(データ!F304)</f>
        <v/>
      </c>
      <c r="F307" s="38" t="str">
        <f>TRIM(データ!G304)</f>
        <v>台</v>
      </c>
      <c r="G307" s="50">
        <f>データ!H304</f>
        <v>1</v>
      </c>
      <c r="H307" s="48">
        <f>データ!I304</f>
        <v>1500</v>
      </c>
      <c r="I307" s="48">
        <f>データ!J304</f>
        <v>1500</v>
      </c>
      <c r="J307" s="39" t="str">
        <f>IF(OR($C307="総括",$C307="内訳書",$C307="内訳代価",$C307="明細書",$C307="明細代価",$C307="代価表",$C307="単価表"),データ!K304,"")</f>
        <v/>
      </c>
      <c r="K307" s="11" t="str">
        <f t="shared" si="24"/>
        <v/>
      </c>
      <c r="L307" s="46">
        <f t="shared" si="25"/>
        <v>2.1597339207809597E-5</v>
      </c>
      <c r="M307" s="40" t="str">
        <f>IF(データ!L304="","",データ!L304)</f>
        <v/>
      </c>
      <c r="N307" s="41" t="str">
        <f>IF(データ!M304="","",データ!M304)</f>
        <v/>
      </c>
      <c r="O307" s="42">
        <f>データ!N304</f>
        <v>0</v>
      </c>
      <c r="P307" s="48">
        <f>IF($C307="集計行","",データ!O304)</f>
        <v>0</v>
      </c>
      <c r="Q307" s="48">
        <f>データ!P304</f>
        <v>0</v>
      </c>
      <c r="R307" s="39" t="str">
        <f>IF(OR($C307="総括",$C307="内訳書",$C307="内訳代価",$C307="明細書",$C307="明細代価",$C307="代価表",$C307="単価表"),データ!Q304,"")</f>
        <v/>
      </c>
      <c r="S307" s="11" t="str">
        <f t="shared" si="26"/>
        <v/>
      </c>
      <c r="T307" s="46" t="e">
        <f t="shared" si="27"/>
        <v>#DIV/0!</v>
      </c>
      <c r="U307" s="40" t="str">
        <f>IF(データ!R304="","",データ!R304)</f>
        <v/>
      </c>
      <c r="V307" s="41" t="str">
        <f>IF(データ!S304="","",データ!S304)</f>
        <v/>
      </c>
      <c r="W307" s="42">
        <f>データ!T304</f>
        <v>0</v>
      </c>
      <c r="X307" s="48">
        <f>IF($C307="集計行","",データ!U304)</f>
        <v>0</v>
      </c>
      <c r="Y307" s="48">
        <f>データ!V304</f>
        <v>0</v>
      </c>
      <c r="Z307" s="39" t="str">
        <f>IF(OR($C307="総括",$C307="内訳書",$C307="内訳代価",$C307="明細書",$C307="明細代価",$C307="代価表",$C307="単価表"),データ!W304,"")</f>
        <v/>
      </c>
      <c r="AA307" s="11" t="str">
        <f t="shared" si="28"/>
        <v/>
      </c>
      <c r="AB307" s="46" t="e">
        <f t="shared" si="29"/>
        <v>#DIV/0!</v>
      </c>
      <c r="AC307" s="40" t="str">
        <f>IF(データ!X304="","",データ!X304)</f>
        <v/>
      </c>
      <c r="AD307" s="41" t="str">
        <f>IF(データ!Y304="","",データ!Y304)</f>
        <v/>
      </c>
      <c r="AE307" s="47" t="str">
        <f>TRIM(データ!B304)</f>
        <v/>
      </c>
      <c r="AF307" s="43" t="str">
        <f>TRIM(データ!Z304)</f>
        <v/>
      </c>
    </row>
    <row r="308" spans="1:32" x14ac:dyDescent="0.15">
      <c r="A308" s="47">
        <f>データ!A305</f>
        <v>3</v>
      </c>
      <c r="B308" s="47" t="str">
        <f>TRIM(データ!C305)</f>
        <v/>
      </c>
      <c r="C308" s="47" t="str">
        <f>TRIM(データ!D305)</f>
        <v>運搬費</v>
      </c>
      <c r="D308" s="36" t="str">
        <f>REPT("｜",$A308)&amp;TRIM(データ!E305)</f>
        <v>｜｜｜4tダンプ</v>
      </c>
      <c r="E308" s="37" t="str">
        <f>TRIM(データ!F305)</f>
        <v/>
      </c>
      <c r="F308" s="38" t="str">
        <f>TRIM(データ!G305)</f>
        <v>台</v>
      </c>
      <c r="G308" s="50">
        <f>データ!H305</f>
        <v>1</v>
      </c>
      <c r="H308" s="48">
        <f>データ!I305</f>
        <v>10000</v>
      </c>
      <c r="I308" s="48">
        <f>データ!J305</f>
        <v>10000</v>
      </c>
      <c r="J308" s="39" t="str">
        <f>IF(OR($C308="総括",$C308="内訳書",$C308="内訳代価",$C308="明細書",$C308="明細代価",$C308="代価表",$C308="単価表"),データ!K305,"")</f>
        <v/>
      </c>
      <c r="K308" s="11" t="str">
        <f t="shared" si="24"/>
        <v/>
      </c>
      <c r="L308" s="46">
        <f t="shared" si="25"/>
        <v>1.4398226138539731E-4</v>
      </c>
      <c r="M308" s="40" t="str">
        <f>IF(データ!L305="","",データ!L305)</f>
        <v/>
      </c>
      <c r="N308" s="41" t="str">
        <f>IF(データ!M305="","",データ!M305)</f>
        <v/>
      </c>
      <c r="O308" s="42">
        <f>データ!N305</f>
        <v>0</v>
      </c>
      <c r="P308" s="48">
        <f>IF($C308="集計行","",データ!O305)</f>
        <v>0</v>
      </c>
      <c r="Q308" s="48">
        <f>データ!P305</f>
        <v>0</v>
      </c>
      <c r="R308" s="39" t="str">
        <f>IF(OR($C308="総括",$C308="内訳書",$C308="内訳代価",$C308="明細書",$C308="明細代価",$C308="代価表",$C308="単価表"),データ!Q305,"")</f>
        <v/>
      </c>
      <c r="S308" s="11" t="str">
        <f t="shared" si="26"/>
        <v/>
      </c>
      <c r="T308" s="46" t="e">
        <f t="shared" si="27"/>
        <v>#DIV/0!</v>
      </c>
      <c r="U308" s="40" t="str">
        <f>IF(データ!R305="","",データ!R305)</f>
        <v/>
      </c>
      <c r="V308" s="41" t="str">
        <f>IF(データ!S305="","",データ!S305)</f>
        <v/>
      </c>
      <c r="W308" s="42">
        <f>データ!T305</f>
        <v>0</v>
      </c>
      <c r="X308" s="48">
        <f>IF($C308="集計行","",データ!U305)</f>
        <v>0</v>
      </c>
      <c r="Y308" s="48">
        <f>データ!V305</f>
        <v>0</v>
      </c>
      <c r="Z308" s="39" t="str">
        <f>IF(OR($C308="総括",$C308="内訳書",$C308="内訳代価",$C308="明細書",$C308="明細代価",$C308="代価表",$C308="単価表"),データ!W305,"")</f>
        <v/>
      </c>
      <c r="AA308" s="11" t="str">
        <f t="shared" si="28"/>
        <v/>
      </c>
      <c r="AB308" s="46" t="e">
        <f t="shared" si="29"/>
        <v>#DIV/0!</v>
      </c>
      <c r="AC308" s="40" t="str">
        <f>IF(データ!X305="","",データ!X305)</f>
        <v/>
      </c>
      <c r="AD308" s="41" t="str">
        <f>IF(データ!Y305="","",データ!Y305)</f>
        <v/>
      </c>
      <c r="AE308" s="47" t="str">
        <f>TRIM(データ!B305)</f>
        <v/>
      </c>
      <c r="AF308" s="43" t="str">
        <f>TRIM(データ!Z305)</f>
        <v/>
      </c>
    </row>
    <row r="309" spans="1:32" x14ac:dyDescent="0.15">
      <c r="A309" s="47">
        <f>データ!A306</f>
        <v>3</v>
      </c>
      <c r="B309" s="47" t="str">
        <f>TRIM(データ!C306)</f>
        <v/>
      </c>
      <c r="C309" s="47" t="str">
        <f>TRIM(データ!D306)</f>
        <v>運搬費</v>
      </c>
      <c r="D309" s="36" t="str">
        <f>REPT("｜",$A309)&amp;TRIM(データ!E306)</f>
        <v>｜｜｜2tダンプ</v>
      </c>
      <c r="E309" s="37" t="str">
        <f>TRIM(データ!F306)</f>
        <v/>
      </c>
      <c r="F309" s="38" t="str">
        <f>TRIM(データ!G306)</f>
        <v>台</v>
      </c>
      <c r="G309" s="50">
        <f>データ!H306</f>
        <v>1</v>
      </c>
      <c r="H309" s="48">
        <f>データ!I306</f>
        <v>7000</v>
      </c>
      <c r="I309" s="48">
        <f>データ!J306</f>
        <v>7000</v>
      </c>
      <c r="J309" s="39" t="str">
        <f>IF(OR($C309="総括",$C309="内訳書",$C309="内訳代価",$C309="明細書",$C309="明細代価",$C309="代価表",$C309="単価表"),データ!K306,"")</f>
        <v/>
      </c>
      <c r="K309" s="11" t="str">
        <f t="shared" si="24"/>
        <v/>
      </c>
      <c r="L309" s="46">
        <f t="shared" si="25"/>
        <v>1.0078758296977812E-4</v>
      </c>
      <c r="M309" s="40" t="str">
        <f>IF(データ!L306="","",データ!L306)</f>
        <v/>
      </c>
      <c r="N309" s="41" t="str">
        <f>IF(データ!M306="","",データ!M306)</f>
        <v/>
      </c>
      <c r="O309" s="42">
        <f>データ!N306</f>
        <v>0</v>
      </c>
      <c r="P309" s="48">
        <f>IF($C309="集計行","",データ!O306)</f>
        <v>0</v>
      </c>
      <c r="Q309" s="48">
        <f>データ!P306</f>
        <v>0</v>
      </c>
      <c r="R309" s="39" t="str">
        <f>IF(OR($C309="総括",$C309="内訳書",$C309="内訳代価",$C309="明細書",$C309="明細代価",$C309="代価表",$C309="単価表"),データ!Q306,"")</f>
        <v/>
      </c>
      <c r="S309" s="11" t="str">
        <f t="shared" si="26"/>
        <v/>
      </c>
      <c r="T309" s="46" t="e">
        <f t="shared" si="27"/>
        <v>#DIV/0!</v>
      </c>
      <c r="U309" s="40" t="str">
        <f>IF(データ!R306="","",データ!R306)</f>
        <v/>
      </c>
      <c r="V309" s="41" t="str">
        <f>IF(データ!S306="","",データ!S306)</f>
        <v/>
      </c>
      <c r="W309" s="42">
        <f>データ!T306</f>
        <v>0</v>
      </c>
      <c r="X309" s="48">
        <f>IF($C309="集計行","",データ!U306)</f>
        <v>0</v>
      </c>
      <c r="Y309" s="48">
        <f>データ!V306</f>
        <v>0</v>
      </c>
      <c r="Z309" s="39" t="str">
        <f>IF(OR($C309="総括",$C309="内訳書",$C309="内訳代価",$C309="明細書",$C309="明細代価",$C309="代価表",$C309="単価表"),データ!W306,"")</f>
        <v/>
      </c>
      <c r="AA309" s="11" t="str">
        <f t="shared" si="28"/>
        <v/>
      </c>
      <c r="AB309" s="46" t="e">
        <f t="shared" si="29"/>
        <v>#DIV/0!</v>
      </c>
      <c r="AC309" s="40" t="str">
        <f>IF(データ!X306="","",データ!X306)</f>
        <v/>
      </c>
      <c r="AD309" s="41" t="str">
        <f>IF(データ!Y306="","",データ!Y306)</f>
        <v/>
      </c>
      <c r="AE309" s="47" t="str">
        <f>TRIM(データ!B306)</f>
        <v/>
      </c>
      <c r="AF309" s="43" t="str">
        <f>TRIM(データ!Z306)</f>
        <v/>
      </c>
    </row>
    <row r="310" spans="1:32" x14ac:dyDescent="0.15">
      <c r="A310" s="47">
        <f>データ!A307</f>
        <v>3</v>
      </c>
      <c r="B310" s="47" t="str">
        <f>TRIM(データ!C307)</f>
        <v/>
      </c>
      <c r="C310" s="47" t="str">
        <f>TRIM(データ!D307)</f>
        <v>材料費</v>
      </c>
      <c r="D310" s="36" t="str">
        <f>REPT("｜",$A310)&amp;TRIM(データ!E307)</f>
        <v>｜｜｜軽油</v>
      </c>
      <c r="E310" s="37" t="str">
        <f>TRIM(データ!F307)</f>
        <v/>
      </c>
      <c r="F310" s="38" t="str">
        <f>TRIM(データ!G307)</f>
        <v>リットル</v>
      </c>
      <c r="G310" s="50">
        <f>データ!H307</f>
        <v>40</v>
      </c>
      <c r="H310" s="48">
        <f>データ!I307</f>
        <v>150</v>
      </c>
      <c r="I310" s="48">
        <f>データ!J307</f>
        <v>6000</v>
      </c>
      <c r="J310" s="39" t="str">
        <f>IF(OR($C310="総括",$C310="内訳書",$C310="内訳代価",$C310="明細書",$C310="明細代価",$C310="代価表",$C310="単価表"),データ!K307,"")</f>
        <v/>
      </c>
      <c r="K310" s="11" t="str">
        <f t="shared" si="24"/>
        <v/>
      </c>
      <c r="L310" s="46">
        <f t="shared" si="25"/>
        <v>8.6389356831238388E-5</v>
      </c>
      <c r="M310" s="40" t="str">
        <f>IF(データ!L307="","",データ!L307)</f>
        <v/>
      </c>
      <c r="N310" s="41" t="str">
        <f>IF(データ!M307="","",データ!M307)</f>
        <v/>
      </c>
      <c r="O310" s="42">
        <f>データ!N307</f>
        <v>0</v>
      </c>
      <c r="P310" s="48">
        <f>IF($C310="集計行","",データ!O307)</f>
        <v>0</v>
      </c>
      <c r="Q310" s="48">
        <f>データ!P307</f>
        <v>0</v>
      </c>
      <c r="R310" s="39" t="str">
        <f>IF(OR($C310="総括",$C310="内訳書",$C310="内訳代価",$C310="明細書",$C310="明細代価",$C310="代価表",$C310="単価表"),データ!Q307,"")</f>
        <v/>
      </c>
      <c r="S310" s="11" t="str">
        <f t="shared" si="26"/>
        <v/>
      </c>
      <c r="T310" s="46" t="e">
        <f t="shared" si="27"/>
        <v>#DIV/0!</v>
      </c>
      <c r="U310" s="40" t="str">
        <f>IF(データ!R307="","",データ!R307)</f>
        <v/>
      </c>
      <c r="V310" s="41" t="str">
        <f>IF(データ!S307="","",データ!S307)</f>
        <v/>
      </c>
      <c r="W310" s="42">
        <f>データ!T307</f>
        <v>0</v>
      </c>
      <c r="X310" s="48">
        <f>IF($C310="集計行","",データ!U307)</f>
        <v>0</v>
      </c>
      <c r="Y310" s="48">
        <f>データ!V307</f>
        <v>0</v>
      </c>
      <c r="Z310" s="39" t="str">
        <f>IF(OR($C310="総括",$C310="内訳書",$C310="内訳代価",$C310="明細書",$C310="明細代価",$C310="代価表",$C310="単価表"),データ!W307,"")</f>
        <v/>
      </c>
      <c r="AA310" s="11" t="str">
        <f t="shared" si="28"/>
        <v/>
      </c>
      <c r="AB310" s="46" t="e">
        <f t="shared" si="29"/>
        <v>#DIV/0!</v>
      </c>
      <c r="AC310" s="40" t="str">
        <f>IF(データ!X307="","",データ!X307)</f>
        <v/>
      </c>
      <c r="AD310" s="41" t="str">
        <f>IF(データ!Y307="","",データ!Y307)</f>
        <v/>
      </c>
      <c r="AE310" s="47" t="str">
        <f>TRIM(データ!B307)</f>
        <v/>
      </c>
      <c r="AF310" s="43" t="str">
        <f>TRIM(データ!Z307)</f>
        <v/>
      </c>
    </row>
    <row r="311" spans="1:32" x14ac:dyDescent="0.15">
      <c r="A311" s="47">
        <f>データ!A308</f>
        <v>3</v>
      </c>
      <c r="B311" s="47" t="str">
        <f>TRIM(データ!C308)</f>
        <v/>
      </c>
      <c r="C311" s="47" t="str">
        <f>TRIM(データ!D308)</f>
        <v>材料費</v>
      </c>
      <c r="D311" s="36" t="str">
        <f>REPT("｜",$A311)&amp;TRIM(データ!E308)</f>
        <v>｜｜｜ガソリン</v>
      </c>
      <c r="E311" s="37" t="str">
        <f>TRIM(データ!F308)</f>
        <v/>
      </c>
      <c r="F311" s="38" t="str">
        <f>TRIM(データ!G308)</f>
        <v>リットル</v>
      </c>
      <c r="G311" s="50">
        <f>データ!H308</f>
        <v>40</v>
      </c>
      <c r="H311" s="48">
        <f>データ!I308</f>
        <v>200</v>
      </c>
      <c r="I311" s="48">
        <f>データ!J308</f>
        <v>8000</v>
      </c>
      <c r="J311" s="39" t="str">
        <f>IF(OR($C311="総括",$C311="内訳書",$C311="内訳代価",$C311="明細書",$C311="明細代価",$C311="代価表",$C311="単価表"),データ!K308,"")</f>
        <v/>
      </c>
      <c r="K311" s="11" t="str">
        <f t="shared" si="24"/>
        <v/>
      </c>
      <c r="L311" s="46">
        <f t="shared" si="25"/>
        <v>1.1518580910831785E-4</v>
      </c>
      <c r="M311" s="40" t="str">
        <f>IF(データ!L308="","",データ!L308)</f>
        <v/>
      </c>
      <c r="N311" s="41" t="str">
        <f>IF(データ!M308="","",データ!M308)</f>
        <v/>
      </c>
      <c r="O311" s="42">
        <f>データ!N308</f>
        <v>0</v>
      </c>
      <c r="P311" s="48">
        <f>IF($C311="集計行","",データ!O308)</f>
        <v>0</v>
      </c>
      <c r="Q311" s="48">
        <f>データ!P308</f>
        <v>0</v>
      </c>
      <c r="R311" s="39" t="str">
        <f>IF(OR($C311="総括",$C311="内訳書",$C311="内訳代価",$C311="明細書",$C311="明細代価",$C311="代価表",$C311="単価表"),データ!Q308,"")</f>
        <v/>
      </c>
      <c r="S311" s="11" t="str">
        <f t="shared" si="26"/>
        <v/>
      </c>
      <c r="T311" s="46" t="e">
        <f t="shared" si="27"/>
        <v>#DIV/0!</v>
      </c>
      <c r="U311" s="40" t="str">
        <f>IF(データ!R308="","",データ!R308)</f>
        <v/>
      </c>
      <c r="V311" s="41" t="str">
        <f>IF(データ!S308="","",データ!S308)</f>
        <v/>
      </c>
      <c r="W311" s="42">
        <f>データ!T308</f>
        <v>0</v>
      </c>
      <c r="X311" s="48">
        <f>IF($C311="集計行","",データ!U308)</f>
        <v>0</v>
      </c>
      <c r="Y311" s="48">
        <f>データ!V308</f>
        <v>0</v>
      </c>
      <c r="Z311" s="39" t="str">
        <f>IF(OR($C311="総括",$C311="内訳書",$C311="内訳代価",$C311="明細書",$C311="明細代価",$C311="代価表",$C311="単価表"),データ!W308,"")</f>
        <v/>
      </c>
      <c r="AA311" s="11" t="str">
        <f t="shared" si="28"/>
        <v/>
      </c>
      <c r="AB311" s="46" t="e">
        <f t="shared" si="29"/>
        <v>#DIV/0!</v>
      </c>
      <c r="AC311" s="40" t="str">
        <f>IF(データ!X308="","",データ!X308)</f>
        <v/>
      </c>
      <c r="AD311" s="41" t="str">
        <f>IF(データ!Y308="","",データ!Y308)</f>
        <v/>
      </c>
      <c r="AE311" s="47" t="str">
        <f>TRIM(データ!B308)</f>
        <v/>
      </c>
      <c r="AF311" s="43" t="str">
        <f>TRIM(データ!Z308)</f>
        <v/>
      </c>
    </row>
    <row r="312" spans="1:32" x14ac:dyDescent="0.15">
      <c r="A312" s="47">
        <f>データ!A309</f>
        <v>3</v>
      </c>
      <c r="B312" s="47" t="str">
        <f>TRIM(データ!C309)</f>
        <v/>
      </c>
      <c r="C312" s="47" t="str">
        <f>TRIM(データ!D309)</f>
        <v>材料費</v>
      </c>
      <c r="D312" s="36" t="str">
        <f>REPT("｜",$A312)&amp;TRIM(データ!E309)</f>
        <v>｜｜｜雑材</v>
      </c>
      <c r="E312" s="37" t="str">
        <f>TRIM(データ!F309)</f>
        <v/>
      </c>
      <c r="F312" s="38" t="str">
        <f>TRIM(データ!G309)</f>
        <v>式</v>
      </c>
      <c r="G312" s="50">
        <f>データ!H309</f>
        <v>1</v>
      </c>
      <c r="H312" s="48">
        <f>データ!I309</f>
        <v>69840</v>
      </c>
      <c r="I312" s="48">
        <f>データ!J309</f>
        <v>69840</v>
      </c>
      <c r="J312" s="39" t="str">
        <f>IF(OR($C312="総括",$C312="内訳書",$C312="内訳代価",$C312="明細書",$C312="明細代価",$C312="代価表",$C312="単価表"),データ!K309,"")</f>
        <v/>
      </c>
      <c r="K312" s="11" t="str">
        <f t="shared" si="24"/>
        <v/>
      </c>
      <c r="L312" s="46">
        <f t="shared" si="25"/>
        <v>1.0055721135156148E-3</v>
      </c>
      <c r="M312" s="40" t="str">
        <f>IF(データ!L309="","",データ!L309)</f>
        <v/>
      </c>
      <c r="N312" s="41" t="str">
        <f>IF(データ!M309="","",データ!M309)</f>
        <v/>
      </c>
      <c r="O312" s="42">
        <f>データ!N309</f>
        <v>0</v>
      </c>
      <c r="P312" s="48">
        <f>IF($C312="集計行","",データ!O309)</f>
        <v>0</v>
      </c>
      <c r="Q312" s="48">
        <f>データ!P309</f>
        <v>0</v>
      </c>
      <c r="R312" s="39" t="str">
        <f>IF(OR($C312="総括",$C312="内訳書",$C312="内訳代価",$C312="明細書",$C312="明細代価",$C312="代価表",$C312="単価表"),データ!Q309,"")</f>
        <v/>
      </c>
      <c r="S312" s="11" t="str">
        <f t="shared" si="26"/>
        <v/>
      </c>
      <c r="T312" s="46" t="e">
        <f t="shared" si="27"/>
        <v>#DIV/0!</v>
      </c>
      <c r="U312" s="40" t="str">
        <f>IF(データ!R309="","",データ!R309)</f>
        <v/>
      </c>
      <c r="V312" s="41" t="str">
        <f>IF(データ!S309="","",データ!S309)</f>
        <v/>
      </c>
      <c r="W312" s="42">
        <f>データ!T309</f>
        <v>0</v>
      </c>
      <c r="X312" s="48">
        <f>IF($C312="集計行","",データ!U309)</f>
        <v>0</v>
      </c>
      <c r="Y312" s="48">
        <f>データ!V309</f>
        <v>0</v>
      </c>
      <c r="Z312" s="39" t="str">
        <f>IF(OR($C312="総括",$C312="内訳書",$C312="内訳代価",$C312="明細書",$C312="明細代価",$C312="代価表",$C312="単価表"),データ!W309,"")</f>
        <v/>
      </c>
      <c r="AA312" s="11" t="str">
        <f t="shared" si="28"/>
        <v/>
      </c>
      <c r="AB312" s="46" t="e">
        <f t="shared" si="29"/>
        <v>#DIV/0!</v>
      </c>
      <c r="AC312" s="40" t="str">
        <f>IF(データ!X309="","",データ!X309)</f>
        <v/>
      </c>
      <c r="AD312" s="41" t="str">
        <f>IF(データ!Y309="","",データ!Y309)</f>
        <v/>
      </c>
      <c r="AE312" s="47" t="str">
        <f>TRIM(データ!B309)</f>
        <v/>
      </c>
      <c r="AF312" s="43" t="str">
        <f>TRIM(データ!Z309)</f>
        <v/>
      </c>
    </row>
    <row r="313" spans="1:32" x14ac:dyDescent="0.15">
      <c r="A313" s="47">
        <f>データ!A310</f>
        <v>3</v>
      </c>
      <c r="B313" s="47" t="str">
        <f>TRIM(データ!C310)</f>
        <v/>
      </c>
      <c r="C313" s="47" t="str">
        <f>TRIM(データ!D310)</f>
        <v>外注費</v>
      </c>
      <c r="D313" s="36" t="str">
        <f>REPT("｜",$A313)&amp;TRIM(データ!E310)</f>
        <v>｜｜｜外注経費</v>
      </c>
      <c r="E313" s="37" t="str">
        <f>TRIM(データ!F310)</f>
        <v/>
      </c>
      <c r="F313" s="38" t="str">
        <f>TRIM(データ!G310)</f>
        <v>式</v>
      </c>
      <c r="G313" s="50">
        <f>データ!H310</f>
        <v>1</v>
      </c>
      <c r="H313" s="48">
        <f>データ!I310</f>
        <v>18200</v>
      </c>
      <c r="I313" s="48">
        <f>データ!J310</f>
        <v>18200</v>
      </c>
      <c r="J313" s="39" t="str">
        <f>IF(OR($C313="総括",$C313="内訳書",$C313="内訳代価",$C313="明細書",$C313="明細代価",$C313="代価表",$C313="単価表"),データ!K310,"")</f>
        <v/>
      </c>
      <c r="K313" s="11" t="str">
        <f t="shared" si="24"/>
        <v/>
      </c>
      <c r="L313" s="46">
        <f t="shared" si="25"/>
        <v>2.6204771572142311E-4</v>
      </c>
      <c r="M313" s="40" t="str">
        <f>IF(データ!L310="","",データ!L310)</f>
        <v/>
      </c>
      <c r="N313" s="41" t="str">
        <f>IF(データ!M310="","",データ!M310)</f>
        <v/>
      </c>
      <c r="O313" s="42">
        <f>データ!N310</f>
        <v>0</v>
      </c>
      <c r="P313" s="48">
        <f>IF($C313="集計行","",データ!O310)</f>
        <v>0</v>
      </c>
      <c r="Q313" s="48">
        <f>データ!P310</f>
        <v>0</v>
      </c>
      <c r="R313" s="39" t="str">
        <f>IF(OR($C313="総括",$C313="内訳書",$C313="内訳代価",$C313="明細書",$C313="明細代価",$C313="代価表",$C313="単価表"),データ!Q310,"")</f>
        <v/>
      </c>
      <c r="S313" s="11" t="str">
        <f t="shared" si="26"/>
        <v/>
      </c>
      <c r="T313" s="46" t="e">
        <f t="shared" si="27"/>
        <v>#DIV/0!</v>
      </c>
      <c r="U313" s="40" t="str">
        <f>IF(データ!R310="","",データ!R310)</f>
        <v/>
      </c>
      <c r="V313" s="41" t="str">
        <f>IF(データ!S310="","",データ!S310)</f>
        <v/>
      </c>
      <c r="W313" s="42">
        <f>データ!T310</f>
        <v>0</v>
      </c>
      <c r="X313" s="48">
        <f>IF($C313="集計行","",データ!U310)</f>
        <v>0</v>
      </c>
      <c r="Y313" s="48">
        <f>データ!V310</f>
        <v>0</v>
      </c>
      <c r="Z313" s="39" t="str">
        <f>IF(OR($C313="総括",$C313="内訳書",$C313="内訳代価",$C313="明細書",$C313="明細代価",$C313="代価表",$C313="単価表"),データ!W310,"")</f>
        <v/>
      </c>
      <c r="AA313" s="11" t="str">
        <f t="shared" si="28"/>
        <v/>
      </c>
      <c r="AB313" s="46" t="e">
        <f t="shared" si="29"/>
        <v>#DIV/0!</v>
      </c>
      <c r="AC313" s="40" t="str">
        <f>IF(データ!X310="","",データ!X310)</f>
        <v/>
      </c>
      <c r="AD313" s="41" t="str">
        <f>IF(データ!Y310="","",データ!Y310)</f>
        <v/>
      </c>
      <c r="AE313" s="47" t="str">
        <f>TRIM(データ!B310)</f>
        <v/>
      </c>
      <c r="AF313" s="43" t="str">
        <f>TRIM(データ!Z310)</f>
        <v/>
      </c>
    </row>
    <row r="314" spans="1:32" x14ac:dyDescent="0.15">
      <c r="A314" s="47">
        <f>データ!A311</f>
        <v>2</v>
      </c>
      <c r="B314" s="47" t="str">
        <f>TRIM(データ!C311)</f>
        <v/>
      </c>
      <c r="C314" s="47" t="str">
        <f>TRIM(データ!D311)</f>
        <v>内訳書</v>
      </c>
      <c r="D314" s="36" t="str">
        <f>REPT("｜",$A314)&amp;TRIM(データ!E311)</f>
        <v>｜｜VP150</v>
      </c>
      <c r="E314" s="37" t="str">
        <f>TRIM(データ!F311)</f>
        <v/>
      </c>
      <c r="F314" s="38" t="str">
        <f>TRIM(データ!G311)</f>
        <v>ｍ</v>
      </c>
      <c r="G314" s="50">
        <f>データ!H311</f>
        <v>3.5</v>
      </c>
      <c r="H314" s="48">
        <f>データ!I311</f>
        <v>17000</v>
      </c>
      <c r="I314" s="48">
        <f>データ!J311</f>
        <v>59500</v>
      </c>
      <c r="J314" s="39">
        <f>IF(OR($C314="総括",$C314="内訳書",$C314="内訳代価",$C314="明細書",$C314="明細代価",$C314="代価表",$C314="単価表"),データ!K311,"")</f>
        <v>3.5</v>
      </c>
      <c r="K314" s="11" t="str">
        <f t="shared" si="24"/>
        <v/>
      </c>
      <c r="L314" s="46">
        <f t="shared" si="25"/>
        <v>8.5669445524311401E-4</v>
      </c>
      <c r="M314" s="40" t="str">
        <f>IF(データ!L311="","",データ!L311)</f>
        <v/>
      </c>
      <c r="N314" s="41" t="str">
        <f>IF(データ!M311="","",データ!M311)</f>
        <v>47号内訳書</v>
      </c>
      <c r="O314" s="42">
        <f>データ!N311</f>
        <v>0</v>
      </c>
      <c r="P314" s="48">
        <f>IF($C314="集計行","",データ!O311)</f>
        <v>0</v>
      </c>
      <c r="Q314" s="48">
        <f>データ!P311</f>
        <v>0</v>
      </c>
      <c r="R314" s="39">
        <f>IF(OR($C314="総括",$C314="内訳書",$C314="内訳代価",$C314="明細書",$C314="明細代価",$C314="代価表",$C314="単価表"),データ!Q311,"")</f>
        <v>0</v>
      </c>
      <c r="S314" s="11" t="str">
        <f t="shared" si="26"/>
        <v/>
      </c>
      <c r="T314" s="46" t="e">
        <f t="shared" si="27"/>
        <v>#DIV/0!</v>
      </c>
      <c r="U314" s="40" t="str">
        <f>IF(データ!R311="","",データ!R311)</f>
        <v/>
      </c>
      <c r="V314" s="41" t="str">
        <f>IF(データ!S311="","",データ!S311)</f>
        <v/>
      </c>
      <c r="W314" s="42">
        <f>データ!T311</f>
        <v>0</v>
      </c>
      <c r="X314" s="48">
        <f>IF($C314="集計行","",データ!U311)</f>
        <v>0</v>
      </c>
      <c r="Y314" s="48">
        <f>データ!V311</f>
        <v>0</v>
      </c>
      <c r="Z314" s="39">
        <f>IF(OR($C314="総括",$C314="内訳書",$C314="内訳代価",$C314="明細書",$C314="明細代価",$C314="代価表",$C314="単価表"),データ!W311,"")</f>
        <v>0</v>
      </c>
      <c r="AA314" s="11" t="str">
        <f t="shared" si="28"/>
        <v/>
      </c>
      <c r="AB314" s="46" t="e">
        <f t="shared" si="29"/>
        <v>#DIV/0!</v>
      </c>
      <c r="AC314" s="40" t="str">
        <f>IF(データ!X311="","",データ!X311)</f>
        <v/>
      </c>
      <c r="AD314" s="41" t="str">
        <f>IF(データ!Y311="","",データ!Y311)</f>
        <v/>
      </c>
      <c r="AE314" s="47" t="str">
        <f>TRIM(データ!B311)</f>
        <v/>
      </c>
      <c r="AF314" s="43" t="str">
        <f>TRIM(データ!Z311)</f>
        <v/>
      </c>
    </row>
    <row r="315" spans="1:32" x14ac:dyDescent="0.15">
      <c r="A315" s="47">
        <f>データ!A312</f>
        <v>3</v>
      </c>
      <c r="B315" s="47" t="str">
        <f>TRIM(データ!C312)</f>
        <v/>
      </c>
      <c r="C315" s="47" t="str">
        <f>TRIM(データ!D312)</f>
        <v>材料費</v>
      </c>
      <c r="D315" s="36" t="str">
        <f>REPT("｜",$A315)&amp;TRIM(データ!E312)</f>
        <v>｜｜｜VP150</v>
      </c>
      <c r="E315" s="37" t="str">
        <f>TRIM(データ!F312)</f>
        <v/>
      </c>
      <c r="F315" s="38" t="str">
        <f>TRIM(データ!G312)</f>
        <v>本</v>
      </c>
      <c r="G315" s="50">
        <f>データ!H312</f>
        <v>1</v>
      </c>
      <c r="H315" s="48">
        <f>データ!I312</f>
        <v>12800</v>
      </c>
      <c r="I315" s="48">
        <f>データ!J312</f>
        <v>12800</v>
      </c>
      <c r="J315" s="39" t="str">
        <f>IF(OR($C315="総括",$C315="内訳書",$C315="内訳代価",$C315="明細書",$C315="明細代価",$C315="代価表",$C315="単価表"),データ!K312,"")</f>
        <v/>
      </c>
      <c r="K315" s="11" t="str">
        <f t="shared" si="24"/>
        <v/>
      </c>
      <c r="L315" s="46">
        <f t="shared" si="25"/>
        <v>1.8429729457330858E-4</v>
      </c>
      <c r="M315" s="40" t="str">
        <f>IF(データ!L312="","",データ!L312)</f>
        <v/>
      </c>
      <c r="N315" s="41" t="str">
        <f>IF(データ!M312="","",データ!M312)</f>
        <v/>
      </c>
      <c r="O315" s="42">
        <f>データ!N312</f>
        <v>0</v>
      </c>
      <c r="P315" s="48">
        <f>IF($C315="集計行","",データ!O312)</f>
        <v>0</v>
      </c>
      <c r="Q315" s="48">
        <f>データ!P312</f>
        <v>0</v>
      </c>
      <c r="R315" s="39" t="str">
        <f>IF(OR($C315="総括",$C315="内訳書",$C315="内訳代価",$C315="明細書",$C315="明細代価",$C315="代価表",$C315="単価表"),データ!Q312,"")</f>
        <v/>
      </c>
      <c r="S315" s="11" t="str">
        <f t="shared" si="26"/>
        <v/>
      </c>
      <c r="T315" s="46" t="e">
        <f t="shared" si="27"/>
        <v>#DIV/0!</v>
      </c>
      <c r="U315" s="40" t="str">
        <f>IF(データ!R312="","",データ!R312)</f>
        <v/>
      </c>
      <c r="V315" s="41" t="str">
        <f>IF(データ!S312="","",データ!S312)</f>
        <v/>
      </c>
      <c r="W315" s="42">
        <f>データ!T312</f>
        <v>0</v>
      </c>
      <c r="X315" s="48">
        <f>IF($C315="集計行","",データ!U312)</f>
        <v>0</v>
      </c>
      <c r="Y315" s="48">
        <f>データ!V312</f>
        <v>0</v>
      </c>
      <c r="Z315" s="39" t="str">
        <f>IF(OR($C315="総括",$C315="内訳書",$C315="内訳代価",$C315="明細書",$C315="明細代価",$C315="代価表",$C315="単価表"),データ!W312,"")</f>
        <v/>
      </c>
      <c r="AA315" s="11" t="str">
        <f t="shared" si="28"/>
        <v/>
      </c>
      <c r="AB315" s="46" t="e">
        <f t="shared" si="29"/>
        <v>#DIV/0!</v>
      </c>
      <c r="AC315" s="40" t="str">
        <f>IF(データ!X312="","",データ!X312)</f>
        <v/>
      </c>
      <c r="AD315" s="41" t="str">
        <f>IF(データ!Y312="","",データ!Y312)</f>
        <v/>
      </c>
      <c r="AE315" s="47" t="str">
        <f>TRIM(データ!B312)</f>
        <v/>
      </c>
      <c r="AF315" s="43" t="str">
        <f>TRIM(データ!Z312)</f>
        <v/>
      </c>
    </row>
    <row r="316" spans="1:32" x14ac:dyDescent="0.15">
      <c r="A316" s="47">
        <f>データ!A313</f>
        <v>3</v>
      </c>
      <c r="B316" s="47" t="str">
        <f>TRIM(データ!C313)</f>
        <v/>
      </c>
      <c r="C316" s="47" t="str">
        <f>TRIM(データ!D313)</f>
        <v>材料費</v>
      </c>
      <c r="D316" s="36" t="str">
        <f>REPT("｜",$A316)&amp;TRIM(データ!E313)</f>
        <v>｜｜｜再生砂</v>
      </c>
      <c r="E316" s="37" t="str">
        <f>TRIM(データ!F313)</f>
        <v/>
      </c>
      <c r="F316" s="38" t="str">
        <f>TRIM(データ!G313)</f>
        <v>m3</v>
      </c>
      <c r="G316" s="50">
        <f>データ!H313</f>
        <v>1</v>
      </c>
      <c r="H316" s="48">
        <f>データ!I313</f>
        <v>3000</v>
      </c>
      <c r="I316" s="48">
        <f>データ!J313</f>
        <v>3000</v>
      </c>
      <c r="J316" s="39" t="str">
        <f>IF(OR($C316="総括",$C316="内訳書",$C316="内訳代価",$C316="明細書",$C316="明細代価",$C316="代価表",$C316="単価表"),データ!K313,"")</f>
        <v/>
      </c>
      <c r="K316" s="11" t="str">
        <f t="shared" si="24"/>
        <v/>
      </c>
      <c r="L316" s="46">
        <f t="shared" si="25"/>
        <v>4.3194678415619194E-5</v>
      </c>
      <c r="M316" s="40" t="str">
        <f>IF(データ!L313="","",データ!L313)</f>
        <v/>
      </c>
      <c r="N316" s="41" t="str">
        <f>IF(データ!M313="","",データ!M313)</f>
        <v/>
      </c>
      <c r="O316" s="42">
        <f>データ!N313</f>
        <v>0</v>
      </c>
      <c r="P316" s="48">
        <f>IF($C316="集計行","",データ!O313)</f>
        <v>0</v>
      </c>
      <c r="Q316" s="48">
        <f>データ!P313</f>
        <v>0</v>
      </c>
      <c r="R316" s="39" t="str">
        <f>IF(OR($C316="総括",$C316="内訳書",$C316="内訳代価",$C316="明細書",$C316="明細代価",$C316="代価表",$C316="単価表"),データ!Q313,"")</f>
        <v/>
      </c>
      <c r="S316" s="11" t="str">
        <f t="shared" si="26"/>
        <v/>
      </c>
      <c r="T316" s="46" t="e">
        <f t="shared" si="27"/>
        <v>#DIV/0!</v>
      </c>
      <c r="U316" s="40" t="str">
        <f>IF(データ!R313="","",データ!R313)</f>
        <v/>
      </c>
      <c r="V316" s="41" t="str">
        <f>IF(データ!S313="","",データ!S313)</f>
        <v/>
      </c>
      <c r="W316" s="42">
        <f>データ!T313</f>
        <v>0</v>
      </c>
      <c r="X316" s="48">
        <f>IF($C316="集計行","",データ!U313)</f>
        <v>0</v>
      </c>
      <c r="Y316" s="48">
        <f>データ!V313</f>
        <v>0</v>
      </c>
      <c r="Z316" s="39" t="str">
        <f>IF(OR($C316="総括",$C316="内訳書",$C316="内訳代価",$C316="明細書",$C316="明細代価",$C316="代価表",$C316="単価表"),データ!W313,"")</f>
        <v/>
      </c>
      <c r="AA316" s="11" t="str">
        <f t="shared" si="28"/>
        <v/>
      </c>
      <c r="AB316" s="46" t="e">
        <f t="shared" si="29"/>
        <v>#DIV/0!</v>
      </c>
      <c r="AC316" s="40" t="str">
        <f>IF(データ!X313="","",データ!X313)</f>
        <v/>
      </c>
      <c r="AD316" s="41" t="str">
        <f>IF(データ!Y313="","",データ!Y313)</f>
        <v/>
      </c>
      <c r="AE316" s="47" t="str">
        <f>TRIM(データ!B313)</f>
        <v/>
      </c>
      <c r="AF316" s="43" t="str">
        <f>TRIM(データ!Z313)</f>
        <v/>
      </c>
    </row>
    <row r="317" spans="1:32" x14ac:dyDescent="0.15">
      <c r="A317" s="47">
        <f>データ!A314</f>
        <v>3</v>
      </c>
      <c r="B317" s="47" t="str">
        <f>TRIM(データ!C314)</f>
        <v/>
      </c>
      <c r="C317" s="47" t="str">
        <f>TRIM(データ!D314)</f>
        <v>労務費</v>
      </c>
      <c r="D317" s="36" t="str">
        <f>REPT("｜",$A317)&amp;TRIM(データ!E314)</f>
        <v>｜｜｜技工</v>
      </c>
      <c r="E317" s="37" t="str">
        <f>TRIM(データ!F314)</f>
        <v/>
      </c>
      <c r="F317" s="38" t="str">
        <f>TRIM(データ!G314)</f>
        <v>人</v>
      </c>
      <c r="G317" s="50">
        <f>データ!H314</f>
        <v>0.5</v>
      </c>
      <c r="H317" s="48">
        <f>データ!I314</f>
        <v>28000</v>
      </c>
      <c r="I317" s="48">
        <f>データ!J314</f>
        <v>14000</v>
      </c>
      <c r="J317" s="39" t="str">
        <f>IF(OR($C317="総括",$C317="内訳書",$C317="内訳代価",$C317="明細書",$C317="明細代価",$C317="代価表",$C317="単価表"),データ!K314,"")</f>
        <v/>
      </c>
      <c r="K317" s="11" t="str">
        <f t="shared" si="24"/>
        <v/>
      </c>
      <c r="L317" s="46">
        <f t="shared" si="25"/>
        <v>2.0157516593955624E-4</v>
      </c>
      <c r="M317" s="40" t="str">
        <f>IF(データ!L314="","",データ!L314)</f>
        <v/>
      </c>
      <c r="N317" s="41" t="str">
        <f>IF(データ!M314="","",データ!M314)</f>
        <v/>
      </c>
      <c r="O317" s="42">
        <f>データ!N314</f>
        <v>0</v>
      </c>
      <c r="P317" s="48">
        <f>IF($C317="集計行","",データ!O314)</f>
        <v>0</v>
      </c>
      <c r="Q317" s="48">
        <f>データ!P314</f>
        <v>0</v>
      </c>
      <c r="R317" s="39" t="str">
        <f>IF(OR($C317="総括",$C317="内訳書",$C317="内訳代価",$C317="明細書",$C317="明細代価",$C317="代価表",$C317="単価表"),データ!Q314,"")</f>
        <v/>
      </c>
      <c r="S317" s="11" t="str">
        <f t="shared" si="26"/>
        <v/>
      </c>
      <c r="T317" s="46" t="e">
        <f t="shared" si="27"/>
        <v>#DIV/0!</v>
      </c>
      <c r="U317" s="40" t="str">
        <f>IF(データ!R314="","",データ!R314)</f>
        <v/>
      </c>
      <c r="V317" s="41" t="str">
        <f>IF(データ!S314="","",データ!S314)</f>
        <v/>
      </c>
      <c r="W317" s="42">
        <f>データ!T314</f>
        <v>0</v>
      </c>
      <c r="X317" s="48">
        <f>IF($C317="集計行","",データ!U314)</f>
        <v>0</v>
      </c>
      <c r="Y317" s="48">
        <f>データ!V314</f>
        <v>0</v>
      </c>
      <c r="Z317" s="39" t="str">
        <f>IF(OR($C317="総括",$C317="内訳書",$C317="内訳代価",$C317="明細書",$C317="明細代価",$C317="代価表",$C317="単価表"),データ!W314,"")</f>
        <v/>
      </c>
      <c r="AA317" s="11" t="str">
        <f t="shared" si="28"/>
        <v/>
      </c>
      <c r="AB317" s="46" t="e">
        <f t="shared" si="29"/>
        <v>#DIV/0!</v>
      </c>
      <c r="AC317" s="40" t="str">
        <f>IF(データ!X314="","",データ!X314)</f>
        <v/>
      </c>
      <c r="AD317" s="41" t="str">
        <f>IF(データ!Y314="","",データ!Y314)</f>
        <v/>
      </c>
      <c r="AE317" s="47" t="str">
        <f>TRIM(データ!B314)</f>
        <v/>
      </c>
      <c r="AF317" s="43" t="str">
        <f>TRIM(データ!Z314)</f>
        <v/>
      </c>
    </row>
    <row r="318" spans="1:32" x14ac:dyDescent="0.15">
      <c r="A318" s="47">
        <f>データ!A315</f>
        <v>3</v>
      </c>
      <c r="B318" s="47" t="str">
        <f>TRIM(データ!C315)</f>
        <v/>
      </c>
      <c r="C318" s="47" t="str">
        <f>TRIM(データ!D315)</f>
        <v>機械費</v>
      </c>
      <c r="D318" s="36" t="str">
        <f>REPT("｜",$A318)&amp;TRIM(データ!E315)</f>
        <v>｜｜｜BH0.15</v>
      </c>
      <c r="E318" s="37" t="str">
        <f>TRIM(データ!F315)</f>
        <v/>
      </c>
      <c r="F318" s="38" t="str">
        <f>TRIM(データ!G315)</f>
        <v>台</v>
      </c>
      <c r="G318" s="50">
        <f>データ!H315</f>
        <v>0.5</v>
      </c>
      <c r="H318" s="48">
        <f>データ!I315</f>
        <v>8000</v>
      </c>
      <c r="I318" s="48">
        <f>データ!J315</f>
        <v>4000</v>
      </c>
      <c r="J318" s="39" t="str">
        <f>IF(OR($C318="総括",$C318="内訳書",$C318="内訳代価",$C318="明細書",$C318="明細代価",$C318="代価表",$C318="単価表"),データ!K315,"")</f>
        <v/>
      </c>
      <c r="K318" s="11" t="str">
        <f t="shared" si="24"/>
        <v/>
      </c>
      <c r="L318" s="46">
        <f t="shared" si="25"/>
        <v>5.7592904554158925E-5</v>
      </c>
      <c r="M318" s="40" t="str">
        <f>IF(データ!L315="","",データ!L315)</f>
        <v/>
      </c>
      <c r="N318" s="41" t="str">
        <f>IF(データ!M315="","",データ!M315)</f>
        <v/>
      </c>
      <c r="O318" s="42">
        <f>データ!N315</f>
        <v>0</v>
      </c>
      <c r="P318" s="48">
        <f>IF($C318="集計行","",データ!O315)</f>
        <v>0</v>
      </c>
      <c r="Q318" s="48">
        <f>データ!P315</f>
        <v>0</v>
      </c>
      <c r="R318" s="39" t="str">
        <f>IF(OR($C318="総括",$C318="内訳書",$C318="内訳代価",$C318="明細書",$C318="明細代価",$C318="代価表",$C318="単価表"),データ!Q315,"")</f>
        <v/>
      </c>
      <c r="S318" s="11" t="str">
        <f t="shared" si="26"/>
        <v/>
      </c>
      <c r="T318" s="46" t="e">
        <f t="shared" si="27"/>
        <v>#DIV/0!</v>
      </c>
      <c r="U318" s="40" t="str">
        <f>IF(データ!R315="","",データ!R315)</f>
        <v/>
      </c>
      <c r="V318" s="41" t="str">
        <f>IF(データ!S315="","",データ!S315)</f>
        <v/>
      </c>
      <c r="W318" s="42">
        <f>データ!T315</f>
        <v>0</v>
      </c>
      <c r="X318" s="48">
        <f>IF($C318="集計行","",データ!U315)</f>
        <v>0</v>
      </c>
      <c r="Y318" s="48">
        <f>データ!V315</f>
        <v>0</v>
      </c>
      <c r="Z318" s="39" t="str">
        <f>IF(OR($C318="総括",$C318="内訳書",$C318="内訳代価",$C318="明細書",$C318="明細代価",$C318="代価表",$C318="単価表"),データ!W315,"")</f>
        <v/>
      </c>
      <c r="AA318" s="11" t="str">
        <f t="shared" si="28"/>
        <v/>
      </c>
      <c r="AB318" s="46" t="e">
        <f t="shared" si="29"/>
        <v>#DIV/0!</v>
      </c>
      <c r="AC318" s="40" t="str">
        <f>IF(データ!X315="","",データ!X315)</f>
        <v/>
      </c>
      <c r="AD318" s="41" t="str">
        <f>IF(データ!Y315="","",データ!Y315)</f>
        <v/>
      </c>
      <c r="AE318" s="47" t="str">
        <f>TRIM(データ!B315)</f>
        <v/>
      </c>
      <c r="AF318" s="43" t="str">
        <f>TRIM(データ!Z315)</f>
        <v/>
      </c>
    </row>
    <row r="319" spans="1:32" x14ac:dyDescent="0.15">
      <c r="A319" s="47">
        <f>データ!A316</f>
        <v>3</v>
      </c>
      <c r="B319" s="47" t="str">
        <f>TRIM(データ!C316)</f>
        <v/>
      </c>
      <c r="C319" s="47" t="str">
        <f>TRIM(データ!D316)</f>
        <v>機械費</v>
      </c>
      <c r="D319" s="36" t="str">
        <f>REPT("｜",$A319)&amp;TRIM(データ!E316)</f>
        <v>｜｜｜プレート</v>
      </c>
      <c r="E319" s="37" t="str">
        <f>TRIM(データ!F316)</f>
        <v/>
      </c>
      <c r="F319" s="38" t="str">
        <f>TRIM(データ!G316)</f>
        <v>台</v>
      </c>
      <c r="G319" s="50">
        <f>データ!H316</f>
        <v>0.5</v>
      </c>
      <c r="H319" s="48">
        <f>データ!I316</f>
        <v>1500</v>
      </c>
      <c r="I319" s="48">
        <f>データ!J316</f>
        <v>750</v>
      </c>
      <c r="J319" s="39" t="str">
        <f>IF(OR($C319="総括",$C319="内訳書",$C319="内訳代価",$C319="明細書",$C319="明細代価",$C319="代価表",$C319="単価表"),データ!K316,"")</f>
        <v/>
      </c>
      <c r="K319" s="11" t="str">
        <f t="shared" si="24"/>
        <v/>
      </c>
      <c r="L319" s="46">
        <f t="shared" si="25"/>
        <v>1.0798669603904798E-5</v>
      </c>
      <c r="M319" s="40" t="str">
        <f>IF(データ!L316="","",データ!L316)</f>
        <v/>
      </c>
      <c r="N319" s="41" t="str">
        <f>IF(データ!M316="","",データ!M316)</f>
        <v/>
      </c>
      <c r="O319" s="42">
        <f>データ!N316</f>
        <v>0</v>
      </c>
      <c r="P319" s="48">
        <f>IF($C319="集計行","",データ!O316)</f>
        <v>0</v>
      </c>
      <c r="Q319" s="48">
        <f>データ!P316</f>
        <v>0</v>
      </c>
      <c r="R319" s="39" t="str">
        <f>IF(OR($C319="総括",$C319="内訳書",$C319="内訳代価",$C319="明細書",$C319="明細代価",$C319="代価表",$C319="単価表"),データ!Q316,"")</f>
        <v/>
      </c>
      <c r="S319" s="11" t="str">
        <f t="shared" si="26"/>
        <v/>
      </c>
      <c r="T319" s="46" t="e">
        <f t="shared" si="27"/>
        <v>#DIV/0!</v>
      </c>
      <c r="U319" s="40" t="str">
        <f>IF(データ!R316="","",データ!R316)</f>
        <v/>
      </c>
      <c r="V319" s="41" t="str">
        <f>IF(データ!S316="","",データ!S316)</f>
        <v/>
      </c>
      <c r="W319" s="42">
        <f>データ!T316</f>
        <v>0</v>
      </c>
      <c r="X319" s="48">
        <f>IF($C319="集計行","",データ!U316)</f>
        <v>0</v>
      </c>
      <c r="Y319" s="48">
        <f>データ!V316</f>
        <v>0</v>
      </c>
      <c r="Z319" s="39" t="str">
        <f>IF(OR($C319="総括",$C319="内訳書",$C319="内訳代価",$C319="明細書",$C319="明細代価",$C319="代価表",$C319="単価表"),データ!W316,"")</f>
        <v/>
      </c>
      <c r="AA319" s="11" t="str">
        <f t="shared" si="28"/>
        <v/>
      </c>
      <c r="AB319" s="46" t="e">
        <f t="shared" si="29"/>
        <v>#DIV/0!</v>
      </c>
      <c r="AC319" s="40" t="str">
        <f>IF(データ!X316="","",データ!X316)</f>
        <v/>
      </c>
      <c r="AD319" s="41" t="str">
        <f>IF(データ!Y316="","",データ!Y316)</f>
        <v/>
      </c>
      <c r="AE319" s="47" t="str">
        <f>TRIM(データ!B316)</f>
        <v/>
      </c>
      <c r="AF319" s="43" t="str">
        <f>TRIM(データ!Z316)</f>
        <v/>
      </c>
    </row>
    <row r="320" spans="1:32" x14ac:dyDescent="0.15">
      <c r="A320" s="47">
        <f>データ!A317</f>
        <v>3</v>
      </c>
      <c r="B320" s="47" t="str">
        <f>TRIM(データ!C317)</f>
        <v/>
      </c>
      <c r="C320" s="47" t="str">
        <f>TRIM(データ!D317)</f>
        <v>機械費</v>
      </c>
      <c r="D320" s="36" t="str">
        <f>REPT("｜",$A320)&amp;TRIM(データ!E317)</f>
        <v>｜｜｜ランマー</v>
      </c>
      <c r="E320" s="37" t="str">
        <f>TRIM(データ!F317)</f>
        <v/>
      </c>
      <c r="F320" s="38" t="str">
        <f>TRIM(データ!G317)</f>
        <v>台</v>
      </c>
      <c r="G320" s="50">
        <f>データ!H317</f>
        <v>0.5</v>
      </c>
      <c r="H320" s="48">
        <f>データ!I317</f>
        <v>1500</v>
      </c>
      <c r="I320" s="48">
        <f>データ!J317</f>
        <v>750</v>
      </c>
      <c r="J320" s="39" t="str">
        <f>IF(OR($C320="総括",$C320="内訳書",$C320="内訳代価",$C320="明細書",$C320="明細代価",$C320="代価表",$C320="単価表"),データ!K317,"")</f>
        <v/>
      </c>
      <c r="K320" s="11" t="str">
        <f t="shared" si="24"/>
        <v/>
      </c>
      <c r="L320" s="46">
        <f t="shared" si="25"/>
        <v>1.0798669603904798E-5</v>
      </c>
      <c r="M320" s="40" t="str">
        <f>IF(データ!L317="","",データ!L317)</f>
        <v/>
      </c>
      <c r="N320" s="41" t="str">
        <f>IF(データ!M317="","",データ!M317)</f>
        <v/>
      </c>
      <c r="O320" s="42">
        <f>データ!N317</f>
        <v>0</v>
      </c>
      <c r="P320" s="48">
        <f>IF($C320="集計行","",データ!O317)</f>
        <v>0</v>
      </c>
      <c r="Q320" s="48">
        <f>データ!P317</f>
        <v>0</v>
      </c>
      <c r="R320" s="39" t="str">
        <f>IF(OR($C320="総括",$C320="内訳書",$C320="内訳代価",$C320="明細書",$C320="明細代価",$C320="代価表",$C320="単価表"),データ!Q317,"")</f>
        <v/>
      </c>
      <c r="S320" s="11" t="str">
        <f t="shared" si="26"/>
        <v/>
      </c>
      <c r="T320" s="46" t="e">
        <f t="shared" si="27"/>
        <v>#DIV/0!</v>
      </c>
      <c r="U320" s="40" t="str">
        <f>IF(データ!R317="","",データ!R317)</f>
        <v/>
      </c>
      <c r="V320" s="41" t="str">
        <f>IF(データ!S317="","",データ!S317)</f>
        <v/>
      </c>
      <c r="W320" s="42">
        <f>データ!T317</f>
        <v>0</v>
      </c>
      <c r="X320" s="48">
        <f>IF($C320="集計行","",データ!U317)</f>
        <v>0</v>
      </c>
      <c r="Y320" s="48">
        <f>データ!V317</f>
        <v>0</v>
      </c>
      <c r="Z320" s="39" t="str">
        <f>IF(OR($C320="総括",$C320="内訳書",$C320="内訳代価",$C320="明細書",$C320="明細代価",$C320="代価表",$C320="単価表"),データ!W317,"")</f>
        <v/>
      </c>
      <c r="AA320" s="11" t="str">
        <f t="shared" si="28"/>
        <v/>
      </c>
      <c r="AB320" s="46" t="e">
        <f t="shared" si="29"/>
        <v>#DIV/0!</v>
      </c>
      <c r="AC320" s="40" t="str">
        <f>IF(データ!X317="","",データ!X317)</f>
        <v/>
      </c>
      <c r="AD320" s="41" t="str">
        <f>IF(データ!Y317="","",データ!Y317)</f>
        <v/>
      </c>
      <c r="AE320" s="47" t="str">
        <f>TRIM(データ!B317)</f>
        <v/>
      </c>
      <c r="AF320" s="43" t="str">
        <f>TRIM(データ!Z317)</f>
        <v/>
      </c>
    </row>
    <row r="321" spans="1:32" x14ac:dyDescent="0.15">
      <c r="A321" s="47">
        <f>データ!A318</f>
        <v>3</v>
      </c>
      <c r="B321" s="47" t="str">
        <f>TRIM(データ!C318)</f>
        <v/>
      </c>
      <c r="C321" s="47" t="str">
        <f>TRIM(データ!D318)</f>
        <v>運搬費</v>
      </c>
      <c r="D321" s="36" t="str">
        <f>REPT("｜",$A321)&amp;TRIM(データ!E318)</f>
        <v>｜｜｜4tダンプ</v>
      </c>
      <c r="E321" s="37" t="str">
        <f>TRIM(データ!F318)</f>
        <v/>
      </c>
      <c r="F321" s="38" t="str">
        <f>TRIM(データ!G318)</f>
        <v>台</v>
      </c>
      <c r="G321" s="50">
        <f>データ!H318</f>
        <v>0.5</v>
      </c>
      <c r="H321" s="48">
        <f>データ!I318</f>
        <v>10000</v>
      </c>
      <c r="I321" s="48">
        <f>データ!J318</f>
        <v>5000</v>
      </c>
      <c r="J321" s="39" t="str">
        <f>IF(OR($C321="総括",$C321="内訳書",$C321="内訳代価",$C321="明細書",$C321="明細代価",$C321="代価表",$C321="単価表"),データ!K318,"")</f>
        <v/>
      </c>
      <c r="K321" s="11" t="str">
        <f t="shared" si="24"/>
        <v/>
      </c>
      <c r="L321" s="46">
        <f t="shared" si="25"/>
        <v>7.1991130692698657E-5</v>
      </c>
      <c r="M321" s="40" t="str">
        <f>IF(データ!L318="","",データ!L318)</f>
        <v/>
      </c>
      <c r="N321" s="41" t="str">
        <f>IF(データ!M318="","",データ!M318)</f>
        <v/>
      </c>
      <c r="O321" s="42">
        <f>データ!N318</f>
        <v>0</v>
      </c>
      <c r="P321" s="48">
        <f>IF($C321="集計行","",データ!O318)</f>
        <v>0</v>
      </c>
      <c r="Q321" s="48">
        <f>データ!P318</f>
        <v>0</v>
      </c>
      <c r="R321" s="39" t="str">
        <f>IF(OR($C321="総括",$C321="内訳書",$C321="内訳代価",$C321="明細書",$C321="明細代価",$C321="代価表",$C321="単価表"),データ!Q318,"")</f>
        <v/>
      </c>
      <c r="S321" s="11" t="str">
        <f t="shared" si="26"/>
        <v/>
      </c>
      <c r="T321" s="46" t="e">
        <f t="shared" si="27"/>
        <v>#DIV/0!</v>
      </c>
      <c r="U321" s="40" t="str">
        <f>IF(データ!R318="","",データ!R318)</f>
        <v/>
      </c>
      <c r="V321" s="41" t="str">
        <f>IF(データ!S318="","",データ!S318)</f>
        <v/>
      </c>
      <c r="W321" s="42">
        <f>データ!T318</f>
        <v>0</v>
      </c>
      <c r="X321" s="48">
        <f>IF($C321="集計行","",データ!U318)</f>
        <v>0</v>
      </c>
      <c r="Y321" s="48">
        <f>データ!V318</f>
        <v>0</v>
      </c>
      <c r="Z321" s="39" t="str">
        <f>IF(OR($C321="総括",$C321="内訳書",$C321="内訳代価",$C321="明細書",$C321="明細代価",$C321="代価表",$C321="単価表"),データ!W318,"")</f>
        <v/>
      </c>
      <c r="AA321" s="11" t="str">
        <f t="shared" si="28"/>
        <v/>
      </c>
      <c r="AB321" s="46" t="e">
        <f t="shared" si="29"/>
        <v>#DIV/0!</v>
      </c>
      <c r="AC321" s="40" t="str">
        <f>IF(データ!X318="","",データ!X318)</f>
        <v/>
      </c>
      <c r="AD321" s="41" t="str">
        <f>IF(データ!Y318="","",データ!Y318)</f>
        <v/>
      </c>
      <c r="AE321" s="47" t="str">
        <f>TRIM(データ!B318)</f>
        <v/>
      </c>
      <c r="AF321" s="43" t="str">
        <f>TRIM(データ!Z318)</f>
        <v/>
      </c>
    </row>
    <row r="322" spans="1:32" x14ac:dyDescent="0.15">
      <c r="A322" s="47">
        <f>データ!A319</f>
        <v>3</v>
      </c>
      <c r="B322" s="47" t="str">
        <f>TRIM(データ!C319)</f>
        <v/>
      </c>
      <c r="C322" s="47" t="str">
        <f>TRIM(データ!D319)</f>
        <v>運搬費</v>
      </c>
      <c r="D322" s="36" t="str">
        <f>REPT("｜",$A322)&amp;TRIM(データ!E319)</f>
        <v>｜｜｜2tダンプ</v>
      </c>
      <c r="E322" s="37" t="str">
        <f>TRIM(データ!F319)</f>
        <v/>
      </c>
      <c r="F322" s="38" t="str">
        <f>TRIM(データ!G319)</f>
        <v>台</v>
      </c>
      <c r="G322" s="50">
        <f>データ!H319</f>
        <v>0.5</v>
      </c>
      <c r="H322" s="48">
        <f>データ!I319</f>
        <v>7000</v>
      </c>
      <c r="I322" s="48">
        <f>データ!J319</f>
        <v>3500</v>
      </c>
      <c r="J322" s="39" t="str">
        <f>IF(OR($C322="総括",$C322="内訳書",$C322="内訳代価",$C322="明細書",$C322="明細代価",$C322="代価表",$C322="単価表"),データ!K319,"")</f>
        <v/>
      </c>
      <c r="K322" s="11" t="str">
        <f t="shared" si="24"/>
        <v/>
      </c>
      <c r="L322" s="46">
        <f t="shared" si="25"/>
        <v>5.039379148488906E-5</v>
      </c>
      <c r="M322" s="40" t="str">
        <f>IF(データ!L319="","",データ!L319)</f>
        <v/>
      </c>
      <c r="N322" s="41" t="str">
        <f>IF(データ!M319="","",データ!M319)</f>
        <v/>
      </c>
      <c r="O322" s="42">
        <f>データ!N319</f>
        <v>0</v>
      </c>
      <c r="P322" s="48">
        <f>IF($C322="集計行","",データ!O319)</f>
        <v>0</v>
      </c>
      <c r="Q322" s="48">
        <f>データ!P319</f>
        <v>0</v>
      </c>
      <c r="R322" s="39" t="str">
        <f>IF(OR($C322="総括",$C322="内訳書",$C322="内訳代価",$C322="明細書",$C322="明細代価",$C322="代価表",$C322="単価表"),データ!Q319,"")</f>
        <v/>
      </c>
      <c r="S322" s="11" t="str">
        <f t="shared" si="26"/>
        <v/>
      </c>
      <c r="T322" s="46" t="e">
        <f t="shared" si="27"/>
        <v>#DIV/0!</v>
      </c>
      <c r="U322" s="40" t="str">
        <f>IF(データ!R319="","",データ!R319)</f>
        <v/>
      </c>
      <c r="V322" s="41" t="str">
        <f>IF(データ!S319="","",データ!S319)</f>
        <v/>
      </c>
      <c r="W322" s="42">
        <f>データ!T319</f>
        <v>0</v>
      </c>
      <c r="X322" s="48">
        <f>IF($C322="集計行","",データ!U319)</f>
        <v>0</v>
      </c>
      <c r="Y322" s="48">
        <f>データ!V319</f>
        <v>0</v>
      </c>
      <c r="Z322" s="39" t="str">
        <f>IF(OR($C322="総括",$C322="内訳書",$C322="内訳代価",$C322="明細書",$C322="明細代価",$C322="代価表",$C322="単価表"),データ!W319,"")</f>
        <v/>
      </c>
      <c r="AA322" s="11" t="str">
        <f t="shared" si="28"/>
        <v/>
      </c>
      <c r="AB322" s="46" t="e">
        <f t="shared" si="29"/>
        <v>#DIV/0!</v>
      </c>
      <c r="AC322" s="40" t="str">
        <f>IF(データ!X319="","",データ!X319)</f>
        <v/>
      </c>
      <c r="AD322" s="41" t="str">
        <f>IF(データ!Y319="","",データ!Y319)</f>
        <v/>
      </c>
      <c r="AE322" s="47" t="str">
        <f>TRIM(データ!B319)</f>
        <v/>
      </c>
      <c r="AF322" s="43" t="str">
        <f>TRIM(データ!Z319)</f>
        <v/>
      </c>
    </row>
    <row r="323" spans="1:32" x14ac:dyDescent="0.15">
      <c r="A323" s="47">
        <f>データ!A320</f>
        <v>3</v>
      </c>
      <c r="B323" s="47" t="str">
        <f>TRIM(データ!C320)</f>
        <v/>
      </c>
      <c r="C323" s="47" t="str">
        <f>TRIM(データ!D320)</f>
        <v>材料費</v>
      </c>
      <c r="D323" s="36" t="str">
        <f>REPT("｜",$A323)&amp;TRIM(データ!E320)</f>
        <v>｜｜｜軽油</v>
      </c>
      <c r="E323" s="37" t="str">
        <f>TRIM(データ!F320)</f>
        <v/>
      </c>
      <c r="F323" s="38" t="str">
        <f>TRIM(データ!G320)</f>
        <v>リットル</v>
      </c>
      <c r="G323" s="50">
        <f>データ!H320</f>
        <v>20</v>
      </c>
      <c r="H323" s="48">
        <f>データ!I320</f>
        <v>150</v>
      </c>
      <c r="I323" s="48">
        <f>データ!J320</f>
        <v>3000</v>
      </c>
      <c r="J323" s="39" t="str">
        <f>IF(OR($C323="総括",$C323="内訳書",$C323="内訳代価",$C323="明細書",$C323="明細代価",$C323="代価表",$C323="単価表"),データ!K320,"")</f>
        <v/>
      </c>
      <c r="K323" s="11" t="str">
        <f t="shared" si="24"/>
        <v/>
      </c>
      <c r="L323" s="46">
        <f t="shared" si="25"/>
        <v>4.3194678415619194E-5</v>
      </c>
      <c r="M323" s="40" t="str">
        <f>IF(データ!L320="","",データ!L320)</f>
        <v/>
      </c>
      <c r="N323" s="41" t="str">
        <f>IF(データ!M320="","",データ!M320)</f>
        <v/>
      </c>
      <c r="O323" s="42">
        <f>データ!N320</f>
        <v>0</v>
      </c>
      <c r="P323" s="48">
        <f>IF($C323="集計行","",データ!O320)</f>
        <v>0</v>
      </c>
      <c r="Q323" s="48">
        <f>データ!P320</f>
        <v>0</v>
      </c>
      <c r="R323" s="39" t="str">
        <f>IF(OR($C323="総括",$C323="内訳書",$C323="内訳代価",$C323="明細書",$C323="明細代価",$C323="代価表",$C323="単価表"),データ!Q320,"")</f>
        <v/>
      </c>
      <c r="S323" s="11" t="str">
        <f t="shared" si="26"/>
        <v/>
      </c>
      <c r="T323" s="46" t="e">
        <f t="shared" si="27"/>
        <v>#DIV/0!</v>
      </c>
      <c r="U323" s="40" t="str">
        <f>IF(データ!R320="","",データ!R320)</f>
        <v/>
      </c>
      <c r="V323" s="41" t="str">
        <f>IF(データ!S320="","",データ!S320)</f>
        <v/>
      </c>
      <c r="W323" s="42">
        <f>データ!T320</f>
        <v>0</v>
      </c>
      <c r="X323" s="48">
        <f>IF($C323="集計行","",データ!U320)</f>
        <v>0</v>
      </c>
      <c r="Y323" s="48">
        <f>データ!V320</f>
        <v>0</v>
      </c>
      <c r="Z323" s="39" t="str">
        <f>IF(OR($C323="総括",$C323="内訳書",$C323="内訳代価",$C323="明細書",$C323="明細代価",$C323="代価表",$C323="単価表"),データ!W320,"")</f>
        <v/>
      </c>
      <c r="AA323" s="11" t="str">
        <f t="shared" si="28"/>
        <v/>
      </c>
      <c r="AB323" s="46" t="e">
        <f t="shared" si="29"/>
        <v>#DIV/0!</v>
      </c>
      <c r="AC323" s="40" t="str">
        <f>IF(データ!X320="","",データ!X320)</f>
        <v/>
      </c>
      <c r="AD323" s="41" t="str">
        <f>IF(データ!Y320="","",データ!Y320)</f>
        <v/>
      </c>
      <c r="AE323" s="47" t="str">
        <f>TRIM(データ!B320)</f>
        <v/>
      </c>
      <c r="AF323" s="43" t="str">
        <f>TRIM(データ!Z320)</f>
        <v/>
      </c>
    </row>
    <row r="324" spans="1:32" x14ac:dyDescent="0.15">
      <c r="A324" s="47">
        <f>データ!A321</f>
        <v>3</v>
      </c>
      <c r="B324" s="47" t="str">
        <f>TRIM(データ!C321)</f>
        <v/>
      </c>
      <c r="C324" s="47" t="str">
        <f>TRIM(データ!D321)</f>
        <v>材料費</v>
      </c>
      <c r="D324" s="36" t="str">
        <f>REPT("｜",$A324)&amp;TRIM(データ!E321)</f>
        <v>｜｜｜ガソリン</v>
      </c>
      <c r="E324" s="37" t="str">
        <f>TRIM(データ!F321)</f>
        <v/>
      </c>
      <c r="F324" s="38" t="str">
        <f>TRIM(データ!G321)</f>
        <v>リットル</v>
      </c>
      <c r="G324" s="50">
        <f>データ!H321</f>
        <v>20</v>
      </c>
      <c r="H324" s="48">
        <f>データ!I321</f>
        <v>200</v>
      </c>
      <c r="I324" s="48">
        <f>データ!J321</f>
        <v>4000</v>
      </c>
      <c r="J324" s="39" t="str">
        <f>IF(OR($C324="総括",$C324="内訳書",$C324="内訳代価",$C324="明細書",$C324="明細代価",$C324="代価表",$C324="単価表"),データ!K321,"")</f>
        <v/>
      </c>
      <c r="K324" s="11" t="str">
        <f t="shared" si="24"/>
        <v/>
      </c>
      <c r="L324" s="46">
        <f t="shared" si="25"/>
        <v>5.7592904554158925E-5</v>
      </c>
      <c r="M324" s="40" t="str">
        <f>IF(データ!L321="","",データ!L321)</f>
        <v/>
      </c>
      <c r="N324" s="41" t="str">
        <f>IF(データ!M321="","",データ!M321)</f>
        <v/>
      </c>
      <c r="O324" s="42">
        <f>データ!N321</f>
        <v>0</v>
      </c>
      <c r="P324" s="48">
        <f>IF($C324="集計行","",データ!O321)</f>
        <v>0</v>
      </c>
      <c r="Q324" s="48">
        <f>データ!P321</f>
        <v>0</v>
      </c>
      <c r="R324" s="39" t="str">
        <f>IF(OR($C324="総括",$C324="内訳書",$C324="内訳代価",$C324="明細書",$C324="明細代価",$C324="代価表",$C324="単価表"),データ!Q321,"")</f>
        <v/>
      </c>
      <c r="S324" s="11" t="str">
        <f t="shared" si="26"/>
        <v/>
      </c>
      <c r="T324" s="46" t="e">
        <f t="shared" si="27"/>
        <v>#DIV/0!</v>
      </c>
      <c r="U324" s="40" t="str">
        <f>IF(データ!R321="","",データ!R321)</f>
        <v/>
      </c>
      <c r="V324" s="41" t="str">
        <f>IF(データ!S321="","",データ!S321)</f>
        <v/>
      </c>
      <c r="W324" s="42">
        <f>データ!T321</f>
        <v>0</v>
      </c>
      <c r="X324" s="48">
        <f>IF($C324="集計行","",データ!U321)</f>
        <v>0</v>
      </c>
      <c r="Y324" s="48">
        <f>データ!V321</f>
        <v>0</v>
      </c>
      <c r="Z324" s="39" t="str">
        <f>IF(OR($C324="総括",$C324="内訳書",$C324="内訳代価",$C324="明細書",$C324="明細代価",$C324="代価表",$C324="単価表"),データ!W321,"")</f>
        <v/>
      </c>
      <c r="AA324" s="11" t="str">
        <f t="shared" si="28"/>
        <v/>
      </c>
      <c r="AB324" s="46" t="e">
        <f t="shared" si="29"/>
        <v>#DIV/0!</v>
      </c>
      <c r="AC324" s="40" t="str">
        <f>IF(データ!X321="","",データ!X321)</f>
        <v/>
      </c>
      <c r="AD324" s="41" t="str">
        <f>IF(データ!Y321="","",データ!Y321)</f>
        <v/>
      </c>
      <c r="AE324" s="47" t="str">
        <f>TRIM(データ!B321)</f>
        <v/>
      </c>
      <c r="AF324" s="43" t="str">
        <f>TRIM(データ!Z321)</f>
        <v/>
      </c>
    </row>
    <row r="325" spans="1:32" x14ac:dyDescent="0.15">
      <c r="A325" s="47">
        <f>データ!A322</f>
        <v>3</v>
      </c>
      <c r="B325" s="47" t="str">
        <f>TRIM(データ!C322)</f>
        <v/>
      </c>
      <c r="C325" s="47" t="str">
        <f>TRIM(データ!D322)</f>
        <v>材料費</v>
      </c>
      <c r="D325" s="36" t="str">
        <f>REPT("｜",$A325)&amp;TRIM(データ!E322)</f>
        <v>｜｜｜雑材</v>
      </c>
      <c r="E325" s="37" t="str">
        <f>TRIM(データ!F322)</f>
        <v/>
      </c>
      <c r="F325" s="38" t="str">
        <f>TRIM(データ!G322)</f>
        <v>式</v>
      </c>
      <c r="G325" s="50">
        <f>データ!H322</f>
        <v>1</v>
      </c>
      <c r="H325" s="48">
        <f>データ!I322</f>
        <v>3800</v>
      </c>
      <c r="I325" s="48">
        <f>データ!J322</f>
        <v>3800</v>
      </c>
      <c r="J325" s="39" t="str">
        <f>IF(OR($C325="総括",$C325="内訳書",$C325="内訳代価",$C325="明細書",$C325="明細代価",$C325="代価表",$C325="単価表"),データ!K322,"")</f>
        <v/>
      </c>
      <c r="K325" s="11" t="str">
        <f t="shared" ref="K325:K388" si="30">IF(OR(J325="",G325=J325),"","*")</f>
        <v/>
      </c>
      <c r="L325" s="46">
        <f t="shared" ref="L325:L388" si="31">IF($A325&lt;=L$1,I325/I$4,"")</f>
        <v>5.4713259326450982E-5</v>
      </c>
      <c r="M325" s="40" t="str">
        <f>IF(データ!L322="","",データ!L322)</f>
        <v/>
      </c>
      <c r="N325" s="41" t="str">
        <f>IF(データ!M322="","",データ!M322)</f>
        <v/>
      </c>
      <c r="O325" s="42">
        <f>データ!N322</f>
        <v>0</v>
      </c>
      <c r="P325" s="48">
        <f>IF($C325="集計行","",データ!O322)</f>
        <v>0</v>
      </c>
      <c r="Q325" s="48">
        <f>データ!P322</f>
        <v>0</v>
      </c>
      <c r="R325" s="39" t="str">
        <f>IF(OR($C325="総括",$C325="内訳書",$C325="内訳代価",$C325="明細書",$C325="明細代価",$C325="代価表",$C325="単価表"),データ!Q322,"")</f>
        <v/>
      </c>
      <c r="S325" s="11" t="str">
        <f t="shared" ref="S325:S388" si="32">IF(OR(R325="",O325=R325),"","*")</f>
        <v/>
      </c>
      <c r="T325" s="46" t="e">
        <f t="shared" ref="T325:T388" si="33">IF($A325&lt;=T$1,Q325/Q$4,"")</f>
        <v>#DIV/0!</v>
      </c>
      <c r="U325" s="40" t="str">
        <f>IF(データ!R322="","",データ!R322)</f>
        <v/>
      </c>
      <c r="V325" s="41" t="str">
        <f>IF(データ!S322="","",データ!S322)</f>
        <v/>
      </c>
      <c r="W325" s="42">
        <f>データ!T322</f>
        <v>0</v>
      </c>
      <c r="X325" s="48">
        <f>IF($C325="集計行","",データ!U322)</f>
        <v>0</v>
      </c>
      <c r="Y325" s="48">
        <f>データ!V322</f>
        <v>0</v>
      </c>
      <c r="Z325" s="39" t="str">
        <f>IF(OR($C325="総括",$C325="内訳書",$C325="内訳代価",$C325="明細書",$C325="明細代価",$C325="代価表",$C325="単価表"),データ!W322,"")</f>
        <v/>
      </c>
      <c r="AA325" s="11" t="str">
        <f t="shared" ref="AA325:AA388" si="34">IF(OR(Z325="",W325=Z325),"","*")</f>
        <v/>
      </c>
      <c r="AB325" s="46" t="e">
        <f t="shared" ref="AB325:AB388" si="35">IF($A325&lt;=AB$1,Y325/Y$4,"")</f>
        <v>#DIV/0!</v>
      </c>
      <c r="AC325" s="40" t="str">
        <f>IF(データ!X322="","",データ!X322)</f>
        <v/>
      </c>
      <c r="AD325" s="41" t="str">
        <f>IF(データ!Y322="","",データ!Y322)</f>
        <v/>
      </c>
      <c r="AE325" s="47" t="str">
        <f>TRIM(データ!B322)</f>
        <v/>
      </c>
      <c r="AF325" s="43" t="str">
        <f>TRIM(データ!Z322)</f>
        <v/>
      </c>
    </row>
    <row r="326" spans="1:32" x14ac:dyDescent="0.15">
      <c r="A326" s="47">
        <f>データ!A323</f>
        <v>3</v>
      </c>
      <c r="B326" s="47" t="str">
        <f>TRIM(データ!C323)</f>
        <v/>
      </c>
      <c r="C326" s="47" t="str">
        <f>TRIM(データ!D323)</f>
        <v>外注費</v>
      </c>
      <c r="D326" s="36" t="str">
        <f>REPT("｜",$A326)&amp;TRIM(データ!E323)</f>
        <v>｜｜｜外注経費</v>
      </c>
      <c r="E326" s="37" t="str">
        <f>TRIM(データ!F323)</f>
        <v/>
      </c>
      <c r="F326" s="38" t="str">
        <f>TRIM(データ!G323)</f>
        <v>式</v>
      </c>
      <c r="G326" s="50">
        <f>データ!H323</f>
        <v>1</v>
      </c>
      <c r="H326" s="48">
        <f>データ!I323</f>
        <v>4900</v>
      </c>
      <c r="I326" s="48">
        <f>データ!J323</f>
        <v>4900</v>
      </c>
      <c r="J326" s="39" t="str">
        <f>IF(OR($C326="総括",$C326="内訳書",$C326="内訳代価",$C326="明細書",$C326="明細代価",$C326="代価表",$C326="単価表"),データ!K323,"")</f>
        <v/>
      </c>
      <c r="K326" s="11" t="str">
        <f t="shared" si="30"/>
        <v/>
      </c>
      <c r="L326" s="46">
        <f t="shared" si="31"/>
        <v>7.0551308078844685E-5</v>
      </c>
      <c r="M326" s="40" t="str">
        <f>IF(データ!L323="","",データ!L323)</f>
        <v/>
      </c>
      <c r="N326" s="41" t="str">
        <f>IF(データ!M323="","",データ!M323)</f>
        <v/>
      </c>
      <c r="O326" s="42">
        <f>データ!N323</f>
        <v>0</v>
      </c>
      <c r="P326" s="48">
        <f>IF($C326="集計行","",データ!O323)</f>
        <v>0</v>
      </c>
      <c r="Q326" s="48">
        <f>データ!P323</f>
        <v>0</v>
      </c>
      <c r="R326" s="39" t="str">
        <f>IF(OR($C326="総括",$C326="内訳書",$C326="内訳代価",$C326="明細書",$C326="明細代価",$C326="代価表",$C326="単価表"),データ!Q323,"")</f>
        <v/>
      </c>
      <c r="S326" s="11" t="str">
        <f t="shared" si="32"/>
        <v/>
      </c>
      <c r="T326" s="46" t="e">
        <f t="shared" si="33"/>
        <v>#DIV/0!</v>
      </c>
      <c r="U326" s="40" t="str">
        <f>IF(データ!R323="","",データ!R323)</f>
        <v/>
      </c>
      <c r="V326" s="41" t="str">
        <f>IF(データ!S323="","",データ!S323)</f>
        <v/>
      </c>
      <c r="W326" s="42">
        <f>データ!T323</f>
        <v>0</v>
      </c>
      <c r="X326" s="48">
        <f>IF($C326="集計行","",データ!U323)</f>
        <v>0</v>
      </c>
      <c r="Y326" s="48">
        <f>データ!V323</f>
        <v>0</v>
      </c>
      <c r="Z326" s="39" t="str">
        <f>IF(OR($C326="総括",$C326="内訳書",$C326="内訳代価",$C326="明細書",$C326="明細代価",$C326="代価表",$C326="単価表"),データ!W323,"")</f>
        <v/>
      </c>
      <c r="AA326" s="11" t="str">
        <f t="shared" si="34"/>
        <v/>
      </c>
      <c r="AB326" s="46" t="e">
        <f t="shared" si="35"/>
        <v>#DIV/0!</v>
      </c>
      <c r="AC326" s="40" t="str">
        <f>IF(データ!X323="","",データ!X323)</f>
        <v/>
      </c>
      <c r="AD326" s="41" t="str">
        <f>IF(データ!Y323="","",データ!Y323)</f>
        <v/>
      </c>
      <c r="AE326" s="47" t="str">
        <f>TRIM(データ!B323)</f>
        <v/>
      </c>
      <c r="AF326" s="43" t="str">
        <f>TRIM(データ!Z323)</f>
        <v/>
      </c>
    </row>
    <row r="327" spans="1:32" x14ac:dyDescent="0.15">
      <c r="A327" s="47">
        <f>データ!A324</f>
        <v>2</v>
      </c>
      <c r="B327" s="47" t="str">
        <f>TRIM(データ!C324)</f>
        <v/>
      </c>
      <c r="C327" s="47" t="str">
        <f>TRIM(データ!D324)</f>
        <v>内訳書</v>
      </c>
      <c r="D327" s="36" t="str">
        <f>REPT("｜",$A327)&amp;TRIM(データ!E324)</f>
        <v>｜｜VP250</v>
      </c>
      <c r="E327" s="37" t="str">
        <f>TRIM(データ!F324)</f>
        <v/>
      </c>
      <c r="F327" s="38" t="str">
        <f>TRIM(データ!G324)</f>
        <v>ｍ</v>
      </c>
      <c r="G327" s="50">
        <f>データ!H324</f>
        <v>0.5</v>
      </c>
      <c r="H327" s="48">
        <f>データ!I324</f>
        <v>123000</v>
      </c>
      <c r="I327" s="48">
        <f>データ!J324</f>
        <v>61500</v>
      </c>
      <c r="J327" s="39">
        <f>IF(OR($C327="総括",$C327="内訳書",$C327="内訳代価",$C327="明細書",$C327="明細代価",$C327="代価表",$C327="単価表"),データ!K324,"")</f>
        <v>0.5</v>
      </c>
      <c r="K327" s="11" t="str">
        <f t="shared" si="30"/>
        <v/>
      </c>
      <c r="L327" s="46">
        <f t="shared" si="31"/>
        <v>8.854909075201935E-4</v>
      </c>
      <c r="M327" s="40" t="str">
        <f>IF(データ!L324="","",データ!L324)</f>
        <v/>
      </c>
      <c r="N327" s="41" t="str">
        <f>IF(データ!M324="","",データ!M324)</f>
        <v>48号内訳書</v>
      </c>
      <c r="O327" s="42">
        <f>データ!N324</f>
        <v>0</v>
      </c>
      <c r="P327" s="48">
        <f>IF($C327="集計行","",データ!O324)</f>
        <v>0</v>
      </c>
      <c r="Q327" s="48">
        <f>データ!P324</f>
        <v>0</v>
      </c>
      <c r="R327" s="39">
        <f>IF(OR($C327="総括",$C327="内訳書",$C327="内訳代価",$C327="明細書",$C327="明細代価",$C327="代価表",$C327="単価表"),データ!Q324,"")</f>
        <v>0</v>
      </c>
      <c r="S327" s="11" t="str">
        <f t="shared" si="32"/>
        <v/>
      </c>
      <c r="T327" s="46" t="e">
        <f t="shared" si="33"/>
        <v>#DIV/0!</v>
      </c>
      <c r="U327" s="40" t="str">
        <f>IF(データ!R324="","",データ!R324)</f>
        <v/>
      </c>
      <c r="V327" s="41" t="str">
        <f>IF(データ!S324="","",データ!S324)</f>
        <v/>
      </c>
      <c r="W327" s="42">
        <f>データ!T324</f>
        <v>0</v>
      </c>
      <c r="X327" s="48">
        <f>IF($C327="集計行","",データ!U324)</f>
        <v>0</v>
      </c>
      <c r="Y327" s="48">
        <f>データ!V324</f>
        <v>0</v>
      </c>
      <c r="Z327" s="39">
        <f>IF(OR($C327="総括",$C327="内訳書",$C327="内訳代価",$C327="明細書",$C327="明細代価",$C327="代価表",$C327="単価表"),データ!W324,"")</f>
        <v>0</v>
      </c>
      <c r="AA327" s="11" t="str">
        <f t="shared" si="34"/>
        <v/>
      </c>
      <c r="AB327" s="46" t="e">
        <f t="shared" si="35"/>
        <v>#DIV/0!</v>
      </c>
      <c r="AC327" s="40" t="str">
        <f>IF(データ!X324="","",データ!X324)</f>
        <v/>
      </c>
      <c r="AD327" s="41" t="str">
        <f>IF(データ!Y324="","",データ!Y324)</f>
        <v/>
      </c>
      <c r="AE327" s="47" t="str">
        <f>TRIM(データ!B324)</f>
        <v/>
      </c>
      <c r="AF327" s="43" t="str">
        <f>TRIM(データ!Z324)</f>
        <v/>
      </c>
    </row>
    <row r="328" spans="1:32" x14ac:dyDescent="0.15">
      <c r="A328" s="47">
        <f>データ!A325</f>
        <v>3</v>
      </c>
      <c r="B328" s="47" t="str">
        <f>TRIM(データ!C325)</f>
        <v/>
      </c>
      <c r="C328" s="47" t="str">
        <f>TRIM(データ!D325)</f>
        <v>材料費</v>
      </c>
      <c r="D328" s="36" t="str">
        <f>REPT("｜",$A328)&amp;TRIM(データ!E325)</f>
        <v>｜｜｜VP250</v>
      </c>
      <c r="E328" s="37" t="str">
        <f>TRIM(データ!F325)</f>
        <v/>
      </c>
      <c r="F328" s="38" t="str">
        <f>TRIM(データ!G325)</f>
        <v>本</v>
      </c>
      <c r="G328" s="50">
        <f>データ!H325</f>
        <v>1</v>
      </c>
      <c r="H328" s="48">
        <f>データ!I325</f>
        <v>18000</v>
      </c>
      <c r="I328" s="48">
        <f>データ!J325</f>
        <v>18000</v>
      </c>
      <c r="J328" s="39" t="str">
        <f>IF(OR($C328="総括",$C328="内訳書",$C328="内訳代価",$C328="明細書",$C328="明細代価",$C328="代価表",$C328="単価表"),データ!K325,"")</f>
        <v/>
      </c>
      <c r="K328" s="11" t="str">
        <f t="shared" si="30"/>
        <v/>
      </c>
      <c r="L328" s="46">
        <f t="shared" si="31"/>
        <v>2.5916807049371519E-4</v>
      </c>
      <c r="M328" s="40" t="str">
        <f>IF(データ!L325="","",データ!L325)</f>
        <v/>
      </c>
      <c r="N328" s="41" t="str">
        <f>IF(データ!M325="","",データ!M325)</f>
        <v/>
      </c>
      <c r="O328" s="42">
        <f>データ!N325</f>
        <v>0</v>
      </c>
      <c r="P328" s="48">
        <f>IF($C328="集計行","",データ!O325)</f>
        <v>0</v>
      </c>
      <c r="Q328" s="48">
        <f>データ!P325</f>
        <v>0</v>
      </c>
      <c r="R328" s="39" t="str">
        <f>IF(OR($C328="総括",$C328="内訳書",$C328="内訳代価",$C328="明細書",$C328="明細代価",$C328="代価表",$C328="単価表"),データ!Q325,"")</f>
        <v/>
      </c>
      <c r="S328" s="11" t="str">
        <f t="shared" si="32"/>
        <v/>
      </c>
      <c r="T328" s="46" t="e">
        <f t="shared" si="33"/>
        <v>#DIV/0!</v>
      </c>
      <c r="U328" s="40" t="str">
        <f>IF(データ!R325="","",データ!R325)</f>
        <v/>
      </c>
      <c r="V328" s="41" t="str">
        <f>IF(データ!S325="","",データ!S325)</f>
        <v/>
      </c>
      <c r="W328" s="42">
        <f>データ!T325</f>
        <v>0</v>
      </c>
      <c r="X328" s="48">
        <f>IF($C328="集計行","",データ!U325)</f>
        <v>0</v>
      </c>
      <c r="Y328" s="48">
        <f>データ!V325</f>
        <v>0</v>
      </c>
      <c r="Z328" s="39" t="str">
        <f>IF(OR($C328="総括",$C328="内訳書",$C328="内訳代価",$C328="明細書",$C328="明細代価",$C328="代価表",$C328="単価表"),データ!W325,"")</f>
        <v/>
      </c>
      <c r="AA328" s="11" t="str">
        <f t="shared" si="34"/>
        <v/>
      </c>
      <c r="AB328" s="46" t="e">
        <f t="shared" si="35"/>
        <v>#DIV/0!</v>
      </c>
      <c r="AC328" s="40" t="str">
        <f>IF(データ!X325="","",データ!X325)</f>
        <v/>
      </c>
      <c r="AD328" s="41" t="str">
        <f>IF(データ!Y325="","",データ!Y325)</f>
        <v/>
      </c>
      <c r="AE328" s="47" t="str">
        <f>TRIM(データ!B325)</f>
        <v/>
      </c>
      <c r="AF328" s="43" t="str">
        <f>TRIM(データ!Z325)</f>
        <v/>
      </c>
    </row>
    <row r="329" spans="1:32" x14ac:dyDescent="0.15">
      <c r="A329" s="47">
        <f>データ!A326</f>
        <v>3</v>
      </c>
      <c r="B329" s="47" t="str">
        <f>TRIM(データ!C326)</f>
        <v/>
      </c>
      <c r="C329" s="47" t="str">
        <f>TRIM(データ!D326)</f>
        <v>材料費</v>
      </c>
      <c r="D329" s="36" t="str">
        <f>REPT("｜",$A329)&amp;TRIM(データ!E326)</f>
        <v>｜｜｜再生砂</v>
      </c>
      <c r="E329" s="37" t="str">
        <f>TRIM(データ!F326)</f>
        <v/>
      </c>
      <c r="F329" s="38" t="str">
        <f>TRIM(データ!G326)</f>
        <v>m3</v>
      </c>
      <c r="G329" s="50">
        <f>データ!H326</f>
        <v>0.5</v>
      </c>
      <c r="H329" s="48">
        <f>データ!I326</f>
        <v>3000</v>
      </c>
      <c r="I329" s="48">
        <f>データ!J326</f>
        <v>1500</v>
      </c>
      <c r="J329" s="39" t="str">
        <f>IF(OR($C329="総括",$C329="内訳書",$C329="内訳代価",$C329="明細書",$C329="明細代価",$C329="代価表",$C329="単価表"),データ!K326,"")</f>
        <v/>
      </c>
      <c r="K329" s="11" t="str">
        <f t="shared" si="30"/>
        <v/>
      </c>
      <c r="L329" s="46">
        <f t="shared" si="31"/>
        <v>2.1597339207809597E-5</v>
      </c>
      <c r="M329" s="40" t="str">
        <f>IF(データ!L326="","",データ!L326)</f>
        <v/>
      </c>
      <c r="N329" s="41" t="str">
        <f>IF(データ!M326="","",データ!M326)</f>
        <v/>
      </c>
      <c r="O329" s="42">
        <f>データ!N326</f>
        <v>0</v>
      </c>
      <c r="P329" s="48">
        <f>IF($C329="集計行","",データ!O326)</f>
        <v>0</v>
      </c>
      <c r="Q329" s="48">
        <f>データ!P326</f>
        <v>0</v>
      </c>
      <c r="R329" s="39" t="str">
        <f>IF(OR($C329="総括",$C329="内訳書",$C329="内訳代価",$C329="明細書",$C329="明細代価",$C329="代価表",$C329="単価表"),データ!Q326,"")</f>
        <v/>
      </c>
      <c r="S329" s="11" t="str">
        <f t="shared" si="32"/>
        <v/>
      </c>
      <c r="T329" s="46" t="e">
        <f t="shared" si="33"/>
        <v>#DIV/0!</v>
      </c>
      <c r="U329" s="40" t="str">
        <f>IF(データ!R326="","",データ!R326)</f>
        <v/>
      </c>
      <c r="V329" s="41" t="str">
        <f>IF(データ!S326="","",データ!S326)</f>
        <v/>
      </c>
      <c r="W329" s="42">
        <f>データ!T326</f>
        <v>0</v>
      </c>
      <c r="X329" s="48">
        <f>IF($C329="集計行","",データ!U326)</f>
        <v>0</v>
      </c>
      <c r="Y329" s="48">
        <f>データ!V326</f>
        <v>0</v>
      </c>
      <c r="Z329" s="39" t="str">
        <f>IF(OR($C329="総括",$C329="内訳書",$C329="内訳代価",$C329="明細書",$C329="明細代価",$C329="代価表",$C329="単価表"),データ!W326,"")</f>
        <v/>
      </c>
      <c r="AA329" s="11" t="str">
        <f t="shared" si="34"/>
        <v/>
      </c>
      <c r="AB329" s="46" t="e">
        <f t="shared" si="35"/>
        <v>#DIV/0!</v>
      </c>
      <c r="AC329" s="40" t="str">
        <f>IF(データ!X326="","",データ!X326)</f>
        <v/>
      </c>
      <c r="AD329" s="41" t="str">
        <f>IF(データ!Y326="","",データ!Y326)</f>
        <v/>
      </c>
      <c r="AE329" s="47" t="str">
        <f>TRIM(データ!B326)</f>
        <v/>
      </c>
      <c r="AF329" s="43" t="str">
        <f>TRIM(データ!Z326)</f>
        <v/>
      </c>
    </row>
    <row r="330" spans="1:32" x14ac:dyDescent="0.15">
      <c r="A330" s="47">
        <f>データ!A327</f>
        <v>3</v>
      </c>
      <c r="B330" s="47" t="str">
        <f>TRIM(データ!C327)</f>
        <v/>
      </c>
      <c r="C330" s="47" t="str">
        <f>TRIM(データ!D327)</f>
        <v>労務費</v>
      </c>
      <c r="D330" s="36" t="str">
        <f>REPT("｜",$A330)&amp;TRIM(データ!E327)</f>
        <v>｜｜｜技工</v>
      </c>
      <c r="E330" s="37" t="str">
        <f>TRIM(データ!F327)</f>
        <v/>
      </c>
      <c r="F330" s="38" t="str">
        <f>TRIM(データ!G327)</f>
        <v>人</v>
      </c>
      <c r="G330" s="50">
        <f>データ!H327</f>
        <v>0.5</v>
      </c>
      <c r="H330" s="48">
        <f>データ!I327</f>
        <v>28000</v>
      </c>
      <c r="I330" s="48">
        <f>データ!J327</f>
        <v>14000</v>
      </c>
      <c r="J330" s="39" t="str">
        <f>IF(OR($C330="総括",$C330="内訳書",$C330="内訳代価",$C330="明細書",$C330="明細代価",$C330="代価表",$C330="単価表"),データ!K327,"")</f>
        <v/>
      </c>
      <c r="K330" s="11" t="str">
        <f t="shared" si="30"/>
        <v/>
      </c>
      <c r="L330" s="46">
        <f t="shared" si="31"/>
        <v>2.0157516593955624E-4</v>
      </c>
      <c r="M330" s="40" t="str">
        <f>IF(データ!L327="","",データ!L327)</f>
        <v/>
      </c>
      <c r="N330" s="41" t="str">
        <f>IF(データ!M327="","",データ!M327)</f>
        <v/>
      </c>
      <c r="O330" s="42">
        <f>データ!N327</f>
        <v>0</v>
      </c>
      <c r="P330" s="48">
        <f>IF($C330="集計行","",データ!O327)</f>
        <v>0</v>
      </c>
      <c r="Q330" s="48">
        <f>データ!P327</f>
        <v>0</v>
      </c>
      <c r="R330" s="39" t="str">
        <f>IF(OR($C330="総括",$C330="内訳書",$C330="内訳代価",$C330="明細書",$C330="明細代価",$C330="代価表",$C330="単価表"),データ!Q327,"")</f>
        <v/>
      </c>
      <c r="S330" s="11" t="str">
        <f t="shared" si="32"/>
        <v/>
      </c>
      <c r="T330" s="46" t="e">
        <f t="shared" si="33"/>
        <v>#DIV/0!</v>
      </c>
      <c r="U330" s="40" t="str">
        <f>IF(データ!R327="","",データ!R327)</f>
        <v/>
      </c>
      <c r="V330" s="41" t="str">
        <f>IF(データ!S327="","",データ!S327)</f>
        <v/>
      </c>
      <c r="W330" s="42">
        <f>データ!T327</f>
        <v>0</v>
      </c>
      <c r="X330" s="48">
        <f>IF($C330="集計行","",データ!U327)</f>
        <v>0</v>
      </c>
      <c r="Y330" s="48">
        <f>データ!V327</f>
        <v>0</v>
      </c>
      <c r="Z330" s="39" t="str">
        <f>IF(OR($C330="総括",$C330="内訳書",$C330="内訳代価",$C330="明細書",$C330="明細代価",$C330="代価表",$C330="単価表"),データ!W327,"")</f>
        <v/>
      </c>
      <c r="AA330" s="11" t="str">
        <f t="shared" si="34"/>
        <v/>
      </c>
      <c r="AB330" s="46" t="e">
        <f t="shared" si="35"/>
        <v>#DIV/0!</v>
      </c>
      <c r="AC330" s="40" t="str">
        <f>IF(データ!X327="","",データ!X327)</f>
        <v/>
      </c>
      <c r="AD330" s="41" t="str">
        <f>IF(データ!Y327="","",データ!Y327)</f>
        <v/>
      </c>
      <c r="AE330" s="47" t="str">
        <f>TRIM(データ!B327)</f>
        <v/>
      </c>
      <c r="AF330" s="43" t="str">
        <f>TRIM(データ!Z327)</f>
        <v/>
      </c>
    </row>
    <row r="331" spans="1:32" x14ac:dyDescent="0.15">
      <c r="A331" s="47">
        <f>データ!A328</f>
        <v>3</v>
      </c>
      <c r="B331" s="47" t="str">
        <f>TRIM(データ!C328)</f>
        <v/>
      </c>
      <c r="C331" s="47" t="str">
        <f>TRIM(データ!D328)</f>
        <v>機械費</v>
      </c>
      <c r="D331" s="36" t="str">
        <f>REPT("｜",$A331)&amp;TRIM(データ!E328)</f>
        <v>｜｜｜BH0.15</v>
      </c>
      <c r="E331" s="37" t="str">
        <f>TRIM(データ!F328)</f>
        <v/>
      </c>
      <c r="F331" s="38" t="str">
        <f>TRIM(データ!G328)</f>
        <v>台</v>
      </c>
      <c r="G331" s="50">
        <f>データ!H328</f>
        <v>0.5</v>
      </c>
      <c r="H331" s="48">
        <f>データ!I328</f>
        <v>8000</v>
      </c>
      <c r="I331" s="48">
        <f>データ!J328</f>
        <v>4000</v>
      </c>
      <c r="J331" s="39" t="str">
        <f>IF(OR($C331="総括",$C331="内訳書",$C331="内訳代価",$C331="明細書",$C331="明細代価",$C331="代価表",$C331="単価表"),データ!K328,"")</f>
        <v/>
      </c>
      <c r="K331" s="11" t="str">
        <f t="shared" si="30"/>
        <v/>
      </c>
      <c r="L331" s="46">
        <f t="shared" si="31"/>
        <v>5.7592904554158925E-5</v>
      </c>
      <c r="M331" s="40" t="str">
        <f>IF(データ!L328="","",データ!L328)</f>
        <v/>
      </c>
      <c r="N331" s="41" t="str">
        <f>IF(データ!M328="","",データ!M328)</f>
        <v/>
      </c>
      <c r="O331" s="42">
        <f>データ!N328</f>
        <v>0</v>
      </c>
      <c r="P331" s="48">
        <f>IF($C331="集計行","",データ!O328)</f>
        <v>0</v>
      </c>
      <c r="Q331" s="48">
        <f>データ!P328</f>
        <v>0</v>
      </c>
      <c r="R331" s="39" t="str">
        <f>IF(OR($C331="総括",$C331="内訳書",$C331="内訳代価",$C331="明細書",$C331="明細代価",$C331="代価表",$C331="単価表"),データ!Q328,"")</f>
        <v/>
      </c>
      <c r="S331" s="11" t="str">
        <f t="shared" si="32"/>
        <v/>
      </c>
      <c r="T331" s="46" t="e">
        <f t="shared" si="33"/>
        <v>#DIV/0!</v>
      </c>
      <c r="U331" s="40" t="str">
        <f>IF(データ!R328="","",データ!R328)</f>
        <v/>
      </c>
      <c r="V331" s="41" t="str">
        <f>IF(データ!S328="","",データ!S328)</f>
        <v/>
      </c>
      <c r="W331" s="42">
        <f>データ!T328</f>
        <v>0</v>
      </c>
      <c r="X331" s="48">
        <f>IF($C331="集計行","",データ!U328)</f>
        <v>0</v>
      </c>
      <c r="Y331" s="48">
        <f>データ!V328</f>
        <v>0</v>
      </c>
      <c r="Z331" s="39" t="str">
        <f>IF(OR($C331="総括",$C331="内訳書",$C331="内訳代価",$C331="明細書",$C331="明細代価",$C331="代価表",$C331="単価表"),データ!W328,"")</f>
        <v/>
      </c>
      <c r="AA331" s="11" t="str">
        <f t="shared" si="34"/>
        <v/>
      </c>
      <c r="AB331" s="46" t="e">
        <f t="shared" si="35"/>
        <v>#DIV/0!</v>
      </c>
      <c r="AC331" s="40" t="str">
        <f>IF(データ!X328="","",データ!X328)</f>
        <v/>
      </c>
      <c r="AD331" s="41" t="str">
        <f>IF(データ!Y328="","",データ!Y328)</f>
        <v/>
      </c>
      <c r="AE331" s="47" t="str">
        <f>TRIM(データ!B328)</f>
        <v/>
      </c>
      <c r="AF331" s="43" t="str">
        <f>TRIM(データ!Z328)</f>
        <v/>
      </c>
    </row>
    <row r="332" spans="1:32" x14ac:dyDescent="0.15">
      <c r="A332" s="47">
        <f>データ!A329</f>
        <v>3</v>
      </c>
      <c r="B332" s="47" t="str">
        <f>TRIM(データ!C329)</f>
        <v/>
      </c>
      <c r="C332" s="47" t="str">
        <f>TRIM(データ!D329)</f>
        <v>機械費</v>
      </c>
      <c r="D332" s="36" t="str">
        <f>REPT("｜",$A332)&amp;TRIM(データ!E329)</f>
        <v>｜｜｜プレート</v>
      </c>
      <c r="E332" s="37" t="str">
        <f>TRIM(データ!F329)</f>
        <v/>
      </c>
      <c r="F332" s="38" t="str">
        <f>TRIM(データ!G329)</f>
        <v>台</v>
      </c>
      <c r="G332" s="50">
        <f>データ!H329</f>
        <v>0.5</v>
      </c>
      <c r="H332" s="48">
        <f>データ!I329</f>
        <v>1500</v>
      </c>
      <c r="I332" s="48">
        <f>データ!J329</f>
        <v>750</v>
      </c>
      <c r="J332" s="39" t="str">
        <f>IF(OR($C332="総括",$C332="内訳書",$C332="内訳代価",$C332="明細書",$C332="明細代価",$C332="代価表",$C332="単価表"),データ!K329,"")</f>
        <v/>
      </c>
      <c r="K332" s="11" t="str">
        <f t="shared" si="30"/>
        <v/>
      </c>
      <c r="L332" s="46">
        <f t="shared" si="31"/>
        <v>1.0798669603904798E-5</v>
      </c>
      <c r="M332" s="40" t="str">
        <f>IF(データ!L329="","",データ!L329)</f>
        <v/>
      </c>
      <c r="N332" s="41" t="str">
        <f>IF(データ!M329="","",データ!M329)</f>
        <v/>
      </c>
      <c r="O332" s="42">
        <f>データ!N329</f>
        <v>0</v>
      </c>
      <c r="P332" s="48">
        <f>IF($C332="集計行","",データ!O329)</f>
        <v>0</v>
      </c>
      <c r="Q332" s="48">
        <f>データ!P329</f>
        <v>0</v>
      </c>
      <c r="R332" s="39" t="str">
        <f>IF(OR($C332="総括",$C332="内訳書",$C332="内訳代価",$C332="明細書",$C332="明細代価",$C332="代価表",$C332="単価表"),データ!Q329,"")</f>
        <v/>
      </c>
      <c r="S332" s="11" t="str">
        <f t="shared" si="32"/>
        <v/>
      </c>
      <c r="T332" s="46" t="e">
        <f t="shared" si="33"/>
        <v>#DIV/0!</v>
      </c>
      <c r="U332" s="40" t="str">
        <f>IF(データ!R329="","",データ!R329)</f>
        <v/>
      </c>
      <c r="V332" s="41" t="str">
        <f>IF(データ!S329="","",データ!S329)</f>
        <v/>
      </c>
      <c r="W332" s="42">
        <f>データ!T329</f>
        <v>0</v>
      </c>
      <c r="X332" s="48">
        <f>IF($C332="集計行","",データ!U329)</f>
        <v>0</v>
      </c>
      <c r="Y332" s="48">
        <f>データ!V329</f>
        <v>0</v>
      </c>
      <c r="Z332" s="39" t="str">
        <f>IF(OR($C332="総括",$C332="内訳書",$C332="内訳代価",$C332="明細書",$C332="明細代価",$C332="代価表",$C332="単価表"),データ!W329,"")</f>
        <v/>
      </c>
      <c r="AA332" s="11" t="str">
        <f t="shared" si="34"/>
        <v/>
      </c>
      <c r="AB332" s="46" t="e">
        <f t="shared" si="35"/>
        <v>#DIV/0!</v>
      </c>
      <c r="AC332" s="40" t="str">
        <f>IF(データ!X329="","",データ!X329)</f>
        <v/>
      </c>
      <c r="AD332" s="41" t="str">
        <f>IF(データ!Y329="","",データ!Y329)</f>
        <v/>
      </c>
      <c r="AE332" s="47" t="str">
        <f>TRIM(データ!B329)</f>
        <v/>
      </c>
      <c r="AF332" s="43" t="str">
        <f>TRIM(データ!Z329)</f>
        <v/>
      </c>
    </row>
    <row r="333" spans="1:32" x14ac:dyDescent="0.15">
      <c r="A333" s="47">
        <f>データ!A330</f>
        <v>3</v>
      </c>
      <c r="B333" s="47" t="str">
        <f>TRIM(データ!C330)</f>
        <v/>
      </c>
      <c r="C333" s="47" t="str">
        <f>TRIM(データ!D330)</f>
        <v>機械費</v>
      </c>
      <c r="D333" s="36" t="str">
        <f>REPT("｜",$A333)&amp;TRIM(データ!E330)</f>
        <v>｜｜｜ランマー</v>
      </c>
      <c r="E333" s="37" t="str">
        <f>TRIM(データ!F330)</f>
        <v/>
      </c>
      <c r="F333" s="38" t="str">
        <f>TRIM(データ!G330)</f>
        <v>台</v>
      </c>
      <c r="G333" s="50">
        <f>データ!H330</f>
        <v>0.5</v>
      </c>
      <c r="H333" s="48">
        <f>データ!I330</f>
        <v>1500</v>
      </c>
      <c r="I333" s="48">
        <f>データ!J330</f>
        <v>750</v>
      </c>
      <c r="J333" s="39" t="str">
        <f>IF(OR($C333="総括",$C333="内訳書",$C333="内訳代価",$C333="明細書",$C333="明細代価",$C333="代価表",$C333="単価表"),データ!K330,"")</f>
        <v/>
      </c>
      <c r="K333" s="11" t="str">
        <f t="shared" si="30"/>
        <v/>
      </c>
      <c r="L333" s="46">
        <f t="shared" si="31"/>
        <v>1.0798669603904798E-5</v>
      </c>
      <c r="M333" s="40" t="str">
        <f>IF(データ!L330="","",データ!L330)</f>
        <v/>
      </c>
      <c r="N333" s="41" t="str">
        <f>IF(データ!M330="","",データ!M330)</f>
        <v/>
      </c>
      <c r="O333" s="42">
        <f>データ!N330</f>
        <v>0</v>
      </c>
      <c r="P333" s="48">
        <f>IF($C333="集計行","",データ!O330)</f>
        <v>0</v>
      </c>
      <c r="Q333" s="48">
        <f>データ!P330</f>
        <v>0</v>
      </c>
      <c r="R333" s="39" t="str">
        <f>IF(OR($C333="総括",$C333="内訳書",$C333="内訳代価",$C333="明細書",$C333="明細代価",$C333="代価表",$C333="単価表"),データ!Q330,"")</f>
        <v/>
      </c>
      <c r="S333" s="11" t="str">
        <f t="shared" si="32"/>
        <v/>
      </c>
      <c r="T333" s="46" t="e">
        <f t="shared" si="33"/>
        <v>#DIV/0!</v>
      </c>
      <c r="U333" s="40" t="str">
        <f>IF(データ!R330="","",データ!R330)</f>
        <v/>
      </c>
      <c r="V333" s="41" t="str">
        <f>IF(データ!S330="","",データ!S330)</f>
        <v/>
      </c>
      <c r="W333" s="42">
        <f>データ!T330</f>
        <v>0</v>
      </c>
      <c r="X333" s="48">
        <f>IF($C333="集計行","",データ!U330)</f>
        <v>0</v>
      </c>
      <c r="Y333" s="48">
        <f>データ!V330</f>
        <v>0</v>
      </c>
      <c r="Z333" s="39" t="str">
        <f>IF(OR($C333="総括",$C333="内訳書",$C333="内訳代価",$C333="明細書",$C333="明細代価",$C333="代価表",$C333="単価表"),データ!W330,"")</f>
        <v/>
      </c>
      <c r="AA333" s="11" t="str">
        <f t="shared" si="34"/>
        <v/>
      </c>
      <c r="AB333" s="46" t="e">
        <f t="shared" si="35"/>
        <v>#DIV/0!</v>
      </c>
      <c r="AC333" s="40" t="str">
        <f>IF(データ!X330="","",データ!X330)</f>
        <v/>
      </c>
      <c r="AD333" s="41" t="str">
        <f>IF(データ!Y330="","",データ!Y330)</f>
        <v/>
      </c>
      <c r="AE333" s="47" t="str">
        <f>TRIM(データ!B330)</f>
        <v/>
      </c>
      <c r="AF333" s="43" t="str">
        <f>TRIM(データ!Z330)</f>
        <v/>
      </c>
    </row>
    <row r="334" spans="1:32" x14ac:dyDescent="0.15">
      <c r="A334" s="47">
        <f>データ!A331</f>
        <v>3</v>
      </c>
      <c r="B334" s="47" t="str">
        <f>TRIM(データ!C331)</f>
        <v/>
      </c>
      <c r="C334" s="47" t="str">
        <f>TRIM(データ!D331)</f>
        <v>運搬費</v>
      </c>
      <c r="D334" s="36" t="str">
        <f>REPT("｜",$A334)&amp;TRIM(データ!E331)</f>
        <v>｜｜｜4tダンプ</v>
      </c>
      <c r="E334" s="37" t="str">
        <f>TRIM(データ!F331)</f>
        <v/>
      </c>
      <c r="F334" s="38" t="str">
        <f>TRIM(データ!G331)</f>
        <v>台</v>
      </c>
      <c r="G334" s="50">
        <f>データ!H331</f>
        <v>0.5</v>
      </c>
      <c r="H334" s="48">
        <f>データ!I331</f>
        <v>10000</v>
      </c>
      <c r="I334" s="48">
        <f>データ!J331</f>
        <v>5000</v>
      </c>
      <c r="J334" s="39" t="str">
        <f>IF(OR($C334="総括",$C334="内訳書",$C334="内訳代価",$C334="明細書",$C334="明細代価",$C334="代価表",$C334="単価表"),データ!K331,"")</f>
        <v/>
      </c>
      <c r="K334" s="11" t="str">
        <f t="shared" si="30"/>
        <v/>
      </c>
      <c r="L334" s="46">
        <f t="shared" si="31"/>
        <v>7.1991130692698657E-5</v>
      </c>
      <c r="M334" s="40" t="str">
        <f>IF(データ!L331="","",データ!L331)</f>
        <v/>
      </c>
      <c r="N334" s="41" t="str">
        <f>IF(データ!M331="","",データ!M331)</f>
        <v/>
      </c>
      <c r="O334" s="42">
        <f>データ!N331</f>
        <v>0</v>
      </c>
      <c r="P334" s="48">
        <f>IF($C334="集計行","",データ!O331)</f>
        <v>0</v>
      </c>
      <c r="Q334" s="48">
        <f>データ!P331</f>
        <v>0</v>
      </c>
      <c r="R334" s="39" t="str">
        <f>IF(OR($C334="総括",$C334="内訳書",$C334="内訳代価",$C334="明細書",$C334="明細代価",$C334="代価表",$C334="単価表"),データ!Q331,"")</f>
        <v/>
      </c>
      <c r="S334" s="11" t="str">
        <f t="shared" si="32"/>
        <v/>
      </c>
      <c r="T334" s="46" t="e">
        <f t="shared" si="33"/>
        <v>#DIV/0!</v>
      </c>
      <c r="U334" s="40" t="str">
        <f>IF(データ!R331="","",データ!R331)</f>
        <v/>
      </c>
      <c r="V334" s="41" t="str">
        <f>IF(データ!S331="","",データ!S331)</f>
        <v/>
      </c>
      <c r="W334" s="42">
        <f>データ!T331</f>
        <v>0</v>
      </c>
      <c r="X334" s="48">
        <f>IF($C334="集計行","",データ!U331)</f>
        <v>0</v>
      </c>
      <c r="Y334" s="48">
        <f>データ!V331</f>
        <v>0</v>
      </c>
      <c r="Z334" s="39" t="str">
        <f>IF(OR($C334="総括",$C334="内訳書",$C334="内訳代価",$C334="明細書",$C334="明細代価",$C334="代価表",$C334="単価表"),データ!W331,"")</f>
        <v/>
      </c>
      <c r="AA334" s="11" t="str">
        <f t="shared" si="34"/>
        <v/>
      </c>
      <c r="AB334" s="46" t="e">
        <f t="shared" si="35"/>
        <v>#DIV/0!</v>
      </c>
      <c r="AC334" s="40" t="str">
        <f>IF(データ!X331="","",データ!X331)</f>
        <v/>
      </c>
      <c r="AD334" s="41" t="str">
        <f>IF(データ!Y331="","",データ!Y331)</f>
        <v/>
      </c>
      <c r="AE334" s="47" t="str">
        <f>TRIM(データ!B331)</f>
        <v/>
      </c>
      <c r="AF334" s="43" t="str">
        <f>TRIM(データ!Z331)</f>
        <v/>
      </c>
    </row>
    <row r="335" spans="1:32" x14ac:dyDescent="0.15">
      <c r="A335" s="47">
        <f>データ!A332</f>
        <v>3</v>
      </c>
      <c r="B335" s="47" t="str">
        <f>TRIM(データ!C332)</f>
        <v/>
      </c>
      <c r="C335" s="47" t="str">
        <f>TRIM(データ!D332)</f>
        <v>運搬費</v>
      </c>
      <c r="D335" s="36" t="str">
        <f>REPT("｜",$A335)&amp;TRIM(データ!E332)</f>
        <v>｜｜｜2tダンプ</v>
      </c>
      <c r="E335" s="37" t="str">
        <f>TRIM(データ!F332)</f>
        <v/>
      </c>
      <c r="F335" s="38" t="str">
        <f>TRIM(データ!G332)</f>
        <v>台</v>
      </c>
      <c r="G335" s="50">
        <f>データ!H332</f>
        <v>0.5</v>
      </c>
      <c r="H335" s="48">
        <f>データ!I332</f>
        <v>7000</v>
      </c>
      <c r="I335" s="48">
        <f>データ!J332</f>
        <v>3500</v>
      </c>
      <c r="J335" s="39" t="str">
        <f>IF(OR($C335="総括",$C335="内訳書",$C335="内訳代価",$C335="明細書",$C335="明細代価",$C335="代価表",$C335="単価表"),データ!K332,"")</f>
        <v/>
      </c>
      <c r="K335" s="11" t="str">
        <f t="shared" si="30"/>
        <v/>
      </c>
      <c r="L335" s="46">
        <f t="shared" si="31"/>
        <v>5.039379148488906E-5</v>
      </c>
      <c r="M335" s="40" t="str">
        <f>IF(データ!L332="","",データ!L332)</f>
        <v/>
      </c>
      <c r="N335" s="41" t="str">
        <f>IF(データ!M332="","",データ!M332)</f>
        <v/>
      </c>
      <c r="O335" s="42">
        <f>データ!N332</f>
        <v>0</v>
      </c>
      <c r="P335" s="48">
        <f>IF($C335="集計行","",データ!O332)</f>
        <v>0</v>
      </c>
      <c r="Q335" s="48">
        <f>データ!P332</f>
        <v>0</v>
      </c>
      <c r="R335" s="39" t="str">
        <f>IF(OR($C335="総括",$C335="内訳書",$C335="内訳代価",$C335="明細書",$C335="明細代価",$C335="代価表",$C335="単価表"),データ!Q332,"")</f>
        <v/>
      </c>
      <c r="S335" s="11" t="str">
        <f t="shared" si="32"/>
        <v/>
      </c>
      <c r="T335" s="46" t="e">
        <f t="shared" si="33"/>
        <v>#DIV/0!</v>
      </c>
      <c r="U335" s="40" t="str">
        <f>IF(データ!R332="","",データ!R332)</f>
        <v/>
      </c>
      <c r="V335" s="41" t="str">
        <f>IF(データ!S332="","",データ!S332)</f>
        <v/>
      </c>
      <c r="W335" s="42">
        <f>データ!T332</f>
        <v>0</v>
      </c>
      <c r="X335" s="48">
        <f>IF($C335="集計行","",データ!U332)</f>
        <v>0</v>
      </c>
      <c r="Y335" s="48">
        <f>データ!V332</f>
        <v>0</v>
      </c>
      <c r="Z335" s="39" t="str">
        <f>IF(OR($C335="総括",$C335="内訳書",$C335="内訳代価",$C335="明細書",$C335="明細代価",$C335="代価表",$C335="単価表"),データ!W332,"")</f>
        <v/>
      </c>
      <c r="AA335" s="11" t="str">
        <f t="shared" si="34"/>
        <v/>
      </c>
      <c r="AB335" s="46" t="e">
        <f t="shared" si="35"/>
        <v>#DIV/0!</v>
      </c>
      <c r="AC335" s="40" t="str">
        <f>IF(データ!X332="","",データ!X332)</f>
        <v/>
      </c>
      <c r="AD335" s="41" t="str">
        <f>IF(データ!Y332="","",データ!Y332)</f>
        <v/>
      </c>
      <c r="AE335" s="47" t="str">
        <f>TRIM(データ!B332)</f>
        <v/>
      </c>
      <c r="AF335" s="43" t="str">
        <f>TRIM(データ!Z332)</f>
        <v/>
      </c>
    </row>
    <row r="336" spans="1:32" x14ac:dyDescent="0.15">
      <c r="A336" s="47">
        <f>データ!A333</f>
        <v>3</v>
      </c>
      <c r="B336" s="47" t="str">
        <f>TRIM(データ!C333)</f>
        <v/>
      </c>
      <c r="C336" s="47" t="str">
        <f>TRIM(データ!D333)</f>
        <v>材料費</v>
      </c>
      <c r="D336" s="36" t="str">
        <f>REPT("｜",$A336)&amp;TRIM(データ!E333)</f>
        <v>｜｜｜軽油</v>
      </c>
      <c r="E336" s="37" t="str">
        <f>TRIM(データ!F333)</f>
        <v/>
      </c>
      <c r="F336" s="38" t="str">
        <f>TRIM(データ!G333)</f>
        <v>リットル</v>
      </c>
      <c r="G336" s="50">
        <f>データ!H333</f>
        <v>20</v>
      </c>
      <c r="H336" s="48">
        <f>データ!I333</f>
        <v>150</v>
      </c>
      <c r="I336" s="48">
        <f>データ!J333</f>
        <v>3000</v>
      </c>
      <c r="J336" s="39" t="str">
        <f>IF(OR($C336="総括",$C336="内訳書",$C336="内訳代価",$C336="明細書",$C336="明細代価",$C336="代価表",$C336="単価表"),データ!K333,"")</f>
        <v/>
      </c>
      <c r="K336" s="11" t="str">
        <f t="shared" si="30"/>
        <v/>
      </c>
      <c r="L336" s="46">
        <f t="shared" si="31"/>
        <v>4.3194678415619194E-5</v>
      </c>
      <c r="M336" s="40" t="str">
        <f>IF(データ!L333="","",データ!L333)</f>
        <v/>
      </c>
      <c r="N336" s="41" t="str">
        <f>IF(データ!M333="","",データ!M333)</f>
        <v/>
      </c>
      <c r="O336" s="42">
        <f>データ!N333</f>
        <v>0</v>
      </c>
      <c r="P336" s="48">
        <f>IF($C336="集計行","",データ!O333)</f>
        <v>0</v>
      </c>
      <c r="Q336" s="48">
        <f>データ!P333</f>
        <v>0</v>
      </c>
      <c r="R336" s="39" t="str">
        <f>IF(OR($C336="総括",$C336="内訳書",$C336="内訳代価",$C336="明細書",$C336="明細代価",$C336="代価表",$C336="単価表"),データ!Q333,"")</f>
        <v/>
      </c>
      <c r="S336" s="11" t="str">
        <f t="shared" si="32"/>
        <v/>
      </c>
      <c r="T336" s="46" t="e">
        <f t="shared" si="33"/>
        <v>#DIV/0!</v>
      </c>
      <c r="U336" s="40" t="str">
        <f>IF(データ!R333="","",データ!R333)</f>
        <v/>
      </c>
      <c r="V336" s="41" t="str">
        <f>IF(データ!S333="","",データ!S333)</f>
        <v/>
      </c>
      <c r="W336" s="42">
        <f>データ!T333</f>
        <v>0</v>
      </c>
      <c r="X336" s="48">
        <f>IF($C336="集計行","",データ!U333)</f>
        <v>0</v>
      </c>
      <c r="Y336" s="48">
        <f>データ!V333</f>
        <v>0</v>
      </c>
      <c r="Z336" s="39" t="str">
        <f>IF(OR($C336="総括",$C336="内訳書",$C336="内訳代価",$C336="明細書",$C336="明細代価",$C336="代価表",$C336="単価表"),データ!W333,"")</f>
        <v/>
      </c>
      <c r="AA336" s="11" t="str">
        <f t="shared" si="34"/>
        <v/>
      </c>
      <c r="AB336" s="46" t="e">
        <f t="shared" si="35"/>
        <v>#DIV/0!</v>
      </c>
      <c r="AC336" s="40" t="str">
        <f>IF(データ!X333="","",データ!X333)</f>
        <v/>
      </c>
      <c r="AD336" s="41" t="str">
        <f>IF(データ!Y333="","",データ!Y333)</f>
        <v/>
      </c>
      <c r="AE336" s="47" t="str">
        <f>TRIM(データ!B333)</f>
        <v/>
      </c>
      <c r="AF336" s="43" t="str">
        <f>TRIM(データ!Z333)</f>
        <v/>
      </c>
    </row>
    <row r="337" spans="1:32" x14ac:dyDescent="0.15">
      <c r="A337" s="47">
        <f>データ!A334</f>
        <v>3</v>
      </c>
      <c r="B337" s="47" t="str">
        <f>TRIM(データ!C334)</f>
        <v/>
      </c>
      <c r="C337" s="47" t="str">
        <f>TRIM(データ!D334)</f>
        <v>材料費</v>
      </c>
      <c r="D337" s="36" t="str">
        <f>REPT("｜",$A337)&amp;TRIM(データ!E334)</f>
        <v>｜｜｜ガソリン</v>
      </c>
      <c r="E337" s="37" t="str">
        <f>TRIM(データ!F334)</f>
        <v/>
      </c>
      <c r="F337" s="38" t="str">
        <f>TRIM(データ!G334)</f>
        <v>リットル</v>
      </c>
      <c r="G337" s="50">
        <f>データ!H334</f>
        <v>20</v>
      </c>
      <c r="H337" s="48">
        <f>データ!I334</f>
        <v>200</v>
      </c>
      <c r="I337" s="48">
        <f>データ!J334</f>
        <v>4000</v>
      </c>
      <c r="J337" s="39" t="str">
        <f>IF(OR($C337="総括",$C337="内訳書",$C337="内訳代価",$C337="明細書",$C337="明細代価",$C337="代価表",$C337="単価表"),データ!K334,"")</f>
        <v/>
      </c>
      <c r="K337" s="11" t="str">
        <f t="shared" si="30"/>
        <v/>
      </c>
      <c r="L337" s="46">
        <f t="shared" si="31"/>
        <v>5.7592904554158925E-5</v>
      </c>
      <c r="M337" s="40" t="str">
        <f>IF(データ!L334="","",データ!L334)</f>
        <v/>
      </c>
      <c r="N337" s="41" t="str">
        <f>IF(データ!M334="","",データ!M334)</f>
        <v/>
      </c>
      <c r="O337" s="42">
        <f>データ!N334</f>
        <v>0</v>
      </c>
      <c r="P337" s="48">
        <f>IF($C337="集計行","",データ!O334)</f>
        <v>0</v>
      </c>
      <c r="Q337" s="48">
        <f>データ!P334</f>
        <v>0</v>
      </c>
      <c r="R337" s="39" t="str">
        <f>IF(OR($C337="総括",$C337="内訳書",$C337="内訳代価",$C337="明細書",$C337="明細代価",$C337="代価表",$C337="単価表"),データ!Q334,"")</f>
        <v/>
      </c>
      <c r="S337" s="11" t="str">
        <f t="shared" si="32"/>
        <v/>
      </c>
      <c r="T337" s="46" t="e">
        <f t="shared" si="33"/>
        <v>#DIV/0!</v>
      </c>
      <c r="U337" s="40" t="str">
        <f>IF(データ!R334="","",データ!R334)</f>
        <v/>
      </c>
      <c r="V337" s="41" t="str">
        <f>IF(データ!S334="","",データ!S334)</f>
        <v/>
      </c>
      <c r="W337" s="42">
        <f>データ!T334</f>
        <v>0</v>
      </c>
      <c r="X337" s="48">
        <f>IF($C337="集計行","",データ!U334)</f>
        <v>0</v>
      </c>
      <c r="Y337" s="48">
        <f>データ!V334</f>
        <v>0</v>
      </c>
      <c r="Z337" s="39" t="str">
        <f>IF(OR($C337="総括",$C337="内訳書",$C337="内訳代価",$C337="明細書",$C337="明細代価",$C337="代価表",$C337="単価表"),データ!W334,"")</f>
        <v/>
      </c>
      <c r="AA337" s="11" t="str">
        <f t="shared" si="34"/>
        <v/>
      </c>
      <c r="AB337" s="46" t="e">
        <f t="shared" si="35"/>
        <v>#DIV/0!</v>
      </c>
      <c r="AC337" s="40" t="str">
        <f>IF(データ!X334="","",データ!X334)</f>
        <v/>
      </c>
      <c r="AD337" s="41" t="str">
        <f>IF(データ!Y334="","",データ!Y334)</f>
        <v/>
      </c>
      <c r="AE337" s="47" t="str">
        <f>TRIM(データ!B334)</f>
        <v/>
      </c>
      <c r="AF337" s="43" t="str">
        <f>TRIM(データ!Z334)</f>
        <v/>
      </c>
    </row>
    <row r="338" spans="1:32" x14ac:dyDescent="0.15">
      <c r="A338" s="47">
        <f>データ!A335</f>
        <v>3</v>
      </c>
      <c r="B338" s="47" t="str">
        <f>TRIM(データ!C335)</f>
        <v/>
      </c>
      <c r="C338" s="47" t="str">
        <f>TRIM(データ!D335)</f>
        <v>材料費</v>
      </c>
      <c r="D338" s="36" t="str">
        <f>REPT("｜",$A338)&amp;TRIM(データ!E335)</f>
        <v>｜｜｜雑材</v>
      </c>
      <c r="E338" s="37" t="str">
        <f>TRIM(データ!F335)</f>
        <v/>
      </c>
      <c r="F338" s="38" t="str">
        <f>TRIM(データ!G335)</f>
        <v>式</v>
      </c>
      <c r="G338" s="50">
        <f>データ!H335</f>
        <v>1</v>
      </c>
      <c r="H338" s="48">
        <f>データ!I335</f>
        <v>2100</v>
      </c>
      <c r="I338" s="48">
        <f>データ!J335</f>
        <v>2100</v>
      </c>
      <c r="J338" s="39" t="str">
        <f>IF(OR($C338="総括",$C338="内訳書",$C338="内訳代価",$C338="明細書",$C338="明細代価",$C338="代価表",$C338="単価表"),データ!K335,"")</f>
        <v/>
      </c>
      <c r="K338" s="11" t="str">
        <f t="shared" si="30"/>
        <v/>
      </c>
      <c r="L338" s="46">
        <f t="shared" si="31"/>
        <v>3.0236274890933438E-5</v>
      </c>
      <c r="M338" s="40" t="str">
        <f>IF(データ!L335="","",データ!L335)</f>
        <v/>
      </c>
      <c r="N338" s="41" t="str">
        <f>IF(データ!M335="","",データ!M335)</f>
        <v/>
      </c>
      <c r="O338" s="42">
        <f>データ!N335</f>
        <v>0</v>
      </c>
      <c r="P338" s="48">
        <f>IF($C338="集計行","",データ!O335)</f>
        <v>0</v>
      </c>
      <c r="Q338" s="48">
        <f>データ!P335</f>
        <v>0</v>
      </c>
      <c r="R338" s="39" t="str">
        <f>IF(OR($C338="総括",$C338="内訳書",$C338="内訳代価",$C338="明細書",$C338="明細代価",$C338="代価表",$C338="単価表"),データ!Q335,"")</f>
        <v/>
      </c>
      <c r="S338" s="11" t="str">
        <f t="shared" si="32"/>
        <v/>
      </c>
      <c r="T338" s="46" t="e">
        <f t="shared" si="33"/>
        <v>#DIV/0!</v>
      </c>
      <c r="U338" s="40" t="str">
        <f>IF(データ!R335="","",データ!R335)</f>
        <v/>
      </c>
      <c r="V338" s="41" t="str">
        <f>IF(データ!S335="","",データ!S335)</f>
        <v/>
      </c>
      <c r="W338" s="42">
        <f>データ!T335</f>
        <v>0</v>
      </c>
      <c r="X338" s="48">
        <f>IF($C338="集計行","",データ!U335)</f>
        <v>0</v>
      </c>
      <c r="Y338" s="48">
        <f>データ!V335</f>
        <v>0</v>
      </c>
      <c r="Z338" s="39" t="str">
        <f>IF(OR($C338="総括",$C338="内訳書",$C338="内訳代価",$C338="明細書",$C338="明細代価",$C338="代価表",$C338="単価表"),データ!W335,"")</f>
        <v/>
      </c>
      <c r="AA338" s="11" t="str">
        <f t="shared" si="34"/>
        <v/>
      </c>
      <c r="AB338" s="46" t="e">
        <f t="shared" si="35"/>
        <v>#DIV/0!</v>
      </c>
      <c r="AC338" s="40" t="str">
        <f>IF(データ!X335="","",データ!X335)</f>
        <v/>
      </c>
      <c r="AD338" s="41" t="str">
        <f>IF(データ!Y335="","",データ!Y335)</f>
        <v/>
      </c>
      <c r="AE338" s="47" t="str">
        <f>TRIM(データ!B335)</f>
        <v/>
      </c>
      <c r="AF338" s="43" t="str">
        <f>TRIM(データ!Z335)</f>
        <v/>
      </c>
    </row>
    <row r="339" spans="1:32" x14ac:dyDescent="0.15">
      <c r="A339" s="47">
        <f>データ!A336</f>
        <v>3</v>
      </c>
      <c r="B339" s="47" t="str">
        <f>TRIM(データ!C336)</f>
        <v/>
      </c>
      <c r="C339" s="47" t="str">
        <f>TRIM(データ!D336)</f>
        <v>外注費</v>
      </c>
      <c r="D339" s="36" t="str">
        <f>REPT("｜",$A339)&amp;TRIM(データ!E336)</f>
        <v>｜｜｜外注経費</v>
      </c>
      <c r="E339" s="37" t="str">
        <f>TRIM(データ!F336)</f>
        <v/>
      </c>
      <c r="F339" s="38" t="str">
        <f>TRIM(データ!G336)</f>
        <v>式</v>
      </c>
      <c r="G339" s="50">
        <f>データ!H336</f>
        <v>1</v>
      </c>
      <c r="H339" s="48">
        <f>データ!I336</f>
        <v>4900</v>
      </c>
      <c r="I339" s="48">
        <f>データ!J336</f>
        <v>4900</v>
      </c>
      <c r="J339" s="39" t="str">
        <f>IF(OR($C339="総括",$C339="内訳書",$C339="内訳代価",$C339="明細書",$C339="明細代価",$C339="代価表",$C339="単価表"),データ!K336,"")</f>
        <v/>
      </c>
      <c r="K339" s="11" t="str">
        <f t="shared" si="30"/>
        <v/>
      </c>
      <c r="L339" s="46">
        <f t="shared" si="31"/>
        <v>7.0551308078844685E-5</v>
      </c>
      <c r="M339" s="40" t="str">
        <f>IF(データ!L336="","",データ!L336)</f>
        <v/>
      </c>
      <c r="N339" s="41" t="str">
        <f>IF(データ!M336="","",データ!M336)</f>
        <v/>
      </c>
      <c r="O339" s="42">
        <f>データ!N336</f>
        <v>0</v>
      </c>
      <c r="P339" s="48">
        <f>IF($C339="集計行","",データ!O336)</f>
        <v>0</v>
      </c>
      <c r="Q339" s="48">
        <f>データ!P336</f>
        <v>0</v>
      </c>
      <c r="R339" s="39" t="str">
        <f>IF(OR($C339="総括",$C339="内訳書",$C339="内訳代価",$C339="明細書",$C339="明細代価",$C339="代価表",$C339="単価表"),データ!Q336,"")</f>
        <v/>
      </c>
      <c r="S339" s="11" t="str">
        <f t="shared" si="32"/>
        <v/>
      </c>
      <c r="T339" s="46" t="e">
        <f t="shared" si="33"/>
        <v>#DIV/0!</v>
      </c>
      <c r="U339" s="40" t="str">
        <f>IF(データ!R336="","",データ!R336)</f>
        <v/>
      </c>
      <c r="V339" s="41" t="str">
        <f>IF(データ!S336="","",データ!S336)</f>
        <v/>
      </c>
      <c r="W339" s="42">
        <f>データ!T336</f>
        <v>0</v>
      </c>
      <c r="X339" s="48">
        <f>IF($C339="集計行","",データ!U336)</f>
        <v>0</v>
      </c>
      <c r="Y339" s="48">
        <f>データ!V336</f>
        <v>0</v>
      </c>
      <c r="Z339" s="39" t="str">
        <f>IF(OR($C339="総括",$C339="内訳書",$C339="内訳代価",$C339="明細書",$C339="明細代価",$C339="代価表",$C339="単価表"),データ!W336,"")</f>
        <v/>
      </c>
      <c r="AA339" s="11" t="str">
        <f t="shared" si="34"/>
        <v/>
      </c>
      <c r="AB339" s="46" t="e">
        <f t="shared" si="35"/>
        <v>#DIV/0!</v>
      </c>
      <c r="AC339" s="40" t="str">
        <f>IF(データ!X336="","",データ!X336)</f>
        <v/>
      </c>
      <c r="AD339" s="41" t="str">
        <f>IF(データ!Y336="","",データ!Y336)</f>
        <v/>
      </c>
      <c r="AE339" s="47" t="str">
        <f>TRIM(データ!B336)</f>
        <v/>
      </c>
      <c r="AF339" s="43" t="str">
        <f>TRIM(データ!Z336)</f>
        <v/>
      </c>
    </row>
    <row r="340" spans="1:32" x14ac:dyDescent="0.15">
      <c r="A340" s="47">
        <f>データ!A337</f>
        <v>1</v>
      </c>
      <c r="B340" s="47" t="str">
        <f>TRIM(データ!C337)</f>
        <v/>
      </c>
      <c r="C340" s="47" t="str">
        <f>TRIM(データ!D337)</f>
        <v>内訳書</v>
      </c>
      <c r="D340" s="36" t="str">
        <f>REPT("｜",$A340)&amp;TRIM(データ!E337)</f>
        <v>｜縁石工</v>
      </c>
      <c r="E340" s="37" t="str">
        <f>TRIM(データ!F337)</f>
        <v/>
      </c>
      <c r="F340" s="38" t="str">
        <f>TRIM(データ!G337)</f>
        <v>ｍ</v>
      </c>
      <c r="G340" s="50">
        <f>データ!H337</f>
        <v>242</v>
      </c>
      <c r="H340" s="48">
        <f>データ!I337</f>
        <v>7757.44</v>
      </c>
      <c r="I340" s="48">
        <f>データ!J337</f>
        <v>1877300</v>
      </c>
      <c r="J340" s="39">
        <f>IF(OR($C340="総括",$C340="内訳書",$C340="内訳代価",$C340="明細書",$C340="明細代価",$C340="代価表",$C340="単価表"),データ!K337,"")</f>
        <v>242</v>
      </c>
      <c r="K340" s="11" t="str">
        <f t="shared" si="30"/>
        <v/>
      </c>
      <c r="L340" s="46">
        <f t="shared" si="31"/>
        <v>2.702978992988064E-2</v>
      </c>
      <c r="M340" s="40" t="str">
        <f>IF(データ!L337="","",データ!L337)</f>
        <v/>
      </c>
      <c r="N340" s="41" t="str">
        <f>IF(データ!M337="","",データ!M337)</f>
        <v>18号内訳書</v>
      </c>
      <c r="O340" s="42">
        <f>データ!N337</f>
        <v>0</v>
      </c>
      <c r="P340" s="48">
        <f>IF($C340="集計行","",データ!O337)</f>
        <v>0</v>
      </c>
      <c r="Q340" s="48">
        <f>データ!P337</f>
        <v>0</v>
      </c>
      <c r="R340" s="39">
        <f>IF(OR($C340="総括",$C340="内訳書",$C340="内訳代価",$C340="明細書",$C340="明細代価",$C340="代価表",$C340="単価表"),データ!Q337,"")</f>
        <v>0</v>
      </c>
      <c r="S340" s="11" t="str">
        <f t="shared" si="32"/>
        <v/>
      </c>
      <c r="T340" s="46" t="e">
        <f t="shared" si="33"/>
        <v>#DIV/0!</v>
      </c>
      <c r="U340" s="40" t="str">
        <f>IF(データ!R337="","",データ!R337)</f>
        <v/>
      </c>
      <c r="V340" s="41" t="str">
        <f>IF(データ!S337="","",データ!S337)</f>
        <v/>
      </c>
      <c r="W340" s="42">
        <f>データ!T337</f>
        <v>0</v>
      </c>
      <c r="X340" s="48">
        <f>IF($C340="集計行","",データ!U337)</f>
        <v>0</v>
      </c>
      <c r="Y340" s="48">
        <f>データ!V337</f>
        <v>0</v>
      </c>
      <c r="Z340" s="39">
        <f>IF(OR($C340="総括",$C340="内訳書",$C340="内訳代価",$C340="明細書",$C340="明細代価",$C340="代価表",$C340="単価表"),データ!W337,"")</f>
        <v>0</v>
      </c>
      <c r="AA340" s="11" t="str">
        <f t="shared" si="34"/>
        <v/>
      </c>
      <c r="AB340" s="46" t="e">
        <f t="shared" si="35"/>
        <v>#DIV/0!</v>
      </c>
      <c r="AC340" s="40" t="str">
        <f>IF(データ!X337="","",データ!X337)</f>
        <v/>
      </c>
      <c r="AD340" s="41" t="str">
        <f>IF(データ!Y337="","",データ!Y337)</f>
        <v/>
      </c>
      <c r="AE340" s="47" t="str">
        <f>TRIM(データ!B337)</f>
        <v/>
      </c>
      <c r="AF340" s="43" t="str">
        <f>TRIM(データ!Z337)</f>
        <v/>
      </c>
    </row>
    <row r="341" spans="1:32" x14ac:dyDescent="0.15">
      <c r="A341" s="47">
        <f>データ!A338</f>
        <v>2</v>
      </c>
      <c r="B341" s="47" t="str">
        <f>TRIM(データ!C338)</f>
        <v/>
      </c>
      <c r="C341" s="47" t="str">
        <f>TRIM(データ!D338)</f>
        <v>内訳書</v>
      </c>
      <c r="D341" s="36" t="str">
        <f>REPT("｜",$A341)&amp;TRIM(データ!E338)</f>
        <v>｜｜地先境界ブロックA</v>
      </c>
      <c r="E341" s="37" t="str">
        <f>TRIM(データ!F338)</f>
        <v/>
      </c>
      <c r="F341" s="38" t="str">
        <f>TRIM(データ!G338)</f>
        <v>ｍ</v>
      </c>
      <c r="G341" s="50">
        <f>データ!H338</f>
        <v>52.9</v>
      </c>
      <c r="H341" s="48">
        <f>データ!I338</f>
        <v>6500</v>
      </c>
      <c r="I341" s="48">
        <f>データ!J338</f>
        <v>343850</v>
      </c>
      <c r="J341" s="39">
        <f>IF(OR($C341="総括",$C341="内訳書",$C341="内訳代価",$C341="明細書",$C341="明細代価",$C341="代価表",$C341="単価表"),データ!K338,"")</f>
        <v>52.9</v>
      </c>
      <c r="K341" s="11" t="str">
        <f t="shared" si="30"/>
        <v/>
      </c>
      <c r="L341" s="46">
        <f t="shared" si="31"/>
        <v>4.9508300577368871E-3</v>
      </c>
      <c r="M341" s="40" t="str">
        <f>IF(データ!L338="","",データ!L338)</f>
        <v/>
      </c>
      <c r="N341" s="41" t="str">
        <f>IF(データ!M338="","",データ!M338)</f>
        <v>49号内訳書</v>
      </c>
      <c r="O341" s="42">
        <f>データ!N338</f>
        <v>0</v>
      </c>
      <c r="P341" s="48">
        <f>IF($C341="集計行","",データ!O338)</f>
        <v>0</v>
      </c>
      <c r="Q341" s="48">
        <f>データ!P338</f>
        <v>0</v>
      </c>
      <c r="R341" s="39">
        <f>IF(OR($C341="総括",$C341="内訳書",$C341="内訳代価",$C341="明細書",$C341="明細代価",$C341="代価表",$C341="単価表"),データ!Q338,"")</f>
        <v>0</v>
      </c>
      <c r="S341" s="11" t="str">
        <f t="shared" si="32"/>
        <v/>
      </c>
      <c r="T341" s="46" t="e">
        <f t="shared" si="33"/>
        <v>#DIV/0!</v>
      </c>
      <c r="U341" s="40" t="str">
        <f>IF(データ!R338="","",データ!R338)</f>
        <v/>
      </c>
      <c r="V341" s="41" t="str">
        <f>IF(データ!S338="","",データ!S338)</f>
        <v/>
      </c>
      <c r="W341" s="42">
        <f>データ!T338</f>
        <v>0</v>
      </c>
      <c r="X341" s="48">
        <f>IF($C341="集計行","",データ!U338)</f>
        <v>0</v>
      </c>
      <c r="Y341" s="48">
        <f>データ!V338</f>
        <v>0</v>
      </c>
      <c r="Z341" s="39">
        <f>IF(OR($C341="総括",$C341="内訳書",$C341="内訳代価",$C341="明細書",$C341="明細代価",$C341="代価表",$C341="単価表"),データ!W338,"")</f>
        <v>0</v>
      </c>
      <c r="AA341" s="11" t="str">
        <f t="shared" si="34"/>
        <v/>
      </c>
      <c r="AB341" s="46" t="e">
        <f t="shared" si="35"/>
        <v>#DIV/0!</v>
      </c>
      <c r="AC341" s="40" t="str">
        <f>IF(データ!X338="","",データ!X338)</f>
        <v/>
      </c>
      <c r="AD341" s="41" t="str">
        <f>IF(データ!Y338="","",データ!Y338)</f>
        <v/>
      </c>
      <c r="AE341" s="47" t="str">
        <f>TRIM(データ!B338)</f>
        <v/>
      </c>
      <c r="AF341" s="43" t="str">
        <f>TRIM(データ!Z338)</f>
        <v/>
      </c>
    </row>
    <row r="342" spans="1:32" x14ac:dyDescent="0.15">
      <c r="A342" s="47">
        <f>データ!A339</f>
        <v>3</v>
      </c>
      <c r="B342" s="47" t="str">
        <f>TRIM(データ!C339)</f>
        <v/>
      </c>
      <c r="C342" s="47" t="str">
        <f>TRIM(データ!D339)</f>
        <v>材料費</v>
      </c>
      <c r="D342" s="36" t="str">
        <f>REPT("｜",$A342)&amp;TRIM(データ!E339)</f>
        <v>｜｜｜地先境界ブロックA</v>
      </c>
      <c r="E342" s="37" t="str">
        <f>TRIM(データ!F339)</f>
        <v/>
      </c>
      <c r="F342" s="38" t="str">
        <f>TRIM(データ!G339)</f>
        <v>本</v>
      </c>
      <c r="G342" s="50">
        <f>データ!H339</f>
        <v>89</v>
      </c>
      <c r="H342" s="48">
        <f>データ!I339</f>
        <v>530</v>
      </c>
      <c r="I342" s="48">
        <f>データ!J339</f>
        <v>47170</v>
      </c>
      <c r="J342" s="39" t="str">
        <f>IF(OR($C342="総括",$C342="内訳書",$C342="内訳代価",$C342="明細書",$C342="明細代価",$C342="代価表",$C342="単価表"),データ!K339,"")</f>
        <v/>
      </c>
      <c r="K342" s="11" t="str">
        <f t="shared" si="30"/>
        <v/>
      </c>
      <c r="L342" s="46">
        <f t="shared" si="31"/>
        <v>6.791643269549192E-4</v>
      </c>
      <c r="M342" s="40" t="str">
        <f>IF(データ!L339="","",データ!L339)</f>
        <v/>
      </c>
      <c r="N342" s="41" t="str">
        <f>IF(データ!M339="","",データ!M339)</f>
        <v/>
      </c>
      <c r="O342" s="42">
        <f>データ!N339</f>
        <v>0</v>
      </c>
      <c r="P342" s="48">
        <f>IF($C342="集計行","",データ!O339)</f>
        <v>0</v>
      </c>
      <c r="Q342" s="48">
        <f>データ!P339</f>
        <v>0</v>
      </c>
      <c r="R342" s="39" t="str">
        <f>IF(OR($C342="総括",$C342="内訳書",$C342="内訳代価",$C342="明細書",$C342="明細代価",$C342="代価表",$C342="単価表"),データ!Q339,"")</f>
        <v/>
      </c>
      <c r="S342" s="11" t="str">
        <f t="shared" si="32"/>
        <v/>
      </c>
      <c r="T342" s="46" t="e">
        <f t="shared" si="33"/>
        <v>#DIV/0!</v>
      </c>
      <c r="U342" s="40" t="str">
        <f>IF(データ!R339="","",データ!R339)</f>
        <v/>
      </c>
      <c r="V342" s="41" t="str">
        <f>IF(データ!S339="","",データ!S339)</f>
        <v/>
      </c>
      <c r="W342" s="42">
        <f>データ!T339</f>
        <v>0</v>
      </c>
      <c r="X342" s="48">
        <f>IF($C342="集計行","",データ!U339)</f>
        <v>0</v>
      </c>
      <c r="Y342" s="48">
        <f>データ!V339</f>
        <v>0</v>
      </c>
      <c r="Z342" s="39" t="str">
        <f>IF(OR($C342="総括",$C342="内訳書",$C342="内訳代価",$C342="明細書",$C342="明細代価",$C342="代価表",$C342="単価表"),データ!W339,"")</f>
        <v/>
      </c>
      <c r="AA342" s="11" t="str">
        <f t="shared" si="34"/>
        <v/>
      </c>
      <c r="AB342" s="46" t="e">
        <f t="shared" si="35"/>
        <v>#DIV/0!</v>
      </c>
      <c r="AC342" s="40" t="str">
        <f>IF(データ!X339="","",データ!X339)</f>
        <v/>
      </c>
      <c r="AD342" s="41" t="str">
        <f>IF(データ!Y339="","",データ!Y339)</f>
        <v/>
      </c>
      <c r="AE342" s="47" t="str">
        <f>TRIM(データ!B339)</f>
        <v/>
      </c>
      <c r="AF342" s="43" t="str">
        <f>TRIM(データ!Z339)</f>
        <v/>
      </c>
    </row>
    <row r="343" spans="1:32" x14ac:dyDescent="0.15">
      <c r="A343" s="47">
        <f>データ!A340</f>
        <v>3</v>
      </c>
      <c r="B343" s="47" t="str">
        <f>TRIM(データ!C340)</f>
        <v/>
      </c>
      <c r="C343" s="47" t="str">
        <f>TRIM(データ!D340)</f>
        <v>材料費</v>
      </c>
      <c r="D343" s="36" t="str">
        <f>REPT("｜",$A343)&amp;TRIM(データ!E340)</f>
        <v>｜｜｜生コン</v>
      </c>
      <c r="E343" s="37" t="str">
        <f>TRIM(データ!F340)</f>
        <v/>
      </c>
      <c r="F343" s="38" t="str">
        <f>TRIM(データ!G340)</f>
        <v>m3</v>
      </c>
      <c r="G343" s="50">
        <f>データ!H340</f>
        <v>0.5</v>
      </c>
      <c r="H343" s="48">
        <f>データ!I340</f>
        <v>30000</v>
      </c>
      <c r="I343" s="48">
        <f>データ!J340</f>
        <v>15000</v>
      </c>
      <c r="J343" s="39" t="str">
        <f>IF(OR($C343="総括",$C343="内訳書",$C343="内訳代価",$C343="明細書",$C343="明細代価",$C343="代価表",$C343="単価表"),データ!K340,"")</f>
        <v/>
      </c>
      <c r="K343" s="11" t="str">
        <f t="shared" si="30"/>
        <v/>
      </c>
      <c r="L343" s="46">
        <f t="shared" si="31"/>
        <v>2.1597339207809598E-4</v>
      </c>
      <c r="M343" s="40" t="str">
        <f>IF(データ!L340="","",データ!L340)</f>
        <v/>
      </c>
      <c r="N343" s="41" t="str">
        <f>IF(データ!M340="","",データ!M340)</f>
        <v/>
      </c>
      <c r="O343" s="42">
        <f>データ!N340</f>
        <v>0</v>
      </c>
      <c r="P343" s="48">
        <f>IF($C343="集計行","",データ!O340)</f>
        <v>0</v>
      </c>
      <c r="Q343" s="48">
        <f>データ!P340</f>
        <v>0</v>
      </c>
      <c r="R343" s="39" t="str">
        <f>IF(OR($C343="総括",$C343="内訳書",$C343="内訳代価",$C343="明細書",$C343="明細代価",$C343="代価表",$C343="単価表"),データ!Q340,"")</f>
        <v/>
      </c>
      <c r="S343" s="11" t="str">
        <f t="shared" si="32"/>
        <v/>
      </c>
      <c r="T343" s="46" t="e">
        <f t="shared" si="33"/>
        <v>#DIV/0!</v>
      </c>
      <c r="U343" s="40" t="str">
        <f>IF(データ!R340="","",データ!R340)</f>
        <v/>
      </c>
      <c r="V343" s="41" t="str">
        <f>IF(データ!S340="","",データ!S340)</f>
        <v/>
      </c>
      <c r="W343" s="42">
        <f>データ!T340</f>
        <v>0</v>
      </c>
      <c r="X343" s="48">
        <f>IF($C343="集計行","",データ!U340)</f>
        <v>0</v>
      </c>
      <c r="Y343" s="48">
        <f>データ!V340</f>
        <v>0</v>
      </c>
      <c r="Z343" s="39" t="str">
        <f>IF(OR($C343="総括",$C343="内訳書",$C343="内訳代価",$C343="明細書",$C343="明細代価",$C343="代価表",$C343="単価表"),データ!W340,"")</f>
        <v/>
      </c>
      <c r="AA343" s="11" t="str">
        <f t="shared" si="34"/>
        <v/>
      </c>
      <c r="AB343" s="46" t="e">
        <f t="shared" si="35"/>
        <v>#DIV/0!</v>
      </c>
      <c r="AC343" s="40" t="str">
        <f>IF(データ!X340="","",データ!X340)</f>
        <v/>
      </c>
      <c r="AD343" s="41" t="str">
        <f>IF(データ!Y340="","",データ!Y340)</f>
        <v/>
      </c>
      <c r="AE343" s="47" t="str">
        <f>TRIM(データ!B340)</f>
        <v/>
      </c>
      <c r="AF343" s="43" t="str">
        <f>TRIM(データ!Z340)</f>
        <v/>
      </c>
    </row>
    <row r="344" spans="1:32" x14ac:dyDescent="0.15">
      <c r="A344" s="47">
        <f>データ!A341</f>
        <v>3</v>
      </c>
      <c r="B344" s="47" t="str">
        <f>TRIM(データ!C341)</f>
        <v/>
      </c>
      <c r="C344" s="47" t="str">
        <f>TRIM(データ!D341)</f>
        <v>労務費</v>
      </c>
      <c r="D344" s="36" t="str">
        <f>REPT("｜",$A344)&amp;TRIM(データ!E341)</f>
        <v>｜｜｜技工</v>
      </c>
      <c r="E344" s="37" t="str">
        <f>TRIM(データ!F341)</f>
        <v/>
      </c>
      <c r="F344" s="38" t="str">
        <f>TRIM(データ!G341)</f>
        <v>人</v>
      </c>
      <c r="G344" s="50">
        <f>データ!H341</f>
        <v>6</v>
      </c>
      <c r="H344" s="48">
        <f>データ!I341</f>
        <v>28000</v>
      </c>
      <c r="I344" s="48">
        <f>データ!J341</f>
        <v>168000</v>
      </c>
      <c r="J344" s="39" t="str">
        <f>IF(OR($C344="総括",$C344="内訳書",$C344="内訳代価",$C344="明細書",$C344="明細代価",$C344="代価表",$C344="単価表"),データ!K341,"")</f>
        <v/>
      </c>
      <c r="K344" s="11" t="str">
        <f t="shared" si="30"/>
        <v/>
      </c>
      <c r="L344" s="46">
        <f t="shared" si="31"/>
        <v>2.418901991274675E-3</v>
      </c>
      <c r="M344" s="40" t="str">
        <f>IF(データ!L341="","",データ!L341)</f>
        <v/>
      </c>
      <c r="N344" s="41" t="str">
        <f>IF(データ!M341="","",データ!M341)</f>
        <v/>
      </c>
      <c r="O344" s="42">
        <f>データ!N341</f>
        <v>0</v>
      </c>
      <c r="P344" s="48">
        <f>IF($C344="集計行","",データ!O341)</f>
        <v>0</v>
      </c>
      <c r="Q344" s="48">
        <f>データ!P341</f>
        <v>0</v>
      </c>
      <c r="R344" s="39" t="str">
        <f>IF(OR($C344="総括",$C344="内訳書",$C344="内訳代価",$C344="明細書",$C344="明細代価",$C344="代価表",$C344="単価表"),データ!Q341,"")</f>
        <v/>
      </c>
      <c r="S344" s="11" t="str">
        <f t="shared" si="32"/>
        <v/>
      </c>
      <c r="T344" s="46" t="e">
        <f t="shared" si="33"/>
        <v>#DIV/0!</v>
      </c>
      <c r="U344" s="40" t="str">
        <f>IF(データ!R341="","",データ!R341)</f>
        <v/>
      </c>
      <c r="V344" s="41" t="str">
        <f>IF(データ!S341="","",データ!S341)</f>
        <v/>
      </c>
      <c r="W344" s="42">
        <f>データ!T341</f>
        <v>0</v>
      </c>
      <c r="X344" s="48">
        <f>IF($C344="集計行","",データ!U341)</f>
        <v>0</v>
      </c>
      <c r="Y344" s="48">
        <f>データ!V341</f>
        <v>0</v>
      </c>
      <c r="Z344" s="39" t="str">
        <f>IF(OR($C344="総括",$C344="内訳書",$C344="内訳代価",$C344="明細書",$C344="明細代価",$C344="代価表",$C344="単価表"),データ!W341,"")</f>
        <v/>
      </c>
      <c r="AA344" s="11" t="str">
        <f t="shared" si="34"/>
        <v/>
      </c>
      <c r="AB344" s="46" t="e">
        <f t="shared" si="35"/>
        <v>#DIV/0!</v>
      </c>
      <c r="AC344" s="40" t="str">
        <f>IF(データ!X341="","",データ!X341)</f>
        <v/>
      </c>
      <c r="AD344" s="41" t="str">
        <f>IF(データ!Y341="","",データ!Y341)</f>
        <v/>
      </c>
      <c r="AE344" s="47" t="str">
        <f>TRIM(データ!B341)</f>
        <v/>
      </c>
      <c r="AF344" s="43" t="str">
        <f>TRIM(データ!Z341)</f>
        <v/>
      </c>
    </row>
    <row r="345" spans="1:32" x14ac:dyDescent="0.15">
      <c r="A345" s="47">
        <f>データ!A342</f>
        <v>3</v>
      </c>
      <c r="B345" s="47" t="str">
        <f>TRIM(データ!C342)</f>
        <v/>
      </c>
      <c r="C345" s="47" t="str">
        <f>TRIM(データ!D342)</f>
        <v>機械費</v>
      </c>
      <c r="D345" s="36" t="str">
        <f>REPT("｜",$A345)&amp;TRIM(データ!E342)</f>
        <v>｜｜｜BH0.15</v>
      </c>
      <c r="E345" s="37" t="str">
        <f>TRIM(データ!F342)</f>
        <v/>
      </c>
      <c r="F345" s="38" t="str">
        <f>TRIM(データ!G342)</f>
        <v>台</v>
      </c>
      <c r="G345" s="50">
        <f>データ!H342</f>
        <v>2</v>
      </c>
      <c r="H345" s="48">
        <f>データ!I342</f>
        <v>8000</v>
      </c>
      <c r="I345" s="48">
        <f>データ!J342</f>
        <v>16000</v>
      </c>
      <c r="J345" s="39" t="str">
        <f>IF(OR($C345="総括",$C345="内訳書",$C345="内訳代価",$C345="明細書",$C345="明細代価",$C345="代価表",$C345="単価表"),データ!K342,"")</f>
        <v/>
      </c>
      <c r="K345" s="11" t="str">
        <f t="shared" si="30"/>
        <v/>
      </c>
      <c r="L345" s="46">
        <f t="shared" si="31"/>
        <v>2.303716182166357E-4</v>
      </c>
      <c r="M345" s="40" t="str">
        <f>IF(データ!L342="","",データ!L342)</f>
        <v/>
      </c>
      <c r="N345" s="41" t="str">
        <f>IF(データ!M342="","",データ!M342)</f>
        <v/>
      </c>
      <c r="O345" s="42">
        <f>データ!N342</f>
        <v>0</v>
      </c>
      <c r="P345" s="48">
        <f>IF($C345="集計行","",データ!O342)</f>
        <v>0</v>
      </c>
      <c r="Q345" s="48">
        <f>データ!P342</f>
        <v>0</v>
      </c>
      <c r="R345" s="39" t="str">
        <f>IF(OR($C345="総括",$C345="内訳書",$C345="内訳代価",$C345="明細書",$C345="明細代価",$C345="代価表",$C345="単価表"),データ!Q342,"")</f>
        <v/>
      </c>
      <c r="S345" s="11" t="str">
        <f t="shared" si="32"/>
        <v/>
      </c>
      <c r="T345" s="46" t="e">
        <f t="shared" si="33"/>
        <v>#DIV/0!</v>
      </c>
      <c r="U345" s="40" t="str">
        <f>IF(データ!R342="","",データ!R342)</f>
        <v/>
      </c>
      <c r="V345" s="41" t="str">
        <f>IF(データ!S342="","",データ!S342)</f>
        <v/>
      </c>
      <c r="W345" s="42">
        <f>データ!T342</f>
        <v>0</v>
      </c>
      <c r="X345" s="48">
        <f>IF($C345="集計行","",データ!U342)</f>
        <v>0</v>
      </c>
      <c r="Y345" s="48">
        <f>データ!V342</f>
        <v>0</v>
      </c>
      <c r="Z345" s="39" t="str">
        <f>IF(OR($C345="総括",$C345="内訳書",$C345="内訳代価",$C345="明細書",$C345="明細代価",$C345="代価表",$C345="単価表"),データ!W342,"")</f>
        <v/>
      </c>
      <c r="AA345" s="11" t="str">
        <f t="shared" si="34"/>
        <v/>
      </c>
      <c r="AB345" s="46" t="e">
        <f t="shared" si="35"/>
        <v>#DIV/0!</v>
      </c>
      <c r="AC345" s="40" t="str">
        <f>IF(データ!X342="","",データ!X342)</f>
        <v/>
      </c>
      <c r="AD345" s="41" t="str">
        <f>IF(データ!Y342="","",データ!Y342)</f>
        <v/>
      </c>
      <c r="AE345" s="47" t="str">
        <f>TRIM(データ!B342)</f>
        <v/>
      </c>
      <c r="AF345" s="43" t="str">
        <f>TRIM(データ!Z342)</f>
        <v/>
      </c>
    </row>
    <row r="346" spans="1:32" x14ac:dyDescent="0.15">
      <c r="A346" s="47">
        <f>データ!A343</f>
        <v>3</v>
      </c>
      <c r="B346" s="47" t="str">
        <f>TRIM(データ!C343)</f>
        <v/>
      </c>
      <c r="C346" s="47" t="str">
        <f>TRIM(データ!D343)</f>
        <v>機械費</v>
      </c>
      <c r="D346" s="36" t="str">
        <f>REPT("｜",$A346)&amp;TRIM(データ!E343)</f>
        <v>｜｜｜ランマー</v>
      </c>
      <c r="E346" s="37" t="str">
        <f>TRIM(データ!F343)</f>
        <v/>
      </c>
      <c r="F346" s="38" t="str">
        <f>TRIM(データ!G343)</f>
        <v>台</v>
      </c>
      <c r="G346" s="50">
        <f>データ!H343</f>
        <v>2</v>
      </c>
      <c r="H346" s="48">
        <f>データ!I343</f>
        <v>1500</v>
      </c>
      <c r="I346" s="48">
        <f>データ!J343</f>
        <v>3000</v>
      </c>
      <c r="J346" s="39" t="str">
        <f>IF(OR($C346="総括",$C346="内訳書",$C346="内訳代価",$C346="明細書",$C346="明細代価",$C346="代価表",$C346="単価表"),データ!K343,"")</f>
        <v/>
      </c>
      <c r="K346" s="11" t="str">
        <f t="shared" si="30"/>
        <v/>
      </c>
      <c r="L346" s="46">
        <f t="shared" si="31"/>
        <v>4.3194678415619194E-5</v>
      </c>
      <c r="M346" s="40" t="str">
        <f>IF(データ!L343="","",データ!L343)</f>
        <v/>
      </c>
      <c r="N346" s="41" t="str">
        <f>IF(データ!M343="","",データ!M343)</f>
        <v/>
      </c>
      <c r="O346" s="42">
        <f>データ!N343</f>
        <v>0</v>
      </c>
      <c r="P346" s="48">
        <f>IF($C346="集計行","",データ!O343)</f>
        <v>0</v>
      </c>
      <c r="Q346" s="48">
        <f>データ!P343</f>
        <v>0</v>
      </c>
      <c r="R346" s="39" t="str">
        <f>IF(OR($C346="総括",$C346="内訳書",$C346="内訳代価",$C346="明細書",$C346="明細代価",$C346="代価表",$C346="単価表"),データ!Q343,"")</f>
        <v/>
      </c>
      <c r="S346" s="11" t="str">
        <f t="shared" si="32"/>
        <v/>
      </c>
      <c r="T346" s="46" t="e">
        <f t="shared" si="33"/>
        <v>#DIV/0!</v>
      </c>
      <c r="U346" s="40" t="str">
        <f>IF(データ!R343="","",データ!R343)</f>
        <v/>
      </c>
      <c r="V346" s="41" t="str">
        <f>IF(データ!S343="","",データ!S343)</f>
        <v/>
      </c>
      <c r="W346" s="42">
        <f>データ!T343</f>
        <v>0</v>
      </c>
      <c r="X346" s="48">
        <f>IF($C346="集計行","",データ!U343)</f>
        <v>0</v>
      </c>
      <c r="Y346" s="48">
        <f>データ!V343</f>
        <v>0</v>
      </c>
      <c r="Z346" s="39" t="str">
        <f>IF(OR($C346="総括",$C346="内訳書",$C346="内訳代価",$C346="明細書",$C346="明細代価",$C346="代価表",$C346="単価表"),データ!W343,"")</f>
        <v/>
      </c>
      <c r="AA346" s="11" t="str">
        <f t="shared" si="34"/>
        <v/>
      </c>
      <c r="AB346" s="46" t="e">
        <f t="shared" si="35"/>
        <v>#DIV/0!</v>
      </c>
      <c r="AC346" s="40" t="str">
        <f>IF(データ!X343="","",データ!X343)</f>
        <v/>
      </c>
      <c r="AD346" s="41" t="str">
        <f>IF(データ!Y343="","",データ!Y343)</f>
        <v/>
      </c>
      <c r="AE346" s="47" t="str">
        <f>TRIM(データ!B343)</f>
        <v/>
      </c>
      <c r="AF346" s="43" t="str">
        <f>TRIM(データ!Z343)</f>
        <v/>
      </c>
    </row>
    <row r="347" spans="1:32" x14ac:dyDescent="0.15">
      <c r="A347" s="47">
        <f>データ!A344</f>
        <v>3</v>
      </c>
      <c r="B347" s="47" t="str">
        <f>TRIM(データ!C344)</f>
        <v/>
      </c>
      <c r="C347" s="47" t="str">
        <f>TRIM(データ!D344)</f>
        <v>機械費</v>
      </c>
      <c r="D347" s="36" t="str">
        <f>REPT("｜",$A347)&amp;TRIM(データ!E344)</f>
        <v>｜｜｜プレート</v>
      </c>
      <c r="E347" s="37" t="str">
        <f>TRIM(データ!F344)</f>
        <v/>
      </c>
      <c r="F347" s="38" t="str">
        <f>TRIM(データ!G344)</f>
        <v>台</v>
      </c>
      <c r="G347" s="50">
        <f>データ!H344</f>
        <v>2</v>
      </c>
      <c r="H347" s="48">
        <f>データ!I344</f>
        <v>1500</v>
      </c>
      <c r="I347" s="48">
        <f>データ!J344</f>
        <v>3000</v>
      </c>
      <c r="J347" s="39" t="str">
        <f>IF(OR($C347="総括",$C347="内訳書",$C347="内訳代価",$C347="明細書",$C347="明細代価",$C347="代価表",$C347="単価表"),データ!K344,"")</f>
        <v/>
      </c>
      <c r="K347" s="11" t="str">
        <f t="shared" si="30"/>
        <v/>
      </c>
      <c r="L347" s="46">
        <f t="shared" si="31"/>
        <v>4.3194678415619194E-5</v>
      </c>
      <c r="M347" s="40" t="str">
        <f>IF(データ!L344="","",データ!L344)</f>
        <v/>
      </c>
      <c r="N347" s="41" t="str">
        <f>IF(データ!M344="","",データ!M344)</f>
        <v/>
      </c>
      <c r="O347" s="42">
        <f>データ!N344</f>
        <v>0</v>
      </c>
      <c r="P347" s="48">
        <f>IF($C347="集計行","",データ!O344)</f>
        <v>0</v>
      </c>
      <c r="Q347" s="48">
        <f>データ!P344</f>
        <v>0</v>
      </c>
      <c r="R347" s="39" t="str">
        <f>IF(OR($C347="総括",$C347="内訳書",$C347="内訳代価",$C347="明細書",$C347="明細代価",$C347="代価表",$C347="単価表"),データ!Q344,"")</f>
        <v/>
      </c>
      <c r="S347" s="11" t="str">
        <f t="shared" si="32"/>
        <v/>
      </c>
      <c r="T347" s="46" t="e">
        <f t="shared" si="33"/>
        <v>#DIV/0!</v>
      </c>
      <c r="U347" s="40" t="str">
        <f>IF(データ!R344="","",データ!R344)</f>
        <v/>
      </c>
      <c r="V347" s="41" t="str">
        <f>IF(データ!S344="","",データ!S344)</f>
        <v/>
      </c>
      <c r="W347" s="42">
        <f>データ!T344</f>
        <v>0</v>
      </c>
      <c r="X347" s="48">
        <f>IF($C347="集計行","",データ!U344)</f>
        <v>0</v>
      </c>
      <c r="Y347" s="48">
        <f>データ!V344</f>
        <v>0</v>
      </c>
      <c r="Z347" s="39" t="str">
        <f>IF(OR($C347="総括",$C347="内訳書",$C347="内訳代価",$C347="明細書",$C347="明細代価",$C347="代価表",$C347="単価表"),データ!W344,"")</f>
        <v/>
      </c>
      <c r="AA347" s="11" t="str">
        <f t="shared" si="34"/>
        <v/>
      </c>
      <c r="AB347" s="46" t="e">
        <f t="shared" si="35"/>
        <v>#DIV/0!</v>
      </c>
      <c r="AC347" s="40" t="str">
        <f>IF(データ!X344="","",データ!X344)</f>
        <v/>
      </c>
      <c r="AD347" s="41" t="str">
        <f>IF(データ!Y344="","",データ!Y344)</f>
        <v/>
      </c>
      <c r="AE347" s="47" t="str">
        <f>TRIM(データ!B344)</f>
        <v/>
      </c>
      <c r="AF347" s="43" t="str">
        <f>TRIM(データ!Z344)</f>
        <v/>
      </c>
    </row>
    <row r="348" spans="1:32" x14ac:dyDescent="0.15">
      <c r="A348" s="47">
        <f>データ!A345</f>
        <v>3</v>
      </c>
      <c r="B348" s="47" t="str">
        <f>TRIM(データ!C345)</f>
        <v/>
      </c>
      <c r="C348" s="47" t="str">
        <f>TRIM(データ!D345)</f>
        <v>運搬費</v>
      </c>
      <c r="D348" s="36" t="str">
        <f>REPT("｜",$A348)&amp;TRIM(データ!E345)</f>
        <v>｜｜｜4tダンプ</v>
      </c>
      <c r="E348" s="37" t="str">
        <f>TRIM(データ!F345)</f>
        <v/>
      </c>
      <c r="F348" s="38" t="str">
        <f>TRIM(データ!G345)</f>
        <v>台</v>
      </c>
      <c r="G348" s="50">
        <f>データ!H345</f>
        <v>2</v>
      </c>
      <c r="H348" s="48">
        <f>データ!I345</f>
        <v>10000</v>
      </c>
      <c r="I348" s="48">
        <f>データ!J345</f>
        <v>20000</v>
      </c>
      <c r="J348" s="39" t="str">
        <f>IF(OR($C348="総括",$C348="内訳書",$C348="内訳代価",$C348="明細書",$C348="明細代価",$C348="代価表",$C348="単価表"),データ!K345,"")</f>
        <v/>
      </c>
      <c r="K348" s="11" t="str">
        <f t="shared" si="30"/>
        <v/>
      </c>
      <c r="L348" s="46">
        <f t="shared" si="31"/>
        <v>2.8796452277079463E-4</v>
      </c>
      <c r="M348" s="40" t="str">
        <f>IF(データ!L345="","",データ!L345)</f>
        <v/>
      </c>
      <c r="N348" s="41" t="str">
        <f>IF(データ!M345="","",データ!M345)</f>
        <v/>
      </c>
      <c r="O348" s="42">
        <f>データ!N345</f>
        <v>0</v>
      </c>
      <c r="P348" s="48">
        <f>IF($C348="集計行","",データ!O345)</f>
        <v>0</v>
      </c>
      <c r="Q348" s="48">
        <f>データ!P345</f>
        <v>0</v>
      </c>
      <c r="R348" s="39" t="str">
        <f>IF(OR($C348="総括",$C348="内訳書",$C348="内訳代価",$C348="明細書",$C348="明細代価",$C348="代価表",$C348="単価表"),データ!Q345,"")</f>
        <v/>
      </c>
      <c r="S348" s="11" t="str">
        <f t="shared" si="32"/>
        <v/>
      </c>
      <c r="T348" s="46" t="e">
        <f t="shared" si="33"/>
        <v>#DIV/0!</v>
      </c>
      <c r="U348" s="40" t="str">
        <f>IF(データ!R345="","",データ!R345)</f>
        <v/>
      </c>
      <c r="V348" s="41" t="str">
        <f>IF(データ!S345="","",データ!S345)</f>
        <v/>
      </c>
      <c r="W348" s="42">
        <f>データ!T345</f>
        <v>0</v>
      </c>
      <c r="X348" s="48">
        <f>IF($C348="集計行","",データ!U345)</f>
        <v>0</v>
      </c>
      <c r="Y348" s="48">
        <f>データ!V345</f>
        <v>0</v>
      </c>
      <c r="Z348" s="39" t="str">
        <f>IF(OR($C348="総括",$C348="内訳書",$C348="内訳代価",$C348="明細書",$C348="明細代価",$C348="代価表",$C348="単価表"),データ!W345,"")</f>
        <v/>
      </c>
      <c r="AA348" s="11" t="str">
        <f t="shared" si="34"/>
        <v/>
      </c>
      <c r="AB348" s="46" t="e">
        <f t="shared" si="35"/>
        <v>#DIV/0!</v>
      </c>
      <c r="AC348" s="40" t="str">
        <f>IF(データ!X345="","",データ!X345)</f>
        <v/>
      </c>
      <c r="AD348" s="41" t="str">
        <f>IF(データ!Y345="","",データ!Y345)</f>
        <v/>
      </c>
      <c r="AE348" s="47" t="str">
        <f>TRIM(データ!B345)</f>
        <v/>
      </c>
      <c r="AF348" s="43" t="str">
        <f>TRIM(データ!Z345)</f>
        <v/>
      </c>
    </row>
    <row r="349" spans="1:32" x14ac:dyDescent="0.15">
      <c r="A349" s="47">
        <f>データ!A346</f>
        <v>3</v>
      </c>
      <c r="B349" s="47" t="str">
        <f>TRIM(データ!C346)</f>
        <v/>
      </c>
      <c r="C349" s="47" t="str">
        <f>TRIM(データ!D346)</f>
        <v>運搬費</v>
      </c>
      <c r="D349" s="36" t="str">
        <f>REPT("｜",$A349)&amp;TRIM(データ!E346)</f>
        <v>｜｜｜2tダンプ</v>
      </c>
      <c r="E349" s="37" t="str">
        <f>TRIM(データ!F346)</f>
        <v/>
      </c>
      <c r="F349" s="38" t="str">
        <f>TRIM(データ!G346)</f>
        <v>台</v>
      </c>
      <c r="G349" s="50">
        <f>データ!H346</f>
        <v>2</v>
      </c>
      <c r="H349" s="48">
        <f>データ!I346</f>
        <v>7000</v>
      </c>
      <c r="I349" s="48">
        <f>データ!J346</f>
        <v>14000</v>
      </c>
      <c r="J349" s="39" t="str">
        <f>IF(OR($C349="総括",$C349="内訳書",$C349="内訳代価",$C349="明細書",$C349="明細代価",$C349="代価表",$C349="単価表"),データ!K346,"")</f>
        <v/>
      </c>
      <c r="K349" s="11" t="str">
        <f t="shared" si="30"/>
        <v/>
      </c>
      <c r="L349" s="46">
        <f t="shared" si="31"/>
        <v>2.0157516593955624E-4</v>
      </c>
      <c r="M349" s="40" t="str">
        <f>IF(データ!L346="","",データ!L346)</f>
        <v/>
      </c>
      <c r="N349" s="41" t="str">
        <f>IF(データ!M346="","",データ!M346)</f>
        <v/>
      </c>
      <c r="O349" s="42">
        <f>データ!N346</f>
        <v>0</v>
      </c>
      <c r="P349" s="48">
        <f>IF($C349="集計行","",データ!O346)</f>
        <v>0</v>
      </c>
      <c r="Q349" s="48">
        <f>データ!P346</f>
        <v>0</v>
      </c>
      <c r="R349" s="39" t="str">
        <f>IF(OR($C349="総括",$C349="内訳書",$C349="内訳代価",$C349="明細書",$C349="明細代価",$C349="代価表",$C349="単価表"),データ!Q346,"")</f>
        <v/>
      </c>
      <c r="S349" s="11" t="str">
        <f t="shared" si="32"/>
        <v/>
      </c>
      <c r="T349" s="46" t="e">
        <f t="shared" si="33"/>
        <v>#DIV/0!</v>
      </c>
      <c r="U349" s="40" t="str">
        <f>IF(データ!R346="","",データ!R346)</f>
        <v/>
      </c>
      <c r="V349" s="41" t="str">
        <f>IF(データ!S346="","",データ!S346)</f>
        <v/>
      </c>
      <c r="W349" s="42">
        <f>データ!T346</f>
        <v>0</v>
      </c>
      <c r="X349" s="48">
        <f>IF($C349="集計行","",データ!U346)</f>
        <v>0</v>
      </c>
      <c r="Y349" s="48">
        <f>データ!V346</f>
        <v>0</v>
      </c>
      <c r="Z349" s="39" t="str">
        <f>IF(OR($C349="総括",$C349="内訳書",$C349="内訳代価",$C349="明細書",$C349="明細代価",$C349="代価表",$C349="単価表"),データ!W346,"")</f>
        <v/>
      </c>
      <c r="AA349" s="11" t="str">
        <f t="shared" si="34"/>
        <v/>
      </c>
      <c r="AB349" s="46" t="e">
        <f t="shared" si="35"/>
        <v>#DIV/0!</v>
      </c>
      <c r="AC349" s="40" t="str">
        <f>IF(データ!X346="","",データ!X346)</f>
        <v/>
      </c>
      <c r="AD349" s="41" t="str">
        <f>IF(データ!Y346="","",データ!Y346)</f>
        <v/>
      </c>
      <c r="AE349" s="47" t="str">
        <f>TRIM(データ!B346)</f>
        <v/>
      </c>
      <c r="AF349" s="43" t="str">
        <f>TRIM(データ!Z346)</f>
        <v/>
      </c>
    </row>
    <row r="350" spans="1:32" x14ac:dyDescent="0.15">
      <c r="A350" s="47">
        <f>データ!A347</f>
        <v>3</v>
      </c>
      <c r="B350" s="47" t="str">
        <f>TRIM(データ!C347)</f>
        <v/>
      </c>
      <c r="C350" s="47" t="str">
        <f>TRIM(データ!D347)</f>
        <v>材料費</v>
      </c>
      <c r="D350" s="36" t="str">
        <f>REPT("｜",$A350)&amp;TRIM(データ!E347)</f>
        <v>｜｜｜軽油</v>
      </c>
      <c r="E350" s="37" t="str">
        <f>TRIM(データ!F347)</f>
        <v/>
      </c>
      <c r="F350" s="38" t="str">
        <f>TRIM(データ!G347)</f>
        <v>リットル</v>
      </c>
      <c r="G350" s="50">
        <f>データ!H347</f>
        <v>80</v>
      </c>
      <c r="H350" s="48">
        <f>データ!I347</f>
        <v>150</v>
      </c>
      <c r="I350" s="48">
        <f>データ!J347</f>
        <v>12000</v>
      </c>
      <c r="J350" s="39" t="str">
        <f>IF(OR($C350="総括",$C350="内訳書",$C350="内訳代価",$C350="明細書",$C350="明細代価",$C350="代価表",$C350="単価表"),データ!K347,"")</f>
        <v/>
      </c>
      <c r="K350" s="11" t="str">
        <f t="shared" si="30"/>
        <v/>
      </c>
      <c r="L350" s="46">
        <f t="shared" si="31"/>
        <v>1.7277871366247678E-4</v>
      </c>
      <c r="M350" s="40" t="str">
        <f>IF(データ!L347="","",データ!L347)</f>
        <v/>
      </c>
      <c r="N350" s="41" t="str">
        <f>IF(データ!M347="","",データ!M347)</f>
        <v/>
      </c>
      <c r="O350" s="42">
        <f>データ!N347</f>
        <v>0</v>
      </c>
      <c r="P350" s="48">
        <f>IF($C350="集計行","",データ!O347)</f>
        <v>0</v>
      </c>
      <c r="Q350" s="48">
        <f>データ!P347</f>
        <v>0</v>
      </c>
      <c r="R350" s="39" t="str">
        <f>IF(OR($C350="総括",$C350="内訳書",$C350="内訳代価",$C350="明細書",$C350="明細代価",$C350="代価表",$C350="単価表"),データ!Q347,"")</f>
        <v/>
      </c>
      <c r="S350" s="11" t="str">
        <f t="shared" si="32"/>
        <v/>
      </c>
      <c r="T350" s="46" t="e">
        <f t="shared" si="33"/>
        <v>#DIV/0!</v>
      </c>
      <c r="U350" s="40" t="str">
        <f>IF(データ!R347="","",データ!R347)</f>
        <v/>
      </c>
      <c r="V350" s="41" t="str">
        <f>IF(データ!S347="","",データ!S347)</f>
        <v/>
      </c>
      <c r="W350" s="42">
        <f>データ!T347</f>
        <v>0</v>
      </c>
      <c r="X350" s="48">
        <f>IF($C350="集計行","",データ!U347)</f>
        <v>0</v>
      </c>
      <c r="Y350" s="48">
        <f>データ!V347</f>
        <v>0</v>
      </c>
      <c r="Z350" s="39" t="str">
        <f>IF(OR($C350="総括",$C350="内訳書",$C350="内訳代価",$C350="明細書",$C350="明細代価",$C350="代価表",$C350="単価表"),データ!W347,"")</f>
        <v/>
      </c>
      <c r="AA350" s="11" t="str">
        <f t="shared" si="34"/>
        <v/>
      </c>
      <c r="AB350" s="46" t="e">
        <f t="shared" si="35"/>
        <v>#DIV/0!</v>
      </c>
      <c r="AC350" s="40" t="str">
        <f>IF(データ!X347="","",データ!X347)</f>
        <v/>
      </c>
      <c r="AD350" s="41" t="str">
        <f>IF(データ!Y347="","",データ!Y347)</f>
        <v/>
      </c>
      <c r="AE350" s="47" t="str">
        <f>TRIM(データ!B347)</f>
        <v/>
      </c>
      <c r="AF350" s="43" t="str">
        <f>TRIM(データ!Z347)</f>
        <v/>
      </c>
    </row>
    <row r="351" spans="1:32" x14ac:dyDescent="0.15">
      <c r="A351" s="47">
        <f>データ!A348</f>
        <v>3</v>
      </c>
      <c r="B351" s="47" t="str">
        <f>TRIM(データ!C348)</f>
        <v/>
      </c>
      <c r="C351" s="47" t="str">
        <f>TRIM(データ!D348)</f>
        <v>材料費</v>
      </c>
      <c r="D351" s="36" t="str">
        <f>REPT("｜",$A351)&amp;TRIM(データ!E348)</f>
        <v>｜｜｜ガソリン</v>
      </c>
      <c r="E351" s="37" t="str">
        <f>TRIM(データ!F348)</f>
        <v/>
      </c>
      <c r="F351" s="38" t="str">
        <f>TRIM(データ!G348)</f>
        <v>リットル</v>
      </c>
      <c r="G351" s="50">
        <f>データ!H348</f>
        <v>80</v>
      </c>
      <c r="H351" s="48">
        <f>データ!I348</f>
        <v>200</v>
      </c>
      <c r="I351" s="48">
        <f>データ!J348</f>
        <v>16000</v>
      </c>
      <c r="J351" s="39" t="str">
        <f>IF(OR($C351="総括",$C351="内訳書",$C351="内訳代価",$C351="明細書",$C351="明細代価",$C351="代価表",$C351="単価表"),データ!K348,"")</f>
        <v/>
      </c>
      <c r="K351" s="11" t="str">
        <f t="shared" si="30"/>
        <v/>
      </c>
      <c r="L351" s="46">
        <f t="shared" si="31"/>
        <v>2.303716182166357E-4</v>
      </c>
      <c r="M351" s="40" t="str">
        <f>IF(データ!L348="","",データ!L348)</f>
        <v/>
      </c>
      <c r="N351" s="41" t="str">
        <f>IF(データ!M348="","",データ!M348)</f>
        <v/>
      </c>
      <c r="O351" s="42">
        <f>データ!N348</f>
        <v>0</v>
      </c>
      <c r="P351" s="48">
        <f>IF($C351="集計行","",データ!O348)</f>
        <v>0</v>
      </c>
      <c r="Q351" s="48">
        <f>データ!P348</f>
        <v>0</v>
      </c>
      <c r="R351" s="39" t="str">
        <f>IF(OR($C351="総括",$C351="内訳書",$C351="内訳代価",$C351="明細書",$C351="明細代価",$C351="代価表",$C351="単価表"),データ!Q348,"")</f>
        <v/>
      </c>
      <c r="S351" s="11" t="str">
        <f t="shared" si="32"/>
        <v/>
      </c>
      <c r="T351" s="46" t="e">
        <f t="shared" si="33"/>
        <v>#DIV/0!</v>
      </c>
      <c r="U351" s="40" t="str">
        <f>IF(データ!R348="","",データ!R348)</f>
        <v/>
      </c>
      <c r="V351" s="41" t="str">
        <f>IF(データ!S348="","",データ!S348)</f>
        <v/>
      </c>
      <c r="W351" s="42">
        <f>データ!T348</f>
        <v>0</v>
      </c>
      <c r="X351" s="48">
        <f>IF($C351="集計行","",データ!U348)</f>
        <v>0</v>
      </c>
      <c r="Y351" s="48">
        <f>データ!V348</f>
        <v>0</v>
      </c>
      <c r="Z351" s="39" t="str">
        <f>IF(OR($C351="総括",$C351="内訳書",$C351="内訳代価",$C351="明細書",$C351="明細代価",$C351="代価表",$C351="単価表"),データ!W348,"")</f>
        <v/>
      </c>
      <c r="AA351" s="11" t="str">
        <f t="shared" si="34"/>
        <v/>
      </c>
      <c r="AB351" s="46" t="e">
        <f t="shared" si="35"/>
        <v>#DIV/0!</v>
      </c>
      <c r="AC351" s="40" t="str">
        <f>IF(データ!X348="","",データ!X348)</f>
        <v/>
      </c>
      <c r="AD351" s="41" t="str">
        <f>IF(データ!Y348="","",データ!Y348)</f>
        <v/>
      </c>
      <c r="AE351" s="47" t="str">
        <f>TRIM(データ!B348)</f>
        <v/>
      </c>
      <c r="AF351" s="43" t="str">
        <f>TRIM(データ!Z348)</f>
        <v/>
      </c>
    </row>
    <row r="352" spans="1:32" x14ac:dyDescent="0.15">
      <c r="A352" s="47">
        <f>データ!A349</f>
        <v>3</v>
      </c>
      <c r="B352" s="47" t="str">
        <f>TRIM(データ!C349)</f>
        <v/>
      </c>
      <c r="C352" s="47" t="str">
        <f>TRIM(データ!D349)</f>
        <v>材料費</v>
      </c>
      <c r="D352" s="36" t="str">
        <f>REPT("｜",$A352)&amp;TRIM(データ!E349)</f>
        <v>｜｜｜雑材</v>
      </c>
      <c r="E352" s="37" t="str">
        <f>TRIM(データ!F349)</f>
        <v/>
      </c>
      <c r="F352" s="38" t="str">
        <f>TRIM(データ!G349)</f>
        <v>式</v>
      </c>
      <c r="G352" s="50">
        <f>データ!H349</f>
        <v>1</v>
      </c>
      <c r="H352" s="48">
        <f>データ!I349</f>
        <v>4480</v>
      </c>
      <c r="I352" s="48">
        <f>データ!J349</f>
        <v>4480</v>
      </c>
      <c r="J352" s="39" t="str">
        <f>IF(OR($C352="総括",$C352="内訳書",$C352="内訳代価",$C352="明細書",$C352="明細代価",$C352="代価表",$C352="単価表"),データ!K349,"")</f>
        <v/>
      </c>
      <c r="K352" s="11" t="str">
        <f t="shared" si="30"/>
        <v/>
      </c>
      <c r="L352" s="46">
        <f t="shared" si="31"/>
        <v>6.4504053100658003E-5</v>
      </c>
      <c r="M352" s="40" t="str">
        <f>IF(データ!L349="","",データ!L349)</f>
        <v/>
      </c>
      <c r="N352" s="41" t="str">
        <f>IF(データ!M349="","",データ!M349)</f>
        <v/>
      </c>
      <c r="O352" s="42">
        <f>データ!N349</f>
        <v>0</v>
      </c>
      <c r="P352" s="48">
        <f>IF($C352="集計行","",データ!O349)</f>
        <v>0</v>
      </c>
      <c r="Q352" s="48">
        <f>データ!P349</f>
        <v>0</v>
      </c>
      <c r="R352" s="39" t="str">
        <f>IF(OR($C352="総括",$C352="内訳書",$C352="内訳代価",$C352="明細書",$C352="明細代価",$C352="代価表",$C352="単価表"),データ!Q349,"")</f>
        <v/>
      </c>
      <c r="S352" s="11" t="str">
        <f t="shared" si="32"/>
        <v/>
      </c>
      <c r="T352" s="46" t="e">
        <f t="shared" si="33"/>
        <v>#DIV/0!</v>
      </c>
      <c r="U352" s="40" t="str">
        <f>IF(データ!R349="","",データ!R349)</f>
        <v/>
      </c>
      <c r="V352" s="41" t="str">
        <f>IF(データ!S349="","",データ!S349)</f>
        <v/>
      </c>
      <c r="W352" s="42">
        <f>データ!T349</f>
        <v>0</v>
      </c>
      <c r="X352" s="48">
        <f>IF($C352="集計行","",データ!U349)</f>
        <v>0</v>
      </c>
      <c r="Y352" s="48">
        <f>データ!V349</f>
        <v>0</v>
      </c>
      <c r="Z352" s="39" t="str">
        <f>IF(OR($C352="総括",$C352="内訳書",$C352="内訳代価",$C352="明細書",$C352="明細代価",$C352="代価表",$C352="単価表"),データ!W349,"")</f>
        <v/>
      </c>
      <c r="AA352" s="11" t="str">
        <f t="shared" si="34"/>
        <v/>
      </c>
      <c r="AB352" s="46" t="e">
        <f t="shared" si="35"/>
        <v>#DIV/0!</v>
      </c>
      <c r="AC352" s="40" t="str">
        <f>IF(データ!X349="","",データ!X349)</f>
        <v/>
      </c>
      <c r="AD352" s="41" t="str">
        <f>IF(データ!Y349="","",データ!Y349)</f>
        <v/>
      </c>
      <c r="AE352" s="47" t="str">
        <f>TRIM(データ!B349)</f>
        <v/>
      </c>
      <c r="AF352" s="43" t="str">
        <f>TRIM(データ!Z349)</f>
        <v/>
      </c>
    </row>
    <row r="353" spans="1:32" x14ac:dyDescent="0.15">
      <c r="A353" s="47">
        <f>データ!A350</f>
        <v>3</v>
      </c>
      <c r="B353" s="47" t="str">
        <f>TRIM(データ!C350)</f>
        <v/>
      </c>
      <c r="C353" s="47" t="str">
        <f>TRIM(データ!D350)</f>
        <v>外注費</v>
      </c>
      <c r="D353" s="36" t="str">
        <f>REPT("｜",$A353)&amp;TRIM(データ!E350)</f>
        <v>｜｜｜外注経費</v>
      </c>
      <c r="E353" s="37" t="str">
        <f>TRIM(データ!F350)</f>
        <v/>
      </c>
      <c r="F353" s="38" t="str">
        <f>TRIM(データ!G350)</f>
        <v>式</v>
      </c>
      <c r="G353" s="50">
        <f>データ!H350</f>
        <v>1</v>
      </c>
      <c r="H353" s="48">
        <f>データ!I350</f>
        <v>25200</v>
      </c>
      <c r="I353" s="48">
        <f>データ!J350</f>
        <v>25200</v>
      </c>
      <c r="J353" s="39" t="str">
        <f>IF(OR($C353="総括",$C353="内訳書",$C353="内訳代価",$C353="明細書",$C353="明細代価",$C353="代価表",$C353="単価表"),データ!K350,"")</f>
        <v/>
      </c>
      <c r="K353" s="11" t="str">
        <f t="shared" si="30"/>
        <v/>
      </c>
      <c r="L353" s="46">
        <f t="shared" si="31"/>
        <v>3.6283529869120127E-4</v>
      </c>
      <c r="M353" s="40" t="str">
        <f>IF(データ!L350="","",データ!L350)</f>
        <v/>
      </c>
      <c r="N353" s="41" t="str">
        <f>IF(データ!M350="","",データ!M350)</f>
        <v/>
      </c>
      <c r="O353" s="42">
        <f>データ!N350</f>
        <v>0</v>
      </c>
      <c r="P353" s="48">
        <f>IF($C353="集計行","",データ!O350)</f>
        <v>0</v>
      </c>
      <c r="Q353" s="48">
        <f>データ!P350</f>
        <v>0</v>
      </c>
      <c r="R353" s="39" t="str">
        <f>IF(OR($C353="総括",$C353="内訳書",$C353="内訳代価",$C353="明細書",$C353="明細代価",$C353="代価表",$C353="単価表"),データ!Q350,"")</f>
        <v/>
      </c>
      <c r="S353" s="11" t="str">
        <f t="shared" si="32"/>
        <v/>
      </c>
      <c r="T353" s="46" t="e">
        <f t="shared" si="33"/>
        <v>#DIV/0!</v>
      </c>
      <c r="U353" s="40" t="str">
        <f>IF(データ!R350="","",データ!R350)</f>
        <v/>
      </c>
      <c r="V353" s="41" t="str">
        <f>IF(データ!S350="","",データ!S350)</f>
        <v/>
      </c>
      <c r="W353" s="42">
        <f>データ!T350</f>
        <v>0</v>
      </c>
      <c r="X353" s="48">
        <f>IF($C353="集計行","",データ!U350)</f>
        <v>0</v>
      </c>
      <c r="Y353" s="48">
        <f>データ!V350</f>
        <v>0</v>
      </c>
      <c r="Z353" s="39" t="str">
        <f>IF(OR($C353="総括",$C353="内訳書",$C353="内訳代価",$C353="明細書",$C353="明細代価",$C353="代価表",$C353="単価表"),データ!W350,"")</f>
        <v/>
      </c>
      <c r="AA353" s="11" t="str">
        <f t="shared" si="34"/>
        <v/>
      </c>
      <c r="AB353" s="46" t="e">
        <f t="shared" si="35"/>
        <v>#DIV/0!</v>
      </c>
      <c r="AC353" s="40" t="str">
        <f>IF(データ!X350="","",データ!X350)</f>
        <v/>
      </c>
      <c r="AD353" s="41" t="str">
        <f>IF(データ!Y350="","",データ!Y350)</f>
        <v/>
      </c>
      <c r="AE353" s="47" t="str">
        <f>TRIM(データ!B350)</f>
        <v/>
      </c>
      <c r="AF353" s="43" t="str">
        <f>TRIM(データ!Z350)</f>
        <v/>
      </c>
    </row>
    <row r="354" spans="1:32" x14ac:dyDescent="0.15">
      <c r="A354" s="47">
        <f>データ!A351</f>
        <v>2</v>
      </c>
      <c r="B354" s="47" t="str">
        <f>TRIM(データ!C351)</f>
        <v/>
      </c>
      <c r="C354" s="47" t="str">
        <f>TRIM(データ!D351)</f>
        <v>内訳書</v>
      </c>
      <c r="D354" s="36" t="str">
        <f>REPT("｜",$A354)&amp;TRIM(データ!E351)</f>
        <v>｜｜地先境界ブロックC</v>
      </c>
      <c r="E354" s="37" t="str">
        <f>TRIM(データ!F351)</f>
        <v/>
      </c>
      <c r="F354" s="38" t="str">
        <f>TRIM(データ!G351)</f>
        <v>ｍ</v>
      </c>
      <c r="G354" s="50">
        <f>データ!H351</f>
        <v>41.3</v>
      </c>
      <c r="H354" s="48">
        <f>データ!I351</f>
        <v>8500</v>
      </c>
      <c r="I354" s="48">
        <f>データ!J351</f>
        <v>351050</v>
      </c>
      <c r="J354" s="39">
        <f>IF(OR($C354="総括",$C354="内訳書",$C354="内訳代価",$C354="明細書",$C354="明細代価",$C354="代価表",$C354="単価表"),データ!K351,"")</f>
        <v>41.3</v>
      </c>
      <c r="K354" s="11" t="str">
        <f t="shared" si="30"/>
        <v/>
      </c>
      <c r="L354" s="46">
        <f t="shared" si="31"/>
        <v>5.0544972859343732E-3</v>
      </c>
      <c r="M354" s="40" t="str">
        <f>IF(データ!L351="","",データ!L351)</f>
        <v/>
      </c>
      <c r="N354" s="41" t="str">
        <f>IF(データ!M351="","",データ!M351)</f>
        <v>50号内訳書</v>
      </c>
      <c r="O354" s="42">
        <f>データ!N351</f>
        <v>0</v>
      </c>
      <c r="P354" s="48">
        <f>IF($C354="集計行","",データ!O351)</f>
        <v>0</v>
      </c>
      <c r="Q354" s="48">
        <f>データ!P351</f>
        <v>0</v>
      </c>
      <c r="R354" s="39">
        <f>IF(OR($C354="総括",$C354="内訳書",$C354="内訳代価",$C354="明細書",$C354="明細代価",$C354="代価表",$C354="単価表"),データ!Q351,"")</f>
        <v>0</v>
      </c>
      <c r="S354" s="11" t="str">
        <f t="shared" si="32"/>
        <v/>
      </c>
      <c r="T354" s="46" t="e">
        <f t="shared" si="33"/>
        <v>#DIV/0!</v>
      </c>
      <c r="U354" s="40" t="str">
        <f>IF(データ!R351="","",データ!R351)</f>
        <v/>
      </c>
      <c r="V354" s="41" t="str">
        <f>IF(データ!S351="","",データ!S351)</f>
        <v/>
      </c>
      <c r="W354" s="42">
        <f>データ!T351</f>
        <v>0</v>
      </c>
      <c r="X354" s="48">
        <f>IF($C354="集計行","",データ!U351)</f>
        <v>0</v>
      </c>
      <c r="Y354" s="48">
        <f>データ!V351</f>
        <v>0</v>
      </c>
      <c r="Z354" s="39">
        <f>IF(OR($C354="総括",$C354="内訳書",$C354="内訳代価",$C354="明細書",$C354="明細代価",$C354="代価表",$C354="単価表"),データ!W351,"")</f>
        <v>0</v>
      </c>
      <c r="AA354" s="11" t="str">
        <f t="shared" si="34"/>
        <v/>
      </c>
      <c r="AB354" s="46" t="e">
        <f t="shared" si="35"/>
        <v>#DIV/0!</v>
      </c>
      <c r="AC354" s="40" t="str">
        <f>IF(データ!X351="","",データ!X351)</f>
        <v/>
      </c>
      <c r="AD354" s="41" t="str">
        <f>IF(データ!Y351="","",データ!Y351)</f>
        <v/>
      </c>
      <c r="AE354" s="47" t="str">
        <f>TRIM(データ!B351)</f>
        <v/>
      </c>
      <c r="AF354" s="43" t="str">
        <f>TRIM(データ!Z351)</f>
        <v/>
      </c>
    </row>
    <row r="355" spans="1:32" x14ac:dyDescent="0.15">
      <c r="A355" s="47">
        <f>データ!A352</f>
        <v>3</v>
      </c>
      <c r="B355" s="47" t="str">
        <f>TRIM(データ!C352)</f>
        <v/>
      </c>
      <c r="C355" s="47" t="str">
        <f>TRIM(データ!D352)</f>
        <v>材料費</v>
      </c>
      <c r="D355" s="36" t="str">
        <f>REPT("｜",$A355)&amp;TRIM(データ!E352)</f>
        <v>｜｜｜地先境界ブロックC</v>
      </c>
      <c r="E355" s="37" t="str">
        <f>TRIM(データ!F352)</f>
        <v/>
      </c>
      <c r="F355" s="38" t="str">
        <f>TRIM(データ!G352)</f>
        <v>本</v>
      </c>
      <c r="G355" s="50">
        <f>データ!H352</f>
        <v>69</v>
      </c>
      <c r="H355" s="48">
        <f>データ!I352</f>
        <v>810</v>
      </c>
      <c r="I355" s="48">
        <f>データ!J352</f>
        <v>55890</v>
      </c>
      <c r="J355" s="39" t="str">
        <f>IF(OR($C355="総括",$C355="内訳書",$C355="内訳代価",$C355="明細書",$C355="明細代価",$C355="代価表",$C355="単価表"),データ!K352,"")</f>
        <v/>
      </c>
      <c r="K355" s="11" t="str">
        <f t="shared" si="30"/>
        <v/>
      </c>
      <c r="L355" s="46">
        <f t="shared" si="31"/>
        <v>8.0471685888298559E-4</v>
      </c>
      <c r="M355" s="40" t="str">
        <f>IF(データ!L352="","",データ!L352)</f>
        <v/>
      </c>
      <c r="N355" s="41" t="str">
        <f>IF(データ!M352="","",データ!M352)</f>
        <v/>
      </c>
      <c r="O355" s="42">
        <f>データ!N352</f>
        <v>0</v>
      </c>
      <c r="P355" s="48">
        <f>IF($C355="集計行","",データ!O352)</f>
        <v>0</v>
      </c>
      <c r="Q355" s="48">
        <f>データ!P352</f>
        <v>0</v>
      </c>
      <c r="R355" s="39" t="str">
        <f>IF(OR($C355="総括",$C355="内訳書",$C355="内訳代価",$C355="明細書",$C355="明細代価",$C355="代価表",$C355="単価表"),データ!Q352,"")</f>
        <v/>
      </c>
      <c r="S355" s="11" t="str">
        <f t="shared" si="32"/>
        <v/>
      </c>
      <c r="T355" s="46" t="e">
        <f t="shared" si="33"/>
        <v>#DIV/0!</v>
      </c>
      <c r="U355" s="40" t="str">
        <f>IF(データ!R352="","",データ!R352)</f>
        <v/>
      </c>
      <c r="V355" s="41" t="str">
        <f>IF(データ!S352="","",データ!S352)</f>
        <v/>
      </c>
      <c r="W355" s="42">
        <f>データ!T352</f>
        <v>0</v>
      </c>
      <c r="X355" s="48">
        <f>IF($C355="集計行","",データ!U352)</f>
        <v>0</v>
      </c>
      <c r="Y355" s="48">
        <f>データ!V352</f>
        <v>0</v>
      </c>
      <c r="Z355" s="39" t="str">
        <f>IF(OR($C355="総括",$C355="内訳書",$C355="内訳代価",$C355="明細書",$C355="明細代価",$C355="代価表",$C355="単価表"),データ!W352,"")</f>
        <v/>
      </c>
      <c r="AA355" s="11" t="str">
        <f t="shared" si="34"/>
        <v/>
      </c>
      <c r="AB355" s="46" t="e">
        <f t="shared" si="35"/>
        <v>#DIV/0!</v>
      </c>
      <c r="AC355" s="40" t="str">
        <f>IF(データ!X352="","",データ!X352)</f>
        <v/>
      </c>
      <c r="AD355" s="41" t="str">
        <f>IF(データ!Y352="","",データ!Y352)</f>
        <v/>
      </c>
      <c r="AE355" s="47" t="str">
        <f>TRIM(データ!B352)</f>
        <v/>
      </c>
      <c r="AF355" s="43" t="str">
        <f>TRIM(データ!Z352)</f>
        <v/>
      </c>
    </row>
    <row r="356" spans="1:32" x14ac:dyDescent="0.15">
      <c r="A356" s="47">
        <f>データ!A353</f>
        <v>3</v>
      </c>
      <c r="B356" s="47" t="str">
        <f>TRIM(データ!C353)</f>
        <v/>
      </c>
      <c r="C356" s="47" t="str">
        <f>TRIM(データ!D353)</f>
        <v>材料費</v>
      </c>
      <c r="D356" s="36" t="str">
        <f>REPT("｜",$A356)&amp;TRIM(データ!E353)</f>
        <v>｜｜｜生コン</v>
      </c>
      <c r="E356" s="37" t="str">
        <f>TRIM(データ!F353)</f>
        <v/>
      </c>
      <c r="F356" s="38" t="str">
        <f>TRIM(データ!G353)</f>
        <v>m3</v>
      </c>
      <c r="G356" s="50">
        <f>データ!H353</f>
        <v>0.5</v>
      </c>
      <c r="H356" s="48">
        <f>データ!I353</f>
        <v>30000</v>
      </c>
      <c r="I356" s="48">
        <f>データ!J353</f>
        <v>15000</v>
      </c>
      <c r="J356" s="39" t="str">
        <f>IF(OR($C356="総括",$C356="内訳書",$C356="内訳代価",$C356="明細書",$C356="明細代価",$C356="代価表",$C356="単価表"),データ!K353,"")</f>
        <v/>
      </c>
      <c r="K356" s="11" t="str">
        <f t="shared" si="30"/>
        <v/>
      </c>
      <c r="L356" s="46">
        <f t="shared" si="31"/>
        <v>2.1597339207809598E-4</v>
      </c>
      <c r="M356" s="40" t="str">
        <f>IF(データ!L353="","",データ!L353)</f>
        <v/>
      </c>
      <c r="N356" s="41" t="str">
        <f>IF(データ!M353="","",データ!M353)</f>
        <v/>
      </c>
      <c r="O356" s="42">
        <f>データ!N353</f>
        <v>0</v>
      </c>
      <c r="P356" s="48">
        <f>IF($C356="集計行","",データ!O353)</f>
        <v>0</v>
      </c>
      <c r="Q356" s="48">
        <f>データ!P353</f>
        <v>0</v>
      </c>
      <c r="R356" s="39" t="str">
        <f>IF(OR($C356="総括",$C356="内訳書",$C356="内訳代価",$C356="明細書",$C356="明細代価",$C356="代価表",$C356="単価表"),データ!Q353,"")</f>
        <v/>
      </c>
      <c r="S356" s="11" t="str">
        <f t="shared" si="32"/>
        <v/>
      </c>
      <c r="T356" s="46" t="e">
        <f t="shared" si="33"/>
        <v>#DIV/0!</v>
      </c>
      <c r="U356" s="40" t="str">
        <f>IF(データ!R353="","",データ!R353)</f>
        <v/>
      </c>
      <c r="V356" s="41" t="str">
        <f>IF(データ!S353="","",データ!S353)</f>
        <v/>
      </c>
      <c r="W356" s="42">
        <f>データ!T353</f>
        <v>0</v>
      </c>
      <c r="X356" s="48">
        <f>IF($C356="集計行","",データ!U353)</f>
        <v>0</v>
      </c>
      <c r="Y356" s="48">
        <f>データ!V353</f>
        <v>0</v>
      </c>
      <c r="Z356" s="39" t="str">
        <f>IF(OR($C356="総括",$C356="内訳書",$C356="内訳代価",$C356="明細書",$C356="明細代価",$C356="代価表",$C356="単価表"),データ!W353,"")</f>
        <v/>
      </c>
      <c r="AA356" s="11" t="str">
        <f t="shared" si="34"/>
        <v/>
      </c>
      <c r="AB356" s="46" t="e">
        <f t="shared" si="35"/>
        <v>#DIV/0!</v>
      </c>
      <c r="AC356" s="40" t="str">
        <f>IF(データ!X353="","",データ!X353)</f>
        <v/>
      </c>
      <c r="AD356" s="41" t="str">
        <f>IF(データ!Y353="","",データ!Y353)</f>
        <v/>
      </c>
      <c r="AE356" s="47" t="str">
        <f>TRIM(データ!B353)</f>
        <v/>
      </c>
      <c r="AF356" s="43" t="str">
        <f>TRIM(データ!Z353)</f>
        <v/>
      </c>
    </row>
    <row r="357" spans="1:32" x14ac:dyDescent="0.15">
      <c r="A357" s="47">
        <f>データ!A354</f>
        <v>3</v>
      </c>
      <c r="B357" s="47" t="str">
        <f>TRIM(データ!C354)</f>
        <v/>
      </c>
      <c r="C357" s="47" t="str">
        <f>TRIM(データ!D354)</f>
        <v>労務費</v>
      </c>
      <c r="D357" s="36" t="str">
        <f>REPT("｜",$A357)&amp;TRIM(データ!E354)</f>
        <v>｜｜｜技工</v>
      </c>
      <c r="E357" s="37" t="str">
        <f>TRIM(データ!F354)</f>
        <v/>
      </c>
      <c r="F357" s="38" t="str">
        <f>TRIM(データ!G354)</f>
        <v>人</v>
      </c>
      <c r="G357" s="50">
        <f>データ!H354</f>
        <v>6</v>
      </c>
      <c r="H357" s="48">
        <f>データ!I354</f>
        <v>28000</v>
      </c>
      <c r="I357" s="48">
        <f>データ!J354</f>
        <v>168000</v>
      </c>
      <c r="J357" s="39" t="str">
        <f>IF(OR($C357="総括",$C357="内訳書",$C357="内訳代価",$C357="明細書",$C357="明細代価",$C357="代価表",$C357="単価表"),データ!K354,"")</f>
        <v/>
      </c>
      <c r="K357" s="11" t="str">
        <f t="shared" si="30"/>
        <v/>
      </c>
      <c r="L357" s="46">
        <f t="shared" si="31"/>
        <v>2.418901991274675E-3</v>
      </c>
      <c r="M357" s="40" t="str">
        <f>IF(データ!L354="","",データ!L354)</f>
        <v/>
      </c>
      <c r="N357" s="41" t="str">
        <f>IF(データ!M354="","",データ!M354)</f>
        <v/>
      </c>
      <c r="O357" s="42">
        <f>データ!N354</f>
        <v>0</v>
      </c>
      <c r="P357" s="48">
        <f>IF($C357="集計行","",データ!O354)</f>
        <v>0</v>
      </c>
      <c r="Q357" s="48">
        <f>データ!P354</f>
        <v>0</v>
      </c>
      <c r="R357" s="39" t="str">
        <f>IF(OR($C357="総括",$C357="内訳書",$C357="内訳代価",$C357="明細書",$C357="明細代価",$C357="代価表",$C357="単価表"),データ!Q354,"")</f>
        <v/>
      </c>
      <c r="S357" s="11" t="str">
        <f t="shared" si="32"/>
        <v/>
      </c>
      <c r="T357" s="46" t="e">
        <f t="shared" si="33"/>
        <v>#DIV/0!</v>
      </c>
      <c r="U357" s="40" t="str">
        <f>IF(データ!R354="","",データ!R354)</f>
        <v/>
      </c>
      <c r="V357" s="41" t="str">
        <f>IF(データ!S354="","",データ!S354)</f>
        <v/>
      </c>
      <c r="W357" s="42">
        <f>データ!T354</f>
        <v>0</v>
      </c>
      <c r="X357" s="48">
        <f>IF($C357="集計行","",データ!U354)</f>
        <v>0</v>
      </c>
      <c r="Y357" s="48">
        <f>データ!V354</f>
        <v>0</v>
      </c>
      <c r="Z357" s="39" t="str">
        <f>IF(OR($C357="総括",$C357="内訳書",$C357="内訳代価",$C357="明細書",$C357="明細代価",$C357="代価表",$C357="単価表"),データ!W354,"")</f>
        <v/>
      </c>
      <c r="AA357" s="11" t="str">
        <f t="shared" si="34"/>
        <v/>
      </c>
      <c r="AB357" s="46" t="e">
        <f t="shared" si="35"/>
        <v>#DIV/0!</v>
      </c>
      <c r="AC357" s="40" t="str">
        <f>IF(データ!X354="","",データ!X354)</f>
        <v/>
      </c>
      <c r="AD357" s="41" t="str">
        <f>IF(データ!Y354="","",データ!Y354)</f>
        <v/>
      </c>
      <c r="AE357" s="47" t="str">
        <f>TRIM(データ!B354)</f>
        <v/>
      </c>
      <c r="AF357" s="43" t="str">
        <f>TRIM(データ!Z354)</f>
        <v/>
      </c>
    </row>
    <row r="358" spans="1:32" x14ac:dyDescent="0.15">
      <c r="A358" s="47">
        <f>データ!A355</f>
        <v>3</v>
      </c>
      <c r="B358" s="47" t="str">
        <f>TRIM(データ!C355)</f>
        <v/>
      </c>
      <c r="C358" s="47" t="str">
        <f>TRIM(データ!D355)</f>
        <v>機械費</v>
      </c>
      <c r="D358" s="36" t="str">
        <f>REPT("｜",$A358)&amp;TRIM(データ!E355)</f>
        <v>｜｜｜BH0.15</v>
      </c>
      <c r="E358" s="37" t="str">
        <f>TRIM(データ!F355)</f>
        <v/>
      </c>
      <c r="F358" s="38" t="str">
        <f>TRIM(データ!G355)</f>
        <v>台</v>
      </c>
      <c r="G358" s="50">
        <f>データ!H355</f>
        <v>2</v>
      </c>
      <c r="H358" s="48">
        <f>データ!I355</f>
        <v>8000</v>
      </c>
      <c r="I358" s="48">
        <f>データ!J355</f>
        <v>16000</v>
      </c>
      <c r="J358" s="39" t="str">
        <f>IF(OR($C358="総括",$C358="内訳書",$C358="内訳代価",$C358="明細書",$C358="明細代価",$C358="代価表",$C358="単価表"),データ!K355,"")</f>
        <v/>
      </c>
      <c r="K358" s="11" t="str">
        <f t="shared" si="30"/>
        <v/>
      </c>
      <c r="L358" s="46">
        <f t="shared" si="31"/>
        <v>2.303716182166357E-4</v>
      </c>
      <c r="M358" s="40" t="str">
        <f>IF(データ!L355="","",データ!L355)</f>
        <v/>
      </c>
      <c r="N358" s="41" t="str">
        <f>IF(データ!M355="","",データ!M355)</f>
        <v/>
      </c>
      <c r="O358" s="42">
        <f>データ!N355</f>
        <v>0</v>
      </c>
      <c r="P358" s="48">
        <f>IF($C358="集計行","",データ!O355)</f>
        <v>0</v>
      </c>
      <c r="Q358" s="48">
        <f>データ!P355</f>
        <v>0</v>
      </c>
      <c r="R358" s="39" t="str">
        <f>IF(OR($C358="総括",$C358="内訳書",$C358="内訳代価",$C358="明細書",$C358="明細代価",$C358="代価表",$C358="単価表"),データ!Q355,"")</f>
        <v/>
      </c>
      <c r="S358" s="11" t="str">
        <f t="shared" si="32"/>
        <v/>
      </c>
      <c r="T358" s="46" t="e">
        <f t="shared" si="33"/>
        <v>#DIV/0!</v>
      </c>
      <c r="U358" s="40" t="str">
        <f>IF(データ!R355="","",データ!R355)</f>
        <v/>
      </c>
      <c r="V358" s="41" t="str">
        <f>IF(データ!S355="","",データ!S355)</f>
        <v/>
      </c>
      <c r="W358" s="42">
        <f>データ!T355</f>
        <v>0</v>
      </c>
      <c r="X358" s="48">
        <f>IF($C358="集計行","",データ!U355)</f>
        <v>0</v>
      </c>
      <c r="Y358" s="48">
        <f>データ!V355</f>
        <v>0</v>
      </c>
      <c r="Z358" s="39" t="str">
        <f>IF(OR($C358="総括",$C358="内訳書",$C358="内訳代価",$C358="明細書",$C358="明細代価",$C358="代価表",$C358="単価表"),データ!W355,"")</f>
        <v/>
      </c>
      <c r="AA358" s="11" t="str">
        <f t="shared" si="34"/>
        <v/>
      </c>
      <c r="AB358" s="46" t="e">
        <f t="shared" si="35"/>
        <v>#DIV/0!</v>
      </c>
      <c r="AC358" s="40" t="str">
        <f>IF(データ!X355="","",データ!X355)</f>
        <v/>
      </c>
      <c r="AD358" s="41" t="str">
        <f>IF(データ!Y355="","",データ!Y355)</f>
        <v/>
      </c>
      <c r="AE358" s="47" t="str">
        <f>TRIM(データ!B355)</f>
        <v/>
      </c>
      <c r="AF358" s="43" t="str">
        <f>TRIM(データ!Z355)</f>
        <v/>
      </c>
    </row>
    <row r="359" spans="1:32" x14ac:dyDescent="0.15">
      <c r="A359" s="47">
        <f>データ!A356</f>
        <v>3</v>
      </c>
      <c r="B359" s="47" t="str">
        <f>TRIM(データ!C356)</f>
        <v/>
      </c>
      <c r="C359" s="47" t="str">
        <f>TRIM(データ!D356)</f>
        <v>機械費</v>
      </c>
      <c r="D359" s="36" t="str">
        <f>REPT("｜",$A359)&amp;TRIM(データ!E356)</f>
        <v>｜｜｜ランマー</v>
      </c>
      <c r="E359" s="37" t="str">
        <f>TRIM(データ!F356)</f>
        <v/>
      </c>
      <c r="F359" s="38" t="str">
        <f>TRIM(データ!G356)</f>
        <v>台</v>
      </c>
      <c r="G359" s="50">
        <f>データ!H356</f>
        <v>2</v>
      </c>
      <c r="H359" s="48">
        <f>データ!I356</f>
        <v>1500</v>
      </c>
      <c r="I359" s="48">
        <f>データ!J356</f>
        <v>3000</v>
      </c>
      <c r="J359" s="39" t="str">
        <f>IF(OR($C359="総括",$C359="内訳書",$C359="内訳代価",$C359="明細書",$C359="明細代価",$C359="代価表",$C359="単価表"),データ!K356,"")</f>
        <v/>
      </c>
      <c r="K359" s="11" t="str">
        <f t="shared" si="30"/>
        <v/>
      </c>
      <c r="L359" s="46">
        <f t="shared" si="31"/>
        <v>4.3194678415619194E-5</v>
      </c>
      <c r="M359" s="40" t="str">
        <f>IF(データ!L356="","",データ!L356)</f>
        <v/>
      </c>
      <c r="N359" s="41" t="str">
        <f>IF(データ!M356="","",データ!M356)</f>
        <v/>
      </c>
      <c r="O359" s="42">
        <f>データ!N356</f>
        <v>0</v>
      </c>
      <c r="P359" s="48">
        <f>IF($C359="集計行","",データ!O356)</f>
        <v>0</v>
      </c>
      <c r="Q359" s="48">
        <f>データ!P356</f>
        <v>0</v>
      </c>
      <c r="R359" s="39" t="str">
        <f>IF(OR($C359="総括",$C359="内訳書",$C359="内訳代価",$C359="明細書",$C359="明細代価",$C359="代価表",$C359="単価表"),データ!Q356,"")</f>
        <v/>
      </c>
      <c r="S359" s="11" t="str">
        <f t="shared" si="32"/>
        <v/>
      </c>
      <c r="T359" s="46" t="e">
        <f t="shared" si="33"/>
        <v>#DIV/0!</v>
      </c>
      <c r="U359" s="40" t="str">
        <f>IF(データ!R356="","",データ!R356)</f>
        <v/>
      </c>
      <c r="V359" s="41" t="str">
        <f>IF(データ!S356="","",データ!S356)</f>
        <v/>
      </c>
      <c r="W359" s="42">
        <f>データ!T356</f>
        <v>0</v>
      </c>
      <c r="X359" s="48">
        <f>IF($C359="集計行","",データ!U356)</f>
        <v>0</v>
      </c>
      <c r="Y359" s="48">
        <f>データ!V356</f>
        <v>0</v>
      </c>
      <c r="Z359" s="39" t="str">
        <f>IF(OR($C359="総括",$C359="内訳書",$C359="内訳代価",$C359="明細書",$C359="明細代価",$C359="代価表",$C359="単価表"),データ!W356,"")</f>
        <v/>
      </c>
      <c r="AA359" s="11" t="str">
        <f t="shared" si="34"/>
        <v/>
      </c>
      <c r="AB359" s="46" t="e">
        <f t="shared" si="35"/>
        <v>#DIV/0!</v>
      </c>
      <c r="AC359" s="40" t="str">
        <f>IF(データ!X356="","",データ!X356)</f>
        <v/>
      </c>
      <c r="AD359" s="41" t="str">
        <f>IF(データ!Y356="","",データ!Y356)</f>
        <v/>
      </c>
      <c r="AE359" s="47" t="str">
        <f>TRIM(データ!B356)</f>
        <v/>
      </c>
      <c r="AF359" s="43" t="str">
        <f>TRIM(データ!Z356)</f>
        <v/>
      </c>
    </row>
    <row r="360" spans="1:32" x14ac:dyDescent="0.15">
      <c r="A360" s="47">
        <f>データ!A357</f>
        <v>3</v>
      </c>
      <c r="B360" s="47" t="str">
        <f>TRIM(データ!C357)</f>
        <v/>
      </c>
      <c r="C360" s="47" t="str">
        <f>TRIM(データ!D357)</f>
        <v>機械費</v>
      </c>
      <c r="D360" s="36" t="str">
        <f>REPT("｜",$A360)&amp;TRIM(データ!E357)</f>
        <v>｜｜｜プレート</v>
      </c>
      <c r="E360" s="37" t="str">
        <f>TRIM(データ!F357)</f>
        <v/>
      </c>
      <c r="F360" s="38" t="str">
        <f>TRIM(データ!G357)</f>
        <v>台</v>
      </c>
      <c r="G360" s="50">
        <f>データ!H357</f>
        <v>2</v>
      </c>
      <c r="H360" s="48">
        <f>データ!I357</f>
        <v>1500</v>
      </c>
      <c r="I360" s="48">
        <f>データ!J357</f>
        <v>3000</v>
      </c>
      <c r="J360" s="39" t="str">
        <f>IF(OR($C360="総括",$C360="内訳書",$C360="内訳代価",$C360="明細書",$C360="明細代価",$C360="代価表",$C360="単価表"),データ!K357,"")</f>
        <v/>
      </c>
      <c r="K360" s="11" t="str">
        <f t="shared" si="30"/>
        <v/>
      </c>
      <c r="L360" s="46">
        <f t="shared" si="31"/>
        <v>4.3194678415619194E-5</v>
      </c>
      <c r="M360" s="40" t="str">
        <f>IF(データ!L357="","",データ!L357)</f>
        <v/>
      </c>
      <c r="N360" s="41" t="str">
        <f>IF(データ!M357="","",データ!M357)</f>
        <v/>
      </c>
      <c r="O360" s="42">
        <f>データ!N357</f>
        <v>0</v>
      </c>
      <c r="P360" s="48">
        <f>IF($C360="集計行","",データ!O357)</f>
        <v>0</v>
      </c>
      <c r="Q360" s="48">
        <f>データ!P357</f>
        <v>0</v>
      </c>
      <c r="R360" s="39" t="str">
        <f>IF(OR($C360="総括",$C360="内訳書",$C360="内訳代価",$C360="明細書",$C360="明細代価",$C360="代価表",$C360="単価表"),データ!Q357,"")</f>
        <v/>
      </c>
      <c r="S360" s="11" t="str">
        <f t="shared" si="32"/>
        <v/>
      </c>
      <c r="T360" s="46" t="e">
        <f t="shared" si="33"/>
        <v>#DIV/0!</v>
      </c>
      <c r="U360" s="40" t="str">
        <f>IF(データ!R357="","",データ!R357)</f>
        <v/>
      </c>
      <c r="V360" s="41" t="str">
        <f>IF(データ!S357="","",データ!S357)</f>
        <v/>
      </c>
      <c r="W360" s="42">
        <f>データ!T357</f>
        <v>0</v>
      </c>
      <c r="X360" s="48">
        <f>IF($C360="集計行","",データ!U357)</f>
        <v>0</v>
      </c>
      <c r="Y360" s="48">
        <f>データ!V357</f>
        <v>0</v>
      </c>
      <c r="Z360" s="39" t="str">
        <f>IF(OR($C360="総括",$C360="内訳書",$C360="内訳代価",$C360="明細書",$C360="明細代価",$C360="代価表",$C360="単価表"),データ!W357,"")</f>
        <v/>
      </c>
      <c r="AA360" s="11" t="str">
        <f t="shared" si="34"/>
        <v/>
      </c>
      <c r="AB360" s="46" t="e">
        <f t="shared" si="35"/>
        <v>#DIV/0!</v>
      </c>
      <c r="AC360" s="40" t="str">
        <f>IF(データ!X357="","",データ!X357)</f>
        <v/>
      </c>
      <c r="AD360" s="41" t="str">
        <f>IF(データ!Y357="","",データ!Y357)</f>
        <v/>
      </c>
      <c r="AE360" s="47" t="str">
        <f>TRIM(データ!B357)</f>
        <v/>
      </c>
      <c r="AF360" s="43" t="str">
        <f>TRIM(データ!Z357)</f>
        <v/>
      </c>
    </row>
    <row r="361" spans="1:32" x14ac:dyDescent="0.15">
      <c r="A361" s="47">
        <f>データ!A358</f>
        <v>3</v>
      </c>
      <c r="B361" s="47" t="str">
        <f>TRIM(データ!C358)</f>
        <v/>
      </c>
      <c r="C361" s="47" t="str">
        <f>TRIM(データ!D358)</f>
        <v>運搬費</v>
      </c>
      <c r="D361" s="36" t="str">
        <f>REPT("｜",$A361)&amp;TRIM(データ!E358)</f>
        <v>｜｜｜4tダンプ</v>
      </c>
      <c r="E361" s="37" t="str">
        <f>TRIM(データ!F358)</f>
        <v/>
      </c>
      <c r="F361" s="38" t="str">
        <f>TRIM(データ!G358)</f>
        <v>台</v>
      </c>
      <c r="G361" s="50">
        <f>データ!H358</f>
        <v>2</v>
      </c>
      <c r="H361" s="48">
        <f>データ!I358</f>
        <v>10000</v>
      </c>
      <c r="I361" s="48">
        <f>データ!J358</f>
        <v>20000</v>
      </c>
      <c r="J361" s="39" t="str">
        <f>IF(OR($C361="総括",$C361="内訳書",$C361="内訳代価",$C361="明細書",$C361="明細代価",$C361="代価表",$C361="単価表"),データ!K358,"")</f>
        <v/>
      </c>
      <c r="K361" s="11" t="str">
        <f t="shared" si="30"/>
        <v/>
      </c>
      <c r="L361" s="46">
        <f t="shared" si="31"/>
        <v>2.8796452277079463E-4</v>
      </c>
      <c r="M361" s="40" t="str">
        <f>IF(データ!L358="","",データ!L358)</f>
        <v/>
      </c>
      <c r="N361" s="41" t="str">
        <f>IF(データ!M358="","",データ!M358)</f>
        <v/>
      </c>
      <c r="O361" s="42">
        <f>データ!N358</f>
        <v>0</v>
      </c>
      <c r="P361" s="48">
        <f>IF($C361="集計行","",データ!O358)</f>
        <v>0</v>
      </c>
      <c r="Q361" s="48">
        <f>データ!P358</f>
        <v>0</v>
      </c>
      <c r="R361" s="39" t="str">
        <f>IF(OR($C361="総括",$C361="内訳書",$C361="内訳代価",$C361="明細書",$C361="明細代価",$C361="代価表",$C361="単価表"),データ!Q358,"")</f>
        <v/>
      </c>
      <c r="S361" s="11" t="str">
        <f t="shared" si="32"/>
        <v/>
      </c>
      <c r="T361" s="46" t="e">
        <f t="shared" si="33"/>
        <v>#DIV/0!</v>
      </c>
      <c r="U361" s="40" t="str">
        <f>IF(データ!R358="","",データ!R358)</f>
        <v/>
      </c>
      <c r="V361" s="41" t="str">
        <f>IF(データ!S358="","",データ!S358)</f>
        <v/>
      </c>
      <c r="W361" s="42">
        <f>データ!T358</f>
        <v>0</v>
      </c>
      <c r="X361" s="48">
        <f>IF($C361="集計行","",データ!U358)</f>
        <v>0</v>
      </c>
      <c r="Y361" s="48">
        <f>データ!V358</f>
        <v>0</v>
      </c>
      <c r="Z361" s="39" t="str">
        <f>IF(OR($C361="総括",$C361="内訳書",$C361="内訳代価",$C361="明細書",$C361="明細代価",$C361="代価表",$C361="単価表"),データ!W358,"")</f>
        <v/>
      </c>
      <c r="AA361" s="11" t="str">
        <f t="shared" si="34"/>
        <v/>
      </c>
      <c r="AB361" s="46" t="e">
        <f t="shared" si="35"/>
        <v>#DIV/0!</v>
      </c>
      <c r="AC361" s="40" t="str">
        <f>IF(データ!X358="","",データ!X358)</f>
        <v/>
      </c>
      <c r="AD361" s="41" t="str">
        <f>IF(データ!Y358="","",データ!Y358)</f>
        <v/>
      </c>
      <c r="AE361" s="47" t="str">
        <f>TRIM(データ!B358)</f>
        <v/>
      </c>
      <c r="AF361" s="43" t="str">
        <f>TRIM(データ!Z358)</f>
        <v/>
      </c>
    </row>
    <row r="362" spans="1:32" x14ac:dyDescent="0.15">
      <c r="A362" s="47">
        <f>データ!A359</f>
        <v>3</v>
      </c>
      <c r="B362" s="47" t="str">
        <f>TRIM(データ!C359)</f>
        <v/>
      </c>
      <c r="C362" s="47" t="str">
        <f>TRIM(データ!D359)</f>
        <v>運搬費</v>
      </c>
      <c r="D362" s="36" t="str">
        <f>REPT("｜",$A362)&amp;TRIM(データ!E359)</f>
        <v>｜｜｜2tダンプ</v>
      </c>
      <c r="E362" s="37" t="str">
        <f>TRIM(データ!F359)</f>
        <v/>
      </c>
      <c r="F362" s="38" t="str">
        <f>TRIM(データ!G359)</f>
        <v>台</v>
      </c>
      <c r="G362" s="50">
        <f>データ!H359</f>
        <v>2</v>
      </c>
      <c r="H362" s="48">
        <f>データ!I359</f>
        <v>7000</v>
      </c>
      <c r="I362" s="48">
        <f>データ!J359</f>
        <v>14000</v>
      </c>
      <c r="J362" s="39" t="str">
        <f>IF(OR($C362="総括",$C362="内訳書",$C362="内訳代価",$C362="明細書",$C362="明細代価",$C362="代価表",$C362="単価表"),データ!K359,"")</f>
        <v/>
      </c>
      <c r="K362" s="11" t="str">
        <f t="shared" si="30"/>
        <v/>
      </c>
      <c r="L362" s="46">
        <f t="shared" si="31"/>
        <v>2.0157516593955624E-4</v>
      </c>
      <c r="M362" s="40" t="str">
        <f>IF(データ!L359="","",データ!L359)</f>
        <v/>
      </c>
      <c r="N362" s="41" t="str">
        <f>IF(データ!M359="","",データ!M359)</f>
        <v/>
      </c>
      <c r="O362" s="42">
        <f>データ!N359</f>
        <v>0</v>
      </c>
      <c r="P362" s="48">
        <f>IF($C362="集計行","",データ!O359)</f>
        <v>0</v>
      </c>
      <c r="Q362" s="48">
        <f>データ!P359</f>
        <v>0</v>
      </c>
      <c r="R362" s="39" t="str">
        <f>IF(OR($C362="総括",$C362="内訳書",$C362="内訳代価",$C362="明細書",$C362="明細代価",$C362="代価表",$C362="単価表"),データ!Q359,"")</f>
        <v/>
      </c>
      <c r="S362" s="11" t="str">
        <f t="shared" si="32"/>
        <v/>
      </c>
      <c r="T362" s="46" t="e">
        <f t="shared" si="33"/>
        <v>#DIV/0!</v>
      </c>
      <c r="U362" s="40" t="str">
        <f>IF(データ!R359="","",データ!R359)</f>
        <v/>
      </c>
      <c r="V362" s="41" t="str">
        <f>IF(データ!S359="","",データ!S359)</f>
        <v/>
      </c>
      <c r="W362" s="42">
        <f>データ!T359</f>
        <v>0</v>
      </c>
      <c r="X362" s="48">
        <f>IF($C362="集計行","",データ!U359)</f>
        <v>0</v>
      </c>
      <c r="Y362" s="48">
        <f>データ!V359</f>
        <v>0</v>
      </c>
      <c r="Z362" s="39" t="str">
        <f>IF(OR($C362="総括",$C362="内訳書",$C362="内訳代価",$C362="明細書",$C362="明細代価",$C362="代価表",$C362="単価表"),データ!W359,"")</f>
        <v/>
      </c>
      <c r="AA362" s="11" t="str">
        <f t="shared" si="34"/>
        <v/>
      </c>
      <c r="AB362" s="46" t="e">
        <f t="shared" si="35"/>
        <v>#DIV/0!</v>
      </c>
      <c r="AC362" s="40" t="str">
        <f>IF(データ!X359="","",データ!X359)</f>
        <v/>
      </c>
      <c r="AD362" s="41" t="str">
        <f>IF(データ!Y359="","",データ!Y359)</f>
        <v/>
      </c>
      <c r="AE362" s="47" t="str">
        <f>TRIM(データ!B359)</f>
        <v/>
      </c>
      <c r="AF362" s="43" t="str">
        <f>TRIM(データ!Z359)</f>
        <v/>
      </c>
    </row>
    <row r="363" spans="1:32" x14ac:dyDescent="0.15">
      <c r="A363" s="47">
        <f>データ!A360</f>
        <v>3</v>
      </c>
      <c r="B363" s="47" t="str">
        <f>TRIM(データ!C360)</f>
        <v/>
      </c>
      <c r="C363" s="47" t="str">
        <f>TRIM(データ!D360)</f>
        <v>材料費</v>
      </c>
      <c r="D363" s="36" t="str">
        <f>REPT("｜",$A363)&amp;TRIM(データ!E360)</f>
        <v>｜｜｜軽油</v>
      </c>
      <c r="E363" s="37" t="str">
        <f>TRIM(データ!F360)</f>
        <v/>
      </c>
      <c r="F363" s="38" t="str">
        <f>TRIM(データ!G360)</f>
        <v>リットル</v>
      </c>
      <c r="G363" s="50">
        <f>データ!H360</f>
        <v>80</v>
      </c>
      <c r="H363" s="48">
        <f>データ!I360</f>
        <v>150</v>
      </c>
      <c r="I363" s="48">
        <f>データ!J360</f>
        <v>12000</v>
      </c>
      <c r="J363" s="39" t="str">
        <f>IF(OR($C363="総括",$C363="内訳書",$C363="内訳代価",$C363="明細書",$C363="明細代価",$C363="代価表",$C363="単価表"),データ!K360,"")</f>
        <v/>
      </c>
      <c r="K363" s="11" t="str">
        <f t="shared" si="30"/>
        <v/>
      </c>
      <c r="L363" s="46">
        <f t="shared" si="31"/>
        <v>1.7277871366247678E-4</v>
      </c>
      <c r="M363" s="40" t="str">
        <f>IF(データ!L360="","",データ!L360)</f>
        <v/>
      </c>
      <c r="N363" s="41" t="str">
        <f>IF(データ!M360="","",データ!M360)</f>
        <v/>
      </c>
      <c r="O363" s="42">
        <f>データ!N360</f>
        <v>0</v>
      </c>
      <c r="P363" s="48">
        <f>IF($C363="集計行","",データ!O360)</f>
        <v>0</v>
      </c>
      <c r="Q363" s="48">
        <f>データ!P360</f>
        <v>0</v>
      </c>
      <c r="R363" s="39" t="str">
        <f>IF(OR($C363="総括",$C363="内訳書",$C363="内訳代価",$C363="明細書",$C363="明細代価",$C363="代価表",$C363="単価表"),データ!Q360,"")</f>
        <v/>
      </c>
      <c r="S363" s="11" t="str">
        <f t="shared" si="32"/>
        <v/>
      </c>
      <c r="T363" s="46" t="e">
        <f t="shared" si="33"/>
        <v>#DIV/0!</v>
      </c>
      <c r="U363" s="40" t="str">
        <f>IF(データ!R360="","",データ!R360)</f>
        <v/>
      </c>
      <c r="V363" s="41" t="str">
        <f>IF(データ!S360="","",データ!S360)</f>
        <v/>
      </c>
      <c r="W363" s="42">
        <f>データ!T360</f>
        <v>0</v>
      </c>
      <c r="X363" s="48">
        <f>IF($C363="集計行","",データ!U360)</f>
        <v>0</v>
      </c>
      <c r="Y363" s="48">
        <f>データ!V360</f>
        <v>0</v>
      </c>
      <c r="Z363" s="39" t="str">
        <f>IF(OR($C363="総括",$C363="内訳書",$C363="内訳代価",$C363="明細書",$C363="明細代価",$C363="代価表",$C363="単価表"),データ!W360,"")</f>
        <v/>
      </c>
      <c r="AA363" s="11" t="str">
        <f t="shared" si="34"/>
        <v/>
      </c>
      <c r="AB363" s="46" t="e">
        <f t="shared" si="35"/>
        <v>#DIV/0!</v>
      </c>
      <c r="AC363" s="40" t="str">
        <f>IF(データ!X360="","",データ!X360)</f>
        <v/>
      </c>
      <c r="AD363" s="41" t="str">
        <f>IF(データ!Y360="","",データ!Y360)</f>
        <v/>
      </c>
      <c r="AE363" s="47" t="str">
        <f>TRIM(データ!B360)</f>
        <v/>
      </c>
      <c r="AF363" s="43" t="str">
        <f>TRIM(データ!Z360)</f>
        <v/>
      </c>
    </row>
    <row r="364" spans="1:32" x14ac:dyDescent="0.15">
      <c r="A364" s="47">
        <f>データ!A361</f>
        <v>3</v>
      </c>
      <c r="B364" s="47" t="str">
        <f>TRIM(データ!C361)</f>
        <v/>
      </c>
      <c r="C364" s="47" t="str">
        <f>TRIM(データ!D361)</f>
        <v>材料費</v>
      </c>
      <c r="D364" s="36" t="str">
        <f>REPT("｜",$A364)&amp;TRIM(データ!E361)</f>
        <v>｜｜｜ガソリン</v>
      </c>
      <c r="E364" s="37" t="str">
        <f>TRIM(データ!F361)</f>
        <v/>
      </c>
      <c r="F364" s="38" t="str">
        <f>TRIM(データ!G361)</f>
        <v>リットル</v>
      </c>
      <c r="G364" s="50">
        <f>データ!H361</f>
        <v>80</v>
      </c>
      <c r="H364" s="48">
        <f>データ!I361</f>
        <v>200</v>
      </c>
      <c r="I364" s="48">
        <f>データ!J361</f>
        <v>16000</v>
      </c>
      <c r="J364" s="39" t="str">
        <f>IF(OR($C364="総括",$C364="内訳書",$C364="内訳代価",$C364="明細書",$C364="明細代価",$C364="代価表",$C364="単価表"),データ!K361,"")</f>
        <v/>
      </c>
      <c r="K364" s="11" t="str">
        <f t="shared" si="30"/>
        <v/>
      </c>
      <c r="L364" s="46">
        <f t="shared" si="31"/>
        <v>2.303716182166357E-4</v>
      </c>
      <c r="M364" s="40" t="str">
        <f>IF(データ!L361="","",データ!L361)</f>
        <v/>
      </c>
      <c r="N364" s="41" t="str">
        <f>IF(データ!M361="","",データ!M361)</f>
        <v/>
      </c>
      <c r="O364" s="42">
        <f>データ!N361</f>
        <v>0</v>
      </c>
      <c r="P364" s="48">
        <f>IF($C364="集計行","",データ!O361)</f>
        <v>0</v>
      </c>
      <c r="Q364" s="48">
        <f>データ!P361</f>
        <v>0</v>
      </c>
      <c r="R364" s="39" t="str">
        <f>IF(OR($C364="総括",$C364="内訳書",$C364="内訳代価",$C364="明細書",$C364="明細代価",$C364="代価表",$C364="単価表"),データ!Q361,"")</f>
        <v/>
      </c>
      <c r="S364" s="11" t="str">
        <f t="shared" si="32"/>
        <v/>
      </c>
      <c r="T364" s="46" t="e">
        <f t="shared" si="33"/>
        <v>#DIV/0!</v>
      </c>
      <c r="U364" s="40" t="str">
        <f>IF(データ!R361="","",データ!R361)</f>
        <v/>
      </c>
      <c r="V364" s="41" t="str">
        <f>IF(データ!S361="","",データ!S361)</f>
        <v/>
      </c>
      <c r="W364" s="42">
        <f>データ!T361</f>
        <v>0</v>
      </c>
      <c r="X364" s="48">
        <f>IF($C364="集計行","",データ!U361)</f>
        <v>0</v>
      </c>
      <c r="Y364" s="48">
        <f>データ!V361</f>
        <v>0</v>
      </c>
      <c r="Z364" s="39" t="str">
        <f>IF(OR($C364="総括",$C364="内訳書",$C364="内訳代価",$C364="明細書",$C364="明細代価",$C364="代価表",$C364="単価表"),データ!W361,"")</f>
        <v/>
      </c>
      <c r="AA364" s="11" t="str">
        <f t="shared" si="34"/>
        <v/>
      </c>
      <c r="AB364" s="46" t="e">
        <f t="shared" si="35"/>
        <v>#DIV/0!</v>
      </c>
      <c r="AC364" s="40" t="str">
        <f>IF(データ!X361="","",データ!X361)</f>
        <v/>
      </c>
      <c r="AD364" s="41" t="str">
        <f>IF(データ!Y361="","",データ!Y361)</f>
        <v/>
      </c>
      <c r="AE364" s="47" t="str">
        <f>TRIM(データ!B361)</f>
        <v/>
      </c>
      <c r="AF364" s="43" t="str">
        <f>TRIM(データ!Z361)</f>
        <v/>
      </c>
    </row>
    <row r="365" spans="1:32" x14ac:dyDescent="0.15">
      <c r="A365" s="47">
        <f>データ!A362</f>
        <v>3</v>
      </c>
      <c r="B365" s="47" t="str">
        <f>TRIM(データ!C362)</f>
        <v/>
      </c>
      <c r="C365" s="47" t="str">
        <f>TRIM(データ!D362)</f>
        <v>材料費</v>
      </c>
      <c r="D365" s="36" t="str">
        <f>REPT("｜",$A365)&amp;TRIM(データ!E362)</f>
        <v>｜｜｜雑材</v>
      </c>
      <c r="E365" s="37" t="str">
        <f>TRIM(データ!F362)</f>
        <v/>
      </c>
      <c r="F365" s="38" t="str">
        <f>TRIM(データ!G362)</f>
        <v>式</v>
      </c>
      <c r="G365" s="50">
        <f>データ!H362</f>
        <v>1</v>
      </c>
      <c r="H365" s="48">
        <f>データ!I362</f>
        <v>2960</v>
      </c>
      <c r="I365" s="48">
        <f>データ!J362</f>
        <v>2960</v>
      </c>
      <c r="J365" s="39" t="str">
        <f>IF(OR($C365="総括",$C365="内訳書",$C365="内訳代価",$C365="明細書",$C365="明細代価",$C365="代価表",$C365="単価表"),データ!K362,"")</f>
        <v/>
      </c>
      <c r="K365" s="11" t="str">
        <f t="shared" si="30"/>
        <v/>
      </c>
      <c r="L365" s="46">
        <f t="shared" si="31"/>
        <v>4.2618749370077605E-5</v>
      </c>
      <c r="M365" s="40" t="str">
        <f>IF(データ!L362="","",データ!L362)</f>
        <v/>
      </c>
      <c r="N365" s="41" t="str">
        <f>IF(データ!M362="","",データ!M362)</f>
        <v/>
      </c>
      <c r="O365" s="42">
        <f>データ!N362</f>
        <v>0</v>
      </c>
      <c r="P365" s="48">
        <f>IF($C365="集計行","",データ!O362)</f>
        <v>0</v>
      </c>
      <c r="Q365" s="48">
        <f>データ!P362</f>
        <v>0</v>
      </c>
      <c r="R365" s="39" t="str">
        <f>IF(OR($C365="総括",$C365="内訳書",$C365="内訳代価",$C365="明細書",$C365="明細代価",$C365="代価表",$C365="単価表"),データ!Q362,"")</f>
        <v/>
      </c>
      <c r="S365" s="11" t="str">
        <f t="shared" si="32"/>
        <v/>
      </c>
      <c r="T365" s="46" t="e">
        <f t="shared" si="33"/>
        <v>#DIV/0!</v>
      </c>
      <c r="U365" s="40" t="str">
        <f>IF(データ!R362="","",データ!R362)</f>
        <v/>
      </c>
      <c r="V365" s="41" t="str">
        <f>IF(データ!S362="","",データ!S362)</f>
        <v/>
      </c>
      <c r="W365" s="42">
        <f>データ!T362</f>
        <v>0</v>
      </c>
      <c r="X365" s="48">
        <f>IF($C365="集計行","",データ!U362)</f>
        <v>0</v>
      </c>
      <c r="Y365" s="48">
        <f>データ!V362</f>
        <v>0</v>
      </c>
      <c r="Z365" s="39" t="str">
        <f>IF(OR($C365="総括",$C365="内訳書",$C365="内訳代価",$C365="明細書",$C365="明細代価",$C365="代価表",$C365="単価表"),データ!W362,"")</f>
        <v/>
      </c>
      <c r="AA365" s="11" t="str">
        <f t="shared" si="34"/>
        <v/>
      </c>
      <c r="AB365" s="46" t="e">
        <f t="shared" si="35"/>
        <v>#DIV/0!</v>
      </c>
      <c r="AC365" s="40" t="str">
        <f>IF(データ!X362="","",データ!X362)</f>
        <v/>
      </c>
      <c r="AD365" s="41" t="str">
        <f>IF(データ!Y362="","",データ!Y362)</f>
        <v/>
      </c>
      <c r="AE365" s="47" t="str">
        <f>TRIM(データ!B362)</f>
        <v/>
      </c>
      <c r="AF365" s="43" t="str">
        <f>TRIM(データ!Z362)</f>
        <v/>
      </c>
    </row>
    <row r="366" spans="1:32" x14ac:dyDescent="0.15">
      <c r="A366" s="47">
        <f>データ!A363</f>
        <v>3</v>
      </c>
      <c r="B366" s="47" t="str">
        <f>TRIM(データ!C363)</f>
        <v/>
      </c>
      <c r="C366" s="47" t="str">
        <f>TRIM(データ!D363)</f>
        <v>外注費</v>
      </c>
      <c r="D366" s="36" t="str">
        <f>REPT("｜",$A366)&amp;TRIM(データ!E363)</f>
        <v>｜｜｜外注経費</v>
      </c>
      <c r="E366" s="37" t="str">
        <f>TRIM(データ!F363)</f>
        <v/>
      </c>
      <c r="F366" s="38" t="str">
        <f>TRIM(データ!G363)</f>
        <v>式</v>
      </c>
      <c r="G366" s="50">
        <f>データ!H363</f>
        <v>1</v>
      </c>
      <c r="H366" s="48">
        <f>データ!I363</f>
        <v>25200</v>
      </c>
      <c r="I366" s="48">
        <f>データ!J363</f>
        <v>25200</v>
      </c>
      <c r="J366" s="39" t="str">
        <f>IF(OR($C366="総括",$C366="内訳書",$C366="内訳代価",$C366="明細書",$C366="明細代価",$C366="代価表",$C366="単価表"),データ!K363,"")</f>
        <v/>
      </c>
      <c r="K366" s="11" t="str">
        <f t="shared" si="30"/>
        <v/>
      </c>
      <c r="L366" s="46">
        <f t="shared" si="31"/>
        <v>3.6283529869120127E-4</v>
      </c>
      <c r="M366" s="40" t="str">
        <f>IF(データ!L363="","",データ!L363)</f>
        <v/>
      </c>
      <c r="N366" s="41" t="str">
        <f>IF(データ!M363="","",データ!M363)</f>
        <v/>
      </c>
      <c r="O366" s="42">
        <f>データ!N363</f>
        <v>0</v>
      </c>
      <c r="P366" s="48">
        <f>IF($C366="集計行","",データ!O363)</f>
        <v>0</v>
      </c>
      <c r="Q366" s="48">
        <f>データ!P363</f>
        <v>0</v>
      </c>
      <c r="R366" s="39" t="str">
        <f>IF(OR($C366="総括",$C366="内訳書",$C366="内訳代価",$C366="明細書",$C366="明細代価",$C366="代価表",$C366="単価表"),データ!Q363,"")</f>
        <v/>
      </c>
      <c r="S366" s="11" t="str">
        <f t="shared" si="32"/>
        <v/>
      </c>
      <c r="T366" s="46" t="e">
        <f t="shared" si="33"/>
        <v>#DIV/0!</v>
      </c>
      <c r="U366" s="40" t="str">
        <f>IF(データ!R363="","",データ!R363)</f>
        <v/>
      </c>
      <c r="V366" s="41" t="str">
        <f>IF(データ!S363="","",データ!S363)</f>
        <v/>
      </c>
      <c r="W366" s="42">
        <f>データ!T363</f>
        <v>0</v>
      </c>
      <c r="X366" s="48">
        <f>IF($C366="集計行","",データ!U363)</f>
        <v>0</v>
      </c>
      <c r="Y366" s="48">
        <f>データ!V363</f>
        <v>0</v>
      </c>
      <c r="Z366" s="39" t="str">
        <f>IF(OR($C366="総括",$C366="内訳書",$C366="内訳代価",$C366="明細書",$C366="明細代価",$C366="代価表",$C366="単価表"),データ!W363,"")</f>
        <v/>
      </c>
      <c r="AA366" s="11" t="str">
        <f t="shared" si="34"/>
        <v/>
      </c>
      <c r="AB366" s="46" t="e">
        <f t="shared" si="35"/>
        <v>#DIV/0!</v>
      </c>
      <c r="AC366" s="40" t="str">
        <f>IF(データ!X363="","",データ!X363)</f>
        <v/>
      </c>
      <c r="AD366" s="41" t="str">
        <f>IF(データ!Y363="","",データ!Y363)</f>
        <v/>
      </c>
      <c r="AE366" s="47" t="str">
        <f>TRIM(データ!B363)</f>
        <v/>
      </c>
      <c r="AF366" s="43" t="str">
        <f>TRIM(データ!Z363)</f>
        <v/>
      </c>
    </row>
    <row r="367" spans="1:32" x14ac:dyDescent="0.15">
      <c r="A367" s="47">
        <f>データ!A364</f>
        <v>2</v>
      </c>
      <c r="B367" s="47" t="str">
        <f>TRIM(データ!C364)</f>
        <v/>
      </c>
      <c r="C367" s="47" t="str">
        <f>TRIM(データ!D364)</f>
        <v>内訳書</v>
      </c>
      <c r="D367" s="36" t="str">
        <f>REPT("｜",$A367)&amp;TRIM(データ!E364)</f>
        <v>｜｜歩車道境界ブロックA</v>
      </c>
      <c r="E367" s="37" t="str">
        <f>TRIM(データ!F364)</f>
        <v/>
      </c>
      <c r="F367" s="38" t="str">
        <f>TRIM(データ!G364)</f>
        <v>ｍ</v>
      </c>
      <c r="G367" s="50">
        <f>データ!H364</f>
        <v>147.80000000000001</v>
      </c>
      <c r="H367" s="48">
        <f>データ!I364</f>
        <v>8000</v>
      </c>
      <c r="I367" s="48">
        <f>データ!J364</f>
        <v>1182400</v>
      </c>
      <c r="J367" s="39">
        <f>IF(OR($C367="総括",$C367="内訳書",$C367="内訳代価",$C367="明細書",$C367="明細代価",$C367="代価表",$C367="単価表"),データ!K364,"")</f>
        <v>147.80000000000001</v>
      </c>
      <c r="K367" s="11" t="str">
        <f t="shared" si="30"/>
        <v/>
      </c>
      <c r="L367" s="46">
        <f t="shared" si="31"/>
        <v>1.702446258620938E-2</v>
      </c>
      <c r="M367" s="40" t="str">
        <f>IF(データ!L364="","",データ!L364)</f>
        <v/>
      </c>
      <c r="N367" s="41" t="str">
        <f>IF(データ!M364="","",データ!M364)</f>
        <v>51号内訳書</v>
      </c>
      <c r="O367" s="42">
        <f>データ!N364</f>
        <v>0</v>
      </c>
      <c r="P367" s="48">
        <f>IF($C367="集計行","",データ!O364)</f>
        <v>0</v>
      </c>
      <c r="Q367" s="48">
        <f>データ!P364</f>
        <v>0</v>
      </c>
      <c r="R367" s="39">
        <f>IF(OR($C367="総括",$C367="内訳書",$C367="内訳代価",$C367="明細書",$C367="明細代価",$C367="代価表",$C367="単価表"),データ!Q364,"")</f>
        <v>0</v>
      </c>
      <c r="S367" s="11" t="str">
        <f t="shared" si="32"/>
        <v/>
      </c>
      <c r="T367" s="46" t="e">
        <f t="shared" si="33"/>
        <v>#DIV/0!</v>
      </c>
      <c r="U367" s="40" t="str">
        <f>IF(データ!R364="","",データ!R364)</f>
        <v/>
      </c>
      <c r="V367" s="41" t="str">
        <f>IF(データ!S364="","",データ!S364)</f>
        <v/>
      </c>
      <c r="W367" s="42">
        <f>データ!T364</f>
        <v>0</v>
      </c>
      <c r="X367" s="48">
        <f>IF($C367="集計行","",データ!U364)</f>
        <v>0</v>
      </c>
      <c r="Y367" s="48">
        <f>データ!V364</f>
        <v>0</v>
      </c>
      <c r="Z367" s="39">
        <f>IF(OR($C367="総括",$C367="内訳書",$C367="内訳代価",$C367="明細書",$C367="明細代価",$C367="代価表",$C367="単価表"),データ!W364,"")</f>
        <v>0</v>
      </c>
      <c r="AA367" s="11" t="str">
        <f t="shared" si="34"/>
        <v/>
      </c>
      <c r="AB367" s="46" t="e">
        <f t="shared" si="35"/>
        <v>#DIV/0!</v>
      </c>
      <c r="AC367" s="40" t="str">
        <f>IF(データ!X364="","",データ!X364)</f>
        <v/>
      </c>
      <c r="AD367" s="41" t="str">
        <f>IF(データ!Y364="","",データ!Y364)</f>
        <v/>
      </c>
      <c r="AE367" s="47" t="str">
        <f>TRIM(データ!B364)</f>
        <v/>
      </c>
      <c r="AF367" s="43" t="str">
        <f>TRIM(データ!Z364)</f>
        <v/>
      </c>
    </row>
    <row r="368" spans="1:32" x14ac:dyDescent="0.15">
      <c r="A368" s="47">
        <f>データ!A365</f>
        <v>3</v>
      </c>
      <c r="B368" s="47" t="str">
        <f>TRIM(データ!C365)</f>
        <v/>
      </c>
      <c r="C368" s="47" t="str">
        <f>TRIM(データ!D365)</f>
        <v>材料費</v>
      </c>
      <c r="D368" s="36" t="str">
        <f>REPT("｜",$A368)&amp;TRIM(データ!E365)</f>
        <v>｜｜｜歩車道境界ブロックA</v>
      </c>
      <c r="E368" s="37" t="str">
        <f>TRIM(データ!F365)</f>
        <v/>
      </c>
      <c r="F368" s="38" t="str">
        <f>TRIM(データ!G365)</f>
        <v>本</v>
      </c>
      <c r="G368" s="50">
        <f>データ!H365</f>
        <v>247</v>
      </c>
      <c r="H368" s="48">
        <f>データ!I365</f>
        <v>990</v>
      </c>
      <c r="I368" s="48">
        <f>データ!J365</f>
        <v>244530</v>
      </c>
      <c r="J368" s="39" t="str">
        <f>IF(OR($C368="総括",$C368="内訳書",$C368="内訳代価",$C368="明細書",$C368="明細代価",$C368="代価表",$C368="単価表"),データ!K365,"")</f>
        <v/>
      </c>
      <c r="K368" s="11" t="str">
        <f t="shared" si="30"/>
        <v/>
      </c>
      <c r="L368" s="46">
        <f t="shared" si="31"/>
        <v>3.5207982376571204E-3</v>
      </c>
      <c r="M368" s="40" t="str">
        <f>IF(データ!L365="","",データ!L365)</f>
        <v/>
      </c>
      <c r="N368" s="41" t="str">
        <f>IF(データ!M365="","",データ!M365)</f>
        <v/>
      </c>
      <c r="O368" s="42">
        <f>データ!N365</f>
        <v>0</v>
      </c>
      <c r="P368" s="48">
        <f>IF($C368="集計行","",データ!O365)</f>
        <v>0</v>
      </c>
      <c r="Q368" s="48">
        <f>データ!P365</f>
        <v>0</v>
      </c>
      <c r="R368" s="39" t="str">
        <f>IF(OR($C368="総括",$C368="内訳書",$C368="内訳代価",$C368="明細書",$C368="明細代価",$C368="代価表",$C368="単価表"),データ!Q365,"")</f>
        <v/>
      </c>
      <c r="S368" s="11" t="str">
        <f t="shared" si="32"/>
        <v/>
      </c>
      <c r="T368" s="46" t="e">
        <f t="shared" si="33"/>
        <v>#DIV/0!</v>
      </c>
      <c r="U368" s="40" t="str">
        <f>IF(データ!R365="","",データ!R365)</f>
        <v/>
      </c>
      <c r="V368" s="41" t="str">
        <f>IF(データ!S365="","",データ!S365)</f>
        <v/>
      </c>
      <c r="W368" s="42">
        <f>データ!T365</f>
        <v>0</v>
      </c>
      <c r="X368" s="48">
        <f>IF($C368="集計行","",データ!U365)</f>
        <v>0</v>
      </c>
      <c r="Y368" s="48">
        <f>データ!V365</f>
        <v>0</v>
      </c>
      <c r="Z368" s="39" t="str">
        <f>IF(OR($C368="総括",$C368="内訳書",$C368="内訳代価",$C368="明細書",$C368="明細代価",$C368="代価表",$C368="単価表"),データ!W365,"")</f>
        <v/>
      </c>
      <c r="AA368" s="11" t="str">
        <f t="shared" si="34"/>
        <v/>
      </c>
      <c r="AB368" s="46" t="e">
        <f t="shared" si="35"/>
        <v>#DIV/0!</v>
      </c>
      <c r="AC368" s="40" t="str">
        <f>IF(データ!X365="","",データ!X365)</f>
        <v/>
      </c>
      <c r="AD368" s="41" t="str">
        <f>IF(データ!Y365="","",データ!Y365)</f>
        <v/>
      </c>
      <c r="AE368" s="47" t="str">
        <f>TRIM(データ!B365)</f>
        <v/>
      </c>
      <c r="AF368" s="43" t="str">
        <f>TRIM(データ!Z365)</f>
        <v/>
      </c>
    </row>
    <row r="369" spans="1:32" x14ac:dyDescent="0.15">
      <c r="A369" s="47">
        <f>データ!A366</f>
        <v>3</v>
      </c>
      <c r="B369" s="47" t="str">
        <f>TRIM(データ!C366)</f>
        <v/>
      </c>
      <c r="C369" s="47" t="str">
        <f>TRIM(データ!D366)</f>
        <v>材料費</v>
      </c>
      <c r="D369" s="36" t="str">
        <f>REPT("｜",$A369)&amp;TRIM(データ!E366)</f>
        <v>｜｜｜生コン</v>
      </c>
      <c r="E369" s="37" t="str">
        <f>TRIM(データ!F366)</f>
        <v/>
      </c>
      <c r="F369" s="38" t="str">
        <f>TRIM(データ!G366)</f>
        <v>m3</v>
      </c>
      <c r="G369" s="50">
        <f>データ!H366</f>
        <v>0.5</v>
      </c>
      <c r="H369" s="48">
        <f>データ!I366</f>
        <v>30000</v>
      </c>
      <c r="I369" s="48">
        <f>データ!J366</f>
        <v>15000</v>
      </c>
      <c r="J369" s="39" t="str">
        <f>IF(OR($C369="総括",$C369="内訳書",$C369="内訳代価",$C369="明細書",$C369="明細代価",$C369="代価表",$C369="単価表"),データ!K366,"")</f>
        <v/>
      </c>
      <c r="K369" s="11" t="str">
        <f t="shared" si="30"/>
        <v/>
      </c>
      <c r="L369" s="46">
        <f t="shared" si="31"/>
        <v>2.1597339207809598E-4</v>
      </c>
      <c r="M369" s="40" t="str">
        <f>IF(データ!L366="","",データ!L366)</f>
        <v/>
      </c>
      <c r="N369" s="41" t="str">
        <f>IF(データ!M366="","",データ!M366)</f>
        <v/>
      </c>
      <c r="O369" s="42">
        <f>データ!N366</f>
        <v>0</v>
      </c>
      <c r="P369" s="48">
        <f>IF($C369="集計行","",データ!O366)</f>
        <v>0</v>
      </c>
      <c r="Q369" s="48">
        <f>データ!P366</f>
        <v>0</v>
      </c>
      <c r="R369" s="39" t="str">
        <f>IF(OR($C369="総括",$C369="内訳書",$C369="内訳代価",$C369="明細書",$C369="明細代価",$C369="代価表",$C369="単価表"),データ!Q366,"")</f>
        <v/>
      </c>
      <c r="S369" s="11" t="str">
        <f t="shared" si="32"/>
        <v/>
      </c>
      <c r="T369" s="46" t="e">
        <f t="shared" si="33"/>
        <v>#DIV/0!</v>
      </c>
      <c r="U369" s="40" t="str">
        <f>IF(データ!R366="","",データ!R366)</f>
        <v/>
      </c>
      <c r="V369" s="41" t="str">
        <f>IF(データ!S366="","",データ!S366)</f>
        <v/>
      </c>
      <c r="W369" s="42">
        <f>データ!T366</f>
        <v>0</v>
      </c>
      <c r="X369" s="48">
        <f>IF($C369="集計行","",データ!U366)</f>
        <v>0</v>
      </c>
      <c r="Y369" s="48">
        <f>データ!V366</f>
        <v>0</v>
      </c>
      <c r="Z369" s="39" t="str">
        <f>IF(OR($C369="総括",$C369="内訳書",$C369="内訳代価",$C369="明細書",$C369="明細代価",$C369="代価表",$C369="単価表"),データ!W366,"")</f>
        <v/>
      </c>
      <c r="AA369" s="11" t="str">
        <f t="shared" si="34"/>
        <v/>
      </c>
      <c r="AB369" s="46" t="e">
        <f t="shared" si="35"/>
        <v>#DIV/0!</v>
      </c>
      <c r="AC369" s="40" t="str">
        <f>IF(データ!X366="","",データ!X366)</f>
        <v/>
      </c>
      <c r="AD369" s="41" t="str">
        <f>IF(データ!Y366="","",データ!Y366)</f>
        <v/>
      </c>
      <c r="AE369" s="47" t="str">
        <f>TRIM(データ!B366)</f>
        <v/>
      </c>
      <c r="AF369" s="43" t="str">
        <f>TRIM(データ!Z366)</f>
        <v/>
      </c>
    </row>
    <row r="370" spans="1:32" x14ac:dyDescent="0.15">
      <c r="A370" s="47">
        <f>データ!A367</f>
        <v>3</v>
      </c>
      <c r="B370" s="47" t="str">
        <f>TRIM(データ!C367)</f>
        <v/>
      </c>
      <c r="C370" s="47" t="str">
        <f>TRIM(データ!D367)</f>
        <v>労務費</v>
      </c>
      <c r="D370" s="36" t="str">
        <f>REPT("｜",$A370)&amp;TRIM(データ!E367)</f>
        <v>｜｜｜技工</v>
      </c>
      <c r="E370" s="37" t="str">
        <f>TRIM(データ!F367)</f>
        <v/>
      </c>
      <c r="F370" s="38" t="str">
        <f>TRIM(データ!G367)</f>
        <v>人</v>
      </c>
      <c r="G370" s="50">
        <f>データ!H367</f>
        <v>21</v>
      </c>
      <c r="H370" s="48">
        <f>データ!I367</f>
        <v>28000</v>
      </c>
      <c r="I370" s="48">
        <f>データ!J367</f>
        <v>588000</v>
      </c>
      <c r="J370" s="39" t="str">
        <f>IF(OR($C370="総括",$C370="内訳書",$C370="内訳代価",$C370="明細書",$C370="明細代価",$C370="代価表",$C370="単価表"),データ!K367,"")</f>
        <v/>
      </c>
      <c r="K370" s="11" t="str">
        <f t="shared" si="30"/>
        <v/>
      </c>
      <c r="L370" s="46">
        <f t="shared" si="31"/>
        <v>8.4661569694613626E-3</v>
      </c>
      <c r="M370" s="40" t="str">
        <f>IF(データ!L367="","",データ!L367)</f>
        <v/>
      </c>
      <c r="N370" s="41" t="str">
        <f>IF(データ!M367="","",データ!M367)</f>
        <v/>
      </c>
      <c r="O370" s="42">
        <f>データ!N367</f>
        <v>0</v>
      </c>
      <c r="P370" s="48">
        <f>IF($C370="集計行","",データ!O367)</f>
        <v>0</v>
      </c>
      <c r="Q370" s="48">
        <f>データ!P367</f>
        <v>0</v>
      </c>
      <c r="R370" s="39" t="str">
        <f>IF(OR($C370="総括",$C370="内訳書",$C370="内訳代価",$C370="明細書",$C370="明細代価",$C370="代価表",$C370="単価表"),データ!Q367,"")</f>
        <v/>
      </c>
      <c r="S370" s="11" t="str">
        <f t="shared" si="32"/>
        <v/>
      </c>
      <c r="T370" s="46" t="e">
        <f t="shared" si="33"/>
        <v>#DIV/0!</v>
      </c>
      <c r="U370" s="40" t="str">
        <f>IF(データ!R367="","",データ!R367)</f>
        <v/>
      </c>
      <c r="V370" s="41" t="str">
        <f>IF(データ!S367="","",データ!S367)</f>
        <v/>
      </c>
      <c r="W370" s="42">
        <f>データ!T367</f>
        <v>0</v>
      </c>
      <c r="X370" s="48">
        <f>IF($C370="集計行","",データ!U367)</f>
        <v>0</v>
      </c>
      <c r="Y370" s="48">
        <f>データ!V367</f>
        <v>0</v>
      </c>
      <c r="Z370" s="39" t="str">
        <f>IF(OR($C370="総括",$C370="内訳書",$C370="内訳代価",$C370="明細書",$C370="明細代価",$C370="代価表",$C370="単価表"),データ!W367,"")</f>
        <v/>
      </c>
      <c r="AA370" s="11" t="str">
        <f t="shared" si="34"/>
        <v/>
      </c>
      <c r="AB370" s="46" t="e">
        <f t="shared" si="35"/>
        <v>#DIV/0!</v>
      </c>
      <c r="AC370" s="40" t="str">
        <f>IF(データ!X367="","",データ!X367)</f>
        <v/>
      </c>
      <c r="AD370" s="41" t="str">
        <f>IF(データ!Y367="","",データ!Y367)</f>
        <v/>
      </c>
      <c r="AE370" s="47" t="str">
        <f>TRIM(データ!B367)</f>
        <v/>
      </c>
      <c r="AF370" s="43" t="str">
        <f>TRIM(データ!Z367)</f>
        <v/>
      </c>
    </row>
    <row r="371" spans="1:32" x14ac:dyDescent="0.15">
      <c r="A371" s="47">
        <f>データ!A368</f>
        <v>3</v>
      </c>
      <c r="B371" s="47" t="str">
        <f>TRIM(データ!C368)</f>
        <v/>
      </c>
      <c r="C371" s="47" t="str">
        <f>TRIM(データ!D368)</f>
        <v>機械費</v>
      </c>
      <c r="D371" s="36" t="str">
        <f>REPT("｜",$A371)&amp;TRIM(データ!E368)</f>
        <v>｜｜｜BH0.15</v>
      </c>
      <c r="E371" s="37" t="str">
        <f>TRIM(データ!F368)</f>
        <v/>
      </c>
      <c r="F371" s="38" t="str">
        <f>TRIM(データ!G368)</f>
        <v>台</v>
      </c>
      <c r="G371" s="50">
        <f>データ!H368</f>
        <v>7</v>
      </c>
      <c r="H371" s="48">
        <f>データ!I368</f>
        <v>8000</v>
      </c>
      <c r="I371" s="48">
        <f>データ!J368</f>
        <v>56000</v>
      </c>
      <c r="J371" s="39" t="str">
        <f>IF(OR($C371="総括",$C371="内訳書",$C371="内訳代価",$C371="明細書",$C371="明細代価",$C371="代価表",$C371="単価表"),データ!K368,"")</f>
        <v/>
      </c>
      <c r="K371" s="11" t="str">
        <f t="shared" si="30"/>
        <v/>
      </c>
      <c r="L371" s="46">
        <f t="shared" si="31"/>
        <v>8.0630066375822495E-4</v>
      </c>
      <c r="M371" s="40" t="str">
        <f>IF(データ!L368="","",データ!L368)</f>
        <v/>
      </c>
      <c r="N371" s="41" t="str">
        <f>IF(データ!M368="","",データ!M368)</f>
        <v/>
      </c>
      <c r="O371" s="42">
        <f>データ!N368</f>
        <v>0</v>
      </c>
      <c r="P371" s="48">
        <f>IF($C371="集計行","",データ!O368)</f>
        <v>0</v>
      </c>
      <c r="Q371" s="48">
        <f>データ!P368</f>
        <v>0</v>
      </c>
      <c r="R371" s="39" t="str">
        <f>IF(OR($C371="総括",$C371="内訳書",$C371="内訳代価",$C371="明細書",$C371="明細代価",$C371="代価表",$C371="単価表"),データ!Q368,"")</f>
        <v/>
      </c>
      <c r="S371" s="11" t="str">
        <f t="shared" si="32"/>
        <v/>
      </c>
      <c r="T371" s="46" t="e">
        <f t="shared" si="33"/>
        <v>#DIV/0!</v>
      </c>
      <c r="U371" s="40" t="str">
        <f>IF(データ!R368="","",データ!R368)</f>
        <v/>
      </c>
      <c r="V371" s="41" t="str">
        <f>IF(データ!S368="","",データ!S368)</f>
        <v/>
      </c>
      <c r="W371" s="42">
        <f>データ!T368</f>
        <v>0</v>
      </c>
      <c r="X371" s="48">
        <f>IF($C371="集計行","",データ!U368)</f>
        <v>0</v>
      </c>
      <c r="Y371" s="48">
        <f>データ!V368</f>
        <v>0</v>
      </c>
      <c r="Z371" s="39" t="str">
        <f>IF(OR($C371="総括",$C371="内訳書",$C371="内訳代価",$C371="明細書",$C371="明細代価",$C371="代価表",$C371="単価表"),データ!W368,"")</f>
        <v/>
      </c>
      <c r="AA371" s="11" t="str">
        <f t="shared" si="34"/>
        <v/>
      </c>
      <c r="AB371" s="46" t="e">
        <f t="shared" si="35"/>
        <v>#DIV/0!</v>
      </c>
      <c r="AC371" s="40" t="str">
        <f>IF(データ!X368="","",データ!X368)</f>
        <v/>
      </c>
      <c r="AD371" s="41" t="str">
        <f>IF(データ!Y368="","",データ!Y368)</f>
        <v/>
      </c>
      <c r="AE371" s="47" t="str">
        <f>TRIM(データ!B368)</f>
        <v/>
      </c>
      <c r="AF371" s="43" t="str">
        <f>TRIM(データ!Z368)</f>
        <v/>
      </c>
    </row>
    <row r="372" spans="1:32" x14ac:dyDescent="0.15">
      <c r="A372" s="47">
        <f>データ!A369</f>
        <v>3</v>
      </c>
      <c r="B372" s="47" t="str">
        <f>TRIM(データ!C369)</f>
        <v/>
      </c>
      <c r="C372" s="47" t="str">
        <f>TRIM(データ!D369)</f>
        <v>機械費</v>
      </c>
      <c r="D372" s="36" t="str">
        <f>REPT("｜",$A372)&amp;TRIM(データ!E369)</f>
        <v>｜｜｜ランマー</v>
      </c>
      <c r="E372" s="37" t="str">
        <f>TRIM(データ!F369)</f>
        <v/>
      </c>
      <c r="F372" s="38" t="str">
        <f>TRIM(データ!G369)</f>
        <v>台</v>
      </c>
      <c r="G372" s="50">
        <f>データ!H369</f>
        <v>7</v>
      </c>
      <c r="H372" s="48">
        <f>データ!I369</f>
        <v>1500</v>
      </c>
      <c r="I372" s="48">
        <f>データ!J369</f>
        <v>10500</v>
      </c>
      <c r="J372" s="39" t="str">
        <f>IF(OR($C372="総括",$C372="内訳書",$C372="内訳代価",$C372="明細書",$C372="明細代価",$C372="代価表",$C372="単価表"),データ!K369,"")</f>
        <v/>
      </c>
      <c r="K372" s="11" t="str">
        <f t="shared" si="30"/>
        <v/>
      </c>
      <c r="L372" s="46">
        <f t="shared" si="31"/>
        <v>1.5118137445466719E-4</v>
      </c>
      <c r="M372" s="40" t="str">
        <f>IF(データ!L369="","",データ!L369)</f>
        <v/>
      </c>
      <c r="N372" s="41" t="str">
        <f>IF(データ!M369="","",データ!M369)</f>
        <v/>
      </c>
      <c r="O372" s="42">
        <f>データ!N369</f>
        <v>0</v>
      </c>
      <c r="P372" s="48">
        <f>IF($C372="集計行","",データ!O369)</f>
        <v>0</v>
      </c>
      <c r="Q372" s="48">
        <f>データ!P369</f>
        <v>0</v>
      </c>
      <c r="R372" s="39" t="str">
        <f>IF(OR($C372="総括",$C372="内訳書",$C372="内訳代価",$C372="明細書",$C372="明細代価",$C372="代価表",$C372="単価表"),データ!Q369,"")</f>
        <v/>
      </c>
      <c r="S372" s="11" t="str">
        <f t="shared" si="32"/>
        <v/>
      </c>
      <c r="T372" s="46" t="e">
        <f t="shared" si="33"/>
        <v>#DIV/0!</v>
      </c>
      <c r="U372" s="40" t="str">
        <f>IF(データ!R369="","",データ!R369)</f>
        <v/>
      </c>
      <c r="V372" s="41" t="str">
        <f>IF(データ!S369="","",データ!S369)</f>
        <v/>
      </c>
      <c r="W372" s="42">
        <f>データ!T369</f>
        <v>0</v>
      </c>
      <c r="X372" s="48">
        <f>IF($C372="集計行","",データ!U369)</f>
        <v>0</v>
      </c>
      <c r="Y372" s="48">
        <f>データ!V369</f>
        <v>0</v>
      </c>
      <c r="Z372" s="39" t="str">
        <f>IF(OR($C372="総括",$C372="内訳書",$C372="内訳代価",$C372="明細書",$C372="明細代価",$C372="代価表",$C372="単価表"),データ!W369,"")</f>
        <v/>
      </c>
      <c r="AA372" s="11" t="str">
        <f t="shared" si="34"/>
        <v/>
      </c>
      <c r="AB372" s="46" t="e">
        <f t="shared" si="35"/>
        <v>#DIV/0!</v>
      </c>
      <c r="AC372" s="40" t="str">
        <f>IF(データ!X369="","",データ!X369)</f>
        <v/>
      </c>
      <c r="AD372" s="41" t="str">
        <f>IF(データ!Y369="","",データ!Y369)</f>
        <v/>
      </c>
      <c r="AE372" s="47" t="str">
        <f>TRIM(データ!B369)</f>
        <v/>
      </c>
      <c r="AF372" s="43" t="str">
        <f>TRIM(データ!Z369)</f>
        <v/>
      </c>
    </row>
    <row r="373" spans="1:32" x14ac:dyDescent="0.15">
      <c r="A373" s="47">
        <f>データ!A370</f>
        <v>3</v>
      </c>
      <c r="B373" s="47" t="str">
        <f>TRIM(データ!C370)</f>
        <v/>
      </c>
      <c r="C373" s="47" t="str">
        <f>TRIM(データ!D370)</f>
        <v>機械費</v>
      </c>
      <c r="D373" s="36" t="str">
        <f>REPT("｜",$A373)&amp;TRIM(データ!E370)</f>
        <v>｜｜｜プレート</v>
      </c>
      <c r="E373" s="37" t="str">
        <f>TRIM(データ!F370)</f>
        <v/>
      </c>
      <c r="F373" s="38" t="str">
        <f>TRIM(データ!G370)</f>
        <v>台</v>
      </c>
      <c r="G373" s="50">
        <f>データ!H370</f>
        <v>7</v>
      </c>
      <c r="H373" s="48">
        <f>データ!I370</f>
        <v>1500</v>
      </c>
      <c r="I373" s="48">
        <f>データ!J370</f>
        <v>10500</v>
      </c>
      <c r="J373" s="39" t="str">
        <f>IF(OR($C373="総括",$C373="内訳書",$C373="内訳代価",$C373="明細書",$C373="明細代価",$C373="代価表",$C373="単価表"),データ!K370,"")</f>
        <v/>
      </c>
      <c r="K373" s="11" t="str">
        <f t="shared" si="30"/>
        <v/>
      </c>
      <c r="L373" s="46">
        <f t="shared" si="31"/>
        <v>1.5118137445466719E-4</v>
      </c>
      <c r="M373" s="40" t="str">
        <f>IF(データ!L370="","",データ!L370)</f>
        <v/>
      </c>
      <c r="N373" s="41" t="str">
        <f>IF(データ!M370="","",データ!M370)</f>
        <v/>
      </c>
      <c r="O373" s="42">
        <f>データ!N370</f>
        <v>0</v>
      </c>
      <c r="P373" s="48">
        <f>IF($C373="集計行","",データ!O370)</f>
        <v>0</v>
      </c>
      <c r="Q373" s="48">
        <f>データ!P370</f>
        <v>0</v>
      </c>
      <c r="R373" s="39" t="str">
        <f>IF(OR($C373="総括",$C373="内訳書",$C373="内訳代価",$C373="明細書",$C373="明細代価",$C373="代価表",$C373="単価表"),データ!Q370,"")</f>
        <v/>
      </c>
      <c r="S373" s="11" t="str">
        <f t="shared" si="32"/>
        <v/>
      </c>
      <c r="T373" s="46" t="e">
        <f t="shared" si="33"/>
        <v>#DIV/0!</v>
      </c>
      <c r="U373" s="40" t="str">
        <f>IF(データ!R370="","",データ!R370)</f>
        <v/>
      </c>
      <c r="V373" s="41" t="str">
        <f>IF(データ!S370="","",データ!S370)</f>
        <v/>
      </c>
      <c r="W373" s="42">
        <f>データ!T370</f>
        <v>0</v>
      </c>
      <c r="X373" s="48">
        <f>IF($C373="集計行","",データ!U370)</f>
        <v>0</v>
      </c>
      <c r="Y373" s="48">
        <f>データ!V370</f>
        <v>0</v>
      </c>
      <c r="Z373" s="39" t="str">
        <f>IF(OR($C373="総括",$C373="内訳書",$C373="内訳代価",$C373="明細書",$C373="明細代価",$C373="代価表",$C373="単価表"),データ!W370,"")</f>
        <v/>
      </c>
      <c r="AA373" s="11" t="str">
        <f t="shared" si="34"/>
        <v/>
      </c>
      <c r="AB373" s="46" t="e">
        <f t="shared" si="35"/>
        <v>#DIV/0!</v>
      </c>
      <c r="AC373" s="40" t="str">
        <f>IF(データ!X370="","",データ!X370)</f>
        <v/>
      </c>
      <c r="AD373" s="41" t="str">
        <f>IF(データ!Y370="","",データ!Y370)</f>
        <v/>
      </c>
      <c r="AE373" s="47" t="str">
        <f>TRIM(データ!B370)</f>
        <v/>
      </c>
      <c r="AF373" s="43" t="str">
        <f>TRIM(データ!Z370)</f>
        <v/>
      </c>
    </row>
    <row r="374" spans="1:32" x14ac:dyDescent="0.15">
      <c r="A374" s="47">
        <f>データ!A371</f>
        <v>3</v>
      </c>
      <c r="B374" s="47" t="str">
        <f>TRIM(データ!C371)</f>
        <v/>
      </c>
      <c r="C374" s="47" t="str">
        <f>TRIM(データ!D371)</f>
        <v>運搬費</v>
      </c>
      <c r="D374" s="36" t="str">
        <f>REPT("｜",$A374)&amp;TRIM(データ!E371)</f>
        <v>｜｜｜4tダンプ</v>
      </c>
      <c r="E374" s="37" t="str">
        <f>TRIM(データ!F371)</f>
        <v/>
      </c>
      <c r="F374" s="38" t="str">
        <f>TRIM(データ!G371)</f>
        <v>台</v>
      </c>
      <c r="G374" s="50">
        <f>データ!H371</f>
        <v>7</v>
      </c>
      <c r="H374" s="48">
        <f>データ!I371</f>
        <v>10000</v>
      </c>
      <c r="I374" s="48">
        <f>データ!J371</f>
        <v>70000</v>
      </c>
      <c r="J374" s="39" t="str">
        <f>IF(OR($C374="総括",$C374="内訳書",$C374="内訳代価",$C374="明細書",$C374="明細代価",$C374="代価表",$C374="単価表"),データ!K371,"")</f>
        <v/>
      </c>
      <c r="K374" s="11" t="str">
        <f t="shared" si="30"/>
        <v/>
      </c>
      <c r="L374" s="46">
        <f t="shared" si="31"/>
        <v>1.0078758296977813E-3</v>
      </c>
      <c r="M374" s="40" t="str">
        <f>IF(データ!L371="","",データ!L371)</f>
        <v/>
      </c>
      <c r="N374" s="41" t="str">
        <f>IF(データ!M371="","",データ!M371)</f>
        <v/>
      </c>
      <c r="O374" s="42">
        <f>データ!N371</f>
        <v>0</v>
      </c>
      <c r="P374" s="48">
        <f>IF($C374="集計行","",データ!O371)</f>
        <v>0</v>
      </c>
      <c r="Q374" s="48">
        <f>データ!P371</f>
        <v>0</v>
      </c>
      <c r="R374" s="39" t="str">
        <f>IF(OR($C374="総括",$C374="内訳書",$C374="内訳代価",$C374="明細書",$C374="明細代価",$C374="代価表",$C374="単価表"),データ!Q371,"")</f>
        <v/>
      </c>
      <c r="S374" s="11" t="str">
        <f t="shared" si="32"/>
        <v/>
      </c>
      <c r="T374" s="46" t="e">
        <f t="shared" si="33"/>
        <v>#DIV/0!</v>
      </c>
      <c r="U374" s="40" t="str">
        <f>IF(データ!R371="","",データ!R371)</f>
        <v/>
      </c>
      <c r="V374" s="41" t="str">
        <f>IF(データ!S371="","",データ!S371)</f>
        <v/>
      </c>
      <c r="W374" s="42">
        <f>データ!T371</f>
        <v>0</v>
      </c>
      <c r="X374" s="48">
        <f>IF($C374="集計行","",データ!U371)</f>
        <v>0</v>
      </c>
      <c r="Y374" s="48">
        <f>データ!V371</f>
        <v>0</v>
      </c>
      <c r="Z374" s="39" t="str">
        <f>IF(OR($C374="総括",$C374="内訳書",$C374="内訳代価",$C374="明細書",$C374="明細代価",$C374="代価表",$C374="単価表"),データ!W371,"")</f>
        <v/>
      </c>
      <c r="AA374" s="11" t="str">
        <f t="shared" si="34"/>
        <v/>
      </c>
      <c r="AB374" s="46" t="e">
        <f t="shared" si="35"/>
        <v>#DIV/0!</v>
      </c>
      <c r="AC374" s="40" t="str">
        <f>IF(データ!X371="","",データ!X371)</f>
        <v/>
      </c>
      <c r="AD374" s="41" t="str">
        <f>IF(データ!Y371="","",データ!Y371)</f>
        <v/>
      </c>
      <c r="AE374" s="47" t="str">
        <f>TRIM(データ!B371)</f>
        <v/>
      </c>
      <c r="AF374" s="43" t="str">
        <f>TRIM(データ!Z371)</f>
        <v/>
      </c>
    </row>
    <row r="375" spans="1:32" x14ac:dyDescent="0.15">
      <c r="A375" s="47">
        <f>データ!A372</f>
        <v>3</v>
      </c>
      <c r="B375" s="47" t="str">
        <f>TRIM(データ!C372)</f>
        <v/>
      </c>
      <c r="C375" s="47" t="str">
        <f>TRIM(データ!D372)</f>
        <v>運搬費</v>
      </c>
      <c r="D375" s="36" t="str">
        <f>REPT("｜",$A375)&amp;TRIM(データ!E372)</f>
        <v>｜｜｜2tダンプ</v>
      </c>
      <c r="E375" s="37" t="str">
        <f>TRIM(データ!F372)</f>
        <v/>
      </c>
      <c r="F375" s="38" t="str">
        <f>TRIM(データ!G372)</f>
        <v>台</v>
      </c>
      <c r="G375" s="50">
        <f>データ!H372</f>
        <v>7</v>
      </c>
      <c r="H375" s="48">
        <f>データ!I372</f>
        <v>7000</v>
      </c>
      <c r="I375" s="48">
        <f>データ!J372</f>
        <v>49000</v>
      </c>
      <c r="J375" s="39" t="str">
        <f>IF(OR($C375="総括",$C375="内訳書",$C375="内訳代価",$C375="明細書",$C375="明細代価",$C375="代価表",$C375="単価表"),データ!K372,"")</f>
        <v/>
      </c>
      <c r="K375" s="11" t="str">
        <f t="shared" si="30"/>
        <v/>
      </c>
      <c r="L375" s="46">
        <f t="shared" si="31"/>
        <v>7.0551308078844685E-4</v>
      </c>
      <c r="M375" s="40" t="str">
        <f>IF(データ!L372="","",データ!L372)</f>
        <v/>
      </c>
      <c r="N375" s="41" t="str">
        <f>IF(データ!M372="","",データ!M372)</f>
        <v/>
      </c>
      <c r="O375" s="42">
        <f>データ!N372</f>
        <v>0</v>
      </c>
      <c r="P375" s="48">
        <f>IF($C375="集計行","",データ!O372)</f>
        <v>0</v>
      </c>
      <c r="Q375" s="48">
        <f>データ!P372</f>
        <v>0</v>
      </c>
      <c r="R375" s="39" t="str">
        <f>IF(OR($C375="総括",$C375="内訳書",$C375="内訳代価",$C375="明細書",$C375="明細代価",$C375="代価表",$C375="単価表"),データ!Q372,"")</f>
        <v/>
      </c>
      <c r="S375" s="11" t="str">
        <f t="shared" si="32"/>
        <v/>
      </c>
      <c r="T375" s="46" t="e">
        <f t="shared" si="33"/>
        <v>#DIV/0!</v>
      </c>
      <c r="U375" s="40" t="str">
        <f>IF(データ!R372="","",データ!R372)</f>
        <v/>
      </c>
      <c r="V375" s="41" t="str">
        <f>IF(データ!S372="","",データ!S372)</f>
        <v/>
      </c>
      <c r="W375" s="42">
        <f>データ!T372</f>
        <v>0</v>
      </c>
      <c r="X375" s="48">
        <f>IF($C375="集計行","",データ!U372)</f>
        <v>0</v>
      </c>
      <c r="Y375" s="48">
        <f>データ!V372</f>
        <v>0</v>
      </c>
      <c r="Z375" s="39" t="str">
        <f>IF(OR($C375="総括",$C375="内訳書",$C375="内訳代価",$C375="明細書",$C375="明細代価",$C375="代価表",$C375="単価表"),データ!W372,"")</f>
        <v/>
      </c>
      <c r="AA375" s="11" t="str">
        <f t="shared" si="34"/>
        <v/>
      </c>
      <c r="AB375" s="46" t="e">
        <f t="shared" si="35"/>
        <v>#DIV/0!</v>
      </c>
      <c r="AC375" s="40" t="str">
        <f>IF(データ!X372="","",データ!X372)</f>
        <v/>
      </c>
      <c r="AD375" s="41" t="str">
        <f>IF(データ!Y372="","",データ!Y372)</f>
        <v/>
      </c>
      <c r="AE375" s="47" t="str">
        <f>TRIM(データ!B372)</f>
        <v/>
      </c>
      <c r="AF375" s="43" t="str">
        <f>TRIM(データ!Z372)</f>
        <v/>
      </c>
    </row>
    <row r="376" spans="1:32" x14ac:dyDescent="0.15">
      <c r="A376" s="47">
        <f>データ!A373</f>
        <v>3</v>
      </c>
      <c r="B376" s="47" t="str">
        <f>TRIM(データ!C373)</f>
        <v/>
      </c>
      <c r="C376" s="47" t="str">
        <f>TRIM(データ!D373)</f>
        <v>材料費</v>
      </c>
      <c r="D376" s="36" t="str">
        <f>REPT("｜",$A376)&amp;TRIM(データ!E373)</f>
        <v>｜｜｜雑材</v>
      </c>
      <c r="E376" s="37" t="str">
        <f>TRIM(データ!F373)</f>
        <v/>
      </c>
      <c r="F376" s="38" t="str">
        <f>TRIM(データ!G373)</f>
        <v>式</v>
      </c>
      <c r="G376" s="50">
        <f>データ!H373</f>
        <v>1</v>
      </c>
      <c r="H376" s="48">
        <f>データ!I373</f>
        <v>62070</v>
      </c>
      <c r="I376" s="48">
        <f>データ!J373</f>
        <v>62070</v>
      </c>
      <c r="J376" s="39" t="str">
        <f>IF(OR($C376="総括",$C376="内訳書",$C376="内訳代価",$C376="明細書",$C376="明細代価",$C376="代価表",$C376="単価表"),データ!K373,"")</f>
        <v/>
      </c>
      <c r="K376" s="11" t="str">
        <f t="shared" si="30"/>
        <v/>
      </c>
      <c r="L376" s="46">
        <f t="shared" si="31"/>
        <v>8.9369789641916117E-4</v>
      </c>
      <c r="M376" s="40" t="str">
        <f>IF(データ!L373="","",データ!L373)</f>
        <v/>
      </c>
      <c r="N376" s="41" t="str">
        <f>IF(データ!M373="","",データ!M373)</f>
        <v/>
      </c>
      <c r="O376" s="42">
        <f>データ!N373</f>
        <v>0</v>
      </c>
      <c r="P376" s="48">
        <f>IF($C376="集計行","",データ!O373)</f>
        <v>0</v>
      </c>
      <c r="Q376" s="48">
        <f>データ!P373</f>
        <v>0</v>
      </c>
      <c r="R376" s="39" t="str">
        <f>IF(OR($C376="総括",$C376="内訳書",$C376="内訳代価",$C376="明細書",$C376="明細代価",$C376="代価表",$C376="単価表"),データ!Q373,"")</f>
        <v/>
      </c>
      <c r="S376" s="11" t="str">
        <f t="shared" si="32"/>
        <v/>
      </c>
      <c r="T376" s="46" t="e">
        <f t="shared" si="33"/>
        <v>#DIV/0!</v>
      </c>
      <c r="U376" s="40" t="str">
        <f>IF(データ!R373="","",データ!R373)</f>
        <v/>
      </c>
      <c r="V376" s="41" t="str">
        <f>IF(データ!S373="","",データ!S373)</f>
        <v/>
      </c>
      <c r="W376" s="42">
        <f>データ!T373</f>
        <v>0</v>
      </c>
      <c r="X376" s="48">
        <f>IF($C376="集計行","",データ!U373)</f>
        <v>0</v>
      </c>
      <c r="Y376" s="48">
        <f>データ!V373</f>
        <v>0</v>
      </c>
      <c r="Z376" s="39" t="str">
        <f>IF(OR($C376="総括",$C376="内訳書",$C376="内訳代価",$C376="明細書",$C376="明細代価",$C376="代価表",$C376="単価表"),データ!W373,"")</f>
        <v/>
      </c>
      <c r="AA376" s="11" t="str">
        <f t="shared" si="34"/>
        <v/>
      </c>
      <c r="AB376" s="46" t="e">
        <f t="shared" si="35"/>
        <v>#DIV/0!</v>
      </c>
      <c r="AC376" s="40" t="str">
        <f>IF(データ!X373="","",データ!X373)</f>
        <v/>
      </c>
      <c r="AD376" s="41" t="str">
        <f>IF(データ!Y373="","",データ!Y373)</f>
        <v/>
      </c>
      <c r="AE376" s="47" t="str">
        <f>TRIM(データ!B373)</f>
        <v/>
      </c>
      <c r="AF376" s="43" t="str">
        <f>TRIM(データ!Z373)</f>
        <v/>
      </c>
    </row>
    <row r="377" spans="1:32" x14ac:dyDescent="0.15">
      <c r="A377" s="47">
        <f>データ!A374</f>
        <v>3</v>
      </c>
      <c r="B377" s="47" t="str">
        <f>TRIM(データ!C374)</f>
        <v/>
      </c>
      <c r="C377" s="47" t="str">
        <f>TRIM(データ!D374)</f>
        <v>外注費</v>
      </c>
      <c r="D377" s="36" t="str">
        <f>REPT("｜",$A377)&amp;TRIM(データ!E374)</f>
        <v>｜｜｜外注経費</v>
      </c>
      <c r="E377" s="37" t="str">
        <f>TRIM(データ!F374)</f>
        <v/>
      </c>
      <c r="F377" s="38" t="str">
        <f>TRIM(データ!G374)</f>
        <v>式</v>
      </c>
      <c r="G377" s="50">
        <f>データ!H374</f>
        <v>1</v>
      </c>
      <c r="H377" s="48">
        <f>データ!I374</f>
        <v>76800</v>
      </c>
      <c r="I377" s="48">
        <f>データ!J374</f>
        <v>76800</v>
      </c>
      <c r="J377" s="39" t="str">
        <f>IF(OR($C377="総括",$C377="内訳書",$C377="内訳代価",$C377="明細書",$C377="明細代価",$C377="代価表",$C377="単価表"),データ!K374,"")</f>
        <v/>
      </c>
      <c r="K377" s="11" t="str">
        <f t="shared" si="30"/>
        <v/>
      </c>
      <c r="L377" s="46">
        <f t="shared" si="31"/>
        <v>1.1057837674398514E-3</v>
      </c>
      <c r="M377" s="40" t="str">
        <f>IF(データ!L374="","",データ!L374)</f>
        <v/>
      </c>
      <c r="N377" s="41" t="str">
        <f>IF(データ!M374="","",データ!M374)</f>
        <v/>
      </c>
      <c r="O377" s="42">
        <f>データ!N374</f>
        <v>0</v>
      </c>
      <c r="P377" s="48">
        <f>IF($C377="集計行","",データ!O374)</f>
        <v>0</v>
      </c>
      <c r="Q377" s="48">
        <f>データ!P374</f>
        <v>0</v>
      </c>
      <c r="R377" s="39" t="str">
        <f>IF(OR($C377="総括",$C377="内訳書",$C377="内訳代価",$C377="明細書",$C377="明細代価",$C377="代価表",$C377="単価表"),データ!Q374,"")</f>
        <v/>
      </c>
      <c r="S377" s="11" t="str">
        <f t="shared" si="32"/>
        <v/>
      </c>
      <c r="T377" s="46" t="e">
        <f t="shared" si="33"/>
        <v>#DIV/0!</v>
      </c>
      <c r="U377" s="40" t="str">
        <f>IF(データ!R374="","",データ!R374)</f>
        <v/>
      </c>
      <c r="V377" s="41" t="str">
        <f>IF(データ!S374="","",データ!S374)</f>
        <v/>
      </c>
      <c r="W377" s="42">
        <f>データ!T374</f>
        <v>0</v>
      </c>
      <c r="X377" s="48">
        <f>IF($C377="集計行","",データ!U374)</f>
        <v>0</v>
      </c>
      <c r="Y377" s="48">
        <f>データ!V374</f>
        <v>0</v>
      </c>
      <c r="Z377" s="39" t="str">
        <f>IF(OR($C377="総括",$C377="内訳書",$C377="内訳代価",$C377="明細書",$C377="明細代価",$C377="代価表",$C377="単価表"),データ!W374,"")</f>
        <v/>
      </c>
      <c r="AA377" s="11" t="str">
        <f t="shared" si="34"/>
        <v/>
      </c>
      <c r="AB377" s="46" t="e">
        <f t="shared" si="35"/>
        <v>#DIV/0!</v>
      </c>
      <c r="AC377" s="40" t="str">
        <f>IF(データ!X374="","",データ!X374)</f>
        <v/>
      </c>
      <c r="AD377" s="41" t="str">
        <f>IF(データ!Y374="","",データ!Y374)</f>
        <v/>
      </c>
      <c r="AE377" s="47" t="str">
        <f>TRIM(データ!B374)</f>
        <v/>
      </c>
      <c r="AF377" s="43" t="str">
        <f>TRIM(データ!Z374)</f>
        <v/>
      </c>
    </row>
    <row r="378" spans="1:32" x14ac:dyDescent="0.15">
      <c r="A378" s="47">
        <f>データ!A375</f>
        <v>1</v>
      </c>
      <c r="B378" s="47" t="str">
        <f>TRIM(データ!C375)</f>
        <v/>
      </c>
      <c r="C378" s="47" t="str">
        <f>TRIM(データ!D375)</f>
        <v>内訳書</v>
      </c>
      <c r="D378" s="36" t="str">
        <f>REPT("｜",$A378)&amp;TRIM(データ!E375)</f>
        <v>｜舗装工</v>
      </c>
      <c r="E378" s="37" t="str">
        <f>TRIM(データ!F375)</f>
        <v/>
      </c>
      <c r="F378" s="38" t="str">
        <f>TRIM(データ!G375)</f>
        <v>m2</v>
      </c>
      <c r="G378" s="50">
        <f>データ!H375</f>
        <v>1724.7</v>
      </c>
      <c r="H378" s="48">
        <f>データ!I375</f>
        <v>9744.8700000000008</v>
      </c>
      <c r="I378" s="48">
        <f>データ!J375</f>
        <v>16806990</v>
      </c>
      <c r="J378" s="39">
        <f>IF(OR($C378="総括",$C378="内訳書",$C378="内訳代価",$C378="明細書",$C378="明細代価",$C378="代価表",$C378="単価表"),データ!K375,"")</f>
        <v>1724.7</v>
      </c>
      <c r="K378" s="11" t="str">
        <f t="shared" si="30"/>
        <v/>
      </c>
      <c r="L378" s="46">
        <f t="shared" si="31"/>
        <v>0.24199084272817589</v>
      </c>
      <c r="M378" s="40" t="str">
        <f>IF(データ!L375="","",データ!L375)</f>
        <v/>
      </c>
      <c r="N378" s="41" t="str">
        <f>IF(データ!M375="","",データ!M375)</f>
        <v>19号内訳書</v>
      </c>
      <c r="O378" s="42">
        <f>データ!N375</f>
        <v>0</v>
      </c>
      <c r="P378" s="48">
        <f>IF($C378="集計行","",データ!O375)</f>
        <v>0</v>
      </c>
      <c r="Q378" s="48">
        <f>データ!P375</f>
        <v>0</v>
      </c>
      <c r="R378" s="39">
        <f>IF(OR($C378="総括",$C378="内訳書",$C378="内訳代価",$C378="明細書",$C378="明細代価",$C378="代価表",$C378="単価表"),データ!Q375,"")</f>
        <v>0</v>
      </c>
      <c r="S378" s="11" t="str">
        <f t="shared" si="32"/>
        <v/>
      </c>
      <c r="T378" s="46" t="e">
        <f t="shared" si="33"/>
        <v>#DIV/0!</v>
      </c>
      <c r="U378" s="40" t="str">
        <f>IF(データ!R375="","",データ!R375)</f>
        <v/>
      </c>
      <c r="V378" s="41" t="str">
        <f>IF(データ!S375="","",データ!S375)</f>
        <v/>
      </c>
      <c r="W378" s="42">
        <f>データ!T375</f>
        <v>0</v>
      </c>
      <c r="X378" s="48">
        <f>IF($C378="集計行","",データ!U375)</f>
        <v>0</v>
      </c>
      <c r="Y378" s="48">
        <f>データ!V375</f>
        <v>0</v>
      </c>
      <c r="Z378" s="39">
        <f>IF(OR($C378="総括",$C378="内訳書",$C378="内訳代価",$C378="明細書",$C378="明細代価",$C378="代価表",$C378="単価表"),データ!W375,"")</f>
        <v>0</v>
      </c>
      <c r="AA378" s="11" t="str">
        <f t="shared" si="34"/>
        <v/>
      </c>
      <c r="AB378" s="46" t="e">
        <f t="shared" si="35"/>
        <v>#DIV/0!</v>
      </c>
      <c r="AC378" s="40" t="str">
        <f>IF(データ!X375="","",データ!X375)</f>
        <v/>
      </c>
      <c r="AD378" s="41" t="str">
        <f>IF(データ!Y375="","",データ!Y375)</f>
        <v/>
      </c>
      <c r="AE378" s="47" t="str">
        <f>TRIM(データ!B375)</f>
        <v/>
      </c>
      <c r="AF378" s="43" t="str">
        <f>TRIM(データ!Z375)</f>
        <v/>
      </c>
    </row>
    <row r="379" spans="1:32" x14ac:dyDescent="0.15">
      <c r="A379" s="47">
        <f>データ!A376</f>
        <v>2</v>
      </c>
      <c r="B379" s="47" t="str">
        <f>TRIM(データ!C376)</f>
        <v/>
      </c>
      <c r="C379" s="47" t="str">
        <f>TRIM(データ!D376)</f>
        <v>内訳書</v>
      </c>
      <c r="D379" s="36" t="str">
        <f>REPT("｜",$A379)&amp;TRIM(データ!E376)</f>
        <v>｜｜掘削工</v>
      </c>
      <c r="E379" s="37" t="str">
        <f>TRIM(データ!F376)</f>
        <v/>
      </c>
      <c r="F379" s="38" t="str">
        <f>TRIM(データ!G376)</f>
        <v>m3</v>
      </c>
      <c r="G379" s="50">
        <f>データ!H376</f>
        <v>453</v>
      </c>
      <c r="H379" s="48">
        <f>データ!I376</f>
        <v>1400</v>
      </c>
      <c r="I379" s="48">
        <f>データ!J376</f>
        <v>634200</v>
      </c>
      <c r="J379" s="39">
        <f>IF(OR($C379="総括",$C379="内訳書",$C379="内訳代価",$C379="明細書",$C379="明細代価",$C379="代価表",$C379="単価表"),データ!K376,"")</f>
        <v>453</v>
      </c>
      <c r="K379" s="11" t="str">
        <f t="shared" si="30"/>
        <v/>
      </c>
      <c r="L379" s="46">
        <f t="shared" si="31"/>
        <v>9.1313550170618978E-3</v>
      </c>
      <c r="M379" s="40" t="str">
        <f>IF(データ!L376="","",データ!L376)</f>
        <v/>
      </c>
      <c r="N379" s="41" t="str">
        <f>IF(データ!M376="","",データ!M376)</f>
        <v>52号内訳書</v>
      </c>
      <c r="O379" s="42">
        <f>データ!N376</f>
        <v>0</v>
      </c>
      <c r="P379" s="48">
        <f>IF($C379="集計行","",データ!O376)</f>
        <v>0</v>
      </c>
      <c r="Q379" s="48">
        <f>データ!P376</f>
        <v>0</v>
      </c>
      <c r="R379" s="39">
        <f>IF(OR($C379="総括",$C379="内訳書",$C379="内訳代価",$C379="明細書",$C379="明細代価",$C379="代価表",$C379="単価表"),データ!Q376,"")</f>
        <v>0</v>
      </c>
      <c r="S379" s="11" t="str">
        <f t="shared" si="32"/>
        <v/>
      </c>
      <c r="T379" s="46" t="e">
        <f t="shared" si="33"/>
        <v>#DIV/0!</v>
      </c>
      <c r="U379" s="40" t="str">
        <f>IF(データ!R376="","",データ!R376)</f>
        <v/>
      </c>
      <c r="V379" s="41" t="str">
        <f>IF(データ!S376="","",データ!S376)</f>
        <v/>
      </c>
      <c r="W379" s="42">
        <f>データ!T376</f>
        <v>0</v>
      </c>
      <c r="X379" s="48">
        <f>IF($C379="集計行","",データ!U376)</f>
        <v>0</v>
      </c>
      <c r="Y379" s="48">
        <f>データ!V376</f>
        <v>0</v>
      </c>
      <c r="Z379" s="39">
        <f>IF(OR($C379="総括",$C379="内訳書",$C379="内訳代価",$C379="明細書",$C379="明細代価",$C379="代価表",$C379="単価表"),データ!W376,"")</f>
        <v>0</v>
      </c>
      <c r="AA379" s="11" t="str">
        <f t="shared" si="34"/>
        <v/>
      </c>
      <c r="AB379" s="46" t="e">
        <f t="shared" si="35"/>
        <v>#DIV/0!</v>
      </c>
      <c r="AC379" s="40" t="str">
        <f>IF(データ!X376="","",データ!X376)</f>
        <v/>
      </c>
      <c r="AD379" s="41" t="str">
        <f>IF(データ!Y376="","",データ!Y376)</f>
        <v/>
      </c>
      <c r="AE379" s="47" t="str">
        <f>TRIM(データ!B376)</f>
        <v/>
      </c>
      <c r="AF379" s="43" t="str">
        <f>TRIM(データ!Z376)</f>
        <v/>
      </c>
    </row>
    <row r="380" spans="1:32" x14ac:dyDescent="0.15">
      <c r="A380" s="47">
        <f>データ!A377</f>
        <v>3</v>
      </c>
      <c r="B380" s="47" t="str">
        <f>TRIM(データ!C377)</f>
        <v/>
      </c>
      <c r="C380" s="47" t="str">
        <f>TRIM(データ!D377)</f>
        <v>労務費</v>
      </c>
      <c r="D380" s="36" t="str">
        <f>REPT("｜",$A380)&amp;TRIM(データ!E377)</f>
        <v>｜｜｜技工</v>
      </c>
      <c r="E380" s="37" t="str">
        <f>TRIM(データ!F377)</f>
        <v/>
      </c>
      <c r="F380" s="38" t="str">
        <f>TRIM(データ!G377)</f>
        <v>人</v>
      </c>
      <c r="G380" s="50">
        <f>データ!H377</f>
        <v>12</v>
      </c>
      <c r="H380" s="48">
        <f>データ!I377</f>
        <v>28000</v>
      </c>
      <c r="I380" s="48">
        <f>データ!J377</f>
        <v>336000</v>
      </c>
      <c r="J380" s="39" t="str">
        <f>IF(OR($C380="総括",$C380="内訳書",$C380="内訳代価",$C380="明細書",$C380="明細代価",$C380="代価表",$C380="単価表"),データ!K377,"")</f>
        <v/>
      </c>
      <c r="K380" s="11" t="str">
        <f t="shared" si="30"/>
        <v/>
      </c>
      <c r="L380" s="46">
        <f t="shared" si="31"/>
        <v>4.8378039825493499E-3</v>
      </c>
      <c r="M380" s="40" t="str">
        <f>IF(データ!L377="","",データ!L377)</f>
        <v/>
      </c>
      <c r="N380" s="41" t="str">
        <f>IF(データ!M377="","",データ!M377)</f>
        <v/>
      </c>
      <c r="O380" s="42">
        <f>データ!N377</f>
        <v>0</v>
      </c>
      <c r="P380" s="48">
        <f>IF($C380="集計行","",データ!O377)</f>
        <v>0</v>
      </c>
      <c r="Q380" s="48">
        <f>データ!P377</f>
        <v>0</v>
      </c>
      <c r="R380" s="39" t="str">
        <f>IF(OR($C380="総括",$C380="内訳書",$C380="内訳代価",$C380="明細書",$C380="明細代価",$C380="代価表",$C380="単価表"),データ!Q377,"")</f>
        <v/>
      </c>
      <c r="S380" s="11" t="str">
        <f t="shared" si="32"/>
        <v/>
      </c>
      <c r="T380" s="46" t="e">
        <f t="shared" si="33"/>
        <v>#DIV/0!</v>
      </c>
      <c r="U380" s="40" t="str">
        <f>IF(データ!R377="","",データ!R377)</f>
        <v/>
      </c>
      <c r="V380" s="41" t="str">
        <f>IF(データ!S377="","",データ!S377)</f>
        <v/>
      </c>
      <c r="W380" s="42">
        <f>データ!T377</f>
        <v>0</v>
      </c>
      <c r="X380" s="48">
        <f>IF($C380="集計行","",データ!U377)</f>
        <v>0</v>
      </c>
      <c r="Y380" s="48">
        <f>データ!V377</f>
        <v>0</v>
      </c>
      <c r="Z380" s="39" t="str">
        <f>IF(OR($C380="総括",$C380="内訳書",$C380="内訳代価",$C380="明細書",$C380="明細代価",$C380="代価表",$C380="単価表"),データ!W377,"")</f>
        <v/>
      </c>
      <c r="AA380" s="11" t="str">
        <f t="shared" si="34"/>
        <v/>
      </c>
      <c r="AB380" s="46" t="e">
        <f t="shared" si="35"/>
        <v>#DIV/0!</v>
      </c>
      <c r="AC380" s="40" t="str">
        <f>IF(データ!X377="","",データ!X377)</f>
        <v/>
      </c>
      <c r="AD380" s="41" t="str">
        <f>IF(データ!Y377="","",データ!Y377)</f>
        <v/>
      </c>
      <c r="AE380" s="47" t="str">
        <f>TRIM(データ!B377)</f>
        <v/>
      </c>
      <c r="AF380" s="43" t="str">
        <f>TRIM(データ!Z377)</f>
        <v/>
      </c>
    </row>
    <row r="381" spans="1:32" x14ac:dyDescent="0.15">
      <c r="A381" s="47">
        <f>データ!A378</f>
        <v>3</v>
      </c>
      <c r="B381" s="47" t="str">
        <f>TRIM(データ!C378)</f>
        <v/>
      </c>
      <c r="C381" s="47" t="str">
        <f>TRIM(データ!D378)</f>
        <v>機械費</v>
      </c>
      <c r="D381" s="36" t="str">
        <f>REPT("｜",$A381)&amp;TRIM(データ!E378)</f>
        <v>｜｜｜BH0.4</v>
      </c>
      <c r="E381" s="37" t="str">
        <f>TRIM(データ!F378)</f>
        <v/>
      </c>
      <c r="F381" s="38" t="str">
        <f>TRIM(データ!G378)</f>
        <v>台</v>
      </c>
      <c r="G381" s="50">
        <f>データ!H378</f>
        <v>3</v>
      </c>
      <c r="H381" s="48">
        <f>データ!I378</f>
        <v>14000</v>
      </c>
      <c r="I381" s="48">
        <f>データ!J378</f>
        <v>42000</v>
      </c>
      <c r="J381" s="39" t="str">
        <f>IF(OR($C381="総括",$C381="内訳書",$C381="内訳代価",$C381="明細書",$C381="明細代価",$C381="代価表",$C381="単価表"),データ!K378,"")</f>
        <v/>
      </c>
      <c r="K381" s="11" t="str">
        <f t="shared" si="30"/>
        <v/>
      </c>
      <c r="L381" s="46">
        <f t="shared" si="31"/>
        <v>6.0472549781866874E-4</v>
      </c>
      <c r="M381" s="40" t="str">
        <f>IF(データ!L378="","",データ!L378)</f>
        <v/>
      </c>
      <c r="N381" s="41" t="str">
        <f>IF(データ!M378="","",データ!M378)</f>
        <v/>
      </c>
      <c r="O381" s="42">
        <f>データ!N378</f>
        <v>0</v>
      </c>
      <c r="P381" s="48">
        <f>IF($C381="集計行","",データ!O378)</f>
        <v>0</v>
      </c>
      <c r="Q381" s="48">
        <f>データ!P378</f>
        <v>0</v>
      </c>
      <c r="R381" s="39" t="str">
        <f>IF(OR($C381="総括",$C381="内訳書",$C381="内訳代価",$C381="明細書",$C381="明細代価",$C381="代価表",$C381="単価表"),データ!Q378,"")</f>
        <v/>
      </c>
      <c r="S381" s="11" t="str">
        <f t="shared" si="32"/>
        <v/>
      </c>
      <c r="T381" s="46" t="e">
        <f t="shared" si="33"/>
        <v>#DIV/0!</v>
      </c>
      <c r="U381" s="40" t="str">
        <f>IF(データ!R378="","",データ!R378)</f>
        <v/>
      </c>
      <c r="V381" s="41" t="str">
        <f>IF(データ!S378="","",データ!S378)</f>
        <v/>
      </c>
      <c r="W381" s="42">
        <f>データ!T378</f>
        <v>0</v>
      </c>
      <c r="X381" s="48">
        <f>IF($C381="集計行","",データ!U378)</f>
        <v>0</v>
      </c>
      <c r="Y381" s="48">
        <f>データ!V378</f>
        <v>0</v>
      </c>
      <c r="Z381" s="39" t="str">
        <f>IF(OR($C381="総括",$C381="内訳書",$C381="内訳代価",$C381="明細書",$C381="明細代価",$C381="代価表",$C381="単価表"),データ!W378,"")</f>
        <v/>
      </c>
      <c r="AA381" s="11" t="str">
        <f t="shared" si="34"/>
        <v/>
      </c>
      <c r="AB381" s="46" t="e">
        <f t="shared" si="35"/>
        <v>#DIV/0!</v>
      </c>
      <c r="AC381" s="40" t="str">
        <f>IF(データ!X378="","",データ!X378)</f>
        <v/>
      </c>
      <c r="AD381" s="41" t="str">
        <f>IF(データ!Y378="","",データ!Y378)</f>
        <v/>
      </c>
      <c r="AE381" s="47" t="str">
        <f>TRIM(データ!B378)</f>
        <v/>
      </c>
      <c r="AF381" s="43" t="str">
        <f>TRIM(データ!Z378)</f>
        <v/>
      </c>
    </row>
    <row r="382" spans="1:32" x14ac:dyDescent="0.15">
      <c r="A382" s="47">
        <f>データ!A379</f>
        <v>3</v>
      </c>
      <c r="B382" s="47" t="str">
        <f>TRIM(データ!C379)</f>
        <v/>
      </c>
      <c r="C382" s="47" t="str">
        <f>TRIM(データ!D379)</f>
        <v>機械費</v>
      </c>
      <c r="D382" s="36" t="str">
        <f>REPT("｜",$A382)&amp;TRIM(データ!E379)</f>
        <v>｜｜｜タイヤショベル</v>
      </c>
      <c r="E382" s="37" t="str">
        <f>TRIM(データ!F379)</f>
        <v/>
      </c>
      <c r="F382" s="38" t="str">
        <f>TRIM(データ!G379)</f>
        <v>台</v>
      </c>
      <c r="G382" s="50">
        <f>データ!H379</f>
        <v>3</v>
      </c>
      <c r="H382" s="48">
        <f>データ!I379</f>
        <v>8000</v>
      </c>
      <c r="I382" s="48">
        <f>データ!J379</f>
        <v>24000</v>
      </c>
      <c r="J382" s="39" t="str">
        <f>IF(OR($C382="総括",$C382="内訳書",$C382="内訳代価",$C382="明細書",$C382="明細代価",$C382="代価表",$C382="単価表"),データ!K379,"")</f>
        <v/>
      </c>
      <c r="K382" s="11" t="str">
        <f t="shared" si="30"/>
        <v/>
      </c>
      <c r="L382" s="46">
        <f t="shared" si="31"/>
        <v>3.4555742732495355E-4</v>
      </c>
      <c r="M382" s="40" t="str">
        <f>IF(データ!L379="","",データ!L379)</f>
        <v/>
      </c>
      <c r="N382" s="41" t="str">
        <f>IF(データ!M379="","",データ!M379)</f>
        <v/>
      </c>
      <c r="O382" s="42">
        <f>データ!N379</f>
        <v>0</v>
      </c>
      <c r="P382" s="48">
        <f>IF($C382="集計行","",データ!O379)</f>
        <v>0</v>
      </c>
      <c r="Q382" s="48">
        <f>データ!P379</f>
        <v>0</v>
      </c>
      <c r="R382" s="39" t="str">
        <f>IF(OR($C382="総括",$C382="内訳書",$C382="内訳代価",$C382="明細書",$C382="明細代価",$C382="代価表",$C382="単価表"),データ!Q379,"")</f>
        <v/>
      </c>
      <c r="S382" s="11" t="str">
        <f t="shared" si="32"/>
        <v/>
      </c>
      <c r="T382" s="46" t="e">
        <f t="shared" si="33"/>
        <v>#DIV/0!</v>
      </c>
      <c r="U382" s="40" t="str">
        <f>IF(データ!R379="","",データ!R379)</f>
        <v/>
      </c>
      <c r="V382" s="41" t="str">
        <f>IF(データ!S379="","",データ!S379)</f>
        <v/>
      </c>
      <c r="W382" s="42">
        <f>データ!T379</f>
        <v>0</v>
      </c>
      <c r="X382" s="48">
        <f>IF($C382="集計行","",データ!U379)</f>
        <v>0</v>
      </c>
      <c r="Y382" s="48">
        <f>データ!V379</f>
        <v>0</v>
      </c>
      <c r="Z382" s="39" t="str">
        <f>IF(OR($C382="総括",$C382="内訳書",$C382="内訳代価",$C382="明細書",$C382="明細代価",$C382="代価表",$C382="単価表"),データ!W379,"")</f>
        <v/>
      </c>
      <c r="AA382" s="11" t="str">
        <f t="shared" si="34"/>
        <v/>
      </c>
      <c r="AB382" s="46" t="e">
        <f t="shared" si="35"/>
        <v>#DIV/0!</v>
      </c>
      <c r="AC382" s="40" t="str">
        <f>IF(データ!X379="","",データ!X379)</f>
        <v/>
      </c>
      <c r="AD382" s="41" t="str">
        <f>IF(データ!Y379="","",データ!Y379)</f>
        <v/>
      </c>
      <c r="AE382" s="47" t="str">
        <f>TRIM(データ!B379)</f>
        <v/>
      </c>
      <c r="AF382" s="43" t="str">
        <f>TRIM(データ!Z379)</f>
        <v/>
      </c>
    </row>
    <row r="383" spans="1:32" x14ac:dyDescent="0.15">
      <c r="A383" s="47">
        <f>データ!A380</f>
        <v>3</v>
      </c>
      <c r="B383" s="47" t="str">
        <f>TRIM(データ!C380)</f>
        <v/>
      </c>
      <c r="C383" s="47" t="str">
        <f>TRIM(データ!D380)</f>
        <v>機械費</v>
      </c>
      <c r="D383" s="36" t="str">
        <f>REPT("｜",$A383)&amp;TRIM(データ!E380)</f>
        <v>｜｜｜コンバインドローラー</v>
      </c>
      <c r="E383" s="37" t="str">
        <f>TRIM(データ!F380)</f>
        <v/>
      </c>
      <c r="F383" s="38" t="str">
        <f>TRIM(データ!G380)</f>
        <v>台</v>
      </c>
      <c r="G383" s="50">
        <f>データ!H380</f>
        <v>3</v>
      </c>
      <c r="H383" s="48">
        <f>データ!I380</f>
        <v>8000</v>
      </c>
      <c r="I383" s="48">
        <f>データ!J380</f>
        <v>24000</v>
      </c>
      <c r="J383" s="39" t="str">
        <f>IF(OR($C383="総括",$C383="内訳書",$C383="内訳代価",$C383="明細書",$C383="明細代価",$C383="代価表",$C383="単価表"),データ!K380,"")</f>
        <v/>
      </c>
      <c r="K383" s="11" t="str">
        <f t="shared" si="30"/>
        <v/>
      </c>
      <c r="L383" s="46">
        <f t="shared" si="31"/>
        <v>3.4555742732495355E-4</v>
      </c>
      <c r="M383" s="40" t="str">
        <f>IF(データ!L380="","",データ!L380)</f>
        <v/>
      </c>
      <c r="N383" s="41" t="str">
        <f>IF(データ!M380="","",データ!M380)</f>
        <v/>
      </c>
      <c r="O383" s="42">
        <f>データ!N380</f>
        <v>0</v>
      </c>
      <c r="P383" s="48">
        <f>IF($C383="集計行","",データ!O380)</f>
        <v>0</v>
      </c>
      <c r="Q383" s="48">
        <f>データ!P380</f>
        <v>0</v>
      </c>
      <c r="R383" s="39" t="str">
        <f>IF(OR($C383="総括",$C383="内訳書",$C383="内訳代価",$C383="明細書",$C383="明細代価",$C383="代価表",$C383="単価表"),データ!Q380,"")</f>
        <v/>
      </c>
      <c r="S383" s="11" t="str">
        <f t="shared" si="32"/>
        <v/>
      </c>
      <c r="T383" s="46" t="e">
        <f t="shared" si="33"/>
        <v>#DIV/0!</v>
      </c>
      <c r="U383" s="40" t="str">
        <f>IF(データ!R380="","",データ!R380)</f>
        <v/>
      </c>
      <c r="V383" s="41" t="str">
        <f>IF(データ!S380="","",データ!S380)</f>
        <v/>
      </c>
      <c r="W383" s="42">
        <f>データ!T380</f>
        <v>0</v>
      </c>
      <c r="X383" s="48">
        <f>IF($C383="集計行","",データ!U380)</f>
        <v>0</v>
      </c>
      <c r="Y383" s="48">
        <f>データ!V380</f>
        <v>0</v>
      </c>
      <c r="Z383" s="39" t="str">
        <f>IF(OR($C383="総括",$C383="内訳書",$C383="内訳代価",$C383="明細書",$C383="明細代価",$C383="代価表",$C383="単価表"),データ!W380,"")</f>
        <v/>
      </c>
      <c r="AA383" s="11" t="str">
        <f t="shared" si="34"/>
        <v/>
      </c>
      <c r="AB383" s="46" t="e">
        <f t="shared" si="35"/>
        <v>#DIV/0!</v>
      </c>
      <c r="AC383" s="40" t="str">
        <f>IF(データ!X380="","",データ!X380)</f>
        <v/>
      </c>
      <c r="AD383" s="41" t="str">
        <f>IF(データ!Y380="","",データ!Y380)</f>
        <v/>
      </c>
      <c r="AE383" s="47" t="str">
        <f>TRIM(データ!B380)</f>
        <v/>
      </c>
      <c r="AF383" s="43" t="str">
        <f>TRIM(データ!Z380)</f>
        <v/>
      </c>
    </row>
    <row r="384" spans="1:32" x14ac:dyDescent="0.15">
      <c r="A384" s="47">
        <f>データ!A381</f>
        <v>3</v>
      </c>
      <c r="B384" s="47" t="str">
        <f>TRIM(データ!C381)</f>
        <v/>
      </c>
      <c r="C384" s="47" t="str">
        <f>TRIM(データ!D381)</f>
        <v>運搬費</v>
      </c>
      <c r="D384" s="36" t="str">
        <f>REPT("｜",$A384)&amp;TRIM(データ!E381)</f>
        <v>｜｜｜4tダンプ</v>
      </c>
      <c r="E384" s="37" t="str">
        <f>TRIM(データ!F381)</f>
        <v/>
      </c>
      <c r="F384" s="38" t="str">
        <f>TRIM(データ!G381)</f>
        <v>台</v>
      </c>
      <c r="G384" s="50">
        <f>データ!H381</f>
        <v>3</v>
      </c>
      <c r="H384" s="48">
        <f>データ!I381</f>
        <v>10000</v>
      </c>
      <c r="I384" s="48">
        <f>データ!J381</f>
        <v>30000</v>
      </c>
      <c r="J384" s="39" t="str">
        <f>IF(OR($C384="総括",$C384="内訳書",$C384="内訳代価",$C384="明細書",$C384="明細代価",$C384="代価表",$C384="単価表"),データ!K381,"")</f>
        <v/>
      </c>
      <c r="K384" s="11" t="str">
        <f t="shared" si="30"/>
        <v/>
      </c>
      <c r="L384" s="46">
        <f t="shared" si="31"/>
        <v>4.3194678415619197E-4</v>
      </c>
      <c r="M384" s="40" t="str">
        <f>IF(データ!L381="","",データ!L381)</f>
        <v/>
      </c>
      <c r="N384" s="41" t="str">
        <f>IF(データ!M381="","",データ!M381)</f>
        <v/>
      </c>
      <c r="O384" s="42">
        <f>データ!N381</f>
        <v>0</v>
      </c>
      <c r="P384" s="48">
        <f>IF($C384="集計行","",データ!O381)</f>
        <v>0</v>
      </c>
      <c r="Q384" s="48">
        <f>データ!P381</f>
        <v>0</v>
      </c>
      <c r="R384" s="39" t="str">
        <f>IF(OR($C384="総括",$C384="内訳書",$C384="内訳代価",$C384="明細書",$C384="明細代価",$C384="代価表",$C384="単価表"),データ!Q381,"")</f>
        <v/>
      </c>
      <c r="S384" s="11" t="str">
        <f t="shared" si="32"/>
        <v/>
      </c>
      <c r="T384" s="46" t="e">
        <f t="shared" si="33"/>
        <v>#DIV/0!</v>
      </c>
      <c r="U384" s="40" t="str">
        <f>IF(データ!R381="","",データ!R381)</f>
        <v/>
      </c>
      <c r="V384" s="41" t="str">
        <f>IF(データ!S381="","",データ!S381)</f>
        <v/>
      </c>
      <c r="W384" s="42">
        <f>データ!T381</f>
        <v>0</v>
      </c>
      <c r="X384" s="48">
        <f>IF($C384="集計行","",データ!U381)</f>
        <v>0</v>
      </c>
      <c r="Y384" s="48">
        <f>データ!V381</f>
        <v>0</v>
      </c>
      <c r="Z384" s="39" t="str">
        <f>IF(OR($C384="総括",$C384="内訳書",$C384="内訳代価",$C384="明細書",$C384="明細代価",$C384="代価表",$C384="単価表"),データ!W381,"")</f>
        <v/>
      </c>
      <c r="AA384" s="11" t="str">
        <f t="shared" si="34"/>
        <v/>
      </c>
      <c r="AB384" s="46" t="e">
        <f t="shared" si="35"/>
        <v>#DIV/0!</v>
      </c>
      <c r="AC384" s="40" t="str">
        <f>IF(データ!X381="","",データ!X381)</f>
        <v/>
      </c>
      <c r="AD384" s="41" t="str">
        <f>IF(データ!Y381="","",データ!Y381)</f>
        <v/>
      </c>
      <c r="AE384" s="47" t="str">
        <f>TRIM(データ!B381)</f>
        <v/>
      </c>
      <c r="AF384" s="43" t="str">
        <f>TRIM(データ!Z381)</f>
        <v/>
      </c>
    </row>
    <row r="385" spans="1:32" x14ac:dyDescent="0.15">
      <c r="A385" s="47">
        <f>データ!A382</f>
        <v>3</v>
      </c>
      <c r="B385" s="47" t="str">
        <f>TRIM(データ!C382)</f>
        <v/>
      </c>
      <c r="C385" s="47" t="str">
        <f>TRIM(データ!D382)</f>
        <v>運搬費</v>
      </c>
      <c r="D385" s="36" t="str">
        <f>REPT("｜",$A385)&amp;TRIM(データ!E382)</f>
        <v>｜｜｜2tダンプ</v>
      </c>
      <c r="E385" s="37" t="str">
        <f>TRIM(データ!F382)</f>
        <v/>
      </c>
      <c r="F385" s="38" t="str">
        <f>TRIM(データ!G382)</f>
        <v>台</v>
      </c>
      <c r="G385" s="50">
        <f>データ!H382</f>
        <v>3</v>
      </c>
      <c r="H385" s="48">
        <f>データ!I382</f>
        <v>7000</v>
      </c>
      <c r="I385" s="48">
        <f>データ!J382</f>
        <v>21000</v>
      </c>
      <c r="J385" s="39" t="str">
        <f>IF(OR($C385="総括",$C385="内訳書",$C385="内訳代価",$C385="明細書",$C385="明細代価",$C385="代価表",$C385="単価表"),データ!K382,"")</f>
        <v/>
      </c>
      <c r="K385" s="11" t="str">
        <f t="shared" si="30"/>
        <v/>
      </c>
      <c r="L385" s="46">
        <f t="shared" si="31"/>
        <v>3.0236274890933437E-4</v>
      </c>
      <c r="M385" s="40" t="str">
        <f>IF(データ!L382="","",データ!L382)</f>
        <v/>
      </c>
      <c r="N385" s="41" t="str">
        <f>IF(データ!M382="","",データ!M382)</f>
        <v/>
      </c>
      <c r="O385" s="42">
        <f>データ!N382</f>
        <v>0</v>
      </c>
      <c r="P385" s="48">
        <f>IF($C385="集計行","",データ!O382)</f>
        <v>0</v>
      </c>
      <c r="Q385" s="48">
        <f>データ!P382</f>
        <v>0</v>
      </c>
      <c r="R385" s="39" t="str">
        <f>IF(OR($C385="総括",$C385="内訳書",$C385="内訳代価",$C385="明細書",$C385="明細代価",$C385="代価表",$C385="単価表"),データ!Q382,"")</f>
        <v/>
      </c>
      <c r="S385" s="11" t="str">
        <f t="shared" si="32"/>
        <v/>
      </c>
      <c r="T385" s="46" t="e">
        <f t="shared" si="33"/>
        <v>#DIV/0!</v>
      </c>
      <c r="U385" s="40" t="str">
        <f>IF(データ!R382="","",データ!R382)</f>
        <v/>
      </c>
      <c r="V385" s="41" t="str">
        <f>IF(データ!S382="","",データ!S382)</f>
        <v/>
      </c>
      <c r="W385" s="42">
        <f>データ!T382</f>
        <v>0</v>
      </c>
      <c r="X385" s="48">
        <f>IF($C385="集計行","",データ!U382)</f>
        <v>0</v>
      </c>
      <c r="Y385" s="48">
        <f>データ!V382</f>
        <v>0</v>
      </c>
      <c r="Z385" s="39" t="str">
        <f>IF(OR($C385="総括",$C385="内訳書",$C385="内訳代価",$C385="明細書",$C385="明細代価",$C385="代価表",$C385="単価表"),データ!W382,"")</f>
        <v/>
      </c>
      <c r="AA385" s="11" t="str">
        <f t="shared" si="34"/>
        <v/>
      </c>
      <c r="AB385" s="46" t="e">
        <f t="shared" si="35"/>
        <v>#DIV/0!</v>
      </c>
      <c r="AC385" s="40" t="str">
        <f>IF(データ!X382="","",データ!X382)</f>
        <v/>
      </c>
      <c r="AD385" s="41" t="str">
        <f>IF(データ!Y382="","",データ!Y382)</f>
        <v/>
      </c>
      <c r="AE385" s="47" t="str">
        <f>TRIM(データ!B382)</f>
        <v/>
      </c>
      <c r="AF385" s="43" t="str">
        <f>TRIM(データ!Z382)</f>
        <v/>
      </c>
    </row>
    <row r="386" spans="1:32" x14ac:dyDescent="0.15">
      <c r="A386" s="47">
        <f>データ!A383</f>
        <v>3</v>
      </c>
      <c r="B386" s="47" t="str">
        <f>TRIM(データ!C383)</f>
        <v/>
      </c>
      <c r="C386" s="47" t="str">
        <f>TRIM(データ!D383)</f>
        <v>材料費</v>
      </c>
      <c r="D386" s="36" t="str">
        <f>REPT("｜",$A386)&amp;TRIM(データ!E383)</f>
        <v>｜｜｜軽油</v>
      </c>
      <c r="E386" s="37" t="str">
        <f>TRIM(データ!F383)</f>
        <v/>
      </c>
      <c r="F386" s="38" t="str">
        <f>TRIM(データ!G383)</f>
        <v>リットル</v>
      </c>
      <c r="G386" s="50">
        <f>データ!H383</f>
        <v>200</v>
      </c>
      <c r="H386" s="48">
        <f>データ!I383</f>
        <v>150</v>
      </c>
      <c r="I386" s="48">
        <f>データ!J383</f>
        <v>30000</v>
      </c>
      <c r="J386" s="39" t="str">
        <f>IF(OR($C386="総括",$C386="内訳書",$C386="内訳代価",$C386="明細書",$C386="明細代価",$C386="代価表",$C386="単価表"),データ!K383,"")</f>
        <v/>
      </c>
      <c r="K386" s="11" t="str">
        <f t="shared" si="30"/>
        <v/>
      </c>
      <c r="L386" s="46">
        <f t="shared" si="31"/>
        <v>4.3194678415619197E-4</v>
      </c>
      <c r="M386" s="40" t="str">
        <f>IF(データ!L383="","",データ!L383)</f>
        <v/>
      </c>
      <c r="N386" s="41" t="str">
        <f>IF(データ!M383="","",データ!M383)</f>
        <v/>
      </c>
      <c r="O386" s="42">
        <f>データ!N383</f>
        <v>0</v>
      </c>
      <c r="P386" s="48">
        <f>IF($C386="集計行","",データ!O383)</f>
        <v>0</v>
      </c>
      <c r="Q386" s="48">
        <f>データ!P383</f>
        <v>0</v>
      </c>
      <c r="R386" s="39" t="str">
        <f>IF(OR($C386="総括",$C386="内訳書",$C386="内訳代価",$C386="明細書",$C386="明細代価",$C386="代価表",$C386="単価表"),データ!Q383,"")</f>
        <v/>
      </c>
      <c r="S386" s="11" t="str">
        <f t="shared" si="32"/>
        <v/>
      </c>
      <c r="T386" s="46" t="e">
        <f t="shared" si="33"/>
        <v>#DIV/0!</v>
      </c>
      <c r="U386" s="40" t="str">
        <f>IF(データ!R383="","",データ!R383)</f>
        <v/>
      </c>
      <c r="V386" s="41" t="str">
        <f>IF(データ!S383="","",データ!S383)</f>
        <v/>
      </c>
      <c r="W386" s="42">
        <f>データ!T383</f>
        <v>0</v>
      </c>
      <c r="X386" s="48">
        <f>IF($C386="集計行","",データ!U383)</f>
        <v>0</v>
      </c>
      <c r="Y386" s="48">
        <f>データ!V383</f>
        <v>0</v>
      </c>
      <c r="Z386" s="39" t="str">
        <f>IF(OR($C386="総括",$C386="内訳書",$C386="内訳代価",$C386="明細書",$C386="明細代価",$C386="代価表",$C386="単価表"),データ!W383,"")</f>
        <v/>
      </c>
      <c r="AA386" s="11" t="str">
        <f t="shared" si="34"/>
        <v/>
      </c>
      <c r="AB386" s="46" t="e">
        <f t="shared" si="35"/>
        <v>#DIV/0!</v>
      </c>
      <c r="AC386" s="40" t="str">
        <f>IF(データ!X383="","",データ!X383)</f>
        <v/>
      </c>
      <c r="AD386" s="41" t="str">
        <f>IF(データ!Y383="","",データ!Y383)</f>
        <v/>
      </c>
      <c r="AE386" s="47" t="str">
        <f>TRIM(データ!B383)</f>
        <v/>
      </c>
      <c r="AF386" s="43" t="str">
        <f>TRIM(データ!Z383)</f>
        <v/>
      </c>
    </row>
    <row r="387" spans="1:32" x14ac:dyDescent="0.15">
      <c r="A387" s="47">
        <f>データ!A384</f>
        <v>3</v>
      </c>
      <c r="B387" s="47" t="str">
        <f>TRIM(データ!C384)</f>
        <v/>
      </c>
      <c r="C387" s="47" t="str">
        <f>TRIM(データ!D384)</f>
        <v>材料費</v>
      </c>
      <c r="D387" s="36" t="str">
        <f>REPT("｜",$A387)&amp;TRIM(データ!E384)</f>
        <v>｜｜｜ガソリン</v>
      </c>
      <c r="E387" s="37" t="str">
        <f>TRIM(データ!F384)</f>
        <v/>
      </c>
      <c r="F387" s="38" t="str">
        <f>TRIM(データ!G384)</f>
        <v>リットル</v>
      </c>
      <c r="G387" s="50">
        <f>データ!H384</f>
        <v>120</v>
      </c>
      <c r="H387" s="48">
        <f>データ!I384</f>
        <v>200</v>
      </c>
      <c r="I387" s="48">
        <f>データ!J384</f>
        <v>24000</v>
      </c>
      <c r="J387" s="39" t="str">
        <f>IF(OR($C387="総括",$C387="内訳書",$C387="内訳代価",$C387="明細書",$C387="明細代価",$C387="代価表",$C387="単価表"),データ!K384,"")</f>
        <v/>
      </c>
      <c r="K387" s="11" t="str">
        <f t="shared" si="30"/>
        <v/>
      </c>
      <c r="L387" s="46">
        <f t="shared" si="31"/>
        <v>3.4555742732495355E-4</v>
      </c>
      <c r="M387" s="40" t="str">
        <f>IF(データ!L384="","",データ!L384)</f>
        <v/>
      </c>
      <c r="N387" s="41" t="str">
        <f>IF(データ!M384="","",データ!M384)</f>
        <v/>
      </c>
      <c r="O387" s="42">
        <f>データ!N384</f>
        <v>0</v>
      </c>
      <c r="P387" s="48">
        <f>IF($C387="集計行","",データ!O384)</f>
        <v>0</v>
      </c>
      <c r="Q387" s="48">
        <f>データ!P384</f>
        <v>0</v>
      </c>
      <c r="R387" s="39" t="str">
        <f>IF(OR($C387="総括",$C387="内訳書",$C387="内訳代価",$C387="明細書",$C387="明細代価",$C387="代価表",$C387="単価表"),データ!Q384,"")</f>
        <v/>
      </c>
      <c r="S387" s="11" t="str">
        <f t="shared" si="32"/>
        <v/>
      </c>
      <c r="T387" s="46" t="e">
        <f t="shared" si="33"/>
        <v>#DIV/0!</v>
      </c>
      <c r="U387" s="40" t="str">
        <f>IF(データ!R384="","",データ!R384)</f>
        <v/>
      </c>
      <c r="V387" s="41" t="str">
        <f>IF(データ!S384="","",データ!S384)</f>
        <v/>
      </c>
      <c r="W387" s="42">
        <f>データ!T384</f>
        <v>0</v>
      </c>
      <c r="X387" s="48">
        <f>IF($C387="集計行","",データ!U384)</f>
        <v>0</v>
      </c>
      <c r="Y387" s="48">
        <f>データ!V384</f>
        <v>0</v>
      </c>
      <c r="Z387" s="39" t="str">
        <f>IF(OR($C387="総括",$C387="内訳書",$C387="内訳代価",$C387="明細書",$C387="明細代価",$C387="代価表",$C387="単価表"),データ!W384,"")</f>
        <v/>
      </c>
      <c r="AA387" s="11" t="str">
        <f t="shared" si="34"/>
        <v/>
      </c>
      <c r="AB387" s="46" t="e">
        <f t="shared" si="35"/>
        <v>#DIV/0!</v>
      </c>
      <c r="AC387" s="40" t="str">
        <f>IF(データ!X384="","",データ!X384)</f>
        <v/>
      </c>
      <c r="AD387" s="41" t="str">
        <f>IF(データ!Y384="","",データ!Y384)</f>
        <v/>
      </c>
      <c r="AE387" s="47" t="str">
        <f>TRIM(データ!B384)</f>
        <v/>
      </c>
      <c r="AF387" s="43" t="str">
        <f>TRIM(データ!Z384)</f>
        <v/>
      </c>
    </row>
    <row r="388" spans="1:32" x14ac:dyDescent="0.15">
      <c r="A388" s="47">
        <f>データ!A385</f>
        <v>3</v>
      </c>
      <c r="B388" s="47" t="str">
        <f>TRIM(データ!C385)</f>
        <v/>
      </c>
      <c r="C388" s="47" t="str">
        <f>TRIM(データ!D385)</f>
        <v>材料費</v>
      </c>
      <c r="D388" s="36" t="str">
        <f>REPT("｜",$A388)&amp;TRIM(データ!E385)</f>
        <v>｜｜｜雑材</v>
      </c>
      <c r="E388" s="37" t="str">
        <f>TRIM(データ!F385)</f>
        <v/>
      </c>
      <c r="F388" s="38" t="str">
        <f>TRIM(データ!G385)</f>
        <v>式</v>
      </c>
      <c r="G388" s="50">
        <f>データ!H385</f>
        <v>1</v>
      </c>
      <c r="H388" s="48">
        <f>データ!I385</f>
        <v>50100</v>
      </c>
      <c r="I388" s="48">
        <f>データ!J385</f>
        <v>50100</v>
      </c>
      <c r="J388" s="39" t="str">
        <f>IF(OR($C388="総括",$C388="内訳書",$C388="内訳代価",$C388="明細書",$C388="明細代価",$C388="代価表",$C388="単価表"),データ!K385,"")</f>
        <v/>
      </c>
      <c r="K388" s="11" t="str">
        <f t="shared" si="30"/>
        <v/>
      </c>
      <c r="L388" s="46">
        <f t="shared" si="31"/>
        <v>7.2135112954084058E-4</v>
      </c>
      <c r="M388" s="40" t="str">
        <f>IF(データ!L385="","",データ!L385)</f>
        <v/>
      </c>
      <c r="N388" s="41" t="str">
        <f>IF(データ!M385="","",データ!M385)</f>
        <v/>
      </c>
      <c r="O388" s="42">
        <f>データ!N385</f>
        <v>0</v>
      </c>
      <c r="P388" s="48">
        <f>IF($C388="集計行","",データ!O385)</f>
        <v>0</v>
      </c>
      <c r="Q388" s="48">
        <f>データ!P385</f>
        <v>0</v>
      </c>
      <c r="R388" s="39" t="str">
        <f>IF(OR($C388="総括",$C388="内訳書",$C388="内訳代価",$C388="明細書",$C388="明細代価",$C388="代価表",$C388="単価表"),データ!Q385,"")</f>
        <v/>
      </c>
      <c r="S388" s="11" t="str">
        <f t="shared" si="32"/>
        <v/>
      </c>
      <c r="T388" s="46" t="e">
        <f t="shared" si="33"/>
        <v>#DIV/0!</v>
      </c>
      <c r="U388" s="40" t="str">
        <f>IF(データ!R385="","",データ!R385)</f>
        <v/>
      </c>
      <c r="V388" s="41" t="str">
        <f>IF(データ!S385="","",データ!S385)</f>
        <v/>
      </c>
      <c r="W388" s="42">
        <f>データ!T385</f>
        <v>0</v>
      </c>
      <c r="X388" s="48">
        <f>IF($C388="集計行","",データ!U385)</f>
        <v>0</v>
      </c>
      <c r="Y388" s="48">
        <f>データ!V385</f>
        <v>0</v>
      </c>
      <c r="Z388" s="39" t="str">
        <f>IF(OR($C388="総括",$C388="内訳書",$C388="内訳代価",$C388="明細書",$C388="明細代価",$C388="代価表",$C388="単価表"),データ!W385,"")</f>
        <v/>
      </c>
      <c r="AA388" s="11" t="str">
        <f t="shared" si="34"/>
        <v/>
      </c>
      <c r="AB388" s="46" t="e">
        <f t="shared" si="35"/>
        <v>#DIV/0!</v>
      </c>
      <c r="AC388" s="40" t="str">
        <f>IF(データ!X385="","",データ!X385)</f>
        <v/>
      </c>
      <c r="AD388" s="41" t="str">
        <f>IF(データ!Y385="","",データ!Y385)</f>
        <v/>
      </c>
      <c r="AE388" s="47" t="str">
        <f>TRIM(データ!B385)</f>
        <v/>
      </c>
      <c r="AF388" s="43" t="str">
        <f>TRIM(データ!Z385)</f>
        <v/>
      </c>
    </row>
    <row r="389" spans="1:32" x14ac:dyDescent="0.15">
      <c r="A389" s="47">
        <f>データ!A386</f>
        <v>3</v>
      </c>
      <c r="B389" s="47" t="str">
        <f>TRIM(データ!C386)</f>
        <v/>
      </c>
      <c r="C389" s="47" t="str">
        <f>TRIM(データ!D386)</f>
        <v>外注費</v>
      </c>
      <c r="D389" s="36" t="str">
        <f>REPT("｜",$A389)&amp;TRIM(データ!E386)</f>
        <v>｜｜｜外注経費</v>
      </c>
      <c r="E389" s="37" t="str">
        <f>TRIM(データ!F386)</f>
        <v/>
      </c>
      <c r="F389" s="38" t="str">
        <f>TRIM(データ!G386)</f>
        <v>式</v>
      </c>
      <c r="G389" s="50">
        <f>データ!H386</f>
        <v>1</v>
      </c>
      <c r="H389" s="48">
        <f>データ!I386</f>
        <v>53100</v>
      </c>
      <c r="I389" s="48">
        <f>データ!J386</f>
        <v>53100</v>
      </c>
      <c r="J389" s="39" t="str">
        <f>IF(OR($C389="総括",$C389="内訳書",$C389="内訳代価",$C389="明細書",$C389="明細代価",$C389="代価表",$C389="単価表"),データ!K386,"")</f>
        <v/>
      </c>
      <c r="K389" s="11" t="str">
        <f t="shared" ref="K389:K452" si="36">IF(OR(J389="",G389=J389),"","*")</f>
        <v/>
      </c>
      <c r="L389" s="46">
        <f t="shared" ref="L389:L452" si="37">IF($A389&lt;=L$1,I389/I$4,"")</f>
        <v>7.6454580795645981E-4</v>
      </c>
      <c r="M389" s="40" t="str">
        <f>IF(データ!L386="","",データ!L386)</f>
        <v/>
      </c>
      <c r="N389" s="41" t="str">
        <f>IF(データ!M386="","",データ!M386)</f>
        <v/>
      </c>
      <c r="O389" s="42">
        <f>データ!N386</f>
        <v>0</v>
      </c>
      <c r="P389" s="48">
        <f>IF($C389="集計行","",データ!O386)</f>
        <v>0</v>
      </c>
      <c r="Q389" s="48">
        <f>データ!P386</f>
        <v>0</v>
      </c>
      <c r="R389" s="39" t="str">
        <f>IF(OR($C389="総括",$C389="内訳書",$C389="内訳代価",$C389="明細書",$C389="明細代価",$C389="代価表",$C389="単価表"),データ!Q386,"")</f>
        <v/>
      </c>
      <c r="S389" s="11" t="str">
        <f t="shared" ref="S389:S452" si="38">IF(OR(R389="",O389=R389),"","*")</f>
        <v/>
      </c>
      <c r="T389" s="46" t="e">
        <f t="shared" ref="T389:T452" si="39">IF($A389&lt;=T$1,Q389/Q$4,"")</f>
        <v>#DIV/0!</v>
      </c>
      <c r="U389" s="40" t="str">
        <f>IF(データ!R386="","",データ!R386)</f>
        <v/>
      </c>
      <c r="V389" s="41" t="str">
        <f>IF(データ!S386="","",データ!S386)</f>
        <v/>
      </c>
      <c r="W389" s="42">
        <f>データ!T386</f>
        <v>0</v>
      </c>
      <c r="X389" s="48">
        <f>IF($C389="集計行","",データ!U386)</f>
        <v>0</v>
      </c>
      <c r="Y389" s="48">
        <f>データ!V386</f>
        <v>0</v>
      </c>
      <c r="Z389" s="39" t="str">
        <f>IF(OR($C389="総括",$C389="内訳書",$C389="内訳代価",$C389="明細書",$C389="明細代価",$C389="代価表",$C389="単価表"),データ!W386,"")</f>
        <v/>
      </c>
      <c r="AA389" s="11" t="str">
        <f t="shared" ref="AA389:AA452" si="40">IF(OR(Z389="",W389=Z389),"","*")</f>
        <v/>
      </c>
      <c r="AB389" s="46" t="e">
        <f t="shared" ref="AB389:AB452" si="41">IF($A389&lt;=AB$1,Y389/Y$4,"")</f>
        <v>#DIV/0!</v>
      </c>
      <c r="AC389" s="40" t="str">
        <f>IF(データ!X386="","",データ!X386)</f>
        <v/>
      </c>
      <c r="AD389" s="41" t="str">
        <f>IF(データ!Y386="","",データ!Y386)</f>
        <v/>
      </c>
      <c r="AE389" s="47" t="str">
        <f>TRIM(データ!B386)</f>
        <v/>
      </c>
      <c r="AF389" s="43" t="str">
        <f>TRIM(データ!Z386)</f>
        <v/>
      </c>
    </row>
    <row r="390" spans="1:32" x14ac:dyDescent="0.15">
      <c r="A390" s="47">
        <f>データ!A387</f>
        <v>2</v>
      </c>
      <c r="B390" s="47" t="str">
        <f>TRIM(データ!C387)</f>
        <v/>
      </c>
      <c r="C390" s="47" t="str">
        <f>TRIM(データ!D387)</f>
        <v>内訳書</v>
      </c>
      <c r="D390" s="36" t="str">
        <f>REPT("｜",$A390)&amp;TRIM(データ!E387)</f>
        <v>｜｜路盤工</v>
      </c>
      <c r="E390" s="37" t="str">
        <f>TRIM(データ!F387)</f>
        <v>一般アスファルト舗装部</v>
      </c>
      <c r="F390" s="38" t="str">
        <f>TRIM(データ!G387)</f>
        <v>m2</v>
      </c>
      <c r="G390" s="50">
        <f>データ!H387</f>
        <v>483.5</v>
      </c>
      <c r="H390" s="48">
        <f>データ!I387</f>
        <v>2200</v>
      </c>
      <c r="I390" s="48">
        <f>データ!J387</f>
        <v>1063700</v>
      </c>
      <c r="J390" s="39">
        <f>IF(OR($C390="総括",$C390="内訳書",$C390="内訳代価",$C390="明細書",$C390="明細代価",$C390="代価表",$C390="単価表"),データ!K387,"")</f>
        <v>483.5</v>
      </c>
      <c r="K390" s="11" t="str">
        <f t="shared" si="36"/>
        <v/>
      </c>
      <c r="L390" s="46">
        <f t="shared" si="37"/>
        <v>1.5315393143564712E-2</v>
      </c>
      <c r="M390" s="40" t="str">
        <f>IF(データ!L387="","",データ!L387)</f>
        <v/>
      </c>
      <c r="N390" s="41" t="str">
        <f>IF(データ!M387="","",データ!M387)</f>
        <v>53号内訳書</v>
      </c>
      <c r="O390" s="42">
        <f>データ!N387</f>
        <v>0</v>
      </c>
      <c r="P390" s="48">
        <f>IF($C390="集計行","",データ!O387)</f>
        <v>0</v>
      </c>
      <c r="Q390" s="48">
        <f>データ!P387</f>
        <v>0</v>
      </c>
      <c r="R390" s="39">
        <f>IF(OR($C390="総括",$C390="内訳書",$C390="内訳代価",$C390="明細書",$C390="明細代価",$C390="代価表",$C390="単価表"),データ!Q387,"")</f>
        <v>0</v>
      </c>
      <c r="S390" s="11" t="str">
        <f t="shared" si="38"/>
        <v/>
      </c>
      <c r="T390" s="46" t="e">
        <f t="shared" si="39"/>
        <v>#DIV/0!</v>
      </c>
      <c r="U390" s="40" t="str">
        <f>IF(データ!R387="","",データ!R387)</f>
        <v/>
      </c>
      <c r="V390" s="41" t="str">
        <f>IF(データ!S387="","",データ!S387)</f>
        <v/>
      </c>
      <c r="W390" s="42">
        <f>データ!T387</f>
        <v>0</v>
      </c>
      <c r="X390" s="48">
        <f>IF($C390="集計行","",データ!U387)</f>
        <v>0</v>
      </c>
      <c r="Y390" s="48">
        <f>データ!V387</f>
        <v>0</v>
      </c>
      <c r="Z390" s="39">
        <f>IF(OR($C390="総括",$C390="内訳書",$C390="内訳代価",$C390="明細書",$C390="明細代価",$C390="代価表",$C390="単価表"),データ!W387,"")</f>
        <v>0</v>
      </c>
      <c r="AA390" s="11" t="str">
        <f t="shared" si="40"/>
        <v/>
      </c>
      <c r="AB390" s="46" t="e">
        <f t="shared" si="41"/>
        <v>#DIV/0!</v>
      </c>
      <c r="AC390" s="40" t="str">
        <f>IF(データ!X387="","",データ!X387)</f>
        <v/>
      </c>
      <c r="AD390" s="41" t="str">
        <f>IF(データ!Y387="","",データ!Y387)</f>
        <v/>
      </c>
      <c r="AE390" s="47" t="str">
        <f>TRIM(データ!B387)</f>
        <v/>
      </c>
      <c r="AF390" s="43" t="str">
        <f>TRIM(データ!Z387)</f>
        <v/>
      </c>
    </row>
    <row r="391" spans="1:32" x14ac:dyDescent="0.15">
      <c r="A391" s="47">
        <f>データ!A388</f>
        <v>3</v>
      </c>
      <c r="B391" s="47" t="str">
        <f>TRIM(データ!C388)</f>
        <v/>
      </c>
      <c r="C391" s="47" t="str">
        <f>TRIM(データ!D388)</f>
        <v>材料費</v>
      </c>
      <c r="D391" s="36" t="str">
        <f>REPT("｜",$A391)&amp;TRIM(データ!E388)</f>
        <v>｜｜｜RC-40</v>
      </c>
      <c r="E391" s="37" t="str">
        <f>TRIM(データ!F388)</f>
        <v/>
      </c>
      <c r="F391" s="38" t="str">
        <f>TRIM(データ!G388)</f>
        <v>m3</v>
      </c>
      <c r="G391" s="50">
        <f>データ!H388</f>
        <v>150</v>
      </c>
      <c r="H391" s="48">
        <f>データ!I388</f>
        <v>1800</v>
      </c>
      <c r="I391" s="48">
        <f>データ!J388</f>
        <v>270000</v>
      </c>
      <c r="J391" s="39" t="str">
        <f>IF(OR($C391="総括",$C391="内訳書",$C391="内訳代価",$C391="明細書",$C391="明細代価",$C391="代価表",$C391="単価表"),データ!K388,"")</f>
        <v/>
      </c>
      <c r="K391" s="11" t="str">
        <f t="shared" si="36"/>
        <v/>
      </c>
      <c r="L391" s="46">
        <f t="shared" si="37"/>
        <v>3.8875210574057274E-3</v>
      </c>
      <c r="M391" s="40" t="str">
        <f>IF(データ!L388="","",データ!L388)</f>
        <v/>
      </c>
      <c r="N391" s="41" t="str">
        <f>IF(データ!M388="","",データ!M388)</f>
        <v/>
      </c>
      <c r="O391" s="42">
        <f>データ!N388</f>
        <v>0</v>
      </c>
      <c r="P391" s="48">
        <f>IF($C391="集計行","",データ!O388)</f>
        <v>0</v>
      </c>
      <c r="Q391" s="48">
        <f>データ!P388</f>
        <v>0</v>
      </c>
      <c r="R391" s="39" t="str">
        <f>IF(OR($C391="総括",$C391="内訳書",$C391="内訳代価",$C391="明細書",$C391="明細代価",$C391="代価表",$C391="単価表"),データ!Q388,"")</f>
        <v/>
      </c>
      <c r="S391" s="11" t="str">
        <f t="shared" si="38"/>
        <v/>
      </c>
      <c r="T391" s="46" t="e">
        <f t="shared" si="39"/>
        <v>#DIV/0!</v>
      </c>
      <c r="U391" s="40" t="str">
        <f>IF(データ!R388="","",データ!R388)</f>
        <v/>
      </c>
      <c r="V391" s="41" t="str">
        <f>IF(データ!S388="","",データ!S388)</f>
        <v/>
      </c>
      <c r="W391" s="42">
        <f>データ!T388</f>
        <v>0</v>
      </c>
      <c r="X391" s="48">
        <f>IF($C391="集計行","",データ!U388)</f>
        <v>0</v>
      </c>
      <c r="Y391" s="48">
        <f>データ!V388</f>
        <v>0</v>
      </c>
      <c r="Z391" s="39" t="str">
        <f>IF(OR($C391="総括",$C391="内訳書",$C391="内訳代価",$C391="明細書",$C391="明細代価",$C391="代価表",$C391="単価表"),データ!W388,"")</f>
        <v/>
      </c>
      <c r="AA391" s="11" t="str">
        <f t="shared" si="40"/>
        <v/>
      </c>
      <c r="AB391" s="46" t="e">
        <f t="shared" si="41"/>
        <v>#DIV/0!</v>
      </c>
      <c r="AC391" s="40" t="str">
        <f>IF(データ!X388="","",データ!X388)</f>
        <v/>
      </c>
      <c r="AD391" s="41" t="str">
        <f>IF(データ!Y388="","",データ!Y388)</f>
        <v/>
      </c>
      <c r="AE391" s="47" t="str">
        <f>TRIM(データ!B388)</f>
        <v/>
      </c>
      <c r="AF391" s="43" t="str">
        <f>TRIM(データ!Z388)</f>
        <v/>
      </c>
    </row>
    <row r="392" spans="1:32" x14ac:dyDescent="0.15">
      <c r="A392" s="47">
        <f>データ!A389</f>
        <v>3</v>
      </c>
      <c r="B392" s="47" t="str">
        <f>TRIM(データ!C389)</f>
        <v/>
      </c>
      <c r="C392" s="47" t="str">
        <f>TRIM(データ!D389)</f>
        <v>労務費</v>
      </c>
      <c r="D392" s="36" t="str">
        <f>REPT("｜",$A392)&amp;TRIM(データ!E389)</f>
        <v>｜｜｜技工</v>
      </c>
      <c r="E392" s="37" t="str">
        <f>TRIM(データ!F389)</f>
        <v/>
      </c>
      <c r="F392" s="38" t="str">
        <f>TRIM(データ!G389)</f>
        <v>人</v>
      </c>
      <c r="G392" s="50">
        <f>データ!H389</f>
        <v>15</v>
      </c>
      <c r="H392" s="48">
        <f>データ!I389</f>
        <v>28000</v>
      </c>
      <c r="I392" s="48">
        <f>データ!J389</f>
        <v>420000</v>
      </c>
      <c r="J392" s="39" t="str">
        <f>IF(OR($C392="総括",$C392="内訳書",$C392="内訳代価",$C392="明細書",$C392="明細代価",$C392="代価表",$C392="単価表"),データ!K389,"")</f>
        <v/>
      </c>
      <c r="K392" s="11" t="str">
        <f t="shared" si="36"/>
        <v/>
      </c>
      <c r="L392" s="46">
        <f t="shared" si="37"/>
        <v>6.0472549781866872E-3</v>
      </c>
      <c r="M392" s="40" t="str">
        <f>IF(データ!L389="","",データ!L389)</f>
        <v/>
      </c>
      <c r="N392" s="41" t="str">
        <f>IF(データ!M389="","",データ!M389)</f>
        <v/>
      </c>
      <c r="O392" s="42">
        <f>データ!N389</f>
        <v>0</v>
      </c>
      <c r="P392" s="48">
        <f>IF($C392="集計行","",データ!O389)</f>
        <v>0</v>
      </c>
      <c r="Q392" s="48">
        <f>データ!P389</f>
        <v>0</v>
      </c>
      <c r="R392" s="39" t="str">
        <f>IF(OR($C392="総括",$C392="内訳書",$C392="内訳代価",$C392="明細書",$C392="明細代価",$C392="代価表",$C392="単価表"),データ!Q389,"")</f>
        <v/>
      </c>
      <c r="S392" s="11" t="str">
        <f t="shared" si="38"/>
        <v/>
      </c>
      <c r="T392" s="46" t="e">
        <f t="shared" si="39"/>
        <v>#DIV/0!</v>
      </c>
      <c r="U392" s="40" t="str">
        <f>IF(データ!R389="","",データ!R389)</f>
        <v/>
      </c>
      <c r="V392" s="41" t="str">
        <f>IF(データ!S389="","",データ!S389)</f>
        <v/>
      </c>
      <c r="W392" s="42">
        <f>データ!T389</f>
        <v>0</v>
      </c>
      <c r="X392" s="48">
        <f>IF($C392="集計行","",データ!U389)</f>
        <v>0</v>
      </c>
      <c r="Y392" s="48">
        <f>データ!V389</f>
        <v>0</v>
      </c>
      <c r="Z392" s="39" t="str">
        <f>IF(OR($C392="総括",$C392="内訳書",$C392="内訳代価",$C392="明細書",$C392="明細代価",$C392="代価表",$C392="単価表"),データ!W389,"")</f>
        <v/>
      </c>
      <c r="AA392" s="11" t="str">
        <f t="shared" si="40"/>
        <v/>
      </c>
      <c r="AB392" s="46" t="e">
        <f t="shared" si="41"/>
        <v>#DIV/0!</v>
      </c>
      <c r="AC392" s="40" t="str">
        <f>IF(データ!X389="","",データ!X389)</f>
        <v/>
      </c>
      <c r="AD392" s="41" t="str">
        <f>IF(データ!Y389="","",データ!Y389)</f>
        <v/>
      </c>
      <c r="AE392" s="47" t="str">
        <f>TRIM(データ!B389)</f>
        <v/>
      </c>
      <c r="AF392" s="43" t="str">
        <f>TRIM(データ!Z389)</f>
        <v/>
      </c>
    </row>
    <row r="393" spans="1:32" x14ac:dyDescent="0.15">
      <c r="A393" s="47">
        <f>データ!A390</f>
        <v>3</v>
      </c>
      <c r="B393" s="47" t="str">
        <f>TRIM(データ!C390)</f>
        <v/>
      </c>
      <c r="C393" s="47" t="str">
        <f>TRIM(データ!D390)</f>
        <v>機械費</v>
      </c>
      <c r="D393" s="36" t="str">
        <f>REPT("｜",$A393)&amp;TRIM(データ!E390)</f>
        <v>｜｜｜BH0.2</v>
      </c>
      <c r="E393" s="37" t="str">
        <f>TRIM(データ!F390)</f>
        <v/>
      </c>
      <c r="F393" s="38" t="str">
        <f>TRIM(データ!G390)</f>
        <v>台</v>
      </c>
      <c r="G393" s="50">
        <f>データ!H390</f>
        <v>3</v>
      </c>
      <c r="H393" s="48">
        <f>データ!I390</f>
        <v>9000</v>
      </c>
      <c r="I393" s="48">
        <f>データ!J390</f>
        <v>27000</v>
      </c>
      <c r="J393" s="39" t="str">
        <f>IF(OR($C393="総括",$C393="内訳書",$C393="内訳代価",$C393="明細書",$C393="明細代価",$C393="代価表",$C393="単価表"),データ!K390,"")</f>
        <v/>
      </c>
      <c r="K393" s="11" t="str">
        <f t="shared" si="36"/>
        <v/>
      </c>
      <c r="L393" s="46">
        <f t="shared" si="37"/>
        <v>3.8875210574057279E-4</v>
      </c>
      <c r="M393" s="40" t="str">
        <f>IF(データ!L390="","",データ!L390)</f>
        <v/>
      </c>
      <c r="N393" s="41" t="str">
        <f>IF(データ!M390="","",データ!M390)</f>
        <v/>
      </c>
      <c r="O393" s="42">
        <f>データ!N390</f>
        <v>0</v>
      </c>
      <c r="P393" s="48">
        <f>IF($C393="集計行","",データ!O390)</f>
        <v>0</v>
      </c>
      <c r="Q393" s="48">
        <f>データ!P390</f>
        <v>0</v>
      </c>
      <c r="R393" s="39" t="str">
        <f>IF(OR($C393="総括",$C393="内訳書",$C393="内訳代価",$C393="明細書",$C393="明細代価",$C393="代価表",$C393="単価表"),データ!Q390,"")</f>
        <v/>
      </c>
      <c r="S393" s="11" t="str">
        <f t="shared" si="38"/>
        <v/>
      </c>
      <c r="T393" s="46" t="e">
        <f t="shared" si="39"/>
        <v>#DIV/0!</v>
      </c>
      <c r="U393" s="40" t="str">
        <f>IF(データ!R390="","",データ!R390)</f>
        <v/>
      </c>
      <c r="V393" s="41" t="str">
        <f>IF(データ!S390="","",データ!S390)</f>
        <v/>
      </c>
      <c r="W393" s="42">
        <f>データ!T390</f>
        <v>0</v>
      </c>
      <c r="X393" s="48">
        <f>IF($C393="集計行","",データ!U390)</f>
        <v>0</v>
      </c>
      <c r="Y393" s="48">
        <f>データ!V390</f>
        <v>0</v>
      </c>
      <c r="Z393" s="39" t="str">
        <f>IF(OR($C393="総括",$C393="内訳書",$C393="内訳代価",$C393="明細書",$C393="明細代価",$C393="代価表",$C393="単価表"),データ!W390,"")</f>
        <v/>
      </c>
      <c r="AA393" s="11" t="str">
        <f t="shared" si="40"/>
        <v/>
      </c>
      <c r="AB393" s="46" t="e">
        <f t="shared" si="41"/>
        <v>#DIV/0!</v>
      </c>
      <c r="AC393" s="40" t="str">
        <f>IF(データ!X390="","",データ!X390)</f>
        <v/>
      </c>
      <c r="AD393" s="41" t="str">
        <f>IF(データ!Y390="","",データ!Y390)</f>
        <v/>
      </c>
      <c r="AE393" s="47" t="str">
        <f>TRIM(データ!B390)</f>
        <v/>
      </c>
      <c r="AF393" s="43" t="str">
        <f>TRIM(データ!Z390)</f>
        <v/>
      </c>
    </row>
    <row r="394" spans="1:32" x14ac:dyDescent="0.15">
      <c r="A394" s="47">
        <f>データ!A391</f>
        <v>3</v>
      </c>
      <c r="B394" s="47" t="str">
        <f>TRIM(データ!C391)</f>
        <v/>
      </c>
      <c r="C394" s="47" t="str">
        <f>TRIM(データ!D391)</f>
        <v>機械費</v>
      </c>
      <c r="D394" s="36" t="str">
        <f>REPT("｜",$A394)&amp;TRIM(データ!E391)</f>
        <v>｜｜｜ブルドーザ</v>
      </c>
      <c r="E394" s="37" t="str">
        <f>TRIM(データ!F391)</f>
        <v/>
      </c>
      <c r="F394" s="38" t="str">
        <f>TRIM(データ!G391)</f>
        <v>台</v>
      </c>
      <c r="G394" s="50">
        <f>データ!H391</f>
        <v>3</v>
      </c>
      <c r="H394" s="48">
        <f>データ!I391</f>
        <v>8000</v>
      </c>
      <c r="I394" s="48">
        <f>データ!J391</f>
        <v>24000</v>
      </c>
      <c r="J394" s="39" t="str">
        <f>IF(OR($C394="総括",$C394="内訳書",$C394="内訳代価",$C394="明細書",$C394="明細代価",$C394="代価表",$C394="単価表"),データ!K391,"")</f>
        <v/>
      </c>
      <c r="K394" s="11" t="str">
        <f t="shared" si="36"/>
        <v/>
      </c>
      <c r="L394" s="46">
        <f t="shared" si="37"/>
        <v>3.4555742732495355E-4</v>
      </c>
      <c r="M394" s="40" t="str">
        <f>IF(データ!L391="","",データ!L391)</f>
        <v/>
      </c>
      <c r="N394" s="41" t="str">
        <f>IF(データ!M391="","",データ!M391)</f>
        <v/>
      </c>
      <c r="O394" s="42">
        <f>データ!N391</f>
        <v>0</v>
      </c>
      <c r="P394" s="48">
        <f>IF($C394="集計行","",データ!O391)</f>
        <v>0</v>
      </c>
      <c r="Q394" s="48">
        <f>データ!P391</f>
        <v>0</v>
      </c>
      <c r="R394" s="39" t="str">
        <f>IF(OR($C394="総括",$C394="内訳書",$C394="内訳代価",$C394="明細書",$C394="明細代価",$C394="代価表",$C394="単価表"),データ!Q391,"")</f>
        <v/>
      </c>
      <c r="S394" s="11" t="str">
        <f t="shared" si="38"/>
        <v/>
      </c>
      <c r="T394" s="46" t="e">
        <f t="shared" si="39"/>
        <v>#DIV/0!</v>
      </c>
      <c r="U394" s="40" t="str">
        <f>IF(データ!R391="","",データ!R391)</f>
        <v/>
      </c>
      <c r="V394" s="41" t="str">
        <f>IF(データ!S391="","",データ!S391)</f>
        <v/>
      </c>
      <c r="W394" s="42">
        <f>データ!T391</f>
        <v>0</v>
      </c>
      <c r="X394" s="48">
        <f>IF($C394="集計行","",データ!U391)</f>
        <v>0</v>
      </c>
      <c r="Y394" s="48">
        <f>データ!V391</f>
        <v>0</v>
      </c>
      <c r="Z394" s="39" t="str">
        <f>IF(OR($C394="総括",$C394="内訳書",$C394="内訳代価",$C394="明細書",$C394="明細代価",$C394="代価表",$C394="単価表"),データ!W391,"")</f>
        <v/>
      </c>
      <c r="AA394" s="11" t="str">
        <f t="shared" si="40"/>
        <v/>
      </c>
      <c r="AB394" s="46" t="e">
        <f t="shared" si="41"/>
        <v>#DIV/0!</v>
      </c>
      <c r="AC394" s="40" t="str">
        <f>IF(データ!X391="","",データ!X391)</f>
        <v/>
      </c>
      <c r="AD394" s="41" t="str">
        <f>IF(データ!Y391="","",データ!Y391)</f>
        <v/>
      </c>
      <c r="AE394" s="47" t="str">
        <f>TRIM(データ!B391)</f>
        <v/>
      </c>
      <c r="AF394" s="43" t="str">
        <f>TRIM(データ!Z391)</f>
        <v/>
      </c>
    </row>
    <row r="395" spans="1:32" x14ac:dyDescent="0.15">
      <c r="A395" s="47">
        <f>データ!A392</f>
        <v>3</v>
      </c>
      <c r="B395" s="47" t="str">
        <f>TRIM(データ!C392)</f>
        <v/>
      </c>
      <c r="C395" s="47" t="str">
        <f>TRIM(データ!D392)</f>
        <v>機械費</v>
      </c>
      <c r="D395" s="36" t="str">
        <f>REPT("｜",$A395)&amp;TRIM(データ!E392)</f>
        <v>｜｜｜コンバインドローラ</v>
      </c>
      <c r="E395" s="37" t="str">
        <f>TRIM(データ!F392)</f>
        <v/>
      </c>
      <c r="F395" s="38" t="str">
        <f>TRIM(データ!G392)</f>
        <v>台</v>
      </c>
      <c r="G395" s="50">
        <f>データ!H392</f>
        <v>3</v>
      </c>
      <c r="H395" s="48">
        <f>データ!I392</f>
        <v>8000</v>
      </c>
      <c r="I395" s="48">
        <f>データ!J392</f>
        <v>24000</v>
      </c>
      <c r="J395" s="39" t="str">
        <f>IF(OR($C395="総括",$C395="内訳書",$C395="内訳代価",$C395="明細書",$C395="明細代価",$C395="代価表",$C395="単価表"),データ!K392,"")</f>
        <v/>
      </c>
      <c r="K395" s="11" t="str">
        <f t="shared" si="36"/>
        <v/>
      </c>
      <c r="L395" s="46">
        <f t="shared" si="37"/>
        <v>3.4555742732495355E-4</v>
      </c>
      <c r="M395" s="40" t="str">
        <f>IF(データ!L392="","",データ!L392)</f>
        <v/>
      </c>
      <c r="N395" s="41" t="str">
        <f>IF(データ!M392="","",データ!M392)</f>
        <v/>
      </c>
      <c r="O395" s="42">
        <f>データ!N392</f>
        <v>0</v>
      </c>
      <c r="P395" s="48">
        <f>IF($C395="集計行","",データ!O392)</f>
        <v>0</v>
      </c>
      <c r="Q395" s="48">
        <f>データ!P392</f>
        <v>0</v>
      </c>
      <c r="R395" s="39" t="str">
        <f>IF(OR($C395="総括",$C395="内訳書",$C395="内訳代価",$C395="明細書",$C395="明細代価",$C395="代価表",$C395="単価表"),データ!Q392,"")</f>
        <v/>
      </c>
      <c r="S395" s="11" t="str">
        <f t="shared" si="38"/>
        <v/>
      </c>
      <c r="T395" s="46" t="e">
        <f t="shared" si="39"/>
        <v>#DIV/0!</v>
      </c>
      <c r="U395" s="40" t="str">
        <f>IF(データ!R392="","",データ!R392)</f>
        <v/>
      </c>
      <c r="V395" s="41" t="str">
        <f>IF(データ!S392="","",データ!S392)</f>
        <v/>
      </c>
      <c r="W395" s="42">
        <f>データ!T392</f>
        <v>0</v>
      </c>
      <c r="X395" s="48">
        <f>IF($C395="集計行","",データ!U392)</f>
        <v>0</v>
      </c>
      <c r="Y395" s="48">
        <f>データ!V392</f>
        <v>0</v>
      </c>
      <c r="Z395" s="39" t="str">
        <f>IF(OR($C395="総括",$C395="内訳書",$C395="内訳代価",$C395="明細書",$C395="明細代価",$C395="代価表",$C395="単価表"),データ!W392,"")</f>
        <v/>
      </c>
      <c r="AA395" s="11" t="str">
        <f t="shared" si="40"/>
        <v/>
      </c>
      <c r="AB395" s="46" t="e">
        <f t="shared" si="41"/>
        <v>#DIV/0!</v>
      </c>
      <c r="AC395" s="40" t="str">
        <f>IF(データ!X392="","",データ!X392)</f>
        <v/>
      </c>
      <c r="AD395" s="41" t="str">
        <f>IF(データ!Y392="","",データ!Y392)</f>
        <v/>
      </c>
      <c r="AE395" s="47" t="str">
        <f>TRIM(データ!B392)</f>
        <v/>
      </c>
      <c r="AF395" s="43" t="str">
        <f>TRIM(データ!Z392)</f>
        <v/>
      </c>
    </row>
    <row r="396" spans="1:32" x14ac:dyDescent="0.15">
      <c r="A396" s="47">
        <f>データ!A393</f>
        <v>3</v>
      </c>
      <c r="B396" s="47" t="str">
        <f>TRIM(データ!C393)</f>
        <v/>
      </c>
      <c r="C396" s="47" t="str">
        <f>TRIM(データ!D393)</f>
        <v>機械費</v>
      </c>
      <c r="D396" s="36" t="str">
        <f>REPT("｜",$A396)&amp;TRIM(データ!E393)</f>
        <v>｜｜｜タイヤローラ3t</v>
      </c>
      <c r="E396" s="37" t="str">
        <f>TRIM(データ!F393)</f>
        <v/>
      </c>
      <c r="F396" s="38" t="str">
        <f>TRIM(データ!G393)</f>
        <v>台</v>
      </c>
      <c r="G396" s="50">
        <f>データ!H393</f>
        <v>3</v>
      </c>
      <c r="H396" s="48">
        <f>データ!I393</f>
        <v>9000</v>
      </c>
      <c r="I396" s="48">
        <f>データ!J393</f>
        <v>27000</v>
      </c>
      <c r="J396" s="39" t="str">
        <f>IF(OR($C396="総括",$C396="内訳書",$C396="内訳代価",$C396="明細書",$C396="明細代価",$C396="代価表",$C396="単価表"),データ!K393,"")</f>
        <v/>
      </c>
      <c r="K396" s="11" t="str">
        <f t="shared" si="36"/>
        <v/>
      </c>
      <c r="L396" s="46">
        <f t="shared" si="37"/>
        <v>3.8875210574057279E-4</v>
      </c>
      <c r="M396" s="40" t="str">
        <f>IF(データ!L393="","",データ!L393)</f>
        <v/>
      </c>
      <c r="N396" s="41" t="str">
        <f>IF(データ!M393="","",データ!M393)</f>
        <v/>
      </c>
      <c r="O396" s="42">
        <f>データ!N393</f>
        <v>0</v>
      </c>
      <c r="P396" s="48">
        <f>IF($C396="集計行","",データ!O393)</f>
        <v>0</v>
      </c>
      <c r="Q396" s="48">
        <f>データ!P393</f>
        <v>0</v>
      </c>
      <c r="R396" s="39" t="str">
        <f>IF(OR($C396="総括",$C396="内訳書",$C396="内訳代価",$C396="明細書",$C396="明細代価",$C396="代価表",$C396="単価表"),データ!Q393,"")</f>
        <v/>
      </c>
      <c r="S396" s="11" t="str">
        <f t="shared" si="38"/>
        <v/>
      </c>
      <c r="T396" s="46" t="e">
        <f t="shared" si="39"/>
        <v>#DIV/0!</v>
      </c>
      <c r="U396" s="40" t="str">
        <f>IF(データ!R393="","",データ!R393)</f>
        <v/>
      </c>
      <c r="V396" s="41" t="str">
        <f>IF(データ!S393="","",データ!S393)</f>
        <v/>
      </c>
      <c r="W396" s="42">
        <f>データ!T393</f>
        <v>0</v>
      </c>
      <c r="X396" s="48">
        <f>IF($C396="集計行","",データ!U393)</f>
        <v>0</v>
      </c>
      <c r="Y396" s="48">
        <f>データ!V393</f>
        <v>0</v>
      </c>
      <c r="Z396" s="39" t="str">
        <f>IF(OR($C396="総括",$C396="内訳書",$C396="内訳代価",$C396="明細書",$C396="明細代価",$C396="代価表",$C396="単価表"),データ!W393,"")</f>
        <v/>
      </c>
      <c r="AA396" s="11" t="str">
        <f t="shared" si="40"/>
        <v/>
      </c>
      <c r="AB396" s="46" t="e">
        <f t="shared" si="41"/>
        <v>#DIV/0!</v>
      </c>
      <c r="AC396" s="40" t="str">
        <f>IF(データ!X393="","",データ!X393)</f>
        <v/>
      </c>
      <c r="AD396" s="41" t="str">
        <f>IF(データ!Y393="","",データ!Y393)</f>
        <v/>
      </c>
      <c r="AE396" s="47" t="str">
        <f>TRIM(データ!B393)</f>
        <v/>
      </c>
      <c r="AF396" s="43" t="str">
        <f>TRIM(データ!Z393)</f>
        <v/>
      </c>
    </row>
    <row r="397" spans="1:32" x14ac:dyDescent="0.15">
      <c r="A397" s="47">
        <f>データ!A394</f>
        <v>3</v>
      </c>
      <c r="B397" s="47" t="str">
        <f>TRIM(データ!C394)</f>
        <v/>
      </c>
      <c r="C397" s="47" t="str">
        <f>TRIM(データ!D394)</f>
        <v>機械費</v>
      </c>
      <c r="D397" s="36" t="str">
        <f>REPT("｜",$A397)&amp;TRIM(データ!E394)</f>
        <v>｜｜｜タイヤショベル</v>
      </c>
      <c r="E397" s="37" t="str">
        <f>TRIM(データ!F394)</f>
        <v/>
      </c>
      <c r="F397" s="38" t="str">
        <f>TRIM(データ!G394)</f>
        <v>台</v>
      </c>
      <c r="G397" s="50">
        <f>データ!H394</f>
        <v>3</v>
      </c>
      <c r="H397" s="48">
        <f>データ!I394</f>
        <v>8000</v>
      </c>
      <c r="I397" s="48">
        <f>データ!J394</f>
        <v>24000</v>
      </c>
      <c r="J397" s="39" t="str">
        <f>IF(OR($C397="総括",$C397="内訳書",$C397="内訳代価",$C397="明細書",$C397="明細代価",$C397="代価表",$C397="単価表"),データ!K394,"")</f>
        <v/>
      </c>
      <c r="K397" s="11" t="str">
        <f t="shared" si="36"/>
        <v/>
      </c>
      <c r="L397" s="46">
        <f t="shared" si="37"/>
        <v>3.4555742732495355E-4</v>
      </c>
      <c r="M397" s="40" t="str">
        <f>IF(データ!L394="","",データ!L394)</f>
        <v/>
      </c>
      <c r="N397" s="41" t="str">
        <f>IF(データ!M394="","",データ!M394)</f>
        <v/>
      </c>
      <c r="O397" s="42">
        <f>データ!N394</f>
        <v>0</v>
      </c>
      <c r="P397" s="48">
        <f>IF($C397="集計行","",データ!O394)</f>
        <v>0</v>
      </c>
      <c r="Q397" s="48">
        <f>データ!P394</f>
        <v>0</v>
      </c>
      <c r="R397" s="39" t="str">
        <f>IF(OR($C397="総括",$C397="内訳書",$C397="内訳代価",$C397="明細書",$C397="明細代価",$C397="代価表",$C397="単価表"),データ!Q394,"")</f>
        <v/>
      </c>
      <c r="S397" s="11" t="str">
        <f t="shared" si="38"/>
        <v/>
      </c>
      <c r="T397" s="46" t="e">
        <f t="shared" si="39"/>
        <v>#DIV/0!</v>
      </c>
      <c r="U397" s="40" t="str">
        <f>IF(データ!R394="","",データ!R394)</f>
        <v/>
      </c>
      <c r="V397" s="41" t="str">
        <f>IF(データ!S394="","",データ!S394)</f>
        <v/>
      </c>
      <c r="W397" s="42">
        <f>データ!T394</f>
        <v>0</v>
      </c>
      <c r="X397" s="48">
        <f>IF($C397="集計行","",データ!U394)</f>
        <v>0</v>
      </c>
      <c r="Y397" s="48">
        <f>データ!V394</f>
        <v>0</v>
      </c>
      <c r="Z397" s="39" t="str">
        <f>IF(OR($C397="総括",$C397="内訳書",$C397="内訳代価",$C397="明細書",$C397="明細代価",$C397="代価表",$C397="単価表"),データ!W394,"")</f>
        <v/>
      </c>
      <c r="AA397" s="11" t="str">
        <f t="shared" si="40"/>
        <v/>
      </c>
      <c r="AB397" s="46" t="e">
        <f t="shared" si="41"/>
        <v>#DIV/0!</v>
      </c>
      <c r="AC397" s="40" t="str">
        <f>IF(データ!X394="","",データ!X394)</f>
        <v/>
      </c>
      <c r="AD397" s="41" t="str">
        <f>IF(データ!Y394="","",データ!Y394)</f>
        <v/>
      </c>
      <c r="AE397" s="47" t="str">
        <f>TRIM(データ!B394)</f>
        <v/>
      </c>
      <c r="AF397" s="43" t="str">
        <f>TRIM(データ!Z394)</f>
        <v/>
      </c>
    </row>
    <row r="398" spans="1:32" x14ac:dyDescent="0.15">
      <c r="A398" s="47">
        <f>データ!A395</f>
        <v>3</v>
      </c>
      <c r="B398" s="47" t="str">
        <f>TRIM(データ!C395)</f>
        <v/>
      </c>
      <c r="C398" s="47" t="str">
        <f>TRIM(データ!D395)</f>
        <v>機械費</v>
      </c>
      <c r="D398" s="36" t="str">
        <f>REPT("｜",$A398)&amp;TRIM(データ!E395)</f>
        <v>｜｜｜ランマー</v>
      </c>
      <c r="E398" s="37" t="str">
        <f>TRIM(データ!F395)</f>
        <v/>
      </c>
      <c r="F398" s="38" t="str">
        <f>TRIM(データ!G395)</f>
        <v>台</v>
      </c>
      <c r="G398" s="50">
        <f>データ!H395</f>
        <v>3</v>
      </c>
      <c r="H398" s="48">
        <f>データ!I395</f>
        <v>1500</v>
      </c>
      <c r="I398" s="48">
        <f>データ!J395</f>
        <v>4500</v>
      </c>
      <c r="J398" s="39" t="str">
        <f>IF(OR($C398="総括",$C398="内訳書",$C398="内訳代価",$C398="明細書",$C398="明細代価",$C398="代価表",$C398="単価表"),データ!K395,"")</f>
        <v/>
      </c>
      <c r="K398" s="11" t="str">
        <f t="shared" si="36"/>
        <v/>
      </c>
      <c r="L398" s="46">
        <f t="shared" si="37"/>
        <v>6.4792017623428798E-5</v>
      </c>
      <c r="M398" s="40" t="str">
        <f>IF(データ!L395="","",データ!L395)</f>
        <v/>
      </c>
      <c r="N398" s="41" t="str">
        <f>IF(データ!M395="","",データ!M395)</f>
        <v/>
      </c>
      <c r="O398" s="42">
        <f>データ!N395</f>
        <v>0</v>
      </c>
      <c r="P398" s="48">
        <f>IF($C398="集計行","",データ!O395)</f>
        <v>0</v>
      </c>
      <c r="Q398" s="48">
        <f>データ!P395</f>
        <v>0</v>
      </c>
      <c r="R398" s="39" t="str">
        <f>IF(OR($C398="総括",$C398="内訳書",$C398="内訳代価",$C398="明細書",$C398="明細代価",$C398="代価表",$C398="単価表"),データ!Q395,"")</f>
        <v/>
      </c>
      <c r="S398" s="11" t="str">
        <f t="shared" si="38"/>
        <v/>
      </c>
      <c r="T398" s="46" t="e">
        <f t="shared" si="39"/>
        <v>#DIV/0!</v>
      </c>
      <c r="U398" s="40" t="str">
        <f>IF(データ!R395="","",データ!R395)</f>
        <v/>
      </c>
      <c r="V398" s="41" t="str">
        <f>IF(データ!S395="","",データ!S395)</f>
        <v/>
      </c>
      <c r="W398" s="42">
        <f>データ!T395</f>
        <v>0</v>
      </c>
      <c r="X398" s="48">
        <f>IF($C398="集計行","",データ!U395)</f>
        <v>0</v>
      </c>
      <c r="Y398" s="48">
        <f>データ!V395</f>
        <v>0</v>
      </c>
      <c r="Z398" s="39" t="str">
        <f>IF(OR($C398="総括",$C398="内訳書",$C398="内訳代価",$C398="明細書",$C398="明細代価",$C398="代価表",$C398="単価表"),データ!W395,"")</f>
        <v/>
      </c>
      <c r="AA398" s="11" t="str">
        <f t="shared" si="40"/>
        <v/>
      </c>
      <c r="AB398" s="46" t="e">
        <f t="shared" si="41"/>
        <v>#DIV/0!</v>
      </c>
      <c r="AC398" s="40" t="str">
        <f>IF(データ!X395="","",データ!X395)</f>
        <v/>
      </c>
      <c r="AD398" s="41" t="str">
        <f>IF(データ!Y395="","",データ!Y395)</f>
        <v/>
      </c>
      <c r="AE398" s="47" t="str">
        <f>TRIM(データ!B395)</f>
        <v/>
      </c>
      <c r="AF398" s="43" t="str">
        <f>TRIM(データ!Z395)</f>
        <v/>
      </c>
    </row>
    <row r="399" spans="1:32" x14ac:dyDescent="0.15">
      <c r="A399" s="47">
        <f>データ!A396</f>
        <v>3</v>
      </c>
      <c r="B399" s="47" t="str">
        <f>TRIM(データ!C396)</f>
        <v/>
      </c>
      <c r="C399" s="47" t="str">
        <f>TRIM(データ!D396)</f>
        <v>機械費</v>
      </c>
      <c r="D399" s="36" t="str">
        <f>REPT("｜",$A399)&amp;TRIM(データ!E396)</f>
        <v>｜｜｜プレート</v>
      </c>
      <c r="E399" s="37" t="str">
        <f>TRIM(データ!F396)</f>
        <v/>
      </c>
      <c r="F399" s="38" t="str">
        <f>TRIM(データ!G396)</f>
        <v>台</v>
      </c>
      <c r="G399" s="50">
        <f>データ!H396</f>
        <v>3</v>
      </c>
      <c r="H399" s="48">
        <f>データ!I396</f>
        <v>1500</v>
      </c>
      <c r="I399" s="48">
        <f>データ!J396</f>
        <v>4500</v>
      </c>
      <c r="J399" s="39" t="str">
        <f>IF(OR($C399="総括",$C399="内訳書",$C399="内訳代価",$C399="明細書",$C399="明細代価",$C399="代価表",$C399="単価表"),データ!K396,"")</f>
        <v/>
      </c>
      <c r="K399" s="11" t="str">
        <f t="shared" si="36"/>
        <v/>
      </c>
      <c r="L399" s="46">
        <f t="shared" si="37"/>
        <v>6.4792017623428798E-5</v>
      </c>
      <c r="M399" s="40" t="str">
        <f>IF(データ!L396="","",データ!L396)</f>
        <v/>
      </c>
      <c r="N399" s="41" t="str">
        <f>IF(データ!M396="","",データ!M396)</f>
        <v/>
      </c>
      <c r="O399" s="42">
        <f>データ!N396</f>
        <v>0</v>
      </c>
      <c r="P399" s="48">
        <f>IF($C399="集計行","",データ!O396)</f>
        <v>0</v>
      </c>
      <c r="Q399" s="48">
        <f>データ!P396</f>
        <v>0</v>
      </c>
      <c r="R399" s="39" t="str">
        <f>IF(OR($C399="総括",$C399="内訳書",$C399="内訳代価",$C399="明細書",$C399="明細代価",$C399="代価表",$C399="単価表"),データ!Q396,"")</f>
        <v/>
      </c>
      <c r="S399" s="11" t="str">
        <f t="shared" si="38"/>
        <v/>
      </c>
      <c r="T399" s="46" t="e">
        <f t="shared" si="39"/>
        <v>#DIV/0!</v>
      </c>
      <c r="U399" s="40" t="str">
        <f>IF(データ!R396="","",データ!R396)</f>
        <v/>
      </c>
      <c r="V399" s="41" t="str">
        <f>IF(データ!S396="","",データ!S396)</f>
        <v/>
      </c>
      <c r="W399" s="42">
        <f>データ!T396</f>
        <v>0</v>
      </c>
      <c r="X399" s="48">
        <f>IF($C399="集計行","",データ!U396)</f>
        <v>0</v>
      </c>
      <c r="Y399" s="48">
        <f>データ!V396</f>
        <v>0</v>
      </c>
      <c r="Z399" s="39" t="str">
        <f>IF(OR($C399="総括",$C399="内訳書",$C399="内訳代価",$C399="明細書",$C399="明細代価",$C399="代価表",$C399="単価表"),データ!W396,"")</f>
        <v/>
      </c>
      <c r="AA399" s="11" t="str">
        <f t="shared" si="40"/>
        <v/>
      </c>
      <c r="AB399" s="46" t="e">
        <f t="shared" si="41"/>
        <v>#DIV/0!</v>
      </c>
      <c r="AC399" s="40" t="str">
        <f>IF(データ!X396="","",データ!X396)</f>
        <v/>
      </c>
      <c r="AD399" s="41" t="str">
        <f>IF(データ!Y396="","",データ!Y396)</f>
        <v/>
      </c>
      <c r="AE399" s="47" t="str">
        <f>TRIM(データ!B396)</f>
        <v/>
      </c>
      <c r="AF399" s="43" t="str">
        <f>TRIM(データ!Z396)</f>
        <v/>
      </c>
    </row>
    <row r="400" spans="1:32" x14ac:dyDescent="0.15">
      <c r="A400" s="47">
        <f>データ!A397</f>
        <v>3</v>
      </c>
      <c r="B400" s="47" t="str">
        <f>TRIM(データ!C397)</f>
        <v/>
      </c>
      <c r="C400" s="47" t="str">
        <f>TRIM(データ!D397)</f>
        <v>運搬費</v>
      </c>
      <c r="D400" s="36" t="str">
        <f>REPT("｜",$A400)&amp;TRIM(データ!E397)</f>
        <v>｜｜｜4tダンプ</v>
      </c>
      <c r="E400" s="37" t="str">
        <f>TRIM(データ!F397)</f>
        <v/>
      </c>
      <c r="F400" s="38" t="str">
        <f>TRIM(データ!G397)</f>
        <v>台</v>
      </c>
      <c r="G400" s="50">
        <f>データ!H397</f>
        <v>3</v>
      </c>
      <c r="H400" s="48">
        <f>データ!I397</f>
        <v>10000</v>
      </c>
      <c r="I400" s="48">
        <f>データ!J397</f>
        <v>30000</v>
      </c>
      <c r="J400" s="39" t="str">
        <f>IF(OR($C400="総括",$C400="内訳書",$C400="内訳代価",$C400="明細書",$C400="明細代価",$C400="代価表",$C400="単価表"),データ!K397,"")</f>
        <v/>
      </c>
      <c r="K400" s="11" t="str">
        <f t="shared" si="36"/>
        <v/>
      </c>
      <c r="L400" s="46">
        <f t="shared" si="37"/>
        <v>4.3194678415619197E-4</v>
      </c>
      <c r="M400" s="40" t="str">
        <f>IF(データ!L397="","",データ!L397)</f>
        <v/>
      </c>
      <c r="N400" s="41" t="str">
        <f>IF(データ!M397="","",データ!M397)</f>
        <v/>
      </c>
      <c r="O400" s="42">
        <f>データ!N397</f>
        <v>0</v>
      </c>
      <c r="P400" s="48">
        <f>IF($C400="集計行","",データ!O397)</f>
        <v>0</v>
      </c>
      <c r="Q400" s="48">
        <f>データ!P397</f>
        <v>0</v>
      </c>
      <c r="R400" s="39" t="str">
        <f>IF(OR($C400="総括",$C400="内訳書",$C400="内訳代価",$C400="明細書",$C400="明細代価",$C400="代価表",$C400="単価表"),データ!Q397,"")</f>
        <v/>
      </c>
      <c r="S400" s="11" t="str">
        <f t="shared" si="38"/>
        <v/>
      </c>
      <c r="T400" s="46" t="e">
        <f t="shared" si="39"/>
        <v>#DIV/0!</v>
      </c>
      <c r="U400" s="40" t="str">
        <f>IF(データ!R397="","",データ!R397)</f>
        <v/>
      </c>
      <c r="V400" s="41" t="str">
        <f>IF(データ!S397="","",データ!S397)</f>
        <v/>
      </c>
      <c r="W400" s="42">
        <f>データ!T397</f>
        <v>0</v>
      </c>
      <c r="X400" s="48">
        <f>IF($C400="集計行","",データ!U397)</f>
        <v>0</v>
      </c>
      <c r="Y400" s="48">
        <f>データ!V397</f>
        <v>0</v>
      </c>
      <c r="Z400" s="39" t="str">
        <f>IF(OR($C400="総括",$C400="内訳書",$C400="内訳代価",$C400="明細書",$C400="明細代価",$C400="代価表",$C400="単価表"),データ!W397,"")</f>
        <v/>
      </c>
      <c r="AA400" s="11" t="str">
        <f t="shared" si="40"/>
        <v/>
      </c>
      <c r="AB400" s="46" t="e">
        <f t="shared" si="41"/>
        <v>#DIV/0!</v>
      </c>
      <c r="AC400" s="40" t="str">
        <f>IF(データ!X397="","",データ!X397)</f>
        <v/>
      </c>
      <c r="AD400" s="41" t="str">
        <f>IF(データ!Y397="","",データ!Y397)</f>
        <v/>
      </c>
      <c r="AE400" s="47" t="str">
        <f>TRIM(データ!B397)</f>
        <v/>
      </c>
      <c r="AF400" s="43" t="str">
        <f>TRIM(データ!Z397)</f>
        <v/>
      </c>
    </row>
    <row r="401" spans="1:32" x14ac:dyDescent="0.15">
      <c r="A401" s="47">
        <f>データ!A398</f>
        <v>3</v>
      </c>
      <c r="B401" s="47" t="str">
        <f>TRIM(データ!C398)</f>
        <v/>
      </c>
      <c r="C401" s="47" t="str">
        <f>TRIM(データ!D398)</f>
        <v>運搬費</v>
      </c>
      <c r="D401" s="36" t="str">
        <f>REPT("｜",$A401)&amp;TRIM(データ!E398)</f>
        <v>｜｜｜2tダンプ</v>
      </c>
      <c r="E401" s="37" t="str">
        <f>TRIM(データ!F398)</f>
        <v/>
      </c>
      <c r="F401" s="38" t="str">
        <f>TRIM(データ!G398)</f>
        <v>台</v>
      </c>
      <c r="G401" s="50">
        <f>データ!H398</f>
        <v>3</v>
      </c>
      <c r="H401" s="48">
        <f>データ!I398</f>
        <v>7000</v>
      </c>
      <c r="I401" s="48">
        <f>データ!J398</f>
        <v>21000</v>
      </c>
      <c r="J401" s="39" t="str">
        <f>IF(OR($C401="総括",$C401="内訳書",$C401="内訳代価",$C401="明細書",$C401="明細代価",$C401="代価表",$C401="単価表"),データ!K398,"")</f>
        <v/>
      </c>
      <c r="K401" s="11" t="str">
        <f t="shared" si="36"/>
        <v/>
      </c>
      <c r="L401" s="46">
        <f t="shared" si="37"/>
        <v>3.0236274890933437E-4</v>
      </c>
      <c r="M401" s="40" t="str">
        <f>IF(データ!L398="","",データ!L398)</f>
        <v/>
      </c>
      <c r="N401" s="41" t="str">
        <f>IF(データ!M398="","",データ!M398)</f>
        <v/>
      </c>
      <c r="O401" s="42">
        <f>データ!N398</f>
        <v>0</v>
      </c>
      <c r="P401" s="48">
        <f>IF($C401="集計行","",データ!O398)</f>
        <v>0</v>
      </c>
      <c r="Q401" s="48">
        <f>データ!P398</f>
        <v>0</v>
      </c>
      <c r="R401" s="39" t="str">
        <f>IF(OR($C401="総括",$C401="内訳書",$C401="内訳代価",$C401="明細書",$C401="明細代価",$C401="代価表",$C401="単価表"),データ!Q398,"")</f>
        <v/>
      </c>
      <c r="S401" s="11" t="str">
        <f t="shared" si="38"/>
        <v/>
      </c>
      <c r="T401" s="46" t="e">
        <f t="shared" si="39"/>
        <v>#DIV/0!</v>
      </c>
      <c r="U401" s="40" t="str">
        <f>IF(データ!R398="","",データ!R398)</f>
        <v/>
      </c>
      <c r="V401" s="41" t="str">
        <f>IF(データ!S398="","",データ!S398)</f>
        <v/>
      </c>
      <c r="W401" s="42">
        <f>データ!T398</f>
        <v>0</v>
      </c>
      <c r="X401" s="48">
        <f>IF($C401="集計行","",データ!U398)</f>
        <v>0</v>
      </c>
      <c r="Y401" s="48">
        <f>データ!V398</f>
        <v>0</v>
      </c>
      <c r="Z401" s="39" t="str">
        <f>IF(OR($C401="総括",$C401="内訳書",$C401="内訳代価",$C401="明細書",$C401="明細代価",$C401="代価表",$C401="単価表"),データ!W398,"")</f>
        <v/>
      </c>
      <c r="AA401" s="11" t="str">
        <f t="shared" si="40"/>
        <v/>
      </c>
      <c r="AB401" s="46" t="e">
        <f t="shared" si="41"/>
        <v>#DIV/0!</v>
      </c>
      <c r="AC401" s="40" t="str">
        <f>IF(データ!X398="","",データ!X398)</f>
        <v/>
      </c>
      <c r="AD401" s="41" t="str">
        <f>IF(データ!Y398="","",データ!Y398)</f>
        <v/>
      </c>
      <c r="AE401" s="47" t="str">
        <f>TRIM(データ!B398)</f>
        <v/>
      </c>
      <c r="AF401" s="43" t="str">
        <f>TRIM(データ!Z398)</f>
        <v/>
      </c>
    </row>
    <row r="402" spans="1:32" x14ac:dyDescent="0.15">
      <c r="A402" s="47">
        <f>データ!A399</f>
        <v>3</v>
      </c>
      <c r="B402" s="47" t="str">
        <f>TRIM(データ!C399)</f>
        <v/>
      </c>
      <c r="C402" s="47" t="str">
        <f>TRIM(データ!D399)</f>
        <v>運搬費</v>
      </c>
      <c r="D402" s="36" t="str">
        <f>REPT("｜",$A402)&amp;TRIM(データ!E399)</f>
        <v>｜｜｜WP</v>
      </c>
      <c r="E402" s="37" t="str">
        <f>TRIM(データ!F399)</f>
        <v/>
      </c>
      <c r="F402" s="38" t="str">
        <f>TRIM(データ!G399)</f>
        <v>台</v>
      </c>
      <c r="G402" s="50">
        <f>データ!H399</f>
        <v>3</v>
      </c>
      <c r="H402" s="48">
        <f>データ!I399</f>
        <v>7000</v>
      </c>
      <c r="I402" s="48">
        <f>データ!J399</f>
        <v>21000</v>
      </c>
      <c r="J402" s="39" t="str">
        <f>IF(OR($C402="総括",$C402="内訳書",$C402="内訳代価",$C402="明細書",$C402="明細代価",$C402="代価表",$C402="単価表"),データ!K399,"")</f>
        <v/>
      </c>
      <c r="K402" s="11" t="str">
        <f t="shared" si="36"/>
        <v/>
      </c>
      <c r="L402" s="46">
        <f t="shared" si="37"/>
        <v>3.0236274890933437E-4</v>
      </c>
      <c r="M402" s="40" t="str">
        <f>IF(データ!L399="","",データ!L399)</f>
        <v/>
      </c>
      <c r="N402" s="41" t="str">
        <f>IF(データ!M399="","",データ!M399)</f>
        <v/>
      </c>
      <c r="O402" s="42">
        <f>データ!N399</f>
        <v>0</v>
      </c>
      <c r="P402" s="48">
        <f>IF($C402="集計行","",データ!O399)</f>
        <v>0</v>
      </c>
      <c r="Q402" s="48">
        <f>データ!P399</f>
        <v>0</v>
      </c>
      <c r="R402" s="39" t="str">
        <f>IF(OR($C402="総括",$C402="内訳書",$C402="内訳代価",$C402="明細書",$C402="明細代価",$C402="代価表",$C402="単価表"),データ!Q399,"")</f>
        <v/>
      </c>
      <c r="S402" s="11" t="str">
        <f t="shared" si="38"/>
        <v/>
      </c>
      <c r="T402" s="46" t="e">
        <f t="shared" si="39"/>
        <v>#DIV/0!</v>
      </c>
      <c r="U402" s="40" t="str">
        <f>IF(データ!R399="","",データ!R399)</f>
        <v/>
      </c>
      <c r="V402" s="41" t="str">
        <f>IF(データ!S399="","",データ!S399)</f>
        <v/>
      </c>
      <c r="W402" s="42">
        <f>データ!T399</f>
        <v>0</v>
      </c>
      <c r="X402" s="48">
        <f>IF($C402="集計行","",データ!U399)</f>
        <v>0</v>
      </c>
      <c r="Y402" s="48">
        <f>データ!V399</f>
        <v>0</v>
      </c>
      <c r="Z402" s="39" t="str">
        <f>IF(OR($C402="総括",$C402="内訳書",$C402="内訳代価",$C402="明細書",$C402="明細代価",$C402="代価表",$C402="単価表"),データ!W399,"")</f>
        <v/>
      </c>
      <c r="AA402" s="11" t="str">
        <f t="shared" si="40"/>
        <v/>
      </c>
      <c r="AB402" s="46" t="e">
        <f t="shared" si="41"/>
        <v>#DIV/0!</v>
      </c>
      <c r="AC402" s="40" t="str">
        <f>IF(データ!X399="","",データ!X399)</f>
        <v/>
      </c>
      <c r="AD402" s="41" t="str">
        <f>IF(データ!Y399="","",データ!Y399)</f>
        <v/>
      </c>
      <c r="AE402" s="47" t="str">
        <f>TRIM(データ!B399)</f>
        <v/>
      </c>
      <c r="AF402" s="43" t="str">
        <f>TRIM(データ!Z399)</f>
        <v/>
      </c>
    </row>
    <row r="403" spans="1:32" x14ac:dyDescent="0.15">
      <c r="A403" s="47">
        <f>データ!A400</f>
        <v>3</v>
      </c>
      <c r="B403" s="47" t="str">
        <f>TRIM(データ!C400)</f>
        <v/>
      </c>
      <c r="C403" s="47" t="str">
        <f>TRIM(データ!D400)</f>
        <v>材料費</v>
      </c>
      <c r="D403" s="36" t="str">
        <f>REPT("｜",$A403)&amp;TRIM(データ!E400)</f>
        <v>｜｜｜軽油</v>
      </c>
      <c r="E403" s="37" t="str">
        <f>TRIM(データ!F400)</f>
        <v/>
      </c>
      <c r="F403" s="38" t="str">
        <f>TRIM(データ!G400)</f>
        <v>リットル</v>
      </c>
      <c r="G403" s="50">
        <f>データ!H400</f>
        <v>360</v>
      </c>
      <c r="H403" s="48">
        <f>データ!I400</f>
        <v>150</v>
      </c>
      <c r="I403" s="48">
        <f>データ!J400</f>
        <v>54000</v>
      </c>
      <c r="J403" s="39" t="str">
        <f>IF(OR($C403="総括",$C403="内訳書",$C403="内訳代価",$C403="明細書",$C403="明細代価",$C403="代価表",$C403="単価表"),データ!K400,"")</f>
        <v/>
      </c>
      <c r="K403" s="11" t="str">
        <f t="shared" si="36"/>
        <v/>
      </c>
      <c r="L403" s="46">
        <f t="shared" si="37"/>
        <v>7.7750421148114557E-4</v>
      </c>
      <c r="M403" s="40" t="str">
        <f>IF(データ!L400="","",データ!L400)</f>
        <v/>
      </c>
      <c r="N403" s="41" t="str">
        <f>IF(データ!M400="","",データ!M400)</f>
        <v/>
      </c>
      <c r="O403" s="42">
        <f>データ!N400</f>
        <v>0</v>
      </c>
      <c r="P403" s="48">
        <f>IF($C403="集計行","",データ!O400)</f>
        <v>0</v>
      </c>
      <c r="Q403" s="48">
        <f>データ!P400</f>
        <v>0</v>
      </c>
      <c r="R403" s="39" t="str">
        <f>IF(OR($C403="総括",$C403="内訳書",$C403="内訳代価",$C403="明細書",$C403="明細代価",$C403="代価表",$C403="単価表"),データ!Q400,"")</f>
        <v/>
      </c>
      <c r="S403" s="11" t="str">
        <f t="shared" si="38"/>
        <v/>
      </c>
      <c r="T403" s="46" t="e">
        <f t="shared" si="39"/>
        <v>#DIV/0!</v>
      </c>
      <c r="U403" s="40" t="str">
        <f>IF(データ!R400="","",データ!R400)</f>
        <v/>
      </c>
      <c r="V403" s="41" t="str">
        <f>IF(データ!S400="","",データ!S400)</f>
        <v/>
      </c>
      <c r="W403" s="42">
        <f>データ!T400</f>
        <v>0</v>
      </c>
      <c r="X403" s="48">
        <f>IF($C403="集計行","",データ!U400)</f>
        <v>0</v>
      </c>
      <c r="Y403" s="48">
        <f>データ!V400</f>
        <v>0</v>
      </c>
      <c r="Z403" s="39" t="str">
        <f>IF(OR($C403="総括",$C403="内訳書",$C403="内訳代価",$C403="明細書",$C403="明細代価",$C403="代価表",$C403="単価表"),データ!W400,"")</f>
        <v/>
      </c>
      <c r="AA403" s="11" t="str">
        <f t="shared" si="40"/>
        <v/>
      </c>
      <c r="AB403" s="46" t="e">
        <f t="shared" si="41"/>
        <v>#DIV/0!</v>
      </c>
      <c r="AC403" s="40" t="str">
        <f>IF(データ!X400="","",データ!X400)</f>
        <v/>
      </c>
      <c r="AD403" s="41" t="str">
        <f>IF(データ!Y400="","",データ!Y400)</f>
        <v/>
      </c>
      <c r="AE403" s="47" t="str">
        <f>TRIM(データ!B400)</f>
        <v/>
      </c>
      <c r="AF403" s="43" t="str">
        <f>TRIM(データ!Z400)</f>
        <v/>
      </c>
    </row>
    <row r="404" spans="1:32" x14ac:dyDescent="0.15">
      <c r="A404" s="47">
        <f>データ!A401</f>
        <v>3</v>
      </c>
      <c r="B404" s="47" t="str">
        <f>TRIM(データ!C401)</f>
        <v/>
      </c>
      <c r="C404" s="47" t="str">
        <f>TRIM(データ!D401)</f>
        <v>材料費</v>
      </c>
      <c r="D404" s="36" t="str">
        <f>REPT("｜",$A404)&amp;TRIM(データ!E401)</f>
        <v>｜｜｜ガソリン</v>
      </c>
      <c r="E404" s="37" t="str">
        <f>TRIM(データ!F401)</f>
        <v/>
      </c>
      <c r="F404" s="38" t="str">
        <f>TRIM(データ!G401)</f>
        <v>リットル</v>
      </c>
      <c r="G404" s="50">
        <f>データ!H401</f>
        <v>120</v>
      </c>
      <c r="H404" s="48">
        <f>データ!I401</f>
        <v>200</v>
      </c>
      <c r="I404" s="48">
        <f>データ!J401</f>
        <v>24000</v>
      </c>
      <c r="J404" s="39" t="str">
        <f>IF(OR($C404="総括",$C404="内訳書",$C404="内訳代価",$C404="明細書",$C404="明細代価",$C404="代価表",$C404="単価表"),データ!K401,"")</f>
        <v/>
      </c>
      <c r="K404" s="11" t="str">
        <f t="shared" si="36"/>
        <v/>
      </c>
      <c r="L404" s="46">
        <f t="shared" si="37"/>
        <v>3.4555742732495355E-4</v>
      </c>
      <c r="M404" s="40" t="str">
        <f>IF(データ!L401="","",データ!L401)</f>
        <v/>
      </c>
      <c r="N404" s="41" t="str">
        <f>IF(データ!M401="","",データ!M401)</f>
        <v/>
      </c>
      <c r="O404" s="42">
        <f>データ!N401</f>
        <v>0</v>
      </c>
      <c r="P404" s="48">
        <f>IF($C404="集計行","",データ!O401)</f>
        <v>0</v>
      </c>
      <c r="Q404" s="48">
        <f>データ!P401</f>
        <v>0</v>
      </c>
      <c r="R404" s="39" t="str">
        <f>IF(OR($C404="総括",$C404="内訳書",$C404="内訳代価",$C404="明細書",$C404="明細代価",$C404="代価表",$C404="単価表"),データ!Q401,"")</f>
        <v/>
      </c>
      <c r="S404" s="11" t="str">
        <f t="shared" si="38"/>
        <v/>
      </c>
      <c r="T404" s="46" t="e">
        <f t="shared" si="39"/>
        <v>#DIV/0!</v>
      </c>
      <c r="U404" s="40" t="str">
        <f>IF(データ!R401="","",データ!R401)</f>
        <v/>
      </c>
      <c r="V404" s="41" t="str">
        <f>IF(データ!S401="","",データ!S401)</f>
        <v/>
      </c>
      <c r="W404" s="42">
        <f>データ!T401</f>
        <v>0</v>
      </c>
      <c r="X404" s="48">
        <f>IF($C404="集計行","",データ!U401)</f>
        <v>0</v>
      </c>
      <c r="Y404" s="48">
        <f>データ!V401</f>
        <v>0</v>
      </c>
      <c r="Z404" s="39" t="str">
        <f>IF(OR($C404="総括",$C404="内訳書",$C404="内訳代価",$C404="明細書",$C404="明細代価",$C404="代価表",$C404="単価表"),データ!W401,"")</f>
        <v/>
      </c>
      <c r="AA404" s="11" t="str">
        <f t="shared" si="40"/>
        <v/>
      </c>
      <c r="AB404" s="46" t="e">
        <f t="shared" si="41"/>
        <v>#DIV/0!</v>
      </c>
      <c r="AC404" s="40" t="str">
        <f>IF(データ!X401="","",データ!X401)</f>
        <v/>
      </c>
      <c r="AD404" s="41" t="str">
        <f>IF(データ!Y401="","",データ!Y401)</f>
        <v/>
      </c>
      <c r="AE404" s="47" t="str">
        <f>TRIM(データ!B401)</f>
        <v/>
      </c>
      <c r="AF404" s="43" t="str">
        <f>TRIM(データ!Z401)</f>
        <v/>
      </c>
    </row>
    <row r="405" spans="1:32" x14ac:dyDescent="0.15">
      <c r="A405" s="47">
        <f>データ!A402</f>
        <v>3</v>
      </c>
      <c r="B405" s="47" t="str">
        <f>TRIM(データ!C402)</f>
        <v/>
      </c>
      <c r="C405" s="47" t="str">
        <f>TRIM(データ!D402)</f>
        <v>材料費</v>
      </c>
      <c r="D405" s="36" t="str">
        <f>REPT("｜",$A405)&amp;TRIM(データ!E402)</f>
        <v>｜｜｜雑材</v>
      </c>
      <c r="E405" s="37" t="str">
        <f>TRIM(データ!F402)</f>
        <v/>
      </c>
      <c r="F405" s="38" t="str">
        <f>TRIM(データ!G402)</f>
        <v>式</v>
      </c>
      <c r="G405" s="50">
        <f>データ!H402</f>
        <v>1</v>
      </c>
      <c r="H405" s="48">
        <f>データ!I402</f>
        <v>26000</v>
      </c>
      <c r="I405" s="48">
        <f>データ!J402</f>
        <v>26000</v>
      </c>
      <c r="J405" s="39" t="str">
        <f>IF(OR($C405="総括",$C405="内訳書",$C405="内訳代価",$C405="明細書",$C405="明細代価",$C405="代価表",$C405="単価表"),データ!K402,"")</f>
        <v/>
      </c>
      <c r="K405" s="11" t="str">
        <f t="shared" si="36"/>
        <v/>
      </c>
      <c r="L405" s="46">
        <f t="shared" si="37"/>
        <v>3.7435387960203304E-4</v>
      </c>
      <c r="M405" s="40" t="str">
        <f>IF(データ!L402="","",データ!L402)</f>
        <v/>
      </c>
      <c r="N405" s="41" t="str">
        <f>IF(データ!M402="","",データ!M402)</f>
        <v/>
      </c>
      <c r="O405" s="42">
        <f>データ!N402</f>
        <v>0</v>
      </c>
      <c r="P405" s="48">
        <f>IF($C405="集計行","",データ!O402)</f>
        <v>0</v>
      </c>
      <c r="Q405" s="48">
        <f>データ!P402</f>
        <v>0</v>
      </c>
      <c r="R405" s="39" t="str">
        <f>IF(OR($C405="総括",$C405="内訳書",$C405="内訳代価",$C405="明細書",$C405="明細代価",$C405="代価表",$C405="単価表"),データ!Q402,"")</f>
        <v/>
      </c>
      <c r="S405" s="11" t="str">
        <f t="shared" si="38"/>
        <v/>
      </c>
      <c r="T405" s="46" t="e">
        <f t="shared" si="39"/>
        <v>#DIV/0!</v>
      </c>
      <c r="U405" s="40" t="str">
        <f>IF(データ!R402="","",データ!R402)</f>
        <v/>
      </c>
      <c r="V405" s="41" t="str">
        <f>IF(データ!S402="","",データ!S402)</f>
        <v/>
      </c>
      <c r="W405" s="42">
        <f>データ!T402</f>
        <v>0</v>
      </c>
      <c r="X405" s="48">
        <f>IF($C405="集計行","",データ!U402)</f>
        <v>0</v>
      </c>
      <c r="Y405" s="48">
        <f>データ!V402</f>
        <v>0</v>
      </c>
      <c r="Z405" s="39" t="str">
        <f>IF(OR($C405="総括",$C405="内訳書",$C405="内訳代価",$C405="明細書",$C405="明細代価",$C405="代価表",$C405="単価表"),データ!W402,"")</f>
        <v/>
      </c>
      <c r="AA405" s="11" t="str">
        <f t="shared" si="40"/>
        <v/>
      </c>
      <c r="AB405" s="46" t="e">
        <f t="shared" si="41"/>
        <v>#DIV/0!</v>
      </c>
      <c r="AC405" s="40" t="str">
        <f>IF(データ!X402="","",データ!X402)</f>
        <v/>
      </c>
      <c r="AD405" s="41" t="str">
        <f>IF(データ!Y402="","",データ!Y402)</f>
        <v/>
      </c>
      <c r="AE405" s="47" t="str">
        <f>TRIM(データ!B402)</f>
        <v/>
      </c>
      <c r="AF405" s="43" t="str">
        <f>TRIM(データ!Z402)</f>
        <v/>
      </c>
    </row>
    <row r="406" spans="1:32" x14ac:dyDescent="0.15">
      <c r="A406" s="47">
        <f>データ!A403</f>
        <v>3</v>
      </c>
      <c r="B406" s="47" t="str">
        <f>TRIM(データ!C403)</f>
        <v/>
      </c>
      <c r="C406" s="47" t="str">
        <f>TRIM(データ!D403)</f>
        <v>外注費</v>
      </c>
      <c r="D406" s="36" t="str">
        <f>REPT("｜",$A406)&amp;TRIM(データ!E403)</f>
        <v>｜｜｜外注経費</v>
      </c>
      <c r="E406" s="37" t="str">
        <f>TRIM(データ!F403)</f>
        <v/>
      </c>
      <c r="F406" s="38" t="str">
        <f>TRIM(データ!G403)</f>
        <v>式</v>
      </c>
      <c r="G406" s="50">
        <f>データ!H403</f>
        <v>1</v>
      </c>
      <c r="H406" s="48">
        <f>データ!I403</f>
        <v>62700</v>
      </c>
      <c r="I406" s="48">
        <f>データ!J403</f>
        <v>62700</v>
      </c>
      <c r="J406" s="39" t="str">
        <f>IF(OR($C406="総括",$C406="内訳書",$C406="内訳代価",$C406="明細書",$C406="明細代価",$C406="代価表",$C406="単価表"),データ!K403,"")</f>
        <v/>
      </c>
      <c r="K406" s="11" t="str">
        <f t="shared" si="36"/>
        <v/>
      </c>
      <c r="L406" s="46">
        <f t="shared" si="37"/>
        <v>9.0276877888644121E-4</v>
      </c>
      <c r="M406" s="40" t="str">
        <f>IF(データ!L403="","",データ!L403)</f>
        <v/>
      </c>
      <c r="N406" s="41" t="str">
        <f>IF(データ!M403="","",データ!M403)</f>
        <v/>
      </c>
      <c r="O406" s="42">
        <f>データ!N403</f>
        <v>0</v>
      </c>
      <c r="P406" s="48">
        <f>IF($C406="集計行","",データ!O403)</f>
        <v>0</v>
      </c>
      <c r="Q406" s="48">
        <f>データ!P403</f>
        <v>0</v>
      </c>
      <c r="R406" s="39" t="str">
        <f>IF(OR($C406="総括",$C406="内訳書",$C406="内訳代価",$C406="明細書",$C406="明細代価",$C406="代価表",$C406="単価表"),データ!Q403,"")</f>
        <v/>
      </c>
      <c r="S406" s="11" t="str">
        <f t="shared" si="38"/>
        <v/>
      </c>
      <c r="T406" s="46" t="e">
        <f t="shared" si="39"/>
        <v>#DIV/0!</v>
      </c>
      <c r="U406" s="40" t="str">
        <f>IF(データ!R403="","",データ!R403)</f>
        <v/>
      </c>
      <c r="V406" s="41" t="str">
        <f>IF(データ!S403="","",データ!S403)</f>
        <v/>
      </c>
      <c r="W406" s="42">
        <f>データ!T403</f>
        <v>0</v>
      </c>
      <c r="X406" s="48">
        <f>IF($C406="集計行","",データ!U403)</f>
        <v>0</v>
      </c>
      <c r="Y406" s="48">
        <f>データ!V403</f>
        <v>0</v>
      </c>
      <c r="Z406" s="39" t="str">
        <f>IF(OR($C406="総括",$C406="内訳書",$C406="内訳代価",$C406="明細書",$C406="明細代価",$C406="代価表",$C406="単価表"),データ!W403,"")</f>
        <v/>
      </c>
      <c r="AA406" s="11" t="str">
        <f t="shared" si="40"/>
        <v/>
      </c>
      <c r="AB406" s="46" t="e">
        <f t="shared" si="41"/>
        <v>#DIV/0!</v>
      </c>
      <c r="AC406" s="40" t="str">
        <f>IF(データ!X403="","",データ!X403)</f>
        <v/>
      </c>
      <c r="AD406" s="41" t="str">
        <f>IF(データ!Y403="","",データ!Y403)</f>
        <v/>
      </c>
      <c r="AE406" s="47" t="str">
        <f>TRIM(データ!B403)</f>
        <v/>
      </c>
      <c r="AF406" s="43" t="str">
        <f>TRIM(データ!Z403)</f>
        <v/>
      </c>
    </row>
    <row r="407" spans="1:32" x14ac:dyDescent="0.15">
      <c r="A407" s="47">
        <f>データ!A404</f>
        <v>2</v>
      </c>
      <c r="B407" s="47" t="str">
        <f>TRIM(データ!C404)</f>
        <v/>
      </c>
      <c r="C407" s="47" t="str">
        <f>TRIM(データ!D404)</f>
        <v>内訳書</v>
      </c>
      <c r="D407" s="36" t="str">
        <f>REPT("｜",$A407)&amp;TRIM(データ!E404)</f>
        <v>｜｜下層路盤工</v>
      </c>
      <c r="E407" s="37" t="str">
        <f>TRIM(データ!F404)</f>
        <v>半たわみ舗装部</v>
      </c>
      <c r="F407" s="38" t="str">
        <f>TRIM(データ!G404)</f>
        <v>m2</v>
      </c>
      <c r="G407" s="50">
        <f>データ!H404</f>
        <v>1133</v>
      </c>
      <c r="H407" s="48">
        <f>データ!I404</f>
        <v>1300</v>
      </c>
      <c r="I407" s="48">
        <f>データ!J404</f>
        <v>1472900</v>
      </c>
      <c r="J407" s="39">
        <f>IF(OR($C407="総括",$C407="内訳書",$C407="内訳代価",$C407="明細書",$C407="明細代価",$C407="代価表",$C407="単価表"),データ!K404,"")</f>
        <v>1133</v>
      </c>
      <c r="K407" s="11" t="str">
        <f t="shared" si="36"/>
        <v/>
      </c>
      <c r="L407" s="46">
        <f t="shared" si="37"/>
        <v>2.120714727945517E-2</v>
      </c>
      <c r="M407" s="40" t="str">
        <f>IF(データ!L404="","",データ!L404)</f>
        <v/>
      </c>
      <c r="N407" s="41" t="str">
        <f>IF(データ!M404="","",データ!M404)</f>
        <v>54号内訳書</v>
      </c>
      <c r="O407" s="42">
        <f>データ!N404</f>
        <v>0</v>
      </c>
      <c r="P407" s="48">
        <f>IF($C407="集計行","",データ!O404)</f>
        <v>0</v>
      </c>
      <c r="Q407" s="48">
        <f>データ!P404</f>
        <v>0</v>
      </c>
      <c r="R407" s="39">
        <f>IF(OR($C407="総括",$C407="内訳書",$C407="内訳代価",$C407="明細書",$C407="明細代価",$C407="代価表",$C407="単価表"),データ!Q404,"")</f>
        <v>0</v>
      </c>
      <c r="S407" s="11" t="str">
        <f t="shared" si="38"/>
        <v/>
      </c>
      <c r="T407" s="46" t="e">
        <f t="shared" si="39"/>
        <v>#DIV/0!</v>
      </c>
      <c r="U407" s="40" t="str">
        <f>IF(データ!R404="","",データ!R404)</f>
        <v/>
      </c>
      <c r="V407" s="41" t="str">
        <f>IF(データ!S404="","",データ!S404)</f>
        <v/>
      </c>
      <c r="W407" s="42">
        <f>データ!T404</f>
        <v>0</v>
      </c>
      <c r="X407" s="48">
        <f>IF($C407="集計行","",データ!U404)</f>
        <v>0</v>
      </c>
      <c r="Y407" s="48">
        <f>データ!V404</f>
        <v>0</v>
      </c>
      <c r="Z407" s="39">
        <f>IF(OR($C407="総括",$C407="内訳書",$C407="内訳代価",$C407="明細書",$C407="明細代価",$C407="代価表",$C407="単価表"),データ!W404,"")</f>
        <v>0</v>
      </c>
      <c r="AA407" s="11" t="str">
        <f t="shared" si="40"/>
        <v/>
      </c>
      <c r="AB407" s="46" t="e">
        <f t="shared" si="41"/>
        <v>#DIV/0!</v>
      </c>
      <c r="AC407" s="40" t="str">
        <f>IF(データ!X404="","",データ!X404)</f>
        <v/>
      </c>
      <c r="AD407" s="41" t="str">
        <f>IF(データ!Y404="","",データ!Y404)</f>
        <v/>
      </c>
      <c r="AE407" s="47" t="str">
        <f>TRIM(データ!B404)</f>
        <v/>
      </c>
      <c r="AF407" s="43" t="str">
        <f>TRIM(データ!Z404)</f>
        <v/>
      </c>
    </row>
    <row r="408" spans="1:32" x14ac:dyDescent="0.15">
      <c r="A408" s="47">
        <f>データ!A405</f>
        <v>3</v>
      </c>
      <c r="B408" s="47" t="str">
        <f>TRIM(データ!C405)</f>
        <v/>
      </c>
      <c r="C408" s="47" t="str">
        <f>TRIM(データ!D405)</f>
        <v>材料費</v>
      </c>
      <c r="D408" s="36" t="str">
        <f>REPT("｜",$A408)&amp;TRIM(データ!E405)</f>
        <v>｜｜｜RC-40</v>
      </c>
      <c r="E408" s="37" t="str">
        <f>TRIM(データ!F405)</f>
        <v/>
      </c>
      <c r="F408" s="38" t="str">
        <f>TRIM(データ!G405)</f>
        <v>m3</v>
      </c>
      <c r="G408" s="50">
        <f>データ!H405</f>
        <v>205</v>
      </c>
      <c r="H408" s="48">
        <f>データ!I405</f>
        <v>1800</v>
      </c>
      <c r="I408" s="48">
        <f>データ!J405</f>
        <v>369000</v>
      </c>
      <c r="J408" s="39" t="str">
        <f>IF(OR($C408="総括",$C408="内訳書",$C408="内訳代価",$C408="明細書",$C408="明細代価",$C408="代価表",$C408="単価表"),データ!K405,"")</f>
        <v/>
      </c>
      <c r="K408" s="11" t="str">
        <f t="shared" si="36"/>
        <v/>
      </c>
      <c r="L408" s="46">
        <f t="shared" si="37"/>
        <v>5.3129454451211608E-3</v>
      </c>
      <c r="M408" s="40" t="str">
        <f>IF(データ!L405="","",データ!L405)</f>
        <v/>
      </c>
      <c r="N408" s="41" t="str">
        <f>IF(データ!M405="","",データ!M405)</f>
        <v/>
      </c>
      <c r="O408" s="42">
        <f>データ!N405</f>
        <v>0</v>
      </c>
      <c r="P408" s="48">
        <f>IF($C408="集計行","",データ!O405)</f>
        <v>0</v>
      </c>
      <c r="Q408" s="48">
        <f>データ!P405</f>
        <v>0</v>
      </c>
      <c r="R408" s="39" t="str">
        <f>IF(OR($C408="総括",$C408="内訳書",$C408="内訳代価",$C408="明細書",$C408="明細代価",$C408="代価表",$C408="単価表"),データ!Q405,"")</f>
        <v/>
      </c>
      <c r="S408" s="11" t="str">
        <f t="shared" si="38"/>
        <v/>
      </c>
      <c r="T408" s="46" t="e">
        <f t="shared" si="39"/>
        <v>#DIV/0!</v>
      </c>
      <c r="U408" s="40" t="str">
        <f>IF(データ!R405="","",データ!R405)</f>
        <v/>
      </c>
      <c r="V408" s="41" t="str">
        <f>IF(データ!S405="","",データ!S405)</f>
        <v/>
      </c>
      <c r="W408" s="42">
        <f>データ!T405</f>
        <v>0</v>
      </c>
      <c r="X408" s="48">
        <f>IF($C408="集計行","",データ!U405)</f>
        <v>0</v>
      </c>
      <c r="Y408" s="48">
        <f>データ!V405</f>
        <v>0</v>
      </c>
      <c r="Z408" s="39" t="str">
        <f>IF(OR($C408="総括",$C408="内訳書",$C408="内訳代価",$C408="明細書",$C408="明細代価",$C408="代価表",$C408="単価表"),データ!W405,"")</f>
        <v/>
      </c>
      <c r="AA408" s="11" t="str">
        <f t="shared" si="40"/>
        <v/>
      </c>
      <c r="AB408" s="46" t="e">
        <f t="shared" si="41"/>
        <v>#DIV/0!</v>
      </c>
      <c r="AC408" s="40" t="str">
        <f>IF(データ!X405="","",データ!X405)</f>
        <v/>
      </c>
      <c r="AD408" s="41" t="str">
        <f>IF(データ!Y405="","",データ!Y405)</f>
        <v/>
      </c>
      <c r="AE408" s="47" t="str">
        <f>TRIM(データ!B405)</f>
        <v/>
      </c>
      <c r="AF408" s="43" t="str">
        <f>TRIM(データ!Z405)</f>
        <v/>
      </c>
    </row>
    <row r="409" spans="1:32" x14ac:dyDescent="0.15">
      <c r="A409" s="47">
        <f>データ!A406</f>
        <v>3</v>
      </c>
      <c r="B409" s="47" t="str">
        <f>TRIM(データ!C406)</f>
        <v/>
      </c>
      <c r="C409" s="47" t="str">
        <f>TRIM(データ!D406)</f>
        <v>労務費</v>
      </c>
      <c r="D409" s="36" t="str">
        <f>REPT("｜",$A409)&amp;TRIM(データ!E406)</f>
        <v>｜｜｜技工</v>
      </c>
      <c r="E409" s="37" t="str">
        <f>TRIM(データ!F406)</f>
        <v/>
      </c>
      <c r="F409" s="38" t="str">
        <f>TRIM(データ!G406)</f>
        <v>人</v>
      </c>
      <c r="G409" s="50">
        <f>データ!H406</f>
        <v>20</v>
      </c>
      <c r="H409" s="48">
        <f>データ!I406</f>
        <v>28000</v>
      </c>
      <c r="I409" s="48">
        <f>データ!J406</f>
        <v>560000</v>
      </c>
      <c r="J409" s="39" t="str">
        <f>IF(OR($C409="総括",$C409="内訳書",$C409="内訳代価",$C409="明細書",$C409="明細代価",$C409="代価表",$C409="単価表"),データ!K406,"")</f>
        <v/>
      </c>
      <c r="K409" s="11" t="str">
        <f t="shared" si="36"/>
        <v/>
      </c>
      <c r="L409" s="46">
        <f t="shared" si="37"/>
        <v>8.0630066375822502E-3</v>
      </c>
      <c r="M409" s="40" t="str">
        <f>IF(データ!L406="","",データ!L406)</f>
        <v/>
      </c>
      <c r="N409" s="41" t="str">
        <f>IF(データ!M406="","",データ!M406)</f>
        <v/>
      </c>
      <c r="O409" s="42">
        <f>データ!N406</f>
        <v>0</v>
      </c>
      <c r="P409" s="48">
        <f>IF($C409="集計行","",データ!O406)</f>
        <v>0</v>
      </c>
      <c r="Q409" s="48">
        <f>データ!P406</f>
        <v>0</v>
      </c>
      <c r="R409" s="39" t="str">
        <f>IF(OR($C409="総括",$C409="内訳書",$C409="内訳代価",$C409="明細書",$C409="明細代価",$C409="代価表",$C409="単価表"),データ!Q406,"")</f>
        <v/>
      </c>
      <c r="S409" s="11" t="str">
        <f t="shared" si="38"/>
        <v/>
      </c>
      <c r="T409" s="46" t="e">
        <f t="shared" si="39"/>
        <v>#DIV/0!</v>
      </c>
      <c r="U409" s="40" t="str">
        <f>IF(データ!R406="","",データ!R406)</f>
        <v/>
      </c>
      <c r="V409" s="41" t="str">
        <f>IF(データ!S406="","",データ!S406)</f>
        <v/>
      </c>
      <c r="W409" s="42">
        <f>データ!T406</f>
        <v>0</v>
      </c>
      <c r="X409" s="48">
        <f>IF($C409="集計行","",データ!U406)</f>
        <v>0</v>
      </c>
      <c r="Y409" s="48">
        <f>データ!V406</f>
        <v>0</v>
      </c>
      <c r="Z409" s="39" t="str">
        <f>IF(OR($C409="総括",$C409="内訳書",$C409="内訳代価",$C409="明細書",$C409="明細代価",$C409="代価表",$C409="単価表"),データ!W406,"")</f>
        <v/>
      </c>
      <c r="AA409" s="11" t="str">
        <f t="shared" si="40"/>
        <v/>
      </c>
      <c r="AB409" s="46" t="e">
        <f t="shared" si="41"/>
        <v>#DIV/0!</v>
      </c>
      <c r="AC409" s="40" t="str">
        <f>IF(データ!X406="","",データ!X406)</f>
        <v/>
      </c>
      <c r="AD409" s="41" t="str">
        <f>IF(データ!Y406="","",データ!Y406)</f>
        <v/>
      </c>
      <c r="AE409" s="47" t="str">
        <f>TRIM(データ!B406)</f>
        <v/>
      </c>
      <c r="AF409" s="43" t="str">
        <f>TRIM(データ!Z406)</f>
        <v/>
      </c>
    </row>
    <row r="410" spans="1:32" x14ac:dyDescent="0.15">
      <c r="A410" s="47">
        <f>データ!A407</f>
        <v>3</v>
      </c>
      <c r="B410" s="47" t="str">
        <f>TRIM(データ!C407)</f>
        <v/>
      </c>
      <c r="C410" s="47" t="str">
        <f>TRIM(データ!D407)</f>
        <v>機械費</v>
      </c>
      <c r="D410" s="36" t="str">
        <f>REPT("｜",$A410)&amp;TRIM(データ!E407)</f>
        <v>｜｜｜BH0.4</v>
      </c>
      <c r="E410" s="37" t="str">
        <f>TRIM(データ!F407)</f>
        <v/>
      </c>
      <c r="F410" s="38" t="str">
        <f>TRIM(データ!G407)</f>
        <v>台</v>
      </c>
      <c r="G410" s="50">
        <f>データ!H407</f>
        <v>4</v>
      </c>
      <c r="H410" s="48">
        <f>データ!I407</f>
        <v>14000</v>
      </c>
      <c r="I410" s="48">
        <f>データ!J407</f>
        <v>56000</v>
      </c>
      <c r="J410" s="39" t="str">
        <f>IF(OR($C410="総括",$C410="内訳書",$C410="内訳代価",$C410="明細書",$C410="明細代価",$C410="代価表",$C410="単価表"),データ!K407,"")</f>
        <v/>
      </c>
      <c r="K410" s="11" t="str">
        <f t="shared" si="36"/>
        <v/>
      </c>
      <c r="L410" s="46">
        <f t="shared" si="37"/>
        <v>8.0630066375822495E-4</v>
      </c>
      <c r="M410" s="40" t="str">
        <f>IF(データ!L407="","",データ!L407)</f>
        <v/>
      </c>
      <c r="N410" s="41" t="str">
        <f>IF(データ!M407="","",データ!M407)</f>
        <v/>
      </c>
      <c r="O410" s="42">
        <f>データ!N407</f>
        <v>0</v>
      </c>
      <c r="P410" s="48">
        <f>IF($C410="集計行","",データ!O407)</f>
        <v>0</v>
      </c>
      <c r="Q410" s="48">
        <f>データ!P407</f>
        <v>0</v>
      </c>
      <c r="R410" s="39" t="str">
        <f>IF(OR($C410="総括",$C410="内訳書",$C410="内訳代価",$C410="明細書",$C410="明細代価",$C410="代価表",$C410="単価表"),データ!Q407,"")</f>
        <v/>
      </c>
      <c r="S410" s="11" t="str">
        <f t="shared" si="38"/>
        <v/>
      </c>
      <c r="T410" s="46" t="e">
        <f t="shared" si="39"/>
        <v>#DIV/0!</v>
      </c>
      <c r="U410" s="40" t="str">
        <f>IF(データ!R407="","",データ!R407)</f>
        <v/>
      </c>
      <c r="V410" s="41" t="str">
        <f>IF(データ!S407="","",データ!S407)</f>
        <v/>
      </c>
      <c r="W410" s="42">
        <f>データ!T407</f>
        <v>0</v>
      </c>
      <c r="X410" s="48">
        <f>IF($C410="集計行","",データ!U407)</f>
        <v>0</v>
      </c>
      <c r="Y410" s="48">
        <f>データ!V407</f>
        <v>0</v>
      </c>
      <c r="Z410" s="39" t="str">
        <f>IF(OR($C410="総括",$C410="内訳書",$C410="内訳代価",$C410="明細書",$C410="明細代価",$C410="代価表",$C410="単価表"),データ!W407,"")</f>
        <v/>
      </c>
      <c r="AA410" s="11" t="str">
        <f t="shared" si="40"/>
        <v/>
      </c>
      <c r="AB410" s="46" t="e">
        <f t="shared" si="41"/>
        <v>#DIV/0!</v>
      </c>
      <c r="AC410" s="40" t="str">
        <f>IF(データ!X407="","",データ!X407)</f>
        <v/>
      </c>
      <c r="AD410" s="41" t="str">
        <f>IF(データ!Y407="","",データ!Y407)</f>
        <v/>
      </c>
      <c r="AE410" s="47" t="str">
        <f>TRIM(データ!B407)</f>
        <v/>
      </c>
      <c r="AF410" s="43" t="str">
        <f>TRIM(データ!Z407)</f>
        <v/>
      </c>
    </row>
    <row r="411" spans="1:32" x14ac:dyDescent="0.15">
      <c r="A411" s="47">
        <f>データ!A408</f>
        <v>3</v>
      </c>
      <c r="B411" s="47" t="str">
        <f>TRIM(データ!C408)</f>
        <v/>
      </c>
      <c r="C411" s="47" t="str">
        <f>TRIM(データ!D408)</f>
        <v>機械費</v>
      </c>
      <c r="D411" s="36" t="str">
        <f>REPT("｜",$A411)&amp;TRIM(データ!E408)</f>
        <v>｜｜｜ブルドーザ</v>
      </c>
      <c r="E411" s="37" t="str">
        <f>TRIM(データ!F408)</f>
        <v/>
      </c>
      <c r="F411" s="38" t="str">
        <f>TRIM(データ!G408)</f>
        <v>台</v>
      </c>
      <c r="G411" s="50">
        <f>データ!H408</f>
        <v>4</v>
      </c>
      <c r="H411" s="48">
        <f>データ!I408</f>
        <v>8000</v>
      </c>
      <c r="I411" s="48">
        <f>データ!J408</f>
        <v>32000</v>
      </c>
      <c r="J411" s="39" t="str">
        <f>IF(OR($C411="総括",$C411="内訳書",$C411="内訳代価",$C411="明細書",$C411="明細代価",$C411="代価表",$C411="単価表"),データ!K408,"")</f>
        <v/>
      </c>
      <c r="K411" s="11" t="str">
        <f t="shared" si="36"/>
        <v/>
      </c>
      <c r="L411" s="46">
        <f t="shared" si="37"/>
        <v>4.607432364332714E-4</v>
      </c>
      <c r="M411" s="40" t="str">
        <f>IF(データ!L408="","",データ!L408)</f>
        <v/>
      </c>
      <c r="N411" s="41" t="str">
        <f>IF(データ!M408="","",データ!M408)</f>
        <v/>
      </c>
      <c r="O411" s="42">
        <f>データ!N408</f>
        <v>0</v>
      </c>
      <c r="P411" s="48">
        <f>IF($C411="集計行","",データ!O408)</f>
        <v>0</v>
      </c>
      <c r="Q411" s="48">
        <f>データ!P408</f>
        <v>0</v>
      </c>
      <c r="R411" s="39" t="str">
        <f>IF(OR($C411="総括",$C411="内訳書",$C411="内訳代価",$C411="明細書",$C411="明細代価",$C411="代価表",$C411="単価表"),データ!Q408,"")</f>
        <v/>
      </c>
      <c r="S411" s="11" t="str">
        <f t="shared" si="38"/>
        <v/>
      </c>
      <c r="T411" s="46" t="e">
        <f t="shared" si="39"/>
        <v>#DIV/0!</v>
      </c>
      <c r="U411" s="40" t="str">
        <f>IF(データ!R408="","",データ!R408)</f>
        <v/>
      </c>
      <c r="V411" s="41" t="str">
        <f>IF(データ!S408="","",データ!S408)</f>
        <v/>
      </c>
      <c r="W411" s="42">
        <f>データ!T408</f>
        <v>0</v>
      </c>
      <c r="X411" s="48">
        <f>IF($C411="集計行","",データ!U408)</f>
        <v>0</v>
      </c>
      <c r="Y411" s="48">
        <f>データ!V408</f>
        <v>0</v>
      </c>
      <c r="Z411" s="39" t="str">
        <f>IF(OR($C411="総括",$C411="内訳書",$C411="内訳代価",$C411="明細書",$C411="明細代価",$C411="代価表",$C411="単価表"),データ!W408,"")</f>
        <v/>
      </c>
      <c r="AA411" s="11" t="str">
        <f t="shared" si="40"/>
        <v/>
      </c>
      <c r="AB411" s="46" t="e">
        <f t="shared" si="41"/>
        <v>#DIV/0!</v>
      </c>
      <c r="AC411" s="40" t="str">
        <f>IF(データ!X408="","",データ!X408)</f>
        <v/>
      </c>
      <c r="AD411" s="41" t="str">
        <f>IF(データ!Y408="","",データ!Y408)</f>
        <v/>
      </c>
      <c r="AE411" s="47" t="str">
        <f>TRIM(データ!B408)</f>
        <v/>
      </c>
      <c r="AF411" s="43" t="str">
        <f>TRIM(データ!Z408)</f>
        <v/>
      </c>
    </row>
    <row r="412" spans="1:32" x14ac:dyDescent="0.15">
      <c r="A412" s="47">
        <f>データ!A409</f>
        <v>3</v>
      </c>
      <c r="B412" s="47" t="str">
        <f>TRIM(データ!C409)</f>
        <v/>
      </c>
      <c r="C412" s="47" t="str">
        <f>TRIM(データ!D409)</f>
        <v>機械費</v>
      </c>
      <c r="D412" s="36" t="str">
        <f>REPT("｜",$A412)&amp;TRIM(データ!E409)</f>
        <v>｜｜｜コンバインドローラ</v>
      </c>
      <c r="E412" s="37" t="str">
        <f>TRIM(データ!F409)</f>
        <v/>
      </c>
      <c r="F412" s="38" t="str">
        <f>TRIM(データ!G409)</f>
        <v>台</v>
      </c>
      <c r="G412" s="50">
        <f>データ!H409</f>
        <v>4</v>
      </c>
      <c r="H412" s="48">
        <f>データ!I409</f>
        <v>8000</v>
      </c>
      <c r="I412" s="48">
        <f>データ!J409</f>
        <v>32000</v>
      </c>
      <c r="J412" s="39" t="str">
        <f>IF(OR($C412="総括",$C412="内訳書",$C412="内訳代価",$C412="明細書",$C412="明細代価",$C412="代価表",$C412="単価表"),データ!K409,"")</f>
        <v/>
      </c>
      <c r="K412" s="11" t="str">
        <f t="shared" si="36"/>
        <v/>
      </c>
      <c r="L412" s="46">
        <f t="shared" si="37"/>
        <v>4.607432364332714E-4</v>
      </c>
      <c r="M412" s="40" t="str">
        <f>IF(データ!L409="","",データ!L409)</f>
        <v/>
      </c>
      <c r="N412" s="41" t="str">
        <f>IF(データ!M409="","",データ!M409)</f>
        <v/>
      </c>
      <c r="O412" s="42">
        <f>データ!N409</f>
        <v>0</v>
      </c>
      <c r="P412" s="48">
        <f>IF($C412="集計行","",データ!O409)</f>
        <v>0</v>
      </c>
      <c r="Q412" s="48">
        <f>データ!P409</f>
        <v>0</v>
      </c>
      <c r="R412" s="39" t="str">
        <f>IF(OR($C412="総括",$C412="内訳書",$C412="内訳代価",$C412="明細書",$C412="明細代価",$C412="代価表",$C412="単価表"),データ!Q409,"")</f>
        <v/>
      </c>
      <c r="S412" s="11" t="str">
        <f t="shared" si="38"/>
        <v/>
      </c>
      <c r="T412" s="46" t="e">
        <f t="shared" si="39"/>
        <v>#DIV/0!</v>
      </c>
      <c r="U412" s="40" t="str">
        <f>IF(データ!R409="","",データ!R409)</f>
        <v/>
      </c>
      <c r="V412" s="41" t="str">
        <f>IF(データ!S409="","",データ!S409)</f>
        <v/>
      </c>
      <c r="W412" s="42">
        <f>データ!T409</f>
        <v>0</v>
      </c>
      <c r="X412" s="48">
        <f>IF($C412="集計行","",データ!U409)</f>
        <v>0</v>
      </c>
      <c r="Y412" s="48">
        <f>データ!V409</f>
        <v>0</v>
      </c>
      <c r="Z412" s="39" t="str">
        <f>IF(OR($C412="総括",$C412="内訳書",$C412="内訳代価",$C412="明細書",$C412="明細代価",$C412="代価表",$C412="単価表"),データ!W409,"")</f>
        <v/>
      </c>
      <c r="AA412" s="11" t="str">
        <f t="shared" si="40"/>
        <v/>
      </c>
      <c r="AB412" s="46" t="e">
        <f t="shared" si="41"/>
        <v>#DIV/0!</v>
      </c>
      <c r="AC412" s="40" t="str">
        <f>IF(データ!X409="","",データ!X409)</f>
        <v/>
      </c>
      <c r="AD412" s="41" t="str">
        <f>IF(データ!Y409="","",データ!Y409)</f>
        <v/>
      </c>
      <c r="AE412" s="47" t="str">
        <f>TRIM(データ!B409)</f>
        <v/>
      </c>
      <c r="AF412" s="43" t="str">
        <f>TRIM(データ!Z409)</f>
        <v/>
      </c>
    </row>
    <row r="413" spans="1:32" x14ac:dyDescent="0.15">
      <c r="A413" s="47">
        <f>データ!A410</f>
        <v>3</v>
      </c>
      <c r="B413" s="47" t="str">
        <f>TRIM(データ!C410)</f>
        <v/>
      </c>
      <c r="C413" s="47" t="str">
        <f>TRIM(データ!D410)</f>
        <v>機械費</v>
      </c>
      <c r="D413" s="36" t="str">
        <f>REPT("｜",$A413)&amp;TRIM(データ!E410)</f>
        <v>｜｜｜タイヤローラ10t</v>
      </c>
      <c r="E413" s="37" t="str">
        <f>TRIM(データ!F410)</f>
        <v/>
      </c>
      <c r="F413" s="38" t="str">
        <f>TRIM(データ!G410)</f>
        <v>台</v>
      </c>
      <c r="G413" s="50">
        <f>データ!H410</f>
        <v>4</v>
      </c>
      <c r="H413" s="48">
        <f>データ!I410</f>
        <v>10000</v>
      </c>
      <c r="I413" s="48">
        <f>データ!J410</f>
        <v>40000</v>
      </c>
      <c r="J413" s="39" t="str">
        <f>IF(OR($C413="総括",$C413="内訳書",$C413="内訳代価",$C413="明細書",$C413="明細代価",$C413="代価表",$C413="単価表"),データ!K410,"")</f>
        <v/>
      </c>
      <c r="K413" s="11" t="str">
        <f t="shared" si="36"/>
        <v/>
      </c>
      <c r="L413" s="46">
        <f t="shared" si="37"/>
        <v>5.7592904554158925E-4</v>
      </c>
      <c r="M413" s="40" t="str">
        <f>IF(データ!L410="","",データ!L410)</f>
        <v/>
      </c>
      <c r="N413" s="41" t="str">
        <f>IF(データ!M410="","",データ!M410)</f>
        <v/>
      </c>
      <c r="O413" s="42">
        <f>データ!N410</f>
        <v>0</v>
      </c>
      <c r="P413" s="48">
        <f>IF($C413="集計行","",データ!O410)</f>
        <v>0</v>
      </c>
      <c r="Q413" s="48">
        <f>データ!P410</f>
        <v>0</v>
      </c>
      <c r="R413" s="39" t="str">
        <f>IF(OR($C413="総括",$C413="内訳書",$C413="内訳代価",$C413="明細書",$C413="明細代価",$C413="代価表",$C413="単価表"),データ!Q410,"")</f>
        <v/>
      </c>
      <c r="S413" s="11" t="str">
        <f t="shared" si="38"/>
        <v/>
      </c>
      <c r="T413" s="46" t="e">
        <f t="shared" si="39"/>
        <v>#DIV/0!</v>
      </c>
      <c r="U413" s="40" t="str">
        <f>IF(データ!R410="","",データ!R410)</f>
        <v/>
      </c>
      <c r="V413" s="41" t="str">
        <f>IF(データ!S410="","",データ!S410)</f>
        <v/>
      </c>
      <c r="W413" s="42">
        <f>データ!T410</f>
        <v>0</v>
      </c>
      <c r="X413" s="48">
        <f>IF($C413="集計行","",データ!U410)</f>
        <v>0</v>
      </c>
      <c r="Y413" s="48">
        <f>データ!V410</f>
        <v>0</v>
      </c>
      <c r="Z413" s="39" t="str">
        <f>IF(OR($C413="総括",$C413="内訳書",$C413="内訳代価",$C413="明細書",$C413="明細代価",$C413="代価表",$C413="単価表"),データ!W410,"")</f>
        <v/>
      </c>
      <c r="AA413" s="11" t="str">
        <f t="shared" si="40"/>
        <v/>
      </c>
      <c r="AB413" s="46" t="e">
        <f t="shared" si="41"/>
        <v>#DIV/0!</v>
      </c>
      <c r="AC413" s="40" t="str">
        <f>IF(データ!X410="","",データ!X410)</f>
        <v/>
      </c>
      <c r="AD413" s="41" t="str">
        <f>IF(データ!Y410="","",データ!Y410)</f>
        <v/>
      </c>
      <c r="AE413" s="47" t="str">
        <f>TRIM(データ!B410)</f>
        <v/>
      </c>
      <c r="AF413" s="43" t="str">
        <f>TRIM(データ!Z410)</f>
        <v/>
      </c>
    </row>
    <row r="414" spans="1:32" x14ac:dyDescent="0.15">
      <c r="A414" s="47">
        <f>データ!A411</f>
        <v>3</v>
      </c>
      <c r="B414" s="47" t="str">
        <f>TRIM(データ!C411)</f>
        <v/>
      </c>
      <c r="C414" s="47" t="str">
        <f>TRIM(データ!D411)</f>
        <v>機械費</v>
      </c>
      <c r="D414" s="36" t="str">
        <f>REPT("｜",$A414)&amp;TRIM(データ!E411)</f>
        <v>｜｜｜タイヤショベル</v>
      </c>
      <c r="E414" s="37" t="str">
        <f>TRIM(データ!F411)</f>
        <v/>
      </c>
      <c r="F414" s="38" t="str">
        <f>TRIM(データ!G411)</f>
        <v>台</v>
      </c>
      <c r="G414" s="50">
        <f>データ!H411</f>
        <v>4</v>
      </c>
      <c r="H414" s="48">
        <f>データ!I411</f>
        <v>8000</v>
      </c>
      <c r="I414" s="48">
        <f>データ!J411</f>
        <v>32000</v>
      </c>
      <c r="J414" s="39" t="str">
        <f>IF(OR($C414="総括",$C414="内訳書",$C414="内訳代価",$C414="明細書",$C414="明細代価",$C414="代価表",$C414="単価表"),データ!K411,"")</f>
        <v/>
      </c>
      <c r="K414" s="11" t="str">
        <f t="shared" si="36"/>
        <v/>
      </c>
      <c r="L414" s="46">
        <f t="shared" si="37"/>
        <v>4.607432364332714E-4</v>
      </c>
      <c r="M414" s="40" t="str">
        <f>IF(データ!L411="","",データ!L411)</f>
        <v/>
      </c>
      <c r="N414" s="41" t="str">
        <f>IF(データ!M411="","",データ!M411)</f>
        <v/>
      </c>
      <c r="O414" s="42">
        <f>データ!N411</f>
        <v>0</v>
      </c>
      <c r="P414" s="48">
        <f>IF($C414="集計行","",データ!O411)</f>
        <v>0</v>
      </c>
      <c r="Q414" s="48">
        <f>データ!P411</f>
        <v>0</v>
      </c>
      <c r="R414" s="39" t="str">
        <f>IF(OR($C414="総括",$C414="内訳書",$C414="内訳代価",$C414="明細書",$C414="明細代価",$C414="代価表",$C414="単価表"),データ!Q411,"")</f>
        <v/>
      </c>
      <c r="S414" s="11" t="str">
        <f t="shared" si="38"/>
        <v/>
      </c>
      <c r="T414" s="46" t="e">
        <f t="shared" si="39"/>
        <v>#DIV/0!</v>
      </c>
      <c r="U414" s="40" t="str">
        <f>IF(データ!R411="","",データ!R411)</f>
        <v/>
      </c>
      <c r="V414" s="41" t="str">
        <f>IF(データ!S411="","",データ!S411)</f>
        <v/>
      </c>
      <c r="W414" s="42">
        <f>データ!T411</f>
        <v>0</v>
      </c>
      <c r="X414" s="48">
        <f>IF($C414="集計行","",データ!U411)</f>
        <v>0</v>
      </c>
      <c r="Y414" s="48">
        <f>データ!V411</f>
        <v>0</v>
      </c>
      <c r="Z414" s="39" t="str">
        <f>IF(OR($C414="総括",$C414="内訳書",$C414="内訳代価",$C414="明細書",$C414="明細代価",$C414="代価表",$C414="単価表"),データ!W411,"")</f>
        <v/>
      </c>
      <c r="AA414" s="11" t="str">
        <f t="shared" si="40"/>
        <v/>
      </c>
      <c r="AB414" s="46" t="e">
        <f t="shared" si="41"/>
        <v>#DIV/0!</v>
      </c>
      <c r="AC414" s="40" t="str">
        <f>IF(データ!X411="","",データ!X411)</f>
        <v/>
      </c>
      <c r="AD414" s="41" t="str">
        <f>IF(データ!Y411="","",データ!Y411)</f>
        <v/>
      </c>
      <c r="AE414" s="47" t="str">
        <f>TRIM(データ!B411)</f>
        <v/>
      </c>
      <c r="AF414" s="43" t="str">
        <f>TRIM(データ!Z411)</f>
        <v/>
      </c>
    </row>
    <row r="415" spans="1:32" x14ac:dyDescent="0.15">
      <c r="A415" s="47">
        <f>データ!A412</f>
        <v>3</v>
      </c>
      <c r="B415" s="47" t="str">
        <f>TRIM(データ!C412)</f>
        <v/>
      </c>
      <c r="C415" s="47" t="str">
        <f>TRIM(データ!D412)</f>
        <v>機械費</v>
      </c>
      <c r="D415" s="36" t="str">
        <f>REPT("｜",$A415)&amp;TRIM(データ!E412)</f>
        <v>｜｜｜ランマー</v>
      </c>
      <c r="E415" s="37" t="str">
        <f>TRIM(データ!F412)</f>
        <v/>
      </c>
      <c r="F415" s="38" t="str">
        <f>TRIM(データ!G412)</f>
        <v>台</v>
      </c>
      <c r="G415" s="50">
        <f>データ!H412</f>
        <v>4</v>
      </c>
      <c r="H415" s="48">
        <f>データ!I412</f>
        <v>1500</v>
      </c>
      <c r="I415" s="48">
        <f>データ!J412</f>
        <v>6000</v>
      </c>
      <c r="J415" s="39" t="str">
        <f>IF(OR($C415="総括",$C415="内訳書",$C415="内訳代価",$C415="明細書",$C415="明細代価",$C415="代価表",$C415="単価表"),データ!K412,"")</f>
        <v/>
      </c>
      <c r="K415" s="11" t="str">
        <f t="shared" si="36"/>
        <v/>
      </c>
      <c r="L415" s="46">
        <f t="shared" si="37"/>
        <v>8.6389356831238388E-5</v>
      </c>
      <c r="M415" s="40" t="str">
        <f>IF(データ!L412="","",データ!L412)</f>
        <v/>
      </c>
      <c r="N415" s="41" t="str">
        <f>IF(データ!M412="","",データ!M412)</f>
        <v/>
      </c>
      <c r="O415" s="42">
        <f>データ!N412</f>
        <v>0</v>
      </c>
      <c r="P415" s="48">
        <f>IF($C415="集計行","",データ!O412)</f>
        <v>0</v>
      </c>
      <c r="Q415" s="48">
        <f>データ!P412</f>
        <v>0</v>
      </c>
      <c r="R415" s="39" t="str">
        <f>IF(OR($C415="総括",$C415="内訳書",$C415="内訳代価",$C415="明細書",$C415="明細代価",$C415="代価表",$C415="単価表"),データ!Q412,"")</f>
        <v/>
      </c>
      <c r="S415" s="11" t="str">
        <f t="shared" si="38"/>
        <v/>
      </c>
      <c r="T415" s="46" t="e">
        <f t="shared" si="39"/>
        <v>#DIV/0!</v>
      </c>
      <c r="U415" s="40" t="str">
        <f>IF(データ!R412="","",データ!R412)</f>
        <v/>
      </c>
      <c r="V415" s="41" t="str">
        <f>IF(データ!S412="","",データ!S412)</f>
        <v/>
      </c>
      <c r="W415" s="42">
        <f>データ!T412</f>
        <v>0</v>
      </c>
      <c r="X415" s="48">
        <f>IF($C415="集計行","",データ!U412)</f>
        <v>0</v>
      </c>
      <c r="Y415" s="48">
        <f>データ!V412</f>
        <v>0</v>
      </c>
      <c r="Z415" s="39" t="str">
        <f>IF(OR($C415="総括",$C415="内訳書",$C415="内訳代価",$C415="明細書",$C415="明細代価",$C415="代価表",$C415="単価表"),データ!W412,"")</f>
        <v/>
      </c>
      <c r="AA415" s="11" t="str">
        <f t="shared" si="40"/>
        <v/>
      </c>
      <c r="AB415" s="46" t="e">
        <f t="shared" si="41"/>
        <v>#DIV/0!</v>
      </c>
      <c r="AC415" s="40" t="str">
        <f>IF(データ!X412="","",データ!X412)</f>
        <v/>
      </c>
      <c r="AD415" s="41" t="str">
        <f>IF(データ!Y412="","",データ!Y412)</f>
        <v/>
      </c>
      <c r="AE415" s="47" t="str">
        <f>TRIM(データ!B412)</f>
        <v/>
      </c>
      <c r="AF415" s="43" t="str">
        <f>TRIM(データ!Z412)</f>
        <v/>
      </c>
    </row>
    <row r="416" spans="1:32" x14ac:dyDescent="0.15">
      <c r="A416" s="47">
        <f>データ!A413</f>
        <v>3</v>
      </c>
      <c r="B416" s="47" t="str">
        <f>TRIM(データ!C413)</f>
        <v/>
      </c>
      <c r="C416" s="47" t="str">
        <f>TRIM(データ!D413)</f>
        <v>機械費</v>
      </c>
      <c r="D416" s="36" t="str">
        <f>REPT("｜",$A416)&amp;TRIM(データ!E413)</f>
        <v>｜｜｜プレート</v>
      </c>
      <c r="E416" s="37" t="str">
        <f>TRIM(データ!F413)</f>
        <v/>
      </c>
      <c r="F416" s="38" t="str">
        <f>TRIM(データ!G413)</f>
        <v>台</v>
      </c>
      <c r="G416" s="50">
        <f>データ!H413</f>
        <v>4</v>
      </c>
      <c r="H416" s="48">
        <f>データ!I413</f>
        <v>1500</v>
      </c>
      <c r="I416" s="48">
        <f>データ!J413</f>
        <v>6000</v>
      </c>
      <c r="J416" s="39" t="str">
        <f>IF(OR($C416="総括",$C416="内訳書",$C416="内訳代価",$C416="明細書",$C416="明細代価",$C416="代価表",$C416="単価表"),データ!K413,"")</f>
        <v/>
      </c>
      <c r="K416" s="11" t="str">
        <f t="shared" si="36"/>
        <v/>
      </c>
      <c r="L416" s="46">
        <f t="shared" si="37"/>
        <v>8.6389356831238388E-5</v>
      </c>
      <c r="M416" s="40" t="str">
        <f>IF(データ!L413="","",データ!L413)</f>
        <v/>
      </c>
      <c r="N416" s="41" t="str">
        <f>IF(データ!M413="","",データ!M413)</f>
        <v/>
      </c>
      <c r="O416" s="42">
        <f>データ!N413</f>
        <v>0</v>
      </c>
      <c r="P416" s="48">
        <f>IF($C416="集計行","",データ!O413)</f>
        <v>0</v>
      </c>
      <c r="Q416" s="48">
        <f>データ!P413</f>
        <v>0</v>
      </c>
      <c r="R416" s="39" t="str">
        <f>IF(OR($C416="総括",$C416="内訳書",$C416="内訳代価",$C416="明細書",$C416="明細代価",$C416="代価表",$C416="単価表"),データ!Q413,"")</f>
        <v/>
      </c>
      <c r="S416" s="11" t="str">
        <f t="shared" si="38"/>
        <v/>
      </c>
      <c r="T416" s="46" t="e">
        <f t="shared" si="39"/>
        <v>#DIV/0!</v>
      </c>
      <c r="U416" s="40" t="str">
        <f>IF(データ!R413="","",データ!R413)</f>
        <v/>
      </c>
      <c r="V416" s="41" t="str">
        <f>IF(データ!S413="","",データ!S413)</f>
        <v/>
      </c>
      <c r="W416" s="42">
        <f>データ!T413</f>
        <v>0</v>
      </c>
      <c r="X416" s="48">
        <f>IF($C416="集計行","",データ!U413)</f>
        <v>0</v>
      </c>
      <c r="Y416" s="48">
        <f>データ!V413</f>
        <v>0</v>
      </c>
      <c r="Z416" s="39" t="str">
        <f>IF(OR($C416="総括",$C416="内訳書",$C416="内訳代価",$C416="明細書",$C416="明細代価",$C416="代価表",$C416="単価表"),データ!W413,"")</f>
        <v/>
      </c>
      <c r="AA416" s="11" t="str">
        <f t="shared" si="40"/>
        <v/>
      </c>
      <c r="AB416" s="46" t="e">
        <f t="shared" si="41"/>
        <v>#DIV/0!</v>
      </c>
      <c r="AC416" s="40" t="str">
        <f>IF(データ!X413="","",データ!X413)</f>
        <v/>
      </c>
      <c r="AD416" s="41" t="str">
        <f>IF(データ!Y413="","",データ!Y413)</f>
        <v/>
      </c>
      <c r="AE416" s="47" t="str">
        <f>TRIM(データ!B413)</f>
        <v/>
      </c>
      <c r="AF416" s="43" t="str">
        <f>TRIM(データ!Z413)</f>
        <v/>
      </c>
    </row>
    <row r="417" spans="1:32" x14ac:dyDescent="0.15">
      <c r="A417" s="47">
        <f>データ!A414</f>
        <v>3</v>
      </c>
      <c r="B417" s="47" t="str">
        <f>TRIM(データ!C414)</f>
        <v/>
      </c>
      <c r="C417" s="47" t="str">
        <f>TRIM(データ!D414)</f>
        <v>運搬費</v>
      </c>
      <c r="D417" s="36" t="str">
        <f>REPT("｜",$A417)&amp;TRIM(データ!E414)</f>
        <v>｜｜｜4tダンプ</v>
      </c>
      <c r="E417" s="37" t="str">
        <f>TRIM(データ!F414)</f>
        <v/>
      </c>
      <c r="F417" s="38" t="str">
        <f>TRIM(データ!G414)</f>
        <v>台</v>
      </c>
      <c r="G417" s="50">
        <f>データ!H414</f>
        <v>4</v>
      </c>
      <c r="H417" s="48">
        <f>データ!I414</f>
        <v>10000</v>
      </c>
      <c r="I417" s="48">
        <f>データ!J414</f>
        <v>40000</v>
      </c>
      <c r="J417" s="39" t="str">
        <f>IF(OR($C417="総括",$C417="内訳書",$C417="内訳代価",$C417="明細書",$C417="明細代価",$C417="代価表",$C417="単価表"),データ!K414,"")</f>
        <v/>
      </c>
      <c r="K417" s="11" t="str">
        <f t="shared" si="36"/>
        <v/>
      </c>
      <c r="L417" s="46">
        <f t="shared" si="37"/>
        <v>5.7592904554158925E-4</v>
      </c>
      <c r="M417" s="40" t="str">
        <f>IF(データ!L414="","",データ!L414)</f>
        <v/>
      </c>
      <c r="N417" s="41" t="str">
        <f>IF(データ!M414="","",データ!M414)</f>
        <v/>
      </c>
      <c r="O417" s="42">
        <f>データ!N414</f>
        <v>0</v>
      </c>
      <c r="P417" s="48">
        <f>IF($C417="集計行","",データ!O414)</f>
        <v>0</v>
      </c>
      <c r="Q417" s="48">
        <f>データ!P414</f>
        <v>0</v>
      </c>
      <c r="R417" s="39" t="str">
        <f>IF(OR($C417="総括",$C417="内訳書",$C417="内訳代価",$C417="明細書",$C417="明細代価",$C417="代価表",$C417="単価表"),データ!Q414,"")</f>
        <v/>
      </c>
      <c r="S417" s="11" t="str">
        <f t="shared" si="38"/>
        <v/>
      </c>
      <c r="T417" s="46" t="e">
        <f t="shared" si="39"/>
        <v>#DIV/0!</v>
      </c>
      <c r="U417" s="40" t="str">
        <f>IF(データ!R414="","",データ!R414)</f>
        <v/>
      </c>
      <c r="V417" s="41" t="str">
        <f>IF(データ!S414="","",データ!S414)</f>
        <v/>
      </c>
      <c r="W417" s="42">
        <f>データ!T414</f>
        <v>0</v>
      </c>
      <c r="X417" s="48">
        <f>IF($C417="集計行","",データ!U414)</f>
        <v>0</v>
      </c>
      <c r="Y417" s="48">
        <f>データ!V414</f>
        <v>0</v>
      </c>
      <c r="Z417" s="39" t="str">
        <f>IF(OR($C417="総括",$C417="内訳書",$C417="内訳代価",$C417="明細書",$C417="明細代価",$C417="代価表",$C417="単価表"),データ!W414,"")</f>
        <v/>
      </c>
      <c r="AA417" s="11" t="str">
        <f t="shared" si="40"/>
        <v/>
      </c>
      <c r="AB417" s="46" t="e">
        <f t="shared" si="41"/>
        <v>#DIV/0!</v>
      </c>
      <c r="AC417" s="40" t="str">
        <f>IF(データ!X414="","",データ!X414)</f>
        <v/>
      </c>
      <c r="AD417" s="41" t="str">
        <f>IF(データ!Y414="","",データ!Y414)</f>
        <v/>
      </c>
      <c r="AE417" s="47" t="str">
        <f>TRIM(データ!B414)</f>
        <v/>
      </c>
      <c r="AF417" s="43" t="str">
        <f>TRIM(データ!Z414)</f>
        <v/>
      </c>
    </row>
    <row r="418" spans="1:32" x14ac:dyDescent="0.15">
      <c r="A418" s="47">
        <f>データ!A415</f>
        <v>3</v>
      </c>
      <c r="B418" s="47" t="str">
        <f>TRIM(データ!C415)</f>
        <v/>
      </c>
      <c r="C418" s="47" t="str">
        <f>TRIM(データ!D415)</f>
        <v>運搬費</v>
      </c>
      <c r="D418" s="36" t="str">
        <f>REPT("｜",$A418)&amp;TRIM(データ!E415)</f>
        <v>｜｜｜2tダンプ</v>
      </c>
      <c r="E418" s="37" t="str">
        <f>TRIM(データ!F415)</f>
        <v/>
      </c>
      <c r="F418" s="38" t="str">
        <f>TRIM(データ!G415)</f>
        <v>台</v>
      </c>
      <c r="G418" s="50">
        <f>データ!H415</f>
        <v>4</v>
      </c>
      <c r="H418" s="48">
        <f>データ!I415</f>
        <v>7000</v>
      </c>
      <c r="I418" s="48">
        <f>データ!J415</f>
        <v>28000</v>
      </c>
      <c r="J418" s="39" t="str">
        <f>IF(OR($C418="総括",$C418="内訳書",$C418="内訳代価",$C418="明細書",$C418="明細代価",$C418="代価表",$C418="単価表"),データ!K415,"")</f>
        <v/>
      </c>
      <c r="K418" s="11" t="str">
        <f t="shared" si="36"/>
        <v/>
      </c>
      <c r="L418" s="46">
        <f t="shared" si="37"/>
        <v>4.0315033187911248E-4</v>
      </c>
      <c r="M418" s="40" t="str">
        <f>IF(データ!L415="","",データ!L415)</f>
        <v/>
      </c>
      <c r="N418" s="41" t="str">
        <f>IF(データ!M415="","",データ!M415)</f>
        <v/>
      </c>
      <c r="O418" s="42">
        <f>データ!N415</f>
        <v>0</v>
      </c>
      <c r="P418" s="48">
        <f>IF($C418="集計行","",データ!O415)</f>
        <v>0</v>
      </c>
      <c r="Q418" s="48">
        <f>データ!P415</f>
        <v>0</v>
      </c>
      <c r="R418" s="39" t="str">
        <f>IF(OR($C418="総括",$C418="内訳書",$C418="内訳代価",$C418="明細書",$C418="明細代価",$C418="代価表",$C418="単価表"),データ!Q415,"")</f>
        <v/>
      </c>
      <c r="S418" s="11" t="str">
        <f t="shared" si="38"/>
        <v/>
      </c>
      <c r="T418" s="46" t="e">
        <f t="shared" si="39"/>
        <v>#DIV/0!</v>
      </c>
      <c r="U418" s="40" t="str">
        <f>IF(データ!R415="","",データ!R415)</f>
        <v/>
      </c>
      <c r="V418" s="41" t="str">
        <f>IF(データ!S415="","",データ!S415)</f>
        <v/>
      </c>
      <c r="W418" s="42">
        <f>データ!T415</f>
        <v>0</v>
      </c>
      <c r="X418" s="48">
        <f>IF($C418="集計行","",データ!U415)</f>
        <v>0</v>
      </c>
      <c r="Y418" s="48">
        <f>データ!V415</f>
        <v>0</v>
      </c>
      <c r="Z418" s="39" t="str">
        <f>IF(OR($C418="総括",$C418="内訳書",$C418="内訳代価",$C418="明細書",$C418="明細代価",$C418="代価表",$C418="単価表"),データ!W415,"")</f>
        <v/>
      </c>
      <c r="AA418" s="11" t="str">
        <f t="shared" si="40"/>
        <v/>
      </c>
      <c r="AB418" s="46" t="e">
        <f t="shared" si="41"/>
        <v>#DIV/0!</v>
      </c>
      <c r="AC418" s="40" t="str">
        <f>IF(データ!X415="","",データ!X415)</f>
        <v/>
      </c>
      <c r="AD418" s="41" t="str">
        <f>IF(データ!Y415="","",データ!Y415)</f>
        <v/>
      </c>
      <c r="AE418" s="47" t="str">
        <f>TRIM(データ!B415)</f>
        <v/>
      </c>
      <c r="AF418" s="43" t="str">
        <f>TRIM(データ!Z415)</f>
        <v/>
      </c>
    </row>
    <row r="419" spans="1:32" x14ac:dyDescent="0.15">
      <c r="A419" s="47">
        <f>データ!A416</f>
        <v>3</v>
      </c>
      <c r="B419" s="47" t="str">
        <f>TRIM(データ!C416)</f>
        <v/>
      </c>
      <c r="C419" s="47" t="str">
        <f>TRIM(データ!D416)</f>
        <v>運搬費</v>
      </c>
      <c r="D419" s="36" t="str">
        <f>REPT("｜",$A419)&amp;TRIM(データ!E416)</f>
        <v>｜｜｜WP</v>
      </c>
      <c r="E419" s="37" t="str">
        <f>TRIM(データ!F416)</f>
        <v/>
      </c>
      <c r="F419" s="38" t="str">
        <f>TRIM(データ!G416)</f>
        <v>台</v>
      </c>
      <c r="G419" s="50">
        <f>データ!H416</f>
        <v>4</v>
      </c>
      <c r="H419" s="48">
        <f>データ!I416</f>
        <v>7000</v>
      </c>
      <c r="I419" s="48">
        <f>データ!J416</f>
        <v>28000</v>
      </c>
      <c r="J419" s="39" t="str">
        <f>IF(OR($C419="総括",$C419="内訳書",$C419="内訳代価",$C419="明細書",$C419="明細代価",$C419="代価表",$C419="単価表"),データ!K416,"")</f>
        <v/>
      </c>
      <c r="K419" s="11" t="str">
        <f t="shared" si="36"/>
        <v/>
      </c>
      <c r="L419" s="46">
        <f t="shared" si="37"/>
        <v>4.0315033187911248E-4</v>
      </c>
      <c r="M419" s="40" t="str">
        <f>IF(データ!L416="","",データ!L416)</f>
        <v/>
      </c>
      <c r="N419" s="41" t="str">
        <f>IF(データ!M416="","",データ!M416)</f>
        <v/>
      </c>
      <c r="O419" s="42">
        <f>データ!N416</f>
        <v>0</v>
      </c>
      <c r="P419" s="48">
        <f>IF($C419="集計行","",データ!O416)</f>
        <v>0</v>
      </c>
      <c r="Q419" s="48">
        <f>データ!P416</f>
        <v>0</v>
      </c>
      <c r="R419" s="39" t="str">
        <f>IF(OR($C419="総括",$C419="内訳書",$C419="内訳代価",$C419="明細書",$C419="明細代価",$C419="代価表",$C419="単価表"),データ!Q416,"")</f>
        <v/>
      </c>
      <c r="S419" s="11" t="str">
        <f t="shared" si="38"/>
        <v/>
      </c>
      <c r="T419" s="46" t="e">
        <f t="shared" si="39"/>
        <v>#DIV/0!</v>
      </c>
      <c r="U419" s="40" t="str">
        <f>IF(データ!R416="","",データ!R416)</f>
        <v/>
      </c>
      <c r="V419" s="41" t="str">
        <f>IF(データ!S416="","",データ!S416)</f>
        <v/>
      </c>
      <c r="W419" s="42">
        <f>データ!T416</f>
        <v>0</v>
      </c>
      <c r="X419" s="48">
        <f>IF($C419="集計行","",データ!U416)</f>
        <v>0</v>
      </c>
      <c r="Y419" s="48">
        <f>データ!V416</f>
        <v>0</v>
      </c>
      <c r="Z419" s="39" t="str">
        <f>IF(OR($C419="総括",$C419="内訳書",$C419="内訳代価",$C419="明細書",$C419="明細代価",$C419="代価表",$C419="単価表"),データ!W416,"")</f>
        <v/>
      </c>
      <c r="AA419" s="11" t="str">
        <f t="shared" si="40"/>
        <v/>
      </c>
      <c r="AB419" s="46" t="e">
        <f t="shared" si="41"/>
        <v>#DIV/0!</v>
      </c>
      <c r="AC419" s="40" t="str">
        <f>IF(データ!X416="","",データ!X416)</f>
        <v/>
      </c>
      <c r="AD419" s="41" t="str">
        <f>IF(データ!Y416="","",データ!Y416)</f>
        <v/>
      </c>
      <c r="AE419" s="47" t="str">
        <f>TRIM(データ!B416)</f>
        <v/>
      </c>
      <c r="AF419" s="43" t="str">
        <f>TRIM(データ!Z416)</f>
        <v/>
      </c>
    </row>
    <row r="420" spans="1:32" x14ac:dyDescent="0.15">
      <c r="A420" s="47">
        <f>データ!A417</f>
        <v>3</v>
      </c>
      <c r="B420" s="47" t="str">
        <f>TRIM(データ!C417)</f>
        <v/>
      </c>
      <c r="C420" s="47" t="str">
        <f>TRIM(データ!D417)</f>
        <v>材料費</v>
      </c>
      <c r="D420" s="36" t="str">
        <f>REPT("｜",$A420)&amp;TRIM(データ!E417)</f>
        <v>｜｜｜軽油</v>
      </c>
      <c r="E420" s="37" t="str">
        <f>TRIM(データ!F417)</f>
        <v/>
      </c>
      <c r="F420" s="38" t="str">
        <f>TRIM(データ!G417)</f>
        <v>リットル</v>
      </c>
      <c r="G420" s="50">
        <f>データ!H417</f>
        <v>480</v>
      </c>
      <c r="H420" s="48">
        <f>データ!I417</f>
        <v>150</v>
      </c>
      <c r="I420" s="48">
        <f>データ!J417</f>
        <v>72000</v>
      </c>
      <c r="J420" s="39" t="str">
        <f>IF(OR($C420="総括",$C420="内訳書",$C420="内訳代価",$C420="明細書",$C420="明細代価",$C420="代価表",$C420="単価表"),データ!K417,"")</f>
        <v/>
      </c>
      <c r="K420" s="11" t="str">
        <f t="shared" si="36"/>
        <v/>
      </c>
      <c r="L420" s="46">
        <f t="shared" si="37"/>
        <v>1.0366722819748608E-3</v>
      </c>
      <c r="M420" s="40" t="str">
        <f>IF(データ!L417="","",データ!L417)</f>
        <v/>
      </c>
      <c r="N420" s="41" t="str">
        <f>IF(データ!M417="","",データ!M417)</f>
        <v/>
      </c>
      <c r="O420" s="42">
        <f>データ!N417</f>
        <v>0</v>
      </c>
      <c r="P420" s="48">
        <f>IF($C420="集計行","",データ!O417)</f>
        <v>0</v>
      </c>
      <c r="Q420" s="48">
        <f>データ!P417</f>
        <v>0</v>
      </c>
      <c r="R420" s="39" t="str">
        <f>IF(OR($C420="総括",$C420="内訳書",$C420="内訳代価",$C420="明細書",$C420="明細代価",$C420="代価表",$C420="単価表"),データ!Q417,"")</f>
        <v/>
      </c>
      <c r="S420" s="11" t="str">
        <f t="shared" si="38"/>
        <v/>
      </c>
      <c r="T420" s="46" t="e">
        <f t="shared" si="39"/>
        <v>#DIV/0!</v>
      </c>
      <c r="U420" s="40" t="str">
        <f>IF(データ!R417="","",データ!R417)</f>
        <v/>
      </c>
      <c r="V420" s="41" t="str">
        <f>IF(データ!S417="","",データ!S417)</f>
        <v/>
      </c>
      <c r="W420" s="42">
        <f>データ!T417</f>
        <v>0</v>
      </c>
      <c r="X420" s="48">
        <f>IF($C420="集計行","",データ!U417)</f>
        <v>0</v>
      </c>
      <c r="Y420" s="48">
        <f>データ!V417</f>
        <v>0</v>
      </c>
      <c r="Z420" s="39" t="str">
        <f>IF(OR($C420="総括",$C420="内訳書",$C420="内訳代価",$C420="明細書",$C420="明細代価",$C420="代価表",$C420="単価表"),データ!W417,"")</f>
        <v/>
      </c>
      <c r="AA420" s="11" t="str">
        <f t="shared" si="40"/>
        <v/>
      </c>
      <c r="AB420" s="46" t="e">
        <f t="shared" si="41"/>
        <v>#DIV/0!</v>
      </c>
      <c r="AC420" s="40" t="str">
        <f>IF(データ!X417="","",データ!X417)</f>
        <v/>
      </c>
      <c r="AD420" s="41" t="str">
        <f>IF(データ!Y417="","",データ!Y417)</f>
        <v/>
      </c>
      <c r="AE420" s="47" t="str">
        <f>TRIM(データ!B417)</f>
        <v/>
      </c>
      <c r="AF420" s="43" t="str">
        <f>TRIM(データ!Z417)</f>
        <v/>
      </c>
    </row>
    <row r="421" spans="1:32" x14ac:dyDescent="0.15">
      <c r="A421" s="47">
        <f>データ!A418</f>
        <v>3</v>
      </c>
      <c r="B421" s="47" t="str">
        <f>TRIM(データ!C418)</f>
        <v/>
      </c>
      <c r="C421" s="47" t="str">
        <f>TRIM(データ!D418)</f>
        <v>材料費</v>
      </c>
      <c r="D421" s="36" t="str">
        <f>REPT("｜",$A421)&amp;TRIM(データ!E418)</f>
        <v>｜｜｜ガソリン</v>
      </c>
      <c r="E421" s="37" t="str">
        <f>TRIM(データ!F418)</f>
        <v/>
      </c>
      <c r="F421" s="38" t="str">
        <f>TRIM(データ!G418)</f>
        <v>リットル</v>
      </c>
      <c r="G421" s="50">
        <f>データ!H418</f>
        <v>240</v>
      </c>
      <c r="H421" s="48">
        <f>データ!I418</f>
        <v>200</v>
      </c>
      <c r="I421" s="48">
        <f>データ!J418</f>
        <v>48000</v>
      </c>
      <c r="J421" s="39" t="str">
        <f>IF(OR($C421="総括",$C421="内訳書",$C421="内訳代価",$C421="明細書",$C421="明細代価",$C421="代価表",$C421="単価表"),データ!K418,"")</f>
        <v/>
      </c>
      <c r="K421" s="11" t="str">
        <f t="shared" si="36"/>
        <v/>
      </c>
      <c r="L421" s="46">
        <f t="shared" si="37"/>
        <v>6.911148546499071E-4</v>
      </c>
      <c r="M421" s="40" t="str">
        <f>IF(データ!L418="","",データ!L418)</f>
        <v/>
      </c>
      <c r="N421" s="41" t="str">
        <f>IF(データ!M418="","",データ!M418)</f>
        <v/>
      </c>
      <c r="O421" s="42">
        <f>データ!N418</f>
        <v>0</v>
      </c>
      <c r="P421" s="48">
        <f>IF($C421="集計行","",データ!O418)</f>
        <v>0</v>
      </c>
      <c r="Q421" s="48">
        <f>データ!P418</f>
        <v>0</v>
      </c>
      <c r="R421" s="39" t="str">
        <f>IF(OR($C421="総括",$C421="内訳書",$C421="内訳代価",$C421="明細書",$C421="明細代価",$C421="代価表",$C421="単価表"),データ!Q418,"")</f>
        <v/>
      </c>
      <c r="S421" s="11" t="str">
        <f t="shared" si="38"/>
        <v/>
      </c>
      <c r="T421" s="46" t="e">
        <f t="shared" si="39"/>
        <v>#DIV/0!</v>
      </c>
      <c r="U421" s="40" t="str">
        <f>IF(データ!R418="","",データ!R418)</f>
        <v/>
      </c>
      <c r="V421" s="41" t="str">
        <f>IF(データ!S418="","",データ!S418)</f>
        <v/>
      </c>
      <c r="W421" s="42">
        <f>データ!T418</f>
        <v>0</v>
      </c>
      <c r="X421" s="48">
        <f>IF($C421="集計行","",データ!U418)</f>
        <v>0</v>
      </c>
      <c r="Y421" s="48">
        <f>データ!V418</f>
        <v>0</v>
      </c>
      <c r="Z421" s="39" t="str">
        <f>IF(OR($C421="総括",$C421="内訳書",$C421="内訳代価",$C421="明細書",$C421="明細代価",$C421="代価表",$C421="単価表"),データ!W418,"")</f>
        <v/>
      </c>
      <c r="AA421" s="11" t="str">
        <f t="shared" si="40"/>
        <v/>
      </c>
      <c r="AB421" s="46" t="e">
        <f t="shared" si="41"/>
        <v>#DIV/0!</v>
      </c>
      <c r="AC421" s="40" t="str">
        <f>IF(データ!X418="","",データ!X418)</f>
        <v/>
      </c>
      <c r="AD421" s="41" t="str">
        <f>IF(データ!Y418="","",データ!Y418)</f>
        <v/>
      </c>
      <c r="AE421" s="47" t="str">
        <f>TRIM(データ!B418)</f>
        <v/>
      </c>
      <c r="AF421" s="43" t="str">
        <f>TRIM(データ!Z418)</f>
        <v/>
      </c>
    </row>
    <row r="422" spans="1:32" x14ac:dyDescent="0.15">
      <c r="A422" s="47">
        <f>データ!A419</f>
        <v>3</v>
      </c>
      <c r="B422" s="47" t="str">
        <f>TRIM(データ!C419)</f>
        <v/>
      </c>
      <c r="C422" s="47" t="str">
        <f>TRIM(データ!D419)</f>
        <v>材料費</v>
      </c>
      <c r="D422" s="36" t="str">
        <f>REPT("｜",$A422)&amp;TRIM(データ!E419)</f>
        <v>｜｜｜雑材</v>
      </c>
      <c r="E422" s="37" t="str">
        <f>TRIM(データ!F419)</f>
        <v/>
      </c>
      <c r="F422" s="38" t="str">
        <f>TRIM(データ!G419)</f>
        <v>式</v>
      </c>
      <c r="G422" s="50">
        <f>データ!H419</f>
        <v>1</v>
      </c>
      <c r="H422" s="48">
        <f>データ!I419</f>
        <v>43900</v>
      </c>
      <c r="I422" s="48">
        <f>データ!J419</f>
        <v>43900</v>
      </c>
      <c r="J422" s="39" t="str">
        <f>IF(OR($C422="総括",$C422="内訳書",$C422="内訳代価",$C422="明細書",$C422="明細代価",$C422="代価表",$C422="単価表"),データ!K419,"")</f>
        <v/>
      </c>
      <c r="K422" s="11" t="str">
        <f t="shared" si="36"/>
        <v/>
      </c>
      <c r="L422" s="46">
        <f t="shared" si="37"/>
        <v>6.3208212748189425E-4</v>
      </c>
      <c r="M422" s="40" t="str">
        <f>IF(データ!L419="","",データ!L419)</f>
        <v/>
      </c>
      <c r="N422" s="41" t="str">
        <f>IF(データ!M419="","",データ!M419)</f>
        <v/>
      </c>
      <c r="O422" s="42">
        <f>データ!N419</f>
        <v>0</v>
      </c>
      <c r="P422" s="48">
        <f>IF($C422="集計行","",データ!O419)</f>
        <v>0</v>
      </c>
      <c r="Q422" s="48">
        <f>データ!P419</f>
        <v>0</v>
      </c>
      <c r="R422" s="39" t="str">
        <f>IF(OR($C422="総括",$C422="内訳書",$C422="内訳代価",$C422="明細書",$C422="明細代価",$C422="代価表",$C422="単価表"),データ!Q419,"")</f>
        <v/>
      </c>
      <c r="S422" s="11" t="str">
        <f t="shared" si="38"/>
        <v/>
      </c>
      <c r="T422" s="46" t="e">
        <f t="shared" si="39"/>
        <v>#DIV/0!</v>
      </c>
      <c r="U422" s="40" t="str">
        <f>IF(データ!R419="","",データ!R419)</f>
        <v/>
      </c>
      <c r="V422" s="41" t="str">
        <f>IF(データ!S419="","",データ!S419)</f>
        <v/>
      </c>
      <c r="W422" s="42">
        <f>データ!T419</f>
        <v>0</v>
      </c>
      <c r="X422" s="48">
        <f>IF($C422="集計行","",データ!U419)</f>
        <v>0</v>
      </c>
      <c r="Y422" s="48">
        <f>データ!V419</f>
        <v>0</v>
      </c>
      <c r="Z422" s="39" t="str">
        <f>IF(OR($C422="総括",$C422="内訳書",$C422="内訳代価",$C422="明細書",$C422="明細代価",$C422="代価表",$C422="単価表"),データ!W419,"")</f>
        <v/>
      </c>
      <c r="AA422" s="11" t="str">
        <f t="shared" si="40"/>
        <v/>
      </c>
      <c r="AB422" s="46" t="e">
        <f t="shared" si="41"/>
        <v>#DIV/0!</v>
      </c>
      <c r="AC422" s="40" t="str">
        <f>IF(データ!X419="","",データ!X419)</f>
        <v/>
      </c>
      <c r="AD422" s="41" t="str">
        <f>IF(データ!Y419="","",データ!Y419)</f>
        <v/>
      </c>
      <c r="AE422" s="47" t="str">
        <f>TRIM(データ!B419)</f>
        <v/>
      </c>
      <c r="AF422" s="43" t="str">
        <f>TRIM(データ!Z419)</f>
        <v/>
      </c>
    </row>
    <row r="423" spans="1:32" x14ac:dyDescent="0.15">
      <c r="A423" s="47">
        <f>データ!A420</f>
        <v>3</v>
      </c>
      <c r="B423" s="47" t="str">
        <f>TRIM(データ!C420)</f>
        <v/>
      </c>
      <c r="C423" s="47" t="str">
        <f>TRIM(データ!D420)</f>
        <v>外注費</v>
      </c>
      <c r="D423" s="36" t="str">
        <f>REPT("｜",$A423)&amp;TRIM(データ!E420)</f>
        <v>｜｜｜外注経費</v>
      </c>
      <c r="E423" s="37" t="str">
        <f>TRIM(データ!F420)</f>
        <v/>
      </c>
      <c r="F423" s="38" t="str">
        <f>TRIM(データ!G420)</f>
        <v>式</v>
      </c>
      <c r="G423" s="50">
        <f>データ!H420</f>
        <v>1</v>
      </c>
      <c r="H423" s="48">
        <f>データ!I420</f>
        <v>80000</v>
      </c>
      <c r="I423" s="48">
        <f>データ!J420</f>
        <v>80000</v>
      </c>
      <c r="J423" s="39" t="str">
        <f>IF(OR($C423="総括",$C423="内訳書",$C423="内訳代価",$C423="明細書",$C423="明細代価",$C423="代価表",$C423="単価表"),データ!K420,"")</f>
        <v/>
      </c>
      <c r="K423" s="11" t="str">
        <f t="shared" si="36"/>
        <v/>
      </c>
      <c r="L423" s="46">
        <f t="shared" si="37"/>
        <v>1.1518580910831785E-3</v>
      </c>
      <c r="M423" s="40" t="str">
        <f>IF(データ!L420="","",データ!L420)</f>
        <v/>
      </c>
      <c r="N423" s="41" t="str">
        <f>IF(データ!M420="","",データ!M420)</f>
        <v/>
      </c>
      <c r="O423" s="42">
        <f>データ!N420</f>
        <v>0</v>
      </c>
      <c r="P423" s="48">
        <f>IF($C423="集計行","",データ!O420)</f>
        <v>0</v>
      </c>
      <c r="Q423" s="48">
        <f>データ!P420</f>
        <v>0</v>
      </c>
      <c r="R423" s="39" t="str">
        <f>IF(OR($C423="総括",$C423="内訳書",$C423="内訳代価",$C423="明細書",$C423="明細代価",$C423="代価表",$C423="単価表"),データ!Q420,"")</f>
        <v/>
      </c>
      <c r="S423" s="11" t="str">
        <f t="shared" si="38"/>
        <v/>
      </c>
      <c r="T423" s="46" t="e">
        <f t="shared" si="39"/>
        <v>#DIV/0!</v>
      </c>
      <c r="U423" s="40" t="str">
        <f>IF(データ!R420="","",データ!R420)</f>
        <v/>
      </c>
      <c r="V423" s="41" t="str">
        <f>IF(データ!S420="","",データ!S420)</f>
        <v/>
      </c>
      <c r="W423" s="42">
        <f>データ!T420</f>
        <v>0</v>
      </c>
      <c r="X423" s="48">
        <f>IF($C423="集計行","",データ!U420)</f>
        <v>0</v>
      </c>
      <c r="Y423" s="48">
        <f>データ!V420</f>
        <v>0</v>
      </c>
      <c r="Z423" s="39" t="str">
        <f>IF(OR($C423="総括",$C423="内訳書",$C423="内訳代価",$C423="明細書",$C423="明細代価",$C423="代価表",$C423="単価表"),データ!W420,"")</f>
        <v/>
      </c>
      <c r="AA423" s="11" t="str">
        <f t="shared" si="40"/>
        <v/>
      </c>
      <c r="AB423" s="46" t="e">
        <f t="shared" si="41"/>
        <v>#DIV/0!</v>
      </c>
      <c r="AC423" s="40" t="str">
        <f>IF(データ!X420="","",データ!X420)</f>
        <v/>
      </c>
      <c r="AD423" s="41" t="str">
        <f>IF(データ!Y420="","",データ!Y420)</f>
        <v/>
      </c>
      <c r="AE423" s="47" t="str">
        <f>TRIM(データ!B420)</f>
        <v/>
      </c>
      <c r="AF423" s="43" t="str">
        <f>TRIM(データ!Z420)</f>
        <v/>
      </c>
    </row>
    <row r="424" spans="1:32" x14ac:dyDescent="0.15">
      <c r="A424" s="47">
        <f>データ!A421</f>
        <v>2</v>
      </c>
      <c r="B424" s="47" t="str">
        <f>TRIM(データ!C421)</f>
        <v/>
      </c>
      <c r="C424" s="47" t="str">
        <f>TRIM(データ!D421)</f>
        <v>内訳書</v>
      </c>
      <c r="D424" s="36" t="str">
        <f>REPT("｜",$A424)&amp;TRIM(データ!E421)</f>
        <v>｜｜上層路盤工</v>
      </c>
      <c r="E424" s="37" t="str">
        <f>TRIM(データ!F421)</f>
        <v>半たわみ舗装部</v>
      </c>
      <c r="F424" s="38" t="str">
        <f>TRIM(データ!G421)</f>
        <v>m2</v>
      </c>
      <c r="G424" s="50">
        <f>データ!H421</f>
        <v>1133</v>
      </c>
      <c r="H424" s="48">
        <f>データ!I421</f>
        <v>2000</v>
      </c>
      <c r="I424" s="48">
        <f>データ!J421</f>
        <v>2266000</v>
      </c>
      <c r="J424" s="39">
        <f>IF(OR($C424="総括",$C424="内訳書",$C424="内訳代価",$C424="明細書",$C424="明細代価",$C424="代価表",$C424="単価表"),データ!K421,"")</f>
        <v>1133</v>
      </c>
      <c r="K424" s="11" t="str">
        <f t="shared" si="36"/>
        <v/>
      </c>
      <c r="L424" s="46">
        <f t="shared" si="37"/>
        <v>3.2626380429931032E-2</v>
      </c>
      <c r="M424" s="40" t="str">
        <f>IF(データ!L421="","",データ!L421)</f>
        <v/>
      </c>
      <c r="N424" s="41" t="str">
        <f>IF(データ!M421="","",データ!M421)</f>
        <v>55号内訳書</v>
      </c>
      <c r="O424" s="42">
        <f>データ!N421</f>
        <v>0</v>
      </c>
      <c r="P424" s="48">
        <f>IF($C424="集計行","",データ!O421)</f>
        <v>0</v>
      </c>
      <c r="Q424" s="48">
        <f>データ!P421</f>
        <v>0</v>
      </c>
      <c r="R424" s="39">
        <f>IF(OR($C424="総括",$C424="内訳書",$C424="内訳代価",$C424="明細書",$C424="明細代価",$C424="代価表",$C424="単価表"),データ!Q421,"")</f>
        <v>0</v>
      </c>
      <c r="S424" s="11" t="str">
        <f t="shared" si="38"/>
        <v/>
      </c>
      <c r="T424" s="46" t="e">
        <f t="shared" si="39"/>
        <v>#DIV/0!</v>
      </c>
      <c r="U424" s="40" t="str">
        <f>IF(データ!R421="","",データ!R421)</f>
        <v/>
      </c>
      <c r="V424" s="41" t="str">
        <f>IF(データ!S421="","",データ!S421)</f>
        <v/>
      </c>
      <c r="W424" s="42">
        <f>データ!T421</f>
        <v>0</v>
      </c>
      <c r="X424" s="48">
        <f>IF($C424="集計行","",データ!U421)</f>
        <v>0</v>
      </c>
      <c r="Y424" s="48">
        <f>データ!V421</f>
        <v>0</v>
      </c>
      <c r="Z424" s="39">
        <f>IF(OR($C424="総括",$C424="内訳書",$C424="内訳代価",$C424="明細書",$C424="明細代価",$C424="代価表",$C424="単価表"),データ!W421,"")</f>
        <v>0</v>
      </c>
      <c r="AA424" s="11" t="str">
        <f t="shared" si="40"/>
        <v/>
      </c>
      <c r="AB424" s="46" t="e">
        <f t="shared" si="41"/>
        <v>#DIV/0!</v>
      </c>
      <c r="AC424" s="40" t="str">
        <f>IF(データ!X421="","",データ!X421)</f>
        <v/>
      </c>
      <c r="AD424" s="41" t="str">
        <f>IF(データ!Y421="","",データ!Y421)</f>
        <v/>
      </c>
      <c r="AE424" s="47" t="str">
        <f>TRIM(データ!B421)</f>
        <v/>
      </c>
      <c r="AF424" s="43" t="str">
        <f>TRIM(データ!Z421)</f>
        <v/>
      </c>
    </row>
    <row r="425" spans="1:32" x14ac:dyDescent="0.15">
      <c r="A425" s="47">
        <f>データ!A422</f>
        <v>3</v>
      </c>
      <c r="B425" s="47" t="str">
        <f>TRIM(データ!C422)</f>
        <v/>
      </c>
      <c r="C425" s="47" t="str">
        <f>TRIM(データ!D422)</f>
        <v>材料費</v>
      </c>
      <c r="D425" s="36" t="str">
        <f>REPT("｜",$A425)&amp;TRIM(データ!E422)</f>
        <v>｜｜｜M-30</v>
      </c>
      <c r="E425" s="37" t="str">
        <f>TRIM(データ!F422)</f>
        <v/>
      </c>
      <c r="F425" s="38" t="str">
        <f>TRIM(データ!G422)</f>
        <v>m3</v>
      </c>
      <c r="G425" s="50">
        <f>データ!H422</f>
        <v>205</v>
      </c>
      <c r="H425" s="48">
        <f>データ!I422</f>
        <v>5800</v>
      </c>
      <c r="I425" s="48">
        <f>データ!J422</f>
        <v>1189000</v>
      </c>
      <c r="J425" s="39" t="str">
        <f>IF(OR($C425="総括",$C425="内訳書",$C425="内訳代価",$C425="明細書",$C425="明細代価",$C425="代価表",$C425="単価表"),データ!K422,"")</f>
        <v/>
      </c>
      <c r="K425" s="11" t="str">
        <f t="shared" si="36"/>
        <v/>
      </c>
      <c r="L425" s="46">
        <f t="shared" si="37"/>
        <v>1.7119490878723741E-2</v>
      </c>
      <c r="M425" s="40" t="str">
        <f>IF(データ!L422="","",データ!L422)</f>
        <v/>
      </c>
      <c r="N425" s="41" t="str">
        <f>IF(データ!M422="","",データ!M422)</f>
        <v/>
      </c>
      <c r="O425" s="42">
        <f>データ!N422</f>
        <v>0</v>
      </c>
      <c r="P425" s="48">
        <f>IF($C425="集計行","",データ!O422)</f>
        <v>0</v>
      </c>
      <c r="Q425" s="48">
        <f>データ!P422</f>
        <v>0</v>
      </c>
      <c r="R425" s="39" t="str">
        <f>IF(OR($C425="総括",$C425="内訳書",$C425="内訳代価",$C425="明細書",$C425="明細代価",$C425="代価表",$C425="単価表"),データ!Q422,"")</f>
        <v/>
      </c>
      <c r="S425" s="11" t="str">
        <f t="shared" si="38"/>
        <v/>
      </c>
      <c r="T425" s="46" t="e">
        <f t="shared" si="39"/>
        <v>#DIV/0!</v>
      </c>
      <c r="U425" s="40" t="str">
        <f>IF(データ!R422="","",データ!R422)</f>
        <v/>
      </c>
      <c r="V425" s="41" t="str">
        <f>IF(データ!S422="","",データ!S422)</f>
        <v/>
      </c>
      <c r="W425" s="42">
        <f>データ!T422</f>
        <v>0</v>
      </c>
      <c r="X425" s="48">
        <f>IF($C425="集計行","",データ!U422)</f>
        <v>0</v>
      </c>
      <c r="Y425" s="48">
        <f>データ!V422</f>
        <v>0</v>
      </c>
      <c r="Z425" s="39" t="str">
        <f>IF(OR($C425="総括",$C425="内訳書",$C425="内訳代価",$C425="明細書",$C425="明細代価",$C425="代価表",$C425="単価表"),データ!W422,"")</f>
        <v/>
      </c>
      <c r="AA425" s="11" t="str">
        <f t="shared" si="40"/>
        <v/>
      </c>
      <c r="AB425" s="46" t="e">
        <f t="shared" si="41"/>
        <v>#DIV/0!</v>
      </c>
      <c r="AC425" s="40" t="str">
        <f>IF(データ!X422="","",データ!X422)</f>
        <v/>
      </c>
      <c r="AD425" s="41" t="str">
        <f>IF(データ!Y422="","",データ!Y422)</f>
        <v/>
      </c>
      <c r="AE425" s="47" t="str">
        <f>TRIM(データ!B422)</f>
        <v/>
      </c>
      <c r="AF425" s="43" t="str">
        <f>TRIM(データ!Z422)</f>
        <v/>
      </c>
    </row>
    <row r="426" spans="1:32" x14ac:dyDescent="0.15">
      <c r="A426" s="47">
        <f>データ!A423</f>
        <v>3</v>
      </c>
      <c r="B426" s="47" t="str">
        <f>TRIM(データ!C423)</f>
        <v/>
      </c>
      <c r="C426" s="47" t="str">
        <f>TRIM(データ!D423)</f>
        <v>労務費</v>
      </c>
      <c r="D426" s="36" t="str">
        <f>REPT("｜",$A426)&amp;TRIM(データ!E423)</f>
        <v>｜｜｜技工</v>
      </c>
      <c r="E426" s="37" t="str">
        <f>TRIM(データ!F423)</f>
        <v/>
      </c>
      <c r="F426" s="38" t="str">
        <f>TRIM(データ!G423)</f>
        <v>人</v>
      </c>
      <c r="G426" s="50">
        <f>データ!H423</f>
        <v>20</v>
      </c>
      <c r="H426" s="48">
        <f>データ!I423</f>
        <v>28000</v>
      </c>
      <c r="I426" s="48">
        <f>データ!J423</f>
        <v>560000</v>
      </c>
      <c r="J426" s="39" t="str">
        <f>IF(OR($C426="総括",$C426="内訳書",$C426="内訳代価",$C426="明細書",$C426="明細代価",$C426="代価表",$C426="単価表"),データ!K423,"")</f>
        <v/>
      </c>
      <c r="K426" s="11" t="str">
        <f t="shared" si="36"/>
        <v/>
      </c>
      <c r="L426" s="46">
        <f t="shared" si="37"/>
        <v>8.0630066375822502E-3</v>
      </c>
      <c r="M426" s="40" t="str">
        <f>IF(データ!L423="","",データ!L423)</f>
        <v/>
      </c>
      <c r="N426" s="41" t="str">
        <f>IF(データ!M423="","",データ!M423)</f>
        <v/>
      </c>
      <c r="O426" s="42">
        <f>データ!N423</f>
        <v>0</v>
      </c>
      <c r="P426" s="48">
        <f>IF($C426="集計行","",データ!O423)</f>
        <v>0</v>
      </c>
      <c r="Q426" s="48">
        <f>データ!P423</f>
        <v>0</v>
      </c>
      <c r="R426" s="39" t="str">
        <f>IF(OR($C426="総括",$C426="内訳書",$C426="内訳代価",$C426="明細書",$C426="明細代価",$C426="代価表",$C426="単価表"),データ!Q423,"")</f>
        <v/>
      </c>
      <c r="S426" s="11" t="str">
        <f t="shared" si="38"/>
        <v/>
      </c>
      <c r="T426" s="46" t="e">
        <f t="shared" si="39"/>
        <v>#DIV/0!</v>
      </c>
      <c r="U426" s="40" t="str">
        <f>IF(データ!R423="","",データ!R423)</f>
        <v/>
      </c>
      <c r="V426" s="41" t="str">
        <f>IF(データ!S423="","",データ!S423)</f>
        <v/>
      </c>
      <c r="W426" s="42">
        <f>データ!T423</f>
        <v>0</v>
      </c>
      <c r="X426" s="48">
        <f>IF($C426="集計行","",データ!U423)</f>
        <v>0</v>
      </c>
      <c r="Y426" s="48">
        <f>データ!V423</f>
        <v>0</v>
      </c>
      <c r="Z426" s="39" t="str">
        <f>IF(OR($C426="総括",$C426="内訳書",$C426="内訳代価",$C426="明細書",$C426="明細代価",$C426="代価表",$C426="単価表"),データ!W423,"")</f>
        <v/>
      </c>
      <c r="AA426" s="11" t="str">
        <f t="shared" si="40"/>
        <v/>
      </c>
      <c r="AB426" s="46" t="e">
        <f t="shared" si="41"/>
        <v>#DIV/0!</v>
      </c>
      <c r="AC426" s="40" t="str">
        <f>IF(データ!X423="","",データ!X423)</f>
        <v/>
      </c>
      <c r="AD426" s="41" t="str">
        <f>IF(データ!Y423="","",データ!Y423)</f>
        <v/>
      </c>
      <c r="AE426" s="47" t="str">
        <f>TRIM(データ!B423)</f>
        <v/>
      </c>
      <c r="AF426" s="43" t="str">
        <f>TRIM(データ!Z423)</f>
        <v/>
      </c>
    </row>
    <row r="427" spans="1:32" x14ac:dyDescent="0.15">
      <c r="A427" s="47">
        <f>データ!A424</f>
        <v>3</v>
      </c>
      <c r="B427" s="47" t="str">
        <f>TRIM(データ!C424)</f>
        <v/>
      </c>
      <c r="C427" s="47" t="str">
        <f>TRIM(データ!D424)</f>
        <v>機械費</v>
      </c>
      <c r="D427" s="36" t="str">
        <f>REPT("｜",$A427)&amp;TRIM(データ!E424)</f>
        <v>｜｜｜BH0.4</v>
      </c>
      <c r="E427" s="37" t="str">
        <f>TRIM(データ!F424)</f>
        <v/>
      </c>
      <c r="F427" s="38" t="str">
        <f>TRIM(データ!G424)</f>
        <v>台</v>
      </c>
      <c r="G427" s="50">
        <f>データ!H424</f>
        <v>4</v>
      </c>
      <c r="H427" s="48">
        <f>データ!I424</f>
        <v>14000</v>
      </c>
      <c r="I427" s="48">
        <f>データ!J424</f>
        <v>56000</v>
      </c>
      <c r="J427" s="39" t="str">
        <f>IF(OR($C427="総括",$C427="内訳書",$C427="内訳代価",$C427="明細書",$C427="明細代価",$C427="代価表",$C427="単価表"),データ!K424,"")</f>
        <v/>
      </c>
      <c r="K427" s="11" t="str">
        <f t="shared" si="36"/>
        <v/>
      </c>
      <c r="L427" s="46">
        <f t="shared" si="37"/>
        <v>8.0630066375822495E-4</v>
      </c>
      <c r="M427" s="40" t="str">
        <f>IF(データ!L424="","",データ!L424)</f>
        <v/>
      </c>
      <c r="N427" s="41" t="str">
        <f>IF(データ!M424="","",データ!M424)</f>
        <v/>
      </c>
      <c r="O427" s="42">
        <f>データ!N424</f>
        <v>0</v>
      </c>
      <c r="P427" s="48">
        <f>IF($C427="集計行","",データ!O424)</f>
        <v>0</v>
      </c>
      <c r="Q427" s="48">
        <f>データ!P424</f>
        <v>0</v>
      </c>
      <c r="R427" s="39" t="str">
        <f>IF(OR($C427="総括",$C427="内訳書",$C427="内訳代価",$C427="明細書",$C427="明細代価",$C427="代価表",$C427="単価表"),データ!Q424,"")</f>
        <v/>
      </c>
      <c r="S427" s="11" t="str">
        <f t="shared" si="38"/>
        <v/>
      </c>
      <c r="T427" s="46" t="e">
        <f t="shared" si="39"/>
        <v>#DIV/0!</v>
      </c>
      <c r="U427" s="40" t="str">
        <f>IF(データ!R424="","",データ!R424)</f>
        <v/>
      </c>
      <c r="V427" s="41" t="str">
        <f>IF(データ!S424="","",データ!S424)</f>
        <v/>
      </c>
      <c r="W427" s="42">
        <f>データ!T424</f>
        <v>0</v>
      </c>
      <c r="X427" s="48">
        <f>IF($C427="集計行","",データ!U424)</f>
        <v>0</v>
      </c>
      <c r="Y427" s="48">
        <f>データ!V424</f>
        <v>0</v>
      </c>
      <c r="Z427" s="39" t="str">
        <f>IF(OR($C427="総括",$C427="内訳書",$C427="内訳代価",$C427="明細書",$C427="明細代価",$C427="代価表",$C427="単価表"),データ!W424,"")</f>
        <v/>
      </c>
      <c r="AA427" s="11" t="str">
        <f t="shared" si="40"/>
        <v/>
      </c>
      <c r="AB427" s="46" t="e">
        <f t="shared" si="41"/>
        <v>#DIV/0!</v>
      </c>
      <c r="AC427" s="40" t="str">
        <f>IF(データ!X424="","",データ!X424)</f>
        <v/>
      </c>
      <c r="AD427" s="41" t="str">
        <f>IF(データ!Y424="","",データ!Y424)</f>
        <v/>
      </c>
      <c r="AE427" s="47" t="str">
        <f>TRIM(データ!B424)</f>
        <v/>
      </c>
      <c r="AF427" s="43" t="str">
        <f>TRIM(データ!Z424)</f>
        <v/>
      </c>
    </row>
    <row r="428" spans="1:32" x14ac:dyDescent="0.15">
      <c r="A428" s="47">
        <f>データ!A425</f>
        <v>3</v>
      </c>
      <c r="B428" s="47" t="str">
        <f>TRIM(データ!C425)</f>
        <v/>
      </c>
      <c r="C428" s="47" t="str">
        <f>TRIM(データ!D425)</f>
        <v>機械費</v>
      </c>
      <c r="D428" s="36" t="str">
        <f>REPT("｜",$A428)&amp;TRIM(データ!E425)</f>
        <v>｜｜｜ブルドーザ</v>
      </c>
      <c r="E428" s="37" t="str">
        <f>TRIM(データ!F425)</f>
        <v/>
      </c>
      <c r="F428" s="38" t="str">
        <f>TRIM(データ!G425)</f>
        <v>台</v>
      </c>
      <c r="G428" s="50">
        <f>データ!H425</f>
        <v>4</v>
      </c>
      <c r="H428" s="48">
        <f>データ!I425</f>
        <v>8000</v>
      </c>
      <c r="I428" s="48">
        <f>データ!J425</f>
        <v>32000</v>
      </c>
      <c r="J428" s="39" t="str">
        <f>IF(OR($C428="総括",$C428="内訳書",$C428="内訳代価",$C428="明細書",$C428="明細代価",$C428="代価表",$C428="単価表"),データ!K425,"")</f>
        <v/>
      </c>
      <c r="K428" s="11" t="str">
        <f t="shared" si="36"/>
        <v/>
      </c>
      <c r="L428" s="46">
        <f t="shared" si="37"/>
        <v>4.607432364332714E-4</v>
      </c>
      <c r="M428" s="40" t="str">
        <f>IF(データ!L425="","",データ!L425)</f>
        <v/>
      </c>
      <c r="N428" s="41" t="str">
        <f>IF(データ!M425="","",データ!M425)</f>
        <v/>
      </c>
      <c r="O428" s="42">
        <f>データ!N425</f>
        <v>0</v>
      </c>
      <c r="P428" s="48">
        <f>IF($C428="集計行","",データ!O425)</f>
        <v>0</v>
      </c>
      <c r="Q428" s="48">
        <f>データ!P425</f>
        <v>0</v>
      </c>
      <c r="R428" s="39" t="str">
        <f>IF(OR($C428="総括",$C428="内訳書",$C428="内訳代価",$C428="明細書",$C428="明細代価",$C428="代価表",$C428="単価表"),データ!Q425,"")</f>
        <v/>
      </c>
      <c r="S428" s="11" t="str">
        <f t="shared" si="38"/>
        <v/>
      </c>
      <c r="T428" s="46" t="e">
        <f t="shared" si="39"/>
        <v>#DIV/0!</v>
      </c>
      <c r="U428" s="40" t="str">
        <f>IF(データ!R425="","",データ!R425)</f>
        <v/>
      </c>
      <c r="V428" s="41" t="str">
        <f>IF(データ!S425="","",データ!S425)</f>
        <v/>
      </c>
      <c r="W428" s="42">
        <f>データ!T425</f>
        <v>0</v>
      </c>
      <c r="X428" s="48">
        <f>IF($C428="集計行","",データ!U425)</f>
        <v>0</v>
      </c>
      <c r="Y428" s="48">
        <f>データ!V425</f>
        <v>0</v>
      </c>
      <c r="Z428" s="39" t="str">
        <f>IF(OR($C428="総括",$C428="内訳書",$C428="内訳代価",$C428="明細書",$C428="明細代価",$C428="代価表",$C428="単価表"),データ!W425,"")</f>
        <v/>
      </c>
      <c r="AA428" s="11" t="str">
        <f t="shared" si="40"/>
        <v/>
      </c>
      <c r="AB428" s="46" t="e">
        <f t="shared" si="41"/>
        <v>#DIV/0!</v>
      </c>
      <c r="AC428" s="40" t="str">
        <f>IF(データ!X425="","",データ!X425)</f>
        <v/>
      </c>
      <c r="AD428" s="41" t="str">
        <f>IF(データ!Y425="","",データ!Y425)</f>
        <v/>
      </c>
      <c r="AE428" s="47" t="str">
        <f>TRIM(データ!B425)</f>
        <v/>
      </c>
      <c r="AF428" s="43" t="str">
        <f>TRIM(データ!Z425)</f>
        <v/>
      </c>
    </row>
    <row r="429" spans="1:32" x14ac:dyDescent="0.15">
      <c r="A429" s="47">
        <f>データ!A426</f>
        <v>3</v>
      </c>
      <c r="B429" s="47" t="str">
        <f>TRIM(データ!C426)</f>
        <v/>
      </c>
      <c r="C429" s="47" t="str">
        <f>TRIM(データ!D426)</f>
        <v>機械費</v>
      </c>
      <c r="D429" s="36" t="str">
        <f>REPT("｜",$A429)&amp;TRIM(データ!E426)</f>
        <v>｜｜｜コンバインドローラ</v>
      </c>
      <c r="E429" s="37" t="str">
        <f>TRIM(データ!F426)</f>
        <v/>
      </c>
      <c r="F429" s="38" t="str">
        <f>TRIM(データ!G426)</f>
        <v>台</v>
      </c>
      <c r="G429" s="50">
        <f>データ!H426</f>
        <v>4</v>
      </c>
      <c r="H429" s="48">
        <f>データ!I426</f>
        <v>8000</v>
      </c>
      <c r="I429" s="48">
        <f>データ!J426</f>
        <v>32000</v>
      </c>
      <c r="J429" s="39" t="str">
        <f>IF(OR($C429="総括",$C429="内訳書",$C429="内訳代価",$C429="明細書",$C429="明細代価",$C429="代価表",$C429="単価表"),データ!K426,"")</f>
        <v/>
      </c>
      <c r="K429" s="11" t="str">
        <f t="shared" si="36"/>
        <v/>
      </c>
      <c r="L429" s="46">
        <f t="shared" si="37"/>
        <v>4.607432364332714E-4</v>
      </c>
      <c r="M429" s="40" t="str">
        <f>IF(データ!L426="","",データ!L426)</f>
        <v/>
      </c>
      <c r="N429" s="41" t="str">
        <f>IF(データ!M426="","",データ!M426)</f>
        <v/>
      </c>
      <c r="O429" s="42">
        <f>データ!N426</f>
        <v>0</v>
      </c>
      <c r="P429" s="48">
        <f>IF($C429="集計行","",データ!O426)</f>
        <v>0</v>
      </c>
      <c r="Q429" s="48">
        <f>データ!P426</f>
        <v>0</v>
      </c>
      <c r="R429" s="39" t="str">
        <f>IF(OR($C429="総括",$C429="内訳書",$C429="内訳代価",$C429="明細書",$C429="明細代価",$C429="代価表",$C429="単価表"),データ!Q426,"")</f>
        <v/>
      </c>
      <c r="S429" s="11" t="str">
        <f t="shared" si="38"/>
        <v/>
      </c>
      <c r="T429" s="46" t="e">
        <f t="shared" si="39"/>
        <v>#DIV/0!</v>
      </c>
      <c r="U429" s="40" t="str">
        <f>IF(データ!R426="","",データ!R426)</f>
        <v/>
      </c>
      <c r="V429" s="41" t="str">
        <f>IF(データ!S426="","",データ!S426)</f>
        <v/>
      </c>
      <c r="W429" s="42">
        <f>データ!T426</f>
        <v>0</v>
      </c>
      <c r="X429" s="48">
        <f>IF($C429="集計行","",データ!U426)</f>
        <v>0</v>
      </c>
      <c r="Y429" s="48">
        <f>データ!V426</f>
        <v>0</v>
      </c>
      <c r="Z429" s="39" t="str">
        <f>IF(OR($C429="総括",$C429="内訳書",$C429="内訳代価",$C429="明細書",$C429="明細代価",$C429="代価表",$C429="単価表"),データ!W426,"")</f>
        <v/>
      </c>
      <c r="AA429" s="11" t="str">
        <f t="shared" si="40"/>
        <v/>
      </c>
      <c r="AB429" s="46" t="e">
        <f t="shared" si="41"/>
        <v>#DIV/0!</v>
      </c>
      <c r="AC429" s="40" t="str">
        <f>IF(データ!X426="","",データ!X426)</f>
        <v/>
      </c>
      <c r="AD429" s="41" t="str">
        <f>IF(データ!Y426="","",データ!Y426)</f>
        <v/>
      </c>
      <c r="AE429" s="47" t="str">
        <f>TRIM(データ!B426)</f>
        <v/>
      </c>
      <c r="AF429" s="43" t="str">
        <f>TRIM(データ!Z426)</f>
        <v/>
      </c>
    </row>
    <row r="430" spans="1:32" x14ac:dyDescent="0.15">
      <c r="A430" s="47">
        <f>データ!A427</f>
        <v>3</v>
      </c>
      <c r="B430" s="47" t="str">
        <f>TRIM(データ!C427)</f>
        <v/>
      </c>
      <c r="C430" s="47" t="str">
        <f>TRIM(データ!D427)</f>
        <v>機械費</v>
      </c>
      <c r="D430" s="36" t="str">
        <f>REPT("｜",$A430)&amp;TRIM(データ!E427)</f>
        <v>｜｜｜タイヤローラ10t</v>
      </c>
      <c r="E430" s="37" t="str">
        <f>TRIM(データ!F427)</f>
        <v/>
      </c>
      <c r="F430" s="38" t="str">
        <f>TRIM(データ!G427)</f>
        <v>台</v>
      </c>
      <c r="G430" s="50">
        <f>データ!H427</f>
        <v>4</v>
      </c>
      <c r="H430" s="48">
        <f>データ!I427</f>
        <v>10000</v>
      </c>
      <c r="I430" s="48">
        <f>データ!J427</f>
        <v>40000</v>
      </c>
      <c r="J430" s="39" t="str">
        <f>IF(OR($C430="総括",$C430="内訳書",$C430="内訳代価",$C430="明細書",$C430="明細代価",$C430="代価表",$C430="単価表"),データ!K427,"")</f>
        <v/>
      </c>
      <c r="K430" s="11" t="str">
        <f t="shared" si="36"/>
        <v/>
      </c>
      <c r="L430" s="46">
        <f t="shared" si="37"/>
        <v>5.7592904554158925E-4</v>
      </c>
      <c r="M430" s="40" t="str">
        <f>IF(データ!L427="","",データ!L427)</f>
        <v/>
      </c>
      <c r="N430" s="41" t="str">
        <f>IF(データ!M427="","",データ!M427)</f>
        <v/>
      </c>
      <c r="O430" s="42">
        <f>データ!N427</f>
        <v>0</v>
      </c>
      <c r="P430" s="48">
        <f>IF($C430="集計行","",データ!O427)</f>
        <v>0</v>
      </c>
      <c r="Q430" s="48">
        <f>データ!P427</f>
        <v>0</v>
      </c>
      <c r="R430" s="39" t="str">
        <f>IF(OR($C430="総括",$C430="内訳書",$C430="内訳代価",$C430="明細書",$C430="明細代価",$C430="代価表",$C430="単価表"),データ!Q427,"")</f>
        <v/>
      </c>
      <c r="S430" s="11" t="str">
        <f t="shared" si="38"/>
        <v/>
      </c>
      <c r="T430" s="46" t="e">
        <f t="shared" si="39"/>
        <v>#DIV/0!</v>
      </c>
      <c r="U430" s="40" t="str">
        <f>IF(データ!R427="","",データ!R427)</f>
        <v/>
      </c>
      <c r="V430" s="41" t="str">
        <f>IF(データ!S427="","",データ!S427)</f>
        <v/>
      </c>
      <c r="W430" s="42">
        <f>データ!T427</f>
        <v>0</v>
      </c>
      <c r="X430" s="48">
        <f>IF($C430="集計行","",データ!U427)</f>
        <v>0</v>
      </c>
      <c r="Y430" s="48">
        <f>データ!V427</f>
        <v>0</v>
      </c>
      <c r="Z430" s="39" t="str">
        <f>IF(OR($C430="総括",$C430="内訳書",$C430="内訳代価",$C430="明細書",$C430="明細代価",$C430="代価表",$C430="単価表"),データ!W427,"")</f>
        <v/>
      </c>
      <c r="AA430" s="11" t="str">
        <f t="shared" si="40"/>
        <v/>
      </c>
      <c r="AB430" s="46" t="e">
        <f t="shared" si="41"/>
        <v>#DIV/0!</v>
      </c>
      <c r="AC430" s="40" t="str">
        <f>IF(データ!X427="","",データ!X427)</f>
        <v/>
      </c>
      <c r="AD430" s="41" t="str">
        <f>IF(データ!Y427="","",データ!Y427)</f>
        <v/>
      </c>
      <c r="AE430" s="47" t="str">
        <f>TRIM(データ!B427)</f>
        <v/>
      </c>
      <c r="AF430" s="43" t="str">
        <f>TRIM(データ!Z427)</f>
        <v/>
      </c>
    </row>
    <row r="431" spans="1:32" x14ac:dyDescent="0.15">
      <c r="A431" s="47">
        <f>データ!A428</f>
        <v>3</v>
      </c>
      <c r="B431" s="47" t="str">
        <f>TRIM(データ!C428)</f>
        <v/>
      </c>
      <c r="C431" s="47" t="str">
        <f>TRIM(データ!D428)</f>
        <v>機械費</v>
      </c>
      <c r="D431" s="36" t="str">
        <f>REPT("｜",$A431)&amp;TRIM(データ!E428)</f>
        <v>｜｜｜タイヤショベル</v>
      </c>
      <c r="E431" s="37" t="str">
        <f>TRIM(データ!F428)</f>
        <v/>
      </c>
      <c r="F431" s="38" t="str">
        <f>TRIM(データ!G428)</f>
        <v>台</v>
      </c>
      <c r="G431" s="50">
        <f>データ!H428</f>
        <v>4</v>
      </c>
      <c r="H431" s="48">
        <f>データ!I428</f>
        <v>8000</v>
      </c>
      <c r="I431" s="48">
        <f>データ!J428</f>
        <v>32000</v>
      </c>
      <c r="J431" s="39" t="str">
        <f>IF(OR($C431="総括",$C431="内訳書",$C431="内訳代価",$C431="明細書",$C431="明細代価",$C431="代価表",$C431="単価表"),データ!K428,"")</f>
        <v/>
      </c>
      <c r="K431" s="11" t="str">
        <f t="shared" si="36"/>
        <v/>
      </c>
      <c r="L431" s="46">
        <f t="shared" si="37"/>
        <v>4.607432364332714E-4</v>
      </c>
      <c r="M431" s="40" t="str">
        <f>IF(データ!L428="","",データ!L428)</f>
        <v/>
      </c>
      <c r="N431" s="41" t="str">
        <f>IF(データ!M428="","",データ!M428)</f>
        <v/>
      </c>
      <c r="O431" s="42">
        <f>データ!N428</f>
        <v>0</v>
      </c>
      <c r="P431" s="48">
        <f>IF($C431="集計行","",データ!O428)</f>
        <v>0</v>
      </c>
      <c r="Q431" s="48">
        <f>データ!P428</f>
        <v>0</v>
      </c>
      <c r="R431" s="39" t="str">
        <f>IF(OR($C431="総括",$C431="内訳書",$C431="内訳代価",$C431="明細書",$C431="明細代価",$C431="代価表",$C431="単価表"),データ!Q428,"")</f>
        <v/>
      </c>
      <c r="S431" s="11" t="str">
        <f t="shared" si="38"/>
        <v/>
      </c>
      <c r="T431" s="46" t="e">
        <f t="shared" si="39"/>
        <v>#DIV/0!</v>
      </c>
      <c r="U431" s="40" t="str">
        <f>IF(データ!R428="","",データ!R428)</f>
        <v/>
      </c>
      <c r="V431" s="41" t="str">
        <f>IF(データ!S428="","",データ!S428)</f>
        <v/>
      </c>
      <c r="W431" s="42">
        <f>データ!T428</f>
        <v>0</v>
      </c>
      <c r="X431" s="48">
        <f>IF($C431="集計行","",データ!U428)</f>
        <v>0</v>
      </c>
      <c r="Y431" s="48">
        <f>データ!V428</f>
        <v>0</v>
      </c>
      <c r="Z431" s="39" t="str">
        <f>IF(OR($C431="総括",$C431="内訳書",$C431="内訳代価",$C431="明細書",$C431="明細代価",$C431="代価表",$C431="単価表"),データ!W428,"")</f>
        <v/>
      </c>
      <c r="AA431" s="11" t="str">
        <f t="shared" si="40"/>
        <v/>
      </c>
      <c r="AB431" s="46" t="e">
        <f t="shared" si="41"/>
        <v>#DIV/0!</v>
      </c>
      <c r="AC431" s="40" t="str">
        <f>IF(データ!X428="","",データ!X428)</f>
        <v/>
      </c>
      <c r="AD431" s="41" t="str">
        <f>IF(データ!Y428="","",データ!Y428)</f>
        <v/>
      </c>
      <c r="AE431" s="47" t="str">
        <f>TRIM(データ!B428)</f>
        <v/>
      </c>
      <c r="AF431" s="43" t="str">
        <f>TRIM(データ!Z428)</f>
        <v/>
      </c>
    </row>
    <row r="432" spans="1:32" x14ac:dyDescent="0.15">
      <c r="A432" s="47">
        <f>データ!A429</f>
        <v>3</v>
      </c>
      <c r="B432" s="47" t="str">
        <f>TRIM(データ!C429)</f>
        <v/>
      </c>
      <c r="C432" s="47" t="str">
        <f>TRIM(データ!D429)</f>
        <v>機械費</v>
      </c>
      <c r="D432" s="36" t="str">
        <f>REPT("｜",$A432)&amp;TRIM(データ!E429)</f>
        <v>｜｜｜ランマー</v>
      </c>
      <c r="E432" s="37" t="str">
        <f>TRIM(データ!F429)</f>
        <v/>
      </c>
      <c r="F432" s="38" t="str">
        <f>TRIM(データ!G429)</f>
        <v>台</v>
      </c>
      <c r="G432" s="50">
        <f>データ!H429</f>
        <v>4</v>
      </c>
      <c r="H432" s="48">
        <f>データ!I429</f>
        <v>1500</v>
      </c>
      <c r="I432" s="48">
        <f>データ!J429</f>
        <v>6000</v>
      </c>
      <c r="J432" s="39" t="str">
        <f>IF(OR($C432="総括",$C432="内訳書",$C432="内訳代価",$C432="明細書",$C432="明細代価",$C432="代価表",$C432="単価表"),データ!K429,"")</f>
        <v/>
      </c>
      <c r="K432" s="11" t="str">
        <f t="shared" si="36"/>
        <v/>
      </c>
      <c r="L432" s="46">
        <f t="shared" si="37"/>
        <v>8.6389356831238388E-5</v>
      </c>
      <c r="M432" s="40" t="str">
        <f>IF(データ!L429="","",データ!L429)</f>
        <v/>
      </c>
      <c r="N432" s="41" t="str">
        <f>IF(データ!M429="","",データ!M429)</f>
        <v/>
      </c>
      <c r="O432" s="42">
        <f>データ!N429</f>
        <v>0</v>
      </c>
      <c r="P432" s="48">
        <f>IF($C432="集計行","",データ!O429)</f>
        <v>0</v>
      </c>
      <c r="Q432" s="48">
        <f>データ!P429</f>
        <v>0</v>
      </c>
      <c r="R432" s="39" t="str">
        <f>IF(OR($C432="総括",$C432="内訳書",$C432="内訳代価",$C432="明細書",$C432="明細代価",$C432="代価表",$C432="単価表"),データ!Q429,"")</f>
        <v/>
      </c>
      <c r="S432" s="11" t="str">
        <f t="shared" si="38"/>
        <v/>
      </c>
      <c r="T432" s="46" t="e">
        <f t="shared" si="39"/>
        <v>#DIV/0!</v>
      </c>
      <c r="U432" s="40" t="str">
        <f>IF(データ!R429="","",データ!R429)</f>
        <v/>
      </c>
      <c r="V432" s="41" t="str">
        <f>IF(データ!S429="","",データ!S429)</f>
        <v/>
      </c>
      <c r="W432" s="42">
        <f>データ!T429</f>
        <v>0</v>
      </c>
      <c r="X432" s="48">
        <f>IF($C432="集計行","",データ!U429)</f>
        <v>0</v>
      </c>
      <c r="Y432" s="48">
        <f>データ!V429</f>
        <v>0</v>
      </c>
      <c r="Z432" s="39" t="str">
        <f>IF(OR($C432="総括",$C432="内訳書",$C432="内訳代価",$C432="明細書",$C432="明細代価",$C432="代価表",$C432="単価表"),データ!W429,"")</f>
        <v/>
      </c>
      <c r="AA432" s="11" t="str">
        <f t="shared" si="40"/>
        <v/>
      </c>
      <c r="AB432" s="46" t="e">
        <f t="shared" si="41"/>
        <v>#DIV/0!</v>
      </c>
      <c r="AC432" s="40" t="str">
        <f>IF(データ!X429="","",データ!X429)</f>
        <v/>
      </c>
      <c r="AD432" s="41" t="str">
        <f>IF(データ!Y429="","",データ!Y429)</f>
        <v/>
      </c>
      <c r="AE432" s="47" t="str">
        <f>TRIM(データ!B429)</f>
        <v/>
      </c>
      <c r="AF432" s="43" t="str">
        <f>TRIM(データ!Z429)</f>
        <v/>
      </c>
    </row>
    <row r="433" spans="1:32" x14ac:dyDescent="0.15">
      <c r="A433" s="47">
        <f>データ!A430</f>
        <v>3</v>
      </c>
      <c r="B433" s="47" t="str">
        <f>TRIM(データ!C430)</f>
        <v/>
      </c>
      <c r="C433" s="47" t="str">
        <f>TRIM(データ!D430)</f>
        <v>機械費</v>
      </c>
      <c r="D433" s="36" t="str">
        <f>REPT("｜",$A433)&amp;TRIM(データ!E430)</f>
        <v>｜｜｜プレート</v>
      </c>
      <c r="E433" s="37" t="str">
        <f>TRIM(データ!F430)</f>
        <v/>
      </c>
      <c r="F433" s="38" t="str">
        <f>TRIM(データ!G430)</f>
        <v>台</v>
      </c>
      <c r="G433" s="50">
        <f>データ!H430</f>
        <v>4</v>
      </c>
      <c r="H433" s="48">
        <f>データ!I430</f>
        <v>1500</v>
      </c>
      <c r="I433" s="48">
        <f>データ!J430</f>
        <v>6000</v>
      </c>
      <c r="J433" s="39" t="str">
        <f>IF(OR($C433="総括",$C433="内訳書",$C433="内訳代価",$C433="明細書",$C433="明細代価",$C433="代価表",$C433="単価表"),データ!K430,"")</f>
        <v/>
      </c>
      <c r="K433" s="11" t="str">
        <f t="shared" si="36"/>
        <v/>
      </c>
      <c r="L433" s="46">
        <f t="shared" si="37"/>
        <v>8.6389356831238388E-5</v>
      </c>
      <c r="M433" s="40" t="str">
        <f>IF(データ!L430="","",データ!L430)</f>
        <v/>
      </c>
      <c r="N433" s="41" t="str">
        <f>IF(データ!M430="","",データ!M430)</f>
        <v/>
      </c>
      <c r="O433" s="42">
        <f>データ!N430</f>
        <v>0</v>
      </c>
      <c r="P433" s="48">
        <f>IF($C433="集計行","",データ!O430)</f>
        <v>0</v>
      </c>
      <c r="Q433" s="48">
        <f>データ!P430</f>
        <v>0</v>
      </c>
      <c r="R433" s="39" t="str">
        <f>IF(OR($C433="総括",$C433="内訳書",$C433="内訳代価",$C433="明細書",$C433="明細代価",$C433="代価表",$C433="単価表"),データ!Q430,"")</f>
        <v/>
      </c>
      <c r="S433" s="11" t="str">
        <f t="shared" si="38"/>
        <v/>
      </c>
      <c r="T433" s="46" t="e">
        <f t="shared" si="39"/>
        <v>#DIV/0!</v>
      </c>
      <c r="U433" s="40" t="str">
        <f>IF(データ!R430="","",データ!R430)</f>
        <v/>
      </c>
      <c r="V433" s="41" t="str">
        <f>IF(データ!S430="","",データ!S430)</f>
        <v/>
      </c>
      <c r="W433" s="42">
        <f>データ!T430</f>
        <v>0</v>
      </c>
      <c r="X433" s="48">
        <f>IF($C433="集計行","",データ!U430)</f>
        <v>0</v>
      </c>
      <c r="Y433" s="48">
        <f>データ!V430</f>
        <v>0</v>
      </c>
      <c r="Z433" s="39" t="str">
        <f>IF(OR($C433="総括",$C433="内訳書",$C433="内訳代価",$C433="明細書",$C433="明細代価",$C433="代価表",$C433="単価表"),データ!W430,"")</f>
        <v/>
      </c>
      <c r="AA433" s="11" t="str">
        <f t="shared" si="40"/>
        <v/>
      </c>
      <c r="AB433" s="46" t="e">
        <f t="shared" si="41"/>
        <v>#DIV/0!</v>
      </c>
      <c r="AC433" s="40" t="str">
        <f>IF(データ!X430="","",データ!X430)</f>
        <v/>
      </c>
      <c r="AD433" s="41" t="str">
        <f>IF(データ!Y430="","",データ!Y430)</f>
        <v/>
      </c>
      <c r="AE433" s="47" t="str">
        <f>TRIM(データ!B430)</f>
        <v/>
      </c>
      <c r="AF433" s="43" t="str">
        <f>TRIM(データ!Z430)</f>
        <v/>
      </c>
    </row>
    <row r="434" spans="1:32" x14ac:dyDescent="0.15">
      <c r="A434" s="47">
        <f>データ!A431</f>
        <v>3</v>
      </c>
      <c r="B434" s="47" t="str">
        <f>TRIM(データ!C431)</f>
        <v/>
      </c>
      <c r="C434" s="47" t="str">
        <f>TRIM(データ!D431)</f>
        <v>運搬費</v>
      </c>
      <c r="D434" s="36" t="str">
        <f>REPT("｜",$A434)&amp;TRIM(データ!E431)</f>
        <v>｜｜｜4tダンプ</v>
      </c>
      <c r="E434" s="37" t="str">
        <f>TRIM(データ!F431)</f>
        <v/>
      </c>
      <c r="F434" s="38" t="str">
        <f>TRIM(データ!G431)</f>
        <v>台</v>
      </c>
      <c r="G434" s="50">
        <f>データ!H431</f>
        <v>4</v>
      </c>
      <c r="H434" s="48">
        <f>データ!I431</f>
        <v>10000</v>
      </c>
      <c r="I434" s="48">
        <f>データ!J431</f>
        <v>40000</v>
      </c>
      <c r="J434" s="39" t="str">
        <f>IF(OR($C434="総括",$C434="内訳書",$C434="内訳代価",$C434="明細書",$C434="明細代価",$C434="代価表",$C434="単価表"),データ!K431,"")</f>
        <v/>
      </c>
      <c r="K434" s="11" t="str">
        <f t="shared" si="36"/>
        <v/>
      </c>
      <c r="L434" s="46">
        <f t="shared" si="37"/>
        <v>5.7592904554158925E-4</v>
      </c>
      <c r="M434" s="40" t="str">
        <f>IF(データ!L431="","",データ!L431)</f>
        <v/>
      </c>
      <c r="N434" s="41" t="str">
        <f>IF(データ!M431="","",データ!M431)</f>
        <v/>
      </c>
      <c r="O434" s="42">
        <f>データ!N431</f>
        <v>0</v>
      </c>
      <c r="P434" s="48">
        <f>IF($C434="集計行","",データ!O431)</f>
        <v>0</v>
      </c>
      <c r="Q434" s="48">
        <f>データ!P431</f>
        <v>0</v>
      </c>
      <c r="R434" s="39" t="str">
        <f>IF(OR($C434="総括",$C434="内訳書",$C434="内訳代価",$C434="明細書",$C434="明細代価",$C434="代価表",$C434="単価表"),データ!Q431,"")</f>
        <v/>
      </c>
      <c r="S434" s="11" t="str">
        <f t="shared" si="38"/>
        <v/>
      </c>
      <c r="T434" s="46" t="e">
        <f t="shared" si="39"/>
        <v>#DIV/0!</v>
      </c>
      <c r="U434" s="40" t="str">
        <f>IF(データ!R431="","",データ!R431)</f>
        <v/>
      </c>
      <c r="V434" s="41" t="str">
        <f>IF(データ!S431="","",データ!S431)</f>
        <v/>
      </c>
      <c r="W434" s="42">
        <f>データ!T431</f>
        <v>0</v>
      </c>
      <c r="X434" s="48">
        <f>IF($C434="集計行","",データ!U431)</f>
        <v>0</v>
      </c>
      <c r="Y434" s="48">
        <f>データ!V431</f>
        <v>0</v>
      </c>
      <c r="Z434" s="39" t="str">
        <f>IF(OR($C434="総括",$C434="内訳書",$C434="内訳代価",$C434="明細書",$C434="明細代価",$C434="代価表",$C434="単価表"),データ!W431,"")</f>
        <v/>
      </c>
      <c r="AA434" s="11" t="str">
        <f t="shared" si="40"/>
        <v/>
      </c>
      <c r="AB434" s="46" t="e">
        <f t="shared" si="41"/>
        <v>#DIV/0!</v>
      </c>
      <c r="AC434" s="40" t="str">
        <f>IF(データ!X431="","",データ!X431)</f>
        <v/>
      </c>
      <c r="AD434" s="41" t="str">
        <f>IF(データ!Y431="","",データ!Y431)</f>
        <v/>
      </c>
      <c r="AE434" s="47" t="str">
        <f>TRIM(データ!B431)</f>
        <v/>
      </c>
      <c r="AF434" s="43" t="str">
        <f>TRIM(データ!Z431)</f>
        <v/>
      </c>
    </row>
    <row r="435" spans="1:32" x14ac:dyDescent="0.15">
      <c r="A435" s="47">
        <f>データ!A432</f>
        <v>3</v>
      </c>
      <c r="B435" s="47" t="str">
        <f>TRIM(データ!C432)</f>
        <v/>
      </c>
      <c r="C435" s="47" t="str">
        <f>TRIM(データ!D432)</f>
        <v>運搬費</v>
      </c>
      <c r="D435" s="36" t="str">
        <f>REPT("｜",$A435)&amp;TRIM(データ!E432)</f>
        <v>｜｜｜2tダンプ</v>
      </c>
      <c r="E435" s="37" t="str">
        <f>TRIM(データ!F432)</f>
        <v/>
      </c>
      <c r="F435" s="38" t="str">
        <f>TRIM(データ!G432)</f>
        <v>台</v>
      </c>
      <c r="G435" s="50">
        <f>データ!H432</f>
        <v>4</v>
      </c>
      <c r="H435" s="48">
        <f>データ!I432</f>
        <v>7000</v>
      </c>
      <c r="I435" s="48">
        <f>データ!J432</f>
        <v>28000</v>
      </c>
      <c r="J435" s="39" t="str">
        <f>IF(OR($C435="総括",$C435="内訳書",$C435="内訳代価",$C435="明細書",$C435="明細代価",$C435="代価表",$C435="単価表"),データ!K432,"")</f>
        <v/>
      </c>
      <c r="K435" s="11" t="str">
        <f t="shared" si="36"/>
        <v/>
      </c>
      <c r="L435" s="46">
        <f t="shared" si="37"/>
        <v>4.0315033187911248E-4</v>
      </c>
      <c r="M435" s="40" t="str">
        <f>IF(データ!L432="","",データ!L432)</f>
        <v/>
      </c>
      <c r="N435" s="41" t="str">
        <f>IF(データ!M432="","",データ!M432)</f>
        <v/>
      </c>
      <c r="O435" s="42">
        <f>データ!N432</f>
        <v>0</v>
      </c>
      <c r="P435" s="48">
        <f>IF($C435="集計行","",データ!O432)</f>
        <v>0</v>
      </c>
      <c r="Q435" s="48">
        <f>データ!P432</f>
        <v>0</v>
      </c>
      <c r="R435" s="39" t="str">
        <f>IF(OR($C435="総括",$C435="内訳書",$C435="内訳代価",$C435="明細書",$C435="明細代価",$C435="代価表",$C435="単価表"),データ!Q432,"")</f>
        <v/>
      </c>
      <c r="S435" s="11" t="str">
        <f t="shared" si="38"/>
        <v/>
      </c>
      <c r="T435" s="46" t="e">
        <f t="shared" si="39"/>
        <v>#DIV/0!</v>
      </c>
      <c r="U435" s="40" t="str">
        <f>IF(データ!R432="","",データ!R432)</f>
        <v/>
      </c>
      <c r="V435" s="41" t="str">
        <f>IF(データ!S432="","",データ!S432)</f>
        <v/>
      </c>
      <c r="W435" s="42">
        <f>データ!T432</f>
        <v>0</v>
      </c>
      <c r="X435" s="48">
        <f>IF($C435="集計行","",データ!U432)</f>
        <v>0</v>
      </c>
      <c r="Y435" s="48">
        <f>データ!V432</f>
        <v>0</v>
      </c>
      <c r="Z435" s="39" t="str">
        <f>IF(OR($C435="総括",$C435="内訳書",$C435="内訳代価",$C435="明細書",$C435="明細代価",$C435="代価表",$C435="単価表"),データ!W432,"")</f>
        <v/>
      </c>
      <c r="AA435" s="11" t="str">
        <f t="shared" si="40"/>
        <v/>
      </c>
      <c r="AB435" s="46" t="e">
        <f t="shared" si="41"/>
        <v>#DIV/0!</v>
      </c>
      <c r="AC435" s="40" t="str">
        <f>IF(データ!X432="","",データ!X432)</f>
        <v/>
      </c>
      <c r="AD435" s="41" t="str">
        <f>IF(データ!Y432="","",データ!Y432)</f>
        <v/>
      </c>
      <c r="AE435" s="47" t="str">
        <f>TRIM(データ!B432)</f>
        <v/>
      </c>
      <c r="AF435" s="43" t="str">
        <f>TRIM(データ!Z432)</f>
        <v/>
      </c>
    </row>
    <row r="436" spans="1:32" x14ac:dyDescent="0.15">
      <c r="A436" s="47">
        <f>データ!A433</f>
        <v>3</v>
      </c>
      <c r="B436" s="47" t="str">
        <f>TRIM(データ!C433)</f>
        <v/>
      </c>
      <c r="C436" s="47" t="str">
        <f>TRIM(データ!D433)</f>
        <v>運搬費</v>
      </c>
      <c r="D436" s="36" t="str">
        <f>REPT("｜",$A436)&amp;TRIM(データ!E433)</f>
        <v>｜｜｜WP</v>
      </c>
      <c r="E436" s="37" t="str">
        <f>TRIM(データ!F433)</f>
        <v/>
      </c>
      <c r="F436" s="38" t="str">
        <f>TRIM(データ!G433)</f>
        <v>台</v>
      </c>
      <c r="G436" s="50">
        <f>データ!H433</f>
        <v>4</v>
      </c>
      <c r="H436" s="48">
        <f>データ!I433</f>
        <v>7000</v>
      </c>
      <c r="I436" s="48">
        <f>データ!J433</f>
        <v>28000</v>
      </c>
      <c r="J436" s="39" t="str">
        <f>IF(OR($C436="総括",$C436="内訳書",$C436="内訳代価",$C436="明細書",$C436="明細代価",$C436="代価表",$C436="単価表"),データ!K433,"")</f>
        <v/>
      </c>
      <c r="K436" s="11" t="str">
        <f t="shared" si="36"/>
        <v/>
      </c>
      <c r="L436" s="46">
        <f t="shared" si="37"/>
        <v>4.0315033187911248E-4</v>
      </c>
      <c r="M436" s="40" t="str">
        <f>IF(データ!L433="","",データ!L433)</f>
        <v/>
      </c>
      <c r="N436" s="41" t="str">
        <f>IF(データ!M433="","",データ!M433)</f>
        <v/>
      </c>
      <c r="O436" s="42">
        <f>データ!N433</f>
        <v>0</v>
      </c>
      <c r="P436" s="48">
        <f>IF($C436="集計行","",データ!O433)</f>
        <v>0</v>
      </c>
      <c r="Q436" s="48">
        <f>データ!P433</f>
        <v>0</v>
      </c>
      <c r="R436" s="39" t="str">
        <f>IF(OR($C436="総括",$C436="内訳書",$C436="内訳代価",$C436="明細書",$C436="明細代価",$C436="代価表",$C436="単価表"),データ!Q433,"")</f>
        <v/>
      </c>
      <c r="S436" s="11" t="str">
        <f t="shared" si="38"/>
        <v/>
      </c>
      <c r="T436" s="46" t="e">
        <f t="shared" si="39"/>
        <v>#DIV/0!</v>
      </c>
      <c r="U436" s="40" t="str">
        <f>IF(データ!R433="","",データ!R433)</f>
        <v/>
      </c>
      <c r="V436" s="41" t="str">
        <f>IF(データ!S433="","",データ!S433)</f>
        <v/>
      </c>
      <c r="W436" s="42">
        <f>データ!T433</f>
        <v>0</v>
      </c>
      <c r="X436" s="48">
        <f>IF($C436="集計行","",データ!U433)</f>
        <v>0</v>
      </c>
      <c r="Y436" s="48">
        <f>データ!V433</f>
        <v>0</v>
      </c>
      <c r="Z436" s="39" t="str">
        <f>IF(OR($C436="総括",$C436="内訳書",$C436="内訳代価",$C436="明細書",$C436="明細代価",$C436="代価表",$C436="単価表"),データ!W433,"")</f>
        <v/>
      </c>
      <c r="AA436" s="11" t="str">
        <f t="shared" si="40"/>
        <v/>
      </c>
      <c r="AB436" s="46" t="e">
        <f t="shared" si="41"/>
        <v>#DIV/0!</v>
      </c>
      <c r="AC436" s="40" t="str">
        <f>IF(データ!X433="","",データ!X433)</f>
        <v/>
      </c>
      <c r="AD436" s="41" t="str">
        <f>IF(データ!Y433="","",データ!Y433)</f>
        <v/>
      </c>
      <c r="AE436" s="47" t="str">
        <f>TRIM(データ!B433)</f>
        <v/>
      </c>
      <c r="AF436" s="43" t="str">
        <f>TRIM(データ!Z433)</f>
        <v/>
      </c>
    </row>
    <row r="437" spans="1:32" x14ac:dyDescent="0.15">
      <c r="A437" s="47">
        <f>データ!A434</f>
        <v>3</v>
      </c>
      <c r="B437" s="47" t="str">
        <f>TRIM(データ!C434)</f>
        <v/>
      </c>
      <c r="C437" s="47" t="str">
        <f>TRIM(データ!D434)</f>
        <v>材料費</v>
      </c>
      <c r="D437" s="36" t="str">
        <f>REPT("｜",$A437)&amp;TRIM(データ!E434)</f>
        <v>｜｜｜軽油</v>
      </c>
      <c r="E437" s="37" t="str">
        <f>TRIM(データ!F434)</f>
        <v/>
      </c>
      <c r="F437" s="38" t="str">
        <f>TRIM(データ!G434)</f>
        <v>リットル</v>
      </c>
      <c r="G437" s="50">
        <f>データ!H434</f>
        <v>480</v>
      </c>
      <c r="H437" s="48">
        <f>データ!I434</f>
        <v>150</v>
      </c>
      <c r="I437" s="48">
        <f>データ!J434</f>
        <v>72000</v>
      </c>
      <c r="J437" s="39" t="str">
        <f>IF(OR($C437="総括",$C437="内訳書",$C437="内訳代価",$C437="明細書",$C437="明細代価",$C437="代価表",$C437="単価表"),データ!K434,"")</f>
        <v/>
      </c>
      <c r="K437" s="11" t="str">
        <f t="shared" si="36"/>
        <v/>
      </c>
      <c r="L437" s="46">
        <f t="shared" si="37"/>
        <v>1.0366722819748608E-3</v>
      </c>
      <c r="M437" s="40" t="str">
        <f>IF(データ!L434="","",データ!L434)</f>
        <v/>
      </c>
      <c r="N437" s="41" t="str">
        <f>IF(データ!M434="","",データ!M434)</f>
        <v/>
      </c>
      <c r="O437" s="42">
        <f>データ!N434</f>
        <v>0</v>
      </c>
      <c r="P437" s="48">
        <f>IF($C437="集計行","",データ!O434)</f>
        <v>0</v>
      </c>
      <c r="Q437" s="48">
        <f>データ!P434</f>
        <v>0</v>
      </c>
      <c r="R437" s="39" t="str">
        <f>IF(OR($C437="総括",$C437="内訳書",$C437="内訳代価",$C437="明細書",$C437="明細代価",$C437="代価表",$C437="単価表"),データ!Q434,"")</f>
        <v/>
      </c>
      <c r="S437" s="11" t="str">
        <f t="shared" si="38"/>
        <v/>
      </c>
      <c r="T437" s="46" t="e">
        <f t="shared" si="39"/>
        <v>#DIV/0!</v>
      </c>
      <c r="U437" s="40" t="str">
        <f>IF(データ!R434="","",データ!R434)</f>
        <v/>
      </c>
      <c r="V437" s="41" t="str">
        <f>IF(データ!S434="","",データ!S434)</f>
        <v/>
      </c>
      <c r="W437" s="42">
        <f>データ!T434</f>
        <v>0</v>
      </c>
      <c r="X437" s="48">
        <f>IF($C437="集計行","",データ!U434)</f>
        <v>0</v>
      </c>
      <c r="Y437" s="48">
        <f>データ!V434</f>
        <v>0</v>
      </c>
      <c r="Z437" s="39" t="str">
        <f>IF(OR($C437="総括",$C437="内訳書",$C437="内訳代価",$C437="明細書",$C437="明細代価",$C437="代価表",$C437="単価表"),データ!W434,"")</f>
        <v/>
      </c>
      <c r="AA437" s="11" t="str">
        <f t="shared" si="40"/>
        <v/>
      </c>
      <c r="AB437" s="46" t="e">
        <f t="shared" si="41"/>
        <v>#DIV/0!</v>
      </c>
      <c r="AC437" s="40" t="str">
        <f>IF(データ!X434="","",データ!X434)</f>
        <v/>
      </c>
      <c r="AD437" s="41" t="str">
        <f>IF(データ!Y434="","",データ!Y434)</f>
        <v/>
      </c>
      <c r="AE437" s="47" t="str">
        <f>TRIM(データ!B434)</f>
        <v/>
      </c>
      <c r="AF437" s="43" t="str">
        <f>TRIM(データ!Z434)</f>
        <v/>
      </c>
    </row>
    <row r="438" spans="1:32" x14ac:dyDescent="0.15">
      <c r="A438" s="47">
        <f>データ!A435</f>
        <v>3</v>
      </c>
      <c r="B438" s="47" t="str">
        <f>TRIM(データ!C435)</f>
        <v/>
      </c>
      <c r="C438" s="47" t="str">
        <f>TRIM(データ!D435)</f>
        <v>材料費</v>
      </c>
      <c r="D438" s="36" t="str">
        <f>REPT("｜",$A438)&amp;TRIM(データ!E435)</f>
        <v>｜｜｜ガソリン</v>
      </c>
      <c r="E438" s="37" t="str">
        <f>TRIM(データ!F435)</f>
        <v/>
      </c>
      <c r="F438" s="38" t="str">
        <f>TRIM(データ!G435)</f>
        <v>リットル</v>
      </c>
      <c r="G438" s="50">
        <f>データ!H435</f>
        <v>240</v>
      </c>
      <c r="H438" s="48">
        <f>データ!I435</f>
        <v>200</v>
      </c>
      <c r="I438" s="48">
        <f>データ!J435</f>
        <v>48000</v>
      </c>
      <c r="J438" s="39" t="str">
        <f>IF(OR($C438="総括",$C438="内訳書",$C438="内訳代価",$C438="明細書",$C438="明細代価",$C438="代価表",$C438="単価表"),データ!K435,"")</f>
        <v/>
      </c>
      <c r="K438" s="11" t="str">
        <f t="shared" si="36"/>
        <v/>
      </c>
      <c r="L438" s="46">
        <f t="shared" si="37"/>
        <v>6.911148546499071E-4</v>
      </c>
      <c r="M438" s="40" t="str">
        <f>IF(データ!L435="","",データ!L435)</f>
        <v/>
      </c>
      <c r="N438" s="41" t="str">
        <f>IF(データ!M435="","",データ!M435)</f>
        <v/>
      </c>
      <c r="O438" s="42">
        <f>データ!N435</f>
        <v>0</v>
      </c>
      <c r="P438" s="48">
        <f>IF($C438="集計行","",データ!O435)</f>
        <v>0</v>
      </c>
      <c r="Q438" s="48">
        <f>データ!P435</f>
        <v>0</v>
      </c>
      <c r="R438" s="39" t="str">
        <f>IF(OR($C438="総括",$C438="内訳書",$C438="内訳代価",$C438="明細書",$C438="明細代価",$C438="代価表",$C438="単価表"),データ!Q435,"")</f>
        <v/>
      </c>
      <c r="S438" s="11" t="str">
        <f t="shared" si="38"/>
        <v/>
      </c>
      <c r="T438" s="46" t="e">
        <f t="shared" si="39"/>
        <v>#DIV/0!</v>
      </c>
      <c r="U438" s="40" t="str">
        <f>IF(データ!R435="","",データ!R435)</f>
        <v/>
      </c>
      <c r="V438" s="41" t="str">
        <f>IF(データ!S435="","",データ!S435)</f>
        <v/>
      </c>
      <c r="W438" s="42">
        <f>データ!T435</f>
        <v>0</v>
      </c>
      <c r="X438" s="48">
        <f>IF($C438="集計行","",データ!U435)</f>
        <v>0</v>
      </c>
      <c r="Y438" s="48">
        <f>データ!V435</f>
        <v>0</v>
      </c>
      <c r="Z438" s="39" t="str">
        <f>IF(OR($C438="総括",$C438="内訳書",$C438="内訳代価",$C438="明細書",$C438="明細代価",$C438="代価表",$C438="単価表"),データ!W435,"")</f>
        <v/>
      </c>
      <c r="AA438" s="11" t="str">
        <f t="shared" si="40"/>
        <v/>
      </c>
      <c r="AB438" s="46" t="e">
        <f t="shared" si="41"/>
        <v>#DIV/0!</v>
      </c>
      <c r="AC438" s="40" t="str">
        <f>IF(データ!X435="","",データ!X435)</f>
        <v/>
      </c>
      <c r="AD438" s="41" t="str">
        <f>IF(データ!Y435="","",データ!Y435)</f>
        <v/>
      </c>
      <c r="AE438" s="47" t="str">
        <f>TRIM(データ!B435)</f>
        <v/>
      </c>
      <c r="AF438" s="43" t="str">
        <f>TRIM(データ!Z435)</f>
        <v/>
      </c>
    </row>
    <row r="439" spans="1:32" x14ac:dyDescent="0.15">
      <c r="A439" s="47">
        <f>データ!A436</f>
        <v>3</v>
      </c>
      <c r="B439" s="47" t="str">
        <f>TRIM(データ!C436)</f>
        <v/>
      </c>
      <c r="C439" s="47" t="str">
        <f>TRIM(データ!D436)</f>
        <v>材料費</v>
      </c>
      <c r="D439" s="36" t="str">
        <f>REPT("｜",$A439)&amp;TRIM(データ!E436)</f>
        <v>｜｜｜雑材</v>
      </c>
      <c r="E439" s="37" t="str">
        <f>TRIM(データ!F436)</f>
        <v/>
      </c>
      <c r="F439" s="38" t="str">
        <f>TRIM(データ!G436)</f>
        <v>式</v>
      </c>
      <c r="G439" s="50">
        <f>データ!H436</f>
        <v>1</v>
      </c>
      <c r="H439" s="48">
        <f>データ!I436</f>
        <v>17000</v>
      </c>
      <c r="I439" s="48">
        <f>データ!J436</f>
        <v>17000</v>
      </c>
      <c r="J439" s="39" t="str">
        <f>IF(OR($C439="総括",$C439="内訳書",$C439="内訳代価",$C439="明細書",$C439="明細代価",$C439="代価表",$C439="単価表"),データ!K436,"")</f>
        <v/>
      </c>
      <c r="K439" s="11" t="str">
        <f t="shared" si="36"/>
        <v/>
      </c>
      <c r="L439" s="46">
        <f t="shared" si="37"/>
        <v>2.4476984435517545E-4</v>
      </c>
      <c r="M439" s="40" t="str">
        <f>IF(データ!L436="","",データ!L436)</f>
        <v/>
      </c>
      <c r="N439" s="41" t="str">
        <f>IF(データ!M436="","",データ!M436)</f>
        <v/>
      </c>
      <c r="O439" s="42">
        <f>データ!N436</f>
        <v>0</v>
      </c>
      <c r="P439" s="48">
        <f>IF($C439="集計行","",データ!O436)</f>
        <v>0</v>
      </c>
      <c r="Q439" s="48">
        <f>データ!P436</f>
        <v>0</v>
      </c>
      <c r="R439" s="39" t="str">
        <f>IF(OR($C439="総括",$C439="内訳書",$C439="内訳代価",$C439="明細書",$C439="明細代価",$C439="代価表",$C439="単価表"),データ!Q436,"")</f>
        <v/>
      </c>
      <c r="S439" s="11" t="str">
        <f t="shared" si="38"/>
        <v/>
      </c>
      <c r="T439" s="46" t="e">
        <f t="shared" si="39"/>
        <v>#DIV/0!</v>
      </c>
      <c r="U439" s="40" t="str">
        <f>IF(データ!R436="","",データ!R436)</f>
        <v/>
      </c>
      <c r="V439" s="41" t="str">
        <f>IF(データ!S436="","",データ!S436)</f>
        <v/>
      </c>
      <c r="W439" s="42">
        <f>データ!T436</f>
        <v>0</v>
      </c>
      <c r="X439" s="48">
        <f>IF($C439="集計行","",データ!U436)</f>
        <v>0</v>
      </c>
      <c r="Y439" s="48">
        <f>データ!V436</f>
        <v>0</v>
      </c>
      <c r="Z439" s="39" t="str">
        <f>IF(OR($C439="総括",$C439="内訳書",$C439="内訳代価",$C439="明細書",$C439="明細代価",$C439="代価表",$C439="単価表"),データ!W436,"")</f>
        <v/>
      </c>
      <c r="AA439" s="11" t="str">
        <f t="shared" si="40"/>
        <v/>
      </c>
      <c r="AB439" s="46" t="e">
        <f t="shared" si="41"/>
        <v>#DIV/0!</v>
      </c>
      <c r="AC439" s="40" t="str">
        <f>IF(データ!X436="","",データ!X436)</f>
        <v/>
      </c>
      <c r="AD439" s="41" t="str">
        <f>IF(データ!Y436="","",データ!Y436)</f>
        <v/>
      </c>
      <c r="AE439" s="47" t="str">
        <f>TRIM(データ!B436)</f>
        <v/>
      </c>
      <c r="AF439" s="43" t="str">
        <f>TRIM(データ!Z436)</f>
        <v/>
      </c>
    </row>
    <row r="440" spans="1:32" x14ac:dyDescent="0.15">
      <c r="A440" s="47">
        <f>データ!A437</f>
        <v>3</v>
      </c>
      <c r="B440" s="47" t="str">
        <f>TRIM(データ!C437)</f>
        <v/>
      </c>
      <c r="C440" s="47" t="str">
        <f>TRIM(データ!D437)</f>
        <v>外注費</v>
      </c>
      <c r="D440" s="36" t="str">
        <f>REPT("｜",$A440)&amp;TRIM(データ!E437)</f>
        <v>｜｜｜外注経費</v>
      </c>
      <c r="E440" s="37" t="str">
        <f>TRIM(データ!F437)</f>
        <v/>
      </c>
      <c r="F440" s="38" t="str">
        <f>TRIM(データ!G437)</f>
        <v>式</v>
      </c>
      <c r="G440" s="50">
        <f>データ!H437</f>
        <v>1</v>
      </c>
      <c r="H440" s="48">
        <f>データ!I437</f>
        <v>80000</v>
      </c>
      <c r="I440" s="48">
        <f>データ!J437</f>
        <v>80000</v>
      </c>
      <c r="J440" s="39" t="str">
        <f>IF(OR($C440="総括",$C440="内訳書",$C440="内訳代価",$C440="明細書",$C440="明細代価",$C440="代価表",$C440="単価表"),データ!K437,"")</f>
        <v/>
      </c>
      <c r="K440" s="11" t="str">
        <f t="shared" si="36"/>
        <v/>
      </c>
      <c r="L440" s="46">
        <f t="shared" si="37"/>
        <v>1.1518580910831785E-3</v>
      </c>
      <c r="M440" s="40" t="str">
        <f>IF(データ!L437="","",データ!L437)</f>
        <v/>
      </c>
      <c r="N440" s="41" t="str">
        <f>IF(データ!M437="","",データ!M437)</f>
        <v/>
      </c>
      <c r="O440" s="42">
        <f>データ!N437</f>
        <v>0</v>
      </c>
      <c r="P440" s="48">
        <f>IF($C440="集計行","",データ!O437)</f>
        <v>0</v>
      </c>
      <c r="Q440" s="48">
        <f>データ!P437</f>
        <v>0</v>
      </c>
      <c r="R440" s="39" t="str">
        <f>IF(OR($C440="総括",$C440="内訳書",$C440="内訳代価",$C440="明細書",$C440="明細代価",$C440="代価表",$C440="単価表"),データ!Q437,"")</f>
        <v/>
      </c>
      <c r="S440" s="11" t="str">
        <f t="shared" si="38"/>
        <v/>
      </c>
      <c r="T440" s="46" t="e">
        <f t="shared" si="39"/>
        <v>#DIV/0!</v>
      </c>
      <c r="U440" s="40" t="str">
        <f>IF(データ!R437="","",データ!R437)</f>
        <v/>
      </c>
      <c r="V440" s="41" t="str">
        <f>IF(データ!S437="","",データ!S437)</f>
        <v/>
      </c>
      <c r="W440" s="42">
        <f>データ!T437</f>
        <v>0</v>
      </c>
      <c r="X440" s="48">
        <f>IF($C440="集計行","",データ!U437)</f>
        <v>0</v>
      </c>
      <c r="Y440" s="48">
        <f>データ!V437</f>
        <v>0</v>
      </c>
      <c r="Z440" s="39" t="str">
        <f>IF(OR($C440="総括",$C440="内訳書",$C440="内訳代価",$C440="明細書",$C440="明細代価",$C440="代価表",$C440="単価表"),データ!W437,"")</f>
        <v/>
      </c>
      <c r="AA440" s="11" t="str">
        <f t="shared" si="40"/>
        <v/>
      </c>
      <c r="AB440" s="46" t="e">
        <f t="shared" si="41"/>
        <v>#DIV/0!</v>
      </c>
      <c r="AC440" s="40" t="str">
        <f>IF(データ!X437="","",データ!X437)</f>
        <v/>
      </c>
      <c r="AD440" s="41" t="str">
        <f>IF(データ!Y437="","",データ!Y437)</f>
        <v/>
      </c>
      <c r="AE440" s="47" t="str">
        <f>TRIM(データ!B437)</f>
        <v/>
      </c>
      <c r="AF440" s="43" t="str">
        <f>TRIM(データ!Z437)</f>
        <v/>
      </c>
    </row>
    <row r="441" spans="1:32" x14ac:dyDescent="0.15">
      <c r="A441" s="47">
        <f>データ!A438</f>
        <v>2</v>
      </c>
      <c r="B441" s="47" t="str">
        <f>TRIM(データ!C438)</f>
        <v/>
      </c>
      <c r="C441" s="47" t="str">
        <f>TRIM(データ!D438)</f>
        <v>内訳書</v>
      </c>
      <c r="D441" s="36" t="str">
        <f>REPT("｜",$A441)&amp;TRIM(データ!E438)</f>
        <v>｜｜アスファルト舗装工</v>
      </c>
      <c r="E441" s="37" t="str">
        <f>TRIM(データ!F438)</f>
        <v>一般アスファルト舗装</v>
      </c>
      <c r="F441" s="38" t="str">
        <f>TRIM(データ!G438)</f>
        <v>m2</v>
      </c>
      <c r="G441" s="50">
        <f>データ!H438</f>
        <v>483.5</v>
      </c>
      <c r="H441" s="48">
        <f>データ!I438</f>
        <v>2800</v>
      </c>
      <c r="I441" s="48">
        <f>データ!J438</f>
        <v>1353800</v>
      </c>
      <c r="J441" s="39">
        <f>IF(OR($C441="総括",$C441="内訳書",$C441="内訳代価",$C441="明細書",$C441="明細代価",$C441="代価表",$C441="単価表"),データ!K438,"")</f>
        <v>483.5</v>
      </c>
      <c r="K441" s="11" t="str">
        <f t="shared" si="36"/>
        <v/>
      </c>
      <c r="L441" s="46">
        <f t="shared" si="37"/>
        <v>1.9492318546355088E-2</v>
      </c>
      <c r="M441" s="40" t="str">
        <f>IF(データ!L438="","",データ!L438)</f>
        <v/>
      </c>
      <c r="N441" s="41" t="str">
        <f>IF(データ!M438="","",データ!M438)</f>
        <v>58号内訳書</v>
      </c>
      <c r="O441" s="42">
        <f>データ!N438</f>
        <v>0</v>
      </c>
      <c r="P441" s="48">
        <f>IF($C441="集計行","",データ!O438)</f>
        <v>0</v>
      </c>
      <c r="Q441" s="48">
        <f>データ!P438</f>
        <v>0</v>
      </c>
      <c r="R441" s="39">
        <f>IF(OR($C441="総括",$C441="内訳書",$C441="内訳代価",$C441="明細書",$C441="明細代価",$C441="代価表",$C441="単価表"),データ!Q438,"")</f>
        <v>0</v>
      </c>
      <c r="S441" s="11" t="str">
        <f t="shared" si="38"/>
        <v/>
      </c>
      <c r="T441" s="46" t="e">
        <f t="shared" si="39"/>
        <v>#DIV/0!</v>
      </c>
      <c r="U441" s="40" t="str">
        <f>IF(データ!R438="","",データ!R438)</f>
        <v/>
      </c>
      <c r="V441" s="41" t="str">
        <f>IF(データ!S438="","",データ!S438)</f>
        <v/>
      </c>
      <c r="W441" s="42">
        <f>データ!T438</f>
        <v>0</v>
      </c>
      <c r="X441" s="48">
        <f>IF($C441="集計行","",データ!U438)</f>
        <v>0</v>
      </c>
      <c r="Y441" s="48">
        <f>データ!V438</f>
        <v>0</v>
      </c>
      <c r="Z441" s="39">
        <f>IF(OR($C441="総括",$C441="内訳書",$C441="内訳代価",$C441="明細書",$C441="明細代価",$C441="代価表",$C441="単価表"),データ!W438,"")</f>
        <v>0</v>
      </c>
      <c r="AA441" s="11" t="str">
        <f t="shared" si="40"/>
        <v/>
      </c>
      <c r="AB441" s="46" t="e">
        <f t="shared" si="41"/>
        <v>#DIV/0!</v>
      </c>
      <c r="AC441" s="40" t="str">
        <f>IF(データ!X438="","",データ!X438)</f>
        <v/>
      </c>
      <c r="AD441" s="41" t="str">
        <f>IF(データ!Y438="","",データ!Y438)</f>
        <v/>
      </c>
      <c r="AE441" s="47" t="str">
        <f>TRIM(データ!B438)</f>
        <v/>
      </c>
      <c r="AF441" s="43" t="str">
        <f>TRIM(データ!Z438)</f>
        <v/>
      </c>
    </row>
    <row r="442" spans="1:32" x14ac:dyDescent="0.15">
      <c r="A442" s="47">
        <f>データ!A439</f>
        <v>3</v>
      </c>
      <c r="B442" s="47" t="str">
        <f>TRIM(データ!C439)</f>
        <v/>
      </c>
      <c r="C442" s="47" t="str">
        <f>TRIM(データ!D439)</f>
        <v>材料費</v>
      </c>
      <c r="D442" s="36" t="str">
        <f>REPT("｜",$A442)&amp;TRIM(データ!E439)</f>
        <v>｜｜｜密粒度アスコン</v>
      </c>
      <c r="E442" s="37" t="str">
        <f>TRIM(データ!F439)</f>
        <v/>
      </c>
      <c r="F442" s="38" t="str">
        <f>TRIM(データ!G439)</f>
        <v>ｔ</v>
      </c>
      <c r="G442" s="50">
        <f>データ!H439</f>
        <v>75</v>
      </c>
      <c r="H442" s="48">
        <f>データ!I439</f>
        <v>11000</v>
      </c>
      <c r="I442" s="48">
        <f>データ!J439</f>
        <v>825000</v>
      </c>
      <c r="J442" s="39" t="str">
        <f>IF(OR($C442="総括",$C442="内訳書",$C442="内訳代価",$C442="明細書",$C442="明細代価",$C442="代価表",$C442="単価表"),データ!K439,"")</f>
        <v/>
      </c>
      <c r="K442" s="11" t="str">
        <f t="shared" si="36"/>
        <v/>
      </c>
      <c r="L442" s="46">
        <f t="shared" si="37"/>
        <v>1.1878536564295279E-2</v>
      </c>
      <c r="M442" s="40" t="str">
        <f>IF(データ!L439="","",データ!L439)</f>
        <v/>
      </c>
      <c r="N442" s="41" t="str">
        <f>IF(データ!M439="","",データ!M439)</f>
        <v/>
      </c>
      <c r="O442" s="42">
        <f>データ!N439</f>
        <v>0</v>
      </c>
      <c r="P442" s="48">
        <f>IF($C442="集計行","",データ!O439)</f>
        <v>0</v>
      </c>
      <c r="Q442" s="48">
        <f>データ!P439</f>
        <v>0</v>
      </c>
      <c r="R442" s="39" t="str">
        <f>IF(OR($C442="総括",$C442="内訳書",$C442="内訳代価",$C442="明細書",$C442="明細代価",$C442="代価表",$C442="単価表"),データ!Q439,"")</f>
        <v/>
      </c>
      <c r="S442" s="11" t="str">
        <f t="shared" si="38"/>
        <v/>
      </c>
      <c r="T442" s="46" t="e">
        <f t="shared" si="39"/>
        <v>#DIV/0!</v>
      </c>
      <c r="U442" s="40" t="str">
        <f>IF(データ!R439="","",データ!R439)</f>
        <v/>
      </c>
      <c r="V442" s="41" t="str">
        <f>IF(データ!S439="","",データ!S439)</f>
        <v/>
      </c>
      <c r="W442" s="42">
        <f>データ!T439</f>
        <v>0</v>
      </c>
      <c r="X442" s="48">
        <f>IF($C442="集計行","",データ!U439)</f>
        <v>0</v>
      </c>
      <c r="Y442" s="48">
        <f>データ!V439</f>
        <v>0</v>
      </c>
      <c r="Z442" s="39" t="str">
        <f>IF(OR($C442="総括",$C442="内訳書",$C442="内訳代価",$C442="明細書",$C442="明細代価",$C442="代価表",$C442="単価表"),データ!W439,"")</f>
        <v/>
      </c>
      <c r="AA442" s="11" t="str">
        <f t="shared" si="40"/>
        <v/>
      </c>
      <c r="AB442" s="46" t="e">
        <f t="shared" si="41"/>
        <v>#DIV/0!</v>
      </c>
      <c r="AC442" s="40" t="str">
        <f>IF(データ!X439="","",データ!X439)</f>
        <v/>
      </c>
      <c r="AD442" s="41" t="str">
        <f>IF(データ!Y439="","",データ!Y439)</f>
        <v/>
      </c>
      <c r="AE442" s="47" t="str">
        <f>TRIM(データ!B439)</f>
        <v/>
      </c>
      <c r="AF442" s="43" t="str">
        <f>TRIM(データ!Z439)</f>
        <v/>
      </c>
    </row>
    <row r="443" spans="1:32" x14ac:dyDescent="0.15">
      <c r="A443" s="47">
        <f>データ!A440</f>
        <v>3</v>
      </c>
      <c r="B443" s="47" t="str">
        <f>TRIM(データ!C440)</f>
        <v/>
      </c>
      <c r="C443" s="47" t="str">
        <f>TRIM(データ!D440)</f>
        <v>労務費</v>
      </c>
      <c r="D443" s="36" t="str">
        <f>REPT("｜",$A443)&amp;TRIM(データ!E440)</f>
        <v>｜｜｜技工</v>
      </c>
      <c r="E443" s="37" t="str">
        <f>TRIM(データ!F440)</f>
        <v/>
      </c>
      <c r="F443" s="38" t="str">
        <f>TRIM(データ!G440)</f>
        <v>人</v>
      </c>
      <c r="G443" s="50">
        <f>データ!H440</f>
        <v>10</v>
      </c>
      <c r="H443" s="48">
        <f>データ!I440</f>
        <v>28000</v>
      </c>
      <c r="I443" s="48">
        <f>データ!J440</f>
        <v>280000</v>
      </c>
      <c r="J443" s="39" t="str">
        <f>IF(OR($C443="総括",$C443="内訳書",$C443="内訳代価",$C443="明細書",$C443="明細代価",$C443="代価表",$C443="単価表"),データ!K440,"")</f>
        <v/>
      </c>
      <c r="K443" s="11" t="str">
        <f t="shared" si="36"/>
        <v/>
      </c>
      <c r="L443" s="46">
        <f t="shared" si="37"/>
        <v>4.0315033187911251E-3</v>
      </c>
      <c r="M443" s="40" t="str">
        <f>IF(データ!L440="","",データ!L440)</f>
        <v/>
      </c>
      <c r="N443" s="41" t="str">
        <f>IF(データ!M440="","",データ!M440)</f>
        <v/>
      </c>
      <c r="O443" s="42">
        <f>データ!N440</f>
        <v>0</v>
      </c>
      <c r="P443" s="48">
        <f>IF($C443="集計行","",データ!O440)</f>
        <v>0</v>
      </c>
      <c r="Q443" s="48">
        <f>データ!P440</f>
        <v>0</v>
      </c>
      <c r="R443" s="39" t="str">
        <f>IF(OR($C443="総括",$C443="内訳書",$C443="内訳代価",$C443="明細書",$C443="明細代価",$C443="代価表",$C443="単価表"),データ!Q440,"")</f>
        <v/>
      </c>
      <c r="S443" s="11" t="str">
        <f t="shared" si="38"/>
        <v/>
      </c>
      <c r="T443" s="46" t="e">
        <f t="shared" si="39"/>
        <v>#DIV/0!</v>
      </c>
      <c r="U443" s="40" t="str">
        <f>IF(データ!R440="","",データ!R440)</f>
        <v/>
      </c>
      <c r="V443" s="41" t="str">
        <f>IF(データ!S440="","",データ!S440)</f>
        <v/>
      </c>
      <c r="W443" s="42">
        <f>データ!T440</f>
        <v>0</v>
      </c>
      <c r="X443" s="48">
        <f>IF($C443="集計行","",データ!U440)</f>
        <v>0</v>
      </c>
      <c r="Y443" s="48">
        <f>データ!V440</f>
        <v>0</v>
      </c>
      <c r="Z443" s="39" t="str">
        <f>IF(OR($C443="総括",$C443="内訳書",$C443="内訳代価",$C443="明細書",$C443="明細代価",$C443="代価表",$C443="単価表"),データ!W440,"")</f>
        <v/>
      </c>
      <c r="AA443" s="11" t="str">
        <f t="shared" si="40"/>
        <v/>
      </c>
      <c r="AB443" s="46" t="e">
        <f t="shared" si="41"/>
        <v>#DIV/0!</v>
      </c>
      <c r="AC443" s="40" t="str">
        <f>IF(データ!X440="","",データ!X440)</f>
        <v/>
      </c>
      <c r="AD443" s="41" t="str">
        <f>IF(データ!Y440="","",データ!Y440)</f>
        <v/>
      </c>
      <c r="AE443" s="47" t="str">
        <f>TRIM(データ!B440)</f>
        <v/>
      </c>
      <c r="AF443" s="43" t="str">
        <f>TRIM(データ!Z440)</f>
        <v/>
      </c>
    </row>
    <row r="444" spans="1:32" x14ac:dyDescent="0.15">
      <c r="A444" s="47">
        <f>データ!A441</f>
        <v>3</v>
      </c>
      <c r="B444" s="47" t="str">
        <f>TRIM(データ!C441)</f>
        <v/>
      </c>
      <c r="C444" s="47" t="str">
        <f>TRIM(データ!D441)</f>
        <v>機械費</v>
      </c>
      <c r="D444" s="36" t="str">
        <f>REPT("｜",$A444)&amp;TRIM(データ!E441)</f>
        <v>｜｜｜AF　4.5m級</v>
      </c>
      <c r="E444" s="37" t="str">
        <f>TRIM(データ!F441)</f>
        <v/>
      </c>
      <c r="F444" s="38" t="str">
        <f>TRIM(データ!G441)</f>
        <v>台</v>
      </c>
      <c r="G444" s="50">
        <f>データ!H441</f>
        <v>1</v>
      </c>
      <c r="H444" s="48">
        <f>データ!I441</f>
        <v>100000</v>
      </c>
      <c r="I444" s="48">
        <f>データ!J441</f>
        <v>100000</v>
      </c>
      <c r="J444" s="39" t="str">
        <f>IF(OR($C444="総括",$C444="内訳書",$C444="内訳代価",$C444="明細書",$C444="明細代価",$C444="代価表",$C444="単価表"),データ!K441,"")</f>
        <v/>
      </c>
      <c r="K444" s="11" t="str">
        <f t="shared" si="36"/>
        <v/>
      </c>
      <c r="L444" s="46">
        <f t="shared" si="37"/>
        <v>1.4398226138539732E-3</v>
      </c>
      <c r="M444" s="40" t="str">
        <f>IF(データ!L441="","",データ!L441)</f>
        <v/>
      </c>
      <c r="N444" s="41" t="str">
        <f>IF(データ!M441="","",データ!M441)</f>
        <v/>
      </c>
      <c r="O444" s="42">
        <f>データ!N441</f>
        <v>0</v>
      </c>
      <c r="P444" s="48">
        <f>IF($C444="集計行","",データ!O441)</f>
        <v>0</v>
      </c>
      <c r="Q444" s="48">
        <f>データ!P441</f>
        <v>0</v>
      </c>
      <c r="R444" s="39" t="str">
        <f>IF(OR($C444="総括",$C444="内訳書",$C444="内訳代価",$C444="明細書",$C444="明細代価",$C444="代価表",$C444="単価表"),データ!Q441,"")</f>
        <v/>
      </c>
      <c r="S444" s="11" t="str">
        <f t="shared" si="38"/>
        <v/>
      </c>
      <c r="T444" s="46" t="e">
        <f t="shared" si="39"/>
        <v>#DIV/0!</v>
      </c>
      <c r="U444" s="40" t="str">
        <f>IF(データ!R441="","",データ!R441)</f>
        <v/>
      </c>
      <c r="V444" s="41" t="str">
        <f>IF(データ!S441="","",データ!S441)</f>
        <v/>
      </c>
      <c r="W444" s="42">
        <f>データ!T441</f>
        <v>0</v>
      </c>
      <c r="X444" s="48">
        <f>IF($C444="集計行","",データ!U441)</f>
        <v>0</v>
      </c>
      <c r="Y444" s="48">
        <f>データ!V441</f>
        <v>0</v>
      </c>
      <c r="Z444" s="39" t="str">
        <f>IF(OR($C444="総括",$C444="内訳書",$C444="内訳代価",$C444="明細書",$C444="明細代価",$C444="代価表",$C444="単価表"),データ!W441,"")</f>
        <v/>
      </c>
      <c r="AA444" s="11" t="str">
        <f t="shared" si="40"/>
        <v/>
      </c>
      <c r="AB444" s="46" t="e">
        <f t="shared" si="41"/>
        <v>#DIV/0!</v>
      </c>
      <c r="AC444" s="40" t="str">
        <f>IF(データ!X441="","",データ!X441)</f>
        <v/>
      </c>
      <c r="AD444" s="41" t="str">
        <f>IF(データ!Y441="","",データ!Y441)</f>
        <v/>
      </c>
      <c r="AE444" s="47" t="str">
        <f>TRIM(データ!B441)</f>
        <v/>
      </c>
      <c r="AF444" s="43" t="str">
        <f>TRIM(データ!Z441)</f>
        <v/>
      </c>
    </row>
    <row r="445" spans="1:32" x14ac:dyDescent="0.15">
      <c r="A445" s="47">
        <f>データ!A442</f>
        <v>3</v>
      </c>
      <c r="B445" s="47" t="str">
        <f>TRIM(データ!C442)</f>
        <v/>
      </c>
      <c r="C445" s="47" t="str">
        <f>TRIM(データ!D442)</f>
        <v>機械費</v>
      </c>
      <c r="D445" s="36" t="str">
        <f>REPT("｜",$A445)&amp;TRIM(データ!E442)</f>
        <v>｜｜｜BH0.2</v>
      </c>
      <c r="E445" s="37" t="str">
        <f>TRIM(データ!F442)</f>
        <v/>
      </c>
      <c r="F445" s="38" t="str">
        <f>TRIM(データ!G442)</f>
        <v>台</v>
      </c>
      <c r="G445" s="50">
        <f>データ!H442</f>
        <v>1</v>
      </c>
      <c r="H445" s="48">
        <f>データ!I442</f>
        <v>9000</v>
      </c>
      <c r="I445" s="48">
        <f>データ!J442</f>
        <v>9000</v>
      </c>
      <c r="J445" s="39" t="str">
        <f>IF(OR($C445="総括",$C445="内訳書",$C445="内訳代価",$C445="明細書",$C445="明細代価",$C445="代価表",$C445="単価表"),データ!K442,"")</f>
        <v/>
      </c>
      <c r="K445" s="11" t="str">
        <f t="shared" si="36"/>
        <v/>
      </c>
      <c r="L445" s="46">
        <f t="shared" si="37"/>
        <v>1.295840352468576E-4</v>
      </c>
      <c r="M445" s="40" t="str">
        <f>IF(データ!L442="","",データ!L442)</f>
        <v/>
      </c>
      <c r="N445" s="41" t="str">
        <f>IF(データ!M442="","",データ!M442)</f>
        <v/>
      </c>
      <c r="O445" s="42">
        <f>データ!N442</f>
        <v>0</v>
      </c>
      <c r="P445" s="48">
        <f>IF($C445="集計行","",データ!O442)</f>
        <v>0</v>
      </c>
      <c r="Q445" s="48">
        <f>データ!P442</f>
        <v>0</v>
      </c>
      <c r="R445" s="39" t="str">
        <f>IF(OR($C445="総括",$C445="内訳書",$C445="内訳代価",$C445="明細書",$C445="明細代価",$C445="代価表",$C445="単価表"),データ!Q442,"")</f>
        <v/>
      </c>
      <c r="S445" s="11" t="str">
        <f t="shared" si="38"/>
        <v/>
      </c>
      <c r="T445" s="46" t="e">
        <f t="shared" si="39"/>
        <v>#DIV/0!</v>
      </c>
      <c r="U445" s="40" t="str">
        <f>IF(データ!R442="","",データ!R442)</f>
        <v/>
      </c>
      <c r="V445" s="41" t="str">
        <f>IF(データ!S442="","",データ!S442)</f>
        <v/>
      </c>
      <c r="W445" s="42">
        <f>データ!T442</f>
        <v>0</v>
      </c>
      <c r="X445" s="48">
        <f>IF($C445="集計行","",データ!U442)</f>
        <v>0</v>
      </c>
      <c r="Y445" s="48">
        <f>データ!V442</f>
        <v>0</v>
      </c>
      <c r="Z445" s="39" t="str">
        <f>IF(OR($C445="総括",$C445="内訳書",$C445="内訳代価",$C445="明細書",$C445="明細代価",$C445="代価表",$C445="単価表"),データ!W442,"")</f>
        <v/>
      </c>
      <c r="AA445" s="11" t="str">
        <f t="shared" si="40"/>
        <v/>
      </c>
      <c r="AB445" s="46" t="e">
        <f t="shared" si="41"/>
        <v>#DIV/0!</v>
      </c>
      <c r="AC445" s="40" t="str">
        <f>IF(データ!X442="","",データ!X442)</f>
        <v/>
      </c>
      <c r="AD445" s="41" t="str">
        <f>IF(データ!Y442="","",データ!Y442)</f>
        <v/>
      </c>
      <c r="AE445" s="47" t="str">
        <f>TRIM(データ!B442)</f>
        <v/>
      </c>
      <c r="AF445" s="43" t="str">
        <f>TRIM(データ!Z442)</f>
        <v/>
      </c>
    </row>
    <row r="446" spans="1:32" x14ac:dyDescent="0.15">
      <c r="A446" s="47">
        <f>データ!A443</f>
        <v>3</v>
      </c>
      <c r="B446" s="47" t="str">
        <f>TRIM(データ!C443)</f>
        <v/>
      </c>
      <c r="C446" s="47" t="str">
        <f>TRIM(データ!D443)</f>
        <v>機械費</v>
      </c>
      <c r="D446" s="36" t="str">
        <f>REPT("｜",$A446)&amp;TRIM(データ!E443)</f>
        <v>｜｜｜コンバインドローラ</v>
      </c>
      <c r="E446" s="37" t="str">
        <f>TRIM(データ!F443)</f>
        <v/>
      </c>
      <c r="F446" s="38" t="str">
        <f>TRIM(データ!G443)</f>
        <v>台</v>
      </c>
      <c r="G446" s="50">
        <f>データ!H443</f>
        <v>1</v>
      </c>
      <c r="H446" s="48">
        <f>データ!I443</f>
        <v>8000</v>
      </c>
      <c r="I446" s="48">
        <f>データ!J443</f>
        <v>8000</v>
      </c>
      <c r="J446" s="39" t="str">
        <f>IF(OR($C446="総括",$C446="内訳書",$C446="内訳代価",$C446="明細書",$C446="明細代価",$C446="代価表",$C446="単価表"),データ!K443,"")</f>
        <v/>
      </c>
      <c r="K446" s="11" t="str">
        <f t="shared" si="36"/>
        <v/>
      </c>
      <c r="L446" s="46">
        <f t="shared" si="37"/>
        <v>1.1518580910831785E-4</v>
      </c>
      <c r="M446" s="40" t="str">
        <f>IF(データ!L443="","",データ!L443)</f>
        <v/>
      </c>
      <c r="N446" s="41" t="str">
        <f>IF(データ!M443="","",データ!M443)</f>
        <v/>
      </c>
      <c r="O446" s="42">
        <f>データ!N443</f>
        <v>0</v>
      </c>
      <c r="P446" s="48">
        <f>IF($C446="集計行","",データ!O443)</f>
        <v>0</v>
      </c>
      <c r="Q446" s="48">
        <f>データ!P443</f>
        <v>0</v>
      </c>
      <c r="R446" s="39" t="str">
        <f>IF(OR($C446="総括",$C446="内訳書",$C446="内訳代価",$C446="明細書",$C446="明細代価",$C446="代価表",$C446="単価表"),データ!Q443,"")</f>
        <v/>
      </c>
      <c r="S446" s="11" t="str">
        <f t="shared" si="38"/>
        <v/>
      </c>
      <c r="T446" s="46" t="e">
        <f t="shared" si="39"/>
        <v>#DIV/0!</v>
      </c>
      <c r="U446" s="40" t="str">
        <f>IF(データ!R443="","",データ!R443)</f>
        <v/>
      </c>
      <c r="V446" s="41" t="str">
        <f>IF(データ!S443="","",データ!S443)</f>
        <v/>
      </c>
      <c r="W446" s="42">
        <f>データ!T443</f>
        <v>0</v>
      </c>
      <c r="X446" s="48">
        <f>IF($C446="集計行","",データ!U443)</f>
        <v>0</v>
      </c>
      <c r="Y446" s="48">
        <f>データ!V443</f>
        <v>0</v>
      </c>
      <c r="Z446" s="39" t="str">
        <f>IF(OR($C446="総括",$C446="内訳書",$C446="内訳代価",$C446="明細書",$C446="明細代価",$C446="代価表",$C446="単価表"),データ!W443,"")</f>
        <v/>
      </c>
      <c r="AA446" s="11" t="str">
        <f t="shared" si="40"/>
        <v/>
      </c>
      <c r="AB446" s="46" t="e">
        <f t="shared" si="41"/>
        <v>#DIV/0!</v>
      </c>
      <c r="AC446" s="40" t="str">
        <f>IF(データ!X443="","",データ!X443)</f>
        <v/>
      </c>
      <c r="AD446" s="41" t="str">
        <f>IF(データ!Y443="","",データ!Y443)</f>
        <v/>
      </c>
      <c r="AE446" s="47" t="str">
        <f>TRIM(データ!B443)</f>
        <v/>
      </c>
      <c r="AF446" s="43" t="str">
        <f>TRIM(データ!Z443)</f>
        <v/>
      </c>
    </row>
    <row r="447" spans="1:32" x14ac:dyDescent="0.15">
      <c r="A447" s="47">
        <f>データ!A444</f>
        <v>3</v>
      </c>
      <c r="B447" s="47" t="str">
        <f>TRIM(データ!C444)</f>
        <v/>
      </c>
      <c r="C447" s="47" t="str">
        <f>TRIM(データ!D444)</f>
        <v>機械費</v>
      </c>
      <c r="D447" s="36" t="str">
        <f>REPT("｜",$A447)&amp;TRIM(データ!E444)</f>
        <v>｜｜｜タイヤローラ3t</v>
      </c>
      <c r="E447" s="37" t="str">
        <f>TRIM(データ!F444)</f>
        <v/>
      </c>
      <c r="F447" s="38" t="str">
        <f>TRIM(データ!G444)</f>
        <v>台</v>
      </c>
      <c r="G447" s="50">
        <f>データ!H444</f>
        <v>1</v>
      </c>
      <c r="H447" s="48">
        <f>データ!I444</f>
        <v>9000</v>
      </c>
      <c r="I447" s="48">
        <f>データ!J444</f>
        <v>9000</v>
      </c>
      <c r="J447" s="39" t="str">
        <f>IF(OR($C447="総括",$C447="内訳書",$C447="内訳代価",$C447="明細書",$C447="明細代価",$C447="代価表",$C447="単価表"),データ!K444,"")</f>
        <v/>
      </c>
      <c r="K447" s="11" t="str">
        <f t="shared" si="36"/>
        <v/>
      </c>
      <c r="L447" s="46">
        <f t="shared" si="37"/>
        <v>1.295840352468576E-4</v>
      </c>
      <c r="M447" s="40" t="str">
        <f>IF(データ!L444="","",データ!L444)</f>
        <v/>
      </c>
      <c r="N447" s="41" t="str">
        <f>IF(データ!M444="","",データ!M444)</f>
        <v/>
      </c>
      <c r="O447" s="42">
        <f>データ!N444</f>
        <v>0</v>
      </c>
      <c r="P447" s="48">
        <f>IF($C447="集計行","",データ!O444)</f>
        <v>0</v>
      </c>
      <c r="Q447" s="48">
        <f>データ!P444</f>
        <v>0</v>
      </c>
      <c r="R447" s="39" t="str">
        <f>IF(OR($C447="総括",$C447="内訳書",$C447="内訳代価",$C447="明細書",$C447="明細代価",$C447="代価表",$C447="単価表"),データ!Q444,"")</f>
        <v/>
      </c>
      <c r="S447" s="11" t="str">
        <f t="shared" si="38"/>
        <v/>
      </c>
      <c r="T447" s="46" t="e">
        <f t="shared" si="39"/>
        <v>#DIV/0!</v>
      </c>
      <c r="U447" s="40" t="str">
        <f>IF(データ!R444="","",データ!R444)</f>
        <v/>
      </c>
      <c r="V447" s="41" t="str">
        <f>IF(データ!S444="","",データ!S444)</f>
        <v/>
      </c>
      <c r="W447" s="42">
        <f>データ!T444</f>
        <v>0</v>
      </c>
      <c r="X447" s="48">
        <f>IF($C447="集計行","",データ!U444)</f>
        <v>0</v>
      </c>
      <c r="Y447" s="48">
        <f>データ!V444</f>
        <v>0</v>
      </c>
      <c r="Z447" s="39" t="str">
        <f>IF(OR($C447="総括",$C447="内訳書",$C447="内訳代価",$C447="明細書",$C447="明細代価",$C447="代価表",$C447="単価表"),データ!W444,"")</f>
        <v/>
      </c>
      <c r="AA447" s="11" t="str">
        <f t="shared" si="40"/>
        <v/>
      </c>
      <c r="AB447" s="46" t="e">
        <f t="shared" si="41"/>
        <v>#DIV/0!</v>
      </c>
      <c r="AC447" s="40" t="str">
        <f>IF(データ!X444="","",データ!X444)</f>
        <v/>
      </c>
      <c r="AD447" s="41" t="str">
        <f>IF(データ!Y444="","",データ!Y444)</f>
        <v/>
      </c>
      <c r="AE447" s="47" t="str">
        <f>TRIM(データ!B444)</f>
        <v/>
      </c>
      <c r="AF447" s="43" t="str">
        <f>TRIM(データ!Z444)</f>
        <v/>
      </c>
    </row>
    <row r="448" spans="1:32" x14ac:dyDescent="0.15">
      <c r="A448" s="47">
        <f>データ!A445</f>
        <v>3</v>
      </c>
      <c r="B448" s="47" t="str">
        <f>TRIM(データ!C445)</f>
        <v/>
      </c>
      <c r="C448" s="47" t="str">
        <f>TRIM(データ!D445)</f>
        <v>機械費</v>
      </c>
      <c r="D448" s="36" t="str">
        <f>REPT("｜",$A448)&amp;TRIM(データ!E445)</f>
        <v>｜｜｜ランマー</v>
      </c>
      <c r="E448" s="37" t="str">
        <f>TRIM(データ!F445)</f>
        <v/>
      </c>
      <c r="F448" s="38" t="str">
        <f>TRIM(データ!G445)</f>
        <v>台</v>
      </c>
      <c r="G448" s="50">
        <f>データ!H445</f>
        <v>1</v>
      </c>
      <c r="H448" s="48">
        <f>データ!I445</f>
        <v>1500</v>
      </c>
      <c r="I448" s="48">
        <f>データ!J445</f>
        <v>1500</v>
      </c>
      <c r="J448" s="39" t="str">
        <f>IF(OR($C448="総括",$C448="内訳書",$C448="内訳代価",$C448="明細書",$C448="明細代価",$C448="代価表",$C448="単価表"),データ!K445,"")</f>
        <v/>
      </c>
      <c r="K448" s="11" t="str">
        <f t="shared" si="36"/>
        <v/>
      </c>
      <c r="L448" s="46">
        <f t="shared" si="37"/>
        <v>2.1597339207809597E-5</v>
      </c>
      <c r="M448" s="40" t="str">
        <f>IF(データ!L445="","",データ!L445)</f>
        <v/>
      </c>
      <c r="N448" s="41" t="str">
        <f>IF(データ!M445="","",データ!M445)</f>
        <v/>
      </c>
      <c r="O448" s="42">
        <f>データ!N445</f>
        <v>0</v>
      </c>
      <c r="P448" s="48">
        <f>IF($C448="集計行","",データ!O445)</f>
        <v>0</v>
      </c>
      <c r="Q448" s="48">
        <f>データ!P445</f>
        <v>0</v>
      </c>
      <c r="R448" s="39" t="str">
        <f>IF(OR($C448="総括",$C448="内訳書",$C448="内訳代価",$C448="明細書",$C448="明細代価",$C448="代価表",$C448="単価表"),データ!Q445,"")</f>
        <v/>
      </c>
      <c r="S448" s="11" t="str">
        <f t="shared" si="38"/>
        <v/>
      </c>
      <c r="T448" s="46" t="e">
        <f t="shared" si="39"/>
        <v>#DIV/0!</v>
      </c>
      <c r="U448" s="40" t="str">
        <f>IF(データ!R445="","",データ!R445)</f>
        <v/>
      </c>
      <c r="V448" s="41" t="str">
        <f>IF(データ!S445="","",データ!S445)</f>
        <v/>
      </c>
      <c r="W448" s="42">
        <f>データ!T445</f>
        <v>0</v>
      </c>
      <c r="X448" s="48">
        <f>IF($C448="集計行","",データ!U445)</f>
        <v>0</v>
      </c>
      <c r="Y448" s="48">
        <f>データ!V445</f>
        <v>0</v>
      </c>
      <c r="Z448" s="39" t="str">
        <f>IF(OR($C448="総括",$C448="内訳書",$C448="内訳代価",$C448="明細書",$C448="明細代価",$C448="代価表",$C448="単価表"),データ!W445,"")</f>
        <v/>
      </c>
      <c r="AA448" s="11" t="str">
        <f t="shared" si="40"/>
        <v/>
      </c>
      <c r="AB448" s="46" t="e">
        <f t="shared" si="41"/>
        <v>#DIV/0!</v>
      </c>
      <c r="AC448" s="40" t="str">
        <f>IF(データ!X445="","",データ!X445)</f>
        <v/>
      </c>
      <c r="AD448" s="41" t="str">
        <f>IF(データ!Y445="","",データ!Y445)</f>
        <v/>
      </c>
      <c r="AE448" s="47" t="str">
        <f>TRIM(データ!B445)</f>
        <v/>
      </c>
      <c r="AF448" s="43" t="str">
        <f>TRIM(データ!Z445)</f>
        <v/>
      </c>
    </row>
    <row r="449" spans="1:32" x14ac:dyDescent="0.15">
      <c r="A449" s="47">
        <f>データ!A446</f>
        <v>3</v>
      </c>
      <c r="B449" s="47" t="str">
        <f>TRIM(データ!C446)</f>
        <v/>
      </c>
      <c r="C449" s="47" t="str">
        <f>TRIM(データ!D446)</f>
        <v>機械費</v>
      </c>
      <c r="D449" s="36" t="str">
        <f>REPT("｜",$A449)&amp;TRIM(データ!E446)</f>
        <v>｜｜｜プレート</v>
      </c>
      <c r="E449" s="37" t="str">
        <f>TRIM(データ!F446)</f>
        <v/>
      </c>
      <c r="F449" s="38" t="str">
        <f>TRIM(データ!G446)</f>
        <v>台</v>
      </c>
      <c r="G449" s="50">
        <f>データ!H446</f>
        <v>1</v>
      </c>
      <c r="H449" s="48">
        <f>データ!I446</f>
        <v>1500</v>
      </c>
      <c r="I449" s="48">
        <f>データ!J446</f>
        <v>1500</v>
      </c>
      <c r="J449" s="39" t="str">
        <f>IF(OR($C449="総括",$C449="内訳書",$C449="内訳代価",$C449="明細書",$C449="明細代価",$C449="代価表",$C449="単価表"),データ!K446,"")</f>
        <v/>
      </c>
      <c r="K449" s="11" t="str">
        <f t="shared" si="36"/>
        <v/>
      </c>
      <c r="L449" s="46">
        <f t="shared" si="37"/>
        <v>2.1597339207809597E-5</v>
      </c>
      <c r="M449" s="40" t="str">
        <f>IF(データ!L446="","",データ!L446)</f>
        <v/>
      </c>
      <c r="N449" s="41" t="str">
        <f>IF(データ!M446="","",データ!M446)</f>
        <v/>
      </c>
      <c r="O449" s="42">
        <f>データ!N446</f>
        <v>0</v>
      </c>
      <c r="P449" s="48">
        <f>IF($C449="集計行","",データ!O446)</f>
        <v>0</v>
      </c>
      <c r="Q449" s="48">
        <f>データ!P446</f>
        <v>0</v>
      </c>
      <c r="R449" s="39" t="str">
        <f>IF(OR($C449="総括",$C449="内訳書",$C449="内訳代価",$C449="明細書",$C449="明細代価",$C449="代価表",$C449="単価表"),データ!Q446,"")</f>
        <v/>
      </c>
      <c r="S449" s="11" t="str">
        <f t="shared" si="38"/>
        <v/>
      </c>
      <c r="T449" s="46" t="e">
        <f t="shared" si="39"/>
        <v>#DIV/0!</v>
      </c>
      <c r="U449" s="40" t="str">
        <f>IF(データ!R446="","",データ!R446)</f>
        <v/>
      </c>
      <c r="V449" s="41" t="str">
        <f>IF(データ!S446="","",データ!S446)</f>
        <v/>
      </c>
      <c r="W449" s="42">
        <f>データ!T446</f>
        <v>0</v>
      </c>
      <c r="X449" s="48">
        <f>IF($C449="集計行","",データ!U446)</f>
        <v>0</v>
      </c>
      <c r="Y449" s="48">
        <f>データ!V446</f>
        <v>0</v>
      </c>
      <c r="Z449" s="39" t="str">
        <f>IF(OR($C449="総括",$C449="内訳書",$C449="内訳代価",$C449="明細書",$C449="明細代価",$C449="代価表",$C449="単価表"),データ!W446,"")</f>
        <v/>
      </c>
      <c r="AA449" s="11" t="str">
        <f t="shared" si="40"/>
        <v/>
      </c>
      <c r="AB449" s="46" t="e">
        <f t="shared" si="41"/>
        <v>#DIV/0!</v>
      </c>
      <c r="AC449" s="40" t="str">
        <f>IF(データ!X446="","",データ!X446)</f>
        <v/>
      </c>
      <c r="AD449" s="41" t="str">
        <f>IF(データ!Y446="","",データ!Y446)</f>
        <v/>
      </c>
      <c r="AE449" s="47" t="str">
        <f>TRIM(データ!B446)</f>
        <v/>
      </c>
      <c r="AF449" s="43" t="str">
        <f>TRIM(データ!Z446)</f>
        <v/>
      </c>
    </row>
    <row r="450" spans="1:32" x14ac:dyDescent="0.15">
      <c r="A450" s="47">
        <f>データ!A447</f>
        <v>3</v>
      </c>
      <c r="B450" s="47" t="str">
        <f>TRIM(データ!C447)</f>
        <v/>
      </c>
      <c r="C450" s="47" t="str">
        <f>TRIM(データ!D447)</f>
        <v>運搬費</v>
      </c>
      <c r="D450" s="36" t="str">
        <f>REPT("｜",$A450)&amp;TRIM(データ!E447)</f>
        <v>｜｜｜4tダンプ</v>
      </c>
      <c r="E450" s="37" t="str">
        <f>TRIM(データ!F447)</f>
        <v/>
      </c>
      <c r="F450" s="38" t="str">
        <f>TRIM(データ!G447)</f>
        <v>台</v>
      </c>
      <c r="G450" s="50">
        <f>データ!H447</f>
        <v>1</v>
      </c>
      <c r="H450" s="48">
        <f>データ!I447</f>
        <v>10000</v>
      </c>
      <c r="I450" s="48">
        <f>データ!J447</f>
        <v>10000</v>
      </c>
      <c r="J450" s="39" t="str">
        <f>IF(OR($C450="総括",$C450="内訳書",$C450="内訳代価",$C450="明細書",$C450="明細代価",$C450="代価表",$C450="単価表"),データ!K447,"")</f>
        <v/>
      </c>
      <c r="K450" s="11" t="str">
        <f t="shared" si="36"/>
        <v/>
      </c>
      <c r="L450" s="46">
        <f t="shared" si="37"/>
        <v>1.4398226138539731E-4</v>
      </c>
      <c r="M450" s="40" t="str">
        <f>IF(データ!L447="","",データ!L447)</f>
        <v/>
      </c>
      <c r="N450" s="41" t="str">
        <f>IF(データ!M447="","",データ!M447)</f>
        <v/>
      </c>
      <c r="O450" s="42">
        <f>データ!N447</f>
        <v>0</v>
      </c>
      <c r="P450" s="48">
        <f>IF($C450="集計行","",データ!O447)</f>
        <v>0</v>
      </c>
      <c r="Q450" s="48">
        <f>データ!P447</f>
        <v>0</v>
      </c>
      <c r="R450" s="39" t="str">
        <f>IF(OR($C450="総括",$C450="内訳書",$C450="内訳代価",$C450="明細書",$C450="明細代価",$C450="代価表",$C450="単価表"),データ!Q447,"")</f>
        <v/>
      </c>
      <c r="S450" s="11" t="str">
        <f t="shared" si="38"/>
        <v/>
      </c>
      <c r="T450" s="46" t="e">
        <f t="shared" si="39"/>
        <v>#DIV/0!</v>
      </c>
      <c r="U450" s="40" t="str">
        <f>IF(データ!R447="","",データ!R447)</f>
        <v/>
      </c>
      <c r="V450" s="41" t="str">
        <f>IF(データ!S447="","",データ!S447)</f>
        <v/>
      </c>
      <c r="W450" s="42">
        <f>データ!T447</f>
        <v>0</v>
      </c>
      <c r="X450" s="48">
        <f>IF($C450="集計行","",データ!U447)</f>
        <v>0</v>
      </c>
      <c r="Y450" s="48">
        <f>データ!V447</f>
        <v>0</v>
      </c>
      <c r="Z450" s="39" t="str">
        <f>IF(OR($C450="総括",$C450="内訳書",$C450="内訳代価",$C450="明細書",$C450="明細代価",$C450="代価表",$C450="単価表"),データ!W447,"")</f>
        <v/>
      </c>
      <c r="AA450" s="11" t="str">
        <f t="shared" si="40"/>
        <v/>
      </c>
      <c r="AB450" s="46" t="e">
        <f t="shared" si="41"/>
        <v>#DIV/0!</v>
      </c>
      <c r="AC450" s="40" t="str">
        <f>IF(データ!X447="","",データ!X447)</f>
        <v/>
      </c>
      <c r="AD450" s="41" t="str">
        <f>IF(データ!Y447="","",データ!Y447)</f>
        <v/>
      </c>
      <c r="AE450" s="47" t="str">
        <f>TRIM(データ!B447)</f>
        <v/>
      </c>
      <c r="AF450" s="43" t="str">
        <f>TRIM(データ!Z447)</f>
        <v/>
      </c>
    </row>
    <row r="451" spans="1:32" x14ac:dyDescent="0.15">
      <c r="A451" s="47">
        <f>データ!A448</f>
        <v>3</v>
      </c>
      <c r="B451" s="47" t="str">
        <f>TRIM(データ!C448)</f>
        <v/>
      </c>
      <c r="C451" s="47" t="str">
        <f>TRIM(データ!D448)</f>
        <v>運搬費</v>
      </c>
      <c r="D451" s="36" t="str">
        <f>REPT("｜",$A451)&amp;TRIM(データ!E448)</f>
        <v>｜｜｜2tダンプ</v>
      </c>
      <c r="E451" s="37" t="str">
        <f>TRIM(データ!F448)</f>
        <v/>
      </c>
      <c r="F451" s="38" t="str">
        <f>TRIM(データ!G448)</f>
        <v>台</v>
      </c>
      <c r="G451" s="50">
        <f>データ!H448</f>
        <v>2</v>
      </c>
      <c r="H451" s="48">
        <f>データ!I448</f>
        <v>7000</v>
      </c>
      <c r="I451" s="48">
        <f>データ!J448</f>
        <v>14000</v>
      </c>
      <c r="J451" s="39" t="str">
        <f>IF(OR($C451="総括",$C451="内訳書",$C451="内訳代価",$C451="明細書",$C451="明細代価",$C451="代価表",$C451="単価表"),データ!K448,"")</f>
        <v/>
      </c>
      <c r="K451" s="11" t="str">
        <f t="shared" si="36"/>
        <v/>
      </c>
      <c r="L451" s="46">
        <f t="shared" si="37"/>
        <v>2.0157516593955624E-4</v>
      </c>
      <c r="M451" s="40" t="str">
        <f>IF(データ!L448="","",データ!L448)</f>
        <v/>
      </c>
      <c r="N451" s="41" t="str">
        <f>IF(データ!M448="","",データ!M448)</f>
        <v/>
      </c>
      <c r="O451" s="42">
        <f>データ!N448</f>
        <v>0</v>
      </c>
      <c r="P451" s="48">
        <f>IF($C451="集計行","",データ!O448)</f>
        <v>0</v>
      </c>
      <c r="Q451" s="48">
        <f>データ!P448</f>
        <v>0</v>
      </c>
      <c r="R451" s="39" t="str">
        <f>IF(OR($C451="総括",$C451="内訳書",$C451="内訳代価",$C451="明細書",$C451="明細代価",$C451="代価表",$C451="単価表"),データ!Q448,"")</f>
        <v/>
      </c>
      <c r="S451" s="11" t="str">
        <f t="shared" si="38"/>
        <v/>
      </c>
      <c r="T451" s="46" t="e">
        <f t="shared" si="39"/>
        <v>#DIV/0!</v>
      </c>
      <c r="U451" s="40" t="str">
        <f>IF(データ!R448="","",データ!R448)</f>
        <v/>
      </c>
      <c r="V451" s="41" t="str">
        <f>IF(データ!S448="","",データ!S448)</f>
        <v/>
      </c>
      <c r="W451" s="42">
        <f>データ!T448</f>
        <v>0</v>
      </c>
      <c r="X451" s="48">
        <f>IF($C451="集計行","",データ!U448)</f>
        <v>0</v>
      </c>
      <c r="Y451" s="48">
        <f>データ!V448</f>
        <v>0</v>
      </c>
      <c r="Z451" s="39" t="str">
        <f>IF(OR($C451="総括",$C451="内訳書",$C451="内訳代価",$C451="明細書",$C451="明細代価",$C451="代価表",$C451="単価表"),データ!W448,"")</f>
        <v/>
      </c>
      <c r="AA451" s="11" t="str">
        <f t="shared" si="40"/>
        <v/>
      </c>
      <c r="AB451" s="46" t="e">
        <f t="shared" si="41"/>
        <v>#DIV/0!</v>
      </c>
      <c r="AC451" s="40" t="str">
        <f>IF(データ!X448="","",データ!X448)</f>
        <v/>
      </c>
      <c r="AD451" s="41" t="str">
        <f>IF(データ!Y448="","",データ!Y448)</f>
        <v/>
      </c>
      <c r="AE451" s="47" t="str">
        <f>TRIM(データ!B448)</f>
        <v/>
      </c>
      <c r="AF451" s="43" t="str">
        <f>TRIM(データ!Z448)</f>
        <v/>
      </c>
    </row>
    <row r="452" spans="1:32" x14ac:dyDescent="0.15">
      <c r="A452" s="47">
        <f>データ!A449</f>
        <v>3</v>
      </c>
      <c r="B452" s="47" t="str">
        <f>TRIM(データ!C449)</f>
        <v/>
      </c>
      <c r="C452" s="47" t="str">
        <f>TRIM(データ!D449)</f>
        <v>運搬費</v>
      </c>
      <c r="D452" s="36" t="str">
        <f>REPT("｜",$A452)&amp;TRIM(データ!E449)</f>
        <v>｜｜｜WP</v>
      </c>
      <c r="E452" s="37" t="str">
        <f>TRIM(データ!F449)</f>
        <v/>
      </c>
      <c r="F452" s="38" t="str">
        <f>TRIM(データ!G449)</f>
        <v>台</v>
      </c>
      <c r="G452" s="50">
        <f>データ!H449</f>
        <v>1</v>
      </c>
      <c r="H452" s="48">
        <f>データ!I449</f>
        <v>7000</v>
      </c>
      <c r="I452" s="48">
        <f>データ!J449</f>
        <v>7000</v>
      </c>
      <c r="J452" s="39" t="str">
        <f>IF(OR($C452="総括",$C452="内訳書",$C452="内訳代価",$C452="明細書",$C452="明細代価",$C452="代価表",$C452="単価表"),データ!K449,"")</f>
        <v/>
      </c>
      <c r="K452" s="11" t="str">
        <f t="shared" si="36"/>
        <v/>
      </c>
      <c r="L452" s="46">
        <f t="shared" si="37"/>
        <v>1.0078758296977812E-4</v>
      </c>
      <c r="M452" s="40" t="str">
        <f>IF(データ!L449="","",データ!L449)</f>
        <v/>
      </c>
      <c r="N452" s="41" t="str">
        <f>IF(データ!M449="","",データ!M449)</f>
        <v/>
      </c>
      <c r="O452" s="42">
        <f>データ!N449</f>
        <v>0</v>
      </c>
      <c r="P452" s="48">
        <f>IF($C452="集計行","",データ!O449)</f>
        <v>0</v>
      </c>
      <c r="Q452" s="48">
        <f>データ!P449</f>
        <v>0</v>
      </c>
      <c r="R452" s="39" t="str">
        <f>IF(OR($C452="総括",$C452="内訳書",$C452="内訳代価",$C452="明細書",$C452="明細代価",$C452="代価表",$C452="単価表"),データ!Q449,"")</f>
        <v/>
      </c>
      <c r="S452" s="11" t="str">
        <f t="shared" si="38"/>
        <v/>
      </c>
      <c r="T452" s="46" t="e">
        <f t="shared" si="39"/>
        <v>#DIV/0!</v>
      </c>
      <c r="U452" s="40" t="str">
        <f>IF(データ!R449="","",データ!R449)</f>
        <v/>
      </c>
      <c r="V452" s="41" t="str">
        <f>IF(データ!S449="","",データ!S449)</f>
        <v/>
      </c>
      <c r="W452" s="42">
        <f>データ!T449</f>
        <v>0</v>
      </c>
      <c r="X452" s="48">
        <f>IF($C452="集計行","",データ!U449)</f>
        <v>0</v>
      </c>
      <c r="Y452" s="48">
        <f>データ!V449</f>
        <v>0</v>
      </c>
      <c r="Z452" s="39" t="str">
        <f>IF(OR($C452="総括",$C452="内訳書",$C452="内訳代価",$C452="明細書",$C452="明細代価",$C452="代価表",$C452="単価表"),データ!W449,"")</f>
        <v/>
      </c>
      <c r="AA452" s="11" t="str">
        <f t="shared" si="40"/>
        <v/>
      </c>
      <c r="AB452" s="46" t="e">
        <f t="shared" si="41"/>
        <v>#DIV/0!</v>
      </c>
      <c r="AC452" s="40" t="str">
        <f>IF(データ!X449="","",データ!X449)</f>
        <v/>
      </c>
      <c r="AD452" s="41" t="str">
        <f>IF(データ!Y449="","",データ!Y449)</f>
        <v/>
      </c>
      <c r="AE452" s="47" t="str">
        <f>TRIM(データ!B449)</f>
        <v/>
      </c>
      <c r="AF452" s="43" t="str">
        <f>TRIM(データ!Z449)</f>
        <v/>
      </c>
    </row>
    <row r="453" spans="1:32" x14ac:dyDescent="0.15">
      <c r="A453" s="47">
        <f>データ!A450</f>
        <v>3</v>
      </c>
      <c r="B453" s="47" t="str">
        <f>TRIM(データ!C450)</f>
        <v/>
      </c>
      <c r="C453" s="47" t="str">
        <f>TRIM(データ!D450)</f>
        <v>材料費</v>
      </c>
      <c r="D453" s="36" t="str">
        <f>REPT("｜",$A453)&amp;TRIM(データ!E450)</f>
        <v>｜｜｜軽油</v>
      </c>
      <c r="E453" s="37" t="str">
        <f>TRIM(データ!F450)</f>
        <v/>
      </c>
      <c r="F453" s="38" t="str">
        <f>TRIM(データ!G450)</f>
        <v>リットル</v>
      </c>
      <c r="G453" s="50">
        <f>データ!H450</f>
        <v>120</v>
      </c>
      <c r="H453" s="48">
        <f>データ!I450</f>
        <v>150</v>
      </c>
      <c r="I453" s="48">
        <f>データ!J450</f>
        <v>18000</v>
      </c>
      <c r="J453" s="39" t="str">
        <f>IF(OR($C453="総括",$C453="内訳書",$C453="内訳代価",$C453="明細書",$C453="明細代価",$C453="代価表",$C453="単価表"),データ!K450,"")</f>
        <v/>
      </c>
      <c r="K453" s="11" t="str">
        <f t="shared" ref="K453:K516" si="42">IF(OR(J453="",G453=J453),"","*")</f>
        <v/>
      </c>
      <c r="L453" s="46">
        <f t="shared" ref="L453:L516" si="43">IF($A453&lt;=L$1,I453/I$4,"")</f>
        <v>2.5916807049371519E-4</v>
      </c>
      <c r="M453" s="40" t="str">
        <f>IF(データ!L450="","",データ!L450)</f>
        <v/>
      </c>
      <c r="N453" s="41" t="str">
        <f>IF(データ!M450="","",データ!M450)</f>
        <v/>
      </c>
      <c r="O453" s="42">
        <f>データ!N450</f>
        <v>0</v>
      </c>
      <c r="P453" s="48">
        <f>IF($C453="集計行","",データ!O450)</f>
        <v>0</v>
      </c>
      <c r="Q453" s="48">
        <f>データ!P450</f>
        <v>0</v>
      </c>
      <c r="R453" s="39" t="str">
        <f>IF(OR($C453="総括",$C453="内訳書",$C453="内訳代価",$C453="明細書",$C453="明細代価",$C453="代価表",$C453="単価表"),データ!Q450,"")</f>
        <v/>
      </c>
      <c r="S453" s="11" t="str">
        <f t="shared" ref="S453:S516" si="44">IF(OR(R453="",O453=R453),"","*")</f>
        <v/>
      </c>
      <c r="T453" s="46" t="e">
        <f t="shared" ref="T453:T516" si="45">IF($A453&lt;=T$1,Q453/Q$4,"")</f>
        <v>#DIV/0!</v>
      </c>
      <c r="U453" s="40" t="str">
        <f>IF(データ!R450="","",データ!R450)</f>
        <v/>
      </c>
      <c r="V453" s="41" t="str">
        <f>IF(データ!S450="","",データ!S450)</f>
        <v/>
      </c>
      <c r="W453" s="42">
        <f>データ!T450</f>
        <v>0</v>
      </c>
      <c r="X453" s="48">
        <f>IF($C453="集計行","",データ!U450)</f>
        <v>0</v>
      </c>
      <c r="Y453" s="48">
        <f>データ!V450</f>
        <v>0</v>
      </c>
      <c r="Z453" s="39" t="str">
        <f>IF(OR($C453="総括",$C453="内訳書",$C453="内訳代価",$C453="明細書",$C453="明細代価",$C453="代価表",$C453="単価表"),データ!W450,"")</f>
        <v/>
      </c>
      <c r="AA453" s="11" t="str">
        <f t="shared" ref="AA453:AA516" si="46">IF(OR(Z453="",W453=Z453),"","*")</f>
        <v/>
      </c>
      <c r="AB453" s="46" t="e">
        <f t="shared" ref="AB453:AB516" si="47">IF($A453&lt;=AB$1,Y453/Y$4,"")</f>
        <v>#DIV/0!</v>
      </c>
      <c r="AC453" s="40" t="str">
        <f>IF(データ!X450="","",データ!X450)</f>
        <v/>
      </c>
      <c r="AD453" s="41" t="str">
        <f>IF(データ!Y450="","",データ!Y450)</f>
        <v/>
      </c>
      <c r="AE453" s="47" t="str">
        <f>TRIM(データ!B450)</f>
        <v/>
      </c>
      <c r="AF453" s="43" t="str">
        <f>TRIM(データ!Z450)</f>
        <v/>
      </c>
    </row>
    <row r="454" spans="1:32" x14ac:dyDescent="0.15">
      <c r="A454" s="47">
        <f>データ!A451</f>
        <v>3</v>
      </c>
      <c r="B454" s="47" t="str">
        <f>TRIM(データ!C451)</f>
        <v/>
      </c>
      <c r="C454" s="47" t="str">
        <f>TRIM(データ!D451)</f>
        <v>材料費</v>
      </c>
      <c r="D454" s="36" t="str">
        <f>REPT("｜",$A454)&amp;TRIM(データ!E451)</f>
        <v>｜｜｜ガソリン</v>
      </c>
      <c r="E454" s="37" t="str">
        <f>TRIM(データ!F451)</f>
        <v/>
      </c>
      <c r="F454" s="38" t="str">
        <f>TRIM(データ!G451)</f>
        <v>リットル</v>
      </c>
      <c r="G454" s="50">
        <f>データ!H451</f>
        <v>80</v>
      </c>
      <c r="H454" s="48">
        <f>データ!I451</f>
        <v>200</v>
      </c>
      <c r="I454" s="48">
        <f>データ!J451</f>
        <v>16000</v>
      </c>
      <c r="J454" s="39" t="str">
        <f>IF(OR($C454="総括",$C454="内訳書",$C454="内訳代価",$C454="明細書",$C454="明細代価",$C454="代価表",$C454="単価表"),データ!K451,"")</f>
        <v/>
      </c>
      <c r="K454" s="11" t="str">
        <f t="shared" si="42"/>
        <v/>
      </c>
      <c r="L454" s="46">
        <f t="shared" si="43"/>
        <v>2.303716182166357E-4</v>
      </c>
      <c r="M454" s="40" t="str">
        <f>IF(データ!L451="","",データ!L451)</f>
        <v/>
      </c>
      <c r="N454" s="41" t="str">
        <f>IF(データ!M451="","",データ!M451)</f>
        <v/>
      </c>
      <c r="O454" s="42">
        <f>データ!N451</f>
        <v>0</v>
      </c>
      <c r="P454" s="48">
        <f>IF($C454="集計行","",データ!O451)</f>
        <v>0</v>
      </c>
      <c r="Q454" s="48">
        <f>データ!P451</f>
        <v>0</v>
      </c>
      <c r="R454" s="39" t="str">
        <f>IF(OR($C454="総括",$C454="内訳書",$C454="内訳代価",$C454="明細書",$C454="明細代価",$C454="代価表",$C454="単価表"),データ!Q451,"")</f>
        <v/>
      </c>
      <c r="S454" s="11" t="str">
        <f t="shared" si="44"/>
        <v/>
      </c>
      <c r="T454" s="46" t="e">
        <f t="shared" si="45"/>
        <v>#DIV/0!</v>
      </c>
      <c r="U454" s="40" t="str">
        <f>IF(データ!R451="","",データ!R451)</f>
        <v/>
      </c>
      <c r="V454" s="41" t="str">
        <f>IF(データ!S451="","",データ!S451)</f>
        <v/>
      </c>
      <c r="W454" s="42">
        <f>データ!T451</f>
        <v>0</v>
      </c>
      <c r="X454" s="48">
        <f>IF($C454="集計行","",データ!U451)</f>
        <v>0</v>
      </c>
      <c r="Y454" s="48">
        <f>データ!V451</f>
        <v>0</v>
      </c>
      <c r="Z454" s="39" t="str">
        <f>IF(OR($C454="総括",$C454="内訳書",$C454="内訳代価",$C454="明細書",$C454="明細代価",$C454="代価表",$C454="単価表"),データ!W451,"")</f>
        <v/>
      </c>
      <c r="AA454" s="11" t="str">
        <f t="shared" si="46"/>
        <v/>
      </c>
      <c r="AB454" s="46" t="e">
        <f t="shared" si="47"/>
        <v>#DIV/0!</v>
      </c>
      <c r="AC454" s="40" t="str">
        <f>IF(データ!X451="","",データ!X451)</f>
        <v/>
      </c>
      <c r="AD454" s="41" t="str">
        <f>IF(データ!Y451="","",データ!Y451)</f>
        <v/>
      </c>
      <c r="AE454" s="47" t="str">
        <f>TRIM(データ!B451)</f>
        <v/>
      </c>
      <c r="AF454" s="43" t="str">
        <f>TRIM(データ!Z451)</f>
        <v/>
      </c>
    </row>
    <row r="455" spans="1:32" x14ac:dyDescent="0.15">
      <c r="A455" s="47">
        <f>データ!A452</f>
        <v>3</v>
      </c>
      <c r="B455" s="47" t="str">
        <f>TRIM(データ!C452)</f>
        <v/>
      </c>
      <c r="C455" s="47" t="str">
        <f>TRIM(データ!D452)</f>
        <v>材料費</v>
      </c>
      <c r="D455" s="36" t="str">
        <f>REPT("｜",$A455)&amp;TRIM(データ!E452)</f>
        <v>｜｜｜雑材</v>
      </c>
      <c r="E455" s="37" t="str">
        <f>TRIM(データ!F452)</f>
        <v/>
      </c>
      <c r="F455" s="38" t="str">
        <f>TRIM(データ!G452)</f>
        <v>式</v>
      </c>
      <c r="G455" s="50">
        <f>データ!H452</f>
        <v>1</v>
      </c>
      <c r="H455" s="48">
        <f>データ!I452</f>
        <v>15800</v>
      </c>
      <c r="I455" s="48">
        <f>データ!J452</f>
        <v>15800</v>
      </c>
      <c r="J455" s="39" t="str">
        <f>IF(OR($C455="総括",$C455="内訳書",$C455="内訳代価",$C455="明細書",$C455="明細代価",$C455="代価表",$C455="単価表"),データ!K452,"")</f>
        <v/>
      </c>
      <c r="K455" s="11" t="str">
        <f t="shared" si="42"/>
        <v/>
      </c>
      <c r="L455" s="46">
        <f t="shared" si="43"/>
        <v>2.2749197298892776E-4</v>
      </c>
      <c r="M455" s="40" t="str">
        <f>IF(データ!L452="","",データ!L452)</f>
        <v/>
      </c>
      <c r="N455" s="41" t="str">
        <f>IF(データ!M452="","",データ!M452)</f>
        <v/>
      </c>
      <c r="O455" s="42">
        <f>データ!N452</f>
        <v>0</v>
      </c>
      <c r="P455" s="48">
        <f>IF($C455="集計行","",データ!O452)</f>
        <v>0</v>
      </c>
      <c r="Q455" s="48">
        <f>データ!P452</f>
        <v>0</v>
      </c>
      <c r="R455" s="39" t="str">
        <f>IF(OR($C455="総括",$C455="内訳書",$C455="内訳代価",$C455="明細書",$C455="明細代価",$C455="代価表",$C455="単価表"),データ!Q452,"")</f>
        <v/>
      </c>
      <c r="S455" s="11" t="str">
        <f t="shared" si="44"/>
        <v/>
      </c>
      <c r="T455" s="46" t="e">
        <f t="shared" si="45"/>
        <v>#DIV/0!</v>
      </c>
      <c r="U455" s="40" t="str">
        <f>IF(データ!R452="","",データ!R452)</f>
        <v/>
      </c>
      <c r="V455" s="41" t="str">
        <f>IF(データ!S452="","",データ!S452)</f>
        <v/>
      </c>
      <c r="W455" s="42">
        <f>データ!T452</f>
        <v>0</v>
      </c>
      <c r="X455" s="48">
        <f>IF($C455="集計行","",データ!U452)</f>
        <v>0</v>
      </c>
      <c r="Y455" s="48">
        <f>データ!V452</f>
        <v>0</v>
      </c>
      <c r="Z455" s="39" t="str">
        <f>IF(OR($C455="総括",$C455="内訳書",$C455="内訳代価",$C455="明細書",$C455="明細代価",$C455="代価表",$C455="単価表"),データ!W452,"")</f>
        <v/>
      </c>
      <c r="AA455" s="11" t="str">
        <f t="shared" si="46"/>
        <v/>
      </c>
      <c r="AB455" s="46" t="e">
        <f t="shared" si="47"/>
        <v>#DIV/0!</v>
      </c>
      <c r="AC455" s="40" t="str">
        <f>IF(データ!X452="","",データ!X452)</f>
        <v/>
      </c>
      <c r="AD455" s="41" t="str">
        <f>IF(データ!Y452="","",データ!Y452)</f>
        <v/>
      </c>
      <c r="AE455" s="47" t="str">
        <f>TRIM(データ!B452)</f>
        <v/>
      </c>
      <c r="AF455" s="43" t="str">
        <f>TRIM(データ!Z452)</f>
        <v/>
      </c>
    </row>
    <row r="456" spans="1:32" x14ac:dyDescent="0.15">
      <c r="A456" s="47">
        <f>データ!A453</f>
        <v>3</v>
      </c>
      <c r="B456" s="47" t="str">
        <f>TRIM(データ!C453)</f>
        <v/>
      </c>
      <c r="C456" s="47" t="str">
        <f>TRIM(データ!D453)</f>
        <v>外注費</v>
      </c>
      <c r="D456" s="36" t="str">
        <f>REPT("｜",$A456)&amp;TRIM(データ!E453)</f>
        <v>｜｜｜外注経費</v>
      </c>
      <c r="E456" s="37" t="str">
        <f>TRIM(データ!F453)</f>
        <v/>
      </c>
      <c r="F456" s="38" t="str">
        <f>TRIM(データ!G453)</f>
        <v>式</v>
      </c>
      <c r="G456" s="50">
        <f>データ!H453</f>
        <v>1</v>
      </c>
      <c r="H456" s="48">
        <f>データ!I453</f>
        <v>39000</v>
      </c>
      <c r="I456" s="48">
        <f>データ!J453</f>
        <v>39000</v>
      </c>
      <c r="J456" s="39" t="str">
        <f>IF(OR($C456="総括",$C456="内訳書",$C456="内訳代価",$C456="明細書",$C456="明細代価",$C456="代価表",$C456="単価表"),データ!K453,"")</f>
        <v/>
      </c>
      <c r="K456" s="11" t="str">
        <f t="shared" si="42"/>
        <v/>
      </c>
      <c r="L456" s="46">
        <f t="shared" si="43"/>
        <v>5.6153081940304951E-4</v>
      </c>
      <c r="M456" s="40" t="str">
        <f>IF(データ!L453="","",データ!L453)</f>
        <v/>
      </c>
      <c r="N456" s="41" t="str">
        <f>IF(データ!M453="","",データ!M453)</f>
        <v/>
      </c>
      <c r="O456" s="42">
        <f>データ!N453</f>
        <v>0</v>
      </c>
      <c r="P456" s="48">
        <f>IF($C456="集計行","",データ!O453)</f>
        <v>0</v>
      </c>
      <c r="Q456" s="48">
        <f>データ!P453</f>
        <v>0</v>
      </c>
      <c r="R456" s="39" t="str">
        <f>IF(OR($C456="総括",$C456="内訳書",$C456="内訳代価",$C456="明細書",$C456="明細代価",$C456="代価表",$C456="単価表"),データ!Q453,"")</f>
        <v/>
      </c>
      <c r="S456" s="11" t="str">
        <f t="shared" si="44"/>
        <v/>
      </c>
      <c r="T456" s="46" t="e">
        <f t="shared" si="45"/>
        <v>#DIV/0!</v>
      </c>
      <c r="U456" s="40" t="str">
        <f>IF(データ!R453="","",データ!R453)</f>
        <v/>
      </c>
      <c r="V456" s="41" t="str">
        <f>IF(データ!S453="","",データ!S453)</f>
        <v/>
      </c>
      <c r="W456" s="42">
        <f>データ!T453</f>
        <v>0</v>
      </c>
      <c r="X456" s="48">
        <f>IF($C456="集計行","",データ!U453)</f>
        <v>0</v>
      </c>
      <c r="Y456" s="48">
        <f>データ!V453</f>
        <v>0</v>
      </c>
      <c r="Z456" s="39" t="str">
        <f>IF(OR($C456="総括",$C456="内訳書",$C456="内訳代価",$C456="明細書",$C456="明細代価",$C456="代価表",$C456="単価表"),データ!W453,"")</f>
        <v/>
      </c>
      <c r="AA456" s="11" t="str">
        <f t="shared" si="46"/>
        <v/>
      </c>
      <c r="AB456" s="46" t="e">
        <f t="shared" si="47"/>
        <v>#DIV/0!</v>
      </c>
      <c r="AC456" s="40" t="str">
        <f>IF(データ!X453="","",データ!X453)</f>
        <v/>
      </c>
      <c r="AD456" s="41" t="str">
        <f>IF(データ!Y453="","",データ!Y453)</f>
        <v/>
      </c>
      <c r="AE456" s="47" t="str">
        <f>TRIM(データ!B453)</f>
        <v/>
      </c>
      <c r="AF456" s="43" t="str">
        <f>TRIM(データ!Z453)</f>
        <v/>
      </c>
    </row>
    <row r="457" spans="1:32" x14ac:dyDescent="0.15">
      <c r="A457" s="47">
        <f>データ!A454</f>
        <v>2</v>
      </c>
      <c r="B457" s="47" t="str">
        <f>TRIM(データ!C454)</f>
        <v/>
      </c>
      <c r="C457" s="47" t="str">
        <f>TRIM(データ!D454)</f>
        <v>内訳書</v>
      </c>
      <c r="D457" s="36" t="str">
        <f>REPT("｜",$A457)&amp;TRIM(データ!E454)</f>
        <v>｜｜アスファルト舗装工　基層</v>
      </c>
      <c r="E457" s="37" t="str">
        <f>TRIM(データ!F454)</f>
        <v>半たわみ舗装</v>
      </c>
      <c r="F457" s="38" t="str">
        <f>TRIM(データ!G454)</f>
        <v>m2</v>
      </c>
      <c r="G457" s="50">
        <f>データ!H454</f>
        <v>1133</v>
      </c>
      <c r="H457" s="48">
        <f>データ!I454</f>
        <v>2400</v>
      </c>
      <c r="I457" s="48">
        <f>データ!J454</f>
        <v>2719200</v>
      </c>
      <c r="J457" s="39">
        <f>IF(OR($C457="総括",$C457="内訳書",$C457="内訳代価",$C457="明細書",$C457="明細代価",$C457="代価表",$C457="単価表"),データ!K454,"")</f>
        <v>1133</v>
      </c>
      <c r="K457" s="11" t="str">
        <f t="shared" si="42"/>
        <v/>
      </c>
      <c r="L457" s="46">
        <f t="shared" si="43"/>
        <v>3.9151656515917239E-2</v>
      </c>
      <c r="M457" s="40" t="str">
        <f>IF(データ!L454="","",データ!L454)</f>
        <v/>
      </c>
      <c r="N457" s="41" t="str">
        <f>IF(データ!M454="","",データ!M454)</f>
        <v>59号内訳書</v>
      </c>
      <c r="O457" s="42">
        <f>データ!N454</f>
        <v>0</v>
      </c>
      <c r="P457" s="48">
        <f>IF($C457="集計行","",データ!O454)</f>
        <v>0</v>
      </c>
      <c r="Q457" s="48">
        <f>データ!P454</f>
        <v>0</v>
      </c>
      <c r="R457" s="39">
        <f>IF(OR($C457="総括",$C457="内訳書",$C457="内訳代価",$C457="明細書",$C457="明細代価",$C457="代価表",$C457="単価表"),データ!Q454,"")</f>
        <v>0</v>
      </c>
      <c r="S457" s="11" t="str">
        <f t="shared" si="44"/>
        <v/>
      </c>
      <c r="T457" s="46" t="e">
        <f t="shared" si="45"/>
        <v>#DIV/0!</v>
      </c>
      <c r="U457" s="40" t="str">
        <f>IF(データ!R454="","",データ!R454)</f>
        <v/>
      </c>
      <c r="V457" s="41" t="str">
        <f>IF(データ!S454="","",データ!S454)</f>
        <v/>
      </c>
      <c r="W457" s="42">
        <f>データ!T454</f>
        <v>0</v>
      </c>
      <c r="X457" s="48">
        <f>IF($C457="集計行","",データ!U454)</f>
        <v>0</v>
      </c>
      <c r="Y457" s="48">
        <f>データ!V454</f>
        <v>0</v>
      </c>
      <c r="Z457" s="39">
        <f>IF(OR($C457="総括",$C457="内訳書",$C457="内訳代価",$C457="明細書",$C457="明細代価",$C457="代価表",$C457="単価表"),データ!W454,"")</f>
        <v>0</v>
      </c>
      <c r="AA457" s="11" t="str">
        <f t="shared" si="46"/>
        <v/>
      </c>
      <c r="AB457" s="46" t="e">
        <f t="shared" si="47"/>
        <v>#DIV/0!</v>
      </c>
      <c r="AC457" s="40" t="str">
        <f>IF(データ!X454="","",データ!X454)</f>
        <v/>
      </c>
      <c r="AD457" s="41" t="str">
        <f>IF(データ!Y454="","",データ!Y454)</f>
        <v/>
      </c>
      <c r="AE457" s="47" t="str">
        <f>TRIM(データ!B454)</f>
        <v/>
      </c>
      <c r="AF457" s="43" t="str">
        <f>TRIM(データ!Z454)</f>
        <v/>
      </c>
    </row>
    <row r="458" spans="1:32" x14ac:dyDescent="0.15">
      <c r="A458" s="47">
        <f>データ!A455</f>
        <v>3</v>
      </c>
      <c r="B458" s="47" t="str">
        <f>TRIM(データ!C455)</f>
        <v/>
      </c>
      <c r="C458" s="47" t="str">
        <f>TRIM(データ!D455)</f>
        <v>材料費</v>
      </c>
      <c r="D458" s="36" t="str">
        <f>REPT("｜",$A458)&amp;TRIM(データ!E455)</f>
        <v>｜｜｜粗粒度アスコン</v>
      </c>
      <c r="E458" s="37" t="str">
        <f>TRIM(データ!F455)</f>
        <v/>
      </c>
      <c r="F458" s="38" t="str">
        <f>TRIM(データ!G455)</f>
        <v>ｔ</v>
      </c>
      <c r="G458" s="50">
        <f>データ!H455</f>
        <v>160</v>
      </c>
      <c r="H458" s="48">
        <f>データ!I455</f>
        <v>12000</v>
      </c>
      <c r="I458" s="48">
        <f>データ!J455</f>
        <v>1920000</v>
      </c>
      <c r="J458" s="39" t="str">
        <f>IF(OR($C458="総括",$C458="内訳書",$C458="内訳代価",$C458="明細書",$C458="明細代価",$C458="代価表",$C458="単価表"),データ!K455,"")</f>
        <v/>
      </c>
      <c r="K458" s="11" t="str">
        <f t="shared" si="42"/>
        <v/>
      </c>
      <c r="L458" s="46">
        <f t="shared" si="43"/>
        <v>2.7644594185996286E-2</v>
      </c>
      <c r="M458" s="40" t="str">
        <f>IF(データ!L455="","",データ!L455)</f>
        <v/>
      </c>
      <c r="N458" s="41" t="str">
        <f>IF(データ!M455="","",データ!M455)</f>
        <v/>
      </c>
      <c r="O458" s="42">
        <f>データ!N455</f>
        <v>0</v>
      </c>
      <c r="P458" s="48">
        <f>IF($C458="集計行","",データ!O455)</f>
        <v>0</v>
      </c>
      <c r="Q458" s="48">
        <f>データ!P455</f>
        <v>0</v>
      </c>
      <c r="R458" s="39" t="str">
        <f>IF(OR($C458="総括",$C458="内訳書",$C458="内訳代価",$C458="明細書",$C458="明細代価",$C458="代価表",$C458="単価表"),データ!Q455,"")</f>
        <v/>
      </c>
      <c r="S458" s="11" t="str">
        <f t="shared" si="44"/>
        <v/>
      </c>
      <c r="T458" s="46" t="e">
        <f t="shared" si="45"/>
        <v>#DIV/0!</v>
      </c>
      <c r="U458" s="40" t="str">
        <f>IF(データ!R455="","",データ!R455)</f>
        <v/>
      </c>
      <c r="V458" s="41" t="str">
        <f>IF(データ!S455="","",データ!S455)</f>
        <v/>
      </c>
      <c r="W458" s="42">
        <f>データ!T455</f>
        <v>0</v>
      </c>
      <c r="X458" s="48">
        <f>IF($C458="集計行","",データ!U455)</f>
        <v>0</v>
      </c>
      <c r="Y458" s="48">
        <f>データ!V455</f>
        <v>0</v>
      </c>
      <c r="Z458" s="39" t="str">
        <f>IF(OR($C458="総括",$C458="内訳書",$C458="内訳代価",$C458="明細書",$C458="明細代価",$C458="代価表",$C458="単価表"),データ!W455,"")</f>
        <v/>
      </c>
      <c r="AA458" s="11" t="str">
        <f t="shared" si="46"/>
        <v/>
      </c>
      <c r="AB458" s="46" t="e">
        <f t="shared" si="47"/>
        <v>#DIV/0!</v>
      </c>
      <c r="AC458" s="40" t="str">
        <f>IF(データ!X455="","",データ!X455)</f>
        <v/>
      </c>
      <c r="AD458" s="41" t="str">
        <f>IF(データ!Y455="","",データ!Y455)</f>
        <v/>
      </c>
      <c r="AE458" s="47" t="str">
        <f>TRIM(データ!B455)</f>
        <v/>
      </c>
      <c r="AF458" s="43" t="str">
        <f>TRIM(データ!Z455)</f>
        <v/>
      </c>
    </row>
    <row r="459" spans="1:32" x14ac:dyDescent="0.15">
      <c r="A459" s="47">
        <f>データ!A456</f>
        <v>3</v>
      </c>
      <c r="B459" s="47" t="str">
        <f>TRIM(データ!C456)</f>
        <v/>
      </c>
      <c r="C459" s="47" t="str">
        <f>TRIM(データ!D456)</f>
        <v>材料費</v>
      </c>
      <c r="D459" s="36" t="str">
        <f>REPT("｜",$A459)&amp;TRIM(データ!E456)</f>
        <v>｜｜｜アスファルト乳剤</v>
      </c>
      <c r="E459" s="37" t="str">
        <f>TRIM(データ!F456)</f>
        <v/>
      </c>
      <c r="F459" s="38" t="str">
        <f>TRIM(データ!G456)</f>
        <v>リットル</v>
      </c>
      <c r="G459" s="50">
        <f>データ!H456</f>
        <v>1360</v>
      </c>
      <c r="H459" s="48">
        <f>データ!I456</f>
        <v>100</v>
      </c>
      <c r="I459" s="48">
        <f>データ!J456</f>
        <v>136000</v>
      </c>
      <c r="J459" s="39" t="str">
        <f>IF(OR($C459="総括",$C459="内訳書",$C459="内訳代価",$C459="明細書",$C459="明細代価",$C459="代価表",$C459="単価表"),データ!K456,"")</f>
        <v/>
      </c>
      <c r="K459" s="11" t="str">
        <f t="shared" si="42"/>
        <v/>
      </c>
      <c r="L459" s="46">
        <f t="shared" si="43"/>
        <v>1.9581587548414036E-3</v>
      </c>
      <c r="M459" s="40" t="str">
        <f>IF(データ!L456="","",データ!L456)</f>
        <v/>
      </c>
      <c r="N459" s="41" t="str">
        <f>IF(データ!M456="","",データ!M456)</f>
        <v/>
      </c>
      <c r="O459" s="42">
        <f>データ!N456</f>
        <v>0</v>
      </c>
      <c r="P459" s="48">
        <f>IF($C459="集計行","",データ!O456)</f>
        <v>0</v>
      </c>
      <c r="Q459" s="48">
        <f>データ!P456</f>
        <v>0</v>
      </c>
      <c r="R459" s="39" t="str">
        <f>IF(OR($C459="総括",$C459="内訳書",$C459="内訳代価",$C459="明細書",$C459="明細代価",$C459="代価表",$C459="単価表"),データ!Q456,"")</f>
        <v/>
      </c>
      <c r="S459" s="11" t="str">
        <f t="shared" si="44"/>
        <v/>
      </c>
      <c r="T459" s="46" t="e">
        <f t="shared" si="45"/>
        <v>#DIV/0!</v>
      </c>
      <c r="U459" s="40" t="str">
        <f>IF(データ!R456="","",データ!R456)</f>
        <v/>
      </c>
      <c r="V459" s="41" t="str">
        <f>IF(データ!S456="","",データ!S456)</f>
        <v/>
      </c>
      <c r="W459" s="42">
        <f>データ!T456</f>
        <v>0</v>
      </c>
      <c r="X459" s="48">
        <f>IF($C459="集計行","",データ!U456)</f>
        <v>0</v>
      </c>
      <c r="Y459" s="48">
        <f>データ!V456</f>
        <v>0</v>
      </c>
      <c r="Z459" s="39" t="str">
        <f>IF(OR($C459="総括",$C459="内訳書",$C459="内訳代価",$C459="明細書",$C459="明細代価",$C459="代価表",$C459="単価表"),データ!W456,"")</f>
        <v/>
      </c>
      <c r="AA459" s="11" t="str">
        <f t="shared" si="46"/>
        <v/>
      </c>
      <c r="AB459" s="46" t="e">
        <f t="shared" si="47"/>
        <v>#DIV/0!</v>
      </c>
      <c r="AC459" s="40" t="str">
        <f>IF(データ!X456="","",データ!X456)</f>
        <v/>
      </c>
      <c r="AD459" s="41" t="str">
        <f>IF(データ!Y456="","",データ!Y456)</f>
        <v/>
      </c>
      <c r="AE459" s="47" t="str">
        <f>TRIM(データ!B456)</f>
        <v/>
      </c>
      <c r="AF459" s="43" t="str">
        <f>TRIM(データ!Z456)</f>
        <v/>
      </c>
    </row>
    <row r="460" spans="1:32" x14ac:dyDescent="0.15">
      <c r="A460" s="47">
        <f>データ!A457</f>
        <v>3</v>
      </c>
      <c r="B460" s="47" t="str">
        <f>TRIM(データ!C457)</f>
        <v/>
      </c>
      <c r="C460" s="47" t="str">
        <f>TRIM(データ!D457)</f>
        <v>労務費</v>
      </c>
      <c r="D460" s="36" t="str">
        <f>REPT("｜",$A460)&amp;TRIM(データ!E457)</f>
        <v>｜｜｜技工</v>
      </c>
      <c r="E460" s="37" t="str">
        <f>TRIM(データ!F457)</f>
        <v/>
      </c>
      <c r="F460" s="38" t="str">
        <f>TRIM(データ!G457)</f>
        <v>人</v>
      </c>
      <c r="G460" s="50">
        <f>データ!H457</f>
        <v>10</v>
      </c>
      <c r="H460" s="48">
        <f>データ!I457</f>
        <v>28000</v>
      </c>
      <c r="I460" s="48">
        <f>データ!J457</f>
        <v>280000</v>
      </c>
      <c r="J460" s="39" t="str">
        <f>IF(OR($C460="総括",$C460="内訳書",$C460="内訳代価",$C460="明細書",$C460="明細代価",$C460="代価表",$C460="単価表"),データ!K457,"")</f>
        <v/>
      </c>
      <c r="K460" s="11" t="str">
        <f t="shared" si="42"/>
        <v/>
      </c>
      <c r="L460" s="46">
        <f t="shared" si="43"/>
        <v>4.0315033187911251E-3</v>
      </c>
      <c r="M460" s="40" t="str">
        <f>IF(データ!L457="","",データ!L457)</f>
        <v/>
      </c>
      <c r="N460" s="41" t="str">
        <f>IF(データ!M457="","",データ!M457)</f>
        <v/>
      </c>
      <c r="O460" s="42">
        <f>データ!N457</f>
        <v>0</v>
      </c>
      <c r="P460" s="48">
        <f>IF($C460="集計行","",データ!O457)</f>
        <v>0</v>
      </c>
      <c r="Q460" s="48">
        <f>データ!P457</f>
        <v>0</v>
      </c>
      <c r="R460" s="39" t="str">
        <f>IF(OR($C460="総括",$C460="内訳書",$C460="内訳代価",$C460="明細書",$C460="明細代価",$C460="代価表",$C460="単価表"),データ!Q457,"")</f>
        <v/>
      </c>
      <c r="S460" s="11" t="str">
        <f t="shared" si="44"/>
        <v/>
      </c>
      <c r="T460" s="46" t="e">
        <f t="shared" si="45"/>
        <v>#DIV/0!</v>
      </c>
      <c r="U460" s="40" t="str">
        <f>IF(データ!R457="","",データ!R457)</f>
        <v/>
      </c>
      <c r="V460" s="41" t="str">
        <f>IF(データ!S457="","",データ!S457)</f>
        <v/>
      </c>
      <c r="W460" s="42">
        <f>データ!T457</f>
        <v>0</v>
      </c>
      <c r="X460" s="48">
        <f>IF($C460="集計行","",データ!U457)</f>
        <v>0</v>
      </c>
      <c r="Y460" s="48">
        <f>データ!V457</f>
        <v>0</v>
      </c>
      <c r="Z460" s="39" t="str">
        <f>IF(OR($C460="総括",$C460="内訳書",$C460="内訳代価",$C460="明細書",$C460="明細代価",$C460="代価表",$C460="単価表"),データ!W457,"")</f>
        <v/>
      </c>
      <c r="AA460" s="11" t="str">
        <f t="shared" si="46"/>
        <v/>
      </c>
      <c r="AB460" s="46" t="e">
        <f t="shared" si="47"/>
        <v>#DIV/0!</v>
      </c>
      <c r="AC460" s="40" t="str">
        <f>IF(データ!X457="","",データ!X457)</f>
        <v/>
      </c>
      <c r="AD460" s="41" t="str">
        <f>IF(データ!Y457="","",データ!Y457)</f>
        <v/>
      </c>
      <c r="AE460" s="47" t="str">
        <f>TRIM(データ!B457)</f>
        <v/>
      </c>
      <c r="AF460" s="43" t="str">
        <f>TRIM(データ!Z457)</f>
        <v/>
      </c>
    </row>
    <row r="461" spans="1:32" x14ac:dyDescent="0.15">
      <c r="A461" s="47">
        <f>データ!A458</f>
        <v>3</v>
      </c>
      <c r="B461" s="47" t="str">
        <f>TRIM(データ!C458)</f>
        <v/>
      </c>
      <c r="C461" s="47" t="str">
        <f>TRIM(データ!D458)</f>
        <v>機械費</v>
      </c>
      <c r="D461" s="36" t="str">
        <f>REPT("｜",$A461)&amp;TRIM(データ!E458)</f>
        <v>｜｜｜AF　6.0m級</v>
      </c>
      <c r="E461" s="37" t="str">
        <f>TRIM(データ!F458)</f>
        <v/>
      </c>
      <c r="F461" s="38" t="str">
        <f>TRIM(データ!G458)</f>
        <v>台</v>
      </c>
      <c r="G461" s="50">
        <f>データ!H458</f>
        <v>1</v>
      </c>
      <c r="H461" s="48">
        <f>データ!I458</f>
        <v>150000</v>
      </c>
      <c r="I461" s="48">
        <f>データ!J458</f>
        <v>150000</v>
      </c>
      <c r="J461" s="39" t="str">
        <f>IF(OR($C461="総括",$C461="内訳書",$C461="内訳代価",$C461="明細書",$C461="明細代価",$C461="代価表",$C461="単価表"),データ!K458,"")</f>
        <v/>
      </c>
      <c r="K461" s="11" t="str">
        <f t="shared" si="42"/>
        <v/>
      </c>
      <c r="L461" s="46">
        <f t="shared" si="43"/>
        <v>2.1597339207809598E-3</v>
      </c>
      <c r="M461" s="40" t="str">
        <f>IF(データ!L458="","",データ!L458)</f>
        <v/>
      </c>
      <c r="N461" s="41" t="str">
        <f>IF(データ!M458="","",データ!M458)</f>
        <v/>
      </c>
      <c r="O461" s="42">
        <f>データ!N458</f>
        <v>0</v>
      </c>
      <c r="P461" s="48">
        <f>IF($C461="集計行","",データ!O458)</f>
        <v>0</v>
      </c>
      <c r="Q461" s="48">
        <f>データ!P458</f>
        <v>0</v>
      </c>
      <c r="R461" s="39" t="str">
        <f>IF(OR($C461="総括",$C461="内訳書",$C461="内訳代価",$C461="明細書",$C461="明細代価",$C461="代価表",$C461="単価表"),データ!Q458,"")</f>
        <v/>
      </c>
      <c r="S461" s="11" t="str">
        <f t="shared" si="44"/>
        <v/>
      </c>
      <c r="T461" s="46" t="e">
        <f t="shared" si="45"/>
        <v>#DIV/0!</v>
      </c>
      <c r="U461" s="40" t="str">
        <f>IF(データ!R458="","",データ!R458)</f>
        <v/>
      </c>
      <c r="V461" s="41" t="str">
        <f>IF(データ!S458="","",データ!S458)</f>
        <v/>
      </c>
      <c r="W461" s="42">
        <f>データ!T458</f>
        <v>0</v>
      </c>
      <c r="X461" s="48">
        <f>IF($C461="集計行","",データ!U458)</f>
        <v>0</v>
      </c>
      <c r="Y461" s="48">
        <f>データ!V458</f>
        <v>0</v>
      </c>
      <c r="Z461" s="39" t="str">
        <f>IF(OR($C461="総括",$C461="内訳書",$C461="内訳代価",$C461="明細書",$C461="明細代価",$C461="代価表",$C461="単価表"),データ!W458,"")</f>
        <v/>
      </c>
      <c r="AA461" s="11" t="str">
        <f t="shared" si="46"/>
        <v/>
      </c>
      <c r="AB461" s="46" t="e">
        <f t="shared" si="47"/>
        <v>#DIV/0!</v>
      </c>
      <c r="AC461" s="40" t="str">
        <f>IF(データ!X458="","",データ!X458)</f>
        <v/>
      </c>
      <c r="AD461" s="41" t="str">
        <f>IF(データ!Y458="","",データ!Y458)</f>
        <v/>
      </c>
      <c r="AE461" s="47" t="str">
        <f>TRIM(データ!B458)</f>
        <v/>
      </c>
      <c r="AF461" s="43" t="str">
        <f>TRIM(データ!Z458)</f>
        <v/>
      </c>
    </row>
    <row r="462" spans="1:32" x14ac:dyDescent="0.15">
      <c r="A462" s="47">
        <f>データ!A459</f>
        <v>3</v>
      </c>
      <c r="B462" s="47" t="str">
        <f>TRIM(データ!C459)</f>
        <v/>
      </c>
      <c r="C462" s="47" t="str">
        <f>TRIM(データ!D459)</f>
        <v>機械費</v>
      </c>
      <c r="D462" s="36" t="str">
        <f>REPT("｜",$A462)&amp;TRIM(データ!E459)</f>
        <v>｜｜｜ディストリビューター</v>
      </c>
      <c r="E462" s="37" t="str">
        <f>TRIM(データ!F459)</f>
        <v/>
      </c>
      <c r="F462" s="38" t="str">
        <f>TRIM(データ!G459)</f>
        <v>台</v>
      </c>
      <c r="G462" s="50">
        <f>データ!H459</f>
        <v>1</v>
      </c>
      <c r="H462" s="48">
        <f>データ!I459</f>
        <v>50000</v>
      </c>
      <c r="I462" s="48">
        <f>データ!J459</f>
        <v>50000</v>
      </c>
      <c r="J462" s="39" t="str">
        <f>IF(OR($C462="総括",$C462="内訳書",$C462="内訳代価",$C462="明細書",$C462="明細代価",$C462="代価表",$C462="単価表"),データ!K459,"")</f>
        <v/>
      </c>
      <c r="K462" s="11" t="str">
        <f t="shared" si="42"/>
        <v/>
      </c>
      <c r="L462" s="46">
        <f t="shared" si="43"/>
        <v>7.1991130692698659E-4</v>
      </c>
      <c r="M462" s="40" t="str">
        <f>IF(データ!L459="","",データ!L459)</f>
        <v/>
      </c>
      <c r="N462" s="41" t="str">
        <f>IF(データ!M459="","",データ!M459)</f>
        <v/>
      </c>
      <c r="O462" s="42">
        <f>データ!N459</f>
        <v>0</v>
      </c>
      <c r="P462" s="48">
        <f>IF($C462="集計行","",データ!O459)</f>
        <v>0</v>
      </c>
      <c r="Q462" s="48">
        <f>データ!P459</f>
        <v>0</v>
      </c>
      <c r="R462" s="39" t="str">
        <f>IF(OR($C462="総括",$C462="内訳書",$C462="内訳代価",$C462="明細書",$C462="明細代価",$C462="代価表",$C462="単価表"),データ!Q459,"")</f>
        <v/>
      </c>
      <c r="S462" s="11" t="str">
        <f t="shared" si="44"/>
        <v/>
      </c>
      <c r="T462" s="46" t="e">
        <f t="shared" si="45"/>
        <v>#DIV/0!</v>
      </c>
      <c r="U462" s="40" t="str">
        <f>IF(データ!R459="","",データ!R459)</f>
        <v/>
      </c>
      <c r="V462" s="41" t="str">
        <f>IF(データ!S459="","",データ!S459)</f>
        <v/>
      </c>
      <c r="W462" s="42">
        <f>データ!T459</f>
        <v>0</v>
      </c>
      <c r="X462" s="48">
        <f>IF($C462="集計行","",データ!U459)</f>
        <v>0</v>
      </c>
      <c r="Y462" s="48">
        <f>データ!V459</f>
        <v>0</v>
      </c>
      <c r="Z462" s="39" t="str">
        <f>IF(OR($C462="総括",$C462="内訳書",$C462="内訳代価",$C462="明細書",$C462="明細代価",$C462="代価表",$C462="単価表"),データ!W459,"")</f>
        <v/>
      </c>
      <c r="AA462" s="11" t="str">
        <f t="shared" si="46"/>
        <v/>
      </c>
      <c r="AB462" s="46" t="e">
        <f t="shared" si="47"/>
        <v>#DIV/0!</v>
      </c>
      <c r="AC462" s="40" t="str">
        <f>IF(データ!X459="","",データ!X459)</f>
        <v/>
      </c>
      <c r="AD462" s="41" t="str">
        <f>IF(データ!Y459="","",データ!Y459)</f>
        <v/>
      </c>
      <c r="AE462" s="47" t="str">
        <f>TRIM(データ!B459)</f>
        <v/>
      </c>
      <c r="AF462" s="43" t="str">
        <f>TRIM(データ!Z459)</f>
        <v/>
      </c>
    </row>
    <row r="463" spans="1:32" x14ac:dyDescent="0.15">
      <c r="A463" s="47">
        <f>データ!A460</f>
        <v>3</v>
      </c>
      <c r="B463" s="47" t="str">
        <f>TRIM(データ!C460)</f>
        <v/>
      </c>
      <c r="C463" s="47" t="str">
        <f>TRIM(データ!D460)</f>
        <v>機械費</v>
      </c>
      <c r="D463" s="36" t="str">
        <f>REPT("｜",$A463)&amp;TRIM(データ!E460)</f>
        <v>｜｜｜BH0.2</v>
      </c>
      <c r="E463" s="37" t="str">
        <f>TRIM(データ!F460)</f>
        <v/>
      </c>
      <c r="F463" s="38" t="str">
        <f>TRIM(データ!G460)</f>
        <v>台</v>
      </c>
      <c r="G463" s="50">
        <f>データ!H460</f>
        <v>1</v>
      </c>
      <c r="H463" s="48">
        <f>データ!I460</f>
        <v>9000</v>
      </c>
      <c r="I463" s="48">
        <f>データ!J460</f>
        <v>9000</v>
      </c>
      <c r="J463" s="39" t="str">
        <f>IF(OR($C463="総括",$C463="内訳書",$C463="内訳代価",$C463="明細書",$C463="明細代価",$C463="代価表",$C463="単価表"),データ!K460,"")</f>
        <v/>
      </c>
      <c r="K463" s="11" t="str">
        <f t="shared" si="42"/>
        <v/>
      </c>
      <c r="L463" s="46">
        <f t="shared" si="43"/>
        <v>1.295840352468576E-4</v>
      </c>
      <c r="M463" s="40" t="str">
        <f>IF(データ!L460="","",データ!L460)</f>
        <v/>
      </c>
      <c r="N463" s="41" t="str">
        <f>IF(データ!M460="","",データ!M460)</f>
        <v/>
      </c>
      <c r="O463" s="42">
        <f>データ!N460</f>
        <v>0</v>
      </c>
      <c r="P463" s="48">
        <f>IF($C463="集計行","",データ!O460)</f>
        <v>0</v>
      </c>
      <c r="Q463" s="48">
        <f>データ!P460</f>
        <v>0</v>
      </c>
      <c r="R463" s="39" t="str">
        <f>IF(OR($C463="総括",$C463="内訳書",$C463="内訳代価",$C463="明細書",$C463="明細代価",$C463="代価表",$C463="単価表"),データ!Q460,"")</f>
        <v/>
      </c>
      <c r="S463" s="11" t="str">
        <f t="shared" si="44"/>
        <v/>
      </c>
      <c r="T463" s="46" t="e">
        <f t="shared" si="45"/>
        <v>#DIV/0!</v>
      </c>
      <c r="U463" s="40" t="str">
        <f>IF(データ!R460="","",データ!R460)</f>
        <v/>
      </c>
      <c r="V463" s="41" t="str">
        <f>IF(データ!S460="","",データ!S460)</f>
        <v/>
      </c>
      <c r="W463" s="42">
        <f>データ!T460</f>
        <v>0</v>
      </c>
      <c r="X463" s="48">
        <f>IF($C463="集計行","",データ!U460)</f>
        <v>0</v>
      </c>
      <c r="Y463" s="48">
        <f>データ!V460</f>
        <v>0</v>
      </c>
      <c r="Z463" s="39" t="str">
        <f>IF(OR($C463="総括",$C463="内訳書",$C463="内訳代価",$C463="明細書",$C463="明細代価",$C463="代価表",$C463="単価表"),データ!W460,"")</f>
        <v/>
      </c>
      <c r="AA463" s="11" t="str">
        <f t="shared" si="46"/>
        <v/>
      </c>
      <c r="AB463" s="46" t="e">
        <f t="shared" si="47"/>
        <v>#DIV/0!</v>
      </c>
      <c r="AC463" s="40" t="str">
        <f>IF(データ!X460="","",データ!X460)</f>
        <v/>
      </c>
      <c r="AD463" s="41" t="str">
        <f>IF(データ!Y460="","",データ!Y460)</f>
        <v/>
      </c>
      <c r="AE463" s="47" t="str">
        <f>TRIM(データ!B460)</f>
        <v/>
      </c>
      <c r="AF463" s="43" t="str">
        <f>TRIM(データ!Z460)</f>
        <v/>
      </c>
    </row>
    <row r="464" spans="1:32" x14ac:dyDescent="0.15">
      <c r="A464" s="47">
        <f>データ!A461</f>
        <v>3</v>
      </c>
      <c r="B464" s="47" t="str">
        <f>TRIM(データ!C461)</f>
        <v/>
      </c>
      <c r="C464" s="47" t="str">
        <f>TRIM(データ!D461)</f>
        <v>機械費</v>
      </c>
      <c r="D464" s="36" t="str">
        <f>REPT("｜",$A464)&amp;TRIM(データ!E461)</f>
        <v>｜｜｜コンバインドローラ</v>
      </c>
      <c r="E464" s="37" t="str">
        <f>TRIM(データ!F461)</f>
        <v/>
      </c>
      <c r="F464" s="38" t="str">
        <f>TRIM(データ!G461)</f>
        <v>台</v>
      </c>
      <c r="G464" s="50">
        <f>データ!H461</f>
        <v>1</v>
      </c>
      <c r="H464" s="48">
        <f>データ!I461</f>
        <v>8000</v>
      </c>
      <c r="I464" s="48">
        <f>データ!J461</f>
        <v>8000</v>
      </c>
      <c r="J464" s="39" t="str">
        <f>IF(OR($C464="総括",$C464="内訳書",$C464="内訳代価",$C464="明細書",$C464="明細代価",$C464="代価表",$C464="単価表"),データ!K461,"")</f>
        <v/>
      </c>
      <c r="K464" s="11" t="str">
        <f t="shared" si="42"/>
        <v/>
      </c>
      <c r="L464" s="46">
        <f t="shared" si="43"/>
        <v>1.1518580910831785E-4</v>
      </c>
      <c r="M464" s="40" t="str">
        <f>IF(データ!L461="","",データ!L461)</f>
        <v/>
      </c>
      <c r="N464" s="41" t="str">
        <f>IF(データ!M461="","",データ!M461)</f>
        <v/>
      </c>
      <c r="O464" s="42">
        <f>データ!N461</f>
        <v>0</v>
      </c>
      <c r="P464" s="48">
        <f>IF($C464="集計行","",データ!O461)</f>
        <v>0</v>
      </c>
      <c r="Q464" s="48">
        <f>データ!P461</f>
        <v>0</v>
      </c>
      <c r="R464" s="39" t="str">
        <f>IF(OR($C464="総括",$C464="内訳書",$C464="内訳代価",$C464="明細書",$C464="明細代価",$C464="代価表",$C464="単価表"),データ!Q461,"")</f>
        <v/>
      </c>
      <c r="S464" s="11" t="str">
        <f t="shared" si="44"/>
        <v/>
      </c>
      <c r="T464" s="46" t="e">
        <f t="shared" si="45"/>
        <v>#DIV/0!</v>
      </c>
      <c r="U464" s="40" t="str">
        <f>IF(データ!R461="","",データ!R461)</f>
        <v/>
      </c>
      <c r="V464" s="41" t="str">
        <f>IF(データ!S461="","",データ!S461)</f>
        <v/>
      </c>
      <c r="W464" s="42">
        <f>データ!T461</f>
        <v>0</v>
      </c>
      <c r="X464" s="48">
        <f>IF($C464="集計行","",データ!U461)</f>
        <v>0</v>
      </c>
      <c r="Y464" s="48">
        <f>データ!V461</f>
        <v>0</v>
      </c>
      <c r="Z464" s="39" t="str">
        <f>IF(OR($C464="総括",$C464="内訳書",$C464="内訳代価",$C464="明細書",$C464="明細代価",$C464="代価表",$C464="単価表"),データ!W461,"")</f>
        <v/>
      </c>
      <c r="AA464" s="11" t="str">
        <f t="shared" si="46"/>
        <v/>
      </c>
      <c r="AB464" s="46" t="e">
        <f t="shared" si="47"/>
        <v>#DIV/0!</v>
      </c>
      <c r="AC464" s="40" t="str">
        <f>IF(データ!X461="","",データ!X461)</f>
        <v/>
      </c>
      <c r="AD464" s="41" t="str">
        <f>IF(データ!Y461="","",データ!Y461)</f>
        <v/>
      </c>
      <c r="AE464" s="47" t="str">
        <f>TRIM(データ!B461)</f>
        <v/>
      </c>
      <c r="AF464" s="43" t="str">
        <f>TRIM(データ!Z461)</f>
        <v/>
      </c>
    </row>
    <row r="465" spans="1:32" x14ac:dyDescent="0.15">
      <c r="A465" s="47">
        <f>データ!A462</f>
        <v>3</v>
      </c>
      <c r="B465" s="47" t="str">
        <f>TRIM(データ!C462)</f>
        <v/>
      </c>
      <c r="C465" s="47" t="str">
        <f>TRIM(データ!D462)</f>
        <v>機械費</v>
      </c>
      <c r="D465" s="36" t="str">
        <f>REPT("｜",$A465)&amp;TRIM(データ!E462)</f>
        <v>｜｜｜タイヤローラ10t</v>
      </c>
      <c r="E465" s="37" t="str">
        <f>TRIM(データ!F462)</f>
        <v/>
      </c>
      <c r="F465" s="38" t="str">
        <f>TRIM(データ!G462)</f>
        <v>台</v>
      </c>
      <c r="G465" s="50">
        <f>データ!H462</f>
        <v>1</v>
      </c>
      <c r="H465" s="48">
        <f>データ!I462</f>
        <v>10000</v>
      </c>
      <c r="I465" s="48">
        <f>データ!J462</f>
        <v>10000</v>
      </c>
      <c r="J465" s="39" t="str">
        <f>IF(OR($C465="総括",$C465="内訳書",$C465="内訳代価",$C465="明細書",$C465="明細代価",$C465="代価表",$C465="単価表"),データ!K462,"")</f>
        <v/>
      </c>
      <c r="K465" s="11" t="str">
        <f t="shared" si="42"/>
        <v/>
      </c>
      <c r="L465" s="46">
        <f t="shared" si="43"/>
        <v>1.4398226138539731E-4</v>
      </c>
      <c r="M465" s="40" t="str">
        <f>IF(データ!L462="","",データ!L462)</f>
        <v/>
      </c>
      <c r="N465" s="41" t="str">
        <f>IF(データ!M462="","",データ!M462)</f>
        <v/>
      </c>
      <c r="O465" s="42">
        <f>データ!N462</f>
        <v>0</v>
      </c>
      <c r="P465" s="48">
        <f>IF($C465="集計行","",データ!O462)</f>
        <v>0</v>
      </c>
      <c r="Q465" s="48">
        <f>データ!P462</f>
        <v>0</v>
      </c>
      <c r="R465" s="39" t="str">
        <f>IF(OR($C465="総括",$C465="内訳書",$C465="内訳代価",$C465="明細書",$C465="明細代価",$C465="代価表",$C465="単価表"),データ!Q462,"")</f>
        <v/>
      </c>
      <c r="S465" s="11" t="str">
        <f t="shared" si="44"/>
        <v/>
      </c>
      <c r="T465" s="46" t="e">
        <f t="shared" si="45"/>
        <v>#DIV/0!</v>
      </c>
      <c r="U465" s="40" t="str">
        <f>IF(データ!R462="","",データ!R462)</f>
        <v/>
      </c>
      <c r="V465" s="41" t="str">
        <f>IF(データ!S462="","",データ!S462)</f>
        <v/>
      </c>
      <c r="W465" s="42">
        <f>データ!T462</f>
        <v>0</v>
      </c>
      <c r="X465" s="48">
        <f>IF($C465="集計行","",データ!U462)</f>
        <v>0</v>
      </c>
      <c r="Y465" s="48">
        <f>データ!V462</f>
        <v>0</v>
      </c>
      <c r="Z465" s="39" t="str">
        <f>IF(OR($C465="総括",$C465="内訳書",$C465="内訳代価",$C465="明細書",$C465="明細代価",$C465="代価表",$C465="単価表"),データ!W462,"")</f>
        <v/>
      </c>
      <c r="AA465" s="11" t="str">
        <f t="shared" si="46"/>
        <v/>
      </c>
      <c r="AB465" s="46" t="e">
        <f t="shared" si="47"/>
        <v>#DIV/0!</v>
      </c>
      <c r="AC465" s="40" t="str">
        <f>IF(データ!X462="","",データ!X462)</f>
        <v/>
      </c>
      <c r="AD465" s="41" t="str">
        <f>IF(データ!Y462="","",データ!Y462)</f>
        <v/>
      </c>
      <c r="AE465" s="47" t="str">
        <f>TRIM(データ!B462)</f>
        <v/>
      </c>
      <c r="AF465" s="43" t="str">
        <f>TRIM(データ!Z462)</f>
        <v/>
      </c>
    </row>
    <row r="466" spans="1:32" x14ac:dyDescent="0.15">
      <c r="A466" s="47">
        <f>データ!A463</f>
        <v>3</v>
      </c>
      <c r="B466" s="47" t="str">
        <f>TRIM(データ!C463)</f>
        <v/>
      </c>
      <c r="C466" s="47" t="str">
        <f>TRIM(データ!D463)</f>
        <v>機械費</v>
      </c>
      <c r="D466" s="36" t="str">
        <f>REPT("｜",$A466)&amp;TRIM(データ!E463)</f>
        <v>｜｜｜ランマー</v>
      </c>
      <c r="E466" s="37" t="str">
        <f>TRIM(データ!F463)</f>
        <v/>
      </c>
      <c r="F466" s="38" t="str">
        <f>TRIM(データ!G463)</f>
        <v>台</v>
      </c>
      <c r="G466" s="50">
        <f>データ!H463</f>
        <v>1</v>
      </c>
      <c r="H466" s="48">
        <f>データ!I463</f>
        <v>1500</v>
      </c>
      <c r="I466" s="48">
        <f>データ!J463</f>
        <v>1500</v>
      </c>
      <c r="J466" s="39" t="str">
        <f>IF(OR($C466="総括",$C466="内訳書",$C466="内訳代価",$C466="明細書",$C466="明細代価",$C466="代価表",$C466="単価表"),データ!K463,"")</f>
        <v/>
      </c>
      <c r="K466" s="11" t="str">
        <f t="shared" si="42"/>
        <v/>
      </c>
      <c r="L466" s="46">
        <f t="shared" si="43"/>
        <v>2.1597339207809597E-5</v>
      </c>
      <c r="M466" s="40" t="str">
        <f>IF(データ!L463="","",データ!L463)</f>
        <v/>
      </c>
      <c r="N466" s="41" t="str">
        <f>IF(データ!M463="","",データ!M463)</f>
        <v/>
      </c>
      <c r="O466" s="42">
        <f>データ!N463</f>
        <v>0</v>
      </c>
      <c r="P466" s="48">
        <f>IF($C466="集計行","",データ!O463)</f>
        <v>0</v>
      </c>
      <c r="Q466" s="48">
        <f>データ!P463</f>
        <v>0</v>
      </c>
      <c r="R466" s="39" t="str">
        <f>IF(OR($C466="総括",$C466="内訳書",$C466="内訳代価",$C466="明細書",$C466="明細代価",$C466="代価表",$C466="単価表"),データ!Q463,"")</f>
        <v/>
      </c>
      <c r="S466" s="11" t="str">
        <f t="shared" si="44"/>
        <v/>
      </c>
      <c r="T466" s="46" t="e">
        <f t="shared" si="45"/>
        <v>#DIV/0!</v>
      </c>
      <c r="U466" s="40" t="str">
        <f>IF(データ!R463="","",データ!R463)</f>
        <v/>
      </c>
      <c r="V466" s="41" t="str">
        <f>IF(データ!S463="","",データ!S463)</f>
        <v/>
      </c>
      <c r="W466" s="42">
        <f>データ!T463</f>
        <v>0</v>
      </c>
      <c r="X466" s="48">
        <f>IF($C466="集計行","",データ!U463)</f>
        <v>0</v>
      </c>
      <c r="Y466" s="48">
        <f>データ!V463</f>
        <v>0</v>
      </c>
      <c r="Z466" s="39" t="str">
        <f>IF(OR($C466="総括",$C466="内訳書",$C466="内訳代価",$C466="明細書",$C466="明細代価",$C466="代価表",$C466="単価表"),データ!W463,"")</f>
        <v/>
      </c>
      <c r="AA466" s="11" t="str">
        <f t="shared" si="46"/>
        <v/>
      </c>
      <c r="AB466" s="46" t="e">
        <f t="shared" si="47"/>
        <v>#DIV/0!</v>
      </c>
      <c r="AC466" s="40" t="str">
        <f>IF(データ!X463="","",データ!X463)</f>
        <v/>
      </c>
      <c r="AD466" s="41" t="str">
        <f>IF(データ!Y463="","",データ!Y463)</f>
        <v/>
      </c>
      <c r="AE466" s="47" t="str">
        <f>TRIM(データ!B463)</f>
        <v/>
      </c>
      <c r="AF466" s="43" t="str">
        <f>TRIM(データ!Z463)</f>
        <v/>
      </c>
    </row>
    <row r="467" spans="1:32" x14ac:dyDescent="0.15">
      <c r="A467" s="47">
        <f>データ!A464</f>
        <v>3</v>
      </c>
      <c r="B467" s="47" t="str">
        <f>TRIM(データ!C464)</f>
        <v/>
      </c>
      <c r="C467" s="47" t="str">
        <f>TRIM(データ!D464)</f>
        <v>機械費</v>
      </c>
      <c r="D467" s="36" t="str">
        <f>REPT("｜",$A467)&amp;TRIM(データ!E464)</f>
        <v>｜｜｜プレート</v>
      </c>
      <c r="E467" s="37" t="str">
        <f>TRIM(データ!F464)</f>
        <v/>
      </c>
      <c r="F467" s="38" t="str">
        <f>TRIM(データ!G464)</f>
        <v>台</v>
      </c>
      <c r="G467" s="50">
        <f>データ!H464</f>
        <v>1</v>
      </c>
      <c r="H467" s="48">
        <f>データ!I464</f>
        <v>1500</v>
      </c>
      <c r="I467" s="48">
        <f>データ!J464</f>
        <v>1500</v>
      </c>
      <c r="J467" s="39" t="str">
        <f>IF(OR($C467="総括",$C467="内訳書",$C467="内訳代価",$C467="明細書",$C467="明細代価",$C467="代価表",$C467="単価表"),データ!K464,"")</f>
        <v/>
      </c>
      <c r="K467" s="11" t="str">
        <f t="shared" si="42"/>
        <v/>
      </c>
      <c r="L467" s="46">
        <f t="shared" si="43"/>
        <v>2.1597339207809597E-5</v>
      </c>
      <c r="M467" s="40" t="str">
        <f>IF(データ!L464="","",データ!L464)</f>
        <v/>
      </c>
      <c r="N467" s="41" t="str">
        <f>IF(データ!M464="","",データ!M464)</f>
        <v/>
      </c>
      <c r="O467" s="42">
        <f>データ!N464</f>
        <v>0</v>
      </c>
      <c r="P467" s="48">
        <f>IF($C467="集計行","",データ!O464)</f>
        <v>0</v>
      </c>
      <c r="Q467" s="48">
        <f>データ!P464</f>
        <v>0</v>
      </c>
      <c r="R467" s="39" t="str">
        <f>IF(OR($C467="総括",$C467="内訳書",$C467="内訳代価",$C467="明細書",$C467="明細代価",$C467="代価表",$C467="単価表"),データ!Q464,"")</f>
        <v/>
      </c>
      <c r="S467" s="11" t="str">
        <f t="shared" si="44"/>
        <v/>
      </c>
      <c r="T467" s="46" t="e">
        <f t="shared" si="45"/>
        <v>#DIV/0!</v>
      </c>
      <c r="U467" s="40" t="str">
        <f>IF(データ!R464="","",データ!R464)</f>
        <v/>
      </c>
      <c r="V467" s="41" t="str">
        <f>IF(データ!S464="","",データ!S464)</f>
        <v/>
      </c>
      <c r="W467" s="42">
        <f>データ!T464</f>
        <v>0</v>
      </c>
      <c r="X467" s="48">
        <f>IF($C467="集計行","",データ!U464)</f>
        <v>0</v>
      </c>
      <c r="Y467" s="48">
        <f>データ!V464</f>
        <v>0</v>
      </c>
      <c r="Z467" s="39" t="str">
        <f>IF(OR($C467="総括",$C467="内訳書",$C467="内訳代価",$C467="明細書",$C467="明細代価",$C467="代価表",$C467="単価表"),データ!W464,"")</f>
        <v/>
      </c>
      <c r="AA467" s="11" t="str">
        <f t="shared" si="46"/>
        <v/>
      </c>
      <c r="AB467" s="46" t="e">
        <f t="shared" si="47"/>
        <v>#DIV/0!</v>
      </c>
      <c r="AC467" s="40" t="str">
        <f>IF(データ!X464="","",データ!X464)</f>
        <v/>
      </c>
      <c r="AD467" s="41" t="str">
        <f>IF(データ!Y464="","",データ!Y464)</f>
        <v/>
      </c>
      <c r="AE467" s="47" t="str">
        <f>TRIM(データ!B464)</f>
        <v/>
      </c>
      <c r="AF467" s="43" t="str">
        <f>TRIM(データ!Z464)</f>
        <v/>
      </c>
    </row>
    <row r="468" spans="1:32" x14ac:dyDescent="0.15">
      <c r="A468" s="47">
        <f>データ!A465</f>
        <v>3</v>
      </c>
      <c r="B468" s="47" t="str">
        <f>TRIM(データ!C465)</f>
        <v/>
      </c>
      <c r="C468" s="47" t="str">
        <f>TRIM(データ!D465)</f>
        <v>運搬費</v>
      </c>
      <c r="D468" s="36" t="str">
        <f>REPT("｜",$A468)&amp;TRIM(データ!E465)</f>
        <v>｜｜｜4tダンプ</v>
      </c>
      <c r="E468" s="37" t="str">
        <f>TRIM(データ!F465)</f>
        <v/>
      </c>
      <c r="F468" s="38" t="str">
        <f>TRIM(データ!G465)</f>
        <v>台</v>
      </c>
      <c r="G468" s="50">
        <f>データ!H465</f>
        <v>1</v>
      </c>
      <c r="H468" s="48">
        <f>データ!I465</f>
        <v>10000</v>
      </c>
      <c r="I468" s="48">
        <f>データ!J465</f>
        <v>10000</v>
      </c>
      <c r="J468" s="39" t="str">
        <f>IF(OR($C468="総括",$C468="内訳書",$C468="内訳代価",$C468="明細書",$C468="明細代価",$C468="代価表",$C468="単価表"),データ!K465,"")</f>
        <v/>
      </c>
      <c r="K468" s="11" t="str">
        <f t="shared" si="42"/>
        <v/>
      </c>
      <c r="L468" s="46">
        <f t="shared" si="43"/>
        <v>1.4398226138539731E-4</v>
      </c>
      <c r="M468" s="40" t="str">
        <f>IF(データ!L465="","",データ!L465)</f>
        <v/>
      </c>
      <c r="N468" s="41" t="str">
        <f>IF(データ!M465="","",データ!M465)</f>
        <v/>
      </c>
      <c r="O468" s="42">
        <f>データ!N465</f>
        <v>0</v>
      </c>
      <c r="P468" s="48">
        <f>IF($C468="集計行","",データ!O465)</f>
        <v>0</v>
      </c>
      <c r="Q468" s="48">
        <f>データ!P465</f>
        <v>0</v>
      </c>
      <c r="R468" s="39" t="str">
        <f>IF(OR($C468="総括",$C468="内訳書",$C468="内訳代価",$C468="明細書",$C468="明細代価",$C468="代価表",$C468="単価表"),データ!Q465,"")</f>
        <v/>
      </c>
      <c r="S468" s="11" t="str">
        <f t="shared" si="44"/>
        <v/>
      </c>
      <c r="T468" s="46" t="e">
        <f t="shared" si="45"/>
        <v>#DIV/0!</v>
      </c>
      <c r="U468" s="40" t="str">
        <f>IF(データ!R465="","",データ!R465)</f>
        <v/>
      </c>
      <c r="V468" s="41" t="str">
        <f>IF(データ!S465="","",データ!S465)</f>
        <v/>
      </c>
      <c r="W468" s="42">
        <f>データ!T465</f>
        <v>0</v>
      </c>
      <c r="X468" s="48">
        <f>IF($C468="集計行","",データ!U465)</f>
        <v>0</v>
      </c>
      <c r="Y468" s="48">
        <f>データ!V465</f>
        <v>0</v>
      </c>
      <c r="Z468" s="39" t="str">
        <f>IF(OR($C468="総括",$C468="内訳書",$C468="内訳代価",$C468="明細書",$C468="明細代価",$C468="代価表",$C468="単価表"),データ!W465,"")</f>
        <v/>
      </c>
      <c r="AA468" s="11" t="str">
        <f t="shared" si="46"/>
        <v/>
      </c>
      <c r="AB468" s="46" t="e">
        <f t="shared" si="47"/>
        <v>#DIV/0!</v>
      </c>
      <c r="AC468" s="40" t="str">
        <f>IF(データ!X465="","",データ!X465)</f>
        <v/>
      </c>
      <c r="AD468" s="41" t="str">
        <f>IF(データ!Y465="","",データ!Y465)</f>
        <v/>
      </c>
      <c r="AE468" s="47" t="str">
        <f>TRIM(データ!B465)</f>
        <v/>
      </c>
      <c r="AF468" s="43" t="str">
        <f>TRIM(データ!Z465)</f>
        <v/>
      </c>
    </row>
    <row r="469" spans="1:32" x14ac:dyDescent="0.15">
      <c r="A469" s="47">
        <f>データ!A466</f>
        <v>3</v>
      </c>
      <c r="B469" s="47" t="str">
        <f>TRIM(データ!C466)</f>
        <v/>
      </c>
      <c r="C469" s="47" t="str">
        <f>TRIM(データ!D466)</f>
        <v>運搬費</v>
      </c>
      <c r="D469" s="36" t="str">
        <f>REPT("｜",$A469)&amp;TRIM(データ!E466)</f>
        <v>｜｜｜2tダンプ</v>
      </c>
      <c r="E469" s="37" t="str">
        <f>TRIM(データ!F466)</f>
        <v/>
      </c>
      <c r="F469" s="38" t="str">
        <f>TRIM(データ!G466)</f>
        <v>台</v>
      </c>
      <c r="G469" s="50">
        <f>データ!H466</f>
        <v>2</v>
      </c>
      <c r="H469" s="48">
        <f>データ!I466</f>
        <v>7000</v>
      </c>
      <c r="I469" s="48">
        <f>データ!J466</f>
        <v>14000</v>
      </c>
      <c r="J469" s="39" t="str">
        <f>IF(OR($C469="総括",$C469="内訳書",$C469="内訳代価",$C469="明細書",$C469="明細代価",$C469="代価表",$C469="単価表"),データ!K466,"")</f>
        <v/>
      </c>
      <c r="K469" s="11" t="str">
        <f t="shared" si="42"/>
        <v/>
      </c>
      <c r="L469" s="46">
        <f t="shared" si="43"/>
        <v>2.0157516593955624E-4</v>
      </c>
      <c r="M469" s="40" t="str">
        <f>IF(データ!L466="","",データ!L466)</f>
        <v/>
      </c>
      <c r="N469" s="41" t="str">
        <f>IF(データ!M466="","",データ!M466)</f>
        <v/>
      </c>
      <c r="O469" s="42">
        <f>データ!N466</f>
        <v>0</v>
      </c>
      <c r="P469" s="48">
        <f>IF($C469="集計行","",データ!O466)</f>
        <v>0</v>
      </c>
      <c r="Q469" s="48">
        <f>データ!P466</f>
        <v>0</v>
      </c>
      <c r="R469" s="39" t="str">
        <f>IF(OR($C469="総括",$C469="内訳書",$C469="内訳代価",$C469="明細書",$C469="明細代価",$C469="代価表",$C469="単価表"),データ!Q466,"")</f>
        <v/>
      </c>
      <c r="S469" s="11" t="str">
        <f t="shared" si="44"/>
        <v/>
      </c>
      <c r="T469" s="46" t="e">
        <f t="shared" si="45"/>
        <v>#DIV/0!</v>
      </c>
      <c r="U469" s="40" t="str">
        <f>IF(データ!R466="","",データ!R466)</f>
        <v/>
      </c>
      <c r="V469" s="41" t="str">
        <f>IF(データ!S466="","",データ!S466)</f>
        <v/>
      </c>
      <c r="W469" s="42">
        <f>データ!T466</f>
        <v>0</v>
      </c>
      <c r="X469" s="48">
        <f>IF($C469="集計行","",データ!U466)</f>
        <v>0</v>
      </c>
      <c r="Y469" s="48">
        <f>データ!V466</f>
        <v>0</v>
      </c>
      <c r="Z469" s="39" t="str">
        <f>IF(OR($C469="総括",$C469="内訳書",$C469="内訳代価",$C469="明細書",$C469="明細代価",$C469="代価表",$C469="単価表"),データ!W466,"")</f>
        <v/>
      </c>
      <c r="AA469" s="11" t="str">
        <f t="shared" si="46"/>
        <v/>
      </c>
      <c r="AB469" s="46" t="e">
        <f t="shared" si="47"/>
        <v>#DIV/0!</v>
      </c>
      <c r="AC469" s="40" t="str">
        <f>IF(データ!X466="","",データ!X466)</f>
        <v/>
      </c>
      <c r="AD469" s="41" t="str">
        <f>IF(データ!Y466="","",データ!Y466)</f>
        <v/>
      </c>
      <c r="AE469" s="47" t="str">
        <f>TRIM(データ!B466)</f>
        <v/>
      </c>
      <c r="AF469" s="43" t="str">
        <f>TRIM(データ!Z466)</f>
        <v/>
      </c>
    </row>
    <row r="470" spans="1:32" x14ac:dyDescent="0.15">
      <c r="A470" s="47">
        <f>データ!A467</f>
        <v>3</v>
      </c>
      <c r="B470" s="47" t="str">
        <f>TRIM(データ!C467)</f>
        <v/>
      </c>
      <c r="C470" s="47" t="str">
        <f>TRIM(データ!D467)</f>
        <v>運搬費</v>
      </c>
      <c r="D470" s="36" t="str">
        <f>REPT("｜",$A470)&amp;TRIM(データ!E467)</f>
        <v>｜｜｜WP</v>
      </c>
      <c r="E470" s="37" t="str">
        <f>TRIM(データ!F467)</f>
        <v/>
      </c>
      <c r="F470" s="38" t="str">
        <f>TRIM(データ!G467)</f>
        <v>台</v>
      </c>
      <c r="G470" s="50">
        <f>データ!H467</f>
        <v>1</v>
      </c>
      <c r="H470" s="48">
        <f>データ!I467</f>
        <v>7000</v>
      </c>
      <c r="I470" s="48">
        <f>データ!J467</f>
        <v>7000</v>
      </c>
      <c r="J470" s="39" t="str">
        <f>IF(OR($C470="総括",$C470="内訳書",$C470="内訳代価",$C470="明細書",$C470="明細代価",$C470="代価表",$C470="単価表"),データ!K467,"")</f>
        <v/>
      </c>
      <c r="K470" s="11" t="str">
        <f t="shared" si="42"/>
        <v/>
      </c>
      <c r="L470" s="46">
        <f t="shared" si="43"/>
        <v>1.0078758296977812E-4</v>
      </c>
      <c r="M470" s="40" t="str">
        <f>IF(データ!L467="","",データ!L467)</f>
        <v/>
      </c>
      <c r="N470" s="41" t="str">
        <f>IF(データ!M467="","",データ!M467)</f>
        <v/>
      </c>
      <c r="O470" s="42">
        <f>データ!N467</f>
        <v>0</v>
      </c>
      <c r="P470" s="48">
        <f>IF($C470="集計行","",データ!O467)</f>
        <v>0</v>
      </c>
      <c r="Q470" s="48">
        <f>データ!P467</f>
        <v>0</v>
      </c>
      <c r="R470" s="39" t="str">
        <f>IF(OR($C470="総括",$C470="内訳書",$C470="内訳代価",$C470="明細書",$C470="明細代価",$C470="代価表",$C470="単価表"),データ!Q467,"")</f>
        <v/>
      </c>
      <c r="S470" s="11" t="str">
        <f t="shared" si="44"/>
        <v/>
      </c>
      <c r="T470" s="46" t="e">
        <f t="shared" si="45"/>
        <v>#DIV/0!</v>
      </c>
      <c r="U470" s="40" t="str">
        <f>IF(データ!R467="","",データ!R467)</f>
        <v/>
      </c>
      <c r="V470" s="41" t="str">
        <f>IF(データ!S467="","",データ!S467)</f>
        <v/>
      </c>
      <c r="W470" s="42">
        <f>データ!T467</f>
        <v>0</v>
      </c>
      <c r="X470" s="48">
        <f>IF($C470="集計行","",データ!U467)</f>
        <v>0</v>
      </c>
      <c r="Y470" s="48">
        <f>データ!V467</f>
        <v>0</v>
      </c>
      <c r="Z470" s="39" t="str">
        <f>IF(OR($C470="総括",$C470="内訳書",$C470="内訳代価",$C470="明細書",$C470="明細代価",$C470="代価表",$C470="単価表"),データ!W467,"")</f>
        <v/>
      </c>
      <c r="AA470" s="11" t="str">
        <f t="shared" si="46"/>
        <v/>
      </c>
      <c r="AB470" s="46" t="e">
        <f t="shared" si="47"/>
        <v>#DIV/0!</v>
      </c>
      <c r="AC470" s="40" t="str">
        <f>IF(データ!X467="","",データ!X467)</f>
        <v/>
      </c>
      <c r="AD470" s="41" t="str">
        <f>IF(データ!Y467="","",データ!Y467)</f>
        <v/>
      </c>
      <c r="AE470" s="47" t="str">
        <f>TRIM(データ!B467)</f>
        <v/>
      </c>
      <c r="AF470" s="43" t="str">
        <f>TRIM(データ!Z467)</f>
        <v/>
      </c>
    </row>
    <row r="471" spans="1:32" x14ac:dyDescent="0.15">
      <c r="A471" s="47">
        <f>データ!A468</f>
        <v>3</v>
      </c>
      <c r="B471" s="47" t="str">
        <f>TRIM(データ!C468)</f>
        <v/>
      </c>
      <c r="C471" s="47" t="str">
        <f>TRIM(データ!D468)</f>
        <v>材料費</v>
      </c>
      <c r="D471" s="36" t="str">
        <f>REPT("｜",$A471)&amp;TRIM(データ!E468)</f>
        <v>｜｜｜軽油</v>
      </c>
      <c r="E471" s="37" t="str">
        <f>TRIM(データ!F468)</f>
        <v/>
      </c>
      <c r="F471" s="38" t="str">
        <f>TRIM(データ!G468)</f>
        <v>リットル</v>
      </c>
      <c r="G471" s="50">
        <f>データ!H468</f>
        <v>120</v>
      </c>
      <c r="H471" s="48">
        <f>データ!I468</f>
        <v>150</v>
      </c>
      <c r="I471" s="48">
        <f>データ!J468</f>
        <v>18000</v>
      </c>
      <c r="J471" s="39" t="str">
        <f>IF(OR($C471="総括",$C471="内訳書",$C471="内訳代価",$C471="明細書",$C471="明細代価",$C471="代価表",$C471="単価表"),データ!K468,"")</f>
        <v/>
      </c>
      <c r="K471" s="11" t="str">
        <f t="shared" si="42"/>
        <v/>
      </c>
      <c r="L471" s="46">
        <f t="shared" si="43"/>
        <v>2.5916807049371519E-4</v>
      </c>
      <c r="M471" s="40" t="str">
        <f>IF(データ!L468="","",データ!L468)</f>
        <v/>
      </c>
      <c r="N471" s="41" t="str">
        <f>IF(データ!M468="","",データ!M468)</f>
        <v/>
      </c>
      <c r="O471" s="42">
        <f>データ!N468</f>
        <v>0</v>
      </c>
      <c r="P471" s="48">
        <f>IF($C471="集計行","",データ!O468)</f>
        <v>0</v>
      </c>
      <c r="Q471" s="48">
        <f>データ!P468</f>
        <v>0</v>
      </c>
      <c r="R471" s="39" t="str">
        <f>IF(OR($C471="総括",$C471="内訳書",$C471="内訳代価",$C471="明細書",$C471="明細代価",$C471="代価表",$C471="単価表"),データ!Q468,"")</f>
        <v/>
      </c>
      <c r="S471" s="11" t="str">
        <f t="shared" si="44"/>
        <v/>
      </c>
      <c r="T471" s="46" t="e">
        <f t="shared" si="45"/>
        <v>#DIV/0!</v>
      </c>
      <c r="U471" s="40" t="str">
        <f>IF(データ!R468="","",データ!R468)</f>
        <v/>
      </c>
      <c r="V471" s="41" t="str">
        <f>IF(データ!S468="","",データ!S468)</f>
        <v/>
      </c>
      <c r="W471" s="42">
        <f>データ!T468</f>
        <v>0</v>
      </c>
      <c r="X471" s="48">
        <f>IF($C471="集計行","",データ!U468)</f>
        <v>0</v>
      </c>
      <c r="Y471" s="48">
        <f>データ!V468</f>
        <v>0</v>
      </c>
      <c r="Z471" s="39" t="str">
        <f>IF(OR($C471="総括",$C471="内訳書",$C471="内訳代価",$C471="明細書",$C471="明細代価",$C471="代価表",$C471="単価表"),データ!W468,"")</f>
        <v/>
      </c>
      <c r="AA471" s="11" t="str">
        <f t="shared" si="46"/>
        <v/>
      </c>
      <c r="AB471" s="46" t="e">
        <f t="shared" si="47"/>
        <v>#DIV/0!</v>
      </c>
      <c r="AC471" s="40" t="str">
        <f>IF(データ!X468="","",データ!X468)</f>
        <v/>
      </c>
      <c r="AD471" s="41" t="str">
        <f>IF(データ!Y468="","",データ!Y468)</f>
        <v/>
      </c>
      <c r="AE471" s="47" t="str">
        <f>TRIM(データ!B468)</f>
        <v/>
      </c>
      <c r="AF471" s="43" t="str">
        <f>TRIM(データ!Z468)</f>
        <v/>
      </c>
    </row>
    <row r="472" spans="1:32" x14ac:dyDescent="0.15">
      <c r="A472" s="47">
        <f>データ!A469</f>
        <v>3</v>
      </c>
      <c r="B472" s="47" t="str">
        <f>TRIM(データ!C469)</f>
        <v/>
      </c>
      <c r="C472" s="47" t="str">
        <f>TRIM(データ!D469)</f>
        <v>材料費</v>
      </c>
      <c r="D472" s="36" t="str">
        <f>REPT("｜",$A472)&amp;TRIM(データ!E469)</f>
        <v>｜｜｜ガソリン</v>
      </c>
      <c r="E472" s="37" t="str">
        <f>TRIM(データ!F469)</f>
        <v/>
      </c>
      <c r="F472" s="38" t="str">
        <f>TRIM(データ!G469)</f>
        <v>リットル</v>
      </c>
      <c r="G472" s="50">
        <f>データ!H469</f>
        <v>80</v>
      </c>
      <c r="H472" s="48">
        <f>データ!I469</f>
        <v>200</v>
      </c>
      <c r="I472" s="48">
        <f>データ!J469</f>
        <v>16000</v>
      </c>
      <c r="J472" s="39" t="str">
        <f>IF(OR($C472="総括",$C472="内訳書",$C472="内訳代価",$C472="明細書",$C472="明細代価",$C472="代価表",$C472="単価表"),データ!K469,"")</f>
        <v/>
      </c>
      <c r="K472" s="11" t="str">
        <f t="shared" si="42"/>
        <v/>
      </c>
      <c r="L472" s="46">
        <f t="shared" si="43"/>
        <v>2.303716182166357E-4</v>
      </c>
      <c r="M472" s="40" t="str">
        <f>IF(データ!L469="","",データ!L469)</f>
        <v/>
      </c>
      <c r="N472" s="41" t="str">
        <f>IF(データ!M469="","",データ!M469)</f>
        <v/>
      </c>
      <c r="O472" s="42">
        <f>データ!N469</f>
        <v>0</v>
      </c>
      <c r="P472" s="48">
        <f>IF($C472="集計行","",データ!O469)</f>
        <v>0</v>
      </c>
      <c r="Q472" s="48">
        <f>データ!P469</f>
        <v>0</v>
      </c>
      <c r="R472" s="39" t="str">
        <f>IF(OR($C472="総括",$C472="内訳書",$C472="内訳代価",$C472="明細書",$C472="明細代価",$C472="代価表",$C472="単価表"),データ!Q469,"")</f>
        <v/>
      </c>
      <c r="S472" s="11" t="str">
        <f t="shared" si="44"/>
        <v/>
      </c>
      <c r="T472" s="46" t="e">
        <f t="shared" si="45"/>
        <v>#DIV/0!</v>
      </c>
      <c r="U472" s="40" t="str">
        <f>IF(データ!R469="","",データ!R469)</f>
        <v/>
      </c>
      <c r="V472" s="41" t="str">
        <f>IF(データ!S469="","",データ!S469)</f>
        <v/>
      </c>
      <c r="W472" s="42">
        <f>データ!T469</f>
        <v>0</v>
      </c>
      <c r="X472" s="48">
        <f>IF($C472="集計行","",データ!U469)</f>
        <v>0</v>
      </c>
      <c r="Y472" s="48">
        <f>データ!V469</f>
        <v>0</v>
      </c>
      <c r="Z472" s="39" t="str">
        <f>IF(OR($C472="総括",$C472="内訳書",$C472="内訳代価",$C472="明細書",$C472="明細代価",$C472="代価表",$C472="単価表"),データ!W469,"")</f>
        <v/>
      </c>
      <c r="AA472" s="11" t="str">
        <f t="shared" si="46"/>
        <v/>
      </c>
      <c r="AB472" s="46" t="e">
        <f t="shared" si="47"/>
        <v>#DIV/0!</v>
      </c>
      <c r="AC472" s="40" t="str">
        <f>IF(データ!X469="","",データ!X469)</f>
        <v/>
      </c>
      <c r="AD472" s="41" t="str">
        <f>IF(データ!Y469="","",データ!Y469)</f>
        <v/>
      </c>
      <c r="AE472" s="47" t="str">
        <f>TRIM(データ!B469)</f>
        <v/>
      </c>
      <c r="AF472" s="43" t="str">
        <f>TRIM(データ!Z469)</f>
        <v/>
      </c>
    </row>
    <row r="473" spans="1:32" x14ac:dyDescent="0.15">
      <c r="A473" s="47">
        <f>データ!A470</f>
        <v>3</v>
      </c>
      <c r="B473" s="47" t="str">
        <f>TRIM(データ!C470)</f>
        <v/>
      </c>
      <c r="C473" s="47" t="str">
        <f>TRIM(データ!D470)</f>
        <v>材料費</v>
      </c>
      <c r="D473" s="36" t="str">
        <f>REPT("｜",$A473)&amp;TRIM(データ!E470)</f>
        <v>｜｜｜雑材</v>
      </c>
      <c r="E473" s="37" t="str">
        <f>TRIM(データ!F470)</f>
        <v/>
      </c>
      <c r="F473" s="38" t="str">
        <f>TRIM(データ!G470)</f>
        <v>式</v>
      </c>
      <c r="G473" s="50">
        <f>データ!H470</f>
        <v>1</v>
      </c>
      <c r="H473" s="48">
        <f>データ!I470</f>
        <v>34100</v>
      </c>
      <c r="I473" s="48">
        <f>データ!J470</f>
        <v>34100</v>
      </c>
      <c r="J473" s="39" t="str">
        <f>IF(OR($C473="総括",$C473="内訳書",$C473="内訳代価",$C473="明細書",$C473="明細代価",$C473="代価表",$C473="単価表"),データ!K470,"")</f>
        <v/>
      </c>
      <c r="K473" s="11" t="str">
        <f t="shared" si="42"/>
        <v/>
      </c>
      <c r="L473" s="46">
        <f t="shared" si="43"/>
        <v>4.9097951132420488E-4</v>
      </c>
      <c r="M473" s="40" t="str">
        <f>IF(データ!L470="","",データ!L470)</f>
        <v/>
      </c>
      <c r="N473" s="41" t="str">
        <f>IF(データ!M470="","",データ!M470)</f>
        <v/>
      </c>
      <c r="O473" s="42">
        <f>データ!N470</f>
        <v>0</v>
      </c>
      <c r="P473" s="48">
        <f>IF($C473="集計行","",データ!O470)</f>
        <v>0</v>
      </c>
      <c r="Q473" s="48">
        <f>データ!P470</f>
        <v>0</v>
      </c>
      <c r="R473" s="39" t="str">
        <f>IF(OR($C473="総括",$C473="内訳書",$C473="内訳代価",$C473="明細書",$C473="明細代価",$C473="代価表",$C473="単価表"),データ!Q470,"")</f>
        <v/>
      </c>
      <c r="S473" s="11" t="str">
        <f t="shared" si="44"/>
        <v/>
      </c>
      <c r="T473" s="46" t="e">
        <f t="shared" si="45"/>
        <v>#DIV/0!</v>
      </c>
      <c r="U473" s="40" t="str">
        <f>IF(データ!R470="","",データ!R470)</f>
        <v/>
      </c>
      <c r="V473" s="41" t="str">
        <f>IF(データ!S470="","",データ!S470)</f>
        <v/>
      </c>
      <c r="W473" s="42">
        <f>データ!T470</f>
        <v>0</v>
      </c>
      <c r="X473" s="48">
        <f>IF($C473="集計行","",データ!U470)</f>
        <v>0</v>
      </c>
      <c r="Y473" s="48">
        <f>データ!V470</f>
        <v>0</v>
      </c>
      <c r="Z473" s="39" t="str">
        <f>IF(OR($C473="総括",$C473="内訳書",$C473="内訳代価",$C473="明細書",$C473="明細代価",$C473="代価表",$C473="単価表"),データ!W470,"")</f>
        <v/>
      </c>
      <c r="AA473" s="11" t="str">
        <f t="shared" si="46"/>
        <v/>
      </c>
      <c r="AB473" s="46" t="e">
        <f t="shared" si="47"/>
        <v>#DIV/0!</v>
      </c>
      <c r="AC473" s="40" t="str">
        <f>IF(データ!X470="","",データ!X470)</f>
        <v/>
      </c>
      <c r="AD473" s="41" t="str">
        <f>IF(データ!Y470="","",データ!Y470)</f>
        <v/>
      </c>
      <c r="AE473" s="47" t="str">
        <f>TRIM(データ!B470)</f>
        <v/>
      </c>
      <c r="AF473" s="43" t="str">
        <f>TRIM(データ!Z470)</f>
        <v/>
      </c>
    </row>
    <row r="474" spans="1:32" x14ac:dyDescent="0.15">
      <c r="A474" s="47">
        <f>データ!A471</f>
        <v>3</v>
      </c>
      <c r="B474" s="47" t="str">
        <f>TRIM(データ!C471)</f>
        <v/>
      </c>
      <c r="C474" s="47" t="str">
        <f>TRIM(データ!D471)</f>
        <v>外注費</v>
      </c>
      <c r="D474" s="36" t="str">
        <f>REPT("｜",$A474)&amp;TRIM(データ!E471)</f>
        <v>｜｜｜外注経費</v>
      </c>
      <c r="E474" s="37" t="str">
        <f>TRIM(データ!F471)</f>
        <v/>
      </c>
      <c r="F474" s="38" t="str">
        <f>TRIM(データ!G471)</f>
        <v>式</v>
      </c>
      <c r="G474" s="50">
        <f>データ!H471</f>
        <v>1</v>
      </c>
      <c r="H474" s="48">
        <f>データ!I471</f>
        <v>54100</v>
      </c>
      <c r="I474" s="48">
        <f>データ!J471</f>
        <v>54100</v>
      </c>
      <c r="J474" s="39" t="str">
        <f>IF(OR($C474="総括",$C474="内訳書",$C474="内訳代価",$C474="明細書",$C474="明細代価",$C474="代価表",$C474="単価表"),データ!K471,"")</f>
        <v/>
      </c>
      <c r="K474" s="11" t="str">
        <f t="shared" si="42"/>
        <v/>
      </c>
      <c r="L474" s="46">
        <f t="shared" si="43"/>
        <v>7.7894403409499945E-4</v>
      </c>
      <c r="M474" s="40" t="str">
        <f>IF(データ!L471="","",データ!L471)</f>
        <v/>
      </c>
      <c r="N474" s="41" t="str">
        <f>IF(データ!M471="","",データ!M471)</f>
        <v/>
      </c>
      <c r="O474" s="42">
        <f>データ!N471</f>
        <v>0</v>
      </c>
      <c r="P474" s="48">
        <f>IF($C474="集計行","",データ!O471)</f>
        <v>0</v>
      </c>
      <c r="Q474" s="48">
        <f>データ!P471</f>
        <v>0</v>
      </c>
      <c r="R474" s="39" t="str">
        <f>IF(OR($C474="総括",$C474="内訳書",$C474="内訳代価",$C474="明細書",$C474="明細代価",$C474="代価表",$C474="単価表"),データ!Q471,"")</f>
        <v/>
      </c>
      <c r="S474" s="11" t="str">
        <f t="shared" si="44"/>
        <v/>
      </c>
      <c r="T474" s="46" t="e">
        <f t="shared" si="45"/>
        <v>#DIV/0!</v>
      </c>
      <c r="U474" s="40" t="str">
        <f>IF(データ!R471="","",データ!R471)</f>
        <v/>
      </c>
      <c r="V474" s="41" t="str">
        <f>IF(データ!S471="","",データ!S471)</f>
        <v/>
      </c>
      <c r="W474" s="42">
        <f>データ!T471</f>
        <v>0</v>
      </c>
      <c r="X474" s="48">
        <f>IF($C474="集計行","",データ!U471)</f>
        <v>0</v>
      </c>
      <c r="Y474" s="48">
        <f>データ!V471</f>
        <v>0</v>
      </c>
      <c r="Z474" s="39" t="str">
        <f>IF(OR($C474="総括",$C474="内訳書",$C474="内訳代価",$C474="明細書",$C474="明細代価",$C474="代価表",$C474="単価表"),データ!W471,"")</f>
        <v/>
      </c>
      <c r="AA474" s="11" t="str">
        <f t="shared" si="46"/>
        <v/>
      </c>
      <c r="AB474" s="46" t="e">
        <f t="shared" si="47"/>
        <v>#DIV/0!</v>
      </c>
      <c r="AC474" s="40" t="str">
        <f>IF(データ!X471="","",データ!X471)</f>
        <v/>
      </c>
      <c r="AD474" s="41" t="str">
        <f>IF(データ!Y471="","",データ!Y471)</f>
        <v/>
      </c>
      <c r="AE474" s="47" t="str">
        <f>TRIM(データ!B471)</f>
        <v/>
      </c>
      <c r="AF474" s="43" t="str">
        <f>TRIM(データ!Z471)</f>
        <v/>
      </c>
    </row>
    <row r="475" spans="1:32" x14ac:dyDescent="0.15">
      <c r="A475" s="47">
        <f>データ!A472</f>
        <v>2</v>
      </c>
      <c r="B475" s="47" t="str">
        <f>TRIM(データ!C472)</f>
        <v/>
      </c>
      <c r="C475" s="47" t="str">
        <f>TRIM(データ!D472)</f>
        <v>内訳書</v>
      </c>
      <c r="D475" s="36" t="str">
        <f>REPT("｜",$A475)&amp;TRIM(データ!E472)</f>
        <v>｜｜アスファルト舗装　表層</v>
      </c>
      <c r="E475" s="37" t="str">
        <f>TRIM(データ!F472)</f>
        <v>半たわみ舗装</v>
      </c>
      <c r="F475" s="38" t="str">
        <f>TRIM(データ!G472)</f>
        <v>m2</v>
      </c>
      <c r="G475" s="50">
        <f>データ!H472</f>
        <v>1133</v>
      </c>
      <c r="H475" s="48">
        <f>データ!I472</f>
        <v>2500</v>
      </c>
      <c r="I475" s="48">
        <f>データ!J472</f>
        <v>2832500</v>
      </c>
      <c r="J475" s="39">
        <f>IF(OR($C475="総括",$C475="内訳書",$C475="内訳代価",$C475="明細書",$C475="明細代価",$C475="代価表",$C475="単価表"),データ!K472,"")</f>
        <v>1133</v>
      </c>
      <c r="K475" s="11" t="str">
        <f t="shared" si="42"/>
        <v/>
      </c>
      <c r="L475" s="46">
        <f t="shared" si="43"/>
        <v>4.0782975537413793E-2</v>
      </c>
      <c r="M475" s="40" t="str">
        <f>IF(データ!L472="","",データ!L472)</f>
        <v/>
      </c>
      <c r="N475" s="41" t="str">
        <f>IF(データ!M472="","",データ!M472)</f>
        <v>60号内訳書</v>
      </c>
      <c r="O475" s="42">
        <f>データ!N472</f>
        <v>0</v>
      </c>
      <c r="P475" s="48">
        <f>IF($C475="集計行","",データ!O472)</f>
        <v>0</v>
      </c>
      <c r="Q475" s="48">
        <f>データ!P472</f>
        <v>0</v>
      </c>
      <c r="R475" s="39">
        <f>IF(OR($C475="総括",$C475="内訳書",$C475="内訳代価",$C475="明細書",$C475="明細代価",$C475="代価表",$C475="単価表"),データ!Q472,"")</f>
        <v>0</v>
      </c>
      <c r="S475" s="11" t="str">
        <f t="shared" si="44"/>
        <v/>
      </c>
      <c r="T475" s="46" t="e">
        <f t="shared" si="45"/>
        <v>#DIV/0!</v>
      </c>
      <c r="U475" s="40" t="str">
        <f>IF(データ!R472="","",データ!R472)</f>
        <v/>
      </c>
      <c r="V475" s="41" t="str">
        <f>IF(データ!S472="","",データ!S472)</f>
        <v/>
      </c>
      <c r="W475" s="42">
        <f>データ!T472</f>
        <v>0</v>
      </c>
      <c r="X475" s="48">
        <f>IF($C475="集計行","",データ!U472)</f>
        <v>0</v>
      </c>
      <c r="Y475" s="48">
        <f>データ!V472</f>
        <v>0</v>
      </c>
      <c r="Z475" s="39">
        <f>IF(OR($C475="総括",$C475="内訳書",$C475="内訳代価",$C475="明細書",$C475="明細代価",$C475="代価表",$C475="単価表"),データ!W472,"")</f>
        <v>0</v>
      </c>
      <c r="AA475" s="11" t="str">
        <f t="shared" si="46"/>
        <v/>
      </c>
      <c r="AB475" s="46" t="e">
        <f t="shared" si="47"/>
        <v>#DIV/0!</v>
      </c>
      <c r="AC475" s="40" t="str">
        <f>IF(データ!X472="","",データ!X472)</f>
        <v/>
      </c>
      <c r="AD475" s="41" t="str">
        <f>IF(データ!Y472="","",データ!Y472)</f>
        <v/>
      </c>
      <c r="AE475" s="47" t="str">
        <f>TRIM(データ!B472)</f>
        <v/>
      </c>
      <c r="AF475" s="43" t="str">
        <f>TRIM(データ!Z472)</f>
        <v/>
      </c>
    </row>
    <row r="476" spans="1:32" x14ac:dyDescent="0.15">
      <c r="A476" s="47">
        <f>データ!A473</f>
        <v>3</v>
      </c>
      <c r="B476" s="47" t="str">
        <f>TRIM(データ!C473)</f>
        <v/>
      </c>
      <c r="C476" s="47" t="str">
        <f>TRIM(データ!D473)</f>
        <v/>
      </c>
      <c r="D476" s="36" t="str">
        <f>REPT("｜",$A476)&amp;TRIM(データ!E473)</f>
        <v>｜｜｜開粒度アスコン</v>
      </c>
      <c r="E476" s="37" t="str">
        <f>TRIM(データ!F473)</f>
        <v/>
      </c>
      <c r="F476" s="38" t="str">
        <f>TRIM(データ!G473)</f>
        <v>ｔ</v>
      </c>
      <c r="G476" s="50">
        <f>データ!H473</f>
        <v>155</v>
      </c>
      <c r="H476" s="48">
        <f>データ!I473</f>
        <v>14500</v>
      </c>
      <c r="I476" s="48">
        <f>データ!J473</f>
        <v>2247500</v>
      </c>
      <c r="J476" s="39" t="str">
        <f>IF(OR($C476="総括",$C476="内訳書",$C476="内訳代価",$C476="明細書",$C476="明細代価",$C476="代価表",$C476="単価表"),データ!K473,"")</f>
        <v/>
      </c>
      <c r="K476" s="11" t="str">
        <f t="shared" si="42"/>
        <v/>
      </c>
      <c r="L476" s="46">
        <f t="shared" si="43"/>
        <v>3.2360013246368044E-2</v>
      </c>
      <c r="M476" s="40" t="str">
        <f>IF(データ!L473="","",データ!L473)</f>
        <v/>
      </c>
      <c r="N476" s="41" t="str">
        <f>IF(データ!M473="","",データ!M473)</f>
        <v/>
      </c>
      <c r="O476" s="42">
        <f>データ!N473</f>
        <v>0</v>
      </c>
      <c r="P476" s="48">
        <f>IF($C476="集計行","",データ!O473)</f>
        <v>0</v>
      </c>
      <c r="Q476" s="48">
        <f>データ!P473</f>
        <v>0</v>
      </c>
      <c r="R476" s="39" t="str">
        <f>IF(OR($C476="総括",$C476="内訳書",$C476="内訳代価",$C476="明細書",$C476="明細代価",$C476="代価表",$C476="単価表"),データ!Q473,"")</f>
        <v/>
      </c>
      <c r="S476" s="11" t="str">
        <f t="shared" si="44"/>
        <v/>
      </c>
      <c r="T476" s="46" t="e">
        <f t="shared" si="45"/>
        <v>#DIV/0!</v>
      </c>
      <c r="U476" s="40" t="str">
        <f>IF(データ!R473="","",データ!R473)</f>
        <v/>
      </c>
      <c r="V476" s="41" t="str">
        <f>IF(データ!S473="","",データ!S473)</f>
        <v/>
      </c>
      <c r="W476" s="42">
        <f>データ!T473</f>
        <v>0</v>
      </c>
      <c r="X476" s="48">
        <f>IF($C476="集計行","",データ!U473)</f>
        <v>0</v>
      </c>
      <c r="Y476" s="48">
        <f>データ!V473</f>
        <v>0</v>
      </c>
      <c r="Z476" s="39" t="str">
        <f>IF(OR($C476="総括",$C476="内訳書",$C476="内訳代価",$C476="明細書",$C476="明細代価",$C476="代価表",$C476="単価表"),データ!W473,"")</f>
        <v/>
      </c>
      <c r="AA476" s="11" t="str">
        <f t="shared" si="46"/>
        <v/>
      </c>
      <c r="AB476" s="46" t="e">
        <f t="shared" si="47"/>
        <v>#DIV/0!</v>
      </c>
      <c r="AC476" s="40" t="str">
        <f>IF(データ!X473="","",データ!X473)</f>
        <v/>
      </c>
      <c r="AD476" s="41" t="str">
        <f>IF(データ!Y473="","",データ!Y473)</f>
        <v/>
      </c>
      <c r="AE476" s="47" t="str">
        <f>TRIM(データ!B473)</f>
        <v/>
      </c>
      <c r="AF476" s="43" t="str">
        <f>TRIM(データ!Z473)</f>
        <v/>
      </c>
    </row>
    <row r="477" spans="1:32" x14ac:dyDescent="0.15">
      <c r="A477" s="47">
        <f>データ!A474</f>
        <v>3</v>
      </c>
      <c r="B477" s="47" t="str">
        <f>TRIM(データ!C474)</f>
        <v/>
      </c>
      <c r="C477" s="47" t="str">
        <f>TRIM(データ!D474)</f>
        <v>労務費</v>
      </c>
      <c r="D477" s="36" t="str">
        <f>REPT("｜",$A477)&amp;TRIM(データ!E474)</f>
        <v>｜｜｜技工</v>
      </c>
      <c r="E477" s="37" t="str">
        <f>TRIM(データ!F474)</f>
        <v/>
      </c>
      <c r="F477" s="38" t="str">
        <f>TRIM(データ!G474)</f>
        <v>人</v>
      </c>
      <c r="G477" s="50">
        <f>データ!H474</f>
        <v>10</v>
      </c>
      <c r="H477" s="48">
        <f>データ!I474</f>
        <v>28000</v>
      </c>
      <c r="I477" s="48">
        <f>データ!J474</f>
        <v>280000</v>
      </c>
      <c r="J477" s="39" t="str">
        <f>IF(OR($C477="総括",$C477="内訳書",$C477="内訳代価",$C477="明細書",$C477="明細代価",$C477="代価表",$C477="単価表"),データ!K474,"")</f>
        <v/>
      </c>
      <c r="K477" s="11" t="str">
        <f t="shared" si="42"/>
        <v/>
      </c>
      <c r="L477" s="46">
        <f t="shared" si="43"/>
        <v>4.0315033187911251E-3</v>
      </c>
      <c r="M477" s="40" t="str">
        <f>IF(データ!L474="","",データ!L474)</f>
        <v/>
      </c>
      <c r="N477" s="41" t="str">
        <f>IF(データ!M474="","",データ!M474)</f>
        <v/>
      </c>
      <c r="O477" s="42">
        <f>データ!N474</f>
        <v>0</v>
      </c>
      <c r="P477" s="48">
        <f>IF($C477="集計行","",データ!O474)</f>
        <v>0</v>
      </c>
      <c r="Q477" s="48">
        <f>データ!P474</f>
        <v>0</v>
      </c>
      <c r="R477" s="39" t="str">
        <f>IF(OR($C477="総括",$C477="内訳書",$C477="内訳代価",$C477="明細書",$C477="明細代価",$C477="代価表",$C477="単価表"),データ!Q474,"")</f>
        <v/>
      </c>
      <c r="S477" s="11" t="str">
        <f t="shared" si="44"/>
        <v/>
      </c>
      <c r="T477" s="46" t="e">
        <f t="shared" si="45"/>
        <v>#DIV/0!</v>
      </c>
      <c r="U477" s="40" t="str">
        <f>IF(データ!R474="","",データ!R474)</f>
        <v/>
      </c>
      <c r="V477" s="41" t="str">
        <f>IF(データ!S474="","",データ!S474)</f>
        <v/>
      </c>
      <c r="W477" s="42">
        <f>データ!T474</f>
        <v>0</v>
      </c>
      <c r="X477" s="48">
        <f>IF($C477="集計行","",データ!U474)</f>
        <v>0</v>
      </c>
      <c r="Y477" s="48">
        <f>データ!V474</f>
        <v>0</v>
      </c>
      <c r="Z477" s="39" t="str">
        <f>IF(OR($C477="総括",$C477="内訳書",$C477="内訳代価",$C477="明細書",$C477="明細代価",$C477="代価表",$C477="単価表"),データ!W474,"")</f>
        <v/>
      </c>
      <c r="AA477" s="11" t="str">
        <f t="shared" si="46"/>
        <v/>
      </c>
      <c r="AB477" s="46" t="e">
        <f t="shared" si="47"/>
        <v>#DIV/0!</v>
      </c>
      <c r="AC477" s="40" t="str">
        <f>IF(データ!X474="","",データ!X474)</f>
        <v/>
      </c>
      <c r="AD477" s="41" t="str">
        <f>IF(データ!Y474="","",データ!Y474)</f>
        <v/>
      </c>
      <c r="AE477" s="47" t="str">
        <f>TRIM(データ!B474)</f>
        <v/>
      </c>
      <c r="AF477" s="43" t="str">
        <f>TRIM(データ!Z474)</f>
        <v/>
      </c>
    </row>
    <row r="478" spans="1:32" x14ac:dyDescent="0.15">
      <c r="A478" s="47">
        <f>データ!A475</f>
        <v>3</v>
      </c>
      <c r="B478" s="47" t="str">
        <f>TRIM(データ!C475)</f>
        <v/>
      </c>
      <c r="C478" s="47" t="str">
        <f>TRIM(データ!D475)</f>
        <v>機械費</v>
      </c>
      <c r="D478" s="36" t="str">
        <f>REPT("｜",$A478)&amp;TRIM(データ!E475)</f>
        <v>｜｜｜AF　6.0m級</v>
      </c>
      <c r="E478" s="37" t="str">
        <f>TRIM(データ!F475)</f>
        <v/>
      </c>
      <c r="F478" s="38" t="str">
        <f>TRIM(データ!G475)</f>
        <v>台</v>
      </c>
      <c r="G478" s="50">
        <f>データ!H475</f>
        <v>1</v>
      </c>
      <c r="H478" s="48">
        <f>データ!I475</f>
        <v>150000</v>
      </c>
      <c r="I478" s="48">
        <f>データ!J475</f>
        <v>150000</v>
      </c>
      <c r="J478" s="39" t="str">
        <f>IF(OR($C478="総括",$C478="内訳書",$C478="内訳代価",$C478="明細書",$C478="明細代価",$C478="代価表",$C478="単価表"),データ!K475,"")</f>
        <v/>
      </c>
      <c r="K478" s="11" t="str">
        <f t="shared" si="42"/>
        <v/>
      </c>
      <c r="L478" s="46">
        <f t="shared" si="43"/>
        <v>2.1597339207809598E-3</v>
      </c>
      <c r="M478" s="40" t="str">
        <f>IF(データ!L475="","",データ!L475)</f>
        <v/>
      </c>
      <c r="N478" s="41" t="str">
        <f>IF(データ!M475="","",データ!M475)</f>
        <v/>
      </c>
      <c r="O478" s="42">
        <f>データ!N475</f>
        <v>0</v>
      </c>
      <c r="P478" s="48">
        <f>IF($C478="集計行","",データ!O475)</f>
        <v>0</v>
      </c>
      <c r="Q478" s="48">
        <f>データ!P475</f>
        <v>0</v>
      </c>
      <c r="R478" s="39" t="str">
        <f>IF(OR($C478="総括",$C478="内訳書",$C478="内訳代価",$C478="明細書",$C478="明細代価",$C478="代価表",$C478="単価表"),データ!Q475,"")</f>
        <v/>
      </c>
      <c r="S478" s="11" t="str">
        <f t="shared" si="44"/>
        <v/>
      </c>
      <c r="T478" s="46" t="e">
        <f t="shared" si="45"/>
        <v>#DIV/0!</v>
      </c>
      <c r="U478" s="40" t="str">
        <f>IF(データ!R475="","",データ!R475)</f>
        <v/>
      </c>
      <c r="V478" s="41" t="str">
        <f>IF(データ!S475="","",データ!S475)</f>
        <v/>
      </c>
      <c r="W478" s="42">
        <f>データ!T475</f>
        <v>0</v>
      </c>
      <c r="X478" s="48">
        <f>IF($C478="集計行","",データ!U475)</f>
        <v>0</v>
      </c>
      <c r="Y478" s="48">
        <f>データ!V475</f>
        <v>0</v>
      </c>
      <c r="Z478" s="39" t="str">
        <f>IF(OR($C478="総括",$C478="内訳書",$C478="内訳代価",$C478="明細書",$C478="明細代価",$C478="代価表",$C478="単価表"),データ!W475,"")</f>
        <v/>
      </c>
      <c r="AA478" s="11" t="str">
        <f t="shared" si="46"/>
        <v/>
      </c>
      <c r="AB478" s="46" t="e">
        <f t="shared" si="47"/>
        <v>#DIV/0!</v>
      </c>
      <c r="AC478" s="40" t="str">
        <f>IF(データ!X475="","",データ!X475)</f>
        <v/>
      </c>
      <c r="AD478" s="41" t="str">
        <f>IF(データ!Y475="","",データ!Y475)</f>
        <v/>
      </c>
      <c r="AE478" s="47" t="str">
        <f>TRIM(データ!B475)</f>
        <v/>
      </c>
      <c r="AF478" s="43" t="str">
        <f>TRIM(データ!Z475)</f>
        <v/>
      </c>
    </row>
    <row r="479" spans="1:32" x14ac:dyDescent="0.15">
      <c r="A479" s="47">
        <f>データ!A476</f>
        <v>3</v>
      </c>
      <c r="B479" s="47" t="str">
        <f>TRIM(データ!C476)</f>
        <v/>
      </c>
      <c r="C479" s="47" t="str">
        <f>TRIM(データ!D476)</f>
        <v>機械費</v>
      </c>
      <c r="D479" s="36" t="str">
        <f>REPT("｜",$A479)&amp;TRIM(データ!E476)</f>
        <v>｜｜｜BH0.2</v>
      </c>
      <c r="E479" s="37" t="str">
        <f>TRIM(データ!F476)</f>
        <v/>
      </c>
      <c r="F479" s="38" t="str">
        <f>TRIM(データ!G476)</f>
        <v>台</v>
      </c>
      <c r="G479" s="50">
        <f>データ!H476</f>
        <v>1</v>
      </c>
      <c r="H479" s="48">
        <f>データ!I476</f>
        <v>9000</v>
      </c>
      <c r="I479" s="48">
        <f>データ!J476</f>
        <v>9000</v>
      </c>
      <c r="J479" s="39" t="str">
        <f>IF(OR($C479="総括",$C479="内訳書",$C479="内訳代価",$C479="明細書",$C479="明細代価",$C479="代価表",$C479="単価表"),データ!K476,"")</f>
        <v/>
      </c>
      <c r="K479" s="11" t="str">
        <f t="shared" si="42"/>
        <v/>
      </c>
      <c r="L479" s="46">
        <f t="shared" si="43"/>
        <v>1.295840352468576E-4</v>
      </c>
      <c r="M479" s="40" t="str">
        <f>IF(データ!L476="","",データ!L476)</f>
        <v/>
      </c>
      <c r="N479" s="41" t="str">
        <f>IF(データ!M476="","",データ!M476)</f>
        <v/>
      </c>
      <c r="O479" s="42">
        <f>データ!N476</f>
        <v>0</v>
      </c>
      <c r="P479" s="48">
        <f>IF($C479="集計行","",データ!O476)</f>
        <v>0</v>
      </c>
      <c r="Q479" s="48">
        <f>データ!P476</f>
        <v>0</v>
      </c>
      <c r="R479" s="39" t="str">
        <f>IF(OR($C479="総括",$C479="内訳書",$C479="内訳代価",$C479="明細書",$C479="明細代価",$C479="代価表",$C479="単価表"),データ!Q476,"")</f>
        <v/>
      </c>
      <c r="S479" s="11" t="str">
        <f t="shared" si="44"/>
        <v/>
      </c>
      <c r="T479" s="46" t="e">
        <f t="shared" si="45"/>
        <v>#DIV/0!</v>
      </c>
      <c r="U479" s="40" t="str">
        <f>IF(データ!R476="","",データ!R476)</f>
        <v/>
      </c>
      <c r="V479" s="41" t="str">
        <f>IF(データ!S476="","",データ!S476)</f>
        <v/>
      </c>
      <c r="W479" s="42">
        <f>データ!T476</f>
        <v>0</v>
      </c>
      <c r="X479" s="48">
        <f>IF($C479="集計行","",データ!U476)</f>
        <v>0</v>
      </c>
      <c r="Y479" s="48">
        <f>データ!V476</f>
        <v>0</v>
      </c>
      <c r="Z479" s="39" t="str">
        <f>IF(OR($C479="総括",$C479="内訳書",$C479="内訳代価",$C479="明細書",$C479="明細代価",$C479="代価表",$C479="単価表"),データ!W476,"")</f>
        <v/>
      </c>
      <c r="AA479" s="11" t="str">
        <f t="shared" si="46"/>
        <v/>
      </c>
      <c r="AB479" s="46" t="e">
        <f t="shared" si="47"/>
        <v>#DIV/0!</v>
      </c>
      <c r="AC479" s="40" t="str">
        <f>IF(データ!X476="","",データ!X476)</f>
        <v/>
      </c>
      <c r="AD479" s="41" t="str">
        <f>IF(データ!Y476="","",データ!Y476)</f>
        <v/>
      </c>
      <c r="AE479" s="47" t="str">
        <f>TRIM(データ!B476)</f>
        <v/>
      </c>
      <c r="AF479" s="43" t="str">
        <f>TRIM(データ!Z476)</f>
        <v/>
      </c>
    </row>
    <row r="480" spans="1:32" x14ac:dyDescent="0.15">
      <c r="A480" s="47">
        <f>データ!A477</f>
        <v>3</v>
      </c>
      <c r="B480" s="47" t="str">
        <f>TRIM(データ!C477)</f>
        <v/>
      </c>
      <c r="C480" s="47" t="str">
        <f>TRIM(データ!D477)</f>
        <v>機械費</v>
      </c>
      <c r="D480" s="36" t="str">
        <f>REPT("｜",$A480)&amp;TRIM(データ!E477)</f>
        <v>｜｜｜コンバインドローラ</v>
      </c>
      <c r="E480" s="37" t="str">
        <f>TRIM(データ!F477)</f>
        <v/>
      </c>
      <c r="F480" s="38" t="str">
        <f>TRIM(データ!G477)</f>
        <v>台</v>
      </c>
      <c r="G480" s="50">
        <f>データ!H477</f>
        <v>1</v>
      </c>
      <c r="H480" s="48">
        <f>データ!I477</f>
        <v>8000</v>
      </c>
      <c r="I480" s="48">
        <f>データ!J477</f>
        <v>8000</v>
      </c>
      <c r="J480" s="39" t="str">
        <f>IF(OR($C480="総括",$C480="内訳書",$C480="内訳代価",$C480="明細書",$C480="明細代価",$C480="代価表",$C480="単価表"),データ!K477,"")</f>
        <v/>
      </c>
      <c r="K480" s="11" t="str">
        <f t="shared" si="42"/>
        <v/>
      </c>
      <c r="L480" s="46">
        <f t="shared" si="43"/>
        <v>1.1518580910831785E-4</v>
      </c>
      <c r="M480" s="40" t="str">
        <f>IF(データ!L477="","",データ!L477)</f>
        <v/>
      </c>
      <c r="N480" s="41" t="str">
        <f>IF(データ!M477="","",データ!M477)</f>
        <v/>
      </c>
      <c r="O480" s="42">
        <f>データ!N477</f>
        <v>0</v>
      </c>
      <c r="P480" s="48">
        <f>IF($C480="集計行","",データ!O477)</f>
        <v>0</v>
      </c>
      <c r="Q480" s="48">
        <f>データ!P477</f>
        <v>0</v>
      </c>
      <c r="R480" s="39" t="str">
        <f>IF(OR($C480="総括",$C480="内訳書",$C480="内訳代価",$C480="明細書",$C480="明細代価",$C480="代価表",$C480="単価表"),データ!Q477,"")</f>
        <v/>
      </c>
      <c r="S480" s="11" t="str">
        <f t="shared" si="44"/>
        <v/>
      </c>
      <c r="T480" s="46" t="e">
        <f t="shared" si="45"/>
        <v>#DIV/0!</v>
      </c>
      <c r="U480" s="40" t="str">
        <f>IF(データ!R477="","",データ!R477)</f>
        <v/>
      </c>
      <c r="V480" s="41" t="str">
        <f>IF(データ!S477="","",データ!S477)</f>
        <v/>
      </c>
      <c r="W480" s="42">
        <f>データ!T477</f>
        <v>0</v>
      </c>
      <c r="X480" s="48">
        <f>IF($C480="集計行","",データ!U477)</f>
        <v>0</v>
      </c>
      <c r="Y480" s="48">
        <f>データ!V477</f>
        <v>0</v>
      </c>
      <c r="Z480" s="39" t="str">
        <f>IF(OR($C480="総括",$C480="内訳書",$C480="内訳代価",$C480="明細書",$C480="明細代価",$C480="代価表",$C480="単価表"),データ!W477,"")</f>
        <v/>
      </c>
      <c r="AA480" s="11" t="str">
        <f t="shared" si="46"/>
        <v/>
      </c>
      <c r="AB480" s="46" t="e">
        <f t="shared" si="47"/>
        <v>#DIV/0!</v>
      </c>
      <c r="AC480" s="40" t="str">
        <f>IF(データ!X477="","",データ!X477)</f>
        <v/>
      </c>
      <c r="AD480" s="41" t="str">
        <f>IF(データ!Y477="","",データ!Y477)</f>
        <v/>
      </c>
      <c r="AE480" s="47" t="str">
        <f>TRIM(データ!B477)</f>
        <v/>
      </c>
      <c r="AF480" s="43" t="str">
        <f>TRIM(データ!Z477)</f>
        <v/>
      </c>
    </row>
    <row r="481" spans="1:32" x14ac:dyDescent="0.15">
      <c r="A481" s="47">
        <f>データ!A478</f>
        <v>3</v>
      </c>
      <c r="B481" s="47" t="str">
        <f>TRIM(データ!C478)</f>
        <v/>
      </c>
      <c r="C481" s="47" t="str">
        <f>TRIM(データ!D478)</f>
        <v>機械費</v>
      </c>
      <c r="D481" s="36" t="str">
        <f>REPT("｜",$A481)&amp;TRIM(データ!E478)</f>
        <v>｜｜｜タイヤローラ10t</v>
      </c>
      <c r="E481" s="37" t="str">
        <f>TRIM(データ!F478)</f>
        <v/>
      </c>
      <c r="F481" s="38" t="str">
        <f>TRIM(データ!G478)</f>
        <v>台</v>
      </c>
      <c r="G481" s="50">
        <f>データ!H478</f>
        <v>1</v>
      </c>
      <c r="H481" s="48">
        <f>データ!I478</f>
        <v>10000</v>
      </c>
      <c r="I481" s="48">
        <f>データ!J478</f>
        <v>10000</v>
      </c>
      <c r="J481" s="39" t="str">
        <f>IF(OR($C481="総括",$C481="内訳書",$C481="内訳代価",$C481="明細書",$C481="明細代価",$C481="代価表",$C481="単価表"),データ!K478,"")</f>
        <v/>
      </c>
      <c r="K481" s="11" t="str">
        <f t="shared" si="42"/>
        <v/>
      </c>
      <c r="L481" s="46">
        <f t="shared" si="43"/>
        <v>1.4398226138539731E-4</v>
      </c>
      <c r="M481" s="40" t="str">
        <f>IF(データ!L478="","",データ!L478)</f>
        <v/>
      </c>
      <c r="N481" s="41" t="str">
        <f>IF(データ!M478="","",データ!M478)</f>
        <v/>
      </c>
      <c r="O481" s="42">
        <f>データ!N478</f>
        <v>0</v>
      </c>
      <c r="P481" s="48">
        <f>IF($C481="集計行","",データ!O478)</f>
        <v>0</v>
      </c>
      <c r="Q481" s="48">
        <f>データ!P478</f>
        <v>0</v>
      </c>
      <c r="R481" s="39" t="str">
        <f>IF(OR($C481="総括",$C481="内訳書",$C481="内訳代価",$C481="明細書",$C481="明細代価",$C481="代価表",$C481="単価表"),データ!Q478,"")</f>
        <v/>
      </c>
      <c r="S481" s="11" t="str">
        <f t="shared" si="44"/>
        <v/>
      </c>
      <c r="T481" s="46" t="e">
        <f t="shared" si="45"/>
        <v>#DIV/0!</v>
      </c>
      <c r="U481" s="40" t="str">
        <f>IF(データ!R478="","",データ!R478)</f>
        <v/>
      </c>
      <c r="V481" s="41" t="str">
        <f>IF(データ!S478="","",データ!S478)</f>
        <v/>
      </c>
      <c r="W481" s="42">
        <f>データ!T478</f>
        <v>0</v>
      </c>
      <c r="X481" s="48">
        <f>IF($C481="集計行","",データ!U478)</f>
        <v>0</v>
      </c>
      <c r="Y481" s="48">
        <f>データ!V478</f>
        <v>0</v>
      </c>
      <c r="Z481" s="39" t="str">
        <f>IF(OR($C481="総括",$C481="内訳書",$C481="内訳代価",$C481="明細書",$C481="明細代価",$C481="代価表",$C481="単価表"),データ!W478,"")</f>
        <v/>
      </c>
      <c r="AA481" s="11" t="str">
        <f t="shared" si="46"/>
        <v/>
      </c>
      <c r="AB481" s="46" t="e">
        <f t="shared" si="47"/>
        <v>#DIV/0!</v>
      </c>
      <c r="AC481" s="40" t="str">
        <f>IF(データ!X478="","",データ!X478)</f>
        <v/>
      </c>
      <c r="AD481" s="41" t="str">
        <f>IF(データ!Y478="","",データ!Y478)</f>
        <v/>
      </c>
      <c r="AE481" s="47" t="str">
        <f>TRIM(データ!B478)</f>
        <v/>
      </c>
      <c r="AF481" s="43" t="str">
        <f>TRIM(データ!Z478)</f>
        <v/>
      </c>
    </row>
    <row r="482" spans="1:32" x14ac:dyDescent="0.15">
      <c r="A482" s="47">
        <f>データ!A479</f>
        <v>3</v>
      </c>
      <c r="B482" s="47" t="str">
        <f>TRIM(データ!C479)</f>
        <v/>
      </c>
      <c r="C482" s="47" t="str">
        <f>TRIM(データ!D479)</f>
        <v>機械費</v>
      </c>
      <c r="D482" s="36" t="str">
        <f>REPT("｜",$A482)&amp;TRIM(データ!E479)</f>
        <v>｜｜｜ランマー</v>
      </c>
      <c r="E482" s="37" t="str">
        <f>TRIM(データ!F479)</f>
        <v/>
      </c>
      <c r="F482" s="38" t="str">
        <f>TRIM(データ!G479)</f>
        <v>台</v>
      </c>
      <c r="G482" s="50">
        <f>データ!H479</f>
        <v>1</v>
      </c>
      <c r="H482" s="48">
        <f>データ!I479</f>
        <v>1500</v>
      </c>
      <c r="I482" s="48">
        <f>データ!J479</f>
        <v>1500</v>
      </c>
      <c r="J482" s="39" t="str">
        <f>IF(OR($C482="総括",$C482="内訳書",$C482="内訳代価",$C482="明細書",$C482="明細代価",$C482="代価表",$C482="単価表"),データ!K479,"")</f>
        <v/>
      </c>
      <c r="K482" s="11" t="str">
        <f t="shared" si="42"/>
        <v/>
      </c>
      <c r="L482" s="46">
        <f t="shared" si="43"/>
        <v>2.1597339207809597E-5</v>
      </c>
      <c r="M482" s="40" t="str">
        <f>IF(データ!L479="","",データ!L479)</f>
        <v/>
      </c>
      <c r="N482" s="41" t="str">
        <f>IF(データ!M479="","",データ!M479)</f>
        <v/>
      </c>
      <c r="O482" s="42">
        <f>データ!N479</f>
        <v>0</v>
      </c>
      <c r="P482" s="48">
        <f>IF($C482="集計行","",データ!O479)</f>
        <v>0</v>
      </c>
      <c r="Q482" s="48">
        <f>データ!P479</f>
        <v>0</v>
      </c>
      <c r="R482" s="39" t="str">
        <f>IF(OR($C482="総括",$C482="内訳書",$C482="内訳代価",$C482="明細書",$C482="明細代価",$C482="代価表",$C482="単価表"),データ!Q479,"")</f>
        <v/>
      </c>
      <c r="S482" s="11" t="str">
        <f t="shared" si="44"/>
        <v/>
      </c>
      <c r="T482" s="46" t="e">
        <f t="shared" si="45"/>
        <v>#DIV/0!</v>
      </c>
      <c r="U482" s="40" t="str">
        <f>IF(データ!R479="","",データ!R479)</f>
        <v/>
      </c>
      <c r="V482" s="41" t="str">
        <f>IF(データ!S479="","",データ!S479)</f>
        <v/>
      </c>
      <c r="W482" s="42">
        <f>データ!T479</f>
        <v>0</v>
      </c>
      <c r="X482" s="48">
        <f>IF($C482="集計行","",データ!U479)</f>
        <v>0</v>
      </c>
      <c r="Y482" s="48">
        <f>データ!V479</f>
        <v>0</v>
      </c>
      <c r="Z482" s="39" t="str">
        <f>IF(OR($C482="総括",$C482="内訳書",$C482="内訳代価",$C482="明細書",$C482="明細代価",$C482="代価表",$C482="単価表"),データ!W479,"")</f>
        <v/>
      </c>
      <c r="AA482" s="11" t="str">
        <f t="shared" si="46"/>
        <v/>
      </c>
      <c r="AB482" s="46" t="e">
        <f t="shared" si="47"/>
        <v>#DIV/0!</v>
      </c>
      <c r="AC482" s="40" t="str">
        <f>IF(データ!X479="","",データ!X479)</f>
        <v/>
      </c>
      <c r="AD482" s="41" t="str">
        <f>IF(データ!Y479="","",データ!Y479)</f>
        <v/>
      </c>
      <c r="AE482" s="47" t="str">
        <f>TRIM(データ!B479)</f>
        <v/>
      </c>
      <c r="AF482" s="43" t="str">
        <f>TRIM(データ!Z479)</f>
        <v/>
      </c>
    </row>
    <row r="483" spans="1:32" x14ac:dyDescent="0.15">
      <c r="A483" s="47">
        <f>データ!A480</f>
        <v>3</v>
      </c>
      <c r="B483" s="47" t="str">
        <f>TRIM(データ!C480)</f>
        <v/>
      </c>
      <c r="C483" s="47" t="str">
        <f>TRIM(データ!D480)</f>
        <v>機械費</v>
      </c>
      <c r="D483" s="36" t="str">
        <f>REPT("｜",$A483)&amp;TRIM(データ!E480)</f>
        <v>｜｜｜プレート</v>
      </c>
      <c r="E483" s="37" t="str">
        <f>TRIM(データ!F480)</f>
        <v/>
      </c>
      <c r="F483" s="38" t="str">
        <f>TRIM(データ!G480)</f>
        <v>台</v>
      </c>
      <c r="G483" s="50">
        <f>データ!H480</f>
        <v>1</v>
      </c>
      <c r="H483" s="48">
        <f>データ!I480</f>
        <v>1500</v>
      </c>
      <c r="I483" s="48">
        <f>データ!J480</f>
        <v>1500</v>
      </c>
      <c r="J483" s="39" t="str">
        <f>IF(OR($C483="総括",$C483="内訳書",$C483="内訳代価",$C483="明細書",$C483="明細代価",$C483="代価表",$C483="単価表"),データ!K480,"")</f>
        <v/>
      </c>
      <c r="K483" s="11" t="str">
        <f t="shared" si="42"/>
        <v/>
      </c>
      <c r="L483" s="46">
        <f t="shared" si="43"/>
        <v>2.1597339207809597E-5</v>
      </c>
      <c r="M483" s="40" t="str">
        <f>IF(データ!L480="","",データ!L480)</f>
        <v/>
      </c>
      <c r="N483" s="41" t="str">
        <f>IF(データ!M480="","",データ!M480)</f>
        <v/>
      </c>
      <c r="O483" s="42">
        <f>データ!N480</f>
        <v>0</v>
      </c>
      <c r="P483" s="48">
        <f>IF($C483="集計行","",データ!O480)</f>
        <v>0</v>
      </c>
      <c r="Q483" s="48">
        <f>データ!P480</f>
        <v>0</v>
      </c>
      <c r="R483" s="39" t="str">
        <f>IF(OR($C483="総括",$C483="内訳書",$C483="内訳代価",$C483="明細書",$C483="明細代価",$C483="代価表",$C483="単価表"),データ!Q480,"")</f>
        <v/>
      </c>
      <c r="S483" s="11" t="str">
        <f t="shared" si="44"/>
        <v/>
      </c>
      <c r="T483" s="46" t="e">
        <f t="shared" si="45"/>
        <v>#DIV/0!</v>
      </c>
      <c r="U483" s="40" t="str">
        <f>IF(データ!R480="","",データ!R480)</f>
        <v/>
      </c>
      <c r="V483" s="41" t="str">
        <f>IF(データ!S480="","",データ!S480)</f>
        <v/>
      </c>
      <c r="W483" s="42">
        <f>データ!T480</f>
        <v>0</v>
      </c>
      <c r="X483" s="48">
        <f>IF($C483="集計行","",データ!U480)</f>
        <v>0</v>
      </c>
      <c r="Y483" s="48">
        <f>データ!V480</f>
        <v>0</v>
      </c>
      <c r="Z483" s="39" t="str">
        <f>IF(OR($C483="総括",$C483="内訳書",$C483="内訳代価",$C483="明細書",$C483="明細代価",$C483="代価表",$C483="単価表"),データ!W480,"")</f>
        <v/>
      </c>
      <c r="AA483" s="11" t="str">
        <f t="shared" si="46"/>
        <v/>
      </c>
      <c r="AB483" s="46" t="e">
        <f t="shared" si="47"/>
        <v>#DIV/0!</v>
      </c>
      <c r="AC483" s="40" t="str">
        <f>IF(データ!X480="","",データ!X480)</f>
        <v/>
      </c>
      <c r="AD483" s="41" t="str">
        <f>IF(データ!Y480="","",データ!Y480)</f>
        <v/>
      </c>
      <c r="AE483" s="47" t="str">
        <f>TRIM(データ!B480)</f>
        <v/>
      </c>
      <c r="AF483" s="43" t="str">
        <f>TRIM(データ!Z480)</f>
        <v/>
      </c>
    </row>
    <row r="484" spans="1:32" x14ac:dyDescent="0.15">
      <c r="A484" s="47">
        <f>データ!A481</f>
        <v>3</v>
      </c>
      <c r="B484" s="47" t="str">
        <f>TRIM(データ!C481)</f>
        <v/>
      </c>
      <c r="C484" s="47" t="str">
        <f>TRIM(データ!D481)</f>
        <v>運搬費</v>
      </c>
      <c r="D484" s="36" t="str">
        <f>REPT("｜",$A484)&amp;TRIM(データ!E481)</f>
        <v>｜｜｜4tダンプ</v>
      </c>
      <c r="E484" s="37" t="str">
        <f>TRIM(データ!F481)</f>
        <v/>
      </c>
      <c r="F484" s="38" t="str">
        <f>TRIM(データ!G481)</f>
        <v>台</v>
      </c>
      <c r="G484" s="50">
        <f>データ!H481</f>
        <v>1</v>
      </c>
      <c r="H484" s="48">
        <f>データ!I481</f>
        <v>10000</v>
      </c>
      <c r="I484" s="48">
        <f>データ!J481</f>
        <v>10000</v>
      </c>
      <c r="J484" s="39" t="str">
        <f>IF(OR($C484="総括",$C484="内訳書",$C484="内訳代価",$C484="明細書",$C484="明細代価",$C484="代価表",$C484="単価表"),データ!K481,"")</f>
        <v/>
      </c>
      <c r="K484" s="11" t="str">
        <f t="shared" si="42"/>
        <v/>
      </c>
      <c r="L484" s="46">
        <f t="shared" si="43"/>
        <v>1.4398226138539731E-4</v>
      </c>
      <c r="M484" s="40" t="str">
        <f>IF(データ!L481="","",データ!L481)</f>
        <v/>
      </c>
      <c r="N484" s="41" t="str">
        <f>IF(データ!M481="","",データ!M481)</f>
        <v/>
      </c>
      <c r="O484" s="42">
        <f>データ!N481</f>
        <v>0</v>
      </c>
      <c r="P484" s="48">
        <f>IF($C484="集計行","",データ!O481)</f>
        <v>0</v>
      </c>
      <c r="Q484" s="48">
        <f>データ!P481</f>
        <v>0</v>
      </c>
      <c r="R484" s="39" t="str">
        <f>IF(OR($C484="総括",$C484="内訳書",$C484="内訳代価",$C484="明細書",$C484="明細代価",$C484="代価表",$C484="単価表"),データ!Q481,"")</f>
        <v/>
      </c>
      <c r="S484" s="11" t="str">
        <f t="shared" si="44"/>
        <v/>
      </c>
      <c r="T484" s="46" t="e">
        <f t="shared" si="45"/>
        <v>#DIV/0!</v>
      </c>
      <c r="U484" s="40" t="str">
        <f>IF(データ!R481="","",データ!R481)</f>
        <v/>
      </c>
      <c r="V484" s="41" t="str">
        <f>IF(データ!S481="","",データ!S481)</f>
        <v/>
      </c>
      <c r="W484" s="42">
        <f>データ!T481</f>
        <v>0</v>
      </c>
      <c r="X484" s="48">
        <f>IF($C484="集計行","",データ!U481)</f>
        <v>0</v>
      </c>
      <c r="Y484" s="48">
        <f>データ!V481</f>
        <v>0</v>
      </c>
      <c r="Z484" s="39" t="str">
        <f>IF(OR($C484="総括",$C484="内訳書",$C484="内訳代価",$C484="明細書",$C484="明細代価",$C484="代価表",$C484="単価表"),データ!W481,"")</f>
        <v/>
      </c>
      <c r="AA484" s="11" t="str">
        <f t="shared" si="46"/>
        <v/>
      </c>
      <c r="AB484" s="46" t="e">
        <f t="shared" si="47"/>
        <v>#DIV/0!</v>
      </c>
      <c r="AC484" s="40" t="str">
        <f>IF(データ!X481="","",データ!X481)</f>
        <v/>
      </c>
      <c r="AD484" s="41" t="str">
        <f>IF(データ!Y481="","",データ!Y481)</f>
        <v/>
      </c>
      <c r="AE484" s="47" t="str">
        <f>TRIM(データ!B481)</f>
        <v/>
      </c>
      <c r="AF484" s="43" t="str">
        <f>TRIM(データ!Z481)</f>
        <v/>
      </c>
    </row>
    <row r="485" spans="1:32" x14ac:dyDescent="0.15">
      <c r="A485" s="47">
        <f>データ!A482</f>
        <v>3</v>
      </c>
      <c r="B485" s="47" t="str">
        <f>TRIM(データ!C482)</f>
        <v/>
      </c>
      <c r="C485" s="47" t="str">
        <f>TRIM(データ!D482)</f>
        <v>運搬費</v>
      </c>
      <c r="D485" s="36" t="str">
        <f>REPT("｜",$A485)&amp;TRIM(データ!E482)</f>
        <v>｜｜｜2tダンプ</v>
      </c>
      <c r="E485" s="37" t="str">
        <f>TRIM(データ!F482)</f>
        <v/>
      </c>
      <c r="F485" s="38" t="str">
        <f>TRIM(データ!G482)</f>
        <v>台</v>
      </c>
      <c r="G485" s="50">
        <f>データ!H482</f>
        <v>2</v>
      </c>
      <c r="H485" s="48">
        <f>データ!I482</f>
        <v>7000</v>
      </c>
      <c r="I485" s="48">
        <f>データ!J482</f>
        <v>14000</v>
      </c>
      <c r="J485" s="39" t="str">
        <f>IF(OR($C485="総括",$C485="内訳書",$C485="内訳代価",$C485="明細書",$C485="明細代価",$C485="代価表",$C485="単価表"),データ!K482,"")</f>
        <v/>
      </c>
      <c r="K485" s="11" t="str">
        <f t="shared" si="42"/>
        <v/>
      </c>
      <c r="L485" s="46">
        <f t="shared" si="43"/>
        <v>2.0157516593955624E-4</v>
      </c>
      <c r="M485" s="40" t="str">
        <f>IF(データ!L482="","",データ!L482)</f>
        <v/>
      </c>
      <c r="N485" s="41" t="str">
        <f>IF(データ!M482="","",データ!M482)</f>
        <v/>
      </c>
      <c r="O485" s="42">
        <f>データ!N482</f>
        <v>0</v>
      </c>
      <c r="P485" s="48">
        <f>IF($C485="集計行","",データ!O482)</f>
        <v>0</v>
      </c>
      <c r="Q485" s="48">
        <f>データ!P482</f>
        <v>0</v>
      </c>
      <c r="R485" s="39" t="str">
        <f>IF(OR($C485="総括",$C485="内訳書",$C485="内訳代価",$C485="明細書",$C485="明細代価",$C485="代価表",$C485="単価表"),データ!Q482,"")</f>
        <v/>
      </c>
      <c r="S485" s="11" t="str">
        <f t="shared" si="44"/>
        <v/>
      </c>
      <c r="T485" s="46" t="e">
        <f t="shared" si="45"/>
        <v>#DIV/0!</v>
      </c>
      <c r="U485" s="40" t="str">
        <f>IF(データ!R482="","",データ!R482)</f>
        <v/>
      </c>
      <c r="V485" s="41" t="str">
        <f>IF(データ!S482="","",データ!S482)</f>
        <v/>
      </c>
      <c r="W485" s="42">
        <f>データ!T482</f>
        <v>0</v>
      </c>
      <c r="X485" s="48">
        <f>IF($C485="集計行","",データ!U482)</f>
        <v>0</v>
      </c>
      <c r="Y485" s="48">
        <f>データ!V482</f>
        <v>0</v>
      </c>
      <c r="Z485" s="39" t="str">
        <f>IF(OR($C485="総括",$C485="内訳書",$C485="内訳代価",$C485="明細書",$C485="明細代価",$C485="代価表",$C485="単価表"),データ!W482,"")</f>
        <v/>
      </c>
      <c r="AA485" s="11" t="str">
        <f t="shared" si="46"/>
        <v/>
      </c>
      <c r="AB485" s="46" t="e">
        <f t="shared" si="47"/>
        <v>#DIV/0!</v>
      </c>
      <c r="AC485" s="40" t="str">
        <f>IF(データ!X482="","",データ!X482)</f>
        <v/>
      </c>
      <c r="AD485" s="41" t="str">
        <f>IF(データ!Y482="","",データ!Y482)</f>
        <v/>
      </c>
      <c r="AE485" s="47" t="str">
        <f>TRIM(データ!B482)</f>
        <v/>
      </c>
      <c r="AF485" s="43" t="str">
        <f>TRIM(データ!Z482)</f>
        <v/>
      </c>
    </row>
    <row r="486" spans="1:32" x14ac:dyDescent="0.15">
      <c r="A486" s="47">
        <f>データ!A483</f>
        <v>3</v>
      </c>
      <c r="B486" s="47" t="str">
        <f>TRIM(データ!C483)</f>
        <v/>
      </c>
      <c r="C486" s="47" t="str">
        <f>TRIM(データ!D483)</f>
        <v>運搬費</v>
      </c>
      <c r="D486" s="36" t="str">
        <f>REPT("｜",$A486)&amp;TRIM(データ!E483)</f>
        <v>｜｜｜WP</v>
      </c>
      <c r="E486" s="37" t="str">
        <f>TRIM(データ!F483)</f>
        <v/>
      </c>
      <c r="F486" s="38" t="str">
        <f>TRIM(データ!G483)</f>
        <v>台</v>
      </c>
      <c r="G486" s="50">
        <f>データ!H483</f>
        <v>1</v>
      </c>
      <c r="H486" s="48">
        <f>データ!I483</f>
        <v>7000</v>
      </c>
      <c r="I486" s="48">
        <f>データ!J483</f>
        <v>7000</v>
      </c>
      <c r="J486" s="39" t="str">
        <f>IF(OR($C486="総括",$C486="内訳書",$C486="内訳代価",$C486="明細書",$C486="明細代価",$C486="代価表",$C486="単価表"),データ!K483,"")</f>
        <v/>
      </c>
      <c r="K486" s="11" t="str">
        <f t="shared" si="42"/>
        <v/>
      </c>
      <c r="L486" s="46">
        <f t="shared" si="43"/>
        <v>1.0078758296977812E-4</v>
      </c>
      <c r="M486" s="40" t="str">
        <f>IF(データ!L483="","",データ!L483)</f>
        <v/>
      </c>
      <c r="N486" s="41" t="str">
        <f>IF(データ!M483="","",データ!M483)</f>
        <v/>
      </c>
      <c r="O486" s="42">
        <f>データ!N483</f>
        <v>0</v>
      </c>
      <c r="P486" s="48">
        <f>IF($C486="集計行","",データ!O483)</f>
        <v>0</v>
      </c>
      <c r="Q486" s="48">
        <f>データ!P483</f>
        <v>0</v>
      </c>
      <c r="R486" s="39" t="str">
        <f>IF(OR($C486="総括",$C486="内訳書",$C486="内訳代価",$C486="明細書",$C486="明細代価",$C486="代価表",$C486="単価表"),データ!Q483,"")</f>
        <v/>
      </c>
      <c r="S486" s="11" t="str">
        <f t="shared" si="44"/>
        <v/>
      </c>
      <c r="T486" s="46" t="e">
        <f t="shared" si="45"/>
        <v>#DIV/0!</v>
      </c>
      <c r="U486" s="40" t="str">
        <f>IF(データ!R483="","",データ!R483)</f>
        <v/>
      </c>
      <c r="V486" s="41" t="str">
        <f>IF(データ!S483="","",データ!S483)</f>
        <v/>
      </c>
      <c r="W486" s="42">
        <f>データ!T483</f>
        <v>0</v>
      </c>
      <c r="X486" s="48">
        <f>IF($C486="集計行","",データ!U483)</f>
        <v>0</v>
      </c>
      <c r="Y486" s="48">
        <f>データ!V483</f>
        <v>0</v>
      </c>
      <c r="Z486" s="39" t="str">
        <f>IF(OR($C486="総括",$C486="内訳書",$C486="内訳代価",$C486="明細書",$C486="明細代価",$C486="代価表",$C486="単価表"),データ!W483,"")</f>
        <v/>
      </c>
      <c r="AA486" s="11" t="str">
        <f t="shared" si="46"/>
        <v/>
      </c>
      <c r="AB486" s="46" t="e">
        <f t="shared" si="47"/>
        <v>#DIV/0!</v>
      </c>
      <c r="AC486" s="40" t="str">
        <f>IF(データ!X483="","",データ!X483)</f>
        <v/>
      </c>
      <c r="AD486" s="41" t="str">
        <f>IF(データ!Y483="","",データ!Y483)</f>
        <v/>
      </c>
      <c r="AE486" s="47" t="str">
        <f>TRIM(データ!B483)</f>
        <v/>
      </c>
      <c r="AF486" s="43" t="str">
        <f>TRIM(データ!Z483)</f>
        <v/>
      </c>
    </row>
    <row r="487" spans="1:32" x14ac:dyDescent="0.15">
      <c r="A487" s="47">
        <f>データ!A484</f>
        <v>3</v>
      </c>
      <c r="B487" s="47" t="str">
        <f>TRIM(データ!C484)</f>
        <v/>
      </c>
      <c r="C487" s="47" t="str">
        <f>TRIM(データ!D484)</f>
        <v>材料費</v>
      </c>
      <c r="D487" s="36" t="str">
        <f>REPT("｜",$A487)&amp;TRIM(データ!E484)</f>
        <v>｜｜｜軽油</v>
      </c>
      <c r="E487" s="37" t="str">
        <f>TRIM(データ!F484)</f>
        <v/>
      </c>
      <c r="F487" s="38" t="str">
        <f>TRIM(データ!G484)</f>
        <v>リットル</v>
      </c>
      <c r="G487" s="50">
        <f>データ!H484</f>
        <v>120</v>
      </c>
      <c r="H487" s="48">
        <f>データ!I484</f>
        <v>150</v>
      </c>
      <c r="I487" s="48">
        <f>データ!J484</f>
        <v>18000</v>
      </c>
      <c r="J487" s="39" t="str">
        <f>IF(OR($C487="総括",$C487="内訳書",$C487="内訳代価",$C487="明細書",$C487="明細代価",$C487="代価表",$C487="単価表"),データ!K484,"")</f>
        <v/>
      </c>
      <c r="K487" s="11" t="str">
        <f t="shared" si="42"/>
        <v/>
      </c>
      <c r="L487" s="46">
        <f t="shared" si="43"/>
        <v>2.5916807049371519E-4</v>
      </c>
      <c r="M487" s="40" t="str">
        <f>IF(データ!L484="","",データ!L484)</f>
        <v/>
      </c>
      <c r="N487" s="41" t="str">
        <f>IF(データ!M484="","",データ!M484)</f>
        <v/>
      </c>
      <c r="O487" s="42">
        <f>データ!N484</f>
        <v>0</v>
      </c>
      <c r="P487" s="48">
        <f>IF($C487="集計行","",データ!O484)</f>
        <v>0</v>
      </c>
      <c r="Q487" s="48">
        <f>データ!P484</f>
        <v>0</v>
      </c>
      <c r="R487" s="39" t="str">
        <f>IF(OR($C487="総括",$C487="内訳書",$C487="内訳代価",$C487="明細書",$C487="明細代価",$C487="代価表",$C487="単価表"),データ!Q484,"")</f>
        <v/>
      </c>
      <c r="S487" s="11" t="str">
        <f t="shared" si="44"/>
        <v/>
      </c>
      <c r="T487" s="46" t="e">
        <f t="shared" si="45"/>
        <v>#DIV/0!</v>
      </c>
      <c r="U487" s="40" t="str">
        <f>IF(データ!R484="","",データ!R484)</f>
        <v/>
      </c>
      <c r="V487" s="41" t="str">
        <f>IF(データ!S484="","",データ!S484)</f>
        <v/>
      </c>
      <c r="W487" s="42">
        <f>データ!T484</f>
        <v>0</v>
      </c>
      <c r="X487" s="48">
        <f>IF($C487="集計行","",データ!U484)</f>
        <v>0</v>
      </c>
      <c r="Y487" s="48">
        <f>データ!V484</f>
        <v>0</v>
      </c>
      <c r="Z487" s="39" t="str">
        <f>IF(OR($C487="総括",$C487="内訳書",$C487="内訳代価",$C487="明細書",$C487="明細代価",$C487="代価表",$C487="単価表"),データ!W484,"")</f>
        <v/>
      </c>
      <c r="AA487" s="11" t="str">
        <f t="shared" si="46"/>
        <v/>
      </c>
      <c r="AB487" s="46" t="e">
        <f t="shared" si="47"/>
        <v>#DIV/0!</v>
      </c>
      <c r="AC487" s="40" t="str">
        <f>IF(データ!X484="","",データ!X484)</f>
        <v/>
      </c>
      <c r="AD487" s="41" t="str">
        <f>IF(データ!Y484="","",データ!Y484)</f>
        <v/>
      </c>
      <c r="AE487" s="47" t="str">
        <f>TRIM(データ!B484)</f>
        <v/>
      </c>
      <c r="AF487" s="43" t="str">
        <f>TRIM(データ!Z484)</f>
        <v/>
      </c>
    </row>
    <row r="488" spans="1:32" x14ac:dyDescent="0.15">
      <c r="A488" s="47">
        <f>データ!A485</f>
        <v>3</v>
      </c>
      <c r="B488" s="47" t="str">
        <f>TRIM(データ!C485)</f>
        <v/>
      </c>
      <c r="C488" s="47" t="str">
        <f>TRIM(データ!D485)</f>
        <v>材料費</v>
      </c>
      <c r="D488" s="36" t="str">
        <f>REPT("｜",$A488)&amp;TRIM(データ!E485)</f>
        <v>｜｜｜ガソリン</v>
      </c>
      <c r="E488" s="37" t="str">
        <f>TRIM(データ!F485)</f>
        <v/>
      </c>
      <c r="F488" s="38" t="str">
        <f>TRIM(データ!G485)</f>
        <v>リットル</v>
      </c>
      <c r="G488" s="50">
        <f>データ!H485</f>
        <v>80</v>
      </c>
      <c r="H488" s="48">
        <f>データ!I485</f>
        <v>200</v>
      </c>
      <c r="I488" s="48">
        <f>データ!J485</f>
        <v>16000</v>
      </c>
      <c r="J488" s="39" t="str">
        <f>IF(OR($C488="総括",$C488="内訳書",$C488="内訳代価",$C488="明細書",$C488="明細代価",$C488="代価表",$C488="単価表"),データ!K485,"")</f>
        <v/>
      </c>
      <c r="K488" s="11" t="str">
        <f t="shared" si="42"/>
        <v/>
      </c>
      <c r="L488" s="46">
        <f t="shared" si="43"/>
        <v>2.303716182166357E-4</v>
      </c>
      <c r="M488" s="40" t="str">
        <f>IF(データ!L485="","",データ!L485)</f>
        <v/>
      </c>
      <c r="N488" s="41" t="str">
        <f>IF(データ!M485="","",データ!M485)</f>
        <v/>
      </c>
      <c r="O488" s="42">
        <f>データ!N485</f>
        <v>0</v>
      </c>
      <c r="P488" s="48">
        <f>IF($C488="集計行","",データ!O485)</f>
        <v>0</v>
      </c>
      <c r="Q488" s="48">
        <f>データ!P485</f>
        <v>0</v>
      </c>
      <c r="R488" s="39" t="str">
        <f>IF(OR($C488="総括",$C488="内訳書",$C488="内訳代価",$C488="明細書",$C488="明細代価",$C488="代価表",$C488="単価表"),データ!Q485,"")</f>
        <v/>
      </c>
      <c r="S488" s="11" t="str">
        <f t="shared" si="44"/>
        <v/>
      </c>
      <c r="T488" s="46" t="e">
        <f t="shared" si="45"/>
        <v>#DIV/0!</v>
      </c>
      <c r="U488" s="40" t="str">
        <f>IF(データ!R485="","",データ!R485)</f>
        <v/>
      </c>
      <c r="V488" s="41" t="str">
        <f>IF(データ!S485="","",データ!S485)</f>
        <v/>
      </c>
      <c r="W488" s="42">
        <f>データ!T485</f>
        <v>0</v>
      </c>
      <c r="X488" s="48">
        <f>IF($C488="集計行","",データ!U485)</f>
        <v>0</v>
      </c>
      <c r="Y488" s="48">
        <f>データ!V485</f>
        <v>0</v>
      </c>
      <c r="Z488" s="39" t="str">
        <f>IF(OR($C488="総括",$C488="内訳書",$C488="内訳代価",$C488="明細書",$C488="明細代価",$C488="代価表",$C488="単価表"),データ!W485,"")</f>
        <v/>
      </c>
      <c r="AA488" s="11" t="str">
        <f t="shared" si="46"/>
        <v/>
      </c>
      <c r="AB488" s="46" t="e">
        <f t="shared" si="47"/>
        <v>#DIV/0!</v>
      </c>
      <c r="AC488" s="40" t="str">
        <f>IF(データ!X485="","",データ!X485)</f>
        <v/>
      </c>
      <c r="AD488" s="41" t="str">
        <f>IF(データ!Y485="","",データ!Y485)</f>
        <v/>
      </c>
      <c r="AE488" s="47" t="str">
        <f>TRIM(データ!B485)</f>
        <v/>
      </c>
      <c r="AF488" s="43" t="str">
        <f>TRIM(データ!Z485)</f>
        <v/>
      </c>
    </row>
    <row r="489" spans="1:32" x14ac:dyDescent="0.15">
      <c r="A489" s="47">
        <f>データ!A486</f>
        <v>3</v>
      </c>
      <c r="B489" s="47" t="str">
        <f>TRIM(データ!C486)</f>
        <v/>
      </c>
      <c r="C489" s="47" t="str">
        <f>TRIM(データ!D486)</f>
        <v>材料費</v>
      </c>
      <c r="D489" s="36" t="str">
        <f>REPT("｜",$A489)&amp;TRIM(データ!E486)</f>
        <v>｜｜｜雑材</v>
      </c>
      <c r="E489" s="37" t="str">
        <f>TRIM(データ!F486)</f>
        <v/>
      </c>
      <c r="F489" s="38" t="str">
        <f>TRIM(データ!G486)</f>
        <v>式</v>
      </c>
      <c r="G489" s="50">
        <f>データ!H486</f>
        <v>1</v>
      </c>
      <c r="H489" s="48">
        <f>データ!I486</f>
        <v>7500</v>
      </c>
      <c r="I489" s="48">
        <f>データ!J486</f>
        <v>7500</v>
      </c>
      <c r="J489" s="39" t="str">
        <f>IF(OR($C489="総括",$C489="内訳書",$C489="内訳代価",$C489="明細書",$C489="明細代価",$C489="代価表",$C489="単価表"),データ!K486,"")</f>
        <v/>
      </c>
      <c r="K489" s="11" t="str">
        <f t="shared" si="42"/>
        <v/>
      </c>
      <c r="L489" s="46">
        <f t="shared" si="43"/>
        <v>1.0798669603904799E-4</v>
      </c>
      <c r="M489" s="40" t="str">
        <f>IF(データ!L486="","",データ!L486)</f>
        <v/>
      </c>
      <c r="N489" s="41" t="str">
        <f>IF(データ!M486="","",データ!M486)</f>
        <v/>
      </c>
      <c r="O489" s="42">
        <f>データ!N486</f>
        <v>0</v>
      </c>
      <c r="P489" s="48">
        <f>IF($C489="集計行","",データ!O486)</f>
        <v>0</v>
      </c>
      <c r="Q489" s="48">
        <f>データ!P486</f>
        <v>0</v>
      </c>
      <c r="R489" s="39" t="str">
        <f>IF(OR($C489="総括",$C489="内訳書",$C489="内訳代価",$C489="明細書",$C489="明細代価",$C489="代価表",$C489="単価表"),データ!Q486,"")</f>
        <v/>
      </c>
      <c r="S489" s="11" t="str">
        <f t="shared" si="44"/>
        <v/>
      </c>
      <c r="T489" s="46" t="e">
        <f t="shared" si="45"/>
        <v>#DIV/0!</v>
      </c>
      <c r="U489" s="40" t="str">
        <f>IF(データ!R486="","",データ!R486)</f>
        <v/>
      </c>
      <c r="V489" s="41" t="str">
        <f>IF(データ!S486="","",データ!S486)</f>
        <v/>
      </c>
      <c r="W489" s="42">
        <f>データ!T486</f>
        <v>0</v>
      </c>
      <c r="X489" s="48">
        <f>IF($C489="集計行","",データ!U486)</f>
        <v>0</v>
      </c>
      <c r="Y489" s="48">
        <f>データ!V486</f>
        <v>0</v>
      </c>
      <c r="Z489" s="39" t="str">
        <f>IF(OR($C489="総括",$C489="内訳書",$C489="内訳代価",$C489="明細書",$C489="明細代価",$C489="代価表",$C489="単価表"),データ!W486,"")</f>
        <v/>
      </c>
      <c r="AA489" s="11" t="str">
        <f t="shared" si="46"/>
        <v/>
      </c>
      <c r="AB489" s="46" t="e">
        <f t="shared" si="47"/>
        <v>#DIV/0!</v>
      </c>
      <c r="AC489" s="40" t="str">
        <f>IF(データ!X486="","",データ!X486)</f>
        <v/>
      </c>
      <c r="AD489" s="41" t="str">
        <f>IF(データ!Y486="","",データ!Y486)</f>
        <v/>
      </c>
      <c r="AE489" s="47" t="str">
        <f>TRIM(データ!B486)</f>
        <v/>
      </c>
      <c r="AF489" s="43" t="str">
        <f>TRIM(データ!Z486)</f>
        <v/>
      </c>
    </row>
    <row r="490" spans="1:32" x14ac:dyDescent="0.15">
      <c r="A490" s="47">
        <f>データ!A487</f>
        <v>3</v>
      </c>
      <c r="B490" s="47" t="str">
        <f>TRIM(データ!C487)</f>
        <v/>
      </c>
      <c r="C490" s="47" t="str">
        <f>TRIM(データ!D487)</f>
        <v>外注費</v>
      </c>
      <c r="D490" s="36" t="str">
        <f>REPT("｜",$A490)&amp;TRIM(データ!E487)</f>
        <v>｜｜｜外注経費</v>
      </c>
      <c r="E490" s="37" t="str">
        <f>TRIM(データ!F487)</f>
        <v/>
      </c>
      <c r="F490" s="38" t="str">
        <f>TRIM(データ!G487)</f>
        <v>式</v>
      </c>
      <c r="G490" s="50">
        <f>データ!H487</f>
        <v>1</v>
      </c>
      <c r="H490" s="48">
        <f>データ!I487</f>
        <v>52500</v>
      </c>
      <c r="I490" s="48">
        <f>データ!J487</f>
        <v>52500</v>
      </c>
      <c r="J490" s="39" t="str">
        <f>IF(OR($C490="総括",$C490="内訳書",$C490="内訳代価",$C490="明細書",$C490="明細代価",$C490="代価表",$C490="単価表"),データ!K487,"")</f>
        <v/>
      </c>
      <c r="K490" s="11" t="str">
        <f t="shared" si="42"/>
        <v/>
      </c>
      <c r="L490" s="46">
        <f t="shared" si="43"/>
        <v>7.559068722733359E-4</v>
      </c>
      <c r="M490" s="40" t="str">
        <f>IF(データ!L487="","",データ!L487)</f>
        <v/>
      </c>
      <c r="N490" s="41" t="str">
        <f>IF(データ!M487="","",データ!M487)</f>
        <v/>
      </c>
      <c r="O490" s="42">
        <f>データ!N487</f>
        <v>0</v>
      </c>
      <c r="P490" s="48">
        <f>IF($C490="集計行","",データ!O487)</f>
        <v>0</v>
      </c>
      <c r="Q490" s="48">
        <f>データ!P487</f>
        <v>0</v>
      </c>
      <c r="R490" s="39" t="str">
        <f>IF(OR($C490="総括",$C490="内訳書",$C490="内訳代価",$C490="明細書",$C490="明細代価",$C490="代価表",$C490="単価表"),データ!Q487,"")</f>
        <v/>
      </c>
      <c r="S490" s="11" t="str">
        <f t="shared" si="44"/>
        <v/>
      </c>
      <c r="T490" s="46" t="e">
        <f t="shared" si="45"/>
        <v>#DIV/0!</v>
      </c>
      <c r="U490" s="40" t="str">
        <f>IF(データ!R487="","",データ!R487)</f>
        <v/>
      </c>
      <c r="V490" s="41" t="str">
        <f>IF(データ!S487="","",データ!S487)</f>
        <v/>
      </c>
      <c r="W490" s="42">
        <f>データ!T487</f>
        <v>0</v>
      </c>
      <c r="X490" s="48">
        <f>IF($C490="集計行","",データ!U487)</f>
        <v>0</v>
      </c>
      <c r="Y490" s="48">
        <f>データ!V487</f>
        <v>0</v>
      </c>
      <c r="Z490" s="39" t="str">
        <f>IF(OR($C490="総括",$C490="内訳書",$C490="内訳代価",$C490="明細書",$C490="明細代価",$C490="代価表",$C490="単価表"),データ!W487,"")</f>
        <v/>
      </c>
      <c r="AA490" s="11" t="str">
        <f t="shared" si="46"/>
        <v/>
      </c>
      <c r="AB490" s="46" t="e">
        <f t="shared" si="47"/>
        <v>#DIV/0!</v>
      </c>
      <c r="AC490" s="40" t="str">
        <f>IF(データ!X487="","",データ!X487)</f>
        <v/>
      </c>
      <c r="AD490" s="41" t="str">
        <f>IF(データ!Y487="","",データ!Y487)</f>
        <v/>
      </c>
      <c r="AE490" s="47" t="str">
        <f>TRIM(データ!B487)</f>
        <v/>
      </c>
      <c r="AF490" s="43" t="str">
        <f>TRIM(データ!Z487)</f>
        <v/>
      </c>
    </row>
    <row r="491" spans="1:32" x14ac:dyDescent="0.15">
      <c r="A491" s="47">
        <f>データ!A488</f>
        <v>2</v>
      </c>
      <c r="B491" s="47" t="str">
        <f>TRIM(データ!C488)</f>
        <v/>
      </c>
      <c r="C491" s="47" t="str">
        <f>TRIM(データ!D488)</f>
        <v>内訳書</v>
      </c>
      <c r="D491" s="36" t="str">
        <f>REPT("｜",$A491)&amp;TRIM(データ!E488)</f>
        <v>｜｜セメントミルク注入</v>
      </c>
      <c r="E491" s="37" t="str">
        <f>TRIM(データ!F488)</f>
        <v/>
      </c>
      <c r="F491" s="38" t="str">
        <f>TRIM(データ!G488)</f>
        <v>m2</v>
      </c>
      <c r="G491" s="50">
        <f>データ!H488</f>
        <v>1133</v>
      </c>
      <c r="H491" s="48">
        <f>データ!I488</f>
        <v>3350</v>
      </c>
      <c r="I491" s="48">
        <f>データ!J488</f>
        <v>3795550</v>
      </c>
      <c r="J491" s="39">
        <f>IF(OR($C491="総括",$C491="内訳書",$C491="内訳代価",$C491="明細書",$C491="明細代価",$C491="代価表",$C491="単価表"),データ!K488,"")</f>
        <v>1133</v>
      </c>
      <c r="K491" s="11" t="str">
        <f t="shared" si="42"/>
        <v/>
      </c>
      <c r="L491" s="46">
        <f t="shared" si="43"/>
        <v>5.4649187220134482E-2</v>
      </c>
      <c r="M491" s="40" t="str">
        <f>IF(データ!L488="","",データ!L488)</f>
        <v/>
      </c>
      <c r="N491" s="41" t="str">
        <f>IF(データ!M488="","",データ!M488)</f>
        <v>61号内訳書</v>
      </c>
      <c r="O491" s="42">
        <f>データ!N488</f>
        <v>0</v>
      </c>
      <c r="P491" s="48">
        <f>IF($C491="集計行","",データ!O488)</f>
        <v>0</v>
      </c>
      <c r="Q491" s="48">
        <f>データ!P488</f>
        <v>0</v>
      </c>
      <c r="R491" s="39">
        <f>IF(OR($C491="総括",$C491="内訳書",$C491="内訳代価",$C491="明細書",$C491="明細代価",$C491="代価表",$C491="単価表"),データ!Q488,"")</f>
        <v>0</v>
      </c>
      <c r="S491" s="11" t="str">
        <f t="shared" si="44"/>
        <v/>
      </c>
      <c r="T491" s="46" t="e">
        <f t="shared" si="45"/>
        <v>#DIV/0!</v>
      </c>
      <c r="U491" s="40" t="str">
        <f>IF(データ!R488="","",データ!R488)</f>
        <v/>
      </c>
      <c r="V491" s="41" t="str">
        <f>IF(データ!S488="","",データ!S488)</f>
        <v/>
      </c>
      <c r="W491" s="42">
        <f>データ!T488</f>
        <v>0</v>
      </c>
      <c r="X491" s="48">
        <f>IF($C491="集計行","",データ!U488)</f>
        <v>0</v>
      </c>
      <c r="Y491" s="48">
        <f>データ!V488</f>
        <v>0</v>
      </c>
      <c r="Z491" s="39">
        <f>IF(OR($C491="総括",$C491="内訳書",$C491="内訳代価",$C491="明細書",$C491="明細代価",$C491="代価表",$C491="単価表"),データ!W488,"")</f>
        <v>0</v>
      </c>
      <c r="AA491" s="11" t="str">
        <f t="shared" si="46"/>
        <v/>
      </c>
      <c r="AB491" s="46" t="e">
        <f t="shared" si="47"/>
        <v>#DIV/0!</v>
      </c>
      <c r="AC491" s="40" t="str">
        <f>IF(データ!X488="","",データ!X488)</f>
        <v/>
      </c>
      <c r="AD491" s="41" t="str">
        <f>IF(データ!Y488="","",データ!Y488)</f>
        <v/>
      </c>
      <c r="AE491" s="47" t="str">
        <f>TRIM(データ!B488)</f>
        <v/>
      </c>
      <c r="AF491" s="43" t="str">
        <f>TRIM(データ!Z488)</f>
        <v/>
      </c>
    </row>
    <row r="492" spans="1:32" x14ac:dyDescent="0.15">
      <c r="A492" s="47">
        <f>データ!A489</f>
        <v>3</v>
      </c>
      <c r="B492" s="47" t="str">
        <f>TRIM(データ!C489)</f>
        <v/>
      </c>
      <c r="C492" s="47" t="str">
        <f>TRIM(データ!D489)</f>
        <v/>
      </c>
      <c r="D492" s="36" t="str">
        <f>REPT("｜",$A492)&amp;TRIM(データ!E489)</f>
        <v>｜｜｜TAセット</v>
      </c>
      <c r="E492" s="37" t="str">
        <f>TRIM(データ!F489)</f>
        <v/>
      </c>
      <c r="F492" s="38" t="str">
        <f>TRIM(データ!G489)</f>
        <v>袋</v>
      </c>
      <c r="G492" s="50">
        <f>データ!H489</f>
        <v>720</v>
      </c>
      <c r="H492" s="48">
        <f>データ!I489</f>
        <v>3200</v>
      </c>
      <c r="I492" s="48">
        <f>データ!J489</f>
        <v>2304000</v>
      </c>
      <c r="J492" s="39" t="str">
        <f>IF(OR($C492="総括",$C492="内訳書",$C492="内訳代価",$C492="明細書",$C492="明細代価",$C492="代価表",$C492="単価表"),データ!K489,"")</f>
        <v/>
      </c>
      <c r="K492" s="11" t="str">
        <f t="shared" si="42"/>
        <v/>
      </c>
      <c r="L492" s="46">
        <f t="shared" si="43"/>
        <v>3.3173513023195544E-2</v>
      </c>
      <c r="M492" s="40" t="str">
        <f>IF(データ!L489="","",データ!L489)</f>
        <v/>
      </c>
      <c r="N492" s="41" t="str">
        <f>IF(データ!M489="","",データ!M489)</f>
        <v/>
      </c>
      <c r="O492" s="42">
        <f>データ!N489</f>
        <v>0</v>
      </c>
      <c r="P492" s="48">
        <f>IF($C492="集計行","",データ!O489)</f>
        <v>0</v>
      </c>
      <c r="Q492" s="48">
        <f>データ!P489</f>
        <v>0</v>
      </c>
      <c r="R492" s="39" t="str">
        <f>IF(OR($C492="総括",$C492="内訳書",$C492="内訳代価",$C492="明細書",$C492="明細代価",$C492="代価表",$C492="単価表"),データ!Q489,"")</f>
        <v/>
      </c>
      <c r="S492" s="11" t="str">
        <f t="shared" si="44"/>
        <v/>
      </c>
      <c r="T492" s="46" t="e">
        <f t="shared" si="45"/>
        <v>#DIV/0!</v>
      </c>
      <c r="U492" s="40" t="str">
        <f>IF(データ!R489="","",データ!R489)</f>
        <v/>
      </c>
      <c r="V492" s="41" t="str">
        <f>IF(データ!S489="","",データ!S489)</f>
        <v/>
      </c>
      <c r="W492" s="42">
        <f>データ!T489</f>
        <v>0</v>
      </c>
      <c r="X492" s="48">
        <f>IF($C492="集計行","",データ!U489)</f>
        <v>0</v>
      </c>
      <c r="Y492" s="48">
        <f>データ!V489</f>
        <v>0</v>
      </c>
      <c r="Z492" s="39" t="str">
        <f>IF(OR($C492="総括",$C492="内訳書",$C492="内訳代価",$C492="明細書",$C492="明細代価",$C492="代価表",$C492="単価表"),データ!W489,"")</f>
        <v/>
      </c>
      <c r="AA492" s="11" t="str">
        <f t="shared" si="46"/>
        <v/>
      </c>
      <c r="AB492" s="46" t="e">
        <f t="shared" si="47"/>
        <v>#DIV/0!</v>
      </c>
      <c r="AC492" s="40" t="str">
        <f>IF(データ!X489="","",データ!X489)</f>
        <v/>
      </c>
      <c r="AD492" s="41" t="str">
        <f>IF(データ!Y489="","",データ!Y489)</f>
        <v/>
      </c>
      <c r="AE492" s="47" t="str">
        <f>TRIM(データ!B489)</f>
        <v/>
      </c>
      <c r="AF492" s="43" t="str">
        <f>TRIM(データ!Z489)</f>
        <v/>
      </c>
    </row>
    <row r="493" spans="1:32" x14ac:dyDescent="0.15">
      <c r="A493" s="47">
        <f>データ!A490</f>
        <v>3</v>
      </c>
      <c r="B493" s="47" t="str">
        <f>TRIM(データ!C490)</f>
        <v/>
      </c>
      <c r="C493" s="47" t="str">
        <f>TRIM(データ!D490)</f>
        <v/>
      </c>
      <c r="D493" s="36" t="str">
        <f>REPT("｜",$A493)&amp;TRIM(データ!E490)</f>
        <v>｜｜｜養生材</v>
      </c>
      <c r="E493" s="37" t="str">
        <f>TRIM(データ!F490)</f>
        <v/>
      </c>
      <c r="F493" s="38" t="str">
        <f>TRIM(データ!G490)</f>
        <v>式</v>
      </c>
      <c r="G493" s="50">
        <f>データ!H490</f>
        <v>1</v>
      </c>
      <c r="H493" s="48">
        <f>データ!I490</f>
        <v>30000</v>
      </c>
      <c r="I493" s="48">
        <f>データ!J490</f>
        <v>30000</v>
      </c>
      <c r="J493" s="39" t="str">
        <f>IF(OR($C493="総括",$C493="内訳書",$C493="内訳代価",$C493="明細書",$C493="明細代価",$C493="代価表",$C493="単価表"),データ!K490,"")</f>
        <v/>
      </c>
      <c r="K493" s="11" t="str">
        <f t="shared" si="42"/>
        <v/>
      </c>
      <c r="L493" s="46">
        <f t="shared" si="43"/>
        <v>4.3194678415619197E-4</v>
      </c>
      <c r="M493" s="40" t="str">
        <f>IF(データ!L490="","",データ!L490)</f>
        <v/>
      </c>
      <c r="N493" s="41" t="str">
        <f>IF(データ!M490="","",データ!M490)</f>
        <v/>
      </c>
      <c r="O493" s="42">
        <f>データ!N490</f>
        <v>0</v>
      </c>
      <c r="P493" s="48">
        <f>IF($C493="集計行","",データ!O490)</f>
        <v>0</v>
      </c>
      <c r="Q493" s="48">
        <f>データ!P490</f>
        <v>0</v>
      </c>
      <c r="R493" s="39" t="str">
        <f>IF(OR($C493="総括",$C493="内訳書",$C493="内訳代価",$C493="明細書",$C493="明細代価",$C493="代価表",$C493="単価表"),データ!Q490,"")</f>
        <v/>
      </c>
      <c r="S493" s="11" t="str">
        <f t="shared" si="44"/>
        <v/>
      </c>
      <c r="T493" s="46" t="e">
        <f t="shared" si="45"/>
        <v>#DIV/0!</v>
      </c>
      <c r="U493" s="40" t="str">
        <f>IF(データ!R490="","",データ!R490)</f>
        <v/>
      </c>
      <c r="V493" s="41" t="str">
        <f>IF(データ!S490="","",データ!S490)</f>
        <v/>
      </c>
      <c r="W493" s="42">
        <f>データ!T490</f>
        <v>0</v>
      </c>
      <c r="X493" s="48">
        <f>IF($C493="集計行","",データ!U490)</f>
        <v>0</v>
      </c>
      <c r="Y493" s="48">
        <f>データ!V490</f>
        <v>0</v>
      </c>
      <c r="Z493" s="39" t="str">
        <f>IF(OR($C493="総括",$C493="内訳書",$C493="内訳代価",$C493="明細書",$C493="明細代価",$C493="代価表",$C493="単価表"),データ!W490,"")</f>
        <v/>
      </c>
      <c r="AA493" s="11" t="str">
        <f t="shared" si="46"/>
        <v/>
      </c>
      <c r="AB493" s="46" t="e">
        <f t="shared" si="47"/>
        <v>#DIV/0!</v>
      </c>
      <c r="AC493" s="40" t="str">
        <f>IF(データ!X490="","",データ!X490)</f>
        <v/>
      </c>
      <c r="AD493" s="41" t="str">
        <f>IF(データ!Y490="","",データ!Y490)</f>
        <v/>
      </c>
      <c r="AE493" s="47" t="str">
        <f>TRIM(データ!B490)</f>
        <v/>
      </c>
      <c r="AF493" s="43" t="str">
        <f>TRIM(データ!Z490)</f>
        <v/>
      </c>
    </row>
    <row r="494" spans="1:32" x14ac:dyDescent="0.15">
      <c r="A494" s="47">
        <f>データ!A491</f>
        <v>3</v>
      </c>
      <c r="B494" s="47" t="str">
        <f>TRIM(データ!C491)</f>
        <v/>
      </c>
      <c r="C494" s="47" t="str">
        <f>TRIM(データ!D491)</f>
        <v/>
      </c>
      <c r="D494" s="36" t="str">
        <f>REPT("｜",$A494)&amp;TRIM(データ!E491)</f>
        <v>｜｜｜ゴムレーキ</v>
      </c>
      <c r="E494" s="37" t="str">
        <f>TRIM(データ!F491)</f>
        <v/>
      </c>
      <c r="F494" s="38" t="str">
        <f>TRIM(データ!G491)</f>
        <v>本</v>
      </c>
      <c r="G494" s="50">
        <f>データ!H491</f>
        <v>5</v>
      </c>
      <c r="H494" s="48">
        <f>データ!I491</f>
        <v>10000</v>
      </c>
      <c r="I494" s="48">
        <f>データ!J491</f>
        <v>50000</v>
      </c>
      <c r="J494" s="39" t="str">
        <f>IF(OR($C494="総括",$C494="内訳書",$C494="内訳代価",$C494="明細書",$C494="明細代価",$C494="代価表",$C494="単価表"),データ!K491,"")</f>
        <v/>
      </c>
      <c r="K494" s="11" t="str">
        <f t="shared" si="42"/>
        <v/>
      </c>
      <c r="L494" s="46">
        <f t="shared" si="43"/>
        <v>7.1991130692698659E-4</v>
      </c>
      <c r="M494" s="40" t="str">
        <f>IF(データ!L491="","",データ!L491)</f>
        <v/>
      </c>
      <c r="N494" s="41" t="str">
        <f>IF(データ!M491="","",データ!M491)</f>
        <v/>
      </c>
      <c r="O494" s="42">
        <f>データ!N491</f>
        <v>0</v>
      </c>
      <c r="P494" s="48">
        <f>IF($C494="集計行","",データ!O491)</f>
        <v>0</v>
      </c>
      <c r="Q494" s="48">
        <f>データ!P491</f>
        <v>0</v>
      </c>
      <c r="R494" s="39" t="str">
        <f>IF(OR($C494="総括",$C494="内訳書",$C494="内訳代価",$C494="明細書",$C494="明細代価",$C494="代価表",$C494="単価表"),データ!Q491,"")</f>
        <v/>
      </c>
      <c r="S494" s="11" t="str">
        <f t="shared" si="44"/>
        <v/>
      </c>
      <c r="T494" s="46" t="e">
        <f t="shared" si="45"/>
        <v>#DIV/0!</v>
      </c>
      <c r="U494" s="40" t="str">
        <f>IF(データ!R491="","",データ!R491)</f>
        <v/>
      </c>
      <c r="V494" s="41" t="str">
        <f>IF(データ!S491="","",データ!S491)</f>
        <v/>
      </c>
      <c r="W494" s="42">
        <f>データ!T491</f>
        <v>0</v>
      </c>
      <c r="X494" s="48">
        <f>IF($C494="集計行","",データ!U491)</f>
        <v>0</v>
      </c>
      <c r="Y494" s="48">
        <f>データ!V491</f>
        <v>0</v>
      </c>
      <c r="Z494" s="39" t="str">
        <f>IF(OR($C494="総括",$C494="内訳書",$C494="内訳代価",$C494="明細書",$C494="明細代価",$C494="代価表",$C494="単価表"),データ!W491,"")</f>
        <v/>
      </c>
      <c r="AA494" s="11" t="str">
        <f t="shared" si="46"/>
        <v/>
      </c>
      <c r="AB494" s="46" t="e">
        <f t="shared" si="47"/>
        <v>#DIV/0!</v>
      </c>
      <c r="AC494" s="40" t="str">
        <f>IF(データ!X491="","",データ!X491)</f>
        <v/>
      </c>
      <c r="AD494" s="41" t="str">
        <f>IF(データ!Y491="","",データ!Y491)</f>
        <v/>
      </c>
      <c r="AE494" s="47" t="str">
        <f>TRIM(データ!B491)</f>
        <v/>
      </c>
      <c r="AF494" s="43" t="str">
        <f>TRIM(データ!Z491)</f>
        <v/>
      </c>
    </row>
    <row r="495" spans="1:32" x14ac:dyDescent="0.15">
      <c r="A495" s="47">
        <f>データ!A492</f>
        <v>3</v>
      </c>
      <c r="B495" s="47" t="str">
        <f>TRIM(データ!C492)</f>
        <v/>
      </c>
      <c r="C495" s="47" t="str">
        <f>TRIM(データ!D492)</f>
        <v/>
      </c>
      <c r="D495" s="36" t="str">
        <f>REPT("｜",$A495)&amp;TRIM(データ!E492)</f>
        <v>｜｜｜特殊運転工</v>
      </c>
      <c r="E495" s="37" t="str">
        <f>TRIM(データ!F492)</f>
        <v/>
      </c>
      <c r="F495" s="38" t="str">
        <f>TRIM(データ!G492)</f>
        <v>人</v>
      </c>
      <c r="G495" s="50">
        <f>データ!H492</f>
        <v>3</v>
      </c>
      <c r="H495" s="48">
        <f>データ!I492</f>
        <v>30000</v>
      </c>
      <c r="I495" s="48">
        <f>データ!J492</f>
        <v>90000</v>
      </c>
      <c r="J495" s="39" t="str">
        <f>IF(OR($C495="総括",$C495="内訳書",$C495="内訳代価",$C495="明細書",$C495="明細代価",$C495="代価表",$C495="単価表"),データ!K492,"")</f>
        <v/>
      </c>
      <c r="K495" s="11" t="str">
        <f t="shared" si="42"/>
        <v/>
      </c>
      <c r="L495" s="46">
        <f t="shared" si="43"/>
        <v>1.295840352468576E-3</v>
      </c>
      <c r="M495" s="40" t="str">
        <f>IF(データ!L492="","",データ!L492)</f>
        <v/>
      </c>
      <c r="N495" s="41" t="str">
        <f>IF(データ!M492="","",データ!M492)</f>
        <v/>
      </c>
      <c r="O495" s="42">
        <f>データ!N492</f>
        <v>0</v>
      </c>
      <c r="P495" s="48">
        <f>IF($C495="集計行","",データ!O492)</f>
        <v>0</v>
      </c>
      <c r="Q495" s="48">
        <f>データ!P492</f>
        <v>0</v>
      </c>
      <c r="R495" s="39" t="str">
        <f>IF(OR($C495="総括",$C495="内訳書",$C495="内訳代価",$C495="明細書",$C495="明細代価",$C495="代価表",$C495="単価表"),データ!Q492,"")</f>
        <v/>
      </c>
      <c r="S495" s="11" t="str">
        <f t="shared" si="44"/>
        <v/>
      </c>
      <c r="T495" s="46" t="e">
        <f t="shared" si="45"/>
        <v>#DIV/0!</v>
      </c>
      <c r="U495" s="40" t="str">
        <f>IF(データ!R492="","",データ!R492)</f>
        <v/>
      </c>
      <c r="V495" s="41" t="str">
        <f>IF(データ!S492="","",データ!S492)</f>
        <v/>
      </c>
      <c r="W495" s="42">
        <f>データ!T492</f>
        <v>0</v>
      </c>
      <c r="X495" s="48">
        <f>IF($C495="集計行","",データ!U492)</f>
        <v>0</v>
      </c>
      <c r="Y495" s="48">
        <f>データ!V492</f>
        <v>0</v>
      </c>
      <c r="Z495" s="39" t="str">
        <f>IF(OR($C495="総括",$C495="内訳書",$C495="内訳代価",$C495="明細書",$C495="明細代価",$C495="代価表",$C495="単価表"),データ!W492,"")</f>
        <v/>
      </c>
      <c r="AA495" s="11" t="str">
        <f t="shared" si="46"/>
        <v/>
      </c>
      <c r="AB495" s="46" t="e">
        <f t="shared" si="47"/>
        <v>#DIV/0!</v>
      </c>
      <c r="AC495" s="40" t="str">
        <f>IF(データ!X492="","",データ!X492)</f>
        <v/>
      </c>
      <c r="AD495" s="41" t="str">
        <f>IF(データ!Y492="","",データ!Y492)</f>
        <v/>
      </c>
      <c r="AE495" s="47" t="str">
        <f>TRIM(データ!B492)</f>
        <v/>
      </c>
      <c r="AF495" s="43" t="str">
        <f>TRIM(データ!Z492)</f>
        <v/>
      </c>
    </row>
    <row r="496" spans="1:32" x14ac:dyDescent="0.15">
      <c r="A496" s="47">
        <f>データ!A493</f>
        <v>3</v>
      </c>
      <c r="B496" s="47" t="str">
        <f>TRIM(データ!C493)</f>
        <v/>
      </c>
      <c r="C496" s="47" t="str">
        <f>TRIM(データ!D493)</f>
        <v/>
      </c>
      <c r="D496" s="36" t="str">
        <f>REPT("｜",$A496)&amp;TRIM(データ!E493)</f>
        <v>｜｜｜普通作業員</v>
      </c>
      <c r="E496" s="37" t="str">
        <f>TRIM(データ!F493)</f>
        <v/>
      </c>
      <c r="F496" s="38" t="str">
        <f>TRIM(データ!G493)</f>
        <v>人</v>
      </c>
      <c r="G496" s="50">
        <f>データ!H493</f>
        <v>21</v>
      </c>
      <c r="H496" s="48">
        <f>データ!I493</f>
        <v>25000</v>
      </c>
      <c r="I496" s="48">
        <f>データ!J493</f>
        <v>525000</v>
      </c>
      <c r="J496" s="39" t="str">
        <f>IF(OR($C496="総括",$C496="内訳書",$C496="内訳代価",$C496="明細書",$C496="明細代価",$C496="代価表",$C496="単価表"),データ!K493,"")</f>
        <v/>
      </c>
      <c r="K496" s="11" t="str">
        <f t="shared" si="42"/>
        <v/>
      </c>
      <c r="L496" s="46">
        <f t="shared" si="43"/>
        <v>7.5590687227333597E-3</v>
      </c>
      <c r="M496" s="40" t="str">
        <f>IF(データ!L493="","",データ!L493)</f>
        <v/>
      </c>
      <c r="N496" s="41" t="str">
        <f>IF(データ!M493="","",データ!M493)</f>
        <v/>
      </c>
      <c r="O496" s="42">
        <f>データ!N493</f>
        <v>0</v>
      </c>
      <c r="P496" s="48">
        <f>IF($C496="集計行","",データ!O493)</f>
        <v>0</v>
      </c>
      <c r="Q496" s="48">
        <f>データ!P493</f>
        <v>0</v>
      </c>
      <c r="R496" s="39" t="str">
        <f>IF(OR($C496="総括",$C496="内訳書",$C496="内訳代価",$C496="明細書",$C496="明細代価",$C496="代価表",$C496="単価表"),データ!Q493,"")</f>
        <v/>
      </c>
      <c r="S496" s="11" t="str">
        <f t="shared" si="44"/>
        <v/>
      </c>
      <c r="T496" s="46" t="e">
        <f t="shared" si="45"/>
        <v>#DIV/0!</v>
      </c>
      <c r="U496" s="40" t="str">
        <f>IF(データ!R493="","",データ!R493)</f>
        <v/>
      </c>
      <c r="V496" s="41" t="str">
        <f>IF(データ!S493="","",データ!S493)</f>
        <v/>
      </c>
      <c r="W496" s="42">
        <f>データ!T493</f>
        <v>0</v>
      </c>
      <c r="X496" s="48">
        <f>IF($C496="集計行","",データ!U493)</f>
        <v>0</v>
      </c>
      <c r="Y496" s="48">
        <f>データ!V493</f>
        <v>0</v>
      </c>
      <c r="Z496" s="39" t="str">
        <f>IF(OR($C496="総括",$C496="内訳書",$C496="内訳代価",$C496="明細書",$C496="明細代価",$C496="代価表",$C496="単価表"),データ!W493,"")</f>
        <v/>
      </c>
      <c r="AA496" s="11" t="str">
        <f t="shared" si="46"/>
        <v/>
      </c>
      <c r="AB496" s="46" t="e">
        <f t="shared" si="47"/>
        <v>#DIV/0!</v>
      </c>
      <c r="AC496" s="40" t="str">
        <f>IF(データ!X493="","",データ!X493)</f>
        <v/>
      </c>
      <c r="AD496" s="41" t="str">
        <f>IF(データ!Y493="","",データ!Y493)</f>
        <v/>
      </c>
      <c r="AE496" s="47" t="str">
        <f>TRIM(データ!B493)</f>
        <v/>
      </c>
      <c r="AF496" s="43" t="str">
        <f>TRIM(データ!Z493)</f>
        <v/>
      </c>
    </row>
    <row r="497" spans="1:32" x14ac:dyDescent="0.15">
      <c r="A497" s="47">
        <f>データ!A494</f>
        <v>3</v>
      </c>
      <c r="B497" s="47" t="str">
        <f>TRIM(データ!C494)</f>
        <v/>
      </c>
      <c r="C497" s="47" t="str">
        <f>TRIM(データ!D494)</f>
        <v/>
      </c>
      <c r="D497" s="36" t="str">
        <f>REPT("｜",$A497)&amp;TRIM(データ!E494)</f>
        <v>｜｜｜ミキサー車</v>
      </c>
      <c r="E497" s="37" t="str">
        <f>TRIM(データ!F494)</f>
        <v/>
      </c>
      <c r="F497" s="38" t="str">
        <f>TRIM(データ!G494)</f>
        <v>台</v>
      </c>
      <c r="G497" s="50">
        <f>データ!H494</f>
        <v>3</v>
      </c>
      <c r="H497" s="48">
        <f>データ!I494</f>
        <v>150000</v>
      </c>
      <c r="I497" s="48">
        <f>データ!J494</f>
        <v>450000</v>
      </c>
      <c r="J497" s="39" t="str">
        <f>IF(OR($C497="総括",$C497="内訳書",$C497="内訳代価",$C497="明細書",$C497="明細代価",$C497="代価表",$C497="単価表"),データ!K494,"")</f>
        <v/>
      </c>
      <c r="K497" s="11" t="str">
        <f t="shared" si="42"/>
        <v/>
      </c>
      <c r="L497" s="46">
        <f t="shared" si="43"/>
        <v>6.4792017623428793E-3</v>
      </c>
      <c r="M497" s="40" t="str">
        <f>IF(データ!L494="","",データ!L494)</f>
        <v/>
      </c>
      <c r="N497" s="41" t="str">
        <f>IF(データ!M494="","",データ!M494)</f>
        <v/>
      </c>
      <c r="O497" s="42">
        <f>データ!N494</f>
        <v>0</v>
      </c>
      <c r="P497" s="48">
        <f>IF($C497="集計行","",データ!O494)</f>
        <v>0</v>
      </c>
      <c r="Q497" s="48">
        <f>データ!P494</f>
        <v>0</v>
      </c>
      <c r="R497" s="39" t="str">
        <f>IF(OR($C497="総括",$C497="内訳書",$C497="内訳代価",$C497="明細書",$C497="明細代価",$C497="代価表",$C497="単価表"),データ!Q494,"")</f>
        <v/>
      </c>
      <c r="S497" s="11" t="str">
        <f t="shared" si="44"/>
        <v/>
      </c>
      <c r="T497" s="46" t="e">
        <f t="shared" si="45"/>
        <v>#DIV/0!</v>
      </c>
      <c r="U497" s="40" t="str">
        <f>IF(データ!R494="","",データ!R494)</f>
        <v/>
      </c>
      <c r="V497" s="41" t="str">
        <f>IF(データ!S494="","",データ!S494)</f>
        <v/>
      </c>
      <c r="W497" s="42">
        <f>データ!T494</f>
        <v>0</v>
      </c>
      <c r="X497" s="48">
        <f>IF($C497="集計行","",データ!U494)</f>
        <v>0</v>
      </c>
      <c r="Y497" s="48">
        <f>データ!V494</f>
        <v>0</v>
      </c>
      <c r="Z497" s="39" t="str">
        <f>IF(OR($C497="総括",$C497="内訳書",$C497="内訳代価",$C497="明細書",$C497="明細代価",$C497="代価表",$C497="単価表"),データ!W494,"")</f>
        <v/>
      </c>
      <c r="AA497" s="11" t="str">
        <f t="shared" si="46"/>
        <v/>
      </c>
      <c r="AB497" s="46" t="e">
        <f t="shared" si="47"/>
        <v>#DIV/0!</v>
      </c>
      <c r="AC497" s="40" t="str">
        <f>IF(データ!X494="","",データ!X494)</f>
        <v/>
      </c>
      <c r="AD497" s="41" t="str">
        <f>IF(データ!Y494="","",データ!Y494)</f>
        <v/>
      </c>
      <c r="AE497" s="47" t="str">
        <f>TRIM(データ!B494)</f>
        <v/>
      </c>
      <c r="AF497" s="43" t="str">
        <f>TRIM(データ!Z494)</f>
        <v/>
      </c>
    </row>
    <row r="498" spans="1:32" x14ac:dyDescent="0.15">
      <c r="A498" s="47">
        <f>データ!A495</f>
        <v>3</v>
      </c>
      <c r="B498" s="47" t="str">
        <f>TRIM(データ!C495)</f>
        <v/>
      </c>
      <c r="C498" s="47" t="str">
        <f>TRIM(データ!D495)</f>
        <v/>
      </c>
      <c r="D498" s="36" t="str">
        <f>REPT("｜",$A498)&amp;TRIM(データ!E495)</f>
        <v>｜｜｜振動ローラ</v>
      </c>
      <c r="E498" s="37" t="str">
        <f>TRIM(データ!F495)</f>
        <v/>
      </c>
      <c r="F498" s="38" t="str">
        <f>TRIM(データ!G495)</f>
        <v>台</v>
      </c>
      <c r="G498" s="50">
        <f>データ!H495</f>
        <v>3</v>
      </c>
      <c r="H498" s="48">
        <f>データ!I495</f>
        <v>3000</v>
      </c>
      <c r="I498" s="48">
        <f>データ!J495</f>
        <v>9000</v>
      </c>
      <c r="J498" s="39" t="str">
        <f>IF(OR($C498="総括",$C498="内訳書",$C498="内訳代価",$C498="明細書",$C498="明細代価",$C498="代価表",$C498="単価表"),データ!K495,"")</f>
        <v/>
      </c>
      <c r="K498" s="11" t="str">
        <f t="shared" si="42"/>
        <v/>
      </c>
      <c r="L498" s="46">
        <f t="shared" si="43"/>
        <v>1.295840352468576E-4</v>
      </c>
      <c r="M498" s="40" t="str">
        <f>IF(データ!L495="","",データ!L495)</f>
        <v/>
      </c>
      <c r="N498" s="41" t="str">
        <f>IF(データ!M495="","",データ!M495)</f>
        <v/>
      </c>
      <c r="O498" s="42">
        <f>データ!N495</f>
        <v>0</v>
      </c>
      <c r="P498" s="48">
        <f>IF($C498="集計行","",データ!O495)</f>
        <v>0</v>
      </c>
      <c r="Q498" s="48">
        <f>データ!P495</f>
        <v>0</v>
      </c>
      <c r="R498" s="39" t="str">
        <f>IF(OR($C498="総括",$C498="内訳書",$C498="内訳代価",$C498="明細書",$C498="明細代価",$C498="代価表",$C498="単価表"),データ!Q495,"")</f>
        <v/>
      </c>
      <c r="S498" s="11" t="str">
        <f t="shared" si="44"/>
        <v/>
      </c>
      <c r="T498" s="46" t="e">
        <f t="shared" si="45"/>
        <v>#DIV/0!</v>
      </c>
      <c r="U498" s="40" t="str">
        <f>IF(データ!R495="","",データ!R495)</f>
        <v/>
      </c>
      <c r="V498" s="41" t="str">
        <f>IF(データ!S495="","",データ!S495)</f>
        <v/>
      </c>
      <c r="W498" s="42">
        <f>データ!T495</f>
        <v>0</v>
      </c>
      <c r="X498" s="48">
        <f>IF($C498="集計行","",データ!U495)</f>
        <v>0</v>
      </c>
      <c r="Y498" s="48">
        <f>データ!V495</f>
        <v>0</v>
      </c>
      <c r="Z498" s="39" t="str">
        <f>IF(OR($C498="総括",$C498="内訳書",$C498="内訳代価",$C498="明細書",$C498="明細代価",$C498="代価表",$C498="単価表"),データ!W495,"")</f>
        <v/>
      </c>
      <c r="AA498" s="11" t="str">
        <f t="shared" si="46"/>
        <v/>
      </c>
      <c r="AB498" s="46" t="e">
        <f t="shared" si="47"/>
        <v>#DIV/0!</v>
      </c>
      <c r="AC498" s="40" t="str">
        <f>IF(データ!X495="","",データ!X495)</f>
        <v/>
      </c>
      <c r="AD498" s="41" t="str">
        <f>IF(データ!Y495="","",データ!Y495)</f>
        <v/>
      </c>
      <c r="AE498" s="47" t="str">
        <f>TRIM(データ!B495)</f>
        <v/>
      </c>
      <c r="AF498" s="43" t="str">
        <f>TRIM(データ!Z495)</f>
        <v/>
      </c>
    </row>
    <row r="499" spans="1:32" x14ac:dyDescent="0.15">
      <c r="A499" s="47">
        <f>データ!A496</f>
        <v>3</v>
      </c>
      <c r="B499" s="47" t="str">
        <f>TRIM(データ!C496)</f>
        <v/>
      </c>
      <c r="C499" s="47" t="str">
        <f>TRIM(データ!D496)</f>
        <v/>
      </c>
      <c r="D499" s="36" t="str">
        <f>REPT("｜",$A499)&amp;TRIM(データ!E496)</f>
        <v>｜｜｜プレート</v>
      </c>
      <c r="E499" s="37" t="str">
        <f>TRIM(データ!F496)</f>
        <v/>
      </c>
      <c r="F499" s="38" t="str">
        <f>TRIM(データ!G496)</f>
        <v>台</v>
      </c>
      <c r="G499" s="50">
        <f>データ!H496</f>
        <v>3</v>
      </c>
      <c r="H499" s="48">
        <f>データ!I496</f>
        <v>1500</v>
      </c>
      <c r="I499" s="48">
        <f>データ!J496</f>
        <v>4500</v>
      </c>
      <c r="J499" s="39" t="str">
        <f>IF(OR($C499="総括",$C499="内訳書",$C499="内訳代価",$C499="明細書",$C499="明細代価",$C499="代価表",$C499="単価表"),データ!K496,"")</f>
        <v/>
      </c>
      <c r="K499" s="11" t="str">
        <f t="shared" si="42"/>
        <v/>
      </c>
      <c r="L499" s="46">
        <f t="shared" si="43"/>
        <v>6.4792017623428798E-5</v>
      </c>
      <c r="M499" s="40" t="str">
        <f>IF(データ!L496="","",データ!L496)</f>
        <v/>
      </c>
      <c r="N499" s="41" t="str">
        <f>IF(データ!M496="","",データ!M496)</f>
        <v/>
      </c>
      <c r="O499" s="42">
        <f>データ!N496</f>
        <v>0</v>
      </c>
      <c r="P499" s="48">
        <f>IF($C499="集計行","",データ!O496)</f>
        <v>0</v>
      </c>
      <c r="Q499" s="48">
        <f>データ!P496</f>
        <v>0</v>
      </c>
      <c r="R499" s="39" t="str">
        <f>IF(OR($C499="総括",$C499="内訳書",$C499="内訳代価",$C499="明細書",$C499="明細代価",$C499="代価表",$C499="単価表"),データ!Q496,"")</f>
        <v/>
      </c>
      <c r="S499" s="11" t="str">
        <f t="shared" si="44"/>
        <v/>
      </c>
      <c r="T499" s="46" t="e">
        <f t="shared" si="45"/>
        <v>#DIV/0!</v>
      </c>
      <c r="U499" s="40" t="str">
        <f>IF(データ!R496="","",データ!R496)</f>
        <v/>
      </c>
      <c r="V499" s="41" t="str">
        <f>IF(データ!S496="","",データ!S496)</f>
        <v/>
      </c>
      <c r="W499" s="42">
        <f>データ!T496</f>
        <v>0</v>
      </c>
      <c r="X499" s="48">
        <f>IF($C499="集計行","",データ!U496)</f>
        <v>0</v>
      </c>
      <c r="Y499" s="48">
        <f>データ!V496</f>
        <v>0</v>
      </c>
      <c r="Z499" s="39" t="str">
        <f>IF(OR($C499="総括",$C499="内訳書",$C499="内訳代価",$C499="明細書",$C499="明細代価",$C499="代価表",$C499="単価表"),データ!W496,"")</f>
        <v/>
      </c>
      <c r="AA499" s="11" t="str">
        <f t="shared" si="46"/>
        <v/>
      </c>
      <c r="AB499" s="46" t="e">
        <f t="shared" si="47"/>
        <v>#DIV/0!</v>
      </c>
      <c r="AC499" s="40" t="str">
        <f>IF(データ!X496="","",データ!X496)</f>
        <v/>
      </c>
      <c r="AD499" s="41" t="str">
        <f>IF(データ!Y496="","",データ!Y496)</f>
        <v/>
      </c>
      <c r="AE499" s="47" t="str">
        <f>TRIM(データ!B496)</f>
        <v/>
      </c>
      <c r="AF499" s="43" t="str">
        <f>TRIM(データ!Z496)</f>
        <v/>
      </c>
    </row>
    <row r="500" spans="1:32" x14ac:dyDescent="0.15">
      <c r="A500" s="47">
        <f>データ!A497</f>
        <v>3</v>
      </c>
      <c r="B500" s="47" t="str">
        <f>TRIM(データ!C497)</f>
        <v/>
      </c>
      <c r="C500" s="47" t="str">
        <f>TRIM(データ!D497)</f>
        <v/>
      </c>
      <c r="D500" s="36" t="str">
        <f>REPT("｜",$A500)&amp;TRIM(データ!E497)</f>
        <v>｜｜｜フォークリフト</v>
      </c>
      <c r="E500" s="37" t="str">
        <f>TRIM(データ!F497)</f>
        <v/>
      </c>
      <c r="F500" s="38" t="str">
        <f>TRIM(データ!G497)</f>
        <v>台</v>
      </c>
      <c r="G500" s="50">
        <f>データ!H497</f>
        <v>3</v>
      </c>
      <c r="H500" s="48">
        <f>データ!I497</f>
        <v>14000</v>
      </c>
      <c r="I500" s="48">
        <f>データ!J497</f>
        <v>42000</v>
      </c>
      <c r="J500" s="39" t="str">
        <f>IF(OR($C500="総括",$C500="内訳書",$C500="内訳代価",$C500="明細書",$C500="明細代価",$C500="代価表",$C500="単価表"),データ!K497,"")</f>
        <v/>
      </c>
      <c r="K500" s="11" t="str">
        <f t="shared" si="42"/>
        <v/>
      </c>
      <c r="L500" s="46">
        <f t="shared" si="43"/>
        <v>6.0472549781866874E-4</v>
      </c>
      <c r="M500" s="40" t="str">
        <f>IF(データ!L497="","",データ!L497)</f>
        <v/>
      </c>
      <c r="N500" s="41" t="str">
        <f>IF(データ!M497="","",データ!M497)</f>
        <v/>
      </c>
      <c r="O500" s="42">
        <f>データ!N497</f>
        <v>0</v>
      </c>
      <c r="P500" s="48">
        <f>IF($C500="集計行","",データ!O497)</f>
        <v>0</v>
      </c>
      <c r="Q500" s="48">
        <f>データ!P497</f>
        <v>0</v>
      </c>
      <c r="R500" s="39" t="str">
        <f>IF(OR($C500="総括",$C500="内訳書",$C500="内訳代価",$C500="明細書",$C500="明細代価",$C500="代価表",$C500="単価表"),データ!Q497,"")</f>
        <v/>
      </c>
      <c r="S500" s="11" t="str">
        <f t="shared" si="44"/>
        <v/>
      </c>
      <c r="T500" s="46" t="e">
        <f t="shared" si="45"/>
        <v>#DIV/0!</v>
      </c>
      <c r="U500" s="40" t="str">
        <f>IF(データ!R497="","",データ!R497)</f>
        <v/>
      </c>
      <c r="V500" s="41" t="str">
        <f>IF(データ!S497="","",データ!S497)</f>
        <v/>
      </c>
      <c r="W500" s="42">
        <f>データ!T497</f>
        <v>0</v>
      </c>
      <c r="X500" s="48">
        <f>IF($C500="集計行","",データ!U497)</f>
        <v>0</v>
      </c>
      <c r="Y500" s="48">
        <f>データ!V497</f>
        <v>0</v>
      </c>
      <c r="Z500" s="39" t="str">
        <f>IF(OR($C500="総括",$C500="内訳書",$C500="内訳代価",$C500="明細書",$C500="明細代価",$C500="代価表",$C500="単価表"),データ!W497,"")</f>
        <v/>
      </c>
      <c r="AA500" s="11" t="str">
        <f t="shared" si="46"/>
        <v/>
      </c>
      <c r="AB500" s="46" t="e">
        <f t="shared" si="47"/>
        <v>#DIV/0!</v>
      </c>
      <c r="AC500" s="40" t="str">
        <f>IF(データ!X497="","",データ!X497)</f>
        <v/>
      </c>
      <c r="AD500" s="41" t="str">
        <f>IF(データ!Y497="","",データ!Y497)</f>
        <v/>
      </c>
      <c r="AE500" s="47" t="str">
        <f>TRIM(データ!B497)</f>
        <v/>
      </c>
      <c r="AF500" s="43" t="str">
        <f>TRIM(データ!Z497)</f>
        <v/>
      </c>
    </row>
    <row r="501" spans="1:32" x14ac:dyDescent="0.15">
      <c r="A501" s="47">
        <f>データ!A498</f>
        <v>3</v>
      </c>
      <c r="B501" s="47" t="str">
        <f>TRIM(データ!C498)</f>
        <v/>
      </c>
      <c r="C501" s="47" t="str">
        <f>TRIM(データ!D498)</f>
        <v/>
      </c>
      <c r="D501" s="36" t="str">
        <f>REPT("｜",$A501)&amp;TRIM(データ!E498)</f>
        <v>｜｜｜小物機械</v>
      </c>
      <c r="E501" s="37" t="str">
        <f>TRIM(データ!F498)</f>
        <v/>
      </c>
      <c r="F501" s="38" t="str">
        <f>TRIM(データ!G498)</f>
        <v>台</v>
      </c>
      <c r="G501" s="50">
        <f>データ!H498</f>
        <v>3</v>
      </c>
      <c r="H501" s="48">
        <f>データ!I498</f>
        <v>4000</v>
      </c>
      <c r="I501" s="48">
        <f>データ!J498</f>
        <v>12000</v>
      </c>
      <c r="J501" s="39" t="str">
        <f>IF(OR($C501="総括",$C501="内訳書",$C501="内訳代価",$C501="明細書",$C501="明細代価",$C501="代価表",$C501="単価表"),データ!K498,"")</f>
        <v/>
      </c>
      <c r="K501" s="11" t="str">
        <f t="shared" si="42"/>
        <v/>
      </c>
      <c r="L501" s="46">
        <f t="shared" si="43"/>
        <v>1.7277871366247678E-4</v>
      </c>
      <c r="M501" s="40" t="str">
        <f>IF(データ!L498="","",データ!L498)</f>
        <v/>
      </c>
      <c r="N501" s="41" t="str">
        <f>IF(データ!M498="","",データ!M498)</f>
        <v/>
      </c>
      <c r="O501" s="42">
        <f>データ!N498</f>
        <v>0</v>
      </c>
      <c r="P501" s="48">
        <f>IF($C501="集計行","",データ!O498)</f>
        <v>0</v>
      </c>
      <c r="Q501" s="48">
        <f>データ!P498</f>
        <v>0</v>
      </c>
      <c r="R501" s="39" t="str">
        <f>IF(OR($C501="総括",$C501="内訳書",$C501="内訳代価",$C501="明細書",$C501="明細代価",$C501="代価表",$C501="単価表"),データ!Q498,"")</f>
        <v/>
      </c>
      <c r="S501" s="11" t="str">
        <f t="shared" si="44"/>
        <v/>
      </c>
      <c r="T501" s="46" t="e">
        <f t="shared" si="45"/>
        <v>#DIV/0!</v>
      </c>
      <c r="U501" s="40" t="str">
        <f>IF(データ!R498="","",データ!R498)</f>
        <v/>
      </c>
      <c r="V501" s="41" t="str">
        <f>IF(データ!S498="","",データ!S498)</f>
        <v/>
      </c>
      <c r="W501" s="42">
        <f>データ!T498</f>
        <v>0</v>
      </c>
      <c r="X501" s="48">
        <f>IF($C501="集計行","",データ!U498)</f>
        <v>0</v>
      </c>
      <c r="Y501" s="48">
        <f>データ!V498</f>
        <v>0</v>
      </c>
      <c r="Z501" s="39" t="str">
        <f>IF(OR($C501="総括",$C501="内訳書",$C501="内訳代価",$C501="明細書",$C501="明細代価",$C501="代価表",$C501="単価表"),データ!W498,"")</f>
        <v/>
      </c>
      <c r="AA501" s="11" t="str">
        <f t="shared" si="46"/>
        <v/>
      </c>
      <c r="AB501" s="46" t="e">
        <f t="shared" si="47"/>
        <v>#DIV/0!</v>
      </c>
      <c r="AC501" s="40" t="str">
        <f>IF(データ!X498="","",データ!X498)</f>
        <v/>
      </c>
      <c r="AD501" s="41" t="str">
        <f>IF(データ!Y498="","",データ!Y498)</f>
        <v/>
      </c>
      <c r="AE501" s="47" t="str">
        <f>TRIM(データ!B498)</f>
        <v/>
      </c>
      <c r="AF501" s="43" t="str">
        <f>TRIM(データ!Z498)</f>
        <v/>
      </c>
    </row>
    <row r="502" spans="1:32" x14ac:dyDescent="0.15">
      <c r="A502" s="47">
        <f>データ!A499</f>
        <v>3</v>
      </c>
      <c r="B502" s="47" t="str">
        <f>TRIM(データ!C499)</f>
        <v/>
      </c>
      <c r="C502" s="47" t="str">
        <f>TRIM(データ!D499)</f>
        <v/>
      </c>
      <c r="D502" s="36" t="str">
        <f>REPT("｜",$A502)&amp;TRIM(データ!E499)</f>
        <v>｜｜｜4tダンプ</v>
      </c>
      <c r="E502" s="37" t="str">
        <f>TRIM(データ!F499)</f>
        <v/>
      </c>
      <c r="F502" s="38" t="str">
        <f>TRIM(データ!G499)</f>
        <v>台</v>
      </c>
      <c r="G502" s="50">
        <f>データ!H499</f>
        <v>3</v>
      </c>
      <c r="H502" s="48">
        <f>データ!I499</f>
        <v>10000</v>
      </c>
      <c r="I502" s="48">
        <f>データ!J499</f>
        <v>30000</v>
      </c>
      <c r="J502" s="39" t="str">
        <f>IF(OR($C502="総括",$C502="内訳書",$C502="内訳代価",$C502="明細書",$C502="明細代価",$C502="代価表",$C502="単価表"),データ!K499,"")</f>
        <v/>
      </c>
      <c r="K502" s="11" t="str">
        <f t="shared" si="42"/>
        <v/>
      </c>
      <c r="L502" s="46">
        <f t="shared" si="43"/>
        <v>4.3194678415619197E-4</v>
      </c>
      <c r="M502" s="40" t="str">
        <f>IF(データ!L499="","",データ!L499)</f>
        <v/>
      </c>
      <c r="N502" s="41" t="str">
        <f>IF(データ!M499="","",データ!M499)</f>
        <v/>
      </c>
      <c r="O502" s="42">
        <f>データ!N499</f>
        <v>0</v>
      </c>
      <c r="P502" s="48">
        <f>IF($C502="集計行","",データ!O499)</f>
        <v>0</v>
      </c>
      <c r="Q502" s="48">
        <f>データ!P499</f>
        <v>0</v>
      </c>
      <c r="R502" s="39" t="str">
        <f>IF(OR($C502="総括",$C502="内訳書",$C502="内訳代価",$C502="明細書",$C502="明細代価",$C502="代価表",$C502="単価表"),データ!Q499,"")</f>
        <v/>
      </c>
      <c r="S502" s="11" t="str">
        <f t="shared" si="44"/>
        <v/>
      </c>
      <c r="T502" s="46" t="e">
        <f t="shared" si="45"/>
        <v>#DIV/0!</v>
      </c>
      <c r="U502" s="40" t="str">
        <f>IF(データ!R499="","",データ!R499)</f>
        <v/>
      </c>
      <c r="V502" s="41" t="str">
        <f>IF(データ!S499="","",データ!S499)</f>
        <v/>
      </c>
      <c r="W502" s="42">
        <f>データ!T499</f>
        <v>0</v>
      </c>
      <c r="X502" s="48">
        <f>IF($C502="集計行","",データ!U499)</f>
        <v>0</v>
      </c>
      <c r="Y502" s="48">
        <f>データ!V499</f>
        <v>0</v>
      </c>
      <c r="Z502" s="39" t="str">
        <f>IF(OR($C502="総括",$C502="内訳書",$C502="内訳代価",$C502="明細書",$C502="明細代価",$C502="代価表",$C502="単価表"),データ!W499,"")</f>
        <v/>
      </c>
      <c r="AA502" s="11" t="str">
        <f t="shared" si="46"/>
        <v/>
      </c>
      <c r="AB502" s="46" t="e">
        <f t="shared" si="47"/>
        <v>#DIV/0!</v>
      </c>
      <c r="AC502" s="40" t="str">
        <f>IF(データ!X499="","",データ!X499)</f>
        <v/>
      </c>
      <c r="AD502" s="41" t="str">
        <f>IF(データ!Y499="","",データ!Y499)</f>
        <v/>
      </c>
      <c r="AE502" s="47" t="str">
        <f>TRIM(データ!B499)</f>
        <v/>
      </c>
      <c r="AF502" s="43" t="str">
        <f>TRIM(データ!Z499)</f>
        <v/>
      </c>
    </row>
    <row r="503" spans="1:32" x14ac:dyDescent="0.15">
      <c r="A503" s="47">
        <f>データ!A500</f>
        <v>3</v>
      </c>
      <c r="B503" s="47" t="str">
        <f>TRIM(データ!C500)</f>
        <v/>
      </c>
      <c r="C503" s="47" t="str">
        <f>TRIM(データ!D500)</f>
        <v/>
      </c>
      <c r="D503" s="36" t="str">
        <f>REPT("｜",$A503)&amp;TRIM(データ!E500)</f>
        <v>｜｜｜2tダンプ</v>
      </c>
      <c r="E503" s="37" t="str">
        <f>TRIM(データ!F500)</f>
        <v/>
      </c>
      <c r="F503" s="38" t="str">
        <f>TRIM(データ!G500)</f>
        <v>台</v>
      </c>
      <c r="G503" s="50">
        <f>データ!H500</f>
        <v>3</v>
      </c>
      <c r="H503" s="48">
        <f>データ!I500</f>
        <v>7000</v>
      </c>
      <c r="I503" s="48">
        <f>データ!J500</f>
        <v>21000</v>
      </c>
      <c r="J503" s="39" t="str">
        <f>IF(OR($C503="総括",$C503="内訳書",$C503="内訳代価",$C503="明細書",$C503="明細代価",$C503="代価表",$C503="単価表"),データ!K500,"")</f>
        <v/>
      </c>
      <c r="K503" s="11" t="str">
        <f t="shared" si="42"/>
        <v/>
      </c>
      <c r="L503" s="46">
        <f t="shared" si="43"/>
        <v>3.0236274890933437E-4</v>
      </c>
      <c r="M503" s="40" t="str">
        <f>IF(データ!L500="","",データ!L500)</f>
        <v/>
      </c>
      <c r="N503" s="41" t="str">
        <f>IF(データ!M500="","",データ!M500)</f>
        <v/>
      </c>
      <c r="O503" s="42">
        <f>データ!N500</f>
        <v>0</v>
      </c>
      <c r="P503" s="48">
        <f>IF($C503="集計行","",データ!O500)</f>
        <v>0</v>
      </c>
      <c r="Q503" s="48">
        <f>データ!P500</f>
        <v>0</v>
      </c>
      <c r="R503" s="39" t="str">
        <f>IF(OR($C503="総括",$C503="内訳書",$C503="内訳代価",$C503="明細書",$C503="明細代価",$C503="代価表",$C503="単価表"),データ!Q500,"")</f>
        <v/>
      </c>
      <c r="S503" s="11" t="str">
        <f t="shared" si="44"/>
        <v/>
      </c>
      <c r="T503" s="46" t="e">
        <f t="shared" si="45"/>
        <v>#DIV/0!</v>
      </c>
      <c r="U503" s="40" t="str">
        <f>IF(データ!R500="","",データ!R500)</f>
        <v/>
      </c>
      <c r="V503" s="41" t="str">
        <f>IF(データ!S500="","",データ!S500)</f>
        <v/>
      </c>
      <c r="W503" s="42">
        <f>データ!T500</f>
        <v>0</v>
      </c>
      <c r="X503" s="48">
        <f>IF($C503="集計行","",データ!U500)</f>
        <v>0</v>
      </c>
      <c r="Y503" s="48">
        <f>データ!V500</f>
        <v>0</v>
      </c>
      <c r="Z503" s="39" t="str">
        <f>IF(OR($C503="総括",$C503="内訳書",$C503="内訳代価",$C503="明細書",$C503="明細代価",$C503="代価表",$C503="単価表"),データ!W500,"")</f>
        <v/>
      </c>
      <c r="AA503" s="11" t="str">
        <f t="shared" si="46"/>
        <v/>
      </c>
      <c r="AB503" s="46" t="e">
        <f t="shared" si="47"/>
        <v>#DIV/0!</v>
      </c>
      <c r="AC503" s="40" t="str">
        <f>IF(データ!X500="","",データ!X500)</f>
        <v/>
      </c>
      <c r="AD503" s="41" t="str">
        <f>IF(データ!Y500="","",データ!Y500)</f>
        <v/>
      </c>
      <c r="AE503" s="47" t="str">
        <f>TRIM(データ!B500)</f>
        <v/>
      </c>
      <c r="AF503" s="43" t="str">
        <f>TRIM(データ!Z500)</f>
        <v/>
      </c>
    </row>
    <row r="504" spans="1:32" x14ac:dyDescent="0.15">
      <c r="A504" s="47">
        <f>データ!A501</f>
        <v>3</v>
      </c>
      <c r="B504" s="47" t="str">
        <f>TRIM(データ!C501)</f>
        <v/>
      </c>
      <c r="C504" s="47" t="str">
        <f>TRIM(データ!D501)</f>
        <v/>
      </c>
      <c r="D504" s="36" t="str">
        <f>REPT("｜",$A504)&amp;TRIM(データ!E501)</f>
        <v>｜｜｜軽油</v>
      </c>
      <c r="E504" s="37" t="str">
        <f>TRIM(データ!F501)</f>
        <v/>
      </c>
      <c r="F504" s="38" t="str">
        <f>TRIM(データ!G501)</f>
        <v>リットル</v>
      </c>
      <c r="G504" s="50">
        <f>データ!H501</f>
        <v>270</v>
      </c>
      <c r="H504" s="48">
        <f>データ!I501</f>
        <v>150</v>
      </c>
      <c r="I504" s="48">
        <f>データ!J501</f>
        <v>40500</v>
      </c>
      <c r="J504" s="39" t="str">
        <f>IF(OR($C504="総括",$C504="内訳書",$C504="内訳代価",$C504="明細書",$C504="明細代価",$C504="代価表",$C504="単価表"),データ!K501,"")</f>
        <v/>
      </c>
      <c r="K504" s="11" t="str">
        <f t="shared" si="42"/>
        <v/>
      </c>
      <c r="L504" s="46">
        <f t="shared" si="43"/>
        <v>5.8312815861085918E-4</v>
      </c>
      <c r="M504" s="40" t="str">
        <f>IF(データ!L501="","",データ!L501)</f>
        <v/>
      </c>
      <c r="N504" s="41" t="str">
        <f>IF(データ!M501="","",データ!M501)</f>
        <v/>
      </c>
      <c r="O504" s="42">
        <f>データ!N501</f>
        <v>0</v>
      </c>
      <c r="P504" s="48">
        <f>IF($C504="集計行","",データ!O501)</f>
        <v>0</v>
      </c>
      <c r="Q504" s="48">
        <f>データ!P501</f>
        <v>0</v>
      </c>
      <c r="R504" s="39" t="str">
        <f>IF(OR($C504="総括",$C504="内訳書",$C504="内訳代価",$C504="明細書",$C504="明細代価",$C504="代価表",$C504="単価表"),データ!Q501,"")</f>
        <v/>
      </c>
      <c r="S504" s="11" t="str">
        <f t="shared" si="44"/>
        <v/>
      </c>
      <c r="T504" s="46" t="e">
        <f t="shared" si="45"/>
        <v>#DIV/0!</v>
      </c>
      <c r="U504" s="40" t="str">
        <f>IF(データ!R501="","",データ!R501)</f>
        <v/>
      </c>
      <c r="V504" s="41" t="str">
        <f>IF(データ!S501="","",データ!S501)</f>
        <v/>
      </c>
      <c r="W504" s="42">
        <f>データ!T501</f>
        <v>0</v>
      </c>
      <c r="X504" s="48">
        <f>IF($C504="集計行","",データ!U501)</f>
        <v>0</v>
      </c>
      <c r="Y504" s="48">
        <f>データ!V501</f>
        <v>0</v>
      </c>
      <c r="Z504" s="39" t="str">
        <f>IF(OR($C504="総括",$C504="内訳書",$C504="内訳代価",$C504="明細書",$C504="明細代価",$C504="代価表",$C504="単価表"),データ!W501,"")</f>
        <v/>
      </c>
      <c r="AA504" s="11" t="str">
        <f t="shared" si="46"/>
        <v/>
      </c>
      <c r="AB504" s="46" t="e">
        <f t="shared" si="47"/>
        <v>#DIV/0!</v>
      </c>
      <c r="AC504" s="40" t="str">
        <f>IF(データ!X501="","",データ!X501)</f>
        <v/>
      </c>
      <c r="AD504" s="41" t="str">
        <f>IF(データ!Y501="","",データ!Y501)</f>
        <v/>
      </c>
      <c r="AE504" s="47" t="str">
        <f>TRIM(データ!B501)</f>
        <v/>
      </c>
      <c r="AF504" s="43" t="str">
        <f>TRIM(データ!Z501)</f>
        <v/>
      </c>
    </row>
    <row r="505" spans="1:32" x14ac:dyDescent="0.15">
      <c r="A505" s="47">
        <f>データ!A502</f>
        <v>3</v>
      </c>
      <c r="B505" s="47" t="str">
        <f>TRIM(データ!C502)</f>
        <v/>
      </c>
      <c r="C505" s="47" t="str">
        <f>TRIM(データ!D502)</f>
        <v/>
      </c>
      <c r="D505" s="36" t="str">
        <f>REPT("｜",$A505)&amp;TRIM(データ!E502)</f>
        <v>｜｜｜ガソリン</v>
      </c>
      <c r="E505" s="37" t="str">
        <f>TRIM(データ!F502)</f>
        <v/>
      </c>
      <c r="F505" s="38" t="str">
        <f>TRIM(データ!G502)</f>
        <v>リットル</v>
      </c>
      <c r="G505" s="50">
        <f>データ!H502</f>
        <v>240</v>
      </c>
      <c r="H505" s="48">
        <f>データ!I502</f>
        <v>200</v>
      </c>
      <c r="I505" s="48">
        <f>データ!J502</f>
        <v>48000</v>
      </c>
      <c r="J505" s="39" t="str">
        <f>IF(OR($C505="総括",$C505="内訳書",$C505="内訳代価",$C505="明細書",$C505="明細代価",$C505="代価表",$C505="単価表"),データ!K502,"")</f>
        <v/>
      </c>
      <c r="K505" s="11" t="str">
        <f t="shared" si="42"/>
        <v/>
      </c>
      <c r="L505" s="46">
        <f t="shared" si="43"/>
        <v>6.911148546499071E-4</v>
      </c>
      <c r="M505" s="40" t="str">
        <f>IF(データ!L502="","",データ!L502)</f>
        <v/>
      </c>
      <c r="N505" s="41" t="str">
        <f>IF(データ!M502="","",データ!M502)</f>
        <v/>
      </c>
      <c r="O505" s="42">
        <f>データ!N502</f>
        <v>0</v>
      </c>
      <c r="P505" s="48">
        <f>IF($C505="集計行","",データ!O502)</f>
        <v>0</v>
      </c>
      <c r="Q505" s="48">
        <f>データ!P502</f>
        <v>0</v>
      </c>
      <c r="R505" s="39" t="str">
        <f>IF(OR($C505="総括",$C505="内訳書",$C505="内訳代価",$C505="明細書",$C505="明細代価",$C505="代価表",$C505="単価表"),データ!Q502,"")</f>
        <v/>
      </c>
      <c r="S505" s="11" t="str">
        <f t="shared" si="44"/>
        <v/>
      </c>
      <c r="T505" s="46" t="e">
        <f t="shared" si="45"/>
        <v>#DIV/0!</v>
      </c>
      <c r="U505" s="40" t="str">
        <f>IF(データ!R502="","",データ!R502)</f>
        <v/>
      </c>
      <c r="V505" s="41" t="str">
        <f>IF(データ!S502="","",データ!S502)</f>
        <v/>
      </c>
      <c r="W505" s="42">
        <f>データ!T502</f>
        <v>0</v>
      </c>
      <c r="X505" s="48">
        <f>IF($C505="集計行","",データ!U502)</f>
        <v>0</v>
      </c>
      <c r="Y505" s="48">
        <f>データ!V502</f>
        <v>0</v>
      </c>
      <c r="Z505" s="39" t="str">
        <f>IF(OR($C505="総括",$C505="内訳書",$C505="内訳代価",$C505="明細書",$C505="明細代価",$C505="代価表",$C505="単価表"),データ!W502,"")</f>
        <v/>
      </c>
      <c r="AA505" s="11" t="str">
        <f t="shared" si="46"/>
        <v/>
      </c>
      <c r="AB505" s="46" t="e">
        <f t="shared" si="47"/>
        <v>#DIV/0!</v>
      </c>
      <c r="AC505" s="40" t="str">
        <f>IF(データ!X502="","",データ!X502)</f>
        <v/>
      </c>
      <c r="AD505" s="41" t="str">
        <f>IF(データ!Y502="","",データ!Y502)</f>
        <v/>
      </c>
      <c r="AE505" s="47" t="str">
        <f>TRIM(データ!B502)</f>
        <v/>
      </c>
      <c r="AF505" s="43" t="str">
        <f>TRIM(データ!Z502)</f>
        <v/>
      </c>
    </row>
    <row r="506" spans="1:32" x14ac:dyDescent="0.15">
      <c r="A506" s="47">
        <f>データ!A503</f>
        <v>3</v>
      </c>
      <c r="B506" s="47" t="str">
        <f>TRIM(データ!C503)</f>
        <v/>
      </c>
      <c r="C506" s="47" t="str">
        <f>TRIM(データ!D503)</f>
        <v/>
      </c>
      <c r="D506" s="36" t="str">
        <f>REPT("｜",$A506)&amp;TRIM(データ!E503)</f>
        <v>｜｜｜雑材</v>
      </c>
      <c r="E506" s="37" t="str">
        <f>TRIM(データ!F503)</f>
        <v/>
      </c>
      <c r="F506" s="38" t="str">
        <f>TRIM(データ!G503)</f>
        <v>式</v>
      </c>
      <c r="G506" s="50">
        <f>データ!H503</f>
        <v>1</v>
      </c>
      <c r="H506" s="48">
        <f>データ!I503</f>
        <v>21200</v>
      </c>
      <c r="I506" s="48">
        <f>データ!J503</f>
        <v>21200</v>
      </c>
      <c r="J506" s="39" t="str">
        <f>IF(OR($C506="総括",$C506="内訳書",$C506="内訳代価",$C506="明細書",$C506="明細代価",$C506="代価表",$C506="単価表"),データ!K503,"")</f>
        <v/>
      </c>
      <c r="K506" s="11" t="str">
        <f t="shared" si="42"/>
        <v/>
      </c>
      <c r="L506" s="46">
        <f t="shared" si="43"/>
        <v>3.0524239413704234E-4</v>
      </c>
      <c r="M506" s="40" t="str">
        <f>IF(データ!L503="","",データ!L503)</f>
        <v/>
      </c>
      <c r="N506" s="41" t="str">
        <f>IF(データ!M503="","",データ!M503)</f>
        <v/>
      </c>
      <c r="O506" s="42">
        <f>データ!N503</f>
        <v>0</v>
      </c>
      <c r="P506" s="48">
        <f>IF($C506="集計行","",データ!O503)</f>
        <v>0</v>
      </c>
      <c r="Q506" s="48">
        <f>データ!P503</f>
        <v>0</v>
      </c>
      <c r="R506" s="39" t="str">
        <f>IF(OR($C506="総括",$C506="内訳書",$C506="内訳代価",$C506="明細書",$C506="明細代価",$C506="代価表",$C506="単価表"),データ!Q503,"")</f>
        <v/>
      </c>
      <c r="S506" s="11" t="str">
        <f t="shared" si="44"/>
        <v/>
      </c>
      <c r="T506" s="46" t="e">
        <f t="shared" si="45"/>
        <v>#DIV/0!</v>
      </c>
      <c r="U506" s="40" t="str">
        <f>IF(データ!R503="","",データ!R503)</f>
        <v/>
      </c>
      <c r="V506" s="41" t="str">
        <f>IF(データ!S503="","",データ!S503)</f>
        <v/>
      </c>
      <c r="W506" s="42">
        <f>データ!T503</f>
        <v>0</v>
      </c>
      <c r="X506" s="48">
        <f>IF($C506="集計行","",データ!U503)</f>
        <v>0</v>
      </c>
      <c r="Y506" s="48">
        <f>データ!V503</f>
        <v>0</v>
      </c>
      <c r="Z506" s="39" t="str">
        <f>IF(OR($C506="総括",$C506="内訳書",$C506="内訳代価",$C506="明細書",$C506="明細代価",$C506="代価表",$C506="単価表"),データ!W503,"")</f>
        <v/>
      </c>
      <c r="AA506" s="11" t="str">
        <f t="shared" si="46"/>
        <v/>
      </c>
      <c r="AB506" s="46" t="e">
        <f t="shared" si="47"/>
        <v>#DIV/0!</v>
      </c>
      <c r="AC506" s="40" t="str">
        <f>IF(データ!X503="","",データ!X503)</f>
        <v/>
      </c>
      <c r="AD506" s="41" t="str">
        <f>IF(データ!Y503="","",データ!Y503)</f>
        <v/>
      </c>
      <c r="AE506" s="47" t="str">
        <f>TRIM(データ!B503)</f>
        <v/>
      </c>
      <c r="AF506" s="43" t="str">
        <f>TRIM(データ!Z503)</f>
        <v/>
      </c>
    </row>
    <row r="507" spans="1:32" x14ac:dyDescent="0.15">
      <c r="A507" s="47">
        <f>データ!A504</f>
        <v>3</v>
      </c>
      <c r="B507" s="47" t="str">
        <f>TRIM(データ!C504)</f>
        <v/>
      </c>
      <c r="C507" s="47" t="str">
        <f>TRIM(データ!D504)</f>
        <v/>
      </c>
      <c r="D507" s="36" t="str">
        <f>REPT("｜",$A507)&amp;TRIM(データ!E504)</f>
        <v>｜｜｜外注経費</v>
      </c>
      <c r="E507" s="37" t="str">
        <f>TRIM(データ!F504)</f>
        <v/>
      </c>
      <c r="F507" s="38" t="str">
        <f>TRIM(データ!G504)</f>
        <v>式</v>
      </c>
      <c r="G507" s="50">
        <f>データ!H504</f>
        <v>1</v>
      </c>
      <c r="H507" s="48">
        <f>データ!I504</f>
        <v>118350</v>
      </c>
      <c r="I507" s="48">
        <f>データ!J504</f>
        <v>118350</v>
      </c>
      <c r="J507" s="39" t="str">
        <f>IF(OR($C507="総括",$C507="内訳書",$C507="内訳代価",$C507="明細書",$C507="明細代価",$C507="代価表",$C507="単価表"),データ!K504,"")</f>
        <v/>
      </c>
      <c r="K507" s="11" t="str">
        <f t="shared" si="42"/>
        <v/>
      </c>
      <c r="L507" s="46">
        <f t="shared" si="43"/>
        <v>1.7040300634961773E-3</v>
      </c>
      <c r="M507" s="40" t="str">
        <f>IF(データ!L504="","",データ!L504)</f>
        <v/>
      </c>
      <c r="N507" s="41" t="str">
        <f>IF(データ!M504="","",データ!M504)</f>
        <v/>
      </c>
      <c r="O507" s="42">
        <f>データ!N504</f>
        <v>0</v>
      </c>
      <c r="P507" s="48">
        <f>IF($C507="集計行","",データ!O504)</f>
        <v>0</v>
      </c>
      <c r="Q507" s="48">
        <f>データ!P504</f>
        <v>0</v>
      </c>
      <c r="R507" s="39" t="str">
        <f>IF(OR($C507="総括",$C507="内訳書",$C507="内訳代価",$C507="明細書",$C507="明細代価",$C507="代価表",$C507="単価表"),データ!Q504,"")</f>
        <v/>
      </c>
      <c r="S507" s="11" t="str">
        <f t="shared" si="44"/>
        <v/>
      </c>
      <c r="T507" s="46" t="e">
        <f t="shared" si="45"/>
        <v>#DIV/0!</v>
      </c>
      <c r="U507" s="40" t="str">
        <f>IF(データ!R504="","",データ!R504)</f>
        <v/>
      </c>
      <c r="V507" s="41" t="str">
        <f>IF(データ!S504="","",データ!S504)</f>
        <v/>
      </c>
      <c r="W507" s="42">
        <f>データ!T504</f>
        <v>0</v>
      </c>
      <c r="X507" s="48">
        <f>IF($C507="集計行","",データ!U504)</f>
        <v>0</v>
      </c>
      <c r="Y507" s="48">
        <f>データ!V504</f>
        <v>0</v>
      </c>
      <c r="Z507" s="39" t="str">
        <f>IF(OR($C507="総括",$C507="内訳書",$C507="内訳代価",$C507="明細書",$C507="明細代価",$C507="代価表",$C507="単価表"),データ!W504,"")</f>
        <v/>
      </c>
      <c r="AA507" s="11" t="str">
        <f t="shared" si="46"/>
        <v/>
      </c>
      <c r="AB507" s="46" t="e">
        <f t="shared" si="47"/>
        <v>#DIV/0!</v>
      </c>
      <c r="AC507" s="40" t="str">
        <f>IF(データ!X504="","",データ!X504)</f>
        <v/>
      </c>
      <c r="AD507" s="41" t="str">
        <f>IF(データ!Y504="","",データ!Y504)</f>
        <v/>
      </c>
      <c r="AE507" s="47" t="str">
        <f>TRIM(データ!B504)</f>
        <v/>
      </c>
      <c r="AF507" s="43" t="str">
        <f>TRIM(データ!Z504)</f>
        <v/>
      </c>
    </row>
    <row r="508" spans="1:32" x14ac:dyDescent="0.15">
      <c r="A508" s="47">
        <f>データ!A505</f>
        <v>2</v>
      </c>
      <c r="B508" s="47" t="str">
        <f>TRIM(データ!C505)</f>
        <v/>
      </c>
      <c r="C508" s="47" t="str">
        <f>TRIM(データ!D505)</f>
        <v>内訳書</v>
      </c>
      <c r="D508" s="36" t="str">
        <f>REPT("｜",$A508)&amp;TRIM(データ!E505)</f>
        <v>｜｜コンクリート舗装</v>
      </c>
      <c r="E508" s="37" t="str">
        <f>TRIM(データ!F505)</f>
        <v/>
      </c>
      <c r="F508" s="38" t="str">
        <f>TRIM(データ!G505)</f>
        <v>m2</v>
      </c>
      <c r="G508" s="50">
        <f>データ!H505</f>
        <v>21</v>
      </c>
      <c r="H508" s="48">
        <f>データ!I505</f>
        <v>16500</v>
      </c>
      <c r="I508" s="48">
        <f>データ!J505</f>
        <v>346500</v>
      </c>
      <c r="J508" s="39">
        <f>IF(OR($C508="総括",$C508="内訳書",$C508="内訳代価",$C508="明細書",$C508="明細代価",$C508="代価表",$C508="単価表"),データ!K505,"")</f>
        <v>21</v>
      </c>
      <c r="K508" s="11" t="str">
        <f t="shared" si="42"/>
        <v/>
      </c>
      <c r="L508" s="46">
        <f t="shared" si="43"/>
        <v>4.9889853570040171E-3</v>
      </c>
      <c r="M508" s="40" t="str">
        <f>IF(データ!L505="","",データ!L505)</f>
        <v/>
      </c>
      <c r="N508" s="41" t="str">
        <f>IF(データ!M505="","",データ!M505)</f>
        <v>62号内訳書</v>
      </c>
      <c r="O508" s="42">
        <f>データ!N505</f>
        <v>0</v>
      </c>
      <c r="P508" s="48">
        <f>IF($C508="集計行","",データ!O505)</f>
        <v>0</v>
      </c>
      <c r="Q508" s="48">
        <f>データ!P505</f>
        <v>0</v>
      </c>
      <c r="R508" s="39">
        <f>IF(OR($C508="総括",$C508="内訳書",$C508="内訳代価",$C508="明細書",$C508="明細代価",$C508="代価表",$C508="単価表"),データ!Q505,"")</f>
        <v>0</v>
      </c>
      <c r="S508" s="11" t="str">
        <f t="shared" si="44"/>
        <v/>
      </c>
      <c r="T508" s="46" t="e">
        <f t="shared" si="45"/>
        <v>#DIV/0!</v>
      </c>
      <c r="U508" s="40" t="str">
        <f>IF(データ!R505="","",データ!R505)</f>
        <v/>
      </c>
      <c r="V508" s="41" t="str">
        <f>IF(データ!S505="","",データ!S505)</f>
        <v/>
      </c>
      <c r="W508" s="42">
        <f>データ!T505</f>
        <v>0</v>
      </c>
      <c r="X508" s="48">
        <f>IF($C508="集計行","",データ!U505)</f>
        <v>0</v>
      </c>
      <c r="Y508" s="48">
        <f>データ!V505</f>
        <v>0</v>
      </c>
      <c r="Z508" s="39">
        <f>IF(OR($C508="総括",$C508="内訳書",$C508="内訳代価",$C508="明細書",$C508="明細代価",$C508="代価表",$C508="単価表"),データ!W505,"")</f>
        <v>0</v>
      </c>
      <c r="AA508" s="11" t="str">
        <f t="shared" si="46"/>
        <v/>
      </c>
      <c r="AB508" s="46" t="e">
        <f t="shared" si="47"/>
        <v>#DIV/0!</v>
      </c>
      <c r="AC508" s="40" t="str">
        <f>IF(データ!X505="","",データ!X505)</f>
        <v/>
      </c>
      <c r="AD508" s="41" t="str">
        <f>IF(データ!Y505="","",データ!Y505)</f>
        <v/>
      </c>
      <c r="AE508" s="47" t="str">
        <f>TRIM(データ!B505)</f>
        <v/>
      </c>
      <c r="AF508" s="43" t="str">
        <f>TRIM(データ!Z505)</f>
        <v/>
      </c>
    </row>
    <row r="509" spans="1:32" x14ac:dyDescent="0.15">
      <c r="A509" s="47">
        <f>データ!A506</f>
        <v>3</v>
      </c>
      <c r="B509" s="47" t="str">
        <f>TRIM(データ!C506)</f>
        <v/>
      </c>
      <c r="C509" s="47" t="str">
        <f>TRIM(データ!D506)</f>
        <v>材料費</v>
      </c>
      <c r="D509" s="36" t="str">
        <f>REPT("｜",$A509)&amp;TRIM(データ!E506)</f>
        <v>｜｜｜生コン</v>
      </c>
      <c r="E509" s="37" t="str">
        <f>TRIM(データ!F506)</f>
        <v>21N/mm2</v>
      </c>
      <c r="F509" s="38" t="str">
        <f>TRIM(データ!G506)</f>
        <v>m3</v>
      </c>
      <c r="G509" s="50">
        <f>データ!H506</f>
        <v>3</v>
      </c>
      <c r="H509" s="48">
        <f>データ!I506</f>
        <v>30000</v>
      </c>
      <c r="I509" s="48">
        <f>データ!J506</f>
        <v>90000</v>
      </c>
      <c r="J509" s="39" t="str">
        <f>IF(OR($C509="総括",$C509="内訳書",$C509="内訳代価",$C509="明細書",$C509="明細代価",$C509="代価表",$C509="単価表"),データ!K506,"")</f>
        <v/>
      </c>
      <c r="K509" s="11" t="str">
        <f t="shared" si="42"/>
        <v/>
      </c>
      <c r="L509" s="46">
        <f t="shared" si="43"/>
        <v>1.295840352468576E-3</v>
      </c>
      <c r="M509" s="40" t="str">
        <f>IF(データ!L506="","",データ!L506)</f>
        <v/>
      </c>
      <c r="N509" s="41" t="str">
        <f>IF(データ!M506="","",データ!M506)</f>
        <v/>
      </c>
      <c r="O509" s="42">
        <f>データ!N506</f>
        <v>0</v>
      </c>
      <c r="P509" s="48">
        <f>IF($C509="集計行","",データ!O506)</f>
        <v>0</v>
      </c>
      <c r="Q509" s="48">
        <f>データ!P506</f>
        <v>0</v>
      </c>
      <c r="R509" s="39" t="str">
        <f>IF(OR($C509="総括",$C509="内訳書",$C509="内訳代価",$C509="明細書",$C509="明細代価",$C509="代価表",$C509="単価表"),データ!Q506,"")</f>
        <v/>
      </c>
      <c r="S509" s="11" t="str">
        <f t="shared" si="44"/>
        <v/>
      </c>
      <c r="T509" s="46" t="e">
        <f t="shared" si="45"/>
        <v>#DIV/0!</v>
      </c>
      <c r="U509" s="40" t="str">
        <f>IF(データ!R506="","",データ!R506)</f>
        <v/>
      </c>
      <c r="V509" s="41" t="str">
        <f>IF(データ!S506="","",データ!S506)</f>
        <v/>
      </c>
      <c r="W509" s="42">
        <f>データ!T506</f>
        <v>0</v>
      </c>
      <c r="X509" s="48">
        <f>IF($C509="集計行","",データ!U506)</f>
        <v>0</v>
      </c>
      <c r="Y509" s="48">
        <f>データ!V506</f>
        <v>0</v>
      </c>
      <c r="Z509" s="39" t="str">
        <f>IF(OR($C509="総括",$C509="内訳書",$C509="内訳代価",$C509="明細書",$C509="明細代価",$C509="代価表",$C509="単価表"),データ!W506,"")</f>
        <v/>
      </c>
      <c r="AA509" s="11" t="str">
        <f t="shared" si="46"/>
        <v/>
      </c>
      <c r="AB509" s="46" t="e">
        <f t="shared" si="47"/>
        <v>#DIV/0!</v>
      </c>
      <c r="AC509" s="40" t="str">
        <f>IF(データ!X506="","",データ!X506)</f>
        <v/>
      </c>
      <c r="AD509" s="41" t="str">
        <f>IF(データ!Y506="","",データ!Y506)</f>
        <v/>
      </c>
      <c r="AE509" s="47" t="str">
        <f>TRIM(データ!B506)</f>
        <v/>
      </c>
      <c r="AF509" s="43" t="str">
        <f>TRIM(データ!Z506)</f>
        <v/>
      </c>
    </row>
    <row r="510" spans="1:32" x14ac:dyDescent="0.15">
      <c r="A510" s="47">
        <f>データ!A507</f>
        <v>3</v>
      </c>
      <c r="B510" s="47" t="str">
        <f>TRIM(データ!C507)</f>
        <v/>
      </c>
      <c r="C510" s="47" t="str">
        <f>TRIM(データ!D507)</f>
        <v>労務費</v>
      </c>
      <c r="D510" s="36" t="str">
        <f>REPT("｜",$A510)&amp;TRIM(データ!E507)</f>
        <v>｜｜｜技工</v>
      </c>
      <c r="E510" s="37" t="str">
        <f>TRIM(データ!F507)</f>
        <v/>
      </c>
      <c r="F510" s="38" t="str">
        <f>TRIM(データ!G507)</f>
        <v>人</v>
      </c>
      <c r="G510" s="50">
        <f>データ!H507</f>
        <v>4</v>
      </c>
      <c r="H510" s="48">
        <f>データ!I507</f>
        <v>28000</v>
      </c>
      <c r="I510" s="48">
        <f>データ!J507</f>
        <v>112000</v>
      </c>
      <c r="J510" s="39" t="str">
        <f>IF(OR($C510="総括",$C510="内訳書",$C510="内訳代価",$C510="明細書",$C510="明細代価",$C510="代価表",$C510="単価表"),データ!K507,"")</f>
        <v/>
      </c>
      <c r="K510" s="11" t="str">
        <f t="shared" si="42"/>
        <v/>
      </c>
      <c r="L510" s="46">
        <f t="shared" si="43"/>
        <v>1.6126013275164499E-3</v>
      </c>
      <c r="M510" s="40" t="str">
        <f>IF(データ!L507="","",データ!L507)</f>
        <v/>
      </c>
      <c r="N510" s="41" t="str">
        <f>IF(データ!M507="","",データ!M507)</f>
        <v/>
      </c>
      <c r="O510" s="42">
        <f>データ!N507</f>
        <v>0</v>
      </c>
      <c r="P510" s="48">
        <f>IF($C510="集計行","",データ!O507)</f>
        <v>0</v>
      </c>
      <c r="Q510" s="48">
        <f>データ!P507</f>
        <v>0</v>
      </c>
      <c r="R510" s="39" t="str">
        <f>IF(OR($C510="総括",$C510="内訳書",$C510="内訳代価",$C510="明細書",$C510="明細代価",$C510="代価表",$C510="単価表"),データ!Q507,"")</f>
        <v/>
      </c>
      <c r="S510" s="11" t="str">
        <f t="shared" si="44"/>
        <v/>
      </c>
      <c r="T510" s="46" t="e">
        <f t="shared" si="45"/>
        <v>#DIV/0!</v>
      </c>
      <c r="U510" s="40" t="str">
        <f>IF(データ!R507="","",データ!R507)</f>
        <v/>
      </c>
      <c r="V510" s="41" t="str">
        <f>IF(データ!S507="","",データ!S507)</f>
        <v/>
      </c>
      <c r="W510" s="42">
        <f>データ!T507</f>
        <v>0</v>
      </c>
      <c r="X510" s="48">
        <f>IF($C510="集計行","",データ!U507)</f>
        <v>0</v>
      </c>
      <c r="Y510" s="48">
        <f>データ!V507</f>
        <v>0</v>
      </c>
      <c r="Z510" s="39" t="str">
        <f>IF(OR($C510="総括",$C510="内訳書",$C510="内訳代価",$C510="明細書",$C510="明細代価",$C510="代価表",$C510="単価表"),データ!W507,"")</f>
        <v/>
      </c>
      <c r="AA510" s="11" t="str">
        <f t="shared" si="46"/>
        <v/>
      </c>
      <c r="AB510" s="46" t="e">
        <f t="shared" si="47"/>
        <v>#DIV/0!</v>
      </c>
      <c r="AC510" s="40" t="str">
        <f>IF(データ!X507="","",データ!X507)</f>
        <v/>
      </c>
      <c r="AD510" s="41" t="str">
        <f>IF(データ!Y507="","",データ!Y507)</f>
        <v/>
      </c>
      <c r="AE510" s="47" t="str">
        <f>TRIM(データ!B507)</f>
        <v/>
      </c>
      <c r="AF510" s="43" t="str">
        <f>TRIM(データ!Z507)</f>
        <v/>
      </c>
    </row>
    <row r="511" spans="1:32" x14ac:dyDescent="0.15">
      <c r="A511" s="47">
        <f>データ!A508</f>
        <v>3</v>
      </c>
      <c r="B511" s="47" t="str">
        <f>TRIM(データ!C508)</f>
        <v/>
      </c>
      <c r="C511" s="47" t="str">
        <f>TRIM(データ!D508)</f>
        <v>材料費</v>
      </c>
      <c r="D511" s="36" t="str">
        <f>REPT("｜",$A511)&amp;TRIM(データ!E508)</f>
        <v>｜｜｜型枠材</v>
      </c>
      <c r="E511" s="37" t="str">
        <f>TRIM(データ!F508)</f>
        <v/>
      </c>
      <c r="F511" s="38" t="str">
        <f>TRIM(データ!G508)</f>
        <v>式</v>
      </c>
      <c r="G511" s="50">
        <f>データ!H508</f>
        <v>1</v>
      </c>
      <c r="H511" s="48">
        <f>データ!I508</f>
        <v>30000</v>
      </c>
      <c r="I511" s="48">
        <f>データ!J508</f>
        <v>30000</v>
      </c>
      <c r="J511" s="39" t="str">
        <f>IF(OR($C511="総括",$C511="内訳書",$C511="内訳代価",$C511="明細書",$C511="明細代価",$C511="代価表",$C511="単価表"),データ!K508,"")</f>
        <v/>
      </c>
      <c r="K511" s="11" t="str">
        <f t="shared" si="42"/>
        <v/>
      </c>
      <c r="L511" s="46">
        <f t="shared" si="43"/>
        <v>4.3194678415619197E-4</v>
      </c>
      <c r="M511" s="40" t="str">
        <f>IF(データ!L508="","",データ!L508)</f>
        <v/>
      </c>
      <c r="N511" s="41" t="str">
        <f>IF(データ!M508="","",データ!M508)</f>
        <v/>
      </c>
      <c r="O511" s="42">
        <f>データ!N508</f>
        <v>0</v>
      </c>
      <c r="P511" s="48">
        <f>IF($C511="集計行","",データ!O508)</f>
        <v>0</v>
      </c>
      <c r="Q511" s="48">
        <f>データ!P508</f>
        <v>0</v>
      </c>
      <c r="R511" s="39" t="str">
        <f>IF(OR($C511="総括",$C511="内訳書",$C511="内訳代価",$C511="明細書",$C511="明細代価",$C511="代価表",$C511="単価表"),データ!Q508,"")</f>
        <v/>
      </c>
      <c r="S511" s="11" t="str">
        <f t="shared" si="44"/>
        <v/>
      </c>
      <c r="T511" s="46" t="e">
        <f t="shared" si="45"/>
        <v>#DIV/0!</v>
      </c>
      <c r="U511" s="40" t="str">
        <f>IF(データ!R508="","",データ!R508)</f>
        <v/>
      </c>
      <c r="V511" s="41" t="str">
        <f>IF(データ!S508="","",データ!S508)</f>
        <v/>
      </c>
      <c r="W511" s="42">
        <f>データ!T508</f>
        <v>0</v>
      </c>
      <c r="X511" s="48">
        <f>IF($C511="集計行","",データ!U508)</f>
        <v>0</v>
      </c>
      <c r="Y511" s="48">
        <f>データ!V508</f>
        <v>0</v>
      </c>
      <c r="Z511" s="39" t="str">
        <f>IF(OR($C511="総括",$C511="内訳書",$C511="内訳代価",$C511="明細書",$C511="明細代価",$C511="代価表",$C511="単価表"),データ!W508,"")</f>
        <v/>
      </c>
      <c r="AA511" s="11" t="str">
        <f t="shared" si="46"/>
        <v/>
      </c>
      <c r="AB511" s="46" t="e">
        <f t="shared" si="47"/>
        <v>#DIV/0!</v>
      </c>
      <c r="AC511" s="40" t="str">
        <f>IF(データ!X508="","",データ!X508)</f>
        <v/>
      </c>
      <c r="AD511" s="41" t="str">
        <f>IF(データ!Y508="","",データ!Y508)</f>
        <v/>
      </c>
      <c r="AE511" s="47" t="str">
        <f>TRIM(データ!B508)</f>
        <v/>
      </c>
      <c r="AF511" s="43" t="str">
        <f>TRIM(データ!Z508)</f>
        <v/>
      </c>
    </row>
    <row r="512" spans="1:32" x14ac:dyDescent="0.15">
      <c r="A512" s="47">
        <f>データ!A509</f>
        <v>3</v>
      </c>
      <c r="B512" s="47" t="str">
        <f>TRIM(データ!C509)</f>
        <v/>
      </c>
      <c r="C512" s="47" t="str">
        <f>TRIM(データ!D509)</f>
        <v>機械費</v>
      </c>
      <c r="D512" s="36" t="str">
        <f>REPT("｜",$A512)&amp;TRIM(データ!E509)</f>
        <v>｜｜｜ポンプ車</v>
      </c>
      <c r="E512" s="37" t="str">
        <f>TRIM(データ!F509)</f>
        <v/>
      </c>
      <c r="F512" s="38" t="str">
        <f>TRIM(データ!G509)</f>
        <v>台</v>
      </c>
      <c r="G512" s="50">
        <f>データ!H509</f>
        <v>1</v>
      </c>
      <c r="H512" s="48">
        <f>データ!I509</f>
        <v>50000</v>
      </c>
      <c r="I512" s="48">
        <f>データ!J509</f>
        <v>50000</v>
      </c>
      <c r="J512" s="39" t="str">
        <f>IF(OR($C512="総括",$C512="内訳書",$C512="内訳代価",$C512="明細書",$C512="明細代価",$C512="代価表",$C512="単価表"),データ!K509,"")</f>
        <v/>
      </c>
      <c r="K512" s="11" t="str">
        <f t="shared" si="42"/>
        <v/>
      </c>
      <c r="L512" s="46">
        <f t="shared" si="43"/>
        <v>7.1991130692698659E-4</v>
      </c>
      <c r="M512" s="40" t="str">
        <f>IF(データ!L509="","",データ!L509)</f>
        <v/>
      </c>
      <c r="N512" s="41" t="str">
        <f>IF(データ!M509="","",データ!M509)</f>
        <v/>
      </c>
      <c r="O512" s="42">
        <f>データ!N509</f>
        <v>0</v>
      </c>
      <c r="P512" s="48">
        <f>IF($C512="集計行","",データ!O509)</f>
        <v>0</v>
      </c>
      <c r="Q512" s="48">
        <f>データ!P509</f>
        <v>0</v>
      </c>
      <c r="R512" s="39" t="str">
        <f>IF(OR($C512="総括",$C512="内訳書",$C512="内訳代価",$C512="明細書",$C512="明細代価",$C512="代価表",$C512="単価表"),データ!Q509,"")</f>
        <v/>
      </c>
      <c r="S512" s="11" t="str">
        <f t="shared" si="44"/>
        <v/>
      </c>
      <c r="T512" s="46" t="e">
        <f t="shared" si="45"/>
        <v>#DIV/0!</v>
      </c>
      <c r="U512" s="40" t="str">
        <f>IF(データ!R509="","",データ!R509)</f>
        <v/>
      </c>
      <c r="V512" s="41" t="str">
        <f>IF(データ!S509="","",データ!S509)</f>
        <v/>
      </c>
      <c r="W512" s="42">
        <f>データ!T509</f>
        <v>0</v>
      </c>
      <c r="X512" s="48">
        <f>IF($C512="集計行","",データ!U509)</f>
        <v>0</v>
      </c>
      <c r="Y512" s="48">
        <f>データ!V509</f>
        <v>0</v>
      </c>
      <c r="Z512" s="39" t="str">
        <f>IF(OR($C512="総括",$C512="内訳書",$C512="内訳代価",$C512="明細書",$C512="明細代価",$C512="代価表",$C512="単価表"),データ!W509,"")</f>
        <v/>
      </c>
      <c r="AA512" s="11" t="str">
        <f t="shared" si="46"/>
        <v/>
      </c>
      <c r="AB512" s="46" t="e">
        <f t="shared" si="47"/>
        <v>#DIV/0!</v>
      </c>
      <c r="AC512" s="40" t="str">
        <f>IF(データ!X509="","",データ!X509)</f>
        <v/>
      </c>
      <c r="AD512" s="41" t="str">
        <f>IF(データ!Y509="","",データ!Y509)</f>
        <v/>
      </c>
      <c r="AE512" s="47" t="str">
        <f>TRIM(データ!B509)</f>
        <v/>
      </c>
      <c r="AF512" s="43" t="str">
        <f>TRIM(データ!Z509)</f>
        <v/>
      </c>
    </row>
    <row r="513" spans="1:32" x14ac:dyDescent="0.15">
      <c r="A513" s="47">
        <f>データ!A510</f>
        <v>3</v>
      </c>
      <c r="B513" s="47" t="str">
        <f>TRIM(データ!C510)</f>
        <v/>
      </c>
      <c r="C513" s="47" t="str">
        <f>TRIM(データ!D510)</f>
        <v>運搬費</v>
      </c>
      <c r="D513" s="36" t="str">
        <f>REPT("｜",$A513)&amp;TRIM(データ!E510)</f>
        <v>｜｜｜4tダンプ</v>
      </c>
      <c r="E513" s="37" t="str">
        <f>TRIM(データ!F510)</f>
        <v/>
      </c>
      <c r="F513" s="38" t="str">
        <f>TRIM(データ!G510)</f>
        <v>台</v>
      </c>
      <c r="G513" s="50">
        <f>データ!H510</f>
        <v>1</v>
      </c>
      <c r="H513" s="48">
        <f>データ!I510</f>
        <v>10000</v>
      </c>
      <c r="I513" s="48">
        <f>データ!J510</f>
        <v>10000</v>
      </c>
      <c r="J513" s="39" t="str">
        <f>IF(OR($C513="総括",$C513="内訳書",$C513="内訳代価",$C513="明細書",$C513="明細代価",$C513="代価表",$C513="単価表"),データ!K510,"")</f>
        <v/>
      </c>
      <c r="K513" s="11" t="str">
        <f t="shared" si="42"/>
        <v/>
      </c>
      <c r="L513" s="46">
        <f t="shared" si="43"/>
        <v>1.4398226138539731E-4</v>
      </c>
      <c r="M513" s="40" t="str">
        <f>IF(データ!L510="","",データ!L510)</f>
        <v/>
      </c>
      <c r="N513" s="41" t="str">
        <f>IF(データ!M510="","",データ!M510)</f>
        <v/>
      </c>
      <c r="O513" s="42">
        <f>データ!N510</f>
        <v>0</v>
      </c>
      <c r="P513" s="48">
        <f>IF($C513="集計行","",データ!O510)</f>
        <v>0</v>
      </c>
      <c r="Q513" s="48">
        <f>データ!P510</f>
        <v>0</v>
      </c>
      <c r="R513" s="39" t="str">
        <f>IF(OR($C513="総括",$C513="内訳書",$C513="内訳代価",$C513="明細書",$C513="明細代価",$C513="代価表",$C513="単価表"),データ!Q510,"")</f>
        <v/>
      </c>
      <c r="S513" s="11" t="str">
        <f t="shared" si="44"/>
        <v/>
      </c>
      <c r="T513" s="46" t="e">
        <f t="shared" si="45"/>
        <v>#DIV/0!</v>
      </c>
      <c r="U513" s="40" t="str">
        <f>IF(データ!R510="","",データ!R510)</f>
        <v/>
      </c>
      <c r="V513" s="41" t="str">
        <f>IF(データ!S510="","",データ!S510)</f>
        <v/>
      </c>
      <c r="W513" s="42">
        <f>データ!T510</f>
        <v>0</v>
      </c>
      <c r="X513" s="48">
        <f>IF($C513="集計行","",データ!U510)</f>
        <v>0</v>
      </c>
      <c r="Y513" s="48">
        <f>データ!V510</f>
        <v>0</v>
      </c>
      <c r="Z513" s="39" t="str">
        <f>IF(OR($C513="総括",$C513="内訳書",$C513="内訳代価",$C513="明細書",$C513="明細代価",$C513="代価表",$C513="単価表"),データ!W510,"")</f>
        <v/>
      </c>
      <c r="AA513" s="11" t="str">
        <f t="shared" si="46"/>
        <v/>
      </c>
      <c r="AB513" s="46" t="e">
        <f t="shared" si="47"/>
        <v>#DIV/0!</v>
      </c>
      <c r="AC513" s="40" t="str">
        <f>IF(データ!X510="","",データ!X510)</f>
        <v/>
      </c>
      <c r="AD513" s="41" t="str">
        <f>IF(データ!Y510="","",データ!Y510)</f>
        <v/>
      </c>
      <c r="AE513" s="47" t="str">
        <f>TRIM(データ!B510)</f>
        <v/>
      </c>
      <c r="AF513" s="43" t="str">
        <f>TRIM(データ!Z510)</f>
        <v/>
      </c>
    </row>
    <row r="514" spans="1:32" x14ac:dyDescent="0.15">
      <c r="A514" s="47">
        <f>データ!A511</f>
        <v>3</v>
      </c>
      <c r="B514" s="47" t="str">
        <f>TRIM(データ!C511)</f>
        <v/>
      </c>
      <c r="C514" s="47" t="str">
        <f>TRIM(データ!D511)</f>
        <v>運搬費</v>
      </c>
      <c r="D514" s="36" t="str">
        <f>REPT("｜",$A514)&amp;TRIM(データ!E511)</f>
        <v>｜｜｜2tダンプ</v>
      </c>
      <c r="E514" s="37" t="str">
        <f>TRIM(データ!F511)</f>
        <v/>
      </c>
      <c r="F514" s="38" t="str">
        <f>TRIM(データ!G511)</f>
        <v>台</v>
      </c>
      <c r="G514" s="50">
        <f>データ!H511</f>
        <v>1</v>
      </c>
      <c r="H514" s="48">
        <f>データ!I511</f>
        <v>7000</v>
      </c>
      <c r="I514" s="48">
        <f>データ!J511</f>
        <v>7000</v>
      </c>
      <c r="J514" s="39" t="str">
        <f>IF(OR($C514="総括",$C514="内訳書",$C514="内訳代価",$C514="明細書",$C514="明細代価",$C514="代価表",$C514="単価表"),データ!K511,"")</f>
        <v/>
      </c>
      <c r="K514" s="11" t="str">
        <f t="shared" si="42"/>
        <v/>
      </c>
      <c r="L514" s="46">
        <f t="shared" si="43"/>
        <v>1.0078758296977812E-4</v>
      </c>
      <c r="M514" s="40" t="str">
        <f>IF(データ!L511="","",データ!L511)</f>
        <v/>
      </c>
      <c r="N514" s="41" t="str">
        <f>IF(データ!M511="","",データ!M511)</f>
        <v/>
      </c>
      <c r="O514" s="42">
        <f>データ!N511</f>
        <v>0</v>
      </c>
      <c r="P514" s="48">
        <f>IF($C514="集計行","",データ!O511)</f>
        <v>0</v>
      </c>
      <c r="Q514" s="48">
        <f>データ!P511</f>
        <v>0</v>
      </c>
      <c r="R514" s="39" t="str">
        <f>IF(OR($C514="総括",$C514="内訳書",$C514="内訳代価",$C514="明細書",$C514="明細代価",$C514="代価表",$C514="単価表"),データ!Q511,"")</f>
        <v/>
      </c>
      <c r="S514" s="11" t="str">
        <f t="shared" si="44"/>
        <v/>
      </c>
      <c r="T514" s="46" t="e">
        <f t="shared" si="45"/>
        <v>#DIV/0!</v>
      </c>
      <c r="U514" s="40" t="str">
        <f>IF(データ!R511="","",データ!R511)</f>
        <v/>
      </c>
      <c r="V514" s="41" t="str">
        <f>IF(データ!S511="","",データ!S511)</f>
        <v/>
      </c>
      <c r="W514" s="42">
        <f>データ!T511</f>
        <v>0</v>
      </c>
      <c r="X514" s="48">
        <f>IF($C514="集計行","",データ!U511)</f>
        <v>0</v>
      </c>
      <c r="Y514" s="48">
        <f>データ!V511</f>
        <v>0</v>
      </c>
      <c r="Z514" s="39" t="str">
        <f>IF(OR($C514="総括",$C514="内訳書",$C514="内訳代価",$C514="明細書",$C514="明細代価",$C514="代価表",$C514="単価表"),データ!W511,"")</f>
        <v/>
      </c>
      <c r="AA514" s="11" t="str">
        <f t="shared" si="46"/>
        <v/>
      </c>
      <c r="AB514" s="46" t="e">
        <f t="shared" si="47"/>
        <v>#DIV/0!</v>
      </c>
      <c r="AC514" s="40" t="str">
        <f>IF(データ!X511="","",データ!X511)</f>
        <v/>
      </c>
      <c r="AD514" s="41" t="str">
        <f>IF(データ!Y511="","",データ!Y511)</f>
        <v/>
      </c>
      <c r="AE514" s="47" t="str">
        <f>TRIM(データ!B511)</f>
        <v/>
      </c>
      <c r="AF514" s="43" t="str">
        <f>TRIM(データ!Z511)</f>
        <v/>
      </c>
    </row>
    <row r="515" spans="1:32" x14ac:dyDescent="0.15">
      <c r="A515" s="47">
        <f>データ!A512</f>
        <v>3</v>
      </c>
      <c r="B515" s="47" t="str">
        <f>TRIM(データ!C512)</f>
        <v/>
      </c>
      <c r="C515" s="47" t="str">
        <f>TRIM(データ!D512)</f>
        <v>材料費</v>
      </c>
      <c r="D515" s="36" t="str">
        <f>REPT("｜",$A515)&amp;TRIM(データ!E512)</f>
        <v>｜｜｜軽油</v>
      </c>
      <c r="E515" s="37" t="str">
        <f>TRIM(データ!F512)</f>
        <v/>
      </c>
      <c r="F515" s="38" t="str">
        <f>TRIM(データ!G512)</f>
        <v>リットル</v>
      </c>
      <c r="G515" s="50">
        <f>データ!H512</f>
        <v>40</v>
      </c>
      <c r="H515" s="48">
        <f>データ!I512</f>
        <v>150</v>
      </c>
      <c r="I515" s="48">
        <f>データ!J512</f>
        <v>6000</v>
      </c>
      <c r="J515" s="39" t="str">
        <f>IF(OR($C515="総括",$C515="内訳書",$C515="内訳代価",$C515="明細書",$C515="明細代価",$C515="代価表",$C515="単価表"),データ!K512,"")</f>
        <v/>
      </c>
      <c r="K515" s="11" t="str">
        <f t="shared" si="42"/>
        <v/>
      </c>
      <c r="L515" s="46">
        <f t="shared" si="43"/>
        <v>8.6389356831238388E-5</v>
      </c>
      <c r="M515" s="40" t="str">
        <f>IF(データ!L512="","",データ!L512)</f>
        <v/>
      </c>
      <c r="N515" s="41" t="str">
        <f>IF(データ!M512="","",データ!M512)</f>
        <v/>
      </c>
      <c r="O515" s="42">
        <f>データ!N512</f>
        <v>0</v>
      </c>
      <c r="P515" s="48">
        <f>IF($C515="集計行","",データ!O512)</f>
        <v>0</v>
      </c>
      <c r="Q515" s="48">
        <f>データ!P512</f>
        <v>0</v>
      </c>
      <c r="R515" s="39" t="str">
        <f>IF(OR($C515="総括",$C515="内訳書",$C515="内訳代価",$C515="明細書",$C515="明細代価",$C515="代価表",$C515="単価表"),データ!Q512,"")</f>
        <v/>
      </c>
      <c r="S515" s="11" t="str">
        <f t="shared" si="44"/>
        <v/>
      </c>
      <c r="T515" s="46" t="e">
        <f t="shared" si="45"/>
        <v>#DIV/0!</v>
      </c>
      <c r="U515" s="40" t="str">
        <f>IF(データ!R512="","",データ!R512)</f>
        <v/>
      </c>
      <c r="V515" s="41" t="str">
        <f>IF(データ!S512="","",データ!S512)</f>
        <v/>
      </c>
      <c r="W515" s="42">
        <f>データ!T512</f>
        <v>0</v>
      </c>
      <c r="X515" s="48">
        <f>IF($C515="集計行","",データ!U512)</f>
        <v>0</v>
      </c>
      <c r="Y515" s="48">
        <f>データ!V512</f>
        <v>0</v>
      </c>
      <c r="Z515" s="39" t="str">
        <f>IF(OR($C515="総括",$C515="内訳書",$C515="内訳代価",$C515="明細書",$C515="明細代価",$C515="代価表",$C515="単価表"),データ!W512,"")</f>
        <v/>
      </c>
      <c r="AA515" s="11" t="str">
        <f t="shared" si="46"/>
        <v/>
      </c>
      <c r="AB515" s="46" t="e">
        <f t="shared" si="47"/>
        <v>#DIV/0!</v>
      </c>
      <c r="AC515" s="40" t="str">
        <f>IF(データ!X512="","",データ!X512)</f>
        <v/>
      </c>
      <c r="AD515" s="41" t="str">
        <f>IF(データ!Y512="","",データ!Y512)</f>
        <v/>
      </c>
      <c r="AE515" s="47" t="str">
        <f>TRIM(データ!B512)</f>
        <v/>
      </c>
      <c r="AF515" s="43" t="str">
        <f>TRIM(データ!Z512)</f>
        <v/>
      </c>
    </row>
    <row r="516" spans="1:32" x14ac:dyDescent="0.15">
      <c r="A516" s="47">
        <f>データ!A513</f>
        <v>3</v>
      </c>
      <c r="B516" s="47" t="str">
        <f>TRIM(データ!C513)</f>
        <v/>
      </c>
      <c r="C516" s="47" t="str">
        <f>TRIM(データ!D513)</f>
        <v>材料費</v>
      </c>
      <c r="D516" s="36" t="str">
        <f>REPT("｜",$A516)&amp;TRIM(データ!E513)</f>
        <v>｜｜｜ガソリン</v>
      </c>
      <c r="E516" s="37" t="str">
        <f>TRIM(データ!F513)</f>
        <v/>
      </c>
      <c r="F516" s="38" t="str">
        <f>TRIM(データ!G513)</f>
        <v>リットル</v>
      </c>
      <c r="G516" s="50">
        <f>データ!H513</f>
        <v>40</v>
      </c>
      <c r="H516" s="48">
        <f>データ!I513</f>
        <v>200</v>
      </c>
      <c r="I516" s="48">
        <f>データ!J513</f>
        <v>8000</v>
      </c>
      <c r="J516" s="39" t="str">
        <f>IF(OR($C516="総括",$C516="内訳書",$C516="内訳代価",$C516="明細書",$C516="明細代価",$C516="代価表",$C516="単価表"),データ!K513,"")</f>
        <v/>
      </c>
      <c r="K516" s="11" t="str">
        <f t="shared" si="42"/>
        <v/>
      </c>
      <c r="L516" s="46">
        <f t="shared" si="43"/>
        <v>1.1518580910831785E-4</v>
      </c>
      <c r="M516" s="40" t="str">
        <f>IF(データ!L513="","",データ!L513)</f>
        <v/>
      </c>
      <c r="N516" s="41" t="str">
        <f>IF(データ!M513="","",データ!M513)</f>
        <v/>
      </c>
      <c r="O516" s="42">
        <f>データ!N513</f>
        <v>0</v>
      </c>
      <c r="P516" s="48">
        <f>IF($C516="集計行","",データ!O513)</f>
        <v>0</v>
      </c>
      <c r="Q516" s="48">
        <f>データ!P513</f>
        <v>0</v>
      </c>
      <c r="R516" s="39" t="str">
        <f>IF(OR($C516="総括",$C516="内訳書",$C516="内訳代価",$C516="明細書",$C516="明細代価",$C516="代価表",$C516="単価表"),データ!Q513,"")</f>
        <v/>
      </c>
      <c r="S516" s="11" t="str">
        <f t="shared" si="44"/>
        <v/>
      </c>
      <c r="T516" s="46" t="e">
        <f t="shared" si="45"/>
        <v>#DIV/0!</v>
      </c>
      <c r="U516" s="40" t="str">
        <f>IF(データ!R513="","",データ!R513)</f>
        <v/>
      </c>
      <c r="V516" s="41" t="str">
        <f>IF(データ!S513="","",データ!S513)</f>
        <v/>
      </c>
      <c r="W516" s="42">
        <f>データ!T513</f>
        <v>0</v>
      </c>
      <c r="X516" s="48">
        <f>IF($C516="集計行","",データ!U513)</f>
        <v>0</v>
      </c>
      <c r="Y516" s="48">
        <f>データ!V513</f>
        <v>0</v>
      </c>
      <c r="Z516" s="39" t="str">
        <f>IF(OR($C516="総括",$C516="内訳書",$C516="内訳代価",$C516="明細書",$C516="明細代価",$C516="代価表",$C516="単価表"),データ!W513,"")</f>
        <v/>
      </c>
      <c r="AA516" s="11" t="str">
        <f t="shared" si="46"/>
        <v/>
      </c>
      <c r="AB516" s="46" t="e">
        <f t="shared" si="47"/>
        <v>#DIV/0!</v>
      </c>
      <c r="AC516" s="40" t="str">
        <f>IF(データ!X513="","",データ!X513)</f>
        <v/>
      </c>
      <c r="AD516" s="41" t="str">
        <f>IF(データ!Y513="","",データ!Y513)</f>
        <v/>
      </c>
      <c r="AE516" s="47" t="str">
        <f>TRIM(データ!B513)</f>
        <v/>
      </c>
      <c r="AF516" s="43" t="str">
        <f>TRIM(データ!Z513)</f>
        <v/>
      </c>
    </row>
    <row r="517" spans="1:32" x14ac:dyDescent="0.15">
      <c r="A517" s="47">
        <f>データ!A514</f>
        <v>3</v>
      </c>
      <c r="B517" s="47" t="str">
        <f>TRIM(データ!C514)</f>
        <v/>
      </c>
      <c r="C517" s="47" t="str">
        <f>TRIM(データ!D514)</f>
        <v>材料費</v>
      </c>
      <c r="D517" s="36" t="str">
        <f>REPT("｜",$A517)&amp;TRIM(データ!E514)</f>
        <v>｜｜｜雑材</v>
      </c>
      <c r="E517" s="37" t="str">
        <f>TRIM(データ!F514)</f>
        <v/>
      </c>
      <c r="F517" s="38" t="str">
        <f>TRIM(データ!G514)</f>
        <v>式</v>
      </c>
      <c r="G517" s="50">
        <f>データ!H514</f>
        <v>1</v>
      </c>
      <c r="H517" s="48">
        <f>データ!I514</f>
        <v>9800</v>
      </c>
      <c r="I517" s="48">
        <f>データ!J514</f>
        <v>9800</v>
      </c>
      <c r="J517" s="39" t="str">
        <f>IF(OR($C517="総括",$C517="内訳書",$C517="内訳代価",$C517="明細書",$C517="明細代価",$C517="代価表",$C517="単価表"),データ!K514,"")</f>
        <v/>
      </c>
      <c r="K517" s="11" t="str">
        <f t="shared" ref="K517:K580" si="48">IF(OR(J517="",G517=J517),"","*")</f>
        <v/>
      </c>
      <c r="L517" s="46">
        <f t="shared" ref="L517:L580" si="49">IF($A517&lt;=L$1,I517/I$4,"")</f>
        <v>1.4110261615768937E-4</v>
      </c>
      <c r="M517" s="40" t="str">
        <f>IF(データ!L514="","",データ!L514)</f>
        <v/>
      </c>
      <c r="N517" s="41" t="str">
        <f>IF(データ!M514="","",データ!M514)</f>
        <v/>
      </c>
      <c r="O517" s="42">
        <f>データ!N514</f>
        <v>0</v>
      </c>
      <c r="P517" s="48">
        <f>IF($C517="集計行","",データ!O514)</f>
        <v>0</v>
      </c>
      <c r="Q517" s="48">
        <f>データ!P514</f>
        <v>0</v>
      </c>
      <c r="R517" s="39" t="str">
        <f>IF(OR($C517="総括",$C517="内訳書",$C517="内訳代価",$C517="明細書",$C517="明細代価",$C517="代価表",$C517="単価表"),データ!Q514,"")</f>
        <v/>
      </c>
      <c r="S517" s="11" t="str">
        <f t="shared" ref="S517:S580" si="50">IF(OR(R517="",O517=R517),"","*")</f>
        <v/>
      </c>
      <c r="T517" s="46" t="e">
        <f t="shared" ref="T517:T580" si="51">IF($A517&lt;=T$1,Q517/Q$4,"")</f>
        <v>#DIV/0!</v>
      </c>
      <c r="U517" s="40" t="str">
        <f>IF(データ!R514="","",データ!R514)</f>
        <v/>
      </c>
      <c r="V517" s="41" t="str">
        <f>IF(データ!S514="","",データ!S514)</f>
        <v/>
      </c>
      <c r="W517" s="42">
        <f>データ!T514</f>
        <v>0</v>
      </c>
      <c r="X517" s="48">
        <f>IF($C517="集計行","",データ!U514)</f>
        <v>0</v>
      </c>
      <c r="Y517" s="48">
        <f>データ!V514</f>
        <v>0</v>
      </c>
      <c r="Z517" s="39" t="str">
        <f>IF(OR($C517="総括",$C517="内訳書",$C517="内訳代価",$C517="明細書",$C517="明細代価",$C517="代価表",$C517="単価表"),データ!W514,"")</f>
        <v/>
      </c>
      <c r="AA517" s="11" t="str">
        <f t="shared" ref="AA517:AA580" si="52">IF(OR(Z517="",W517=Z517),"","*")</f>
        <v/>
      </c>
      <c r="AB517" s="46" t="e">
        <f t="shared" ref="AB517:AB580" si="53">IF($A517&lt;=AB$1,Y517/Y$4,"")</f>
        <v>#DIV/0!</v>
      </c>
      <c r="AC517" s="40" t="str">
        <f>IF(データ!X514="","",データ!X514)</f>
        <v/>
      </c>
      <c r="AD517" s="41" t="str">
        <f>IF(データ!Y514="","",データ!Y514)</f>
        <v/>
      </c>
      <c r="AE517" s="47" t="str">
        <f>TRIM(データ!B514)</f>
        <v/>
      </c>
      <c r="AF517" s="43" t="str">
        <f>TRIM(データ!Z514)</f>
        <v/>
      </c>
    </row>
    <row r="518" spans="1:32" x14ac:dyDescent="0.15">
      <c r="A518" s="47">
        <f>データ!A515</f>
        <v>3</v>
      </c>
      <c r="B518" s="47" t="str">
        <f>TRIM(データ!C515)</f>
        <v/>
      </c>
      <c r="C518" s="47" t="str">
        <f>TRIM(データ!D515)</f>
        <v>外注費</v>
      </c>
      <c r="D518" s="36" t="str">
        <f>REPT("｜",$A518)&amp;TRIM(データ!E515)</f>
        <v>｜｜｜外注経費</v>
      </c>
      <c r="E518" s="37" t="str">
        <f>TRIM(データ!F515)</f>
        <v/>
      </c>
      <c r="F518" s="38" t="str">
        <f>TRIM(データ!G515)</f>
        <v>式</v>
      </c>
      <c r="G518" s="50">
        <f>データ!H515</f>
        <v>1</v>
      </c>
      <c r="H518" s="48">
        <f>データ!I515</f>
        <v>23700</v>
      </c>
      <c r="I518" s="48">
        <f>データ!J515</f>
        <v>23700</v>
      </c>
      <c r="J518" s="39" t="str">
        <f>IF(OR($C518="総括",$C518="内訳書",$C518="内訳代価",$C518="明細書",$C518="明細代価",$C518="代価表",$C518="単価表"),データ!K515,"")</f>
        <v/>
      </c>
      <c r="K518" s="11" t="str">
        <f t="shared" si="48"/>
        <v/>
      </c>
      <c r="L518" s="46">
        <f t="shared" si="49"/>
        <v>3.4123795948339165E-4</v>
      </c>
      <c r="M518" s="40" t="str">
        <f>IF(データ!L515="","",データ!L515)</f>
        <v/>
      </c>
      <c r="N518" s="41" t="str">
        <f>IF(データ!M515="","",データ!M515)</f>
        <v/>
      </c>
      <c r="O518" s="42">
        <f>データ!N515</f>
        <v>0</v>
      </c>
      <c r="P518" s="48">
        <f>IF($C518="集計行","",データ!O515)</f>
        <v>0</v>
      </c>
      <c r="Q518" s="48">
        <f>データ!P515</f>
        <v>0</v>
      </c>
      <c r="R518" s="39" t="str">
        <f>IF(OR($C518="総括",$C518="内訳書",$C518="内訳代価",$C518="明細書",$C518="明細代価",$C518="代価表",$C518="単価表"),データ!Q515,"")</f>
        <v/>
      </c>
      <c r="S518" s="11" t="str">
        <f t="shared" si="50"/>
        <v/>
      </c>
      <c r="T518" s="46" t="e">
        <f t="shared" si="51"/>
        <v>#DIV/0!</v>
      </c>
      <c r="U518" s="40" t="str">
        <f>IF(データ!R515="","",データ!R515)</f>
        <v/>
      </c>
      <c r="V518" s="41" t="str">
        <f>IF(データ!S515="","",データ!S515)</f>
        <v/>
      </c>
      <c r="W518" s="42">
        <f>データ!T515</f>
        <v>0</v>
      </c>
      <c r="X518" s="48">
        <f>IF($C518="集計行","",データ!U515)</f>
        <v>0</v>
      </c>
      <c r="Y518" s="48">
        <f>データ!V515</f>
        <v>0</v>
      </c>
      <c r="Z518" s="39" t="str">
        <f>IF(OR($C518="総括",$C518="内訳書",$C518="内訳代価",$C518="明細書",$C518="明細代価",$C518="代価表",$C518="単価表"),データ!W515,"")</f>
        <v/>
      </c>
      <c r="AA518" s="11" t="str">
        <f t="shared" si="52"/>
        <v/>
      </c>
      <c r="AB518" s="46" t="e">
        <f t="shared" si="53"/>
        <v>#DIV/0!</v>
      </c>
      <c r="AC518" s="40" t="str">
        <f>IF(データ!X515="","",データ!X515)</f>
        <v/>
      </c>
      <c r="AD518" s="41" t="str">
        <f>IF(データ!Y515="","",データ!Y515)</f>
        <v/>
      </c>
      <c r="AE518" s="47" t="str">
        <f>TRIM(データ!B515)</f>
        <v/>
      </c>
      <c r="AF518" s="43" t="str">
        <f>TRIM(データ!Z515)</f>
        <v/>
      </c>
    </row>
    <row r="519" spans="1:32" x14ac:dyDescent="0.15">
      <c r="A519" s="47">
        <f>データ!A516</f>
        <v>2</v>
      </c>
      <c r="B519" s="47" t="str">
        <f>TRIM(データ!C516)</f>
        <v/>
      </c>
      <c r="C519" s="47" t="str">
        <f>TRIM(データ!D516)</f>
        <v>内訳書</v>
      </c>
      <c r="D519" s="36" t="str">
        <f>REPT("｜",$A519)&amp;TRIM(データ!E516)</f>
        <v>｜｜砂利敷</v>
      </c>
      <c r="E519" s="37" t="str">
        <f>TRIM(データ!F516)</f>
        <v/>
      </c>
      <c r="F519" s="38" t="str">
        <f>TRIM(データ!G516)</f>
        <v>m2</v>
      </c>
      <c r="G519" s="50">
        <f>データ!H516</f>
        <v>87.2</v>
      </c>
      <c r="H519" s="48">
        <f>データ!I516</f>
        <v>3700</v>
      </c>
      <c r="I519" s="48">
        <f>データ!J516</f>
        <v>322640</v>
      </c>
      <c r="J519" s="39">
        <f>IF(OR($C519="総括",$C519="内訳書",$C519="内訳代価",$C519="明細書",$C519="明細代価",$C519="代価表",$C519="単価表"),データ!K516,"")</f>
        <v>87.2</v>
      </c>
      <c r="K519" s="11" t="str">
        <f t="shared" si="48"/>
        <v/>
      </c>
      <c r="L519" s="46">
        <f t="shared" si="49"/>
        <v>4.6454436813384587E-3</v>
      </c>
      <c r="M519" s="40" t="str">
        <f>IF(データ!L516="","",データ!L516)</f>
        <v/>
      </c>
      <c r="N519" s="41" t="str">
        <f>IF(データ!M516="","",データ!M516)</f>
        <v>63号内訳書</v>
      </c>
      <c r="O519" s="42">
        <f>データ!N516</f>
        <v>0</v>
      </c>
      <c r="P519" s="48">
        <f>IF($C519="集計行","",データ!O516)</f>
        <v>0</v>
      </c>
      <c r="Q519" s="48">
        <f>データ!P516</f>
        <v>0</v>
      </c>
      <c r="R519" s="39">
        <f>IF(OR($C519="総括",$C519="内訳書",$C519="内訳代価",$C519="明細書",$C519="明細代価",$C519="代価表",$C519="単価表"),データ!Q516,"")</f>
        <v>0</v>
      </c>
      <c r="S519" s="11" t="str">
        <f t="shared" si="50"/>
        <v/>
      </c>
      <c r="T519" s="46" t="e">
        <f t="shared" si="51"/>
        <v>#DIV/0!</v>
      </c>
      <c r="U519" s="40" t="str">
        <f>IF(データ!R516="","",データ!R516)</f>
        <v/>
      </c>
      <c r="V519" s="41" t="str">
        <f>IF(データ!S516="","",データ!S516)</f>
        <v/>
      </c>
      <c r="W519" s="42">
        <f>データ!T516</f>
        <v>0</v>
      </c>
      <c r="X519" s="48">
        <f>IF($C519="集計行","",データ!U516)</f>
        <v>0</v>
      </c>
      <c r="Y519" s="48">
        <f>データ!V516</f>
        <v>0</v>
      </c>
      <c r="Z519" s="39">
        <f>IF(OR($C519="総括",$C519="内訳書",$C519="内訳代価",$C519="明細書",$C519="明細代価",$C519="代価表",$C519="単価表"),データ!W516,"")</f>
        <v>0</v>
      </c>
      <c r="AA519" s="11" t="str">
        <f t="shared" si="52"/>
        <v/>
      </c>
      <c r="AB519" s="46" t="e">
        <f t="shared" si="53"/>
        <v>#DIV/0!</v>
      </c>
      <c r="AC519" s="40" t="str">
        <f>IF(データ!X516="","",データ!X516)</f>
        <v/>
      </c>
      <c r="AD519" s="41" t="str">
        <f>IF(データ!Y516="","",データ!Y516)</f>
        <v/>
      </c>
      <c r="AE519" s="47" t="str">
        <f>TRIM(データ!B516)</f>
        <v/>
      </c>
      <c r="AF519" s="43" t="str">
        <f>TRIM(データ!Z516)</f>
        <v/>
      </c>
    </row>
    <row r="520" spans="1:32" x14ac:dyDescent="0.15">
      <c r="A520" s="47">
        <f>データ!A517</f>
        <v>3</v>
      </c>
      <c r="B520" s="47" t="str">
        <f>TRIM(データ!C517)</f>
        <v/>
      </c>
      <c r="C520" s="47" t="str">
        <f>TRIM(データ!D517)</f>
        <v>材料費</v>
      </c>
      <c r="D520" s="36" t="str">
        <f>REPT("｜",$A520)&amp;TRIM(データ!E517)</f>
        <v>｜｜｜単粒6号砕石</v>
      </c>
      <c r="E520" s="37" t="str">
        <f>TRIM(データ!F517)</f>
        <v/>
      </c>
      <c r="F520" s="38" t="str">
        <f>TRIM(データ!G517)</f>
        <v>m3</v>
      </c>
      <c r="G520" s="50">
        <f>データ!H517</f>
        <v>9</v>
      </c>
      <c r="H520" s="48">
        <f>データ!I517</f>
        <v>5000</v>
      </c>
      <c r="I520" s="48">
        <f>データ!J517</f>
        <v>45000</v>
      </c>
      <c r="J520" s="39" t="str">
        <f>IF(OR($C520="総括",$C520="内訳書",$C520="内訳代価",$C520="明細書",$C520="明細代価",$C520="代価表",$C520="単価表"),データ!K517,"")</f>
        <v/>
      </c>
      <c r="K520" s="11" t="str">
        <f t="shared" si="48"/>
        <v/>
      </c>
      <c r="L520" s="46">
        <f t="shared" si="49"/>
        <v>6.4792017623428798E-4</v>
      </c>
      <c r="M520" s="40" t="str">
        <f>IF(データ!L517="","",データ!L517)</f>
        <v/>
      </c>
      <c r="N520" s="41" t="str">
        <f>IF(データ!M517="","",データ!M517)</f>
        <v/>
      </c>
      <c r="O520" s="42">
        <f>データ!N517</f>
        <v>0</v>
      </c>
      <c r="P520" s="48">
        <f>IF($C520="集計行","",データ!O517)</f>
        <v>0</v>
      </c>
      <c r="Q520" s="48">
        <f>データ!P517</f>
        <v>0</v>
      </c>
      <c r="R520" s="39" t="str">
        <f>IF(OR($C520="総括",$C520="内訳書",$C520="内訳代価",$C520="明細書",$C520="明細代価",$C520="代価表",$C520="単価表"),データ!Q517,"")</f>
        <v/>
      </c>
      <c r="S520" s="11" t="str">
        <f t="shared" si="50"/>
        <v/>
      </c>
      <c r="T520" s="46" t="e">
        <f t="shared" si="51"/>
        <v>#DIV/0!</v>
      </c>
      <c r="U520" s="40" t="str">
        <f>IF(データ!R517="","",データ!R517)</f>
        <v/>
      </c>
      <c r="V520" s="41" t="str">
        <f>IF(データ!S517="","",データ!S517)</f>
        <v/>
      </c>
      <c r="W520" s="42">
        <f>データ!T517</f>
        <v>0</v>
      </c>
      <c r="X520" s="48">
        <f>IF($C520="集計行","",データ!U517)</f>
        <v>0</v>
      </c>
      <c r="Y520" s="48">
        <f>データ!V517</f>
        <v>0</v>
      </c>
      <c r="Z520" s="39" t="str">
        <f>IF(OR($C520="総括",$C520="内訳書",$C520="内訳代価",$C520="明細書",$C520="明細代価",$C520="代価表",$C520="単価表"),データ!W517,"")</f>
        <v/>
      </c>
      <c r="AA520" s="11" t="str">
        <f t="shared" si="52"/>
        <v/>
      </c>
      <c r="AB520" s="46" t="e">
        <f t="shared" si="53"/>
        <v>#DIV/0!</v>
      </c>
      <c r="AC520" s="40" t="str">
        <f>IF(データ!X517="","",データ!X517)</f>
        <v/>
      </c>
      <c r="AD520" s="41" t="str">
        <f>IF(データ!Y517="","",データ!Y517)</f>
        <v/>
      </c>
      <c r="AE520" s="47" t="str">
        <f>TRIM(データ!B517)</f>
        <v/>
      </c>
      <c r="AF520" s="43" t="str">
        <f>TRIM(データ!Z517)</f>
        <v/>
      </c>
    </row>
    <row r="521" spans="1:32" x14ac:dyDescent="0.15">
      <c r="A521" s="47">
        <f>データ!A518</f>
        <v>3</v>
      </c>
      <c r="B521" s="47" t="str">
        <f>TRIM(データ!C518)</f>
        <v/>
      </c>
      <c r="C521" s="47" t="str">
        <f>TRIM(データ!D518)</f>
        <v>労務費</v>
      </c>
      <c r="D521" s="36" t="str">
        <f>REPT("｜",$A521)&amp;TRIM(データ!E518)</f>
        <v>｜｜｜技工</v>
      </c>
      <c r="E521" s="37" t="str">
        <f>TRIM(データ!F518)</f>
        <v/>
      </c>
      <c r="F521" s="38" t="str">
        <f>TRIM(データ!G518)</f>
        <v>人</v>
      </c>
      <c r="G521" s="50">
        <f>データ!H518</f>
        <v>6</v>
      </c>
      <c r="H521" s="48">
        <f>データ!I518</f>
        <v>28000</v>
      </c>
      <c r="I521" s="48">
        <f>データ!J518</f>
        <v>168000</v>
      </c>
      <c r="J521" s="39" t="str">
        <f>IF(OR($C521="総括",$C521="内訳書",$C521="内訳代価",$C521="明細書",$C521="明細代価",$C521="代価表",$C521="単価表"),データ!K518,"")</f>
        <v/>
      </c>
      <c r="K521" s="11" t="str">
        <f t="shared" si="48"/>
        <v/>
      </c>
      <c r="L521" s="46">
        <f t="shared" si="49"/>
        <v>2.418901991274675E-3</v>
      </c>
      <c r="M521" s="40" t="str">
        <f>IF(データ!L518="","",データ!L518)</f>
        <v/>
      </c>
      <c r="N521" s="41" t="str">
        <f>IF(データ!M518="","",データ!M518)</f>
        <v/>
      </c>
      <c r="O521" s="42">
        <f>データ!N518</f>
        <v>0</v>
      </c>
      <c r="P521" s="48">
        <f>IF($C521="集計行","",データ!O518)</f>
        <v>0</v>
      </c>
      <c r="Q521" s="48">
        <f>データ!P518</f>
        <v>0</v>
      </c>
      <c r="R521" s="39" t="str">
        <f>IF(OR($C521="総括",$C521="内訳書",$C521="内訳代価",$C521="明細書",$C521="明細代価",$C521="代価表",$C521="単価表"),データ!Q518,"")</f>
        <v/>
      </c>
      <c r="S521" s="11" t="str">
        <f t="shared" si="50"/>
        <v/>
      </c>
      <c r="T521" s="46" t="e">
        <f t="shared" si="51"/>
        <v>#DIV/0!</v>
      </c>
      <c r="U521" s="40" t="str">
        <f>IF(データ!R518="","",データ!R518)</f>
        <v/>
      </c>
      <c r="V521" s="41" t="str">
        <f>IF(データ!S518="","",データ!S518)</f>
        <v/>
      </c>
      <c r="W521" s="42">
        <f>データ!T518</f>
        <v>0</v>
      </c>
      <c r="X521" s="48">
        <f>IF($C521="集計行","",データ!U518)</f>
        <v>0</v>
      </c>
      <c r="Y521" s="48">
        <f>データ!V518</f>
        <v>0</v>
      </c>
      <c r="Z521" s="39" t="str">
        <f>IF(OR($C521="総括",$C521="内訳書",$C521="内訳代価",$C521="明細書",$C521="明細代価",$C521="代価表",$C521="単価表"),データ!W518,"")</f>
        <v/>
      </c>
      <c r="AA521" s="11" t="str">
        <f t="shared" si="52"/>
        <v/>
      </c>
      <c r="AB521" s="46" t="e">
        <f t="shared" si="53"/>
        <v>#DIV/0!</v>
      </c>
      <c r="AC521" s="40" t="str">
        <f>IF(データ!X518="","",データ!X518)</f>
        <v/>
      </c>
      <c r="AD521" s="41" t="str">
        <f>IF(データ!Y518="","",データ!Y518)</f>
        <v/>
      </c>
      <c r="AE521" s="47" t="str">
        <f>TRIM(データ!B518)</f>
        <v/>
      </c>
      <c r="AF521" s="43" t="str">
        <f>TRIM(データ!Z518)</f>
        <v/>
      </c>
    </row>
    <row r="522" spans="1:32" x14ac:dyDescent="0.15">
      <c r="A522" s="47">
        <f>データ!A519</f>
        <v>3</v>
      </c>
      <c r="B522" s="47" t="str">
        <f>TRIM(データ!C519)</f>
        <v/>
      </c>
      <c r="C522" s="47" t="str">
        <f>TRIM(データ!D519)</f>
        <v>機械費</v>
      </c>
      <c r="D522" s="36" t="str">
        <f>REPT("｜",$A522)&amp;TRIM(データ!E519)</f>
        <v>｜｜｜BH0.06</v>
      </c>
      <c r="E522" s="37" t="str">
        <f>TRIM(データ!F519)</f>
        <v/>
      </c>
      <c r="F522" s="38" t="str">
        <f>TRIM(データ!G519)</f>
        <v>台</v>
      </c>
      <c r="G522" s="50">
        <f>データ!H519</f>
        <v>2</v>
      </c>
      <c r="H522" s="48">
        <f>データ!I519</f>
        <v>8000</v>
      </c>
      <c r="I522" s="48">
        <f>データ!J519</f>
        <v>16000</v>
      </c>
      <c r="J522" s="39" t="str">
        <f>IF(OR($C522="総括",$C522="内訳書",$C522="内訳代価",$C522="明細書",$C522="明細代価",$C522="代価表",$C522="単価表"),データ!K519,"")</f>
        <v/>
      </c>
      <c r="K522" s="11" t="str">
        <f t="shared" si="48"/>
        <v/>
      </c>
      <c r="L522" s="46">
        <f t="shared" si="49"/>
        <v>2.303716182166357E-4</v>
      </c>
      <c r="M522" s="40" t="str">
        <f>IF(データ!L519="","",データ!L519)</f>
        <v/>
      </c>
      <c r="N522" s="41" t="str">
        <f>IF(データ!M519="","",データ!M519)</f>
        <v/>
      </c>
      <c r="O522" s="42">
        <f>データ!N519</f>
        <v>0</v>
      </c>
      <c r="P522" s="48">
        <f>IF($C522="集計行","",データ!O519)</f>
        <v>0</v>
      </c>
      <c r="Q522" s="48">
        <f>データ!P519</f>
        <v>0</v>
      </c>
      <c r="R522" s="39" t="str">
        <f>IF(OR($C522="総括",$C522="内訳書",$C522="内訳代価",$C522="明細書",$C522="明細代価",$C522="代価表",$C522="単価表"),データ!Q519,"")</f>
        <v/>
      </c>
      <c r="S522" s="11" t="str">
        <f t="shared" si="50"/>
        <v/>
      </c>
      <c r="T522" s="46" t="e">
        <f t="shared" si="51"/>
        <v>#DIV/0!</v>
      </c>
      <c r="U522" s="40" t="str">
        <f>IF(データ!R519="","",データ!R519)</f>
        <v/>
      </c>
      <c r="V522" s="41" t="str">
        <f>IF(データ!S519="","",データ!S519)</f>
        <v/>
      </c>
      <c r="W522" s="42">
        <f>データ!T519</f>
        <v>0</v>
      </c>
      <c r="X522" s="48">
        <f>IF($C522="集計行","",データ!U519)</f>
        <v>0</v>
      </c>
      <c r="Y522" s="48">
        <f>データ!V519</f>
        <v>0</v>
      </c>
      <c r="Z522" s="39" t="str">
        <f>IF(OR($C522="総括",$C522="内訳書",$C522="内訳代価",$C522="明細書",$C522="明細代価",$C522="代価表",$C522="単価表"),データ!W519,"")</f>
        <v/>
      </c>
      <c r="AA522" s="11" t="str">
        <f t="shared" si="52"/>
        <v/>
      </c>
      <c r="AB522" s="46" t="e">
        <f t="shared" si="53"/>
        <v>#DIV/0!</v>
      </c>
      <c r="AC522" s="40" t="str">
        <f>IF(データ!X519="","",データ!X519)</f>
        <v/>
      </c>
      <c r="AD522" s="41" t="str">
        <f>IF(データ!Y519="","",データ!Y519)</f>
        <v/>
      </c>
      <c r="AE522" s="47" t="str">
        <f>TRIM(データ!B519)</f>
        <v/>
      </c>
      <c r="AF522" s="43" t="str">
        <f>TRIM(データ!Z519)</f>
        <v/>
      </c>
    </row>
    <row r="523" spans="1:32" x14ac:dyDescent="0.15">
      <c r="A523" s="47">
        <f>データ!A520</f>
        <v>3</v>
      </c>
      <c r="B523" s="47" t="str">
        <f>TRIM(データ!C520)</f>
        <v/>
      </c>
      <c r="C523" s="47" t="str">
        <f>TRIM(データ!D520)</f>
        <v>運搬費</v>
      </c>
      <c r="D523" s="36" t="str">
        <f>REPT("｜",$A523)&amp;TRIM(データ!E520)</f>
        <v>｜｜｜4tダンプ</v>
      </c>
      <c r="E523" s="37" t="str">
        <f>TRIM(データ!F520)</f>
        <v/>
      </c>
      <c r="F523" s="38" t="str">
        <f>TRIM(データ!G520)</f>
        <v>台</v>
      </c>
      <c r="G523" s="50">
        <f>データ!H520</f>
        <v>2</v>
      </c>
      <c r="H523" s="48">
        <f>データ!I520</f>
        <v>10000</v>
      </c>
      <c r="I523" s="48">
        <f>データ!J520</f>
        <v>20000</v>
      </c>
      <c r="J523" s="39" t="str">
        <f>IF(OR($C523="総括",$C523="内訳書",$C523="内訳代価",$C523="明細書",$C523="明細代価",$C523="代価表",$C523="単価表"),データ!K520,"")</f>
        <v/>
      </c>
      <c r="K523" s="11" t="str">
        <f t="shared" si="48"/>
        <v/>
      </c>
      <c r="L523" s="46">
        <f t="shared" si="49"/>
        <v>2.8796452277079463E-4</v>
      </c>
      <c r="M523" s="40" t="str">
        <f>IF(データ!L520="","",データ!L520)</f>
        <v/>
      </c>
      <c r="N523" s="41" t="str">
        <f>IF(データ!M520="","",データ!M520)</f>
        <v/>
      </c>
      <c r="O523" s="42">
        <f>データ!N520</f>
        <v>0</v>
      </c>
      <c r="P523" s="48">
        <f>IF($C523="集計行","",データ!O520)</f>
        <v>0</v>
      </c>
      <c r="Q523" s="48">
        <f>データ!P520</f>
        <v>0</v>
      </c>
      <c r="R523" s="39" t="str">
        <f>IF(OR($C523="総括",$C523="内訳書",$C523="内訳代価",$C523="明細書",$C523="明細代価",$C523="代価表",$C523="単価表"),データ!Q520,"")</f>
        <v/>
      </c>
      <c r="S523" s="11" t="str">
        <f t="shared" si="50"/>
        <v/>
      </c>
      <c r="T523" s="46" t="e">
        <f t="shared" si="51"/>
        <v>#DIV/0!</v>
      </c>
      <c r="U523" s="40" t="str">
        <f>IF(データ!R520="","",データ!R520)</f>
        <v/>
      </c>
      <c r="V523" s="41" t="str">
        <f>IF(データ!S520="","",データ!S520)</f>
        <v/>
      </c>
      <c r="W523" s="42">
        <f>データ!T520</f>
        <v>0</v>
      </c>
      <c r="X523" s="48">
        <f>IF($C523="集計行","",データ!U520)</f>
        <v>0</v>
      </c>
      <c r="Y523" s="48">
        <f>データ!V520</f>
        <v>0</v>
      </c>
      <c r="Z523" s="39" t="str">
        <f>IF(OR($C523="総括",$C523="内訳書",$C523="内訳代価",$C523="明細書",$C523="明細代価",$C523="代価表",$C523="単価表"),データ!W520,"")</f>
        <v/>
      </c>
      <c r="AA523" s="11" t="str">
        <f t="shared" si="52"/>
        <v/>
      </c>
      <c r="AB523" s="46" t="e">
        <f t="shared" si="53"/>
        <v>#DIV/0!</v>
      </c>
      <c r="AC523" s="40" t="str">
        <f>IF(データ!X520="","",データ!X520)</f>
        <v/>
      </c>
      <c r="AD523" s="41" t="str">
        <f>IF(データ!Y520="","",データ!Y520)</f>
        <v/>
      </c>
      <c r="AE523" s="47" t="str">
        <f>TRIM(データ!B520)</f>
        <v/>
      </c>
      <c r="AF523" s="43" t="str">
        <f>TRIM(データ!Z520)</f>
        <v/>
      </c>
    </row>
    <row r="524" spans="1:32" x14ac:dyDescent="0.15">
      <c r="A524" s="47">
        <f>データ!A521</f>
        <v>3</v>
      </c>
      <c r="B524" s="47" t="str">
        <f>TRIM(データ!C521)</f>
        <v/>
      </c>
      <c r="C524" s="47" t="str">
        <f>TRIM(データ!D521)</f>
        <v>運搬費</v>
      </c>
      <c r="D524" s="36" t="str">
        <f>REPT("｜",$A524)&amp;TRIM(データ!E521)</f>
        <v>｜｜｜2tダンプ</v>
      </c>
      <c r="E524" s="37" t="str">
        <f>TRIM(データ!F521)</f>
        <v/>
      </c>
      <c r="F524" s="38" t="str">
        <f>TRIM(データ!G521)</f>
        <v>台</v>
      </c>
      <c r="G524" s="50">
        <f>データ!H521</f>
        <v>2</v>
      </c>
      <c r="H524" s="48">
        <f>データ!I521</f>
        <v>7000</v>
      </c>
      <c r="I524" s="48">
        <f>データ!J521</f>
        <v>14000</v>
      </c>
      <c r="J524" s="39" t="str">
        <f>IF(OR($C524="総括",$C524="内訳書",$C524="内訳代価",$C524="明細書",$C524="明細代価",$C524="代価表",$C524="単価表"),データ!K521,"")</f>
        <v/>
      </c>
      <c r="K524" s="11" t="str">
        <f t="shared" si="48"/>
        <v/>
      </c>
      <c r="L524" s="46">
        <f t="shared" si="49"/>
        <v>2.0157516593955624E-4</v>
      </c>
      <c r="M524" s="40" t="str">
        <f>IF(データ!L521="","",データ!L521)</f>
        <v/>
      </c>
      <c r="N524" s="41" t="str">
        <f>IF(データ!M521="","",データ!M521)</f>
        <v/>
      </c>
      <c r="O524" s="42">
        <f>データ!N521</f>
        <v>0</v>
      </c>
      <c r="P524" s="48">
        <f>IF($C524="集計行","",データ!O521)</f>
        <v>0</v>
      </c>
      <c r="Q524" s="48">
        <f>データ!P521</f>
        <v>0</v>
      </c>
      <c r="R524" s="39" t="str">
        <f>IF(OR($C524="総括",$C524="内訳書",$C524="内訳代価",$C524="明細書",$C524="明細代価",$C524="代価表",$C524="単価表"),データ!Q521,"")</f>
        <v/>
      </c>
      <c r="S524" s="11" t="str">
        <f t="shared" si="50"/>
        <v/>
      </c>
      <c r="T524" s="46" t="e">
        <f t="shared" si="51"/>
        <v>#DIV/0!</v>
      </c>
      <c r="U524" s="40" t="str">
        <f>IF(データ!R521="","",データ!R521)</f>
        <v/>
      </c>
      <c r="V524" s="41" t="str">
        <f>IF(データ!S521="","",データ!S521)</f>
        <v/>
      </c>
      <c r="W524" s="42">
        <f>データ!T521</f>
        <v>0</v>
      </c>
      <c r="X524" s="48">
        <f>IF($C524="集計行","",データ!U521)</f>
        <v>0</v>
      </c>
      <c r="Y524" s="48">
        <f>データ!V521</f>
        <v>0</v>
      </c>
      <c r="Z524" s="39" t="str">
        <f>IF(OR($C524="総括",$C524="内訳書",$C524="内訳代価",$C524="明細書",$C524="明細代価",$C524="代価表",$C524="単価表"),データ!W521,"")</f>
        <v/>
      </c>
      <c r="AA524" s="11" t="str">
        <f t="shared" si="52"/>
        <v/>
      </c>
      <c r="AB524" s="46" t="e">
        <f t="shared" si="53"/>
        <v>#DIV/0!</v>
      </c>
      <c r="AC524" s="40" t="str">
        <f>IF(データ!X521="","",データ!X521)</f>
        <v/>
      </c>
      <c r="AD524" s="41" t="str">
        <f>IF(データ!Y521="","",データ!Y521)</f>
        <v/>
      </c>
      <c r="AE524" s="47" t="str">
        <f>TRIM(データ!B521)</f>
        <v/>
      </c>
      <c r="AF524" s="43" t="str">
        <f>TRIM(データ!Z521)</f>
        <v/>
      </c>
    </row>
    <row r="525" spans="1:32" x14ac:dyDescent="0.15">
      <c r="A525" s="47">
        <f>データ!A522</f>
        <v>3</v>
      </c>
      <c r="B525" s="47" t="str">
        <f>TRIM(データ!C522)</f>
        <v/>
      </c>
      <c r="C525" s="47" t="str">
        <f>TRIM(データ!D522)</f>
        <v>材料費</v>
      </c>
      <c r="D525" s="36" t="str">
        <f>REPT("｜",$A525)&amp;TRIM(データ!E522)</f>
        <v>｜｜｜軽油</v>
      </c>
      <c r="E525" s="37" t="str">
        <f>TRIM(データ!F522)</f>
        <v/>
      </c>
      <c r="F525" s="38" t="str">
        <f>TRIM(データ!G522)</f>
        <v>リットル</v>
      </c>
      <c r="G525" s="50">
        <f>データ!H522</f>
        <v>40</v>
      </c>
      <c r="H525" s="48">
        <f>データ!I522</f>
        <v>150</v>
      </c>
      <c r="I525" s="48">
        <f>データ!J522</f>
        <v>6000</v>
      </c>
      <c r="J525" s="39" t="str">
        <f>IF(OR($C525="総括",$C525="内訳書",$C525="内訳代価",$C525="明細書",$C525="明細代価",$C525="代価表",$C525="単価表"),データ!K522,"")</f>
        <v/>
      </c>
      <c r="K525" s="11" t="str">
        <f t="shared" si="48"/>
        <v/>
      </c>
      <c r="L525" s="46">
        <f t="shared" si="49"/>
        <v>8.6389356831238388E-5</v>
      </c>
      <c r="M525" s="40" t="str">
        <f>IF(データ!L522="","",データ!L522)</f>
        <v/>
      </c>
      <c r="N525" s="41" t="str">
        <f>IF(データ!M522="","",データ!M522)</f>
        <v/>
      </c>
      <c r="O525" s="42">
        <f>データ!N522</f>
        <v>0</v>
      </c>
      <c r="P525" s="48">
        <f>IF($C525="集計行","",データ!O522)</f>
        <v>0</v>
      </c>
      <c r="Q525" s="48">
        <f>データ!P522</f>
        <v>0</v>
      </c>
      <c r="R525" s="39" t="str">
        <f>IF(OR($C525="総括",$C525="内訳書",$C525="内訳代価",$C525="明細書",$C525="明細代価",$C525="代価表",$C525="単価表"),データ!Q522,"")</f>
        <v/>
      </c>
      <c r="S525" s="11" t="str">
        <f t="shared" si="50"/>
        <v/>
      </c>
      <c r="T525" s="46" t="e">
        <f t="shared" si="51"/>
        <v>#DIV/0!</v>
      </c>
      <c r="U525" s="40" t="str">
        <f>IF(データ!R522="","",データ!R522)</f>
        <v/>
      </c>
      <c r="V525" s="41" t="str">
        <f>IF(データ!S522="","",データ!S522)</f>
        <v/>
      </c>
      <c r="W525" s="42">
        <f>データ!T522</f>
        <v>0</v>
      </c>
      <c r="X525" s="48">
        <f>IF($C525="集計行","",データ!U522)</f>
        <v>0</v>
      </c>
      <c r="Y525" s="48">
        <f>データ!V522</f>
        <v>0</v>
      </c>
      <c r="Z525" s="39" t="str">
        <f>IF(OR($C525="総括",$C525="内訳書",$C525="内訳代価",$C525="明細書",$C525="明細代価",$C525="代価表",$C525="単価表"),データ!W522,"")</f>
        <v/>
      </c>
      <c r="AA525" s="11" t="str">
        <f t="shared" si="52"/>
        <v/>
      </c>
      <c r="AB525" s="46" t="e">
        <f t="shared" si="53"/>
        <v>#DIV/0!</v>
      </c>
      <c r="AC525" s="40" t="str">
        <f>IF(データ!X522="","",データ!X522)</f>
        <v/>
      </c>
      <c r="AD525" s="41" t="str">
        <f>IF(データ!Y522="","",データ!Y522)</f>
        <v/>
      </c>
      <c r="AE525" s="47" t="str">
        <f>TRIM(データ!B522)</f>
        <v/>
      </c>
      <c r="AF525" s="43" t="str">
        <f>TRIM(データ!Z522)</f>
        <v/>
      </c>
    </row>
    <row r="526" spans="1:32" x14ac:dyDescent="0.15">
      <c r="A526" s="47">
        <f>データ!A523</f>
        <v>3</v>
      </c>
      <c r="B526" s="47" t="str">
        <f>TRIM(データ!C523)</f>
        <v/>
      </c>
      <c r="C526" s="47" t="str">
        <f>TRIM(データ!D523)</f>
        <v>材料費</v>
      </c>
      <c r="D526" s="36" t="str">
        <f>REPT("｜",$A526)&amp;TRIM(データ!E523)</f>
        <v>｜｜｜ガソリン</v>
      </c>
      <c r="E526" s="37" t="str">
        <f>TRIM(データ!F523)</f>
        <v/>
      </c>
      <c r="F526" s="38" t="str">
        <f>TRIM(データ!G523)</f>
        <v>リットル</v>
      </c>
      <c r="G526" s="50">
        <f>データ!H523</f>
        <v>80</v>
      </c>
      <c r="H526" s="48">
        <f>データ!I523</f>
        <v>200</v>
      </c>
      <c r="I526" s="48">
        <f>データ!J523</f>
        <v>16000</v>
      </c>
      <c r="J526" s="39" t="str">
        <f>IF(OR($C526="総括",$C526="内訳書",$C526="内訳代価",$C526="明細書",$C526="明細代価",$C526="代価表",$C526="単価表"),データ!K523,"")</f>
        <v/>
      </c>
      <c r="K526" s="11" t="str">
        <f t="shared" si="48"/>
        <v/>
      </c>
      <c r="L526" s="46">
        <f t="shared" si="49"/>
        <v>2.303716182166357E-4</v>
      </c>
      <c r="M526" s="40" t="str">
        <f>IF(データ!L523="","",データ!L523)</f>
        <v/>
      </c>
      <c r="N526" s="41" t="str">
        <f>IF(データ!M523="","",データ!M523)</f>
        <v/>
      </c>
      <c r="O526" s="42">
        <f>データ!N523</f>
        <v>0</v>
      </c>
      <c r="P526" s="48">
        <f>IF($C526="集計行","",データ!O523)</f>
        <v>0</v>
      </c>
      <c r="Q526" s="48">
        <f>データ!P523</f>
        <v>0</v>
      </c>
      <c r="R526" s="39" t="str">
        <f>IF(OR($C526="総括",$C526="内訳書",$C526="内訳代価",$C526="明細書",$C526="明細代価",$C526="代価表",$C526="単価表"),データ!Q523,"")</f>
        <v/>
      </c>
      <c r="S526" s="11" t="str">
        <f t="shared" si="50"/>
        <v/>
      </c>
      <c r="T526" s="46" t="e">
        <f t="shared" si="51"/>
        <v>#DIV/0!</v>
      </c>
      <c r="U526" s="40" t="str">
        <f>IF(データ!R523="","",データ!R523)</f>
        <v/>
      </c>
      <c r="V526" s="41" t="str">
        <f>IF(データ!S523="","",データ!S523)</f>
        <v/>
      </c>
      <c r="W526" s="42">
        <f>データ!T523</f>
        <v>0</v>
      </c>
      <c r="X526" s="48">
        <f>IF($C526="集計行","",データ!U523)</f>
        <v>0</v>
      </c>
      <c r="Y526" s="48">
        <f>データ!V523</f>
        <v>0</v>
      </c>
      <c r="Z526" s="39" t="str">
        <f>IF(OR($C526="総括",$C526="内訳書",$C526="内訳代価",$C526="明細書",$C526="明細代価",$C526="代価表",$C526="単価表"),データ!W523,"")</f>
        <v/>
      </c>
      <c r="AA526" s="11" t="str">
        <f t="shared" si="52"/>
        <v/>
      </c>
      <c r="AB526" s="46" t="e">
        <f t="shared" si="53"/>
        <v>#DIV/0!</v>
      </c>
      <c r="AC526" s="40" t="str">
        <f>IF(データ!X523="","",データ!X523)</f>
        <v/>
      </c>
      <c r="AD526" s="41" t="str">
        <f>IF(データ!Y523="","",データ!Y523)</f>
        <v/>
      </c>
      <c r="AE526" s="47" t="str">
        <f>TRIM(データ!B523)</f>
        <v/>
      </c>
      <c r="AF526" s="43" t="str">
        <f>TRIM(データ!Z523)</f>
        <v/>
      </c>
    </row>
    <row r="527" spans="1:32" x14ac:dyDescent="0.15">
      <c r="A527" s="47">
        <f>データ!A524</f>
        <v>3</v>
      </c>
      <c r="B527" s="47" t="str">
        <f>TRIM(データ!C524)</f>
        <v/>
      </c>
      <c r="C527" s="47" t="str">
        <f>TRIM(データ!D524)</f>
        <v>材料費</v>
      </c>
      <c r="D527" s="36" t="str">
        <f>REPT("｜",$A527)&amp;TRIM(データ!E524)</f>
        <v>｜｜｜雑材</v>
      </c>
      <c r="E527" s="37" t="str">
        <f>TRIM(データ!F524)</f>
        <v/>
      </c>
      <c r="F527" s="38" t="str">
        <f>TRIM(データ!G524)</f>
        <v>式</v>
      </c>
      <c r="G527" s="50">
        <f>データ!H524</f>
        <v>1</v>
      </c>
      <c r="H527" s="48">
        <f>データ!I524</f>
        <v>15840</v>
      </c>
      <c r="I527" s="48">
        <f>データ!J524</f>
        <v>15840</v>
      </c>
      <c r="J527" s="39" t="str">
        <f>IF(OR($C527="総括",$C527="内訳書",$C527="内訳代価",$C527="明細書",$C527="明細代価",$C527="代価表",$C527="単価表"),データ!K524,"")</f>
        <v/>
      </c>
      <c r="K527" s="11" t="str">
        <f t="shared" si="48"/>
        <v/>
      </c>
      <c r="L527" s="46">
        <f t="shared" si="49"/>
        <v>2.2806790203446935E-4</v>
      </c>
      <c r="M527" s="40" t="str">
        <f>IF(データ!L524="","",データ!L524)</f>
        <v/>
      </c>
      <c r="N527" s="41" t="str">
        <f>IF(データ!M524="","",データ!M524)</f>
        <v/>
      </c>
      <c r="O527" s="42">
        <f>データ!N524</f>
        <v>0</v>
      </c>
      <c r="P527" s="48">
        <f>IF($C527="集計行","",データ!O524)</f>
        <v>0</v>
      </c>
      <c r="Q527" s="48">
        <f>データ!P524</f>
        <v>0</v>
      </c>
      <c r="R527" s="39" t="str">
        <f>IF(OR($C527="総括",$C527="内訳書",$C527="内訳代価",$C527="明細書",$C527="明細代価",$C527="代価表",$C527="単価表"),データ!Q524,"")</f>
        <v/>
      </c>
      <c r="S527" s="11" t="str">
        <f t="shared" si="50"/>
        <v/>
      </c>
      <c r="T527" s="46" t="e">
        <f t="shared" si="51"/>
        <v>#DIV/0!</v>
      </c>
      <c r="U527" s="40" t="str">
        <f>IF(データ!R524="","",データ!R524)</f>
        <v/>
      </c>
      <c r="V527" s="41" t="str">
        <f>IF(データ!S524="","",データ!S524)</f>
        <v/>
      </c>
      <c r="W527" s="42">
        <f>データ!T524</f>
        <v>0</v>
      </c>
      <c r="X527" s="48">
        <f>IF($C527="集計行","",データ!U524)</f>
        <v>0</v>
      </c>
      <c r="Y527" s="48">
        <f>データ!V524</f>
        <v>0</v>
      </c>
      <c r="Z527" s="39" t="str">
        <f>IF(OR($C527="総括",$C527="内訳書",$C527="内訳代価",$C527="明細書",$C527="明細代価",$C527="代価表",$C527="単価表"),データ!W524,"")</f>
        <v/>
      </c>
      <c r="AA527" s="11" t="str">
        <f t="shared" si="52"/>
        <v/>
      </c>
      <c r="AB527" s="46" t="e">
        <f t="shared" si="53"/>
        <v>#DIV/0!</v>
      </c>
      <c r="AC527" s="40" t="str">
        <f>IF(データ!X524="","",データ!X524)</f>
        <v/>
      </c>
      <c r="AD527" s="41" t="str">
        <f>IF(データ!Y524="","",データ!Y524)</f>
        <v/>
      </c>
      <c r="AE527" s="47" t="str">
        <f>TRIM(データ!B524)</f>
        <v/>
      </c>
      <c r="AF527" s="43" t="str">
        <f>TRIM(データ!Z524)</f>
        <v/>
      </c>
    </row>
    <row r="528" spans="1:32" x14ac:dyDescent="0.15">
      <c r="A528" s="47">
        <f>データ!A525</f>
        <v>3</v>
      </c>
      <c r="B528" s="47" t="str">
        <f>TRIM(データ!C525)</f>
        <v/>
      </c>
      <c r="C528" s="47" t="str">
        <f>TRIM(データ!D525)</f>
        <v>外注費</v>
      </c>
      <c r="D528" s="36" t="str">
        <f>REPT("｜",$A528)&amp;TRIM(データ!E525)</f>
        <v>｜｜｜外注経費</v>
      </c>
      <c r="E528" s="37" t="str">
        <f>TRIM(データ!F525)</f>
        <v/>
      </c>
      <c r="F528" s="38" t="str">
        <f>TRIM(データ!G525)</f>
        <v>式</v>
      </c>
      <c r="G528" s="50">
        <f>データ!H525</f>
        <v>1</v>
      </c>
      <c r="H528" s="48">
        <f>データ!I525</f>
        <v>21800</v>
      </c>
      <c r="I528" s="48">
        <f>データ!J525</f>
        <v>21800</v>
      </c>
      <c r="J528" s="39" t="str">
        <f>IF(OR($C528="総括",$C528="内訳書",$C528="内訳代価",$C528="明細書",$C528="明細代価",$C528="代価表",$C528="単価表"),データ!K525,"")</f>
        <v/>
      </c>
      <c r="K528" s="11" t="str">
        <f t="shared" si="48"/>
        <v/>
      </c>
      <c r="L528" s="46">
        <f t="shared" si="49"/>
        <v>3.1388132982016615E-4</v>
      </c>
      <c r="M528" s="40" t="str">
        <f>IF(データ!L525="","",データ!L525)</f>
        <v/>
      </c>
      <c r="N528" s="41" t="str">
        <f>IF(データ!M525="","",データ!M525)</f>
        <v/>
      </c>
      <c r="O528" s="42">
        <f>データ!N525</f>
        <v>0</v>
      </c>
      <c r="P528" s="48">
        <f>IF($C528="集計行","",データ!O525)</f>
        <v>0</v>
      </c>
      <c r="Q528" s="48">
        <f>データ!P525</f>
        <v>0</v>
      </c>
      <c r="R528" s="39" t="str">
        <f>IF(OR($C528="総括",$C528="内訳書",$C528="内訳代価",$C528="明細書",$C528="明細代価",$C528="代価表",$C528="単価表"),データ!Q525,"")</f>
        <v/>
      </c>
      <c r="S528" s="11" t="str">
        <f t="shared" si="50"/>
        <v/>
      </c>
      <c r="T528" s="46" t="e">
        <f t="shared" si="51"/>
        <v>#DIV/0!</v>
      </c>
      <c r="U528" s="40" t="str">
        <f>IF(データ!R525="","",データ!R525)</f>
        <v/>
      </c>
      <c r="V528" s="41" t="str">
        <f>IF(データ!S525="","",データ!S525)</f>
        <v/>
      </c>
      <c r="W528" s="42">
        <f>データ!T525</f>
        <v>0</v>
      </c>
      <c r="X528" s="48">
        <f>IF($C528="集計行","",データ!U525)</f>
        <v>0</v>
      </c>
      <c r="Y528" s="48">
        <f>データ!V525</f>
        <v>0</v>
      </c>
      <c r="Z528" s="39" t="str">
        <f>IF(OR($C528="総括",$C528="内訳書",$C528="内訳代価",$C528="明細書",$C528="明細代価",$C528="代価表",$C528="単価表"),データ!W525,"")</f>
        <v/>
      </c>
      <c r="AA528" s="11" t="str">
        <f t="shared" si="52"/>
        <v/>
      </c>
      <c r="AB528" s="46" t="e">
        <f t="shared" si="53"/>
        <v>#DIV/0!</v>
      </c>
      <c r="AC528" s="40" t="str">
        <f>IF(データ!X525="","",データ!X525)</f>
        <v/>
      </c>
      <c r="AD528" s="41" t="str">
        <f>IF(データ!Y525="","",データ!Y525)</f>
        <v/>
      </c>
      <c r="AE528" s="47" t="str">
        <f>TRIM(データ!B525)</f>
        <v/>
      </c>
      <c r="AF528" s="43" t="str">
        <f>TRIM(データ!Z525)</f>
        <v/>
      </c>
    </row>
    <row r="529" spans="1:32" x14ac:dyDescent="0.15">
      <c r="A529" s="47">
        <f>データ!A526</f>
        <v>1</v>
      </c>
      <c r="B529" s="47" t="str">
        <f>TRIM(データ!C526)</f>
        <v/>
      </c>
      <c r="C529" s="47" t="str">
        <f>TRIM(データ!D526)</f>
        <v>内訳書</v>
      </c>
      <c r="D529" s="36" t="str">
        <f>REPT("｜",$A529)&amp;TRIM(データ!E526)</f>
        <v>｜付帯施設工</v>
      </c>
      <c r="E529" s="37" t="str">
        <f>TRIM(データ!F526)</f>
        <v/>
      </c>
      <c r="F529" s="38" t="str">
        <f>TRIM(データ!G526)</f>
        <v>ｍ</v>
      </c>
      <c r="G529" s="50">
        <f>データ!H526</f>
        <v>414.1</v>
      </c>
      <c r="H529" s="48">
        <f>データ!I526</f>
        <v>24972.78</v>
      </c>
      <c r="I529" s="48">
        <f>データ!J526</f>
        <v>10341230</v>
      </c>
      <c r="J529" s="39">
        <f>IF(OR($C529="総括",$C529="内訳書",$C529="内訳代価",$C529="明細書",$C529="明細代価",$C529="代価表",$C529="単価表"),データ!K526,"")</f>
        <v>414.1</v>
      </c>
      <c r="K529" s="11" t="str">
        <f t="shared" si="48"/>
        <v/>
      </c>
      <c r="L529" s="46">
        <f t="shared" si="49"/>
        <v>0.14889536809065124</v>
      </c>
      <c r="M529" s="40" t="str">
        <f>IF(データ!L526="","",データ!L526)</f>
        <v/>
      </c>
      <c r="N529" s="41" t="str">
        <f>IF(データ!M526="","",データ!M526)</f>
        <v>20号内訳書</v>
      </c>
      <c r="O529" s="42">
        <f>データ!N526</f>
        <v>0</v>
      </c>
      <c r="P529" s="48">
        <f>IF($C529="集計行","",データ!O526)</f>
        <v>0</v>
      </c>
      <c r="Q529" s="48">
        <f>データ!P526</f>
        <v>0</v>
      </c>
      <c r="R529" s="39">
        <f>IF(OR($C529="総括",$C529="内訳書",$C529="内訳代価",$C529="明細書",$C529="明細代価",$C529="代価表",$C529="単価表"),データ!Q526,"")</f>
        <v>0</v>
      </c>
      <c r="S529" s="11" t="str">
        <f t="shared" si="50"/>
        <v/>
      </c>
      <c r="T529" s="46" t="e">
        <f t="shared" si="51"/>
        <v>#DIV/0!</v>
      </c>
      <c r="U529" s="40" t="str">
        <f>IF(データ!R526="","",データ!R526)</f>
        <v/>
      </c>
      <c r="V529" s="41" t="str">
        <f>IF(データ!S526="","",データ!S526)</f>
        <v/>
      </c>
      <c r="W529" s="42">
        <f>データ!T526</f>
        <v>0</v>
      </c>
      <c r="X529" s="48">
        <f>IF($C529="集計行","",データ!U526)</f>
        <v>0</v>
      </c>
      <c r="Y529" s="48">
        <f>データ!V526</f>
        <v>0</v>
      </c>
      <c r="Z529" s="39">
        <f>IF(OR($C529="総括",$C529="内訳書",$C529="内訳代価",$C529="明細書",$C529="明細代価",$C529="代価表",$C529="単価表"),データ!W526,"")</f>
        <v>0</v>
      </c>
      <c r="AA529" s="11" t="str">
        <f t="shared" si="52"/>
        <v/>
      </c>
      <c r="AB529" s="46" t="e">
        <f t="shared" si="53"/>
        <v>#DIV/0!</v>
      </c>
      <c r="AC529" s="40" t="str">
        <f>IF(データ!X526="","",データ!X526)</f>
        <v/>
      </c>
      <c r="AD529" s="41" t="str">
        <f>IF(データ!Y526="","",データ!Y526)</f>
        <v/>
      </c>
      <c r="AE529" s="47" t="str">
        <f>TRIM(データ!B526)</f>
        <v/>
      </c>
      <c r="AF529" s="43" t="str">
        <f>TRIM(データ!Z526)</f>
        <v/>
      </c>
    </row>
    <row r="530" spans="1:32" x14ac:dyDescent="0.15">
      <c r="A530" s="47">
        <f>データ!A527</f>
        <v>2</v>
      </c>
      <c r="B530" s="47" t="str">
        <f>TRIM(データ!C527)</f>
        <v/>
      </c>
      <c r="C530" s="47" t="str">
        <f>TRIM(データ!D527)</f>
        <v>内訳書</v>
      </c>
      <c r="D530" s="36" t="str">
        <f>REPT("｜",$A530)&amp;TRIM(データ!E527)</f>
        <v>｜｜擁壁ブロック設置</v>
      </c>
      <c r="E530" s="37" t="str">
        <f>TRIM(データ!F527)</f>
        <v/>
      </c>
      <c r="F530" s="38" t="str">
        <f>TRIM(データ!G527)</f>
        <v>ｍ</v>
      </c>
      <c r="G530" s="50">
        <f>データ!H527</f>
        <v>55</v>
      </c>
      <c r="H530" s="48">
        <f>データ!I527</f>
        <v>48700</v>
      </c>
      <c r="I530" s="48">
        <f>データ!J527</f>
        <v>2678500</v>
      </c>
      <c r="J530" s="39">
        <f>IF(OR($C530="総括",$C530="内訳書",$C530="内訳代価",$C530="明細書",$C530="明細代価",$C530="代価表",$C530="単価表"),データ!K527,"")</f>
        <v>55</v>
      </c>
      <c r="K530" s="11" t="str">
        <f t="shared" si="48"/>
        <v/>
      </c>
      <c r="L530" s="46">
        <f t="shared" si="49"/>
        <v>3.8565648712078675E-2</v>
      </c>
      <c r="M530" s="40" t="str">
        <f>IF(データ!L527="","",データ!L527)</f>
        <v/>
      </c>
      <c r="N530" s="41" t="str">
        <f>IF(データ!M527="","",データ!M527)</f>
        <v>64号内訳書</v>
      </c>
      <c r="O530" s="42">
        <f>データ!N527</f>
        <v>0</v>
      </c>
      <c r="P530" s="48">
        <f>IF($C530="集計行","",データ!O527)</f>
        <v>0</v>
      </c>
      <c r="Q530" s="48">
        <f>データ!P527</f>
        <v>0</v>
      </c>
      <c r="R530" s="39">
        <f>IF(OR($C530="総括",$C530="内訳書",$C530="内訳代価",$C530="明細書",$C530="明細代価",$C530="代価表",$C530="単価表"),データ!Q527,"")</f>
        <v>0</v>
      </c>
      <c r="S530" s="11" t="str">
        <f t="shared" si="50"/>
        <v/>
      </c>
      <c r="T530" s="46" t="e">
        <f t="shared" si="51"/>
        <v>#DIV/0!</v>
      </c>
      <c r="U530" s="40" t="str">
        <f>IF(データ!R527="","",データ!R527)</f>
        <v/>
      </c>
      <c r="V530" s="41" t="str">
        <f>IF(データ!S527="","",データ!S527)</f>
        <v/>
      </c>
      <c r="W530" s="42">
        <f>データ!T527</f>
        <v>0</v>
      </c>
      <c r="X530" s="48">
        <f>IF($C530="集計行","",データ!U527)</f>
        <v>0</v>
      </c>
      <c r="Y530" s="48">
        <f>データ!V527</f>
        <v>0</v>
      </c>
      <c r="Z530" s="39">
        <f>IF(OR($C530="総括",$C530="内訳書",$C530="内訳代価",$C530="明細書",$C530="明細代価",$C530="代価表",$C530="単価表"),データ!W527,"")</f>
        <v>0</v>
      </c>
      <c r="AA530" s="11" t="str">
        <f t="shared" si="52"/>
        <v/>
      </c>
      <c r="AB530" s="46" t="e">
        <f t="shared" si="53"/>
        <v>#DIV/0!</v>
      </c>
      <c r="AC530" s="40" t="str">
        <f>IF(データ!X527="","",データ!X527)</f>
        <v/>
      </c>
      <c r="AD530" s="41" t="str">
        <f>IF(データ!Y527="","",データ!Y527)</f>
        <v/>
      </c>
      <c r="AE530" s="47" t="str">
        <f>TRIM(データ!B527)</f>
        <v/>
      </c>
      <c r="AF530" s="43" t="str">
        <f>TRIM(データ!Z527)</f>
        <v/>
      </c>
    </row>
    <row r="531" spans="1:32" x14ac:dyDescent="0.15">
      <c r="A531" s="47">
        <f>データ!A528</f>
        <v>3</v>
      </c>
      <c r="B531" s="47" t="str">
        <f>TRIM(データ!C528)</f>
        <v/>
      </c>
      <c r="C531" s="47" t="str">
        <f>TRIM(データ!D528)</f>
        <v>材料費</v>
      </c>
      <c r="D531" s="36" t="str">
        <f>REPT("｜",$A531)&amp;TRIM(データ!E528)</f>
        <v>｜｜｜生コン</v>
      </c>
      <c r="E531" s="37" t="str">
        <f>TRIM(データ!F528)</f>
        <v/>
      </c>
      <c r="F531" s="38" t="str">
        <f>TRIM(データ!G528)</f>
        <v>m3</v>
      </c>
      <c r="G531" s="50">
        <f>データ!H528</f>
        <v>30</v>
      </c>
      <c r="H531" s="48">
        <f>データ!I528</f>
        <v>30000</v>
      </c>
      <c r="I531" s="48">
        <f>データ!J528</f>
        <v>900000</v>
      </c>
      <c r="J531" s="39" t="str">
        <f>IF(OR($C531="総括",$C531="内訳書",$C531="内訳代価",$C531="明細書",$C531="明細代価",$C531="代価表",$C531="単価表"),データ!K528,"")</f>
        <v/>
      </c>
      <c r="K531" s="11" t="str">
        <f t="shared" si="48"/>
        <v/>
      </c>
      <c r="L531" s="46">
        <f t="shared" si="49"/>
        <v>1.2958403524685759E-2</v>
      </c>
      <c r="M531" s="40" t="str">
        <f>IF(データ!L528="","",データ!L528)</f>
        <v/>
      </c>
      <c r="N531" s="41" t="str">
        <f>IF(データ!M528="","",データ!M528)</f>
        <v/>
      </c>
      <c r="O531" s="42">
        <f>データ!N528</f>
        <v>0</v>
      </c>
      <c r="P531" s="48">
        <f>IF($C531="集計行","",データ!O528)</f>
        <v>0</v>
      </c>
      <c r="Q531" s="48">
        <f>データ!P528</f>
        <v>0</v>
      </c>
      <c r="R531" s="39" t="str">
        <f>IF(OR($C531="総括",$C531="内訳書",$C531="内訳代価",$C531="明細書",$C531="明細代価",$C531="代価表",$C531="単価表"),データ!Q528,"")</f>
        <v/>
      </c>
      <c r="S531" s="11" t="str">
        <f t="shared" si="50"/>
        <v/>
      </c>
      <c r="T531" s="46" t="e">
        <f t="shared" si="51"/>
        <v>#DIV/0!</v>
      </c>
      <c r="U531" s="40" t="str">
        <f>IF(データ!R528="","",データ!R528)</f>
        <v/>
      </c>
      <c r="V531" s="41" t="str">
        <f>IF(データ!S528="","",データ!S528)</f>
        <v/>
      </c>
      <c r="W531" s="42">
        <f>データ!T528</f>
        <v>0</v>
      </c>
      <c r="X531" s="48">
        <f>IF($C531="集計行","",データ!U528)</f>
        <v>0</v>
      </c>
      <c r="Y531" s="48">
        <f>データ!V528</f>
        <v>0</v>
      </c>
      <c r="Z531" s="39" t="str">
        <f>IF(OR($C531="総括",$C531="内訳書",$C531="内訳代価",$C531="明細書",$C531="明細代価",$C531="代価表",$C531="単価表"),データ!W528,"")</f>
        <v/>
      </c>
      <c r="AA531" s="11" t="str">
        <f t="shared" si="52"/>
        <v/>
      </c>
      <c r="AB531" s="46" t="e">
        <f t="shared" si="53"/>
        <v>#DIV/0!</v>
      </c>
      <c r="AC531" s="40" t="str">
        <f>IF(データ!X528="","",データ!X528)</f>
        <v/>
      </c>
      <c r="AD531" s="41" t="str">
        <f>IF(データ!Y528="","",データ!Y528)</f>
        <v/>
      </c>
      <c r="AE531" s="47" t="str">
        <f>TRIM(データ!B528)</f>
        <v/>
      </c>
      <c r="AF531" s="43" t="str">
        <f>TRIM(データ!Z528)</f>
        <v/>
      </c>
    </row>
    <row r="532" spans="1:32" x14ac:dyDescent="0.15">
      <c r="A532" s="47">
        <f>データ!A529</f>
        <v>3</v>
      </c>
      <c r="B532" s="47" t="str">
        <f>TRIM(データ!C529)</f>
        <v/>
      </c>
      <c r="C532" s="47" t="str">
        <f>TRIM(データ!D529)</f>
        <v>労務費</v>
      </c>
      <c r="D532" s="36" t="str">
        <f>REPT("｜",$A532)&amp;TRIM(データ!E529)</f>
        <v>｜｜｜技工</v>
      </c>
      <c r="E532" s="37" t="str">
        <f>TRIM(データ!F529)</f>
        <v/>
      </c>
      <c r="F532" s="38" t="str">
        <f>TRIM(データ!G529)</f>
        <v>人</v>
      </c>
      <c r="G532" s="50">
        <f>データ!H529</f>
        <v>30</v>
      </c>
      <c r="H532" s="48">
        <f>データ!I529</f>
        <v>28000</v>
      </c>
      <c r="I532" s="48">
        <f>データ!J529</f>
        <v>840000</v>
      </c>
      <c r="J532" s="39" t="str">
        <f>IF(OR($C532="総括",$C532="内訳書",$C532="内訳代価",$C532="明細書",$C532="明細代価",$C532="代価表",$C532="単価表"),データ!K529,"")</f>
        <v/>
      </c>
      <c r="K532" s="11" t="str">
        <f t="shared" si="48"/>
        <v/>
      </c>
      <c r="L532" s="46">
        <f t="shared" si="49"/>
        <v>1.2094509956373374E-2</v>
      </c>
      <c r="M532" s="40" t="str">
        <f>IF(データ!L529="","",データ!L529)</f>
        <v/>
      </c>
      <c r="N532" s="41" t="str">
        <f>IF(データ!M529="","",データ!M529)</f>
        <v/>
      </c>
      <c r="O532" s="42">
        <f>データ!N529</f>
        <v>0</v>
      </c>
      <c r="P532" s="48">
        <f>IF($C532="集計行","",データ!O529)</f>
        <v>0</v>
      </c>
      <c r="Q532" s="48">
        <f>データ!P529</f>
        <v>0</v>
      </c>
      <c r="R532" s="39" t="str">
        <f>IF(OR($C532="総括",$C532="内訳書",$C532="内訳代価",$C532="明細書",$C532="明細代価",$C532="代価表",$C532="単価表"),データ!Q529,"")</f>
        <v/>
      </c>
      <c r="S532" s="11" t="str">
        <f t="shared" si="50"/>
        <v/>
      </c>
      <c r="T532" s="46" t="e">
        <f t="shared" si="51"/>
        <v>#DIV/0!</v>
      </c>
      <c r="U532" s="40" t="str">
        <f>IF(データ!R529="","",データ!R529)</f>
        <v/>
      </c>
      <c r="V532" s="41" t="str">
        <f>IF(データ!S529="","",データ!S529)</f>
        <v/>
      </c>
      <c r="W532" s="42">
        <f>データ!T529</f>
        <v>0</v>
      </c>
      <c r="X532" s="48">
        <f>IF($C532="集計行","",データ!U529)</f>
        <v>0</v>
      </c>
      <c r="Y532" s="48">
        <f>データ!V529</f>
        <v>0</v>
      </c>
      <c r="Z532" s="39" t="str">
        <f>IF(OR($C532="総括",$C532="内訳書",$C532="内訳代価",$C532="明細書",$C532="明細代価",$C532="代価表",$C532="単価表"),データ!W529,"")</f>
        <v/>
      </c>
      <c r="AA532" s="11" t="str">
        <f t="shared" si="52"/>
        <v/>
      </c>
      <c r="AB532" s="46" t="e">
        <f t="shared" si="53"/>
        <v>#DIV/0!</v>
      </c>
      <c r="AC532" s="40" t="str">
        <f>IF(データ!X529="","",データ!X529)</f>
        <v/>
      </c>
      <c r="AD532" s="41" t="str">
        <f>IF(データ!Y529="","",データ!Y529)</f>
        <v/>
      </c>
      <c r="AE532" s="47" t="str">
        <f>TRIM(データ!B529)</f>
        <v/>
      </c>
      <c r="AF532" s="43" t="str">
        <f>TRIM(データ!Z529)</f>
        <v/>
      </c>
    </row>
    <row r="533" spans="1:32" x14ac:dyDescent="0.15">
      <c r="A533" s="47">
        <f>データ!A530</f>
        <v>3</v>
      </c>
      <c r="B533" s="47" t="str">
        <f>TRIM(データ!C530)</f>
        <v/>
      </c>
      <c r="C533" s="47" t="str">
        <f>TRIM(データ!D530)</f>
        <v>機械費</v>
      </c>
      <c r="D533" s="36" t="str">
        <f>REPT("｜",$A533)&amp;TRIM(データ!E530)</f>
        <v>｜｜｜ポンプ車</v>
      </c>
      <c r="E533" s="37" t="str">
        <f>TRIM(データ!F530)</f>
        <v/>
      </c>
      <c r="F533" s="38" t="str">
        <f>TRIM(データ!G530)</f>
        <v>台</v>
      </c>
      <c r="G533" s="50">
        <f>データ!H530</f>
        <v>6</v>
      </c>
      <c r="H533" s="48">
        <f>データ!I530</f>
        <v>60000</v>
      </c>
      <c r="I533" s="48">
        <f>データ!J530</f>
        <v>360000</v>
      </c>
      <c r="J533" s="39" t="str">
        <f>IF(OR($C533="総括",$C533="内訳書",$C533="内訳代価",$C533="明細書",$C533="明細代価",$C533="代価表",$C533="単価表"),データ!K530,"")</f>
        <v/>
      </c>
      <c r="K533" s="11" t="str">
        <f t="shared" si="48"/>
        <v/>
      </c>
      <c r="L533" s="46">
        <f t="shared" si="49"/>
        <v>5.1833614098743038E-3</v>
      </c>
      <c r="M533" s="40" t="str">
        <f>IF(データ!L530="","",データ!L530)</f>
        <v/>
      </c>
      <c r="N533" s="41" t="str">
        <f>IF(データ!M530="","",データ!M530)</f>
        <v/>
      </c>
      <c r="O533" s="42">
        <f>データ!N530</f>
        <v>0</v>
      </c>
      <c r="P533" s="48">
        <f>IF($C533="集計行","",データ!O530)</f>
        <v>0</v>
      </c>
      <c r="Q533" s="48">
        <f>データ!P530</f>
        <v>0</v>
      </c>
      <c r="R533" s="39" t="str">
        <f>IF(OR($C533="総括",$C533="内訳書",$C533="内訳代価",$C533="明細書",$C533="明細代価",$C533="代価表",$C533="単価表"),データ!Q530,"")</f>
        <v/>
      </c>
      <c r="S533" s="11" t="str">
        <f t="shared" si="50"/>
        <v/>
      </c>
      <c r="T533" s="46" t="e">
        <f t="shared" si="51"/>
        <v>#DIV/0!</v>
      </c>
      <c r="U533" s="40" t="str">
        <f>IF(データ!R530="","",データ!R530)</f>
        <v/>
      </c>
      <c r="V533" s="41" t="str">
        <f>IF(データ!S530="","",データ!S530)</f>
        <v/>
      </c>
      <c r="W533" s="42">
        <f>データ!T530</f>
        <v>0</v>
      </c>
      <c r="X533" s="48">
        <f>IF($C533="集計行","",データ!U530)</f>
        <v>0</v>
      </c>
      <c r="Y533" s="48">
        <f>データ!V530</f>
        <v>0</v>
      </c>
      <c r="Z533" s="39" t="str">
        <f>IF(OR($C533="総括",$C533="内訳書",$C533="内訳代価",$C533="明細書",$C533="明細代価",$C533="代価表",$C533="単価表"),データ!W530,"")</f>
        <v/>
      </c>
      <c r="AA533" s="11" t="str">
        <f t="shared" si="52"/>
        <v/>
      </c>
      <c r="AB533" s="46" t="e">
        <f t="shared" si="53"/>
        <v>#DIV/0!</v>
      </c>
      <c r="AC533" s="40" t="str">
        <f>IF(データ!X530="","",データ!X530)</f>
        <v/>
      </c>
      <c r="AD533" s="41" t="str">
        <f>IF(データ!Y530="","",データ!Y530)</f>
        <v/>
      </c>
      <c r="AE533" s="47" t="str">
        <f>TRIM(データ!B530)</f>
        <v/>
      </c>
      <c r="AF533" s="43" t="str">
        <f>TRIM(データ!Z530)</f>
        <v/>
      </c>
    </row>
    <row r="534" spans="1:32" x14ac:dyDescent="0.15">
      <c r="A534" s="47">
        <f>データ!A531</f>
        <v>3</v>
      </c>
      <c r="B534" s="47" t="str">
        <f>TRIM(データ!C531)</f>
        <v/>
      </c>
      <c r="C534" s="47" t="str">
        <f>TRIM(データ!D531)</f>
        <v>機械費</v>
      </c>
      <c r="D534" s="36" t="str">
        <f>REPT("｜",$A534)&amp;TRIM(データ!E531)</f>
        <v>｜｜｜BH0.15</v>
      </c>
      <c r="E534" s="37" t="str">
        <f>TRIM(データ!F531)</f>
        <v/>
      </c>
      <c r="F534" s="38" t="str">
        <f>TRIM(データ!G531)</f>
        <v>台</v>
      </c>
      <c r="G534" s="50">
        <f>データ!H531</f>
        <v>6</v>
      </c>
      <c r="H534" s="48">
        <f>データ!I531</f>
        <v>8000</v>
      </c>
      <c r="I534" s="48">
        <f>データ!J531</f>
        <v>48000</v>
      </c>
      <c r="J534" s="39" t="str">
        <f>IF(OR($C534="総括",$C534="内訳書",$C534="内訳代価",$C534="明細書",$C534="明細代価",$C534="代価表",$C534="単価表"),データ!K531,"")</f>
        <v/>
      </c>
      <c r="K534" s="11" t="str">
        <f t="shared" si="48"/>
        <v/>
      </c>
      <c r="L534" s="46">
        <f t="shared" si="49"/>
        <v>6.911148546499071E-4</v>
      </c>
      <c r="M534" s="40" t="str">
        <f>IF(データ!L531="","",データ!L531)</f>
        <v/>
      </c>
      <c r="N534" s="41" t="str">
        <f>IF(データ!M531="","",データ!M531)</f>
        <v/>
      </c>
      <c r="O534" s="42">
        <f>データ!N531</f>
        <v>0</v>
      </c>
      <c r="P534" s="48">
        <f>IF($C534="集計行","",データ!O531)</f>
        <v>0</v>
      </c>
      <c r="Q534" s="48">
        <f>データ!P531</f>
        <v>0</v>
      </c>
      <c r="R534" s="39" t="str">
        <f>IF(OR($C534="総括",$C534="内訳書",$C534="内訳代価",$C534="明細書",$C534="明細代価",$C534="代価表",$C534="単価表"),データ!Q531,"")</f>
        <v/>
      </c>
      <c r="S534" s="11" t="str">
        <f t="shared" si="50"/>
        <v/>
      </c>
      <c r="T534" s="46" t="e">
        <f t="shared" si="51"/>
        <v>#DIV/0!</v>
      </c>
      <c r="U534" s="40" t="str">
        <f>IF(データ!R531="","",データ!R531)</f>
        <v/>
      </c>
      <c r="V534" s="41" t="str">
        <f>IF(データ!S531="","",データ!S531)</f>
        <v/>
      </c>
      <c r="W534" s="42">
        <f>データ!T531</f>
        <v>0</v>
      </c>
      <c r="X534" s="48">
        <f>IF($C534="集計行","",データ!U531)</f>
        <v>0</v>
      </c>
      <c r="Y534" s="48">
        <f>データ!V531</f>
        <v>0</v>
      </c>
      <c r="Z534" s="39" t="str">
        <f>IF(OR($C534="総括",$C534="内訳書",$C534="内訳代価",$C534="明細書",$C534="明細代価",$C534="代価表",$C534="単価表"),データ!W531,"")</f>
        <v/>
      </c>
      <c r="AA534" s="11" t="str">
        <f t="shared" si="52"/>
        <v/>
      </c>
      <c r="AB534" s="46" t="e">
        <f t="shared" si="53"/>
        <v>#DIV/0!</v>
      </c>
      <c r="AC534" s="40" t="str">
        <f>IF(データ!X531="","",データ!X531)</f>
        <v/>
      </c>
      <c r="AD534" s="41" t="str">
        <f>IF(データ!Y531="","",データ!Y531)</f>
        <v/>
      </c>
      <c r="AE534" s="47" t="str">
        <f>TRIM(データ!B531)</f>
        <v/>
      </c>
      <c r="AF534" s="43" t="str">
        <f>TRIM(データ!Z531)</f>
        <v/>
      </c>
    </row>
    <row r="535" spans="1:32" x14ac:dyDescent="0.15">
      <c r="A535" s="47">
        <f>データ!A532</f>
        <v>3</v>
      </c>
      <c r="B535" s="47" t="str">
        <f>TRIM(データ!C532)</f>
        <v/>
      </c>
      <c r="C535" s="47" t="str">
        <f>TRIM(データ!D532)</f>
        <v>材料費</v>
      </c>
      <c r="D535" s="36" t="str">
        <f>REPT("｜",$A535)&amp;TRIM(データ!E532)</f>
        <v>｜｜｜型枠材</v>
      </c>
      <c r="E535" s="37" t="str">
        <f>TRIM(データ!F532)</f>
        <v/>
      </c>
      <c r="F535" s="38" t="str">
        <f>TRIM(データ!G532)</f>
        <v>式</v>
      </c>
      <c r="G535" s="50">
        <f>データ!H532</f>
        <v>1</v>
      </c>
      <c r="H535" s="48">
        <f>データ!I532</f>
        <v>200000</v>
      </c>
      <c r="I535" s="48">
        <f>データ!J532</f>
        <v>200000</v>
      </c>
      <c r="J535" s="39" t="str">
        <f>IF(OR($C535="総括",$C535="内訳書",$C535="内訳代価",$C535="明細書",$C535="明細代価",$C535="代価表",$C535="単価表"),データ!K532,"")</f>
        <v/>
      </c>
      <c r="K535" s="11" t="str">
        <f t="shared" si="48"/>
        <v/>
      </c>
      <c r="L535" s="46">
        <f t="shared" si="49"/>
        <v>2.8796452277079464E-3</v>
      </c>
      <c r="M535" s="40" t="str">
        <f>IF(データ!L532="","",データ!L532)</f>
        <v/>
      </c>
      <c r="N535" s="41" t="str">
        <f>IF(データ!M532="","",データ!M532)</f>
        <v/>
      </c>
      <c r="O535" s="42">
        <f>データ!N532</f>
        <v>0</v>
      </c>
      <c r="P535" s="48">
        <f>IF($C535="集計行","",データ!O532)</f>
        <v>0</v>
      </c>
      <c r="Q535" s="48">
        <f>データ!P532</f>
        <v>0</v>
      </c>
      <c r="R535" s="39" t="str">
        <f>IF(OR($C535="総括",$C535="内訳書",$C535="内訳代価",$C535="明細書",$C535="明細代価",$C535="代価表",$C535="単価表"),データ!Q532,"")</f>
        <v/>
      </c>
      <c r="S535" s="11" t="str">
        <f t="shared" si="50"/>
        <v/>
      </c>
      <c r="T535" s="46" t="e">
        <f t="shared" si="51"/>
        <v>#DIV/0!</v>
      </c>
      <c r="U535" s="40" t="str">
        <f>IF(データ!R532="","",データ!R532)</f>
        <v/>
      </c>
      <c r="V535" s="41" t="str">
        <f>IF(データ!S532="","",データ!S532)</f>
        <v/>
      </c>
      <c r="W535" s="42">
        <f>データ!T532</f>
        <v>0</v>
      </c>
      <c r="X535" s="48">
        <f>IF($C535="集計行","",データ!U532)</f>
        <v>0</v>
      </c>
      <c r="Y535" s="48">
        <f>データ!V532</f>
        <v>0</v>
      </c>
      <c r="Z535" s="39" t="str">
        <f>IF(OR($C535="総括",$C535="内訳書",$C535="内訳代価",$C535="明細書",$C535="明細代価",$C535="代価表",$C535="単価表"),データ!W532,"")</f>
        <v/>
      </c>
      <c r="AA535" s="11" t="str">
        <f t="shared" si="52"/>
        <v/>
      </c>
      <c r="AB535" s="46" t="e">
        <f t="shared" si="53"/>
        <v>#DIV/0!</v>
      </c>
      <c r="AC535" s="40" t="str">
        <f>IF(データ!X532="","",データ!X532)</f>
        <v/>
      </c>
      <c r="AD535" s="41" t="str">
        <f>IF(データ!Y532="","",データ!Y532)</f>
        <v/>
      </c>
      <c r="AE535" s="47" t="str">
        <f>TRIM(データ!B532)</f>
        <v/>
      </c>
      <c r="AF535" s="43" t="str">
        <f>TRIM(データ!Z532)</f>
        <v/>
      </c>
    </row>
    <row r="536" spans="1:32" x14ac:dyDescent="0.15">
      <c r="A536" s="47">
        <f>データ!A533</f>
        <v>3</v>
      </c>
      <c r="B536" s="47" t="str">
        <f>TRIM(データ!C533)</f>
        <v/>
      </c>
      <c r="C536" s="47" t="str">
        <f>TRIM(データ!D533)</f>
        <v>運搬費</v>
      </c>
      <c r="D536" s="36" t="str">
        <f>REPT("｜",$A536)&amp;TRIM(データ!E533)</f>
        <v>｜｜｜4tダンプ</v>
      </c>
      <c r="E536" s="37" t="str">
        <f>TRIM(データ!F533)</f>
        <v/>
      </c>
      <c r="F536" s="38" t="str">
        <f>TRIM(データ!G533)</f>
        <v>台</v>
      </c>
      <c r="G536" s="50">
        <f>データ!H533</f>
        <v>6</v>
      </c>
      <c r="H536" s="48">
        <f>データ!I533</f>
        <v>10000</v>
      </c>
      <c r="I536" s="48">
        <f>データ!J533</f>
        <v>60000</v>
      </c>
      <c r="J536" s="39" t="str">
        <f>IF(OR($C536="総括",$C536="内訳書",$C536="内訳代価",$C536="明細書",$C536="明細代価",$C536="代価表",$C536="単価表"),データ!K533,"")</f>
        <v/>
      </c>
      <c r="K536" s="11" t="str">
        <f t="shared" si="48"/>
        <v/>
      </c>
      <c r="L536" s="46">
        <f t="shared" si="49"/>
        <v>8.6389356831238393E-4</v>
      </c>
      <c r="M536" s="40" t="str">
        <f>IF(データ!L533="","",データ!L533)</f>
        <v/>
      </c>
      <c r="N536" s="41" t="str">
        <f>IF(データ!M533="","",データ!M533)</f>
        <v/>
      </c>
      <c r="O536" s="42">
        <f>データ!N533</f>
        <v>0</v>
      </c>
      <c r="P536" s="48">
        <f>IF($C536="集計行","",データ!O533)</f>
        <v>0</v>
      </c>
      <c r="Q536" s="48">
        <f>データ!P533</f>
        <v>0</v>
      </c>
      <c r="R536" s="39" t="str">
        <f>IF(OR($C536="総括",$C536="内訳書",$C536="内訳代価",$C536="明細書",$C536="明細代価",$C536="代価表",$C536="単価表"),データ!Q533,"")</f>
        <v/>
      </c>
      <c r="S536" s="11" t="str">
        <f t="shared" si="50"/>
        <v/>
      </c>
      <c r="T536" s="46" t="e">
        <f t="shared" si="51"/>
        <v>#DIV/0!</v>
      </c>
      <c r="U536" s="40" t="str">
        <f>IF(データ!R533="","",データ!R533)</f>
        <v/>
      </c>
      <c r="V536" s="41" t="str">
        <f>IF(データ!S533="","",データ!S533)</f>
        <v/>
      </c>
      <c r="W536" s="42">
        <f>データ!T533</f>
        <v>0</v>
      </c>
      <c r="X536" s="48">
        <f>IF($C536="集計行","",データ!U533)</f>
        <v>0</v>
      </c>
      <c r="Y536" s="48">
        <f>データ!V533</f>
        <v>0</v>
      </c>
      <c r="Z536" s="39" t="str">
        <f>IF(OR($C536="総括",$C536="内訳書",$C536="内訳代価",$C536="明細書",$C536="明細代価",$C536="代価表",$C536="単価表"),データ!W533,"")</f>
        <v/>
      </c>
      <c r="AA536" s="11" t="str">
        <f t="shared" si="52"/>
        <v/>
      </c>
      <c r="AB536" s="46" t="e">
        <f t="shared" si="53"/>
        <v>#DIV/0!</v>
      </c>
      <c r="AC536" s="40" t="str">
        <f>IF(データ!X533="","",データ!X533)</f>
        <v/>
      </c>
      <c r="AD536" s="41" t="str">
        <f>IF(データ!Y533="","",データ!Y533)</f>
        <v/>
      </c>
      <c r="AE536" s="47" t="str">
        <f>TRIM(データ!B533)</f>
        <v/>
      </c>
      <c r="AF536" s="43" t="str">
        <f>TRIM(データ!Z533)</f>
        <v/>
      </c>
    </row>
    <row r="537" spans="1:32" x14ac:dyDescent="0.15">
      <c r="A537" s="47">
        <f>データ!A534</f>
        <v>3</v>
      </c>
      <c r="B537" s="47" t="str">
        <f>TRIM(データ!C534)</f>
        <v/>
      </c>
      <c r="C537" s="47" t="str">
        <f>TRIM(データ!D534)</f>
        <v>運搬費</v>
      </c>
      <c r="D537" s="36" t="str">
        <f>REPT("｜",$A537)&amp;TRIM(データ!E534)</f>
        <v>｜｜｜2tダンプ</v>
      </c>
      <c r="E537" s="37" t="str">
        <f>TRIM(データ!F534)</f>
        <v/>
      </c>
      <c r="F537" s="38" t="str">
        <f>TRIM(データ!G534)</f>
        <v>台</v>
      </c>
      <c r="G537" s="50">
        <f>データ!H534</f>
        <v>6</v>
      </c>
      <c r="H537" s="48">
        <f>データ!I534</f>
        <v>7000</v>
      </c>
      <c r="I537" s="48">
        <f>データ!J534</f>
        <v>42000</v>
      </c>
      <c r="J537" s="39" t="str">
        <f>IF(OR($C537="総括",$C537="内訳書",$C537="内訳代価",$C537="明細書",$C537="明細代価",$C537="代価表",$C537="単価表"),データ!K534,"")</f>
        <v/>
      </c>
      <c r="K537" s="11" t="str">
        <f t="shared" si="48"/>
        <v/>
      </c>
      <c r="L537" s="46">
        <f t="shared" si="49"/>
        <v>6.0472549781866874E-4</v>
      </c>
      <c r="M537" s="40" t="str">
        <f>IF(データ!L534="","",データ!L534)</f>
        <v/>
      </c>
      <c r="N537" s="41" t="str">
        <f>IF(データ!M534="","",データ!M534)</f>
        <v/>
      </c>
      <c r="O537" s="42">
        <f>データ!N534</f>
        <v>0</v>
      </c>
      <c r="P537" s="48">
        <f>IF($C537="集計行","",データ!O534)</f>
        <v>0</v>
      </c>
      <c r="Q537" s="48">
        <f>データ!P534</f>
        <v>0</v>
      </c>
      <c r="R537" s="39" t="str">
        <f>IF(OR($C537="総括",$C537="内訳書",$C537="内訳代価",$C537="明細書",$C537="明細代価",$C537="代価表",$C537="単価表"),データ!Q534,"")</f>
        <v/>
      </c>
      <c r="S537" s="11" t="str">
        <f t="shared" si="50"/>
        <v/>
      </c>
      <c r="T537" s="46" t="e">
        <f t="shared" si="51"/>
        <v>#DIV/0!</v>
      </c>
      <c r="U537" s="40" t="str">
        <f>IF(データ!R534="","",データ!R534)</f>
        <v/>
      </c>
      <c r="V537" s="41" t="str">
        <f>IF(データ!S534="","",データ!S534)</f>
        <v/>
      </c>
      <c r="W537" s="42">
        <f>データ!T534</f>
        <v>0</v>
      </c>
      <c r="X537" s="48">
        <f>IF($C537="集計行","",データ!U534)</f>
        <v>0</v>
      </c>
      <c r="Y537" s="48">
        <f>データ!V534</f>
        <v>0</v>
      </c>
      <c r="Z537" s="39" t="str">
        <f>IF(OR($C537="総括",$C537="内訳書",$C537="内訳代価",$C537="明細書",$C537="明細代価",$C537="代価表",$C537="単価表"),データ!W534,"")</f>
        <v/>
      </c>
      <c r="AA537" s="11" t="str">
        <f t="shared" si="52"/>
        <v/>
      </c>
      <c r="AB537" s="46" t="e">
        <f t="shared" si="53"/>
        <v>#DIV/0!</v>
      </c>
      <c r="AC537" s="40" t="str">
        <f>IF(データ!X534="","",データ!X534)</f>
        <v/>
      </c>
      <c r="AD537" s="41" t="str">
        <f>IF(データ!Y534="","",データ!Y534)</f>
        <v/>
      </c>
      <c r="AE537" s="47" t="str">
        <f>TRIM(データ!B534)</f>
        <v/>
      </c>
      <c r="AF537" s="43" t="str">
        <f>TRIM(データ!Z534)</f>
        <v/>
      </c>
    </row>
    <row r="538" spans="1:32" x14ac:dyDescent="0.15">
      <c r="A538" s="47">
        <f>データ!A535</f>
        <v>3</v>
      </c>
      <c r="B538" s="47" t="str">
        <f>TRIM(データ!C535)</f>
        <v/>
      </c>
      <c r="C538" s="47" t="str">
        <f>TRIM(データ!D535)</f>
        <v>材料費</v>
      </c>
      <c r="D538" s="36" t="str">
        <f>REPT("｜",$A538)&amp;TRIM(データ!E535)</f>
        <v>｜｜｜軽油</v>
      </c>
      <c r="E538" s="37" t="str">
        <f>TRIM(データ!F535)</f>
        <v/>
      </c>
      <c r="F538" s="38" t="str">
        <f>TRIM(データ!G535)</f>
        <v>リットル</v>
      </c>
      <c r="G538" s="50">
        <f>データ!H535</f>
        <v>240</v>
      </c>
      <c r="H538" s="48">
        <f>データ!I535</f>
        <v>150</v>
      </c>
      <c r="I538" s="48">
        <f>データ!J535</f>
        <v>36000</v>
      </c>
      <c r="J538" s="39" t="str">
        <f>IF(OR($C538="総括",$C538="内訳書",$C538="内訳代価",$C538="明細書",$C538="明細代価",$C538="代価表",$C538="単価表"),データ!K535,"")</f>
        <v/>
      </c>
      <c r="K538" s="11" t="str">
        <f t="shared" si="48"/>
        <v/>
      </c>
      <c r="L538" s="46">
        <f t="shared" si="49"/>
        <v>5.1833614098743038E-4</v>
      </c>
      <c r="M538" s="40" t="str">
        <f>IF(データ!L535="","",データ!L535)</f>
        <v/>
      </c>
      <c r="N538" s="41" t="str">
        <f>IF(データ!M535="","",データ!M535)</f>
        <v/>
      </c>
      <c r="O538" s="42">
        <f>データ!N535</f>
        <v>0</v>
      </c>
      <c r="P538" s="48">
        <f>IF($C538="集計行","",データ!O535)</f>
        <v>0</v>
      </c>
      <c r="Q538" s="48">
        <f>データ!P535</f>
        <v>0</v>
      </c>
      <c r="R538" s="39" t="str">
        <f>IF(OR($C538="総括",$C538="内訳書",$C538="内訳代価",$C538="明細書",$C538="明細代価",$C538="代価表",$C538="単価表"),データ!Q535,"")</f>
        <v/>
      </c>
      <c r="S538" s="11" t="str">
        <f t="shared" si="50"/>
        <v/>
      </c>
      <c r="T538" s="46" t="e">
        <f t="shared" si="51"/>
        <v>#DIV/0!</v>
      </c>
      <c r="U538" s="40" t="str">
        <f>IF(データ!R535="","",データ!R535)</f>
        <v/>
      </c>
      <c r="V538" s="41" t="str">
        <f>IF(データ!S535="","",データ!S535)</f>
        <v/>
      </c>
      <c r="W538" s="42">
        <f>データ!T535</f>
        <v>0</v>
      </c>
      <c r="X538" s="48">
        <f>IF($C538="集計行","",データ!U535)</f>
        <v>0</v>
      </c>
      <c r="Y538" s="48">
        <f>データ!V535</f>
        <v>0</v>
      </c>
      <c r="Z538" s="39" t="str">
        <f>IF(OR($C538="総括",$C538="内訳書",$C538="内訳代価",$C538="明細書",$C538="明細代価",$C538="代価表",$C538="単価表"),データ!W535,"")</f>
        <v/>
      </c>
      <c r="AA538" s="11" t="str">
        <f t="shared" si="52"/>
        <v/>
      </c>
      <c r="AB538" s="46" t="e">
        <f t="shared" si="53"/>
        <v>#DIV/0!</v>
      </c>
      <c r="AC538" s="40" t="str">
        <f>IF(データ!X535="","",データ!X535)</f>
        <v/>
      </c>
      <c r="AD538" s="41" t="str">
        <f>IF(データ!Y535="","",データ!Y535)</f>
        <v/>
      </c>
      <c r="AE538" s="47" t="str">
        <f>TRIM(データ!B535)</f>
        <v/>
      </c>
      <c r="AF538" s="43" t="str">
        <f>TRIM(データ!Z535)</f>
        <v/>
      </c>
    </row>
    <row r="539" spans="1:32" x14ac:dyDescent="0.15">
      <c r="A539" s="47">
        <f>データ!A536</f>
        <v>3</v>
      </c>
      <c r="B539" s="47" t="str">
        <f>TRIM(データ!C536)</f>
        <v/>
      </c>
      <c r="C539" s="47" t="str">
        <f>TRIM(データ!D536)</f>
        <v>材料費</v>
      </c>
      <c r="D539" s="36" t="str">
        <f>REPT("｜",$A539)&amp;TRIM(データ!E536)</f>
        <v>｜｜｜ガソリン</v>
      </c>
      <c r="E539" s="37" t="str">
        <f>TRIM(データ!F536)</f>
        <v/>
      </c>
      <c r="F539" s="38" t="str">
        <f>TRIM(データ!G536)</f>
        <v>リットル</v>
      </c>
      <c r="G539" s="50">
        <f>データ!H536</f>
        <v>240</v>
      </c>
      <c r="H539" s="48">
        <f>データ!I536</f>
        <v>200</v>
      </c>
      <c r="I539" s="48">
        <f>データ!J536</f>
        <v>48000</v>
      </c>
      <c r="J539" s="39" t="str">
        <f>IF(OR($C539="総括",$C539="内訳書",$C539="内訳代価",$C539="明細書",$C539="明細代価",$C539="代価表",$C539="単価表"),データ!K536,"")</f>
        <v/>
      </c>
      <c r="K539" s="11" t="str">
        <f t="shared" si="48"/>
        <v/>
      </c>
      <c r="L539" s="46">
        <f t="shared" si="49"/>
        <v>6.911148546499071E-4</v>
      </c>
      <c r="M539" s="40" t="str">
        <f>IF(データ!L536="","",データ!L536)</f>
        <v/>
      </c>
      <c r="N539" s="41" t="str">
        <f>IF(データ!M536="","",データ!M536)</f>
        <v/>
      </c>
      <c r="O539" s="42">
        <f>データ!N536</f>
        <v>0</v>
      </c>
      <c r="P539" s="48">
        <f>IF($C539="集計行","",データ!O536)</f>
        <v>0</v>
      </c>
      <c r="Q539" s="48">
        <f>データ!P536</f>
        <v>0</v>
      </c>
      <c r="R539" s="39" t="str">
        <f>IF(OR($C539="総括",$C539="内訳書",$C539="内訳代価",$C539="明細書",$C539="明細代価",$C539="代価表",$C539="単価表"),データ!Q536,"")</f>
        <v/>
      </c>
      <c r="S539" s="11" t="str">
        <f t="shared" si="50"/>
        <v/>
      </c>
      <c r="T539" s="46" t="e">
        <f t="shared" si="51"/>
        <v>#DIV/0!</v>
      </c>
      <c r="U539" s="40" t="str">
        <f>IF(データ!R536="","",データ!R536)</f>
        <v/>
      </c>
      <c r="V539" s="41" t="str">
        <f>IF(データ!S536="","",データ!S536)</f>
        <v/>
      </c>
      <c r="W539" s="42">
        <f>データ!T536</f>
        <v>0</v>
      </c>
      <c r="X539" s="48">
        <f>IF($C539="集計行","",データ!U536)</f>
        <v>0</v>
      </c>
      <c r="Y539" s="48">
        <f>データ!V536</f>
        <v>0</v>
      </c>
      <c r="Z539" s="39" t="str">
        <f>IF(OR($C539="総括",$C539="内訳書",$C539="内訳代価",$C539="明細書",$C539="明細代価",$C539="代価表",$C539="単価表"),データ!W536,"")</f>
        <v/>
      </c>
      <c r="AA539" s="11" t="str">
        <f t="shared" si="52"/>
        <v/>
      </c>
      <c r="AB539" s="46" t="e">
        <f t="shared" si="53"/>
        <v>#DIV/0!</v>
      </c>
      <c r="AC539" s="40" t="str">
        <f>IF(データ!X536="","",データ!X536)</f>
        <v/>
      </c>
      <c r="AD539" s="41" t="str">
        <f>IF(データ!Y536="","",データ!Y536)</f>
        <v/>
      </c>
      <c r="AE539" s="47" t="str">
        <f>TRIM(データ!B536)</f>
        <v/>
      </c>
      <c r="AF539" s="43" t="str">
        <f>TRIM(データ!Z536)</f>
        <v/>
      </c>
    </row>
    <row r="540" spans="1:32" x14ac:dyDescent="0.15">
      <c r="A540" s="47">
        <f>データ!A537</f>
        <v>3</v>
      </c>
      <c r="B540" s="47" t="str">
        <f>TRIM(データ!C537)</f>
        <v/>
      </c>
      <c r="C540" s="47" t="str">
        <f>TRIM(データ!D537)</f>
        <v>材料費</v>
      </c>
      <c r="D540" s="36" t="str">
        <f>REPT("｜",$A540)&amp;TRIM(データ!E537)</f>
        <v>｜｜｜雑材</v>
      </c>
      <c r="E540" s="37" t="str">
        <f>TRIM(データ!F537)</f>
        <v/>
      </c>
      <c r="F540" s="38" t="str">
        <f>TRIM(データ!G537)</f>
        <v>式</v>
      </c>
      <c r="G540" s="50">
        <f>データ!H537</f>
        <v>1</v>
      </c>
      <c r="H540" s="48">
        <f>データ!I537</f>
        <v>9500</v>
      </c>
      <c r="I540" s="48">
        <f>データ!J537</f>
        <v>9500</v>
      </c>
      <c r="J540" s="39" t="str">
        <f>IF(OR($C540="総括",$C540="内訳書",$C540="内訳代価",$C540="明細書",$C540="明細代価",$C540="代価表",$C540="単価表"),データ!K537,"")</f>
        <v/>
      </c>
      <c r="K540" s="11" t="str">
        <f t="shared" si="48"/>
        <v/>
      </c>
      <c r="L540" s="46">
        <f t="shared" si="49"/>
        <v>1.3678314831612744E-4</v>
      </c>
      <c r="M540" s="40" t="str">
        <f>IF(データ!L537="","",データ!L537)</f>
        <v/>
      </c>
      <c r="N540" s="41" t="str">
        <f>IF(データ!M537="","",データ!M537)</f>
        <v/>
      </c>
      <c r="O540" s="42">
        <f>データ!N537</f>
        <v>0</v>
      </c>
      <c r="P540" s="48">
        <f>IF($C540="集計行","",データ!O537)</f>
        <v>0</v>
      </c>
      <c r="Q540" s="48">
        <f>データ!P537</f>
        <v>0</v>
      </c>
      <c r="R540" s="39" t="str">
        <f>IF(OR($C540="総括",$C540="内訳書",$C540="内訳代価",$C540="明細書",$C540="明細代価",$C540="代価表",$C540="単価表"),データ!Q537,"")</f>
        <v/>
      </c>
      <c r="S540" s="11" t="str">
        <f t="shared" si="50"/>
        <v/>
      </c>
      <c r="T540" s="46" t="e">
        <f t="shared" si="51"/>
        <v>#DIV/0!</v>
      </c>
      <c r="U540" s="40" t="str">
        <f>IF(データ!R537="","",データ!R537)</f>
        <v/>
      </c>
      <c r="V540" s="41" t="str">
        <f>IF(データ!S537="","",データ!S537)</f>
        <v/>
      </c>
      <c r="W540" s="42">
        <f>データ!T537</f>
        <v>0</v>
      </c>
      <c r="X540" s="48">
        <f>IF($C540="集計行","",データ!U537)</f>
        <v>0</v>
      </c>
      <c r="Y540" s="48">
        <f>データ!V537</f>
        <v>0</v>
      </c>
      <c r="Z540" s="39" t="str">
        <f>IF(OR($C540="総括",$C540="内訳書",$C540="内訳代価",$C540="明細書",$C540="明細代価",$C540="代価表",$C540="単価表"),データ!W537,"")</f>
        <v/>
      </c>
      <c r="AA540" s="11" t="str">
        <f t="shared" si="52"/>
        <v/>
      </c>
      <c r="AB540" s="46" t="e">
        <f t="shared" si="53"/>
        <v>#DIV/0!</v>
      </c>
      <c r="AC540" s="40" t="str">
        <f>IF(データ!X537="","",データ!X537)</f>
        <v/>
      </c>
      <c r="AD540" s="41" t="str">
        <f>IF(データ!Y537="","",データ!Y537)</f>
        <v/>
      </c>
      <c r="AE540" s="47" t="str">
        <f>TRIM(データ!B537)</f>
        <v/>
      </c>
      <c r="AF540" s="43" t="str">
        <f>TRIM(データ!Z537)</f>
        <v/>
      </c>
    </row>
    <row r="541" spans="1:32" x14ac:dyDescent="0.15">
      <c r="A541" s="47">
        <f>データ!A538</f>
        <v>3</v>
      </c>
      <c r="B541" s="47" t="str">
        <f>TRIM(データ!C538)</f>
        <v/>
      </c>
      <c r="C541" s="47" t="str">
        <f>TRIM(データ!D538)</f>
        <v>外注費</v>
      </c>
      <c r="D541" s="36" t="str">
        <f>REPT("｜",$A541)&amp;TRIM(データ!E538)</f>
        <v>｜｜｜外注経費</v>
      </c>
      <c r="E541" s="37" t="str">
        <f>TRIM(データ!F538)</f>
        <v/>
      </c>
      <c r="F541" s="38" t="str">
        <f>TRIM(データ!G538)</f>
        <v>式</v>
      </c>
      <c r="G541" s="50">
        <f>データ!H538</f>
        <v>1</v>
      </c>
      <c r="H541" s="48">
        <f>データ!I538</f>
        <v>135000</v>
      </c>
      <c r="I541" s="48">
        <f>データ!J538</f>
        <v>135000</v>
      </c>
      <c r="J541" s="39" t="str">
        <f>IF(OR($C541="総括",$C541="内訳書",$C541="内訳代価",$C541="明細書",$C541="明細代価",$C541="代価表",$C541="単価表"),データ!K538,"")</f>
        <v/>
      </c>
      <c r="K541" s="11" t="str">
        <f t="shared" si="48"/>
        <v/>
      </c>
      <c r="L541" s="46">
        <f t="shared" si="49"/>
        <v>1.9437605287028637E-3</v>
      </c>
      <c r="M541" s="40" t="str">
        <f>IF(データ!L538="","",データ!L538)</f>
        <v/>
      </c>
      <c r="N541" s="41" t="str">
        <f>IF(データ!M538="","",データ!M538)</f>
        <v/>
      </c>
      <c r="O541" s="42">
        <f>データ!N538</f>
        <v>0</v>
      </c>
      <c r="P541" s="48">
        <f>IF($C541="集計行","",データ!O538)</f>
        <v>0</v>
      </c>
      <c r="Q541" s="48">
        <f>データ!P538</f>
        <v>0</v>
      </c>
      <c r="R541" s="39" t="str">
        <f>IF(OR($C541="総括",$C541="内訳書",$C541="内訳代価",$C541="明細書",$C541="明細代価",$C541="代価表",$C541="単価表"),データ!Q538,"")</f>
        <v/>
      </c>
      <c r="S541" s="11" t="str">
        <f t="shared" si="50"/>
        <v/>
      </c>
      <c r="T541" s="46" t="e">
        <f t="shared" si="51"/>
        <v>#DIV/0!</v>
      </c>
      <c r="U541" s="40" t="str">
        <f>IF(データ!R538="","",データ!R538)</f>
        <v/>
      </c>
      <c r="V541" s="41" t="str">
        <f>IF(データ!S538="","",データ!S538)</f>
        <v/>
      </c>
      <c r="W541" s="42">
        <f>データ!T538</f>
        <v>0</v>
      </c>
      <c r="X541" s="48">
        <f>IF($C541="集計行","",データ!U538)</f>
        <v>0</v>
      </c>
      <c r="Y541" s="48">
        <f>データ!V538</f>
        <v>0</v>
      </c>
      <c r="Z541" s="39" t="str">
        <f>IF(OR($C541="総括",$C541="内訳書",$C541="内訳代価",$C541="明細書",$C541="明細代価",$C541="代価表",$C541="単価表"),データ!W538,"")</f>
        <v/>
      </c>
      <c r="AA541" s="11" t="str">
        <f t="shared" si="52"/>
        <v/>
      </c>
      <c r="AB541" s="46" t="e">
        <f t="shared" si="53"/>
        <v>#DIV/0!</v>
      </c>
      <c r="AC541" s="40" t="str">
        <f>IF(データ!X538="","",データ!X538)</f>
        <v/>
      </c>
      <c r="AD541" s="41" t="str">
        <f>IF(データ!Y538="","",データ!Y538)</f>
        <v/>
      </c>
      <c r="AE541" s="47" t="str">
        <f>TRIM(データ!B538)</f>
        <v/>
      </c>
      <c r="AF541" s="43" t="str">
        <f>TRIM(データ!Z538)</f>
        <v/>
      </c>
    </row>
    <row r="542" spans="1:32" x14ac:dyDescent="0.15">
      <c r="A542" s="47">
        <f>データ!A539</f>
        <v>2</v>
      </c>
      <c r="B542" s="47" t="str">
        <f>TRIM(データ!C539)</f>
        <v/>
      </c>
      <c r="C542" s="47" t="str">
        <f>TRIM(データ!D539)</f>
        <v>内訳書</v>
      </c>
      <c r="D542" s="36" t="str">
        <f>REPT("｜",$A542)&amp;TRIM(データ!E539)</f>
        <v>｜｜ルーバーフェンス設置</v>
      </c>
      <c r="E542" s="37" t="str">
        <f>TRIM(データ!F539)</f>
        <v/>
      </c>
      <c r="F542" s="38" t="str">
        <f>TRIM(データ!G539)</f>
        <v>ｍ</v>
      </c>
      <c r="G542" s="50">
        <f>データ!H539</f>
        <v>148.4</v>
      </c>
      <c r="H542" s="48">
        <f>データ!I539</f>
        <v>39250</v>
      </c>
      <c r="I542" s="48">
        <f>データ!J539</f>
        <v>5824700</v>
      </c>
      <c r="J542" s="39">
        <f>IF(OR($C542="総括",$C542="内訳書",$C542="内訳代価",$C542="明細書",$C542="明細代価",$C542="代価表",$C542="単価表"),データ!K539,"")</f>
        <v>148.4</v>
      </c>
      <c r="K542" s="11" t="str">
        <f t="shared" si="48"/>
        <v/>
      </c>
      <c r="L542" s="46">
        <f t="shared" si="49"/>
        <v>8.3865347789152375E-2</v>
      </c>
      <c r="M542" s="40" t="str">
        <f>IF(データ!L539="","",データ!L539)</f>
        <v/>
      </c>
      <c r="N542" s="41" t="str">
        <f>IF(データ!M539="","",データ!M539)</f>
        <v>65号内訳書</v>
      </c>
      <c r="O542" s="42">
        <f>データ!N539</f>
        <v>0</v>
      </c>
      <c r="P542" s="48">
        <f>IF($C542="集計行","",データ!O539)</f>
        <v>0</v>
      </c>
      <c r="Q542" s="48">
        <f>データ!P539</f>
        <v>0</v>
      </c>
      <c r="R542" s="39">
        <f>IF(OR($C542="総括",$C542="内訳書",$C542="内訳代価",$C542="明細書",$C542="明細代価",$C542="代価表",$C542="単価表"),データ!Q539,"")</f>
        <v>0</v>
      </c>
      <c r="S542" s="11" t="str">
        <f t="shared" si="50"/>
        <v/>
      </c>
      <c r="T542" s="46" t="e">
        <f t="shared" si="51"/>
        <v>#DIV/0!</v>
      </c>
      <c r="U542" s="40" t="str">
        <f>IF(データ!R539="","",データ!R539)</f>
        <v/>
      </c>
      <c r="V542" s="41" t="str">
        <f>IF(データ!S539="","",データ!S539)</f>
        <v/>
      </c>
      <c r="W542" s="42">
        <f>データ!T539</f>
        <v>0</v>
      </c>
      <c r="X542" s="48">
        <f>IF($C542="集計行","",データ!U539)</f>
        <v>0</v>
      </c>
      <c r="Y542" s="48">
        <f>データ!V539</f>
        <v>0</v>
      </c>
      <c r="Z542" s="39">
        <f>IF(OR($C542="総括",$C542="内訳書",$C542="内訳代価",$C542="明細書",$C542="明細代価",$C542="代価表",$C542="単価表"),データ!W539,"")</f>
        <v>0</v>
      </c>
      <c r="AA542" s="11" t="str">
        <f t="shared" si="52"/>
        <v/>
      </c>
      <c r="AB542" s="46" t="e">
        <f t="shared" si="53"/>
        <v>#DIV/0!</v>
      </c>
      <c r="AC542" s="40" t="str">
        <f>IF(データ!X539="","",データ!X539)</f>
        <v/>
      </c>
      <c r="AD542" s="41" t="str">
        <f>IF(データ!Y539="","",データ!Y539)</f>
        <v/>
      </c>
      <c r="AE542" s="47" t="str">
        <f>TRIM(データ!B539)</f>
        <v/>
      </c>
      <c r="AF542" s="43" t="str">
        <f>TRIM(データ!Z539)</f>
        <v/>
      </c>
    </row>
    <row r="543" spans="1:32" x14ac:dyDescent="0.15">
      <c r="A543" s="47">
        <f>データ!A540</f>
        <v>3</v>
      </c>
      <c r="B543" s="47" t="str">
        <f>TRIM(データ!C540)</f>
        <v/>
      </c>
      <c r="C543" s="47" t="str">
        <f>TRIM(データ!D540)</f>
        <v>材料費</v>
      </c>
      <c r="D543" s="36" t="str">
        <f>REPT("｜",$A543)&amp;TRIM(データ!E540)</f>
        <v>｜｜｜クレディフェンスHG６S</v>
      </c>
      <c r="E543" s="37" t="str">
        <f>TRIM(データ!F540)</f>
        <v>H1200 多段柱仕様</v>
      </c>
      <c r="F543" s="38" t="str">
        <f>TRIM(データ!G540)</f>
        <v>ｍ</v>
      </c>
      <c r="G543" s="50">
        <f>データ!H540</f>
        <v>148.4</v>
      </c>
      <c r="H543" s="48">
        <f>データ!I540</f>
        <v>27000</v>
      </c>
      <c r="I543" s="48">
        <f>データ!J540</f>
        <v>4006800</v>
      </c>
      <c r="J543" s="39" t="str">
        <f>IF(OR($C543="総括",$C543="内訳書",$C543="内訳代価",$C543="明細書",$C543="明細代価",$C543="代価表",$C543="単価表"),データ!K540,"")</f>
        <v/>
      </c>
      <c r="K543" s="11" t="str">
        <f t="shared" si="48"/>
        <v/>
      </c>
      <c r="L543" s="46">
        <f t="shared" si="49"/>
        <v>5.7690812491901E-2</v>
      </c>
      <c r="M543" s="40" t="str">
        <f>IF(データ!L540="","",データ!L540)</f>
        <v/>
      </c>
      <c r="N543" s="41" t="str">
        <f>IF(データ!M540="","",データ!M540)</f>
        <v/>
      </c>
      <c r="O543" s="42">
        <f>データ!N540</f>
        <v>0</v>
      </c>
      <c r="P543" s="48">
        <f>IF($C543="集計行","",データ!O540)</f>
        <v>0</v>
      </c>
      <c r="Q543" s="48">
        <f>データ!P540</f>
        <v>0</v>
      </c>
      <c r="R543" s="39" t="str">
        <f>IF(OR($C543="総括",$C543="内訳書",$C543="内訳代価",$C543="明細書",$C543="明細代価",$C543="代価表",$C543="単価表"),データ!Q540,"")</f>
        <v/>
      </c>
      <c r="S543" s="11" t="str">
        <f t="shared" si="50"/>
        <v/>
      </c>
      <c r="T543" s="46" t="e">
        <f t="shared" si="51"/>
        <v>#DIV/0!</v>
      </c>
      <c r="U543" s="40" t="str">
        <f>IF(データ!R540="","",データ!R540)</f>
        <v/>
      </c>
      <c r="V543" s="41" t="str">
        <f>IF(データ!S540="","",データ!S540)</f>
        <v/>
      </c>
      <c r="W543" s="42">
        <f>データ!T540</f>
        <v>0</v>
      </c>
      <c r="X543" s="48">
        <f>IF($C543="集計行","",データ!U540)</f>
        <v>0</v>
      </c>
      <c r="Y543" s="48">
        <f>データ!V540</f>
        <v>0</v>
      </c>
      <c r="Z543" s="39" t="str">
        <f>IF(OR($C543="総括",$C543="内訳書",$C543="内訳代価",$C543="明細書",$C543="明細代価",$C543="代価表",$C543="単価表"),データ!W540,"")</f>
        <v/>
      </c>
      <c r="AA543" s="11" t="str">
        <f t="shared" si="52"/>
        <v/>
      </c>
      <c r="AB543" s="46" t="e">
        <f t="shared" si="53"/>
        <v>#DIV/0!</v>
      </c>
      <c r="AC543" s="40" t="str">
        <f>IF(データ!X540="","",データ!X540)</f>
        <v/>
      </c>
      <c r="AD543" s="41" t="str">
        <f>IF(データ!Y540="","",データ!Y540)</f>
        <v/>
      </c>
      <c r="AE543" s="47" t="str">
        <f>TRIM(データ!B540)</f>
        <v/>
      </c>
      <c r="AF543" s="43" t="str">
        <f>TRIM(データ!Z540)</f>
        <v/>
      </c>
    </row>
    <row r="544" spans="1:32" x14ac:dyDescent="0.15">
      <c r="A544" s="47">
        <f>データ!A541</f>
        <v>3</v>
      </c>
      <c r="B544" s="47" t="str">
        <f>TRIM(データ!C541)</f>
        <v/>
      </c>
      <c r="C544" s="47" t="str">
        <f>TRIM(データ!D541)</f>
        <v>外注費</v>
      </c>
      <c r="D544" s="36" t="str">
        <f>REPT("｜",$A544)&amp;TRIM(データ!E541)</f>
        <v>｜｜｜組立費</v>
      </c>
      <c r="E544" s="37" t="str">
        <f>TRIM(データ!F541)</f>
        <v/>
      </c>
      <c r="F544" s="38" t="str">
        <f>TRIM(データ!G541)</f>
        <v>ｍ</v>
      </c>
      <c r="G544" s="50">
        <f>データ!H541</f>
        <v>148.4</v>
      </c>
      <c r="H544" s="48">
        <f>データ!I541</f>
        <v>1500</v>
      </c>
      <c r="I544" s="48">
        <f>データ!J541</f>
        <v>222600</v>
      </c>
      <c r="J544" s="39" t="str">
        <f>IF(OR($C544="総括",$C544="内訳書",$C544="内訳代価",$C544="明細書",$C544="明細代価",$C544="代価表",$C544="単価表"),データ!K541,"")</f>
        <v/>
      </c>
      <c r="K544" s="11" t="str">
        <f t="shared" si="48"/>
        <v/>
      </c>
      <c r="L544" s="46">
        <f t="shared" si="49"/>
        <v>3.2050451384389445E-3</v>
      </c>
      <c r="M544" s="40" t="str">
        <f>IF(データ!L541="","",データ!L541)</f>
        <v/>
      </c>
      <c r="N544" s="41" t="str">
        <f>IF(データ!M541="","",データ!M541)</f>
        <v/>
      </c>
      <c r="O544" s="42">
        <f>データ!N541</f>
        <v>0</v>
      </c>
      <c r="P544" s="48">
        <f>IF($C544="集計行","",データ!O541)</f>
        <v>0</v>
      </c>
      <c r="Q544" s="48">
        <f>データ!P541</f>
        <v>0</v>
      </c>
      <c r="R544" s="39" t="str">
        <f>IF(OR($C544="総括",$C544="内訳書",$C544="内訳代価",$C544="明細書",$C544="明細代価",$C544="代価表",$C544="単価表"),データ!Q541,"")</f>
        <v/>
      </c>
      <c r="S544" s="11" t="str">
        <f t="shared" si="50"/>
        <v/>
      </c>
      <c r="T544" s="46" t="e">
        <f t="shared" si="51"/>
        <v>#DIV/0!</v>
      </c>
      <c r="U544" s="40" t="str">
        <f>IF(データ!R541="","",データ!R541)</f>
        <v/>
      </c>
      <c r="V544" s="41" t="str">
        <f>IF(データ!S541="","",データ!S541)</f>
        <v/>
      </c>
      <c r="W544" s="42">
        <f>データ!T541</f>
        <v>0</v>
      </c>
      <c r="X544" s="48">
        <f>IF($C544="集計行","",データ!U541)</f>
        <v>0</v>
      </c>
      <c r="Y544" s="48">
        <f>データ!V541</f>
        <v>0</v>
      </c>
      <c r="Z544" s="39" t="str">
        <f>IF(OR($C544="総括",$C544="内訳書",$C544="内訳代価",$C544="明細書",$C544="明細代価",$C544="代価表",$C544="単価表"),データ!W541,"")</f>
        <v/>
      </c>
      <c r="AA544" s="11" t="str">
        <f t="shared" si="52"/>
        <v/>
      </c>
      <c r="AB544" s="46" t="e">
        <f t="shared" si="53"/>
        <v>#DIV/0!</v>
      </c>
      <c r="AC544" s="40" t="str">
        <f>IF(データ!X541="","",データ!X541)</f>
        <v/>
      </c>
      <c r="AD544" s="41" t="str">
        <f>IF(データ!Y541="","",データ!Y541)</f>
        <v/>
      </c>
      <c r="AE544" s="47" t="str">
        <f>TRIM(データ!B541)</f>
        <v/>
      </c>
      <c r="AF544" s="43" t="str">
        <f>TRIM(データ!Z541)</f>
        <v/>
      </c>
    </row>
    <row r="545" spans="1:32" x14ac:dyDescent="0.15">
      <c r="A545" s="47">
        <f>データ!A542</f>
        <v>3</v>
      </c>
      <c r="B545" s="47" t="str">
        <f>TRIM(データ!C542)</f>
        <v/>
      </c>
      <c r="C545" s="47" t="str">
        <f>TRIM(データ!D542)</f>
        <v>材料費</v>
      </c>
      <c r="D545" s="36" t="str">
        <f>REPT("｜",$A545)&amp;TRIM(データ!E542)</f>
        <v>｜｜｜コンクリート基礎</v>
      </c>
      <c r="E545" s="37" t="str">
        <f>TRIM(データ!F542)</f>
        <v>600×600×500</v>
      </c>
      <c r="F545" s="38" t="str">
        <f>TRIM(データ!G542)</f>
        <v>個</v>
      </c>
      <c r="G545" s="50">
        <f>データ!H542</f>
        <v>80</v>
      </c>
      <c r="H545" s="48">
        <f>データ!I542</f>
        <v>12000</v>
      </c>
      <c r="I545" s="48">
        <f>データ!J542</f>
        <v>960000</v>
      </c>
      <c r="J545" s="39" t="str">
        <f>IF(OR($C545="総括",$C545="内訳書",$C545="内訳代価",$C545="明細書",$C545="明細代価",$C545="代価表",$C545="単価表"),データ!K542,"")</f>
        <v/>
      </c>
      <c r="K545" s="11" t="str">
        <f t="shared" si="48"/>
        <v/>
      </c>
      <c r="L545" s="46">
        <f t="shared" si="49"/>
        <v>1.3822297092998143E-2</v>
      </c>
      <c r="M545" s="40" t="str">
        <f>IF(データ!L542="","",データ!L542)</f>
        <v/>
      </c>
      <c r="N545" s="41" t="str">
        <f>IF(データ!M542="","",データ!M542)</f>
        <v/>
      </c>
      <c r="O545" s="42">
        <f>データ!N542</f>
        <v>0</v>
      </c>
      <c r="P545" s="48">
        <f>IF($C545="集計行","",データ!O542)</f>
        <v>0</v>
      </c>
      <c r="Q545" s="48">
        <f>データ!P542</f>
        <v>0</v>
      </c>
      <c r="R545" s="39" t="str">
        <f>IF(OR($C545="総括",$C545="内訳書",$C545="内訳代価",$C545="明細書",$C545="明細代価",$C545="代価表",$C545="単価表"),データ!Q542,"")</f>
        <v/>
      </c>
      <c r="S545" s="11" t="str">
        <f t="shared" si="50"/>
        <v/>
      </c>
      <c r="T545" s="46" t="e">
        <f t="shared" si="51"/>
        <v>#DIV/0!</v>
      </c>
      <c r="U545" s="40" t="str">
        <f>IF(データ!R542="","",データ!R542)</f>
        <v/>
      </c>
      <c r="V545" s="41" t="str">
        <f>IF(データ!S542="","",データ!S542)</f>
        <v/>
      </c>
      <c r="W545" s="42">
        <f>データ!T542</f>
        <v>0</v>
      </c>
      <c r="X545" s="48">
        <f>IF($C545="集計行","",データ!U542)</f>
        <v>0</v>
      </c>
      <c r="Y545" s="48">
        <f>データ!V542</f>
        <v>0</v>
      </c>
      <c r="Z545" s="39" t="str">
        <f>IF(OR($C545="総括",$C545="内訳書",$C545="内訳代価",$C545="明細書",$C545="明細代価",$C545="代価表",$C545="単価表"),データ!W542,"")</f>
        <v/>
      </c>
      <c r="AA545" s="11" t="str">
        <f t="shared" si="52"/>
        <v/>
      </c>
      <c r="AB545" s="46" t="e">
        <f t="shared" si="53"/>
        <v>#DIV/0!</v>
      </c>
      <c r="AC545" s="40" t="str">
        <f>IF(データ!X542="","",データ!X542)</f>
        <v/>
      </c>
      <c r="AD545" s="41" t="str">
        <f>IF(データ!Y542="","",データ!Y542)</f>
        <v/>
      </c>
      <c r="AE545" s="47" t="str">
        <f>TRIM(データ!B542)</f>
        <v/>
      </c>
      <c r="AF545" s="43" t="str">
        <f>TRIM(データ!Z542)</f>
        <v/>
      </c>
    </row>
    <row r="546" spans="1:32" x14ac:dyDescent="0.15">
      <c r="A546" s="47">
        <f>データ!A543</f>
        <v>3</v>
      </c>
      <c r="B546" s="47" t="str">
        <f>TRIM(データ!C543)</f>
        <v/>
      </c>
      <c r="C546" s="47" t="str">
        <f>TRIM(データ!D543)</f>
        <v>労務費</v>
      </c>
      <c r="D546" s="36" t="str">
        <f>REPT("｜",$A546)&amp;TRIM(データ!E543)</f>
        <v>｜｜｜技工</v>
      </c>
      <c r="E546" s="37" t="str">
        <f>TRIM(データ!F543)</f>
        <v/>
      </c>
      <c r="F546" s="38" t="str">
        <f>TRIM(データ!G543)</f>
        <v>人</v>
      </c>
      <c r="G546" s="50">
        <f>データ!H543</f>
        <v>12</v>
      </c>
      <c r="H546" s="48">
        <f>データ!I543</f>
        <v>28000</v>
      </c>
      <c r="I546" s="48">
        <f>データ!J543</f>
        <v>336000</v>
      </c>
      <c r="J546" s="39" t="str">
        <f>IF(OR($C546="総括",$C546="内訳書",$C546="内訳代価",$C546="明細書",$C546="明細代価",$C546="代価表",$C546="単価表"),データ!K543,"")</f>
        <v/>
      </c>
      <c r="K546" s="11" t="str">
        <f t="shared" si="48"/>
        <v/>
      </c>
      <c r="L546" s="46">
        <f t="shared" si="49"/>
        <v>4.8378039825493499E-3</v>
      </c>
      <c r="M546" s="40" t="str">
        <f>IF(データ!L543="","",データ!L543)</f>
        <v/>
      </c>
      <c r="N546" s="41" t="str">
        <f>IF(データ!M543="","",データ!M543)</f>
        <v/>
      </c>
      <c r="O546" s="42">
        <f>データ!N543</f>
        <v>0</v>
      </c>
      <c r="P546" s="48">
        <f>IF($C546="集計行","",データ!O543)</f>
        <v>0</v>
      </c>
      <c r="Q546" s="48">
        <f>データ!P543</f>
        <v>0</v>
      </c>
      <c r="R546" s="39" t="str">
        <f>IF(OR($C546="総括",$C546="内訳書",$C546="内訳代価",$C546="明細書",$C546="明細代価",$C546="代価表",$C546="単価表"),データ!Q543,"")</f>
        <v/>
      </c>
      <c r="S546" s="11" t="str">
        <f t="shared" si="50"/>
        <v/>
      </c>
      <c r="T546" s="46" t="e">
        <f t="shared" si="51"/>
        <v>#DIV/0!</v>
      </c>
      <c r="U546" s="40" t="str">
        <f>IF(データ!R543="","",データ!R543)</f>
        <v/>
      </c>
      <c r="V546" s="41" t="str">
        <f>IF(データ!S543="","",データ!S543)</f>
        <v/>
      </c>
      <c r="W546" s="42">
        <f>データ!T543</f>
        <v>0</v>
      </c>
      <c r="X546" s="48">
        <f>IF($C546="集計行","",データ!U543)</f>
        <v>0</v>
      </c>
      <c r="Y546" s="48">
        <f>データ!V543</f>
        <v>0</v>
      </c>
      <c r="Z546" s="39" t="str">
        <f>IF(OR($C546="総括",$C546="内訳書",$C546="内訳代価",$C546="明細書",$C546="明細代価",$C546="代価表",$C546="単価表"),データ!W543,"")</f>
        <v/>
      </c>
      <c r="AA546" s="11" t="str">
        <f t="shared" si="52"/>
        <v/>
      </c>
      <c r="AB546" s="46" t="e">
        <f t="shared" si="53"/>
        <v>#DIV/0!</v>
      </c>
      <c r="AC546" s="40" t="str">
        <f>IF(データ!X543="","",データ!X543)</f>
        <v/>
      </c>
      <c r="AD546" s="41" t="str">
        <f>IF(データ!Y543="","",データ!Y543)</f>
        <v/>
      </c>
      <c r="AE546" s="47" t="str">
        <f>TRIM(データ!B543)</f>
        <v/>
      </c>
      <c r="AF546" s="43" t="str">
        <f>TRIM(データ!Z543)</f>
        <v/>
      </c>
    </row>
    <row r="547" spans="1:32" x14ac:dyDescent="0.15">
      <c r="A547" s="47">
        <f>データ!A544</f>
        <v>3</v>
      </c>
      <c r="B547" s="47" t="str">
        <f>TRIM(データ!C544)</f>
        <v/>
      </c>
      <c r="C547" s="47" t="str">
        <f>TRIM(データ!D544)</f>
        <v>機械費</v>
      </c>
      <c r="D547" s="36" t="str">
        <f>REPT("｜",$A547)&amp;TRIM(データ!E544)</f>
        <v>｜｜｜BH0.15</v>
      </c>
      <c r="E547" s="37" t="str">
        <f>TRIM(データ!F544)</f>
        <v/>
      </c>
      <c r="F547" s="38" t="str">
        <f>TRIM(データ!G544)</f>
        <v>台</v>
      </c>
      <c r="G547" s="50">
        <f>データ!H544</f>
        <v>4</v>
      </c>
      <c r="H547" s="48">
        <f>データ!I544</f>
        <v>8000</v>
      </c>
      <c r="I547" s="48">
        <f>データ!J544</f>
        <v>32000</v>
      </c>
      <c r="J547" s="39" t="str">
        <f>IF(OR($C547="総括",$C547="内訳書",$C547="内訳代価",$C547="明細書",$C547="明細代価",$C547="代価表",$C547="単価表"),データ!K544,"")</f>
        <v/>
      </c>
      <c r="K547" s="11" t="str">
        <f t="shared" si="48"/>
        <v/>
      </c>
      <c r="L547" s="46">
        <f t="shared" si="49"/>
        <v>4.607432364332714E-4</v>
      </c>
      <c r="M547" s="40" t="str">
        <f>IF(データ!L544="","",データ!L544)</f>
        <v/>
      </c>
      <c r="N547" s="41" t="str">
        <f>IF(データ!M544="","",データ!M544)</f>
        <v/>
      </c>
      <c r="O547" s="42">
        <f>データ!N544</f>
        <v>0</v>
      </c>
      <c r="P547" s="48">
        <f>IF($C547="集計行","",データ!O544)</f>
        <v>0</v>
      </c>
      <c r="Q547" s="48">
        <f>データ!P544</f>
        <v>0</v>
      </c>
      <c r="R547" s="39" t="str">
        <f>IF(OR($C547="総括",$C547="内訳書",$C547="内訳代価",$C547="明細書",$C547="明細代価",$C547="代価表",$C547="単価表"),データ!Q544,"")</f>
        <v/>
      </c>
      <c r="S547" s="11" t="str">
        <f t="shared" si="50"/>
        <v/>
      </c>
      <c r="T547" s="46" t="e">
        <f t="shared" si="51"/>
        <v>#DIV/0!</v>
      </c>
      <c r="U547" s="40" t="str">
        <f>IF(データ!R544="","",データ!R544)</f>
        <v/>
      </c>
      <c r="V547" s="41" t="str">
        <f>IF(データ!S544="","",データ!S544)</f>
        <v/>
      </c>
      <c r="W547" s="42">
        <f>データ!T544</f>
        <v>0</v>
      </c>
      <c r="X547" s="48">
        <f>IF($C547="集計行","",データ!U544)</f>
        <v>0</v>
      </c>
      <c r="Y547" s="48">
        <f>データ!V544</f>
        <v>0</v>
      </c>
      <c r="Z547" s="39" t="str">
        <f>IF(OR($C547="総括",$C547="内訳書",$C547="内訳代価",$C547="明細書",$C547="明細代価",$C547="代価表",$C547="単価表"),データ!W544,"")</f>
        <v/>
      </c>
      <c r="AA547" s="11" t="str">
        <f t="shared" si="52"/>
        <v/>
      </c>
      <c r="AB547" s="46" t="e">
        <f t="shared" si="53"/>
        <v>#DIV/0!</v>
      </c>
      <c r="AC547" s="40" t="str">
        <f>IF(データ!X544="","",データ!X544)</f>
        <v/>
      </c>
      <c r="AD547" s="41" t="str">
        <f>IF(データ!Y544="","",データ!Y544)</f>
        <v/>
      </c>
      <c r="AE547" s="47" t="str">
        <f>TRIM(データ!B544)</f>
        <v/>
      </c>
      <c r="AF547" s="43" t="str">
        <f>TRIM(データ!Z544)</f>
        <v/>
      </c>
    </row>
    <row r="548" spans="1:32" x14ac:dyDescent="0.15">
      <c r="A548" s="47">
        <f>データ!A545</f>
        <v>3</v>
      </c>
      <c r="B548" s="47" t="str">
        <f>TRIM(データ!C545)</f>
        <v/>
      </c>
      <c r="C548" s="47" t="str">
        <f>TRIM(データ!D545)</f>
        <v>機械費</v>
      </c>
      <c r="D548" s="36" t="str">
        <f>REPT("｜",$A548)&amp;TRIM(データ!E545)</f>
        <v>｜｜｜吊り上げ器</v>
      </c>
      <c r="E548" s="37" t="str">
        <f>TRIM(データ!F545)</f>
        <v/>
      </c>
      <c r="F548" s="38" t="str">
        <f>TRIM(データ!G545)</f>
        <v>台</v>
      </c>
      <c r="G548" s="50">
        <f>データ!H545</f>
        <v>4</v>
      </c>
      <c r="H548" s="48">
        <f>データ!I545</f>
        <v>3000</v>
      </c>
      <c r="I548" s="48">
        <f>データ!J545</f>
        <v>12000</v>
      </c>
      <c r="J548" s="39" t="str">
        <f>IF(OR($C548="総括",$C548="内訳書",$C548="内訳代価",$C548="明細書",$C548="明細代価",$C548="代価表",$C548="単価表"),データ!K545,"")</f>
        <v/>
      </c>
      <c r="K548" s="11" t="str">
        <f t="shared" si="48"/>
        <v/>
      </c>
      <c r="L548" s="46">
        <f t="shared" si="49"/>
        <v>1.7277871366247678E-4</v>
      </c>
      <c r="M548" s="40" t="str">
        <f>IF(データ!L545="","",データ!L545)</f>
        <v/>
      </c>
      <c r="N548" s="41" t="str">
        <f>IF(データ!M545="","",データ!M545)</f>
        <v/>
      </c>
      <c r="O548" s="42">
        <f>データ!N545</f>
        <v>0</v>
      </c>
      <c r="P548" s="48">
        <f>IF($C548="集計行","",データ!O545)</f>
        <v>0</v>
      </c>
      <c r="Q548" s="48">
        <f>データ!P545</f>
        <v>0</v>
      </c>
      <c r="R548" s="39" t="str">
        <f>IF(OR($C548="総括",$C548="内訳書",$C548="内訳代価",$C548="明細書",$C548="明細代価",$C548="代価表",$C548="単価表"),データ!Q545,"")</f>
        <v/>
      </c>
      <c r="S548" s="11" t="str">
        <f t="shared" si="50"/>
        <v/>
      </c>
      <c r="T548" s="46" t="e">
        <f t="shared" si="51"/>
        <v>#DIV/0!</v>
      </c>
      <c r="U548" s="40" t="str">
        <f>IF(データ!R545="","",データ!R545)</f>
        <v/>
      </c>
      <c r="V548" s="41" t="str">
        <f>IF(データ!S545="","",データ!S545)</f>
        <v/>
      </c>
      <c r="W548" s="42">
        <f>データ!T545</f>
        <v>0</v>
      </c>
      <c r="X548" s="48">
        <f>IF($C548="集計行","",データ!U545)</f>
        <v>0</v>
      </c>
      <c r="Y548" s="48">
        <f>データ!V545</f>
        <v>0</v>
      </c>
      <c r="Z548" s="39" t="str">
        <f>IF(OR($C548="総括",$C548="内訳書",$C548="内訳代価",$C548="明細書",$C548="明細代価",$C548="代価表",$C548="単価表"),データ!W545,"")</f>
        <v/>
      </c>
      <c r="AA548" s="11" t="str">
        <f t="shared" si="52"/>
        <v/>
      </c>
      <c r="AB548" s="46" t="e">
        <f t="shared" si="53"/>
        <v>#DIV/0!</v>
      </c>
      <c r="AC548" s="40" t="str">
        <f>IF(データ!X545="","",データ!X545)</f>
        <v/>
      </c>
      <c r="AD548" s="41" t="str">
        <f>IF(データ!Y545="","",データ!Y545)</f>
        <v/>
      </c>
      <c r="AE548" s="47" t="str">
        <f>TRIM(データ!B545)</f>
        <v/>
      </c>
      <c r="AF548" s="43" t="str">
        <f>TRIM(データ!Z545)</f>
        <v/>
      </c>
    </row>
    <row r="549" spans="1:32" x14ac:dyDescent="0.15">
      <c r="A549" s="47">
        <f>データ!A546</f>
        <v>3</v>
      </c>
      <c r="B549" s="47" t="str">
        <f>TRIM(データ!C546)</f>
        <v/>
      </c>
      <c r="C549" s="47" t="str">
        <f>TRIM(データ!D546)</f>
        <v>運搬費</v>
      </c>
      <c r="D549" s="36" t="str">
        <f>REPT("｜",$A549)&amp;TRIM(データ!E546)</f>
        <v>｜｜｜4tダンプ</v>
      </c>
      <c r="E549" s="37" t="str">
        <f>TRIM(データ!F546)</f>
        <v/>
      </c>
      <c r="F549" s="38" t="str">
        <f>TRIM(データ!G546)</f>
        <v>台</v>
      </c>
      <c r="G549" s="50">
        <f>データ!H546</f>
        <v>4</v>
      </c>
      <c r="H549" s="48">
        <f>データ!I546</f>
        <v>10000</v>
      </c>
      <c r="I549" s="48">
        <f>データ!J546</f>
        <v>40000</v>
      </c>
      <c r="J549" s="39" t="str">
        <f>IF(OR($C549="総括",$C549="内訳書",$C549="内訳代価",$C549="明細書",$C549="明細代価",$C549="代価表",$C549="単価表"),データ!K546,"")</f>
        <v/>
      </c>
      <c r="K549" s="11" t="str">
        <f t="shared" si="48"/>
        <v/>
      </c>
      <c r="L549" s="46">
        <f t="shared" si="49"/>
        <v>5.7592904554158925E-4</v>
      </c>
      <c r="M549" s="40" t="str">
        <f>IF(データ!L546="","",データ!L546)</f>
        <v/>
      </c>
      <c r="N549" s="41" t="str">
        <f>IF(データ!M546="","",データ!M546)</f>
        <v/>
      </c>
      <c r="O549" s="42">
        <f>データ!N546</f>
        <v>0</v>
      </c>
      <c r="P549" s="48">
        <f>IF($C549="集計行","",データ!O546)</f>
        <v>0</v>
      </c>
      <c r="Q549" s="48">
        <f>データ!P546</f>
        <v>0</v>
      </c>
      <c r="R549" s="39" t="str">
        <f>IF(OR($C549="総括",$C549="内訳書",$C549="内訳代価",$C549="明細書",$C549="明細代価",$C549="代価表",$C549="単価表"),データ!Q546,"")</f>
        <v/>
      </c>
      <c r="S549" s="11" t="str">
        <f t="shared" si="50"/>
        <v/>
      </c>
      <c r="T549" s="46" t="e">
        <f t="shared" si="51"/>
        <v>#DIV/0!</v>
      </c>
      <c r="U549" s="40" t="str">
        <f>IF(データ!R546="","",データ!R546)</f>
        <v/>
      </c>
      <c r="V549" s="41" t="str">
        <f>IF(データ!S546="","",データ!S546)</f>
        <v/>
      </c>
      <c r="W549" s="42">
        <f>データ!T546</f>
        <v>0</v>
      </c>
      <c r="X549" s="48">
        <f>IF($C549="集計行","",データ!U546)</f>
        <v>0</v>
      </c>
      <c r="Y549" s="48">
        <f>データ!V546</f>
        <v>0</v>
      </c>
      <c r="Z549" s="39" t="str">
        <f>IF(OR($C549="総括",$C549="内訳書",$C549="内訳代価",$C549="明細書",$C549="明細代価",$C549="代価表",$C549="単価表"),データ!W546,"")</f>
        <v/>
      </c>
      <c r="AA549" s="11" t="str">
        <f t="shared" si="52"/>
        <v/>
      </c>
      <c r="AB549" s="46" t="e">
        <f t="shared" si="53"/>
        <v>#DIV/0!</v>
      </c>
      <c r="AC549" s="40" t="str">
        <f>IF(データ!X546="","",データ!X546)</f>
        <v/>
      </c>
      <c r="AD549" s="41" t="str">
        <f>IF(データ!Y546="","",データ!Y546)</f>
        <v/>
      </c>
      <c r="AE549" s="47" t="str">
        <f>TRIM(データ!B546)</f>
        <v/>
      </c>
      <c r="AF549" s="43" t="str">
        <f>TRIM(データ!Z546)</f>
        <v/>
      </c>
    </row>
    <row r="550" spans="1:32" x14ac:dyDescent="0.15">
      <c r="A550" s="47">
        <f>データ!A547</f>
        <v>3</v>
      </c>
      <c r="B550" s="47" t="str">
        <f>TRIM(データ!C547)</f>
        <v/>
      </c>
      <c r="C550" s="47" t="str">
        <f>TRIM(データ!D547)</f>
        <v>運搬費</v>
      </c>
      <c r="D550" s="36" t="str">
        <f>REPT("｜",$A550)&amp;TRIM(データ!E547)</f>
        <v>｜｜｜2tダンプ</v>
      </c>
      <c r="E550" s="37" t="str">
        <f>TRIM(データ!F547)</f>
        <v/>
      </c>
      <c r="F550" s="38" t="str">
        <f>TRIM(データ!G547)</f>
        <v>台</v>
      </c>
      <c r="G550" s="50">
        <f>データ!H547</f>
        <v>4</v>
      </c>
      <c r="H550" s="48">
        <f>データ!I547</f>
        <v>7000</v>
      </c>
      <c r="I550" s="48">
        <f>データ!J547</f>
        <v>28000</v>
      </c>
      <c r="J550" s="39" t="str">
        <f>IF(OR($C550="総括",$C550="内訳書",$C550="内訳代価",$C550="明細書",$C550="明細代価",$C550="代価表",$C550="単価表"),データ!K547,"")</f>
        <v/>
      </c>
      <c r="K550" s="11" t="str">
        <f t="shared" si="48"/>
        <v/>
      </c>
      <c r="L550" s="46">
        <f t="shared" si="49"/>
        <v>4.0315033187911248E-4</v>
      </c>
      <c r="M550" s="40" t="str">
        <f>IF(データ!L547="","",データ!L547)</f>
        <v/>
      </c>
      <c r="N550" s="41" t="str">
        <f>IF(データ!M547="","",データ!M547)</f>
        <v/>
      </c>
      <c r="O550" s="42">
        <f>データ!N547</f>
        <v>0</v>
      </c>
      <c r="P550" s="48">
        <f>IF($C550="集計行","",データ!O547)</f>
        <v>0</v>
      </c>
      <c r="Q550" s="48">
        <f>データ!P547</f>
        <v>0</v>
      </c>
      <c r="R550" s="39" t="str">
        <f>IF(OR($C550="総括",$C550="内訳書",$C550="内訳代価",$C550="明細書",$C550="明細代価",$C550="代価表",$C550="単価表"),データ!Q547,"")</f>
        <v/>
      </c>
      <c r="S550" s="11" t="str">
        <f t="shared" si="50"/>
        <v/>
      </c>
      <c r="T550" s="46" t="e">
        <f t="shared" si="51"/>
        <v>#DIV/0!</v>
      </c>
      <c r="U550" s="40" t="str">
        <f>IF(データ!R547="","",データ!R547)</f>
        <v/>
      </c>
      <c r="V550" s="41" t="str">
        <f>IF(データ!S547="","",データ!S547)</f>
        <v/>
      </c>
      <c r="W550" s="42">
        <f>データ!T547</f>
        <v>0</v>
      </c>
      <c r="X550" s="48">
        <f>IF($C550="集計行","",データ!U547)</f>
        <v>0</v>
      </c>
      <c r="Y550" s="48">
        <f>データ!V547</f>
        <v>0</v>
      </c>
      <c r="Z550" s="39" t="str">
        <f>IF(OR($C550="総括",$C550="内訳書",$C550="内訳代価",$C550="明細書",$C550="明細代価",$C550="代価表",$C550="単価表"),データ!W547,"")</f>
        <v/>
      </c>
      <c r="AA550" s="11" t="str">
        <f t="shared" si="52"/>
        <v/>
      </c>
      <c r="AB550" s="46" t="e">
        <f t="shared" si="53"/>
        <v>#DIV/0!</v>
      </c>
      <c r="AC550" s="40" t="str">
        <f>IF(データ!X547="","",データ!X547)</f>
        <v/>
      </c>
      <c r="AD550" s="41" t="str">
        <f>IF(データ!Y547="","",データ!Y547)</f>
        <v/>
      </c>
      <c r="AE550" s="47" t="str">
        <f>TRIM(データ!B547)</f>
        <v/>
      </c>
      <c r="AF550" s="43" t="str">
        <f>TRIM(データ!Z547)</f>
        <v/>
      </c>
    </row>
    <row r="551" spans="1:32" x14ac:dyDescent="0.15">
      <c r="A551" s="47">
        <f>データ!A548</f>
        <v>3</v>
      </c>
      <c r="B551" s="47" t="str">
        <f>TRIM(データ!C548)</f>
        <v/>
      </c>
      <c r="C551" s="47" t="str">
        <f>TRIM(データ!D548)</f>
        <v>材料費</v>
      </c>
      <c r="D551" s="36" t="str">
        <f>REPT("｜",$A551)&amp;TRIM(データ!E548)</f>
        <v>｜｜｜軽油</v>
      </c>
      <c r="E551" s="37" t="str">
        <f>TRIM(データ!F548)</f>
        <v/>
      </c>
      <c r="F551" s="38" t="str">
        <f>TRIM(データ!G548)</f>
        <v>リットル</v>
      </c>
      <c r="G551" s="50">
        <f>データ!H548</f>
        <v>80</v>
      </c>
      <c r="H551" s="48">
        <f>データ!I548</f>
        <v>150</v>
      </c>
      <c r="I551" s="48">
        <f>データ!J548</f>
        <v>12000</v>
      </c>
      <c r="J551" s="39" t="str">
        <f>IF(OR($C551="総括",$C551="内訳書",$C551="内訳代価",$C551="明細書",$C551="明細代価",$C551="代価表",$C551="単価表"),データ!K548,"")</f>
        <v/>
      </c>
      <c r="K551" s="11" t="str">
        <f t="shared" si="48"/>
        <v/>
      </c>
      <c r="L551" s="46">
        <f t="shared" si="49"/>
        <v>1.7277871366247678E-4</v>
      </c>
      <c r="M551" s="40" t="str">
        <f>IF(データ!L548="","",データ!L548)</f>
        <v/>
      </c>
      <c r="N551" s="41" t="str">
        <f>IF(データ!M548="","",データ!M548)</f>
        <v/>
      </c>
      <c r="O551" s="42">
        <f>データ!N548</f>
        <v>0</v>
      </c>
      <c r="P551" s="48">
        <f>IF($C551="集計行","",データ!O548)</f>
        <v>0</v>
      </c>
      <c r="Q551" s="48">
        <f>データ!P548</f>
        <v>0</v>
      </c>
      <c r="R551" s="39" t="str">
        <f>IF(OR($C551="総括",$C551="内訳書",$C551="内訳代価",$C551="明細書",$C551="明細代価",$C551="代価表",$C551="単価表"),データ!Q548,"")</f>
        <v/>
      </c>
      <c r="S551" s="11" t="str">
        <f t="shared" si="50"/>
        <v/>
      </c>
      <c r="T551" s="46" t="e">
        <f t="shared" si="51"/>
        <v>#DIV/0!</v>
      </c>
      <c r="U551" s="40" t="str">
        <f>IF(データ!R548="","",データ!R548)</f>
        <v/>
      </c>
      <c r="V551" s="41" t="str">
        <f>IF(データ!S548="","",データ!S548)</f>
        <v/>
      </c>
      <c r="W551" s="42">
        <f>データ!T548</f>
        <v>0</v>
      </c>
      <c r="X551" s="48">
        <f>IF($C551="集計行","",データ!U548)</f>
        <v>0</v>
      </c>
      <c r="Y551" s="48">
        <f>データ!V548</f>
        <v>0</v>
      </c>
      <c r="Z551" s="39" t="str">
        <f>IF(OR($C551="総括",$C551="内訳書",$C551="内訳代価",$C551="明細書",$C551="明細代価",$C551="代価表",$C551="単価表"),データ!W548,"")</f>
        <v/>
      </c>
      <c r="AA551" s="11" t="str">
        <f t="shared" si="52"/>
        <v/>
      </c>
      <c r="AB551" s="46" t="e">
        <f t="shared" si="53"/>
        <v>#DIV/0!</v>
      </c>
      <c r="AC551" s="40" t="str">
        <f>IF(データ!X548="","",データ!X548)</f>
        <v/>
      </c>
      <c r="AD551" s="41" t="str">
        <f>IF(データ!Y548="","",データ!Y548)</f>
        <v/>
      </c>
      <c r="AE551" s="47" t="str">
        <f>TRIM(データ!B548)</f>
        <v/>
      </c>
      <c r="AF551" s="43" t="str">
        <f>TRIM(データ!Z548)</f>
        <v/>
      </c>
    </row>
    <row r="552" spans="1:32" x14ac:dyDescent="0.15">
      <c r="A552" s="47">
        <f>データ!A549</f>
        <v>3</v>
      </c>
      <c r="B552" s="47" t="str">
        <f>TRIM(データ!C549)</f>
        <v/>
      </c>
      <c r="C552" s="47" t="str">
        <f>TRIM(データ!D549)</f>
        <v>材料費</v>
      </c>
      <c r="D552" s="36" t="str">
        <f>REPT("｜",$A552)&amp;TRIM(データ!E549)</f>
        <v>｜｜｜ガソリン</v>
      </c>
      <c r="E552" s="37" t="str">
        <f>TRIM(データ!F549)</f>
        <v/>
      </c>
      <c r="F552" s="38" t="str">
        <f>TRIM(データ!G549)</f>
        <v>リットル</v>
      </c>
      <c r="G552" s="50">
        <f>データ!H549</f>
        <v>160</v>
      </c>
      <c r="H552" s="48">
        <f>データ!I549</f>
        <v>200</v>
      </c>
      <c r="I552" s="48">
        <f>データ!J549</f>
        <v>32000</v>
      </c>
      <c r="J552" s="39" t="str">
        <f>IF(OR($C552="総括",$C552="内訳書",$C552="内訳代価",$C552="明細書",$C552="明細代価",$C552="代価表",$C552="単価表"),データ!K549,"")</f>
        <v/>
      </c>
      <c r="K552" s="11" t="str">
        <f t="shared" si="48"/>
        <v/>
      </c>
      <c r="L552" s="46">
        <f t="shared" si="49"/>
        <v>4.607432364332714E-4</v>
      </c>
      <c r="M552" s="40" t="str">
        <f>IF(データ!L549="","",データ!L549)</f>
        <v/>
      </c>
      <c r="N552" s="41" t="str">
        <f>IF(データ!M549="","",データ!M549)</f>
        <v/>
      </c>
      <c r="O552" s="42">
        <f>データ!N549</f>
        <v>0</v>
      </c>
      <c r="P552" s="48">
        <f>IF($C552="集計行","",データ!O549)</f>
        <v>0</v>
      </c>
      <c r="Q552" s="48">
        <f>データ!P549</f>
        <v>0</v>
      </c>
      <c r="R552" s="39" t="str">
        <f>IF(OR($C552="総括",$C552="内訳書",$C552="内訳代価",$C552="明細書",$C552="明細代価",$C552="代価表",$C552="単価表"),データ!Q549,"")</f>
        <v/>
      </c>
      <c r="S552" s="11" t="str">
        <f t="shared" si="50"/>
        <v/>
      </c>
      <c r="T552" s="46" t="e">
        <f t="shared" si="51"/>
        <v>#DIV/0!</v>
      </c>
      <c r="U552" s="40" t="str">
        <f>IF(データ!R549="","",データ!R549)</f>
        <v/>
      </c>
      <c r="V552" s="41" t="str">
        <f>IF(データ!S549="","",データ!S549)</f>
        <v/>
      </c>
      <c r="W552" s="42">
        <f>データ!T549</f>
        <v>0</v>
      </c>
      <c r="X552" s="48">
        <f>IF($C552="集計行","",データ!U549)</f>
        <v>0</v>
      </c>
      <c r="Y552" s="48">
        <f>データ!V549</f>
        <v>0</v>
      </c>
      <c r="Z552" s="39" t="str">
        <f>IF(OR($C552="総括",$C552="内訳書",$C552="内訳代価",$C552="明細書",$C552="明細代価",$C552="代価表",$C552="単価表"),データ!W549,"")</f>
        <v/>
      </c>
      <c r="AA552" s="11" t="str">
        <f t="shared" si="52"/>
        <v/>
      </c>
      <c r="AB552" s="46" t="e">
        <f t="shared" si="53"/>
        <v>#DIV/0!</v>
      </c>
      <c r="AC552" s="40" t="str">
        <f>IF(データ!X549="","",データ!X549)</f>
        <v/>
      </c>
      <c r="AD552" s="41" t="str">
        <f>IF(データ!Y549="","",データ!Y549)</f>
        <v/>
      </c>
      <c r="AE552" s="47" t="str">
        <f>TRIM(データ!B549)</f>
        <v/>
      </c>
      <c r="AF552" s="43" t="str">
        <f>TRIM(データ!Z549)</f>
        <v/>
      </c>
    </row>
    <row r="553" spans="1:32" x14ac:dyDescent="0.15">
      <c r="A553" s="47">
        <f>データ!A550</f>
        <v>3</v>
      </c>
      <c r="B553" s="47" t="str">
        <f>TRIM(データ!C550)</f>
        <v/>
      </c>
      <c r="C553" s="47" t="str">
        <f>TRIM(データ!D550)</f>
        <v>外注費</v>
      </c>
      <c r="D553" s="36" t="str">
        <f>REPT("｜",$A553)&amp;TRIM(データ!E550)</f>
        <v>｜｜｜運搬費</v>
      </c>
      <c r="E553" s="37" t="str">
        <f>TRIM(データ!F550)</f>
        <v/>
      </c>
      <c r="F553" s="38" t="str">
        <f>TRIM(データ!G550)</f>
        <v>式</v>
      </c>
      <c r="G553" s="50">
        <f>データ!H550</f>
        <v>1</v>
      </c>
      <c r="H553" s="48">
        <f>データ!I550</f>
        <v>76300</v>
      </c>
      <c r="I553" s="48">
        <f>データ!J550</f>
        <v>76300</v>
      </c>
      <c r="J553" s="39" t="str">
        <f>IF(OR($C553="総括",$C553="内訳書",$C553="内訳代価",$C553="明細書",$C553="明細代価",$C553="代価表",$C553="単価表"),データ!K550,"")</f>
        <v/>
      </c>
      <c r="K553" s="11" t="str">
        <f t="shared" si="48"/>
        <v/>
      </c>
      <c r="L553" s="46">
        <f t="shared" si="49"/>
        <v>1.0985846543705815E-3</v>
      </c>
      <c r="M553" s="40" t="str">
        <f>IF(データ!L550="","",データ!L550)</f>
        <v/>
      </c>
      <c r="N553" s="41" t="str">
        <f>IF(データ!M550="","",データ!M550)</f>
        <v/>
      </c>
      <c r="O553" s="42">
        <f>データ!N550</f>
        <v>0</v>
      </c>
      <c r="P553" s="48">
        <f>IF($C553="集計行","",データ!O550)</f>
        <v>0</v>
      </c>
      <c r="Q553" s="48">
        <f>データ!P550</f>
        <v>0</v>
      </c>
      <c r="R553" s="39" t="str">
        <f>IF(OR($C553="総括",$C553="内訳書",$C553="内訳代価",$C553="明細書",$C553="明細代価",$C553="代価表",$C553="単価表"),データ!Q550,"")</f>
        <v/>
      </c>
      <c r="S553" s="11" t="str">
        <f t="shared" si="50"/>
        <v/>
      </c>
      <c r="T553" s="46" t="e">
        <f t="shared" si="51"/>
        <v>#DIV/0!</v>
      </c>
      <c r="U553" s="40" t="str">
        <f>IF(データ!R550="","",データ!R550)</f>
        <v/>
      </c>
      <c r="V553" s="41" t="str">
        <f>IF(データ!S550="","",データ!S550)</f>
        <v/>
      </c>
      <c r="W553" s="42">
        <f>データ!T550</f>
        <v>0</v>
      </c>
      <c r="X553" s="48">
        <f>IF($C553="集計行","",データ!U550)</f>
        <v>0</v>
      </c>
      <c r="Y553" s="48">
        <f>データ!V550</f>
        <v>0</v>
      </c>
      <c r="Z553" s="39" t="str">
        <f>IF(OR($C553="総括",$C553="内訳書",$C553="内訳代価",$C553="明細書",$C553="明細代価",$C553="代価表",$C553="単価表"),データ!W550,"")</f>
        <v/>
      </c>
      <c r="AA553" s="11" t="str">
        <f t="shared" si="52"/>
        <v/>
      </c>
      <c r="AB553" s="46" t="e">
        <f t="shared" si="53"/>
        <v>#DIV/0!</v>
      </c>
      <c r="AC553" s="40" t="str">
        <f>IF(データ!X550="","",データ!X550)</f>
        <v/>
      </c>
      <c r="AD553" s="41" t="str">
        <f>IF(データ!Y550="","",データ!Y550)</f>
        <v/>
      </c>
      <c r="AE553" s="47" t="str">
        <f>TRIM(データ!B550)</f>
        <v/>
      </c>
      <c r="AF553" s="43" t="str">
        <f>TRIM(データ!Z550)</f>
        <v/>
      </c>
    </row>
    <row r="554" spans="1:32" x14ac:dyDescent="0.15">
      <c r="A554" s="47">
        <f>データ!A551</f>
        <v>3</v>
      </c>
      <c r="B554" s="47" t="str">
        <f>TRIM(データ!C551)</f>
        <v/>
      </c>
      <c r="C554" s="47" t="str">
        <f>TRIM(データ!D551)</f>
        <v>外注費</v>
      </c>
      <c r="D554" s="36" t="str">
        <f>REPT("｜",$A554)&amp;TRIM(データ!E551)</f>
        <v>｜｜｜外注経費</v>
      </c>
      <c r="E554" s="37" t="str">
        <f>TRIM(データ!F551)</f>
        <v/>
      </c>
      <c r="F554" s="38" t="str">
        <f>TRIM(データ!G551)</f>
        <v>式</v>
      </c>
      <c r="G554" s="50">
        <f>データ!H551</f>
        <v>1</v>
      </c>
      <c r="H554" s="48">
        <f>データ!I551</f>
        <v>67000</v>
      </c>
      <c r="I554" s="48">
        <f>データ!J551</f>
        <v>67000</v>
      </c>
      <c r="J554" s="39" t="str">
        <f>IF(OR($C554="総括",$C554="内訳書",$C554="内訳代価",$C554="明細書",$C554="明細代価",$C554="代価表",$C554="単価表"),データ!K551,"")</f>
        <v/>
      </c>
      <c r="K554" s="11" t="str">
        <f t="shared" si="48"/>
        <v/>
      </c>
      <c r="L554" s="46">
        <f t="shared" si="49"/>
        <v>9.6468115128216204E-4</v>
      </c>
      <c r="M554" s="40" t="str">
        <f>IF(データ!L551="","",データ!L551)</f>
        <v/>
      </c>
      <c r="N554" s="41" t="str">
        <f>IF(データ!M551="","",データ!M551)</f>
        <v/>
      </c>
      <c r="O554" s="42">
        <f>データ!N551</f>
        <v>0</v>
      </c>
      <c r="P554" s="48">
        <f>IF($C554="集計行","",データ!O551)</f>
        <v>0</v>
      </c>
      <c r="Q554" s="48">
        <f>データ!P551</f>
        <v>0</v>
      </c>
      <c r="R554" s="39" t="str">
        <f>IF(OR($C554="総括",$C554="内訳書",$C554="内訳代価",$C554="明細書",$C554="明細代価",$C554="代価表",$C554="単価表"),データ!Q551,"")</f>
        <v/>
      </c>
      <c r="S554" s="11" t="str">
        <f t="shared" si="50"/>
        <v/>
      </c>
      <c r="T554" s="46" t="e">
        <f t="shared" si="51"/>
        <v>#DIV/0!</v>
      </c>
      <c r="U554" s="40" t="str">
        <f>IF(データ!R551="","",データ!R551)</f>
        <v/>
      </c>
      <c r="V554" s="41" t="str">
        <f>IF(データ!S551="","",データ!S551)</f>
        <v/>
      </c>
      <c r="W554" s="42">
        <f>データ!T551</f>
        <v>0</v>
      </c>
      <c r="X554" s="48">
        <f>IF($C554="集計行","",データ!U551)</f>
        <v>0</v>
      </c>
      <c r="Y554" s="48">
        <f>データ!V551</f>
        <v>0</v>
      </c>
      <c r="Z554" s="39" t="str">
        <f>IF(OR($C554="総括",$C554="内訳書",$C554="内訳代価",$C554="明細書",$C554="明細代価",$C554="代価表",$C554="単価表"),データ!W551,"")</f>
        <v/>
      </c>
      <c r="AA554" s="11" t="str">
        <f t="shared" si="52"/>
        <v/>
      </c>
      <c r="AB554" s="46" t="e">
        <f t="shared" si="53"/>
        <v>#DIV/0!</v>
      </c>
      <c r="AC554" s="40" t="str">
        <f>IF(データ!X551="","",データ!X551)</f>
        <v/>
      </c>
      <c r="AD554" s="41" t="str">
        <f>IF(データ!Y551="","",データ!Y551)</f>
        <v/>
      </c>
      <c r="AE554" s="47" t="str">
        <f>TRIM(データ!B551)</f>
        <v/>
      </c>
      <c r="AF554" s="43" t="str">
        <f>TRIM(データ!Z551)</f>
        <v/>
      </c>
    </row>
    <row r="555" spans="1:32" x14ac:dyDescent="0.15">
      <c r="A555" s="47">
        <f>データ!A552</f>
        <v>2</v>
      </c>
      <c r="B555" s="47" t="str">
        <f>TRIM(データ!C552)</f>
        <v/>
      </c>
      <c r="C555" s="47" t="str">
        <f>TRIM(データ!D552)</f>
        <v>内訳書</v>
      </c>
      <c r="D555" s="36" t="str">
        <f>REPT("｜",$A555)&amp;TRIM(データ!E552)</f>
        <v>｜｜メッシュフェンス設置</v>
      </c>
      <c r="E555" s="37" t="str">
        <f>TRIM(データ!F552)</f>
        <v/>
      </c>
      <c r="F555" s="38" t="str">
        <f>TRIM(データ!G552)</f>
        <v>ｍ</v>
      </c>
      <c r="G555" s="50">
        <f>データ!H552</f>
        <v>149.69999999999999</v>
      </c>
      <c r="H555" s="48">
        <f>データ!I552</f>
        <v>9900</v>
      </c>
      <c r="I555" s="48">
        <f>データ!J552</f>
        <v>1482030</v>
      </c>
      <c r="J555" s="39">
        <f>IF(OR($C555="総括",$C555="内訳書",$C555="内訳代価",$C555="明細書",$C555="明細代価",$C555="代価表",$C555="単価表"),データ!K552,"")</f>
        <v>149.69999999999999</v>
      </c>
      <c r="K555" s="11" t="str">
        <f t="shared" si="48"/>
        <v/>
      </c>
      <c r="L555" s="46">
        <f t="shared" si="49"/>
        <v>2.1338603084100041E-2</v>
      </c>
      <c r="M555" s="40" t="str">
        <f>IF(データ!L552="","",データ!L552)</f>
        <v/>
      </c>
      <c r="N555" s="41" t="str">
        <f>IF(データ!M552="","",データ!M552)</f>
        <v>66号内訳書</v>
      </c>
      <c r="O555" s="42">
        <f>データ!N552</f>
        <v>0</v>
      </c>
      <c r="P555" s="48">
        <f>IF($C555="集計行","",データ!O552)</f>
        <v>0</v>
      </c>
      <c r="Q555" s="48">
        <f>データ!P552</f>
        <v>0</v>
      </c>
      <c r="R555" s="39">
        <f>IF(OR($C555="総括",$C555="内訳書",$C555="内訳代価",$C555="明細書",$C555="明細代価",$C555="代価表",$C555="単価表"),データ!Q552,"")</f>
        <v>0</v>
      </c>
      <c r="S555" s="11" t="str">
        <f t="shared" si="50"/>
        <v/>
      </c>
      <c r="T555" s="46" t="e">
        <f t="shared" si="51"/>
        <v>#DIV/0!</v>
      </c>
      <c r="U555" s="40" t="str">
        <f>IF(データ!R552="","",データ!R552)</f>
        <v/>
      </c>
      <c r="V555" s="41" t="str">
        <f>IF(データ!S552="","",データ!S552)</f>
        <v/>
      </c>
      <c r="W555" s="42">
        <f>データ!T552</f>
        <v>0</v>
      </c>
      <c r="X555" s="48">
        <f>IF($C555="集計行","",データ!U552)</f>
        <v>0</v>
      </c>
      <c r="Y555" s="48">
        <f>データ!V552</f>
        <v>0</v>
      </c>
      <c r="Z555" s="39">
        <f>IF(OR($C555="総括",$C555="内訳書",$C555="内訳代価",$C555="明細書",$C555="明細代価",$C555="代価表",$C555="単価表"),データ!W552,"")</f>
        <v>0</v>
      </c>
      <c r="AA555" s="11" t="str">
        <f t="shared" si="52"/>
        <v/>
      </c>
      <c r="AB555" s="46" t="e">
        <f t="shared" si="53"/>
        <v>#DIV/0!</v>
      </c>
      <c r="AC555" s="40" t="str">
        <f>IF(データ!X552="","",データ!X552)</f>
        <v/>
      </c>
      <c r="AD555" s="41" t="str">
        <f>IF(データ!Y552="","",データ!Y552)</f>
        <v/>
      </c>
      <c r="AE555" s="47" t="str">
        <f>TRIM(データ!B552)</f>
        <v/>
      </c>
      <c r="AF555" s="43" t="str">
        <f>TRIM(データ!Z552)</f>
        <v/>
      </c>
    </row>
    <row r="556" spans="1:32" x14ac:dyDescent="0.15">
      <c r="A556" s="47">
        <f>データ!A553</f>
        <v>3</v>
      </c>
      <c r="B556" s="47" t="str">
        <f>TRIM(データ!C553)</f>
        <v/>
      </c>
      <c r="C556" s="47" t="str">
        <f>TRIM(データ!D553)</f>
        <v>材料費</v>
      </c>
      <c r="D556" s="36" t="str">
        <f>REPT("｜",$A556)&amp;TRIM(データ!E553)</f>
        <v>｜｜｜メッシュフェンス G10</v>
      </c>
      <c r="E556" s="37" t="str">
        <f>TRIM(データ!F553)</f>
        <v>H=1800</v>
      </c>
      <c r="F556" s="38" t="str">
        <f>TRIM(データ!G553)</f>
        <v>ｍ</v>
      </c>
      <c r="G556" s="50">
        <f>データ!H553</f>
        <v>149.69999999999999</v>
      </c>
      <c r="H556" s="48">
        <f>データ!I553</f>
        <v>5700</v>
      </c>
      <c r="I556" s="48">
        <f>データ!J553</f>
        <v>853290</v>
      </c>
      <c r="J556" s="39" t="str">
        <f>IF(OR($C556="総括",$C556="内訳書",$C556="内訳代価",$C556="明細書",$C556="明細代価",$C556="代価表",$C556="単価表"),データ!K553,"")</f>
        <v/>
      </c>
      <c r="K556" s="11" t="str">
        <f t="shared" si="48"/>
        <v/>
      </c>
      <c r="L556" s="46">
        <f t="shared" si="49"/>
        <v>1.2285862381754567E-2</v>
      </c>
      <c r="M556" s="40" t="str">
        <f>IF(データ!L553="","",データ!L553)</f>
        <v/>
      </c>
      <c r="N556" s="41" t="str">
        <f>IF(データ!M553="","",データ!M553)</f>
        <v/>
      </c>
      <c r="O556" s="42">
        <f>データ!N553</f>
        <v>0</v>
      </c>
      <c r="P556" s="48">
        <f>IF($C556="集計行","",データ!O553)</f>
        <v>0</v>
      </c>
      <c r="Q556" s="48">
        <f>データ!P553</f>
        <v>0</v>
      </c>
      <c r="R556" s="39" t="str">
        <f>IF(OR($C556="総括",$C556="内訳書",$C556="内訳代価",$C556="明細書",$C556="明細代価",$C556="代価表",$C556="単価表"),データ!Q553,"")</f>
        <v/>
      </c>
      <c r="S556" s="11" t="str">
        <f t="shared" si="50"/>
        <v/>
      </c>
      <c r="T556" s="46" t="e">
        <f t="shared" si="51"/>
        <v>#DIV/0!</v>
      </c>
      <c r="U556" s="40" t="str">
        <f>IF(データ!R553="","",データ!R553)</f>
        <v/>
      </c>
      <c r="V556" s="41" t="str">
        <f>IF(データ!S553="","",データ!S553)</f>
        <v/>
      </c>
      <c r="W556" s="42">
        <f>データ!T553</f>
        <v>0</v>
      </c>
      <c r="X556" s="48">
        <f>IF($C556="集計行","",データ!U553)</f>
        <v>0</v>
      </c>
      <c r="Y556" s="48">
        <f>データ!V553</f>
        <v>0</v>
      </c>
      <c r="Z556" s="39" t="str">
        <f>IF(OR($C556="総括",$C556="内訳書",$C556="内訳代価",$C556="明細書",$C556="明細代価",$C556="代価表",$C556="単価表"),データ!W553,"")</f>
        <v/>
      </c>
      <c r="AA556" s="11" t="str">
        <f t="shared" si="52"/>
        <v/>
      </c>
      <c r="AB556" s="46" t="e">
        <f t="shared" si="53"/>
        <v>#DIV/0!</v>
      </c>
      <c r="AC556" s="40" t="str">
        <f>IF(データ!X553="","",データ!X553)</f>
        <v/>
      </c>
      <c r="AD556" s="41" t="str">
        <f>IF(データ!Y553="","",データ!Y553)</f>
        <v/>
      </c>
      <c r="AE556" s="47" t="str">
        <f>TRIM(データ!B553)</f>
        <v/>
      </c>
      <c r="AF556" s="43" t="str">
        <f>TRIM(データ!Z553)</f>
        <v/>
      </c>
    </row>
    <row r="557" spans="1:32" x14ac:dyDescent="0.15">
      <c r="A557" s="47">
        <f>データ!A554</f>
        <v>3</v>
      </c>
      <c r="B557" s="47" t="str">
        <f>TRIM(データ!C554)</f>
        <v/>
      </c>
      <c r="C557" s="47" t="str">
        <f>TRIM(データ!D554)</f>
        <v>材料費</v>
      </c>
      <c r="D557" s="36" t="str">
        <f>REPT("｜",$A557)&amp;TRIM(データ!E554)</f>
        <v>｜｜｜基礎ブロック</v>
      </c>
      <c r="E557" s="37" t="str">
        <f>TRIM(データ!F554)</f>
        <v>180×180×450</v>
      </c>
      <c r="F557" s="38" t="str">
        <f>TRIM(データ!G554)</f>
        <v>本</v>
      </c>
      <c r="G557" s="50">
        <f>データ!H554</f>
        <v>78</v>
      </c>
      <c r="H557" s="48">
        <f>データ!I554</f>
        <v>800</v>
      </c>
      <c r="I557" s="48">
        <f>データ!J554</f>
        <v>62400</v>
      </c>
      <c r="J557" s="39" t="str">
        <f>IF(OR($C557="総括",$C557="内訳書",$C557="内訳代価",$C557="明細書",$C557="明細代価",$C557="代価表",$C557="単価表"),データ!K554,"")</f>
        <v/>
      </c>
      <c r="K557" s="11" t="str">
        <f t="shared" si="48"/>
        <v/>
      </c>
      <c r="L557" s="46">
        <f t="shared" si="49"/>
        <v>8.9844931104487926E-4</v>
      </c>
      <c r="M557" s="40" t="str">
        <f>IF(データ!L554="","",データ!L554)</f>
        <v/>
      </c>
      <c r="N557" s="41" t="str">
        <f>IF(データ!M554="","",データ!M554)</f>
        <v/>
      </c>
      <c r="O557" s="42">
        <f>データ!N554</f>
        <v>0</v>
      </c>
      <c r="P557" s="48">
        <f>IF($C557="集計行","",データ!O554)</f>
        <v>0</v>
      </c>
      <c r="Q557" s="48">
        <f>データ!P554</f>
        <v>0</v>
      </c>
      <c r="R557" s="39" t="str">
        <f>IF(OR($C557="総括",$C557="内訳書",$C557="内訳代価",$C557="明細書",$C557="明細代価",$C557="代価表",$C557="単価表"),データ!Q554,"")</f>
        <v/>
      </c>
      <c r="S557" s="11" t="str">
        <f t="shared" si="50"/>
        <v/>
      </c>
      <c r="T557" s="46" t="e">
        <f t="shared" si="51"/>
        <v>#DIV/0!</v>
      </c>
      <c r="U557" s="40" t="str">
        <f>IF(データ!R554="","",データ!R554)</f>
        <v/>
      </c>
      <c r="V557" s="41" t="str">
        <f>IF(データ!S554="","",データ!S554)</f>
        <v/>
      </c>
      <c r="W557" s="42">
        <f>データ!T554</f>
        <v>0</v>
      </c>
      <c r="X557" s="48">
        <f>IF($C557="集計行","",データ!U554)</f>
        <v>0</v>
      </c>
      <c r="Y557" s="48">
        <f>データ!V554</f>
        <v>0</v>
      </c>
      <c r="Z557" s="39" t="str">
        <f>IF(OR($C557="総括",$C557="内訳書",$C557="内訳代価",$C557="明細書",$C557="明細代価",$C557="代価表",$C557="単価表"),データ!W554,"")</f>
        <v/>
      </c>
      <c r="AA557" s="11" t="str">
        <f t="shared" si="52"/>
        <v/>
      </c>
      <c r="AB557" s="46" t="e">
        <f t="shared" si="53"/>
        <v>#DIV/0!</v>
      </c>
      <c r="AC557" s="40" t="str">
        <f>IF(データ!X554="","",データ!X554)</f>
        <v/>
      </c>
      <c r="AD557" s="41" t="str">
        <f>IF(データ!Y554="","",データ!Y554)</f>
        <v/>
      </c>
      <c r="AE557" s="47" t="str">
        <f>TRIM(データ!B554)</f>
        <v/>
      </c>
      <c r="AF557" s="43" t="str">
        <f>TRIM(データ!Z554)</f>
        <v/>
      </c>
    </row>
    <row r="558" spans="1:32" x14ac:dyDescent="0.15">
      <c r="A558" s="47">
        <f>データ!A555</f>
        <v>3</v>
      </c>
      <c r="B558" s="47" t="str">
        <f>TRIM(データ!C555)</f>
        <v/>
      </c>
      <c r="C558" s="47" t="str">
        <f>TRIM(データ!D555)</f>
        <v>外注費</v>
      </c>
      <c r="D558" s="36" t="str">
        <f>REPT("｜",$A558)&amp;TRIM(データ!E555)</f>
        <v>｜｜｜基礎設置費</v>
      </c>
      <c r="E558" s="37" t="str">
        <f>TRIM(データ!F555)</f>
        <v/>
      </c>
      <c r="F558" s="38" t="str">
        <f>TRIM(データ!G555)</f>
        <v>本</v>
      </c>
      <c r="G558" s="50">
        <f>データ!H555</f>
        <v>78</v>
      </c>
      <c r="H558" s="48">
        <f>データ!I555</f>
        <v>1500</v>
      </c>
      <c r="I558" s="48">
        <f>データ!J555</f>
        <v>117000</v>
      </c>
      <c r="J558" s="39" t="str">
        <f>IF(OR($C558="総括",$C558="内訳書",$C558="内訳代価",$C558="明細書",$C558="明細代価",$C558="代価表",$C558="単価表"),データ!K555,"")</f>
        <v/>
      </c>
      <c r="K558" s="11" t="str">
        <f t="shared" si="48"/>
        <v/>
      </c>
      <c r="L558" s="46">
        <f t="shared" si="49"/>
        <v>1.6845924582091487E-3</v>
      </c>
      <c r="M558" s="40" t="str">
        <f>IF(データ!L555="","",データ!L555)</f>
        <v/>
      </c>
      <c r="N558" s="41" t="str">
        <f>IF(データ!M555="","",データ!M555)</f>
        <v/>
      </c>
      <c r="O558" s="42">
        <f>データ!N555</f>
        <v>0</v>
      </c>
      <c r="P558" s="48">
        <f>IF($C558="集計行","",データ!O555)</f>
        <v>0</v>
      </c>
      <c r="Q558" s="48">
        <f>データ!P555</f>
        <v>0</v>
      </c>
      <c r="R558" s="39" t="str">
        <f>IF(OR($C558="総括",$C558="内訳書",$C558="内訳代価",$C558="明細書",$C558="明細代価",$C558="代価表",$C558="単価表"),データ!Q555,"")</f>
        <v/>
      </c>
      <c r="S558" s="11" t="str">
        <f t="shared" si="50"/>
        <v/>
      </c>
      <c r="T558" s="46" t="e">
        <f t="shared" si="51"/>
        <v>#DIV/0!</v>
      </c>
      <c r="U558" s="40" t="str">
        <f>IF(データ!R555="","",データ!R555)</f>
        <v/>
      </c>
      <c r="V558" s="41" t="str">
        <f>IF(データ!S555="","",データ!S555)</f>
        <v/>
      </c>
      <c r="W558" s="42">
        <f>データ!T555</f>
        <v>0</v>
      </c>
      <c r="X558" s="48">
        <f>IF($C558="集計行","",データ!U555)</f>
        <v>0</v>
      </c>
      <c r="Y558" s="48">
        <f>データ!V555</f>
        <v>0</v>
      </c>
      <c r="Z558" s="39" t="str">
        <f>IF(OR($C558="総括",$C558="内訳書",$C558="内訳代価",$C558="明細書",$C558="明細代価",$C558="代価表",$C558="単価表"),データ!W555,"")</f>
        <v/>
      </c>
      <c r="AA558" s="11" t="str">
        <f t="shared" si="52"/>
        <v/>
      </c>
      <c r="AB558" s="46" t="e">
        <f t="shared" si="53"/>
        <v>#DIV/0!</v>
      </c>
      <c r="AC558" s="40" t="str">
        <f>IF(データ!X555="","",データ!X555)</f>
        <v/>
      </c>
      <c r="AD558" s="41" t="str">
        <f>IF(データ!Y555="","",データ!Y555)</f>
        <v/>
      </c>
      <c r="AE558" s="47" t="str">
        <f>TRIM(データ!B555)</f>
        <v/>
      </c>
      <c r="AF558" s="43" t="str">
        <f>TRIM(データ!Z555)</f>
        <v/>
      </c>
    </row>
    <row r="559" spans="1:32" x14ac:dyDescent="0.15">
      <c r="A559" s="47">
        <f>データ!A556</f>
        <v>3</v>
      </c>
      <c r="B559" s="47" t="str">
        <f>TRIM(データ!C556)</f>
        <v/>
      </c>
      <c r="C559" s="47" t="str">
        <f>TRIM(データ!D556)</f>
        <v>外注費</v>
      </c>
      <c r="D559" s="36" t="str">
        <f>REPT("｜",$A559)&amp;TRIM(データ!E556)</f>
        <v>｜｜｜組立費</v>
      </c>
      <c r="E559" s="37" t="str">
        <f>TRIM(データ!F556)</f>
        <v>H1800</v>
      </c>
      <c r="F559" s="38" t="str">
        <f>TRIM(データ!G556)</f>
        <v>m</v>
      </c>
      <c r="G559" s="50">
        <f>データ!H556</f>
        <v>149.69999999999999</v>
      </c>
      <c r="H559" s="48">
        <f>データ!I556</f>
        <v>2200</v>
      </c>
      <c r="I559" s="48">
        <f>データ!J556</f>
        <v>329340</v>
      </c>
      <c r="J559" s="39" t="str">
        <f>IF(OR($C559="総括",$C559="内訳書",$C559="内訳代価",$C559="明細書",$C559="明細代価",$C559="代価表",$C559="単価表"),データ!K556,"")</f>
        <v/>
      </c>
      <c r="K559" s="11" t="str">
        <f t="shared" si="48"/>
        <v/>
      </c>
      <c r="L559" s="46">
        <f t="shared" si="49"/>
        <v>4.7419117964666753E-3</v>
      </c>
      <c r="M559" s="40" t="str">
        <f>IF(データ!L556="","",データ!L556)</f>
        <v/>
      </c>
      <c r="N559" s="41" t="str">
        <f>IF(データ!M556="","",データ!M556)</f>
        <v/>
      </c>
      <c r="O559" s="42">
        <f>データ!N556</f>
        <v>0</v>
      </c>
      <c r="P559" s="48">
        <f>IF($C559="集計行","",データ!O556)</f>
        <v>0</v>
      </c>
      <c r="Q559" s="48">
        <f>データ!P556</f>
        <v>0</v>
      </c>
      <c r="R559" s="39" t="str">
        <f>IF(OR($C559="総括",$C559="内訳書",$C559="内訳代価",$C559="明細書",$C559="明細代価",$C559="代価表",$C559="単価表"),データ!Q556,"")</f>
        <v/>
      </c>
      <c r="S559" s="11" t="str">
        <f t="shared" si="50"/>
        <v/>
      </c>
      <c r="T559" s="46" t="e">
        <f t="shared" si="51"/>
        <v>#DIV/0!</v>
      </c>
      <c r="U559" s="40" t="str">
        <f>IF(データ!R556="","",データ!R556)</f>
        <v/>
      </c>
      <c r="V559" s="41" t="str">
        <f>IF(データ!S556="","",データ!S556)</f>
        <v/>
      </c>
      <c r="W559" s="42">
        <f>データ!T556</f>
        <v>0</v>
      </c>
      <c r="X559" s="48">
        <f>IF($C559="集計行","",データ!U556)</f>
        <v>0</v>
      </c>
      <c r="Y559" s="48">
        <f>データ!V556</f>
        <v>0</v>
      </c>
      <c r="Z559" s="39" t="str">
        <f>IF(OR($C559="総括",$C559="内訳書",$C559="内訳代価",$C559="明細書",$C559="明細代価",$C559="代価表",$C559="単価表"),データ!W556,"")</f>
        <v/>
      </c>
      <c r="AA559" s="11" t="str">
        <f t="shared" si="52"/>
        <v/>
      </c>
      <c r="AB559" s="46" t="e">
        <f t="shared" si="53"/>
        <v>#DIV/0!</v>
      </c>
      <c r="AC559" s="40" t="str">
        <f>IF(データ!X556="","",データ!X556)</f>
        <v/>
      </c>
      <c r="AD559" s="41" t="str">
        <f>IF(データ!Y556="","",データ!Y556)</f>
        <v/>
      </c>
      <c r="AE559" s="47" t="str">
        <f>TRIM(データ!B556)</f>
        <v/>
      </c>
      <c r="AF559" s="43" t="str">
        <f>TRIM(データ!Z556)</f>
        <v/>
      </c>
    </row>
    <row r="560" spans="1:32" x14ac:dyDescent="0.15">
      <c r="A560" s="47">
        <f>データ!A557</f>
        <v>3</v>
      </c>
      <c r="B560" s="47" t="str">
        <f>TRIM(データ!C557)</f>
        <v/>
      </c>
      <c r="C560" s="47" t="str">
        <f>TRIM(データ!D557)</f>
        <v>材料費</v>
      </c>
      <c r="D560" s="36" t="str">
        <f>REPT("｜",$A560)&amp;TRIM(データ!E557)</f>
        <v>｜｜｜雑材</v>
      </c>
      <c r="E560" s="37" t="str">
        <f>TRIM(データ!F557)</f>
        <v/>
      </c>
      <c r="F560" s="38" t="str">
        <f>TRIM(データ!G557)</f>
        <v>式</v>
      </c>
      <c r="G560" s="50">
        <f>データ!H557</f>
        <v>1</v>
      </c>
      <c r="H560" s="48">
        <f>データ!I557</f>
        <v>6000</v>
      </c>
      <c r="I560" s="48">
        <f>データ!J557</f>
        <v>6000</v>
      </c>
      <c r="J560" s="39" t="str">
        <f>IF(OR($C560="総括",$C560="内訳書",$C560="内訳代価",$C560="明細書",$C560="明細代価",$C560="代価表",$C560="単価表"),データ!K557,"")</f>
        <v/>
      </c>
      <c r="K560" s="11" t="str">
        <f t="shared" si="48"/>
        <v/>
      </c>
      <c r="L560" s="46">
        <f t="shared" si="49"/>
        <v>8.6389356831238388E-5</v>
      </c>
      <c r="M560" s="40" t="str">
        <f>IF(データ!L557="","",データ!L557)</f>
        <v/>
      </c>
      <c r="N560" s="41" t="str">
        <f>IF(データ!M557="","",データ!M557)</f>
        <v/>
      </c>
      <c r="O560" s="42">
        <f>データ!N557</f>
        <v>0</v>
      </c>
      <c r="P560" s="48">
        <f>IF($C560="集計行","",データ!O557)</f>
        <v>0</v>
      </c>
      <c r="Q560" s="48">
        <f>データ!P557</f>
        <v>0</v>
      </c>
      <c r="R560" s="39" t="str">
        <f>IF(OR($C560="総括",$C560="内訳書",$C560="内訳代価",$C560="明細書",$C560="明細代価",$C560="代価表",$C560="単価表"),データ!Q557,"")</f>
        <v/>
      </c>
      <c r="S560" s="11" t="str">
        <f t="shared" si="50"/>
        <v/>
      </c>
      <c r="T560" s="46" t="e">
        <f t="shared" si="51"/>
        <v>#DIV/0!</v>
      </c>
      <c r="U560" s="40" t="str">
        <f>IF(データ!R557="","",データ!R557)</f>
        <v/>
      </c>
      <c r="V560" s="41" t="str">
        <f>IF(データ!S557="","",データ!S557)</f>
        <v/>
      </c>
      <c r="W560" s="42">
        <f>データ!T557</f>
        <v>0</v>
      </c>
      <c r="X560" s="48">
        <f>IF($C560="集計行","",データ!U557)</f>
        <v>0</v>
      </c>
      <c r="Y560" s="48">
        <f>データ!V557</f>
        <v>0</v>
      </c>
      <c r="Z560" s="39" t="str">
        <f>IF(OR($C560="総括",$C560="内訳書",$C560="内訳代価",$C560="明細書",$C560="明細代価",$C560="代価表",$C560="単価表"),データ!W557,"")</f>
        <v/>
      </c>
      <c r="AA560" s="11" t="str">
        <f t="shared" si="52"/>
        <v/>
      </c>
      <c r="AB560" s="46" t="e">
        <f t="shared" si="53"/>
        <v>#DIV/0!</v>
      </c>
      <c r="AC560" s="40" t="str">
        <f>IF(データ!X557="","",データ!X557)</f>
        <v/>
      </c>
      <c r="AD560" s="41" t="str">
        <f>IF(データ!Y557="","",データ!Y557)</f>
        <v/>
      </c>
      <c r="AE560" s="47" t="str">
        <f>TRIM(データ!B557)</f>
        <v/>
      </c>
      <c r="AF560" s="43" t="str">
        <f>TRIM(データ!Z557)</f>
        <v/>
      </c>
    </row>
    <row r="561" spans="1:32" x14ac:dyDescent="0.15">
      <c r="A561" s="47">
        <f>データ!A558</f>
        <v>3</v>
      </c>
      <c r="B561" s="47" t="str">
        <f>TRIM(データ!C558)</f>
        <v/>
      </c>
      <c r="C561" s="47" t="str">
        <f>TRIM(データ!D558)</f>
        <v>外注費</v>
      </c>
      <c r="D561" s="36" t="str">
        <f>REPT("｜",$A561)&amp;TRIM(データ!E558)</f>
        <v>｜｜｜運搬費</v>
      </c>
      <c r="E561" s="37" t="str">
        <f>TRIM(データ!F558)</f>
        <v/>
      </c>
      <c r="F561" s="38" t="str">
        <f>TRIM(データ!G558)</f>
        <v>式</v>
      </c>
      <c r="G561" s="50">
        <f>データ!H558</f>
        <v>1</v>
      </c>
      <c r="H561" s="48">
        <f>データ!I558</f>
        <v>75000</v>
      </c>
      <c r="I561" s="48">
        <f>データ!J558</f>
        <v>75000</v>
      </c>
      <c r="J561" s="39" t="str">
        <f>IF(OR($C561="総括",$C561="内訳書",$C561="内訳代価",$C561="明細書",$C561="明細代価",$C561="代価表",$C561="単価表"),データ!K558,"")</f>
        <v/>
      </c>
      <c r="K561" s="11" t="str">
        <f t="shared" si="48"/>
        <v/>
      </c>
      <c r="L561" s="46">
        <f t="shared" si="49"/>
        <v>1.0798669603904799E-3</v>
      </c>
      <c r="M561" s="40" t="str">
        <f>IF(データ!L558="","",データ!L558)</f>
        <v/>
      </c>
      <c r="N561" s="41" t="str">
        <f>IF(データ!M558="","",データ!M558)</f>
        <v/>
      </c>
      <c r="O561" s="42">
        <f>データ!N558</f>
        <v>0</v>
      </c>
      <c r="P561" s="48">
        <f>IF($C561="集計行","",データ!O558)</f>
        <v>0</v>
      </c>
      <c r="Q561" s="48">
        <f>データ!P558</f>
        <v>0</v>
      </c>
      <c r="R561" s="39" t="str">
        <f>IF(OR($C561="総括",$C561="内訳書",$C561="内訳代価",$C561="明細書",$C561="明細代価",$C561="代価表",$C561="単価表"),データ!Q558,"")</f>
        <v/>
      </c>
      <c r="S561" s="11" t="str">
        <f t="shared" si="50"/>
        <v/>
      </c>
      <c r="T561" s="46" t="e">
        <f t="shared" si="51"/>
        <v>#DIV/0!</v>
      </c>
      <c r="U561" s="40" t="str">
        <f>IF(データ!R558="","",データ!R558)</f>
        <v/>
      </c>
      <c r="V561" s="41" t="str">
        <f>IF(データ!S558="","",データ!S558)</f>
        <v/>
      </c>
      <c r="W561" s="42">
        <f>データ!T558</f>
        <v>0</v>
      </c>
      <c r="X561" s="48">
        <f>IF($C561="集計行","",データ!U558)</f>
        <v>0</v>
      </c>
      <c r="Y561" s="48">
        <f>データ!V558</f>
        <v>0</v>
      </c>
      <c r="Z561" s="39" t="str">
        <f>IF(OR($C561="総括",$C561="内訳書",$C561="内訳代価",$C561="明細書",$C561="明細代価",$C561="代価表",$C561="単価表"),データ!W558,"")</f>
        <v/>
      </c>
      <c r="AA561" s="11" t="str">
        <f t="shared" si="52"/>
        <v/>
      </c>
      <c r="AB561" s="46" t="e">
        <f t="shared" si="53"/>
        <v>#DIV/0!</v>
      </c>
      <c r="AC561" s="40" t="str">
        <f>IF(データ!X558="","",データ!X558)</f>
        <v/>
      </c>
      <c r="AD561" s="41" t="str">
        <f>IF(データ!Y558="","",データ!Y558)</f>
        <v/>
      </c>
      <c r="AE561" s="47" t="str">
        <f>TRIM(データ!B558)</f>
        <v/>
      </c>
      <c r="AF561" s="43" t="str">
        <f>TRIM(データ!Z558)</f>
        <v/>
      </c>
    </row>
    <row r="562" spans="1:32" x14ac:dyDescent="0.15">
      <c r="A562" s="47">
        <f>データ!A559</f>
        <v>3</v>
      </c>
      <c r="B562" s="47" t="str">
        <f>TRIM(データ!C559)</f>
        <v/>
      </c>
      <c r="C562" s="47" t="str">
        <f>TRIM(データ!D559)</f>
        <v>外注費</v>
      </c>
      <c r="D562" s="36" t="str">
        <f>REPT("｜",$A562)&amp;TRIM(データ!E559)</f>
        <v>｜｜｜外注経費</v>
      </c>
      <c r="E562" s="37" t="str">
        <f>TRIM(データ!F559)</f>
        <v/>
      </c>
      <c r="F562" s="38" t="str">
        <f>TRIM(データ!G559)</f>
        <v>式</v>
      </c>
      <c r="G562" s="50">
        <f>データ!H559</f>
        <v>1</v>
      </c>
      <c r="H562" s="48">
        <f>データ!I559</f>
        <v>39000</v>
      </c>
      <c r="I562" s="48">
        <f>データ!J559</f>
        <v>39000</v>
      </c>
      <c r="J562" s="39" t="str">
        <f>IF(OR($C562="総括",$C562="内訳書",$C562="内訳代価",$C562="明細書",$C562="明細代価",$C562="代価表",$C562="単価表"),データ!K559,"")</f>
        <v/>
      </c>
      <c r="K562" s="11" t="str">
        <f t="shared" si="48"/>
        <v/>
      </c>
      <c r="L562" s="46">
        <f t="shared" si="49"/>
        <v>5.6153081940304951E-4</v>
      </c>
      <c r="M562" s="40" t="str">
        <f>IF(データ!L559="","",データ!L559)</f>
        <v/>
      </c>
      <c r="N562" s="41" t="str">
        <f>IF(データ!M559="","",データ!M559)</f>
        <v/>
      </c>
      <c r="O562" s="42">
        <f>データ!N559</f>
        <v>0</v>
      </c>
      <c r="P562" s="48">
        <f>IF($C562="集計行","",データ!O559)</f>
        <v>0</v>
      </c>
      <c r="Q562" s="48">
        <f>データ!P559</f>
        <v>0</v>
      </c>
      <c r="R562" s="39" t="str">
        <f>IF(OR($C562="総括",$C562="内訳書",$C562="内訳代価",$C562="明細書",$C562="明細代価",$C562="代価表",$C562="単価表"),データ!Q559,"")</f>
        <v/>
      </c>
      <c r="S562" s="11" t="str">
        <f t="shared" si="50"/>
        <v/>
      </c>
      <c r="T562" s="46" t="e">
        <f t="shared" si="51"/>
        <v>#DIV/0!</v>
      </c>
      <c r="U562" s="40" t="str">
        <f>IF(データ!R559="","",データ!R559)</f>
        <v/>
      </c>
      <c r="V562" s="41" t="str">
        <f>IF(データ!S559="","",データ!S559)</f>
        <v/>
      </c>
      <c r="W562" s="42">
        <f>データ!T559</f>
        <v>0</v>
      </c>
      <c r="X562" s="48">
        <f>IF($C562="集計行","",データ!U559)</f>
        <v>0</v>
      </c>
      <c r="Y562" s="48">
        <f>データ!V559</f>
        <v>0</v>
      </c>
      <c r="Z562" s="39" t="str">
        <f>IF(OR($C562="総括",$C562="内訳書",$C562="内訳代価",$C562="明細書",$C562="明細代価",$C562="代価表",$C562="単価表"),データ!W559,"")</f>
        <v/>
      </c>
      <c r="AA562" s="11" t="str">
        <f t="shared" si="52"/>
        <v/>
      </c>
      <c r="AB562" s="46" t="e">
        <f t="shared" si="53"/>
        <v>#DIV/0!</v>
      </c>
      <c r="AC562" s="40" t="str">
        <f>IF(データ!X559="","",データ!X559)</f>
        <v/>
      </c>
      <c r="AD562" s="41" t="str">
        <f>IF(データ!Y559="","",データ!Y559)</f>
        <v/>
      </c>
      <c r="AE562" s="47" t="str">
        <f>TRIM(データ!B559)</f>
        <v/>
      </c>
      <c r="AF562" s="43" t="str">
        <f>TRIM(データ!Z559)</f>
        <v/>
      </c>
    </row>
    <row r="563" spans="1:32" x14ac:dyDescent="0.15">
      <c r="A563" s="47">
        <f>データ!A560</f>
        <v>2</v>
      </c>
      <c r="B563" s="47" t="str">
        <f>TRIM(データ!C560)</f>
        <v/>
      </c>
      <c r="C563" s="47" t="str">
        <f>TRIM(データ!D560)</f>
        <v>内訳書</v>
      </c>
      <c r="D563" s="36" t="str">
        <f>REPT("｜",$A563)&amp;TRIM(データ!E560)</f>
        <v>｜｜カーブミラー設置</v>
      </c>
      <c r="E563" s="37" t="str">
        <f>TRIM(データ!F560)</f>
        <v/>
      </c>
      <c r="F563" s="38" t="str">
        <f>TRIM(データ!G560)</f>
        <v>基</v>
      </c>
      <c r="G563" s="50">
        <f>データ!H560</f>
        <v>1</v>
      </c>
      <c r="H563" s="48">
        <f>データ!I560</f>
        <v>230000</v>
      </c>
      <c r="I563" s="48">
        <f>データ!J560</f>
        <v>230000</v>
      </c>
      <c r="J563" s="39">
        <f>IF(OR($C563="総括",$C563="内訳書",$C563="内訳代価",$C563="明細書",$C563="明細代価",$C563="代価表",$C563="単価表"),データ!K560,"")</f>
        <v>1</v>
      </c>
      <c r="K563" s="11" t="str">
        <f t="shared" si="48"/>
        <v/>
      </c>
      <c r="L563" s="46">
        <f t="shared" si="49"/>
        <v>3.3115920118641385E-3</v>
      </c>
      <c r="M563" s="40" t="str">
        <f>IF(データ!L560="","",データ!L560)</f>
        <v/>
      </c>
      <c r="N563" s="41" t="str">
        <f>IF(データ!M560="","",データ!M560)</f>
        <v>67号内訳書</v>
      </c>
      <c r="O563" s="42">
        <f>データ!N560</f>
        <v>0</v>
      </c>
      <c r="P563" s="48">
        <f>IF($C563="集計行","",データ!O560)</f>
        <v>0</v>
      </c>
      <c r="Q563" s="48">
        <f>データ!P560</f>
        <v>0</v>
      </c>
      <c r="R563" s="39">
        <f>IF(OR($C563="総括",$C563="内訳書",$C563="内訳代価",$C563="明細書",$C563="明細代価",$C563="代価表",$C563="単価表"),データ!Q560,"")</f>
        <v>0</v>
      </c>
      <c r="S563" s="11" t="str">
        <f t="shared" si="50"/>
        <v/>
      </c>
      <c r="T563" s="46" t="e">
        <f t="shared" si="51"/>
        <v>#DIV/0!</v>
      </c>
      <c r="U563" s="40" t="str">
        <f>IF(データ!R560="","",データ!R560)</f>
        <v/>
      </c>
      <c r="V563" s="41" t="str">
        <f>IF(データ!S560="","",データ!S560)</f>
        <v/>
      </c>
      <c r="W563" s="42">
        <f>データ!T560</f>
        <v>0</v>
      </c>
      <c r="X563" s="48">
        <f>IF($C563="集計行","",データ!U560)</f>
        <v>0</v>
      </c>
      <c r="Y563" s="48">
        <f>データ!V560</f>
        <v>0</v>
      </c>
      <c r="Z563" s="39">
        <f>IF(OR($C563="総括",$C563="内訳書",$C563="内訳代価",$C563="明細書",$C563="明細代価",$C563="代価表",$C563="単価表"),データ!W560,"")</f>
        <v>0</v>
      </c>
      <c r="AA563" s="11" t="str">
        <f t="shared" si="52"/>
        <v/>
      </c>
      <c r="AB563" s="46" t="e">
        <f t="shared" si="53"/>
        <v>#DIV/0!</v>
      </c>
      <c r="AC563" s="40" t="str">
        <f>IF(データ!X560="","",データ!X560)</f>
        <v/>
      </c>
      <c r="AD563" s="41" t="str">
        <f>IF(データ!Y560="","",データ!Y560)</f>
        <v/>
      </c>
      <c r="AE563" s="47" t="str">
        <f>TRIM(データ!B560)</f>
        <v/>
      </c>
      <c r="AF563" s="43" t="str">
        <f>TRIM(データ!Z560)</f>
        <v/>
      </c>
    </row>
    <row r="564" spans="1:32" x14ac:dyDescent="0.15">
      <c r="A564" s="47">
        <f>データ!A561</f>
        <v>3</v>
      </c>
      <c r="B564" s="47" t="str">
        <f>TRIM(データ!C561)</f>
        <v/>
      </c>
      <c r="C564" s="47" t="str">
        <f>TRIM(データ!D561)</f>
        <v>材料費</v>
      </c>
      <c r="D564" s="36" t="str">
        <f>REPT("｜",$A564)&amp;TRIM(データ!E561)</f>
        <v>｜｜｜φ600アクリル</v>
      </c>
      <c r="E564" s="37" t="str">
        <f>TRIM(データ!F561)</f>
        <v/>
      </c>
      <c r="F564" s="38" t="str">
        <f>TRIM(データ!G561)</f>
        <v>枚</v>
      </c>
      <c r="G564" s="50">
        <f>データ!H561</f>
        <v>1</v>
      </c>
      <c r="H564" s="48">
        <f>データ!I561</f>
        <v>16200</v>
      </c>
      <c r="I564" s="48">
        <f>データ!J561</f>
        <v>16200</v>
      </c>
      <c r="J564" s="39" t="str">
        <f>IF(OR($C564="総括",$C564="内訳書",$C564="内訳代価",$C564="明細書",$C564="明細代価",$C564="代価表",$C564="単価表"),データ!K561,"")</f>
        <v/>
      </c>
      <c r="K564" s="11" t="str">
        <f t="shared" si="48"/>
        <v/>
      </c>
      <c r="L564" s="46">
        <f t="shared" si="49"/>
        <v>2.3325126344434364E-4</v>
      </c>
      <c r="M564" s="40" t="str">
        <f>IF(データ!L561="","",データ!L561)</f>
        <v/>
      </c>
      <c r="N564" s="41" t="str">
        <f>IF(データ!M561="","",データ!M561)</f>
        <v/>
      </c>
      <c r="O564" s="42">
        <f>データ!N561</f>
        <v>0</v>
      </c>
      <c r="P564" s="48">
        <f>IF($C564="集計行","",データ!O561)</f>
        <v>0</v>
      </c>
      <c r="Q564" s="48">
        <f>データ!P561</f>
        <v>0</v>
      </c>
      <c r="R564" s="39" t="str">
        <f>IF(OR($C564="総括",$C564="内訳書",$C564="内訳代価",$C564="明細書",$C564="明細代価",$C564="代価表",$C564="単価表"),データ!Q561,"")</f>
        <v/>
      </c>
      <c r="S564" s="11" t="str">
        <f t="shared" si="50"/>
        <v/>
      </c>
      <c r="T564" s="46" t="e">
        <f t="shared" si="51"/>
        <v>#DIV/0!</v>
      </c>
      <c r="U564" s="40" t="str">
        <f>IF(データ!R561="","",データ!R561)</f>
        <v/>
      </c>
      <c r="V564" s="41" t="str">
        <f>IF(データ!S561="","",データ!S561)</f>
        <v/>
      </c>
      <c r="W564" s="42">
        <f>データ!T561</f>
        <v>0</v>
      </c>
      <c r="X564" s="48">
        <f>IF($C564="集計行","",データ!U561)</f>
        <v>0</v>
      </c>
      <c r="Y564" s="48">
        <f>データ!V561</f>
        <v>0</v>
      </c>
      <c r="Z564" s="39" t="str">
        <f>IF(OR($C564="総括",$C564="内訳書",$C564="内訳代価",$C564="明細書",$C564="明細代価",$C564="代価表",$C564="単価表"),データ!W561,"")</f>
        <v/>
      </c>
      <c r="AA564" s="11" t="str">
        <f t="shared" si="52"/>
        <v/>
      </c>
      <c r="AB564" s="46" t="e">
        <f t="shared" si="53"/>
        <v>#DIV/0!</v>
      </c>
      <c r="AC564" s="40" t="str">
        <f>IF(データ!X561="","",データ!X561)</f>
        <v/>
      </c>
      <c r="AD564" s="41" t="str">
        <f>IF(データ!Y561="","",データ!Y561)</f>
        <v/>
      </c>
      <c r="AE564" s="47" t="str">
        <f>TRIM(データ!B561)</f>
        <v/>
      </c>
      <c r="AF564" s="43" t="str">
        <f>TRIM(データ!Z561)</f>
        <v/>
      </c>
    </row>
    <row r="565" spans="1:32" x14ac:dyDescent="0.15">
      <c r="A565" s="47">
        <f>データ!A562</f>
        <v>3</v>
      </c>
      <c r="B565" s="47" t="str">
        <f>TRIM(データ!C562)</f>
        <v/>
      </c>
      <c r="C565" s="47" t="str">
        <f>TRIM(データ!D562)</f>
        <v>材料費</v>
      </c>
      <c r="D565" s="36" t="str">
        <f>REPT("｜",$A565)&amp;TRIM(データ!E562)</f>
        <v>｜｜｜柱　φ76.3×3600</v>
      </c>
      <c r="E565" s="37" t="str">
        <f>TRIM(データ!F562)</f>
        <v/>
      </c>
      <c r="F565" s="38" t="str">
        <f>TRIM(データ!G562)</f>
        <v>本</v>
      </c>
      <c r="G565" s="50">
        <f>データ!H562</f>
        <v>1</v>
      </c>
      <c r="H565" s="48">
        <f>データ!I562</f>
        <v>11700</v>
      </c>
      <c r="I565" s="48">
        <f>データ!J562</f>
        <v>11700</v>
      </c>
      <c r="J565" s="39" t="str">
        <f>IF(OR($C565="総括",$C565="内訳書",$C565="内訳代価",$C565="明細書",$C565="明細代価",$C565="代価表",$C565="単価表"),データ!K562,"")</f>
        <v/>
      </c>
      <c r="K565" s="11" t="str">
        <f t="shared" si="48"/>
        <v/>
      </c>
      <c r="L565" s="46">
        <f t="shared" si="49"/>
        <v>1.6845924582091487E-4</v>
      </c>
      <c r="M565" s="40" t="str">
        <f>IF(データ!L562="","",データ!L562)</f>
        <v/>
      </c>
      <c r="N565" s="41" t="str">
        <f>IF(データ!M562="","",データ!M562)</f>
        <v/>
      </c>
      <c r="O565" s="42">
        <f>データ!N562</f>
        <v>0</v>
      </c>
      <c r="P565" s="48">
        <f>IF($C565="集計行","",データ!O562)</f>
        <v>0</v>
      </c>
      <c r="Q565" s="48">
        <f>データ!P562</f>
        <v>0</v>
      </c>
      <c r="R565" s="39" t="str">
        <f>IF(OR($C565="総括",$C565="内訳書",$C565="内訳代価",$C565="明細書",$C565="明細代価",$C565="代価表",$C565="単価表"),データ!Q562,"")</f>
        <v/>
      </c>
      <c r="S565" s="11" t="str">
        <f t="shared" si="50"/>
        <v/>
      </c>
      <c r="T565" s="46" t="e">
        <f t="shared" si="51"/>
        <v>#DIV/0!</v>
      </c>
      <c r="U565" s="40" t="str">
        <f>IF(データ!R562="","",データ!R562)</f>
        <v/>
      </c>
      <c r="V565" s="41" t="str">
        <f>IF(データ!S562="","",データ!S562)</f>
        <v/>
      </c>
      <c r="W565" s="42">
        <f>データ!T562</f>
        <v>0</v>
      </c>
      <c r="X565" s="48">
        <f>IF($C565="集計行","",データ!U562)</f>
        <v>0</v>
      </c>
      <c r="Y565" s="48">
        <f>データ!V562</f>
        <v>0</v>
      </c>
      <c r="Z565" s="39" t="str">
        <f>IF(OR($C565="総括",$C565="内訳書",$C565="内訳代価",$C565="明細書",$C565="明細代価",$C565="代価表",$C565="単価表"),データ!W562,"")</f>
        <v/>
      </c>
      <c r="AA565" s="11" t="str">
        <f t="shared" si="52"/>
        <v/>
      </c>
      <c r="AB565" s="46" t="e">
        <f t="shared" si="53"/>
        <v>#DIV/0!</v>
      </c>
      <c r="AC565" s="40" t="str">
        <f>IF(データ!X562="","",データ!X562)</f>
        <v/>
      </c>
      <c r="AD565" s="41" t="str">
        <f>IF(データ!Y562="","",データ!Y562)</f>
        <v/>
      </c>
      <c r="AE565" s="47" t="str">
        <f>TRIM(データ!B562)</f>
        <v/>
      </c>
      <c r="AF565" s="43" t="str">
        <f>TRIM(データ!Z562)</f>
        <v/>
      </c>
    </row>
    <row r="566" spans="1:32" x14ac:dyDescent="0.15">
      <c r="A566" s="47">
        <f>データ!A563</f>
        <v>3</v>
      </c>
      <c r="B566" s="47" t="str">
        <f>TRIM(データ!C563)</f>
        <v/>
      </c>
      <c r="C566" s="47" t="str">
        <f>TRIM(データ!D563)</f>
        <v>材料費</v>
      </c>
      <c r="D566" s="36" t="str">
        <f>REPT("｜",$A566)&amp;TRIM(データ!E563)</f>
        <v>｜｜｜注意ステッカー</v>
      </c>
      <c r="E566" s="37" t="str">
        <f>TRIM(データ!F563)</f>
        <v/>
      </c>
      <c r="F566" s="38" t="str">
        <f>TRIM(データ!G563)</f>
        <v>枚</v>
      </c>
      <c r="G566" s="50">
        <f>データ!H563</f>
        <v>1</v>
      </c>
      <c r="H566" s="48">
        <f>データ!I563</f>
        <v>3800</v>
      </c>
      <c r="I566" s="48">
        <f>データ!J563</f>
        <v>3800</v>
      </c>
      <c r="J566" s="39" t="str">
        <f>IF(OR($C566="総括",$C566="内訳書",$C566="内訳代価",$C566="明細書",$C566="明細代価",$C566="代価表",$C566="単価表"),データ!K563,"")</f>
        <v/>
      </c>
      <c r="K566" s="11" t="str">
        <f t="shared" si="48"/>
        <v/>
      </c>
      <c r="L566" s="46">
        <f t="shared" si="49"/>
        <v>5.4713259326450982E-5</v>
      </c>
      <c r="M566" s="40" t="str">
        <f>IF(データ!L563="","",データ!L563)</f>
        <v/>
      </c>
      <c r="N566" s="41" t="str">
        <f>IF(データ!M563="","",データ!M563)</f>
        <v/>
      </c>
      <c r="O566" s="42">
        <f>データ!N563</f>
        <v>0</v>
      </c>
      <c r="P566" s="48">
        <f>IF($C566="集計行","",データ!O563)</f>
        <v>0</v>
      </c>
      <c r="Q566" s="48">
        <f>データ!P563</f>
        <v>0</v>
      </c>
      <c r="R566" s="39" t="str">
        <f>IF(OR($C566="総括",$C566="内訳書",$C566="内訳代価",$C566="明細書",$C566="明細代価",$C566="代価表",$C566="単価表"),データ!Q563,"")</f>
        <v/>
      </c>
      <c r="S566" s="11" t="str">
        <f t="shared" si="50"/>
        <v/>
      </c>
      <c r="T566" s="46" t="e">
        <f t="shared" si="51"/>
        <v>#DIV/0!</v>
      </c>
      <c r="U566" s="40" t="str">
        <f>IF(データ!R563="","",データ!R563)</f>
        <v/>
      </c>
      <c r="V566" s="41" t="str">
        <f>IF(データ!S563="","",データ!S563)</f>
        <v/>
      </c>
      <c r="W566" s="42">
        <f>データ!T563</f>
        <v>0</v>
      </c>
      <c r="X566" s="48">
        <f>IF($C566="集計行","",データ!U563)</f>
        <v>0</v>
      </c>
      <c r="Y566" s="48">
        <f>データ!V563</f>
        <v>0</v>
      </c>
      <c r="Z566" s="39" t="str">
        <f>IF(OR($C566="総括",$C566="内訳書",$C566="内訳代価",$C566="明細書",$C566="明細代価",$C566="代価表",$C566="単価表"),データ!W563,"")</f>
        <v/>
      </c>
      <c r="AA566" s="11" t="str">
        <f t="shared" si="52"/>
        <v/>
      </c>
      <c r="AB566" s="46" t="e">
        <f t="shared" si="53"/>
        <v>#DIV/0!</v>
      </c>
      <c r="AC566" s="40" t="str">
        <f>IF(データ!X563="","",データ!X563)</f>
        <v/>
      </c>
      <c r="AD566" s="41" t="str">
        <f>IF(データ!Y563="","",データ!Y563)</f>
        <v/>
      </c>
      <c r="AE566" s="47" t="str">
        <f>TRIM(データ!B563)</f>
        <v/>
      </c>
      <c r="AF566" s="43" t="str">
        <f>TRIM(データ!Z563)</f>
        <v/>
      </c>
    </row>
    <row r="567" spans="1:32" x14ac:dyDescent="0.15">
      <c r="A567" s="47">
        <f>データ!A564</f>
        <v>3</v>
      </c>
      <c r="B567" s="47" t="str">
        <f>TRIM(データ!C564)</f>
        <v/>
      </c>
      <c r="C567" s="47" t="str">
        <f>TRIM(データ!D564)</f>
        <v>運搬費</v>
      </c>
      <c r="D567" s="36" t="str">
        <f>REPT("｜",$A567)&amp;TRIM(データ!E564)</f>
        <v>｜｜｜送料</v>
      </c>
      <c r="E567" s="37" t="str">
        <f>TRIM(データ!F564)</f>
        <v>ミラー・柱・ステッカー</v>
      </c>
      <c r="F567" s="38" t="str">
        <f>TRIM(データ!G564)</f>
        <v>式</v>
      </c>
      <c r="G567" s="50">
        <f>データ!H564</f>
        <v>1</v>
      </c>
      <c r="H567" s="48">
        <f>データ!I564</f>
        <v>6000</v>
      </c>
      <c r="I567" s="48">
        <f>データ!J564</f>
        <v>6000</v>
      </c>
      <c r="J567" s="39" t="str">
        <f>IF(OR($C567="総括",$C567="内訳書",$C567="内訳代価",$C567="明細書",$C567="明細代価",$C567="代価表",$C567="単価表"),データ!K564,"")</f>
        <v/>
      </c>
      <c r="K567" s="11" t="str">
        <f t="shared" si="48"/>
        <v/>
      </c>
      <c r="L567" s="46">
        <f t="shared" si="49"/>
        <v>8.6389356831238388E-5</v>
      </c>
      <c r="M567" s="40" t="str">
        <f>IF(データ!L564="","",データ!L564)</f>
        <v/>
      </c>
      <c r="N567" s="41" t="str">
        <f>IF(データ!M564="","",データ!M564)</f>
        <v/>
      </c>
      <c r="O567" s="42">
        <f>データ!N564</f>
        <v>0</v>
      </c>
      <c r="P567" s="48">
        <f>IF($C567="集計行","",データ!O564)</f>
        <v>0</v>
      </c>
      <c r="Q567" s="48">
        <f>データ!P564</f>
        <v>0</v>
      </c>
      <c r="R567" s="39" t="str">
        <f>IF(OR($C567="総括",$C567="内訳書",$C567="内訳代価",$C567="明細書",$C567="明細代価",$C567="代価表",$C567="単価表"),データ!Q564,"")</f>
        <v/>
      </c>
      <c r="S567" s="11" t="str">
        <f t="shared" si="50"/>
        <v/>
      </c>
      <c r="T567" s="46" t="e">
        <f t="shared" si="51"/>
        <v>#DIV/0!</v>
      </c>
      <c r="U567" s="40" t="str">
        <f>IF(データ!R564="","",データ!R564)</f>
        <v/>
      </c>
      <c r="V567" s="41" t="str">
        <f>IF(データ!S564="","",データ!S564)</f>
        <v/>
      </c>
      <c r="W567" s="42">
        <f>データ!T564</f>
        <v>0</v>
      </c>
      <c r="X567" s="48">
        <f>IF($C567="集計行","",データ!U564)</f>
        <v>0</v>
      </c>
      <c r="Y567" s="48">
        <f>データ!V564</f>
        <v>0</v>
      </c>
      <c r="Z567" s="39" t="str">
        <f>IF(OR($C567="総括",$C567="内訳書",$C567="内訳代価",$C567="明細書",$C567="明細代価",$C567="代価表",$C567="単価表"),データ!W564,"")</f>
        <v/>
      </c>
      <c r="AA567" s="11" t="str">
        <f t="shared" si="52"/>
        <v/>
      </c>
      <c r="AB567" s="46" t="e">
        <f t="shared" si="53"/>
        <v>#DIV/0!</v>
      </c>
      <c r="AC567" s="40" t="str">
        <f>IF(データ!X564="","",データ!X564)</f>
        <v/>
      </c>
      <c r="AD567" s="41" t="str">
        <f>IF(データ!Y564="","",データ!Y564)</f>
        <v/>
      </c>
      <c r="AE567" s="47" t="str">
        <f>TRIM(データ!B564)</f>
        <v/>
      </c>
      <c r="AF567" s="43" t="str">
        <f>TRIM(データ!Z564)</f>
        <v/>
      </c>
    </row>
    <row r="568" spans="1:32" x14ac:dyDescent="0.15">
      <c r="A568" s="47">
        <f>データ!A565</f>
        <v>3</v>
      </c>
      <c r="B568" s="47" t="str">
        <f>TRIM(データ!C565)</f>
        <v/>
      </c>
      <c r="C568" s="47" t="str">
        <f>TRIM(データ!D565)</f>
        <v>材料費</v>
      </c>
      <c r="D568" s="36" t="str">
        <f>REPT("｜",$A568)&amp;TRIM(データ!E565)</f>
        <v>｜｜｜基礎ブロック</v>
      </c>
      <c r="E568" s="37" t="str">
        <f>TRIM(データ!F565)</f>
        <v>500×500×600</v>
      </c>
      <c r="F568" s="38" t="str">
        <f>TRIM(データ!G565)</f>
        <v>個</v>
      </c>
      <c r="G568" s="50">
        <f>データ!H565</f>
        <v>1</v>
      </c>
      <c r="H568" s="48">
        <f>データ!I565</f>
        <v>8400</v>
      </c>
      <c r="I568" s="48">
        <f>データ!J565</f>
        <v>8400</v>
      </c>
      <c r="J568" s="39" t="str">
        <f>IF(OR($C568="総括",$C568="内訳書",$C568="内訳代価",$C568="明細書",$C568="明細代価",$C568="代価表",$C568="単価表"),データ!K565,"")</f>
        <v/>
      </c>
      <c r="K568" s="11" t="str">
        <f t="shared" si="48"/>
        <v/>
      </c>
      <c r="L568" s="46">
        <f t="shared" si="49"/>
        <v>1.2094509956373375E-4</v>
      </c>
      <c r="M568" s="40" t="str">
        <f>IF(データ!L565="","",データ!L565)</f>
        <v/>
      </c>
      <c r="N568" s="41" t="str">
        <f>IF(データ!M565="","",データ!M565)</f>
        <v/>
      </c>
      <c r="O568" s="42">
        <f>データ!N565</f>
        <v>0</v>
      </c>
      <c r="P568" s="48">
        <f>IF($C568="集計行","",データ!O565)</f>
        <v>0</v>
      </c>
      <c r="Q568" s="48">
        <f>データ!P565</f>
        <v>0</v>
      </c>
      <c r="R568" s="39" t="str">
        <f>IF(OR($C568="総括",$C568="内訳書",$C568="内訳代価",$C568="明細書",$C568="明細代価",$C568="代価表",$C568="単価表"),データ!Q565,"")</f>
        <v/>
      </c>
      <c r="S568" s="11" t="str">
        <f t="shared" si="50"/>
        <v/>
      </c>
      <c r="T568" s="46" t="e">
        <f t="shared" si="51"/>
        <v>#DIV/0!</v>
      </c>
      <c r="U568" s="40" t="str">
        <f>IF(データ!R565="","",データ!R565)</f>
        <v/>
      </c>
      <c r="V568" s="41" t="str">
        <f>IF(データ!S565="","",データ!S565)</f>
        <v/>
      </c>
      <c r="W568" s="42">
        <f>データ!T565</f>
        <v>0</v>
      </c>
      <c r="X568" s="48">
        <f>IF($C568="集計行","",データ!U565)</f>
        <v>0</v>
      </c>
      <c r="Y568" s="48">
        <f>データ!V565</f>
        <v>0</v>
      </c>
      <c r="Z568" s="39" t="str">
        <f>IF(OR($C568="総括",$C568="内訳書",$C568="内訳代価",$C568="明細書",$C568="明細代価",$C568="代価表",$C568="単価表"),データ!W565,"")</f>
        <v/>
      </c>
      <c r="AA568" s="11" t="str">
        <f t="shared" si="52"/>
        <v/>
      </c>
      <c r="AB568" s="46" t="e">
        <f t="shared" si="53"/>
        <v>#DIV/0!</v>
      </c>
      <c r="AC568" s="40" t="str">
        <f>IF(データ!X565="","",データ!X565)</f>
        <v/>
      </c>
      <c r="AD568" s="41" t="str">
        <f>IF(データ!Y565="","",データ!Y565)</f>
        <v/>
      </c>
      <c r="AE568" s="47" t="str">
        <f>TRIM(データ!B565)</f>
        <v/>
      </c>
      <c r="AF568" s="43" t="str">
        <f>TRIM(データ!Z565)</f>
        <v/>
      </c>
    </row>
    <row r="569" spans="1:32" x14ac:dyDescent="0.15">
      <c r="A569" s="47">
        <f>データ!A566</f>
        <v>3</v>
      </c>
      <c r="B569" s="47" t="str">
        <f>TRIM(データ!C566)</f>
        <v/>
      </c>
      <c r="C569" s="47" t="str">
        <f>TRIM(データ!D566)</f>
        <v>材料費</v>
      </c>
      <c r="D569" s="36" t="str">
        <f>REPT("｜",$A569)&amp;TRIM(データ!E566)</f>
        <v>｜｜｜RC-40</v>
      </c>
      <c r="E569" s="37" t="str">
        <f>TRIM(データ!F566)</f>
        <v/>
      </c>
      <c r="F569" s="38" t="str">
        <f>TRIM(データ!G566)</f>
        <v>m3</v>
      </c>
      <c r="G569" s="50">
        <f>データ!H566</f>
        <v>1</v>
      </c>
      <c r="H569" s="48">
        <f>データ!I566</f>
        <v>1800</v>
      </c>
      <c r="I569" s="48">
        <f>データ!J566</f>
        <v>1800</v>
      </c>
      <c r="J569" s="39" t="str">
        <f>IF(OR($C569="総括",$C569="内訳書",$C569="内訳代価",$C569="明細書",$C569="明細代価",$C569="代価表",$C569="単価表"),データ!K566,"")</f>
        <v/>
      </c>
      <c r="K569" s="11" t="str">
        <f t="shared" si="48"/>
        <v/>
      </c>
      <c r="L569" s="46">
        <f t="shared" si="49"/>
        <v>2.5916807049371519E-5</v>
      </c>
      <c r="M569" s="40" t="str">
        <f>IF(データ!L566="","",データ!L566)</f>
        <v/>
      </c>
      <c r="N569" s="41" t="str">
        <f>IF(データ!M566="","",データ!M566)</f>
        <v/>
      </c>
      <c r="O569" s="42">
        <f>データ!N566</f>
        <v>0</v>
      </c>
      <c r="P569" s="48">
        <f>IF($C569="集計行","",データ!O566)</f>
        <v>0</v>
      </c>
      <c r="Q569" s="48">
        <f>データ!P566</f>
        <v>0</v>
      </c>
      <c r="R569" s="39" t="str">
        <f>IF(OR($C569="総括",$C569="内訳書",$C569="内訳代価",$C569="明細書",$C569="明細代価",$C569="代価表",$C569="単価表"),データ!Q566,"")</f>
        <v/>
      </c>
      <c r="S569" s="11" t="str">
        <f t="shared" si="50"/>
        <v/>
      </c>
      <c r="T569" s="46" t="e">
        <f t="shared" si="51"/>
        <v>#DIV/0!</v>
      </c>
      <c r="U569" s="40" t="str">
        <f>IF(データ!R566="","",データ!R566)</f>
        <v/>
      </c>
      <c r="V569" s="41" t="str">
        <f>IF(データ!S566="","",データ!S566)</f>
        <v/>
      </c>
      <c r="W569" s="42">
        <f>データ!T566</f>
        <v>0</v>
      </c>
      <c r="X569" s="48">
        <f>IF($C569="集計行","",データ!U566)</f>
        <v>0</v>
      </c>
      <c r="Y569" s="48">
        <f>データ!V566</f>
        <v>0</v>
      </c>
      <c r="Z569" s="39" t="str">
        <f>IF(OR($C569="総括",$C569="内訳書",$C569="内訳代価",$C569="明細書",$C569="明細代価",$C569="代価表",$C569="単価表"),データ!W566,"")</f>
        <v/>
      </c>
      <c r="AA569" s="11" t="str">
        <f t="shared" si="52"/>
        <v/>
      </c>
      <c r="AB569" s="46" t="e">
        <f t="shared" si="53"/>
        <v>#DIV/0!</v>
      </c>
      <c r="AC569" s="40" t="str">
        <f>IF(データ!X566="","",データ!X566)</f>
        <v/>
      </c>
      <c r="AD569" s="41" t="str">
        <f>IF(データ!Y566="","",データ!Y566)</f>
        <v/>
      </c>
      <c r="AE569" s="47" t="str">
        <f>TRIM(データ!B566)</f>
        <v/>
      </c>
      <c r="AF569" s="43" t="str">
        <f>TRIM(データ!Z566)</f>
        <v/>
      </c>
    </row>
    <row r="570" spans="1:32" x14ac:dyDescent="0.15">
      <c r="A570" s="47">
        <f>データ!A567</f>
        <v>3</v>
      </c>
      <c r="B570" s="47" t="str">
        <f>TRIM(データ!C567)</f>
        <v/>
      </c>
      <c r="C570" s="47" t="str">
        <f>TRIM(データ!D567)</f>
        <v>材料費</v>
      </c>
      <c r="D570" s="36" t="str">
        <f>REPT("｜",$A570)&amp;TRIM(データ!E567)</f>
        <v>｜｜｜生コン</v>
      </c>
      <c r="E570" s="37" t="str">
        <f>TRIM(データ!F567)</f>
        <v/>
      </c>
      <c r="F570" s="38" t="str">
        <f>TRIM(データ!G567)</f>
        <v>m3</v>
      </c>
      <c r="G570" s="50">
        <f>データ!H567</f>
        <v>0.5</v>
      </c>
      <c r="H570" s="48">
        <f>データ!I567</f>
        <v>30000</v>
      </c>
      <c r="I570" s="48">
        <f>データ!J567</f>
        <v>15000</v>
      </c>
      <c r="J570" s="39" t="str">
        <f>IF(OR($C570="総括",$C570="内訳書",$C570="内訳代価",$C570="明細書",$C570="明細代価",$C570="代価表",$C570="単価表"),データ!K567,"")</f>
        <v/>
      </c>
      <c r="K570" s="11" t="str">
        <f t="shared" si="48"/>
        <v/>
      </c>
      <c r="L570" s="46">
        <f t="shared" si="49"/>
        <v>2.1597339207809598E-4</v>
      </c>
      <c r="M570" s="40" t="str">
        <f>IF(データ!L567="","",データ!L567)</f>
        <v/>
      </c>
      <c r="N570" s="41" t="str">
        <f>IF(データ!M567="","",データ!M567)</f>
        <v/>
      </c>
      <c r="O570" s="42">
        <f>データ!N567</f>
        <v>0</v>
      </c>
      <c r="P570" s="48">
        <f>IF($C570="集計行","",データ!O567)</f>
        <v>0</v>
      </c>
      <c r="Q570" s="48">
        <f>データ!P567</f>
        <v>0</v>
      </c>
      <c r="R570" s="39" t="str">
        <f>IF(OR($C570="総括",$C570="内訳書",$C570="内訳代価",$C570="明細書",$C570="明細代価",$C570="代価表",$C570="単価表"),データ!Q567,"")</f>
        <v/>
      </c>
      <c r="S570" s="11" t="str">
        <f t="shared" si="50"/>
        <v/>
      </c>
      <c r="T570" s="46" t="e">
        <f t="shared" si="51"/>
        <v>#DIV/0!</v>
      </c>
      <c r="U570" s="40" t="str">
        <f>IF(データ!R567="","",データ!R567)</f>
        <v/>
      </c>
      <c r="V570" s="41" t="str">
        <f>IF(データ!S567="","",データ!S567)</f>
        <v/>
      </c>
      <c r="W570" s="42">
        <f>データ!T567</f>
        <v>0</v>
      </c>
      <c r="X570" s="48">
        <f>IF($C570="集計行","",データ!U567)</f>
        <v>0</v>
      </c>
      <c r="Y570" s="48">
        <f>データ!V567</f>
        <v>0</v>
      </c>
      <c r="Z570" s="39" t="str">
        <f>IF(OR($C570="総括",$C570="内訳書",$C570="内訳代価",$C570="明細書",$C570="明細代価",$C570="代価表",$C570="単価表"),データ!W567,"")</f>
        <v/>
      </c>
      <c r="AA570" s="11" t="str">
        <f t="shared" si="52"/>
        <v/>
      </c>
      <c r="AB570" s="46" t="e">
        <f t="shared" si="53"/>
        <v>#DIV/0!</v>
      </c>
      <c r="AC570" s="40" t="str">
        <f>IF(データ!X567="","",データ!X567)</f>
        <v/>
      </c>
      <c r="AD570" s="41" t="str">
        <f>IF(データ!Y567="","",データ!Y567)</f>
        <v/>
      </c>
      <c r="AE570" s="47" t="str">
        <f>TRIM(データ!B567)</f>
        <v/>
      </c>
      <c r="AF570" s="43" t="str">
        <f>TRIM(データ!Z567)</f>
        <v/>
      </c>
    </row>
    <row r="571" spans="1:32" x14ac:dyDescent="0.15">
      <c r="A571" s="47">
        <f>データ!A568</f>
        <v>3</v>
      </c>
      <c r="B571" s="47" t="str">
        <f>TRIM(データ!C568)</f>
        <v/>
      </c>
      <c r="C571" s="47" t="str">
        <f>TRIM(データ!D568)</f>
        <v>労務費</v>
      </c>
      <c r="D571" s="36" t="str">
        <f>REPT("｜",$A571)&amp;TRIM(データ!E568)</f>
        <v>｜｜｜技工</v>
      </c>
      <c r="E571" s="37" t="str">
        <f>TRIM(データ!F568)</f>
        <v/>
      </c>
      <c r="F571" s="38" t="str">
        <f>TRIM(データ!G568)</f>
        <v>人</v>
      </c>
      <c r="G571" s="50">
        <f>データ!H568</f>
        <v>3</v>
      </c>
      <c r="H571" s="48">
        <f>データ!I568</f>
        <v>28000</v>
      </c>
      <c r="I571" s="48">
        <f>データ!J568</f>
        <v>84000</v>
      </c>
      <c r="J571" s="39" t="str">
        <f>IF(OR($C571="総括",$C571="内訳書",$C571="内訳代価",$C571="明細書",$C571="明細代価",$C571="代価表",$C571="単価表"),データ!K568,"")</f>
        <v/>
      </c>
      <c r="K571" s="11" t="str">
        <f t="shared" si="48"/>
        <v/>
      </c>
      <c r="L571" s="46">
        <f t="shared" si="49"/>
        <v>1.2094509956373375E-3</v>
      </c>
      <c r="M571" s="40" t="str">
        <f>IF(データ!L568="","",データ!L568)</f>
        <v/>
      </c>
      <c r="N571" s="41" t="str">
        <f>IF(データ!M568="","",データ!M568)</f>
        <v/>
      </c>
      <c r="O571" s="42">
        <f>データ!N568</f>
        <v>0</v>
      </c>
      <c r="P571" s="48">
        <f>IF($C571="集計行","",データ!O568)</f>
        <v>0</v>
      </c>
      <c r="Q571" s="48">
        <f>データ!P568</f>
        <v>0</v>
      </c>
      <c r="R571" s="39" t="str">
        <f>IF(OR($C571="総括",$C571="内訳書",$C571="内訳代価",$C571="明細書",$C571="明細代価",$C571="代価表",$C571="単価表"),データ!Q568,"")</f>
        <v/>
      </c>
      <c r="S571" s="11" t="str">
        <f t="shared" si="50"/>
        <v/>
      </c>
      <c r="T571" s="46" t="e">
        <f t="shared" si="51"/>
        <v>#DIV/0!</v>
      </c>
      <c r="U571" s="40" t="str">
        <f>IF(データ!R568="","",データ!R568)</f>
        <v/>
      </c>
      <c r="V571" s="41" t="str">
        <f>IF(データ!S568="","",データ!S568)</f>
        <v/>
      </c>
      <c r="W571" s="42">
        <f>データ!T568</f>
        <v>0</v>
      </c>
      <c r="X571" s="48">
        <f>IF($C571="集計行","",データ!U568)</f>
        <v>0</v>
      </c>
      <c r="Y571" s="48">
        <f>データ!V568</f>
        <v>0</v>
      </c>
      <c r="Z571" s="39" t="str">
        <f>IF(OR($C571="総括",$C571="内訳書",$C571="内訳代価",$C571="明細書",$C571="明細代価",$C571="代価表",$C571="単価表"),データ!W568,"")</f>
        <v/>
      </c>
      <c r="AA571" s="11" t="str">
        <f t="shared" si="52"/>
        <v/>
      </c>
      <c r="AB571" s="46" t="e">
        <f t="shared" si="53"/>
        <v>#DIV/0!</v>
      </c>
      <c r="AC571" s="40" t="str">
        <f>IF(データ!X568="","",データ!X568)</f>
        <v/>
      </c>
      <c r="AD571" s="41" t="str">
        <f>IF(データ!Y568="","",データ!Y568)</f>
        <v/>
      </c>
      <c r="AE571" s="47" t="str">
        <f>TRIM(データ!B568)</f>
        <v/>
      </c>
      <c r="AF571" s="43" t="str">
        <f>TRIM(データ!Z568)</f>
        <v/>
      </c>
    </row>
    <row r="572" spans="1:32" x14ac:dyDescent="0.15">
      <c r="A572" s="47">
        <f>データ!A569</f>
        <v>3</v>
      </c>
      <c r="B572" s="47" t="str">
        <f>TRIM(データ!C569)</f>
        <v/>
      </c>
      <c r="C572" s="47" t="str">
        <f>TRIM(データ!D569)</f>
        <v>機械費</v>
      </c>
      <c r="D572" s="36" t="str">
        <f>REPT("｜",$A572)&amp;TRIM(データ!E569)</f>
        <v>｜｜｜BH0.15</v>
      </c>
      <c r="E572" s="37" t="str">
        <f>TRIM(データ!F569)</f>
        <v/>
      </c>
      <c r="F572" s="38" t="str">
        <f>TRIM(データ!G569)</f>
        <v>台</v>
      </c>
      <c r="G572" s="50">
        <f>データ!H569</f>
        <v>1</v>
      </c>
      <c r="H572" s="48">
        <f>データ!I569</f>
        <v>8000</v>
      </c>
      <c r="I572" s="48">
        <f>データ!J569</f>
        <v>8000</v>
      </c>
      <c r="J572" s="39" t="str">
        <f>IF(OR($C572="総括",$C572="内訳書",$C572="内訳代価",$C572="明細書",$C572="明細代価",$C572="代価表",$C572="単価表"),データ!K569,"")</f>
        <v/>
      </c>
      <c r="K572" s="11" t="str">
        <f t="shared" si="48"/>
        <v/>
      </c>
      <c r="L572" s="46">
        <f t="shared" si="49"/>
        <v>1.1518580910831785E-4</v>
      </c>
      <c r="M572" s="40" t="str">
        <f>IF(データ!L569="","",データ!L569)</f>
        <v/>
      </c>
      <c r="N572" s="41" t="str">
        <f>IF(データ!M569="","",データ!M569)</f>
        <v/>
      </c>
      <c r="O572" s="42">
        <f>データ!N569</f>
        <v>0</v>
      </c>
      <c r="P572" s="48">
        <f>IF($C572="集計行","",データ!O569)</f>
        <v>0</v>
      </c>
      <c r="Q572" s="48">
        <f>データ!P569</f>
        <v>0</v>
      </c>
      <c r="R572" s="39" t="str">
        <f>IF(OR($C572="総括",$C572="内訳書",$C572="内訳代価",$C572="明細書",$C572="明細代価",$C572="代価表",$C572="単価表"),データ!Q569,"")</f>
        <v/>
      </c>
      <c r="S572" s="11" t="str">
        <f t="shared" si="50"/>
        <v/>
      </c>
      <c r="T572" s="46" t="e">
        <f t="shared" si="51"/>
        <v>#DIV/0!</v>
      </c>
      <c r="U572" s="40" t="str">
        <f>IF(データ!R569="","",データ!R569)</f>
        <v/>
      </c>
      <c r="V572" s="41" t="str">
        <f>IF(データ!S569="","",データ!S569)</f>
        <v/>
      </c>
      <c r="W572" s="42">
        <f>データ!T569</f>
        <v>0</v>
      </c>
      <c r="X572" s="48">
        <f>IF($C572="集計行","",データ!U569)</f>
        <v>0</v>
      </c>
      <c r="Y572" s="48">
        <f>データ!V569</f>
        <v>0</v>
      </c>
      <c r="Z572" s="39" t="str">
        <f>IF(OR($C572="総括",$C572="内訳書",$C572="内訳代価",$C572="明細書",$C572="明細代価",$C572="代価表",$C572="単価表"),データ!W569,"")</f>
        <v/>
      </c>
      <c r="AA572" s="11" t="str">
        <f t="shared" si="52"/>
        <v/>
      </c>
      <c r="AB572" s="46" t="e">
        <f t="shared" si="53"/>
        <v>#DIV/0!</v>
      </c>
      <c r="AC572" s="40" t="str">
        <f>IF(データ!X569="","",データ!X569)</f>
        <v/>
      </c>
      <c r="AD572" s="41" t="str">
        <f>IF(データ!Y569="","",データ!Y569)</f>
        <v/>
      </c>
      <c r="AE572" s="47" t="str">
        <f>TRIM(データ!B569)</f>
        <v/>
      </c>
      <c r="AF572" s="43" t="str">
        <f>TRIM(データ!Z569)</f>
        <v/>
      </c>
    </row>
    <row r="573" spans="1:32" x14ac:dyDescent="0.15">
      <c r="A573" s="47">
        <f>データ!A570</f>
        <v>3</v>
      </c>
      <c r="B573" s="47" t="str">
        <f>TRIM(データ!C570)</f>
        <v/>
      </c>
      <c r="C573" s="47" t="str">
        <f>TRIM(データ!D570)</f>
        <v>運搬費</v>
      </c>
      <c r="D573" s="36" t="str">
        <f>REPT("｜",$A573)&amp;TRIM(データ!E570)</f>
        <v>｜｜｜4tダンプ</v>
      </c>
      <c r="E573" s="37" t="str">
        <f>TRIM(データ!F570)</f>
        <v/>
      </c>
      <c r="F573" s="38" t="str">
        <f>TRIM(データ!G570)</f>
        <v>台</v>
      </c>
      <c r="G573" s="50">
        <f>データ!H570</f>
        <v>1</v>
      </c>
      <c r="H573" s="48">
        <f>データ!I570</f>
        <v>10000</v>
      </c>
      <c r="I573" s="48">
        <f>データ!J570</f>
        <v>10000</v>
      </c>
      <c r="J573" s="39" t="str">
        <f>IF(OR($C573="総括",$C573="内訳書",$C573="内訳代価",$C573="明細書",$C573="明細代価",$C573="代価表",$C573="単価表"),データ!K570,"")</f>
        <v/>
      </c>
      <c r="K573" s="11" t="str">
        <f t="shared" si="48"/>
        <v/>
      </c>
      <c r="L573" s="46">
        <f t="shared" si="49"/>
        <v>1.4398226138539731E-4</v>
      </c>
      <c r="M573" s="40" t="str">
        <f>IF(データ!L570="","",データ!L570)</f>
        <v/>
      </c>
      <c r="N573" s="41" t="str">
        <f>IF(データ!M570="","",データ!M570)</f>
        <v/>
      </c>
      <c r="O573" s="42">
        <f>データ!N570</f>
        <v>0</v>
      </c>
      <c r="P573" s="48">
        <f>IF($C573="集計行","",データ!O570)</f>
        <v>0</v>
      </c>
      <c r="Q573" s="48">
        <f>データ!P570</f>
        <v>0</v>
      </c>
      <c r="R573" s="39" t="str">
        <f>IF(OR($C573="総括",$C573="内訳書",$C573="内訳代価",$C573="明細書",$C573="明細代価",$C573="代価表",$C573="単価表"),データ!Q570,"")</f>
        <v/>
      </c>
      <c r="S573" s="11" t="str">
        <f t="shared" si="50"/>
        <v/>
      </c>
      <c r="T573" s="46" t="e">
        <f t="shared" si="51"/>
        <v>#DIV/0!</v>
      </c>
      <c r="U573" s="40" t="str">
        <f>IF(データ!R570="","",データ!R570)</f>
        <v/>
      </c>
      <c r="V573" s="41" t="str">
        <f>IF(データ!S570="","",データ!S570)</f>
        <v/>
      </c>
      <c r="W573" s="42">
        <f>データ!T570</f>
        <v>0</v>
      </c>
      <c r="X573" s="48">
        <f>IF($C573="集計行","",データ!U570)</f>
        <v>0</v>
      </c>
      <c r="Y573" s="48">
        <f>データ!V570</f>
        <v>0</v>
      </c>
      <c r="Z573" s="39" t="str">
        <f>IF(OR($C573="総括",$C573="内訳書",$C573="内訳代価",$C573="明細書",$C573="明細代価",$C573="代価表",$C573="単価表"),データ!W570,"")</f>
        <v/>
      </c>
      <c r="AA573" s="11" t="str">
        <f t="shared" si="52"/>
        <v/>
      </c>
      <c r="AB573" s="46" t="e">
        <f t="shared" si="53"/>
        <v>#DIV/0!</v>
      </c>
      <c r="AC573" s="40" t="str">
        <f>IF(データ!X570="","",データ!X570)</f>
        <v/>
      </c>
      <c r="AD573" s="41" t="str">
        <f>IF(データ!Y570="","",データ!Y570)</f>
        <v/>
      </c>
      <c r="AE573" s="47" t="str">
        <f>TRIM(データ!B570)</f>
        <v/>
      </c>
      <c r="AF573" s="43" t="str">
        <f>TRIM(データ!Z570)</f>
        <v/>
      </c>
    </row>
    <row r="574" spans="1:32" x14ac:dyDescent="0.15">
      <c r="A574" s="47">
        <f>データ!A571</f>
        <v>3</v>
      </c>
      <c r="B574" s="47" t="str">
        <f>TRIM(データ!C571)</f>
        <v/>
      </c>
      <c r="C574" s="47" t="str">
        <f>TRIM(データ!D571)</f>
        <v>運搬費</v>
      </c>
      <c r="D574" s="36" t="str">
        <f>REPT("｜",$A574)&amp;TRIM(データ!E571)</f>
        <v>｜｜｜2tダンプ</v>
      </c>
      <c r="E574" s="37" t="str">
        <f>TRIM(データ!F571)</f>
        <v/>
      </c>
      <c r="F574" s="38" t="str">
        <f>TRIM(データ!G571)</f>
        <v>台</v>
      </c>
      <c r="G574" s="50">
        <f>データ!H571</f>
        <v>1</v>
      </c>
      <c r="H574" s="48">
        <f>データ!I571</f>
        <v>7000</v>
      </c>
      <c r="I574" s="48">
        <f>データ!J571</f>
        <v>7000</v>
      </c>
      <c r="J574" s="39" t="str">
        <f>IF(OR($C574="総括",$C574="内訳書",$C574="内訳代価",$C574="明細書",$C574="明細代価",$C574="代価表",$C574="単価表"),データ!K571,"")</f>
        <v/>
      </c>
      <c r="K574" s="11" t="str">
        <f t="shared" si="48"/>
        <v/>
      </c>
      <c r="L574" s="46">
        <f t="shared" si="49"/>
        <v>1.0078758296977812E-4</v>
      </c>
      <c r="M574" s="40" t="str">
        <f>IF(データ!L571="","",データ!L571)</f>
        <v/>
      </c>
      <c r="N574" s="41" t="str">
        <f>IF(データ!M571="","",データ!M571)</f>
        <v/>
      </c>
      <c r="O574" s="42">
        <f>データ!N571</f>
        <v>0</v>
      </c>
      <c r="P574" s="48">
        <f>IF($C574="集計行","",データ!O571)</f>
        <v>0</v>
      </c>
      <c r="Q574" s="48">
        <f>データ!P571</f>
        <v>0</v>
      </c>
      <c r="R574" s="39" t="str">
        <f>IF(OR($C574="総括",$C574="内訳書",$C574="内訳代価",$C574="明細書",$C574="明細代価",$C574="代価表",$C574="単価表"),データ!Q571,"")</f>
        <v/>
      </c>
      <c r="S574" s="11" t="str">
        <f t="shared" si="50"/>
        <v/>
      </c>
      <c r="T574" s="46" t="e">
        <f t="shared" si="51"/>
        <v>#DIV/0!</v>
      </c>
      <c r="U574" s="40" t="str">
        <f>IF(データ!R571="","",データ!R571)</f>
        <v/>
      </c>
      <c r="V574" s="41" t="str">
        <f>IF(データ!S571="","",データ!S571)</f>
        <v/>
      </c>
      <c r="W574" s="42">
        <f>データ!T571</f>
        <v>0</v>
      </c>
      <c r="X574" s="48">
        <f>IF($C574="集計行","",データ!U571)</f>
        <v>0</v>
      </c>
      <c r="Y574" s="48">
        <f>データ!V571</f>
        <v>0</v>
      </c>
      <c r="Z574" s="39" t="str">
        <f>IF(OR($C574="総括",$C574="内訳書",$C574="内訳代価",$C574="明細書",$C574="明細代価",$C574="代価表",$C574="単価表"),データ!W571,"")</f>
        <v/>
      </c>
      <c r="AA574" s="11" t="str">
        <f t="shared" si="52"/>
        <v/>
      </c>
      <c r="AB574" s="46" t="e">
        <f t="shared" si="53"/>
        <v>#DIV/0!</v>
      </c>
      <c r="AC574" s="40" t="str">
        <f>IF(データ!X571="","",データ!X571)</f>
        <v/>
      </c>
      <c r="AD574" s="41" t="str">
        <f>IF(データ!Y571="","",データ!Y571)</f>
        <v/>
      </c>
      <c r="AE574" s="47" t="str">
        <f>TRIM(データ!B571)</f>
        <v/>
      </c>
      <c r="AF574" s="43" t="str">
        <f>TRIM(データ!Z571)</f>
        <v/>
      </c>
    </row>
    <row r="575" spans="1:32" x14ac:dyDescent="0.15">
      <c r="A575" s="47">
        <f>データ!A572</f>
        <v>3</v>
      </c>
      <c r="B575" s="47" t="str">
        <f>TRIM(データ!C572)</f>
        <v/>
      </c>
      <c r="C575" s="47" t="str">
        <f>TRIM(データ!D572)</f>
        <v>材料費</v>
      </c>
      <c r="D575" s="36" t="str">
        <f>REPT("｜",$A575)&amp;TRIM(データ!E572)</f>
        <v>｜｜｜軽油</v>
      </c>
      <c r="E575" s="37" t="str">
        <f>TRIM(データ!F572)</f>
        <v/>
      </c>
      <c r="F575" s="38" t="str">
        <f>TRIM(データ!G572)</f>
        <v>リットル</v>
      </c>
      <c r="G575" s="50">
        <f>データ!H572</f>
        <v>20</v>
      </c>
      <c r="H575" s="48">
        <f>データ!I572</f>
        <v>150</v>
      </c>
      <c r="I575" s="48">
        <f>データ!J572</f>
        <v>3000</v>
      </c>
      <c r="J575" s="39" t="str">
        <f>IF(OR($C575="総括",$C575="内訳書",$C575="内訳代価",$C575="明細書",$C575="明細代価",$C575="代価表",$C575="単価表"),データ!K572,"")</f>
        <v/>
      </c>
      <c r="K575" s="11" t="str">
        <f t="shared" si="48"/>
        <v/>
      </c>
      <c r="L575" s="46">
        <f t="shared" si="49"/>
        <v>4.3194678415619194E-5</v>
      </c>
      <c r="M575" s="40" t="str">
        <f>IF(データ!L572="","",データ!L572)</f>
        <v/>
      </c>
      <c r="N575" s="41" t="str">
        <f>IF(データ!M572="","",データ!M572)</f>
        <v/>
      </c>
      <c r="O575" s="42">
        <f>データ!N572</f>
        <v>0</v>
      </c>
      <c r="P575" s="48">
        <f>IF($C575="集計行","",データ!O572)</f>
        <v>0</v>
      </c>
      <c r="Q575" s="48">
        <f>データ!P572</f>
        <v>0</v>
      </c>
      <c r="R575" s="39" t="str">
        <f>IF(OR($C575="総括",$C575="内訳書",$C575="内訳代価",$C575="明細書",$C575="明細代価",$C575="代価表",$C575="単価表"),データ!Q572,"")</f>
        <v/>
      </c>
      <c r="S575" s="11" t="str">
        <f t="shared" si="50"/>
        <v/>
      </c>
      <c r="T575" s="46" t="e">
        <f t="shared" si="51"/>
        <v>#DIV/0!</v>
      </c>
      <c r="U575" s="40" t="str">
        <f>IF(データ!R572="","",データ!R572)</f>
        <v/>
      </c>
      <c r="V575" s="41" t="str">
        <f>IF(データ!S572="","",データ!S572)</f>
        <v/>
      </c>
      <c r="W575" s="42">
        <f>データ!T572</f>
        <v>0</v>
      </c>
      <c r="X575" s="48">
        <f>IF($C575="集計行","",データ!U572)</f>
        <v>0</v>
      </c>
      <c r="Y575" s="48">
        <f>データ!V572</f>
        <v>0</v>
      </c>
      <c r="Z575" s="39" t="str">
        <f>IF(OR($C575="総括",$C575="内訳書",$C575="内訳代価",$C575="明細書",$C575="明細代価",$C575="代価表",$C575="単価表"),データ!W572,"")</f>
        <v/>
      </c>
      <c r="AA575" s="11" t="str">
        <f t="shared" si="52"/>
        <v/>
      </c>
      <c r="AB575" s="46" t="e">
        <f t="shared" si="53"/>
        <v>#DIV/0!</v>
      </c>
      <c r="AC575" s="40" t="str">
        <f>IF(データ!X572="","",データ!X572)</f>
        <v/>
      </c>
      <c r="AD575" s="41" t="str">
        <f>IF(データ!Y572="","",データ!Y572)</f>
        <v/>
      </c>
      <c r="AE575" s="47" t="str">
        <f>TRIM(データ!B572)</f>
        <v/>
      </c>
      <c r="AF575" s="43" t="str">
        <f>TRIM(データ!Z572)</f>
        <v/>
      </c>
    </row>
    <row r="576" spans="1:32" x14ac:dyDescent="0.15">
      <c r="A576" s="47">
        <f>データ!A573</f>
        <v>3</v>
      </c>
      <c r="B576" s="47" t="str">
        <f>TRIM(データ!C573)</f>
        <v/>
      </c>
      <c r="C576" s="47" t="str">
        <f>TRIM(データ!D573)</f>
        <v>材料費</v>
      </c>
      <c r="D576" s="36" t="str">
        <f>REPT("｜",$A576)&amp;TRIM(データ!E573)</f>
        <v>｜｜｜ガソリン</v>
      </c>
      <c r="E576" s="37" t="str">
        <f>TRIM(データ!F573)</f>
        <v/>
      </c>
      <c r="F576" s="38" t="str">
        <f>TRIM(データ!G573)</f>
        <v>リットル</v>
      </c>
      <c r="G576" s="50">
        <f>データ!H573</f>
        <v>40</v>
      </c>
      <c r="H576" s="48">
        <f>データ!I573</f>
        <v>200</v>
      </c>
      <c r="I576" s="48">
        <f>データ!J573</f>
        <v>8000</v>
      </c>
      <c r="J576" s="39" t="str">
        <f>IF(OR($C576="総括",$C576="内訳書",$C576="内訳代価",$C576="明細書",$C576="明細代価",$C576="代価表",$C576="単価表"),データ!K573,"")</f>
        <v/>
      </c>
      <c r="K576" s="11" t="str">
        <f t="shared" si="48"/>
        <v/>
      </c>
      <c r="L576" s="46">
        <f t="shared" si="49"/>
        <v>1.1518580910831785E-4</v>
      </c>
      <c r="M576" s="40" t="str">
        <f>IF(データ!L573="","",データ!L573)</f>
        <v/>
      </c>
      <c r="N576" s="41" t="str">
        <f>IF(データ!M573="","",データ!M573)</f>
        <v/>
      </c>
      <c r="O576" s="42">
        <f>データ!N573</f>
        <v>0</v>
      </c>
      <c r="P576" s="48">
        <f>IF($C576="集計行","",データ!O573)</f>
        <v>0</v>
      </c>
      <c r="Q576" s="48">
        <f>データ!P573</f>
        <v>0</v>
      </c>
      <c r="R576" s="39" t="str">
        <f>IF(OR($C576="総括",$C576="内訳書",$C576="内訳代価",$C576="明細書",$C576="明細代価",$C576="代価表",$C576="単価表"),データ!Q573,"")</f>
        <v/>
      </c>
      <c r="S576" s="11" t="str">
        <f t="shared" si="50"/>
        <v/>
      </c>
      <c r="T576" s="46" t="e">
        <f t="shared" si="51"/>
        <v>#DIV/0!</v>
      </c>
      <c r="U576" s="40" t="str">
        <f>IF(データ!R573="","",データ!R573)</f>
        <v/>
      </c>
      <c r="V576" s="41" t="str">
        <f>IF(データ!S573="","",データ!S573)</f>
        <v/>
      </c>
      <c r="W576" s="42">
        <f>データ!T573</f>
        <v>0</v>
      </c>
      <c r="X576" s="48">
        <f>IF($C576="集計行","",データ!U573)</f>
        <v>0</v>
      </c>
      <c r="Y576" s="48">
        <f>データ!V573</f>
        <v>0</v>
      </c>
      <c r="Z576" s="39" t="str">
        <f>IF(OR($C576="総括",$C576="内訳書",$C576="内訳代価",$C576="明細書",$C576="明細代価",$C576="代価表",$C576="単価表"),データ!W573,"")</f>
        <v/>
      </c>
      <c r="AA576" s="11" t="str">
        <f t="shared" si="52"/>
        <v/>
      </c>
      <c r="AB576" s="46" t="e">
        <f t="shared" si="53"/>
        <v>#DIV/0!</v>
      </c>
      <c r="AC576" s="40" t="str">
        <f>IF(データ!X573="","",データ!X573)</f>
        <v/>
      </c>
      <c r="AD576" s="41" t="str">
        <f>IF(データ!Y573="","",データ!Y573)</f>
        <v/>
      </c>
      <c r="AE576" s="47" t="str">
        <f>TRIM(データ!B573)</f>
        <v/>
      </c>
      <c r="AF576" s="43" t="str">
        <f>TRIM(データ!Z573)</f>
        <v/>
      </c>
    </row>
    <row r="577" spans="1:32" x14ac:dyDescent="0.15">
      <c r="A577" s="47">
        <f>データ!A574</f>
        <v>3</v>
      </c>
      <c r="B577" s="47" t="str">
        <f>TRIM(データ!C574)</f>
        <v/>
      </c>
      <c r="C577" s="47" t="str">
        <f>TRIM(データ!D574)</f>
        <v>材料費</v>
      </c>
      <c r="D577" s="36" t="str">
        <f>REPT("｜",$A577)&amp;TRIM(データ!E574)</f>
        <v>｜｜｜雑材</v>
      </c>
      <c r="E577" s="37" t="str">
        <f>TRIM(データ!F574)</f>
        <v/>
      </c>
      <c r="F577" s="38" t="str">
        <f>TRIM(データ!G574)</f>
        <v>式</v>
      </c>
      <c r="G577" s="50">
        <f>データ!H574</f>
        <v>1</v>
      </c>
      <c r="H577" s="48">
        <f>データ!I574</f>
        <v>36200</v>
      </c>
      <c r="I577" s="48">
        <f>データ!J574</f>
        <v>36200</v>
      </c>
      <c r="J577" s="39" t="str">
        <f>IF(OR($C577="総括",$C577="内訳書",$C577="内訳代価",$C577="明細書",$C577="明細代価",$C577="代価表",$C577="単価表"),データ!K574,"")</f>
        <v/>
      </c>
      <c r="K577" s="11" t="str">
        <f t="shared" si="48"/>
        <v/>
      </c>
      <c r="L577" s="46">
        <f t="shared" si="49"/>
        <v>5.2121578621513824E-4</v>
      </c>
      <c r="M577" s="40" t="str">
        <f>IF(データ!L574="","",データ!L574)</f>
        <v/>
      </c>
      <c r="N577" s="41" t="str">
        <f>IF(データ!M574="","",データ!M574)</f>
        <v/>
      </c>
      <c r="O577" s="42">
        <f>データ!N574</f>
        <v>0</v>
      </c>
      <c r="P577" s="48">
        <f>IF($C577="集計行","",データ!O574)</f>
        <v>0</v>
      </c>
      <c r="Q577" s="48">
        <f>データ!P574</f>
        <v>0</v>
      </c>
      <c r="R577" s="39" t="str">
        <f>IF(OR($C577="総括",$C577="内訳書",$C577="内訳代価",$C577="明細書",$C577="明細代価",$C577="代価表",$C577="単価表"),データ!Q574,"")</f>
        <v/>
      </c>
      <c r="S577" s="11" t="str">
        <f t="shared" si="50"/>
        <v/>
      </c>
      <c r="T577" s="46" t="e">
        <f t="shared" si="51"/>
        <v>#DIV/0!</v>
      </c>
      <c r="U577" s="40" t="str">
        <f>IF(データ!R574="","",データ!R574)</f>
        <v/>
      </c>
      <c r="V577" s="41" t="str">
        <f>IF(データ!S574="","",データ!S574)</f>
        <v/>
      </c>
      <c r="W577" s="42">
        <f>データ!T574</f>
        <v>0</v>
      </c>
      <c r="X577" s="48">
        <f>IF($C577="集計行","",データ!U574)</f>
        <v>0</v>
      </c>
      <c r="Y577" s="48">
        <f>データ!V574</f>
        <v>0</v>
      </c>
      <c r="Z577" s="39" t="str">
        <f>IF(OR($C577="総括",$C577="内訳書",$C577="内訳代価",$C577="明細書",$C577="明細代価",$C577="代価表",$C577="単価表"),データ!W574,"")</f>
        <v/>
      </c>
      <c r="AA577" s="11" t="str">
        <f t="shared" si="52"/>
        <v/>
      </c>
      <c r="AB577" s="46" t="e">
        <f t="shared" si="53"/>
        <v>#DIV/0!</v>
      </c>
      <c r="AC577" s="40" t="str">
        <f>IF(データ!X574="","",データ!X574)</f>
        <v/>
      </c>
      <c r="AD577" s="41" t="str">
        <f>IF(データ!Y574="","",データ!Y574)</f>
        <v/>
      </c>
      <c r="AE577" s="47" t="str">
        <f>TRIM(データ!B574)</f>
        <v/>
      </c>
      <c r="AF577" s="43" t="str">
        <f>TRIM(データ!Z574)</f>
        <v/>
      </c>
    </row>
    <row r="578" spans="1:32" x14ac:dyDescent="0.15">
      <c r="A578" s="47">
        <f>データ!A575</f>
        <v>3</v>
      </c>
      <c r="B578" s="47" t="str">
        <f>TRIM(データ!C575)</f>
        <v/>
      </c>
      <c r="C578" s="47" t="str">
        <f>TRIM(データ!D575)</f>
        <v>外注費</v>
      </c>
      <c r="D578" s="36" t="str">
        <f>REPT("｜",$A578)&amp;TRIM(データ!E575)</f>
        <v>｜｜｜外注経費</v>
      </c>
      <c r="E578" s="37" t="str">
        <f>TRIM(データ!F575)</f>
        <v/>
      </c>
      <c r="F578" s="38" t="str">
        <f>TRIM(データ!G575)</f>
        <v>式</v>
      </c>
      <c r="G578" s="50">
        <f>データ!H575</f>
        <v>1</v>
      </c>
      <c r="H578" s="48">
        <f>データ!I575</f>
        <v>10900</v>
      </c>
      <c r="I578" s="48">
        <f>データ!J575</f>
        <v>10900</v>
      </c>
      <c r="J578" s="39" t="str">
        <f>IF(OR($C578="総括",$C578="内訳書",$C578="内訳代価",$C578="明細書",$C578="明細代価",$C578="代価表",$C578="単価表"),データ!K575,"")</f>
        <v/>
      </c>
      <c r="K578" s="11" t="str">
        <f t="shared" si="48"/>
        <v/>
      </c>
      <c r="L578" s="46">
        <f t="shared" si="49"/>
        <v>1.5694066491008307E-4</v>
      </c>
      <c r="M578" s="40" t="str">
        <f>IF(データ!L575="","",データ!L575)</f>
        <v/>
      </c>
      <c r="N578" s="41" t="str">
        <f>IF(データ!M575="","",データ!M575)</f>
        <v/>
      </c>
      <c r="O578" s="42">
        <f>データ!N575</f>
        <v>0</v>
      </c>
      <c r="P578" s="48">
        <f>IF($C578="集計行","",データ!O575)</f>
        <v>0</v>
      </c>
      <c r="Q578" s="48">
        <f>データ!P575</f>
        <v>0</v>
      </c>
      <c r="R578" s="39" t="str">
        <f>IF(OR($C578="総括",$C578="内訳書",$C578="内訳代価",$C578="明細書",$C578="明細代価",$C578="代価表",$C578="単価表"),データ!Q575,"")</f>
        <v/>
      </c>
      <c r="S578" s="11" t="str">
        <f t="shared" si="50"/>
        <v/>
      </c>
      <c r="T578" s="46" t="e">
        <f t="shared" si="51"/>
        <v>#DIV/0!</v>
      </c>
      <c r="U578" s="40" t="str">
        <f>IF(データ!R575="","",データ!R575)</f>
        <v/>
      </c>
      <c r="V578" s="41" t="str">
        <f>IF(データ!S575="","",データ!S575)</f>
        <v/>
      </c>
      <c r="W578" s="42">
        <f>データ!T575</f>
        <v>0</v>
      </c>
      <c r="X578" s="48">
        <f>IF($C578="集計行","",データ!U575)</f>
        <v>0</v>
      </c>
      <c r="Y578" s="48">
        <f>データ!V575</f>
        <v>0</v>
      </c>
      <c r="Z578" s="39" t="str">
        <f>IF(OR($C578="総括",$C578="内訳書",$C578="内訳代価",$C578="明細書",$C578="明細代価",$C578="代価表",$C578="単価表"),データ!W575,"")</f>
        <v/>
      </c>
      <c r="AA578" s="11" t="str">
        <f t="shared" si="52"/>
        <v/>
      </c>
      <c r="AB578" s="46" t="e">
        <f t="shared" si="53"/>
        <v>#DIV/0!</v>
      </c>
      <c r="AC578" s="40" t="str">
        <f>IF(データ!X575="","",データ!X575)</f>
        <v/>
      </c>
      <c r="AD578" s="41" t="str">
        <f>IF(データ!Y575="","",データ!Y575)</f>
        <v/>
      </c>
      <c r="AE578" s="47" t="str">
        <f>TRIM(データ!B575)</f>
        <v/>
      </c>
      <c r="AF578" s="43" t="str">
        <f>TRIM(データ!Z575)</f>
        <v/>
      </c>
    </row>
    <row r="579" spans="1:32" x14ac:dyDescent="0.15">
      <c r="A579" s="47">
        <f>データ!A576</f>
        <v>2</v>
      </c>
      <c r="B579" s="47" t="str">
        <f>TRIM(データ!C576)</f>
        <v/>
      </c>
      <c r="C579" s="47" t="str">
        <f>TRIM(データ!D576)</f>
        <v>内訳書</v>
      </c>
      <c r="D579" s="36" t="str">
        <f>REPT("｜",$A579)&amp;TRIM(データ!E576)</f>
        <v>｜｜車止め設置</v>
      </c>
      <c r="E579" s="37" t="str">
        <f>TRIM(データ!F576)</f>
        <v/>
      </c>
      <c r="F579" s="38" t="str">
        <f>TRIM(データ!G576)</f>
        <v>基</v>
      </c>
      <c r="G579" s="50">
        <f>データ!H576</f>
        <v>30</v>
      </c>
      <c r="H579" s="48">
        <f>データ!I576</f>
        <v>4200</v>
      </c>
      <c r="I579" s="48">
        <f>データ!J576</f>
        <v>126000</v>
      </c>
      <c r="J579" s="39">
        <f>IF(OR($C579="総括",$C579="内訳書",$C579="内訳代価",$C579="明細書",$C579="明細代価",$C579="代価表",$C579="単価表"),データ!K576,"")</f>
        <v>30</v>
      </c>
      <c r="K579" s="11" t="str">
        <f t="shared" si="48"/>
        <v/>
      </c>
      <c r="L579" s="46">
        <f t="shared" si="49"/>
        <v>1.8141764934560061E-3</v>
      </c>
      <c r="M579" s="40" t="str">
        <f>IF(データ!L576="","",データ!L576)</f>
        <v/>
      </c>
      <c r="N579" s="41" t="str">
        <f>IF(データ!M576="","",データ!M576)</f>
        <v>68号内訳書</v>
      </c>
      <c r="O579" s="42">
        <f>データ!N576</f>
        <v>0</v>
      </c>
      <c r="P579" s="48">
        <f>IF($C579="集計行","",データ!O576)</f>
        <v>0</v>
      </c>
      <c r="Q579" s="48">
        <f>データ!P576</f>
        <v>0</v>
      </c>
      <c r="R579" s="39">
        <f>IF(OR($C579="総括",$C579="内訳書",$C579="内訳代価",$C579="明細書",$C579="明細代価",$C579="代価表",$C579="単価表"),データ!Q576,"")</f>
        <v>0</v>
      </c>
      <c r="S579" s="11" t="str">
        <f t="shared" si="50"/>
        <v/>
      </c>
      <c r="T579" s="46" t="e">
        <f t="shared" si="51"/>
        <v>#DIV/0!</v>
      </c>
      <c r="U579" s="40" t="str">
        <f>IF(データ!R576="","",データ!R576)</f>
        <v/>
      </c>
      <c r="V579" s="41" t="str">
        <f>IF(データ!S576="","",データ!S576)</f>
        <v/>
      </c>
      <c r="W579" s="42">
        <f>データ!T576</f>
        <v>0</v>
      </c>
      <c r="X579" s="48">
        <f>IF($C579="集計行","",データ!U576)</f>
        <v>0</v>
      </c>
      <c r="Y579" s="48">
        <f>データ!V576</f>
        <v>0</v>
      </c>
      <c r="Z579" s="39">
        <f>IF(OR($C579="総括",$C579="内訳書",$C579="内訳代価",$C579="明細書",$C579="明細代価",$C579="代価表",$C579="単価表"),データ!W576,"")</f>
        <v>0</v>
      </c>
      <c r="AA579" s="11" t="str">
        <f t="shared" si="52"/>
        <v/>
      </c>
      <c r="AB579" s="46" t="e">
        <f t="shared" si="53"/>
        <v>#DIV/0!</v>
      </c>
      <c r="AC579" s="40" t="str">
        <f>IF(データ!X576="","",データ!X576)</f>
        <v/>
      </c>
      <c r="AD579" s="41" t="str">
        <f>IF(データ!Y576="","",データ!Y576)</f>
        <v/>
      </c>
      <c r="AE579" s="47" t="str">
        <f>TRIM(データ!B576)</f>
        <v/>
      </c>
      <c r="AF579" s="43" t="str">
        <f>TRIM(データ!Z576)</f>
        <v/>
      </c>
    </row>
    <row r="580" spans="1:32" x14ac:dyDescent="0.15">
      <c r="A580" s="47">
        <f>データ!A577</f>
        <v>3</v>
      </c>
      <c r="B580" s="47" t="str">
        <f>TRIM(データ!C577)</f>
        <v/>
      </c>
      <c r="C580" s="47" t="str">
        <f>TRIM(データ!D577)</f>
        <v>材料費</v>
      </c>
      <c r="D580" s="36" t="str">
        <f>REPT("｜",$A580)&amp;TRIM(データ!E577)</f>
        <v>｜｜｜地先境界ブロックA</v>
      </c>
      <c r="E580" s="37" t="str">
        <f>TRIM(データ!F577)</f>
        <v>面取り　D10 L200</v>
      </c>
      <c r="F580" s="38" t="str">
        <f>TRIM(データ!G577)</f>
        <v>本</v>
      </c>
      <c r="G580" s="50">
        <f>データ!H577</f>
        <v>30</v>
      </c>
      <c r="H580" s="48">
        <f>データ!I577</f>
        <v>2500</v>
      </c>
      <c r="I580" s="48">
        <f>データ!J577</f>
        <v>75000</v>
      </c>
      <c r="J580" s="39" t="str">
        <f>IF(OR($C580="総括",$C580="内訳書",$C580="内訳代価",$C580="明細書",$C580="明細代価",$C580="代価表",$C580="単価表"),データ!K577,"")</f>
        <v/>
      </c>
      <c r="K580" s="11" t="str">
        <f t="shared" si="48"/>
        <v/>
      </c>
      <c r="L580" s="46">
        <f t="shared" si="49"/>
        <v>1.0798669603904799E-3</v>
      </c>
      <c r="M580" s="40" t="str">
        <f>IF(データ!L577="","",データ!L577)</f>
        <v/>
      </c>
      <c r="N580" s="41" t="str">
        <f>IF(データ!M577="","",データ!M577)</f>
        <v/>
      </c>
      <c r="O580" s="42">
        <f>データ!N577</f>
        <v>0</v>
      </c>
      <c r="P580" s="48">
        <f>IF($C580="集計行","",データ!O577)</f>
        <v>0</v>
      </c>
      <c r="Q580" s="48">
        <f>データ!P577</f>
        <v>0</v>
      </c>
      <c r="R580" s="39" t="str">
        <f>IF(OR($C580="総括",$C580="内訳書",$C580="内訳代価",$C580="明細書",$C580="明細代価",$C580="代価表",$C580="単価表"),データ!Q577,"")</f>
        <v/>
      </c>
      <c r="S580" s="11" t="str">
        <f t="shared" si="50"/>
        <v/>
      </c>
      <c r="T580" s="46" t="e">
        <f t="shared" si="51"/>
        <v>#DIV/0!</v>
      </c>
      <c r="U580" s="40" t="str">
        <f>IF(データ!R577="","",データ!R577)</f>
        <v/>
      </c>
      <c r="V580" s="41" t="str">
        <f>IF(データ!S577="","",データ!S577)</f>
        <v/>
      </c>
      <c r="W580" s="42">
        <f>データ!T577</f>
        <v>0</v>
      </c>
      <c r="X580" s="48">
        <f>IF($C580="集計行","",データ!U577)</f>
        <v>0</v>
      </c>
      <c r="Y580" s="48">
        <f>データ!V577</f>
        <v>0</v>
      </c>
      <c r="Z580" s="39" t="str">
        <f>IF(OR($C580="総括",$C580="内訳書",$C580="内訳代価",$C580="明細書",$C580="明細代価",$C580="代価表",$C580="単価表"),データ!W577,"")</f>
        <v/>
      </c>
      <c r="AA580" s="11" t="str">
        <f t="shared" si="52"/>
        <v/>
      </c>
      <c r="AB580" s="46" t="e">
        <f t="shared" si="53"/>
        <v>#DIV/0!</v>
      </c>
      <c r="AC580" s="40" t="str">
        <f>IF(データ!X577="","",データ!X577)</f>
        <v/>
      </c>
      <c r="AD580" s="41" t="str">
        <f>IF(データ!Y577="","",データ!Y577)</f>
        <v/>
      </c>
      <c r="AE580" s="47" t="str">
        <f>TRIM(データ!B577)</f>
        <v/>
      </c>
      <c r="AF580" s="43" t="str">
        <f>TRIM(データ!Z577)</f>
        <v/>
      </c>
    </row>
    <row r="581" spans="1:32" x14ac:dyDescent="0.15">
      <c r="A581" s="47">
        <f>データ!A578</f>
        <v>3</v>
      </c>
      <c r="B581" s="47" t="str">
        <f>TRIM(データ!C578)</f>
        <v/>
      </c>
      <c r="C581" s="47" t="str">
        <f>TRIM(データ!D578)</f>
        <v>労務費</v>
      </c>
      <c r="D581" s="36" t="str">
        <f>REPT("｜",$A581)&amp;TRIM(データ!E578)</f>
        <v>｜｜｜技工</v>
      </c>
      <c r="E581" s="37" t="str">
        <f>TRIM(データ!F578)</f>
        <v/>
      </c>
      <c r="F581" s="38" t="str">
        <f>TRIM(データ!G578)</f>
        <v>人</v>
      </c>
      <c r="G581" s="50">
        <f>データ!H578</f>
        <v>1</v>
      </c>
      <c r="H581" s="48">
        <f>データ!I578</f>
        <v>28000</v>
      </c>
      <c r="I581" s="48">
        <f>データ!J578</f>
        <v>28000</v>
      </c>
      <c r="J581" s="39" t="str">
        <f>IF(OR($C581="総括",$C581="内訳書",$C581="内訳代価",$C581="明細書",$C581="明細代価",$C581="代価表",$C581="単価表"),データ!K578,"")</f>
        <v/>
      </c>
      <c r="K581" s="11" t="str">
        <f t="shared" ref="K581:K644" si="54">IF(OR(J581="",G581=J581),"","*")</f>
        <v/>
      </c>
      <c r="L581" s="46">
        <f t="shared" ref="L581:L644" si="55">IF($A581&lt;=L$1,I581/I$4,"")</f>
        <v>4.0315033187911248E-4</v>
      </c>
      <c r="M581" s="40" t="str">
        <f>IF(データ!L578="","",データ!L578)</f>
        <v/>
      </c>
      <c r="N581" s="41" t="str">
        <f>IF(データ!M578="","",データ!M578)</f>
        <v/>
      </c>
      <c r="O581" s="42">
        <f>データ!N578</f>
        <v>0</v>
      </c>
      <c r="P581" s="48">
        <f>IF($C581="集計行","",データ!O578)</f>
        <v>0</v>
      </c>
      <c r="Q581" s="48">
        <f>データ!P578</f>
        <v>0</v>
      </c>
      <c r="R581" s="39" t="str">
        <f>IF(OR($C581="総括",$C581="内訳書",$C581="内訳代価",$C581="明細書",$C581="明細代価",$C581="代価表",$C581="単価表"),データ!Q578,"")</f>
        <v/>
      </c>
      <c r="S581" s="11" t="str">
        <f t="shared" ref="S581:S644" si="56">IF(OR(R581="",O581=R581),"","*")</f>
        <v/>
      </c>
      <c r="T581" s="46" t="e">
        <f t="shared" ref="T581:T644" si="57">IF($A581&lt;=T$1,Q581/Q$4,"")</f>
        <v>#DIV/0!</v>
      </c>
      <c r="U581" s="40" t="str">
        <f>IF(データ!R578="","",データ!R578)</f>
        <v/>
      </c>
      <c r="V581" s="41" t="str">
        <f>IF(データ!S578="","",データ!S578)</f>
        <v/>
      </c>
      <c r="W581" s="42">
        <f>データ!T578</f>
        <v>0</v>
      </c>
      <c r="X581" s="48">
        <f>IF($C581="集計行","",データ!U578)</f>
        <v>0</v>
      </c>
      <c r="Y581" s="48">
        <f>データ!V578</f>
        <v>0</v>
      </c>
      <c r="Z581" s="39" t="str">
        <f>IF(OR($C581="総括",$C581="内訳書",$C581="内訳代価",$C581="明細書",$C581="明細代価",$C581="代価表",$C581="単価表"),データ!W578,"")</f>
        <v/>
      </c>
      <c r="AA581" s="11" t="str">
        <f t="shared" ref="AA581:AA644" si="58">IF(OR(Z581="",W581=Z581),"","*")</f>
        <v/>
      </c>
      <c r="AB581" s="46" t="e">
        <f t="shared" ref="AB581:AB644" si="59">IF($A581&lt;=AB$1,Y581/Y$4,"")</f>
        <v>#DIV/0!</v>
      </c>
      <c r="AC581" s="40" t="str">
        <f>IF(データ!X578="","",データ!X578)</f>
        <v/>
      </c>
      <c r="AD581" s="41" t="str">
        <f>IF(データ!Y578="","",データ!Y578)</f>
        <v/>
      </c>
      <c r="AE581" s="47" t="str">
        <f>TRIM(データ!B578)</f>
        <v/>
      </c>
      <c r="AF581" s="43" t="str">
        <f>TRIM(データ!Z578)</f>
        <v/>
      </c>
    </row>
    <row r="582" spans="1:32" x14ac:dyDescent="0.15">
      <c r="A582" s="47">
        <f>データ!A579</f>
        <v>3</v>
      </c>
      <c r="B582" s="47" t="str">
        <f>TRIM(データ!C579)</f>
        <v/>
      </c>
      <c r="C582" s="47" t="str">
        <f>TRIM(データ!D579)</f>
        <v>材料費</v>
      </c>
      <c r="D582" s="36" t="str">
        <f>REPT("｜",$A582)&amp;TRIM(データ!E579)</f>
        <v>｜｜｜パーキングボンド</v>
      </c>
      <c r="E582" s="37" t="str">
        <f>TRIM(データ!F579)</f>
        <v/>
      </c>
      <c r="F582" s="38" t="str">
        <f>TRIM(データ!G579)</f>
        <v>本</v>
      </c>
      <c r="G582" s="50">
        <f>データ!H579</f>
        <v>5</v>
      </c>
      <c r="H582" s="48">
        <f>データ!I579</f>
        <v>3000</v>
      </c>
      <c r="I582" s="48">
        <f>データ!J579</f>
        <v>15000</v>
      </c>
      <c r="J582" s="39" t="str">
        <f>IF(OR($C582="総括",$C582="内訳書",$C582="内訳代価",$C582="明細書",$C582="明細代価",$C582="代価表",$C582="単価表"),データ!K579,"")</f>
        <v/>
      </c>
      <c r="K582" s="11" t="str">
        <f t="shared" si="54"/>
        <v/>
      </c>
      <c r="L582" s="46">
        <f t="shared" si="55"/>
        <v>2.1597339207809598E-4</v>
      </c>
      <c r="M582" s="40" t="str">
        <f>IF(データ!L579="","",データ!L579)</f>
        <v/>
      </c>
      <c r="N582" s="41" t="str">
        <f>IF(データ!M579="","",データ!M579)</f>
        <v/>
      </c>
      <c r="O582" s="42">
        <f>データ!N579</f>
        <v>0</v>
      </c>
      <c r="P582" s="48">
        <f>IF($C582="集計行","",データ!O579)</f>
        <v>0</v>
      </c>
      <c r="Q582" s="48">
        <f>データ!P579</f>
        <v>0</v>
      </c>
      <c r="R582" s="39" t="str">
        <f>IF(OR($C582="総括",$C582="内訳書",$C582="内訳代価",$C582="明細書",$C582="明細代価",$C582="代価表",$C582="単価表"),データ!Q579,"")</f>
        <v/>
      </c>
      <c r="S582" s="11" t="str">
        <f t="shared" si="56"/>
        <v/>
      </c>
      <c r="T582" s="46" t="e">
        <f t="shared" si="57"/>
        <v>#DIV/0!</v>
      </c>
      <c r="U582" s="40" t="str">
        <f>IF(データ!R579="","",データ!R579)</f>
        <v/>
      </c>
      <c r="V582" s="41" t="str">
        <f>IF(データ!S579="","",データ!S579)</f>
        <v/>
      </c>
      <c r="W582" s="42">
        <f>データ!T579</f>
        <v>0</v>
      </c>
      <c r="X582" s="48">
        <f>IF($C582="集計行","",データ!U579)</f>
        <v>0</v>
      </c>
      <c r="Y582" s="48">
        <f>データ!V579</f>
        <v>0</v>
      </c>
      <c r="Z582" s="39" t="str">
        <f>IF(OR($C582="総括",$C582="内訳書",$C582="内訳代価",$C582="明細書",$C582="明細代価",$C582="代価表",$C582="単価表"),データ!W579,"")</f>
        <v/>
      </c>
      <c r="AA582" s="11" t="str">
        <f t="shared" si="58"/>
        <v/>
      </c>
      <c r="AB582" s="46" t="e">
        <f t="shared" si="59"/>
        <v>#DIV/0!</v>
      </c>
      <c r="AC582" s="40" t="str">
        <f>IF(データ!X579="","",データ!X579)</f>
        <v/>
      </c>
      <c r="AD582" s="41" t="str">
        <f>IF(データ!Y579="","",データ!Y579)</f>
        <v/>
      </c>
      <c r="AE582" s="47" t="str">
        <f>TRIM(データ!B579)</f>
        <v/>
      </c>
      <c r="AF582" s="43" t="str">
        <f>TRIM(データ!Z579)</f>
        <v/>
      </c>
    </row>
    <row r="583" spans="1:32" x14ac:dyDescent="0.15">
      <c r="A583" s="47">
        <f>データ!A580</f>
        <v>3</v>
      </c>
      <c r="B583" s="47" t="str">
        <f>TRIM(データ!C580)</f>
        <v/>
      </c>
      <c r="C583" s="47" t="str">
        <f>TRIM(データ!D580)</f>
        <v>機械費</v>
      </c>
      <c r="D583" s="36" t="str">
        <f>REPT("｜",$A583)&amp;TRIM(データ!E580)</f>
        <v>｜｜｜小物機械</v>
      </c>
      <c r="E583" s="37" t="str">
        <f>TRIM(データ!F580)</f>
        <v/>
      </c>
      <c r="F583" s="38" t="str">
        <f>TRIM(データ!G580)</f>
        <v>式</v>
      </c>
      <c r="G583" s="50">
        <f>データ!H580</f>
        <v>1</v>
      </c>
      <c r="H583" s="48">
        <f>データ!I580</f>
        <v>3000</v>
      </c>
      <c r="I583" s="48">
        <f>データ!J580</f>
        <v>3000</v>
      </c>
      <c r="J583" s="39" t="str">
        <f>IF(OR($C583="総括",$C583="内訳書",$C583="内訳代価",$C583="明細書",$C583="明細代価",$C583="代価表",$C583="単価表"),データ!K580,"")</f>
        <v/>
      </c>
      <c r="K583" s="11" t="str">
        <f t="shared" si="54"/>
        <v/>
      </c>
      <c r="L583" s="46">
        <f t="shared" si="55"/>
        <v>4.3194678415619194E-5</v>
      </c>
      <c r="M583" s="40" t="str">
        <f>IF(データ!L580="","",データ!L580)</f>
        <v/>
      </c>
      <c r="N583" s="41" t="str">
        <f>IF(データ!M580="","",データ!M580)</f>
        <v/>
      </c>
      <c r="O583" s="42">
        <f>データ!N580</f>
        <v>0</v>
      </c>
      <c r="P583" s="48">
        <f>IF($C583="集計行","",データ!O580)</f>
        <v>0</v>
      </c>
      <c r="Q583" s="48">
        <f>データ!P580</f>
        <v>0</v>
      </c>
      <c r="R583" s="39" t="str">
        <f>IF(OR($C583="総括",$C583="内訳書",$C583="内訳代価",$C583="明細書",$C583="明細代価",$C583="代価表",$C583="単価表"),データ!Q580,"")</f>
        <v/>
      </c>
      <c r="S583" s="11" t="str">
        <f t="shared" si="56"/>
        <v/>
      </c>
      <c r="T583" s="46" t="e">
        <f t="shared" si="57"/>
        <v>#DIV/0!</v>
      </c>
      <c r="U583" s="40" t="str">
        <f>IF(データ!R580="","",データ!R580)</f>
        <v/>
      </c>
      <c r="V583" s="41" t="str">
        <f>IF(データ!S580="","",データ!S580)</f>
        <v/>
      </c>
      <c r="W583" s="42">
        <f>データ!T580</f>
        <v>0</v>
      </c>
      <c r="X583" s="48">
        <f>IF($C583="集計行","",データ!U580)</f>
        <v>0</v>
      </c>
      <c r="Y583" s="48">
        <f>データ!V580</f>
        <v>0</v>
      </c>
      <c r="Z583" s="39" t="str">
        <f>IF(OR($C583="総括",$C583="内訳書",$C583="内訳代価",$C583="明細書",$C583="明細代価",$C583="代価表",$C583="単価表"),データ!W580,"")</f>
        <v/>
      </c>
      <c r="AA583" s="11" t="str">
        <f t="shared" si="58"/>
        <v/>
      </c>
      <c r="AB583" s="46" t="e">
        <f t="shared" si="59"/>
        <v>#DIV/0!</v>
      </c>
      <c r="AC583" s="40" t="str">
        <f>IF(データ!X580="","",データ!X580)</f>
        <v/>
      </c>
      <c r="AD583" s="41" t="str">
        <f>IF(データ!Y580="","",データ!Y580)</f>
        <v/>
      </c>
      <c r="AE583" s="47" t="str">
        <f>TRIM(データ!B580)</f>
        <v/>
      </c>
      <c r="AF583" s="43" t="str">
        <f>TRIM(データ!Z580)</f>
        <v/>
      </c>
    </row>
    <row r="584" spans="1:32" x14ac:dyDescent="0.15">
      <c r="A584" s="47">
        <f>データ!A581</f>
        <v>3</v>
      </c>
      <c r="B584" s="47" t="str">
        <f>TRIM(データ!C581)</f>
        <v/>
      </c>
      <c r="C584" s="47" t="str">
        <f>TRIM(データ!D581)</f>
        <v>材料費</v>
      </c>
      <c r="D584" s="36" t="str">
        <f>REPT("｜",$A584)&amp;TRIM(データ!E581)</f>
        <v>｜｜｜雑材</v>
      </c>
      <c r="E584" s="37" t="str">
        <f>TRIM(データ!F581)</f>
        <v/>
      </c>
      <c r="F584" s="38" t="str">
        <f>TRIM(データ!G581)</f>
        <v>式</v>
      </c>
      <c r="G584" s="50">
        <f>データ!H581</f>
        <v>1</v>
      </c>
      <c r="H584" s="48">
        <f>データ!I581</f>
        <v>1900</v>
      </c>
      <c r="I584" s="48">
        <f>データ!J581</f>
        <v>1900</v>
      </c>
      <c r="J584" s="39" t="str">
        <f>IF(OR($C584="総括",$C584="内訳書",$C584="内訳代価",$C584="明細書",$C584="明細代価",$C584="代価表",$C584="単価表"),データ!K581,"")</f>
        <v/>
      </c>
      <c r="K584" s="11" t="str">
        <f t="shared" si="54"/>
        <v/>
      </c>
      <c r="L584" s="46">
        <f t="shared" si="55"/>
        <v>2.7356629663225491E-5</v>
      </c>
      <c r="M584" s="40" t="str">
        <f>IF(データ!L581="","",データ!L581)</f>
        <v/>
      </c>
      <c r="N584" s="41" t="str">
        <f>IF(データ!M581="","",データ!M581)</f>
        <v/>
      </c>
      <c r="O584" s="42">
        <f>データ!N581</f>
        <v>0</v>
      </c>
      <c r="P584" s="48">
        <f>IF($C584="集計行","",データ!O581)</f>
        <v>0</v>
      </c>
      <c r="Q584" s="48">
        <f>データ!P581</f>
        <v>0</v>
      </c>
      <c r="R584" s="39" t="str">
        <f>IF(OR($C584="総括",$C584="内訳書",$C584="内訳代価",$C584="明細書",$C584="明細代価",$C584="代価表",$C584="単価表"),データ!Q581,"")</f>
        <v/>
      </c>
      <c r="S584" s="11" t="str">
        <f t="shared" si="56"/>
        <v/>
      </c>
      <c r="T584" s="46" t="e">
        <f t="shared" si="57"/>
        <v>#DIV/0!</v>
      </c>
      <c r="U584" s="40" t="str">
        <f>IF(データ!R581="","",データ!R581)</f>
        <v/>
      </c>
      <c r="V584" s="41" t="str">
        <f>IF(データ!S581="","",データ!S581)</f>
        <v/>
      </c>
      <c r="W584" s="42">
        <f>データ!T581</f>
        <v>0</v>
      </c>
      <c r="X584" s="48">
        <f>IF($C584="集計行","",データ!U581)</f>
        <v>0</v>
      </c>
      <c r="Y584" s="48">
        <f>データ!V581</f>
        <v>0</v>
      </c>
      <c r="Z584" s="39" t="str">
        <f>IF(OR($C584="総括",$C584="内訳書",$C584="内訳代価",$C584="明細書",$C584="明細代価",$C584="代価表",$C584="単価表"),データ!W581,"")</f>
        <v/>
      </c>
      <c r="AA584" s="11" t="str">
        <f t="shared" si="58"/>
        <v/>
      </c>
      <c r="AB584" s="46" t="e">
        <f t="shared" si="59"/>
        <v>#DIV/0!</v>
      </c>
      <c r="AC584" s="40" t="str">
        <f>IF(データ!X581="","",データ!X581)</f>
        <v/>
      </c>
      <c r="AD584" s="41" t="str">
        <f>IF(データ!Y581="","",データ!Y581)</f>
        <v/>
      </c>
      <c r="AE584" s="47" t="str">
        <f>TRIM(データ!B581)</f>
        <v/>
      </c>
      <c r="AF584" s="43" t="str">
        <f>TRIM(データ!Z581)</f>
        <v/>
      </c>
    </row>
    <row r="585" spans="1:32" x14ac:dyDescent="0.15">
      <c r="A585" s="47">
        <f>データ!A582</f>
        <v>3</v>
      </c>
      <c r="B585" s="47" t="str">
        <f>TRIM(データ!C582)</f>
        <v/>
      </c>
      <c r="C585" s="47" t="str">
        <f>TRIM(データ!D582)</f>
        <v>外注費</v>
      </c>
      <c r="D585" s="36" t="str">
        <f>REPT("｜",$A585)&amp;TRIM(データ!E582)</f>
        <v>｜｜｜外注経費</v>
      </c>
      <c r="E585" s="37" t="str">
        <f>TRIM(データ!F582)</f>
        <v/>
      </c>
      <c r="F585" s="38" t="str">
        <f>TRIM(データ!G582)</f>
        <v>式</v>
      </c>
      <c r="G585" s="50">
        <f>データ!H582</f>
        <v>1</v>
      </c>
      <c r="H585" s="48">
        <f>データ!I582</f>
        <v>3100</v>
      </c>
      <c r="I585" s="48">
        <f>データ!J582</f>
        <v>3100</v>
      </c>
      <c r="J585" s="39" t="str">
        <f>IF(OR($C585="総括",$C585="内訳書",$C585="内訳代価",$C585="明細書",$C585="明細代価",$C585="代価表",$C585="単価表"),データ!K582,"")</f>
        <v/>
      </c>
      <c r="K585" s="11" t="str">
        <f t="shared" si="54"/>
        <v/>
      </c>
      <c r="L585" s="46">
        <f t="shared" si="55"/>
        <v>4.4634501029473166E-5</v>
      </c>
      <c r="M585" s="40" t="str">
        <f>IF(データ!L582="","",データ!L582)</f>
        <v/>
      </c>
      <c r="N585" s="41" t="str">
        <f>IF(データ!M582="","",データ!M582)</f>
        <v/>
      </c>
      <c r="O585" s="42">
        <f>データ!N582</f>
        <v>0</v>
      </c>
      <c r="P585" s="48">
        <f>IF($C585="集計行","",データ!O582)</f>
        <v>0</v>
      </c>
      <c r="Q585" s="48">
        <f>データ!P582</f>
        <v>0</v>
      </c>
      <c r="R585" s="39" t="str">
        <f>IF(OR($C585="総括",$C585="内訳書",$C585="内訳代価",$C585="明細書",$C585="明細代価",$C585="代価表",$C585="単価表"),データ!Q582,"")</f>
        <v/>
      </c>
      <c r="S585" s="11" t="str">
        <f t="shared" si="56"/>
        <v/>
      </c>
      <c r="T585" s="46" t="e">
        <f t="shared" si="57"/>
        <v>#DIV/0!</v>
      </c>
      <c r="U585" s="40" t="str">
        <f>IF(データ!R582="","",データ!R582)</f>
        <v/>
      </c>
      <c r="V585" s="41" t="str">
        <f>IF(データ!S582="","",データ!S582)</f>
        <v/>
      </c>
      <c r="W585" s="42">
        <f>データ!T582</f>
        <v>0</v>
      </c>
      <c r="X585" s="48">
        <f>IF($C585="集計行","",データ!U582)</f>
        <v>0</v>
      </c>
      <c r="Y585" s="48">
        <f>データ!V582</f>
        <v>0</v>
      </c>
      <c r="Z585" s="39" t="str">
        <f>IF(OR($C585="総括",$C585="内訳書",$C585="内訳代価",$C585="明細書",$C585="明細代価",$C585="代価表",$C585="単価表"),データ!W582,"")</f>
        <v/>
      </c>
      <c r="AA585" s="11" t="str">
        <f t="shared" si="58"/>
        <v/>
      </c>
      <c r="AB585" s="46" t="e">
        <f t="shared" si="59"/>
        <v>#DIV/0!</v>
      </c>
      <c r="AC585" s="40" t="str">
        <f>IF(データ!X582="","",データ!X582)</f>
        <v/>
      </c>
      <c r="AD585" s="41" t="str">
        <f>IF(データ!Y582="","",データ!Y582)</f>
        <v/>
      </c>
      <c r="AE585" s="47" t="str">
        <f>TRIM(データ!B582)</f>
        <v/>
      </c>
      <c r="AF585" s="43" t="str">
        <f>TRIM(データ!Z582)</f>
        <v/>
      </c>
    </row>
    <row r="586" spans="1:32" x14ac:dyDescent="0.15">
      <c r="A586" s="47">
        <f>データ!A583</f>
        <v>1</v>
      </c>
      <c r="B586" s="47" t="str">
        <f>TRIM(データ!C583)</f>
        <v/>
      </c>
      <c r="C586" s="47" t="str">
        <f>TRIM(データ!D583)</f>
        <v>内訳書</v>
      </c>
      <c r="D586" s="36" t="str">
        <f>REPT("｜",$A586)&amp;TRIM(データ!E583)</f>
        <v>｜区画線設置工</v>
      </c>
      <c r="E586" s="37" t="str">
        <f>TRIM(データ!F583)</f>
        <v/>
      </c>
      <c r="F586" s="38" t="str">
        <f>TRIM(データ!G583)</f>
        <v>ｍ</v>
      </c>
      <c r="G586" s="50">
        <f>データ!H583</f>
        <v>197.6</v>
      </c>
      <c r="H586" s="48">
        <f>データ!I583</f>
        <v>478.8</v>
      </c>
      <c r="I586" s="48">
        <f>データ!J583</f>
        <v>94610</v>
      </c>
      <c r="J586" s="39">
        <f>IF(OR($C586="総括",$C586="内訳書",$C586="内訳代価",$C586="明細書",$C586="明細代価",$C586="代価表",$C586="単価表"),データ!K583,"")</f>
        <v>197.6</v>
      </c>
      <c r="K586" s="11" t="str">
        <f t="shared" si="54"/>
        <v/>
      </c>
      <c r="L586" s="46">
        <f t="shared" si="55"/>
        <v>1.3622161749672441E-3</v>
      </c>
      <c r="M586" s="40" t="str">
        <f>IF(データ!L583="","",データ!L583)</f>
        <v/>
      </c>
      <c r="N586" s="41" t="str">
        <f>IF(データ!M583="","",データ!M583)</f>
        <v>21号内訳書</v>
      </c>
      <c r="O586" s="42">
        <f>データ!N583</f>
        <v>0</v>
      </c>
      <c r="P586" s="48">
        <f>IF($C586="集計行","",データ!O583)</f>
        <v>0</v>
      </c>
      <c r="Q586" s="48">
        <f>データ!P583</f>
        <v>0</v>
      </c>
      <c r="R586" s="39">
        <f>IF(OR($C586="総括",$C586="内訳書",$C586="内訳代価",$C586="明細書",$C586="明細代価",$C586="代価表",$C586="単価表"),データ!Q583,"")</f>
        <v>0</v>
      </c>
      <c r="S586" s="11" t="str">
        <f t="shared" si="56"/>
        <v/>
      </c>
      <c r="T586" s="46" t="e">
        <f t="shared" si="57"/>
        <v>#DIV/0!</v>
      </c>
      <c r="U586" s="40" t="str">
        <f>IF(データ!R583="","",データ!R583)</f>
        <v/>
      </c>
      <c r="V586" s="41" t="str">
        <f>IF(データ!S583="","",データ!S583)</f>
        <v/>
      </c>
      <c r="W586" s="42">
        <f>データ!T583</f>
        <v>0</v>
      </c>
      <c r="X586" s="48">
        <f>IF($C586="集計行","",データ!U583)</f>
        <v>0</v>
      </c>
      <c r="Y586" s="48">
        <f>データ!V583</f>
        <v>0</v>
      </c>
      <c r="Z586" s="39">
        <f>IF(OR($C586="総括",$C586="内訳書",$C586="内訳代価",$C586="明細書",$C586="明細代価",$C586="代価表",$C586="単価表"),データ!W583,"")</f>
        <v>0</v>
      </c>
      <c r="AA586" s="11" t="str">
        <f t="shared" si="58"/>
        <v/>
      </c>
      <c r="AB586" s="46" t="e">
        <f t="shared" si="59"/>
        <v>#DIV/0!</v>
      </c>
      <c r="AC586" s="40" t="str">
        <f>IF(データ!X583="","",データ!X583)</f>
        <v/>
      </c>
      <c r="AD586" s="41" t="str">
        <f>IF(データ!Y583="","",データ!Y583)</f>
        <v/>
      </c>
      <c r="AE586" s="47" t="str">
        <f>TRIM(データ!B583)</f>
        <v/>
      </c>
      <c r="AF586" s="43" t="str">
        <f>TRIM(データ!Z583)</f>
        <v/>
      </c>
    </row>
    <row r="587" spans="1:32" x14ac:dyDescent="0.15">
      <c r="A587" s="47">
        <f>データ!A584</f>
        <v>2</v>
      </c>
      <c r="B587" s="47" t="str">
        <f>TRIM(データ!C584)</f>
        <v/>
      </c>
      <c r="C587" s="47" t="str">
        <f>TRIM(データ!D584)</f>
        <v>内訳書</v>
      </c>
      <c r="D587" s="36" t="str">
        <f>REPT("｜",$A587)&amp;TRIM(データ!E584)</f>
        <v>｜｜駐車区画線</v>
      </c>
      <c r="E587" s="37" t="str">
        <f>TRIM(データ!F584)</f>
        <v>W=150 白</v>
      </c>
      <c r="F587" s="38" t="str">
        <f>TRIM(データ!G584)</f>
        <v>ｍ</v>
      </c>
      <c r="G587" s="50">
        <f>データ!H584</f>
        <v>46.8</v>
      </c>
      <c r="H587" s="48">
        <f>データ!I584</f>
        <v>250</v>
      </c>
      <c r="I587" s="48">
        <f>データ!J584</f>
        <v>11700</v>
      </c>
      <c r="J587" s="39">
        <f>IF(OR($C587="総括",$C587="内訳書",$C587="内訳代価",$C587="明細書",$C587="明細代価",$C587="代価表",$C587="単価表"),データ!K584,"")</f>
        <v>46.8</v>
      </c>
      <c r="K587" s="11" t="str">
        <f t="shared" si="54"/>
        <v/>
      </c>
      <c r="L587" s="46">
        <f t="shared" si="55"/>
        <v>1.6845924582091487E-4</v>
      </c>
      <c r="M587" s="40" t="str">
        <f>IF(データ!L584="","",データ!L584)</f>
        <v/>
      </c>
      <c r="N587" s="41" t="str">
        <f>IF(データ!M584="","",データ!M584)</f>
        <v>69号内訳書</v>
      </c>
      <c r="O587" s="42">
        <f>データ!N584</f>
        <v>0</v>
      </c>
      <c r="P587" s="48">
        <f>IF($C587="集計行","",データ!O584)</f>
        <v>0</v>
      </c>
      <c r="Q587" s="48">
        <f>データ!P584</f>
        <v>0</v>
      </c>
      <c r="R587" s="39">
        <f>IF(OR($C587="総括",$C587="内訳書",$C587="内訳代価",$C587="明細書",$C587="明細代価",$C587="代価表",$C587="単価表"),データ!Q584,"")</f>
        <v>0</v>
      </c>
      <c r="S587" s="11" t="str">
        <f t="shared" si="56"/>
        <v/>
      </c>
      <c r="T587" s="46" t="e">
        <f t="shared" si="57"/>
        <v>#DIV/0!</v>
      </c>
      <c r="U587" s="40" t="str">
        <f>IF(データ!R584="","",データ!R584)</f>
        <v/>
      </c>
      <c r="V587" s="41" t="str">
        <f>IF(データ!S584="","",データ!S584)</f>
        <v/>
      </c>
      <c r="W587" s="42">
        <f>データ!T584</f>
        <v>0</v>
      </c>
      <c r="X587" s="48">
        <f>IF($C587="集計行","",データ!U584)</f>
        <v>0</v>
      </c>
      <c r="Y587" s="48">
        <f>データ!V584</f>
        <v>0</v>
      </c>
      <c r="Z587" s="39">
        <f>IF(OR($C587="総括",$C587="内訳書",$C587="内訳代価",$C587="明細書",$C587="明細代価",$C587="代価表",$C587="単価表"),データ!W584,"")</f>
        <v>0</v>
      </c>
      <c r="AA587" s="11" t="str">
        <f t="shared" si="58"/>
        <v/>
      </c>
      <c r="AB587" s="46" t="e">
        <f t="shared" si="59"/>
        <v>#DIV/0!</v>
      </c>
      <c r="AC587" s="40" t="str">
        <f>IF(データ!X584="","",データ!X584)</f>
        <v/>
      </c>
      <c r="AD587" s="41" t="str">
        <f>IF(データ!Y584="","",データ!Y584)</f>
        <v/>
      </c>
      <c r="AE587" s="47" t="str">
        <f>TRIM(データ!B584)</f>
        <v/>
      </c>
      <c r="AF587" s="43" t="str">
        <f>TRIM(データ!Z584)</f>
        <v/>
      </c>
    </row>
    <row r="588" spans="1:32" x14ac:dyDescent="0.15">
      <c r="A588" s="47">
        <f>データ!A585</f>
        <v>3</v>
      </c>
      <c r="B588" s="47" t="str">
        <f>TRIM(データ!C585)</f>
        <v/>
      </c>
      <c r="C588" s="47" t="str">
        <f>TRIM(データ!D585)</f>
        <v>外注費</v>
      </c>
      <c r="D588" s="36" t="str">
        <f>REPT("｜",$A588)&amp;TRIM(データ!E585)</f>
        <v>｜｜｜駐車区画線</v>
      </c>
      <c r="E588" s="37" t="str">
        <f>TRIM(データ!F585)</f>
        <v>W=150 白</v>
      </c>
      <c r="F588" s="38" t="str">
        <f>TRIM(データ!G585)</f>
        <v>ｍ</v>
      </c>
      <c r="G588" s="50">
        <f>データ!H585</f>
        <v>46.8</v>
      </c>
      <c r="H588" s="48">
        <f>データ!I585</f>
        <v>250</v>
      </c>
      <c r="I588" s="48">
        <f>データ!J585</f>
        <v>11700</v>
      </c>
      <c r="J588" s="39" t="str">
        <f>IF(OR($C588="総括",$C588="内訳書",$C588="内訳代価",$C588="明細書",$C588="明細代価",$C588="代価表",$C588="単価表"),データ!K585,"")</f>
        <v/>
      </c>
      <c r="K588" s="11" t="str">
        <f t="shared" si="54"/>
        <v/>
      </c>
      <c r="L588" s="46">
        <f t="shared" si="55"/>
        <v>1.6845924582091487E-4</v>
      </c>
      <c r="M588" s="40" t="str">
        <f>IF(データ!L585="","",データ!L585)</f>
        <v/>
      </c>
      <c r="N588" s="41" t="str">
        <f>IF(データ!M585="","",データ!M585)</f>
        <v/>
      </c>
      <c r="O588" s="42">
        <f>データ!N585</f>
        <v>0</v>
      </c>
      <c r="P588" s="48">
        <f>IF($C588="集計行","",データ!O585)</f>
        <v>0</v>
      </c>
      <c r="Q588" s="48">
        <f>データ!P585</f>
        <v>0</v>
      </c>
      <c r="R588" s="39" t="str">
        <f>IF(OR($C588="総括",$C588="内訳書",$C588="内訳代価",$C588="明細書",$C588="明細代価",$C588="代価表",$C588="単価表"),データ!Q585,"")</f>
        <v/>
      </c>
      <c r="S588" s="11" t="str">
        <f t="shared" si="56"/>
        <v/>
      </c>
      <c r="T588" s="46" t="e">
        <f t="shared" si="57"/>
        <v>#DIV/0!</v>
      </c>
      <c r="U588" s="40" t="str">
        <f>IF(データ!R585="","",データ!R585)</f>
        <v/>
      </c>
      <c r="V588" s="41" t="str">
        <f>IF(データ!S585="","",データ!S585)</f>
        <v/>
      </c>
      <c r="W588" s="42">
        <f>データ!T585</f>
        <v>0</v>
      </c>
      <c r="X588" s="48">
        <f>IF($C588="集計行","",データ!U585)</f>
        <v>0</v>
      </c>
      <c r="Y588" s="48">
        <f>データ!V585</f>
        <v>0</v>
      </c>
      <c r="Z588" s="39" t="str">
        <f>IF(OR($C588="総括",$C588="内訳書",$C588="内訳代価",$C588="明細書",$C588="明細代価",$C588="代価表",$C588="単価表"),データ!W585,"")</f>
        <v/>
      </c>
      <c r="AA588" s="11" t="str">
        <f t="shared" si="58"/>
        <v/>
      </c>
      <c r="AB588" s="46" t="e">
        <f t="shared" si="59"/>
        <v>#DIV/0!</v>
      </c>
      <c r="AC588" s="40" t="str">
        <f>IF(データ!X585="","",データ!X585)</f>
        <v/>
      </c>
      <c r="AD588" s="41" t="str">
        <f>IF(データ!Y585="","",データ!Y585)</f>
        <v/>
      </c>
      <c r="AE588" s="47" t="str">
        <f>TRIM(データ!B585)</f>
        <v/>
      </c>
      <c r="AF588" s="43" t="str">
        <f>TRIM(データ!Z585)</f>
        <v/>
      </c>
    </row>
    <row r="589" spans="1:32" x14ac:dyDescent="0.15">
      <c r="A589" s="47">
        <f>データ!A586</f>
        <v>2</v>
      </c>
      <c r="B589" s="47" t="str">
        <f>TRIM(データ!C586)</f>
        <v/>
      </c>
      <c r="C589" s="47" t="str">
        <f>TRIM(データ!D586)</f>
        <v>内訳書</v>
      </c>
      <c r="D589" s="36" t="str">
        <f>REPT("｜",$A589)&amp;TRIM(データ!E586)</f>
        <v>｜｜駐車区画番号</v>
      </c>
      <c r="E589" s="37" t="str">
        <f>TRIM(データ!F586)</f>
        <v/>
      </c>
      <c r="F589" s="38" t="str">
        <f>TRIM(データ!G586)</f>
        <v>個所</v>
      </c>
      <c r="G589" s="50">
        <f>データ!H586</f>
        <v>12</v>
      </c>
      <c r="H589" s="48">
        <f>データ!I586</f>
        <v>1000</v>
      </c>
      <c r="I589" s="48">
        <f>データ!J586</f>
        <v>12000</v>
      </c>
      <c r="J589" s="39">
        <f>IF(OR($C589="総括",$C589="内訳書",$C589="内訳代価",$C589="明細書",$C589="明細代価",$C589="代価表",$C589="単価表"),データ!K586,"")</f>
        <v>12</v>
      </c>
      <c r="K589" s="11" t="str">
        <f t="shared" si="54"/>
        <v/>
      </c>
      <c r="L589" s="46">
        <f t="shared" si="55"/>
        <v>1.7277871366247678E-4</v>
      </c>
      <c r="M589" s="40" t="str">
        <f>IF(データ!L586="","",データ!L586)</f>
        <v/>
      </c>
      <c r="N589" s="41" t="str">
        <f>IF(データ!M586="","",データ!M586)</f>
        <v>70号内訳書</v>
      </c>
      <c r="O589" s="42">
        <f>データ!N586</f>
        <v>0</v>
      </c>
      <c r="P589" s="48">
        <f>IF($C589="集計行","",データ!O586)</f>
        <v>0</v>
      </c>
      <c r="Q589" s="48">
        <f>データ!P586</f>
        <v>0</v>
      </c>
      <c r="R589" s="39">
        <f>IF(OR($C589="総括",$C589="内訳書",$C589="内訳代価",$C589="明細書",$C589="明細代価",$C589="代価表",$C589="単価表"),データ!Q586,"")</f>
        <v>0</v>
      </c>
      <c r="S589" s="11" t="str">
        <f t="shared" si="56"/>
        <v/>
      </c>
      <c r="T589" s="46" t="e">
        <f t="shared" si="57"/>
        <v>#DIV/0!</v>
      </c>
      <c r="U589" s="40" t="str">
        <f>IF(データ!R586="","",データ!R586)</f>
        <v/>
      </c>
      <c r="V589" s="41" t="str">
        <f>IF(データ!S586="","",データ!S586)</f>
        <v/>
      </c>
      <c r="W589" s="42">
        <f>データ!T586</f>
        <v>0</v>
      </c>
      <c r="X589" s="48">
        <f>IF($C589="集計行","",データ!U586)</f>
        <v>0</v>
      </c>
      <c r="Y589" s="48">
        <f>データ!V586</f>
        <v>0</v>
      </c>
      <c r="Z589" s="39">
        <f>IF(OR($C589="総括",$C589="内訳書",$C589="内訳代価",$C589="明細書",$C589="明細代価",$C589="代価表",$C589="単価表"),データ!W586,"")</f>
        <v>0</v>
      </c>
      <c r="AA589" s="11" t="str">
        <f t="shared" si="58"/>
        <v/>
      </c>
      <c r="AB589" s="46" t="e">
        <f t="shared" si="59"/>
        <v>#DIV/0!</v>
      </c>
      <c r="AC589" s="40" t="str">
        <f>IF(データ!X586="","",データ!X586)</f>
        <v/>
      </c>
      <c r="AD589" s="41" t="str">
        <f>IF(データ!Y586="","",データ!Y586)</f>
        <v/>
      </c>
      <c r="AE589" s="47" t="str">
        <f>TRIM(データ!B586)</f>
        <v/>
      </c>
      <c r="AF589" s="43" t="str">
        <f>TRIM(データ!Z586)</f>
        <v/>
      </c>
    </row>
    <row r="590" spans="1:32" x14ac:dyDescent="0.15">
      <c r="A590" s="47">
        <f>データ!A587</f>
        <v>3</v>
      </c>
      <c r="B590" s="47" t="str">
        <f>TRIM(データ!C587)</f>
        <v/>
      </c>
      <c r="C590" s="47" t="str">
        <f>TRIM(データ!D587)</f>
        <v>外注費</v>
      </c>
      <c r="D590" s="36" t="str">
        <f>REPT("｜",$A590)&amp;TRIM(データ!E587)</f>
        <v>｜｜｜駐車区画番号</v>
      </c>
      <c r="E590" s="37" t="str">
        <f>TRIM(データ!F587)</f>
        <v/>
      </c>
      <c r="F590" s="38" t="str">
        <f>TRIM(データ!G587)</f>
        <v>個所</v>
      </c>
      <c r="G590" s="50">
        <f>データ!H587</f>
        <v>12</v>
      </c>
      <c r="H590" s="48">
        <f>データ!I587</f>
        <v>1000</v>
      </c>
      <c r="I590" s="48">
        <f>データ!J587</f>
        <v>12000</v>
      </c>
      <c r="J590" s="39" t="str">
        <f>IF(OR($C590="総括",$C590="内訳書",$C590="内訳代価",$C590="明細書",$C590="明細代価",$C590="代価表",$C590="単価表"),データ!K587,"")</f>
        <v/>
      </c>
      <c r="K590" s="11" t="str">
        <f t="shared" si="54"/>
        <v/>
      </c>
      <c r="L590" s="46">
        <f t="shared" si="55"/>
        <v>1.7277871366247678E-4</v>
      </c>
      <c r="M590" s="40" t="str">
        <f>IF(データ!L587="","",データ!L587)</f>
        <v/>
      </c>
      <c r="N590" s="41" t="str">
        <f>IF(データ!M587="","",データ!M587)</f>
        <v/>
      </c>
      <c r="O590" s="42">
        <f>データ!N587</f>
        <v>0</v>
      </c>
      <c r="P590" s="48">
        <f>IF($C590="集計行","",データ!O587)</f>
        <v>0</v>
      </c>
      <c r="Q590" s="48">
        <f>データ!P587</f>
        <v>0</v>
      </c>
      <c r="R590" s="39" t="str">
        <f>IF(OR($C590="総括",$C590="内訳書",$C590="内訳代価",$C590="明細書",$C590="明細代価",$C590="代価表",$C590="単価表"),データ!Q587,"")</f>
        <v/>
      </c>
      <c r="S590" s="11" t="str">
        <f t="shared" si="56"/>
        <v/>
      </c>
      <c r="T590" s="46" t="e">
        <f t="shared" si="57"/>
        <v>#DIV/0!</v>
      </c>
      <c r="U590" s="40" t="str">
        <f>IF(データ!R587="","",データ!R587)</f>
        <v/>
      </c>
      <c r="V590" s="41" t="str">
        <f>IF(データ!S587="","",データ!S587)</f>
        <v/>
      </c>
      <c r="W590" s="42">
        <f>データ!T587</f>
        <v>0</v>
      </c>
      <c r="X590" s="48">
        <f>IF($C590="集計行","",データ!U587)</f>
        <v>0</v>
      </c>
      <c r="Y590" s="48">
        <f>データ!V587</f>
        <v>0</v>
      </c>
      <c r="Z590" s="39" t="str">
        <f>IF(OR($C590="総括",$C590="内訳書",$C590="内訳代価",$C590="明細書",$C590="明細代価",$C590="代価表",$C590="単価表"),データ!W587,"")</f>
        <v/>
      </c>
      <c r="AA590" s="11" t="str">
        <f t="shared" si="58"/>
        <v/>
      </c>
      <c r="AB590" s="46" t="e">
        <f t="shared" si="59"/>
        <v>#DIV/0!</v>
      </c>
      <c r="AC590" s="40" t="str">
        <f>IF(データ!X587="","",データ!X587)</f>
        <v/>
      </c>
      <c r="AD590" s="41" t="str">
        <f>IF(データ!Y587="","",データ!Y587)</f>
        <v/>
      </c>
      <c r="AE590" s="47" t="str">
        <f>TRIM(データ!B587)</f>
        <v/>
      </c>
      <c r="AF590" s="43" t="str">
        <f>TRIM(データ!Z587)</f>
        <v/>
      </c>
    </row>
    <row r="591" spans="1:32" x14ac:dyDescent="0.15">
      <c r="A591" s="47">
        <f>データ!A588</f>
        <v>2</v>
      </c>
      <c r="B591" s="47" t="str">
        <f>TRIM(データ!C588)</f>
        <v/>
      </c>
      <c r="C591" s="47" t="str">
        <f>TRIM(データ!D588)</f>
        <v>内訳書</v>
      </c>
      <c r="D591" s="36" t="str">
        <f>REPT("｜",$A591)&amp;TRIM(データ!E588)</f>
        <v>｜｜駐輪場区画線</v>
      </c>
      <c r="E591" s="37" t="str">
        <f>TRIM(データ!F588)</f>
        <v/>
      </c>
      <c r="F591" s="38" t="str">
        <f>TRIM(データ!G588)</f>
        <v>ｍ</v>
      </c>
      <c r="G591" s="50">
        <f>データ!H588</f>
        <v>26</v>
      </c>
      <c r="H591" s="48">
        <f>データ!I588</f>
        <v>250</v>
      </c>
      <c r="I591" s="48">
        <f>データ!J588</f>
        <v>6500</v>
      </c>
      <c r="J591" s="39">
        <f>IF(OR($C591="総括",$C591="内訳書",$C591="内訳代価",$C591="明細書",$C591="明細代価",$C591="代価表",$C591="単価表"),データ!K588,"")</f>
        <v>26</v>
      </c>
      <c r="K591" s="11" t="str">
        <f t="shared" si="54"/>
        <v/>
      </c>
      <c r="L591" s="46">
        <f t="shared" si="55"/>
        <v>9.358846990050826E-5</v>
      </c>
      <c r="M591" s="40" t="str">
        <f>IF(データ!L588="","",データ!L588)</f>
        <v/>
      </c>
      <c r="N591" s="41" t="str">
        <f>IF(データ!M588="","",データ!M588)</f>
        <v>71号内訳書</v>
      </c>
      <c r="O591" s="42">
        <f>データ!N588</f>
        <v>0</v>
      </c>
      <c r="P591" s="48">
        <f>IF($C591="集計行","",データ!O588)</f>
        <v>0</v>
      </c>
      <c r="Q591" s="48">
        <f>データ!P588</f>
        <v>0</v>
      </c>
      <c r="R591" s="39">
        <f>IF(OR($C591="総括",$C591="内訳書",$C591="内訳代価",$C591="明細書",$C591="明細代価",$C591="代価表",$C591="単価表"),データ!Q588,"")</f>
        <v>0</v>
      </c>
      <c r="S591" s="11" t="str">
        <f t="shared" si="56"/>
        <v/>
      </c>
      <c r="T591" s="46" t="e">
        <f t="shared" si="57"/>
        <v>#DIV/0!</v>
      </c>
      <c r="U591" s="40" t="str">
        <f>IF(データ!R588="","",データ!R588)</f>
        <v/>
      </c>
      <c r="V591" s="41" t="str">
        <f>IF(データ!S588="","",データ!S588)</f>
        <v/>
      </c>
      <c r="W591" s="42">
        <f>データ!T588</f>
        <v>0</v>
      </c>
      <c r="X591" s="48">
        <f>IF($C591="集計行","",データ!U588)</f>
        <v>0</v>
      </c>
      <c r="Y591" s="48">
        <f>データ!V588</f>
        <v>0</v>
      </c>
      <c r="Z591" s="39">
        <f>IF(OR($C591="総括",$C591="内訳書",$C591="内訳代価",$C591="明細書",$C591="明細代価",$C591="代価表",$C591="単価表"),データ!W588,"")</f>
        <v>0</v>
      </c>
      <c r="AA591" s="11" t="str">
        <f t="shared" si="58"/>
        <v/>
      </c>
      <c r="AB591" s="46" t="e">
        <f t="shared" si="59"/>
        <v>#DIV/0!</v>
      </c>
      <c r="AC591" s="40" t="str">
        <f>IF(データ!X588="","",データ!X588)</f>
        <v/>
      </c>
      <c r="AD591" s="41" t="str">
        <f>IF(データ!Y588="","",データ!Y588)</f>
        <v/>
      </c>
      <c r="AE591" s="47" t="str">
        <f>TRIM(データ!B588)</f>
        <v/>
      </c>
      <c r="AF591" s="43" t="str">
        <f>TRIM(データ!Z588)</f>
        <v/>
      </c>
    </row>
    <row r="592" spans="1:32" x14ac:dyDescent="0.15">
      <c r="A592" s="47">
        <f>データ!A589</f>
        <v>3</v>
      </c>
      <c r="B592" s="47" t="str">
        <f>TRIM(データ!C589)</f>
        <v/>
      </c>
      <c r="C592" s="47" t="str">
        <f>TRIM(データ!D589)</f>
        <v>外注費</v>
      </c>
      <c r="D592" s="36" t="str">
        <f>REPT("｜",$A592)&amp;TRIM(データ!E589)</f>
        <v>｜｜｜駐輪場区画線</v>
      </c>
      <c r="E592" s="37" t="str">
        <f>TRIM(データ!F589)</f>
        <v>W=100</v>
      </c>
      <c r="F592" s="38" t="str">
        <f>TRIM(データ!G589)</f>
        <v>ｍ</v>
      </c>
      <c r="G592" s="50">
        <f>データ!H589</f>
        <v>26</v>
      </c>
      <c r="H592" s="48">
        <f>データ!I589</f>
        <v>250</v>
      </c>
      <c r="I592" s="48">
        <f>データ!J589</f>
        <v>6500</v>
      </c>
      <c r="J592" s="39" t="str">
        <f>IF(OR($C592="総括",$C592="内訳書",$C592="内訳代価",$C592="明細書",$C592="明細代価",$C592="代価表",$C592="単価表"),データ!K589,"")</f>
        <v/>
      </c>
      <c r="K592" s="11" t="str">
        <f t="shared" si="54"/>
        <v/>
      </c>
      <c r="L592" s="46">
        <f t="shared" si="55"/>
        <v>9.358846990050826E-5</v>
      </c>
      <c r="M592" s="40" t="str">
        <f>IF(データ!L589="","",データ!L589)</f>
        <v/>
      </c>
      <c r="N592" s="41" t="str">
        <f>IF(データ!M589="","",データ!M589)</f>
        <v/>
      </c>
      <c r="O592" s="42">
        <f>データ!N589</f>
        <v>0</v>
      </c>
      <c r="P592" s="48">
        <f>IF($C592="集計行","",データ!O589)</f>
        <v>0</v>
      </c>
      <c r="Q592" s="48">
        <f>データ!P589</f>
        <v>0</v>
      </c>
      <c r="R592" s="39" t="str">
        <f>IF(OR($C592="総括",$C592="内訳書",$C592="内訳代価",$C592="明細書",$C592="明細代価",$C592="代価表",$C592="単価表"),データ!Q589,"")</f>
        <v/>
      </c>
      <c r="S592" s="11" t="str">
        <f t="shared" si="56"/>
        <v/>
      </c>
      <c r="T592" s="46" t="e">
        <f t="shared" si="57"/>
        <v>#DIV/0!</v>
      </c>
      <c r="U592" s="40" t="str">
        <f>IF(データ!R589="","",データ!R589)</f>
        <v/>
      </c>
      <c r="V592" s="41" t="str">
        <f>IF(データ!S589="","",データ!S589)</f>
        <v/>
      </c>
      <c r="W592" s="42">
        <f>データ!T589</f>
        <v>0</v>
      </c>
      <c r="X592" s="48">
        <f>IF($C592="集計行","",データ!U589)</f>
        <v>0</v>
      </c>
      <c r="Y592" s="48">
        <f>データ!V589</f>
        <v>0</v>
      </c>
      <c r="Z592" s="39" t="str">
        <f>IF(OR($C592="総括",$C592="内訳書",$C592="内訳代価",$C592="明細書",$C592="明細代価",$C592="代価表",$C592="単価表"),データ!W589,"")</f>
        <v/>
      </c>
      <c r="AA592" s="11" t="str">
        <f t="shared" si="58"/>
        <v/>
      </c>
      <c r="AB592" s="46" t="e">
        <f t="shared" si="59"/>
        <v>#DIV/0!</v>
      </c>
      <c r="AC592" s="40" t="str">
        <f>IF(データ!X589="","",データ!X589)</f>
        <v/>
      </c>
      <c r="AD592" s="41" t="str">
        <f>IF(データ!Y589="","",データ!Y589)</f>
        <v/>
      </c>
      <c r="AE592" s="47" t="str">
        <f>TRIM(データ!B589)</f>
        <v/>
      </c>
      <c r="AF592" s="43" t="str">
        <f>TRIM(データ!Z589)</f>
        <v/>
      </c>
    </row>
    <row r="593" spans="1:32" x14ac:dyDescent="0.15">
      <c r="A593" s="47">
        <f>データ!A590</f>
        <v>2</v>
      </c>
      <c r="B593" s="47" t="str">
        <f>TRIM(データ!C590)</f>
        <v/>
      </c>
      <c r="C593" s="47" t="str">
        <f>TRIM(データ!D590)</f>
        <v>内訳書</v>
      </c>
      <c r="D593" s="36" t="str">
        <f>REPT("｜",$A593)&amp;TRIM(データ!E590)</f>
        <v>｜｜路側線</v>
      </c>
      <c r="E593" s="37" t="str">
        <f>TRIM(データ!F590)</f>
        <v/>
      </c>
      <c r="F593" s="38" t="str">
        <f>TRIM(データ!G590)</f>
        <v>ｍ</v>
      </c>
      <c r="G593" s="50">
        <f>データ!H590</f>
        <v>63</v>
      </c>
      <c r="H593" s="48">
        <f>データ!I590</f>
        <v>250</v>
      </c>
      <c r="I593" s="48">
        <f>データ!J590</f>
        <v>15750</v>
      </c>
      <c r="J593" s="39">
        <f>IF(OR($C593="総括",$C593="内訳書",$C593="内訳代価",$C593="明細書",$C593="明細代価",$C593="代価表",$C593="単価表"),データ!K590,"")</f>
        <v>63</v>
      </c>
      <c r="K593" s="11" t="str">
        <f t="shared" si="54"/>
        <v/>
      </c>
      <c r="L593" s="46">
        <f t="shared" si="55"/>
        <v>2.2677206168200076E-4</v>
      </c>
      <c r="M593" s="40" t="str">
        <f>IF(データ!L590="","",データ!L590)</f>
        <v/>
      </c>
      <c r="N593" s="41" t="str">
        <f>IF(データ!M590="","",データ!M590)</f>
        <v>72号内訳書</v>
      </c>
      <c r="O593" s="42">
        <f>データ!N590</f>
        <v>0</v>
      </c>
      <c r="P593" s="48">
        <f>IF($C593="集計行","",データ!O590)</f>
        <v>0</v>
      </c>
      <c r="Q593" s="48">
        <f>データ!P590</f>
        <v>0</v>
      </c>
      <c r="R593" s="39">
        <f>IF(OR($C593="総括",$C593="内訳書",$C593="内訳代価",$C593="明細書",$C593="明細代価",$C593="代価表",$C593="単価表"),データ!Q590,"")</f>
        <v>0</v>
      </c>
      <c r="S593" s="11" t="str">
        <f t="shared" si="56"/>
        <v/>
      </c>
      <c r="T593" s="46" t="e">
        <f t="shared" si="57"/>
        <v>#DIV/0!</v>
      </c>
      <c r="U593" s="40" t="str">
        <f>IF(データ!R590="","",データ!R590)</f>
        <v/>
      </c>
      <c r="V593" s="41" t="str">
        <f>IF(データ!S590="","",データ!S590)</f>
        <v/>
      </c>
      <c r="W593" s="42">
        <f>データ!T590</f>
        <v>0</v>
      </c>
      <c r="X593" s="48">
        <f>IF($C593="集計行","",データ!U590)</f>
        <v>0</v>
      </c>
      <c r="Y593" s="48">
        <f>データ!V590</f>
        <v>0</v>
      </c>
      <c r="Z593" s="39">
        <f>IF(OR($C593="総括",$C593="内訳書",$C593="内訳代価",$C593="明細書",$C593="明細代価",$C593="代価表",$C593="単価表"),データ!W590,"")</f>
        <v>0</v>
      </c>
      <c r="AA593" s="11" t="str">
        <f t="shared" si="58"/>
        <v/>
      </c>
      <c r="AB593" s="46" t="e">
        <f t="shared" si="59"/>
        <v>#DIV/0!</v>
      </c>
      <c r="AC593" s="40" t="str">
        <f>IF(データ!X590="","",データ!X590)</f>
        <v/>
      </c>
      <c r="AD593" s="41" t="str">
        <f>IF(データ!Y590="","",データ!Y590)</f>
        <v/>
      </c>
      <c r="AE593" s="47" t="str">
        <f>TRIM(データ!B590)</f>
        <v/>
      </c>
      <c r="AF593" s="43" t="str">
        <f>TRIM(データ!Z590)</f>
        <v/>
      </c>
    </row>
    <row r="594" spans="1:32" x14ac:dyDescent="0.15">
      <c r="A594" s="47">
        <f>データ!A591</f>
        <v>3</v>
      </c>
      <c r="B594" s="47" t="str">
        <f>TRIM(データ!C591)</f>
        <v/>
      </c>
      <c r="C594" s="47" t="str">
        <f>TRIM(データ!D591)</f>
        <v>外注費</v>
      </c>
      <c r="D594" s="36" t="str">
        <f>REPT("｜",$A594)&amp;TRIM(データ!E591)</f>
        <v>｜｜｜路側線</v>
      </c>
      <c r="E594" s="37" t="str">
        <f>TRIM(データ!F591)</f>
        <v>W=100</v>
      </c>
      <c r="F594" s="38" t="str">
        <f>TRIM(データ!G591)</f>
        <v>ｍ</v>
      </c>
      <c r="G594" s="50">
        <f>データ!H591</f>
        <v>63</v>
      </c>
      <c r="H594" s="48">
        <f>データ!I591</f>
        <v>250</v>
      </c>
      <c r="I594" s="48">
        <f>データ!J591</f>
        <v>15750</v>
      </c>
      <c r="J594" s="39" t="str">
        <f>IF(OR($C594="総括",$C594="内訳書",$C594="内訳代価",$C594="明細書",$C594="明細代価",$C594="代価表",$C594="単価表"),データ!K591,"")</f>
        <v/>
      </c>
      <c r="K594" s="11" t="str">
        <f t="shared" si="54"/>
        <v/>
      </c>
      <c r="L594" s="46">
        <f t="shared" si="55"/>
        <v>2.2677206168200076E-4</v>
      </c>
      <c r="M594" s="40" t="str">
        <f>IF(データ!L591="","",データ!L591)</f>
        <v/>
      </c>
      <c r="N594" s="41" t="str">
        <f>IF(データ!M591="","",データ!M591)</f>
        <v/>
      </c>
      <c r="O594" s="42">
        <f>データ!N591</f>
        <v>0</v>
      </c>
      <c r="P594" s="48">
        <f>IF($C594="集計行","",データ!O591)</f>
        <v>0</v>
      </c>
      <c r="Q594" s="48">
        <f>データ!P591</f>
        <v>0</v>
      </c>
      <c r="R594" s="39" t="str">
        <f>IF(OR($C594="総括",$C594="内訳書",$C594="内訳代価",$C594="明細書",$C594="明細代価",$C594="代価表",$C594="単価表"),データ!Q591,"")</f>
        <v/>
      </c>
      <c r="S594" s="11" t="str">
        <f t="shared" si="56"/>
        <v/>
      </c>
      <c r="T594" s="46" t="e">
        <f t="shared" si="57"/>
        <v>#DIV/0!</v>
      </c>
      <c r="U594" s="40" t="str">
        <f>IF(データ!R591="","",データ!R591)</f>
        <v/>
      </c>
      <c r="V594" s="41" t="str">
        <f>IF(データ!S591="","",データ!S591)</f>
        <v/>
      </c>
      <c r="W594" s="42">
        <f>データ!T591</f>
        <v>0</v>
      </c>
      <c r="X594" s="48">
        <f>IF($C594="集計行","",データ!U591)</f>
        <v>0</v>
      </c>
      <c r="Y594" s="48">
        <f>データ!V591</f>
        <v>0</v>
      </c>
      <c r="Z594" s="39" t="str">
        <f>IF(OR($C594="総括",$C594="内訳書",$C594="内訳代価",$C594="明細書",$C594="明細代価",$C594="代価表",$C594="単価表"),データ!W591,"")</f>
        <v/>
      </c>
      <c r="AA594" s="11" t="str">
        <f t="shared" si="58"/>
        <v/>
      </c>
      <c r="AB594" s="46" t="e">
        <f t="shared" si="59"/>
        <v>#DIV/0!</v>
      </c>
      <c r="AC594" s="40" t="str">
        <f>IF(データ!X591="","",データ!X591)</f>
        <v/>
      </c>
      <c r="AD594" s="41" t="str">
        <f>IF(データ!Y591="","",データ!Y591)</f>
        <v/>
      </c>
      <c r="AE594" s="47" t="str">
        <f>TRIM(データ!B591)</f>
        <v/>
      </c>
      <c r="AF594" s="43" t="str">
        <f>TRIM(データ!Z591)</f>
        <v/>
      </c>
    </row>
    <row r="595" spans="1:32" x14ac:dyDescent="0.15">
      <c r="A595" s="47">
        <f>データ!A592</f>
        <v>2</v>
      </c>
      <c r="B595" s="47" t="str">
        <f>TRIM(データ!C592)</f>
        <v/>
      </c>
      <c r="C595" s="47" t="str">
        <f>TRIM(データ!D592)</f>
        <v>内訳書</v>
      </c>
      <c r="D595" s="36" t="str">
        <f>REPT("｜",$A595)&amp;TRIM(データ!E592)</f>
        <v>｜｜横断歩道</v>
      </c>
      <c r="E595" s="37" t="str">
        <f>TRIM(データ!F592)</f>
        <v/>
      </c>
      <c r="F595" s="38" t="str">
        <f>TRIM(データ!G592)</f>
        <v>ｍ</v>
      </c>
      <c r="G595" s="50">
        <f>データ!H592</f>
        <v>19.5</v>
      </c>
      <c r="H595" s="48">
        <f>データ!I592</f>
        <v>800</v>
      </c>
      <c r="I595" s="48">
        <f>データ!J592</f>
        <v>15600</v>
      </c>
      <c r="J595" s="39">
        <f>IF(OR($C595="総括",$C595="内訳書",$C595="内訳代価",$C595="明細書",$C595="明細代価",$C595="代価表",$C595="単価表"),データ!K592,"")</f>
        <v>19.5</v>
      </c>
      <c r="K595" s="11" t="str">
        <f t="shared" si="54"/>
        <v/>
      </c>
      <c r="L595" s="46">
        <f t="shared" si="55"/>
        <v>2.2461232776121981E-4</v>
      </c>
      <c r="M595" s="40" t="str">
        <f>IF(データ!L592="","",データ!L592)</f>
        <v/>
      </c>
      <c r="N595" s="41" t="str">
        <f>IF(データ!M592="","",データ!M592)</f>
        <v>73号内訳書</v>
      </c>
      <c r="O595" s="42">
        <f>データ!N592</f>
        <v>0</v>
      </c>
      <c r="P595" s="48">
        <f>IF($C595="集計行","",データ!O592)</f>
        <v>0</v>
      </c>
      <c r="Q595" s="48">
        <f>データ!P592</f>
        <v>0</v>
      </c>
      <c r="R595" s="39">
        <f>IF(OR($C595="総括",$C595="内訳書",$C595="内訳代価",$C595="明細書",$C595="明細代価",$C595="代価表",$C595="単価表"),データ!Q592,"")</f>
        <v>0</v>
      </c>
      <c r="S595" s="11" t="str">
        <f t="shared" si="56"/>
        <v/>
      </c>
      <c r="T595" s="46" t="e">
        <f t="shared" si="57"/>
        <v>#DIV/0!</v>
      </c>
      <c r="U595" s="40" t="str">
        <f>IF(データ!R592="","",データ!R592)</f>
        <v/>
      </c>
      <c r="V595" s="41" t="str">
        <f>IF(データ!S592="","",データ!S592)</f>
        <v/>
      </c>
      <c r="W595" s="42">
        <f>データ!T592</f>
        <v>0</v>
      </c>
      <c r="X595" s="48">
        <f>IF($C595="集計行","",データ!U592)</f>
        <v>0</v>
      </c>
      <c r="Y595" s="48">
        <f>データ!V592</f>
        <v>0</v>
      </c>
      <c r="Z595" s="39">
        <f>IF(OR($C595="総括",$C595="内訳書",$C595="内訳代価",$C595="明細書",$C595="明細代価",$C595="代価表",$C595="単価表"),データ!W592,"")</f>
        <v>0</v>
      </c>
      <c r="AA595" s="11" t="str">
        <f t="shared" si="58"/>
        <v/>
      </c>
      <c r="AB595" s="46" t="e">
        <f t="shared" si="59"/>
        <v>#DIV/0!</v>
      </c>
      <c r="AC595" s="40" t="str">
        <f>IF(データ!X592="","",データ!X592)</f>
        <v/>
      </c>
      <c r="AD595" s="41" t="str">
        <f>IF(データ!Y592="","",データ!Y592)</f>
        <v/>
      </c>
      <c r="AE595" s="47" t="str">
        <f>TRIM(データ!B592)</f>
        <v/>
      </c>
      <c r="AF595" s="43" t="str">
        <f>TRIM(データ!Z592)</f>
        <v/>
      </c>
    </row>
    <row r="596" spans="1:32" x14ac:dyDescent="0.15">
      <c r="A596" s="47">
        <f>データ!A593</f>
        <v>3</v>
      </c>
      <c r="B596" s="47" t="str">
        <f>TRIM(データ!C593)</f>
        <v/>
      </c>
      <c r="C596" s="47" t="str">
        <f>TRIM(データ!D593)</f>
        <v>外注費</v>
      </c>
      <c r="D596" s="36" t="str">
        <f>REPT("｜",$A596)&amp;TRIM(データ!E593)</f>
        <v>｜｜｜横断歩道</v>
      </c>
      <c r="E596" s="37" t="str">
        <f>TRIM(データ!F593)</f>
        <v>W=450</v>
      </c>
      <c r="F596" s="38" t="str">
        <f>TRIM(データ!G593)</f>
        <v>ｍ</v>
      </c>
      <c r="G596" s="50">
        <f>データ!H593</f>
        <v>19.5</v>
      </c>
      <c r="H596" s="48">
        <f>データ!I593</f>
        <v>800</v>
      </c>
      <c r="I596" s="48">
        <f>データ!J593</f>
        <v>15600</v>
      </c>
      <c r="J596" s="39" t="str">
        <f>IF(OR($C596="総括",$C596="内訳書",$C596="内訳代価",$C596="明細書",$C596="明細代価",$C596="代価表",$C596="単価表"),データ!K593,"")</f>
        <v/>
      </c>
      <c r="K596" s="11" t="str">
        <f t="shared" si="54"/>
        <v/>
      </c>
      <c r="L596" s="46">
        <f t="shared" si="55"/>
        <v>2.2461232776121981E-4</v>
      </c>
      <c r="M596" s="40" t="str">
        <f>IF(データ!L593="","",データ!L593)</f>
        <v/>
      </c>
      <c r="N596" s="41" t="str">
        <f>IF(データ!M593="","",データ!M593)</f>
        <v/>
      </c>
      <c r="O596" s="42">
        <f>データ!N593</f>
        <v>0</v>
      </c>
      <c r="P596" s="48">
        <f>IF($C596="集計行","",データ!O593)</f>
        <v>0</v>
      </c>
      <c r="Q596" s="48">
        <f>データ!P593</f>
        <v>0</v>
      </c>
      <c r="R596" s="39" t="str">
        <f>IF(OR($C596="総括",$C596="内訳書",$C596="内訳代価",$C596="明細書",$C596="明細代価",$C596="代価表",$C596="単価表"),データ!Q593,"")</f>
        <v/>
      </c>
      <c r="S596" s="11" t="str">
        <f t="shared" si="56"/>
        <v/>
      </c>
      <c r="T596" s="46" t="e">
        <f t="shared" si="57"/>
        <v>#DIV/0!</v>
      </c>
      <c r="U596" s="40" t="str">
        <f>IF(データ!R593="","",データ!R593)</f>
        <v/>
      </c>
      <c r="V596" s="41" t="str">
        <f>IF(データ!S593="","",データ!S593)</f>
        <v/>
      </c>
      <c r="W596" s="42">
        <f>データ!T593</f>
        <v>0</v>
      </c>
      <c r="X596" s="48">
        <f>IF($C596="集計行","",データ!U593)</f>
        <v>0</v>
      </c>
      <c r="Y596" s="48">
        <f>データ!V593</f>
        <v>0</v>
      </c>
      <c r="Z596" s="39" t="str">
        <f>IF(OR($C596="総括",$C596="内訳書",$C596="内訳代価",$C596="明細書",$C596="明細代価",$C596="代価表",$C596="単価表"),データ!W593,"")</f>
        <v/>
      </c>
      <c r="AA596" s="11" t="str">
        <f t="shared" si="58"/>
        <v/>
      </c>
      <c r="AB596" s="46" t="e">
        <f t="shared" si="59"/>
        <v>#DIV/0!</v>
      </c>
      <c r="AC596" s="40" t="str">
        <f>IF(データ!X593="","",データ!X593)</f>
        <v/>
      </c>
      <c r="AD596" s="41" t="str">
        <f>IF(データ!Y593="","",データ!Y593)</f>
        <v/>
      </c>
      <c r="AE596" s="47" t="str">
        <f>TRIM(データ!B593)</f>
        <v/>
      </c>
      <c r="AF596" s="43" t="str">
        <f>TRIM(データ!Z593)</f>
        <v/>
      </c>
    </row>
    <row r="597" spans="1:32" x14ac:dyDescent="0.15">
      <c r="A597" s="47">
        <f>データ!A594</f>
        <v>2</v>
      </c>
      <c r="B597" s="47" t="str">
        <f>TRIM(データ!C594)</f>
        <v/>
      </c>
      <c r="C597" s="47" t="str">
        <f>TRIM(データ!D594)</f>
        <v>内訳書</v>
      </c>
      <c r="D597" s="36" t="str">
        <f>REPT("｜",$A597)&amp;TRIM(データ!E594)</f>
        <v>｜｜路側線（半たわみ舗装部）</v>
      </c>
      <c r="E597" s="37" t="str">
        <f>TRIM(データ!F594)</f>
        <v/>
      </c>
      <c r="F597" s="38" t="str">
        <f>TRIM(データ!G594)</f>
        <v>ｍ</v>
      </c>
      <c r="G597" s="50">
        <f>データ!H594</f>
        <v>30.3</v>
      </c>
      <c r="H597" s="48">
        <f>データ!I594</f>
        <v>300</v>
      </c>
      <c r="I597" s="48">
        <f>データ!J594</f>
        <v>9090</v>
      </c>
      <c r="J597" s="39">
        <f>IF(OR($C597="総括",$C597="内訳書",$C597="内訳代価",$C597="明細書",$C597="明細代価",$C597="代価表",$C597="単価表"),データ!K594,"")</f>
        <v>30.3</v>
      </c>
      <c r="K597" s="11" t="str">
        <f t="shared" si="54"/>
        <v/>
      </c>
      <c r="L597" s="46">
        <f t="shared" si="55"/>
        <v>1.3087987559932615E-4</v>
      </c>
      <c r="M597" s="40" t="str">
        <f>IF(データ!L594="","",データ!L594)</f>
        <v/>
      </c>
      <c r="N597" s="41" t="str">
        <f>IF(データ!M594="","",データ!M594)</f>
        <v>74号内訳書</v>
      </c>
      <c r="O597" s="42">
        <f>データ!N594</f>
        <v>0</v>
      </c>
      <c r="P597" s="48">
        <f>IF($C597="集計行","",データ!O594)</f>
        <v>0</v>
      </c>
      <c r="Q597" s="48">
        <f>データ!P594</f>
        <v>0</v>
      </c>
      <c r="R597" s="39">
        <f>IF(OR($C597="総括",$C597="内訳書",$C597="内訳代価",$C597="明細書",$C597="明細代価",$C597="代価表",$C597="単価表"),データ!Q594,"")</f>
        <v>0</v>
      </c>
      <c r="S597" s="11" t="str">
        <f t="shared" si="56"/>
        <v/>
      </c>
      <c r="T597" s="46" t="e">
        <f t="shared" si="57"/>
        <v>#DIV/0!</v>
      </c>
      <c r="U597" s="40" t="str">
        <f>IF(データ!R594="","",データ!R594)</f>
        <v/>
      </c>
      <c r="V597" s="41" t="str">
        <f>IF(データ!S594="","",データ!S594)</f>
        <v/>
      </c>
      <c r="W597" s="42">
        <f>データ!T594</f>
        <v>0</v>
      </c>
      <c r="X597" s="48">
        <f>IF($C597="集計行","",データ!U594)</f>
        <v>0</v>
      </c>
      <c r="Y597" s="48">
        <f>データ!V594</f>
        <v>0</v>
      </c>
      <c r="Z597" s="39">
        <f>IF(OR($C597="総括",$C597="内訳書",$C597="内訳代価",$C597="明細書",$C597="明細代価",$C597="代価表",$C597="単価表"),データ!W594,"")</f>
        <v>0</v>
      </c>
      <c r="AA597" s="11" t="str">
        <f t="shared" si="58"/>
        <v/>
      </c>
      <c r="AB597" s="46" t="e">
        <f t="shared" si="59"/>
        <v>#DIV/0!</v>
      </c>
      <c r="AC597" s="40" t="str">
        <f>IF(データ!X594="","",データ!X594)</f>
        <v/>
      </c>
      <c r="AD597" s="41" t="str">
        <f>IF(データ!Y594="","",データ!Y594)</f>
        <v/>
      </c>
      <c r="AE597" s="47" t="str">
        <f>TRIM(データ!B594)</f>
        <v/>
      </c>
      <c r="AF597" s="43" t="str">
        <f>TRIM(データ!Z594)</f>
        <v/>
      </c>
    </row>
    <row r="598" spans="1:32" x14ac:dyDescent="0.15">
      <c r="A598" s="47">
        <f>データ!A595</f>
        <v>3</v>
      </c>
      <c r="B598" s="47" t="str">
        <f>TRIM(データ!C595)</f>
        <v/>
      </c>
      <c r="C598" s="47" t="str">
        <f>TRIM(データ!D595)</f>
        <v>外注費</v>
      </c>
      <c r="D598" s="36" t="str">
        <f>REPT("｜",$A598)&amp;TRIM(データ!E595)</f>
        <v>｜｜｜路側線</v>
      </c>
      <c r="E598" s="37" t="str">
        <f>TRIM(データ!F595)</f>
        <v>W=100</v>
      </c>
      <c r="F598" s="38" t="str">
        <f>TRIM(データ!G595)</f>
        <v>ｍ</v>
      </c>
      <c r="G598" s="50">
        <f>データ!H595</f>
        <v>30.3</v>
      </c>
      <c r="H598" s="48">
        <f>データ!I595</f>
        <v>300</v>
      </c>
      <c r="I598" s="48">
        <f>データ!J595</f>
        <v>9090</v>
      </c>
      <c r="J598" s="39" t="str">
        <f>IF(OR($C598="総括",$C598="内訳書",$C598="内訳代価",$C598="明細書",$C598="明細代価",$C598="代価表",$C598="単価表"),データ!K595,"")</f>
        <v/>
      </c>
      <c r="K598" s="11" t="str">
        <f t="shared" si="54"/>
        <v/>
      </c>
      <c r="L598" s="46">
        <f t="shared" si="55"/>
        <v>1.3087987559932615E-4</v>
      </c>
      <c r="M598" s="40" t="str">
        <f>IF(データ!L595="","",データ!L595)</f>
        <v/>
      </c>
      <c r="N598" s="41" t="str">
        <f>IF(データ!M595="","",データ!M595)</f>
        <v/>
      </c>
      <c r="O598" s="42">
        <f>データ!N595</f>
        <v>0</v>
      </c>
      <c r="P598" s="48">
        <f>IF($C598="集計行","",データ!O595)</f>
        <v>0</v>
      </c>
      <c r="Q598" s="48">
        <f>データ!P595</f>
        <v>0</v>
      </c>
      <c r="R598" s="39" t="str">
        <f>IF(OR($C598="総括",$C598="内訳書",$C598="内訳代価",$C598="明細書",$C598="明細代価",$C598="代価表",$C598="単価表"),データ!Q595,"")</f>
        <v/>
      </c>
      <c r="S598" s="11" t="str">
        <f t="shared" si="56"/>
        <v/>
      </c>
      <c r="T598" s="46" t="e">
        <f t="shared" si="57"/>
        <v>#DIV/0!</v>
      </c>
      <c r="U598" s="40" t="str">
        <f>IF(データ!R595="","",データ!R595)</f>
        <v/>
      </c>
      <c r="V598" s="41" t="str">
        <f>IF(データ!S595="","",データ!S595)</f>
        <v/>
      </c>
      <c r="W598" s="42">
        <f>データ!T595</f>
        <v>0</v>
      </c>
      <c r="X598" s="48">
        <f>IF($C598="集計行","",データ!U595)</f>
        <v>0</v>
      </c>
      <c r="Y598" s="48">
        <f>データ!V595</f>
        <v>0</v>
      </c>
      <c r="Z598" s="39" t="str">
        <f>IF(OR($C598="総括",$C598="内訳書",$C598="内訳代価",$C598="明細書",$C598="明細代価",$C598="代価表",$C598="単価表"),データ!W595,"")</f>
        <v/>
      </c>
      <c r="AA598" s="11" t="str">
        <f t="shared" si="58"/>
        <v/>
      </c>
      <c r="AB598" s="46" t="e">
        <f t="shared" si="59"/>
        <v>#DIV/0!</v>
      </c>
      <c r="AC598" s="40" t="str">
        <f>IF(データ!X595="","",データ!X595)</f>
        <v/>
      </c>
      <c r="AD598" s="41" t="str">
        <f>IF(データ!Y595="","",データ!Y595)</f>
        <v/>
      </c>
      <c r="AE598" s="47" t="str">
        <f>TRIM(データ!B595)</f>
        <v/>
      </c>
      <c r="AF598" s="43" t="str">
        <f>TRIM(データ!Z595)</f>
        <v/>
      </c>
    </row>
    <row r="599" spans="1:32" x14ac:dyDescent="0.15">
      <c r="A599" s="47">
        <f>データ!A596</f>
        <v>2</v>
      </c>
      <c r="B599" s="47" t="str">
        <f>TRIM(データ!C596)</f>
        <v/>
      </c>
      <c r="C599" s="47" t="str">
        <f>TRIM(データ!D596)</f>
        <v>内訳書</v>
      </c>
      <c r="D599" s="36" t="str">
        <f>REPT("｜",$A599)&amp;TRIM(データ!E596)</f>
        <v>｜｜停止線</v>
      </c>
      <c r="E599" s="37" t="str">
        <f>TRIM(データ!F596)</f>
        <v/>
      </c>
      <c r="F599" s="38" t="str">
        <f>TRIM(データ!G596)</f>
        <v>ｍ</v>
      </c>
      <c r="G599" s="50">
        <f>データ!H596</f>
        <v>12</v>
      </c>
      <c r="H599" s="48">
        <f>データ!I596</f>
        <v>810</v>
      </c>
      <c r="I599" s="48">
        <f>データ!J596</f>
        <v>9720</v>
      </c>
      <c r="J599" s="39">
        <f>IF(OR($C599="総括",$C599="内訳書",$C599="内訳代価",$C599="明細書",$C599="明細代価",$C599="代価表",$C599="単価表"),データ!K596,"")</f>
        <v>12</v>
      </c>
      <c r="K599" s="11" t="str">
        <f t="shared" si="54"/>
        <v/>
      </c>
      <c r="L599" s="46">
        <f t="shared" si="55"/>
        <v>1.3995075806660619E-4</v>
      </c>
      <c r="M599" s="40" t="str">
        <f>IF(データ!L596="","",データ!L596)</f>
        <v/>
      </c>
      <c r="N599" s="41" t="str">
        <f>IF(データ!M596="","",データ!M596)</f>
        <v>75号内訳書</v>
      </c>
      <c r="O599" s="42">
        <f>データ!N596</f>
        <v>0</v>
      </c>
      <c r="P599" s="48">
        <f>IF($C599="集計行","",データ!O596)</f>
        <v>0</v>
      </c>
      <c r="Q599" s="48">
        <f>データ!P596</f>
        <v>0</v>
      </c>
      <c r="R599" s="39">
        <f>IF(OR($C599="総括",$C599="内訳書",$C599="内訳代価",$C599="明細書",$C599="明細代価",$C599="代価表",$C599="単価表"),データ!Q596,"")</f>
        <v>0</v>
      </c>
      <c r="S599" s="11" t="str">
        <f t="shared" si="56"/>
        <v/>
      </c>
      <c r="T599" s="46" t="e">
        <f t="shared" si="57"/>
        <v>#DIV/0!</v>
      </c>
      <c r="U599" s="40" t="str">
        <f>IF(データ!R596="","",データ!R596)</f>
        <v/>
      </c>
      <c r="V599" s="41" t="str">
        <f>IF(データ!S596="","",データ!S596)</f>
        <v/>
      </c>
      <c r="W599" s="42">
        <f>データ!T596</f>
        <v>0</v>
      </c>
      <c r="X599" s="48">
        <f>IF($C599="集計行","",データ!U596)</f>
        <v>0</v>
      </c>
      <c r="Y599" s="48">
        <f>データ!V596</f>
        <v>0</v>
      </c>
      <c r="Z599" s="39">
        <f>IF(OR($C599="総括",$C599="内訳書",$C599="内訳代価",$C599="明細書",$C599="明細代価",$C599="代価表",$C599="単価表"),データ!W596,"")</f>
        <v>0</v>
      </c>
      <c r="AA599" s="11" t="str">
        <f t="shared" si="58"/>
        <v/>
      </c>
      <c r="AB599" s="46" t="e">
        <f t="shared" si="59"/>
        <v>#DIV/0!</v>
      </c>
      <c r="AC599" s="40" t="str">
        <f>IF(データ!X596="","",データ!X596)</f>
        <v/>
      </c>
      <c r="AD599" s="41" t="str">
        <f>IF(データ!Y596="","",データ!Y596)</f>
        <v/>
      </c>
      <c r="AE599" s="47" t="str">
        <f>TRIM(データ!B596)</f>
        <v/>
      </c>
      <c r="AF599" s="43" t="str">
        <f>TRIM(データ!Z596)</f>
        <v/>
      </c>
    </row>
    <row r="600" spans="1:32" x14ac:dyDescent="0.15">
      <c r="A600" s="47">
        <f>データ!A597</f>
        <v>3</v>
      </c>
      <c r="B600" s="47" t="str">
        <f>TRIM(データ!C597)</f>
        <v/>
      </c>
      <c r="C600" s="47" t="str">
        <f>TRIM(データ!D597)</f>
        <v>外注費</v>
      </c>
      <c r="D600" s="36" t="str">
        <f>REPT("｜",$A600)&amp;TRIM(データ!E597)</f>
        <v>｜｜｜停止線</v>
      </c>
      <c r="E600" s="37" t="str">
        <f>TRIM(データ!F597)</f>
        <v>W=450</v>
      </c>
      <c r="F600" s="38" t="str">
        <f>TRIM(データ!G597)</f>
        <v>ｍ</v>
      </c>
      <c r="G600" s="50">
        <f>データ!H597</f>
        <v>12</v>
      </c>
      <c r="H600" s="48">
        <f>データ!I597</f>
        <v>810</v>
      </c>
      <c r="I600" s="48">
        <f>データ!J597</f>
        <v>9720</v>
      </c>
      <c r="J600" s="39" t="str">
        <f>IF(OR($C600="総括",$C600="内訳書",$C600="内訳代価",$C600="明細書",$C600="明細代価",$C600="代価表",$C600="単価表"),データ!K597,"")</f>
        <v/>
      </c>
      <c r="K600" s="11" t="str">
        <f t="shared" si="54"/>
        <v/>
      </c>
      <c r="L600" s="46">
        <f t="shared" si="55"/>
        <v>1.3995075806660619E-4</v>
      </c>
      <c r="M600" s="40" t="str">
        <f>IF(データ!L597="","",データ!L597)</f>
        <v/>
      </c>
      <c r="N600" s="41" t="str">
        <f>IF(データ!M597="","",データ!M597)</f>
        <v/>
      </c>
      <c r="O600" s="42">
        <f>データ!N597</f>
        <v>0</v>
      </c>
      <c r="P600" s="48">
        <f>IF($C600="集計行","",データ!O597)</f>
        <v>0</v>
      </c>
      <c r="Q600" s="48">
        <f>データ!P597</f>
        <v>0</v>
      </c>
      <c r="R600" s="39" t="str">
        <f>IF(OR($C600="総括",$C600="内訳書",$C600="内訳代価",$C600="明細書",$C600="明細代価",$C600="代価表",$C600="単価表"),データ!Q597,"")</f>
        <v/>
      </c>
      <c r="S600" s="11" t="str">
        <f t="shared" si="56"/>
        <v/>
      </c>
      <c r="T600" s="46" t="e">
        <f t="shared" si="57"/>
        <v>#DIV/0!</v>
      </c>
      <c r="U600" s="40" t="str">
        <f>IF(データ!R597="","",データ!R597)</f>
        <v/>
      </c>
      <c r="V600" s="41" t="str">
        <f>IF(データ!S597="","",データ!S597)</f>
        <v/>
      </c>
      <c r="W600" s="42">
        <f>データ!T597</f>
        <v>0</v>
      </c>
      <c r="X600" s="48">
        <f>IF($C600="集計行","",データ!U597)</f>
        <v>0</v>
      </c>
      <c r="Y600" s="48">
        <f>データ!V597</f>
        <v>0</v>
      </c>
      <c r="Z600" s="39" t="str">
        <f>IF(OR($C600="総括",$C600="内訳書",$C600="内訳代価",$C600="明細書",$C600="明細代価",$C600="代価表",$C600="単価表"),データ!W597,"")</f>
        <v/>
      </c>
      <c r="AA600" s="11" t="str">
        <f t="shared" si="58"/>
        <v/>
      </c>
      <c r="AB600" s="46" t="e">
        <f t="shared" si="59"/>
        <v>#DIV/0!</v>
      </c>
      <c r="AC600" s="40" t="str">
        <f>IF(データ!X597="","",データ!X597)</f>
        <v/>
      </c>
      <c r="AD600" s="41" t="str">
        <f>IF(データ!Y597="","",データ!Y597)</f>
        <v/>
      </c>
      <c r="AE600" s="47" t="str">
        <f>TRIM(データ!B597)</f>
        <v/>
      </c>
      <c r="AF600" s="43" t="str">
        <f>TRIM(データ!Z597)</f>
        <v/>
      </c>
    </row>
    <row r="601" spans="1:32" x14ac:dyDescent="0.15">
      <c r="A601" s="47">
        <f>データ!A598</f>
        <v>2</v>
      </c>
      <c r="B601" s="47" t="str">
        <f>TRIM(データ!C598)</f>
        <v/>
      </c>
      <c r="C601" s="47" t="str">
        <f>TRIM(データ!D598)</f>
        <v>内訳書</v>
      </c>
      <c r="D601" s="36" t="str">
        <f>REPT("｜",$A601)&amp;TRIM(データ!E598)</f>
        <v>｜｜止まれ表示</v>
      </c>
      <c r="E601" s="37" t="str">
        <f>TRIM(データ!F598)</f>
        <v/>
      </c>
      <c r="F601" s="38" t="str">
        <f>TRIM(データ!G598)</f>
        <v>個所</v>
      </c>
      <c r="G601" s="50">
        <f>データ!H598</f>
        <v>1</v>
      </c>
      <c r="H601" s="48">
        <f>データ!I598</f>
        <v>10500</v>
      </c>
      <c r="I601" s="48">
        <f>データ!J598</f>
        <v>10500</v>
      </c>
      <c r="J601" s="39">
        <f>IF(OR($C601="総括",$C601="内訳書",$C601="内訳代価",$C601="明細書",$C601="明細代価",$C601="代価表",$C601="単価表"),データ!K598,"")</f>
        <v>1</v>
      </c>
      <c r="K601" s="11" t="str">
        <f t="shared" si="54"/>
        <v/>
      </c>
      <c r="L601" s="46">
        <f t="shared" si="55"/>
        <v>1.5118137445466719E-4</v>
      </c>
      <c r="M601" s="40" t="str">
        <f>IF(データ!L598="","",データ!L598)</f>
        <v/>
      </c>
      <c r="N601" s="41" t="str">
        <f>IF(データ!M598="","",データ!M598)</f>
        <v>76号内訳書</v>
      </c>
      <c r="O601" s="42">
        <f>データ!N598</f>
        <v>0</v>
      </c>
      <c r="P601" s="48">
        <f>IF($C601="集計行","",データ!O598)</f>
        <v>0</v>
      </c>
      <c r="Q601" s="48">
        <f>データ!P598</f>
        <v>0</v>
      </c>
      <c r="R601" s="39">
        <f>IF(OR($C601="総括",$C601="内訳書",$C601="内訳代価",$C601="明細書",$C601="明細代価",$C601="代価表",$C601="単価表"),データ!Q598,"")</f>
        <v>0</v>
      </c>
      <c r="S601" s="11" t="str">
        <f t="shared" si="56"/>
        <v/>
      </c>
      <c r="T601" s="46" t="e">
        <f t="shared" si="57"/>
        <v>#DIV/0!</v>
      </c>
      <c r="U601" s="40" t="str">
        <f>IF(データ!R598="","",データ!R598)</f>
        <v/>
      </c>
      <c r="V601" s="41" t="str">
        <f>IF(データ!S598="","",データ!S598)</f>
        <v/>
      </c>
      <c r="W601" s="42">
        <f>データ!T598</f>
        <v>0</v>
      </c>
      <c r="X601" s="48">
        <f>IF($C601="集計行","",データ!U598)</f>
        <v>0</v>
      </c>
      <c r="Y601" s="48">
        <f>データ!V598</f>
        <v>0</v>
      </c>
      <c r="Z601" s="39">
        <f>IF(OR($C601="総括",$C601="内訳書",$C601="内訳代価",$C601="明細書",$C601="明細代価",$C601="代価表",$C601="単価表"),データ!W598,"")</f>
        <v>0</v>
      </c>
      <c r="AA601" s="11" t="str">
        <f t="shared" si="58"/>
        <v/>
      </c>
      <c r="AB601" s="46" t="e">
        <f t="shared" si="59"/>
        <v>#DIV/0!</v>
      </c>
      <c r="AC601" s="40" t="str">
        <f>IF(データ!X598="","",データ!X598)</f>
        <v/>
      </c>
      <c r="AD601" s="41" t="str">
        <f>IF(データ!Y598="","",データ!Y598)</f>
        <v/>
      </c>
      <c r="AE601" s="47" t="str">
        <f>TRIM(データ!B598)</f>
        <v/>
      </c>
      <c r="AF601" s="43" t="str">
        <f>TRIM(データ!Z598)</f>
        <v/>
      </c>
    </row>
    <row r="602" spans="1:32" x14ac:dyDescent="0.15">
      <c r="A602" s="47">
        <f>データ!A599</f>
        <v>3</v>
      </c>
      <c r="B602" s="47" t="str">
        <f>TRIM(データ!C599)</f>
        <v/>
      </c>
      <c r="C602" s="47" t="str">
        <f>TRIM(データ!D599)</f>
        <v>外注費</v>
      </c>
      <c r="D602" s="36" t="str">
        <f>REPT("｜",$A602)&amp;TRIM(データ!E599)</f>
        <v>｜｜｜止まれ</v>
      </c>
      <c r="E602" s="37" t="str">
        <f>TRIM(データ!F599)</f>
        <v/>
      </c>
      <c r="F602" s="38" t="str">
        <f>TRIM(データ!G599)</f>
        <v>個所</v>
      </c>
      <c r="G602" s="50">
        <f>データ!H599</f>
        <v>1</v>
      </c>
      <c r="H602" s="48">
        <f>データ!I599</f>
        <v>10500</v>
      </c>
      <c r="I602" s="48">
        <f>データ!J599</f>
        <v>10500</v>
      </c>
      <c r="J602" s="39" t="str">
        <f>IF(OR($C602="総括",$C602="内訳書",$C602="内訳代価",$C602="明細書",$C602="明細代価",$C602="代価表",$C602="単価表"),データ!K599,"")</f>
        <v/>
      </c>
      <c r="K602" s="11" t="str">
        <f t="shared" si="54"/>
        <v/>
      </c>
      <c r="L602" s="46">
        <f t="shared" si="55"/>
        <v>1.5118137445466719E-4</v>
      </c>
      <c r="M602" s="40" t="str">
        <f>IF(データ!L599="","",データ!L599)</f>
        <v/>
      </c>
      <c r="N602" s="41" t="str">
        <f>IF(データ!M599="","",データ!M599)</f>
        <v/>
      </c>
      <c r="O602" s="42">
        <f>データ!N599</f>
        <v>0</v>
      </c>
      <c r="P602" s="48">
        <f>IF($C602="集計行","",データ!O599)</f>
        <v>0</v>
      </c>
      <c r="Q602" s="48">
        <f>データ!P599</f>
        <v>0</v>
      </c>
      <c r="R602" s="39" t="str">
        <f>IF(OR($C602="総括",$C602="内訳書",$C602="内訳代価",$C602="明細書",$C602="明細代価",$C602="代価表",$C602="単価表"),データ!Q599,"")</f>
        <v/>
      </c>
      <c r="S602" s="11" t="str">
        <f t="shared" si="56"/>
        <v/>
      </c>
      <c r="T602" s="46" t="e">
        <f t="shared" si="57"/>
        <v>#DIV/0!</v>
      </c>
      <c r="U602" s="40" t="str">
        <f>IF(データ!R599="","",データ!R599)</f>
        <v/>
      </c>
      <c r="V602" s="41" t="str">
        <f>IF(データ!S599="","",データ!S599)</f>
        <v/>
      </c>
      <c r="W602" s="42">
        <f>データ!T599</f>
        <v>0</v>
      </c>
      <c r="X602" s="48">
        <f>IF($C602="集計行","",データ!U599)</f>
        <v>0</v>
      </c>
      <c r="Y602" s="48">
        <f>データ!V599</f>
        <v>0</v>
      </c>
      <c r="Z602" s="39" t="str">
        <f>IF(OR($C602="総括",$C602="内訳書",$C602="内訳代価",$C602="明細書",$C602="明細代価",$C602="代価表",$C602="単価表"),データ!W599,"")</f>
        <v/>
      </c>
      <c r="AA602" s="11" t="str">
        <f t="shared" si="58"/>
        <v/>
      </c>
      <c r="AB602" s="46" t="e">
        <f t="shared" si="59"/>
        <v>#DIV/0!</v>
      </c>
      <c r="AC602" s="40" t="str">
        <f>IF(データ!X599="","",データ!X599)</f>
        <v/>
      </c>
      <c r="AD602" s="41" t="str">
        <f>IF(データ!Y599="","",データ!Y599)</f>
        <v/>
      </c>
      <c r="AE602" s="47" t="str">
        <f>TRIM(データ!B599)</f>
        <v/>
      </c>
      <c r="AF602" s="43" t="str">
        <f>TRIM(データ!Z599)</f>
        <v/>
      </c>
    </row>
    <row r="603" spans="1:32" x14ac:dyDescent="0.15">
      <c r="A603" s="47">
        <f>データ!A600</f>
        <v>2</v>
      </c>
      <c r="B603" s="47" t="str">
        <f>TRIM(データ!C600)</f>
        <v/>
      </c>
      <c r="C603" s="47" t="str">
        <f>TRIM(データ!D600)</f>
        <v>内訳書</v>
      </c>
      <c r="D603" s="36" t="str">
        <f>REPT("｜",$A603)&amp;TRIM(データ!E600)</f>
        <v>｜｜左折矢印</v>
      </c>
      <c r="E603" s="37" t="str">
        <f>TRIM(データ!F600)</f>
        <v/>
      </c>
      <c r="F603" s="38" t="str">
        <f>TRIM(データ!G600)</f>
        <v>個所</v>
      </c>
      <c r="G603" s="50">
        <f>データ!H600</f>
        <v>1</v>
      </c>
      <c r="H603" s="48">
        <f>データ!I600</f>
        <v>3750</v>
      </c>
      <c r="I603" s="48">
        <f>データ!J600</f>
        <v>3750</v>
      </c>
      <c r="J603" s="39">
        <f>IF(OR($C603="総括",$C603="内訳書",$C603="内訳代価",$C603="明細書",$C603="明細代価",$C603="代価表",$C603="単価表"),データ!K600,"")</f>
        <v>1</v>
      </c>
      <c r="K603" s="11" t="str">
        <f t="shared" si="54"/>
        <v/>
      </c>
      <c r="L603" s="46">
        <f t="shared" si="55"/>
        <v>5.3993348019523996E-5</v>
      </c>
      <c r="M603" s="40" t="str">
        <f>IF(データ!L600="","",データ!L600)</f>
        <v/>
      </c>
      <c r="N603" s="41" t="str">
        <f>IF(データ!M600="","",データ!M600)</f>
        <v>77号内訳書</v>
      </c>
      <c r="O603" s="42">
        <f>データ!N600</f>
        <v>0</v>
      </c>
      <c r="P603" s="48">
        <f>IF($C603="集計行","",データ!O600)</f>
        <v>0</v>
      </c>
      <c r="Q603" s="48">
        <f>データ!P600</f>
        <v>0</v>
      </c>
      <c r="R603" s="39">
        <f>IF(OR($C603="総括",$C603="内訳書",$C603="内訳代価",$C603="明細書",$C603="明細代価",$C603="代価表",$C603="単価表"),データ!Q600,"")</f>
        <v>0</v>
      </c>
      <c r="S603" s="11" t="str">
        <f t="shared" si="56"/>
        <v/>
      </c>
      <c r="T603" s="46" t="e">
        <f t="shared" si="57"/>
        <v>#DIV/0!</v>
      </c>
      <c r="U603" s="40" t="str">
        <f>IF(データ!R600="","",データ!R600)</f>
        <v/>
      </c>
      <c r="V603" s="41" t="str">
        <f>IF(データ!S600="","",データ!S600)</f>
        <v/>
      </c>
      <c r="W603" s="42">
        <f>データ!T600</f>
        <v>0</v>
      </c>
      <c r="X603" s="48">
        <f>IF($C603="集計行","",データ!U600)</f>
        <v>0</v>
      </c>
      <c r="Y603" s="48">
        <f>データ!V600</f>
        <v>0</v>
      </c>
      <c r="Z603" s="39">
        <f>IF(OR($C603="総括",$C603="内訳書",$C603="内訳代価",$C603="明細書",$C603="明細代価",$C603="代価表",$C603="単価表"),データ!W600,"")</f>
        <v>0</v>
      </c>
      <c r="AA603" s="11" t="str">
        <f t="shared" si="58"/>
        <v/>
      </c>
      <c r="AB603" s="46" t="e">
        <f t="shared" si="59"/>
        <v>#DIV/0!</v>
      </c>
      <c r="AC603" s="40" t="str">
        <f>IF(データ!X600="","",データ!X600)</f>
        <v/>
      </c>
      <c r="AD603" s="41" t="str">
        <f>IF(データ!Y600="","",データ!Y600)</f>
        <v/>
      </c>
      <c r="AE603" s="47" t="str">
        <f>TRIM(データ!B600)</f>
        <v/>
      </c>
      <c r="AF603" s="43" t="str">
        <f>TRIM(データ!Z600)</f>
        <v/>
      </c>
    </row>
    <row r="604" spans="1:32" x14ac:dyDescent="0.15">
      <c r="A604" s="47">
        <f>データ!A601</f>
        <v>3</v>
      </c>
      <c r="B604" s="47" t="str">
        <f>TRIM(データ!C601)</f>
        <v/>
      </c>
      <c r="C604" s="47" t="str">
        <f>TRIM(データ!D601)</f>
        <v>外注費</v>
      </c>
      <c r="D604" s="36" t="str">
        <f>REPT("｜",$A604)&amp;TRIM(データ!E601)</f>
        <v>｜｜｜左折矢印</v>
      </c>
      <c r="E604" s="37" t="str">
        <f>TRIM(データ!F601)</f>
        <v/>
      </c>
      <c r="F604" s="38" t="str">
        <f>TRIM(データ!G601)</f>
        <v>個所</v>
      </c>
      <c r="G604" s="50">
        <f>データ!H601</f>
        <v>1</v>
      </c>
      <c r="H604" s="48">
        <f>データ!I601</f>
        <v>3750</v>
      </c>
      <c r="I604" s="48">
        <f>データ!J601</f>
        <v>3750</v>
      </c>
      <c r="J604" s="39" t="str">
        <f>IF(OR($C604="総括",$C604="内訳書",$C604="内訳代価",$C604="明細書",$C604="明細代価",$C604="代価表",$C604="単価表"),データ!K601,"")</f>
        <v/>
      </c>
      <c r="K604" s="11" t="str">
        <f t="shared" si="54"/>
        <v/>
      </c>
      <c r="L604" s="46">
        <f t="shared" si="55"/>
        <v>5.3993348019523996E-5</v>
      </c>
      <c r="M604" s="40" t="str">
        <f>IF(データ!L601="","",データ!L601)</f>
        <v/>
      </c>
      <c r="N604" s="41" t="str">
        <f>IF(データ!M601="","",データ!M601)</f>
        <v/>
      </c>
      <c r="O604" s="42">
        <f>データ!N601</f>
        <v>0</v>
      </c>
      <c r="P604" s="48">
        <f>IF($C604="集計行","",データ!O601)</f>
        <v>0</v>
      </c>
      <c r="Q604" s="48">
        <f>データ!P601</f>
        <v>0</v>
      </c>
      <c r="R604" s="39" t="str">
        <f>IF(OR($C604="総括",$C604="内訳書",$C604="内訳代価",$C604="明細書",$C604="明細代価",$C604="代価表",$C604="単価表"),データ!Q601,"")</f>
        <v/>
      </c>
      <c r="S604" s="11" t="str">
        <f t="shared" si="56"/>
        <v/>
      </c>
      <c r="T604" s="46" t="e">
        <f t="shared" si="57"/>
        <v>#DIV/0!</v>
      </c>
      <c r="U604" s="40" t="str">
        <f>IF(データ!R601="","",データ!R601)</f>
        <v/>
      </c>
      <c r="V604" s="41" t="str">
        <f>IF(データ!S601="","",データ!S601)</f>
        <v/>
      </c>
      <c r="W604" s="42">
        <f>データ!T601</f>
        <v>0</v>
      </c>
      <c r="X604" s="48">
        <f>IF($C604="集計行","",データ!U601)</f>
        <v>0</v>
      </c>
      <c r="Y604" s="48">
        <f>データ!V601</f>
        <v>0</v>
      </c>
      <c r="Z604" s="39" t="str">
        <f>IF(OR($C604="総括",$C604="内訳書",$C604="内訳代価",$C604="明細書",$C604="明細代価",$C604="代価表",$C604="単価表"),データ!W601,"")</f>
        <v/>
      </c>
      <c r="AA604" s="11" t="str">
        <f t="shared" si="58"/>
        <v/>
      </c>
      <c r="AB604" s="46" t="e">
        <f t="shared" si="59"/>
        <v>#DIV/0!</v>
      </c>
      <c r="AC604" s="40" t="str">
        <f>IF(データ!X601="","",データ!X601)</f>
        <v/>
      </c>
      <c r="AD604" s="41" t="str">
        <f>IF(データ!Y601="","",データ!Y601)</f>
        <v/>
      </c>
      <c r="AE604" s="47" t="str">
        <f>TRIM(データ!B601)</f>
        <v/>
      </c>
      <c r="AF604" s="43" t="str">
        <f>TRIM(データ!Z601)</f>
        <v/>
      </c>
    </row>
    <row r="605" spans="1:32" x14ac:dyDescent="0.15">
      <c r="A605" s="47">
        <f>データ!A602</f>
        <v>1</v>
      </c>
      <c r="B605" s="47" t="str">
        <f>TRIM(データ!C602)</f>
        <v/>
      </c>
      <c r="C605" s="47" t="str">
        <f>TRIM(データ!D602)</f>
        <v>内訳書</v>
      </c>
      <c r="D605" s="36" t="str">
        <f>REPT("｜",$A605)&amp;TRIM(データ!E602)</f>
        <v>｜国道乗り入れ部</v>
      </c>
      <c r="E605" s="37" t="str">
        <f>TRIM(データ!F602)</f>
        <v/>
      </c>
      <c r="F605" s="38" t="str">
        <f>TRIM(データ!G602)</f>
        <v>m2</v>
      </c>
      <c r="G605" s="50">
        <f>データ!H602</f>
        <v>95</v>
      </c>
      <c r="H605" s="48">
        <f>データ!I602</f>
        <v>43048.43</v>
      </c>
      <c r="I605" s="48">
        <f>データ!J602</f>
        <v>4089600</v>
      </c>
      <c r="J605" s="39">
        <f>IF(OR($C605="総括",$C605="内訳書",$C605="内訳代価",$C605="明細書",$C605="明細代価",$C605="代価表",$C605="単価表"),データ!K602,"")</f>
        <v>95</v>
      </c>
      <c r="K605" s="11" t="str">
        <f t="shared" si="54"/>
        <v/>
      </c>
      <c r="L605" s="46">
        <f t="shared" si="55"/>
        <v>5.8882985616172084E-2</v>
      </c>
      <c r="M605" s="40" t="str">
        <f>IF(データ!L602="","",データ!L602)</f>
        <v/>
      </c>
      <c r="N605" s="41" t="str">
        <f>IF(データ!M602="","",データ!M602)</f>
        <v>22号内訳書</v>
      </c>
      <c r="O605" s="42">
        <f>データ!N602</f>
        <v>0</v>
      </c>
      <c r="P605" s="48">
        <f>IF($C605="集計行","",データ!O602)</f>
        <v>0</v>
      </c>
      <c r="Q605" s="48">
        <f>データ!P602</f>
        <v>0</v>
      </c>
      <c r="R605" s="39">
        <f>IF(OR($C605="総括",$C605="内訳書",$C605="内訳代価",$C605="明細書",$C605="明細代価",$C605="代価表",$C605="単価表"),データ!Q602,"")</f>
        <v>0</v>
      </c>
      <c r="S605" s="11" t="str">
        <f t="shared" si="56"/>
        <v/>
      </c>
      <c r="T605" s="46" t="e">
        <f t="shared" si="57"/>
        <v>#DIV/0!</v>
      </c>
      <c r="U605" s="40" t="str">
        <f>IF(データ!R602="","",データ!R602)</f>
        <v/>
      </c>
      <c r="V605" s="41" t="str">
        <f>IF(データ!S602="","",データ!S602)</f>
        <v/>
      </c>
      <c r="W605" s="42">
        <f>データ!T602</f>
        <v>0</v>
      </c>
      <c r="X605" s="48">
        <f>IF($C605="集計行","",データ!U602)</f>
        <v>0</v>
      </c>
      <c r="Y605" s="48">
        <f>データ!V602</f>
        <v>0</v>
      </c>
      <c r="Z605" s="39">
        <f>IF(OR($C605="総括",$C605="内訳書",$C605="内訳代価",$C605="明細書",$C605="明細代価",$C605="代価表",$C605="単価表"),データ!W602,"")</f>
        <v>0</v>
      </c>
      <c r="AA605" s="11" t="str">
        <f t="shared" si="58"/>
        <v/>
      </c>
      <c r="AB605" s="46" t="e">
        <f t="shared" si="59"/>
        <v>#DIV/0!</v>
      </c>
      <c r="AC605" s="40" t="str">
        <f>IF(データ!X602="","",データ!X602)</f>
        <v/>
      </c>
      <c r="AD605" s="41" t="str">
        <f>IF(データ!Y602="","",データ!Y602)</f>
        <v/>
      </c>
      <c r="AE605" s="47" t="str">
        <f>TRIM(データ!B602)</f>
        <v/>
      </c>
      <c r="AF605" s="43" t="str">
        <f>TRIM(データ!Z602)</f>
        <v/>
      </c>
    </row>
    <row r="606" spans="1:32" x14ac:dyDescent="0.15">
      <c r="A606" s="47">
        <f>データ!A603</f>
        <v>2</v>
      </c>
      <c r="B606" s="47" t="str">
        <f>TRIM(データ!C603)</f>
        <v/>
      </c>
      <c r="C606" s="47" t="str">
        <f>TRIM(データ!D603)</f>
        <v>内訳書</v>
      </c>
      <c r="D606" s="36" t="str">
        <f>REPT("｜",$A606)&amp;TRIM(データ!E603)</f>
        <v>｜｜L型街渠撤去</v>
      </c>
      <c r="E606" s="37" t="str">
        <f>TRIM(データ!F603)</f>
        <v>切り下げ部</v>
      </c>
      <c r="F606" s="38" t="str">
        <f>TRIM(データ!G603)</f>
        <v>ｍ</v>
      </c>
      <c r="G606" s="50">
        <f>データ!H603</f>
        <v>13.2</v>
      </c>
      <c r="H606" s="48">
        <f>データ!I603</f>
        <v>15000</v>
      </c>
      <c r="I606" s="48">
        <f>データ!J603</f>
        <v>198000</v>
      </c>
      <c r="J606" s="39">
        <f>IF(OR($C606="総括",$C606="内訳書",$C606="内訳代価",$C606="明細書",$C606="明細代価",$C606="代価表",$C606="単価表"),データ!K603,"")</f>
        <v>13.2</v>
      </c>
      <c r="K606" s="11" t="str">
        <f t="shared" si="54"/>
        <v/>
      </c>
      <c r="L606" s="46">
        <f t="shared" si="55"/>
        <v>2.8508487754308671E-3</v>
      </c>
      <c r="M606" s="40" t="str">
        <f>IF(データ!L603="","",データ!L603)</f>
        <v/>
      </c>
      <c r="N606" s="41" t="str">
        <f>IF(データ!M603="","",データ!M603)</f>
        <v>78号内訳書</v>
      </c>
      <c r="O606" s="42">
        <f>データ!N603</f>
        <v>0</v>
      </c>
      <c r="P606" s="48">
        <f>IF($C606="集計行","",データ!O603)</f>
        <v>0</v>
      </c>
      <c r="Q606" s="48">
        <f>データ!P603</f>
        <v>0</v>
      </c>
      <c r="R606" s="39">
        <f>IF(OR($C606="総括",$C606="内訳書",$C606="内訳代価",$C606="明細書",$C606="明細代価",$C606="代価表",$C606="単価表"),データ!Q603,"")</f>
        <v>0</v>
      </c>
      <c r="S606" s="11" t="str">
        <f t="shared" si="56"/>
        <v/>
      </c>
      <c r="T606" s="46" t="e">
        <f t="shared" si="57"/>
        <v>#DIV/0!</v>
      </c>
      <c r="U606" s="40" t="str">
        <f>IF(データ!R603="","",データ!R603)</f>
        <v/>
      </c>
      <c r="V606" s="41" t="str">
        <f>IF(データ!S603="","",データ!S603)</f>
        <v/>
      </c>
      <c r="W606" s="42">
        <f>データ!T603</f>
        <v>0</v>
      </c>
      <c r="X606" s="48">
        <f>IF($C606="集計行","",データ!U603)</f>
        <v>0</v>
      </c>
      <c r="Y606" s="48">
        <f>データ!V603</f>
        <v>0</v>
      </c>
      <c r="Z606" s="39">
        <f>IF(OR($C606="総括",$C606="内訳書",$C606="内訳代価",$C606="明細書",$C606="明細代価",$C606="代価表",$C606="単価表"),データ!W603,"")</f>
        <v>0</v>
      </c>
      <c r="AA606" s="11" t="str">
        <f t="shared" si="58"/>
        <v/>
      </c>
      <c r="AB606" s="46" t="e">
        <f t="shared" si="59"/>
        <v>#DIV/0!</v>
      </c>
      <c r="AC606" s="40" t="str">
        <f>IF(データ!X603="","",データ!X603)</f>
        <v/>
      </c>
      <c r="AD606" s="41" t="str">
        <f>IF(データ!Y603="","",データ!Y603)</f>
        <v/>
      </c>
      <c r="AE606" s="47" t="str">
        <f>TRIM(データ!B603)</f>
        <v/>
      </c>
      <c r="AF606" s="43" t="str">
        <f>TRIM(データ!Z603)</f>
        <v/>
      </c>
    </row>
    <row r="607" spans="1:32" x14ac:dyDescent="0.15">
      <c r="A607" s="47">
        <f>データ!A604</f>
        <v>3</v>
      </c>
      <c r="B607" s="47" t="str">
        <f>TRIM(データ!C604)</f>
        <v/>
      </c>
      <c r="C607" s="47" t="str">
        <f>TRIM(データ!D604)</f>
        <v>労務費</v>
      </c>
      <c r="D607" s="36" t="str">
        <f>REPT("｜",$A607)&amp;TRIM(データ!E604)</f>
        <v>｜｜｜技工</v>
      </c>
      <c r="E607" s="37" t="str">
        <f>TRIM(データ!F604)</f>
        <v/>
      </c>
      <c r="F607" s="38" t="str">
        <f>TRIM(データ!G604)</f>
        <v>人</v>
      </c>
      <c r="G607" s="50">
        <f>データ!H604</f>
        <v>4</v>
      </c>
      <c r="H607" s="48">
        <f>データ!I604</f>
        <v>32000</v>
      </c>
      <c r="I607" s="48">
        <f>データ!J604</f>
        <v>128000</v>
      </c>
      <c r="J607" s="39" t="str">
        <f>IF(OR($C607="総括",$C607="内訳書",$C607="内訳代価",$C607="明細書",$C607="明細代価",$C607="代価表",$C607="単価表"),データ!K604,"")</f>
        <v/>
      </c>
      <c r="K607" s="11" t="str">
        <f t="shared" si="54"/>
        <v/>
      </c>
      <c r="L607" s="46">
        <f t="shared" si="55"/>
        <v>1.8429729457330856E-3</v>
      </c>
      <c r="M607" s="40" t="str">
        <f>IF(データ!L604="","",データ!L604)</f>
        <v/>
      </c>
      <c r="N607" s="41" t="str">
        <f>IF(データ!M604="","",データ!M604)</f>
        <v/>
      </c>
      <c r="O607" s="42">
        <f>データ!N604</f>
        <v>0</v>
      </c>
      <c r="P607" s="48">
        <f>IF($C607="集計行","",データ!O604)</f>
        <v>0</v>
      </c>
      <c r="Q607" s="48">
        <f>データ!P604</f>
        <v>0</v>
      </c>
      <c r="R607" s="39" t="str">
        <f>IF(OR($C607="総括",$C607="内訳書",$C607="内訳代価",$C607="明細書",$C607="明細代価",$C607="代価表",$C607="単価表"),データ!Q604,"")</f>
        <v/>
      </c>
      <c r="S607" s="11" t="str">
        <f t="shared" si="56"/>
        <v/>
      </c>
      <c r="T607" s="46" t="e">
        <f t="shared" si="57"/>
        <v>#DIV/0!</v>
      </c>
      <c r="U607" s="40" t="str">
        <f>IF(データ!R604="","",データ!R604)</f>
        <v/>
      </c>
      <c r="V607" s="41" t="str">
        <f>IF(データ!S604="","",データ!S604)</f>
        <v/>
      </c>
      <c r="W607" s="42">
        <f>データ!T604</f>
        <v>0</v>
      </c>
      <c r="X607" s="48">
        <f>IF($C607="集計行","",データ!U604)</f>
        <v>0</v>
      </c>
      <c r="Y607" s="48">
        <f>データ!V604</f>
        <v>0</v>
      </c>
      <c r="Z607" s="39" t="str">
        <f>IF(OR($C607="総括",$C607="内訳書",$C607="内訳代価",$C607="明細書",$C607="明細代価",$C607="代価表",$C607="単価表"),データ!W604,"")</f>
        <v/>
      </c>
      <c r="AA607" s="11" t="str">
        <f t="shared" si="58"/>
        <v/>
      </c>
      <c r="AB607" s="46" t="e">
        <f t="shared" si="59"/>
        <v>#DIV/0!</v>
      </c>
      <c r="AC607" s="40" t="str">
        <f>IF(データ!X604="","",データ!X604)</f>
        <v/>
      </c>
      <c r="AD607" s="41" t="str">
        <f>IF(データ!Y604="","",データ!Y604)</f>
        <v/>
      </c>
      <c r="AE607" s="47" t="str">
        <f>TRIM(データ!B604)</f>
        <v/>
      </c>
      <c r="AF607" s="43" t="str">
        <f>TRIM(データ!Z604)</f>
        <v/>
      </c>
    </row>
    <row r="608" spans="1:32" x14ac:dyDescent="0.15">
      <c r="A608" s="47">
        <f>データ!A605</f>
        <v>3</v>
      </c>
      <c r="B608" s="47" t="str">
        <f>TRIM(データ!C605)</f>
        <v/>
      </c>
      <c r="C608" s="47" t="str">
        <f>TRIM(データ!D605)</f>
        <v>機械費</v>
      </c>
      <c r="D608" s="36" t="str">
        <f>REPT("｜",$A608)&amp;TRIM(データ!E605)</f>
        <v>｜｜｜BH0.15</v>
      </c>
      <c r="E608" s="37" t="str">
        <f>TRIM(データ!F605)</f>
        <v/>
      </c>
      <c r="F608" s="38" t="str">
        <f>TRIM(データ!G605)</f>
        <v>台</v>
      </c>
      <c r="G608" s="50">
        <f>データ!H605</f>
        <v>1</v>
      </c>
      <c r="H608" s="48">
        <f>データ!I605</f>
        <v>8000</v>
      </c>
      <c r="I608" s="48">
        <f>データ!J605</f>
        <v>8000</v>
      </c>
      <c r="J608" s="39" t="str">
        <f>IF(OR($C608="総括",$C608="内訳書",$C608="内訳代価",$C608="明細書",$C608="明細代価",$C608="代価表",$C608="単価表"),データ!K605,"")</f>
        <v/>
      </c>
      <c r="K608" s="11" t="str">
        <f t="shared" si="54"/>
        <v/>
      </c>
      <c r="L608" s="46">
        <f t="shared" si="55"/>
        <v>1.1518580910831785E-4</v>
      </c>
      <c r="M608" s="40" t="str">
        <f>IF(データ!L605="","",データ!L605)</f>
        <v/>
      </c>
      <c r="N608" s="41" t="str">
        <f>IF(データ!M605="","",データ!M605)</f>
        <v/>
      </c>
      <c r="O608" s="42">
        <f>データ!N605</f>
        <v>0</v>
      </c>
      <c r="P608" s="48">
        <f>IF($C608="集計行","",データ!O605)</f>
        <v>0</v>
      </c>
      <c r="Q608" s="48">
        <f>データ!P605</f>
        <v>0</v>
      </c>
      <c r="R608" s="39" t="str">
        <f>IF(OR($C608="総括",$C608="内訳書",$C608="内訳代価",$C608="明細書",$C608="明細代価",$C608="代価表",$C608="単価表"),データ!Q605,"")</f>
        <v/>
      </c>
      <c r="S608" s="11" t="str">
        <f t="shared" si="56"/>
        <v/>
      </c>
      <c r="T608" s="46" t="e">
        <f t="shared" si="57"/>
        <v>#DIV/0!</v>
      </c>
      <c r="U608" s="40" t="str">
        <f>IF(データ!R605="","",データ!R605)</f>
        <v/>
      </c>
      <c r="V608" s="41" t="str">
        <f>IF(データ!S605="","",データ!S605)</f>
        <v/>
      </c>
      <c r="W608" s="42">
        <f>データ!T605</f>
        <v>0</v>
      </c>
      <c r="X608" s="48">
        <f>IF($C608="集計行","",データ!U605)</f>
        <v>0</v>
      </c>
      <c r="Y608" s="48">
        <f>データ!V605</f>
        <v>0</v>
      </c>
      <c r="Z608" s="39" t="str">
        <f>IF(OR($C608="総括",$C608="内訳書",$C608="内訳代価",$C608="明細書",$C608="明細代価",$C608="代価表",$C608="単価表"),データ!W605,"")</f>
        <v/>
      </c>
      <c r="AA608" s="11" t="str">
        <f t="shared" si="58"/>
        <v/>
      </c>
      <c r="AB608" s="46" t="e">
        <f t="shared" si="59"/>
        <v>#DIV/0!</v>
      </c>
      <c r="AC608" s="40" t="str">
        <f>IF(データ!X605="","",データ!X605)</f>
        <v/>
      </c>
      <c r="AD608" s="41" t="str">
        <f>IF(データ!Y605="","",データ!Y605)</f>
        <v/>
      </c>
      <c r="AE608" s="47" t="str">
        <f>TRIM(データ!B605)</f>
        <v/>
      </c>
      <c r="AF608" s="43" t="str">
        <f>TRIM(データ!Z605)</f>
        <v/>
      </c>
    </row>
    <row r="609" spans="1:32" x14ac:dyDescent="0.15">
      <c r="A609" s="47">
        <f>データ!A606</f>
        <v>3</v>
      </c>
      <c r="B609" s="47" t="str">
        <f>TRIM(データ!C606)</f>
        <v/>
      </c>
      <c r="C609" s="47" t="str">
        <f>TRIM(データ!D606)</f>
        <v>機械費</v>
      </c>
      <c r="D609" s="36" t="str">
        <f>REPT("｜",$A609)&amp;TRIM(データ!E606)</f>
        <v>｜｜｜タイヤショベル</v>
      </c>
      <c r="E609" s="37" t="str">
        <f>TRIM(データ!F606)</f>
        <v/>
      </c>
      <c r="F609" s="38" t="str">
        <f>TRIM(データ!G606)</f>
        <v>台</v>
      </c>
      <c r="G609" s="50">
        <f>データ!H606</f>
        <v>1</v>
      </c>
      <c r="H609" s="48">
        <f>データ!I606</f>
        <v>8000</v>
      </c>
      <c r="I609" s="48">
        <f>データ!J606</f>
        <v>8000</v>
      </c>
      <c r="J609" s="39" t="str">
        <f>IF(OR($C609="総括",$C609="内訳書",$C609="内訳代価",$C609="明細書",$C609="明細代価",$C609="代価表",$C609="単価表"),データ!K606,"")</f>
        <v/>
      </c>
      <c r="K609" s="11" t="str">
        <f t="shared" si="54"/>
        <v/>
      </c>
      <c r="L609" s="46">
        <f t="shared" si="55"/>
        <v>1.1518580910831785E-4</v>
      </c>
      <c r="M609" s="40" t="str">
        <f>IF(データ!L606="","",データ!L606)</f>
        <v/>
      </c>
      <c r="N609" s="41" t="str">
        <f>IF(データ!M606="","",データ!M606)</f>
        <v/>
      </c>
      <c r="O609" s="42">
        <f>データ!N606</f>
        <v>0</v>
      </c>
      <c r="P609" s="48">
        <f>IF($C609="集計行","",データ!O606)</f>
        <v>0</v>
      </c>
      <c r="Q609" s="48">
        <f>データ!P606</f>
        <v>0</v>
      </c>
      <c r="R609" s="39" t="str">
        <f>IF(OR($C609="総括",$C609="内訳書",$C609="内訳代価",$C609="明細書",$C609="明細代価",$C609="代価表",$C609="単価表"),データ!Q606,"")</f>
        <v/>
      </c>
      <c r="S609" s="11" t="str">
        <f t="shared" si="56"/>
        <v/>
      </c>
      <c r="T609" s="46" t="e">
        <f t="shared" si="57"/>
        <v>#DIV/0!</v>
      </c>
      <c r="U609" s="40" t="str">
        <f>IF(データ!R606="","",データ!R606)</f>
        <v/>
      </c>
      <c r="V609" s="41" t="str">
        <f>IF(データ!S606="","",データ!S606)</f>
        <v/>
      </c>
      <c r="W609" s="42">
        <f>データ!T606</f>
        <v>0</v>
      </c>
      <c r="X609" s="48">
        <f>IF($C609="集計行","",データ!U606)</f>
        <v>0</v>
      </c>
      <c r="Y609" s="48">
        <f>データ!V606</f>
        <v>0</v>
      </c>
      <c r="Z609" s="39" t="str">
        <f>IF(OR($C609="総括",$C609="内訳書",$C609="内訳代価",$C609="明細書",$C609="明細代価",$C609="代価表",$C609="単価表"),データ!W606,"")</f>
        <v/>
      </c>
      <c r="AA609" s="11" t="str">
        <f t="shared" si="58"/>
        <v/>
      </c>
      <c r="AB609" s="46" t="e">
        <f t="shared" si="59"/>
        <v>#DIV/0!</v>
      </c>
      <c r="AC609" s="40" t="str">
        <f>IF(データ!X606="","",データ!X606)</f>
        <v/>
      </c>
      <c r="AD609" s="41" t="str">
        <f>IF(データ!Y606="","",データ!Y606)</f>
        <v/>
      </c>
      <c r="AE609" s="47" t="str">
        <f>TRIM(データ!B606)</f>
        <v/>
      </c>
      <c r="AF609" s="43" t="str">
        <f>TRIM(データ!Z606)</f>
        <v/>
      </c>
    </row>
    <row r="610" spans="1:32" x14ac:dyDescent="0.15">
      <c r="A610" s="47">
        <f>データ!A607</f>
        <v>3</v>
      </c>
      <c r="B610" s="47" t="str">
        <f>TRIM(データ!C607)</f>
        <v/>
      </c>
      <c r="C610" s="47" t="str">
        <f>TRIM(データ!D607)</f>
        <v>機械費</v>
      </c>
      <c r="D610" s="36" t="str">
        <f>REPT("｜",$A610)&amp;TRIM(データ!E607)</f>
        <v>｜｜｜小物機械</v>
      </c>
      <c r="E610" s="37" t="str">
        <f>TRIM(データ!F607)</f>
        <v/>
      </c>
      <c r="F610" s="38" t="str">
        <f>TRIM(データ!G607)</f>
        <v>台</v>
      </c>
      <c r="G610" s="50">
        <f>データ!H607</f>
        <v>1</v>
      </c>
      <c r="H610" s="48">
        <f>データ!I607</f>
        <v>3000</v>
      </c>
      <c r="I610" s="48">
        <f>データ!J607</f>
        <v>3000</v>
      </c>
      <c r="J610" s="39" t="str">
        <f>IF(OR($C610="総括",$C610="内訳書",$C610="内訳代価",$C610="明細書",$C610="明細代価",$C610="代価表",$C610="単価表"),データ!K607,"")</f>
        <v/>
      </c>
      <c r="K610" s="11" t="str">
        <f t="shared" si="54"/>
        <v/>
      </c>
      <c r="L610" s="46">
        <f t="shared" si="55"/>
        <v>4.3194678415619194E-5</v>
      </c>
      <c r="M610" s="40" t="str">
        <f>IF(データ!L607="","",データ!L607)</f>
        <v/>
      </c>
      <c r="N610" s="41" t="str">
        <f>IF(データ!M607="","",データ!M607)</f>
        <v/>
      </c>
      <c r="O610" s="42">
        <f>データ!N607</f>
        <v>0</v>
      </c>
      <c r="P610" s="48">
        <f>IF($C610="集計行","",データ!O607)</f>
        <v>0</v>
      </c>
      <c r="Q610" s="48">
        <f>データ!P607</f>
        <v>0</v>
      </c>
      <c r="R610" s="39" t="str">
        <f>IF(OR($C610="総括",$C610="内訳書",$C610="内訳代価",$C610="明細書",$C610="明細代価",$C610="代価表",$C610="単価表"),データ!Q607,"")</f>
        <v/>
      </c>
      <c r="S610" s="11" t="str">
        <f t="shared" si="56"/>
        <v/>
      </c>
      <c r="T610" s="46" t="e">
        <f t="shared" si="57"/>
        <v>#DIV/0!</v>
      </c>
      <c r="U610" s="40" t="str">
        <f>IF(データ!R607="","",データ!R607)</f>
        <v/>
      </c>
      <c r="V610" s="41" t="str">
        <f>IF(データ!S607="","",データ!S607)</f>
        <v/>
      </c>
      <c r="W610" s="42">
        <f>データ!T607</f>
        <v>0</v>
      </c>
      <c r="X610" s="48">
        <f>IF($C610="集計行","",データ!U607)</f>
        <v>0</v>
      </c>
      <c r="Y610" s="48">
        <f>データ!V607</f>
        <v>0</v>
      </c>
      <c r="Z610" s="39" t="str">
        <f>IF(OR($C610="総括",$C610="内訳書",$C610="内訳代価",$C610="明細書",$C610="明細代価",$C610="代価表",$C610="単価表"),データ!W607,"")</f>
        <v/>
      </c>
      <c r="AA610" s="11" t="str">
        <f t="shared" si="58"/>
        <v/>
      </c>
      <c r="AB610" s="46" t="e">
        <f t="shared" si="59"/>
        <v>#DIV/0!</v>
      </c>
      <c r="AC610" s="40" t="str">
        <f>IF(データ!X607="","",データ!X607)</f>
        <v/>
      </c>
      <c r="AD610" s="41" t="str">
        <f>IF(データ!Y607="","",データ!Y607)</f>
        <v/>
      </c>
      <c r="AE610" s="47" t="str">
        <f>TRIM(データ!B607)</f>
        <v/>
      </c>
      <c r="AF610" s="43" t="str">
        <f>TRIM(データ!Z607)</f>
        <v/>
      </c>
    </row>
    <row r="611" spans="1:32" x14ac:dyDescent="0.15">
      <c r="A611" s="47">
        <f>データ!A608</f>
        <v>3</v>
      </c>
      <c r="B611" s="47" t="str">
        <f>TRIM(データ!C608)</f>
        <v/>
      </c>
      <c r="C611" s="47" t="str">
        <f>TRIM(データ!D608)</f>
        <v>運搬費</v>
      </c>
      <c r="D611" s="36" t="str">
        <f>REPT("｜",$A611)&amp;TRIM(データ!E608)</f>
        <v>｜｜｜4tダンプ</v>
      </c>
      <c r="E611" s="37" t="str">
        <f>TRIM(データ!F608)</f>
        <v/>
      </c>
      <c r="F611" s="38" t="str">
        <f>TRIM(データ!G608)</f>
        <v>台</v>
      </c>
      <c r="G611" s="50">
        <f>データ!H608</f>
        <v>1</v>
      </c>
      <c r="H611" s="48">
        <f>データ!I608</f>
        <v>10000</v>
      </c>
      <c r="I611" s="48">
        <f>データ!J608</f>
        <v>10000</v>
      </c>
      <c r="J611" s="39" t="str">
        <f>IF(OR($C611="総括",$C611="内訳書",$C611="内訳代価",$C611="明細書",$C611="明細代価",$C611="代価表",$C611="単価表"),データ!K608,"")</f>
        <v/>
      </c>
      <c r="K611" s="11" t="str">
        <f t="shared" si="54"/>
        <v/>
      </c>
      <c r="L611" s="46">
        <f t="shared" si="55"/>
        <v>1.4398226138539731E-4</v>
      </c>
      <c r="M611" s="40" t="str">
        <f>IF(データ!L608="","",データ!L608)</f>
        <v/>
      </c>
      <c r="N611" s="41" t="str">
        <f>IF(データ!M608="","",データ!M608)</f>
        <v/>
      </c>
      <c r="O611" s="42">
        <f>データ!N608</f>
        <v>0</v>
      </c>
      <c r="P611" s="48">
        <f>IF($C611="集計行","",データ!O608)</f>
        <v>0</v>
      </c>
      <c r="Q611" s="48">
        <f>データ!P608</f>
        <v>0</v>
      </c>
      <c r="R611" s="39" t="str">
        <f>IF(OR($C611="総括",$C611="内訳書",$C611="内訳代価",$C611="明細書",$C611="明細代価",$C611="代価表",$C611="単価表"),データ!Q608,"")</f>
        <v/>
      </c>
      <c r="S611" s="11" t="str">
        <f t="shared" si="56"/>
        <v/>
      </c>
      <c r="T611" s="46" t="e">
        <f t="shared" si="57"/>
        <v>#DIV/0!</v>
      </c>
      <c r="U611" s="40" t="str">
        <f>IF(データ!R608="","",データ!R608)</f>
        <v/>
      </c>
      <c r="V611" s="41" t="str">
        <f>IF(データ!S608="","",データ!S608)</f>
        <v/>
      </c>
      <c r="W611" s="42">
        <f>データ!T608</f>
        <v>0</v>
      </c>
      <c r="X611" s="48">
        <f>IF($C611="集計行","",データ!U608)</f>
        <v>0</v>
      </c>
      <c r="Y611" s="48">
        <f>データ!V608</f>
        <v>0</v>
      </c>
      <c r="Z611" s="39" t="str">
        <f>IF(OR($C611="総括",$C611="内訳書",$C611="内訳代価",$C611="明細書",$C611="明細代価",$C611="代価表",$C611="単価表"),データ!W608,"")</f>
        <v/>
      </c>
      <c r="AA611" s="11" t="str">
        <f t="shared" si="58"/>
        <v/>
      </c>
      <c r="AB611" s="46" t="e">
        <f t="shared" si="59"/>
        <v>#DIV/0!</v>
      </c>
      <c r="AC611" s="40" t="str">
        <f>IF(データ!X608="","",データ!X608)</f>
        <v/>
      </c>
      <c r="AD611" s="41" t="str">
        <f>IF(データ!Y608="","",データ!Y608)</f>
        <v/>
      </c>
      <c r="AE611" s="47" t="str">
        <f>TRIM(データ!B608)</f>
        <v/>
      </c>
      <c r="AF611" s="43" t="str">
        <f>TRIM(データ!Z608)</f>
        <v/>
      </c>
    </row>
    <row r="612" spans="1:32" x14ac:dyDescent="0.15">
      <c r="A612" s="47">
        <f>データ!A609</f>
        <v>3</v>
      </c>
      <c r="B612" s="47" t="str">
        <f>TRIM(データ!C609)</f>
        <v/>
      </c>
      <c r="C612" s="47" t="str">
        <f>TRIM(データ!D609)</f>
        <v>運搬費</v>
      </c>
      <c r="D612" s="36" t="str">
        <f>REPT("｜",$A612)&amp;TRIM(データ!E609)</f>
        <v>｜｜｜2tダンプ</v>
      </c>
      <c r="E612" s="37" t="str">
        <f>TRIM(データ!F609)</f>
        <v/>
      </c>
      <c r="F612" s="38" t="str">
        <f>TRIM(データ!G609)</f>
        <v>台</v>
      </c>
      <c r="G612" s="50">
        <f>データ!H609</f>
        <v>1</v>
      </c>
      <c r="H612" s="48">
        <f>データ!I609</f>
        <v>7000</v>
      </c>
      <c r="I612" s="48">
        <f>データ!J609</f>
        <v>7000</v>
      </c>
      <c r="J612" s="39" t="str">
        <f>IF(OR($C612="総括",$C612="内訳書",$C612="内訳代価",$C612="明細書",$C612="明細代価",$C612="代価表",$C612="単価表"),データ!K609,"")</f>
        <v/>
      </c>
      <c r="K612" s="11" t="str">
        <f t="shared" si="54"/>
        <v/>
      </c>
      <c r="L612" s="46">
        <f t="shared" si="55"/>
        <v>1.0078758296977812E-4</v>
      </c>
      <c r="M612" s="40" t="str">
        <f>IF(データ!L609="","",データ!L609)</f>
        <v/>
      </c>
      <c r="N612" s="41" t="str">
        <f>IF(データ!M609="","",データ!M609)</f>
        <v/>
      </c>
      <c r="O612" s="42">
        <f>データ!N609</f>
        <v>0</v>
      </c>
      <c r="P612" s="48">
        <f>IF($C612="集計行","",データ!O609)</f>
        <v>0</v>
      </c>
      <c r="Q612" s="48">
        <f>データ!P609</f>
        <v>0</v>
      </c>
      <c r="R612" s="39" t="str">
        <f>IF(OR($C612="総括",$C612="内訳書",$C612="内訳代価",$C612="明細書",$C612="明細代価",$C612="代価表",$C612="単価表"),データ!Q609,"")</f>
        <v/>
      </c>
      <c r="S612" s="11" t="str">
        <f t="shared" si="56"/>
        <v/>
      </c>
      <c r="T612" s="46" t="e">
        <f t="shared" si="57"/>
        <v>#DIV/0!</v>
      </c>
      <c r="U612" s="40" t="str">
        <f>IF(データ!R609="","",データ!R609)</f>
        <v/>
      </c>
      <c r="V612" s="41" t="str">
        <f>IF(データ!S609="","",データ!S609)</f>
        <v/>
      </c>
      <c r="W612" s="42">
        <f>データ!T609</f>
        <v>0</v>
      </c>
      <c r="X612" s="48">
        <f>IF($C612="集計行","",データ!U609)</f>
        <v>0</v>
      </c>
      <c r="Y612" s="48">
        <f>データ!V609</f>
        <v>0</v>
      </c>
      <c r="Z612" s="39" t="str">
        <f>IF(OR($C612="総括",$C612="内訳書",$C612="内訳代価",$C612="明細書",$C612="明細代価",$C612="代価表",$C612="単価表"),データ!W609,"")</f>
        <v/>
      </c>
      <c r="AA612" s="11" t="str">
        <f t="shared" si="58"/>
        <v/>
      </c>
      <c r="AB612" s="46" t="e">
        <f t="shared" si="59"/>
        <v>#DIV/0!</v>
      </c>
      <c r="AC612" s="40" t="str">
        <f>IF(データ!X609="","",データ!X609)</f>
        <v/>
      </c>
      <c r="AD612" s="41" t="str">
        <f>IF(データ!Y609="","",データ!Y609)</f>
        <v/>
      </c>
      <c r="AE612" s="47" t="str">
        <f>TRIM(データ!B609)</f>
        <v/>
      </c>
      <c r="AF612" s="43" t="str">
        <f>TRIM(データ!Z609)</f>
        <v/>
      </c>
    </row>
    <row r="613" spans="1:32" x14ac:dyDescent="0.15">
      <c r="A613" s="47">
        <f>データ!A610</f>
        <v>3</v>
      </c>
      <c r="B613" s="47" t="str">
        <f>TRIM(データ!C610)</f>
        <v/>
      </c>
      <c r="C613" s="47" t="str">
        <f>TRIM(データ!D610)</f>
        <v>材料費</v>
      </c>
      <c r="D613" s="36" t="str">
        <f>REPT("｜",$A613)&amp;TRIM(データ!E610)</f>
        <v>｜｜｜軽油</v>
      </c>
      <c r="E613" s="37" t="str">
        <f>TRIM(データ!F610)</f>
        <v/>
      </c>
      <c r="F613" s="38" t="str">
        <f>TRIM(データ!G610)</f>
        <v>リットル</v>
      </c>
      <c r="G613" s="50">
        <f>データ!H610</f>
        <v>50</v>
      </c>
      <c r="H613" s="48">
        <f>データ!I610</f>
        <v>150</v>
      </c>
      <c r="I613" s="48">
        <f>データ!J610</f>
        <v>7500</v>
      </c>
      <c r="J613" s="39" t="str">
        <f>IF(OR($C613="総括",$C613="内訳書",$C613="内訳代価",$C613="明細書",$C613="明細代価",$C613="代価表",$C613="単価表"),データ!K610,"")</f>
        <v/>
      </c>
      <c r="K613" s="11" t="str">
        <f t="shared" si="54"/>
        <v/>
      </c>
      <c r="L613" s="46">
        <f t="shared" si="55"/>
        <v>1.0798669603904799E-4</v>
      </c>
      <c r="M613" s="40" t="str">
        <f>IF(データ!L610="","",データ!L610)</f>
        <v/>
      </c>
      <c r="N613" s="41" t="str">
        <f>IF(データ!M610="","",データ!M610)</f>
        <v/>
      </c>
      <c r="O613" s="42">
        <f>データ!N610</f>
        <v>0</v>
      </c>
      <c r="P613" s="48">
        <f>IF($C613="集計行","",データ!O610)</f>
        <v>0</v>
      </c>
      <c r="Q613" s="48">
        <f>データ!P610</f>
        <v>0</v>
      </c>
      <c r="R613" s="39" t="str">
        <f>IF(OR($C613="総括",$C613="内訳書",$C613="内訳代価",$C613="明細書",$C613="明細代価",$C613="代価表",$C613="単価表"),データ!Q610,"")</f>
        <v/>
      </c>
      <c r="S613" s="11" t="str">
        <f t="shared" si="56"/>
        <v/>
      </c>
      <c r="T613" s="46" t="e">
        <f t="shared" si="57"/>
        <v>#DIV/0!</v>
      </c>
      <c r="U613" s="40" t="str">
        <f>IF(データ!R610="","",データ!R610)</f>
        <v/>
      </c>
      <c r="V613" s="41" t="str">
        <f>IF(データ!S610="","",データ!S610)</f>
        <v/>
      </c>
      <c r="W613" s="42">
        <f>データ!T610</f>
        <v>0</v>
      </c>
      <c r="X613" s="48">
        <f>IF($C613="集計行","",データ!U610)</f>
        <v>0</v>
      </c>
      <c r="Y613" s="48">
        <f>データ!V610</f>
        <v>0</v>
      </c>
      <c r="Z613" s="39" t="str">
        <f>IF(OR($C613="総括",$C613="内訳書",$C613="内訳代価",$C613="明細書",$C613="明細代価",$C613="代価表",$C613="単価表"),データ!W610,"")</f>
        <v/>
      </c>
      <c r="AA613" s="11" t="str">
        <f t="shared" si="58"/>
        <v/>
      </c>
      <c r="AB613" s="46" t="e">
        <f t="shared" si="59"/>
        <v>#DIV/0!</v>
      </c>
      <c r="AC613" s="40" t="str">
        <f>IF(データ!X610="","",データ!X610)</f>
        <v/>
      </c>
      <c r="AD613" s="41" t="str">
        <f>IF(データ!Y610="","",データ!Y610)</f>
        <v/>
      </c>
      <c r="AE613" s="47" t="str">
        <f>TRIM(データ!B610)</f>
        <v/>
      </c>
      <c r="AF613" s="43" t="str">
        <f>TRIM(データ!Z610)</f>
        <v/>
      </c>
    </row>
    <row r="614" spans="1:32" x14ac:dyDescent="0.15">
      <c r="A614" s="47">
        <f>データ!A611</f>
        <v>3</v>
      </c>
      <c r="B614" s="47" t="str">
        <f>TRIM(データ!C611)</f>
        <v/>
      </c>
      <c r="C614" s="47" t="str">
        <f>TRIM(データ!D611)</f>
        <v>材料費</v>
      </c>
      <c r="D614" s="36" t="str">
        <f>REPT("｜",$A614)&amp;TRIM(データ!E611)</f>
        <v>｜｜｜ガソリン</v>
      </c>
      <c r="E614" s="37" t="str">
        <f>TRIM(データ!F611)</f>
        <v/>
      </c>
      <c r="F614" s="38" t="str">
        <f>TRIM(データ!G611)</f>
        <v>リットル</v>
      </c>
      <c r="G614" s="50">
        <f>データ!H611</f>
        <v>40</v>
      </c>
      <c r="H614" s="48">
        <f>データ!I611</f>
        <v>200</v>
      </c>
      <c r="I614" s="48">
        <f>データ!J611</f>
        <v>8000</v>
      </c>
      <c r="J614" s="39" t="str">
        <f>IF(OR($C614="総括",$C614="内訳書",$C614="内訳代価",$C614="明細書",$C614="明細代価",$C614="代価表",$C614="単価表"),データ!K611,"")</f>
        <v/>
      </c>
      <c r="K614" s="11" t="str">
        <f t="shared" si="54"/>
        <v/>
      </c>
      <c r="L614" s="46">
        <f t="shared" si="55"/>
        <v>1.1518580910831785E-4</v>
      </c>
      <c r="M614" s="40" t="str">
        <f>IF(データ!L611="","",データ!L611)</f>
        <v/>
      </c>
      <c r="N614" s="41" t="str">
        <f>IF(データ!M611="","",データ!M611)</f>
        <v/>
      </c>
      <c r="O614" s="42">
        <f>データ!N611</f>
        <v>0</v>
      </c>
      <c r="P614" s="48">
        <f>IF($C614="集計行","",データ!O611)</f>
        <v>0</v>
      </c>
      <c r="Q614" s="48">
        <f>データ!P611</f>
        <v>0</v>
      </c>
      <c r="R614" s="39" t="str">
        <f>IF(OR($C614="総括",$C614="内訳書",$C614="内訳代価",$C614="明細書",$C614="明細代価",$C614="代価表",$C614="単価表"),データ!Q611,"")</f>
        <v/>
      </c>
      <c r="S614" s="11" t="str">
        <f t="shared" si="56"/>
        <v/>
      </c>
      <c r="T614" s="46" t="e">
        <f t="shared" si="57"/>
        <v>#DIV/0!</v>
      </c>
      <c r="U614" s="40" t="str">
        <f>IF(データ!R611="","",データ!R611)</f>
        <v/>
      </c>
      <c r="V614" s="41" t="str">
        <f>IF(データ!S611="","",データ!S611)</f>
        <v/>
      </c>
      <c r="W614" s="42">
        <f>データ!T611</f>
        <v>0</v>
      </c>
      <c r="X614" s="48">
        <f>IF($C614="集計行","",データ!U611)</f>
        <v>0</v>
      </c>
      <c r="Y614" s="48">
        <f>データ!V611</f>
        <v>0</v>
      </c>
      <c r="Z614" s="39" t="str">
        <f>IF(OR($C614="総括",$C614="内訳書",$C614="内訳代価",$C614="明細書",$C614="明細代価",$C614="代価表",$C614="単価表"),データ!W611,"")</f>
        <v/>
      </c>
      <c r="AA614" s="11" t="str">
        <f t="shared" si="58"/>
        <v/>
      </c>
      <c r="AB614" s="46" t="e">
        <f t="shared" si="59"/>
        <v>#DIV/0!</v>
      </c>
      <c r="AC614" s="40" t="str">
        <f>IF(データ!X611="","",データ!X611)</f>
        <v/>
      </c>
      <c r="AD614" s="41" t="str">
        <f>IF(データ!Y611="","",データ!Y611)</f>
        <v/>
      </c>
      <c r="AE614" s="47" t="str">
        <f>TRIM(データ!B611)</f>
        <v/>
      </c>
      <c r="AF614" s="43" t="str">
        <f>TRIM(データ!Z611)</f>
        <v/>
      </c>
    </row>
    <row r="615" spans="1:32" x14ac:dyDescent="0.15">
      <c r="A615" s="47">
        <f>データ!A612</f>
        <v>3</v>
      </c>
      <c r="B615" s="47" t="str">
        <f>TRIM(データ!C612)</f>
        <v/>
      </c>
      <c r="C615" s="47" t="str">
        <f>TRIM(データ!D612)</f>
        <v>材料費</v>
      </c>
      <c r="D615" s="36" t="str">
        <f>REPT("｜",$A615)&amp;TRIM(データ!E612)</f>
        <v>｜｜｜雑材</v>
      </c>
      <c r="E615" s="37" t="str">
        <f>TRIM(データ!F612)</f>
        <v/>
      </c>
      <c r="F615" s="38" t="str">
        <f>TRIM(データ!G612)</f>
        <v>式</v>
      </c>
      <c r="G615" s="50">
        <f>データ!H612</f>
        <v>1</v>
      </c>
      <c r="H615" s="48">
        <f>データ!I612</f>
        <v>2100</v>
      </c>
      <c r="I615" s="48">
        <f>データ!J612</f>
        <v>2100</v>
      </c>
      <c r="J615" s="39" t="str">
        <f>IF(OR($C615="総括",$C615="内訳書",$C615="内訳代価",$C615="明細書",$C615="明細代価",$C615="代価表",$C615="単価表"),データ!K612,"")</f>
        <v/>
      </c>
      <c r="K615" s="11" t="str">
        <f t="shared" si="54"/>
        <v/>
      </c>
      <c r="L615" s="46">
        <f t="shared" si="55"/>
        <v>3.0236274890933438E-5</v>
      </c>
      <c r="M615" s="40" t="str">
        <f>IF(データ!L612="","",データ!L612)</f>
        <v/>
      </c>
      <c r="N615" s="41" t="str">
        <f>IF(データ!M612="","",データ!M612)</f>
        <v/>
      </c>
      <c r="O615" s="42">
        <f>データ!N612</f>
        <v>0</v>
      </c>
      <c r="P615" s="48">
        <f>IF($C615="集計行","",データ!O612)</f>
        <v>0</v>
      </c>
      <c r="Q615" s="48">
        <f>データ!P612</f>
        <v>0</v>
      </c>
      <c r="R615" s="39" t="str">
        <f>IF(OR($C615="総括",$C615="内訳書",$C615="内訳代価",$C615="明細書",$C615="明細代価",$C615="代価表",$C615="単価表"),データ!Q612,"")</f>
        <v/>
      </c>
      <c r="S615" s="11" t="str">
        <f t="shared" si="56"/>
        <v/>
      </c>
      <c r="T615" s="46" t="e">
        <f t="shared" si="57"/>
        <v>#DIV/0!</v>
      </c>
      <c r="U615" s="40" t="str">
        <f>IF(データ!R612="","",データ!R612)</f>
        <v/>
      </c>
      <c r="V615" s="41" t="str">
        <f>IF(データ!S612="","",データ!S612)</f>
        <v/>
      </c>
      <c r="W615" s="42">
        <f>データ!T612</f>
        <v>0</v>
      </c>
      <c r="X615" s="48">
        <f>IF($C615="集計行","",データ!U612)</f>
        <v>0</v>
      </c>
      <c r="Y615" s="48">
        <f>データ!V612</f>
        <v>0</v>
      </c>
      <c r="Z615" s="39" t="str">
        <f>IF(OR($C615="総括",$C615="内訳書",$C615="内訳代価",$C615="明細書",$C615="明細代価",$C615="代価表",$C615="単価表"),データ!W612,"")</f>
        <v/>
      </c>
      <c r="AA615" s="11" t="str">
        <f t="shared" si="58"/>
        <v/>
      </c>
      <c r="AB615" s="46" t="e">
        <f t="shared" si="59"/>
        <v>#DIV/0!</v>
      </c>
      <c r="AC615" s="40" t="str">
        <f>IF(データ!X612="","",データ!X612)</f>
        <v/>
      </c>
      <c r="AD615" s="41" t="str">
        <f>IF(データ!Y612="","",データ!Y612)</f>
        <v/>
      </c>
      <c r="AE615" s="47" t="str">
        <f>TRIM(データ!B612)</f>
        <v/>
      </c>
      <c r="AF615" s="43" t="str">
        <f>TRIM(データ!Z612)</f>
        <v/>
      </c>
    </row>
    <row r="616" spans="1:32" x14ac:dyDescent="0.15">
      <c r="A616" s="47">
        <f>データ!A613</f>
        <v>3</v>
      </c>
      <c r="B616" s="47" t="str">
        <f>TRIM(データ!C613)</f>
        <v/>
      </c>
      <c r="C616" s="47" t="str">
        <f>TRIM(データ!D613)</f>
        <v>外注費</v>
      </c>
      <c r="D616" s="36" t="str">
        <f>REPT("｜",$A616)&amp;TRIM(データ!E613)</f>
        <v>｜｜｜外注経費</v>
      </c>
      <c r="E616" s="37" t="str">
        <f>TRIM(データ!F613)</f>
        <v/>
      </c>
      <c r="F616" s="38" t="str">
        <f>TRIM(データ!G613)</f>
        <v>式</v>
      </c>
      <c r="G616" s="50">
        <f>データ!H613</f>
        <v>1</v>
      </c>
      <c r="H616" s="48">
        <f>データ!I613</f>
        <v>16400</v>
      </c>
      <c r="I616" s="48">
        <f>データ!J613</f>
        <v>16400</v>
      </c>
      <c r="J616" s="39" t="str">
        <f>IF(OR($C616="総括",$C616="内訳書",$C616="内訳代価",$C616="明細書",$C616="明細代価",$C616="代価表",$C616="単価表"),データ!K613,"")</f>
        <v/>
      </c>
      <c r="K616" s="11" t="str">
        <f t="shared" si="54"/>
        <v/>
      </c>
      <c r="L616" s="46">
        <f t="shared" si="55"/>
        <v>2.3613090867205162E-4</v>
      </c>
      <c r="M616" s="40" t="str">
        <f>IF(データ!L613="","",データ!L613)</f>
        <v/>
      </c>
      <c r="N616" s="41" t="str">
        <f>IF(データ!M613="","",データ!M613)</f>
        <v/>
      </c>
      <c r="O616" s="42">
        <f>データ!N613</f>
        <v>0</v>
      </c>
      <c r="P616" s="48">
        <f>IF($C616="集計行","",データ!O613)</f>
        <v>0</v>
      </c>
      <c r="Q616" s="48">
        <f>データ!P613</f>
        <v>0</v>
      </c>
      <c r="R616" s="39" t="str">
        <f>IF(OR($C616="総括",$C616="内訳書",$C616="内訳代価",$C616="明細書",$C616="明細代価",$C616="代価表",$C616="単価表"),データ!Q613,"")</f>
        <v/>
      </c>
      <c r="S616" s="11" t="str">
        <f t="shared" si="56"/>
        <v/>
      </c>
      <c r="T616" s="46" t="e">
        <f t="shared" si="57"/>
        <v>#DIV/0!</v>
      </c>
      <c r="U616" s="40" t="str">
        <f>IF(データ!R613="","",データ!R613)</f>
        <v/>
      </c>
      <c r="V616" s="41" t="str">
        <f>IF(データ!S613="","",データ!S613)</f>
        <v/>
      </c>
      <c r="W616" s="42">
        <f>データ!T613</f>
        <v>0</v>
      </c>
      <c r="X616" s="48">
        <f>IF($C616="集計行","",データ!U613)</f>
        <v>0</v>
      </c>
      <c r="Y616" s="48">
        <f>データ!V613</f>
        <v>0</v>
      </c>
      <c r="Z616" s="39" t="str">
        <f>IF(OR($C616="総括",$C616="内訳書",$C616="内訳代価",$C616="明細書",$C616="明細代価",$C616="代価表",$C616="単価表"),データ!W613,"")</f>
        <v/>
      </c>
      <c r="AA616" s="11" t="str">
        <f t="shared" si="58"/>
        <v/>
      </c>
      <c r="AB616" s="46" t="e">
        <f t="shared" si="59"/>
        <v>#DIV/0!</v>
      </c>
      <c r="AC616" s="40" t="str">
        <f>IF(データ!X613="","",データ!X613)</f>
        <v/>
      </c>
      <c r="AD616" s="41" t="str">
        <f>IF(データ!Y613="","",データ!Y613)</f>
        <v/>
      </c>
      <c r="AE616" s="47" t="str">
        <f>TRIM(データ!B613)</f>
        <v/>
      </c>
      <c r="AF616" s="43" t="str">
        <f>TRIM(データ!Z613)</f>
        <v/>
      </c>
    </row>
    <row r="617" spans="1:32" x14ac:dyDescent="0.15">
      <c r="A617" s="47">
        <f>データ!A614</f>
        <v>2</v>
      </c>
      <c r="B617" s="47" t="str">
        <f>TRIM(データ!C614)</f>
        <v/>
      </c>
      <c r="C617" s="47" t="str">
        <f>TRIM(データ!D614)</f>
        <v>内訳書</v>
      </c>
      <c r="D617" s="36" t="str">
        <f>REPT("｜",$A617)&amp;TRIM(データ!E614)</f>
        <v>｜｜L型街渠撤去</v>
      </c>
      <c r="E617" s="37" t="str">
        <f>TRIM(データ!F614)</f>
        <v>切り上げ部</v>
      </c>
      <c r="F617" s="38" t="str">
        <f>TRIM(データ!G614)</f>
        <v>ｍ</v>
      </c>
      <c r="G617" s="50">
        <f>データ!H614</f>
        <v>9.6</v>
      </c>
      <c r="H617" s="48">
        <f>データ!I614</f>
        <v>20700</v>
      </c>
      <c r="I617" s="48">
        <f>データ!J614</f>
        <v>198720</v>
      </c>
      <c r="J617" s="39">
        <f>IF(OR($C617="総括",$C617="内訳書",$C617="内訳代価",$C617="明細書",$C617="明細代価",$C617="代価表",$C617="単価表"),データ!K614,"")</f>
        <v>9.6</v>
      </c>
      <c r="K617" s="11" t="str">
        <f t="shared" si="54"/>
        <v/>
      </c>
      <c r="L617" s="46">
        <f t="shared" si="55"/>
        <v>2.8612154982506155E-3</v>
      </c>
      <c r="M617" s="40" t="str">
        <f>IF(データ!L614="","",データ!L614)</f>
        <v/>
      </c>
      <c r="N617" s="41" t="str">
        <f>IF(データ!M614="","",データ!M614)</f>
        <v>79号内訳書</v>
      </c>
      <c r="O617" s="42">
        <f>データ!N614</f>
        <v>0</v>
      </c>
      <c r="P617" s="48">
        <f>IF($C617="集計行","",データ!O614)</f>
        <v>0</v>
      </c>
      <c r="Q617" s="48">
        <f>データ!P614</f>
        <v>0</v>
      </c>
      <c r="R617" s="39">
        <f>IF(OR($C617="総括",$C617="内訳書",$C617="内訳代価",$C617="明細書",$C617="明細代価",$C617="代価表",$C617="単価表"),データ!Q614,"")</f>
        <v>0</v>
      </c>
      <c r="S617" s="11" t="str">
        <f t="shared" si="56"/>
        <v/>
      </c>
      <c r="T617" s="46" t="e">
        <f t="shared" si="57"/>
        <v>#DIV/0!</v>
      </c>
      <c r="U617" s="40" t="str">
        <f>IF(データ!R614="","",データ!R614)</f>
        <v/>
      </c>
      <c r="V617" s="41" t="str">
        <f>IF(データ!S614="","",データ!S614)</f>
        <v/>
      </c>
      <c r="W617" s="42">
        <f>データ!T614</f>
        <v>0</v>
      </c>
      <c r="X617" s="48">
        <f>IF($C617="集計行","",データ!U614)</f>
        <v>0</v>
      </c>
      <c r="Y617" s="48">
        <f>データ!V614</f>
        <v>0</v>
      </c>
      <c r="Z617" s="39">
        <f>IF(OR($C617="総括",$C617="内訳書",$C617="内訳代価",$C617="明細書",$C617="明細代価",$C617="代価表",$C617="単価表"),データ!W614,"")</f>
        <v>0</v>
      </c>
      <c r="AA617" s="11" t="str">
        <f t="shared" si="58"/>
        <v/>
      </c>
      <c r="AB617" s="46" t="e">
        <f t="shared" si="59"/>
        <v>#DIV/0!</v>
      </c>
      <c r="AC617" s="40" t="str">
        <f>IF(データ!X614="","",データ!X614)</f>
        <v/>
      </c>
      <c r="AD617" s="41" t="str">
        <f>IF(データ!Y614="","",データ!Y614)</f>
        <v/>
      </c>
      <c r="AE617" s="47" t="str">
        <f>TRIM(データ!B614)</f>
        <v/>
      </c>
      <c r="AF617" s="43" t="str">
        <f>TRIM(データ!Z614)</f>
        <v/>
      </c>
    </row>
    <row r="618" spans="1:32" x14ac:dyDescent="0.15">
      <c r="A618" s="47">
        <f>データ!A615</f>
        <v>3</v>
      </c>
      <c r="B618" s="47" t="str">
        <f>TRIM(データ!C615)</f>
        <v/>
      </c>
      <c r="C618" s="47" t="str">
        <f>TRIM(データ!D615)</f>
        <v>労務費</v>
      </c>
      <c r="D618" s="36" t="str">
        <f>REPT("｜",$A618)&amp;TRIM(データ!E615)</f>
        <v>｜｜｜技工</v>
      </c>
      <c r="E618" s="37" t="str">
        <f>TRIM(データ!F615)</f>
        <v/>
      </c>
      <c r="F618" s="38" t="str">
        <f>TRIM(データ!G615)</f>
        <v>人</v>
      </c>
      <c r="G618" s="50">
        <f>データ!H615</f>
        <v>4</v>
      </c>
      <c r="H618" s="48">
        <f>データ!I615</f>
        <v>32000</v>
      </c>
      <c r="I618" s="48">
        <f>データ!J615</f>
        <v>128000</v>
      </c>
      <c r="J618" s="39" t="str">
        <f>IF(OR($C618="総括",$C618="内訳書",$C618="内訳代価",$C618="明細書",$C618="明細代価",$C618="代価表",$C618="単価表"),データ!K615,"")</f>
        <v/>
      </c>
      <c r="K618" s="11" t="str">
        <f t="shared" si="54"/>
        <v/>
      </c>
      <c r="L618" s="46">
        <f t="shared" si="55"/>
        <v>1.8429729457330856E-3</v>
      </c>
      <c r="M618" s="40" t="str">
        <f>IF(データ!L615="","",データ!L615)</f>
        <v/>
      </c>
      <c r="N618" s="41" t="str">
        <f>IF(データ!M615="","",データ!M615)</f>
        <v/>
      </c>
      <c r="O618" s="42">
        <f>データ!N615</f>
        <v>0</v>
      </c>
      <c r="P618" s="48">
        <f>IF($C618="集計行","",データ!O615)</f>
        <v>0</v>
      </c>
      <c r="Q618" s="48">
        <f>データ!P615</f>
        <v>0</v>
      </c>
      <c r="R618" s="39" t="str">
        <f>IF(OR($C618="総括",$C618="内訳書",$C618="内訳代価",$C618="明細書",$C618="明細代価",$C618="代価表",$C618="単価表"),データ!Q615,"")</f>
        <v/>
      </c>
      <c r="S618" s="11" t="str">
        <f t="shared" si="56"/>
        <v/>
      </c>
      <c r="T618" s="46" t="e">
        <f t="shared" si="57"/>
        <v>#DIV/0!</v>
      </c>
      <c r="U618" s="40" t="str">
        <f>IF(データ!R615="","",データ!R615)</f>
        <v/>
      </c>
      <c r="V618" s="41" t="str">
        <f>IF(データ!S615="","",データ!S615)</f>
        <v/>
      </c>
      <c r="W618" s="42">
        <f>データ!T615</f>
        <v>0</v>
      </c>
      <c r="X618" s="48">
        <f>IF($C618="集計行","",データ!U615)</f>
        <v>0</v>
      </c>
      <c r="Y618" s="48">
        <f>データ!V615</f>
        <v>0</v>
      </c>
      <c r="Z618" s="39" t="str">
        <f>IF(OR($C618="総括",$C618="内訳書",$C618="内訳代価",$C618="明細書",$C618="明細代価",$C618="代価表",$C618="単価表"),データ!W615,"")</f>
        <v/>
      </c>
      <c r="AA618" s="11" t="str">
        <f t="shared" si="58"/>
        <v/>
      </c>
      <c r="AB618" s="46" t="e">
        <f t="shared" si="59"/>
        <v>#DIV/0!</v>
      </c>
      <c r="AC618" s="40" t="str">
        <f>IF(データ!X615="","",データ!X615)</f>
        <v/>
      </c>
      <c r="AD618" s="41" t="str">
        <f>IF(データ!Y615="","",データ!Y615)</f>
        <v/>
      </c>
      <c r="AE618" s="47" t="str">
        <f>TRIM(データ!B615)</f>
        <v/>
      </c>
      <c r="AF618" s="43" t="str">
        <f>TRIM(データ!Z615)</f>
        <v/>
      </c>
    </row>
    <row r="619" spans="1:32" x14ac:dyDescent="0.15">
      <c r="A619" s="47">
        <f>データ!A616</f>
        <v>3</v>
      </c>
      <c r="B619" s="47" t="str">
        <f>TRIM(データ!C616)</f>
        <v/>
      </c>
      <c r="C619" s="47" t="str">
        <f>TRIM(データ!D616)</f>
        <v>機械費</v>
      </c>
      <c r="D619" s="36" t="str">
        <f>REPT("｜",$A619)&amp;TRIM(データ!E616)</f>
        <v>｜｜｜BH0.15</v>
      </c>
      <c r="E619" s="37" t="str">
        <f>TRIM(データ!F616)</f>
        <v/>
      </c>
      <c r="F619" s="38" t="str">
        <f>TRIM(データ!G616)</f>
        <v>台</v>
      </c>
      <c r="G619" s="50">
        <f>データ!H616</f>
        <v>1</v>
      </c>
      <c r="H619" s="48">
        <f>データ!I616</f>
        <v>8000</v>
      </c>
      <c r="I619" s="48">
        <f>データ!J616</f>
        <v>8000</v>
      </c>
      <c r="J619" s="39" t="str">
        <f>IF(OR($C619="総括",$C619="内訳書",$C619="内訳代価",$C619="明細書",$C619="明細代価",$C619="代価表",$C619="単価表"),データ!K616,"")</f>
        <v/>
      </c>
      <c r="K619" s="11" t="str">
        <f t="shared" si="54"/>
        <v/>
      </c>
      <c r="L619" s="46">
        <f t="shared" si="55"/>
        <v>1.1518580910831785E-4</v>
      </c>
      <c r="M619" s="40" t="str">
        <f>IF(データ!L616="","",データ!L616)</f>
        <v/>
      </c>
      <c r="N619" s="41" t="str">
        <f>IF(データ!M616="","",データ!M616)</f>
        <v/>
      </c>
      <c r="O619" s="42">
        <f>データ!N616</f>
        <v>0</v>
      </c>
      <c r="P619" s="48">
        <f>IF($C619="集計行","",データ!O616)</f>
        <v>0</v>
      </c>
      <c r="Q619" s="48">
        <f>データ!P616</f>
        <v>0</v>
      </c>
      <c r="R619" s="39" t="str">
        <f>IF(OR($C619="総括",$C619="内訳書",$C619="内訳代価",$C619="明細書",$C619="明細代価",$C619="代価表",$C619="単価表"),データ!Q616,"")</f>
        <v/>
      </c>
      <c r="S619" s="11" t="str">
        <f t="shared" si="56"/>
        <v/>
      </c>
      <c r="T619" s="46" t="e">
        <f t="shared" si="57"/>
        <v>#DIV/0!</v>
      </c>
      <c r="U619" s="40" t="str">
        <f>IF(データ!R616="","",データ!R616)</f>
        <v/>
      </c>
      <c r="V619" s="41" t="str">
        <f>IF(データ!S616="","",データ!S616)</f>
        <v/>
      </c>
      <c r="W619" s="42">
        <f>データ!T616</f>
        <v>0</v>
      </c>
      <c r="X619" s="48">
        <f>IF($C619="集計行","",データ!U616)</f>
        <v>0</v>
      </c>
      <c r="Y619" s="48">
        <f>データ!V616</f>
        <v>0</v>
      </c>
      <c r="Z619" s="39" t="str">
        <f>IF(OR($C619="総括",$C619="内訳書",$C619="内訳代価",$C619="明細書",$C619="明細代価",$C619="代価表",$C619="単価表"),データ!W616,"")</f>
        <v/>
      </c>
      <c r="AA619" s="11" t="str">
        <f t="shared" si="58"/>
        <v/>
      </c>
      <c r="AB619" s="46" t="e">
        <f t="shared" si="59"/>
        <v>#DIV/0!</v>
      </c>
      <c r="AC619" s="40" t="str">
        <f>IF(データ!X616="","",データ!X616)</f>
        <v/>
      </c>
      <c r="AD619" s="41" t="str">
        <f>IF(データ!Y616="","",データ!Y616)</f>
        <v/>
      </c>
      <c r="AE619" s="47" t="str">
        <f>TRIM(データ!B616)</f>
        <v/>
      </c>
      <c r="AF619" s="43" t="str">
        <f>TRIM(データ!Z616)</f>
        <v/>
      </c>
    </row>
    <row r="620" spans="1:32" x14ac:dyDescent="0.15">
      <c r="A620" s="47">
        <f>データ!A617</f>
        <v>3</v>
      </c>
      <c r="B620" s="47" t="str">
        <f>TRIM(データ!C617)</f>
        <v/>
      </c>
      <c r="C620" s="47" t="str">
        <f>TRIM(データ!D617)</f>
        <v>機械費</v>
      </c>
      <c r="D620" s="36" t="str">
        <f>REPT("｜",$A620)&amp;TRIM(データ!E617)</f>
        <v>｜｜｜タイヤショベル</v>
      </c>
      <c r="E620" s="37" t="str">
        <f>TRIM(データ!F617)</f>
        <v/>
      </c>
      <c r="F620" s="38" t="str">
        <f>TRIM(データ!G617)</f>
        <v>台</v>
      </c>
      <c r="G620" s="50">
        <f>データ!H617</f>
        <v>1</v>
      </c>
      <c r="H620" s="48">
        <f>データ!I617</f>
        <v>8000</v>
      </c>
      <c r="I620" s="48">
        <f>データ!J617</f>
        <v>8000</v>
      </c>
      <c r="J620" s="39" t="str">
        <f>IF(OR($C620="総括",$C620="内訳書",$C620="内訳代価",$C620="明細書",$C620="明細代価",$C620="代価表",$C620="単価表"),データ!K617,"")</f>
        <v/>
      </c>
      <c r="K620" s="11" t="str">
        <f t="shared" si="54"/>
        <v/>
      </c>
      <c r="L620" s="46">
        <f t="shared" si="55"/>
        <v>1.1518580910831785E-4</v>
      </c>
      <c r="M620" s="40" t="str">
        <f>IF(データ!L617="","",データ!L617)</f>
        <v/>
      </c>
      <c r="N620" s="41" t="str">
        <f>IF(データ!M617="","",データ!M617)</f>
        <v/>
      </c>
      <c r="O620" s="42">
        <f>データ!N617</f>
        <v>0</v>
      </c>
      <c r="P620" s="48">
        <f>IF($C620="集計行","",データ!O617)</f>
        <v>0</v>
      </c>
      <c r="Q620" s="48">
        <f>データ!P617</f>
        <v>0</v>
      </c>
      <c r="R620" s="39" t="str">
        <f>IF(OR($C620="総括",$C620="内訳書",$C620="内訳代価",$C620="明細書",$C620="明細代価",$C620="代価表",$C620="単価表"),データ!Q617,"")</f>
        <v/>
      </c>
      <c r="S620" s="11" t="str">
        <f t="shared" si="56"/>
        <v/>
      </c>
      <c r="T620" s="46" t="e">
        <f t="shared" si="57"/>
        <v>#DIV/0!</v>
      </c>
      <c r="U620" s="40" t="str">
        <f>IF(データ!R617="","",データ!R617)</f>
        <v/>
      </c>
      <c r="V620" s="41" t="str">
        <f>IF(データ!S617="","",データ!S617)</f>
        <v/>
      </c>
      <c r="W620" s="42">
        <f>データ!T617</f>
        <v>0</v>
      </c>
      <c r="X620" s="48">
        <f>IF($C620="集計行","",データ!U617)</f>
        <v>0</v>
      </c>
      <c r="Y620" s="48">
        <f>データ!V617</f>
        <v>0</v>
      </c>
      <c r="Z620" s="39" t="str">
        <f>IF(OR($C620="総括",$C620="内訳書",$C620="内訳代価",$C620="明細書",$C620="明細代価",$C620="代価表",$C620="単価表"),データ!W617,"")</f>
        <v/>
      </c>
      <c r="AA620" s="11" t="str">
        <f t="shared" si="58"/>
        <v/>
      </c>
      <c r="AB620" s="46" t="e">
        <f t="shared" si="59"/>
        <v>#DIV/0!</v>
      </c>
      <c r="AC620" s="40" t="str">
        <f>IF(データ!X617="","",データ!X617)</f>
        <v/>
      </c>
      <c r="AD620" s="41" t="str">
        <f>IF(データ!Y617="","",データ!Y617)</f>
        <v/>
      </c>
      <c r="AE620" s="47" t="str">
        <f>TRIM(データ!B617)</f>
        <v/>
      </c>
      <c r="AF620" s="43" t="str">
        <f>TRIM(データ!Z617)</f>
        <v/>
      </c>
    </row>
    <row r="621" spans="1:32" x14ac:dyDescent="0.15">
      <c r="A621" s="47">
        <f>データ!A618</f>
        <v>3</v>
      </c>
      <c r="B621" s="47" t="str">
        <f>TRIM(データ!C618)</f>
        <v/>
      </c>
      <c r="C621" s="47" t="str">
        <f>TRIM(データ!D618)</f>
        <v>機械費</v>
      </c>
      <c r="D621" s="36" t="str">
        <f>REPT("｜",$A621)&amp;TRIM(データ!E618)</f>
        <v>｜｜｜小物機械</v>
      </c>
      <c r="E621" s="37" t="str">
        <f>TRIM(データ!F618)</f>
        <v/>
      </c>
      <c r="F621" s="38" t="str">
        <f>TRIM(データ!G618)</f>
        <v>台</v>
      </c>
      <c r="G621" s="50">
        <f>データ!H618</f>
        <v>1</v>
      </c>
      <c r="H621" s="48">
        <f>データ!I618</f>
        <v>3000</v>
      </c>
      <c r="I621" s="48">
        <f>データ!J618</f>
        <v>3000</v>
      </c>
      <c r="J621" s="39" t="str">
        <f>IF(OR($C621="総括",$C621="内訳書",$C621="内訳代価",$C621="明細書",$C621="明細代価",$C621="代価表",$C621="単価表"),データ!K618,"")</f>
        <v/>
      </c>
      <c r="K621" s="11" t="str">
        <f t="shared" si="54"/>
        <v/>
      </c>
      <c r="L621" s="46">
        <f t="shared" si="55"/>
        <v>4.3194678415619194E-5</v>
      </c>
      <c r="M621" s="40" t="str">
        <f>IF(データ!L618="","",データ!L618)</f>
        <v/>
      </c>
      <c r="N621" s="41" t="str">
        <f>IF(データ!M618="","",データ!M618)</f>
        <v/>
      </c>
      <c r="O621" s="42">
        <f>データ!N618</f>
        <v>0</v>
      </c>
      <c r="P621" s="48">
        <f>IF($C621="集計行","",データ!O618)</f>
        <v>0</v>
      </c>
      <c r="Q621" s="48">
        <f>データ!P618</f>
        <v>0</v>
      </c>
      <c r="R621" s="39" t="str">
        <f>IF(OR($C621="総括",$C621="内訳書",$C621="内訳代価",$C621="明細書",$C621="明細代価",$C621="代価表",$C621="単価表"),データ!Q618,"")</f>
        <v/>
      </c>
      <c r="S621" s="11" t="str">
        <f t="shared" si="56"/>
        <v/>
      </c>
      <c r="T621" s="46" t="e">
        <f t="shared" si="57"/>
        <v>#DIV/0!</v>
      </c>
      <c r="U621" s="40" t="str">
        <f>IF(データ!R618="","",データ!R618)</f>
        <v/>
      </c>
      <c r="V621" s="41" t="str">
        <f>IF(データ!S618="","",データ!S618)</f>
        <v/>
      </c>
      <c r="W621" s="42">
        <f>データ!T618</f>
        <v>0</v>
      </c>
      <c r="X621" s="48">
        <f>IF($C621="集計行","",データ!U618)</f>
        <v>0</v>
      </c>
      <c r="Y621" s="48">
        <f>データ!V618</f>
        <v>0</v>
      </c>
      <c r="Z621" s="39" t="str">
        <f>IF(OR($C621="総括",$C621="内訳書",$C621="内訳代価",$C621="明細書",$C621="明細代価",$C621="代価表",$C621="単価表"),データ!W618,"")</f>
        <v/>
      </c>
      <c r="AA621" s="11" t="str">
        <f t="shared" si="58"/>
        <v/>
      </c>
      <c r="AB621" s="46" t="e">
        <f t="shared" si="59"/>
        <v>#DIV/0!</v>
      </c>
      <c r="AC621" s="40" t="str">
        <f>IF(データ!X618="","",データ!X618)</f>
        <v/>
      </c>
      <c r="AD621" s="41" t="str">
        <f>IF(データ!Y618="","",データ!Y618)</f>
        <v/>
      </c>
      <c r="AE621" s="47" t="str">
        <f>TRIM(データ!B618)</f>
        <v/>
      </c>
      <c r="AF621" s="43" t="str">
        <f>TRIM(データ!Z618)</f>
        <v/>
      </c>
    </row>
    <row r="622" spans="1:32" x14ac:dyDescent="0.15">
      <c r="A622" s="47">
        <f>データ!A619</f>
        <v>3</v>
      </c>
      <c r="B622" s="47" t="str">
        <f>TRIM(データ!C619)</f>
        <v/>
      </c>
      <c r="C622" s="47" t="str">
        <f>TRIM(データ!D619)</f>
        <v>運搬費</v>
      </c>
      <c r="D622" s="36" t="str">
        <f>REPT("｜",$A622)&amp;TRIM(データ!E619)</f>
        <v>｜｜｜4tダンプ</v>
      </c>
      <c r="E622" s="37" t="str">
        <f>TRIM(データ!F619)</f>
        <v/>
      </c>
      <c r="F622" s="38" t="str">
        <f>TRIM(データ!G619)</f>
        <v>台</v>
      </c>
      <c r="G622" s="50">
        <f>データ!H619</f>
        <v>1</v>
      </c>
      <c r="H622" s="48">
        <f>データ!I619</f>
        <v>10000</v>
      </c>
      <c r="I622" s="48">
        <f>データ!J619</f>
        <v>10000</v>
      </c>
      <c r="J622" s="39" t="str">
        <f>IF(OR($C622="総括",$C622="内訳書",$C622="内訳代価",$C622="明細書",$C622="明細代価",$C622="代価表",$C622="単価表"),データ!K619,"")</f>
        <v/>
      </c>
      <c r="K622" s="11" t="str">
        <f t="shared" si="54"/>
        <v/>
      </c>
      <c r="L622" s="46">
        <f t="shared" si="55"/>
        <v>1.4398226138539731E-4</v>
      </c>
      <c r="M622" s="40" t="str">
        <f>IF(データ!L619="","",データ!L619)</f>
        <v/>
      </c>
      <c r="N622" s="41" t="str">
        <f>IF(データ!M619="","",データ!M619)</f>
        <v/>
      </c>
      <c r="O622" s="42">
        <f>データ!N619</f>
        <v>0</v>
      </c>
      <c r="P622" s="48">
        <f>IF($C622="集計行","",データ!O619)</f>
        <v>0</v>
      </c>
      <c r="Q622" s="48">
        <f>データ!P619</f>
        <v>0</v>
      </c>
      <c r="R622" s="39" t="str">
        <f>IF(OR($C622="総括",$C622="内訳書",$C622="内訳代価",$C622="明細書",$C622="明細代価",$C622="代価表",$C622="単価表"),データ!Q619,"")</f>
        <v/>
      </c>
      <c r="S622" s="11" t="str">
        <f t="shared" si="56"/>
        <v/>
      </c>
      <c r="T622" s="46" t="e">
        <f t="shared" si="57"/>
        <v>#DIV/0!</v>
      </c>
      <c r="U622" s="40" t="str">
        <f>IF(データ!R619="","",データ!R619)</f>
        <v/>
      </c>
      <c r="V622" s="41" t="str">
        <f>IF(データ!S619="","",データ!S619)</f>
        <v/>
      </c>
      <c r="W622" s="42">
        <f>データ!T619</f>
        <v>0</v>
      </c>
      <c r="X622" s="48">
        <f>IF($C622="集計行","",データ!U619)</f>
        <v>0</v>
      </c>
      <c r="Y622" s="48">
        <f>データ!V619</f>
        <v>0</v>
      </c>
      <c r="Z622" s="39" t="str">
        <f>IF(OR($C622="総括",$C622="内訳書",$C622="内訳代価",$C622="明細書",$C622="明細代価",$C622="代価表",$C622="単価表"),データ!W619,"")</f>
        <v/>
      </c>
      <c r="AA622" s="11" t="str">
        <f t="shared" si="58"/>
        <v/>
      </c>
      <c r="AB622" s="46" t="e">
        <f t="shared" si="59"/>
        <v>#DIV/0!</v>
      </c>
      <c r="AC622" s="40" t="str">
        <f>IF(データ!X619="","",データ!X619)</f>
        <v/>
      </c>
      <c r="AD622" s="41" t="str">
        <f>IF(データ!Y619="","",データ!Y619)</f>
        <v/>
      </c>
      <c r="AE622" s="47" t="str">
        <f>TRIM(データ!B619)</f>
        <v/>
      </c>
      <c r="AF622" s="43" t="str">
        <f>TRIM(データ!Z619)</f>
        <v/>
      </c>
    </row>
    <row r="623" spans="1:32" x14ac:dyDescent="0.15">
      <c r="A623" s="47">
        <f>データ!A620</f>
        <v>3</v>
      </c>
      <c r="B623" s="47" t="str">
        <f>TRIM(データ!C620)</f>
        <v/>
      </c>
      <c r="C623" s="47" t="str">
        <f>TRIM(データ!D620)</f>
        <v>運搬費</v>
      </c>
      <c r="D623" s="36" t="str">
        <f>REPT("｜",$A623)&amp;TRIM(データ!E620)</f>
        <v>｜｜｜2tダンプ</v>
      </c>
      <c r="E623" s="37" t="str">
        <f>TRIM(データ!F620)</f>
        <v/>
      </c>
      <c r="F623" s="38" t="str">
        <f>TRIM(データ!G620)</f>
        <v>台</v>
      </c>
      <c r="G623" s="50">
        <f>データ!H620</f>
        <v>1</v>
      </c>
      <c r="H623" s="48">
        <f>データ!I620</f>
        <v>7000</v>
      </c>
      <c r="I623" s="48">
        <f>データ!J620</f>
        <v>7000</v>
      </c>
      <c r="J623" s="39" t="str">
        <f>IF(OR($C623="総括",$C623="内訳書",$C623="内訳代価",$C623="明細書",$C623="明細代価",$C623="代価表",$C623="単価表"),データ!K620,"")</f>
        <v/>
      </c>
      <c r="K623" s="11" t="str">
        <f t="shared" si="54"/>
        <v/>
      </c>
      <c r="L623" s="46">
        <f t="shared" si="55"/>
        <v>1.0078758296977812E-4</v>
      </c>
      <c r="M623" s="40" t="str">
        <f>IF(データ!L620="","",データ!L620)</f>
        <v/>
      </c>
      <c r="N623" s="41" t="str">
        <f>IF(データ!M620="","",データ!M620)</f>
        <v/>
      </c>
      <c r="O623" s="42">
        <f>データ!N620</f>
        <v>0</v>
      </c>
      <c r="P623" s="48">
        <f>IF($C623="集計行","",データ!O620)</f>
        <v>0</v>
      </c>
      <c r="Q623" s="48">
        <f>データ!P620</f>
        <v>0</v>
      </c>
      <c r="R623" s="39" t="str">
        <f>IF(OR($C623="総括",$C623="内訳書",$C623="内訳代価",$C623="明細書",$C623="明細代価",$C623="代価表",$C623="単価表"),データ!Q620,"")</f>
        <v/>
      </c>
      <c r="S623" s="11" t="str">
        <f t="shared" si="56"/>
        <v/>
      </c>
      <c r="T623" s="46" t="e">
        <f t="shared" si="57"/>
        <v>#DIV/0!</v>
      </c>
      <c r="U623" s="40" t="str">
        <f>IF(データ!R620="","",データ!R620)</f>
        <v/>
      </c>
      <c r="V623" s="41" t="str">
        <f>IF(データ!S620="","",データ!S620)</f>
        <v/>
      </c>
      <c r="W623" s="42">
        <f>データ!T620</f>
        <v>0</v>
      </c>
      <c r="X623" s="48">
        <f>IF($C623="集計行","",データ!U620)</f>
        <v>0</v>
      </c>
      <c r="Y623" s="48">
        <f>データ!V620</f>
        <v>0</v>
      </c>
      <c r="Z623" s="39" t="str">
        <f>IF(OR($C623="総括",$C623="内訳書",$C623="内訳代価",$C623="明細書",$C623="明細代価",$C623="代価表",$C623="単価表"),データ!W620,"")</f>
        <v/>
      </c>
      <c r="AA623" s="11" t="str">
        <f t="shared" si="58"/>
        <v/>
      </c>
      <c r="AB623" s="46" t="e">
        <f t="shared" si="59"/>
        <v>#DIV/0!</v>
      </c>
      <c r="AC623" s="40" t="str">
        <f>IF(データ!X620="","",データ!X620)</f>
        <v/>
      </c>
      <c r="AD623" s="41" t="str">
        <f>IF(データ!Y620="","",データ!Y620)</f>
        <v/>
      </c>
      <c r="AE623" s="47" t="str">
        <f>TRIM(データ!B620)</f>
        <v/>
      </c>
      <c r="AF623" s="43" t="str">
        <f>TRIM(データ!Z620)</f>
        <v/>
      </c>
    </row>
    <row r="624" spans="1:32" x14ac:dyDescent="0.15">
      <c r="A624" s="47">
        <f>データ!A621</f>
        <v>3</v>
      </c>
      <c r="B624" s="47" t="str">
        <f>TRIM(データ!C621)</f>
        <v/>
      </c>
      <c r="C624" s="47" t="str">
        <f>TRIM(データ!D621)</f>
        <v>材料費</v>
      </c>
      <c r="D624" s="36" t="str">
        <f>REPT("｜",$A624)&amp;TRIM(データ!E621)</f>
        <v>｜｜｜軽油</v>
      </c>
      <c r="E624" s="37" t="str">
        <f>TRIM(データ!F621)</f>
        <v/>
      </c>
      <c r="F624" s="38" t="str">
        <f>TRIM(データ!G621)</f>
        <v>リットル</v>
      </c>
      <c r="G624" s="50">
        <f>データ!H621</f>
        <v>50</v>
      </c>
      <c r="H624" s="48">
        <f>データ!I621</f>
        <v>150</v>
      </c>
      <c r="I624" s="48">
        <f>データ!J621</f>
        <v>7500</v>
      </c>
      <c r="J624" s="39" t="str">
        <f>IF(OR($C624="総括",$C624="内訳書",$C624="内訳代価",$C624="明細書",$C624="明細代価",$C624="代価表",$C624="単価表"),データ!K621,"")</f>
        <v/>
      </c>
      <c r="K624" s="11" t="str">
        <f t="shared" si="54"/>
        <v/>
      </c>
      <c r="L624" s="46">
        <f t="shared" si="55"/>
        <v>1.0798669603904799E-4</v>
      </c>
      <c r="M624" s="40" t="str">
        <f>IF(データ!L621="","",データ!L621)</f>
        <v/>
      </c>
      <c r="N624" s="41" t="str">
        <f>IF(データ!M621="","",データ!M621)</f>
        <v/>
      </c>
      <c r="O624" s="42">
        <f>データ!N621</f>
        <v>0</v>
      </c>
      <c r="P624" s="48">
        <f>IF($C624="集計行","",データ!O621)</f>
        <v>0</v>
      </c>
      <c r="Q624" s="48">
        <f>データ!P621</f>
        <v>0</v>
      </c>
      <c r="R624" s="39" t="str">
        <f>IF(OR($C624="総括",$C624="内訳書",$C624="内訳代価",$C624="明細書",$C624="明細代価",$C624="代価表",$C624="単価表"),データ!Q621,"")</f>
        <v/>
      </c>
      <c r="S624" s="11" t="str">
        <f t="shared" si="56"/>
        <v/>
      </c>
      <c r="T624" s="46" t="e">
        <f t="shared" si="57"/>
        <v>#DIV/0!</v>
      </c>
      <c r="U624" s="40" t="str">
        <f>IF(データ!R621="","",データ!R621)</f>
        <v/>
      </c>
      <c r="V624" s="41" t="str">
        <f>IF(データ!S621="","",データ!S621)</f>
        <v/>
      </c>
      <c r="W624" s="42">
        <f>データ!T621</f>
        <v>0</v>
      </c>
      <c r="X624" s="48">
        <f>IF($C624="集計行","",データ!U621)</f>
        <v>0</v>
      </c>
      <c r="Y624" s="48">
        <f>データ!V621</f>
        <v>0</v>
      </c>
      <c r="Z624" s="39" t="str">
        <f>IF(OR($C624="総括",$C624="内訳書",$C624="内訳代価",$C624="明細書",$C624="明細代価",$C624="代価表",$C624="単価表"),データ!W621,"")</f>
        <v/>
      </c>
      <c r="AA624" s="11" t="str">
        <f t="shared" si="58"/>
        <v/>
      </c>
      <c r="AB624" s="46" t="e">
        <f t="shared" si="59"/>
        <v>#DIV/0!</v>
      </c>
      <c r="AC624" s="40" t="str">
        <f>IF(データ!X621="","",データ!X621)</f>
        <v/>
      </c>
      <c r="AD624" s="41" t="str">
        <f>IF(データ!Y621="","",データ!Y621)</f>
        <v/>
      </c>
      <c r="AE624" s="47" t="str">
        <f>TRIM(データ!B621)</f>
        <v/>
      </c>
      <c r="AF624" s="43" t="str">
        <f>TRIM(データ!Z621)</f>
        <v/>
      </c>
    </row>
    <row r="625" spans="1:32" x14ac:dyDescent="0.15">
      <c r="A625" s="47">
        <f>データ!A622</f>
        <v>3</v>
      </c>
      <c r="B625" s="47" t="str">
        <f>TRIM(データ!C622)</f>
        <v/>
      </c>
      <c r="C625" s="47" t="str">
        <f>TRIM(データ!D622)</f>
        <v>材料費</v>
      </c>
      <c r="D625" s="36" t="str">
        <f>REPT("｜",$A625)&amp;TRIM(データ!E622)</f>
        <v>｜｜｜ガソリン</v>
      </c>
      <c r="E625" s="37" t="str">
        <f>TRIM(データ!F622)</f>
        <v/>
      </c>
      <c r="F625" s="38" t="str">
        <f>TRIM(データ!G622)</f>
        <v>リットル</v>
      </c>
      <c r="G625" s="50">
        <f>データ!H622</f>
        <v>40</v>
      </c>
      <c r="H625" s="48">
        <f>データ!I622</f>
        <v>200</v>
      </c>
      <c r="I625" s="48">
        <f>データ!J622</f>
        <v>8000</v>
      </c>
      <c r="J625" s="39" t="str">
        <f>IF(OR($C625="総括",$C625="内訳書",$C625="内訳代価",$C625="明細書",$C625="明細代価",$C625="代価表",$C625="単価表"),データ!K622,"")</f>
        <v/>
      </c>
      <c r="K625" s="11" t="str">
        <f t="shared" si="54"/>
        <v/>
      </c>
      <c r="L625" s="46">
        <f t="shared" si="55"/>
        <v>1.1518580910831785E-4</v>
      </c>
      <c r="M625" s="40" t="str">
        <f>IF(データ!L622="","",データ!L622)</f>
        <v/>
      </c>
      <c r="N625" s="41" t="str">
        <f>IF(データ!M622="","",データ!M622)</f>
        <v/>
      </c>
      <c r="O625" s="42">
        <f>データ!N622</f>
        <v>0</v>
      </c>
      <c r="P625" s="48">
        <f>IF($C625="集計行","",データ!O622)</f>
        <v>0</v>
      </c>
      <c r="Q625" s="48">
        <f>データ!P622</f>
        <v>0</v>
      </c>
      <c r="R625" s="39" t="str">
        <f>IF(OR($C625="総括",$C625="内訳書",$C625="内訳代価",$C625="明細書",$C625="明細代価",$C625="代価表",$C625="単価表"),データ!Q622,"")</f>
        <v/>
      </c>
      <c r="S625" s="11" t="str">
        <f t="shared" si="56"/>
        <v/>
      </c>
      <c r="T625" s="46" t="e">
        <f t="shared" si="57"/>
        <v>#DIV/0!</v>
      </c>
      <c r="U625" s="40" t="str">
        <f>IF(データ!R622="","",データ!R622)</f>
        <v/>
      </c>
      <c r="V625" s="41" t="str">
        <f>IF(データ!S622="","",データ!S622)</f>
        <v/>
      </c>
      <c r="W625" s="42">
        <f>データ!T622</f>
        <v>0</v>
      </c>
      <c r="X625" s="48">
        <f>IF($C625="集計行","",データ!U622)</f>
        <v>0</v>
      </c>
      <c r="Y625" s="48">
        <f>データ!V622</f>
        <v>0</v>
      </c>
      <c r="Z625" s="39" t="str">
        <f>IF(OR($C625="総括",$C625="内訳書",$C625="内訳代価",$C625="明細書",$C625="明細代価",$C625="代価表",$C625="単価表"),データ!W622,"")</f>
        <v/>
      </c>
      <c r="AA625" s="11" t="str">
        <f t="shared" si="58"/>
        <v/>
      </c>
      <c r="AB625" s="46" t="e">
        <f t="shared" si="59"/>
        <v>#DIV/0!</v>
      </c>
      <c r="AC625" s="40" t="str">
        <f>IF(データ!X622="","",データ!X622)</f>
        <v/>
      </c>
      <c r="AD625" s="41" t="str">
        <f>IF(データ!Y622="","",データ!Y622)</f>
        <v/>
      </c>
      <c r="AE625" s="47" t="str">
        <f>TRIM(データ!B622)</f>
        <v/>
      </c>
      <c r="AF625" s="43" t="str">
        <f>TRIM(データ!Z622)</f>
        <v/>
      </c>
    </row>
    <row r="626" spans="1:32" x14ac:dyDescent="0.15">
      <c r="A626" s="47">
        <f>データ!A623</f>
        <v>3</v>
      </c>
      <c r="B626" s="47" t="str">
        <f>TRIM(データ!C623)</f>
        <v/>
      </c>
      <c r="C626" s="47" t="str">
        <f>TRIM(データ!D623)</f>
        <v>材料費</v>
      </c>
      <c r="D626" s="36" t="str">
        <f>REPT("｜",$A626)&amp;TRIM(データ!E623)</f>
        <v>｜｜｜雑材</v>
      </c>
      <c r="E626" s="37" t="str">
        <f>TRIM(データ!F623)</f>
        <v/>
      </c>
      <c r="F626" s="38" t="str">
        <f>TRIM(データ!G623)</f>
        <v>式</v>
      </c>
      <c r="G626" s="50">
        <f>データ!H623</f>
        <v>1</v>
      </c>
      <c r="H626" s="48">
        <f>データ!I623</f>
        <v>2820</v>
      </c>
      <c r="I626" s="48">
        <f>データ!J623</f>
        <v>2820</v>
      </c>
      <c r="J626" s="39" t="str">
        <f>IF(OR($C626="総括",$C626="内訳書",$C626="内訳代価",$C626="明細書",$C626="明細代価",$C626="代価表",$C626="単価表"),データ!K623,"")</f>
        <v/>
      </c>
      <c r="K626" s="11" t="str">
        <f t="shared" si="54"/>
        <v/>
      </c>
      <c r="L626" s="46">
        <f t="shared" si="55"/>
        <v>4.0602997710682045E-5</v>
      </c>
      <c r="M626" s="40" t="str">
        <f>IF(データ!L623="","",データ!L623)</f>
        <v/>
      </c>
      <c r="N626" s="41" t="str">
        <f>IF(データ!M623="","",データ!M623)</f>
        <v/>
      </c>
      <c r="O626" s="42">
        <f>データ!N623</f>
        <v>0</v>
      </c>
      <c r="P626" s="48">
        <f>IF($C626="集計行","",データ!O623)</f>
        <v>0</v>
      </c>
      <c r="Q626" s="48">
        <f>データ!P623</f>
        <v>0</v>
      </c>
      <c r="R626" s="39" t="str">
        <f>IF(OR($C626="総括",$C626="内訳書",$C626="内訳代価",$C626="明細書",$C626="明細代価",$C626="代価表",$C626="単価表"),データ!Q623,"")</f>
        <v/>
      </c>
      <c r="S626" s="11" t="str">
        <f t="shared" si="56"/>
        <v/>
      </c>
      <c r="T626" s="46" t="e">
        <f t="shared" si="57"/>
        <v>#DIV/0!</v>
      </c>
      <c r="U626" s="40" t="str">
        <f>IF(データ!R623="","",データ!R623)</f>
        <v/>
      </c>
      <c r="V626" s="41" t="str">
        <f>IF(データ!S623="","",データ!S623)</f>
        <v/>
      </c>
      <c r="W626" s="42">
        <f>データ!T623</f>
        <v>0</v>
      </c>
      <c r="X626" s="48">
        <f>IF($C626="集計行","",データ!U623)</f>
        <v>0</v>
      </c>
      <c r="Y626" s="48">
        <f>データ!V623</f>
        <v>0</v>
      </c>
      <c r="Z626" s="39" t="str">
        <f>IF(OR($C626="総括",$C626="内訳書",$C626="内訳代価",$C626="明細書",$C626="明細代価",$C626="代価表",$C626="単価表"),データ!W623,"")</f>
        <v/>
      </c>
      <c r="AA626" s="11" t="str">
        <f t="shared" si="58"/>
        <v/>
      </c>
      <c r="AB626" s="46" t="e">
        <f t="shared" si="59"/>
        <v>#DIV/0!</v>
      </c>
      <c r="AC626" s="40" t="str">
        <f>IF(データ!X623="","",データ!X623)</f>
        <v/>
      </c>
      <c r="AD626" s="41" t="str">
        <f>IF(データ!Y623="","",データ!Y623)</f>
        <v/>
      </c>
      <c r="AE626" s="47" t="str">
        <f>TRIM(データ!B623)</f>
        <v/>
      </c>
      <c r="AF626" s="43" t="str">
        <f>TRIM(データ!Z623)</f>
        <v/>
      </c>
    </row>
    <row r="627" spans="1:32" x14ac:dyDescent="0.15">
      <c r="A627" s="47">
        <f>データ!A624</f>
        <v>3</v>
      </c>
      <c r="B627" s="47" t="str">
        <f>TRIM(データ!C624)</f>
        <v/>
      </c>
      <c r="C627" s="47" t="str">
        <f>TRIM(データ!D624)</f>
        <v>外注費</v>
      </c>
      <c r="D627" s="36" t="str">
        <f>REPT("｜",$A627)&amp;TRIM(データ!E624)</f>
        <v>｜｜｜外注経費</v>
      </c>
      <c r="E627" s="37" t="str">
        <f>TRIM(データ!F624)</f>
        <v/>
      </c>
      <c r="F627" s="38" t="str">
        <f>TRIM(データ!G624)</f>
        <v>式</v>
      </c>
      <c r="G627" s="50">
        <f>データ!H624</f>
        <v>1</v>
      </c>
      <c r="H627" s="48">
        <f>データ!I624</f>
        <v>16400</v>
      </c>
      <c r="I627" s="48">
        <f>データ!J624</f>
        <v>16400</v>
      </c>
      <c r="J627" s="39" t="str">
        <f>IF(OR($C627="総括",$C627="内訳書",$C627="内訳代価",$C627="明細書",$C627="明細代価",$C627="代価表",$C627="単価表"),データ!K624,"")</f>
        <v/>
      </c>
      <c r="K627" s="11" t="str">
        <f t="shared" si="54"/>
        <v/>
      </c>
      <c r="L627" s="46">
        <f t="shared" si="55"/>
        <v>2.3613090867205162E-4</v>
      </c>
      <c r="M627" s="40" t="str">
        <f>IF(データ!L624="","",データ!L624)</f>
        <v/>
      </c>
      <c r="N627" s="41" t="str">
        <f>IF(データ!M624="","",データ!M624)</f>
        <v/>
      </c>
      <c r="O627" s="42">
        <f>データ!N624</f>
        <v>0</v>
      </c>
      <c r="P627" s="48">
        <f>IF($C627="集計行","",データ!O624)</f>
        <v>0</v>
      </c>
      <c r="Q627" s="48">
        <f>データ!P624</f>
        <v>0</v>
      </c>
      <c r="R627" s="39" t="str">
        <f>IF(OR($C627="総括",$C627="内訳書",$C627="内訳代価",$C627="明細書",$C627="明細代価",$C627="代価表",$C627="単価表"),データ!Q624,"")</f>
        <v/>
      </c>
      <c r="S627" s="11" t="str">
        <f t="shared" si="56"/>
        <v/>
      </c>
      <c r="T627" s="46" t="e">
        <f t="shared" si="57"/>
        <v>#DIV/0!</v>
      </c>
      <c r="U627" s="40" t="str">
        <f>IF(データ!R624="","",データ!R624)</f>
        <v/>
      </c>
      <c r="V627" s="41" t="str">
        <f>IF(データ!S624="","",データ!S624)</f>
        <v/>
      </c>
      <c r="W627" s="42">
        <f>データ!T624</f>
        <v>0</v>
      </c>
      <c r="X627" s="48">
        <f>IF($C627="集計行","",データ!U624)</f>
        <v>0</v>
      </c>
      <c r="Y627" s="48">
        <f>データ!V624</f>
        <v>0</v>
      </c>
      <c r="Z627" s="39" t="str">
        <f>IF(OR($C627="総括",$C627="内訳書",$C627="内訳代価",$C627="明細書",$C627="明細代価",$C627="代価表",$C627="単価表"),データ!W624,"")</f>
        <v/>
      </c>
      <c r="AA627" s="11" t="str">
        <f t="shared" si="58"/>
        <v/>
      </c>
      <c r="AB627" s="46" t="e">
        <f t="shared" si="59"/>
        <v>#DIV/0!</v>
      </c>
      <c r="AC627" s="40" t="str">
        <f>IF(データ!X624="","",データ!X624)</f>
        <v/>
      </c>
      <c r="AD627" s="41" t="str">
        <f>IF(データ!Y624="","",データ!Y624)</f>
        <v/>
      </c>
      <c r="AE627" s="47" t="str">
        <f>TRIM(データ!B624)</f>
        <v/>
      </c>
      <c r="AF627" s="43" t="str">
        <f>TRIM(データ!Z624)</f>
        <v/>
      </c>
    </row>
    <row r="628" spans="1:32" x14ac:dyDescent="0.15">
      <c r="A628" s="47">
        <f>データ!A625</f>
        <v>2</v>
      </c>
      <c r="B628" s="47" t="str">
        <f>TRIM(データ!C625)</f>
        <v/>
      </c>
      <c r="C628" s="47" t="str">
        <f>TRIM(データ!D625)</f>
        <v>内訳書</v>
      </c>
      <c r="D628" s="36" t="str">
        <f>REPT("｜",$A628)&amp;TRIM(データ!E625)</f>
        <v>｜｜アスファルト舗装撤去</v>
      </c>
      <c r="E628" s="37" t="str">
        <f>TRIM(データ!F625)</f>
        <v>切り下げ部</v>
      </c>
      <c r="F628" s="38" t="str">
        <f>TRIM(データ!G625)</f>
        <v>m2</v>
      </c>
      <c r="G628" s="50">
        <f>データ!H625</f>
        <v>45</v>
      </c>
      <c r="H628" s="48">
        <f>データ!I625</f>
        <v>5100</v>
      </c>
      <c r="I628" s="48">
        <f>データ!J625</f>
        <v>229500</v>
      </c>
      <c r="J628" s="39">
        <f>IF(OR($C628="総括",$C628="内訳書",$C628="内訳代価",$C628="明細書",$C628="明細代価",$C628="代価表",$C628="単価表"),データ!K625,"")</f>
        <v>45</v>
      </c>
      <c r="K628" s="11" t="str">
        <f t="shared" si="54"/>
        <v/>
      </c>
      <c r="L628" s="46">
        <f t="shared" si="55"/>
        <v>3.3043928987948686E-3</v>
      </c>
      <c r="M628" s="40" t="str">
        <f>IF(データ!L625="","",データ!L625)</f>
        <v/>
      </c>
      <c r="N628" s="41" t="str">
        <f>IF(データ!M625="","",データ!M625)</f>
        <v>80号内訳書</v>
      </c>
      <c r="O628" s="42">
        <f>データ!N625</f>
        <v>0</v>
      </c>
      <c r="P628" s="48">
        <f>IF($C628="集計行","",データ!O625)</f>
        <v>0</v>
      </c>
      <c r="Q628" s="48">
        <f>データ!P625</f>
        <v>0</v>
      </c>
      <c r="R628" s="39">
        <f>IF(OR($C628="総括",$C628="内訳書",$C628="内訳代価",$C628="明細書",$C628="明細代価",$C628="代価表",$C628="単価表"),データ!Q625,"")</f>
        <v>0</v>
      </c>
      <c r="S628" s="11" t="str">
        <f t="shared" si="56"/>
        <v/>
      </c>
      <c r="T628" s="46" t="e">
        <f t="shared" si="57"/>
        <v>#DIV/0!</v>
      </c>
      <c r="U628" s="40" t="str">
        <f>IF(データ!R625="","",データ!R625)</f>
        <v/>
      </c>
      <c r="V628" s="41" t="str">
        <f>IF(データ!S625="","",データ!S625)</f>
        <v/>
      </c>
      <c r="W628" s="42">
        <f>データ!T625</f>
        <v>0</v>
      </c>
      <c r="X628" s="48">
        <f>IF($C628="集計行","",データ!U625)</f>
        <v>0</v>
      </c>
      <c r="Y628" s="48">
        <f>データ!V625</f>
        <v>0</v>
      </c>
      <c r="Z628" s="39">
        <f>IF(OR($C628="総括",$C628="内訳書",$C628="内訳代価",$C628="明細書",$C628="明細代価",$C628="代価表",$C628="単価表"),データ!W625,"")</f>
        <v>0</v>
      </c>
      <c r="AA628" s="11" t="str">
        <f t="shared" si="58"/>
        <v/>
      </c>
      <c r="AB628" s="46" t="e">
        <f t="shared" si="59"/>
        <v>#DIV/0!</v>
      </c>
      <c r="AC628" s="40" t="str">
        <f>IF(データ!X625="","",データ!X625)</f>
        <v/>
      </c>
      <c r="AD628" s="41" t="str">
        <f>IF(データ!Y625="","",データ!Y625)</f>
        <v/>
      </c>
      <c r="AE628" s="47" t="str">
        <f>TRIM(データ!B625)</f>
        <v/>
      </c>
      <c r="AF628" s="43" t="str">
        <f>TRIM(データ!Z625)</f>
        <v/>
      </c>
    </row>
    <row r="629" spans="1:32" x14ac:dyDescent="0.15">
      <c r="A629" s="47">
        <f>データ!A626</f>
        <v>3</v>
      </c>
      <c r="B629" s="47" t="str">
        <f>TRIM(データ!C626)</f>
        <v/>
      </c>
      <c r="C629" s="47" t="str">
        <f>TRIM(データ!D626)</f>
        <v>労務費</v>
      </c>
      <c r="D629" s="36" t="str">
        <f>REPT("｜",$A629)&amp;TRIM(データ!E626)</f>
        <v>｜｜｜技工</v>
      </c>
      <c r="E629" s="37" t="str">
        <f>TRIM(データ!F626)</f>
        <v/>
      </c>
      <c r="F629" s="38" t="str">
        <f>TRIM(データ!G626)</f>
        <v>人</v>
      </c>
      <c r="G629" s="50">
        <f>データ!H626</f>
        <v>5</v>
      </c>
      <c r="H629" s="48">
        <f>データ!I626</f>
        <v>32000</v>
      </c>
      <c r="I629" s="48">
        <f>データ!J626</f>
        <v>160000</v>
      </c>
      <c r="J629" s="39" t="str">
        <f>IF(OR($C629="総括",$C629="内訳書",$C629="内訳代価",$C629="明細書",$C629="明細代価",$C629="代価表",$C629="単価表"),データ!K626,"")</f>
        <v/>
      </c>
      <c r="K629" s="11" t="str">
        <f t="shared" si="54"/>
        <v/>
      </c>
      <c r="L629" s="46">
        <f t="shared" si="55"/>
        <v>2.303716182166357E-3</v>
      </c>
      <c r="M629" s="40" t="str">
        <f>IF(データ!L626="","",データ!L626)</f>
        <v/>
      </c>
      <c r="N629" s="41" t="str">
        <f>IF(データ!M626="","",データ!M626)</f>
        <v/>
      </c>
      <c r="O629" s="42">
        <f>データ!N626</f>
        <v>0</v>
      </c>
      <c r="P629" s="48">
        <f>IF($C629="集計行","",データ!O626)</f>
        <v>0</v>
      </c>
      <c r="Q629" s="48">
        <f>データ!P626</f>
        <v>0</v>
      </c>
      <c r="R629" s="39" t="str">
        <f>IF(OR($C629="総括",$C629="内訳書",$C629="内訳代価",$C629="明細書",$C629="明細代価",$C629="代価表",$C629="単価表"),データ!Q626,"")</f>
        <v/>
      </c>
      <c r="S629" s="11" t="str">
        <f t="shared" si="56"/>
        <v/>
      </c>
      <c r="T629" s="46" t="e">
        <f t="shared" si="57"/>
        <v>#DIV/0!</v>
      </c>
      <c r="U629" s="40" t="str">
        <f>IF(データ!R626="","",データ!R626)</f>
        <v/>
      </c>
      <c r="V629" s="41" t="str">
        <f>IF(データ!S626="","",データ!S626)</f>
        <v/>
      </c>
      <c r="W629" s="42">
        <f>データ!T626</f>
        <v>0</v>
      </c>
      <c r="X629" s="48">
        <f>IF($C629="集計行","",データ!U626)</f>
        <v>0</v>
      </c>
      <c r="Y629" s="48">
        <f>データ!V626</f>
        <v>0</v>
      </c>
      <c r="Z629" s="39" t="str">
        <f>IF(OR($C629="総括",$C629="内訳書",$C629="内訳代価",$C629="明細書",$C629="明細代価",$C629="代価表",$C629="単価表"),データ!W626,"")</f>
        <v/>
      </c>
      <c r="AA629" s="11" t="str">
        <f t="shared" si="58"/>
        <v/>
      </c>
      <c r="AB629" s="46" t="e">
        <f t="shared" si="59"/>
        <v>#DIV/0!</v>
      </c>
      <c r="AC629" s="40" t="str">
        <f>IF(データ!X626="","",データ!X626)</f>
        <v/>
      </c>
      <c r="AD629" s="41" t="str">
        <f>IF(データ!Y626="","",データ!Y626)</f>
        <v/>
      </c>
      <c r="AE629" s="47" t="str">
        <f>TRIM(データ!B626)</f>
        <v/>
      </c>
      <c r="AF629" s="43" t="str">
        <f>TRIM(データ!Z626)</f>
        <v/>
      </c>
    </row>
    <row r="630" spans="1:32" x14ac:dyDescent="0.15">
      <c r="A630" s="47">
        <f>データ!A627</f>
        <v>3</v>
      </c>
      <c r="B630" s="47" t="str">
        <f>TRIM(データ!C627)</f>
        <v/>
      </c>
      <c r="C630" s="47" t="str">
        <f>TRIM(データ!D627)</f>
        <v>機械費</v>
      </c>
      <c r="D630" s="36" t="str">
        <f>REPT("｜",$A630)&amp;TRIM(データ!E627)</f>
        <v>｜｜｜BH0.15</v>
      </c>
      <c r="E630" s="37" t="str">
        <f>TRIM(データ!F627)</f>
        <v/>
      </c>
      <c r="F630" s="38" t="str">
        <f>TRIM(データ!G627)</f>
        <v>台</v>
      </c>
      <c r="G630" s="50">
        <f>データ!H627</f>
        <v>1</v>
      </c>
      <c r="H630" s="48">
        <f>データ!I627</f>
        <v>8000</v>
      </c>
      <c r="I630" s="48">
        <f>データ!J627</f>
        <v>8000</v>
      </c>
      <c r="J630" s="39" t="str">
        <f>IF(OR($C630="総括",$C630="内訳書",$C630="内訳代価",$C630="明細書",$C630="明細代価",$C630="代価表",$C630="単価表"),データ!K627,"")</f>
        <v/>
      </c>
      <c r="K630" s="11" t="str">
        <f t="shared" si="54"/>
        <v/>
      </c>
      <c r="L630" s="46">
        <f t="shared" si="55"/>
        <v>1.1518580910831785E-4</v>
      </c>
      <c r="M630" s="40" t="str">
        <f>IF(データ!L627="","",データ!L627)</f>
        <v/>
      </c>
      <c r="N630" s="41" t="str">
        <f>IF(データ!M627="","",データ!M627)</f>
        <v/>
      </c>
      <c r="O630" s="42">
        <f>データ!N627</f>
        <v>0</v>
      </c>
      <c r="P630" s="48">
        <f>IF($C630="集計行","",データ!O627)</f>
        <v>0</v>
      </c>
      <c r="Q630" s="48">
        <f>データ!P627</f>
        <v>0</v>
      </c>
      <c r="R630" s="39" t="str">
        <f>IF(OR($C630="総括",$C630="内訳書",$C630="内訳代価",$C630="明細書",$C630="明細代価",$C630="代価表",$C630="単価表"),データ!Q627,"")</f>
        <v/>
      </c>
      <c r="S630" s="11" t="str">
        <f t="shared" si="56"/>
        <v/>
      </c>
      <c r="T630" s="46" t="e">
        <f t="shared" si="57"/>
        <v>#DIV/0!</v>
      </c>
      <c r="U630" s="40" t="str">
        <f>IF(データ!R627="","",データ!R627)</f>
        <v/>
      </c>
      <c r="V630" s="41" t="str">
        <f>IF(データ!S627="","",データ!S627)</f>
        <v/>
      </c>
      <c r="W630" s="42">
        <f>データ!T627</f>
        <v>0</v>
      </c>
      <c r="X630" s="48">
        <f>IF($C630="集計行","",データ!U627)</f>
        <v>0</v>
      </c>
      <c r="Y630" s="48">
        <f>データ!V627</f>
        <v>0</v>
      </c>
      <c r="Z630" s="39" t="str">
        <f>IF(OR($C630="総括",$C630="内訳書",$C630="内訳代価",$C630="明細書",$C630="明細代価",$C630="代価表",$C630="単価表"),データ!W627,"")</f>
        <v/>
      </c>
      <c r="AA630" s="11" t="str">
        <f t="shared" si="58"/>
        <v/>
      </c>
      <c r="AB630" s="46" t="e">
        <f t="shared" si="59"/>
        <v>#DIV/0!</v>
      </c>
      <c r="AC630" s="40" t="str">
        <f>IF(データ!X627="","",データ!X627)</f>
        <v/>
      </c>
      <c r="AD630" s="41" t="str">
        <f>IF(データ!Y627="","",データ!Y627)</f>
        <v/>
      </c>
      <c r="AE630" s="47" t="str">
        <f>TRIM(データ!B627)</f>
        <v/>
      </c>
      <c r="AF630" s="43" t="str">
        <f>TRIM(データ!Z627)</f>
        <v/>
      </c>
    </row>
    <row r="631" spans="1:32" x14ac:dyDescent="0.15">
      <c r="A631" s="47">
        <f>データ!A628</f>
        <v>3</v>
      </c>
      <c r="B631" s="47" t="str">
        <f>TRIM(データ!C628)</f>
        <v/>
      </c>
      <c r="C631" s="47" t="str">
        <f>TRIM(データ!D628)</f>
        <v>機械費</v>
      </c>
      <c r="D631" s="36" t="str">
        <f>REPT("｜",$A631)&amp;TRIM(データ!E628)</f>
        <v>｜｜｜タイヤショベル</v>
      </c>
      <c r="E631" s="37" t="str">
        <f>TRIM(データ!F628)</f>
        <v/>
      </c>
      <c r="F631" s="38" t="str">
        <f>TRIM(データ!G628)</f>
        <v>台</v>
      </c>
      <c r="G631" s="50">
        <f>データ!H628</f>
        <v>1</v>
      </c>
      <c r="H631" s="48">
        <f>データ!I628</f>
        <v>8000</v>
      </c>
      <c r="I631" s="48">
        <f>データ!J628</f>
        <v>8000</v>
      </c>
      <c r="J631" s="39" t="str">
        <f>IF(OR($C631="総括",$C631="内訳書",$C631="内訳代価",$C631="明細書",$C631="明細代価",$C631="代価表",$C631="単価表"),データ!K628,"")</f>
        <v/>
      </c>
      <c r="K631" s="11" t="str">
        <f t="shared" si="54"/>
        <v/>
      </c>
      <c r="L631" s="46">
        <f t="shared" si="55"/>
        <v>1.1518580910831785E-4</v>
      </c>
      <c r="M631" s="40" t="str">
        <f>IF(データ!L628="","",データ!L628)</f>
        <v/>
      </c>
      <c r="N631" s="41" t="str">
        <f>IF(データ!M628="","",データ!M628)</f>
        <v/>
      </c>
      <c r="O631" s="42">
        <f>データ!N628</f>
        <v>0</v>
      </c>
      <c r="P631" s="48">
        <f>IF($C631="集計行","",データ!O628)</f>
        <v>0</v>
      </c>
      <c r="Q631" s="48">
        <f>データ!P628</f>
        <v>0</v>
      </c>
      <c r="R631" s="39" t="str">
        <f>IF(OR($C631="総括",$C631="内訳書",$C631="内訳代価",$C631="明細書",$C631="明細代価",$C631="代価表",$C631="単価表"),データ!Q628,"")</f>
        <v/>
      </c>
      <c r="S631" s="11" t="str">
        <f t="shared" si="56"/>
        <v/>
      </c>
      <c r="T631" s="46" t="e">
        <f t="shared" si="57"/>
        <v>#DIV/0!</v>
      </c>
      <c r="U631" s="40" t="str">
        <f>IF(データ!R628="","",データ!R628)</f>
        <v/>
      </c>
      <c r="V631" s="41" t="str">
        <f>IF(データ!S628="","",データ!S628)</f>
        <v/>
      </c>
      <c r="W631" s="42">
        <f>データ!T628</f>
        <v>0</v>
      </c>
      <c r="X631" s="48">
        <f>IF($C631="集計行","",データ!U628)</f>
        <v>0</v>
      </c>
      <c r="Y631" s="48">
        <f>データ!V628</f>
        <v>0</v>
      </c>
      <c r="Z631" s="39" t="str">
        <f>IF(OR($C631="総括",$C631="内訳書",$C631="内訳代価",$C631="明細書",$C631="明細代価",$C631="代価表",$C631="単価表"),データ!W628,"")</f>
        <v/>
      </c>
      <c r="AA631" s="11" t="str">
        <f t="shared" si="58"/>
        <v/>
      </c>
      <c r="AB631" s="46" t="e">
        <f t="shared" si="59"/>
        <v>#DIV/0!</v>
      </c>
      <c r="AC631" s="40" t="str">
        <f>IF(データ!X628="","",データ!X628)</f>
        <v/>
      </c>
      <c r="AD631" s="41" t="str">
        <f>IF(データ!Y628="","",データ!Y628)</f>
        <v/>
      </c>
      <c r="AE631" s="47" t="str">
        <f>TRIM(データ!B628)</f>
        <v/>
      </c>
      <c r="AF631" s="43" t="str">
        <f>TRIM(データ!Z628)</f>
        <v/>
      </c>
    </row>
    <row r="632" spans="1:32" x14ac:dyDescent="0.15">
      <c r="A632" s="47">
        <f>データ!A629</f>
        <v>3</v>
      </c>
      <c r="B632" s="47" t="str">
        <f>TRIM(データ!C629)</f>
        <v/>
      </c>
      <c r="C632" s="47" t="str">
        <f>TRIM(データ!D629)</f>
        <v>運搬費</v>
      </c>
      <c r="D632" s="36" t="str">
        <f>REPT("｜",$A632)&amp;TRIM(データ!E629)</f>
        <v>｜｜｜4tダンプ</v>
      </c>
      <c r="E632" s="37" t="str">
        <f>TRIM(データ!F629)</f>
        <v/>
      </c>
      <c r="F632" s="38" t="str">
        <f>TRIM(データ!G629)</f>
        <v>台</v>
      </c>
      <c r="G632" s="50">
        <f>データ!H629</f>
        <v>1</v>
      </c>
      <c r="H632" s="48">
        <f>データ!I629</f>
        <v>10000</v>
      </c>
      <c r="I632" s="48">
        <f>データ!J629</f>
        <v>10000</v>
      </c>
      <c r="J632" s="39" t="str">
        <f>IF(OR($C632="総括",$C632="内訳書",$C632="内訳代価",$C632="明細書",$C632="明細代価",$C632="代価表",$C632="単価表"),データ!K629,"")</f>
        <v/>
      </c>
      <c r="K632" s="11" t="str">
        <f t="shared" si="54"/>
        <v/>
      </c>
      <c r="L632" s="46">
        <f t="shared" si="55"/>
        <v>1.4398226138539731E-4</v>
      </c>
      <c r="M632" s="40" t="str">
        <f>IF(データ!L629="","",データ!L629)</f>
        <v/>
      </c>
      <c r="N632" s="41" t="str">
        <f>IF(データ!M629="","",データ!M629)</f>
        <v/>
      </c>
      <c r="O632" s="42">
        <f>データ!N629</f>
        <v>0</v>
      </c>
      <c r="P632" s="48">
        <f>IF($C632="集計行","",データ!O629)</f>
        <v>0</v>
      </c>
      <c r="Q632" s="48">
        <f>データ!P629</f>
        <v>0</v>
      </c>
      <c r="R632" s="39" t="str">
        <f>IF(OR($C632="総括",$C632="内訳書",$C632="内訳代価",$C632="明細書",$C632="明細代価",$C632="代価表",$C632="単価表"),データ!Q629,"")</f>
        <v/>
      </c>
      <c r="S632" s="11" t="str">
        <f t="shared" si="56"/>
        <v/>
      </c>
      <c r="T632" s="46" t="e">
        <f t="shared" si="57"/>
        <v>#DIV/0!</v>
      </c>
      <c r="U632" s="40" t="str">
        <f>IF(データ!R629="","",データ!R629)</f>
        <v/>
      </c>
      <c r="V632" s="41" t="str">
        <f>IF(データ!S629="","",データ!S629)</f>
        <v/>
      </c>
      <c r="W632" s="42">
        <f>データ!T629</f>
        <v>0</v>
      </c>
      <c r="X632" s="48">
        <f>IF($C632="集計行","",データ!U629)</f>
        <v>0</v>
      </c>
      <c r="Y632" s="48">
        <f>データ!V629</f>
        <v>0</v>
      </c>
      <c r="Z632" s="39" t="str">
        <f>IF(OR($C632="総括",$C632="内訳書",$C632="内訳代価",$C632="明細書",$C632="明細代価",$C632="代価表",$C632="単価表"),データ!W629,"")</f>
        <v/>
      </c>
      <c r="AA632" s="11" t="str">
        <f t="shared" si="58"/>
        <v/>
      </c>
      <c r="AB632" s="46" t="e">
        <f t="shared" si="59"/>
        <v>#DIV/0!</v>
      </c>
      <c r="AC632" s="40" t="str">
        <f>IF(データ!X629="","",データ!X629)</f>
        <v/>
      </c>
      <c r="AD632" s="41" t="str">
        <f>IF(データ!Y629="","",データ!Y629)</f>
        <v/>
      </c>
      <c r="AE632" s="47" t="str">
        <f>TRIM(データ!B629)</f>
        <v/>
      </c>
      <c r="AF632" s="43" t="str">
        <f>TRIM(データ!Z629)</f>
        <v/>
      </c>
    </row>
    <row r="633" spans="1:32" x14ac:dyDescent="0.15">
      <c r="A633" s="47">
        <f>データ!A630</f>
        <v>3</v>
      </c>
      <c r="B633" s="47" t="str">
        <f>TRIM(データ!C630)</f>
        <v/>
      </c>
      <c r="C633" s="47" t="str">
        <f>TRIM(データ!D630)</f>
        <v>運搬費</v>
      </c>
      <c r="D633" s="36" t="str">
        <f>REPT("｜",$A633)&amp;TRIM(データ!E630)</f>
        <v>｜｜｜2tダンプ</v>
      </c>
      <c r="E633" s="37" t="str">
        <f>TRIM(データ!F630)</f>
        <v/>
      </c>
      <c r="F633" s="38" t="str">
        <f>TRIM(データ!G630)</f>
        <v>台</v>
      </c>
      <c r="G633" s="50">
        <f>データ!H630</f>
        <v>1</v>
      </c>
      <c r="H633" s="48">
        <f>データ!I630</f>
        <v>7000</v>
      </c>
      <c r="I633" s="48">
        <f>データ!J630</f>
        <v>7000</v>
      </c>
      <c r="J633" s="39" t="str">
        <f>IF(OR($C633="総括",$C633="内訳書",$C633="内訳代価",$C633="明細書",$C633="明細代価",$C633="代価表",$C633="単価表"),データ!K630,"")</f>
        <v/>
      </c>
      <c r="K633" s="11" t="str">
        <f t="shared" si="54"/>
        <v/>
      </c>
      <c r="L633" s="46">
        <f t="shared" si="55"/>
        <v>1.0078758296977812E-4</v>
      </c>
      <c r="M633" s="40" t="str">
        <f>IF(データ!L630="","",データ!L630)</f>
        <v/>
      </c>
      <c r="N633" s="41" t="str">
        <f>IF(データ!M630="","",データ!M630)</f>
        <v/>
      </c>
      <c r="O633" s="42">
        <f>データ!N630</f>
        <v>0</v>
      </c>
      <c r="P633" s="48">
        <f>IF($C633="集計行","",データ!O630)</f>
        <v>0</v>
      </c>
      <c r="Q633" s="48">
        <f>データ!P630</f>
        <v>0</v>
      </c>
      <c r="R633" s="39" t="str">
        <f>IF(OR($C633="総括",$C633="内訳書",$C633="内訳代価",$C633="明細書",$C633="明細代価",$C633="代価表",$C633="単価表"),データ!Q630,"")</f>
        <v/>
      </c>
      <c r="S633" s="11" t="str">
        <f t="shared" si="56"/>
        <v/>
      </c>
      <c r="T633" s="46" t="e">
        <f t="shared" si="57"/>
        <v>#DIV/0!</v>
      </c>
      <c r="U633" s="40" t="str">
        <f>IF(データ!R630="","",データ!R630)</f>
        <v/>
      </c>
      <c r="V633" s="41" t="str">
        <f>IF(データ!S630="","",データ!S630)</f>
        <v/>
      </c>
      <c r="W633" s="42">
        <f>データ!T630</f>
        <v>0</v>
      </c>
      <c r="X633" s="48">
        <f>IF($C633="集計行","",データ!U630)</f>
        <v>0</v>
      </c>
      <c r="Y633" s="48">
        <f>データ!V630</f>
        <v>0</v>
      </c>
      <c r="Z633" s="39" t="str">
        <f>IF(OR($C633="総括",$C633="内訳書",$C633="内訳代価",$C633="明細書",$C633="明細代価",$C633="代価表",$C633="単価表"),データ!W630,"")</f>
        <v/>
      </c>
      <c r="AA633" s="11" t="str">
        <f t="shared" si="58"/>
        <v/>
      </c>
      <c r="AB633" s="46" t="e">
        <f t="shared" si="59"/>
        <v>#DIV/0!</v>
      </c>
      <c r="AC633" s="40" t="str">
        <f>IF(データ!X630="","",データ!X630)</f>
        <v/>
      </c>
      <c r="AD633" s="41" t="str">
        <f>IF(データ!Y630="","",データ!Y630)</f>
        <v/>
      </c>
      <c r="AE633" s="47" t="str">
        <f>TRIM(データ!B630)</f>
        <v/>
      </c>
      <c r="AF633" s="43" t="str">
        <f>TRIM(データ!Z630)</f>
        <v/>
      </c>
    </row>
    <row r="634" spans="1:32" x14ac:dyDescent="0.15">
      <c r="A634" s="47">
        <f>データ!A631</f>
        <v>3</v>
      </c>
      <c r="B634" s="47" t="str">
        <f>TRIM(データ!C631)</f>
        <v/>
      </c>
      <c r="C634" s="47" t="str">
        <f>TRIM(データ!D631)</f>
        <v>材料費</v>
      </c>
      <c r="D634" s="36" t="str">
        <f>REPT("｜",$A634)&amp;TRIM(データ!E631)</f>
        <v>｜｜｜軽油</v>
      </c>
      <c r="E634" s="37" t="str">
        <f>TRIM(データ!F631)</f>
        <v/>
      </c>
      <c r="F634" s="38" t="str">
        <f>TRIM(データ!G631)</f>
        <v>リットル</v>
      </c>
      <c r="G634" s="50">
        <f>データ!H631</f>
        <v>40</v>
      </c>
      <c r="H634" s="48">
        <f>データ!I631</f>
        <v>150</v>
      </c>
      <c r="I634" s="48">
        <f>データ!J631</f>
        <v>6000</v>
      </c>
      <c r="J634" s="39" t="str">
        <f>IF(OR($C634="総括",$C634="内訳書",$C634="内訳代価",$C634="明細書",$C634="明細代価",$C634="代価表",$C634="単価表"),データ!K631,"")</f>
        <v/>
      </c>
      <c r="K634" s="11" t="str">
        <f t="shared" si="54"/>
        <v/>
      </c>
      <c r="L634" s="46">
        <f t="shared" si="55"/>
        <v>8.6389356831238388E-5</v>
      </c>
      <c r="M634" s="40" t="str">
        <f>IF(データ!L631="","",データ!L631)</f>
        <v/>
      </c>
      <c r="N634" s="41" t="str">
        <f>IF(データ!M631="","",データ!M631)</f>
        <v/>
      </c>
      <c r="O634" s="42">
        <f>データ!N631</f>
        <v>0</v>
      </c>
      <c r="P634" s="48">
        <f>IF($C634="集計行","",データ!O631)</f>
        <v>0</v>
      </c>
      <c r="Q634" s="48">
        <f>データ!P631</f>
        <v>0</v>
      </c>
      <c r="R634" s="39" t="str">
        <f>IF(OR($C634="総括",$C634="内訳書",$C634="内訳代価",$C634="明細書",$C634="明細代価",$C634="代価表",$C634="単価表"),データ!Q631,"")</f>
        <v/>
      </c>
      <c r="S634" s="11" t="str">
        <f t="shared" si="56"/>
        <v/>
      </c>
      <c r="T634" s="46" t="e">
        <f t="shared" si="57"/>
        <v>#DIV/0!</v>
      </c>
      <c r="U634" s="40" t="str">
        <f>IF(データ!R631="","",データ!R631)</f>
        <v/>
      </c>
      <c r="V634" s="41" t="str">
        <f>IF(データ!S631="","",データ!S631)</f>
        <v/>
      </c>
      <c r="W634" s="42">
        <f>データ!T631</f>
        <v>0</v>
      </c>
      <c r="X634" s="48">
        <f>IF($C634="集計行","",データ!U631)</f>
        <v>0</v>
      </c>
      <c r="Y634" s="48">
        <f>データ!V631</f>
        <v>0</v>
      </c>
      <c r="Z634" s="39" t="str">
        <f>IF(OR($C634="総括",$C634="内訳書",$C634="内訳代価",$C634="明細書",$C634="明細代価",$C634="代価表",$C634="単価表"),データ!W631,"")</f>
        <v/>
      </c>
      <c r="AA634" s="11" t="str">
        <f t="shared" si="58"/>
        <v/>
      </c>
      <c r="AB634" s="46" t="e">
        <f t="shared" si="59"/>
        <v>#DIV/0!</v>
      </c>
      <c r="AC634" s="40" t="str">
        <f>IF(データ!X631="","",データ!X631)</f>
        <v/>
      </c>
      <c r="AD634" s="41" t="str">
        <f>IF(データ!Y631="","",データ!Y631)</f>
        <v/>
      </c>
      <c r="AE634" s="47" t="str">
        <f>TRIM(データ!B631)</f>
        <v/>
      </c>
      <c r="AF634" s="43" t="str">
        <f>TRIM(データ!Z631)</f>
        <v/>
      </c>
    </row>
    <row r="635" spans="1:32" x14ac:dyDescent="0.15">
      <c r="A635" s="47">
        <f>データ!A632</f>
        <v>3</v>
      </c>
      <c r="B635" s="47" t="str">
        <f>TRIM(データ!C632)</f>
        <v/>
      </c>
      <c r="C635" s="47" t="str">
        <f>TRIM(データ!D632)</f>
        <v>材料費</v>
      </c>
      <c r="D635" s="36" t="str">
        <f>REPT("｜",$A635)&amp;TRIM(データ!E632)</f>
        <v>｜｜｜ガソリン</v>
      </c>
      <c r="E635" s="37" t="str">
        <f>TRIM(データ!F632)</f>
        <v/>
      </c>
      <c r="F635" s="38" t="str">
        <f>TRIM(データ!G632)</f>
        <v>リットル</v>
      </c>
      <c r="G635" s="50">
        <f>データ!H632</f>
        <v>40</v>
      </c>
      <c r="H635" s="48">
        <f>データ!I632</f>
        <v>200</v>
      </c>
      <c r="I635" s="48">
        <f>データ!J632</f>
        <v>8000</v>
      </c>
      <c r="J635" s="39" t="str">
        <f>IF(OR($C635="総括",$C635="内訳書",$C635="内訳代価",$C635="明細書",$C635="明細代価",$C635="代価表",$C635="単価表"),データ!K632,"")</f>
        <v/>
      </c>
      <c r="K635" s="11" t="str">
        <f t="shared" si="54"/>
        <v/>
      </c>
      <c r="L635" s="46">
        <f t="shared" si="55"/>
        <v>1.1518580910831785E-4</v>
      </c>
      <c r="M635" s="40" t="str">
        <f>IF(データ!L632="","",データ!L632)</f>
        <v/>
      </c>
      <c r="N635" s="41" t="str">
        <f>IF(データ!M632="","",データ!M632)</f>
        <v/>
      </c>
      <c r="O635" s="42">
        <f>データ!N632</f>
        <v>0</v>
      </c>
      <c r="P635" s="48">
        <f>IF($C635="集計行","",データ!O632)</f>
        <v>0</v>
      </c>
      <c r="Q635" s="48">
        <f>データ!P632</f>
        <v>0</v>
      </c>
      <c r="R635" s="39" t="str">
        <f>IF(OR($C635="総括",$C635="内訳書",$C635="内訳代価",$C635="明細書",$C635="明細代価",$C635="代価表",$C635="単価表"),データ!Q632,"")</f>
        <v/>
      </c>
      <c r="S635" s="11" t="str">
        <f t="shared" si="56"/>
        <v/>
      </c>
      <c r="T635" s="46" t="e">
        <f t="shared" si="57"/>
        <v>#DIV/0!</v>
      </c>
      <c r="U635" s="40" t="str">
        <f>IF(データ!R632="","",データ!R632)</f>
        <v/>
      </c>
      <c r="V635" s="41" t="str">
        <f>IF(データ!S632="","",データ!S632)</f>
        <v/>
      </c>
      <c r="W635" s="42">
        <f>データ!T632</f>
        <v>0</v>
      </c>
      <c r="X635" s="48">
        <f>IF($C635="集計行","",データ!U632)</f>
        <v>0</v>
      </c>
      <c r="Y635" s="48">
        <f>データ!V632</f>
        <v>0</v>
      </c>
      <c r="Z635" s="39" t="str">
        <f>IF(OR($C635="総括",$C635="内訳書",$C635="内訳代価",$C635="明細書",$C635="明細代価",$C635="代価表",$C635="単価表"),データ!W632,"")</f>
        <v/>
      </c>
      <c r="AA635" s="11" t="str">
        <f t="shared" si="58"/>
        <v/>
      </c>
      <c r="AB635" s="46" t="e">
        <f t="shared" si="59"/>
        <v>#DIV/0!</v>
      </c>
      <c r="AC635" s="40" t="str">
        <f>IF(データ!X632="","",データ!X632)</f>
        <v/>
      </c>
      <c r="AD635" s="41" t="str">
        <f>IF(データ!Y632="","",データ!Y632)</f>
        <v/>
      </c>
      <c r="AE635" s="47" t="str">
        <f>TRIM(データ!B632)</f>
        <v/>
      </c>
      <c r="AF635" s="43" t="str">
        <f>TRIM(データ!Z632)</f>
        <v/>
      </c>
    </row>
    <row r="636" spans="1:32" x14ac:dyDescent="0.15">
      <c r="A636" s="47">
        <f>データ!A633</f>
        <v>3</v>
      </c>
      <c r="B636" s="47" t="str">
        <f>TRIM(データ!C633)</f>
        <v/>
      </c>
      <c r="C636" s="47" t="str">
        <f>TRIM(データ!D633)</f>
        <v>材料費</v>
      </c>
      <c r="D636" s="36" t="str">
        <f>REPT("｜",$A636)&amp;TRIM(データ!E633)</f>
        <v>｜｜｜雑材</v>
      </c>
      <c r="E636" s="37" t="str">
        <f>TRIM(データ!F633)</f>
        <v/>
      </c>
      <c r="F636" s="38" t="str">
        <f>TRIM(データ!G633)</f>
        <v>式</v>
      </c>
      <c r="G636" s="50">
        <f>データ!H633</f>
        <v>1</v>
      </c>
      <c r="H636" s="48">
        <f>データ!I633</f>
        <v>3200</v>
      </c>
      <c r="I636" s="48">
        <f>データ!J633</f>
        <v>3200</v>
      </c>
      <c r="J636" s="39" t="str">
        <f>IF(OR($C636="総括",$C636="内訳書",$C636="内訳代価",$C636="明細書",$C636="明細代価",$C636="代価表",$C636="単価表"),データ!K633,"")</f>
        <v/>
      </c>
      <c r="K636" s="11" t="str">
        <f t="shared" si="54"/>
        <v/>
      </c>
      <c r="L636" s="46">
        <f t="shared" si="55"/>
        <v>4.6074323643327144E-5</v>
      </c>
      <c r="M636" s="40" t="str">
        <f>IF(データ!L633="","",データ!L633)</f>
        <v/>
      </c>
      <c r="N636" s="41" t="str">
        <f>IF(データ!M633="","",データ!M633)</f>
        <v/>
      </c>
      <c r="O636" s="42">
        <f>データ!N633</f>
        <v>0</v>
      </c>
      <c r="P636" s="48">
        <f>IF($C636="集計行","",データ!O633)</f>
        <v>0</v>
      </c>
      <c r="Q636" s="48">
        <f>データ!P633</f>
        <v>0</v>
      </c>
      <c r="R636" s="39" t="str">
        <f>IF(OR($C636="総括",$C636="内訳書",$C636="内訳代価",$C636="明細書",$C636="明細代価",$C636="代価表",$C636="単価表"),データ!Q633,"")</f>
        <v/>
      </c>
      <c r="S636" s="11" t="str">
        <f t="shared" si="56"/>
        <v/>
      </c>
      <c r="T636" s="46" t="e">
        <f t="shared" si="57"/>
        <v>#DIV/0!</v>
      </c>
      <c r="U636" s="40" t="str">
        <f>IF(データ!R633="","",データ!R633)</f>
        <v/>
      </c>
      <c r="V636" s="41" t="str">
        <f>IF(データ!S633="","",データ!S633)</f>
        <v/>
      </c>
      <c r="W636" s="42">
        <f>データ!T633</f>
        <v>0</v>
      </c>
      <c r="X636" s="48">
        <f>IF($C636="集計行","",データ!U633)</f>
        <v>0</v>
      </c>
      <c r="Y636" s="48">
        <f>データ!V633</f>
        <v>0</v>
      </c>
      <c r="Z636" s="39" t="str">
        <f>IF(OR($C636="総括",$C636="内訳書",$C636="内訳代価",$C636="明細書",$C636="明細代価",$C636="代価表",$C636="単価表"),データ!W633,"")</f>
        <v/>
      </c>
      <c r="AA636" s="11" t="str">
        <f t="shared" si="58"/>
        <v/>
      </c>
      <c r="AB636" s="46" t="e">
        <f t="shared" si="59"/>
        <v>#DIV/0!</v>
      </c>
      <c r="AC636" s="40" t="str">
        <f>IF(データ!X633="","",データ!X633)</f>
        <v/>
      </c>
      <c r="AD636" s="41" t="str">
        <f>IF(データ!Y633="","",データ!Y633)</f>
        <v/>
      </c>
      <c r="AE636" s="47" t="str">
        <f>TRIM(データ!B633)</f>
        <v/>
      </c>
      <c r="AF636" s="43" t="str">
        <f>TRIM(データ!Z633)</f>
        <v/>
      </c>
    </row>
    <row r="637" spans="1:32" x14ac:dyDescent="0.15">
      <c r="A637" s="47">
        <f>データ!A634</f>
        <v>3</v>
      </c>
      <c r="B637" s="47" t="str">
        <f>TRIM(データ!C634)</f>
        <v/>
      </c>
      <c r="C637" s="47" t="str">
        <f>TRIM(データ!D634)</f>
        <v>外注費</v>
      </c>
      <c r="D637" s="36" t="str">
        <f>REPT("｜",$A637)&amp;TRIM(データ!E634)</f>
        <v>｜｜｜外注経費</v>
      </c>
      <c r="E637" s="37" t="str">
        <f>TRIM(データ!F634)</f>
        <v/>
      </c>
      <c r="F637" s="38" t="str">
        <f>TRIM(データ!G634)</f>
        <v>式</v>
      </c>
      <c r="G637" s="50">
        <f>データ!H634</f>
        <v>1</v>
      </c>
      <c r="H637" s="48">
        <f>データ!I634</f>
        <v>19300</v>
      </c>
      <c r="I637" s="48">
        <f>データ!J634</f>
        <v>19300</v>
      </c>
      <c r="J637" s="39" t="str">
        <f>IF(OR($C637="総括",$C637="内訳書",$C637="内訳代価",$C637="明細書",$C637="明細代価",$C637="代価表",$C637="単価表"),データ!K634,"")</f>
        <v/>
      </c>
      <c r="K637" s="11" t="str">
        <f t="shared" si="54"/>
        <v/>
      </c>
      <c r="L637" s="46">
        <f t="shared" si="55"/>
        <v>2.7788576447381684E-4</v>
      </c>
      <c r="M637" s="40" t="str">
        <f>IF(データ!L634="","",データ!L634)</f>
        <v/>
      </c>
      <c r="N637" s="41" t="str">
        <f>IF(データ!M634="","",データ!M634)</f>
        <v/>
      </c>
      <c r="O637" s="42">
        <f>データ!N634</f>
        <v>0</v>
      </c>
      <c r="P637" s="48">
        <f>IF($C637="集計行","",データ!O634)</f>
        <v>0</v>
      </c>
      <c r="Q637" s="48">
        <f>データ!P634</f>
        <v>0</v>
      </c>
      <c r="R637" s="39" t="str">
        <f>IF(OR($C637="総括",$C637="内訳書",$C637="内訳代価",$C637="明細書",$C637="明細代価",$C637="代価表",$C637="単価表"),データ!Q634,"")</f>
        <v/>
      </c>
      <c r="S637" s="11" t="str">
        <f t="shared" si="56"/>
        <v/>
      </c>
      <c r="T637" s="46" t="e">
        <f t="shared" si="57"/>
        <v>#DIV/0!</v>
      </c>
      <c r="U637" s="40" t="str">
        <f>IF(データ!R634="","",データ!R634)</f>
        <v/>
      </c>
      <c r="V637" s="41" t="str">
        <f>IF(データ!S634="","",データ!S634)</f>
        <v/>
      </c>
      <c r="W637" s="42">
        <f>データ!T634</f>
        <v>0</v>
      </c>
      <c r="X637" s="48">
        <f>IF($C637="集計行","",データ!U634)</f>
        <v>0</v>
      </c>
      <c r="Y637" s="48">
        <f>データ!V634</f>
        <v>0</v>
      </c>
      <c r="Z637" s="39" t="str">
        <f>IF(OR($C637="総括",$C637="内訳書",$C637="内訳代価",$C637="明細書",$C637="明細代価",$C637="代価表",$C637="単価表"),データ!W634,"")</f>
        <v/>
      </c>
      <c r="AA637" s="11" t="str">
        <f t="shared" si="58"/>
        <v/>
      </c>
      <c r="AB637" s="46" t="e">
        <f t="shared" si="59"/>
        <v>#DIV/0!</v>
      </c>
      <c r="AC637" s="40" t="str">
        <f>IF(データ!X634="","",データ!X634)</f>
        <v/>
      </c>
      <c r="AD637" s="41" t="str">
        <f>IF(データ!Y634="","",データ!Y634)</f>
        <v/>
      </c>
      <c r="AE637" s="47" t="str">
        <f>TRIM(データ!B634)</f>
        <v/>
      </c>
      <c r="AF637" s="43" t="str">
        <f>TRIM(データ!Z634)</f>
        <v/>
      </c>
    </row>
    <row r="638" spans="1:32" x14ac:dyDescent="0.15">
      <c r="A638" s="47">
        <f>データ!A635</f>
        <v>2</v>
      </c>
      <c r="B638" s="47" t="str">
        <f>TRIM(データ!C635)</f>
        <v/>
      </c>
      <c r="C638" s="47" t="str">
        <f>TRIM(データ!D635)</f>
        <v>内訳書</v>
      </c>
      <c r="D638" s="36" t="str">
        <f>REPT("｜",$A638)&amp;TRIM(データ!E635)</f>
        <v>｜｜アスファルト舗装撤去</v>
      </c>
      <c r="E638" s="37" t="str">
        <f>TRIM(データ!F635)</f>
        <v>切り上げ部</v>
      </c>
      <c r="F638" s="38" t="str">
        <f>TRIM(データ!G635)</f>
        <v>m2</v>
      </c>
      <c r="G638" s="50">
        <f>データ!H635</f>
        <v>50</v>
      </c>
      <c r="H638" s="48">
        <f>データ!I635</f>
        <v>4600</v>
      </c>
      <c r="I638" s="48">
        <f>データ!J635</f>
        <v>230000</v>
      </c>
      <c r="J638" s="39">
        <f>IF(OR($C638="総括",$C638="内訳書",$C638="内訳代価",$C638="明細書",$C638="明細代価",$C638="代価表",$C638="単価表"),データ!K635,"")</f>
        <v>50</v>
      </c>
      <c r="K638" s="11" t="str">
        <f t="shared" si="54"/>
        <v/>
      </c>
      <c r="L638" s="46">
        <f t="shared" si="55"/>
        <v>3.3115920118641385E-3</v>
      </c>
      <c r="M638" s="40" t="str">
        <f>IF(データ!L635="","",データ!L635)</f>
        <v/>
      </c>
      <c r="N638" s="41" t="str">
        <f>IF(データ!M635="","",データ!M635)</f>
        <v>81号内訳書</v>
      </c>
      <c r="O638" s="42">
        <f>データ!N635</f>
        <v>0</v>
      </c>
      <c r="P638" s="48">
        <f>IF($C638="集計行","",データ!O635)</f>
        <v>0</v>
      </c>
      <c r="Q638" s="48">
        <f>データ!P635</f>
        <v>0</v>
      </c>
      <c r="R638" s="39">
        <f>IF(OR($C638="総括",$C638="内訳書",$C638="内訳代価",$C638="明細書",$C638="明細代価",$C638="代価表",$C638="単価表"),データ!Q635,"")</f>
        <v>0</v>
      </c>
      <c r="S638" s="11" t="str">
        <f t="shared" si="56"/>
        <v/>
      </c>
      <c r="T638" s="46" t="e">
        <f t="shared" si="57"/>
        <v>#DIV/0!</v>
      </c>
      <c r="U638" s="40" t="str">
        <f>IF(データ!R635="","",データ!R635)</f>
        <v/>
      </c>
      <c r="V638" s="41" t="str">
        <f>IF(データ!S635="","",データ!S635)</f>
        <v/>
      </c>
      <c r="W638" s="42">
        <f>データ!T635</f>
        <v>0</v>
      </c>
      <c r="X638" s="48">
        <f>IF($C638="集計行","",データ!U635)</f>
        <v>0</v>
      </c>
      <c r="Y638" s="48">
        <f>データ!V635</f>
        <v>0</v>
      </c>
      <c r="Z638" s="39">
        <f>IF(OR($C638="総括",$C638="内訳書",$C638="内訳代価",$C638="明細書",$C638="明細代価",$C638="代価表",$C638="単価表"),データ!W635,"")</f>
        <v>0</v>
      </c>
      <c r="AA638" s="11" t="str">
        <f t="shared" si="58"/>
        <v/>
      </c>
      <c r="AB638" s="46" t="e">
        <f t="shared" si="59"/>
        <v>#DIV/0!</v>
      </c>
      <c r="AC638" s="40" t="str">
        <f>IF(データ!X635="","",データ!X635)</f>
        <v/>
      </c>
      <c r="AD638" s="41" t="str">
        <f>IF(データ!Y635="","",データ!Y635)</f>
        <v/>
      </c>
      <c r="AE638" s="47" t="str">
        <f>TRIM(データ!B635)</f>
        <v/>
      </c>
      <c r="AF638" s="43" t="str">
        <f>TRIM(データ!Z635)</f>
        <v/>
      </c>
    </row>
    <row r="639" spans="1:32" x14ac:dyDescent="0.15">
      <c r="A639" s="47">
        <f>データ!A636</f>
        <v>3</v>
      </c>
      <c r="B639" s="47" t="str">
        <f>TRIM(データ!C636)</f>
        <v/>
      </c>
      <c r="C639" s="47" t="str">
        <f>TRIM(データ!D636)</f>
        <v>労務費</v>
      </c>
      <c r="D639" s="36" t="str">
        <f>REPT("｜",$A639)&amp;TRIM(データ!E636)</f>
        <v>｜｜｜技工</v>
      </c>
      <c r="E639" s="37" t="str">
        <f>TRIM(データ!F636)</f>
        <v/>
      </c>
      <c r="F639" s="38" t="str">
        <f>TRIM(データ!G636)</f>
        <v>人</v>
      </c>
      <c r="G639" s="50">
        <f>データ!H636</f>
        <v>5</v>
      </c>
      <c r="H639" s="48">
        <f>データ!I636</f>
        <v>32000</v>
      </c>
      <c r="I639" s="48">
        <f>データ!J636</f>
        <v>160000</v>
      </c>
      <c r="J639" s="39" t="str">
        <f>IF(OR($C639="総括",$C639="内訳書",$C639="内訳代価",$C639="明細書",$C639="明細代価",$C639="代価表",$C639="単価表"),データ!K636,"")</f>
        <v/>
      </c>
      <c r="K639" s="11" t="str">
        <f t="shared" si="54"/>
        <v/>
      </c>
      <c r="L639" s="46">
        <f t="shared" si="55"/>
        <v>2.303716182166357E-3</v>
      </c>
      <c r="M639" s="40" t="str">
        <f>IF(データ!L636="","",データ!L636)</f>
        <v/>
      </c>
      <c r="N639" s="41" t="str">
        <f>IF(データ!M636="","",データ!M636)</f>
        <v/>
      </c>
      <c r="O639" s="42">
        <f>データ!N636</f>
        <v>0</v>
      </c>
      <c r="P639" s="48">
        <f>IF($C639="集計行","",データ!O636)</f>
        <v>0</v>
      </c>
      <c r="Q639" s="48">
        <f>データ!P636</f>
        <v>0</v>
      </c>
      <c r="R639" s="39" t="str">
        <f>IF(OR($C639="総括",$C639="内訳書",$C639="内訳代価",$C639="明細書",$C639="明細代価",$C639="代価表",$C639="単価表"),データ!Q636,"")</f>
        <v/>
      </c>
      <c r="S639" s="11" t="str">
        <f t="shared" si="56"/>
        <v/>
      </c>
      <c r="T639" s="46" t="e">
        <f t="shared" si="57"/>
        <v>#DIV/0!</v>
      </c>
      <c r="U639" s="40" t="str">
        <f>IF(データ!R636="","",データ!R636)</f>
        <v/>
      </c>
      <c r="V639" s="41" t="str">
        <f>IF(データ!S636="","",データ!S636)</f>
        <v/>
      </c>
      <c r="W639" s="42">
        <f>データ!T636</f>
        <v>0</v>
      </c>
      <c r="X639" s="48">
        <f>IF($C639="集計行","",データ!U636)</f>
        <v>0</v>
      </c>
      <c r="Y639" s="48">
        <f>データ!V636</f>
        <v>0</v>
      </c>
      <c r="Z639" s="39" t="str">
        <f>IF(OR($C639="総括",$C639="内訳書",$C639="内訳代価",$C639="明細書",$C639="明細代価",$C639="代価表",$C639="単価表"),データ!W636,"")</f>
        <v/>
      </c>
      <c r="AA639" s="11" t="str">
        <f t="shared" si="58"/>
        <v/>
      </c>
      <c r="AB639" s="46" t="e">
        <f t="shared" si="59"/>
        <v>#DIV/0!</v>
      </c>
      <c r="AC639" s="40" t="str">
        <f>IF(データ!X636="","",データ!X636)</f>
        <v/>
      </c>
      <c r="AD639" s="41" t="str">
        <f>IF(データ!Y636="","",データ!Y636)</f>
        <v/>
      </c>
      <c r="AE639" s="47" t="str">
        <f>TRIM(データ!B636)</f>
        <v/>
      </c>
      <c r="AF639" s="43" t="str">
        <f>TRIM(データ!Z636)</f>
        <v/>
      </c>
    </row>
    <row r="640" spans="1:32" x14ac:dyDescent="0.15">
      <c r="A640" s="47">
        <f>データ!A637</f>
        <v>3</v>
      </c>
      <c r="B640" s="47" t="str">
        <f>TRIM(データ!C637)</f>
        <v/>
      </c>
      <c r="C640" s="47" t="str">
        <f>TRIM(データ!D637)</f>
        <v>機械費</v>
      </c>
      <c r="D640" s="36" t="str">
        <f>REPT("｜",$A640)&amp;TRIM(データ!E637)</f>
        <v>｜｜｜BH0.15</v>
      </c>
      <c r="E640" s="37" t="str">
        <f>TRIM(データ!F637)</f>
        <v/>
      </c>
      <c r="F640" s="38" t="str">
        <f>TRIM(データ!G637)</f>
        <v>台</v>
      </c>
      <c r="G640" s="50">
        <f>データ!H637</f>
        <v>1</v>
      </c>
      <c r="H640" s="48">
        <f>データ!I637</f>
        <v>8000</v>
      </c>
      <c r="I640" s="48">
        <f>データ!J637</f>
        <v>8000</v>
      </c>
      <c r="J640" s="39" t="str">
        <f>IF(OR($C640="総括",$C640="内訳書",$C640="内訳代価",$C640="明細書",$C640="明細代価",$C640="代価表",$C640="単価表"),データ!K637,"")</f>
        <v/>
      </c>
      <c r="K640" s="11" t="str">
        <f t="shared" si="54"/>
        <v/>
      </c>
      <c r="L640" s="46">
        <f t="shared" si="55"/>
        <v>1.1518580910831785E-4</v>
      </c>
      <c r="M640" s="40" t="str">
        <f>IF(データ!L637="","",データ!L637)</f>
        <v/>
      </c>
      <c r="N640" s="41" t="str">
        <f>IF(データ!M637="","",データ!M637)</f>
        <v/>
      </c>
      <c r="O640" s="42">
        <f>データ!N637</f>
        <v>0</v>
      </c>
      <c r="P640" s="48">
        <f>IF($C640="集計行","",データ!O637)</f>
        <v>0</v>
      </c>
      <c r="Q640" s="48">
        <f>データ!P637</f>
        <v>0</v>
      </c>
      <c r="R640" s="39" t="str">
        <f>IF(OR($C640="総括",$C640="内訳書",$C640="内訳代価",$C640="明細書",$C640="明細代価",$C640="代価表",$C640="単価表"),データ!Q637,"")</f>
        <v/>
      </c>
      <c r="S640" s="11" t="str">
        <f t="shared" si="56"/>
        <v/>
      </c>
      <c r="T640" s="46" t="e">
        <f t="shared" si="57"/>
        <v>#DIV/0!</v>
      </c>
      <c r="U640" s="40" t="str">
        <f>IF(データ!R637="","",データ!R637)</f>
        <v/>
      </c>
      <c r="V640" s="41" t="str">
        <f>IF(データ!S637="","",データ!S637)</f>
        <v/>
      </c>
      <c r="W640" s="42">
        <f>データ!T637</f>
        <v>0</v>
      </c>
      <c r="X640" s="48">
        <f>IF($C640="集計行","",データ!U637)</f>
        <v>0</v>
      </c>
      <c r="Y640" s="48">
        <f>データ!V637</f>
        <v>0</v>
      </c>
      <c r="Z640" s="39" t="str">
        <f>IF(OR($C640="総括",$C640="内訳書",$C640="内訳代価",$C640="明細書",$C640="明細代価",$C640="代価表",$C640="単価表"),データ!W637,"")</f>
        <v/>
      </c>
      <c r="AA640" s="11" t="str">
        <f t="shared" si="58"/>
        <v/>
      </c>
      <c r="AB640" s="46" t="e">
        <f t="shared" si="59"/>
        <v>#DIV/0!</v>
      </c>
      <c r="AC640" s="40" t="str">
        <f>IF(データ!X637="","",データ!X637)</f>
        <v/>
      </c>
      <c r="AD640" s="41" t="str">
        <f>IF(データ!Y637="","",データ!Y637)</f>
        <v/>
      </c>
      <c r="AE640" s="47" t="str">
        <f>TRIM(データ!B637)</f>
        <v/>
      </c>
      <c r="AF640" s="43" t="str">
        <f>TRIM(データ!Z637)</f>
        <v/>
      </c>
    </row>
    <row r="641" spans="1:32" x14ac:dyDescent="0.15">
      <c r="A641" s="47">
        <f>データ!A638</f>
        <v>3</v>
      </c>
      <c r="B641" s="47" t="str">
        <f>TRIM(データ!C638)</f>
        <v/>
      </c>
      <c r="C641" s="47" t="str">
        <f>TRIM(データ!D638)</f>
        <v>機械費</v>
      </c>
      <c r="D641" s="36" t="str">
        <f>REPT("｜",$A641)&amp;TRIM(データ!E638)</f>
        <v>｜｜｜タイヤショベル</v>
      </c>
      <c r="E641" s="37" t="str">
        <f>TRIM(データ!F638)</f>
        <v/>
      </c>
      <c r="F641" s="38" t="str">
        <f>TRIM(データ!G638)</f>
        <v>台</v>
      </c>
      <c r="G641" s="50">
        <f>データ!H638</f>
        <v>1</v>
      </c>
      <c r="H641" s="48">
        <f>データ!I638</f>
        <v>8000</v>
      </c>
      <c r="I641" s="48">
        <f>データ!J638</f>
        <v>8000</v>
      </c>
      <c r="J641" s="39" t="str">
        <f>IF(OR($C641="総括",$C641="内訳書",$C641="内訳代価",$C641="明細書",$C641="明細代価",$C641="代価表",$C641="単価表"),データ!K638,"")</f>
        <v/>
      </c>
      <c r="K641" s="11" t="str">
        <f t="shared" si="54"/>
        <v/>
      </c>
      <c r="L641" s="46">
        <f t="shared" si="55"/>
        <v>1.1518580910831785E-4</v>
      </c>
      <c r="M641" s="40" t="str">
        <f>IF(データ!L638="","",データ!L638)</f>
        <v/>
      </c>
      <c r="N641" s="41" t="str">
        <f>IF(データ!M638="","",データ!M638)</f>
        <v/>
      </c>
      <c r="O641" s="42">
        <f>データ!N638</f>
        <v>0</v>
      </c>
      <c r="P641" s="48">
        <f>IF($C641="集計行","",データ!O638)</f>
        <v>0</v>
      </c>
      <c r="Q641" s="48">
        <f>データ!P638</f>
        <v>0</v>
      </c>
      <c r="R641" s="39" t="str">
        <f>IF(OR($C641="総括",$C641="内訳書",$C641="内訳代価",$C641="明細書",$C641="明細代価",$C641="代価表",$C641="単価表"),データ!Q638,"")</f>
        <v/>
      </c>
      <c r="S641" s="11" t="str">
        <f t="shared" si="56"/>
        <v/>
      </c>
      <c r="T641" s="46" t="e">
        <f t="shared" si="57"/>
        <v>#DIV/0!</v>
      </c>
      <c r="U641" s="40" t="str">
        <f>IF(データ!R638="","",データ!R638)</f>
        <v/>
      </c>
      <c r="V641" s="41" t="str">
        <f>IF(データ!S638="","",データ!S638)</f>
        <v/>
      </c>
      <c r="W641" s="42">
        <f>データ!T638</f>
        <v>0</v>
      </c>
      <c r="X641" s="48">
        <f>IF($C641="集計行","",データ!U638)</f>
        <v>0</v>
      </c>
      <c r="Y641" s="48">
        <f>データ!V638</f>
        <v>0</v>
      </c>
      <c r="Z641" s="39" t="str">
        <f>IF(OR($C641="総括",$C641="内訳書",$C641="内訳代価",$C641="明細書",$C641="明細代価",$C641="代価表",$C641="単価表"),データ!W638,"")</f>
        <v/>
      </c>
      <c r="AA641" s="11" t="str">
        <f t="shared" si="58"/>
        <v/>
      </c>
      <c r="AB641" s="46" t="e">
        <f t="shared" si="59"/>
        <v>#DIV/0!</v>
      </c>
      <c r="AC641" s="40" t="str">
        <f>IF(データ!X638="","",データ!X638)</f>
        <v/>
      </c>
      <c r="AD641" s="41" t="str">
        <f>IF(データ!Y638="","",データ!Y638)</f>
        <v/>
      </c>
      <c r="AE641" s="47" t="str">
        <f>TRIM(データ!B638)</f>
        <v/>
      </c>
      <c r="AF641" s="43" t="str">
        <f>TRIM(データ!Z638)</f>
        <v/>
      </c>
    </row>
    <row r="642" spans="1:32" x14ac:dyDescent="0.15">
      <c r="A642" s="47">
        <f>データ!A639</f>
        <v>3</v>
      </c>
      <c r="B642" s="47" t="str">
        <f>TRIM(データ!C639)</f>
        <v/>
      </c>
      <c r="C642" s="47" t="str">
        <f>TRIM(データ!D639)</f>
        <v>運搬費</v>
      </c>
      <c r="D642" s="36" t="str">
        <f>REPT("｜",$A642)&amp;TRIM(データ!E639)</f>
        <v>｜｜｜4tダンプ</v>
      </c>
      <c r="E642" s="37" t="str">
        <f>TRIM(データ!F639)</f>
        <v/>
      </c>
      <c r="F642" s="38" t="str">
        <f>TRIM(データ!G639)</f>
        <v>台</v>
      </c>
      <c r="G642" s="50">
        <f>データ!H639</f>
        <v>1</v>
      </c>
      <c r="H642" s="48">
        <f>データ!I639</f>
        <v>10000</v>
      </c>
      <c r="I642" s="48">
        <f>データ!J639</f>
        <v>10000</v>
      </c>
      <c r="J642" s="39" t="str">
        <f>IF(OR($C642="総括",$C642="内訳書",$C642="内訳代価",$C642="明細書",$C642="明細代価",$C642="代価表",$C642="単価表"),データ!K639,"")</f>
        <v/>
      </c>
      <c r="K642" s="11" t="str">
        <f t="shared" si="54"/>
        <v/>
      </c>
      <c r="L642" s="46">
        <f t="shared" si="55"/>
        <v>1.4398226138539731E-4</v>
      </c>
      <c r="M642" s="40" t="str">
        <f>IF(データ!L639="","",データ!L639)</f>
        <v/>
      </c>
      <c r="N642" s="41" t="str">
        <f>IF(データ!M639="","",データ!M639)</f>
        <v/>
      </c>
      <c r="O642" s="42">
        <f>データ!N639</f>
        <v>0</v>
      </c>
      <c r="P642" s="48">
        <f>IF($C642="集計行","",データ!O639)</f>
        <v>0</v>
      </c>
      <c r="Q642" s="48">
        <f>データ!P639</f>
        <v>0</v>
      </c>
      <c r="R642" s="39" t="str">
        <f>IF(OR($C642="総括",$C642="内訳書",$C642="内訳代価",$C642="明細書",$C642="明細代価",$C642="代価表",$C642="単価表"),データ!Q639,"")</f>
        <v/>
      </c>
      <c r="S642" s="11" t="str">
        <f t="shared" si="56"/>
        <v/>
      </c>
      <c r="T642" s="46" t="e">
        <f t="shared" si="57"/>
        <v>#DIV/0!</v>
      </c>
      <c r="U642" s="40" t="str">
        <f>IF(データ!R639="","",データ!R639)</f>
        <v/>
      </c>
      <c r="V642" s="41" t="str">
        <f>IF(データ!S639="","",データ!S639)</f>
        <v/>
      </c>
      <c r="W642" s="42">
        <f>データ!T639</f>
        <v>0</v>
      </c>
      <c r="X642" s="48">
        <f>IF($C642="集計行","",データ!U639)</f>
        <v>0</v>
      </c>
      <c r="Y642" s="48">
        <f>データ!V639</f>
        <v>0</v>
      </c>
      <c r="Z642" s="39" t="str">
        <f>IF(OR($C642="総括",$C642="内訳書",$C642="内訳代価",$C642="明細書",$C642="明細代価",$C642="代価表",$C642="単価表"),データ!W639,"")</f>
        <v/>
      </c>
      <c r="AA642" s="11" t="str">
        <f t="shared" si="58"/>
        <v/>
      </c>
      <c r="AB642" s="46" t="e">
        <f t="shared" si="59"/>
        <v>#DIV/0!</v>
      </c>
      <c r="AC642" s="40" t="str">
        <f>IF(データ!X639="","",データ!X639)</f>
        <v/>
      </c>
      <c r="AD642" s="41" t="str">
        <f>IF(データ!Y639="","",データ!Y639)</f>
        <v/>
      </c>
      <c r="AE642" s="47" t="str">
        <f>TRIM(データ!B639)</f>
        <v/>
      </c>
      <c r="AF642" s="43" t="str">
        <f>TRIM(データ!Z639)</f>
        <v/>
      </c>
    </row>
    <row r="643" spans="1:32" x14ac:dyDescent="0.15">
      <c r="A643" s="47">
        <f>データ!A640</f>
        <v>3</v>
      </c>
      <c r="B643" s="47" t="str">
        <f>TRIM(データ!C640)</f>
        <v/>
      </c>
      <c r="C643" s="47" t="str">
        <f>TRIM(データ!D640)</f>
        <v>運搬費</v>
      </c>
      <c r="D643" s="36" t="str">
        <f>REPT("｜",$A643)&amp;TRIM(データ!E640)</f>
        <v>｜｜｜2tダンプ</v>
      </c>
      <c r="E643" s="37" t="str">
        <f>TRIM(データ!F640)</f>
        <v/>
      </c>
      <c r="F643" s="38" t="str">
        <f>TRIM(データ!G640)</f>
        <v>台</v>
      </c>
      <c r="G643" s="50">
        <f>データ!H640</f>
        <v>1</v>
      </c>
      <c r="H643" s="48">
        <f>データ!I640</f>
        <v>7000</v>
      </c>
      <c r="I643" s="48">
        <f>データ!J640</f>
        <v>7000</v>
      </c>
      <c r="J643" s="39" t="str">
        <f>IF(OR($C643="総括",$C643="内訳書",$C643="内訳代価",$C643="明細書",$C643="明細代価",$C643="代価表",$C643="単価表"),データ!K640,"")</f>
        <v/>
      </c>
      <c r="K643" s="11" t="str">
        <f t="shared" si="54"/>
        <v/>
      </c>
      <c r="L643" s="46">
        <f t="shared" si="55"/>
        <v>1.0078758296977812E-4</v>
      </c>
      <c r="M643" s="40" t="str">
        <f>IF(データ!L640="","",データ!L640)</f>
        <v/>
      </c>
      <c r="N643" s="41" t="str">
        <f>IF(データ!M640="","",データ!M640)</f>
        <v/>
      </c>
      <c r="O643" s="42">
        <f>データ!N640</f>
        <v>0</v>
      </c>
      <c r="P643" s="48">
        <f>IF($C643="集計行","",データ!O640)</f>
        <v>0</v>
      </c>
      <c r="Q643" s="48">
        <f>データ!P640</f>
        <v>0</v>
      </c>
      <c r="R643" s="39" t="str">
        <f>IF(OR($C643="総括",$C643="内訳書",$C643="内訳代価",$C643="明細書",$C643="明細代価",$C643="代価表",$C643="単価表"),データ!Q640,"")</f>
        <v/>
      </c>
      <c r="S643" s="11" t="str">
        <f t="shared" si="56"/>
        <v/>
      </c>
      <c r="T643" s="46" t="e">
        <f t="shared" si="57"/>
        <v>#DIV/0!</v>
      </c>
      <c r="U643" s="40" t="str">
        <f>IF(データ!R640="","",データ!R640)</f>
        <v/>
      </c>
      <c r="V643" s="41" t="str">
        <f>IF(データ!S640="","",データ!S640)</f>
        <v/>
      </c>
      <c r="W643" s="42">
        <f>データ!T640</f>
        <v>0</v>
      </c>
      <c r="X643" s="48">
        <f>IF($C643="集計行","",データ!U640)</f>
        <v>0</v>
      </c>
      <c r="Y643" s="48">
        <f>データ!V640</f>
        <v>0</v>
      </c>
      <c r="Z643" s="39" t="str">
        <f>IF(OR($C643="総括",$C643="内訳書",$C643="内訳代価",$C643="明細書",$C643="明細代価",$C643="代価表",$C643="単価表"),データ!W640,"")</f>
        <v/>
      </c>
      <c r="AA643" s="11" t="str">
        <f t="shared" si="58"/>
        <v/>
      </c>
      <c r="AB643" s="46" t="e">
        <f t="shared" si="59"/>
        <v>#DIV/0!</v>
      </c>
      <c r="AC643" s="40" t="str">
        <f>IF(データ!X640="","",データ!X640)</f>
        <v/>
      </c>
      <c r="AD643" s="41" t="str">
        <f>IF(データ!Y640="","",データ!Y640)</f>
        <v/>
      </c>
      <c r="AE643" s="47" t="str">
        <f>TRIM(データ!B640)</f>
        <v/>
      </c>
      <c r="AF643" s="43" t="str">
        <f>TRIM(データ!Z640)</f>
        <v/>
      </c>
    </row>
    <row r="644" spans="1:32" x14ac:dyDescent="0.15">
      <c r="A644" s="47">
        <f>データ!A641</f>
        <v>3</v>
      </c>
      <c r="B644" s="47" t="str">
        <f>TRIM(データ!C641)</f>
        <v/>
      </c>
      <c r="C644" s="47" t="str">
        <f>TRIM(データ!D641)</f>
        <v>材料費</v>
      </c>
      <c r="D644" s="36" t="str">
        <f>REPT("｜",$A644)&amp;TRIM(データ!E641)</f>
        <v>｜｜｜軽油</v>
      </c>
      <c r="E644" s="37" t="str">
        <f>TRIM(データ!F641)</f>
        <v/>
      </c>
      <c r="F644" s="38" t="str">
        <f>TRIM(データ!G641)</f>
        <v>リットル</v>
      </c>
      <c r="G644" s="50">
        <f>データ!H641</f>
        <v>40</v>
      </c>
      <c r="H644" s="48">
        <f>データ!I641</f>
        <v>150</v>
      </c>
      <c r="I644" s="48">
        <f>データ!J641</f>
        <v>6000</v>
      </c>
      <c r="J644" s="39" t="str">
        <f>IF(OR($C644="総括",$C644="内訳書",$C644="内訳代価",$C644="明細書",$C644="明細代価",$C644="代価表",$C644="単価表"),データ!K641,"")</f>
        <v/>
      </c>
      <c r="K644" s="11" t="str">
        <f t="shared" si="54"/>
        <v/>
      </c>
      <c r="L644" s="46">
        <f t="shared" si="55"/>
        <v>8.6389356831238388E-5</v>
      </c>
      <c r="M644" s="40" t="str">
        <f>IF(データ!L641="","",データ!L641)</f>
        <v/>
      </c>
      <c r="N644" s="41" t="str">
        <f>IF(データ!M641="","",データ!M641)</f>
        <v/>
      </c>
      <c r="O644" s="42">
        <f>データ!N641</f>
        <v>0</v>
      </c>
      <c r="P644" s="48">
        <f>IF($C644="集計行","",データ!O641)</f>
        <v>0</v>
      </c>
      <c r="Q644" s="48">
        <f>データ!P641</f>
        <v>0</v>
      </c>
      <c r="R644" s="39" t="str">
        <f>IF(OR($C644="総括",$C644="内訳書",$C644="内訳代価",$C644="明細書",$C644="明細代価",$C644="代価表",$C644="単価表"),データ!Q641,"")</f>
        <v/>
      </c>
      <c r="S644" s="11" t="str">
        <f t="shared" si="56"/>
        <v/>
      </c>
      <c r="T644" s="46" t="e">
        <f t="shared" si="57"/>
        <v>#DIV/0!</v>
      </c>
      <c r="U644" s="40" t="str">
        <f>IF(データ!R641="","",データ!R641)</f>
        <v/>
      </c>
      <c r="V644" s="41" t="str">
        <f>IF(データ!S641="","",データ!S641)</f>
        <v/>
      </c>
      <c r="W644" s="42">
        <f>データ!T641</f>
        <v>0</v>
      </c>
      <c r="X644" s="48">
        <f>IF($C644="集計行","",データ!U641)</f>
        <v>0</v>
      </c>
      <c r="Y644" s="48">
        <f>データ!V641</f>
        <v>0</v>
      </c>
      <c r="Z644" s="39" t="str">
        <f>IF(OR($C644="総括",$C644="内訳書",$C644="内訳代価",$C644="明細書",$C644="明細代価",$C644="代価表",$C644="単価表"),データ!W641,"")</f>
        <v/>
      </c>
      <c r="AA644" s="11" t="str">
        <f t="shared" si="58"/>
        <v/>
      </c>
      <c r="AB644" s="46" t="e">
        <f t="shared" si="59"/>
        <v>#DIV/0!</v>
      </c>
      <c r="AC644" s="40" t="str">
        <f>IF(データ!X641="","",データ!X641)</f>
        <v/>
      </c>
      <c r="AD644" s="41" t="str">
        <f>IF(データ!Y641="","",データ!Y641)</f>
        <v/>
      </c>
      <c r="AE644" s="47" t="str">
        <f>TRIM(データ!B641)</f>
        <v/>
      </c>
      <c r="AF644" s="43" t="str">
        <f>TRIM(データ!Z641)</f>
        <v/>
      </c>
    </row>
    <row r="645" spans="1:32" x14ac:dyDescent="0.15">
      <c r="A645" s="47">
        <f>データ!A642</f>
        <v>3</v>
      </c>
      <c r="B645" s="47" t="str">
        <f>TRIM(データ!C642)</f>
        <v/>
      </c>
      <c r="C645" s="47" t="str">
        <f>TRIM(データ!D642)</f>
        <v>材料費</v>
      </c>
      <c r="D645" s="36" t="str">
        <f>REPT("｜",$A645)&amp;TRIM(データ!E642)</f>
        <v>｜｜｜ガソリン</v>
      </c>
      <c r="E645" s="37" t="str">
        <f>TRIM(データ!F642)</f>
        <v/>
      </c>
      <c r="F645" s="38" t="str">
        <f>TRIM(データ!G642)</f>
        <v>リットル</v>
      </c>
      <c r="G645" s="50">
        <f>データ!H642</f>
        <v>40</v>
      </c>
      <c r="H645" s="48">
        <f>データ!I642</f>
        <v>200</v>
      </c>
      <c r="I645" s="48">
        <f>データ!J642</f>
        <v>8000</v>
      </c>
      <c r="J645" s="39" t="str">
        <f>IF(OR($C645="総括",$C645="内訳書",$C645="内訳代価",$C645="明細書",$C645="明細代価",$C645="代価表",$C645="単価表"),データ!K642,"")</f>
        <v/>
      </c>
      <c r="K645" s="11" t="str">
        <f t="shared" ref="K645:K708" si="60">IF(OR(J645="",G645=J645),"","*")</f>
        <v/>
      </c>
      <c r="L645" s="46">
        <f t="shared" ref="L645:L708" si="61">IF($A645&lt;=L$1,I645/I$4,"")</f>
        <v>1.1518580910831785E-4</v>
      </c>
      <c r="M645" s="40" t="str">
        <f>IF(データ!L642="","",データ!L642)</f>
        <v/>
      </c>
      <c r="N645" s="41" t="str">
        <f>IF(データ!M642="","",データ!M642)</f>
        <v/>
      </c>
      <c r="O645" s="42">
        <f>データ!N642</f>
        <v>0</v>
      </c>
      <c r="P645" s="48">
        <f>IF($C645="集計行","",データ!O642)</f>
        <v>0</v>
      </c>
      <c r="Q645" s="48">
        <f>データ!P642</f>
        <v>0</v>
      </c>
      <c r="R645" s="39" t="str">
        <f>IF(OR($C645="総括",$C645="内訳書",$C645="内訳代価",$C645="明細書",$C645="明細代価",$C645="代価表",$C645="単価表"),データ!Q642,"")</f>
        <v/>
      </c>
      <c r="S645" s="11" t="str">
        <f t="shared" ref="S645:S708" si="62">IF(OR(R645="",O645=R645),"","*")</f>
        <v/>
      </c>
      <c r="T645" s="46" t="e">
        <f t="shared" ref="T645:T708" si="63">IF($A645&lt;=T$1,Q645/Q$4,"")</f>
        <v>#DIV/0!</v>
      </c>
      <c r="U645" s="40" t="str">
        <f>IF(データ!R642="","",データ!R642)</f>
        <v/>
      </c>
      <c r="V645" s="41" t="str">
        <f>IF(データ!S642="","",データ!S642)</f>
        <v/>
      </c>
      <c r="W645" s="42">
        <f>データ!T642</f>
        <v>0</v>
      </c>
      <c r="X645" s="48">
        <f>IF($C645="集計行","",データ!U642)</f>
        <v>0</v>
      </c>
      <c r="Y645" s="48">
        <f>データ!V642</f>
        <v>0</v>
      </c>
      <c r="Z645" s="39" t="str">
        <f>IF(OR($C645="総括",$C645="内訳書",$C645="内訳代価",$C645="明細書",$C645="明細代価",$C645="代価表",$C645="単価表"),データ!W642,"")</f>
        <v/>
      </c>
      <c r="AA645" s="11" t="str">
        <f t="shared" ref="AA645:AA708" si="64">IF(OR(Z645="",W645=Z645),"","*")</f>
        <v/>
      </c>
      <c r="AB645" s="46" t="e">
        <f t="shared" ref="AB645:AB708" si="65">IF($A645&lt;=AB$1,Y645/Y$4,"")</f>
        <v>#DIV/0!</v>
      </c>
      <c r="AC645" s="40" t="str">
        <f>IF(データ!X642="","",データ!X642)</f>
        <v/>
      </c>
      <c r="AD645" s="41" t="str">
        <f>IF(データ!Y642="","",データ!Y642)</f>
        <v/>
      </c>
      <c r="AE645" s="47" t="str">
        <f>TRIM(データ!B642)</f>
        <v/>
      </c>
      <c r="AF645" s="43" t="str">
        <f>TRIM(データ!Z642)</f>
        <v/>
      </c>
    </row>
    <row r="646" spans="1:32" x14ac:dyDescent="0.15">
      <c r="A646" s="47">
        <f>データ!A643</f>
        <v>3</v>
      </c>
      <c r="B646" s="47" t="str">
        <f>TRIM(データ!C643)</f>
        <v/>
      </c>
      <c r="C646" s="47" t="str">
        <f>TRIM(データ!D643)</f>
        <v>材料費</v>
      </c>
      <c r="D646" s="36" t="str">
        <f>REPT("｜",$A646)&amp;TRIM(データ!E643)</f>
        <v>｜｜｜雑材</v>
      </c>
      <c r="E646" s="37" t="str">
        <f>TRIM(データ!F643)</f>
        <v/>
      </c>
      <c r="F646" s="38" t="str">
        <f>TRIM(データ!G643)</f>
        <v>式</v>
      </c>
      <c r="G646" s="50">
        <f>データ!H643</f>
        <v>1</v>
      </c>
      <c r="H646" s="48">
        <f>データ!I643</f>
        <v>3700</v>
      </c>
      <c r="I646" s="48">
        <f>データ!J643</f>
        <v>3700</v>
      </c>
      <c r="J646" s="39" t="str">
        <f>IF(OR($C646="総括",$C646="内訳書",$C646="内訳代価",$C646="明細書",$C646="明細代価",$C646="代価表",$C646="単価表"),データ!K643,"")</f>
        <v/>
      </c>
      <c r="K646" s="11" t="str">
        <f t="shared" si="60"/>
        <v/>
      </c>
      <c r="L646" s="46">
        <f t="shared" si="61"/>
        <v>5.327343671259701E-5</v>
      </c>
      <c r="M646" s="40" t="str">
        <f>IF(データ!L643="","",データ!L643)</f>
        <v/>
      </c>
      <c r="N646" s="41" t="str">
        <f>IF(データ!M643="","",データ!M643)</f>
        <v/>
      </c>
      <c r="O646" s="42">
        <f>データ!N643</f>
        <v>0</v>
      </c>
      <c r="P646" s="48">
        <f>IF($C646="集計行","",データ!O643)</f>
        <v>0</v>
      </c>
      <c r="Q646" s="48">
        <f>データ!P643</f>
        <v>0</v>
      </c>
      <c r="R646" s="39" t="str">
        <f>IF(OR($C646="総括",$C646="内訳書",$C646="内訳代価",$C646="明細書",$C646="明細代価",$C646="代価表",$C646="単価表"),データ!Q643,"")</f>
        <v/>
      </c>
      <c r="S646" s="11" t="str">
        <f t="shared" si="62"/>
        <v/>
      </c>
      <c r="T646" s="46" t="e">
        <f t="shared" si="63"/>
        <v>#DIV/0!</v>
      </c>
      <c r="U646" s="40" t="str">
        <f>IF(データ!R643="","",データ!R643)</f>
        <v/>
      </c>
      <c r="V646" s="41" t="str">
        <f>IF(データ!S643="","",データ!S643)</f>
        <v/>
      </c>
      <c r="W646" s="42">
        <f>データ!T643</f>
        <v>0</v>
      </c>
      <c r="X646" s="48">
        <f>IF($C646="集計行","",データ!U643)</f>
        <v>0</v>
      </c>
      <c r="Y646" s="48">
        <f>データ!V643</f>
        <v>0</v>
      </c>
      <c r="Z646" s="39" t="str">
        <f>IF(OR($C646="総括",$C646="内訳書",$C646="内訳代価",$C646="明細書",$C646="明細代価",$C646="代価表",$C646="単価表"),データ!W643,"")</f>
        <v/>
      </c>
      <c r="AA646" s="11" t="str">
        <f t="shared" si="64"/>
        <v/>
      </c>
      <c r="AB646" s="46" t="e">
        <f t="shared" si="65"/>
        <v>#DIV/0!</v>
      </c>
      <c r="AC646" s="40" t="str">
        <f>IF(データ!X643="","",データ!X643)</f>
        <v/>
      </c>
      <c r="AD646" s="41" t="str">
        <f>IF(データ!Y643="","",データ!Y643)</f>
        <v/>
      </c>
      <c r="AE646" s="47" t="str">
        <f>TRIM(データ!B643)</f>
        <v/>
      </c>
      <c r="AF646" s="43" t="str">
        <f>TRIM(データ!Z643)</f>
        <v/>
      </c>
    </row>
    <row r="647" spans="1:32" x14ac:dyDescent="0.15">
      <c r="A647" s="47">
        <f>データ!A644</f>
        <v>3</v>
      </c>
      <c r="B647" s="47" t="str">
        <f>TRIM(データ!C644)</f>
        <v/>
      </c>
      <c r="C647" s="47" t="str">
        <f>TRIM(データ!D644)</f>
        <v>外注費</v>
      </c>
      <c r="D647" s="36" t="str">
        <f>REPT("｜",$A647)&amp;TRIM(データ!E644)</f>
        <v>｜｜｜外注経費</v>
      </c>
      <c r="E647" s="37" t="str">
        <f>TRIM(データ!F644)</f>
        <v/>
      </c>
      <c r="F647" s="38" t="str">
        <f>TRIM(データ!G644)</f>
        <v>式</v>
      </c>
      <c r="G647" s="50">
        <f>データ!H644</f>
        <v>1</v>
      </c>
      <c r="H647" s="48">
        <f>データ!I644</f>
        <v>19300</v>
      </c>
      <c r="I647" s="48">
        <f>データ!J644</f>
        <v>19300</v>
      </c>
      <c r="J647" s="39" t="str">
        <f>IF(OR($C647="総括",$C647="内訳書",$C647="内訳代価",$C647="明細書",$C647="明細代価",$C647="代価表",$C647="単価表"),データ!K644,"")</f>
        <v/>
      </c>
      <c r="K647" s="11" t="str">
        <f t="shared" si="60"/>
        <v/>
      </c>
      <c r="L647" s="46">
        <f t="shared" si="61"/>
        <v>2.7788576447381684E-4</v>
      </c>
      <c r="M647" s="40" t="str">
        <f>IF(データ!L644="","",データ!L644)</f>
        <v/>
      </c>
      <c r="N647" s="41" t="str">
        <f>IF(データ!M644="","",データ!M644)</f>
        <v/>
      </c>
      <c r="O647" s="42">
        <f>データ!N644</f>
        <v>0</v>
      </c>
      <c r="P647" s="48">
        <f>IF($C647="集計行","",データ!O644)</f>
        <v>0</v>
      </c>
      <c r="Q647" s="48">
        <f>データ!P644</f>
        <v>0</v>
      </c>
      <c r="R647" s="39" t="str">
        <f>IF(OR($C647="総括",$C647="内訳書",$C647="内訳代価",$C647="明細書",$C647="明細代価",$C647="代価表",$C647="単価表"),データ!Q644,"")</f>
        <v/>
      </c>
      <c r="S647" s="11" t="str">
        <f t="shared" si="62"/>
        <v/>
      </c>
      <c r="T647" s="46" t="e">
        <f t="shared" si="63"/>
        <v>#DIV/0!</v>
      </c>
      <c r="U647" s="40" t="str">
        <f>IF(データ!R644="","",データ!R644)</f>
        <v/>
      </c>
      <c r="V647" s="41" t="str">
        <f>IF(データ!S644="","",データ!S644)</f>
        <v/>
      </c>
      <c r="W647" s="42">
        <f>データ!T644</f>
        <v>0</v>
      </c>
      <c r="X647" s="48">
        <f>IF($C647="集計行","",データ!U644)</f>
        <v>0</v>
      </c>
      <c r="Y647" s="48">
        <f>データ!V644</f>
        <v>0</v>
      </c>
      <c r="Z647" s="39" t="str">
        <f>IF(OR($C647="総括",$C647="内訳書",$C647="内訳代価",$C647="明細書",$C647="明細代価",$C647="代価表",$C647="単価表"),データ!W644,"")</f>
        <v/>
      </c>
      <c r="AA647" s="11" t="str">
        <f t="shared" si="64"/>
        <v/>
      </c>
      <c r="AB647" s="46" t="e">
        <f t="shared" si="65"/>
        <v>#DIV/0!</v>
      </c>
      <c r="AC647" s="40" t="str">
        <f>IF(データ!X644="","",データ!X644)</f>
        <v/>
      </c>
      <c r="AD647" s="41" t="str">
        <f>IF(データ!Y644="","",データ!Y644)</f>
        <v/>
      </c>
      <c r="AE647" s="47" t="str">
        <f>TRIM(データ!B644)</f>
        <v/>
      </c>
      <c r="AF647" s="43" t="str">
        <f>TRIM(データ!Z644)</f>
        <v/>
      </c>
    </row>
    <row r="648" spans="1:32" x14ac:dyDescent="0.15">
      <c r="A648" s="47">
        <f>データ!A645</f>
        <v>2</v>
      </c>
      <c r="B648" s="47" t="str">
        <f>TRIM(データ!C645)</f>
        <v/>
      </c>
      <c r="C648" s="47" t="str">
        <f>TRIM(データ!D645)</f>
        <v>内訳書</v>
      </c>
      <c r="D648" s="36" t="str">
        <f>REPT("｜",$A648)&amp;TRIM(データ!E645)</f>
        <v>｜｜路盤撤去</v>
      </c>
      <c r="E648" s="37" t="str">
        <f>TRIM(データ!F645)</f>
        <v>切り下げ部</v>
      </c>
      <c r="F648" s="38" t="str">
        <f>TRIM(データ!G645)</f>
        <v>m2</v>
      </c>
      <c r="G648" s="50">
        <f>データ!H645</f>
        <v>45</v>
      </c>
      <c r="H648" s="48">
        <f>データ!I645</f>
        <v>5100</v>
      </c>
      <c r="I648" s="48">
        <f>データ!J645</f>
        <v>229500</v>
      </c>
      <c r="J648" s="39">
        <f>IF(OR($C648="総括",$C648="内訳書",$C648="内訳代価",$C648="明細書",$C648="明細代価",$C648="代価表",$C648="単価表"),データ!K645,"")</f>
        <v>45</v>
      </c>
      <c r="K648" s="11" t="str">
        <f t="shared" si="60"/>
        <v/>
      </c>
      <c r="L648" s="46">
        <f t="shared" si="61"/>
        <v>3.3043928987948686E-3</v>
      </c>
      <c r="M648" s="40" t="str">
        <f>IF(データ!L645="","",データ!L645)</f>
        <v/>
      </c>
      <c r="N648" s="41" t="str">
        <f>IF(データ!M645="","",データ!M645)</f>
        <v>82号内訳書</v>
      </c>
      <c r="O648" s="42">
        <f>データ!N645</f>
        <v>0</v>
      </c>
      <c r="P648" s="48">
        <f>IF($C648="集計行","",データ!O645)</f>
        <v>0</v>
      </c>
      <c r="Q648" s="48">
        <f>データ!P645</f>
        <v>0</v>
      </c>
      <c r="R648" s="39">
        <f>IF(OR($C648="総括",$C648="内訳書",$C648="内訳代価",$C648="明細書",$C648="明細代価",$C648="代価表",$C648="単価表"),データ!Q645,"")</f>
        <v>0</v>
      </c>
      <c r="S648" s="11" t="str">
        <f t="shared" si="62"/>
        <v/>
      </c>
      <c r="T648" s="46" t="e">
        <f t="shared" si="63"/>
        <v>#DIV/0!</v>
      </c>
      <c r="U648" s="40" t="str">
        <f>IF(データ!R645="","",データ!R645)</f>
        <v/>
      </c>
      <c r="V648" s="41" t="str">
        <f>IF(データ!S645="","",データ!S645)</f>
        <v/>
      </c>
      <c r="W648" s="42">
        <f>データ!T645</f>
        <v>0</v>
      </c>
      <c r="X648" s="48">
        <f>IF($C648="集計行","",データ!U645)</f>
        <v>0</v>
      </c>
      <c r="Y648" s="48">
        <f>データ!V645</f>
        <v>0</v>
      </c>
      <c r="Z648" s="39">
        <f>IF(OR($C648="総括",$C648="内訳書",$C648="内訳代価",$C648="明細書",$C648="明細代価",$C648="代価表",$C648="単価表"),データ!W645,"")</f>
        <v>0</v>
      </c>
      <c r="AA648" s="11" t="str">
        <f t="shared" si="64"/>
        <v/>
      </c>
      <c r="AB648" s="46" t="e">
        <f t="shared" si="65"/>
        <v>#DIV/0!</v>
      </c>
      <c r="AC648" s="40" t="str">
        <f>IF(データ!X645="","",データ!X645)</f>
        <v/>
      </c>
      <c r="AD648" s="41" t="str">
        <f>IF(データ!Y645="","",データ!Y645)</f>
        <v/>
      </c>
      <c r="AE648" s="47" t="str">
        <f>TRIM(データ!B645)</f>
        <v/>
      </c>
      <c r="AF648" s="43" t="str">
        <f>TRIM(データ!Z645)</f>
        <v/>
      </c>
    </row>
    <row r="649" spans="1:32" x14ac:dyDescent="0.15">
      <c r="A649" s="47">
        <f>データ!A646</f>
        <v>3</v>
      </c>
      <c r="B649" s="47" t="str">
        <f>TRIM(データ!C646)</f>
        <v/>
      </c>
      <c r="C649" s="47" t="str">
        <f>TRIM(データ!D646)</f>
        <v>労務費</v>
      </c>
      <c r="D649" s="36" t="str">
        <f>REPT("｜",$A649)&amp;TRIM(データ!E646)</f>
        <v>｜｜｜技工</v>
      </c>
      <c r="E649" s="37" t="str">
        <f>TRIM(データ!F646)</f>
        <v/>
      </c>
      <c r="F649" s="38" t="str">
        <f>TRIM(データ!G646)</f>
        <v>人</v>
      </c>
      <c r="G649" s="50">
        <f>データ!H646</f>
        <v>5</v>
      </c>
      <c r="H649" s="48">
        <f>データ!I646</f>
        <v>32000</v>
      </c>
      <c r="I649" s="48">
        <f>データ!J646</f>
        <v>160000</v>
      </c>
      <c r="J649" s="39" t="str">
        <f>IF(OR($C649="総括",$C649="内訳書",$C649="内訳代価",$C649="明細書",$C649="明細代価",$C649="代価表",$C649="単価表"),データ!K646,"")</f>
        <v/>
      </c>
      <c r="K649" s="11" t="str">
        <f t="shared" si="60"/>
        <v/>
      </c>
      <c r="L649" s="46">
        <f t="shared" si="61"/>
        <v>2.303716182166357E-3</v>
      </c>
      <c r="M649" s="40" t="str">
        <f>IF(データ!L646="","",データ!L646)</f>
        <v/>
      </c>
      <c r="N649" s="41" t="str">
        <f>IF(データ!M646="","",データ!M646)</f>
        <v/>
      </c>
      <c r="O649" s="42">
        <f>データ!N646</f>
        <v>0</v>
      </c>
      <c r="P649" s="48">
        <f>IF($C649="集計行","",データ!O646)</f>
        <v>0</v>
      </c>
      <c r="Q649" s="48">
        <f>データ!P646</f>
        <v>0</v>
      </c>
      <c r="R649" s="39" t="str">
        <f>IF(OR($C649="総括",$C649="内訳書",$C649="内訳代価",$C649="明細書",$C649="明細代価",$C649="代価表",$C649="単価表"),データ!Q646,"")</f>
        <v/>
      </c>
      <c r="S649" s="11" t="str">
        <f t="shared" si="62"/>
        <v/>
      </c>
      <c r="T649" s="46" t="e">
        <f t="shared" si="63"/>
        <v>#DIV/0!</v>
      </c>
      <c r="U649" s="40" t="str">
        <f>IF(データ!R646="","",データ!R646)</f>
        <v/>
      </c>
      <c r="V649" s="41" t="str">
        <f>IF(データ!S646="","",データ!S646)</f>
        <v/>
      </c>
      <c r="W649" s="42">
        <f>データ!T646</f>
        <v>0</v>
      </c>
      <c r="X649" s="48">
        <f>IF($C649="集計行","",データ!U646)</f>
        <v>0</v>
      </c>
      <c r="Y649" s="48">
        <f>データ!V646</f>
        <v>0</v>
      </c>
      <c r="Z649" s="39" t="str">
        <f>IF(OR($C649="総括",$C649="内訳書",$C649="内訳代価",$C649="明細書",$C649="明細代価",$C649="代価表",$C649="単価表"),データ!W646,"")</f>
        <v/>
      </c>
      <c r="AA649" s="11" t="str">
        <f t="shared" si="64"/>
        <v/>
      </c>
      <c r="AB649" s="46" t="e">
        <f t="shared" si="65"/>
        <v>#DIV/0!</v>
      </c>
      <c r="AC649" s="40" t="str">
        <f>IF(データ!X646="","",データ!X646)</f>
        <v/>
      </c>
      <c r="AD649" s="41" t="str">
        <f>IF(データ!Y646="","",データ!Y646)</f>
        <v/>
      </c>
      <c r="AE649" s="47" t="str">
        <f>TRIM(データ!B646)</f>
        <v/>
      </c>
      <c r="AF649" s="43" t="str">
        <f>TRIM(データ!Z646)</f>
        <v/>
      </c>
    </row>
    <row r="650" spans="1:32" x14ac:dyDescent="0.15">
      <c r="A650" s="47">
        <f>データ!A647</f>
        <v>3</v>
      </c>
      <c r="B650" s="47" t="str">
        <f>TRIM(データ!C647)</f>
        <v/>
      </c>
      <c r="C650" s="47" t="str">
        <f>TRIM(データ!D647)</f>
        <v>機械費</v>
      </c>
      <c r="D650" s="36" t="str">
        <f>REPT("｜",$A650)&amp;TRIM(データ!E647)</f>
        <v>｜｜｜BH0.15</v>
      </c>
      <c r="E650" s="37" t="str">
        <f>TRIM(データ!F647)</f>
        <v/>
      </c>
      <c r="F650" s="38" t="str">
        <f>TRIM(データ!G647)</f>
        <v>台</v>
      </c>
      <c r="G650" s="50">
        <f>データ!H647</f>
        <v>1</v>
      </c>
      <c r="H650" s="48">
        <f>データ!I647</f>
        <v>8000</v>
      </c>
      <c r="I650" s="48">
        <f>データ!J647</f>
        <v>8000</v>
      </c>
      <c r="J650" s="39" t="str">
        <f>IF(OR($C650="総括",$C650="内訳書",$C650="内訳代価",$C650="明細書",$C650="明細代価",$C650="代価表",$C650="単価表"),データ!K647,"")</f>
        <v/>
      </c>
      <c r="K650" s="11" t="str">
        <f t="shared" si="60"/>
        <v/>
      </c>
      <c r="L650" s="46">
        <f t="shared" si="61"/>
        <v>1.1518580910831785E-4</v>
      </c>
      <c r="M650" s="40" t="str">
        <f>IF(データ!L647="","",データ!L647)</f>
        <v/>
      </c>
      <c r="N650" s="41" t="str">
        <f>IF(データ!M647="","",データ!M647)</f>
        <v/>
      </c>
      <c r="O650" s="42">
        <f>データ!N647</f>
        <v>0</v>
      </c>
      <c r="P650" s="48">
        <f>IF($C650="集計行","",データ!O647)</f>
        <v>0</v>
      </c>
      <c r="Q650" s="48">
        <f>データ!P647</f>
        <v>0</v>
      </c>
      <c r="R650" s="39" t="str">
        <f>IF(OR($C650="総括",$C650="内訳書",$C650="内訳代価",$C650="明細書",$C650="明細代価",$C650="代価表",$C650="単価表"),データ!Q647,"")</f>
        <v/>
      </c>
      <c r="S650" s="11" t="str">
        <f t="shared" si="62"/>
        <v/>
      </c>
      <c r="T650" s="46" t="e">
        <f t="shared" si="63"/>
        <v>#DIV/0!</v>
      </c>
      <c r="U650" s="40" t="str">
        <f>IF(データ!R647="","",データ!R647)</f>
        <v/>
      </c>
      <c r="V650" s="41" t="str">
        <f>IF(データ!S647="","",データ!S647)</f>
        <v/>
      </c>
      <c r="W650" s="42">
        <f>データ!T647</f>
        <v>0</v>
      </c>
      <c r="X650" s="48">
        <f>IF($C650="集計行","",データ!U647)</f>
        <v>0</v>
      </c>
      <c r="Y650" s="48">
        <f>データ!V647</f>
        <v>0</v>
      </c>
      <c r="Z650" s="39" t="str">
        <f>IF(OR($C650="総括",$C650="内訳書",$C650="内訳代価",$C650="明細書",$C650="明細代価",$C650="代価表",$C650="単価表"),データ!W647,"")</f>
        <v/>
      </c>
      <c r="AA650" s="11" t="str">
        <f t="shared" si="64"/>
        <v/>
      </c>
      <c r="AB650" s="46" t="e">
        <f t="shared" si="65"/>
        <v>#DIV/0!</v>
      </c>
      <c r="AC650" s="40" t="str">
        <f>IF(データ!X647="","",データ!X647)</f>
        <v/>
      </c>
      <c r="AD650" s="41" t="str">
        <f>IF(データ!Y647="","",データ!Y647)</f>
        <v/>
      </c>
      <c r="AE650" s="47" t="str">
        <f>TRIM(データ!B647)</f>
        <v/>
      </c>
      <c r="AF650" s="43" t="str">
        <f>TRIM(データ!Z647)</f>
        <v/>
      </c>
    </row>
    <row r="651" spans="1:32" x14ac:dyDescent="0.15">
      <c r="A651" s="47">
        <f>データ!A648</f>
        <v>3</v>
      </c>
      <c r="B651" s="47" t="str">
        <f>TRIM(データ!C648)</f>
        <v/>
      </c>
      <c r="C651" s="47" t="str">
        <f>TRIM(データ!D648)</f>
        <v>機械費</v>
      </c>
      <c r="D651" s="36" t="str">
        <f>REPT("｜",$A651)&amp;TRIM(データ!E648)</f>
        <v>｜｜｜タイヤショベル</v>
      </c>
      <c r="E651" s="37" t="str">
        <f>TRIM(データ!F648)</f>
        <v/>
      </c>
      <c r="F651" s="38" t="str">
        <f>TRIM(データ!G648)</f>
        <v>台</v>
      </c>
      <c r="G651" s="50">
        <f>データ!H648</f>
        <v>1</v>
      </c>
      <c r="H651" s="48">
        <f>データ!I648</f>
        <v>8000</v>
      </c>
      <c r="I651" s="48">
        <f>データ!J648</f>
        <v>8000</v>
      </c>
      <c r="J651" s="39" t="str">
        <f>IF(OR($C651="総括",$C651="内訳書",$C651="内訳代価",$C651="明細書",$C651="明細代価",$C651="代価表",$C651="単価表"),データ!K648,"")</f>
        <v/>
      </c>
      <c r="K651" s="11" t="str">
        <f t="shared" si="60"/>
        <v/>
      </c>
      <c r="L651" s="46">
        <f t="shared" si="61"/>
        <v>1.1518580910831785E-4</v>
      </c>
      <c r="M651" s="40" t="str">
        <f>IF(データ!L648="","",データ!L648)</f>
        <v/>
      </c>
      <c r="N651" s="41" t="str">
        <f>IF(データ!M648="","",データ!M648)</f>
        <v/>
      </c>
      <c r="O651" s="42">
        <f>データ!N648</f>
        <v>0</v>
      </c>
      <c r="P651" s="48">
        <f>IF($C651="集計行","",データ!O648)</f>
        <v>0</v>
      </c>
      <c r="Q651" s="48">
        <f>データ!P648</f>
        <v>0</v>
      </c>
      <c r="R651" s="39" t="str">
        <f>IF(OR($C651="総括",$C651="内訳書",$C651="内訳代価",$C651="明細書",$C651="明細代価",$C651="代価表",$C651="単価表"),データ!Q648,"")</f>
        <v/>
      </c>
      <c r="S651" s="11" t="str">
        <f t="shared" si="62"/>
        <v/>
      </c>
      <c r="T651" s="46" t="e">
        <f t="shared" si="63"/>
        <v>#DIV/0!</v>
      </c>
      <c r="U651" s="40" t="str">
        <f>IF(データ!R648="","",データ!R648)</f>
        <v/>
      </c>
      <c r="V651" s="41" t="str">
        <f>IF(データ!S648="","",データ!S648)</f>
        <v/>
      </c>
      <c r="W651" s="42">
        <f>データ!T648</f>
        <v>0</v>
      </c>
      <c r="X651" s="48">
        <f>IF($C651="集計行","",データ!U648)</f>
        <v>0</v>
      </c>
      <c r="Y651" s="48">
        <f>データ!V648</f>
        <v>0</v>
      </c>
      <c r="Z651" s="39" t="str">
        <f>IF(OR($C651="総括",$C651="内訳書",$C651="内訳代価",$C651="明細書",$C651="明細代価",$C651="代価表",$C651="単価表"),データ!W648,"")</f>
        <v/>
      </c>
      <c r="AA651" s="11" t="str">
        <f t="shared" si="64"/>
        <v/>
      </c>
      <c r="AB651" s="46" t="e">
        <f t="shared" si="65"/>
        <v>#DIV/0!</v>
      </c>
      <c r="AC651" s="40" t="str">
        <f>IF(データ!X648="","",データ!X648)</f>
        <v/>
      </c>
      <c r="AD651" s="41" t="str">
        <f>IF(データ!Y648="","",データ!Y648)</f>
        <v/>
      </c>
      <c r="AE651" s="47" t="str">
        <f>TRIM(データ!B648)</f>
        <v/>
      </c>
      <c r="AF651" s="43" t="str">
        <f>TRIM(データ!Z648)</f>
        <v/>
      </c>
    </row>
    <row r="652" spans="1:32" x14ac:dyDescent="0.15">
      <c r="A652" s="47">
        <f>データ!A649</f>
        <v>3</v>
      </c>
      <c r="B652" s="47" t="str">
        <f>TRIM(データ!C649)</f>
        <v/>
      </c>
      <c r="C652" s="47" t="str">
        <f>TRIM(データ!D649)</f>
        <v>運搬費</v>
      </c>
      <c r="D652" s="36" t="str">
        <f>REPT("｜",$A652)&amp;TRIM(データ!E649)</f>
        <v>｜｜｜4tダンプ</v>
      </c>
      <c r="E652" s="37" t="str">
        <f>TRIM(データ!F649)</f>
        <v/>
      </c>
      <c r="F652" s="38" t="str">
        <f>TRIM(データ!G649)</f>
        <v>台</v>
      </c>
      <c r="G652" s="50">
        <f>データ!H649</f>
        <v>1</v>
      </c>
      <c r="H652" s="48">
        <f>データ!I649</f>
        <v>10000</v>
      </c>
      <c r="I652" s="48">
        <f>データ!J649</f>
        <v>10000</v>
      </c>
      <c r="J652" s="39" t="str">
        <f>IF(OR($C652="総括",$C652="内訳書",$C652="内訳代価",$C652="明細書",$C652="明細代価",$C652="代価表",$C652="単価表"),データ!K649,"")</f>
        <v/>
      </c>
      <c r="K652" s="11" t="str">
        <f t="shared" si="60"/>
        <v/>
      </c>
      <c r="L652" s="46">
        <f t="shared" si="61"/>
        <v>1.4398226138539731E-4</v>
      </c>
      <c r="M652" s="40" t="str">
        <f>IF(データ!L649="","",データ!L649)</f>
        <v/>
      </c>
      <c r="N652" s="41" t="str">
        <f>IF(データ!M649="","",データ!M649)</f>
        <v/>
      </c>
      <c r="O652" s="42">
        <f>データ!N649</f>
        <v>0</v>
      </c>
      <c r="P652" s="48">
        <f>IF($C652="集計行","",データ!O649)</f>
        <v>0</v>
      </c>
      <c r="Q652" s="48">
        <f>データ!P649</f>
        <v>0</v>
      </c>
      <c r="R652" s="39" t="str">
        <f>IF(OR($C652="総括",$C652="内訳書",$C652="内訳代価",$C652="明細書",$C652="明細代価",$C652="代価表",$C652="単価表"),データ!Q649,"")</f>
        <v/>
      </c>
      <c r="S652" s="11" t="str">
        <f t="shared" si="62"/>
        <v/>
      </c>
      <c r="T652" s="46" t="e">
        <f t="shared" si="63"/>
        <v>#DIV/0!</v>
      </c>
      <c r="U652" s="40" t="str">
        <f>IF(データ!R649="","",データ!R649)</f>
        <v/>
      </c>
      <c r="V652" s="41" t="str">
        <f>IF(データ!S649="","",データ!S649)</f>
        <v/>
      </c>
      <c r="W652" s="42">
        <f>データ!T649</f>
        <v>0</v>
      </c>
      <c r="X652" s="48">
        <f>IF($C652="集計行","",データ!U649)</f>
        <v>0</v>
      </c>
      <c r="Y652" s="48">
        <f>データ!V649</f>
        <v>0</v>
      </c>
      <c r="Z652" s="39" t="str">
        <f>IF(OR($C652="総括",$C652="内訳書",$C652="内訳代価",$C652="明細書",$C652="明細代価",$C652="代価表",$C652="単価表"),データ!W649,"")</f>
        <v/>
      </c>
      <c r="AA652" s="11" t="str">
        <f t="shared" si="64"/>
        <v/>
      </c>
      <c r="AB652" s="46" t="e">
        <f t="shared" si="65"/>
        <v>#DIV/0!</v>
      </c>
      <c r="AC652" s="40" t="str">
        <f>IF(データ!X649="","",データ!X649)</f>
        <v/>
      </c>
      <c r="AD652" s="41" t="str">
        <f>IF(データ!Y649="","",データ!Y649)</f>
        <v/>
      </c>
      <c r="AE652" s="47" t="str">
        <f>TRIM(データ!B649)</f>
        <v/>
      </c>
      <c r="AF652" s="43" t="str">
        <f>TRIM(データ!Z649)</f>
        <v/>
      </c>
    </row>
    <row r="653" spans="1:32" x14ac:dyDescent="0.15">
      <c r="A653" s="47">
        <f>データ!A650</f>
        <v>3</v>
      </c>
      <c r="B653" s="47" t="str">
        <f>TRIM(データ!C650)</f>
        <v/>
      </c>
      <c r="C653" s="47" t="str">
        <f>TRIM(データ!D650)</f>
        <v>運搬費</v>
      </c>
      <c r="D653" s="36" t="str">
        <f>REPT("｜",$A653)&amp;TRIM(データ!E650)</f>
        <v>｜｜｜2tダンプ</v>
      </c>
      <c r="E653" s="37" t="str">
        <f>TRIM(データ!F650)</f>
        <v/>
      </c>
      <c r="F653" s="38" t="str">
        <f>TRIM(データ!G650)</f>
        <v>台</v>
      </c>
      <c r="G653" s="50">
        <f>データ!H650</f>
        <v>1</v>
      </c>
      <c r="H653" s="48">
        <f>データ!I650</f>
        <v>7000</v>
      </c>
      <c r="I653" s="48">
        <f>データ!J650</f>
        <v>7000</v>
      </c>
      <c r="J653" s="39" t="str">
        <f>IF(OR($C653="総括",$C653="内訳書",$C653="内訳代価",$C653="明細書",$C653="明細代価",$C653="代価表",$C653="単価表"),データ!K650,"")</f>
        <v/>
      </c>
      <c r="K653" s="11" t="str">
        <f t="shared" si="60"/>
        <v/>
      </c>
      <c r="L653" s="46">
        <f t="shared" si="61"/>
        <v>1.0078758296977812E-4</v>
      </c>
      <c r="M653" s="40" t="str">
        <f>IF(データ!L650="","",データ!L650)</f>
        <v/>
      </c>
      <c r="N653" s="41" t="str">
        <f>IF(データ!M650="","",データ!M650)</f>
        <v/>
      </c>
      <c r="O653" s="42">
        <f>データ!N650</f>
        <v>0</v>
      </c>
      <c r="P653" s="48">
        <f>IF($C653="集計行","",データ!O650)</f>
        <v>0</v>
      </c>
      <c r="Q653" s="48">
        <f>データ!P650</f>
        <v>0</v>
      </c>
      <c r="R653" s="39" t="str">
        <f>IF(OR($C653="総括",$C653="内訳書",$C653="内訳代価",$C653="明細書",$C653="明細代価",$C653="代価表",$C653="単価表"),データ!Q650,"")</f>
        <v/>
      </c>
      <c r="S653" s="11" t="str">
        <f t="shared" si="62"/>
        <v/>
      </c>
      <c r="T653" s="46" t="e">
        <f t="shared" si="63"/>
        <v>#DIV/0!</v>
      </c>
      <c r="U653" s="40" t="str">
        <f>IF(データ!R650="","",データ!R650)</f>
        <v/>
      </c>
      <c r="V653" s="41" t="str">
        <f>IF(データ!S650="","",データ!S650)</f>
        <v/>
      </c>
      <c r="W653" s="42">
        <f>データ!T650</f>
        <v>0</v>
      </c>
      <c r="X653" s="48">
        <f>IF($C653="集計行","",データ!U650)</f>
        <v>0</v>
      </c>
      <c r="Y653" s="48">
        <f>データ!V650</f>
        <v>0</v>
      </c>
      <c r="Z653" s="39" t="str">
        <f>IF(OR($C653="総括",$C653="内訳書",$C653="内訳代価",$C653="明細書",$C653="明細代価",$C653="代価表",$C653="単価表"),データ!W650,"")</f>
        <v/>
      </c>
      <c r="AA653" s="11" t="str">
        <f t="shared" si="64"/>
        <v/>
      </c>
      <c r="AB653" s="46" t="e">
        <f t="shared" si="65"/>
        <v>#DIV/0!</v>
      </c>
      <c r="AC653" s="40" t="str">
        <f>IF(データ!X650="","",データ!X650)</f>
        <v/>
      </c>
      <c r="AD653" s="41" t="str">
        <f>IF(データ!Y650="","",データ!Y650)</f>
        <v/>
      </c>
      <c r="AE653" s="47" t="str">
        <f>TRIM(データ!B650)</f>
        <v/>
      </c>
      <c r="AF653" s="43" t="str">
        <f>TRIM(データ!Z650)</f>
        <v/>
      </c>
    </row>
    <row r="654" spans="1:32" x14ac:dyDescent="0.15">
      <c r="A654" s="47">
        <f>データ!A651</f>
        <v>3</v>
      </c>
      <c r="B654" s="47" t="str">
        <f>TRIM(データ!C651)</f>
        <v/>
      </c>
      <c r="C654" s="47" t="str">
        <f>TRIM(データ!D651)</f>
        <v>材料費</v>
      </c>
      <c r="D654" s="36" t="str">
        <f>REPT("｜",$A654)&amp;TRIM(データ!E651)</f>
        <v>｜｜｜軽油</v>
      </c>
      <c r="E654" s="37" t="str">
        <f>TRIM(データ!F651)</f>
        <v/>
      </c>
      <c r="F654" s="38" t="str">
        <f>TRIM(データ!G651)</f>
        <v>リットル</v>
      </c>
      <c r="G654" s="50">
        <f>データ!H651</f>
        <v>40</v>
      </c>
      <c r="H654" s="48">
        <f>データ!I651</f>
        <v>150</v>
      </c>
      <c r="I654" s="48">
        <f>データ!J651</f>
        <v>6000</v>
      </c>
      <c r="J654" s="39" t="str">
        <f>IF(OR($C654="総括",$C654="内訳書",$C654="内訳代価",$C654="明細書",$C654="明細代価",$C654="代価表",$C654="単価表"),データ!K651,"")</f>
        <v/>
      </c>
      <c r="K654" s="11" t="str">
        <f t="shared" si="60"/>
        <v/>
      </c>
      <c r="L654" s="46">
        <f t="shared" si="61"/>
        <v>8.6389356831238388E-5</v>
      </c>
      <c r="M654" s="40" t="str">
        <f>IF(データ!L651="","",データ!L651)</f>
        <v/>
      </c>
      <c r="N654" s="41" t="str">
        <f>IF(データ!M651="","",データ!M651)</f>
        <v/>
      </c>
      <c r="O654" s="42">
        <f>データ!N651</f>
        <v>0</v>
      </c>
      <c r="P654" s="48">
        <f>IF($C654="集計行","",データ!O651)</f>
        <v>0</v>
      </c>
      <c r="Q654" s="48">
        <f>データ!P651</f>
        <v>0</v>
      </c>
      <c r="R654" s="39" t="str">
        <f>IF(OR($C654="総括",$C654="内訳書",$C654="内訳代価",$C654="明細書",$C654="明細代価",$C654="代価表",$C654="単価表"),データ!Q651,"")</f>
        <v/>
      </c>
      <c r="S654" s="11" t="str">
        <f t="shared" si="62"/>
        <v/>
      </c>
      <c r="T654" s="46" t="e">
        <f t="shared" si="63"/>
        <v>#DIV/0!</v>
      </c>
      <c r="U654" s="40" t="str">
        <f>IF(データ!R651="","",データ!R651)</f>
        <v/>
      </c>
      <c r="V654" s="41" t="str">
        <f>IF(データ!S651="","",データ!S651)</f>
        <v/>
      </c>
      <c r="W654" s="42">
        <f>データ!T651</f>
        <v>0</v>
      </c>
      <c r="X654" s="48">
        <f>IF($C654="集計行","",データ!U651)</f>
        <v>0</v>
      </c>
      <c r="Y654" s="48">
        <f>データ!V651</f>
        <v>0</v>
      </c>
      <c r="Z654" s="39" t="str">
        <f>IF(OR($C654="総括",$C654="内訳書",$C654="内訳代価",$C654="明細書",$C654="明細代価",$C654="代価表",$C654="単価表"),データ!W651,"")</f>
        <v/>
      </c>
      <c r="AA654" s="11" t="str">
        <f t="shared" si="64"/>
        <v/>
      </c>
      <c r="AB654" s="46" t="e">
        <f t="shared" si="65"/>
        <v>#DIV/0!</v>
      </c>
      <c r="AC654" s="40" t="str">
        <f>IF(データ!X651="","",データ!X651)</f>
        <v/>
      </c>
      <c r="AD654" s="41" t="str">
        <f>IF(データ!Y651="","",データ!Y651)</f>
        <v/>
      </c>
      <c r="AE654" s="47" t="str">
        <f>TRIM(データ!B651)</f>
        <v/>
      </c>
      <c r="AF654" s="43" t="str">
        <f>TRIM(データ!Z651)</f>
        <v/>
      </c>
    </row>
    <row r="655" spans="1:32" x14ac:dyDescent="0.15">
      <c r="A655" s="47">
        <f>データ!A652</f>
        <v>3</v>
      </c>
      <c r="B655" s="47" t="str">
        <f>TRIM(データ!C652)</f>
        <v/>
      </c>
      <c r="C655" s="47" t="str">
        <f>TRIM(データ!D652)</f>
        <v>材料費</v>
      </c>
      <c r="D655" s="36" t="str">
        <f>REPT("｜",$A655)&amp;TRIM(データ!E652)</f>
        <v>｜｜｜ガソリン</v>
      </c>
      <c r="E655" s="37" t="str">
        <f>TRIM(データ!F652)</f>
        <v/>
      </c>
      <c r="F655" s="38" t="str">
        <f>TRIM(データ!G652)</f>
        <v>リットル</v>
      </c>
      <c r="G655" s="50">
        <f>データ!H652</f>
        <v>40</v>
      </c>
      <c r="H655" s="48">
        <f>データ!I652</f>
        <v>200</v>
      </c>
      <c r="I655" s="48">
        <f>データ!J652</f>
        <v>8000</v>
      </c>
      <c r="J655" s="39" t="str">
        <f>IF(OR($C655="総括",$C655="内訳書",$C655="内訳代価",$C655="明細書",$C655="明細代価",$C655="代価表",$C655="単価表"),データ!K652,"")</f>
        <v/>
      </c>
      <c r="K655" s="11" t="str">
        <f t="shared" si="60"/>
        <v/>
      </c>
      <c r="L655" s="46">
        <f t="shared" si="61"/>
        <v>1.1518580910831785E-4</v>
      </c>
      <c r="M655" s="40" t="str">
        <f>IF(データ!L652="","",データ!L652)</f>
        <v/>
      </c>
      <c r="N655" s="41" t="str">
        <f>IF(データ!M652="","",データ!M652)</f>
        <v/>
      </c>
      <c r="O655" s="42">
        <f>データ!N652</f>
        <v>0</v>
      </c>
      <c r="P655" s="48">
        <f>IF($C655="集計行","",データ!O652)</f>
        <v>0</v>
      </c>
      <c r="Q655" s="48">
        <f>データ!P652</f>
        <v>0</v>
      </c>
      <c r="R655" s="39" t="str">
        <f>IF(OR($C655="総括",$C655="内訳書",$C655="内訳代価",$C655="明細書",$C655="明細代価",$C655="代価表",$C655="単価表"),データ!Q652,"")</f>
        <v/>
      </c>
      <c r="S655" s="11" t="str">
        <f t="shared" si="62"/>
        <v/>
      </c>
      <c r="T655" s="46" t="e">
        <f t="shared" si="63"/>
        <v>#DIV/0!</v>
      </c>
      <c r="U655" s="40" t="str">
        <f>IF(データ!R652="","",データ!R652)</f>
        <v/>
      </c>
      <c r="V655" s="41" t="str">
        <f>IF(データ!S652="","",データ!S652)</f>
        <v/>
      </c>
      <c r="W655" s="42">
        <f>データ!T652</f>
        <v>0</v>
      </c>
      <c r="X655" s="48">
        <f>IF($C655="集計行","",データ!U652)</f>
        <v>0</v>
      </c>
      <c r="Y655" s="48">
        <f>データ!V652</f>
        <v>0</v>
      </c>
      <c r="Z655" s="39" t="str">
        <f>IF(OR($C655="総括",$C655="内訳書",$C655="内訳代価",$C655="明細書",$C655="明細代価",$C655="代価表",$C655="単価表"),データ!W652,"")</f>
        <v/>
      </c>
      <c r="AA655" s="11" t="str">
        <f t="shared" si="64"/>
        <v/>
      </c>
      <c r="AB655" s="46" t="e">
        <f t="shared" si="65"/>
        <v>#DIV/0!</v>
      </c>
      <c r="AC655" s="40" t="str">
        <f>IF(データ!X652="","",データ!X652)</f>
        <v/>
      </c>
      <c r="AD655" s="41" t="str">
        <f>IF(データ!Y652="","",データ!Y652)</f>
        <v/>
      </c>
      <c r="AE655" s="47" t="str">
        <f>TRIM(データ!B652)</f>
        <v/>
      </c>
      <c r="AF655" s="43" t="str">
        <f>TRIM(データ!Z652)</f>
        <v/>
      </c>
    </row>
    <row r="656" spans="1:32" x14ac:dyDescent="0.15">
      <c r="A656" s="47">
        <f>データ!A653</f>
        <v>3</v>
      </c>
      <c r="B656" s="47" t="str">
        <f>TRIM(データ!C653)</f>
        <v/>
      </c>
      <c r="C656" s="47" t="str">
        <f>TRIM(データ!D653)</f>
        <v>材料費</v>
      </c>
      <c r="D656" s="36" t="str">
        <f>REPT("｜",$A656)&amp;TRIM(データ!E653)</f>
        <v>｜｜｜雑材</v>
      </c>
      <c r="E656" s="37" t="str">
        <f>TRIM(データ!F653)</f>
        <v/>
      </c>
      <c r="F656" s="38" t="str">
        <f>TRIM(データ!G653)</f>
        <v>式</v>
      </c>
      <c r="G656" s="50">
        <f>データ!H653</f>
        <v>1</v>
      </c>
      <c r="H656" s="48">
        <f>データ!I653</f>
        <v>3200</v>
      </c>
      <c r="I656" s="48">
        <f>データ!J653</f>
        <v>3200</v>
      </c>
      <c r="J656" s="39" t="str">
        <f>IF(OR($C656="総括",$C656="内訳書",$C656="内訳代価",$C656="明細書",$C656="明細代価",$C656="代価表",$C656="単価表"),データ!K653,"")</f>
        <v/>
      </c>
      <c r="K656" s="11" t="str">
        <f t="shared" si="60"/>
        <v/>
      </c>
      <c r="L656" s="46">
        <f t="shared" si="61"/>
        <v>4.6074323643327144E-5</v>
      </c>
      <c r="M656" s="40" t="str">
        <f>IF(データ!L653="","",データ!L653)</f>
        <v/>
      </c>
      <c r="N656" s="41" t="str">
        <f>IF(データ!M653="","",データ!M653)</f>
        <v/>
      </c>
      <c r="O656" s="42">
        <f>データ!N653</f>
        <v>0</v>
      </c>
      <c r="P656" s="48">
        <f>IF($C656="集計行","",データ!O653)</f>
        <v>0</v>
      </c>
      <c r="Q656" s="48">
        <f>データ!P653</f>
        <v>0</v>
      </c>
      <c r="R656" s="39" t="str">
        <f>IF(OR($C656="総括",$C656="内訳書",$C656="内訳代価",$C656="明細書",$C656="明細代価",$C656="代価表",$C656="単価表"),データ!Q653,"")</f>
        <v/>
      </c>
      <c r="S656" s="11" t="str">
        <f t="shared" si="62"/>
        <v/>
      </c>
      <c r="T656" s="46" t="e">
        <f t="shared" si="63"/>
        <v>#DIV/0!</v>
      </c>
      <c r="U656" s="40" t="str">
        <f>IF(データ!R653="","",データ!R653)</f>
        <v/>
      </c>
      <c r="V656" s="41" t="str">
        <f>IF(データ!S653="","",データ!S653)</f>
        <v/>
      </c>
      <c r="W656" s="42">
        <f>データ!T653</f>
        <v>0</v>
      </c>
      <c r="X656" s="48">
        <f>IF($C656="集計行","",データ!U653)</f>
        <v>0</v>
      </c>
      <c r="Y656" s="48">
        <f>データ!V653</f>
        <v>0</v>
      </c>
      <c r="Z656" s="39" t="str">
        <f>IF(OR($C656="総括",$C656="内訳書",$C656="内訳代価",$C656="明細書",$C656="明細代価",$C656="代価表",$C656="単価表"),データ!W653,"")</f>
        <v/>
      </c>
      <c r="AA656" s="11" t="str">
        <f t="shared" si="64"/>
        <v/>
      </c>
      <c r="AB656" s="46" t="e">
        <f t="shared" si="65"/>
        <v>#DIV/0!</v>
      </c>
      <c r="AC656" s="40" t="str">
        <f>IF(データ!X653="","",データ!X653)</f>
        <v/>
      </c>
      <c r="AD656" s="41" t="str">
        <f>IF(データ!Y653="","",データ!Y653)</f>
        <v/>
      </c>
      <c r="AE656" s="47" t="str">
        <f>TRIM(データ!B653)</f>
        <v/>
      </c>
      <c r="AF656" s="43" t="str">
        <f>TRIM(データ!Z653)</f>
        <v/>
      </c>
    </row>
    <row r="657" spans="1:32" x14ac:dyDescent="0.15">
      <c r="A657" s="47">
        <f>データ!A654</f>
        <v>3</v>
      </c>
      <c r="B657" s="47" t="str">
        <f>TRIM(データ!C654)</f>
        <v/>
      </c>
      <c r="C657" s="47" t="str">
        <f>TRIM(データ!D654)</f>
        <v>外注費</v>
      </c>
      <c r="D657" s="36" t="str">
        <f>REPT("｜",$A657)&amp;TRIM(データ!E654)</f>
        <v>｜｜｜外注経費</v>
      </c>
      <c r="E657" s="37" t="str">
        <f>TRIM(データ!F654)</f>
        <v/>
      </c>
      <c r="F657" s="38" t="str">
        <f>TRIM(データ!G654)</f>
        <v>式</v>
      </c>
      <c r="G657" s="50">
        <f>データ!H654</f>
        <v>1</v>
      </c>
      <c r="H657" s="48">
        <f>データ!I654</f>
        <v>19300</v>
      </c>
      <c r="I657" s="48">
        <f>データ!J654</f>
        <v>19300</v>
      </c>
      <c r="J657" s="39" t="str">
        <f>IF(OR($C657="総括",$C657="内訳書",$C657="内訳代価",$C657="明細書",$C657="明細代価",$C657="代価表",$C657="単価表"),データ!K654,"")</f>
        <v/>
      </c>
      <c r="K657" s="11" t="str">
        <f t="shared" si="60"/>
        <v/>
      </c>
      <c r="L657" s="46">
        <f t="shared" si="61"/>
        <v>2.7788576447381684E-4</v>
      </c>
      <c r="M657" s="40" t="str">
        <f>IF(データ!L654="","",データ!L654)</f>
        <v/>
      </c>
      <c r="N657" s="41" t="str">
        <f>IF(データ!M654="","",データ!M654)</f>
        <v/>
      </c>
      <c r="O657" s="42">
        <f>データ!N654</f>
        <v>0</v>
      </c>
      <c r="P657" s="48">
        <f>IF($C657="集計行","",データ!O654)</f>
        <v>0</v>
      </c>
      <c r="Q657" s="48">
        <f>データ!P654</f>
        <v>0</v>
      </c>
      <c r="R657" s="39" t="str">
        <f>IF(OR($C657="総括",$C657="内訳書",$C657="内訳代価",$C657="明細書",$C657="明細代価",$C657="代価表",$C657="単価表"),データ!Q654,"")</f>
        <v/>
      </c>
      <c r="S657" s="11" t="str">
        <f t="shared" si="62"/>
        <v/>
      </c>
      <c r="T657" s="46" t="e">
        <f t="shared" si="63"/>
        <v>#DIV/0!</v>
      </c>
      <c r="U657" s="40" t="str">
        <f>IF(データ!R654="","",データ!R654)</f>
        <v/>
      </c>
      <c r="V657" s="41" t="str">
        <f>IF(データ!S654="","",データ!S654)</f>
        <v/>
      </c>
      <c r="W657" s="42">
        <f>データ!T654</f>
        <v>0</v>
      </c>
      <c r="X657" s="48">
        <f>IF($C657="集計行","",データ!U654)</f>
        <v>0</v>
      </c>
      <c r="Y657" s="48">
        <f>データ!V654</f>
        <v>0</v>
      </c>
      <c r="Z657" s="39" t="str">
        <f>IF(OR($C657="総括",$C657="内訳書",$C657="内訳代価",$C657="明細書",$C657="明細代価",$C657="代価表",$C657="単価表"),データ!W654,"")</f>
        <v/>
      </c>
      <c r="AA657" s="11" t="str">
        <f t="shared" si="64"/>
        <v/>
      </c>
      <c r="AB657" s="46" t="e">
        <f t="shared" si="65"/>
        <v>#DIV/0!</v>
      </c>
      <c r="AC657" s="40" t="str">
        <f>IF(データ!X654="","",データ!X654)</f>
        <v/>
      </c>
      <c r="AD657" s="41" t="str">
        <f>IF(データ!Y654="","",データ!Y654)</f>
        <v/>
      </c>
      <c r="AE657" s="47" t="str">
        <f>TRIM(データ!B654)</f>
        <v/>
      </c>
      <c r="AF657" s="43" t="str">
        <f>TRIM(データ!Z654)</f>
        <v/>
      </c>
    </row>
    <row r="658" spans="1:32" x14ac:dyDescent="0.15">
      <c r="A658" s="47">
        <f>データ!A655</f>
        <v>2</v>
      </c>
      <c r="B658" s="47" t="str">
        <f>TRIM(データ!C655)</f>
        <v/>
      </c>
      <c r="C658" s="47" t="str">
        <f>TRIM(データ!D655)</f>
        <v>内訳書</v>
      </c>
      <c r="D658" s="36" t="str">
        <f>REPT("｜",$A658)&amp;TRIM(データ!E655)</f>
        <v>｜｜路盤撤去</v>
      </c>
      <c r="E658" s="37" t="str">
        <f>TRIM(データ!F655)</f>
        <v>切り上げ部</v>
      </c>
      <c r="F658" s="38" t="str">
        <f>TRIM(データ!G655)</f>
        <v>m2</v>
      </c>
      <c r="G658" s="50">
        <f>データ!H655</f>
        <v>50</v>
      </c>
      <c r="H658" s="48">
        <f>データ!I655</f>
        <v>4600</v>
      </c>
      <c r="I658" s="48">
        <f>データ!J655</f>
        <v>230000</v>
      </c>
      <c r="J658" s="39">
        <f>IF(OR($C658="総括",$C658="内訳書",$C658="内訳代価",$C658="明細書",$C658="明細代価",$C658="代価表",$C658="単価表"),データ!K655,"")</f>
        <v>50</v>
      </c>
      <c r="K658" s="11" t="str">
        <f t="shared" si="60"/>
        <v/>
      </c>
      <c r="L658" s="46">
        <f t="shared" si="61"/>
        <v>3.3115920118641385E-3</v>
      </c>
      <c r="M658" s="40" t="str">
        <f>IF(データ!L655="","",データ!L655)</f>
        <v/>
      </c>
      <c r="N658" s="41" t="str">
        <f>IF(データ!M655="","",データ!M655)</f>
        <v>83号内訳書</v>
      </c>
      <c r="O658" s="42">
        <f>データ!N655</f>
        <v>0</v>
      </c>
      <c r="P658" s="48">
        <f>IF($C658="集計行","",データ!O655)</f>
        <v>0</v>
      </c>
      <c r="Q658" s="48">
        <f>データ!P655</f>
        <v>0</v>
      </c>
      <c r="R658" s="39">
        <f>IF(OR($C658="総括",$C658="内訳書",$C658="内訳代価",$C658="明細書",$C658="明細代価",$C658="代価表",$C658="単価表"),データ!Q655,"")</f>
        <v>0</v>
      </c>
      <c r="S658" s="11" t="str">
        <f t="shared" si="62"/>
        <v/>
      </c>
      <c r="T658" s="46" t="e">
        <f t="shared" si="63"/>
        <v>#DIV/0!</v>
      </c>
      <c r="U658" s="40" t="str">
        <f>IF(データ!R655="","",データ!R655)</f>
        <v/>
      </c>
      <c r="V658" s="41" t="str">
        <f>IF(データ!S655="","",データ!S655)</f>
        <v/>
      </c>
      <c r="W658" s="42">
        <f>データ!T655</f>
        <v>0</v>
      </c>
      <c r="X658" s="48">
        <f>IF($C658="集計行","",データ!U655)</f>
        <v>0</v>
      </c>
      <c r="Y658" s="48">
        <f>データ!V655</f>
        <v>0</v>
      </c>
      <c r="Z658" s="39">
        <f>IF(OR($C658="総括",$C658="内訳書",$C658="内訳代価",$C658="明細書",$C658="明細代価",$C658="代価表",$C658="単価表"),データ!W655,"")</f>
        <v>0</v>
      </c>
      <c r="AA658" s="11" t="str">
        <f t="shared" si="64"/>
        <v/>
      </c>
      <c r="AB658" s="46" t="e">
        <f t="shared" si="65"/>
        <v>#DIV/0!</v>
      </c>
      <c r="AC658" s="40" t="str">
        <f>IF(データ!X655="","",データ!X655)</f>
        <v/>
      </c>
      <c r="AD658" s="41" t="str">
        <f>IF(データ!Y655="","",データ!Y655)</f>
        <v/>
      </c>
      <c r="AE658" s="47" t="str">
        <f>TRIM(データ!B655)</f>
        <v/>
      </c>
      <c r="AF658" s="43" t="str">
        <f>TRIM(データ!Z655)</f>
        <v/>
      </c>
    </row>
    <row r="659" spans="1:32" x14ac:dyDescent="0.15">
      <c r="A659" s="47">
        <f>データ!A656</f>
        <v>3</v>
      </c>
      <c r="B659" s="47" t="str">
        <f>TRIM(データ!C656)</f>
        <v/>
      </c>
      <c r="C659" s="47" t="str">
        <f>TRIM(データ!D656)</f>
        <v>労務費</v>
      </c>
      <c r="D659" s="36" t="str">
        <f>REPT("｜",$A659)&amp;TRIM(データ!E656)</f>
        <v>｜｜｜技工</v>
      </c>
      <c r="E659" s="37" t="str">
        <f>TRIM(データ!F656)</f>
        <v/>
      </c>
      <c r="F659" s="38" t="str">
        <f>TRIM(データ!G656)</f>
        <v>人</v>
      </c>
      <c r="G659" s="50">
        <f>データ!H656</f>
        <v>5</v>
      </c>
      <c r="H659" s="48">
        <f>データ!I656</f>
        <v>32000</v>
      </c>
      <c r="I659" s="48">
        <f>データ!J656</f>
        <v>160000</v>
      </c>
      <c r="J659" s="39" t="str">
        <f>IF(OR($C659="総括",$C659="内訳書",$C659="内訳代価",$C659="明細書",$C659="明細代価",$C659="代価表",$C659="単価表"),データ!K656,"")</f>
        <v/>
      </c>
      <c r="K659" s="11" t="str">
        <f t="shared" si="60"/>
        <v/>
      </c>
      <c r="L659" s="46">
        <f t="shared" si="61"/>
        <v>2.303716182166357E-3</v>
      </c>
      <c r="M659" s="40" t="str">
        <f>IF(データ!L656="","",データ!L656)</f>
        <v/>
      </c>
      <c r="N659" s="41" t="str">
        <f>IF(データ!M656="","",データ!M656)</f>
        <v/>
      </c>
      <c r="O659" s="42">
        <f>データ!N656</f>
        <v>0</v>
      </c>
      <c r="P659" s="48">
        <f>IF($C659="集計行","",データ!O656)</f>
        <v>0</v>
      </c>
      <c r="Q659" s="48">
        <f>データ!P656</f>
        <v>0</v>
      </c>
      <c r="R659" s="39" t="str">
        <f>IF(OR($C659="総括",$C659="内訳書",$C659="内訳代価",$C659="明細書",$C659="明細代価",$C659="代価表",$C659="単価表"),データ!Q656,"")</f>
        <v/>
      </c>
      <c r="S659" s="11" t="str">
        <f t="shared" si="62"/>
        <v/>
      </c>
      <c r="T659" s="46" t="e">
        <f t="shared" si="63"/>
        <v>#DIV/0!</v>
      </c>
      <c r="U659" s="40" t="str">
        <f>IF(データ!R656="","",データ!R656)</f>
        <v/>
      </c>
      <c r="V659" s="41" t="str">
        <f>IF(データ!S656="","",データ!S656)</f>
        <v/>
      </c>
      <c r="W659" s="42">
        <f>データ!T656</f>
        <v>0</v>
      </c>
      <c r="X659" s="48">
        <f>IF($C659="集計行","",データ!U656)</f>
        <v>0</v>
      </c>
      <c r="Y659" s="48">
        <f>データ!V656</f>
        <v>0</v>
      </c>
      <c r="Z659" s="39" t="str">
        <f>IF(OR($C659="総括",$C659="内訳書",$C659="内訳代価",$C659="明細書",$C659="明細代価",$C659="代価表",$C659="単価表"),データ!W656,"")</f>
        <v/>
      </c>
      <c r="AA659" s="11" t="str">
        <f t="shared" si="64"/>
        <v/>
      </c>
      <c r="AB659" s="46" t="e">
        <f t="shared" si="65"/>
        <v>#DIV/0!</v>
      </c>
      <c r="AC659" s="40" t="str">
        <f>IF(データ!X656="","",データ!X656)</f>
        <v/>
      </c>
      <c r="AD659" s="41" t="str">
        <f>IF(データ!Y656="","",データ!Y656)</f>
        <v/>
      </c>
      <c r="AE659" s="47" t="str">
        <f>TRIM(データ!B656)</f>
        <v/>
      </c>
      <c r="AF659" s="43" t="str">
        <f>TRIM(データ!Z656)</f>
        <v/>
      </c>
    </row>
    <row r="660" spans="1:32" x14ac:dyDescent="0.15">
      <c r="A660" s="47">
        <f>データ!A657</f>
        <v>3</v>
      </c>
      <c r="B660" s="47" t="str">
        <f>TRIM(データ!C657)</f>
        <v/>
      </c>
      <c r="C660" s="47" t="str">
        <f>TRIM(データ!D657)</f>
        <v>機械費</v>
      </c>
      <c r="D660" s="36" t="str">
        <f>REPT("｜",$A660)&amp;TRIM(データ!E657)</f>
        <v>｜｜｜BH0.15</v>
      </c>
      <c r="E660" s="37" t="str">
        <f>TRIM(データ!F657)</f>
        <v/>
      </c>
      <c r="F660" s="38" t="str">
        <f>TRIM(データ!G657)</f>
        <v>台</v>
      </c>
      <c r="G660" s="50">
        <f>データ!H657</f>
        <v>1</v>
      </c>
      <c r="H660" s="48">
        <f>データ!I657</f>
        <v>8000</v>
      </c>
      <c r="I660" s="48">
        <f>データ!J657</f>
        <v>8000</v>
      </c>
      <c r="J660" s="39" t="str">
        <f>IF(OR($C660="総括",$C660="内訳書",$C660="内訳代価",$C660="明細書",$C660="明細代価",$C660="代価表",$C660="単価表"),データ!K657,"")</f>
        <v/>
      </c>
      <c r="K660" s="11" t="str">
        <f t="shared" si="60"/>
        <v/>
      </c>
      <c r="L660" s="46">
        <f t="shared" si="61"/>
        <v>1.1518580910831785E-4</v>
      </c>
      <c r="M660" s="40" t="str">
        <f>IF(データ!L657="","",データ!L657)</f>
        <v/>
      </c>
      <c r="N660" s="41" t="str">
        <f>IF(データ!M657="","",データ!M657)</f>
        <v/>
      </c>
      <c r="O660" s="42">
        <f>データ!N657</f>
        <v>0</v>
      </c>
      <c r="P660" s="48">
        <f>IF($C660="集計行","",データ!O657)</f>
        <v>0</v>
      </c>
      <c r="Q660" s="48">
        <f>データ!P657</f>
        <v>0</v>
      </c>
      <c r="R660" s="39" t="str">
        <f>IF(OR($C660="総括",$C660="内訳書",$C660="内訳代価",$C660="明細書",$C660="明細代価",$C660="代価表",$C660="単価表"),データ!Q657,"")</f>
        <v/>
      </c>
      <c r="S660" s="11" t="str">
        <f t="shared" si="62"/>
        <v/>
      </c>
      <c r="T660" s="46" t="e">
        <f t="shared" si="63"/>
        <v>#DIV/0!</v>
      </c>
      <c r="U660" s="40" t="str">
        <f>IF(データ!R657="","",データ!R657)</f>
        <v/>
      </c>
      <c r="V660" s="41" t="str">
        <f>IF(データ!S657="","",データ!S657)</f>
        <v/>
      </c>
      <c r="W660" s="42">
        <f>データ!T657</f>
        <v>0</v>
      </c>
      <c r="X660" s="48">
        <f>IF($C660="集計行","",データ!U657)</f>
        <v>0</v>
      </c>
      <c r="Y660" s="48">
        <f>データ!V657</f>
        <v>0</v>
      </c>
      <c r="Z660" s="39" t="str">
        <f>IF(OR($C660="総括",$C660="内訳書",$C660="内訳代価",$C660="明細書",$C660="明細代価",$C660="代価表",$C660="単価表"),データ!W657,"")</f>
        <v/>
      </c>
      <c r="AA660" s="11" t="str">
        <f t="shared" si="64"/>
        <v/>
      </c>
      <c r="AB660" s="46" t="e">
        <f t="shared" si="65"/>
        <v>#DIV/0!</v>
      </c>
      <c r="AC660" s="40" t="str">
        <f>IF(データ!X657="","",データ!X657)</f>
        <v/>
      </c>
      <c r="AD660" s="41" t="str">
        <f>IF(データ!Y657="","",データ!Y657)</f>
        <v/>
      </c>
      <c r="AE660" s="47" t="str">
        <f>TRIM(データ!B657)</f>
        <v/>
      </c>
      <c r="AF660" s="43" t="str">
        <f>TRIM(データ!Z657)</f>
        <v/>
      </c>
    </row>
    <row r="661" spans="1:32" x14ac:dyDescent="0.15">
      <c r="A661" s="47">
        <f>データ!A658</f>
        <v>3</v>
      </c>
      <c r="B661" s="47" t="str">
        <f>TRIM(データ!C658)</f>
        <v/>
      </c>
      <c r="C661" s="47" t="str">
        <f>TRIM(データ!D658)</f>
        <v>機械費</v>
      </c>
      <c r="D661" s="36" t="str">
        <f>REPT("｜",$A661)&amp;TRIM(データ!E658)</f>
        <v>｜｜｜タイヤショベル</v>
      </c>
      <c r="E661" s="37" t="str">
        <f>TRIM(データ!F658)</f>
        <v/>
      </c>
      <c r="F661" s="38" t="str">
        <f>TRIM(データ!G658)</f>
        <v>台</v>
      </c>
      <c r="G661" s="50">
        <f>データ!H658</f>
        <v>1</v>
      </c>
      <c r="H661" s="48">
        <f>データ!I658</f>
        <v>8000</v>
      </c>
      <c r="I661" s="48">
        <f>データ!J658</f>
        <v>8000</v>
      </c>
      <c r="J661" s="39" t="str">
        <f>IF(OR($C661="総括",$C661="内訳書",$C661="内訳代価",$C661="明細書",$C661="明細代価",$C661="代価表",$C661="単価表"),データ!K658,"")</f>
        <v/>
      </c>
      <c r="K661" s="11" t="str">
        <f t="shared" si="60"/>
        <v/>
      </c>
      <c r="L661" s="46">
        <f t="shared" si="61"/>
        <v>1.1518580910831785E-4</v>
      </c>
      <c r="M661" s="40" t="str">
        <f>IF(データ!L658="","",データ!L658)</f>
        <v/>
      </c>
      <c r="N661" s="41" t="str">
        <f>IF(データ!M658="","",データ!M658)</f>
        <v/>
      </c>
      <c r="O661" s="42">
        <f>データ!N658</f>
        <v>0</v>
      </c>
      <c r="P661" s="48">
        <f>IF($C661="集計行","",データ!O658)</f>
        <v>0</v>
      </c>
      <c r="Q661" s="48">
        <f>データ!P658</f>
        <v>0</v>
      </c>
      <c r="R661" s="39" t="str">
        <f>IF(OR($C661="総括",$C661="内訳書",$C661="内訳代価",$C661="明細書",$C661="明細代価",$C661="代価表",$C661="単価表"),データ!Q658,"")</f>
        <v/>
      </c>
      <c r="S661" s="11" t="str">
        <f t="shared" si="62"/>
        <v/>
      </c>
      <c r="T661" s="46" t="e">
        <f t="shared" si="63"/>
        <v>#DIV/0!</v>
      </c>
      <c r="U661" s="40" t="str">
        <f>IF(データ!R658="","",データ!R658)</f>
        <v/>
      </c>
      <c r="V661" s="41" t="str">
        <f>IF(データ!S658="","",データ!S658)</f>
        <v/>
      </c>
      <c r="W661" s="42">
        <f>データ!T658</f>
        <v>0</v>
      </c>
      <c r="X661" s="48">
        <f>IF($C661="集計行","",データ!U658)</f>
        <v>0</v>
      </c>
      <c r="Y661" s="48">
        <f>データ!V658</f>
        <v>0</v>
      </c>
      <c r="Z661" s="39" t="str">
        <f>IF(OR($C661="総括",$C661="内訳書",$C661="内訳代価",$C661="明細書",$C661="明細代価",$C661="代価表",$C661="単価表"),データ!W658,"")</f>
        <v/>
      </c>
      <c r="AA661" s="11" t="str">
        <f t="shared" si="64"/>
        <v/>
      </c>
      <c r="AB661" s="46" t="e">
        <f t="shared" si="65"/>
        <v>#DIV/0!</v>
      </c>
      <c r="AC661" s="40" t="str">
        <f>IF(データ!X658="","",データ!X658)</f>
        <v/>
      </c>
      <c r="AD661" s="41" t="str">
        <f>IF(データ!Y658="","",データ!Y658)</f>
        <v/>
      </c>
      <c r="AE661" s="47" t="str">
        <f>TRIM(データ!B658)</f>
        <v/>
      </c>
      <c r="AF661" s="43" t="str">
        <f>TRIM(データ!Z658)</f>
        <v/>
      </c>
    </row>
    <row r="662" spans="1:32" x14ac:dyDescent="0.15">
      <c r="A662" s="47">
        <f>データ!A659</f>
        <v>3</v>
      </c>
      <c r="B662" s="47" t="str">
        <f>TRIM(データ!C659)</f>
        <v/>
      </c>
      <c r="C662" s="47" t="str">
        <f>TRIM(データ!D659)</f>
        <v>運搬費</v>
      </c>
      <c r="D662" s="36" t="str">
        <f>REPT("｜",$A662)&amp;TRIM(データ!E659)</f>
        <v>｜｜｜4tダンプ</v>
      </c>
      <c r="E662" s="37" t="str">
        <f>TRIM(データ!F659)</f>
        <v/>
      </c>
      <c r="F662" s="38" t="str">
        <f>TRIM(データ!G659)</f>
        <v>台</v>
      </c>
      <c r="G662" s="50">
        <f>データ!H659</f>
        <v>1</v>
      </c>
      <c r="H662" s="48">
        <f>データ!I659</f>
        <v>10000</v>
      </c>
      <c r="I662" s="48">
        <f>データ!J659</f>
        <v>10000</v>
      </c>
      <c r="J662" s="39" t="str">
        <f>IF(OR($C662="総括",$C662="内訳書",$C662="内訳代価",$C662="明細書",$C662="明細代価",$C662="代価表",$C662="単価表"),データ!K659,"")</f>
        <v/>
      </c>
      <c r="K662" s="11" t="str">
        <f t="shared" si="60"/>
        <v/>
      </c>
      <c r="L662" s="46">
        <f t="shared" si="61"/>
        <v>1.4398226138539731E-4</v>
      </c>
      <c r="M662" s="40" t="str">
        <f>IF(データ!L659="","",データ!L659)</f>
        <v/>
      </c>
      <c r="N662" s="41" t="str">
        <f>IF(データ!M659="","",データ!M659)</f>
        <v/>
      </c>
      <c r="O662" s="42">
        <f>データ!N659</f>
        <v>0</v>
      </c>
      <c r="P662" s="48">
        <f>IF($C662="集計行","",データ!O659)</f>
        <v>0</v>
      </c>
      <c r="Q662" s="48">
        <f>データ!P659</f>
        <v>0</v>
      </c>
      <c r="R662" s="39" t="str">
        <f>IF(OR($C662="総括",$C662="内訳書",$C662="内訳代価",$C662="明細書",$C662="明細代価",$C662="代価表",$C662="単価表"),データ!Q659,"")</f>
        <v/>
      </c>
      <c r="S662" s="11" t="str">
        <f t="shared" si="62"/>
        <v/>
      </c>
      <c r="T662" s="46" t="e">
        <f t="shared" si="63"/>
        <v>#DIV/0!</v>
      </c>
      <c r="U662" s="40" t="str">
        <f>IF(データ!R659="","",データ!R659)</f>
        <v/>
      </c>
      <c r="V662" s="41" t="str">
        <f>IF(データ!S659="","",データ!S659)</f>
        <v/>
      </c>
      <c r="W662" s="42">
        <f>データ!T659</f>
        <v>0</v>
      </c>
      <c r="X662" s="48">
        <f>IF($C662="集計行","",データ!U659)</f>
        <v>0</v>
      </c>
      <c r="Y662" s="48">
        <f>データ!V659</f>
        <v>0</v>
      </c>
      <c r="Z662" s="39" t="str">
        <f>IF(OR($C662="総括",$C662="内訳書",$C662="内訳代価",$C662="明細書",$C662="明細代価",$C662="代価表",$C662="単価表"),データ!W659,"")</f>
        <v/>
      </c>
      <c r="AA662" s="11" t="str">
        <f t="shared" si="64"/>
        <v/>
      </c>
      <c r="AB662" s="46" t="e">
        <f t="shared" si="65"/>
        <v>#DIV/0!</v>
      </c>
      <c r="AC662" s="40" t="str">
        <f>IF(データ!X659="","",データ!X659)</f>
        <v/>
      </c>
      <c r="AD662" s="41" t="str">
        <f>IF(データ!Y659="","",データ!Y659)</f>
        <v/>
      </c>
      <c r="AE662" s="47" t="str">
        <f>TRIM(データ!B659)</f>
        <v/>
      </c>
      <c r="AF662" s="43" t="str">
        <f>TRIM(データ!Z659)</f>
        <v/>
      </c>
    </row>
    <row r="663" spans="1:32" x14ac:dyDescent="0.15">
      <c r="A663" s="47">
        <f>データ!A660</f>
        <v>3</v>
      </c>
      <c r="B663" s="47" t="str">
        <f>TRIM(データ!C660)</f>
        <v/>
      </c>
      <c r="C663" s="47" t="str">
        <f>TRIM(データ!D660)</f>
        <v>運搬費</v>
      </c>
      <c r="D663" s="36" t="str">
        <f>REPT("｜",$A663)&amp;TRIM(データ!E660)</f>
        <v>｜｜｜2tダンプ</v>
      </c>
      <c r="E663" s="37" t="str">
        <f>TRIM(データ!F660)</f>
        <v/>
      </c>
      <c r="F663" s="38" t="str">
        <f>TRIM(データ!G660)</f>
        <v>台</v>
      </c>
      <c r="G663" s="50">
        <f>データ!H660</f>
        <v>1</v>
      </c>
      <c r="H663" s="48">
        <f>データ!I660</f>
        <v>7000</v>
      </c>
      <c r="I663" s="48">
        <f>データ!J660</f>
        <v>7000</v>
      </c>
      <c r="J663" s="39" t="str">
        <f>IF(OR($C663="総括",$C663="内訳書",$C663="内訳代価",$C663="明細書",$C663="明細代価",$C663="代価表",$C663="単価表"),データ!K660,"")</f>
        <v/>
      </c>
      <c r="K663" s="11" t="str">
        <f t="shared" si="60"/>
        <v/>
      </c>
      <c r="L663" s="46">
        <f t="shared" si="61"/>
        <v>1.0078758296977812E-4</v>
      </c>
      <c r="M663" s="40" t="str">
        <f>IF(データ!L660="","",データ!L660)</f>
        <v/>
      </c>
      <c r="N663" s="41" t="str">
        <f>IF(データ!M660="","",データ!M660)</f>
        <v/>
      </c>
      <c r="O663" s="42">
        <f>データ!N660</f>
        <v>0</v>
      </c>
      <c r="P663" s="48">
        <f>IF($C663="集計行","",データ!O660)</f>
        <v>0</v>
      </c>
      <c r="Q663" s="48">
        <f>データ!P660</f>
        <v>0</v>
      </c>
      <c r="R663" s="39" t="str">
        <f>IF(OR($C663="総括",$C663="内訳書",$C663="内訳代価",$C663="明細書",$C663="明細代価",$C663="代価表",$C663="単価表"),データ!Q660,"")</f>
        <v/>
      </c>
      <c r="S663" s="11" t="str">
        <f t="shared" si="62"/>
        <v/>
      </c>
      <c r="T663" s="46" t="e">
        <f t="shared" si="63"/>
        <v>#DIV/0!</v>
      </c>
      <c r="U663" s="40" t="str">
        <f>IF(データ!R660="","",データ!R660)</f>
        <v/>
      </c>
      <c r="V663" s="41" t="str">
        <f>IF(データ!S660="","",データ!S660)</f>
        <v/>
      </c>
      <c r="W663" s="42">
        <f>データ!T660</f>
        <v>0</v>
      </c>
      <c r="X663" s="48">
        <f>IF($C663="集計行","",データ!U660)</f>
        <v>0</v>
      </c>
      <c r="Y663" s="48">
        <f>データ!V660</f>
        <v>0</v>
      </c>
      <c r="Z663" s="39" t="str">
        <f>IF(OR($C663="総括",$C663="内訳書",$C663="内訳代価",$C663="明細書",$C663="明細代価",$C663="代価表",$C663="単価表"),データ!W660,"")</f>
        <v/>
      </c>
      <c r="AA663" s="11" t="str">
        <f t="shared" si="64"/>
        <v/>
      </c>
      <c r="AB663" s="46" t="e">
        <f t="shared" si="65"/>
        <v>#DIV/0!</v>
      </c>
      <c r="AC663" s="40" t="str">
        <f>IF(データ!X660="","",データ!X660)</f>
        <v/>
      </c>
      <c r="AD663" s="41" t="str">
        <f>IF(データ!Y660="","",データ!Y660)</f>
        <v/>
      </c>
      <c r="AE663" s="47" t="str">
        <f>TRIM(データ!B660)</f>
        <v/>
      </c>
      <c r="AF663" s="43" t="str">
        <f>TRIM(データ!Z660)</f>
        <v/>
      </c>
    </row>
    <row r="664" spans="1:32" x14ac:dyDescent="0.15">
      <c r="A664" s="47">
        <f>データ!A661</f>
        <v>3</v>
      </c>
      <c r="B664" s="47" t="str">
        <f>TRIM(データ!C661)</f>
        <v/>
      </c>
      <c r="C664" s="47" t="str">
        <f>TRIM(データ!D661)</f>
        <v>材料費</v>
      </c>
      <c r="D664" s="36" t="str">
        <f>REPT("｜",$A664)&amp;TRIM(データ!E661)</f>
        <v>｜｜｜軽油</v>
      </c>
      <c r="E664" s="37" t="str">
        <f>TRIM(データ!F661)</f>
        <v/>
      </c>
      <c r="F664" s="38" t="str">
        <f>TRIM(データ!G661)</f>
        <v>リットル</v>
      </c>
      <c r="G664" s="50">
        <f>データ!H661</f>
        <v>40</v>
      </c>
      <c r="H664" s="48">
        <f>データ!I661</f>
        <v>150</v>
      </c>
      <c r="I664" s="48">
        <f>データ!J661</f>
        <v>6000</v>
      </c>
      <c r="J664" s="39" t="str">
        <f>IF(OR($C664="総括",$C664="内訳書",$C664="内訳代価",$C664="明細書",$C664="明細代価",$C664="代価表",$C664="単価表"),データ!K661,"")</f>
        <v/>
      </c>
      <c r="K664" s="11" t="str">
        <f t="shared" si="60"/>
        <v/>
      </c>
      <c r="L664" s="46">
        <f t="shared" si="61"/>
        <v>8.6389356831238388E-5</v>
      </c>
      <c r="M664" s="40" t="str">
        <f>IF(データ!L661="","",データ!L661)</f>
        <v/>
      </c>
      <c r="N664" s="41" t="str">
        <f>IF(データ!M661="","",データ!M661)</f>
        <v/>
      </c>
      <c r="O664" s="42">
        <f>データ!N661</f>
        <v>0</v>
      </c>
      <c r="P664" s="48">
        <f>IF($C664="集計行","",データ!O661)</f>
        <v>0</v>
      </c>
      <c r="Q664" s="48">
        <f>データ!P661</f>
        <v>0</v>
      </c>
      <c r="R664" s="39" t="str">
        <f>IF(OR($C664="総括",$C664="内訳書",$C664="内訳代価",$C664="明細書",$C664="明細代価",$C664="代価表",$C664="単価表"),データ!Q661,"")</f>
        <v/>
      </c>
      <c r="S664" s="11" t="str">
        <f t="shared" si="62"/>
        <v/>
      </c>
      <c r="T664" s="46" t="e">
        <f t="shared" si="63"/>
        <v>#DIV/0!</v>
      </c>
      <c r="U664" s="40" t="str">
        <f>IF(データ!R661="","",データ!R661)</f>
        <v/>
      </c>
      <c r="V664" s="41" t="str">
        <f>IF(データ!S661="","",データ!S661)</f>
        <v/>
      </c>
      <c r="W664" s="42">
        <f>データ!T661</f>
        <v>0</v>
      </c>
      <c r="X664" s="48">
        <f>IF($C664="集計行","",データ!U661)</f>
        <v>0</v>
      </c>
      <c r="Y664" s="48">
        <f>データ!V661</f>
        <v>0</v>
      </c>
      <c r="Z664" s="39" t="str">
        <f>IF(OR($C664="総括",$C664="内訳書",$C664="内訳代価",$C664="明細書",$C664="明細代価",$C664="代価表",$C664="単価表"),データ!W661,"")</f>
        <v/>
      </c>
      <c r="AA664" s="11" t="str">
        <f t="shared" si="64"/>
        <v/>
      </c>
      <c r="AB664" s="46" t="e">
        <f t="shared" si="65"/>
        <v>#DIV/0!</v>
      </c>
      <c r="AC664" s="40" t="str">
        <f>IF(データ!X661="","",データ!X661)</f>
        <v/>
      </c>
      <c r="AD664" s="41" t="str">
        <f>IF(データ!Y661="","",データ!Y661)</f>
        <v/>
      </c>
      <c r="AE664" s="47" t="str">
        <f>TRIM(データ!B661)</f>
        <v/>
      </c>
      <c r="AF664" s="43" t="str">
        <f>TRIM(データ!Z661)</f>
        <v/>
      </c>
    </row>
    <row r="665" spans="1:32" x14ac:dyDescent="0.15">
      <c r="A665" s="47">
        <f>データ!A662</f>
        <v>3</v>
      </c>
      <c r="B665" s="47" t="str">
        <f>TRIM(データ!C662)</f>
        <v/>
      </c>
      <c r="C665" s="47" t="str">
        <f>TRIM(データ!D662)</f>
        <v>材料費</v>
      </c>
      <c r="D665" s="36" t="str">
        <f>REPT("｜",$A665)&amp;TRIM(データ!E662)</f>
        <v>｜｜｜ガソリン</v>
      </c>
      <c r="E665" s="37" t="str">
        <f>TRIM(データ!F662)</f>
        <v/>
      </c>
      <c r="F665" s="38" t="str">
        <f>TRIM(データ!G662)</f>
        <v>リットル</v>
      </c>
      <c r="G665" s="50">
        <f>データ!H662</f>
        <v>40</v>
      </c>
      <c r="H665" s="48">
        <f>データ!I662</f>
        <v>200</v>
      </c>
      <c r="I665" s="48">
        <f>データ!J662</f>
        <v>8000</v>
      </c>
      <c r="J665" s="39" t="str">
        <f>IF(OR($C665="総括",$C665="内訳書",$C665="内訳代価",$C665="明細書",$C665="明細代価",$C665="代価表",$C665="単価表"),データ!K662,"")</f>
        <v/>
      </c>
      <c r="K665" s="11" t="str">
        <f t="shared" si="60"/>
        <v/>
      </c>
      <c r="L665" s="46">
        <f t="shared" si="61"/>
        <v>1.1518580910831785E-4</v>
      </c>
      <c r="M665" s="40" t="str">
        <f>IF(データ!L662="","",データ!L662)</f>
        <v/>
      </c>
      <c r="N665" s="41" t="str">
        <f>IF(データ!M662="","",データ!M662)</f>
        <v/>
      </c>
      <c r="O665" s="42">
        <f>データ!N662</f>
        <v>0</v>
      </c>
      <c r="P665" s="48">
        <f>IF($C665="集計行","",データ!O662)</f>
        <v>0</v>
      </c>
      <c r="Q665" s="48">
        <f>データ!P662</f>
        <v>0</v>
      </c>
      <c r="R665" s="39" t="str">
        <f>IF(OR($C665="総括",$C665="内訳書",$C665="内訳代価",$C665="明細書",$C665="明細代価",$C665="代価表",$C665="単価表"),データ!Q662,"")</f>
        <v/>
      </c>
      <c r="S665" s="11" t="str">
        <f t="shared" si="62"/>
        <v/>
      </c>
      <c r="T665" s="46" t="e">
        <f t="shared" si="63"/>
        <v>#DIV/0!</v>
      </c>
      <c r="U665" s="40" t="str">
        <f>IF(データ!R662="","",データ!R662)</f>
        <v/>
      </c>
      <c r="V665" s="41" t="str">
        <f>IF(データ!S662="","",データ!S662)</f>
        <v/>
      </c>
      <c r="W665" s="42">
        <f>データ!T662</f>
        <v>0</v>
      </c>
      <c r="X665" s="48">
        <f>IF($C665="集計行","",データ!U662)</f>
        <v>0</v>
      </c>
      <c r="Y665" s="48">
        <f>データ!V662</f>
        <v>0</v>
      </c>
      <c r="Z665" s="39" t="str">
        <f>IF(OR($C665="総括",$C665="内訳書",$C665="内訳代価",$C665="明細書",$C665="明細代価",$C665="代価表",$C665="単価表"),データ!W662,"")</f>
        <v/>
      </c>
      <c r="AA665" s="11" t="str">
        <f t="shared" si="64"/>
        <v/>
      </c>
      <c r="AB665" s="46" t="e">
        <f t="shared" si="65"/>
        <v>#DIV/0!</v>
      </c>
      <c r="AC665" s="40" t="str">
        <f>IF(データ!X662="","",データ!X662)</f>
        <v/>
      </c>
      <c r="AD665" s="41" t="str">
        <f>IF(データ!Y662="","",データ!Y662)</f>
        <v/>
      </c>
      <c r="AE665" s="47" t="str">
        <f>TRIM(データ!B662)</f>
        <v/>
      </c>
      <c r="AF665" s="43" t="str">
        <f>TRIM(データ!Z662)</f>
        <v/>
      </c>
    </row>
    <row r="666" spans="1:32" x14ac:dyDescent="0.15">
      <c r="A666" s="47">
        <f>データ!A663</f>
        <v>3</v>
      </c>
      <c r="B666" s="47" t="str">
        <f>TRIM(データ!C663)</f>
        <v/>
      </c>
      <c r="C666" s="47" t="str">
        <f>TRIM(データ!D663)</f>
        <v>材料費</v>
      </c>
      <c r="D666" s="36" t="str">
        <f>REPT("｜",$A666)&amp;TRIM(データ!E663)</f>
        <v>｜｜｜雑材</v>
      </c>
      <c r="E666" s="37" t="str">
        <f>TRIM(データ!F663)</f>
        <v/>
      </c>
      <c r="F666" s="38" t="str">
        <f>TRIM(データ!G663)</f>
        <v>式</v>
      </c>
      <c r="G666" s="50">
        <f>データ!H663</f>
        <v>1</v>
      </c>
      <c r="H666" s="48">
        <f>データ!I663</f>
        <v>3700</v>
      </c>
      <c r="I666" s="48">
        <f>データ!J663</f>
        <v>3700</v>
      </c>
      <c r="J666" s="39" t="str">
        <f>IF(OR($C666="総括",$C666="内訳書",$C666="内訳代価",$C666="明細書",$C666="明細代価",$C666="代価表",$C666="単価表"),データ!K663,"")</f>
        <v/>
      </c>
      <c r="K666" s="11" t="str">
        <f t="shared" si="60"/>
        <v/>
      </c>
      <c r="L666" s="46">
        <f t="shared" si="61"/>
        <v>5.327343671259701E-5</v>
      </c>
      <c r="M666" s="40" t="str">
        <f>IF(データ!L663="","",データ!L663)</f>
        <v/>
      </c>
      <c r="N666" s="41" t="str">
        <f>IF(データ!M663="","",データ!M663)</f>
        <v/>
      </c>
      <c r="O666" s="42">
        <f>データ!N663</f>
        <v>0</v>
      </c>
      <c r="P666" s="48">
        <f>IF($C666="集計行","",データ!O663)</f>
        <v>0</v>
      </c>
      <c r="Q666" s="48">
        <f>データ!P663</f>
        <v>0</v>
      </c>
      <c r="R666" s="39" t="str">
        <f>IF(OR($C666="総括",$C666="内訳書",$C666="内訳代価",$C666="明細書",$C666="明細代価",$C666="代価表",$C666="単価表"),データ!Q663,"")</f>
        <v/>
      </c>
      <c r="S666" s="11" t="str">
        <f t="shared" si="62"/>
        <v/>
      </c>
      <c r="T666" s="46" t="e">
        <f t="shared" si="63"/>
        <v>#DIV/0!</v>
      </c>
      <c r="U666" s="40" t="str">
        <f>IF(データ!R663="","",データ!R663)</f>
        <v/>
      </c>
      <c r="V666" s="41" t="str">
        <f>IF(データ!S663="","",データ!S663)</f>
        <v/>
      </c>
      <c r="W666" s="42">
        <f>データ!T663</f>
        <v>0</v>
      </c>
      <c r="X666" s="48">
        <f>IF($C666="集計行","",データ!U663)</f>
        <v>0</v>
      </c>
      <c r="Y666" s="48">
        <f>データ!V663</f>
        <v>0</v>
      </c>
      <c r="Z666" s="39" t="str">
        <f>IF(OR($C666="総括",$C666="内訳書",$C666="内訳代価",$C666="明細書",$C666="明細代価",$C666="代価表",$C666="単価表"),データ!W663,"")</f>
        <v/>
      </c>
      <c r="AA666" s="11" t="str">
        <f t="shared" si="64"/>
        <v/>
      </c>
      <c r="AB666" s="46" t="e">
        <f t="shared" si="65"/>
        <v>#DIV/0!</v>
      </c>
      <c r="AC666" s="40" t="str">
        <f>IF(データ!X663="","",データ!X663)</f>
        <v/>
      </c>
      <c r="AD666" s="41" t="str">
        <f>IF(データ!Y663="","",データ!Y663)</f>
        <v/>
      </c>
      <c r="AE666" s="47" t="str">
        <f>TRIM(データ!B663)</f>
        <v/>
      </c>
      <c r="AF666" s="43" t="str">
        <f>TRIM(データ!Z663)</f>
        <v/>
      </c>
    </row>
    <row r="667" spans="1:32" x14ac:dyDescent="0.15">
      <c r="A667" s="47">
        <f>データ!A664</f>
        <v>3</v>
      </c>
      <c r="B667" s="47" t="str">
        <f>TRIM(データ!C664)</f>
        <v/>
      </c>
      <c r="C667" s="47" t="str">
        <f>TRIM(データ!D664)</f>
        <v>外注費</v>
      </c>
      <c r="D667" s="36" t="str">
        <f>REPT("｜",$A667)&amp;TRIM(データ!E664)</f>
        <v>｜｜｜外注経費</v>
      </c>
      <c r="E667" s="37" t="str">
        <f>TRIM(データ!F664)</f>
        <v/>
      </c>
      <c r="F667" s="38" t="str">
        <f>TRIM(データ!G664)</f>
        <v>式</v>
      </c>
      <c r="G667" s="50">
        <f>データ!H664</f>
        <v>1</v>
      </c>
      <c r="H667" s="48">
        <f>データ!I664</f>
        <v>19300</v>
      </c>
      <c r="I667" s="48">
        <f>データ!J664</f>
        <v>19300</v>
      </c>
      <c r="J667" s="39" t="str">
        <f>IF(OR($C667="総括",$C667="内訳書",$C667="内訳代価",$C667="明細書",$C667="明細代価",$C667="代価表",$C667="単価表"),データ!K664,"")</f>
        <v/>
      </c>
      <c r="K667" s="11" t="str">
        <f t="shared" si="60"/>
        <v/>
      </c>
      <c r="L667" s="46">
        <f t="shared" si="61"/>
        <v>2.7788576447381684E-4</v>
      </c>
      <c r="M667" s="40" t="str">
        <f>IF(データ!L664="","",データ!L664)</f>
        <v/>
      </c>
      <c r="N667" s="41" t="str">
        <f>IF(データ!M664="","",データ!M664)</f>
        <v/>
      </c>
      <c r="O667" s="42">
        <f>データ!N664</f>
        <v>0</v>
      </c>
      <c r="P667" s="48">
        <f>IF($C667="集計行","",データ!O664)</f>
        <v>0</v>
      </c>
      <c r="Q667" s="48">
        <f>データ!P664</f>
        <v>0</v>
      </c>
      <c r="R667" s="39" t="str">
        <f>IF(OR($C667="総括",$C667="内訳書",$C667="内訳代価",$C667="明細書",$C667="明細代価",$C667="代価表",$C667="単価表"),データ!Q664,"")</f>
        <v/>
      </c>
      <c r="S667" s="11" t="str">
        <f t="shared" si="62"/>
        <v/>
      </c>
      <c r="T667" s="46" t="e">
        <f t="shared" si="63"/>
        <v>#DIV/0!</v>
      </c>
      <c r="U667" s="40" t="str">
        <f>IF(データ!R664="","",データ!R664)</f>
        <v/>
      </c>
      <c r="V667" s="41" t="str">
        <f>IF(データ!S664="","",データ!S664)</f>
        <v/>
      </c>
      <c r="W667" s="42">
        <f>データ!T664</f>
        <v>0</v>
      </c>
      <c r="X667" s="48">
        <f>IF($C667="集計行","",データ!U664)</f>
        <v>0</v>
      </c>
      <c r="Y667" s="48">
        <f>データ!V664</f>
        <v>0</v>
      </c>
      <c r="Z667" s="39" t="str">
        <f>IF(OR($C667="総括",$C667="内訳書",$C667="内訳代価",$C667="明細書",$C667="明細代価",$C667="代価表",$C667="単価表"),データ!W664,"")</f>
        <v/>
      </c>
      <c r="AA667" s="11" t="str">
        <f t="shared" si="64"/>
        <v/>
      </c>
      <c r="AB667" s="46" t="e">
        <f t="shared" si="65"/>
        <v>#DIV/0!</v>
      </c>
      <c r="AC667" s="40" t="str">
        <f>IF(データ!X664="","",データ!X664)</f>
        <v/>
      </c>
      <c r="AD667" s="41" t="str">
        <f>IF(データ!Y664="","",データ!Y664)</f>
        <v/>
      </c>
      <c r="AE667" s="47" t="str">
        <f>TRIM(データ!B664)</f>
        <v/>
      </c>
      <c r="AF667" s="43" t="str">
        <f>TRIM(データ!Z664)</f>
        <v/>
      </c>
    </row>
    <row r="668" spans="1:32" x14ac:dyDescent="0.15">
      <c r="A668" s="47">
        <f>データ!A665</f>
        <v>2</v>
      </c>
      <c r="B668" s="47" t="str">
        <f>TRIM(データ!C665)</f>
        <v/>
      </c>
      <c r="C668" s="47" t="str">
        <f>TRIM(データ!D665)</f>
        <v>内訳書</v>
      </c>
      <c r="D668" s="36" t="str">
        <f>REPT("｜",$A668)&amp;TRIM(データ!E665)</f>
        <v>｜｜コンクリート殻運搬</v>
      </c>
      <c r="E668" s="37" t="str">
        <f>TRIM(データ!F665)</f>
        <v/>
      </c>
      <c r="F668" s="38" t="str">
        <f>TRIM(データ!G665)</f>
        <v>ｔ</v>
      </c>
      <c r="G668" s="50">
        <f>データ!H665</f>
        <v>2.2999999999999998</v>
      </c>
      <c r="H668" s="48">
        <f>データ!I665</f>
        <v>15000</v>
      </c>
      <c r="I668" s="48">
        <f>データ!J665</f>
        <v>34500</v>
      </c>
      <c r="J668" s="39">
        <f>IF(OR($C668="総括",$C668="内訳書",$C668="内訳代価",$C668="明細書",$C668="明細代価",$C668="代価表",$C668="単価表"),データ!K665,"")</f>
        <v>2.2999999999999998</v>
      </c>
      <c r="K668" s="11" t="str">
        <f t="shared" si="60"/>
        <v/>
      </c>
      <c r="L668" s="46">
        <f t="shared" si="61"/>
        <v>4.9673880177962071E-4</v>
      </c>
      <c r="M668" s="40" t="str">
        <f>IF(データ!L665="","",データ!L665)</f>
        <v/>
      </c>
      <c r="N668" s="41" t="str">
        <f>IF(データ!M665="","",データ!M665)</f>
        <v>84号内訳書</v>
      </c>
      <c r="O668" s="42">
        <f>データ!N665</f>
        <v>0</v>
      </c>
      <c r="P668" s="48">
        <f>IF($C668="集計行","",データ!O665)</f>
        <v>0</v>
      </c>
      <c r="Q668" s="48">
        <f>データ!P665</f>
        <v>0</v>
      </c>
      <c r="R668" s="39">
        <f>IF(OR($C668="総括",$C668="内訳書",$C668="内訳代価",$C668="明細書",$C668="明細代価",$C668="代価表",$C668="単価表"),データ!Q665,"")</f>
        <v>0</v>
      </c>
      <c r="S668" s="11" t="str">
        <f t="shared" si="62"/>
        <v/>
      </c>
      <c r="T668" s="46" t="e">
        <f t="shared" si="63"/>
        <v>#DIV/0!</v>
      </c>
      <c r="U668" s="40" t="str">
        <f>IF(データ!R665="","",データ!R665)</f>
        <v/>
      </c>
      <c r="V668" s="41" t="str">
        <f>IF(データ!S665="","",データ!S665)</f>
        <v/>
      </c>
      <c r="W668" s="42">
        <f>データ!T665</f>
        <v>0</v>
      </c>
      <c r="X668" s="48">
        <f>IF($C668="集計行","",データ!U665)</f>
        <v>0</v>
      </c>
      <c r="Y668" s="48">
        <f>データ!V665</f>
        <v>0</v>
      </c>
      <c r="Z668" s="39">
        <f>IF(OR($C668="総括",$C668="内訳書",$C668="内訳代価",$C668="明細書",$C668="明細代価",$C668="代価表",$C668="単価表"),データ!W665,"")</f>
        <v>0</v>
      </c>
      <c r="AA668" s="11" t="str">
        <f t="shared" si="64"/>
        <v/>
      </c>
      <c r="AB668" s="46" t="e">
        <f t="shared" si="65"/>
        <v>#DIV/0!</v>
      </c>
      <c r="AC668" s="40" t="str">
        <f>IF(データ!X665="","",データ!X665)</f>
        <v/>
      </c>
      <c r="AD668" s="41" t="str">
        <f>IF(データ!Y665="","",データ!Y665)</f>
        <v/>
      </c>
      <c r="AE668" s="47" t="str">
        <f>TRIM(データ!B665)</f>
        <v/>
      </c>
      <c r="AF668" s="43" t="str">
        <f>TRIM(データ!Z665)</f>
        <v/>
      </c>
    </row>
    <row r="669" spans="1:32" x14ac:dyDescent="0.15">
      <c r="A669" s="47">
        <f>データ!A666</f>
        <v>3</v>
      </c>
      <c r="B669" s="47" t="str">
        <f>TRIM(データ!C666)</f>
        <v/>
      </c>
      <c r="C669" s="47" t="str">
        <f>TRIM(データ!D666)</f>
        <v>運搬費</v>
      </c>
      <c r="D669" s="36" t="str">
        <f>REPT("｜",$A669)&amp;TRIM(データ!E666)</f>
        <v>｜｜｜4tダンプ</v>
      </c>
      <c r="E669" s="37" t="str">
        <f>TRIM(データ!F666)</f>
        <v/>
      </c>
      <c r="F669" s="38" t="str">
        <f>TRIM(データ!G666)</f>
        <v>台</v>
      </c>
      <c r="G669" s="50">
        <f>データ!H666</f>
        <v>1</v>
      </c>
      <c r="H669" s="48">
        <f>データ!I666</f>
        <v>34500</v>
      </c>
      <c r="I669" s="48">
        <f>データ!J666</f>
        <v>34500</v>
      </c>
      <c r="J669" s="39" t="str">
        <f>IF(OR($C669="総括",$C669="内訳書",$C669="内訳代価",$C669="明細書",$C669="明細代価",$C669="代価表",$C669="単価表"),データ!K666,"")</f>
        <v/>
      </c>
      <c r="K669" s="11" t="str">
        <f t="shared" si="60"/>
        <v/>
      </c>
      <c r="L669" s="46">
        <f t="shared" si="61"/>
        <v>4.9673880177962071E-4</v>
      </c>
      <c r="M669" s="40" t="str">
        <f>IF(データ!L666="","",データ!L666)</f>
        <v/>
      </c>
      <c r="N669" s="41" t="str">
        <f>IF(データ!M666="","",データ!M666)</f>
        <v/>
      </c>
      <c r="O669" s="42">
        <f>データ!N666</f>
        <v>0</v>
      </c>
      <c r="P669" s="48">
        <f>IF($C669="集計行","",データ!O666)</f>
        <v>0</v>
      </c>
      <c r="Q669" s="48">
        <f>データ!P666</f>
        <v>0</v>
      </c>
      <c r="R669" s="39" t="str">
        <f>IF(OR($C669="総括",$C669="内訳書",$C669="内訳代価",$C669="明細書",$C669="明細代価",$C669="代価表",$C669="単価表"),データ!Q666,"")</f>
        <v/>
      </c>
      <c r="S669" s="11" t="str">
        <f t="shared" si="62"/>
        <v/>
      </c>
      <c r="T669" s="46" t="e">
        <f t="shared" si="63"/>
        <v>#DIV/0!</v>
      </c>
      <c r="U669" s="40" t="str">
        <f>IF(データ!R666="","",データ!R666)</f>
        <v/>
      </c>
      <c r="V669" s="41" t="str">
        <f>IF(データ!S666="","",データ!S666)</f>
        <v/>
      </c>
      <c r="W669" s="42">
        <f>データ!T666</f>
        <v>0</v>
      </c>
      <c r="X669" s="48">
        <f>IF($C669="集計行","",データ!U666)</f>
        <v>0</v>
      </c>
      <c r="Y669" s="48">
        <f>データ!V666</f>
        <v>0</v>
      </c>
      <c r="Z669" s="39" t="str">
        <f>IF(OR($C669="総括",$C669="内訳書",$C669="内訳代価",$C669="明細書",$C669="明細代価",$C669="代価表",$C669="単価表"),データ!W666,"")</f>
        <v/>
      </c>
      <c r="AA669" s="11" t="str">
        <f t="shared" si="64"/>
        <v/>
      </c>
      <c r="AB669" s="46" t="e">
        <f t="shared" si="65"/>
        <v>#DIV/0!</v>
      </c>
      <c r="AC669" s="40" t="str">
        <f>IF(データ!X666="","",データ!X666)</f>
        <v/>
      </c>
      <c r="AD669" s="41" t="str">
        <f>IF(データ!Y666="","",データ!Y666)</f>
        <v/>
      </c>
      <c r="AE669" s="47" t="str">
        <f>TRIM(データ!B666)</f>
        <v/>
      </c>
      <c r="AF669" s="43" t="str">
        <f>TRIM(データ!Z666)</f>
        <v/>
      </c>
    </row>
    <row r="670" spans="1:32" x14ac:dyDescent="0.15">
      <c r="A670" s="47">
        <f>データ!A667</f>
        <v>2</v>
      </c>
      <c r="B670" s="47" t="str">
        <f>TRIM(データ!C667)</f>
        <v/>
      </c>
      <c r="C670" s="47" t="str">
        <f>TRIM(データ!D667)</f>
        <v>内訳書</v>
      </c>
      <c r="D670" s="36" t="str">
        <f>REPT("｜",$A670)&amp;TRIM(データ!E667)</f>
        <v>｜｜コンクリート殻処分</v>
      </c>
      <c r="E670" s="37" t="str">
        <f>TRIM(データ!F667)</f>
        <v/>
      </c>
      <c r="F670" s="38" t="str">
        <f>TRIM(データ!G667)</f>
        <v>ｔ</v>
      </c>
      <c r="G670" s="50">
        <f>データ!H667</f>
        <v>2.2999999999999998</v>
      </c>
      <c r="H670" s="48">
        <f>データ!I667</f>
        <v>1500</v>
      </c>
      <c r="I670" s="48">
        <f>データ!J667</f>
        <v>3450</v>
      </c>
      <c r="J670" s="39">
        <f>IF(OR($C670="総括",$C670="内訳書",$C670="内訳代価",$C670="明細書",$C670="明細代価",$C670="代価表",$C670="単価表"),データ!K667,"")</f>
        <v>2.2999999999999998</v>
      </c>
      <c r="K670" s="11" t="str">
        <f t="shared" si="60"/>
        <v/>
      </c>
      <c r="L670" s="46">
        <f t="shared" si="61"/>
        <v>4.9673880177962074E-5</v>
      </c>
      <c r="M670" s="40" t="str">
        <f>IF(データ!L667="","",データ!L667)</f>
        <v/>
      </c>
      <c r="N670" s="41" t="str">
        <f>IF(データ!M667="","",データ!M667)</f>
        <v>85号内訳書</v>
      </c>
      <c r="O670" s="42">
        <f>データ!N667</f>
        <v>0</v>
      </c>
      <c r="P670" s="48">
        <f>IF($C670="集計行","",データ!O667)</f>
        <v>0</v>
      </c>
      <c r="Q670" s="48">
        <f>データ!P667</f>
        <v>0</v>
      </c>
      <c r="R670" s="39">
        <f>IF(OR($C670="総括",$C670="内訳書",$C670="内訳代価",$C670="明細書",$C670="明細代価",$C670="代価表",$C670="単価表"),データ!Q667,"")</f>
        <v>0</v>
      </c>
      <c r="S670" s="11" t="str">
        <f t="shared" si="62"/>
        <v/>
      </c>
      <c r="T670" s="46" t="e">
        <f t="shared" si="63"/>
        <v>#DIV/0!</v>
      </c>
      <c r="U670" s="40" t="str">
        <f>IF(データ!R667="","",データ!R667)</f>
        <v/>
      </c>
      <c r="V670" s="41" t="str">
        <f>IF(データ!S667="","",データ!S667)</f>
        <v/>
      </c>
      <c r="W670" s="42">
        <f>データ!T667</f>
        <v>0</v>
      </c>
      <c r="X670" s="48">
        <f>IF($C670="集計行","",データ!U667)</f>
        <v>0</v>
      </c>
      <c r="Y670" s="48">
        <f>データ!V667</f>
        <v>0</v>
      </c>
      <c r="Z670" s="39">
        <f>IF(OR($C670="総括",$C670="内訳書",$C670="内訳代価",$C670="明細書",$C670="明細代価",$C670="代価表",$C670="単価表"),データ!W667,"")</f>
        <v>0</v>
      </c>
      <c r="AA670" s="11" t="str">
        <f t="shared" si="64"/>
        <v/>
      </c>
      <c r="AB670" s="46" t="e">
        <f t="shared" si="65"/>
        <v>#DIV/0!</v>
      </c>
      <c r="AC670" s="40" t="str">
        <f>IF(データ!X667="","",データ!X667)</f>
        <v/>
      </c>
      <c r="AD670" s="41" t="str">
        <f>IF(データ!Y667="","",データ!Y667)</f>
        <v/>
      </c>
      <c r="AE670" s="47" t="str">
        <f>TRIM(データ!B667)</f>
        <v/>
      </c>
      <c r="AF670" s="43" t="str">
        <f>TRIM(データ!Z667)</f>
        <v/>
      </c>
    </row>
    <row r="671" spans="1:32" x14ac:dyDescent="0.15">
      <c r="A671" s="47">
        <f>データ!A668</f>
        <v>3</v>
      </c>
      <c r="B671" s="47" t="str">
        <f>TRIM(データ!C668)</f>
        <v/>
      </c>
      <c r="C671" s="47" t="str">
        <f>TRIM(データ!D668)</f>
        <v>運搬費</v>
      </c>
      <c r="D671" s="36" t="str">
        <f>REPT("｜",$A671)&amp;TRIM(データ!E668)</f>
        <v>｜｜｜コンクリート殻処分</v>
      </c>
      <c r="E671" s="37" t="str">
        <f>TRIM(データ!F668)</f>
        <v/>
      </c>
      <c r="F671" s="38" t="str">
        <f>TRIM(データ!G668)</f>
        <v>ｔ</v>
      </c>
      <c r="G671" s="50">
        <f>データ!H668</f>
        <v>2.2999999999999998</v>
      </c>
      <c r="H671" s="48">
        <f>データ!I668</f>
        <v>1500</v>
      </c>
      <c r="I671" s="48">
        <f>データ!J668</f>
        <v>3450</v>
      </c>
      <c r="J671" s="39" t="str">
        <f>IF(OR($C671="総括",$C671="内訳書",$C671="内訳代価",$C671="明細書",$C671="明細代価",$C671="代価表",$C671="単価表"),データ!K668,"")</f>
        <v/>
      </c>
      <c r="K671" s="11" t="str">
        <f t="shared" si="60"/>
        <v/>
      </c>
      <c r="L671" s="46">
        <f t="shared" si="61"/>
        <v>4.9673880177962074E-5</v>
      </c>
      <c r="M671" s="40" t="str">
        <f>IF(データ!L668="","",データ!L668)</f>
        <v/>
      </c>
      <c r="N671" s="41" t="str">
        <f>IF(データ!M668="","",データ!M668)</f>
        <v/>
      </c>
      <c r="O671" s="42">
        <f>データ!N668</f>
        <v>0</v>
      </c>
      <c r="P671" s="48">
        <f>IF($C671="集計行","",データ!O668)</f>
        <v>0</v>
      </c>
      <c r="Q671" s="48">
        <f>データ!P668</f>
        <v>0</v>
      </c>
      <c r="R671" s="39" t="str">
        <f>IF(OR($C671="総括",$C671="内訳書",$C671="内訳代価",$C671="明細書",$C671="明細代価",$C671="代価表",$C671="単価表"),データ!Q668,"")</f>
        <v/>
      </c>
      <c r="S671" s="11" t="str">
        <f t="shared" si="62"/>
        <v/>
      </c>
      <c r="T671" s="46" t="e">
        <f t="shared" si="63"/>
        <v>#DIV/0!</v>
      </c>
      <c r="U671" s="40" t="str">
        <f>IF(データ!R668="","",データ!R668)</f>
        <v/>
      </c>
      <c r="V671" s="41" t="str">
        <f>IF(データ!S668="","",データ!S668)</f>
        <v/>
      </c>
      <c r="W671" s="42">
        <f>データ!T668</f>
        <v>0</v>
      </c>
      <c r="X671" s="48">
        <f>IF($C671="集計行","",データ!U668)</f>
        <v>0</v>
      </c>
      <c r="Y671" s="48">
        <f>データ!V668</f>
        <v>0</v>
      </c>
      <c r="Z671" s="39" t="str">
        <f>IF(OR($C671="総括",$C671="内訳書",$C671="内訳代価",$C671="明細書",$C671="明細代価",$C671="代価表",$C671="単価表"),データ!W668,"")</f>
        <v/>
      </c>
      <c r="AA671" s="11" t="str">
        <f t="shared" si="64"/>
        <v/>
      </c>
      <c r="AB671" s="46" t="e">
        <f t="shared" si="65"/>
        <v>#DIV/0!</v>
      </c>
      <c r="AC671" s="40" t="str">
        <f>IF(データ!X668="","",データ!X668)</f>
        <v/>
      </c>
      <c r="AD671" s="41" t="str">
        <f>IF(データ!Y668="","",データ!Y668)</f>
        <v/>
      </c>
      <c r="AE671" s="47" t="str">
        <f>TRIM(データ!B668)</f>
        <v/>
      </c>
      <c r="AF671" s="43" t="str">
        <f>TRIM(データ!Z668)</f>
        <v/>
      </c>
    </row>
    <row r="672" spans="1:32" x14ac:dyDescent="0.15">
      <c r="A672" s="47">
        <f>データ!A669</f>
        <v>2</v>
      </c>
      <c r="B672" s="47" t="str">
        <f>TRIM(データ!C669)</f>
        <v/>
      </c>
      <c r="C672" s="47" t="str">
        <f>TRIM(データ!D669)</f>
        <v>内訳書</v>
      </c>
      <c r="D672" s="36" t="str">
        <f>REPT("｜",$A672)&amp;TRIM(データ!E669)</f>
        <v>｜｜路盤廃材運搬</v>
      </c>
      <c r="E672" s="37" t="str">
        <f>TRIM(データ!F669)</f>
        <v/>
      </c>
      <c r="F672" s="38" t="str">
        <f>TRIM(データ!G669)</f>
        <v>ｔ</v>
      </c>
      <c r="G672" s="50">
        <f>データ!H669</f>
        <v>31</v>
      </c>
      <c r="H672" s="48">
        <f>データ!I669</f>
        <v>4700</v>
      </c>
      <c r="I672" s="48">
        <f>データ!J669</f>
        <v>145700</v>
      </c>
      <c r="J672" s="39">
        <f>IF(OR($C672="総括",$C672="内訳書",$C672="内訳代価",$C672="明細書",$C672="明細代価",$C672="代価表",$C672="単価表"),データ!K669,"")</f>
        <v>31</v>
      </c>
      <c r="K672" s="11" t="str">
        <f t="shared" si="60"/>
        <v/>
      </c>
      <c r="L672" s="46">
        <f t="shared" si="61"/>
        <v>2.0978215483852388E-3</v>
      </c>
      <c r="M672" s="40" t="str">
        <f>IF(データ!L669="","",データ!L669)</f>
        <v/>
      </c>
      <c r="N672" s="41" t="str">
        <f>IF(データ!M669="","",データ!M669)</f>
        <v>86号内訳書</v>
      </c>
      <c r="O672" s="42">
        <f>データ!N669</f>
        <v>0</v>
      </c>
      <c r="P672" s="48">
        <f>IF($C672="集計行","",データ!O669)</f>
        <v>0</v>
      </c>
      <c r="Q672" s="48">
        <f>データ!P669</f>
        <v>0</v>
      </c>
      <c r="R672" s="39">
        <f>IF(OR($C672="総括",$C672="内訳書",$C672="内訳代価",$C672="明細書",$C672="明細代価",$C672="代価表",$C672="単価表"),データ!Q669,"")</f>
        <v>0</v>
      </c>
      <c r="S672" s="11" t="str">
        <f t="shared" si="62"/>
        <v/>
      </c>
      <c r="T672" s="46" t="e">
        <f t="shared" si="63"/>
        <v>#DIV/0!</v>
      </c>
      <c r="U672" s="40" t="str">
        <f>IF(データ!R669="","",データ!R669)</f>
        <v/>
      </c>
      <c r="V672" s="41" t="str">
        <f>IF(データ!S669="","",データ!S669)</f>
        <v/>
      </c>
      <c r="W672" s="42">
        <f>データ!T669</f>
        <v>0</v>
      </c>
      <c r="X672" s="48">
        <f>IF($C672="集計行","",データ!U669)</f>
        <v>0</v>
      </c>
      <c r="Y672" s="48">
        <f>データ!V669</f>
        <v>0</v>
      </c>
      <c r="Z672" s="39">
        <f>IF(OR($C672="総括",$C672="内訳書",$C672="内訳代価",$C672="明細書",$C672="明細代価",$C672="代価表",$C672="単価表"),データ!W669,"")</f>
        <v>0</v>
      </c>
      <c r="AA672" s="11" t="str">
        <f t="shared" si="64"/>
        <v/>
      </c>
      <c r="AB672" s="46" t="e">
        <f t="shared" si="65"/>
        <v>#DIV/0!</v>
      </c>
      <c r="AC672" s="40" t="str">
        <f>IF(データ!X669="","",データ!X669)</f>
        <v/>
      </c>
      <c r="AD672" s="41" t="str">
        <f>IF(データ!Y669="","",データ!Y669)</f>
        <v/>
      </c>
      <c r="AE672" s="47" t="str">
        <f>TRIM(データ!B669)</f>
        <v/>
      </c>
      <c r="AF672" s="43" t="str">
        <f>TRIM(データ!Z669)</f>
        <v/>
      </c>
    </row>
    <row r="673" spans="1:32" x14ac:dyDescent="0.15">
      <c r="A673" s="47">
        <f>データ!A670</f>
        <v>3</v>
      </c>
      <c r="B673" s="47" t="str">
        <f>TRIM(データ!C670)</f>
        <v/>
      </c>
      <c r="C673" s="47" t="str">
        <f>TRIM(データ!D670)</f>
        <v>運搬費</v>
      </c>
      <c r="D673" s="36" t="str">
        <f>REPT("｜",$A673)&amp;TRIM(データ!E670)</f>
        <v>｜｜｜10tダンプ</v>
      </c>
      <c r="E673" s="37" t="str">
        <f>TRIM(データ!F670)</f>
        <v/>
      </c>
      <c r="F673" s="38" t="str">
        <f>TRIM(データ!G670)</f>
        <v>台</v>
      </c>
      <c r="G673" s="50">
        <f>データ!H670</f>
        <v>3</v>
      </c>
      <c r="H673" s="48">
        <f>データ!I670</f>
        <v>48000</v>
      </c>
      <c r="I673" s="48">
        <f>データ!J670</f>
        <v>144000</v>
      </c>
      <c r="J673" s="39" t="str">
        <f>IF(OR($C673="総括",$C673="内訳書",$C673="内訳代価",$C673="明細書",$C673="明細代価",$C673="代価表",$C673="単価表"),データ!K670,"")</f>
        <v/>
      </c>
      <c r="K673" s="11" t="str">
        <f t="shared" si="60"/>
        <v/>
      </c>
      <c r="L673" s="46">
        <f t="shared" si="61"/>
        <v>2.0733445639497215E-3</v>
      </c>
      <c r="M673" s="40" t="str">
        <f>IF(データ!L670="","",データ!L670)</f>
        <v/>
      </c>
      <c r="N673" s="41" t="str">
        <f>IF(データ!M670="","",データ!M670)</f>
        <v/>
      </c>
      <c r="O673" s="42">
        <f>データ!N670</f>
        <v>0</v>
      </c>
      <c r="P673" s="48">
        <f>IF($C673="集計行","",データ!O670)</f>
        <v>0</v>
      </c>
      <c r="Q673" s="48">
        <f>データ!P670</f>
        <v>0</v>
      </c>
      <c r="R673" s="39" t="str">
        <f>IF(OR($C673="総括",$C673="内訳書",$C673="内訳代価",$C673="明細書",$C673="明細代価",$C673="代価表",$C673="単価表"),データ!Q670,"")</f>
        <v/>
      </c>
      <c r="S673" s="11" t="str">
        <f t="shared" si="62"/>
        <v/>
      </c>
      <c r="T673" s="46" t="e">
        <f t="shared" si="63"/>
        <v>#DIV/0!</v>
      </c>
      <c r="U673" s="40" t="str">
        <f>IF(データ!R670="","",データ!R670)</f>
        <v/>
      </c>
      <c r="V673" s="41" t="str">
        <f>IF(データ!S670="","",データ!S670)</f>
        <v/>
      </c>
      <c r="W673" s="42">
        <f>データ!T670</f>
        <v>0</v>
      </c>
      <c r="X673" s="48">
        <f>IF($C673="集計行","",データ!U670)</f>
        <v>0</v>
      </c>
      <c r="Y673" s="48">
        <f>データ!V670</f>
        <v>0</v>
      </c>
      <c r="Z673" s="39" t="str">
        <f>IF(OR($C673="総括",$C673="内訳書",$C673="内訳代価",$C673="明細書",$C673="明細代価",$C673="代価表",$C673="単価表"),データ!W670,"")</f>
        <v/>
      </c>
      <c r="AA673" s="11" t="str">
        <f t="shared" si="64"/>
        <v/>
      </c>
      <c r="AB673" s="46" t="e">
        <f t="shared" si="65"/>
        <v>#DIV/0!</v>
      </c>
      <c r="AC673" s="40" t="str">
        <f>IF(データ!X670="","",データ!X670)</f>
        <v/>
      </c>
      <c r="AD673" s="41" t="str">
        <f>IF(データ!Y670="","",データ!Y670)</f>
        <v/>
      </c>
      <c r="AE673" s="47" t="str">
        <f>TRIM(データ!B670)</f>
        <v/>
      </c>
      <c r="AF673" s="43" t="str">
        <f>TRIM(データ!Z670)</f>
        <v/>
      </c>
    </row>
    <row r="674" spans="1:32" x14ac:dyDescent="0.15">
      <c r="A674" s="47">
        <f>データ!A671</f>
        <v>3</v>
      </c>
      <c r="B674" s="47" t="str">
        <f>TRIM(データ!C671)</f>
        <v/>
      </c>
      <c r="C674" s="47" t="str">
        <f>TRIM(データ!D671)</f>
        <v>材料費</v>
      </c>
      <c r="D674" s="36" t="str">
        <f>REPT("｜",$A674)&amp;TRIM(データ!E671)</f>
        <v>｜｜｜雑材</v>
      </c>
      <c r="E674" s="37" t="str">
        <f>TRIM(データ!F671)</f>
        <v/>
      </c>
      <c r="F674" s="38" t="str">
        <f>TRIM(データ!G671)</f>
        <v>式</v>
      </c>
      <c r="G674" s="50">
        <f>データ!H671</f>
        <v>1</v>
      </c>
      <c r="H674" s="48">
        <f>データ!I671</f>
        <v>1700</v>
      </c>
      <c r="I674" s="48">
        <f>データ!J671</f>
        <v>1700</v>
      </c>
      <c r="J674" s="39" t="str">
        <f>IF(OR($C674="総括",$C674="内訳書",$C674="内訳代価",$C674="明細書",$C674="明細代価",$C674="代価表",$C674="単価表"),データ!K671,"")</f>
        <v/>
      </c>
      <c r="K674" s="11" t="str">
        <f t="shared" si="60"/>
        <v/>
      </c>
      <c r="L674" s="46">
        <f t="shared" si="61"/>
        <v>2.4476984435517544E-5</v>
      </c>
      <c r="M674" s="40" t="str">
        <f>IF(データ!L671="","",データ!L671)</f>
        <v/>
      </c>
      <c r="N674" s="41" t="str">
        <f>IF(データ!M671="","",データ!M671)</f>
        <v/>
      </c>
      <c r="O674" s="42">
        <f>データ!N671</f>
        <v>0</v>
      </c>
      <c r="P674" s="48">
        <f>IF($C674="集計行","",データ!O671)</f>
        <v>0</v>
      </c>
      <c r="Q674" s="48">
        <f>データ!P671</f>
        <v>0</v>
      </c>
      <c r="R674" s="39" t="str">
        <f>IF(OR($C674="総括",$C674="内訳書",$C674="内訳代価",$C674="明細書",$C674="明細代価",$C674="代価表",$C674="単価表"),データ!Q671,"")</f>
        <v/>
      </c>
      <c r="S674" s="11" t="str">
        <f t="shared" si="62"/>
        <v/>
      </c>
      <c r="T674" s="46" t="e">
        <f t="shared" si="63"/>
        <v>#DIV/0!</v>
      </c>
      <c r="U674" s="40" t="str">
        <f>IF(データ!R671="","",データ!R671)</f>
        <v/>
      </c>
      <c r="V674" s="41" t="str">
        <f>IF(データ!S671="","",データ!S671)</f>
        <v/>
      </c>
      <c r="W674" s="42">
        <f>データ!T671</f>
        <v>0</v>
      </c>
      <c r="X674" s="48">
        <f>IF($C674="集計行","",データ!U671)</f>
        <v>0</v>
      </c>
      <c r="Y674" s="48">
        <f>データ!V671</f>
        <v>0</v>
      </c>
      <c r="Z674" s="39" t="str">
        <f>IF(OR($C674="総括",$C674="内訳書",$C674="内訳代価",$C674="明細書",$C674="明細代価",$C674="代価表",$C674="単価表"),データ!W671,"")</f>
        <v/>
      </c>
      <c r="AA674" s="11" t="str">
        <f t="shared" si="64"/>
        <v/>
      </c>
      <c r="AB674" s="46" t="e">
        <f t="shared" si="65"/>
        <v>#DIV/0!</v>
      </c>
      <c r="AC674" s="40" t="str">
        <f>IF(データ!X671="","",データ!X671)</f>
        <v/>
      </c>
      <c r="AD674" s="41" t="str">
        <f>IF(データ!Y671="","",データ!Y671)</f>
        <v/>
      </c>
      <c r="AE674" s="47" t="str">
        <f>TRIM(データ!B671)</f>
        <v/>
      </c>
      <c r="AF674" s="43" t="str">
        <f>TRIM(データ!Z671)</f>
        <v/>
      </c>
    </row>
    <row r="675" spans="1:32" x14ac:dyDescent="0.15">
      <c r="A675" s="47">
        <f>データ!A672</f>
        <v>2</v>
      </c>
      <c r="B675" s="47" t="str">
        <f>TRIM(データ!C672)</f>
        <v/>
      </c>
      <c r="C675" s="47" t="str">
        <f>TRIM(データ!D672)</f>
        <v>内訳書</v>
      </c>
      <c r="D675" s="36" t="str">
        <f>REPT("｜",$A675)&amp;TRIM(データ!E672)</f>
        <v>｜｜路盤廃材処分</v>
      </c>
      <c r="E675" s="37" t="str">
        <f>TRIM(データ!F672)</f>
        <v/>
      </c>
      <c r="F675" s="38" t="str">
        <f>TRIM(データ!G672)</f>
        <v>ｔ</v>
      </c>
      <c r="G675" s="50">
        <f>データ!H672</f>
        <v>31</v>
      </c>
      <c r="H675" s="48">
        <f>データ!I672</f>
        <v>1500</v>
      </c>
      <c r="I675" s="48">
        <f>データ!J672</f>
        <v>46500</v>
      </c>
      <c r="J675" s="39">
        <f>IF(OR($C675="総括",$C675="内訳書",$C675="内訳代価",$C675="明細書",$C675="明細代価",$C675="代価表",$C675="単価表"),データ!K672,"")</f>
        <v>31</v>
      </c>
      <c r="K675" s="11" t="str">
        <f t="shared" si="60"/>
        <v/>
      </c>
      <c r="L675" s="46">
        <f t="shared" si="61"/>
        <v>6.6951751544209754E-4</v>
      </c>
      <c r="M675" s="40" t="str">
        <f>IF(データ!L672="","",データ!L672)</f>
        <v/>
      </c>
      <c r="N675" s="41" t="str">
        <f>IF(データ!M672="","",データ!M672)</f>
        <v>87号内訳書</v>
      </c>
      <c r="O675" s="42">
        <f>データ!N672</f>
        <v>0</v>
      </c>
      <c r="P675" s="48">
        <f>IF($C675="集計行","",データ!O672)</f>
        <v>0</v>
      </c>
      <c r="Q675" s="48">
        <f>データ!P672</f>
        <v>0</v>
      </c>
      <c r="R675" s="39">
        <f>IF(OR($C675="総括",$C675="内訳書",$C675="内訳代価",$C675="明細書",$C675="明細代価",$C675="代価表",$C675="単価表"),データ!Q672,"")</f>
        <v>0</v>
      </c>
      <c r="S675" s="11" t="str">
        <f t="shared" si="62"/>
        <v/>
      </c>
      <c r="T675" s="46" t="e">
        <f t="shared" si="63"/>
        <v>#DIV/0!</v>
      </c>
      <c r="U675" s="40" t="str">
        <f>IF(データ!R672="","",データ!R672)</f>
        <v/>
      </c>
      <c r="V675" s="41" t="str">
        <f>IF(データ!S672="","",データ!S672)</f>
        <v/>
      </c>
      <c r="W675" s="42">
        <f>データ!T672</f>
        <v>0</v>
      </c>
      <c r="X675" s="48">
        <f>IF($C675="集計行","",データ!U672)</f>
        <v>0</v>
      </c>
      <c r="Y675" s="48">
        <f>データ!V672</f>
        <v>0</v>
      </c>
      <c r="Z675" s="39">
        <f>IF(OR($C675="総括",$C675="内訳書",$C675="内訳代価",$C675="明細書",$C675="明細代価",$C675="代価表",$C675="単価表"),データ!W672,"")</f>
        <v>0</v>
      </c>
      <c r="AA675" s="11" t="str">
        <f t="shared" si="64"/>
        <v/>
      </c>
      <c r="AB675" s="46" t="e">
        <f t="shared" si="65"/>
        <v>#DIV/0!</v>
      </c>
      <c r="AC675" s="40" t="str">
        <f>IF(データ!X672="","",データ!X672)</f>
        <v/>
      </c>
      <c r="AD675" s="41" t="str">
        <f>IF(データ!Y672="","",データ!Y672)</f>
        <v/>
      </c>
      <c r="AE675" s="47" t="str">
        <f>TRIM(データ!B672)</f>
        <v/>
      </c>
      <c r="AF675" s="43" t="str">
        <f>TRIM(データ!Z672)</f>
        <v/>
      </c>
    </row>
    <row r="676" spans="1:32" x14ac:dyDescent="0.15">
      <c r="A676" s="47">
        <f>データ!A673</f>
        <v>3</v>
      </c>
      <c r="B676" s="47" t="str">
        <f>TRIM(データ!C673)</f>
        <v/>
      </c>
      <c r="C676" s="47" t="str">
        <f>TRIM(データ!D673)</f>
        <v>運搬費</v>
      </c>
      <c r="D676" s="36" t="str">
        <f>REPT("｜",$A676)&amp;TRIM(データ!E673)</f>
        <v>｜｜｜路盤廃材処分</v>
      </c>
      <c r="E676" s="37" t="str">
        <f>TRIM(データ!F673)</f>
        <v/>
      </c>
      <c r="F676" s="38" t="str">
        <f>TRIM(データ!G673)</f>
        <v>ｔ</v>
      </c>
      <c r="G676" s="50">
        <f>データ!H673</f>
        <v>31</v>
      </c>
      <c r="H676" s="48">
        <f>データ!I673</f>
        <v>1500</v>
      </c>
      <c r="I676" s="48">
        <f>データ!J673</f>
        <v>46500</v>
      </c>
      <c r="J676" s="39" t="str">
        <f>IF(OR($C676="総括",$C676="内訳書",$C676="内訳代価",$C676="明細書",$C676="明細代価",$C676="代価表",$C676="単価表"),データ!K673,"")</f>
        <v/>
      </c>
      <c r="K676" s="11" t="str">
        <f t="shared" si="60"/>
        <v/>
      </c>
      <c r="L676" s="46">
        <f t="shared" si="61"/>
        <v>6.6951751544209754E-4</v>
      </c>
      <c r="M676" s="40" t="str">
        <f>IF(データ!L673="","",データ!L673)</f>
        <v/>
      </c>
      <c r="N676" s="41" t="str">
        <f>IF(データ!M673="","",データ!M673)</f>
        <v/>
      </c>
      <c r="O676" s="42">
        <f>データ!N673</f>
        <v>0</v>
      </c>
      <c r="P676" s="48">
        <f>IF($C676="集計行","",データ!O673)</f>
        <v>0</v>
      </c>
      <c r="Q676" s="48">
        <f>データ!P673</f>
        <v>0</v>
      </c>
      <c r="R676" s="39" t="str">
        <f>IF(OR($C676="総括",$C676="内訳書",$C676="内訳代価",$C676="明細書",$C676="明細代価",$C676="代価表",$C676="単価表"),データ!Q673,"")</f>
        <v/>
      </c>
      <c r="S676" s="11" t="str">
        <f t="shared" si="62"/>
        <v/>
      </c>
      <c r="T676" s="46" t="e">
        <f t="shared" si="63"/>
        <v>#DIV/0!</v>
      </c>
      <c r="U676" s="40" t="str">
        <f>IF(データ!R673="","",データ!R673)</f>
        <v/>
      </c>
      <c r="V676" s="41" t="str">
        <f>IF(データ!S673="","",データ!S673)</f>
        <v/>
      </c>
      <c r="W676" s="42">
        <f>データ!T673</f>
        <v>0</v>
      </c>
      <c r="X676" s="48">
        <f>IF($C676="集計行","",データ!U673)</f>
        <v>0</v>
      </c>
      <c r="Y676" s="48">
        <f>データ!V673</f>
        <v>0</v>
      </c>
      <c r="Z676" s="39" t="str">
        <f>IF(OR($C676="総括",$C676="内訳書",$C676="内訳代価",$C676="明細書",$C676="明細代価",$C676="代価表",$C676="単価表"),データ!W673,"")</f>
        <v/>
      </c>
      <c r="AA676" s="11" t="str">
        <f t="shared" si="64"/>
        <v/>
      </c>
      <c r="AB676" s="46" t="e">
        <f t="shared" si="65"/>
        <v>#DIV/0!</v>
      </c>
      <c r="AC676" s="40" t="str">
        <f>IF(データ!X673="","",データ!X673)</f>
        <v/>
      </c>
      <c r="AD676" s="41" t="str">
        <f>IF(データ!Y673="","",データ!Y673)</f>
        <v/>
      </c>
      <c r="AE676" s="47" t="str">
        <f>TRIM(データ!B673)</f>
        <v/>
      </c>
      <c r="AF676" s="43" t="str">
        <f>TRIM(データ!Z673)</f>
        <v/>
      </c>
    </row>
    <row r="677" spans="1:32" x14ac:dyDescent="0.15">
      <c r="A677" s="47">
        <f>データ!A674</f>
        <v>2</v>
      </c>
      <c r="B677" s="47" t="str">
        <f>TRIM(データ!C674)</f>
        <v/>
      </c>
      <c r="C677" s="47" t="str">
        <f>TRIM(データ!D674)</f>
        <v>内訳書</v>
      </c>
      <c r="D677" s="36" t="str">
        <f>REPT("｜",$A677)&amp;TRIM(データ!E674)</f>
        <v>｜｜アスファルト殻運搬</v>
      </c>
      <c r="E677" s="37" t="str">
        <f>TRIM(データ!F674)</f>
        <v/>
      </c>
      <c r="F677" s="38" t="str">
        <f>TRIM(データ!G674)</f>
        <v>ｔ</v>
      </c>
      <c r="G677" s="50">
        <f>データ!H674</f>
        <v>12</v>
      </c>
      <c r="H677" s="48">
        <f>データ!I674</f>
        <v>4000</v>
      </c>
      <c r="I677" s="48">
        <f>データ!J674</f>
        <v>48000</v>
      </c>
      <c r="J677" s="39">
        <f>IF(OR($C677="総括",$C677="内訳書",$C677="内訳代価",$C677="明細書",$C677="明細代価",$C677="代価表",$C677="単価表"),データ!K674,"")</f>
        <v>12</v>
      </c>
      <c r="K677" s="11" t="str">
        <f t="shared" si="60"/>
        <v/>
      </c>
      <c r="L677" s="46">
        <f t="shared" si="61"/>
        <v>6.911148546499071E-4</v>
      </c>
      <c r="M677" s="40" t="str">
        <f>IF(データ!L674="","",データ!L674)</f>
        <v/>
      </c>
      <c r="N677" s="41" t="str">
        <f>IF(データ!M674="","",データ!M674)</f>
        <v>88号内訳書</v>
      </c>
      <c r="O677" s="42">
        <f>データ!N674</f>
        <v>0</v>
      </c>
      <c r="P677" s="48">
        <f>IF($C677="集計行","",データ!O674)</f>
        <v>0</v>
      </c>
      <c r="Q677" s="48">
        <f>データ!P674</f>
        <v>0</v>
      </c>
      <c r="R677" s="39">
        <f>IF(OR($C677="総括",$C677="内訳書",$C677="内訳代価",$C677="明細書",$C677="明細代価",$C677="代価表",$C677="単価表"),データ!Q674,"")</f>
        <v>0</v>
      </c>
      <c r="S677" s="11" t="str">
        <f t="shared" si="62"/>
        <v/>
      </c>
      <c r="T677" s="46" t="e">
        <f t="shared" si="63"/>
        <v>#DIV/0!</v>
      </c>
      <c r="U677" s="40" t="str">
        <f>IF(データ!R674="","",データ!R674)</f>
        <v/>
      </c>
      <c r="V677" s="41" t="str">
        <f>IF(データ!S674="","",データ!S674)</f>
        <v/>
      </c>
      <c r="W677" s="42">
        <f>データ!T674</f>
        <v>0</v>
      </c>
      <c r="X677" s="48">
        <f>IF($C677="集計行","",データ!U674)</f>
        <v>0</v>
      </c>
      <c r="Y677" s="48">
        <f>データ!V674</f>
        <v>0</v>
      </c>
      <c r="Z677" s="39">
        <f>IF(OR($C677="総括",$C677="内訳書",$C677="内訳代価",$C677="明細書",$C677="明細代価",$C677="代価表",$C677="単価表"),データ!W674,"")</f>
        <v>0</v>
      </c>
      <c r="AA677" s="11" t="str">
        <f t="shared" si="64"/>
        <v/>
      </c>
      <c r="AB677" s="46" t="e">
        <f t="shared" si="65"/>
        <v>#DIV/0!</v>
      </c>
      <c r="AC677" s="40" t="str">
        <f>IF(データ!X674="","",データ!X674)</f>
        <v/>
      </c>
      <c r="AD677" s="41" t="str">
        <f>IF(データ!Y674="","",データ!Y674)</f>
        <v/>
      </c>
      <c r="AE677" s="47" t="str">
        <f>TRIM(データ!B674)</f>
        <v/>
      </c>
      <c r="AF677" s="43" t="str">
        <f>TRIM(データ!Z674)</f>
        <v/>
      </c>
    </row>
    <row r="678" spans="1:32" x14ac:dyDescent="0.15">
      <c r="A678" s="47">
        <f>データ!A675</f>
        <v>3</v>
      </c>
      <c r="B678" s="47" t="str">
        <f>TRIM(データ!C675)</f>
        <v/>
      </c>
      <c r="C678" s="47" t="str">
        <f>TRIM(データ!D675)</f>
        <v>運搬費</v>
      </c>
      <c r="D678" s="36" t="str">
        <f>REPT("｜",$A678)&amp;TRIM(データ!E675)</f>
        <v>｜｜｜10tダンプ</v>
      </c>
      <c r="E678" s="37" t="str">
        <f>TRIM(データ!F675)</f>
        <v/>
      </c>
      <c r="F678" s="38" t="str">
        <f>TRIM(データ!G675)</f>
        <v>台</v>
      </c>
      <c r="G678" s="50">
        <f>データ!H675</f>
        <v>1</v>
      </c>
      <c r="H678" s="48">
        <f>データ!I675</f>
        <v>48000</v>
      </c>
      <c r="I678" s="48">
        <f>データ!J675</f>
        <v>48000</v>
      </c>
      <c r="J678" s="39" t="str">
        <f>IF(OR($C678="総括",$C678="内訳書",$C678="内訳代価",$C678="明細書",$C678="明細代価",$C678="代価表",$C678="単価表"),データ!K675,"")</f>
        <v/>
      </c>
      <c r="K678" s="11" t="str">
        <f t="shared" si="60"/>
        <v/>
      </c>
      <c r="L678" s="46">
        <f t="shared" si="61"/>
        <v>6.911148546499071E-4</v>
      </c>
      <c r="M678" s="40" t="str">
        <f>IF(データ!L675="","",データ!L675)</f>
        <v/>
      </c>
      <c r="N678" s="41" t="str">
        <f>IF(データ!M675="","",データ!M675)</f>
        <v/>
      </c>
      <c r="O678" s="42">
        <f>データ!N675</f>
        <v>0</v>
      </c>
      <c r="P678" s="48">
        <f>IF($C678="集計行","",データ!O675)</f>
        <v>0</v>
      </c>
      <c r="Q678" s="48">
        <f>データ!P675</f>
        <v>0</v>
      </c>
      <c r="R678" s="39" t="str">
        <f>IF(OR($C678="総括",$C678="内訳書",$C678="内訳代価",$C678="明細書",$C678="明細代価",$C678="代価表",$C678="単価表"),データ!Q675,"")</f>
        <v/>
      </c>
      <c r="S678" s="11" t="str">
        <f t="shared" si="62"/>
        <v/>
      </c>
      <c r="T678" s="46" t="e">
        <f t="shared" si="63"/>
        <v>#DIV/0!</v>
      </c>
      <c r="U678" s="40" t="str">
        <f>IF(データ!R675="","",データ!R675)</f>
        <v/>
      </c>
      <c r="V678" s="41" t="str">
        <f>IF(データ!S675="","",データ!S675)</f>
        <v/>
      </c>
      <c r="W678" s="42">
        <f>データ!T675</f>
        <v>0</v>
      </c>
      <c r="X678" s="48">
        <f>IF($C678="集計行","",データ!U675)</f>
        <v>0</v>
      </c>
      <c r="Y678" s="48">
        <f>データ!V675</f>
        <v>0</v>
      </c>
      <c r="Z678" s="39" t="str">
        <f>IF(OR($C678="総括",$C678="内訳書",$C678="内訳代価",$C678="明細書",$C678="明細代価",$C678="代価表",$C678="単価表"),データ!W675,"")</f>
        <v/>
      </c>
      <c r="AA678" s="11" t="str">
        <f t="shared" si="64"/>
        <v/>
      </c>
      <c r="AB678" s="46" t="e">
        <f t="shared" si="65"/>
        <v>#DIV/0!</v>
      </c>
      <c r="AC678" s="40" t="str">
        <f>IF(データ!X675="","",データ!X675)</f>
        <v/>
      </c>
      <c r="AD678" s="41" t="str">
        <f>IF(データ!Y675="","",データ!Y675)</f>
        <v/>
      </c>
      <c r="AE678" s="47" t="str">
        <f>TRIM(データ!B675)</f>
        <v/>
      </c>
      <c r="AF678" s="43" t="str">
        <f>TRIM(データ!Z675)</f>
        <v/>
      </c>
    </row>
    <row r="679" spans="1:32" x14ac:dyDescent="0.15">
      <c r="A679" s="47">
        <f>データ!A676</f>
        <v>2</v>
      </c>
      <c r="B679" s="47" t="str">
        <f>TRIM(データ!C676)</f>
        <v/>
      </c>
      <c r="C679" s="47" t="str">
        <f>TRIM(データ!D676)</f>
        <v>内訳書</v>
      </c>
      <c r="D679" s="36" t="str">
        <f>REPT("｜",$A679)&amp;TRIM(データ!E676)</f>
        <v>｜｜アスファルト殻処分</v>
      </c>
      <c r="E679" s="37" t="str">
        <f>TRIM(データ!F676)</f>
        <v/>
      </c>
      <c r="F679" s="38" t="str">
        <f>TRIM(データ!G676)</f>
        <v>ｔ</v>
      </c>
      <c r="G679" s="50">
        <f>データ!H676</f>
        <v>12</v>
      </c>
      <c r="H679" s="48">
        <f>データ!I676</f>
        <v>600</v>
      </c>
      <c r="I679" s="48">
        <f>データ!J676</f>
        <v>7200</v>
      </c>
      <c r="J679" s="39">
        <f>IF(OR($C679="総括",$C679="内訳書",$C679="内訳代価",$C679="明細書",$C679="明細代価",$C679="代価表",$C679="単価表"),データ!K676,"")</f>
        <v>12</v>
      </c>
      <c r="K679" s="11" t="str">
        <f t="shared" si="60"/>
        <v/>
      </c>
      <c r="L679" s="46">
        <f t="shared" si="61"/>
        <v>1.0366722819748608E-4</v>
      </c>
      <c r="M679" s="40" t="str">
        <f>IF(データ!L676="","",データ!L676)</f>
        <v/>
      </c>
      <c r="N679" s="41" t="str">
        <f>IF(データ!M676="","",データ!M676)</f>
        <v>89号内訳書</v>
      </c>
      <c r="O679" s="42">
        <f>データ!N676</f>
        <v>0</v>
      </c>
      <c r="P679" s="48">
        <f>IF($C679="集計行","",データ!O676)</f>
        <v>0</v>
      </c>
      <c r="Q679" s="48">
        <f>データ!P676</f>
        <v>0</v>
      </c>
      <c r="R679" s="39">
        <f>IF(OR($C679="総括",$C679="内訳書",$C679="内訳代価",$C679="明細書",$C679="明細代価",$C679="代価表",$C679="単価表"),データ!Q676,"")</f>
        <v>0</v>
      </c>
      <c r="S679" s="11" t="str">
        <f t="shared" si="62"/>
        <v/>
      </c>
      <c r="T679" s="46" t="e">
        <f t="shared" si="63"/>
        <v>#DIV/0!</v>
      </c>
      <c r="U679" s="40" t="str">
        <f>IF(データ!R676="","",データ!R676)</f>
        <v/>
      </c>
      <c r="V679" s="41" t="str">
        <f>IF(データ!S676="","",データ!S676)</f>
        <v/>
      </c>
      <c r="W679" s="42">
        <f>データ!T676</f>
        <v>0</v>
      </c>
      <c r="X679" s="48">
        <f>IF($C679="集計行","",データ!U676)</f>
        <v>0</v>
      </c>
      <c r="Y679" s="48">
        <f>データ!V676</f>
        <v>0</v>
      </c>
      <c r="Z679" s="39">
        <f>IF(OR($C679="総括",$C679="内訳書",$C679="内訳代価",$C679="明細書",$C679="明細代価",$C679="代価表",$C679="単価表"),データ!W676,"")</f>
        <v>0</v>
      </c>
      <c r="AA679" s="11" t="str">
        <f t="shared" si="64"/>
        <v/>
      </c>
      <c r="AB679" s="46" t="e">
        <f t="shared" si="65"/>
        <v>#DIV/0!</v>
      </c>
      <c r="AC679" s="40" t="str">
        <f>IF(データ!X676="","",データ!X676)</f>
        <v/>
      </c>
      <c r="AD679" s="41" t="str">
        <f>IF(データ!Y676="","",データ!Y676)</f>
        <v/>
      </c>
      <c r="AE679" s="47" t="str">
        <f>TRIM(データ!B676)</f>
        <v/>
      </c>
      <c r="AF679" s="43" t="str">
        <f>TRIM(データ!Z676)</f>
        <v/>
      </c>
    </row>
    <row r="680" spans="1:32" x14ac:dyDescent="0.15">
      <c r="A680" s="47">
        <f>データ!A677</f>
        <v>3</v>
      </c>
      <c r="B680" s="47" t="str">
        <f>TRIM(データ!C677)</f>
        <v/>
      </c>
      <c r="C680" s="47" t="str">
        <f>TRIM(データ!D677)</f>
        <v>運搬費</v>
      </c>
      <c r="D680" s="36" t="str">
        <f>REPT("｜",$A680)&amp;TRIM(データ!E677)</f>
        <v>｜｜｜アスファルト殻処分</v>
      </c>
      <c r="E680" s="37" t="str">
        <f>TRIM(データ!F677)</f>
        <v/>
      </c>
      <c r="F680" s="38" t="str">
        <f>TRIM(データ!G677)</f>
        <v>ｔ</v>
      </c>
      <c r="G680" s="50">
        <f>データ!H677</f>
        <v>12</v>
      </c>
      <c r="H680" s="48">
        <f>データ!I677</f>
        <v>600</v>
      </c>
      <c r="I680" s="48">
        <f>データ!J677</f>
        <v>7200</v>
      </c>
      <c r="J680" s="39" t="str">
        <f>IF(OR($C680="総括",$C680="内訳書",$C680="内訳代価",$C680="明細書",$C680="明細代価",$C680="代価表",$C680="単価表"),データ!K677,"")</f>
        <v/>
      </c>
      <c r="K680" s="11" t="str">
        <f t="shared" si="60"/>
        <v/>
      </c>
      <c r="L680" s="46">
        <f t="shared" si="61"/>
        <v>1.0366722819748608E-4</v>
      </c>
      <c r="M680" s="40" t="str">
        <f>IF(データ!L677="","",データ!L677)</f>
        <v/>
      </c>
      <c r="N680" s="41" t="str">
        <f>IF(データ!M677="","",データ!M677)</f>
        <v/>
      </c>
      <c r="O680" s="42">
        <f>データ!N677</f>
        <v>0</v>
      </c>
      <c r="P680" s="48">
        <f>IF($C680="集計行","",データ!O677)</f>
        <v>0</v>
      </c>
      <c r="Q680" s="48">
        <f>データ!P677</f>
        <v>0</v>
      </c>
      <c r="R680" s="39" t="str">
        <f>IF(OR($C680="総括",$C680="内訳書",$C680="内訳代価",$C680="明細書",$C680="明細代価",$C680="代価表",$C680="単価表"),データ!Q677,"")</f>
        <v/>
      </c>
      <c r="S680" s="11" t="str">
        <f t="shared" si="62"/>
        <v/>
      </c>
      <c r="T680" s="46" t="e">
        <f t="shared" si="63"/>
        <v>#DIV/0!</v>
      </c>
      <c r="U680" s="40" t="str">
        <f>IF(データ!R677="","",データ!R677)</f>
        <v/>
      </c>
      <c r="V680" s="41" t="str">
        <f>IF(データ!S677="","",データ!S677)</f>
        <v/>
      </c>
      <c r="W680" s="42">
        <f>データ!T677</f>
        <v>0</v>
      </c>
      <c r="X680" s="48">
        <f>IF($C680="集計行","",データ!U677)</f>
        <v>0</v>
      </c>
      <c r="Y680" s="48">
        <f>データ!V677</f>
        <v>0</v>
      </c>
      <c r="Z680" s="39" t="str">
        <f>IF(OR($C680="総括",$C680="内訳書",$C680="内訳代価",$C680="明細書",$C680="明細代価",$C680="代価表",$C680="単価表"),データ!W677,"")</f>
        <v/>
      </c>
      <c r="AA680" s="11" t="str">
        <f t="shared" si="64"/>
        <v/>
      </c>
      <c r="AB680" s="46" t="e">
        <f t="shared" si="65"/>
        <v>#DIV/0!</v>
      </c>
      <c r="AC680" s="40" t="str">
        <f>IF(データ!X677="","",データ!X677)</f>
        <v/>
      </c>
      <c r="AD680" s="41" t="str">
        <f>IF(データ!Y677="","",データ!Y677)</f>
        <v/>
      </c>
      <c r="AE680" s="47" t="str">
        <f>TRIM(データ!B677)</f>
        <v/>
      </c>
      <c r="AF680" s="43" t="str">
        <f>TRIM(データ!Z677)</f>
        <v/>
      </c>
    </row>
    <row r="681" spans="1:32" x14ac:dyDescent="0.15">
      <c r="A681" s="47">
        <f>データ!A678</f>
        <v>2</v>
      </c>
      <c r="B681" s="47" t="str">
        <f>TRIM(データ!C678)</f>
        <v/>
      </c>
      <c r="C681" s="47" t="str">
        <f>TRIM(データ!D678)</f>
        <v>内訳書</v>
      </c>
      <c r="D681" s="36" t="str">
        <f>REPT("｜",$A681)&amp;TRIM(データ!E678)</f>
        <v>｜｜縁石工</v>
      </c>
      <c r="E681" s="37" t="str">
        <f>TRIM(データ!F678)</f>
        <v>切り下げ部</v>
      </c>
      <c r="F681" s="38" t="str">
        <f>TRIM(データ!G678)</f>
        <v>ｍ</v>
      </c>
      <c r="G681" s="50">
        <f>データ!H678</f>
        <v>13.2</v>
      </c>
      <c r="H681" s="48">
        <f>データ!I678</f>
        <v>19500</v>
      </c>
      <c r="I681" s="48">
        <f>データ!J678</f>
        <v>257400</v>
      </c>
      <c r="J681" s="39">
        <f>IF(OR($C681="総括",$C681="内訳書",$C681="内訳代価",$C681="明細書",$C681="明細代価",$C681="代価表",$C681="単価表"),データ!K678,"")</f>
        <v>13.2</v>
      </c>
      <c r="K681" s="11" t="str">
        <f t="shared" si="60"/>
        <v/>
      </c>
      <c r="L681" s="46">
        <f t="shared" si="61"/>
        <v>3.706103408060127E-3</v>
      </c>
      <c r="M681" s="40" t="str">
        <f>IF(データ!L678="","",データ!L678)</f>
        <v/>
      </c>
      <c r="N681" s="41" t="str">
        <f>IF(データ!M678="","",データ!M678)</f>
        <v>90号内訳書</v>
      </c>
      <c r="O681" s="42">
        <f>データ!N678</f>
        <v>0</v>
      </c>
      <c r="P681" s="48">
        <f>IF($C681="集計行","",データ!O678)</f>
        <v>0</v>
      </c>
      <c r="Q681" s="48">
        <f>データ!P678</f>
        <v>0</v>
      </c>
      <c r="R681" s="39">
        <f>IF(OR($C681="総括",$C681="内訳書",$C681="内訳代価",$C681="明細書",$C681="明細代価",$C681="代価表",$C681="単価表"),データ!Q678,"")</f>
        <v>0</v>
      </c>
      <c r="S681" s="11" t="str">
        <f t="shared" si="62"/>
        <v/>
      </c>
      <c r="T681" s="46" t="e">
        <f t="shared" si="63"/>
        <v>#DIV/0!</v>
      </c>
      <c r="U681" s="40" t="str">
        <f>IF(データ!R678="","",データ!R678)</f>
        <v/>
      </c>
      <c r="V681" s="41" t="str">
        <f>IF(データ!S678="","",データ!S678)</f>
        <v/>
      </c>
      <c r="W681" s="42">
        <f>データ!T678</f>
        <v>0</v>
      </c>
      <c r="X681" s="48">
        <f>IF($C681="集計行","",データ!U678)</f>
        <v>0</v>
      </c>
      <c r="Y681" s="48">
        <f>データ!V678</f>
        <v>0</v>
      </c>
      <c r="Z681" s="39">
        <f>IF(OR($C681="総括",$C681="内訳書",$C681="内訳代価",$C681="明細書",$C681="明細代価",$C681="代価表",$C681="単価表"),データ!W678,"")</f>
        <v>0</v>
      </c>
      <c r="AA681" s="11" t="str">
        <f t="shared" si="64"/>
        <v/>
      </c>
      <c r="AB681" s="46" t="e">
        <f t="shared" si="65"/>
        <v>#DIV/0!</v>
      </c>
      <c r="AC681" s="40" t="str">
        <f>IF(データ!X678="","",データ!X678)</f>
        <v/>
      </c>
      <c r="AD681" s="41" t="str">
        <f>IF(データ!Y678="","",データ!Y678)</f>
        <v/>
      </c>
      <c r="AE681" s="47" t="str">
        <f>TRIM(データ!B678)</f>
        <v/>
      </c>
      <c r="AF681" s="43" t="str">
        <f>TRIM(データ!Z678)</f>
        <v/>
      </c>
    </row>
    <row r="682" spans="1:32" x14ac:dyDescent="0.15">
      <c r="A682" s="47">
        <f>データ!A679</f>
        <v>3</v>
      </c>
      <c r="B682" s="47" t="str">
        <f>TRIM(データ!C679)</f>
        <v/>
      </c>
      <c r="C682" s="47" t="str">
        <f>TRIM(データ!D679)</f>
        <v>材料費</v>
      </c>
      <c r="D682" s="36" t="str">
        <f>REPT("｜",$A682)&amp;TRIM(データ!E679)</f>
        <v>｜｜｜歩車道境界ブロックB</v>
      </c>
      <c r="E682" s="37" t="str">
        <f>TRIM(データ!F679)</f>
        <v>平5㎝</v>
      </c>
      <c r="F682" s="38" t="str">
        <f>TRIM(データ!G679)</f>
        <v>本</v>
      </c>
      <c r="G682" s="50">
        <f>データ!H679</f>
        <v>20</v>
      </c>
      <c r="H682" s="48">
        <f>データ!I679</f>
        <v>1600</v>
      </c>
      <c r="I682" s="48">
        <f>データ!J679</f>
        <v>32000</v>
      </c>
      <c r="J682" s="39" t="str">
        <f>IF(OR($C682="総括",$C682="内訳書",$C682="内訳代価",$C682="明細書",$C682="明細代価",$C682="代価表",$C682="単価表"),データ!K679,"")</f>
        <v/>
      </c>
      <c r="K682" s="11" t="str">
        <f t="shared" si="60"/>
        <v/>
      </c>
      <c r="L682" s="46">
        <f t="shared" si="61"/>
        <v>4.607432364332714E-4</v>
      </c>
      <c r="M682" s="40" t="str">
        <f>IF(データ!L679="","",データ!L679)</f>
        <v/>
      </c>
      <c r="N682" s="41" t="str">
        <f>IF(データ!M679="","",データ!M679)</f>
        <v/>
      </c>
      <c r="O682" s="42">
        <f>データ!N679</f>
        <v>0</v>
      </c>
      <c r="P682" s="48">
        <f>IF($C682="集計行","",データ!O679)</f>
        <v>0</v>
      </c>
      <c r="Q682" s="48">
        <f>データ!P679</f>
        <v>0</v>
      </c>
      <c r="R682" s="39" t="str">
        <f>IF(OR($C682="総括",$C682="内訳書",$C682="内訳代価",$C682="明細書",$C682="明細代価",$C682="代価表",$C682="単価表"),データ!Q679,"")</f>
        <v/>
      </c>
      <c r="S682" s="11" t="str">
        <f t="shared" si="62"/>
        <v/>
      </c>
      <c r="T682" s="46" t="e">
        <f t="shared" si="63"/>
        <v>#DIV/0!</v>
      </c>
      <c r="U682" s="40" t="str">
        <f>IF(データ!R679="","",データ!R679)</f>
        <v/>
      </c>
      <c r="V682" s="41" t="str">
        <f>IF(データ!S679="","",データ!S679)</f>
        <v/>
      </c>
      <c r="W682" s="42">
        <f>データ!T679</f>
        <v>0</v>
      </c>
      <c r="X682" s="48">
        <f>IF($C682="集計行","",データ!U679)</f>
        <v>0</v>
      </c>
      <c r="Y682" s="48">
        <f>データ!V679</f>
        <v>0</v>
      </c>
      <c r="Z682" s="39" t="str">
        <f>IF(OR($C682="総括",$C682="内訳書",$C682="内訳代価",$C682="明細書",$C682="明細代価",$C682="代価表",$C682="単価表"),データ!W679,"")</f>
        <v/>
      </c>
      <c r="AA682" s="11" t="str">
        <f t="shared" si="64"/>
        <v/>
      </c>
      <c r="AB682" s="46" t="e">
        <f t="shared" si="65"/>
        <v>#DIV/0!</v>
      </c>
      <c r="AC682" s="40" t="str">
        <f>IF(データ!X679="","",データ!X679)</f>
        <v/>
      </c>
      <c r="AD682" s="41" t="str">
        <f>IF(データ!Y679="","",データ!Y679)</f>
        <v/>
      </c>
      <c r="AE682" s="47" t="str">
        <f>TRIM(データ!B679)</f>
        <v/>
      </c>
      <c r="AF682" s="43" t="str">
        <f>TRIM(データ!Z679)</f>
        <v/>
      </c>
    </row>
    <row r="683" spans="1:32" x14ac:dyDescent="0.15">
      <c r="A683" s="47">
        <f>データ!A680</f>
        <v>3</v>
      </c>
      <c r="B683" s="47" t="str">
        <f>TRIM(データ!C680)</f>
        <v/>
      </c>
      <c r="C683" s="47" t="str">
        <f>TRIM(データ!D680)</f>
        <v>材料費</v>
      </c>
      <c r="D683" s="36" t="str">
        <f>REPT("｜",$A683)&amp;TRIM(データ!E680)</f>
        <v>｜｜｜歩車道境界ブロックB</v>
      </c>
      <c r="E683" s="37" t="str">
        <f>TRIM(データ!F680)</f>
        <v>斜5㎝</v>
      </c>
      <c r="F683" s="38" t="str">
        <f>TRIM(データ!G680)</f>
        <v>本</v>
      </c>
      <c r="G683" s="50">
        <f>データ!H680</f>
        <v>2</v>
      </c>
      <c r="H683" s="48">
        <f>データ!I680</f>
        <v>2000</v>
      </c>
      <c r="I683" s="48">
        <f>データ!J680</f>
        <v>4000</v>
      </c>
      <c r="J683" s="39" t="str">
        <f>IF(OR($C683="総括",$C683="内訳書",$C683="内訳代価",$C683="明細書",$C683="明細代価",$C683="代価表",$C683="単価表"),データ!K680,"")</f>
        <v/>
      </c>
      <c r="K683" s="11" t="str">
        <f t="shared" si="60"/>
        <v/>
      </c>
      <c r="L683" s="46">
        <f t="shared" si="61"/>
        <v>5.7592904554158925E-5</v>
      </c>
      <c r="M683" s="40" t="str">
        <f>IF(データ!L680="","",データ!L680)</f>
        <v/>
      </c>
      <c r="N683" s="41" t="str">
        <f>IF(データ!M680="","",データ!M680)</f>
        <v/>
      </c>
      <c r="O683" s="42">
        <f>データ!N680</f>
        <v>0</v>
      </c>
      <c r="P683" s="48">
        <f>IF($C683="集計行","",データ!O680)</f>
        <v>0</v>
      </c>
      <c r="Q683" s="48">
        <f>データ!P680</f>
        <v>0</v>
      </c>
      <c r="R683" s="39" t="str">
        <f>IF(OR($C683="総括",$C683="内訳書",$C683="内訳代価",$C683="明細書",$C683="明細代価",$C683="代価表",$C683="単価表"),データ!Q680,"")</f>
        <v/>
      </c>
      <c r="S683" s="11" t="str">
        <f t="shared" si="62"/>
        <v/>
      </c>
      <c r="T683" s="46" t="e">
        <f t="shared" si="63"/>
        <v>#DIV/0!</v>
      </c>
      <c r="U683" s="40" t="str">
        <f>IF(データ!R680="","",データ!R680)</f>
        <v/>
      </c>
      <c r="V683" s="41" t="str">
        <f>IF(データ!S680="","",データ!S680)</f>
        <v/>
      </c>
      <c r="W683" s="42">
        <f>データ!T680</f>
        <v>0</v>
      </c>
      <c r="X683" s="48">
        <f>IF($C683="集計行","",データ!U680)</f>
        <v>0</v>
      </c>
      <c r="Y683" s="48">
        <f>データ!V680</f>
        <v>0</v>
      </c>
      <c r="Z683" s="39" t="str">
        <f>IF(OR($C683="総括",$C683="内訳書",$C683="内訳代価",$C683="明細書",$C683="明細代価",$C683="代価表",$C683="単価表"),データ!W680,"")</f>
        <v/>
      </c>
      <c r="AA683" s="11" t="str">
        <f t="shared" si="64"/>
        <v/>
      </c>
      <c r="AB683" s="46" t="e">
        <f t="shared" si="65"/>
        <v>#DIV/0!</v>
      </c>
      <c r="AC683" s="40" t="str">
        <f>IF(データ!X680="","",データ!X680)</f>
        <v/>
      </c>
      <c r="AD683" s="41" t="str">
        <f>IF(データ!Y680="","",データ!Y680)</f>
        <v/>
      </c>
      <c r="AE683" s="47" t="str">
        <f>TRIM(データ!B680)</f>
        <v/>
      </c>
      <c r="AF683" s="43" t="str">
        <f>TRIM(データ!Z680)</f>
        <v/>
      </c>
    </row>
    <row r="684" spans="1:32" x14ac:dyDescent="0.15">
      <c r="A684" s="47">
        <f>データ!A681</f>
        <v>3</v>
      </c>
      <c r="B684" s="47" t="str">
        <f>TRIM(データ!C681)</f>
        <v/>
      </c>
      <c r="C684" s="47" t="str">
        <f>TRIM(データ!D681)</f>
        <v>材料費</v>
      </c>
      <c r="D684" s="36" t="str">
        <f>REPT("｜",$A684)&amp;TRIM(データ!E681)</f>
        <v>｜｜｜RC-40</v>
      </c>
      <c r="E684" s="37" t="str">
        <f>TRIM(データ!F681)</f>
        <v/>
      </c>
      <c r="F684" s="38" t="str">
        <f>TRIM(データ!G681)</f>
        <v>m3</v>
      </c>
      <c r="G684" s="50">
        <f>データ!H681</f>
        <v>1</v>
      </c>
      <c r="H684" s="48">
        <f>データ!I681</f>
        <v>1800</v>
      </c>
      <c r="I684" s="48">
        <f>データ!J681</f>
        <v>1800</v>
      </c>
      <c r="J684" s="39" t="str">
        <f>IF(OR($C684="総括",$C684="内訳書",$C684="内訳代価",$C684="明細書",$C684="明細代価",$C684="代価表",$C684="単価表"),データ!K681,"")</f>
        <v/>
      </c>
      <c r="K684" s="11" t="str">
        <f t="shared" si="60"/>
        <v/>
      </c>
      <c r="L684" s="46">
        <f t="shared" si="61"/>
        <v>2.5916807049371519E-5</v>
      </c>
      <c r="M684" s="40" t="str">
        <f>IF(データ!L681="","",データ!L681)</f>
        <v/>
      </c>
      <c r="N684" s="41" t="str">
        <f>IF(データ!M681="","",データ!M681)</f>
        <v/>
      </c>
      <c r="O684" s="42">
        <f>データ!N681</f>
        <v>0</v>
      </c>
      <c r="P684" s="48">
        <f>IF($C684="集計行","",データ!O681)</f>
        <v>0</v>
      </c>
      <c r="Q684" s="48">
        <f>データ!P681</f>
        <v>0</v>
      </c>
      <c r="R684" s="39" t="str">
        <f>IF(OR($C684="総括",$C684="内訳書",$C684="内訳代価",$C684="明細書",$C684="明細代価",$C684="代価表",$C684="単価表"),データ!Q681,"")</f>
        <v/>
      </c>
      <c r="S684" s="11" t="str">
        <f t="shared" si="62"/>
        <v/>
      </c>
      <c r="T684" s="46" t="e">
        <f t="shared" si="63"/>
        <v>#DIV/0!</v>
      </c>
      <c r="U684" s="40" t="str">
        <f>IF(データ!R681="","",データ!R681)</f>
        <v/>
      </c>
      <c r="V684" s="41" t="str">
        <f>IF(データ!S681="","",データ!S681)</f>
        <v/>
      </c>
      <c r="W684" s="42">
        <f>データ!T681</f>
        <v>0</v>
      </c>
      <c r="X684" s="48">
        <f>IF($C684="集計行","",データ!U681)</f>
        <v>0</v>
      </c>
      <c r="Y684" s="48">
        <f>データ!V681</f>
        <v>0</v>
      </c>
      <c r="Z684" s="39" t="str">
        <f>IF(OR($C684="総括",$C684="内訳書",$C684="内訳代価",$C684="明細書",$C684="明細代価",$C684="代価表",$C684="単価表"),データ!W681,"")</f>
        <v/>
      </c>
      <c r="AA684" s="11" t="str">
        <f t="shared" si="64"/>
        <v/>
      </c>
      <c r="AB684" s="46" t="e">
        <f t="shared" si="65"/>
        <v>#DIV/0!</v>
      </c>
      <c r="AC684" s="40" t="str">
        <f>IF(データ!X681="","",データ!X681)</f>
        <v/>
      </c>
      <c r="AD684" s="41" t="str">
        <f>IF(データ!Y681="","",データ!Y681)</f>
        <v/>
      </c>
      <c r="AE684" s="47" t="str">
        <f>TRIM(データ!B681)</f>
        <v/>
      </c>
      <c r="AF684" s="43" t="str">
        <f>TRIM(データ!Z681)</f>
        <v/>
      </c>
    </row>
    <row r="685" spans="1:32" x14ac:dyDescent="0.15">
      <c r="A685" s="47">
        <f>データ!A682</f>
        <v>3</v>
      </c>
      <c r="B685" s="47" t="str">
        <f>TRIM(データ!C682)</f>
        <v/>
      </c>
      <c r="C685" s="47" t="str">
        <f>TRIM(データ!D682)</f>
        <v>材料費</v>
      </c>
      <c r="D685" s="36" t="str">
        <f>REPT("｜",$A685)&amp;TRIM(データ!E682)</f>
        <v>｜｜｜生コン</v>
      </c>
      <c r="E685" s="37" t="str">
        <f>TRIM(データ!F682)</f>
        <v/>
      </c>
      <c r="F685" s="38" t="str">
        <f>TRIM(データ!G682)</f>
        <v>m3</v>
      </c>
      <c r="G685" s="50">
        <f>データ!H682</f>
        <v>1</v>
      </c>
      <c r="H685" s="48">
        <f>データ!I682</f>
        <v>30000</v>
      </c>
      <c r="I685" s="48">
        <f>データ!J682</f>
        <v>30000</v>
      </c>
      <c r="J685" s="39" t="str">
        <f>IF(OR($C685="総括",$C685="内訳書",$C685="内訳代価",$C685="明細書",$C685="明細代価",$C685="代価表",$C685="単価表"),データ!K682,"")</f>
        <v/>
      </c>
      <c r="K685" s="11" t="str">
        <f t="shared" si="60"/>
        <v/>
      </c>
      <c r="L685" s="46">
        <f t="shared" si="61"/>
        <v>4.3194678415619197E-4</v>
      </c>
      <c r="M685" s="40" t="str">
        <f>IF(データ!L682="","",データ!L682)</f>
        <v/>
      </c>
      <c r="N685" s="41" t="str">
        <f>IF(データ!M682="","",データ!M682)</f>
        <v/>
      </c>
      <c r="O685" s="42">
        <f>データ!N682</f>
        <v>0</v>
      </c>
      <c r="P685" s="48">
        <f>IF($C685="集計行","",データ!O682)</f>
        <v>0</v>
      </c>
      <c r="Q685" s="48">
        <f>データ!P682</f>
        <v>0</v>
      </c>
      <c r="R685" s="39" t="str">
        <f>IF(OR($C685="総括",$C685="内訳書",$C685="内訳代価",$C685="明細書",$C685="明細代価",$C685="代価表",$C685="単価表"),データ!Q682,"")</f>
        <v/>
      </c>
      <c r="S685" s="11" t="str">
        <f t="shared" si="62"/>
        <v/>
      </c>
      <c r="T685" s="46" t="e">
        <f t="shared" si="63"/>
        <v>#DIV/0!</v>
      </c>
      <c r="U685" s="40" t="str">
        <f>IF(データ!R682="","",データ!R682)</f>
        <v/>
      </c>
      <c r="V685" s="41" t="str">
        <f>IF(データ!S682="","",データ!S682)</f>
        <v/>
      </c>
      <c r="W685" s="42">
        <f>データ!T682</f>
        <v>0</v>
      </c>
      <c r="X685" s="48">
        <f>IF($C685="集計行","",データ!U682)</f>
        <v>0</v>
      </c>
      <c r="Y685" s="48">
        <f>データ!V682</f>
        <v>0</v>
      </c>
      <c r="Z685" s="39" t="str">
        <f>IF(OR($C685="総括",$C685="内訳書",$C685="内訳代価",$C685="明細書",$C685="明細代価",$C685="代価表",$C685="単価表"),データ!W682,"")</f>
        <v/>
      </c>
      <c r="AA685" s="11" t="str">
        <f t="shared" si="64"/>
        <v/>
      </c>
      <c r="AB685" s="46" t="e">
        <f t="shared" si="65"/>
        <v>#DIV/0!</v>
      </c>
      <c r="AC685" s="40" t="str">
        <f>IF(データ!X682="","",データ!X682)</f>
        <v/>
      </c>
      <c r="AD685" s="41" t="str">
        <f>IF(データ!Y682="","",データ!Y682)</f>
        <v/>
      </c>
      <c r="AE685" s="47" t="str">
        <f>TRIM(データ!B682)</f>
        <v/>
      </c>
      <c r="AF685" s="43" t="str">
        <f>TRIM(データ!Z682)</f>
        <v/>
      </c>
    </row>
    <row r="686" spans="1:32" x14ac:dyDescent="0.15">
      <c r="A686" s="47">
        <f>データ!A683</f>
        <v>3</v>
      </c>
      <c r="B686" s="47" t="str">
        <f>TRIM(データ!C683)</f>
        <v/>
      </c>
      <c r="C686" s="47" t="str">
        <f>TRIM(データ!D683)</f>
        <v>労務費</v>
      </c>
      <c r="D686" s="36" t="str">
        <f>REPT("｜",$A686)&amp;TRIM(データ!E683)</f>
        <v>｜｜｜技工</v>
      </c>
      <c r="E686" s="37" t="str">
        <f>TRIM(データ!F683)</f>
        <v/>
      </c>
      <c r="F686" s="38" t="str">
        <f>TRIM(データ!G683)</f>
        <v>人</v>
      </c>
      <c r="G686" s="50">
        <f>データ!H683</f>
        <v>4</v>
      </c>
      <c r="H686" s="48">
        <f>データ!I683</f>
        <v>32000</v>
      </c>
      <c r="I686" s="48">
        <f>データ!J683</f>
        <v>128000</v>
      </c>
      <c r="J686" s="39" t="str">
        <f>IF(OR($C686="総括",$C686="内訳書",$C686="内訳代価",$C686="明細書",$C686="明細代価",$C686="代価表",$C686="単価表"),データ!K683,"")</f>
        <v/>
      </c>
      <c r="K686" s="11" t="str">
        <f t="shared" si="60"/>
        <v/>
      </c>
      <c r="L686" s="46">
        <f t="shared" si="61"/>
        <v>1.8429729457330856E-3</v>
      </c>
      <c r="M686" s="40" t="str">
        <f>IF(データ!L683="","",データ!L683)</f>
        <v/>
      </c>
      <c r="N686" s="41" t="str">
        <f>IF(データ!M683="","",データ!M683)</f>
        <v/>
      </c>
      <c r="O686" s="42">
        <f>データ!N683</f>
        <v>0</v>
      </c>
      <c r="P686" s="48">
        <f>IF($C686="集計行","",データ!O683)</f>
        <v>0</v>
      </c>
      <c r="Q686" s="48">
        <f>データ!P683</f>
        <v>0</v>
      </c>
      <c r="R686" s="39" t="str">
        <f>IF(OR($C686="総括",$C686="内訳書",$C686="内訳代価",$C686="明細書",$C686="明細代価",$C686="代価表",$C686="単価表"),データ!Q683,"")</f>
        <v/>
      </c>
      <c r="S686" s="11" t="str">
        <f t="shared" si="62"/>
        <v/>
      </c>
      <c r="T686" s="46" t="e">
        <f t="shared" si="63"/>
        <v>#DIV/0!</v>
      </c>
      <c r="U686" s="40" t="str">
        <f>IF(データ!R683="","",データ!R683)</f>
        <v/>
      </c>
      <c r="V686" s="41" t="str">
        <f>IF(データ!S683="","",データ!S683)</f>
        <v/>
      </c>
      <c r="W686" s="42">
        <f>データ!T683</f>
        <v>0</v>
      </c>
      <c r="X686" s="48">
        <f>IF($C686="集計行","",データ!U683)</f>
        <v>0</v>
      </c>
      <c r="Y686" s="48">
        <f>データ!V683</f>
        <v>0</v>
      </c>
      <c r="Z686" s="39" t="str">
        <f>IF(OR($C686="総括",$C686="内訳書",$C686="内訳代価",$C686="明細書",$C686="明細代価",$C686="代価表",$C686="単価表"),データ!W683,"")</f>
        <v/>
      </c>
      <c r="AA686" s="11" t="str">
        <f t="shared" si="64"/>
        <v/>
      </c>
      <c r="AB686" s="46" t="e">
        <f t="shared" si="65"/>
        <v>#DIV/0!</v>
      </c>
      <c r="AC686" s="40" t="str">
        <f>IF(データ!X683="","",データ!X683)</f>
        <v/>
      </c>
      <c r="AD686" s="41" t="str">
        <f>IF(データ!Y683="","",データ!Y683)</f>
        <v/>
      </c>
      <c r="AE686" s="47" t="str">
        <f>TRIM(データ!B683)</f>
        <v/>
      </c>
      <c r="AF686" s="43" t="str">
        <f>TRIM(データ!Z683)</f>
        <v/>
      </c>
    </row>
    <row r="687" spans="1:32" x14ac:dyDescent="0.15">
      <c r="A687" s="47">
        <f>データ!A684</f>
        <v>3</v>
      </c>
      <c r="B687" s="47" t="str">
        <f>TRIM(データ!C684)</f>
        <v/>
      </c>
      <c r="C687" s="47" t="str">
        <f>TRIM(データ!D684)</f>
        <v>機械費</v>
      </c>
      <c r="D687" s="36" t="str">
        <f>REPT("｜",$A687)&amp;TRIM(データ!E684)</f>
        <v>｜｜｜タイヤショベル</v>
      </c>
      <c r="E687" s="37" t="str">
        <f>TRIM(データ!F684)</f>
        <v/>
      </c>
      <c r="F687" s="38" t="str">
        <f>TRIM(データ!G684)</f>
        <v>台</v>
      </c>
      <c r="G687" s="50">
        <f>データ!H684</f>
        <v>1</v>
      </c>
      <c r="H687" s="48">
        <f>データ!I684</f>
        <v>8000</v>
      </c>
      <c r="I687" s="48">
        <f>データ!J684</f>
        <v>8000</v>
      </c>
      <c r="J687" s="39" t="str">
        <f>IF(OR($C687="総括",$C687="内訳書",$C687="内訳代価",$C687="明細書",$C687="明細代価",$C687="代価表",$C687="単価表"),データ!K684,"")</f>
        <v/>
      </c>
      <c r="K687" s="11" t="str">
        <f t="shared" si="60"/>
        <v/>
      </c>
      <c r="L687" s="46">
        <f t="shared" si="61"/>
        <v>1.1518580910831785E-4</v>
      </c>
      <c r="M687" s="40" t="str">
        <f>IF(データ!L684="","",データ!L684)</f>
        <v/>
      </c>
      <c r="N687" s="41" t="str">
        <f>IF(データ!M684="","",データ!M684)</f>
        <v/>
      </c>
      <c r="O687" s="42">
        <f>データ!N684</f>
        <v>0</v>
      </c>
      <c r="P687" s="48">
        <f>IF($C687="集計行","",データ!O684)</f>
        <v>0</v>
      </c>
      <c r="Q687" s="48">
        <f>データ!P684</f>
        <v>0</v>
      </c>
      <c r="R687" s="39" t="str">
        <f>IF(OR($C687="総括",$C687="内訳書",$C687="内訳代価",$C687="明細書",$C687="明細代価",$C687="代価表",$C687="単価表"),データ!Q684,"")</f>
        <v/>
      </c>
      <c r="S687" s="11" t="str">
        <f t="shared" si="62"/>
        <v/>
      </c>
      <c r="T687" s="46" t="e">
        <f t="shared" si="63"/>
        <v>#DIV/0!</v>
      </c>
      <c r="U687" s="40" t="str">
        <f>IF(データ!R684="","",データ!R684)</f>
        <v/>
      </c>
      <c r="V687" s="41" t="str">
        <f>IF(データ!S684="","",データ!S684)</f>
        <v/>
      </c>
      <c r="W687" s="42">
        <f>データ!T684</f>
        <v>0</v>
      </c>
      <c r="X687" s="48">
        <f>IF($C687="集計行","",データ!U684)</f>
        <v>0</v>
      </c>
      <c r="Y687" s="48">
        <f>データ!V684</f>
        <v>0</v>
      </c>
      <c r="Z687" s="39" t="str">
        <f>IF(OR($C687="総括",$C687="内訳書",$C687="内訳代価",$C687="明細書",$C687="明細代価",$C687="代価表",$C687="単価表"),データ!W684,"")</f>
        <v/>
      </c>
      <c r="AA687" s="11" t="str">
        <f t="shared" si="64"/>
        <v/>
      </c>
      <c r="AB687" s="46" t="e">
        <f t="shared" si="65"/>
        <v>#DIV/0!</v>
      </c>
      <c r="AC687" s="40" t="str">
        <f>IF(データ!X684="","",データ!X684)</f>
        <v/>
      </c>
      <c r="AD687" s="41" t="str">
        <f>IF(データ!Y684="","",データ!Y684)</f>
        <v/>
      </c>
      <c r="AE687" s="47" t="str">
        <f>TRIM(データ!B684)</f>
        <v/>
      </c>
      <c r="AF687" s="43" t="str">
        <f>TRIM(データ!Z684)</f>
        <v/>
      </c>
    </row>
    <row r="688" spans="1:32" x14ac:dyDescent="0.15">
      <c r="A688" s="47">
        <f>データ!A685</f>
        <v>3</v>
      </c>
      <c r="B688" s="47" t="str">
        <f>TRIM(データ!C685)</f>
        <v/>
      </c>
      <c r="C688" s="47" t="str">
        <f>TRIM(データ!D685)</f>
        <v>運搬費</v>
      </c>
      <c r="D688" s="36" t="str">
        <f>REPT("｜",$A688)&amp;TRIM(データ!E685)</f>
        <v>｜｜｜4tダンプ</v>
      </c>
      <c r="E688" s="37" t="str">
        <f>TRIM(データ!F685)</f>
        <v/>
      </c>
      <c r="F688" s="38" t="str">
        <f>TRIM(データ!G685)</f>
        <v>台</v>
      </c>
      <c r="G688" s="50">
        <f>データ!H685</f>
        <v>1</v>
      </c>
      <c r="H688" s="48">
        <f>データ!I685</f>
        <v>10000</v>
      </c>
      <c r="I688" s="48">
        <f>データ!J685</f>
        <v>10000</v>
      </c>
      <c r="J688" s="39" t="str">
        <f>IF(OR($C688="総括",$C688="内訳書",$C688="内訳代価",$C688="明細書",$C688="明細代価",$C688="代価表",$C688="単価表"),データ!K685,"")</f>
        <v/>
      </c>
      <c r="K688" s="11" t="str">
        <f t="shared" si="60"/>
        <v/>
      </c>
      <c r="L688" s="46">
        <f t="shared" si="61"/>
        <v>1.4398226138539731E-4</v>
      </c>
      <c r="M688" s="40" t="str">
        <f>IF(データ!L685="","",データ!L685)</f>
        <v/>
      </c>
      <c r="N688" s="41" t="str">
        <f>IF(データ!M685="","",データ!M685)</f>
        <v/>
      </c>
      <c r="O688" s="42">
        <f>データ!N685</f>
        <v>0</v>
      </c>
      <c r="P688" s="48">
        <f>IF($C688="集計行","",データ!O685)</f>
        <v>0</v>
      </c>
      <c r="Q688" s="48">
        <f>データ!P685</f>
        <v>0</v>
      </c>
      <c r="R688" s="39" t="str">
        <f>IF(OR($C688="総括",$C688="内訳書",$C688="内訳代価",$C688="明細書",$C688="明細代価",$C688="代価表",$C688="単価表"),データ!Q685,"")</f>
        <v/>
      </c>
      <c r="S688" s="11" t="str">
        <f t="shared" si="62"/>
        <v/>
      </c>
      <c r="T688" s="46" t="e">
        <f t="shared" si="63"/>
        <v>#DIV/0!</v>
      </c>
      <c r="U688" s="40" t="str">
        <f>IF(データ!R685="","",データ!R685)</f>
        <v/>
      </c>
      <c r="V688" s="41" t="str">
        <f>IF(データ!S685="","",データ!S685)</f>
        <v/>
      </c>
      <c r="W688" s="42">
        <f>データ!T685</f>
        <v>0</v>
      </c>
      <c r="X688" s="48">
        <f>IF($C688="集計行","",データ!U685)</f>
        <v>0</v>
      </c>
      <c r="Y688" s="48">
        <f>データ!V685</f>
        <v>0</v>
      </c>
      <c r="Z688" s="39" t="str">
        <f>IF(OR($C688="総括",$C688="内訳書",$C688="内訳代価",$C688="明細書",$C688="明細代価",$C688="代価表",$C688="単価表"),データ!W685,"")</f>
        <v/>
      </c>
      <c r="AA688" s="11" t="str">
        <f t="shared" si="64"/>
        <v/>
      </c>
      <c r="AB688" s="46" t="e">
        <f t="shared" si="65"/>
        <v>#DIV/0!</v>
      </c>
      <c r="AC688" s="40" t="str">
        <f>IF(データ!X685="","",データ!X685)</f>
        <v/>
      </c>
      <c r="AD688" s="41" t="str">
        <f>IF(データ!Y685="","",データ!Y685)</f>
        <v/>
      </c>
      <c r="AE688" s="47" t="str">
        <f>TRIM(データ!B685)</f>
        <v/>
      </c>
      <c r="AF688" s="43" t="str">
        <f>TRIM(データ!Z685)</f>
        <v/>
      </c>
    </row>
    <row r="689" spans="1:32" x14ac:dyDescent="0.15">
      <c r="A689" s="47">
        <f>データ!A686</f>
        <v>3</v>
      </c>
      <c r="B689" s="47" t="str">
        <f>TRIM(データ!C686)</f>
        <v/>
      </c>
      <c r="C689" s="47" t="str">
        <f>TRIM(データ!D686)</f>
        <v>運搬費</v>
      </c>
      <c r="D689" s="36" t="str">
        <f>REPT("｜",$A689)&amp;TRIM(データ!E686)</f>
        <v>｜｜｜2tダンプ</v>
      </c>
      <c r="E689" s="37" t="str">
        <f>TRIM(データ!F686)</f>
        <v/>
      </c>
      <c r="F689" s="38" t="str">
        <f>TRIM(データ!G686)</f>
        <v>台</v>
      </c>
      <c r="G689" s="50">
        <f>データ!H686</f>
        <v>1</v>
      </c>
      <c r="H689" s="48">
        <f>データ!I686</f>
        <v>7000</v>
      </c>
      <c r="I689" s="48">
        <f>データ!J686</f>
        <v>7000</v>
      </c>
      <c r="J689" s="39" t="str">
        <f>IF(OR($C689="総括",$C689="内訳書",$C689="内訳代価",$C689="明細書",$C689="明細代価",$C689="代価表",$C689="単価表"),データ!K686,"")</f>
        <v/>
      </c>
      <c r="K689" s="11" t="str">
        <f t="shared" si="60"/>
        <v/>
      </c>
      <c r="L689" s="46">
        <f t="shared" si="61"/>
        <v>1.0078758296977812E-4</v>
      </c>
      <c r="M689" s="40" t="str">
        <f>IF(データ!L686="","",データ!L686)</f>
        <v/>
      </c>
      <c r="N689" s="41" t="str">
        <f>IF(データ!M686="","",データ!M686)</f>
        <v/>
      </c>
      <c r="O689" s="42">
        <f>データ!N686</f>
        <v>0</v>
      </c>
      <c r="P689" s="48">
        <f>IF($C689="集計行","",データ!O686)</f>
        <v>0</v>
      </c>
      <c r="Q689" s="48">
        <f>データ!P686</f>
        <v>0</v>
      </c>
      <c r="R689" s="39" t="str">
        <f>IF(OR($C689="総括",$C689="内訳書",$C689="内訳代価",$C689="明細書",$C689="明細代価",$C689="代価表",$C689="単価表"),データ!Q686,"")</f>
        <v/>
      </c>
      <c r="S689" s="11" t="str">
        <f t="shared" si="62"/>
        <v/>
      </c>
      <c r="T689" s="46" t="e">
        <f t="shared" si="63"/>
        <v>#DIV/0!</v>
      </c>
      <c r="U689" s="40" t="str">
        <f>IF(データ!R686="","",データ!R686)</f>
        <v/>
      </c>
      <c r="V689" s="41" t="str">
        <f>IF(データ!S686="","",データ!S686)</f>
        <v/>
      </c>
      <c r="W689" s="42">
        <f>データ!T686</f>
        <v>0</v>
      </c>
      <c r="X689" s="48">
        <f>IF($C689="集計行","",データ!U686)</f>
        <v>0</v>
      </c>
      <c r="Y689" s="48">
        <f>データ!V686</f>
        <v>0</v>
      </c>
      <c r="Z689" s="39" t="str">
        <f>IF(OR($C689="総括",$C689="内訳書",$C689="内訳代価",$C689="明細書",$C689="明細代価",$C689="代価表",$C689="単価表"),データ!W686,"")</f>
        <v/>
      </c>
      <c r="AA689" s="11" t="str">
        <f t="shared" si="64"/>
        <v/>
      </c>
      <c r="AB689" s="46" t="e">
        <f t="shared" si="65"/>
        <v>#DIV/0!</v>
      </c>
      <c r="AC689" s="40" t="str">
        <f>IF(データ!X686="","",データ!X686)</f>
        <v/>
      </c>
      <c r="AD689" s="41" t="str">
        <f>IF(データ!Y686="","",データ!Y686)</f>
        <v/>
      </c>
      <c r="AE689" s="47" t="str">
        <f>TRIM(データ!B686)</f>
        <v/>
      </c>
      <c r="AF689" s="43" t="str">
        <f>TRIM(データ!Z686)</f>
        <v/>
      </c>
    </row>
    <row r="690" spans="1:32" x14ac:dyDescent="0.15">
      <c r="A690" s="47">
        <f>データ!A687</f>
        <v>3</v>
      </c>
      <c r="B690" s="47" t="str">
        <f>TRIM(データ!C687)</f>
        <v/>
      </c>
      <c r="C690" s="47" t="str">
        <f>TRIM(データ!D687)</f>
        <v>材料費</v>
      </c>
      <c r="D690" s="36" t="str">
        <f>REPT("｜",$A690)&amp;TRIM(データ!E687)</f>
        <v>｜｜｜軽油</v>
      </c>
      <c r="E690" s="37" t="str">
        <f>TRIM(データ!F687)</f>
        <v/>
      </c>
      <c r="F690" s="38" t="str">
        <f>TRIM(データ!G687)</f>
        <v>リットル</v>
      </c>
      <c r="G690" s="50">
        <f>データ!H687</f>
        <v>20</v>
      </c>
      <c r="H690" s="48">
        <f>データ!I687</f>
        <v>150</v>
      </c>
      <c r="I690" s="48">
        <f>データ!J687</f>
        <v>3000</v>
      </c>
      <c r="J690" s="39" t="str">
        <f>IF(OR($C690="総括",$C690="内訳書",$C690="内訳代価",$C690="明細書",$C690="明細代価",$C690="代価表",$C690="単価表"),データ!K687,"")</f>
        <v/>
      </c>
      <c r="K690" s="11" t="str">
        <f t="shared" si="60"/>
        <v/>
      </c>
      <c r="L690" s="46">
        <f t="shared" si="61"/>
        <v>4.3194678415619194E-5</v>
      </c>
      <c r="M690" s="40" t="str">
        <f>IF(データ!L687="","",データ!L687)</f>
        <v/>
      </c>
      <c r="N690" s="41" t="str">
        <f>IF(データ!M687="","",データ!M687)</f>
        <v/>
      </c>
      <c r="O690" s="42">
        <f>データ!N687</f>
        <v>0</v>
      </c>
      <c r="P690" s="48">
        <f>IF($C690="集計行","",データ!O687)</f>
        <v>0</v>
      </c>
      <c r="Q690" s="48">
        <f>データ!P687</f>
        <v>0</v>
      </c>
      <c r="R690" s="39" t="str">
        <f>IF(OR($C690="総括",$C690="内訳書",$C690="内訳代価",$C690="明細書",$C690="明細代価",$C690="代価表",$C690="単価表"),データ!Q687,"")</f>
        <v/>
      </c>
      <c r="S690" s="11" t="str">
        <f t="shared" si="62"/>
        <v/>
      </c>
      <c r="T690" s="46" t="e">
        <f t="shared" si="63"/>
        <v>#DIV/0!</v>
      </c>
      <c r="U690" s="40" t="str">
        <f>IF(データ!R687="","",データ!R687)</f>
        <v/>
      </c>
      <c r="V690" s="41" t="str">
        <f>IF(データ!S687="","",データ!S687)</f>
        <v/>
      </c>
      <c r="W690" s="42">
        <f>データ!T687</f>
        <v>0</v>
      </c>
      <c r="X690" s="48">
        <f>IF($C690="集計行","",データ!U687)</f>
        <v>0</v>
      </c>
      <c r="Y690" s="48">
        <f>データ!V687</f>
        <v>0</v>
      </c>
      <c r="Z690" s="39" t="str">
        <f>IF(OR($C690="総括",$C690="内訳書",$C690="内訳代価",$C690="明細書",$C690="明細代価",$C690="代価表",$C690="単価表"),データ!W687,"")</f>
        <v/>
      </c>
      <c r="AA690" s="11" t="str">
        <f t="shared" si="64"/>
        <v/>
      </c>
      <c r="AB690" s="46" t="e">
        <f t="shared" si="65"/>
        <v>#DIV/0!</v>
      </c>
      <c r="AC690" s="40" t="str">
        <f>IF(データ!X687="","",データ!X687)</f>
        <v/>
      </c>
      <c r="AD690" s="41" t="str">
        <f>IF(データ!Y687="","",データ!Y687)</f>
        <v/>
      </c>
      <c r="AE690" s="47" t="str">
        <f>TRIM(データ!B687)</f>
        <v/>
      </c>
      <c r="AF690" s="43" t="str">
        <f>TRIM(データ!Z687)</f>
        <v/>
      </c>
    </row>
    <row r="691" spans="1:32" x14ac:dyDescent="0.15">
      <c r="A691" s="47">
        <f>データ!A688</f>
        <v>3</v>
      </c>
      <c r="B691" s="47" t="str">
        <f>TRIM(データ!C688)</f>
        <v/>
      </c>
      <c r="C691" s="47" t="str">
        <f>TRIM(データ!D688)</f>
        <v>材料費</v>
      </c>
      <c r="D691" s="36" t="str">
        <f>REPT("｜",$A691)&amp;TRIM(データ!E688)</f>
        <v>｜｜｜ガソリン</v>
      </c>
      <c r="E691" s="37" t="str">
        <f>TRIM(データ!F688)</f>
        <v/>
      </c>
      <c r="F691" s="38" t="str">
        <f>TRIM(データ!G688)</f>
        <v>リットル</v>
      </c>
      <c r="G691" s="50">
        <f>データ!H688</f>
        <v>40</v>
      </c>
      <c r="H691" s="48">
        <f>データ!I688</f>
        <v>200</v>
      </c>
      <c r="I691" s="48">
        <f>データ!J688</f>
        <v>8000</v>
      </c>
      <c r="J691" s="39" t="str">
        <f>IF(OR($C691="総括",$C691="内訳書",$C691="内訳代価",$C691="明細書",$C691="明細代価",$C691="代価表",$C691="単価表"),データ!K688,"")</f>
        <v/>
      </c>
      <c r="K691" s="11" t="str">
        <f t="shared" si="60"/>
        <v/>
      </c>
      <c r="L691" s="46">
        <f t="shared" si="61"/>
        <v>1.1518580910831785E-4</v>
      </c>
      <c r="M691" s="40" t="str">
        <f>IF(データ!L688="","",データ!L688)</f>
        <v/>
      </c>
      <c r="N691" s="41" t="str">
        <f>IF(データ!M688="","",データ!M688)</f>
        <v/>
      </c>
      <c r="O691" s="42">
        <f>データ!N688</f>
        <v>0</v>
      </c>
      <c r="P691" s="48">
        <f>IF($C691="集計行","",データ!O688)</f>
        <v>0</v>
      </c>
      <c r="Q691" s="48">
        <f>データ!P688</f>
        <v>0</v>
      </c>
      <c r="R691" s="39" t="str">
        <f>IF(OR($C691="総括",$C691="内訳書",$C691="内訳代価",$C691="明細書",$C691="明細代価",$C691="代価表",$C691="単価表"),データ!Q688,"")</f>
        <v/>
      </c>
      <c r="S691" s="11" t="str">
        <f t="shared" si="62"/>
        <v/>
      </c>
      <c r="T691" s="46" t="e">
        <f t="shared" si="63"/>
        <v>#DIV/0!</v>
      </c>
      <c r="U691" s="40" t="str">
        <f>IF(データ!R688="","",データ!R688)</f>
        <v/>
      </c>
      <c r="V691" s="41" t="str">
        <f>IF(データ!S688="","",データ!S688)</f>
        <v/>
      </c>
      <c r="W691" s="42">
        <f>データ!T688</f>
        <v>0</v>
      </c>
      <c r="X691" s="48">
        <f>IF($C691="集計行","",データ!U688)</f>
        <v>0</v>
      </c>
      <c r="Y691" s="48">
        <f>データ!V688</f>
        <v>0</v>
      </c>
      <c r="Z691" s="39" t="str">
        <f>IF(OR($C691="総括",$C691="内訳書",$C691="内訳代価",$C691="明細書",$C691="明細代価",$C691="代価表",$C691="単価表"),データ!W688,"")</f>
        <v/>
      </c>
      <c r="AA691" s="11" t="str">
        <f t="shared" si="64"/>
        <v/>
      </c>
      <c r="AB691" s="46" t="e">
        <f t="shared" si="65"/>
        <v>#DIV/0!</v>
      </c>
      <c r="AC691" s="40" t="str">
        <f>IF(データ!X688="","",データ!X688)</f>
        <v/>
      </c>
      <c r="AD691" s="41" t="str">
        <f>IF(データ!Y688="","",データ!Y688)</f>
        <v/>
      </c>
      <c r="AE691" s="47" t="str">
        <f>TRIM(データ!B688)</f>
        <v/>
      </c>
      <c r="AF691" s="43" t="str">
        <f>TRIM(データ!Z688)</f>
        <v/>
      </c>
    </row>
    <row r="692" spans="1:32" x14ac:dyDescent="0.15">
      <c r="A692" s="47">
        <f>データ!A689</f>
        <v>3</v>
      </c>
      <c r="B692" s="47" t="str">
        <f>TRIM(データ!C689)</f>
        <v/>
      </c>
      <c r="C692" s="47" t="str">
        <f>TRIM(データ!D689)</f>
        <v>外注費</v>
      </c>
      <c r="D692" s="36" t="str">
        <f>REPT("｜",$A692)&amp;TRIM(データ!E689)</f>
        <v>｜｜｜外注経費</v>
      </c>
      <c r="E692" s="37" t="str">
        <f>TRIM(データ!F689)</f>
        <v/>
      </c>
      <c r="F692" s="38" t="str">
        <f>TRIM(データ!G689)</f>
        <v>式</v>
      </c>
      <c r="G692" s="50">
        <f>データ!H689</f>
        <v>1</v>
      </c>
      <c r="H692" s="48">
        <f>データ!I689</f>
        <v>15820</v>
      </c>
      <c r="I692" s="48">
        <f>データ!J689</f>
        <v>15820</v>
      </c>
      <c r="J692" s="39" t="str">
        <f>IF(OR($C692="総括",$C692="内訳書",$C692="内訳代価",$C692="明細書",$C692="明細代価",$C692="代価表",$C692="単価表"),データ!K689,"")</f>
        <v/>
      </c>
      <c r="K692" s="11" t="str">
        <f t="shared" si="60"/>
        <v/>
      </c>
      <c r="L692" s="46">
        <f t="shared" si="61"/>
        <v>2.2777993751169857E-4</v>
      </c>
      <c r="M692" s="40" t="str">
        <f>IF(データ!L689="","",データ!L689)</f>
        <v/>
      </c>
      <c r="N692" s="41" t="str">
        <f>IF(データ!M689="","",データ!M689)</f>
        <v/>
      </c>
      <c r="O692" s="42">
        <f>データ!N689</f>
        <v>0</v>
      </c>
      <c r="P692" s="48">
        <f>IF($C692="集計行","",データ!O689)</f>
        <v>0</v>
      </c>
      <c r="Q692" s="48">
        <f>データ!P689</f>
        <v>0</v>
      </c>
      <c r="R692" s="39" t="str">
        <f>IF(OR($C692="総括",$C692="内訳書",$C692="内訳代価",$C692="明細書",$C692="明細代価",$C692="代価表",$C692="単価表"),データ!Q689,"")</f>
        <v/>
      </c>
      <c r="S692" s="11" t="str">
        <f t="shared" si="62"/>
        <v/>
      </c>
      <c r="T692" s="46" t="e">
        <f t="shared" si="63"/>
        <v>#DIV/0!</v>
      </c>
      <c r="U692" s="40" t="str">
        <f>IF(データ!R689="","",データ!R689)</f>
        <v/>
      </c>
      <c r="V692" s="41" t="str">
        <f>IF(データ!S689="","",データ!S689)</f>
        <v/>
      </c>
      <c r="W692" s="42">
        <f>データ!T689</f>
        <v>0</v>
      </c>
      <c r="X692" s="48">
        <f>IF($C692="集計行","",データ!U689)</f>
        <v>0</v>
      </c>
      <c r="Y692" s="48">
        <f>データ!V689</f>
        <v>0</v>
      </c>
      <c r="Z692" s="39" t="str">
        <f>IF(OR($C692="総括",$C692="内訳書",$C692="内訳代価",$C692="明細書",$C692="明細代価",$C692="代価表",$C692="単価表"),データ!W689,"")</f>
        <v/>
      </c>
      <c r="AA692" s="11" t="str">
        <f t="shared" si="64"/>
        <v/>
      </c>
      <c r="AB692" s="46" t="e">
        <f t="shared" si="65"/>
        <v>#DIV/0!</v>
      </c>
      <c r="AC692" s="40" t="str">
        <f>IF(データ!X689="","",データ!X689)</f>
        <v/>
      </c>
      <c r="AD692" s="41" t="str">
        <f>IF(データ!Y689="","",データ!Y689)</f>
        <v/>
      </c>
      <c r="AE692" s="47" t="str">
        <f>TRIM(データ!B689)</f>
        <v/>
      </c>
      <c r="AF692" s="43" t="str">
        <f>TRIM(データ!Z689)</f>
        <v/>
      </c>
    </row>
    <row r="693" spans="1:32" x14ac:dyDescent="0.15">
      <c r="A693" s="47">
        <f>データ!A690</f>
        <v>3</v>
      </c>
      <c r="B693" s="47" t="str">
        <f>TRIM(データ!C690)</f>
        <v/>
      </c>
      <c r="C693" s="47" t="str">
        <f>TRIM(データ!D690)</f>
        <v>材料費</v>
      </c>
      <c r="D693" s="36" t="str">
        <f>REPT("｜",$A693)&amp;TRIM(データ!E690)</f>
        <v>｜｜｜雑材</v>
      </c>
      <c r="E693" s="37" t="str">
        <f>TRIM(データ!F690)</f>
        <v/>
      </c>
      <c r="F693" s="38" t="str">
        <f>TRIM(データ!G690)</f>
        <v>式</v>
      </c>
      <c r="G693" s="50">
        <f>データ!H690</f>
        <v>1</v>
      </c>
      <c r="H693" s="48">
        <f>データ!I690</f>
        <v>9780</v>
      </c>
      <c r="I693" s="48">
        <f>データ!J690</f>
        <v>9780</v>
      </c>
      <c r="J693" s="39" t="str">
        <f>IF(OR($C693="総括",$C693="内訳書",$C693="内訳代価",$C693="明細書",$C693="明細代価",$C693="代価表",$C693="単価表"),データ!K690,"")</f>
        <v/>
      </c>
      <c r="K693" s="11" t="str">
        <f t="shared" si="60"/>
        <v/>
      </c>
      <c r="L693" s="46">
        <f t="shared" si="61"/>
        <v>1.4081465163491859E-4</v>
      </c>
      <c r="M693" s="40" t="str">
        <f>IF(データ!L690="","",データ!L690)</f>
        <v/>
      </c>
      <c r="N693" s="41" t="str">
        <f>IF(データ!M690="","",データ!M690)</f>
        <v/>
      </c>
      <c r="O693" s="42">
        <f>データ!N690</f>
        <v>0</v>
      </c>
      <c r="P693" s="48">
        <f>IF($C693="集計行","",データ!O690)</f>
        <v>0</v>
      </c>
      <c r="Q693" s="48">
        <f>データ!P690</f>
        <v>0</v>
      </c>
      <c r="R693" s="39" t="str">
        <f>IF(OR($C693="総括",$C693="内訳書",$C693="内訳代価",$C693="明細書",$C693="明細代価",$C693="代価表",$C693="単価表"),データ!Q690,"")</f>
        <v/>
      </c>
      <c r="S693" s="11" t="str">
        <f t="shared" si="62"/>
        <v/>
      </c>
      <c r="T693" s="46" t="e">
        <f t="shared" si="63"/>
        <v>#DIV/0!</v>
      </c>
      <c r="U693" s="40" t="str">
        <f>IF(データ!R690="","",データ!R690)</f>
        <v/>
      </c>
      <c r="V693" s="41" t="str">
        <f>IF(データ!S690="","",データ!S690)</f>
        <v/>
      </c>
      <c r="W693" s="42">
        <f>データ!T690</f>
        <v>0</v>
      </c>
      <c r="X693" s="48">
        <f>IF($C693="集計行","",データ!U690)</f>
        <v>0</v>
      </c>
      <c r="Y693" s="48">
        <f>データ!V690</f>
        <v>0</v>
      </c>
      <c r="Z693" s="39" t="str">
        <f>IF(OR($C693="総括",$C693="内訳書",$C693="内訳代価",$C693="明細書",$C693="明細代価",$C693="代価表",$C693="単価表"),データ!W690,"")</f>
        <v/>
      </c>
      <c r="AA693" s="11" t="str">
        <f t="shared" si="64"/>
        <v/>
      </c>
      <c r="AB693" s="46" t="e">
        <f t="shared" si="65"/>
        <v>#DIV/0!</v>
      </c>
      <c r="AC693" s="40" t="str">
        <f>IF(データ!X690="","",データ!X690)</f>
        <v/>
      </c>
      <c r="AD693" s="41" t="str">
        <f>IF(データ!Y690="","",データ!Y690)</f>
        <v/>
      </c>
      <c r="AE693" s="47" t="str">
        <f>TRIM(データ!B690)</f>
        <v/>
      </c>
      <c r="AF693" s="43" t="str">
        <f>TRIM(データ!Z690)</f>
        <v/>
      </c>
    </row>
    <row r="694" spans="1:32" x14ac:dyDescent="0.15">
      <c r="A694" s="47">
        <f>データ!A691</f>
        <v>2</v>
      </c>
      <c r="B694" s="47" t="str">
        <f>TRIM(データ!C691)</f>
        <v/>
      </c>
      <c r="C694" s="47" t="str">
        <f>TRIM(データ!D691)</f>
        <v>内訳書</v>
      </c>
      <c r="D694" s="36" t="str">
        <f>REPT("｜",$A694)&amp;TRIM(データ!E691)</f>
        <v>｜｜縁石工</v>
      </c>
      <c r="E694" s="37" t="str">
        <f>TRIM(データ!F691)</f>
        <v>切り上げ部</v>
      </c>
      <c r="F694" s="38" t="str">
        <f>TRIM(データ!G691)</f>
        <v>ｍ</v>
      </c>
      <c r="G694" s="50">
        <f>データ!H691</f>
        <v>9.6</v>
      </c>
      <c r="H694" s="48">
        <f>データ!I691</f>
        <v>35300</v>
      </c>
      <c r="I694" s="48">
        <f>データ!J691</f>
        <v>338880</v>
      </c>
      <c r="J694" s="39">
        <f>IF(OR($C694="総括",$C694="内訳書",$C694="内訳代価",$C694="明細書",$C694="明細代価",$C694="代価表",$C694="単価表"),データ!K691,"")</f>
        <v>9.6</v>
      </c>
      <c r="K694" s="11" t="str">
        <f t="shared" si="60"/>
        <v/>
      </c>
      <c r="L694" s="46">
        <f t="shared" si="61"/>
        <v>4.8792708738283445E-3</v>
      </c>
      <c r="M694" s="40" t="str">
        <f>IF(データ!L691="","",データ!L691)</f>
        <v/>
      </c>
      <c r="N694" s="41" t="str">
        <f>IF(データ!M691="","",データ!M691)</f>
        <v>91号内訳書</v>
      </c>
      <c r="O694" s="42">
        <f>データ!N691</f>
        <v>0</v>
      </c>
      <c r="P694" s="48">
        <f>IF($C694="集計行","",データ!O691)</f>
        <v>0</v>
      </c>
      <c r="Q694" s="48">
        <f>データ!P691</f>
        <v>0</v>
      </c>
      <c r="R694" s="39">
        <f>IF(OR($C694="総括",$C694="内訳書",$C694="内訳代価",$C694="明細書",$C694="明細代価",$C694="代価表",$C694="単価表"),データ!Q691,"")</f>
        <v>0</v>
      </c>
      <c r="S694" s="11" t="str">
        <f t="shared" si="62"/>
        <v/>
      </c>
      <c r="T694" s="46" t="e">
        <f t="shared" si="63"/>
        <v>#DIV/0!</v>
      </c>
      <c r="U694" s="40" t="str">
        <f>IF(データ!R691="","",データ!R691)</f>
        <v/>
      </c>
      <c r="V694" s="41" t="str">
        <f>IF(データ!S691="","",データ!S691)</f>
        <v/>
      </c>
      <c r="W694" s="42">
        <f>データ!T691</f>
        <v>0</v>
      </c>
      <c r="X694" s="48">
        <f>IF($C694="集計行","",データ!U691)</f>
        <v>0</v>
      </c>
      <c r="Y694" s="48">
        <f>データ!V691</f>
        <v>0</v>
      </c>
      <c r="Z694" s="39">
        <f>IF(OR($C694="総括",$C694="内訳書",$C694="内訳代価",$C694="明細書",$C694="明細代価",$C694="代価表",$C694="単価表"),データ!W691,"")</f>
        <v>0</v>
      </c>
      <c r="AA694" s="11" t="str">
        <f t="shared" si="64"/>
        <v/>
      </c>
      <c r="AB694" s="46" t="e">
        <f t="shared" si="65"/>
        <v>#DIV/0!</v>
      </c>
      <c r="AC694" s="40" t="str">
        <f>IF(データ!X691="","",データ!X691)</f>
        <v/>
      </c>
      <c r="AD694" s="41" t="str">
        <f>IF(データ!Y691="","",データ!Y691)</f>
        <v/>
      </c>
      <c r="AE694" s="47" t="str">
        <f>TRIM(データ!B691)</f>
        <v/>
      </c>
      <c r="AF694" s="43" t="str">
        <f>TRIM(データ!Z691)</f>
        <v/>
      </c>
    </row>
    <row r="695" spans="1:32" x14ac:dyDescent="0.15">
      <c r="A695" s="47">
        <f>データ!A692</f>
        <v>3</v>
      </c>
      <c r="B695" s="47" t="str">
        <f>TRIM(データ!C692)</f>
        <v/>
      </c>
      <c r="C695" s="47" t="str">
        <f>TRIM(データ!D692)</f>
        <v>材料費</v>
      </c>
      <c r="D695" s="36" t="str">
        <f>REPT("｜",$A695)&amp;TRIM(データ!E692)</f>
        <v>｜｜｜L型ブロック</v>
      </c>
      <c r="E695" s="37" t="str">
        <f>TRIM(データ!F692)</f>
        <v>平</v>
      </c>
      <c r="F695" s="38" t="str">
        <f>TRIM(データ!G692)</f>
        <v>本</v>
      </c>
      <c r="G695" s="50">
        <f>データ!H692</f>
        <v>14</v>
      </c>
      <c r="H695" s="48">
        <f>データ!I692</f>
        <v>7110</v>
      </c>
      <c r="I695" s="48">
        <f>データ!J692</f>
        <v>99540</v>
      </c>
      <c r="J695" s="39" t="str">
        <f>IF(OR($C695="総括",$C695="内訳書",$C695="内訳代価",$C695="明細書",$C695="明細代価",$C695="代価表",$C695="単価表"),データ!K692,"")</f>
        <v/>
      </c>
      <c r="K695" s="11" t="str">
        <f t="shared" si="60"/>
        <v/>
      </c>
      <c r="L695" s="46">
        <f t="shared" si="61"/>
        <v>1.433199429830245E-3</v>
      </c>
      <c r="M695" s="40" t="str">
        <f>IF(データ!L692="","",データ!L692)</f>
        <v/>
      </c>
      <c r="N695" s="41" t="str">
        <f>IF(データ!M692="","",データ!M692)</f>
        <v/>
      </c>
      <c r="O695" s="42">
        <f>データ!N692</f>
        <v>0</v>
      </c>
      <c r="P695" s="48">
        <f>IF($C695="集計行","",データ!O692)</f>
        <v>0</v>
      </c>
      <c r="Q695" s="48">
        <f>データ!P692</f>
        <v>0</v>
      </c>
      <c r="R695" s="39" t="str">
        <f>IF(OR($C695="総括",$C695="内訳書",$C695="内訳代価",$C695="明細書",$C695="明細代価",$C695="代価表",$C695="単価表"),データ!Q692,"")</f>
        <v/>
      </c>
      <c r="S695" s="11" t="str">
        <f t="shared" si="62"/>
        <v/>
      </c>
      <c r="T695" s="46" t="e">
        <f t="shared" si="63"/>
        <v>#DIV/0!</v>
      </c>
      <c r="U695" s="40" t="str">
        <f>IF(データ!R692="","",データ!R692)</f>
        <v/>
      </c>
      <c r="V695" s="41" t="str">
        <f>IF(データ!S692="","",データ!S692)</f>
        <v/>
      </c>
      <c r="W695" s="42">
        <f>データ!T692</f>
        <v>0</v>
      </c>
      <c r="X695" s="48">
        <f>IF($C695="集計行","",データ!U692)</f>
        <v>0</v>
      </c>
      <c r="Y695" s="48">
        <f>データ!V692</f>
        <v>0</v>
      </c>
      <c r="Z695" s="39" t="str">
        <f>IF(OR($C695="総括",$C695="内訳書",$C695="内訳代価",$C695="明細書",$C695="明細代価",$C695="代価表",$C695="単価表"),データ!W692,"")</f>
        <v/>
      </c>
      <c r="AA695" s="11" t="str">
        <f t="shared" si="64"/>
        <v/>
      </c>
      <c r="AB695" s="46" t="e">
        <f t="shared" si="65"/>
        <v>#DIV/0!</v>
      </c>
      <c r="AC695" s="40" t="str">
        <f>IF(データ!X692="","",データ!X692)</f>
        <v/>
      </c>
      <c r="AD695" s="41" t="str">
        <f>IF(データ!Y692="","",データ!Y692)</f>
        <v/>
      </c>
      <c r="AE695" s="47" t="str">
        <f>TRIM(データ!B692)</f>
        <v/>
      </c>
      <c r="AF695" s="43" t="str">
        <f>TRIM(データ!Z692)</f>
        <v/>
      </c>
    </row>
    <row r="696" spans="1:32" x14ac:dyDescent="0.15">
      <c r="A696" s="47">
        <f>データ!A693</f>
        <v>3</v>
      </c>
      <c r="B696" s="47" t="str">
        <f>TRIM(データ!C693)</f>
        <v/>
      </c>
      <c r="C696" s="47" t="str">
        <f>TRIM(データ!D693)</f>
        <v>材料費</v>
      </c>
      <c r="D696" s="36" t="str">
        <f>REPT("｜",$A696)&amp;TRIM(データ!E693)</f>
        <v>｜｜｜L型ブロック</v>
      </c>
      <c r="E696" s="37" t="str">
        <f>TRIM(データ!F693)</f>
        <v>斜</v>
      </c>
      <c r="F696" s="38" t="str">
        <f>TRIM(データ!G693)</f>
        <v>本</v>
      </c>
      <c r="G696" s="50">
        <f>データ!H693</f>
        <v>2</v>
      </c>
      <c r="H696" s="48">
        <f>データ!I693</f>
        <v>8440</v>
      </c>
      <c r="I696" s="48">
        <f>データ!J693</f>
        <v>16880</v>
      </c>
      <c r="J696" s="39" t="str">
        <f>IF(OR($C696="総括",$C696="内訳書",$C696="内訳代価",$C696="明細書",$C696="明細代価",$C696="代価表",$C696="単価表"),データ!K693,"")</f>
        <v/>
      </c>
      <c r="K696" s="11" t="str">
        <f t="shared" si="60"/>
        <v/>
      </c>
      <c r="L696" s="46">
        <f t="shared" si="61"/>
        <v>2.4304205721855068E-4</v>
      </c>
      <c r="M696" s="40" t="str">
        <f>IF(データ!L693="","",データ!L693)</f>
        <v/>
      </c>
      <c r="N696" s="41" t="str">
        <f>IF(データ!M693="","",データ!M693)</f>
        <v/>
      </c>
      <c r="O696" s="42">
        <f>データ!N693</f>
        <v>0</v>
      </c>
      <c r="P696" s="48">
        <f>IF($C696="集計行","",データ!O693)</f>
        <v>0</v>
      </c>
      <c r="Q696" s="48">
        <f>データ!P693</f>
        <v>0</v>
      </c>
      <c r="R696" s="39" t="str">
        <f>IF(OR($C696="総括",$C696="内訳書",$C696="内訳代価",$C696="明細書",$C696="明細代価",$C696="代価表",$C696="単価表"),データ!Q693,"")</f>
        <v/>
      </c>
      <c r="S696" s="11" t="str">
        <f t="shared" si="62"/>
        <v/>
      </c>
      <c r="T696" s="46" t="e">
        <f t="shared" si="63"/>
        <v>#DIV/0!</v>
      </c>
      <c r="U696" s="40" t="str">
        <f>IF(データ!R693="","",データ!R693)</f>
        <v/>
      </c>
      <c r="V696" s="41" t="str">
        <f>IF(データ!S693="","",データ!S693)</f>
        <v/>
      </c>
      <c r="W696" s="42">
        <f>データ!T693</f>
        <v>0</v>
      </c>
      <c r="X696" s="48">
        <f>IF($C696="集計行","",データ!U693)</f>
        <v>0</v>
      </c>
      <c r="Y696" s="48">
        <f>データ!V693</f>
        <v>0</v>
      </c>
      <c r="Z696" s="39" t="str">
        <f>IF(OR($C696="総括",$C696="内訳書",$C696="内訳代価",$C696="明細書",$C696="明細代価",$C696="代価表",$C696="単価表"),データ!W693,"")</f>
        <v/>
      </c>
      <c r="AA696" s="11" t="str">
        <f t="shared" si="64"/>
        <v/>
      </c>
      <c r="AB696" s="46" t="e">
        <f t="shared" si="65"/>
        <v>#DIV/0!</v>
      </c>
      <c r="AC696" s="40" t="str">
        <f>IF(データ!X693="","",データ!X693)</f>
        <v/>
      </c>
      <c r="AD696" s="41" t="str">
        <f>IF(データ!Y693="","",データ!Y693)</f>
        <v/>
      </c>
      <c r="AE696" s="47" t="str">
        <f>TRIM(データ!B693)</f>
        <v/>
      </c>
      <c r="AF696" s="43" t="str">
        <f>TRIM(データ!Z693)</f>
        <v/>
      </c>
    </row>
    <row r="697" spans="1:32" x14ac:dyDescent="0.15">
      <c r="A697" s="47">
        <f>データ!A694</f>
        <v>3</v>
      </c>
      <c r="B697" s="47" t="str">
        <f>TRIM(データ!C694)</f>
        <v/>
      </c>
      <c r="C697" s="47" t="str">
        <f>TRIM(データ!D694)</f>
        <v>材料費</v>
      </c>
      <c r="D697" s="36" t="str">
        <f>REPT("｜",$A697)&amp;TRIM(データ!E694)</f>
        <v>｜｜｜RC-40</v>
      </c>
      <c r="E697" s="37" t="str">
        <f>TRIM(データ!F694)</f>
        <v/>
      </c>
      <c r="F697" s="38" t="str">
        <f>TRIM(データ!G694)</f>
        <v>m3</v>
      </c>
      <c r="G697" s="50">
        <f>データ!H694</f>
        <v>1</v>
      </c>
      <c r="H697" s="48">
        <f>データ!I694</f>
        <v>1800</v>
      </c>
      <c r="I697" s="48">
        <f>データ!J694</f>
        <v>1800</v>
      </c>
      <c r="J697" s="39" t="str">
        <f>IF(OR($C697="総括",$C697="内訳書",$C697="内訳代価",$C697="明細書",$C697="明細代価",$C697="代価表",$C697="単価表"),データ!K694,"")</f>
        <v/>
      </c>
      <c r="K697" s="11" t="str">
        <f t="shared" si="60"/>
        <v/>
      </c>
      <c r="L697" s="46">
        <f t="shared" si="61"/>
        <v>2.5916807049371519E-5</v>
      </c>
      <c r="M697" s="40" t="str">
        <f>IF(データ!L694="","",データ!L694)</f>
        <v/>
      </c>
      <c r="N697" s="41" t="str">
        <f>IF(データ!M694="","",データ!M694)</f>
        <v/>
      </c>
      <c r="O697" s="42">
        <f>データ!N694</f>
        <v>0</v>
      </c>
      <c r="P697" s="48">
        <f>IF($C697="集計行","",データ!O694)</f>
        <v>0</v>
      </c>
      <c r="Q697" s="48">
        <f>データ!P694</f>
        <v>0</v>
      </c>
      <c r="R697" s="39" t="str">
        <f>IF(OR($C697="総括",$C697="内訳書",$C697="内訳代価",$C697="明細書",$C697="明細代価",$C697="代価表",$C697="単価表"),データ!Q694,"")</f>
        <v/>
      </c>
      <c r="S697" s="11" t="str">
        <f t="shared" si="62"/>
        <v/>
      </c>
      <c r="T697" s="46" t="e">
        <f t="shared" si="63"/>
        <v>#DIV/0!</v>
      </c>
      <c r="U697" s="40" t="str">
        <f>IF(データ!R694="","",データ!R694)</f>
        <v/>
      </c>
      <c r="V697" s="41" t="str">
        <f>IF(データ!S694="","",データ!S694)</f>
        <v/>
      </c>
      <c r="W697" s="42">
        <f>データ!T694</f>
        <v>0</v>
      </c>
      <c r="X697" s="48">
        <f>IF($C697="集計行","",データ!U694)</f>
        <v>0</v>
      </c>
      <c r="Y697" s="48">
        <f>データ!V694</f>
        <v>0</v>
      </c>
      <c r="Z697" s="39" t="str">
        <f>IF(OR($C697="総括",$C697="内訳書",$C697="内訳代価",$C697="明細書",$C697="明細代価",$C697="代価表",$C697="単価表"),データ!W694,"")</f>
        <v/>
      </c>
      <c r="AA697" s="11" t="str">
        <f t="shared" si="64"/>
        <v/>
      </c>
      <c r="AB697" s="46" t="e">
        <f t="shared" si="65"/>
        <v>#DIV/0!</v>
      </c>
      <c r="AC697" s="40" t="str">
        <f>IF(データ!X694="","",データ!X694)</f>
        <v/>
      </c>
      <c r="AD697" s="41" t="str">
        <f>IF(データ!Y694="","",データ!Y694)</f>
        <v/>
      </c>
      <c r="AE697" s="47" t="str">
        <f>TRIM(データ!B694)</f>
        <v/>
      </c>
      <c r="AF697" s="43" t="str">
        <f>TRIM(データ!Z694)</f>
        <v/>
      </c>
    </row>
    <row r="698" spans="1:32" x14ac:dyDescent="0.15">
      <c r="A698" s="47">
        <f>データ!A695</f>
        <v>3</v>
      </c>
      <c r="B698" s="47" t="str">
        <f>TRIM(データ!C695)</f>
        <v/>
      </c>
      <c r="C698" s="47" t="str">
        <f>TRIM(データ!D695)</f>
        <v>材料費</v>
      </c>
      <c r="D698" s="36" t="str">
        <f>REPT("｜",$A698)&amp;TRIM(データ!E695)</f>
        <v>｜｜｜生コン</v>
      </c>
      <c r="E698" s="37" t="str">
        <f>TRIM(データ!F695)</f>
        <v/>
      </c>
      <c r="F698" s="38" t="str">
        <f>TRIM(データ!G695)</f>
        <v>m3</v>
      </c>
      <c r="G698" s="50">
        <f>データ!H695</f>
        <v>1</v>
      </c>
      <c r="H698" s="48">
        <f>データ!I695</f>
        <v>30000</v>
      </c>
      <c r="I698" s="48">
        <f>データ!J695</f>
        <v>30000</v>
      </c>
      <c r="J698" s="39" t="str">
        <f>IF(OR($C698="総括",$C698="内訳書",$C698="内訳代価",$C698="明細書",$C698="明細代価",$C698="代価表",$C698="単価表"),データ!K695,"")</f>
        <v/>
      </c>
      <c r="K698" s="11" t="str">
        <f t="shared" si="60"/>
        <v/>
      </c>
      <c r="L698" s="46">
        <f t="shared" si="61"/>
        <v>4.3194678415619197E-4</v>
      </c>
      <c r="M698" s="40" t="str">
        <f>IF(データ!L695="","",データ!L695)</f>
        <v/>
      </c>
      <c r="N698" s="41" t="str">
        <f>IF(データ!M695="","",データ!M695)</f>
        <v/>
      </c>
      <c r="O698" s="42">
        <f>データ!N695</f>
        <v>0</v>
      </c>
      <c r="P698" s="48">
        <f>IF($C698="集計行","",データ!O695)</f>
        <v>0</v>
      </c>
      <c r="Q698" s="48">
        <f>データ!P695</f>
        <v>0</v>
      </c>
      <c r="R698" s="39" t="str">
        <f>IF(OR($C698="総括",$C698="内訳書",$C698="内訳代価",$C698="明細書",$C698="明細代価",$C698="代価表",$C698="単価表"),データ!Q695,"")</f>
        <v/>
      </c>
      <c r="S698" s="11" t="str">
        <f t="shared" si="62"/>
        <v/>
      </c>
      <c r="T698" s="46" t="e">
        <f t="shared" si="63"/>
        <v>#DIV/0!</v>
      </c>
      <c r="U698" s="40" t="str">
        <f>IF(データ!R695="","",データ!R695)</f>
        <v/>
      </c>
      <c r="V698" s="41" t="str">
        <f>IF(データ!S695="","",データ!S695)</f>
        <v/>
      </c>
      <c r="W698" s="42">
        <f>データ!T695</f>
        <v>0</v>
      </c>
      <c r="X698" s="48">
        <f>IF($C698="集計行","",データ!U695)</f>
        <v>0</v>
      </c>
      <c r="Y698" s="48">
        <f>データ!V695</f>
        <v>0</v>
      </c>
      <c r="Z698" s="39" t="str">
        <f>IF(OR($C698="総括",$C698="内訳書",$C698="内訳代価",$C698="明細書",$C698="明細代価",$C698="代価表",$C698="単価表"),データ!W695,"")</f>
        <v/>
      </c>
      <c r="AA698" s="11" t="str">
        <f t="shared" si="64"/>
        <v/>
      </c>
      <c r="AB698" s="46" t="e">
        <f t="shared" si="65"/>
        <v>#DIV/0!</v>
      </c>
      <c r="AC698" s="40" t="str">
        <f>IF(データ!X695="","",データ!X695)</f>
        <v/>
      </c>
      <c r="AD698" s="41" t="str">
        <f>IF(データ!Y695="","",データ!Y695)</f>
        <v/>
      </c>
      <c r="AE698" s="47" t="str">
        <f>TRIM(データ!B695)</f>
        <v/>
      </c>
      <c r="AF698" s="43" t="str">
        <f>TRIM(データ!Z695)</f>
        <v/>
      </c>
    </row>
    <row r="699" spans="1:32" x14ac:dyDescent="0.15">
      <c r="A699" s="47">
        <f>データ!A696</f>
        <v>3</v>
      </c>
      <c r="B699" s="47" t="str">
        <f>TRIM(データ!C696)</f>
        <v/>
      </c>
      <c r="C699" s="47" t="str">
        <f>TRIM(データ!D696)</f>
        <v>労務費</v>
      </c>
      <c r="D699" s="36" t="str">
        <f>REPT("｜",$A699)&amp;TRIM(データ!E696)</f>
        <v>｜｜｜技工</v>
      </c>
      <c r="E699" s="37" t="str">
        <f>TRIM(データ!F696)</f>
        <v/>
      </c>
      <c r="F699" s="38" t="str">
        <f>TRIM(データ!G696)</f>
        <v>人</v>
      </c>
      <c r="G699" s="50">
        <f>データ!H696</f>
        <v>4</v>
      </c>
      <c r="H699" s="48">
        <f>データ!I696</f>
        <v>32000</v>
      </c>
      <c r="I699" s="48">
        <f>データ!J696</f>
        <v>128000</v>
      </c>
      <c r="J699" s="39" t="str">
        <f>IF(OR($C699="総括",$C699="内訳書",$C699="内訳代価",$C699="明細書",$C699="明細代価",$C699="代価表",$C699="単価表"),データ!K696,"")</f>
        <v/>
      </c>
      <c r="K699" s="11" t="str">
        <f t="shared" si="60"/>
        <v/>
      </c>
      <c r="L699" s="46">
        <f t="shared" si="61"/>
        <v>1.8429729457330856E-3</v>
      </c>
      <c r="M699" s="40" t="str">
        <f>IF(データ!L696="","",データ!L696)</f>
        <v/>
      </c>
      <c r="N699" s="41" t="str">
        <f>IF(データ!M696="","",データ!M696)</f>
        <v/>
      </c>
      <c r="O699" s="42">
        <f>データ!N696</f>
        <v>0</v>
      </c>
      <c r="P699" s="48">
        <f>IF($C699="集計行","",データ!O696)</f>
        <v>0</v>
      </c>
      <c r="Q699" s="48">
        <f>データ!P696</f>
        <v>0</v>
      </c>
      <c r="R699" s="39" t="str">
        <f>IF(OR($C699="総括",$C699="内訳書",$C699="内訳代価",$C699="明細書",$C699="明細代価",$C699="代価表",$C699="単価表"),データ!Q696,"")</f>
        <v/>
      </c>
      <c r="S699" s="11" t="str">
        <f t="shared" si="62"/>
        <v/>
      </c>
      <c r="T699" s="46" t="e">
        <f t="shared" si="63"/>
        <v>#DIV/0!</v>
      </c>
      <c r="U699" s="40" t="str">
        <f>IF(データ!R696="","",データ!R696)</f>
        <v/>
      </c>
      <c r="V699" s="41" t="str">
        <f>IF(データ!S696="","",データ!S696)</f>
        <v/>
      </c>
      <c r="W699" s="42">
        <f>データ!T696</f>
        <v>0</v>
      </c>
      <c r="X699" s="48">
        <f>IF($C699="集計行","",データ!U696)</f>
        <v>0</v>
      </c>
      <c r="Y699" s="48">
        <f>データ!V696</f>
        <v>0</v>
      </c>
      <c r="Z699" s="39" t="str">
        <f>IF(OR($C699="総括",$C699="内訳書",$C699="内訳代価",$C699="明細書",$C699="明細代価",$C699="代価表",$C699="単価表"),データ!W696,"")</f>
        <v/>
      </c>
      <c r="AA699" s="11" t="str">
        <f t="shared" si="64"/>
        <v/>
      </c>
      <c r="AB699" s="46" t="e">
        <f t="shared" si="65"/>
        <v>#DIV/0!</v>
      </c>
      <c r="AC699" s="40" t="str">
        <f>IF(データ!X696="","",データ!X696)</f>
        <v/>
      </c>
      <c r="AD699" s="41" t="str">
        <f>IF(データ!Y696="","",データ!Y696)</f>
        <v/>
      </c>
      <c r="AE699" s="47" t="str">
        <f>TRIM(データ!B696)</f>
        <v/>
      </c>
      <c r="AF699" s="43" t="str">
        <f>TRIM(データ!Z696)</f>
        <v/>
      </c>
    </row>
    <row r="700" spans="1:32" x14ac:dyDescent="0.15">
      <c r="A700" s="47">
        <f>データ!A697</f>
        <v>3</v>
      </c>
      <c r="B700" s="47" t="str">
        <f>TRIM(データ!C697)</f>
        <v/>
      </c>
      <c r="C700" s="47" t="str">
        <f>TRIM(データ!D697)</f>
        <v>機械費</v>
      </c>
      <c r="D700" s="36" t="str">
        <f>REPT("｜",$A700)&amp;TRIM(データ!E697)</f>
        <v>｜｜｜タイヤショベル</v>
      </c>
      <c r="E700" s="37" t="str">
        <f>TRIM(データ!F697)</f>
        <v/>
      </c>
      <c r="F700" s="38" t="str">
        <f>TRIM(データ!G697)</f>
        <v>台</v>
      </c>
      <c r="G700" s="50">
        <f>データ!H697</f>
        <v>1</v>
      </c>
      <c r="H700" s="48">
        <f>データ!I697</f>
        <v>8000</v>
      </c>
      <c r="I700" s="48">
        <f>データ!J697</f>
        <v>8000</v>
      </c>
      <c r="J700" s="39" t="str">
        <f>IF(OR($C700="総括",$C700="内訳書",$C700="内訳代価",$C700="明細書",$C700="明細代価",$C700="代価表",$C700="単価表"),データ!K697,"")</f>
        <v/>
      </c>
      <c r="K700" s="11" t="str">
        <f t="shared" si="60"/>
        <v/>
      </c>
      <c r="L700" s="46">
        <f t="shared" si="61"/>
        <v>1.1518580910831785E-4</v>
      </c>
      <c r="M700" s="40" t="str">
        <f>IF(データ!L697="","",データ!L697)</f>
        <v/>
      </c>
      <c r="N700" s="41" t="str">
        <f>IF(データ!M697="","",データ!M697)</f>
        <v/>
      </c>
      <c r="O700" s="42">
        <f>データ!N697</f>
        <v>0</v>
      </c>
      <c r="P700" s="48">
        <f>IF($C700="集計行","",データ!O697)</f>
        <v>0</v>
      </c>
      <c r="Q700" s="48">
        <f>データ!P697</f>
        <v>0</v>
      </c>
      <c r="R700" s="39" t="str">
        <f>IF(OR($C700="総括",$C700="内訳書",$C700="内訳代価",$C700="明細書",$C700="明細代価",$C700="代価表",$C700="単価表"),データ!Q697,"")</f>
        <v/>
      </c>
      <c r="S700" s="11" t="str">
        <f t="shared" si="62"/>
        <v/>
      </c>
      <c r="T700" s="46" t="e">
        <f t="shared" si="63"/>
        <v>#DIV/0!</v>
      </c>
      <c r="U700" s="40" t="str">
        <f>IF(データ!R697="","",データ!R697)</f>
        <v/>
      </c>
      <c r="V700" s="41" t="str">
        <f>IF(データ!S697="","",データ!S697)</f>
        <v/>
      </c>
      <c r="W700" s="42">
        <f>データ!T697</f>
        <v>0</v>
      </c>
      <c r="X700" s="48">
        <f>IF($C700="集計行","",データ!U697)</f>
        <v>0</v>
      </c>
      <c r="Y700" s="48">
        <f>データ!V697</f>
        <v>0</v>
      </c>
      <c r="Z700" s="39" t="str">
        <f>IF(OR($C700="総括",$C700="内訳書",$C700="内訳代価",$C700="明細書",$C700="明細代価",$C700="代価表",$C700="単価表"),データ!W697,"")</f>
        <v/>
      </c>
      <c r="AA700" s="11" t="str">
        <f t="shared" si="64"/>
        <v/>
      </c>
      <c r="AB700" s="46" t="e">
        <f t="shared" si="65"/>
        <v>#DIV/0!</v>
      </c>
      <c r="AC700" s="40" t="str">
        <f>IF(データ!X697="","",データ!X697)</f>
        <v/>
      </c>
      <c r="AD700" s="41" t="str">
        <f>IF(データ!Y697="","",データ!Y697)</f>
        <v/>
      </c>
      <c r="AE700" s="47" t="str">
        <f>TRIM(データ!B697)</f>
        <v/>
      </c>
      <c r="AF700" s="43" t="str">
        <f>TRIM(データ!Z697)</f>
        <v/>
      </c>
    </row>
    <row r="701" spans="1:32" x14ac:dyDescent="0.15">
      <c r="A701" s="47">
        <f>データ!A698</f>
        <v>3</v>
      </c>
      <c r="B701" s="47" t="str">
        <f>TRIM(データ!C698)</f>
        <v/>
      </c>
      <c r="C701" s="47" t="str">
        <f>TRIM(データ!D698)</f>
        <v>運搬費</v>
      </c>
      <c r="D701" s="36" t="str">
        <f>REPT("｜",$A701)&amp;TRIM(データ!E698)</f>
        <v>｜｜｜4tダンプ</v>
      </c>
      <c r="E701" s="37" t="str">
        <f>TRIM(データ!F698)</f>
        <v/>
      </c>
      <c r="F701" s="38" t="str">
        <f>TRIM(データ!G698)</f>
        <v>台</v>
      </c>
      <c r="G701" s="50">
        <f>データ!H698</f>
        <v>1</v>
      </c>
      <c r="H701" s="48">
        <f>データ!I698</f>
        <v>10000</v>
      </c>
      <c r="I701" s="48">
        <f>データ!J698</f>
        <v>10000</v>
      </c>
      <c r="J701" s="39" t="str">
        <f>IF(OR($C701="総括",$C701="内訳書",$C701="内訳代価",$C701="明細書",$C701="明細代価",$C701="代価表",$C701="単価表"),データ!K698,"")</f>
        <v/>
      </c>
      <c r="K701" s="11" t="str">
        <f t="shared" si="60"/>
        <v/>
      </c>
      <c r="L701" s="46">
        <f t="shared" si="61"/>
        <v>1.4398226138539731E-4</v>
      </c>
      <c r="M701" s="40" t="str">
        <f>IF(データ!L698="","",データ!L698)</f>
        <v/>
      </c>
      <c r="N701" s="41" t="str">
        <f>IF(データ!M698="","",データ!M698)</f>
        <v/>
      </c>
      <c r="O701" s="42">
        <f>データ!N698</f>
        <v>0</v>
      </c>
      <c r="P701" s="48">
        <f>IF($C701="集計行","",データ!O698)</f>
        <v>0</v>
      </c>
      <c r="Q701" s="48">
        <f>データ!P698</f>
        <v>0</v>
      </c>
      <c r="R701" s="39" t="str">
        <f>IF(OR($C701="総括",$C701="内訳書",$C701="内訳代価",$C701="明細書",$C701="明細代価",$C701="代価表",$C701="単価表"),データ!Q698,"")</f>
        <v/>
      </c>
      <c r="S701" s="11" t="str">
        <f t="shared" si="62"/>
        <v/>
      </c>
      <c r="T701" s="46" t="e">
        <f t="shared" si="63"/>
        <v>#DIV/0!</v>
      </c>
      <c r="U701" s="40" t="str">
        <f>IF(データ!R698="","",データ!R698)</f>
        <v/>
      </c>
      <c r="V701" s="41" t="str">
        <f>IF(データ!S698="","",データ!S698)</f>
        <v/>
      </c>
      <c r="W701" s="42">
        <f>データ!T698</f>
        <v>0</v>
      </c>
      <c r="X701" s="48">
        <f>IF($C701="集計行","",データ!U698)</f>
        <v>0</v>
      </c>
      <c r="Y701" s="48">
        <f>データ!V698</f>
        <v>0</v>
      </c>
      <c r="Z701" s="39" t="str">
        <f>IF(OR($C701="総括",$C701="内訳書",$C701="内訳代価",$C701="明細書",$C701="明細代価",$C701="代価表",$C701="単価表"),データ!W698,"")</f>
        <v/>
      </c>
      <c r="AA701" s="11" t="str">
        <f t="shared" si="64"/>
        <v/>
      </c>
      <c r="AB701" s="46" t="e">
        <f t="shared" si="65"/>
        <v>#DIV/0!</v>
      </c>
      <c r="AC701" s="40" t="str">
        <f>IF(データ!X698="","",データ!X698)</f>
        <v/>
      </c>
      <c r="AD701" s="41" t="str">
        <f>IF(データ!Y698="","",データ!Y698)</f>
        <v/>
      </c>
      <c r="AE701" s="47" t="str">
        <f>TRIM(データ!B698)</f>
        <v/>
      </c>
      <c r="AF701" s="43" t="str">
        <f>TRIM(データ!Z698)</f>
        <v/>
      </c>
    </row>
    <row r="702" spans="1:32" x14ac:dyDescent="0.15">
      <c r="A702" s="47">
        <f>データ!A699</f>
        <v>3</v>
      </c>
      <c r="B702" s="47" t="str">
        <f>TRIM(データ!C699)</f>
        <v/>
      </c>
      <c r="C702" s="47" t="str">
        <f>TRIM(データ!D699)</f>
        <v>運搬費</v>
      </c>
      <c r="D702" s="36" t="str">
        <f>REPT("｜",$A702)&amp;TRIM(データ!E699)</f>
        <v>｜｜｜2tダンプ</v>
      </c>
      <c r="E702" s="37" t="str">
        <f>TRIM(データ!F699)</f>
        <v/>
      </c>
      <c r="F702" s="38" t="str">
        <f>TRIM(データ!G699)</f>
        <v>台</v>
      </c>
      <c r="G702" s="50">
        <f>データ!H699</f>
        <v>1</v>
      </c>
      <c r="H702" s="48">
        <f>データ!I699</f>
        <v>7000</v>
      </c>
      <c r="I702" s="48">
        <f>データ!J699</f>
        <v>7000</v>
      </c>
      <c r="J702" s="39" t="str">
        <f>IF(OR($C702="総括",$C702="内訳書",$C702="内訳代価",$C702="明細書",$C702="明細代価",$C702="代価表",$C702="単価表"),データ!K699,"")</f>
        <v/>
      </c>
      <c r="K702" s="11" t="str">
        <f t="shared" si="60"/>
        <v/>
      </c>
      <c r="L702" s="46">
        <f t="shared" si="61"/>
        <v>1.0078758296977812E-4</v>
      </c>
      <c r="M702" s="40" t="str">
        <f>IF(データ!L699="","",データ!L699)</f>
        <v/>
      </c>
      <c r="N702" s="41" t="str">
        <f>IF(データ!M699="","",データ!M699)</f>
        <v/>
      </c>
      <c r="O702" s="42">
        <f>データ!N699</f>
        <v>0</v>
      </c>
      <c r="P702" s="48">
        <f>IF($C702="集計行","",データ!O699)</f>
        <v>0</v>
      </c>
      <c r="Q702" s="48">
        <f>データ!P699</f>
        <v>0</v>
      </c>
      <c r="R702" s="39" t="str">
        <f>IF(OR($C702="総括",$C702="内訳書",$C702="内訳代価",$C702="明細書",$C702="明細代価",$C702="代価表",$C702="単価表"),データ!Q699,"")</f>
        <v/>
      </c>
      <c r="S702" s="11" t="str">
        <f t="shared" si="62"/>
        <v/>
      </c>
      <c r="T702" s="46" t="e">
        <f t="shared" si="63"/>
        <v>#DIV/0!</v>
      </c>
      <c r="U702" s="40" t="str">
        <f>IF(データ!R699="","",データ!R699)</f>
        <v/>
      </c>
      <c r="V702" s="41" t="str">
        <f>IF(データ!S699="","",データ!S699)</f>
        <v/>
      </c>
      <c r="W702" s="42">
        <f>データ!T699</f>
        <v>0</v>
      </c>
      <c r="X702" s="48">
        <f>IF($C702="集計行","",データ!U699)</f>
        <v>0</v>
      </c>
      <c r="Y702" s="48">
        <f>データ!V699</f>
        <v>0</v>
      </c>
      <c r="Z702" s="39" t="str">
        <f>IF(OR($C702="総括",$C702="内訳書",$C702="内訳代価",$C702="明細書",$C702="明細代価",$C702="代価表",$C702="単価表"),データ!W699,"")</f>
        <v/>
      </c>
      <c r="AA702" s="11" t="str">
        <f t="shared" si="64"/>
        <v/>
      </c>
      <c r="AB702" s="46" t="e">
        <f t="shared" si="65"/>
        <v>#DIV/0!</v>
      </c>
      <c r="AC702" s="40" t="str">
        <f>IF(データ!X699="","",データ!X699)</f>
        <v/>
      </c>
      <c r="AD702" s="41" t="str">
        <f>IF(データ!Y699="","",データ!Y699)</f>
        <v/>
      </c>
      <c r="AE702" s="47" t="str">
        <f>TRIM(データ!B699)</f>
        <v/>
      </c>
      <c r="AF702" s="43" t="str">
        <f>TRIM(データ!Z699)</f>
        <v/>
      </c>
    </row>
    <row r="703" spans="1:32" x14ac:dyDescent="0.15">
      <c r="A703" s="47">
        <f>データ!A700</f>
        <v>3</v>
      </c>
      <c r="B703" s="47" t="str">
        <f>TRIM(データ!C700)</f>
        <v/>
      </c>
      <c r="C703" s="47" t="str">
        <f>TRIM(データ!D700)</f>
        <v>材料費</v>
      </c>
      <c r="D703" s="36" t="str">
        <f>REPT("｜",$A703)&amp;TRIM(データ!E700)</f>
        <v>｜｜｜軽油</v>
      </c>
      <c r="E703" s="37" t="str">
        <f>TRIM(データ!F700)</f>
        <v/>
      </c>
      <c r="F703" s="38" t="str">
        <f>TRIM(データ!G700)</f>
        <v>リットル</v>
      </c>
      <c r="G703" s="50">
        <f>データ!H700</f>
        <v>20</v>
      </c>
      <c r="H703" s="48">
        <f>データ!I700</f>
        <v>150</v>
      </c>
      <c r="I703" s="48">
        <f>データ!J700</f>
        <v>3000</v>
      </c>
      <c r="J703" s="39" t="str">
        <f>IF(OR($C703="総括",$C703="内訳書",$C703="内訳代価",$C703="明細書",$C703="明細代価",$C703="代価表",$C703="単価表"),データ!K700,"")</f>
        <v/>
      </c>
      <c r="K703" s="11" t="str">
        <f t="shared" si="60"/>
        <v/>
      </c>
      <c r="L703" s="46">
        <f t="shared" si="61"/>
        <v>4.3194678415619194E-5</v>
      </c>
      <c r="M703" s="40" t="str">
        <f>IF(データ!L700="","",データ!L700)</f>
        <v/>
      </c>
      <c r="N703" s="41" t="str">
        <f>IF(データ!M700="","",データ!M700)</f>
        <v/>
      </c>
      <c r="O703" s="42">
        <f>データ!N700</f>
        <v>0</v>
      </c>
      <c r="P703" s="48">
        <f>IF($C703="集計行","",データ!O700)</f>
        <v>0</v>
      </c>
      <c r="Q703" s="48">
        <f>データ!P700</f>
        <v>0</v>
      </c>
      <c r="R703" s="39" t="str">
        <f>IF(OR($C703="総括",$C703="内訳書",$C703="内訳代価",$C703="明細書",$C703="明細代価",$C703="代価表",$C703="単価表"),データ!Q700,"")</f>
        <v/>
      </c>
      <c r="S703" s="11" t="str">
        <f t="shared" si="62"/>
        <v/>
      </c>
      <c r="T703" s="46" t="e">
        <f t="shared" si="63"/>
        <v>#DIV/0!</v>
      </c>
      <c r="U703" s="40" t="str">
        <f>IF(データ!R700="","",データ!R700)</f>
        <v/>
      </c>
      <c r="V703" s="41" t="str">
        <f>IF(データ!S700="","",データ!S700)</f>
        <v/>
      </c>
      <c r="W703" s="42">
        <f>データ!T700</f>
        <v>0</v>
      </c>
      <c r="X703" s="48">
        <f>IF($C703="集計行","",データ!U700)</f>
        <v>0</v>
      </c>
      <c r="Y703" s="48">
        <f>データ!V700</f>
        <v>0</v>
      </c>
      <c r="Z703" s="39" t="str">
        <f>IF(OR($C703="総括",$C703="内訳書",$C703="内訳代価",$C703="明細書",$C703="明細代価",$C703="代価表",$C703="単価表"),データ!W700,"")</f>
        <v/>
      </c>
      <c r="AA703" s="11" t="str">
        <f t="shared" si="64"/>
        <v/>
      </c>
      <c r="AB703" s="46" t="e">
        <f t="shared" si="65"/>
        <v>#DIV/0!</v>
      </c>
      <c r="AC703" s="40" t="str">
        <f>IF(データ!X700="","",データ!X700)</f>
        <v/>
      </c>
      <c r="AD703" s="41" t="str">
        <f>IF(データ!Y700="","",データ!Y700)</f>
        <v/>
      </c>
      <c r="AE703" s="47" t="str">
        <f>TRIM(データ!B700)</f>
        <v/>
      </c>
      <c r="AF703" s="43" t="str">
        <f>TRIM(データ!Z700)</f>
        <v/>
      </c>
    </row>
    <row r="704" spans="1:32" x14ac:dyDescent="0.15">
      <c r="A704" s="47">
        <f>データ!A701</f>
        <v>3</v>
      </c>
      <c r="B704" s="47" t="str">
        <f>TRIM(データ!C701)</f>
        <v/>
      </c>
      <c r="C704" s="47" t="str">
        <f>TRIM(データ!D701)</f>
        <v>材料費</v>
      </c>
      <c r="D704" s="36" t="str">
        <f>REPT("｜",$A704)&amp;TRIM(データ!E701)</f>
        <v>｜｜｜ガソリン</v>
      </c>
      <c r="E704" s="37" t="str">
        <f>TRIM(データ!F701)</f>
        <v/>
      </c>
      <c r="F704" s="38" t="str">
        <f>TRIM(データ!G701)</f>
        <v>リットル</v>
      </c>
      <c r="G704" s="50">
        <f>データ!H701</f>
        <v>40</v>
      </c>
      <c r="H704" s="48">
        <f>データ!I701</f>
        <v>200</v>
      </c>
      <c r="I704" s="48">
        <f>データ!J701</f>
        <v>8000</v>
      </c>
      <c r="J704" s="39" t="str">
        <f>IF(OR($C704="総括",$C704="内訳書",$C704="内訳代価",$C704="明細書",$C704="明細代価",$C704="代価表",$C704="単価表"),データ!K701,"")</f>
        <v/>
      </c>
      <c r="K704" s="11" t="str">
        <f t="shared" si="60"/>
        <v/>
      </c>
      <c r="L704" s="46">
        <f t="shared" si="61"/>
        <v>1.1518580910831785E-4</v>
      </c>
      <c r="M704" s="40" t="str">
        <f>IF(データ!L701="","",データ!L701)</f>
        <v/>
      </c>
      <c r="N704" s="41" t="str">
        <f>IF(データ!M701="","",データ!M701)</f>
        <v/>
      </c>
      <c r="O704" s="42">
        <f>データ!N701</f>
        <v>0</v>
      </c>
      <c r="P704" s="48">
        <f>IF($C704="集計行","",データ!O701)</f>
        <v>0</v>
      </c>
      <c r="Q704" s="48">
        <f>データ!P701</f>
        <v>0</v>
      </c>
      <c r="R704" s="39" t="str">
        <f>IF(OR($C704="総括",$C704="内訳書",$C704="内訳代価",$C704="明細書",$C704="明細代価",$C704="代価表",$C704="単価表"),データ!Q701,"")</f>
        <v/>
      </c>
      <c r="S704" s="11" t="str">
        <f t="shared" si="62"/>
        <v/>
      </c>
      <c r="T704" s="46" t="e">
        <f t="shared" si="63"/>
        <v>#DIV/0!</v>
      </c>
      <c r="U704" s="40" t="str">
        <f>IF(データ!R701="","",データ!R701)</f>
        <v/>
      </c>
      <c r="V704" s="41" t="str">
        <f>IF(データ!S701="","",データ!S701)</f>
        <v/>
      </c>
      <c r="W704" s="42">
        <f>データ!T701</f>
        <v>0</v>
      </c>
      <c r="X704" s="48">
        <f>IF($C704="集計行","",データ!U701)</f>
        <v>0</v>
      </c>
      <c r="Y704" s="48">
        <f>データ!V701</f>
        <v>0</v>
      </c>
      <c r="Z704" s="39" t="str">
        <f>IF(OR($C704="総括",$C704="内訳書",$C704="内訳代価",$C704="明細書",$C704="明細代価",$C704="代価表",$C704="単価表"),データ!W701,"")</f>
        <v/>
      </c>
      <c r="AA704" s="11" t="str">
        <f t="shared" si="64"/>
        <v/>
      </c>
      <c r="AB704" s="46" t="e">
        <f t="shared" si="65"/>
        <v>#DIV/0!</v>
      </c>
      <c r="AC704" s="40" t="str">
        <f>IF(データ!X701="","",データ!X701)</f>
        <v/>
      </c>
      <c r="AD704" s="41" t="str">
        <f>IF(データ!Y701="","",データ!Y701)</f>
        <v/>
      </c>
      <c r="AE704" s="47" t="str">
        <f>TRIM(データ!B701)</f>
        <v/>
      </c>
      <c r="AF704" s="43" t="str">
        <f>TRIM(データ!Z701)</f>
        <v/>
      </c>
    </row>
    <row r="705" spans="1:32" x14ac:dyDescent="0.15">
      <c r="A705" s="47">
        <f>データ!A702</f>
        <v>3</v>
      </c>
      <c r="B705" s="47" t="str">
        <f>TRIM(データ!C702)</f>
        <v/>
      </c>
      <c r="C705" s="47" t="str">
        <f>TRIM(データ!D702)</f>
        <v>外注費</v>
      </c>
      <c r="D705" s="36" t="str">
        <f>REPT("｜",$A705)&amp;TRIM(データ!E702)</f>
        <v>｜｜｜外注経費</v>
      </c>
      <c r="E705" s="37" t="str">
        <f>TRIM(データ!F702)</f>
        <v/>
      </c>
      <c r="F705" s="38" t="str">
        <f>TRIM(データ!G702)</f>
        <v>式</v>
      </c>
      <c r="G705" s="50">
        <f>データ!H702</f>
        <v>1</v>
      </c>
      <c r="H705" s="48">
        <f>データ!I702</f>
        <v>16100</v>
      </c>
      <c r="I705" s="48">
        <f>データ!J702</f>
        <v>16100</v>
      </c>
      <c r="J705" s="39" t="str">
        <f>IF(OR($C705="総括",$C705="内訳書",$C705="内訳代価",$C705="明細書",$C705="明細代価",$C705="代価表",$C705="単価表"),データ!K702,"")</f>
        <v/>
      </c>
      <c r="K705" s="11" t="str">
        <f t="shared" si="60"/>
        <v/>
      </c>
      <c r="L705" s="46">
        <f t="shared" si="61"/>
        <v>2.3181144083048969E-4</v>
      </c>
      <c r="M705" s="40" t="str">
        <f>IF(データ!L702="","",データ!L702)</f>
        <v/>
      </c>
      <c r="N705" s="41" t="str">
        <f>IF(データ!M702="","",データ!M702)</f>
        <v/>
      </c>
      <c r="O705" s="42">
        <f>データ!N702</f>
        <v>0</v>
      </c>
      <c r="P705" s="48">
        <f>IF($C705="集計行","",データ!O702)</f>
        <v>0</v>
      </c>
      <c r="Q705" s="48">
        <f>データ!P702</f>
        <v>0</v>
      </c>
      <c r="R705" s="39" t="str">
        <f>IF(OR($C705="総括",$C705="内訳書",$C705="内訳代価",$C705="明細書",$C705="明細代価",$C705="代価表",$C705="単価表"),データ!Q702,"")</f>
        <v/>
      </c>
      <c r="S705" s="11" t="str">
        <f t="shared" si="62"/>
        <v/>
      </c>
      <c r="T705" s="46" t="e">
        <f t="shared" si="63"/>
        <v>#DIV/0!</v>
      </c>
      <c r="U705" s="40" t="str">
        <f>IF(データ!R702="","",データ!R702)</f>
        <v/>
      </c>
      <c r="V705" s="41" t="str">
        <f>IF(データ!S702="","",データ!S702)</f>
        <v/>
      </c>
      <c r="W705" s="42">
        <f>データ!T702</f>
        <v>0</v>
      </c>
      <c r="X705" s="48">
        <f>IF($C705="集計行","",データ!U702)</f>
        <v>0</v>
      </c>
      <c r="Y705" s="48">
        <f>データ!V702</f>
        <v>0</v>
      </c>
      <c r="Z705" s="39" t="str">
        <f>IF(OR($C705="総括",$C705="内訳書",$C705="内訳代価",$C705="明細書",$C705="明細代価",$C705="代価表",$C705="単価表"),データ!W702,"")</f>
        <v/>
      </c>
      <c r="AA705" s="11" t="str">
        <f t="shared" si="64"/>
        <v/>
      </c>
      <c r="AB705" s="46" t="e">
        <f t="shared" si="65"/>
        <v>#DIV/0!</v>
      </c>
      <c r="AC705" s="40" t="str">
        <f>IF(データ!X702="","",データ!X702)</f>
        <v/>
      </c>
      <c r="AD705" s="41" t="str">
        <f>IF(データ!Y702="","",データ!Y702)</f>
        <v/>
      </c>
      <c r="AE705" s="47" t="str">
        <f>TRIM(データ!B702)</f>
        <v/>
      </c>
      <c r="AF705" s="43" t="str">
        <f>TRIM(データ!Z702)</f>
        <v/>
      </c>
    </row>
    <row r="706" spans="1:32" x14ac:dyDescent="0.15">
      <c r="A706" s="47">
        <f>データ!A703</f>
        <v>3</v>
      </c>
      <c r="B706" s="47" t="str">
        <f>TRIM(データ!C703)</f>
        <v/>
      </c>
      <c r="C706" s="47" t="str">
        <f>TRIM(データ!D703)</f>
        <v>材料費</v>
      </c>
      <c r="D706" s="36" t="str">
        <f>REPT("｜",$A706)&amp;TRIM(データ!E703)</f>
        <v>｜｜｜雑材</v>
      </c>
      <c r="E706" s="37" t="str">
        <f>TRIM(データ!F703)</f>
        <v/>
      </c>
      <c r="F706" s="38" t="str">
        <f>TRIM(データ!G703)</f>
        <v>式</v>
      </c>
      <c r="G706" s="50">
        <f>データ!H703</f>
        <v>1</v>
      </c>
      <c r="H706" s="48">
        <f>データ!I703</f>
        <v>10560</v>
      </c>
      <c r="I706" s="48">
        <f>データ!J703</f>
        <v>10560</v>
      </c>
      <c r="J706" s="39" t="str">
        <f>IF(OR($C706="総括",$C706="内訳書",$C706="内訳代価",$C706="明細書",$C706="明細代価",$C706="代価表",$C706="単価表"),データ!K703,"")</f>
        <v/>
      </c>
      <c r="K706" s="11" t="str">
        <f t="shared" si="60"/>
        <v/>
      </c>
      <c r="L706" s="46">
        <f t="shared" si="61"/>
        <v>1.5204526802297958E-4</v>
      </c>
      <c r="M706" s="40" t="str">
        <f>IF(データ!L703="","",データ!L703)</f>
        <v/>
      </c>
      <c r="N706" s="41" t="str">
        <f>IF(データ!M703="","",データ!M703)</f>
        <v/>
      </c>
      <c r="O706" s="42">
        <f>データ!N703</f>
        <v>0</v>
      </c>
      <c r="P706" s="48">
        <f>IF($C706="集計行","",データ!O703)</f>
        <v>0</v>
      </c>
      <c r="Q706" s="48">
        <f>データ!P703</f>
        <v>0</v>
      </c>
      <c r="R706" s="39" t="str">
        <f>IF(OR($C706="総括",$C706="内訳書",$C706="内訳代価",$C706="明細書",$C706="明細代価",$C706="代価表",$C706="単価表"),データ!Q703,"")</f>
        <v/>
      </c>
      <c r="S706" s="11" t="str">
        <f t="shared" si="62"/>
        <v/>
      </c>
      <c r="T706" s="46" t="e">
        <f t="shared" si="63"/>
        <v>#DIV/0!</v>
      </c>
      <c r="U706" s="40" t="str">
        <f>IF(データ!R703="","",データ!R703)</f>
        <v/>
      </c>
      <c r="V706" s="41" t="str">
        <f>IF(データ!S703="","",データ!S703)</f>
        <v/>
      </c>
      <c r="W706" s="42">
        <f>データ!T703</f>
        <v>0</v>
      </c>
      <c r="X706" s="48">
        <f>IF($C706="集計行","",データ!U703)</f>
        <v>0</v>
      </c>
      <c r="Y706" s="48">
        <f>データ!V703</f>
        <v>0</v>
      </c>
      <c r="Z706" s="39" t="str">
        <f>IF(OR($C706="総括",$C706="内訳書",$C706="内訳代価",$C706="明細書",$C706="明細代価",$C706="代価表",$C706="単価表"),データ!W703,"")</f>
        <v/>
      </c>
      <c r="AA706" s="11" t="str">
        <f t="shared" si="64"/>
        <v/>
      </c>
      <c r="AB706" s="46" t="e">
        <f t="shared" si="65"/>
        <v>#DIV/0!</v>
      </c>
      <c r="AC706" s="40" t="str">
        <f>IF(データ!X703="","",データ!X703)</f>
        <v/>
      </c>
      <c r="AD706" s="41" t="str">
        <f>IF(データ!Y703="","",データ!Y703)</f>
        <v/>
      </c>
      <c r="AE706" s="47" t="str">
        <f>TRIM(データ!B703)</f>
        <v/>
      </c>
      <c r="AF706" s="43" t="str">
        <f>TRIM(データ!Z703)</f>
        <v/>
      </c>
    </row>
    <row r="707" spans="1:32" x14ac:dyDescent="0.15">
      <c r="A707" s="47">
        <f>データ!A704</f>
        <v>2</v>
      </c>
      <c r="B707" s="47" t="str">
        <f>TRIM(データ!C704)</f>
        <v/>
      </c>
      <c r="C707" s="47" t="str">
        <f>TRIM(データ!D704)</f>
        <v>内訳書</v>
      </c>
      <c r="D707" s="36" t="str">
        <f>REPT("｜",$A707)&amp;TRIM(データ!E704)</f>
        <v>｜｜路盤工</v>
      </c>
      <c r="E707" s="37" t="str">
        <f>TRIM(データ!F704)</f>
        <v>切り下げ部</v>
      </c>
      <c r="F707" s="38" t="str">
        <f>TRIM(データ!G704)</f>
        <v>m2</v>
      </c>
      <c r="G707" s="50">
        <f>データ!H704</f>
        <v>45</v>
      </c>
      <c r="H707" s="48">
        <f>データ!I704</f>
        <v>6700</v>
      </c>
      <c r="I707" s="48">
        <f>データ!J704</f>
        <v>301500</v>
      </c>
      <c r="J707" s="39">
        <f>IF(OR($C707="総括",$C707="内訳書",$C707="内訳代価",$C707="明細書",$C707="明細代価",$C707="代価表",$C707="単価表"),データ!K704,"")</f>
        <v>45</v>
      </c>
      <c r="K707" s="11" t="str">
        <f t="shared" si="60"/>
        <v/>
      </c>
      <c r="L707" s="46">
        <f t="shared" si="61"/>
        <v>4.3410651807697289E-3</v>
      </c>
      <c r="M707" s="40" t="str">
        <f>IF(データ!L704="","",データ!L704)</f>
        <v/>
      </c>
      <c r="N707" s="41" t="str">
        <f>IF(データ!M704="","",データ!M704)</f>
        <v>92号内訳書</v>
      </c>
      <c r="O707" s="42">
        <f>データ!N704</f>
        <v>0</v>
      </c>
      <c r="P707" s="48">
        <f>IF($C707="集計行","",データ!O704)</f>
        <v>0</v>
      </c>
      <c r="Q707" s="48">
        <f>データ!P704</f>
        <v>0</v>
      </c>
      <c r="R707" s="39">
        <f>IF(OR($C707="総括",$C707="内訳書",$C707="内訳代価",$C707="明細書",$C707="明細代価",$C707="代価表",$C707="単価表"),データ!Q704,"")</f>
        <v>0</v>
      </c>
      <c r="S707" s="11" t="str">
        <f t="shared" si="62"/>
        <v/>
      </c>
      <c r="T707" s="46" t="e">
        <f t="shared" si="63"/>
        <v>#DIV/0!</v>
      </c>
      <c r="U707" s="40" t="str">
        <f>IF(データ!R704="","",データ!R704)</f>
        <v/>
      </c>
      <c r="V707" s="41" t="str">
        <f>IF(データ!S704="","",データ!S704)</f>
        <v/>
      </c>
      <c r="W707" s="42">
        <f>データ!T704</f>
        <v>0</v>
      </c>
      <c r="X707" s="48">
        <f>IF($C707="集計行","",データ!U704)</f>
        <v>0</v>
      </c>
      <c r="Y707" s="48">
        <f>データ!V704</f>
        <v>0</v>
      </c>
      <c r="Z707" s="39">
        <f>IF(OR($C707="総括",$C707="内訳書",$C707="内訳代価",$C707="明細書",$C707="明細代価",$C707="代価表",$C707="単価表"),データ!W704,"")</f>
        <v>0</v>
      </c>
      <c r="AA707" s="11" t="str">
        <f t="shared" si="64"/>
        <v/>
      </c>
      <c r="AB707" s="46" t="e">
        <f t="shared" si="65"/>
        <v>#DIV/0!</v>
      </c>
      <c r="AC707" s="40" t="str">
        <f>IF(データ!X704="","",データ!X704)</f>
        <v/>
      </c>
      <c r="AD707" s="41" t="str">
        <f>IF(データ!Y704="","",データ!Y704)</f>
        <v/>
      </c>
      <c r="AE707" s="47" t="str">
        <f>TRIM(データ!B704)</f>
        <v/>
      </c>
      <c r="AF707" s="43" t="str">
        <f>TRIM(データ!Z704)</f>
        <v/>
      </c>
    </row>
    <row r="708" spans="1:32" x14ac:dyDescent="0.15">
      <c r="A708" s="47">
        <f>データ!A705</f>
        <v>3</v>
      </c>
      <c r="B708" s="47" t="str">
        <f>TRIM(データ!C705)</f>
        <v/>
      </c>
      <c r="C708" s="47" t="str">
        <f>TRIM(データ!D705)</f>
        <v>材料費</v>
      </c>
      <c r="D708" s="36" t="str">
        <f>REPT("｜",$A708)&amp;TRIM(データ!E705)</f>
        <v>｜｜｜RM-40</v>
      </c>
      <c r="E708" s="37" t="str">
        <f>TRIM(データ!F705)</f>
        <v/>
      </c>
      <c r="F708" s="38" t="str">
        <f>TRIM(データ!G705)</f>
        <v>m3</v>
      </c>
      <c r="G708" s="50">
        <f>データ!H705</f>
        <v>18</v>
      </c>
      <c r="H708" s="48">
        <f>データ!I705</f>
        <v>3000</v>
      </c>
      <c r="I708" s="48">
        <f>データ!J705</f>
        <v>54000</v>
      </c>
      <c r="J708" s="39" t="str">
        <f>IF(OR($C708="総括",$C708="内訳書",$C708="内訳代価",$C708="明細書",$C708="明細代価",$C708="代価表",$C708="単価表"),データ!K705,"")</f>
        <v/>
      </c>
      <c r="K708" s="11" t="str">
        <f t="shared" si="60"/>
        <v/>
      </c>
      <c r="L708" s="46">
        <f t="shared" si="61"/>
        <v>7.7750421148114557E-4</v>
      </c>
      <c r="M708" s="40" t="str">
        <f>IF(データ!L705="","",データ!L705)</f>
        <v/>
      </c>
      <c r="N708" s="41" t="str">
        <f>IF(データ!M705="","",データ!M705)</f>
        <v/>
      </c>
      <c r="O708" s="42">
        <f>データ!N705</f>
        <v>0</v>
      </c>
      <c r="P708" s="48">
        <f>IF($C708="集計行","",データ!O705)</f>
        <v>0</v>
      </c>
      <c r="Q708" s="48">
        <f>データ!P705</f>
        <v>0</v>
      </c>
      <c r="R708" s="39" t="str">
        <f>IF(OR($C708="総括",$C708="内訳書",$C708="内訳代価",$C708="明細書",$C708="明細代価",$C708="代価表",$C708="単価表"),データ!Q705,"")</f>
        <v/>
      </c>
      <c r="S708" s="11" t="str">
        <f t="shared" si="62"/>
        <v/>
      </c>
      <c r="T708" s="46" t="e">
        <f t="shared" si="63"/>
        <v>#DIV/0!</v>
      </c>
      <c r="U708" s="40" t="str">
        <f>IF(データ!R705="","",データ!R705)</f>
        <v/>
      </c>
      <c r="V708" s="41" t="str">
        <f>IF(データ!S705="","",データ!S705)</f>
        <v/>
      </c>
      <c r="W708" s="42">
        <f>データ!T705</f>
        <v>0</v>
      </c>
      <c r="X708" s="48">
        <f>IF($C708="集計行","",データ!U705)</f>
        <v>0</v>
      </c>
      <c r="Y708" s="48">
        <f>データ!V705</f>
        <v>0</v>
      </c>
      <c r="Z708" s="39" t="str">
        <f>IF(OR($C708="総括",$C708="内訳書",$C708="内訳代価",$C708="明細書",$C708="明細代価",$C708="代価表",$C708="単価表"),データ!W705,"")</f>
        <v/>
      </c>
      <c r="AA708" s="11" t="str">
        <f t="shared" si="64"/>
        <v/>
      </c>
      <c r="AB708" s="46" t="e">
        <f t="shared" si="65"/>
        <v>#DIV/0!</v>
      </c>
      <c r="AC708" s="40" t="str">
        <f>IF(データ!X705="","",データ!X705)</f>
        <v/>
      </c>
      <c r="AD708" s="41" t="str">
        <f>IF(データ!Y705="","",データ!Y705)</f>
        <v/>
      </c>
      <c r="AE708" s="47" t="str">
        <f>TRIM(データ!B705)</f>
        <v/>
      </c>
      <c r="AF708" s="43" t="str">
        <f>TRIM(データ!Z705)</f>
        <v/>
      </c>
    </row>
    <row r="709" spans="1:32" x14ac:dyDescent="0.15">
      <c r="A709" s="47">
        <f>データ!A706</f>
        <v>3</v>
      </c>
      <c r="B709" s="47" t="str">
        <f>TRIM(データ!C706)</f>
        <v/>
      </c>
      <c r="C709" s="47" t="str">
        <f>TRIM(データ!D706)</f>
        <v>労務費</v>
      </c>
      <c r="D709" s="36" t="str">
        <f>REPT("｜",$A709)&amp;TRIM(データ!E706)</f>
        <v>｜｜｜技工</v>
      </c>
      <c r="E709" s="37" t="str">
        <f>TRIM(データ!F706)</f>
        <v/>
      </c>
      <c r="F709" s="38" t="str">
        <f>TRIM(データ!G706)</f>
        <v>人</v>
      </c>
      <c r="G709" s="50">
        <f>データ!H706</f>
        <v>5</v>
      </c>
      <c r="H709" s="48">
        <f>データ!I706</f>
        <v>32000</v>
      </c>
      <c r="I709" s="48">
        <f>データ!J706</f>
        <v>160000</v>
      </c>
      <c r="J709" s="39" t="str">
        <f>IF(OR($C709="総括",$C709="内訳書",$C709="内訳代価",$C709="明細書",$C709="明細代価",$C709="代価表",$C709="単価表"),データ!K706,"")</f>
        <v/>
      </c>
      <c r="K709" s="11" t="str">
        <f t="shared" ref="K709:K772" si="66">IF(OR(J709="",G709=J709),"","*")</f>
        <v/>
      </c>
      <c r="L709" s="46">
        <f t="shared" ref="L709:L772" si="67">IF($A709&lt;=L$1,I709/I$4,"")</f>
        <v>2.303716182166357E-3</v>
      </c>
      <c r="M709" s="40" t="str">
        <f>IF(データ!L706="","",データ!L706)</f>
        <v/>
      </c>
      <c r="N709" s="41" t="str">
        <f>IF(データ!M706="","",データ!M706)</f>
        <v/>
      </c>
      <c r="O709" s="42">
        <f>データ!N706</f>
        <v>0</v>
      </c>
      <c r="P709" s="48">
        <f>IF($C709="集計行","",データ!O706)</f>
        <v>0</v>
      </c>
      <c r="Q709" s="48">
        <f>データ!P706</f>
        <v>0</v>
      </c>
      <c r="R709" s="39" t="str">
        <f>IF(OR($C709="総括",$C709="内訳書",$C709="内訳代価",$C709="明細書",$C709="明細代価",$C709="代価表",$C709="単価表"),データ!Q706,"")</f>
        <v/>
      </c>
      <c r="S709" s="11" t="str">
        <f t="shared" ref="S709:S772" si="68">IF(OR(R709="",O709=R709),"","*")</f>
        <v/>
      </c>
      <c r="T709" s="46" t="e">
        <f t="shared" ref="T709:T772" si="69">IF($A709&lt;=T$1,Q709/Q$4,"")</f>
        <v>#DIV/0!</v>
      </c>
      <c r="U709" s="40" t="str">
        <f>IF(データ!R706="","",データ!R706)</f>
        <v/>
      </c>
      <c r="V709" s="41" t="str">
        <f>IF(データ!S706="","",データ!S706)</f>
        <v/>
      </c>
      <c r="W709" s="42">
        <f>データ!T706</f>
        <v>0</v>
      </c>
      <c r="X709" s="48">
        <f>IF($C709="集計行","",データ!U706)</f>
        <v>0</v>
      </c>
      <c r="Y709" s="48">
        <f>データ!V706</f>
        <v>0</v>
      </c>
      <c r="Z709" s="39" t="str">
        <f>IF(OR($C709="総括",$C709="内訳書",$C709="内訳代価",$C709="明細書",$C709="明細代価",$C709="代価表",$C709="単価表"),データ!W706,"")</f>
        <v/>
      </c>
      <c r="AA709" s="11" t="str">
        <f t="shared" ref="AA709:AA772" si="70">IF(OR(Z709="",W709=Z709),"","*")</f>
        <v/>
      </c>
      <c r="AB709" s="46" t="e">
        <f t="shared" ref="AB709:AB772" si="71">IF($A709&lt;=AB$1,Y709/Y$4,"")</f>
        <v>#DIV/0!</v>
      </c>
      <c r="AC709" s="40" t="str">
        <f>IF(データ!X706="","",データ!X706)</f>
        <v/>
      </c>
      <c r="AD709" s="41" t="str">
        <f>IF(データ!Y706="","",データ!Y706)</f>
        <v/>
      </c>
      <c r="AE709" s="47" t="str">
        <f>TRIM(データ!B706)</f>
        <v/>
      </c>
      <c r="AF709" s="43" t="str">
        <f>TRIM(データ!Z706)</f>
        <v/>
      </c>
    </row>
    <row r="710" spans="1:32" x14ac:dyDescent="0.15">
      <c r="A710" s="47">
        <f>データ!A707</f>
        <v>3</v>
      </c>
      <c r="B710" s="47" t="str">
        <f>TRIM(データ!C707)</f>
        <v/>
      </c>
      <c r="C710" s="47" t="str">
        <f>TRIM(データ!D707)</f>
        <v>機械費</v>
      </c>
      <c r="D710" s="36" t="str">
        <f>REPT("｜",$A710)&amp;TRIM(データ!E707)</f>
        <v>｜｜｜BH0.15</v>
      </c>
      <c r="E710" s="37" t="str">
        <f>TRIM(データ!F707)</f>
        <v/>
      </c>
      <c r="F710" s="38" t="str">
        <f>TRIM(データ!G707)</f>
        <v>台</v>
      </c>
      <c r="G710" s="50">
        <f>データ!H707</f>
        <v>1</v>
      </c>
      <c r="H710" s="48">
        <f>データ!I707</f>
        <v>8000</v>
      </c>
      <c r="I710" s="48">
        <f>データ!J707</f>
        <v>8000</v>
      </c>
      <c r="J710" s="39" t="str">
        <f>IF(OR($C710="総括",$C710="内訳書",$C710="内訳代価",$C710="明細書",$C710="明細代価",$C710="代価表",$C710="単価表"),データ!K707,"")</f>
        <v/>
      </c>
      <c r="K710" s="11" t="str">
        <f t="shared" si="66"/>
        <v/>
      </c>
      <c r="L710" s="46">
        <f t="shared" si="67"/>
        <v>1.1518580910831785E-4</v>
      </c>
      <c r="M710" s="40" t="str">
        <f>IF(データ!L707="","",データ!L707)</f>
        <v/>
      </c>
      <c r="N710" s="41" t="str">
        <f>IF(データ!M707="","",データ!M707)</f>
        <v/>
      </c>
      <c r="O710" s="42">
        <f>データ!N707</f>
        <v>0</v>
      </c>
      <c r="P710" s="48">
        <f>IF($C710="集計行","",データ!O707)</f>
        <v>0</v>
      </c>
      <c r="Q710" s="48">
        <f>データ!P707</f>
        <v>0</v>
      </c>
      <c r="R710" s="39" t="str">
        <f>IF(OR($C710="総括",$C710="内訳書",$C710="内訳代価",$C710="明細書",$C710="明細代価",$C710="代価表",$C710="単価表"),データ!Q707,"")</f>
        <v/>
      </c>
      <c r="S710" s="11" t="str">
        <f t="shared" si="68"/>
        <v/>
      </c>
      <c r="T710" s="46" t="e">
        <f t="shared" si="69"/>
        <v>#DIV/0!</v>
      </c>
      <c r="U710" s="40" t="str">
        <f>IF(データ!R707="","",データ!R707)</f>
        <v/>
      </c>
      <c r="V710" s="41" t="str">
        <f>IF(データ!S707="","",データ!S707)</f>
        <v/>
      </c>
      <c r="W710" s="42">
        <f>データ!T707</f>
        <v>0</v>
      </c>
      <c r="X710" s="48">
        <f>IF($C710="集計行","",データ!U707)</f>
        <v>0</v>
      </c>
      <c r="Y710" s="48">
        <f>データ!V707</f>
        <v>0</v>
      </c>
      <c r="Z710" s="39" t="str">
        <f>IF(OR($C710="総括",$C710="内訳書",$C710="内訳代価",$C710="明細書",$C710="明細代価",$C710="代価表",$C710="単価表"),データ!W707,"")</f>
        <v/>
      </c>
      <c r="AA710" s="11" t="str">
        <f t="shared" si="70"/>
        <v/>
      </c>
      <c r="AB710" s="46" t="e">
        <f t="shared" si="71"/>
        <v>#DIV/0!</v>
      </c>
      <c r="AC710" s="40" t="str">
        <f>IF(データ!X707="","",データ!X707)</f>
        <v/>
      </c>
      <c r="AD710" s="41" t="str">
        <f>IF(データ!Y707="","",データ!Y707)</f>
        <v/>
      </c>
      <c r="AE710" s="47" t="str">
        <f>TRIM(データ!B707)</f>
        <v/>
      </c>
      <c r="AF710" s="43" t="str">
        <f>TRIM(データ!Z707)</f>
        <v/>
      </c>
    </row>
    <row r="711" spans="1:32" x14ac:dyDescent="0.15">
      <c r="A711" s="47">
        <f>データ!A708</f>
        <v>3</v>
      </c>
      <c r="B711" s="47" t="str">
        <f>TRIM(データ!C708)</f>
        <v/>
      </c>
      <c r="C711" s="47" t="str">
        <f>TRIM(データ!D708)</f>
        <v>機械費</v>
      </c>
      <c r="D711" s="36" t="str">
        <f>REPT("｜",$A711)&amp;TRIM(データ!E708)</f>
        <v>｜｜｜コンバインドローラ</v>
      </c>
      <c r="E711" s="37" t="str">
        <f>TRIM(データ!F708)</f>
        <v/>
      </c>
      <c r="F711" s="38" t="str">
        <f>TRIM(データ!G708)</f>
        <v>台</v>
      </c>
      <c r="G711" s="50">
        <f>データ!H708</f>
        <v>1</v>
      </c>
      <c r="H711" s="48">
        <f>データ!I708</f>
        <v>8000</v>
      </c>
      <c r="I711" s="48">
        <f>データ!J708</f>
        <v>8000</v>
      </c>
      <c r="J711" s="39" t="str">
        <f>IF(OR($C711="総括",$C711="内訳書",$C711="内訳代価",$C711="明細書",$C711="明細代価",$C711="代価表",$C711="単価表"),データ!K708,"")</f>
        <v/>
      </c>
      <c r="K711" s="11" t="str">
        <f t="shared" si="66"/>
        <v/>
      </c>
      <c r="L711" s="46">
        <f t="shared" si="67"/>
        <v>1.1518580910831785E-4</v>
      </c>
      <c r="M711" s="40" t="str">
        <f>IF(データ!L708="","",データ!L708)</f>
        <v/>
      </c>
      <c r="N711" s="41" t="str">
        <f>IF(データ!M708="","",データ!M708)</f>
        <v/>
      </c>
      <c r="O711" s="42">
        <f>データ!N708</f>
        <v>0</v>
      </c>
      <c r="P711" s="48">
        <f>IF($C711="集計行","",データ!O708)</f>
        <v>0</v>
      </c>
      <c r="Q711" s="48">
        <f>データ!P708</f>
        <v>0</v>
      </c>
      <c r="R711" s="39" t="str">
        <f>IF(OR($C711="総括",$C711="内訳書",$C711="内訳代価",$C711="明細書",$C711="明細代価",$C711="代価表",$C711="単価表"),データ!Q708,"")</f>
        <v/>
      </c>
      <c r="S711" s="11" t="str">
        <f t="shared" si="68"/>
        <v/>
      </c>
      <c r="T711" s="46" t="e">
        <f t="shared" si="69"/>
        <v>#DIV/0!</v>
      </c>
      <c r="U711" s="40" t="str">
        <f>IF(データ!R708="","",データ!R708)</f>
        <v/>
      </c>
      <c r="V711" s="41" t="str">
        <f>IF(データ!S708="","",データ!S708)</f>
        <v/>
      </c>
      <c r="W711" s="42">
        <f>データ!T708</f>
        <v>0</v>
      </c>
      <c r="X711" s="48">
        <f>IF($C711="集計行","",データ!U708)</f>
        <v>0</v>
      </c>
      <c r="Y711" s="48">
        <f>データ!V708</f>
        <v>0</v>
      </c>
      <c r="Z711" s="39" t="str">
        <f>IF(OR($C711="総括",$C711="内訳書",$C711="内訳代価",$C711="明細書",$C711="明細代価",$C711="代価表",$C711="単価表"),データ!W708,"")</f>
        <v/>
      </c>
      <c r="AA711" s="11" t="str">
        <f t="shared" si="70"/>
        <v/>
      </c>
      <c r="AB711" s="46" t="e">
        <f t="shared" si="71"/>
        <v>#DIV/0!</v>
      </c>
      <c r="AC711" s="40" t="str">
        <f>IF(データ!X708="","",データ!X708)</f>
        <v/>
      </c>
      <c r="AD711" s="41" t="str">
        <f>IF(データ!Y708="","",データ!Y708)</f>
        <v/>
      </c>
      <c r="AE711" s="47" t="str">
        <f>TRIM(データ!B708)</f>
        <v/>
      </c>
      <c r="AF711" s="43" t="str">
        <f>TRIM(データ!Z708)</f>
        <v/>
      </c>
    </row>
    <row r="712" spans="1:32" x14ac:dyDescent="0.15">
      <c r="A712" s="47">
        <f>データ!A709</f>
        <v>3</v>
      </c>
      <c r="B712" s="47" t="str">
        <f>TRIM(データ!C709)</f>
        <v/>
      </c>
      <c r="C712" s="47" t="str">
        <f>TRIM(データ!D709)</f>
        <v>機械費</v>
      </c>
      <c r="D712" s="36" t="str">
        <f>REPT("｜",$A712)&amp;TRIM(データ!E709)</f>
        <v>｜｜｜ランマー</v>
      </c>
      <c r="E712" s="37" t="str">
        <f>TRIM(データ!F709)</f>
        <v/>
      </c>
      <c r="F712" s="38" t="str">
        <f>TRIM(データ!G709)</f>
        <v>台</v>
      </c>
      <c r="G712" s="50">
        <f>データ!H709</f>
        <v>1</v>
      </c>
      <c r="H712" s="48">
        <f>データ!I709</f>
        <v>1500</v>
      </c>
      <c r="I712" s="48">
        <f>データ!J709</f>
        <v>1500</v>
      </c>
      <c r="J712" s="39" t="str">
        <f>IF(OR($C712="総括",$C712="内訳書",$C712="内訳代価",$C712="明細書",$C712="明細代価",$C712="代価表",$C712="単価表"),データ!K709,"")</f>
        <v/>
      </c>
      <c r="K712" s="11" t="str">
        <f t="shared" si="66"/>
        <v/>
      </c>
      <c r="L712" s="46">
        <f t="shared" si="67"/>
        <v>2.1597339207809597E-5</v>
      </c>
      <c r="M712" s="40" t="str">
        <f>IF(データ!L709="","",データ!L709)</f>
        <v/>
      </c>
      <c r="N712" s="41" t="str">
        <f>IF(データ!M709="","",データ!M709)</f>
        <v/>
      </c>
      <c r="O712" s="42">
        <f>データ!N709</f>
        <v>0</v>
      </c>
      <c r="P712" s="48">
        <f>IF($C712="集計行","",データ!O709)</f>
        <v>0</v>
      </c>
      <c r="Q712" s="48">
        <f>データ!P709</f>
        <v>0</v>
      </c>
      <c r="R712" s="39" t="str">
        <f>IF(OR($C712="総括",$C712="内訳書",$C712="内訳代価",$C712="明細書",$C712="明細代価",$C712="代価表",$C712="単価表"),データ!Q709,"")</f>
        <v/>
      </c>
      <c r="S712" s="11" t="str">
        <f t="shared" si="68"/>
        <v/>
      </c>
      <c r="T712" s="46" t="e">
        <f t="shared" si="69"/>
        <v>#DIV/0!</v>
      </c>
      <c r="U712" s="40" t="str">
        <f>IF(データ!R709="","",データ!R709)</f>
        <v/>
      </c>
      <c r="V712" s="41" t="str">
        <f>IF(データ!S709="","",データ!S709)</f>
        <v/>
      </c>
      <c r="W712" s="42">
        <f>データ!T709</f>
        <v>0</v>
      </c>
      <c r="X712" s="48">
        <f>IF($C712="集計行","",データ!U709)</f>
        <v>0</v>
      </c>
      <c r="Y712" s="48">
        <f>データ!V709</f>
        <v>0</v>
      </c>
      <c r="Z712" s="39" t="str">
        <f>IF(OR($C712="総括",$C712="内訳書",$C712="内訳代価",$C712="明細書",$C712="明細代価",$C712="代価表",$C712="単価表"),データ!W709,"")</f>
        <v/>
      </c>
      <c r="AA712" s="11" t="str">
        <f t="shared" si="70"/>
        <v/>
      </c>
      <c r="AB712" s="46" t="e">
        <f t="shared" si="71"/>
        <v>#DIV/0!</v>
      </c>
      <c r="AC712" s="40" t="str">
        <f>IF(データ!X709="","",データ!X709)</f>
        <v/>
      </c>
      <c r="AD712" s="41" t="str">
        <f>IF(データ!Y709="","",データ!Y709)</f>
        <v/>
      </c>
      <c r="AE712" s="47" t="str">
        <f>TRIM(データ!B709)</f>
        <v/>
      </c>
      <c r="AF712" s="43" t="str">
        <f>TRIM(データ!Z709)</f>
        <v/>
      </c>
    </row>
    <row r="713" spans="1:32" x14ac:dyDescent="0.15">
      <c r="A713" s="47">
        <f>データ!A710</f>
        <v>3</v>
      </c>
      <c r="B713" s="47" t="str">
        <f>TRIM(データ!C710)</f>
        <v/>
      </c>
      <c r="C713" s="47" t="str">
        <f>TRIM(データ!D710)</f>
        <v>機械費</v>
      </c>
      <c r="D713" s="36" t="str">
        <f>REPT("｜",$A713)&amp;TRIM(データ!E710)</f>
        <v>｜｜｜プレート</v>
      </c>
      <c r="E713" s="37" t="str">
        <f>TRIM(データ!F710)</f>
        <v/>
      </c>
      <c r="F713" s="38" t="str">
        <f>TRIM(データ!G710)</f>
        <v>台</v>
      </c>
      <c r="G713" s="50">
        <f>データ!H710</f>
        <v>1</v>
      </c>
      <c r="H713" s="48">
        <f>データ!I710</f>
        <v>1500</v>
      </c>
      <c r="I713" s="48">
        <f>データ!J710</f>
        <v>1500</v>
      </c>
      <c r="J713" s="39" t="str">
        <f>IF(OR($C713="総括",$C713="内訳書",$C713="内訳代価",$C713="明細書",$C713="明細代価",$C713="代価表",$C713="単価表"),データ!K710,"")</f>
        <v/>
      </c>
      <c r="K713" s="11" t="str">
        <f t="shared" si="66"/>
        <v/>
      </c>
      <c r="L713" s="46">
        <f t="shared" si="67"/>
        <v>2.1597339207809597E-5</v>
      </c>
      <c r="M713" s="40" t="str">
        <f>IF(データ!L710="","",データ!L710)</f>
        <v/>
      </c>
      <c r="N713" s="41" t="str">
        <f>IF(データ!M710="","",データ!M710)</f>
        <v/>
      </c>
      <c r="O713" s="42">
        <f>データ!N710</f>
        <v>0</v>
      </c>
      <c r="P713" s="48">
        <f>IF($C713="集計行","",データ!O710)</f>
        <v>0</v>
      </c>
      <c r="Q713" s="48">
        <f>データ!P710</f>
        <v>0</v>
      </c>
      <c r="R713" s="39" t="str">
        <f>IF(OR($C713="総括",$C713="内訳書",$C713="内訳代価",$C713="明細書",$C713="明細代価",$C713="代価表",$C713="単価表"),データ!Q710,"")</f>
        <v/>
      </c>
      <c r="S713" s="11" t="str">
        <f t="shared" si="68"/>
        <v/>
      </c>
      <c r="T713" s="46" t="e">
        <f t="shared" si="69"/>
        <v>#DIV/0!</v>
      </c>
      <c r="U713" s="40" t="str">
        <f>IF(データ!R710="","",データ!R710)</f>
        <v/>
      </c>
      <c r="V713" s="41" t="str">
        <f>IF(データ!S710="","",データ!S710)</f>
        <v/>
      </c>
      <c r="W713" s="42">
        <f>データ!T710</f>
        <v>0</v>
      </c>
      <c r="X713" s="48">
        <f>IF($C713="集計行","",データ!U710)</f>
        <v>0</v>
      </c>
      <c r="Y713" s="48">
        <f>データ!V710</f>
        <v>0</v>
      </c>
      <c r="Z713" s="39" t="str">
        <f>IF(OR($C713="総括",$C713="内訳書",$C713="内訳代価",$C713="明細書",$C713="明細代価",$C713="代価表",$C713="単価表"),データ!W710,"")</f>
        <v/>
      </c>
      <c r="AA713" s="11" t="str">
        <f t="shared" si="70"/>
        <v/>
      </c>
      <c r="AB713" s="46" t="e">
        <f t="shared" si="71"/>
        <v>#DIV/0!</v>
      </c>
      <c r="AC713" s="40" t="str">
        <f>IF(データ!X710="","",データ!X710)</f>
        <v/>
      </c>
      <c r="AD713" s="41" t="str">
        <f>IF(データ!Y710="","",データ!Y710)</f>
        <v/>
      </c>
      <c r="AE713" s="47" t="str">
        <f>TRIM(データ!B710)</f>
        <v/>
      </c>
      <c r="AF713" s="43" t="str">
        <f>TRIM(データ!Z710)</f>
        <v/>
      </c>
    </row>
    <row r="714" spans="1:32" x14ac:dyDescent="0.15">
      <c r="A714" s="47">
        <f>データ!A711</f>
        <v>3</v>
      </c>
      <c r="B714" s="47" t="str">
        <f>TRIM(データ!C711)</f>
        <v/>
      </c>
      <c r="C714" s="47" t="str">
        <f>TRIM(データ!D711)</f>
        <v>運搬費</v>
      </c>
      <c r="D714" s="36" t="str">
        <f>REPT("｜",$A714)&amp;TRIM(データ!E711)</f>
        <v>｜｜｜4tダンプ</v>
      </c>
      <c r="E714" s="37" t="str">
        <f>TRIM(データ!F711)</f>
        <v/>
      </c>
      <c r="F714" s="38" t="str">
        <f>TRIM(データ!G711)</f>
        <v>台</v>
      </c>
      <c r="G714" s="50">
        <f>データ!H711</f>
        <v>1</v>
      </c>
      <c r="H714" s="48">
        <f>データ!I711</f>
        <v>10000</v>
      </c>
      <c r="I714" s="48">
        <f>データ!J711</f>
        <v>10000</v>
      </c>
      <c r="J714" s="39" t="str">
        <f>IF(OR($C714="総括",$C714="内訳書",$C714="内訳代価",$C714="明細書",$C714="明細代価",$C714="代価表",$C714="単価表"),データ!K711,"")</f>
        <v/>
      </c>
      <c r="K714" s="11" t="str">
        <f t="shared" si="66"/>
        <v/>
      </c>
      <c r="L714" s="46">
        <f t="shared" si="67"/>
        <v>1.4398226138539731E-4</v>
      </c>
      <c r="M714" s="40" t="str">
        <f>IF(データ!L711="","",データ!L711)</f>
        <v/>
      </c>
      <c r="N714" s="41" t="str">
        <f>IF(データ!M711="","",データ!M711)</f>
        <v/>
      </c>
      <c r="O714" s="42">
        <f>データ!N711</f>
        <v>0</v>
      </c>
      <c r="P714" s="48">
        <f>IF($C714="集計行","",データ!O711)</f>
        <v>0</v>
      </c>
      <c r="Q714" s="48">
        <f>データ!P711</f>
        <v>0</v>
      </c>
      <c r="R714" s="39" t="str">
        <f>IF(OR($C714="総括",$C714="内訳書",$C714="内訳代価",$C714="明細書",$C714="明細代価",$C714="代価表",$C714="単価表"),データ!Q711,"")</f>
        <v/>
      </c>
      <c r="S714" s="11" t="str">
        <f t="shared" si="68"/>
        <v/>
      </c>
      <c r="T714" s="46" t="e">
        <f t="shared" si="69"/>
        <v>#DIV/0!</v>
      </c>
      <c r="U714" s="40" t="str">
        <f>IF(データ!R711="","",データ!R711)</f>
        <v/>
      </c>
      <c r="V714" s="41" t="str">
        <f>IF(データ!S711="","",データ!S711)</f>
        <v/>
      </c>
      <c r="W714" s="42">
        <f>データ!T711</f>
        <v>0</v>
      </c>
      <c r="X714" s="48">
        <f>IF($C714="集計行","",データ!U711)</f>
        <v>0</v>
      </c>
      <c r="Y714" s="48">
        <f>データ!V711</f>
        <v>0</v>
      </c>
      <c r="Z714" s="39" t="str">
        <f>IF(OR($C714="総括",$C714="内訳書",$C714="内訳代価",$C714="明細書",$C714="明細代価",$C714="代価表",$C714="単価表"),データ!W711,"")</f>
        <v/>
      </c>
      <c r="AA714" s="11" t="str">
        <f t="shared" si="70"/>
        <v/>
      </c>
      <c r="AB714" s="46" t="e">
        <f t="shared" si="71"/>
        <v>#DIV/0!</v>
      </c>
      <c r="AC714" s="40" t="str">
        <f>IF(データ!X711="","",データ!X711)</f>
        <v/>
      </c>
      <c r="AD714" s="41" t="str">
        <f>IF(データ!Y711="","",データ!Y711)</f>
        <v/>
      </c>
      <c r="AE714" s="47" t="str">
        <f>TRIM(データ!B711)</f>
        <v/>
      </c>
      <c r="AF714" s="43" t="str">
        <f>TRIM(データ!Z711)</f>
        <v/>
      </c>
    </row>
    <row r="715" spans="1:32" x14ac:dyDescent="0.15">
      <c r="A715" s="47">
        <f>データ!A712</f>
        <v>3</v>
      </c>
      <c r="B715" s="47" t="str">
        <f>TRIM(データ!C712)</f>
        <v/>
      </c>
      <c r="C715" s="47" t="str">
        <f>TRIM(データ!D712)</f>
        <v>運搬費</v>
      </c>
      <c r="D715" s="36" t="str">
        <f>REPT("｜",$A715)&amp;TRIM(データ!E712)</f>
        <v>｜｜｜2tダンプ</v>
      </c>
      <c r="E715" s="37" t="str">
        <f>TRIM(データ!F712)</f>
        <v/>
      </c>
      <c r="F715" s="38" t="str">
        <f>TRIM(データ!G712)</f>
        <v>台</v>
      </c>
      <c r="G715" s="50">
        <f>データ!H712</f>
        <v>1</v>
      </c>
      <c r="H715" s="48">
        <f>データ!I712</f>
        <v>7000</v>
      </c>
      <c r="I715" s="48">
        <f>データ!J712</f>
        <v>7000</v>
      </c>
      <c r="J715" s="39" t="str">
        <f>IF(OR($C715="総括",$C715="内訳書",$C715="内訳代価",$C715="明細書",$C715="明細代価",$C715="代価表",$C715="単価表"),データ!K712,"")</f>
        <v/>
      </c>
      <c r="K715" s="11" t="str">
        <f t="shared" si="66"/>
        <v/>
      </c>
      <c r="L715" s="46">
        <f t="shared" si="67"/>
        <v>1.0078758296977812E-4</v>
      </c>
      <c r="M715" s="40" t="str">
        <f>IF(データ!L712="","",データ!L712)</f>
        <v/>
      </c>
      <c r="N715" s="41" t="str">
        <f>IF(データ!M712="","",データ!M712)</f>
        <v/>
      </c>
      <c r="O715" s="42">
        <f>データ!N712</f>
        <v>0</v>
      </c>
      <c r="P715" s="48">
        <f>IF($C715="集計行","",データ!O712)</f>
        <v>0</v>
      </c>
      <c r="Q715" s="48">
        <f>データ!P712</f>
        <v>0</v>
      </c>
      <c r="R715" s="39" t="str">
        <f>IF(OR($C715="総括",$C715="内訳書",$C715="内訳代価",$C715="明細書",$C715="明細代価",$C715="代価表",$C715="単価表"),データ!Q712,"")</f>
        <v/>
      </c>
      <c r="S715" s="11" t="str">
        <f t="shared" si="68"/>
        <v/>
      </c>
      <c r="T715" s="46" t="e">
        <f t="shared" si="69"/>
        <v>#DIV/0!</v>
      </c>
      <c r="U715" s="40" t="str">
        <f>IF(データ!R712="","",データ!R712)</f>
        <v/>
      </c>
      <c r="V715" s="41" t="str">
        <f>IF(データ!S712="","",データ!S712)</f>
        <v/>
      </c>
      <c r="W715" s="42">
        <f>データ!T712</f>
        <v>0</v>
      </c>
      <c r="X715" s="48">
        <f>IF($C715="集計行","",データ!U712)</f>
        <v>0</v>
      </c>
      <c r="Y715" s="48">
        <f>データ!V712</f>
        <v>0</v>
      </c>
      <c r="Z715" s="39" t="str">
        <f>IF(OR($C715="総括",$C715="内訳書",$C715="内訳代価",$C715="明細書",$C715="明細代価",$C715="代価表",$C715="単価表"),データ!W712,"")</f>
        <v/>
      </c>
      <c r="AA715" s="11" t="str">
        <f t="shared" si="70"/>
        <v/>
      </c>
      <c r="AB715" s="46" t="e">
        <f t="shared" si="71"/>
        <v>#DIV/0!</v>
      </c>
      <c r="AC715" s="40" t="str">
        <f>IF(データ!X712="","",データ!X712)</f>
        <v/>
      </c>
      <c r="AD715" s="41" t="str">
        <f>IF(データ!Y712="","",データ!Y712)</f>
        <v/>
      </c>
      <c r="AE715" s="47" t="str">
        <f>TRIM(データ!B712)</f>
        <v/>
      </c>
      <c r="AF715" s="43" t="str">
        <f>TRIM(データ!Z712)</f>
        <v/>
      </c>
    </row>
    <row r="716" spans="1:32" x14ac:dyDescent="0.15">
      <c r="A716" s="47">
        <f>データ!A713</f>
        <v>3</v>
      </c>
      <c r="B716" s="47" t="str">
        <f>TRIM(データ!C713)</f>
        <v/>
      </c>
      <c r="C716" s="47" t="str">
        <f>TRIM(データ!D713)</f>
        <v>材料費</v>
      </c>
      <c r="D716" s="36" t="str">
        <f>REPT("｜",$A716)&amp;TRIM(データ!E713)</f>
        <v>｜｜｜軽油</v>
      </c>
      <c r="E716" s="37" t="str">
        <f>TRIM(データ!F713)</f>
        <v/>
      </c>
      <c r="F716" s="38" t="str">
        <f>TRIM(データ!G713)</f>
        <v>リットル</v>
      </c>
      <c r="G716" s="50">
        <f>データ!H713</f>
        <v>60</v>
      </c>
      <c r="H716" s="48">
        <f>データ!I713</f>
        <v>150</v>
      </c>
      <c r="I716" s="48">
        <f>データ!J713</f>
        <v>9000</v>
      </c>
      <c r="J716" s="39" t="str">
        <f>IF(OR($C716="総括",$C716="内訳書",$C716="内訳代価",$C716="明細書",$C716="明細代価",$C716="代価表",$C716="単価表"),データ!K713,"")</f>
        <v/>
      </c>
      <c r="K716" s="11" t="str">
        <f t="shared" si="66"/>
        <v/>
      </c>
      <c r="L716" s="46">
        <f t="shared" si="67"/>
        <v>1.295840352468576E-4</v>
      </c>
      <c r="M716" s="40" t="str">
        <f>IF(データ!L713="","",データ!L713)</f>
        <v/>
      </c>
      <c r="N716" s="41" t="str">
        <f>IF(データ!M713="","",データ!M713)</f>
        <v/>
      </c>
      <c r="O716" s="42">
        <f>データ!N713</f>
        <v>0</v>
      </c>
      <c r="P716" s="48">
        <f>IF($C716="集計行","",データ!O713)</f>
        <v>0</v>
      </c>
      <c r="Q716" s="48">
        <f>データ!P713</f>
        <v>0</v>
      </c>
      <c r="R716" s="39" t="str">
        <f>IF(OR($C716="総括",$C716="内訳書",$C716="内訳代価",$C716="明細書",$C716="明細代価",$C716="代価表",$C716="単価表"),データ!Q713,"")</f>
        <v/>
      </c>
      <c r="S716" s="11" t="str">
        <f t="shared" si="68"/>
        <v/>
      </c>
      <c r="T716" s="46" t="e">
        <f t="shared" si="69"/>
        <v>#DIV/0!</v>
      </c>
      <c r="U716" s="40" t="str">
        <f>IF(データ!R713="","",データ!R713)</f>
        <v/>
      </c>
      <c r="V716" s="41" t="str">
        <f>IF(データ!S713="","",データ!S713)</f>
        <v/>
      </c>
      <c r="W716" s="42">
        <f>データ!T713</f>
        <v>0</v>
      </c>
      <c r="X716" s="48">
        <f>IF($C716="集計行","",データ!U713)</f>
        <v>0</v>
      </c>
      <c r="Y716" s="48">
        <f>データ!V713</f>
        <v>0</v>
      </c>
      <c r="Z716" s="39" t="str">
        <f>IF(OR($C716="総括",$C716="内訳書",$C716="内訳代価",$C716="明細書",$C716="明細代価",$C716="代価表",$C716="単価表"),データ!W713,"")</f>
        <v/>
      </c>
      <c r="AA716" s="11" t="str">
        <f t="shared" si="70"/>
        <v/>
      </c>
      <c r="AB716" s="46" t="e">
        <f t="shared" si="71"/>
        <v>#DIV/0!</v>
      </c>
      <c r="AC716" s="40" t="str">
        <f>IF(データ!X713="","",データ!X713)</f>
        <v/>
      </c>
      <c r="AD716" s="41" t="str">
        <f>IF(データ!Y713="","",データ!Y713)</f>
        <v/>
      </c>
      <c r="AE716" s="47" t="str">
        <f>TRIM(データ!B713)</f>
        <v/>
      </c>
      <c r="AF716" s="43" t="str">
        <f>TRIM(データ!Z713)</f>
        <v/>
      </c>
    </row>
    <row r="717" spans="1:32" x14ac:dyDescent="0.15">
      <c r="A717" s="47">
        <f>データ!A714</f>
        <v>3</v>
      </c>
      <c r="B717" s="47" t="str">
        <f>TRIM(データ!C714)</f>
        <v/>
      </c>
      <c r="C717" s="47" t="str">
        <f>TRIM(データ!D714)</f>
        <v>材料費</v>
      </c>
      <c r="D717" s="36" t="str">
        <f>REPT("｜",$A717)&amp;TRIM(データ!E714)</f>
        <v>｜｜｜ガソリン</v>
      </c>
      <c r="E717" s="37" t="str">
        <f>TRIM(データ!F714)</f>
        <v/>
      </c>
      <c r="F717" s="38" t="str">
        <f>TRIM(データ!G714)</f>
        <v>リットル</v>
      </c>
      <c r="G717" s="50">
        <f>データ!H714</f>
        <v>40</v>
      </c>
      <c r="H717" s="48">
        <f>データ!I714</f>
        <v>200</v>
      </c>
      <c r="I717" s="48">
        <f>データ!J714</f>
        <v>8000</v>
      </c>
      <c r="J717" s="39" t="str">
        <f>IF(OR($C717="総括",$C717="内訳書",$C717="内訳代価",$C717="明細書",$C717="明細代価",$C717="代価表",$C717="単価表"),データ!K714,"")</f>
        <v/>
      </c>
      <c r="K717" s="11" t="str">
        <f t="shared" si="66"/>
        <v/>
      </c>
      <c r="L717" s="46">
        <f t="shared" si="67"/>
        <v>1.1518580910831785E-4</v>
      </c>
      <c r="M717" s="40" t="str">
        <f>IF(データ!L714="","",データ!L714)</f>
        <v/>
      </c>
      <c r="N717" s="41" t="str">
        <f>IF(データ!M714="","",データ!M714)</f>
        <v/>
      </c>
      <c r="O717" s="42">
        <f>データ!N714</f>
        <v>0</v>
      </c>
      <c r="P717" s="48">
        <f>IF($C717="集計行","",データ!O714)</f>
        <v>0</v>
      </c>
      <c r="Q717" s="48">
        <f>データ!P714</f>
        <v>0</v>
      </c>
      <c r="R717" s="39" t="str">
        <f>IF(OR($C717="総括",$C717="内訳書",$C717="内訳代価",$C717="明細書",$C717="明細代価",$C717="代価表",$C717="単価表"),データ!Q714,"")</f>
        <v/>
      </c>
      <c r="S717" s="11" t="str">
        <f t="shared" si="68"/>
        <v/>
      </c>
      <c r="T717" s="46" t="e">
        <f t="shared" si="69"/>
        <v>#DIV/0!</v>
      </c>
      <c r="U717" s="40" t="str">
        <f>IF(データ!R714="","",データ!R714)</f>
        <v/>
      </c>
      <c r="V717" s="41" t="str">
        <f>IF(データ!S714="","",データ!S714)</f>
        <v/>
      </c>
      <c r="W717" s="42">
        <f>データ!T714</f>
        <v>0</v>
      </c>
      <c r="X717" s="48">
        <f>IF($C717="集計行","",データ!U714)</f>
        <v>0</v>
      </c>
      <c r="Y717" s="48">
        <f>データ!V714</f>
        <v>0</v>
      </c>
      <c r="Z717" s="39" t="str">
        <f>IF(OR($C717="総括",$C717="内訳書",$C717="内訳代価",$C717="明細書",$C717="明細代価",$C717="代価表",$C717="単価表"),データ!W714,"")</f>
        <v/>
      </c>
      <c r="AA717" s="11" t="str">
        <f t="shared" si="70"/>
        <v/>
      </c>
      <c r="AB717" s="46" t="e">
        <f t="shared" si="71"/>
        <v>#DIV/0!</v>
      </c>
      <c r="AC717" s="40" t="str">
        <f>IF(データ!X714="","",データ!X714)</f>
        <v/>
      </c>
      <c r="AD717" s="41" t="str">
        <f>IF(データ!Y714="","",データ!Y714)</f>
        <v/>
      </c>
      <c r="AE717" s="47" t="str">
        <f>TRIM(データ!B714)</f>
        <v/>
      </c>
      <c r="AF717" s="43" t="str">
        <f>TRIM(データ!Z714)</f>
        <v/>
      </c>
    </row>
    <row r="718" spans="1:32" x14ac:dyDescent="0.15">
      <c r="A718" s="47">
        <f>データ!A715</f>
        <v>3</v>
      </c>
      <c r="B718" s="47" t="str">
        <f>TRIM(データ!C715)</f>
        <v/>
      </c>
      <c r="C718" s="47" t="str">
        <f>TRIM(データ!D715)</f>
        <v>外注費</v>
      </c>
      <c r="D718" s="36" t="str">
        <f>REPT("｜",$A718)&amp;TRIM(データ!E715)</f>
        <v>｜｜｜外注経費</v>
      </c>
      <c r="E718" s="37" t="str">
        <f>TRIM(データ!F715)</f>
        <v/>
      </c>
      <c r="F718" s="38" t="str">
        <f>TRIM(データ!G715)</f>
        <v>式</v>
      </c>
      <c r="G718" s="50">
        <f>データ!H715</f>
        <v>1</v>
      </c>
      <c r="H718" s="48">
        <f>データ!I715</f>
        <v>21000</v>
      </c>
      <c r="I718" s="48">
        <f>データ!J715</f>
        <v>21000</v>
      </c>
      <c r="J718" s="39" t="str">
        <f>IF(OR($C718="総括",$C718="内訳書",$C718="内訳代価",$C718="明細書",$C718="明細代価",$C718="代価表",$C718="単価表"),データ!K715,"")</f>
        <v/>
      </c>
      <c r="K718" s="11" t="str">
        <f t="shared" si="66"/>
        <v/>
      </c>
      <c r="L718" s="46">
        <f t="shared" si="67"/>
        <v>3.0236274890933437E-4</v>
      </c>
      <c r="M718" s="40" t="str">
        <f>IF(データ!L715="","",データ!L715)</f>
        <v/>
      </c>
      <c r="N718" s="41" t="str">
        <f>IF(データ!M715="","",データ!M715)</f>
        <v/>
      </c>
      <c r="O718" s="42">
        <f>データ!N715</f>
        <v>0</v>
      </c>
      <c r="P718" s="48">
        <f>IF($C718="集計行","",データ!O715)</f>
        <v>0</v>
      </c>
      <c r="Q718" s="48">
        <f>データ!P715</f>
        <v>0</v>
      </c>
      <c r="R718" s="39" t="str">
        <f>IF(OR($C718="総括",$C718="内訳書",$C718="内訳代価",$C718="明細書",$C718="明細代価",$C718="代価表",$C718="単価表"),データ!Q715,"")</f>
        <v/>
      </c>
      <c r="S718" s="11" t="str">
        <f t="shared" si="68"/>
        <v/>
      </c>
      <c r="T718" s="46" t="e">
        <f t="shared" si="69"/>
        <v>#DIV/0!</v>
      </c>
      <c r="U718" s="40" t="str">
        <f>IF(データ!R715="","",データ!R715)</f>
        <v/>
      </c>
      <c r="V718" s="41" t="str">
        <f>IF(データ!S715="","",データ!S715)</f>
        <v/>
      </c>
      <c r="W718" s="42">
        <f>データ!T715</f>
        <v>0</v>
      </c>
      <c r="X718" s="48">
        <f>IF($C718="集計行","",データ!U715)</f>
        <v>0</v>
      </c>
      <c r="Y718" s="48">
        <f>データ!V715</f>
        <v>0</v>
      </c>
      <c r="Z718" s="39" t="str">
        <f>IF(OR($C718="総括",$C718="内訳書",$C718="内訳代価",$C718="明細書",$C718="明細代価",$C718="代価表",$C718="単価表"),データ!W715,"")</f>
        <v/>
      </c>
      <c r="AA718" s="11" t="str">
        <f t="shared" si="70"/>
        <v/>
      </c>
      <c r="AB718" s="46" t="e">
        <f t="shared" si="71"/>
        <v>#DIV/0!</v>
      </c>
      <c r="AC718" s="40" t="str">
        <f>IF(データ!X715="","",データ!X715)</f>
        <v/>
      </c>
      <c r="AD718" s="41" t="str">
        <f>IF(データ!Y715="","",データ!Y715)</f>
        <v/>
      </c>
      <c r="AE718" s="47" t="str">
        <f>TRIM(データ!B715)</f>
        <v/>
      </c>
      <c r="AF718" s="43" t="str">
        <f>TRIM(データ!Z715)</f>
        <v/>
      </c>
    </row>
    <row r="719" spans="1:32" x14ac:dyDescent="0.15">
      <c r="A719" s="47">
        <f>データ!A716</f>
        <v>3</v>
      </c>
      <c r="B719" s="47" t="str">
        <f>TRIM(データ!C716)</f>
        <v/>
      </c>
      <c r="C719" s="47" t="str">
        <f>TRIM(データ!D716)</f>
        <v>材料費</v>
      </c>
      <c r="D719" s="36" t="str">
        <f>REPT("｜",$A719)&amp;TRIM(データ!E716)</f>
        <v>｜｜｜雑材</v>
      </c>
      <c r="E719" s="37" t="str">
        <f>TRIM(データ!F716)</f>
        <v/>
      </c>
      <c r="F719" s="38" t="str">
        <f>TRIM(データ!G716)</f>
        <v>式</v>
      </c>
      <c r="G719" s="50">
        <f>データ!H716</f>
        <v>1</v>
      </c>
      <c r="H719" s="48">
        <f>データ!I716</f>
        <v>13500</v>
      </c>
      <c r="I719" s="48">
        <f>データ!J716</f>
        <v>13500</v>
      </c>
      <c r="J719" s="39" t="str">
        <f>IF(OR($C719="総括",$C719="内訳書",$C719="内訳代価",$C719="明細書",$C719="明細代価",$C719="代価表",$C719="単価表"),データ!K716,"")</f>
        <v/>
      </c>
      <c r="K719" s="11" t="str">
        <f t="shared" si="66"/>
        <v/>
      </c>
      <c r="L719" s="46">
        <f t="shared" si="67"/>
        <v>1.9437605287028639E-4</v>
      </c>
      <c r="M719" s="40" t="str">
        <f>IF(データ!L716="","",データ!L716)</f>
        <v/>
      </c>
      <c r="N719" s="41" t="str">
        <f>IF(データ!M716="","",データ!M716)</f>
        <v/>
      </c>
      <c r="O719" s="42">
        <f>データ!N716</f>
        <v>0</v>
      </c>
      <c r="P719" s="48">
        <f>IF($C719="集計行","",データ!O716)</f>
        <v>0</v>
      </c>
      <c r="Q719" s="48">
        <f>データ!P716</f>
        <v>0</v>
      </c>
      <c r="R719" s="39" t="str">
        <f>IF(OR($C719="総括",$C719="内訳書",$C719="内訳代価",$C719="明細書",$C719="明細代価",$C719="代価表",$C719="単価表"),データ!Q716,"")</f>
        <v/>
      </c>
      <c r="S719" s="11" t="str">
        <f t="shared" si="68"/>
        <v/>
      </c>
      <c r="T719" s="46" t="e">
        <f t="shared" si="69"/>
        <v>#DIV/0!</v>
      </c>
      <c r="U719" s="40" t="str">
        <f>IF(データ!R716="","",データ!R716)</f>
        <v/>
      </c>
      <c r="V719" s="41" t="str">
        <f>IF(データ!S716="","",データ!S716)</f>
        <v/>
      </c>
      <c r="W719" s="42">
        <f>データ!T716</f>
        <v>0</v>
      </c>
      <c r="X719" s="48">
        <f>IF($C719="集計行","",データ!U716)</f>
        <v>0</v>
      </c>
      <c r="Y719" s="48">
        <f>データ!V716</f>
        <v>0</v>
      </c>
      <c r="Z719" s="39" t="str">
        <f>IF(OR($C719="総括",$C719="内訳書",$C719="内訳代価",$C719="明細書",$C719="明細代価",$C719="代価表",$C719="単価表"),データ!W716,"")</f>
        <v/>
      </c>
      <c r="AA719" s="11" t="str">
        <f t="shared" si="70"/>
        <v/>
      </c>
      <c r="AB719" s="46" t="e">
        <f t="shared" si="71"/>
        <v>#DIV/0!</v>
      </c>
      <c r="AC719" s="40" t="str">
        <f>IF(データ!X716="","",データ!X716)</f>
        <v/>
      </c>
      <c r="AD719" s="41" t="str">
        <f>IF(データ!Y716="","",データ!Y716)</f>
        <v/>
      </c>
      <c r="AE719" s="47" t="str">
        <f>TRIM(データ!B716)</f>
        <v/>
      </c>
      <c r="AF719" s="43" t="str">
        <f>TRIM(データ!Z716)</f>
        <v/>
      </c>
    </row>
    <row r="720" spans="1:32" x14ac:dyDescent="0.15">
      <c r="A720" s="47">
        <f>データ!A717</f>
        <v>2</v>
      </c>
      <c r="B720" s="47" t="str">
        <f>TRIM(データ!C717)</f>
        <v/>
      </c>
      <c r="C720" s="47" t="str">
        <f>TRIM(データ!D717)</f>
        <v>内訳書</v>
      </c>
      <c r="D720" s="36" t="str">
        <f>REPT("｜",$A720)&amp;TRIM(データ!E717)</f>
        <v>｜｜路盤工</v>
      </c>
      <c r="E720" s="37" t="str">
        <f>TRIM(データ!F717)</f>
        <v>切り上げ部</v>
      </c>
      <c r="F720" s="38" t="str">
        <f>TRIM(データ!G717)</f>
        <v>m2</v>
      </c>
      <c r="G720" s="50">
        <f>データ!H717</f>
        <v>50</v>
      </c>
      <c r="H720" s="48">
        <f>データ!I717</f>
        <v>5900</v>
      </c>
      <c r="I720" s="48">
        <f>データ!J717</f>
        <v>295000</v>
      </c>
      <c r="J720" s="39">
        <f>IF(OR($C720="総括",$C720="内訳書",$C720="内訳代価",$C720="明細書",$C720="明細代価",$C720="代価表",$C720="単価表"),データ!K717,"")</f>
        <v>50</v>
      </c>
      <c r="K720" s="11" t="str">
        <f t="shared" si="66"/>
        <v/>
      </c>
      <c r="L720" s="46">
        <f t="shared" si="67"/>
        <v>4.2474767108692212E-3</v>
      </c>
      <c r="M720" s="40" t="str">
        <f>IF(データ!L717="","",データ!L717)</f>
        <v/>
      </c>
      <c r="N720" s="41" t="str">
        <f>IF(データ!M717="","",データ!M717)</f>
        <v>93号内訳書</v>
      </c>
      <c r="O720" s="42">
        <f>データ!N717</f>
        <v>0</v>
      </c>
      <c r="P720" s="48">
        <f>IF($C720="集計行","",データ!O717)</f>
        <v>0</v>
      </c>
      <c r="Q720" s="48">
        <f>データ!P717</f>
        <v>0</v>
      </c>
      <c r="R720" s="39">
        <f>IF(OR($C720="総括",$C720="内訳書",$C720="内訳代価",$C720="明細書",$C720="明細代価",$C720="代価表",$C720="単価表"),データ!Q717,"")</f>
        <v>0</v>
      </c>
      <c r="S720" s="11" t="str">
        <f t="shared" si="68"/>
        <v/>
      </c>
      <c r="T720" s="46" t="e">
        <f t="shared" si="69"/>
        <v>#DIV/0!</v>
      </c>
      <c r="U720" s="40" t="str">
        <f>IF(データ!R717="","",データ!R717)</f>
        <v/>
      </c>
      <c r="V720" s="41" t="str">
        <f>IF(データ!S717="","",データ!S717)</f>
        <v/>
      </c>
      <c r="W720" s="42">
        <f>データ!T717</f>
        <v>0</v>
      </c>
      <c r="X720" s="48">
        <f>IF($C720="集計行","",データ!U717)</f>
        <v>0</v>
      </c>
      <c r="Y720" s="48">
        <f>データ!V717</f>
        <v>0</v>
      </c>
      <c r="Z720" s="39">
        <f>IF(OR($C720="総括",$C720="内訳書",$C720="内訳代価",$C720="明細書",$C720="明細代価",$C720="代価表",$C720="単価表"),データ!W717,"")</f>
        <v>0</v>
      </c>
      <c r="AA720" s="11" t="str">
        <f t="shared" si="70"/>
        <v/>
      </c>
      <c r="AB720" s="46" t="e">
        <f t="shared" si="71"/>
        <v>#DIV/0!</v>
      </c>
      <c r="AC720" s="40" t="str">
        <f>IF(データ!X717="","",データ!X717)</f>
        <v/>
      </c>
      <c r="AD720" s="41" t="str">
        <f>IF(データ!Y717="","",データ!Y717)</f>
        <v/>
      </c>
      <c r="AE720" s="47" t="str">
        <f>TRIM(データ!B717)</f>
        <v/>
      </c>
      <c r="AF720" s="43" t="str">
        <f>TRIM(データ!Z717)</f>
        <v/>
      </c>
    </row>
    <row r="721" spans="1:32" x14ac:dyDescent="0.15">
      <c r="A721" s="47">
        <f>データ!A718</f>
        <v>3</v>
      </c>
      <c r="B721" s="47" t="str">
        <f>TRIM(データ!C718)</f>
        <v/>
      </c>
      <c r="C721" s="47" t="str">
        <f>TRIM(データ!D718)</f>
        <v>材料費</v>
      </c>
      <c r="D721" s="36" t="str">
        <f>REPT("｜",$A721)&amp;TRIM(データ!E718)</f>
        <v>｜｜｜RC-40</v>
      </c>
      <c r="E721" s="37" t="str">
        <f>TRIM(データ!F718)</f>
        <v/>
      </c>
      <c r="F721" s="38" t="str">
        <f>TRIM(データ!G718)</f>
        <v>m3</v>
      </c>
      <c r="G721" s="50">
        <f>データ!H718</f>
        <v>7</v>
      </c>
      <c r="H721" s="48">
        <f>データ!I718</f>
        <v>1800</v>
      </c>
      <c r="I721" s="48">
        <f>データ!J718</f>
        <v>12600</v>
      </c>
      <c r="J721" s="39" t="str">
        <f>IF(OR($C721="総括",$C721="内訳書",$C721="内訳代価",$C721="明細書",$C721="明細代価",$C721="代価表",$C721="単価表"),データ!K718,"")</f>
        <v/>
      </c>
      <c r="K721" s="11" t="str">
        <f t="shared" si="66"/>
        <v/>
      </c>
      <c r="L721" s="46">
        <f t="shared" si="67"/>
        <v>1.8141764934560063E-4</v>
      </c>
      <c r="M721" s="40" t="str">
        <f>IF(データ!L718="","",データ!L718)</f>
        <v/>
      </c>
      <c r="N721" s="41" t="str">
        <f>IF(データ!M718="","",データ!M718)</f>
        <v/>
      </c>
      <c r="O721" s="42">
        <f>データ!N718</f>
        <v>0</v>
      </c>
      <c r="P721" s="48">
        <f>IF($C721="集計行","",データ!O718)</f>
        <v>0</v>
      </c>
      <c r="Q721" s="48">
        <f>データ!P718</f>
        <v>0</v>
      </c>
      <c r="R721" s="39" t="str">
        <f>IF(OR($C721="総括",$C721="内訳書",$C721="内訳代価",$C721="明細書",$C721="明細代価",$C721="代価表",$C721="単価表"),データ!Q718,"")</f>
        <v/>
      </c>
      <c r="S721" s="11" t="str">
        <f t="shared" si="68"/>
        <v/>
      </c>
      <c r="T721" s="46" t="e">
        <f t="shared" si="69"/>
        <v>#DIV/0!</v>
      </c>
      <c r="U721" s="40" t="str">
        <f>IF(データ!R718="","",データ!R718)</f>
        <v/>
      </c>
      <c r="V721" s="41" t="str">
        <f>IF(データ!S718="","",データ!S718)</f>
        <v/>
      </c>
      <c r="W721" s="42">
        <f>データ!T718</f>
        <v>0</v>
      </c>
      <c r="X721" s="48">
        <f>IF($C721="集計行","",データ!U718)</f>
        <v>0</v>
      </c>
      <c r="Y721" s="48">
        <f>データ!V718</f>
        <v>0</v>
      </c>
      <c r="Z721" s="39" t="str">
        <f>IF(OR($C721="総括",$C721="内訳書",$C721="内訳代価",$C721="明細書",$C721="明細代価",$C721="代価表",$C721="単価表"),データ!W718,"")</f>
        <v/>
      </c>
      <c r="AA721" s="11" t="str">
        <f t="shared" si="70"/>
        <v/>
      </c>
      <c r="AB721" s="46" t="e">
        <f t="shared" si="71"/>
        <v>#DIV/0!</v>
      </c>
      <c r="AC721" s="40" t="str">
        <f>IF(データ!X718="","",データ!X718)</f>
        <v/>
      </c>
      <c r="AD721" s="41" t="str">
        <f>IF(データ!Y718="","",データ!Y718)</f>
        <v/>
      </c>
      <c r="AE721" s="47" t="str">
        <f>TRIM(データ!B718)</f>
        <v/>
      </c>
      <c r="AF721" s="43" t="str">
        <f>TRIM(データ!Z718)</f>
        <v/>
      </c>
    </row>
    <row r="722" spans="1:32" x14ac:dyDescent="0.15">
      <c r="A722" s="47">
        <f>データ!A719</f>
        <v>3</v>
      </c>
      <c r="B722" s="47" t="str">
        <f>TRIM(データ!C719)</f>
        <v/>
      </c>
      <c r="C722" s="47" t="str">
        <f>TRIM(データ!D719)</f>
        <v>材料費</v>
      </c>
      <c r="D722" s="36" t="str">
        <f>REPT("｜",$A722)&amp;TRIM(データ!E719)</f>
        <v>｜｜｜砂</v>
      </c>
      <c r="E722" s="37" t="str">
        <f>TRIM(データ!F719)</f>
        <v>フィルター層</v>
      </c>
      <c r="F722" s="38" t="str">
        <f>TRIM(データ!G719)</f>
        <v>m3</v>
      </c>
      <c r="G722" s="50">
        <f>データ!H719</f>
        <v>7</v>
      </c>
      <c r="H722" s="48">
        <f>データ!I719</f>
        <v>4000</v>
      </c>
      <c r="I722" s="48">
        <f>データ!J719</f>
        <v>28000</v>
      </c>
      <c r="J722" s="39" t="str">
        <f>IF(OR($C722="総括",$C722="内訳書",$C722="内訳代価",$C722="明細書",$C722="明細代価",$C722="代価表",$C722="単価表"),データ!K719,"")</f>
        <v/>
      </c>
      <c r="K722" s="11" t="str">
        <f t="shared" si="66"/>
        <v/>
      </c>
      <c r="L722" s="46">
        <f t="shared" si="67"/>
        <v>4.0315033187911248E-4</v>
      </c>
      <c r="M722" s="40" t="str">
        <f>IF(データ!L719="","",データ!L719)</f>
        <v/>
      </c>
      <c r="N722" s="41" t="str">
        <f>IF(データ!M719="","",データ!M719)</f>
        <v/>
      </c>
      <c r="O722" s="42">
        <f>データ!N719</f>
        <v>0</v>
      </c>
      <c r="P722" s="48">
        <f>IF($C722="集計行","",データ!O719)</f>
        <v>0</v>
      </c>
      <c r="Q722" s="48">
        <f>データ!P719</f>
        <v>0</v>
      </c>
      <c r="R722" s="39" t="str">
        <f>IF(OR($C722="総括",$C722="内訳書",$C722="内訳代価",$C722="明細書",$C722="明細代価",$C722="代価表",$C722="単価表"),データ!Q719,"")</f>
        <v/>
      </c>
      <c r="S722" s="11" t="str">
        <f t="shared" si="68"/>
        <v/>
      </c>
      <c r="T722" s="46" t="e">
        <f t="shared" si="69"/>
        <v>#DIV/0!</v>
      </c>
      <c r="U722" s="40" t="str">
        <f>IF(データ!R719="","",データ!R719)</f>
        <v/>
      </c>
      <c r="V722" s="41" t="str">
        <f>IF(データ!S719="","",データ!S719)</f>
        <v/>
      </c>
      <c r="W722" s="42">
        <f>データ!T719</f>
        <v>0</v>
      </c>
      <c r="X722" s="48">
        <f>IF($C722="集計行","",データ!U719)</f>
        <v>0</v>
      </c>
      <c r="Y722" s="48">
        <f>データ!V719</f>
        <v>0</v>
      </c>
      <c r="Z722" s="39" t="str">
        <f>IF(OR($C722="総括",$C722="内訳書",$C722="内訳代価",$C722="明細書",$C722="明細代価",$C722="代価表",$C722="単価表"),データ!W719,"")</f>
        <v/>
      </c>
      <c r="AA722" s="11" t="str">
        <f t="shared" si="70"/>
        <v/>
      </c>
      <c r="AB722" s="46" t="e">
        <f t="shared" si="71"/>
        <v>#DIV/0!</v>
      </c>
      <c r="AC722" s="40" t="str">
        <f>IF(データ!X719="","",データ!X719)</f>
        <v/>
      </c>
      <c r="AD722" s="41" t="str">
        <f>IF(データ!Y719="","",データ!Y719)</f>
        <v/>
      </c>
      <c r="AE722" s="47" t="str">
        <f>TRIM(データ!B719)</f>
        <v/>
      </c>
      <c r="AF722" s="43" t="str">
        <f>TRIM(データ!Z719)</f>
        <v/>
      </c>
    </row>
    <row r="723" spans="1:32" x14ac:dyDescent="0.15">
      <c r="A723" s="47">
        <f>データ!A720</f>
        <v>3</v>
      </c>
      <c r="B723" s="47" t="str">
        <f>TRIM(データ!C720)</f>
        <v/>
      </c>
      <c r="C723" s="47" t="str">
        <f>TRIM(データ!D720)</f>
        <v>労務費</v>
      </c>
      <c r="D723" s="36" t="str">
        <f>REPT("｜",$A723)&amp;TRIM(データ!E720)</f>
        <v>｜｜｜技工</v>
      </c>
      <c r="E723" s="37" t="str">
        <f>TRIM(データ!F720)</f>
        <v/>
      </c>
      <c r="F723" s="38" t="str">
        <f>TRIM(データ!G720)</f>
        <v>人</v>
      </c>
      <c r="G723" s="50">
        <f>データ!H720</f>
        <v>5</v>
      </c>
      <c r="H723" s="48">
        <f>データ!I720</f>
        <v>32000</v>
      </c>
      <c r="I723" s="48">
        <f>データ!J720</f>
        <v>160000</v>
      </c>
      <c r="J723" s="39" t="str">
        <f>IF(OR($C723="総括",$C723="内訳書",$C723="内訳代価",$C723="明細書",$C723="明細代価",$C723="代価表",$C723="単価表"),データ!K720,"")</f>
        <v/>
      </c>
      <c r="K723" s="11" t="str">
        <f t="shared" si="66"/>
        <v/>
      </c>
      <c r="L723" s="46">
        <f t="shared" si="67"/>
        <v>2.303716182166357E-3</v>
      </c>
      <c r="M723" s="40" t="str">
        <f>IF(データ!L720="","",データ!L720)</f>
        <v/>
      </c>
      <c r="N723" s="41" t="str">
        <f>IF(データ!M720="","",データ!M720)</f>
        <v/>
      </c>
      <c r="O723" s="42">
        <f>データ!N720</f>
        <v>0</v>
      </c>
      <c r="P723" s="48">
        <f>IF($C723="集計行","",データ!O720)</f>
        <v>0</v>
      </c>
      <c r="Q723" s="48">
        <f>データ!P720</f>
        <v>0</v>
      </c>
      <c r="R723" s="39" t="str">
        <f>IF(OR($C723="総括",$C723="内訳書",$C723="内訳代価",$C723="明細書",$C723="明細代価",$C723="代価表",$C723="単価表"),データ!Q720,"")</f>
        <v/>
      </c>
      <c r="S723" s="11" t="str">
        <f t="shared" si="68"/>
        <v/>
      </c>
      <c r="T723" s="46" t="e">
        <f t="shared" si="69"/>
        <v>#DIV/0!</v>
      </c>
      <c r="U723" s="40" t="str">
        <f>IF(データ!R720="","",データ!R720)</f>
        <v/>
      </c>
      <c r="V723" s="41" t="str">
        <f>IF(データ!S720="","",データ!S720)</f>
        <v/>
      </c>
      <c r="W723" s="42">
        <f>データ!T720</f>
        <v>0</v>
      </c>
      <c r="X723" s="48">
        <f>IF($C723="集計行","",データ!U720)</f>
        <v>0</v>
      </c>
      <c r="Y723" s="48">
        <f>データ!V720</f>
        <v>0</v>
      </c>
      <c r="Z723" s="39" t="str">
        <f>IF(OR($C723="総括",$C723="内訳書",$C723="内訳代価",$C723="明細書",$C723="明細代価",$C723="代価表",$C723="単価表"),データ!W720,"")</f>
        <v/>
      </c>
      <c r="AA723" s="11" t="str">
        <f t="shared" si="70"/>
        <v/>
      </c>
      <c r="AB723" s="46" t="e">
        <f t="shared" si="71"/>
        <v>#DIV/0!</v>
      </c>
      <c r="AC723" s="40" t="str">
        <f>IF(データ!X720="","",データ!X720)</f>
        <v/>
      </c>
      <c r="AD723" s="41" t="str">
        <f>IF(データ!Y720="","",データ!Y720)</f>
        <v/>
      </c>
      <c r="AE723" s="47" t="str">
        <f>TRIM(データ!B720)</f>
        <v/>
      </c>
      <c r="AF723" s="43" t="str">
        <f>TRIM(データ!Z720)</f>
        <v/>
      </c>
    </row>
    <row r="724" spans="1:32" x14ac:dyDescent="0.15">
      <c r="A724" s="47">
        <f>データ!A721</f>
        <v>3</v>
      </c>
      <c r="B724" s="47" t="str">
        <f>TRIM(データ!C721)</f>
        <v/>
      </c>
      <c r="C724" s="47" t="str">
        <f>TRIM(データ!D721)</f>
        <v>機械費</v>
      </c>
      <c r="D724" s="36" t="str">
        <f>REPT("｜",$A724)&amp;TRIM(データ!E721)</f>
        <v>｜｜｜BH0.15</v>
      </c>
      <c r="E724" s="37" t="str">
        <f>TRIM(データ!F721)</f>
        <v/>
      </c>
      <c r="F724" s="38" t="str">
        <f>TRIM(データ!G721)</f>
        <v>台</v>
      </c>
      <c r="G724" s="50">
        <f>データ!H721</f>
        <v>1</v>
      </c>
      <c r="H724" s="48">
        <f>データ!I721</f>
        <v>8000</v>
      </c>
      <c r="I724" s="48">
        <f>データ!J721</f>
        <v>8000</v>
      </c>
      <c r="J724" s="39" t="str">
        <f>IF(OR($C724="総括",$C724="内訳書",$C724="内訳代価",$C724="明細書",$C724="明細代価",$C724="代価表",$C724="単価表"),データ!K721,"")</f>
        <v/>
      </c>
      <c r="K724" s="11" t="str">
        <f t="shared" si="66"/>
        <v/>
      </c>
      <c r="L724" s="46">
        <f t="shared" si="67"/>
        <v>1.1518580910831785E-4</v>
      </c>
      <c r="M724" s="40" t="str">
        <f>IF(データ!L721="","",データ!L721)</f>
        <v/>
      </c>
      <c r="N724" s="41" t="str">
        <f>IF(データ!M721="","",データ!M721)</f>
        <v/>
      </c>
      <c r="O724" s="42">
        <f>データ!N721</f>
        <v>0</v>
      </c>
      <c r="P724" s="48">
        <f>IF($C724="集計行","",データ!O721)</f>
        <v>0</v>
      </c>
      <c r="Q724" s="48">
        <f>データ!P721</f>
        <v>0</v>
      </c>
      <c r="R724" s="39" t="str">
        <f>IF(OR($C724="総括",$C724="内訳書",$C724="内訳代価",$C724="明細書",$C724="明細代価",$C724="代価表",$C724="単価表"),データ!Q721,"")</f>
        <v/>
      </c>
      <c r="S724" s="11" t="str">
        <f t="shared" si="68"/>
        <v/>
      </c>
      <c r="T724" s="46" t="e">
        <f t="shared" si="69"/>
        <v>#DIV/0!</v>
      </c>
      <c r="U724" s="40" t="str">
        <f>IF(データ!R721="","",データ!R721)</f>
        <v/>
      </c>
      <c r="V724" s="41" t="str">
        <f>IF(データ!S721="","",データ!S721)</f>
        <v/>
      </c>
      <c r="W724" s="42">
        <f>データ!T721</f>
        <v>0</v>
      </c>
      <c r="X724" s="48">
        <f>IF($C724="集計行","",データ!U721)</f>
        <v>0</v>
      </c>
      <c r="Y724" s="48">
        <f>データ!V721</f>
        <v>0</v>
      </c>
      <c r="Z724" s="39" t="str">
        <f>IF(OR($C724="総括",$C724="内訳書",$C724="内訳代価",$C724="明細書",$C724="明細代価",$C724="代価表",$C724="単価表"),データ!W721,"")</f>
        <v/>
      </c>
      <c r="AA724" s="11" t="str">
        <f t="shared" si="70"/>
        <v/>
      </c>
      <c r="AB724" s="46" t="e">
        <f t="shared" si="71"/>
        <v>#DIV/0!</v>
      </c>
      <c r="AC724" s="40" t="str">
        <f>IF(データ!X721="","",データ!X721)</f>
        <v/>
      </c>
      <c r="AD724" s="41" t="str">
        <f>IF(データ!Y721="","",データ!Y721)</f>
        <v/>
      </c>
      <c r="AE724" s="47" t="str">
        <f>TRIM(データ!B721)</f>
        <v/>
      </c>
      <c r="AF724" s="43" t="str">
        <f>TRIM(データ!Z721)</f>
        <v/>
      </c>
    </row>
    <row r="725" spans="1:32" x14ac:dyDescent="0.15">
      <c r="A725" s="47">
        <f>データ!A722</f>
        <v>3</v>
      </c>
      <c r="B725" s="47" t="str">
        <f>TRIM(データ!C722)</f>
        <v/>
      </c>
      <c r="C725" s="47" t="str">
        <f>TRIM(データ!D722)</f>
        <v>機械費</v>
      </c>
      <c r="D725" s="36" t="str">
        <f>REPT("｜",$A725)&amp;TRIM(データ!E722)</f>
        <v>｜｜｜コンバインドローラ</v>
      </c>
      <c r="E725" s="37" t="str">
        <f>TRIM(データ!F722)</f>
        <v/>
      </c>
      <c r="F725" s="38" t="str">
        <f>TRIM(データ!G722)</f>
        <v>台</v>
      </c>
      <c r="G725" s="50">
        <f>データ!H722</f>
        <v>1</v>
      </c>
      <c r="H725" s="48">
        <f>データ!I722</f>
        <v>8000</v>
      </c>
      <c r="I725" s="48">
        <f>データ!J722</f>
        <v>8000</v>
      </c>
      <c r="J725" s="39" t="str">
        <f>IF(OR($C725="総括",$C725="内訳書",$C725="内訳代価",$C725="明細書",$C725="明細代価",$C725="代価表",$C725="単価表"),データ!K722,"")</f>
        <v/>
      </c>
      <c r="K725" s="11" t="str">
        <f t="shared" si="66"/>
        <v/>
      </c>
      <c r="L725" s="46">
        <f t="shared" si="67"/>
        <v>1.1518580910831785E-4</v>
      </c>
      <c r="M725" s="40" t="str">
        <f>IF(データ!L722="","",データ!L722)</f>
        <v/>
      </c>
      <c r="N725" s="41" t="str">
        <f>IF(データ!M722="","",データ!M722)</f>
        <v/>
      </c>
      <c r="O725" s="42">
        <f>データ!N722</f>
        <v>0</v>
      </c>
      <c r="P725" s="48">
        <f>IF($C725="集計行","",データ!O722)</f>
        <v>0</v>
      </c>
      <c r="Q725" s="48">
        <f>データ!P722</f>
        <v>0</v>
      </c>
      <c r="R725" s="39" t="str">
        <f>IF(OR($C725="総括",$C725="内訳書",$C725="内訳代価",$C725="明細書",$C725="明細代価",$C725="代価表",$C725="単価表"),データ!Q722,"")</f>
        <v/>
      </c>
      <c r="S725" s="11" t="str">
        <f t="shared" si="68"/>
        <v/>
      </c>
      <c r="T725" s="46" t="e">
        <f t="shared" si="69"/>
        <v>#DIV/0!</v>
      </c>
      <c r="U725" s="40" t="str">
        <f>IF(データ!R722="","",データ!R722)</f>
        <v/>
      </c>
      <c r="V725" s="41" t="str">
        <f>IF(データ!S722="","",データ!S722)</f>
        <v/>
      </c>
      <c r="W725" s="42">
        <f>データ!T722</f>
        <v>0</v>
      </c>
      <c r="X725" s="48">
        <f>IF($C725="集計行","",データ!U722)</f>
        <v>0</v>
      </c>
      <c r="Y725" s="48">
        <f>データ!V722</f>
        <v>0</v>
      </c>
      <c r="Z725" s="39" t="str">
        <f>IF(OR($C725="総括",$C725="内訳書",$C725="内訳代価",$C725="明細書",$C725="明細代価",$C725="代価表",$C725="単価表"),データ!W722,"")</f>
        <v/>
      </c>
      <c r="AA725" s="11" t="str">
        <f t="shared" si="70"/>
        <v/>
      </c>
      <c r="AB725" s="46" t="e">
        <f t="shared" si="71"/>
        <v>#DIV/0!</v>
      </c>
      <c r="AC725" s="40" t="str">
        <f>IF(データ!X722="","",データ!X722)</f>
        <v/>
      </c>
      <c r="AD725" s="41" t="str">
        <f>IF(データ!Y722="","",データ!Y722)</f>
        <v/>
      </c>
      <c r="AE725" s="47" t="str">
        <f>TRIM(データ!B722)</f>
        <v/>
      </c>
      <c r="AF725" s="43" t="str">
        <f>TRIM(データ!Z722)</f>
        <v/>
      </c>
    </row>
    <row r="726" spans="1:32" x14ac:dyDescent="0.15">
      <c r="A726" s="47">
        <f>データ!A723</f>
        <v>3</v>
      </c>
      <c r="B726" s="47" t="str">
        <f>TRIM(データ!C723)</f>
        <v/>
      </c>
      <c r="C726" s="47" t="str">
        <f>TRIM(データ!D723)</f>
        <v>機械費</v>
      </c>
      <c r="D726" s="36" t="str">
        <f>REPT("｜",$A726)&amp;TRIM(データ!E723)</f>
        <v>｜｜｜ランマー</v>
      </c>
      <c r="E726" s="37" t="str">
        <f>TRIM(データ!F723)</f>
        <v/>
      </c>
      <c r="F726" s="38" t="str">
        <f>TRIM(データ!G723)</f>
        <v>台</v>
      </c>
      <c r="G726" s="50">
        <f>データ!H723</f>
        <v>1</v>
      </c>
      <c r="H726" s="48">
        <f>データ!I723</f>
        <v>1500</v>
      </c>
      <c r="I726" s="48">
        <f>データ!J723</f>
        <v>1500</v>
      </c>
      <c r="J726" s="39" t="str">
        <f>IF(OR($C726="総括",$C726="内訳書",$C726="内訳代価",$C726="明細書",$C726="明細代価",$C726="代価表",$C726="単価表"),データ!K723,"")</f>
        <v/>
      </c>
      <c r="K726" s="11" t="str">
        <f t="shared" si="66"/>
        <v/>
      </c>
      <c r="L726" s="46">
        <f t="shared" si="67"/>
        <v>2.1597339207809597E-5</v>
      </c>
      <c r="M726" s="40" t="str">
        <f>IF(データ!L723="","",データ!L723)</f>
        <v/>
      </c>
      <c r="N726" s="41" t="str">
        <f>IF(データ!M723="","",データ!M723)</f>
        <v/>
      </c>
      <c r="O726" s="42">
        <f>データ!N723</f>
        <v>0</v>
      </c>
      <c r="P726" s="48">
        <f>IF($C726="集計行","",データ!O723)</f>
        <v>0</v>
      </c>
      <c r="Q726" s="48">
        <f>データ!P723</f>
        <v>0</v>
      </c>
      <c r="R726" s="39" t="str">
        <f>IF(OR($C726="総括",$C726="内訳書",$C726="内訳代価",$C726="明細書",$C726="明細代価",$C726="代価表",$C726="単価表"),データ!Q723,"")</f>
        <v/>
      </c>
      <c r="S726" s="11" t="str">
        <f t="shared" si="68"/>
        <v/>
      </c>
      <c r="T726" s="46" t="e">
        <f t="shared" si="69"/>
        <v>#DIV/0!</v>
      </c>
      <c r="U726" s="40" t="str">
        <f>IF(データ!R723="","",データ!R723)</f>
        <v/>
      </c>
      <c r="V726" s="41" t="str">
        <f>IF(データ!S723="","",データ!S723)</f>
        <v/>
      </c>
      <c r="W726" s="42">
        <f>データ!T723</f>
        <v>0</v>
      </c>
      <c r="X726" s="48">
        <f>IF($C726="集計行","",データ!U723)</f>
        <v>0</v>
      </c>
      <c r="Y726" s="48">
        <f>データ!V723</f>
        <v>0</v>
      </c>
      <c r="Z726" s="39" t="str">
        <f>IF(OR($C726="総括",$C726="内訳書",$C726="内訳代価",$C726="明細書",$C726="明細代価",$C726="代価表",$C726="単価表"),データ!W723,"")</f>
        <v/>
      </c>
      <c r="AA726" s="11" t="str">
        <f t="shared" si="70"/>
        <v/>
      </c>
      <c r="AB726" s="46" t="e">
        <f t="shared" si="71"/>
        <v>#DIV/0!</v>
      </c>
      <c r="AC726" s="40" t="str">
        <f>IF(データ!X723="","",データ!X723)</f>
        <v/>
      </c>
      <c r="AD726" s="41" t="str">
        <f>IF(データ!Y723="","",データ!Y723)</f>
        <v/>
      </c>
      <c r="AE726" s="47" t="str">
        <f>TRIM(データ!B723)</f>
        <v/>
      </c>
      <c r="AF726" s="43" t="str">
        <f>TRIM(データ!Z723)</f>
        <v/>
      </c>
    </row>
    <row r="727" spans="1:32" x14ac:dyDescent="0.15">
      <c r="A727" s="47">
        <f>データ!A724</f>
        <v>3</v>
      </c>
      <c r="B727" s="47" t="str">
        <f>TRIM(データ!C724)</f>
        <v/>
      </c>
      <c r="C727" s="47" t="str">
        <f>TRIM(データ!D724)</f>
        <v>機械費</v>
      </c>
      <c r="D727" s="36" t="str">
        <f>REPT("｜",$A727)&amp;TRIM(データ!E724)</f>
        <v>｜｜｜プレート</v>
      </c>
      <c r="E727" s="37" t="str">
        <f>TRIM(データ!F724)</f>
        <v/>
      </c>
      <c r="F727" s="38" t="str">
        <f>TRIM(データ!G724)</f>
        <v>台</v>
      </c>
      <c r="G727" s="50">
        <f>データ!H724</f>
        <v>1</v>
      </c>
      <c r="H727" s="48">
        <f>データ!I724</f>
        <v>1500</v>
      </c>
      <c r="I727" s="48">
        <f>データ!J724</f>
        <v>1500</v>
      </c>
      <c r="J727" s="39" t="str">
        <f>IF(OR($C727="総括",$C727="内訳書",$C727="内訳代価",$C727="明細書",$C727="明細代価",$C727="代価表",$C727="単価表"),データ!K724,"")</f>
        <v/>
      </c>
      <c r="K727" s="11" t="str">
        <f t="shared" si="66"/>
        <v/>
      </c>
      <c r="L727" s="46">
        <f t="shared" si="67"/>
        <v>2.1597339207809597E-5</v>
      </c>
      <c r="M727" s="40" t="str">
        <f>IF(データ!L724="","",データ!L724)</f>
        <v/>
      </c>
      <c r="N727" s="41" t="str">
        <f>IF(データ!M724="","",データ!M724)</f>
        <v/>
      </c>
      <c r="O727" s="42">
        <f>データ!N724</f>
        <v>0</v>
      </c>
      <c r="P727" s="48">
        <f>IF($C727="集計行","",データ!O724)</f>
        <v>0</v>
      </c>
      <c r="Q727" s="48">
        <f>データ!P724</f>
        <v>0</v>
      </c>
      <c r="R727" s="39" t="str">
        <f>IF(OR($C727="総括",$C727="内訳書",$C727="内訳代価",$C727="明細書",$C727="明細代価",$C727="代価表",$C727="単価表"),データ!Q724,"")</f>
        <v/>
      </c>
      <c r="S727" s="11" t="str">
        <f t="shared" si="68"/>
        <v/>
      </c>
      <c r="T727" s="46" t="e">
        <f t="shared" si="69"/>
        <v>#DIV/0!</v>
      </c>
      <c r="U727" s="40" t="str">
        <f>IF(データ!R724="","",データ!R724)</f>
        <v/>
      </c>
      <c r="V727" s="41" t="str">
        <f>IF(データ!S724="","",データ!S724)</f>
        <v/>
      </c>
      <c r="W727" s="42">
        <f>データ!T724</f>
        <v>0</v>
      </c>
      <c r="X727" s="48">
        <f>IF($C727="集計行","",データ!U724)</f>
        <v>0</v>
      </c>
      <c r="Y727" s="48">
        <f>データ!V724</f>
        <v>0</v>
      </c>
      <c r="Z727" s="39" t="str">
        <f>IF(OR($C727="総括",$C727="内訳書",$C727="内訳代価",$C727="明細書",$C727="明細代価",$C727="代価表",$C727="単価表"),データ!W724,"")</f>
        <v/>
      </c>
      <c r="AA727" s="11" t="str">
        <f t="shared" si="70"/>
        <v/>
      </c>
      <c r="AB727" s="46" t="e">
        <f t="shared" si="71"/>
        <v>#DIV/0!</v>
      </c>
      <c r="AC727" s="40" t="str">
        <f>IF(データ!X724="","",データ!X724)</f>
        <v/>
      </c>
      <c r="AD727" s="41" t="str">
        <f>IF(データ!Y724="","",データ!Y724)</f>
        <v/>
      </c>
      <c r="AE727" s="47" t="str">
        <f>TRIM(データ!B724)</f>
        <v/>
      </c>
      <c r="AF727" s="43" t="str">
        <f>TRIM(データ!Z724)</f>
        <v/>
      </c>
    </row>
    <row r="728" spans="1:32" x14ac:dyDescent="0.15">
      <c r="A728" s="47">
        <f>データ!A725</f>
        <v>3</v>
      </c>
      <c r="B728" s="47" t="str">
        <f>TRIM(データ!C725)</f>
        <v/>
      </c>
      <c r="C728" s="47" t="str">
        <f>TRIM(データ!D725)</f>
        <v>運搬費</v>
      </c>
      <c r="D728" s="36" t="str">
        <f>REPT("｜",$A728)&amp;TRIM(データ!E725)</f>
        <v>｜｜｜4tダンプ</v>
      </c>
      <c r="E728" s="37" t="str">
        <f>TRIM(データ!F725)</f>
        <v/>
      </c>
      <c r="F728" s="38" t="str">
        <f>TRIM(データ!G725)</f>
        <v>台</v>
      </c>
      <c r="G728" s="50">
        <f>データ!H725</f>
        <v>1</v>
      </c>
      <c r="H728" s="48">
        <f>データ!I725</f>
        <v>10000</v>
      </c>
      <c r="I728" s="48">
        <f>データ!J725</f>
        <v>10000</v>
      </c>
      <c r="J728" s="39" t="str">
        <f>IF(OR($C728="総括",$C728="内訳書",$C728="内訳代価",$C728="明細書",$C728="明細代価",$C728="代価表",$C728="単価表"),データ!K725,"")</f>
        <v/>
      </c>
      <c r="K728" s="11" t="str">
        <f t="shared" si="66"/>
        <v/>
      </c>
      <c r="L728" s="46">
        <f t="shared" si="67"/>
        <v>1.4398226138539731E-4</v>
      </c>
      <c r="M728" s="40" t="str">
        <f>IF(データ!L725="","",データ!L725)</f>
        <v/>
      </c>
      <c r="N728" s="41" t="str">
        <f>IF(データ!M725="","",データ!M725)</f>
        <v/>
      </c>
      <c r="O728" s="42">
        <f>データ!N725</f>
        <v>0</v>
      </c>
      <c r="P728" s="48">
        <f>IF($C728="集計行","",データ!O725)</f>
        <v>0</v>
      </c>
      <c r="Q728" s="48">
        <f>データ!P725</f>
        <v>0</v>
      </c>
      <c r="R728" s="39" t="str">
        <f>IF(OR($C728="総括",$C728="内訳書",$C728="内訳代価",$C728="明細書",$C728="明細代価",$C728="代価表",$C728="単価表"),データ!Q725,"")</f>
        <v/>
      </c>
      <c r="S728" s="11" t="str">
        <f t="shared" si="68"/>
        <v/>
      </c>
      <c r="T728" s="46" t="e">
        <f t="shared" si="69"/>
        <v>#DIV/0!</v>
      </c>
      <c r="U728" s="40" t="str">
        <f>IF(データ!R725="","",データ!R725)</f>
        <v/>
      </c>
      <c r="V728" s="41" t="str">
        <f>IF(データ!S725="","",データ!S725)</f>
        <v/>
      </c>
      <c r="W728" s="42">
        <f>データ!T725</f>
        <v>0</v>
      </c>
      <c r="X728" s="48">
        <f>IF($C728="集計行","",データ!U725)</f>
        <v>0</v>
      </c>
      <c r="Y728" s="48">
        <f>データ!V725</f>
        <v>0</v>
      </c>
      <c r="Z728" s="39" t="str">
        <f>IF(OR($C728="総括",$C728="内訳書",$C728="内訳代価",$C728="明細書",$C728="明細代価",$C728="代価表",$C728="単価表"),データ!W725,"")</f>
        <v/>
      </c>
      <c r="AA728" s="11" t="str">
        <f t="shared" si="70"/>
        <v/>
      </c>
      <c r="AB728" s="46" t="e">
        <f t="shared" si="71"/>
        <v>#DIV/0!</v>
      </c>
      <c r="AC728" s="40" t="str">
        <f>IF(データ!X725="","",データ!X725)</f>
        <v/>
      </c>
      <c r="AD728" s="41" t="str">
        <f>IF(データ!Y725="","",データ!Y725)</f>
        <v/>
      </c>
      <c r="AE728" s="47" t="str">
        <f>TRIM(データ!B725)</f>
        <v/>
      </c>
      <c r="AF728" s="43" t="str">
        <f>TRIM(データ!Z725)</f>
        <v/>
      </c>
    </row>
    <row r="729" spans="1:32" x14ac:dyDescent="0.15">
      <c r="A729" s="47">
        <f>データ!A726</f>
        <v>3</v>
      </c>
      <c r="B729" s="47" t="str">
        <f>TRIM(データ!C726)</f>
        <v/>
      </c>
      <c r="C729" s="47" t="str">
        <f>TRIM(データ!D726)</f>
        <v>運搬費</v>
      </c>
      <c r="D729" s="36" t="str">
        <f>REPT("｜",$A729)&amp;TRIM(データ!E726)</f>
        <v>｜｜｜2tダンプ</v>
      </c>
      <c r="E729" s="37" t="str">
        <f>TRIM(データ!F726)</f>
        <v/>
      </c>
      <c r="F729" s="38" t="str">
        <f>TRIM(データ!G726)</f>
        <v>台</v>
      </c>
      <c r="G729" s="50">
        <f>データ!H726</f>
        <v>1</v>
      </c>
      <c r="H729" s="48">
        <f>データ!I726</f>
        <v>7000</v>
      </c>
      <c r="I729" s="48">
        <f>データ!J726</f>
        <v>7000</v>
      </c>
      <c r="J729" s="39" t="str">
        <f>IF(OR($C729="総括",$C729="内訳書",$C729="内訳代価",$C729="明細書",$C729="明細代価",$C729="代価表",$C729="単価表"),データ!K726,"")</f>
        <v/>
      </c>
      <c r="K729" s="11" t="str">
        <f t="shared" si="66"/>
        <v/>
      </c>
      <c r="L729" s="46">
        <f t="shared" si="67"/>
        <v>1.0078758296977812E-4</v>
      </c>
      <c r="M729" s="40" t="str">
        <f>IF(データ!L726="","",データ!L726)</f>
        <v/>
      </c>
      <c r="N729" s="41" t="str">
        <f>IF(データ!M726="","",データ!M726)</f>
        <v/>
      </c>
      <c r="O729" s="42">
        <f>データ!N726</f>
        <v>0</v>
      </c>
      <c r="P729" s="48">
        <f>IF($C729="集計行","",データ!O726)</f>
        <v>0</v>
      </c>
      <c r="Q729" s="48">
        <f>データ!P726</f>
        <v>0</v>
      </c>
      <c r="R729" s="39" t="str">
        <f>IF(OR($C729="総括",$C729="内訳書",$C729="内訳代価",$C729="明細書",$C729="明細代価",$C729="代価表",$C729="単価表"),データ!Q726,"")</f>
        <v/>
      </c>
      <c r="S729" s="11" t="str">
        <f t="shared" si="68"/>
        <v/>
      </c>
      <c r="T729" s="46" t="e">
        <f t="shared" si="69"/>
        <v>#DIV/0!</v>
      </c>
      <c r="U729" s="40" t="str">
        <f>IF(データ!R726="","",データ!R726)</f>
        <v/>
      </c>
      <c r="V729" s="41" t="str">
        <f>IF(データ!S726="","",データ!S726)</f>
        <v/>
      </c>
      <c r="W729" s="42">
        <f>データ!T726</f>
        <v>0</v>
      </c>
      <c r="X729" s="48">
        <f>IF($C729="集計行","",データ!U726)</f>
        <v>0</v>
      </c>
      <c r="Y729" s="48">
        <f>データ!V726</f>
        <v>0</v>
      </c>
      <c r="Z729" s="39" t="str">
        <f>IF(OR($C729="総括",$C729="内訳書",$C729="内訳代価",$C729="明細書",$C729="明細代価",$C729="代価表",$C729="単価表"),データ!W726,"")</f>
        <v/>
      </c>
      <c r="AA729" s="11" t="str">
        <f t="shared" si="70"/>
        <v/>
      </c>
      <c r="AB729" s="46" t="e">
        <f t="shared" si="71"/>
        <v>#DIV/0!</v>
      </c>
      <c r="AC729" s="40" t="str">
        <f>IF(データ!X726="","",データ!X726)</f>
        <v/>
      </c>
      <c r="AD729" s="41" t="str">
        <f>IF(データ!Y726="","",データ!Y726)</f>
        <v/>
      </c>
      <c r="AE729" s="47" t="str">
        <f>TRIM(データ!B726)</f>
        <v/>
      </c>
      <c r="AF729" s="43" t="str">
        <f>TRIM(データ!Z726)</f>
        <v/>
      </c>
    </row>
    <row r="730" spans="1:32" x14ac:dyDescent="0.15">
      <c r="A730" s="47">
        <f>データ!A727</f>
        <v>3</v>
      </c>
      <c r="B730" s="47" t="str">
        <f>TRIM(データ!C727)</f>
        <v/>
      </c>
      <c r="C730" s="47" t="str">
        <f>TRIM(データ!D727)</f>
        <v>材料費</v>
      </c>
      <c r="D730" s="36" t="str">
        <f>REPT("｜",$A730)&amp;TRIM(データ!E727)</f>
        <v>｜｜｜軽油</v>
      </c>
      <c r="E730" s="37" t="str">
        <f>TRIM(データ!F727)</f>
        <v/>
      </c>
      <c r="F730" s="38" t="str">
        <f>TRIM(データ!G727)</f>
        <v>リットル</v>
      </c>
      <c r="G730" s="50">
        <f>データ!H727</f>
        <v>60</v>
      </c>
      <c r="H730" s="48">
        <f>データ!I727</f>
        <v>150</v>
      </c>
      <c r="I730" s="48">
        <f>データ!J727</f>
        <v>9000</v>
      </c>
      <c r="J730" s="39" t="str">
        <f>IF(OR($C730="総括",$C730="内訳書",$C730="内訳代価",$C730="明細書",$C730="明細代価",$C730="代価表",$C730="単価表"),データ!K727,"")</f>
        <v/>
      </c>
      <c r="K730" s="11" t="str">
        <f t="shared" si="66"/>
        <v/>
      </c>
      <c r="L730" s="46">
        <f t="shared" si="67"/>
        <v>1.295840352468576E-4</v>
      </c>
      <c r="M730" s="40" t="str">
        <f>IF(データ!L727="","",データ!L727)</f>
        <v/>
      </c>
      <c r="N730" s="41" t="str">
        <f>IF(データ!M727="","",データ!M727)</f>
        <v/>
      </c>
      <c r="O730" s="42">
        <f>データ!N727</f>
        <v>0</v>
      </c>
      <c r="P730" s="48">
        <f>IF($C730="集計行","",データ!O727)</f>
        <v>0</v>
      </c>
      <c r="Q730" s="48">
        <f>データ!P727</f>
        <v>0</v>
      </c>
      <c r="R730" s="39" t="str">
        <f>IF(OR($C730="総括",$C730="内訳書",$C730="内訳代価",$C730="明細書",$C730="明細代価",$C730="代価表",$C730="単価表"),データ!Q727,"")</f>
        <v/>
      </c>
      <c r="S730" s="11" t="str">
        <f t="shared" si="68"/>
        <v/>
      </c>
      <c r="T730" s="46" t="e">
        <f t="shared" si="69"/>
        <v>#DIV/0!</v>
      </c>
      <c r="U730" s="40" t="str">
        <f>IF(データ!R727="","",データ!R727)</f>
        <v/>
      </c>
      <c r="V730" s="41" t="str">
        <f>IF(データ!S727="","",データ!S727)</f>
        <v/>
      </c>
      <c r="W730" s="42">
        <f>データ!T727</f>
        <v>0</v>
      </c>
      <c r="X730" s="48">
        <f>IF($C730="集計行","",データ!U727)</f>
        <v>0</v>
      </c>
      <c r="Y730" s="48">
        <f>データ!V727</f>
        <v>0</v>
      </c>
      <c r="Z730" s="39" t="str">
        <f>IF(OR($C730="総括",$C730="内訳書",$C730="内訳代価",$C730="明細書",$C730="明細代価",$C730="代価表",$C730="単価表"),データ!W727,"")</f>
        <v/>
      </c>
      <c r="AA730" s="11" t="str">
        <f t="shared" si="70"/>
        <v/>
      </c>
      <c r="AB730" s="46" t="e">
        <f t="shared" si="71"/>
        <v>#DIV/0!</v>
      </c>
      <c r="AC730" s="40" t="str">
        <f>IF(データ!X727="","",データ!X727)</f>
        <v/>
      </c>
      <c r="AD730" s="41" t="str">
        <f>IF(データ!Y727="","",データ!Y727)</f>
        <v/>
      </c>
      <c r="AE730" s="47" t="str">
        <f>TRIM(データ!B727)</f>
        <v/>
      </c>
      <c r="AF730" s="43" t="str">
        <f>TRIM(データ!Z727)</f>
        <v/>
      </c>
    </row>
    <row r="731" spans="1:32" x14ac:dyDescent="0.15">
      <c r="A731" s="47">
        <f>データ!A728</f>
        <v>3</v>
      </c>
      <c r="B731" s="47" t="str">
        <f>TRIM(データ!C728)</f>
        <v/>
      </c>
      <c r="C731" s="47" t="str">
        <f>TRIM(データ!D728)</f>
        <v>材料費</v>
      </c>
      <c r="D731" s="36" t="str">
        <f>REPT("｜",$A731)&amp;TRIM(データ!E728)</f>
        <v>｜｜｜ガソリン</v>
      </c>
      <c r="E731" s="37" t="str">
        <f>TRIM(データ!F728)</f>
        <v/>
      </c>
      <c r="F731" s="38" t="str">
        <f>TRIM(データ!G728)</f>
        <v>リットル</v>
      </c>
      <c r="G731" s="50">
        <f>データ!H728</f>
        <v>40</v>
      </c>
      <c r="H731" s="48">
        <f>データ!I728</f>
        <v>200</v>
      </c>
      <c r="I731" s="48">
        <f>データ!J728</f>
        <v>8000</v>
      </c>
      <c r="J731" s="39" t="str">
        <f>IF(OR($C731="総括",$C731="内訳書",$C731="内訳代価",$C731="明細書",$C731="明細代価",$C731="代価表",$C731="単価表"),データ!K728,"")</f>
        <v/>
      </c>
      <c r="K731" s="11" t="str">
        <f t="shared" si="66"/>
        <v/>
      </c>
      <c r="L731" s="46">
        <f t="shared" si="67"/>
        <v>1.1518580910831785E-4</v>
      </c>
      <c r="M731" s="40" t="str">
        <f>IF(データ!L728="","",データ!L728)</f>
        <v/>
      </c>
      <c r="N731" s="41" t="str">
        <f>IF(データ!M728="","",データ!M728)</f>
        <v/>
      </c>
      <c r="O731" s="42">
        <f>データ!N728</f>
        <v>0</v>
      </c>
      <c r="P731" s="48">
        <f>IF($C731="集計行","",データ!O728)</f>
        <v>0</v>
      </c>
      <c r="Q731" s="48">
        <f>データ!P728</f>
        <v>0</v>
      </c>
      <c r="R731" s="39" t="str">
        <f>IF(OR($C731="総括",$C731="内訳書",$C731="内訳代価",$C731="明細書",$C731="明細代価",$C731="代価表",$C731="単価表"),データ!Q728,"")</f>
        <v/>
      </c>
      <c r="S731" s="11" t="str">
        <f t="shared" si="68"/>
        <v/>
      </c>
      <c r="T731" s="46" t="e">
        <f t="shared" si="69"/>
        <v>#DIV/0!</v>
      </c>
      <c r="U731" s="40" t="str">
        <f>IF(データ!R728="","",データ!R728)</f>
        <v/>
      </c>
      <c r="V731" s="41" t="str">
        <f>IF(データ!S728="","",データ!S728)</f>
        <v/>
      </c>
      <c r="W731" s="42">
        <f>データ!T728</f>
        <v>0</v>
      </c>
      <c r="X731" s="48">
        <f>IF($C731="集計行","",データ!U728)</f>
        <v>0</v>
      </c>
      <c r="Y731" s="48">
        <f>データ!V728</f>
        <v>0</v>
      </c>
      <c r="Z731" s="39" t="str">
        <f>IF(OR($C731="総括",$C731="内訳書",$C731="内訳代価",$C731="明細書",$C731="明細代価",$C731="代価表",$C731="単価表"),データ!W728,"")</f>
        <v/>
      </c>
      <c r="AA731" s="11" t="str">
        <f t="shared" si="70"/>
        <v/>
      </c>
      <c r="AB731" s="46" t="e">
        <f t="shared" si="71"/>
        <v>#DIV/0!</v>
      </c>
      <c r="AC731" s="40" t="str">
        <f>IF(データ!X728="","",データ!X728)</f>
        <v/>
      </c>
      <c r="AD731" s="41" t="str">
        <f>IF(データ!Y728="","",データ!Y728)</f>
        <v/>
      </c>
      <c r="AE731" s="47" t="str">
        <f>TRIM(データ!B728)</f>
        <v/>
      </c>
      <c r="AF731" s="43" t="str">
        <f>TRIM(データ!Z728)</f>
        <v/>
      </c>
    </row>
    <row r="732" spans="1:32" x14ac:dyDescent="0.15">
      <c r="A732" s="47">
        <f>データ!A729</f>
        <v>3</v>
      </c>
      <c r="B732" s="47" t="str">
        <f>TRIM(データ!C729)</f>
        <v/>
      </c>
      <c r="C732" s="47" t="str">
        <f>TRIM(データ!D729)</f>
        <v>外注費</v>
      </c>
      <c r="D732" s="36" t="str">
        <f>REPT("｜",$A732)&amp;TRIM(データ!E729)</f>
        <v>｜｜｜外注経費</v>
      </c>
      <c r="E732" s="37" t="str">
        <f>TRIM(データ!F729)</f>
        <v/>
      </c>
      <c r="F732" s="38" t="str">
        <f>TRIM(データ!G729)</f>
        <v>式</v>
      </c>
      <c r="G732" s="50">
        <f>データ!H729</f>
        <v>1</v>
      </c>
      <c r="H732" s="48">
        <f>データ!I729</f>
        <v>21400</v>
      </c>
      <c r="I732" s="48">
        <f>データ!J729</f>
        <v>21400</v>
      </c>
      <c r="J732" s="39" t="str">
        <f>IF(OR($C732="総括",$C732="内訳書",$C732="内訳代価",$C732="明細書",$C732="明細代価",$C732="代価表",$C732="単価表"),データ!K729,"")</f>
        <v/>
      </c>
      <c r="K732" s="11" t="str">
        <f t="shared" si="66"/>
        <v/>
      </c>
      <c r="L732" s="46">
        <f t="shared" si="67"/>
        <v>3.0812203936475026E-4</v>
      </c>
      <c r="M732" s="40" t="str">
        <f>IF(データ!L729="","",データ!L729)</f>
        <v/>
      </c>
      <c r="N732" s="41" t="str">
        <f>IF(データ!M729="","",データ!M729)</f>
        <v/>
      </c>
      <c r="O732" s="42">
        <f>データ!N729</f>
        <v>0</v>
      </c>
      <c r="P732" s="48">
        <f>IF($C732="集計行","",データ!O729)</f>
        <v>0</v>
      </c>
      <c r="Q732" s="48">
        <f>データ!P729</f>
        <v>0</v>
      </c>
      <c r="R732" s="39" t="str">
        <f>IF(OR($C732="総括",$C732="内訳書",$C732="内訳代価",$C732="明細書",$C732="明細代価",$C732="代価表",$C732="単価表"),データ!Q729,"")</f>
        <v/>
      </c>
      <c r="S732" s="11" t="str">
        <f t="shared" si="68"/>
        <v/>
      </c>
      <c r="T732" s="46" t="e">
        <f t="shared" si="69"/>
        <v>#DIV/0!</v>
      </c>
      <c r="U732" s="40" t="str">
        <f>IF(データ!R729="","",データ!R729)</f>
        <v/>
      </c>
      <c r="V732" s="41" t="str">
        <f>IF(データ!S729="","",データ!S729)</f>
        <v/>
      </c>
      <c r="W732" s="42">
        <f>データ!T729</f>
        <v>0</v>
      </c>
      <c r="X732" s="48">
        <f>IF($C732="集計行","",データ!U729)</f>
        <v>0</v>
      </c>
      <c r="Y732" s="48">
        <f>データ!V729</f>
        <v>0</v>
      </c>
      <c r="Z732" s="39" t="str">
        <f>IF(OR($C732="総括",$C732="内訳書",$C732="内訳代価",$C732="明細書",$C732="明細代価",$C732="代価表",$C732="単価表"),データ!W729,"")</f>
        <v/>
      </c>
      <c r="AA732" s="11" t="str">
        <f t="shared" si="70"/>
        <v/>
      </c>
      <c r="AB732" s="46" t="e">
        <f t="shared" si="71"/>
        <v>#DIV/0!</v>
      </c>
      <c r="AC732" s="40" t="str">
        <f>IF(データ!X729="","",データ!X729)</f>
        <v/>
      </c>
      <c r="AD732" s="41" t="str">
        <f>IF(データ!Y729="","",データ!Y729)</f>
        <v/>
      </c>
      <c r="AE732" s="47" t="str">
        <f>TRIM(データ!B729)</f>
        <v/>
      </c>
      <c r="AF732" s="43" t="str">
        <f>TRIM(データ!Z729)</f>
        <v/>
      </c>
    </row>
    <row r="733" spans="1:32" x14ac:dyDescent="0.15">
      <c r="A733" s="47">
        <f>データ!A730</f>
        <v>3</v>
      </c>
      <c r="B733" s="47" t="str">
        <f>TRIM(データ!C730)</f>
        <v/>
      </c>
      <c r="C733" s="47" t="str">
        <f>TRIM(データ!D730)</f>
        <v>材料費</v>
      </c>
      <c r="D733" s="36" t="str">
        <f>REPT("｜",$A733)&amp;TRIM(データ!E730)</f>
        <v>｜｜｜雑材</v>
      </c>
      <c r="E733" s="37" t="str">
        <f>TRIM(データ!F730)</f>
        <v/>
      </c>
      <c r="F733" s="38" t="str">
        <f>TRIM(データ!G730)</f>
        <v>式</v>
      </c>
      <c r="G733" s="50">
        <f>データ!H730</f>
        <v>1</v>
      </c>
      <c r="H733" s="48">
        <f>データ!I730</f>
        <v>20000</v>
      </c>
      <c r="I733" s="48">
        <f>データ!J730</f>
        <v>20000</v>
      </c>
      <c r="J733" s="39" t="str">
        <f>IF(OR($C733="総括",$C733="内訳書",$C733="内訳代価",$C733="明細書",$C733="明細代価",$C733="代価表",$C733="単価表"),データ!K730,"")</f>
        <v/>
      </c>
      <c r="K733" s="11" t="str">
        <f t="shared" si="66"/>
        <v/>
      </c>
      <c r="L733" s="46">
        <f t="shared" si="67"/>
        <v>2.8796452277079463E-4</v>
      </c>
      <c r="M733" s="40" t="str">
        <f>IF(データ!L730="","",データ!L730)</f>
        <v/>
      </c>
      <c r="N733" s="41" t="str">
        <f>IF(データ!M730="","",データ!M730)</f>
        <v/>
      </c>
      <c r="O733" s="42">
        <f>データ!N730</f>
        <v>0</v>
      </c>
      <c r="P733" s="48">
        <f>IF($C733="集計行","",データ!O730)</f>
        <v>0</v>
      </c>
      <c r="Q733" s="48">
        <f>データ!P730</f>
        <v>0</v>
      </c>
      <c r="R733" s="39" t="str">
        <f>IF(OR($C733="総括",$C733="内訳書",$C733="内訳代価",$C733="明細書",$C733="明細代価",$C733="代価表",$C733="単価表"),データ!Q730,"")</f>
        <v/>
      </c>
      <c r="S733" s="11" t="str">
        <f t="shared" si="68"/>
        <v/>
      </c>
      <c r="T733" s="46" t="e">
        <f t="shared" si="69"/>
        <v>#DIV/0!</v>
      </c>
      <c r="U733" s="40" t="str">
        <f>IF(データ!R730="","",データ!R730)</f>
        <v/>
      </c>
      <c r="V733" s="41" t="str">
        <f>IF(データ!S730="","",データ!S730)</f>
        <v/>
      </c>
      <c r="W733" s="42">
        <f>データ!T730</f>
        <v>0</v>
      </c>
      <c r="X733" s="48">
        <f>IF($C733="集計行","",データ!U730)</f>
        <v>0</v>
      </c>
      <c r="Y733" s="48">
        <f>データ!V730</f>
        <v>0</v>
      </c>
      <c r="Z733" s="39" t="str">
        <f>IF(OR($C733="総括",$C733="内訳書",$C733="内訳代価",$C733="明細書",$C733="明細代価",$C733="代価表",$C733="単価表"),データ!W730,"")</f>
        <v/>
      </c>
      <c r="AA733" s="11" t="str">
        <f t="shared" si="70"/>
        <v/>
      </c>
      <c r="AB733" s="46" t="e">
        <f t="shared" si="71"/>
        <v>#DIV/0!</v>
      </c>
      <c r="AC733" s="40" t="str">
        <f>IF(データ!X730="","",データ!X730)</f>
        <v/>
      </c>
      <c r="AD733" s="41" t="str">
        <f>IF(データ!Y730="","",データ!Y730)</f>
        <v/>
      </c>
      <c r="AE733" s="47" t="str">
        <f>TRIM(データ!B730)</f>
        <v/>
      </c>
      <c r="AF733" s="43" t="str">
        <f>TRIM(データ!Z730)</f>
        <v/>
      </c>
    </row>
    <row r="734" spans="1:32" x14ac:dyDescent="0.15">
      <c r="A734" s="47">
        <f>データ!A731</f>
        <v>2</v>
      </c>
      <c r="B734" s="47" t="str">
        <f>TRIM(データ!C731)</f>
        <v/>
      </c>
      <c r="C734" s="47" t="str">
        <f>TRIM(データ!D731)</f>
        <v>内訳書</v>
      </c>
      <c r="D734" s="36" t="str">
        <f>REPT("｜",$A734)&amp;TRIM(データ!E731)</f>
        <v>｜｜アスファルト舗装</v>
      </c>
      <c r="E734" s="37" t="str">
        <f>TRIM(データ!F731)</f>
        <v>切り下げ部</v>
      </c>
      <c r="F734" s="38" t="str">
        <f>TRIM(データ!G731)</f>
        <v>m2</v>
      </c>
      <c r="G734" s="50">
        <f>データ!H731</f>
        <v>45</v>
      </c>
      <c r="H734" s="48">
        <f>データ!I731</f>
        <v>16350</v>
      </c>
      <c r="I734" s="48">
        <f>データ!J731</f>
        <v>735750</v>
      </c>
      <c r="J734" s="39">
        <f>IF(OR($C734="総括",$C734="内訳書",$C734="内訳代価",$C734="明細書",$C734="明細代価",$C734="代価表",$C734="単価表"),データ!K731,"")</f>
        <v>45</v>
      </c>
      <c r="K734" s="11" t="str">
        <f t="shared" si="66"/>
        <v/>
      </c>
      <c r="L734" s="46">
        <f t="shared" si="67"/>
        <v>1.0593494881430607E-2</v>
      </c>
      <c r="M734" s="40" t="str">
        <f>IF(データ!L731="","",データ!L731)</f>
        <v/>
      </c>
      <c r="N734" s="41" t="str">
        <f>IF(データ!M731="","",データ!M731)</f>
        <v>94号内訳書</v>
      </c>
      <c r="O734" s="42">
        <f>データ!N731</f>
        <v>0</v>
      </c>
      <c r="P734" s="48">
        <f>IF($C734="集計行","",データ!O731)</f>
        <v>0</v>
      </c>
      <c r="Q734" s="48">
        <f>データ!P731</f>
        <v>0</v>
      </c>
      <c r="R734" s="39">
        <f>IF(OR($C734="総括",$C734="内訳書",$C734="内訳代価",$C734="明細書",$C734="明細代価",$C734="代価表",$C734="単価表"),データ!Q731,"")</f>
        <v>0</v>
      </c>
      <c r="S734" s="11" t="str">
        <f t="shared" si="68"/>
        <v/>
      </c>
      <c r="T734" s="46" t="e">
        <f t="shared" si="69"/>
        <v>#DIV/0!</v>
      </c>
      <c r="U734" s="40" t="str">
        <f>IF(データ!R731="","",データ!R731)</f>
        <v/>
      </c>
      <c r="V734" s="41" t="str">
        <f>IF(データ!S731="","",データ!S731)</f>
        <v/>
      </c>
      <c r="W734" s="42">
        <f>データ!T731</f>
        <v>0</v>
      </c>
      <c r="X734" s="48">
        <f>IF($C734="集計行","",データ!U731)</f>
        <v>0</v>
      </c>
      <c r="Y734" s="48">
        <f>データ!V731</f>
        <v>0</v>
      </c>
      <c r="Z734" s="39">
        <f>IF(OR($C734="総括",$C734="内訳書",$C734="内訳代価",$C734="明細書",$C734="明細代価",$C734="代価表",$C734="単価表"),データ!W731,"")</f>
        <v>0</v>
      </c>
      <c r="AA734" s="11" t="str">
        <f t="shared" si="70"/>
        <v/>
      </c>
      <c r="AB734" s="46" t="e">
        <f t="shared" si="71"/>
        <v>#DIV/0!</v>
      </c>
      <c r="AC734" s="40" t="str">
        <f>IF(データ!X731="","",データ!X731)</f>
        <v/>
      </c>
      <c r="AD734" s="41" t="str">
        <f>IF(データ!Y731="","",データ!Y731)</f>
        <v/>
      </c>
      <c r="AE734" s="47" t="str">
        <f>TRIM(データ!B731)</f>
        <v/>
      </c>
      <c r="AF734" s="43" t="str">
        <f>TRIM(データ!Z731)</f>
        <v/>
      </c>
    </row>
    <row r="735" spans="1:32" x14ac:dyDescent="0.15">
      <c r="A735" s="47">
        <f>データ!A732</f>
        <v>3</v>
      </c>
      <c r="B735" s="47" t="str">
        <f>TRIM(データ!C732)</f>
        <v/>
      </c>
      <c r="C735" s="47" t="str">
        <f>TRIM(データ!D732)</f>
        <v>材料費</v>
      </c>
      <c r="D735" s="36" t="str">
        <f>REPT("｜",$A735)&amp;TRIM(データ!E732)</f>
        <v>｜｜｜密粒度アスコン</v>
      </c>
      <c r="E735" s="37" t="str">
        <f>TRIM(データ!F732)</f>
        <v/>
      </c>
      <c r="F735" s="38" t="str">
        <f>TRIM(データ!G732)</f>
        <v>ｔ</v>
      </c>
      <c r="G735" s="50">
        <f>データ!H732</f>
        <v>8</v>
      </c>
      <c r="H735" s="48">
        <f>データ!I732</f>
        <v>11000</v>
      </c>
      <c r="I735" s="48">
        <f>データ!J732</f>
        <v>88000</v>
      </c>
      <c r="J735" s="39" t="str">
        <f>IF(OR($C735="総括",$C735="内訳書",$C735="内訳代価",$C735="明細書",$C735="明細代価",$C735="代価表",$C735="単価表"),データ!K732,"")</f>
        <v/>
      </c>
      <c r="K735" s="11" t="str">
        <f t="shared" si="66"/>
        <v/>
      </c>
      <c r="L735" s="46">
        <f t="shared" si="67"/>
        <v>1.2670439001914965E-3</v>
      </c>
      <c r="M735" s="40" t="str">
        <f>IF(データ!L732="","",データ!L732)</f>
        <v/>
      </c>
      <c r="N735" s="41" t="str">
        <f>IF(データ!M732="","",データ!M732)</f>
        <v/>
      </c>
      <c r="O735" s="42">
        <f>データ!N732</f>
        <v>0</v>
      </c>
      <c r="P735" s="48">
        <f>IF($C735="集計行","",データ!O732)</f>
        <v>0</v>
      </c>
      <c r="Q735" s="48">
        <f>データ!P732</f>
        <v>0</v>
      </c>
      <c r="R735" s="39" t="str">
        <f>IF(OR($C735="総括",$C735="内訳書",$C735="内訳代価",$C735="明細書",$C735="明細代価",$C735="代価表",$C735="単価表"),データ!Q732,"")</f>
        <v/>
      </c>
      <c r="S735" s="11" t="str">
        <f t="shared" si="68"/>
        <v/>
      </c>
      <c r="T735" s="46" t="e">
        <f t="shared" si="69"/>
        <v>#DIV/0!</v>
      </c>
      <c r="U735" s="40" t="str">
        <f>IF(データ!R732="","",データ!R732)</f>
        <v/>
      </c>
      <c r="V735" s="41" t="str">
        <f>IF(データ!S732="","",データ!S732)</f>
        <v/>
      </c>
      <c r="W735" s="42">
        <f>データ!T732</f>
        <v>0</v>
      </c>
      <c r="X735" s="48">
        <f>IF($C735="集計行","",データ!U732)</f>
        <v>0</v>
      </c>
      <c r="Y735" s="48">
        <f>データ!V732</f>
        <v>0</v>
      </c>
      <c r="Z735" s="39" t="str">
        <f>IF(OR($C735="総括",$C735="内訳書",$C735="内訳代価",$C735="明細書",$C735="明細代価",$C735="代価表",$C735="単価表"),データ!W732,"")</f>
        <v/>
      </c>
      <c r="AA735" s="11" t="str">
        <f t="shared" si="70"/>
        <v/>
      </c>
      <c r="AB735" s="46" t="e">
        <f t="shared" si="71"/>
        <v>#DIV/0!</v>
      </c>
      <c r="AC735" s="40" t="str">
        <f>IF(データ!X732="","",データ!X732)</f>
        <v/>
      </c>
      <c r="AD735" s="41" t="str">
        <f>IF(データ!Y732="","",データ!Y732)</f>
        <v/>
      </c>
      <c r="AE735" s="47" t="str">
        <f>TRIM(データ!B732)</f>
        <v/>
      </c>
      <c r="AF735" s="43" t="str">
        <f>TRIM(データ!Z732)</f>
        <v/>
      </c>
    </row>
    <row r="736" spans="1:32" x14ac:dyDescent="0.15">
      <c r="A736" s="47">
        <f>データ!A733</f>
        <v>3</v>
      </c>
      <c r="B736" s="47" t="str">
        <f>TRIM(データ!C733)</f>
        <v/>
      </c>
      <c r="C736" s="47" t="str">
        <f>TRIM(データ!D733)</f>
        <v>材料費</v>
      </c>
      <c r="D736" s="36" t="str">
        <f>REPT("｜",$A736)&amp;TRIM(データ!E733)</f>
        <v>｜｜｜粗粒度アスコン</v>
      </c>
      <c r="E736" s="37" t="str">
        <f>TRIM(データ!F733)</f>
        <v/>
      </c>
      <c r="F736" s="38" t="str">
        <f>TRIM(データ!G733)</f>
        <v>ｔ</v>
      </c>
      <c r="G736" s="50">
        <f>データ!H733</f>
        <v>15</v>
      </c>
      <c r="H736" s="48">
        <f>データ!I733</f>
        <v>12000</v>
      </c>
      <c r="I736" s="48">
        <f>データ!J733</f>
        <v>180000</v>
      </c>
      <c r="J736" s="39" t="str">
        <f>IF(OR($C736="総括",$C736="内訳書",$C736="内訳代価",$C736="明細書",$C736="明細代価",$C736="代価表",$C736="単価表"),データ!K733,"")</f>
        <v/>
      </c>
      <c r="K736" s="11" t="str">
        <f t="shared" si="66"/>
        <v/>
      </c>
      <c r="L736" s="46">
        <f t="shared" si="67"/>
        <v>2.5916807049371519E-3</v>
      </c>
      <c r="M736" s="40" t="str">
        <f>IF(データ!L733="","",データ!L733)</f>
        <v/>
      </c>
      <c r="N736" s="41" t="str">
        <f>IF(データ!M733="","",データ!M733)</f>
        <v/>
      </c>
      <c r="O736" s="42">
        <f>データ!N733</f>
        <v>0</v>
      </c>
      <c r="P736" s="48">
        <f>IF($C736="集計行","",データ!O733)</f>
        <v>0</v>
      </c>
      <c r="Q736" s="48">
        <f>データ!P733</f>
        <v>0</v>
      </c>
      <c r="R736" s="39" t="str">
        <f>IF(OR($C736="総括",$C736="内訳書",$C736="内訳代価",$C736="明細書",$C736="明細代価",$C736="代価表",$C736="単価表"),データ!Q733,"")</f>
        <v/>
      </c>
      <c r="S736" s="11" t="str">
        <f t="shared" si="68"/>
        <v/>
      </c>
      <c r="T736" s="46" t="e">
        <f t="shared" si="69"/>
        <v>#DIV/0!</v>
      </c>
      <c r="U736" s="40" t="str">
        <f>IF(データ!R733="","",データ!R733)</f>
        <v/>
      </c>
      <c r="V736" s="41" t="str">
        <f>IF(データ!S733="","",データ!S733)</f>
        <v/>
      </c>
      <c r="W736" s="42">
        <f>データ!T733</f>
        <v>0</v>
      </c>
      <c r="X736" s="48">
        <f>IF($C736="集計行","",データ!U733)</f>
        <v>0</v>
      </c>
      <c r="Y736" s="48">
        <f>データ!V733</f>
        <v>0</v>
      </c>
      <c r="Z736" s="39" t="str">
        <f>IF(OR($C736="総括",$C736="内訳書",$C736="内訳代価",$C736="明細書",$C736="明細代価",$C736="代価表",$C736="単価表"),データ!W733,"")</f>
        <v/>
      </c>
      <c r="AA736" s="11" t="str">
        <f t="shared" si="70"/>
        <v/>
      </c>
      <c r="AB736" s="46" t="e">
        <f t="shared" si="71"/>
        <v>#DIV/0!</v>
      </c>
      <c r="AC736" s="40" t="str">
        <f>IF(データ!X733="","",データ!X733)</f>
        <v/>
      </c>
      <c r="AD736" s="41" t="str">
        <f>IF(データ!Y733="","",データ!Y733)</f>
        <v/>
      </c>
      <c r="AE736" s="47" t="str">
        <f>TRIM(データ!B733)</f>
        <v/>
      </c>
      <c r="AF736" s="43" t="str">
        <f>TRIM(データ!Z733)</f>
        <v/>
      </c>
    </row>
    <row r="737" spans="1:32" x14ac:dyDescent="0.15">
      <c r="A737" s="47">
        <f>データ!A734</f>
        <v>3</v>
      </c>
      <c r="B737" s="47" t="str">
        <f>TRIM(データ!C734)</f>
        <v/>
      </c>
      <c r="C737" s="47" t="str">
        <f>TRIM(データ!D734)</f>
        <v>材料費</v>
      </c>
      <c r="D737" s="36" t="str">
        <f>REPT("｜",$A737)&amp;TRIM(データ!E734)</f>
        <v>｜｜｜PK-3</v>
      </c>
      <c r="E737" s="37" t="str">
        <f>TRIM(データ!F734)</f>
        <v/>
      </c>
      <c r="F737" s="38" t="str">
        <f>TRIM(データ!G734)</f>
        <v>リットル</v>
      </c>
      <c r="G737" s="50">
        <f>データ!H734</f>
        <v>60</v>
      </c>
      <c r="H737" s="48">
        <f>データ!I734</f>
        <v>100</v>
      </c>
      <c r="I737" s="48">
        <f>データ!J734</f>
        <v>6000</v>
      </c>
      <c r="J737" s="39" t="str">
        <f>IF(OR($C737="総括",$C737="内訳書",$C737="内訳代価",$C737="明細書",$C737="明細代価",$C737="代価表",$C737="単価表"),データ!K734,"")</f>
        <v/>
      </c>
      <c r="K737" s="11" t="str">
        <f t="shared" si="66"/>
        <v/>
      </c>
      <c r="L737" s="46">
        <f t="shared" si="67"/>
        <v>8.6389356831238388E-5</v>
      </c>
      <c r="M737" s="40" t="str">
        <f>IF(データ!L734="","",データ!L734)</f>
        <v/>
      </c>
      <c r="N737" s="41" t="str">
        <f>IF(データ!M734="","",データ!M734)</f>
        <v/>
      </c>
      <c r="O737" s="42">
        <f>データ!N734</f>
        <v>0</v>
      </c>
      <c r="P737" s="48">
        <f>IF($C737="集計行","",データ!O734)</f>
        <v>0</v>
      </c>
      <c r="Q737" s="48">
        <f>データ!P734</f>
        <v>0</v>
      </c>
      <c r="R737" s="39" t="str">
        <f>IF(OR($C737="総括",$C737="内訳書",$C737="内訳代価",$C737="明細書",$C737="明細代価",$C737="代価表",$C737="単価表"),データ!Q734,"")</f>
        <v/>
      </c>
      <c r="S737" s="11" t="str">
        <f t="shared" si="68"/>
        <v/>
      </c>
      <c r="T737" s="46" t="e">
        <f t="shared" si="69"/>
        <v>#DIV/0!</v>
      </c>
      <c r="U737" s="40" t="str">
        <f>IF(データ!R734="","",データ!R734)</f>
        <v/>
      </c>
      <c r="V737" s="41" t="str">
        <f>IF(データ!S734="","",データ!S734)</f>
        <v/>
      </c>
      <c r="W737" s="42">
        <f>データ!T734</f>
        <v>0</v>
      </c>
      <c r="X737" s="48">
        <f>IF($C737="集計行","",データ!U734)</f>
        <v>0</v>
      </c>
      <c r="Y737" s="48">
        <f>データ!V734</f>
        <v>0</v>
      </c>
      <c r="Z737" s="39" t="str">
        <f>IF(OR($C737="総括",$C737="内訳書",$C737="内訳代価",$C737="明細書",$C737="明細代価",$C737="代価表",$C737="単価表"),データ!W734,"")</f>
        <v/>
      </c>
      <c r="AA737" s="11" t="str">
        <f t="shared" si="70"/>
        <v/>
      </c>
      <c r="AB737" s="46" t="e">
        <f t="shared" si="71"/>
        <v>#DIV/0!</v>
      </c>
      <c r="AC737" s="40" t="str">
        <f>IF(データ!X734="","",データ!X734)</f>
        <v/>
      </c>
      <c r="AD737" s="41" t="str">
        <f>IF(データ!Y734="","",データ!Y734)</f>
        <v/>
      </c>
      <c r="AE737" s="47" t="str">
        <f>TRIM(データ!B734)</f>
        <v/>
      </c>
      <c r="AF737" s="43" t="str">
        <f>TRIM(データ!Z734)</f>
        <v/>
      </c>
    </row>
    <row r="738" spans="1:32" x14ac:dyDescent="0.15">
      <c r="A738" s="47">
        <f>データ!A735</f>
        <v>3</v>
      </c>
      <c r="B738" s="47" t="str">
        <f>TRIM(データ!C735)</f>
        <v/>
      </c>
      <c r="C738" s="47" t="str">
        <f>TRIM(データ!D735)</f>
        <v>材料費</v>
      </c>
      <c r="D738" s="36" t="str">
        <f>REPT("｜",$A738)&amp;TRIM(データ!E735)</f>
        <v>｜｜｜タックファイン</v>
      </c>
      <c r="E738" s="37" t="str">
        <f>TRIM(データ!F735)</f>
        <v/>
      </c>
      <c r="F738" s="38" t="str">
        <f>TRIM(データ!G735)</f>
        <v>リットル</v>
      </c>
      <c r="G738" s="50">
        <f>データ!H735</f>
        <v>30</v>
      </c>
      <c r="H738" s="48">
        <f>データ!I735</f>
        <v>150</v>
      </c>
      <c r="I738" s="48">
        <f>データ!J735</f>
        <v>4500</v>
      </c>
      <c r="J738" s="39" t="str">
        <f>IF(OR($C738="総括",$C738="内訳書",$C738="内訳代価",$C738="明細書",$C738="明細代価",$C738="代価表",$C738="単価表"),データ!K735,"")</f>
        <v/>
      </c>
      <c r="K738" s="11" t="str">
        <f t="shared" si="66"/>
        <v/>
      </c>
      <c r="L738" s="46">
        <f t="shared" si="67"/>
        <v>6.4792017623428798E-5</v>
      </c>
      <c r="M738" s="40" t="str">
        <f>IF(データ!L735="","",データ!L735)</f>
        <v/>
      </c>
      <c r="N738" s="41" t="str">
        <f>IF(データ!M735="","",データ!M735)</f>
        <v/>
      </c>
      <c r="O738" s="42">
        <f>データ!N735</f>
        <v>0</v>
      </c>
      <c r="P738" s="48">
        <f>IF($C738="集計行","",データ!O735)</f>
        <v>0</v>
      </c>
      <c r="Q738" s="48">
        <f>データ!P735</f>
        <v>0</v>
      </c>
      <c r="R738" s="39" t="str">
        <f>IF(OR($C738="総括",$C738="内訳書",$C738="内訳代価",$C738="明細書",$C738="明細代価",$C738="代価表",$C738="単価表"),データ!Q735,"")</f>
        <v/>
      </c>
      <c r="S738" s="11" t="str">
        <f t="shared" si="68"/>
        <v/>
      </c>
      <c r="T738" s="46" t="e">
        <f t="shared" si="69"/>
        <v>#DIV/0!</v>
      </c>
      <c r="U738" s="40" t="str">
        <f>IF(データ!R735="","",データ!R735)</f>
        <v/>
      </c>
      <c r="V738" s="41" t="str">
        <f>IF(データ!S735="","",データ!S735)</f>
        <v/>
      </c>
      <c r="W738" s="42">
        <f>データ!T735</f>
        <v>0</v>
      </c>
      <c r="X738" s="48">
        <f>IF($C738="集計行","",データ!U735)</f>
        <v>0</v>
      </c>
      <c r="Y738" s="48">
        <f>データ!V735</f>
        <v>0</v>
      </c>
      <c r="Z738" s="39" t="str">
        <f>IF(OR($C738="総括",$C738="内訳書",$C738="内訳代価",$C738="明細書",$C738="明細代価",$C738="代価表",$C738="単価表"),データ!W735,"")</f>
        <v/>
      </c>
      <c r="AA738" s="11" t="str">
        <f t="shared" si="70"/>
        <v/>
      </c>
      <c r="AB738" s="46" t="e">
        <f t="shared" si="71"/>
        <v>#DIV/0!</v>
      </c>
      <c r="AC738" s="40" t="str">
        <f>IF(データ!X735="","",データ!X735)</f>
        <v/>
      </c>
      <c r="AD738" s="41" t="str">
        <f>IF(データ!Y735="","",データ!Y735)</f>
        <v/>
      </c>
      <c r="AE738" s="47" t="str">
        <f>TRIM(データ!B735)</f>
        <v/>
      </c>
      <c r="AF738" s="43" t="str">
        <f>TRIM(データ!Z735)</f>
        <v/>
      </c>
    </row>
    <row r="739" spans="1:32" x14ac:dyDescent="0.15">
      <c r="A739" s="47">
        <f>データ!A736</f>
        <v>3</v>
      </c>
      <c r="B739" s="47" t="str">
        <f>TRIM(データ!C736)</f>
        <v/>
      </c>
      <c r="C739" s="47" t="str">
        <f>TRIM(データ!D736)</f>
        <v>労務費</v>
      </c>
      <c r="D739" s="36" t="str">
        <f>REPT("｜",$A739)&amp;TRIM(データ!E736)</f>
        <v>｜｜｜技工</v>
      </c>
      <c r="E739" s="37" t="str">
        <f>TRIM(データ!F736)</f>
        <v/>
      </c>
      <c r="F739" s="38" t="str">
        <f>TRIM(データ!G736)</f>
        <v>人</v>
      </c>
      <c r="G739" s="50">
        <f>データ!H736</f>
        <v>10</v>
      </c>
      <c r="H739" s="48">
        <f>データ!I736</f>
        <v>32000</v>
      </c>
      <c r="I739" s="48">
        <f>データ!J736</f>
        <v>320000</v>
      </c>
      <c r="J739" s="39" t="str">
        <f>IF(OR($C739="総括",$C739="内訳書",$C739="内訳代価",$C739="明細書",$C739="明細代価",$C739="代価表",$C739="単価表"),データ!K736,"")</f>
        <v/>
      </c>
      <c r="K739" s="11" t="str">
        <f t="shared" si="66"/>
        <v/>
      </c>
      <c r="L739" s="46">
        <f t="shared" si="67"/>
        <v>4.607432364332714E-3</v>
      </c>
      <c r="M739" s="40" t="str">
        <f>IF(データ!L736="","",データ!L736)</f>
        <v/>
      </c>
      <c r="N739" s="41" t="str">
        <f>IF(データ!M736="","",データ!M736)</f>
        <v/>
      </c>
      <c r="O739" s="42">
        <f>データ!N736</f>
        <v>0</v>
      </c>
      <c r="P739" s="48">
        <f>IF($C739="集計行","",データ!O736)</f>
        <v>0</v>
      </c>
      <c r="Q739" s="48">
        <f>データ!P736</f>
        <v>0</v>
      </c>
      <c r="R739" s="39" t="str">
        <f>IF(OR($C739="総括",$C739="内訳書",$C739="内訳代価",$C739="明細書",$C739="明細代価",$C739="代価表",$C739="単価表"),データ!Q736,"")</f>
        <v/>
      </c>
      <c r="S739" s="11" t="str">
        <f t="shared" si="68"/>
        <v/>
      </c>
      <c r="T739" s="46" t="e">
        <f t="shared" si="69"/>
        <v>#DIV/0!</v>
      </c>
      <c r="U739" s="40" t="str">
        <f>IF(データ!R736="","",データ!R736)</f>
        <v/>
      </c>
      <c r="V739" s="41" t="str">
        <f>IF(データ!S736="","",データ!S736)</f>
        <v/>
      </c>
      <c r="W739" s="42">
        <f>データ!T736</f>
        <v>0</v>
      </c>
      <c r="X739" s="48">
        <f>IF($C739="集計行","",データ!U736)</f>
        <v>0</v>
      </c>
      <c r="Y739" s="48">
        <f>データ!V736</f>
        <v>0</v>
      </c>
      <c r="Z739" s="39" t="str">
        <f>IF(OR($C739="総括",$C739="内訳書",$C739="内訳代価",$C739="明細書",$C739="明細代価",$C739="代価表",$C739="単価表"),データ!W736,"")</f>
        <v/>
      </c>
      <c r="AA739" s="11" t="str">
        <f t="shared" si="70"/>
        <v/>
      </c>
      <c r="AB739" s="46" t="e">
        <f t="shared" si="71"/>
        <v>#DIV/0!</v>
      </c>
      <c r="AC739" s="40" t="str">
        <f>IF(データ!X736="","",データ!X736)</f>
        <v/>
      </c>
      <c r="AD739" s="41" t="str">
        <f>IF(データ!Y736="","",データ!Y736)</f>
        <v/>
      </c>
      <c r="AE739" s="47" t="str">
        <f>TRIM(データ!B736)</f>
        <v/>
      </c>
      <c r="AF739" s="43" t="str">
        <f>TRIM(データ!Z736)</f>
        <v/>
      </c>
    </row>
    <row r="740" spans="1:32" x14ac:dyDescent="0.15">
      <c r="A740" s="47">
        <f>データ!A737</f>
        <v>3</v>
      </c>
      <c r="B740" s="47" t="str">
        <f>TRIM(データ!C737)</f>
        <v/>
      </c>
      <c r="C740" s="47" t="str">
        <f>TRIM(データ!D737)</f>
        <v>機械費</v>
      </c>
      <c r="D740" s="36" t="str">
        <f>REPT("｜",$A740)&amp;TRIM(データ!E737)</f>
        <v>｜｜｜BH0.15</v>
      </c>
      <c r="E740" s="37" t="str">
        <f>TRIM(データ!F737)</f>
        <v/>
      </c>
      <c r="F740" s="38" t="str">
        <f>TRIM(データ!G737)</f>
        <v>台</v>
      </c>
      <c r="G740" s="50">
        <f>データ!H737</f>
        <v>1</v>
      </c>
      <c r="H740" s="48">
        <f>データ!I737</f>
        <v>8000</v>
      </c>
      <c r="I740" s="48">
        <f>データ!J737</f>
        <v>8000</v>
      </c>
      <c r="J740" s="39" t="str">
        <f>IF(OR($C740="総括",$C740="内訳書",$C740="内訳代価",$C740="明細書",$C740="明細代価",$C740="代価表",$C740="単価表"),データ!K737,"")</f>
        <v/>
      </c>
      <c r="K740" s="11" t="str">
        <f t="shared" si="66"/>
        <v/>
      </c>
      <c r="L740" s="46">
        <f t="shared" si="67"/>
        <v>1.1518580910831785E-4</v>
      </c>
      <c r="M740" s="40" t="str">
        <f>IF(データ!L737="","",データ!L737)</f>
        <v/>
      </c>
      <c r="N740" s="41" t="str">
        <f>IF(データ!M737="","",データ!M737)</f>
        <v/>
      </c>
      <c r="O740" s="42">
        <f>データ!N737</f>
        <v>0</v>
      </c>
      <c r="P740" s="48">
        <f>IF($C740="集計行","",データ!O737)</f>
        <v>0</v>
      </c>
      <c r="Q740" s="48">
        <f>データ!P737</f>
        <v>0</v>
      </c>
      <c r="R740" s="39" t="str">
        <f>IF(OR($C740="総括",$C740="内訳書",$C740="内訳代価",$C740="明細書",$C740="明細代価",$C740="代価表",$C740="単価表"),データ!Q737,"")</f>
        <v/>
      </c>
      <c r="S740" s="11" t="str">
        <f t="shared" si="68"/>
        <v/>
      </c>
      <c r="T740" s="46" t="e">
        <f t="shared" si="69"/>
        <v>#DIV/0!</v>
      </c>
      <c r="U740" s="40" t="str">
        <f>IF(データ!R737="","",データ!R737)</f>
        <v/>
      </c>
      <c r="V740" s="41" t="str">
        <f>IF(データ!S737="","",データ!S737)</f>
        <v/>
      </c>
      <c r="W740" s="42">
        <f>データ!T737</f>
        <v>0</v>
      </c>
      <c r="X740" s="48">
        <f>IF($C740="集計行","",データ!U737)</f>
        <v>0</v>
      </c>
      <c r="Y740" s="48">
        <f>データ!V737</f>
        <v>0</v>
      </c>
      <c r="Z740" s="39" t="str">
        <f>IF(OR($C740="総括",$C740="内訳書",$C740="内訳代価",$C740="明細書",$C740="明細代価",$C740="代価表",$C740="単価表"),データ!W737,"")</f>
        <v/>
      </c>
      <c r="AA740" s="11" t="str">
        <f t="shared" si="70"/>
        <v/>
      </c>
      <c r="AB740" s="46" t="e">
        <f t="shared" si="71"/>
        <v>#DIV/0!</v>
      </c>
      <c r="AC740" s="40" t="str">
        <f>IF(データ!X737="","",データ!X737)</f>
        <v/>
      </c>
      <c r="AD740" s="41" t="str">
        <f>IF(データ!Y737="","",データ!Y737)</f>
        <v/>
      </c>
      <c r="AE740" s="47" t="str">
        <f>TRIM(データ!B737)</f>
        <v/>
      </c>
      <c r="AF740" s="43" t="str">
        <f>TRIM(データ!Z737)</f>
        <v/>
      </c>
    </row>
    <row r="741" spans="1:32" x14ac:dyDescent="0.15">
      <c r="A741" s="47">
        <f>データ!A738</f>
        <v>3</v>
      </c>
      <c r="B741" s="47" t="str">
        <f>TRIM(データ!C738)</f>
        <v/>
      </c>
      <c r="C741" s="47" t="str">
        <f>TRIM(データ!D738)</f>
        <v>機械費</v>
      </c>
      <c r="D741" s="36" t="str">
        <f>REPT("｜",$A741)&amp;TRIM(データ!E738)</f>
        <v>｜｜｜タイヤショベル</v>
      </c>
      <c r="E741" s="37" t="str">
        <f>TRIM(データ!F738)</f>
        <v/>
      </c>
      <c r="F741" s="38" t="str">
        <f>TRIM(データ!G738)</f>
        <v>台</v>
      </c>
      <c r="G741" s="50">
        <f>データ!H738</f>
        <v>1</v>
      </c>
      <c r="H741" s="48">
        <f>データ!I738</f>
        <v>8000</v>
      </c>
      <c r="I741" s="48">
        <f>データ!J738</f>
        <v>8000</v>
      </c>
      <c r="J741" s="39" t="str">
        <f>IF(OR($C741="総括",$C741="内訳書",$C741="内訳代価",$C741="明細書",$C741="明細代価",$C741="代価表",$C741="単価表"),データ!K738,"")</f>
        <v/>
      </c>
      <c r="K741" s="11" t="str">
        <f t="shared" si="66"/>
        <v/>
      </c>
      <c r="L741" s="46">
        <f t="shared" si="67"/>
        <v>1.1518580910831785E-4</v>
      </c>
      <c r="M741" s="40" t="str">
        <f>IF(データ!L738="","",データ!L738)</f>
        <v/>
      </c>
      <c r="N741" s="41" t="str">
        <f>IF(データ!M738="","",データ!M738)</f>
        <v/>
      </c>
      <c r="O741" s="42">
        <f>データ!N738</f>
        <v>0</v>
      </c>
      <c r="P741" s="48">
        <f>IF($C741="集計行","",データ!O738)</f>
        <v>0</v>
      </c>
      <c r="Q741" s="48">
        <f>データ!P738</f>
        <v>0</v>
      </c>
      <c r="R741" s="39" t="str">
        <f>IF(OR($C741="総括",$C741="内訳書",$C741="内訳代価",$C741="明細書",$C741="明細代価",$C741="代価表",$C741="単価表"),データ!Q738,"")</f>
        <v/>
      </c>
      <c r="S741" s="11" t="str">
        <f t="shared" si="68"/>
        <v/>
      </c>
      <c r="T741" s="46" t="e">
        <f t="shared" si="69"/>
        <v>#DIV/0!</v>
      </c>
      <c r="U741" s="40" t="str">
        <f>IF(データ!R738="","",データ!R738)</f>
        <v/>
      </c>
      <c r="V741" s="41" t="str">
        <f>IF(データ!S738="","",データ!S738)</f>
        <v/>
      </c>
      <c r="W741" s="42">
        <f>データ!T738</f>
        <v>0</v>
      </c>
      <c r="X741" s="48">
        <f>IF($C741="集計行","",データ!U738)</f>
        <v>0</v>
      </c>
      <c r="Y741" s="48">
        <f>データ!V738</f>
        <v>0</v>
      </c>
      <c r="Z741" s="39" t="str">
        <f>IF(OR($C741="総括",$C741="内訳書",$C741="内訳代価",$C741="明細書",$C741="明細代価",$C741="代価表",$C741="単価表"),データ!W738,"")</f>
        <v/>
      </c>
      <c r="AA741" s="11" t="str">
        <f t="shared" si="70"/>
        <v/>
      </c>
      <c r="AB741" s="46" t="e">
        <f t="shared" si="71"/>
        <v>#DIV/0!</v>
      </c>
      <c r="AC741" s="40" t="str">
        <f>IF(データ!X738="","",データ!X738)</f>
        <v/>
      </c>
      <c r="AD741" s="41" t="str">
        <f>IF(データ!Y738="","",データ!Y738)</f>
        <v/>
      </c>
      <c r="AE741" s="47" t="str">
        <f>TRIM(データ!B738)</f>
        <v/>
      </c>
      <c r="AF741" s="43" t="str">
        <f>TRIM(データ!Z738)</f>
        <v/>
      </c>
    </row>
    <row r="742" spans="1:32" x14ac:dyDescent="0.15">
      <c r="A742" s="47">
        <f>データ!A739</f>
        <v>3</v>
      </c>
      <c r="B742" s="47" t="str">
        <f>TRIM(データ!C739)</f>
        <v/>
      </c>
      <c r="C742" s="47" t="str">
        <f>TRIM(データ!D739)</f>
        <v>機械費</v>
      </c>
      <c r="D742" s="36" t="str">
        <f>REPT("｜",$A742)&amp;TRIM(データ!E739)</f>
        <v>｜｜｜コンバインドローラ</v>
      </c>
      <c r="E742" s="37" t="str">
        <f>TRIM(データ!F739)</f>
        <v/>
      </c>
      <c r="F742" s="38" t="str">
        <f>TRIM(データ!G739)</f>
        <v>台</v>
      </c>
      <c r="G742" s="50">
        <f>データ!H739</f>
        <v>1</v>
      </c>
      <c r="H742" s="48">
        <f>データ!I739</f>
        <v>8000</v>
      </c>
      <c r="I742" s="48">
        <f>データ!J739</f>
        <v>8000</v>
      </c>
      <c r="J742" s="39" t="str">
        <f>IF(OR($C742="総括",$C742="内訳書",$C742="内訳代価",$C742="明細書",$C742="明細代価",$C742="代価表",$C742="単価表"),データ!K739,"")</f>
        <v/>
      </c>
      <c r="K742" s="11" t="str">
        <f t="shared" si="66"/>
        <v/>
      </c>
      <c r="L742" s="46">
        <f t="shared" si="67"/>
        <v>1.1518580910831785E-4</v>
      </c>
      <c r="M742" s="40" t="str">
        <f>IF(データ!L739="","",データ!L739)</f>
        <v/>
      </c>
      <c r="N742" s="41" t="str">
        <f>IF(データ!M739="","",データ!M739)</f>
        <v/>
      </c>
      <c r="O742" s="42">
        <f>データ!N739</f>
        <v>0</v>
      </c>
      <c r="P742" s="48">
        <f>IF($C742="集計行","",データ!O739)</f>
        <v>0</v>
      </c>
      <c r="Q742" s="48">
        <f>データ!P739</f>
        <v>0</v>
      </c>
      <c r="R742" s="39" t="str">
        <f>IF(OR($C742="総括",$C742="内訳書",$C742="内訳代価",$C742="明細書",$C742="明細代価",$C742="代価表",$C742="単価表"),データ!Q739,"")</f>
        <v/>
      </c>
      <c r="S742" s="11" t="str">
        <f t="shared" si="68"/>
        <v/>
      </c>
      <c r="T742" s="46" t="e">
        <f t="shared" si="69"/>
        <v>#DIV/0!</v>
      </c>
      <c r="U742" s="40" t="str">
        <f>IF(データ!R739="","",データ!R739)</f>
        <v/>
      </c>
      <c r="V742" s="41" t="str">
        <f>IF(データ!S739="","",データ!S739)</f>
        <v/>
      </c>
      <c r="W742" s="42">
        <f>データ!T739</f>
        <v>0</v>
      </c>
      <c r="X742" s="48">
        <f>IF($C742="集計行","",データ!U739)</f>
        <v>0</v>
      </c>
      <c r="Y742" s="48">
        <f>データ!V739</f>
        <v>0</v>
      </c>
      <c r="Z742" s="39" t="str">
        <f>IF(OR($C742="総括",$C742="内訳書",$C742="内訳代価",$C742="明細書",$C742="明細代価",$C742="代価表",$C742="単価表"),データ!W739,"")</f>
        <v/>
      </c>
      <c r="AA742" s="11" t="str">
        <f t="shared" si="70"/>
        <v/>
      </c>
      <c r="AB742" s="46" t="e">
        <f t="shared" si="71"/>
        <v>#DIV/0!</v>
      </c>
      <c r="AC742" s="40" t="str">
        <f>IF(データ!X739="","",データ!X739)</f>
        <v/>
      </c>
      <c r="AD742" s="41" t="str">
        <f>IF(データ!Y739="","",データ!Y739)</f>
        <v/>
      </c>
      <c r="AE742" s="47" t="str">
        <f>TRIM(データ!B739)</f>
        <v/>
      </c>
      <c r="AF742" s="43" t="str">
        <f>TRIM(データ!Z739)</f>
        <v/>
      </c>
    </row>
    <row r="743" spans="1:32" x14ac:dyDescent="0.15">
      <c r="A743" s="47">
        <f>データ!A740</f>
        <v>3</v>
      </c>
      <c r="B743" s="47" t="str">
        <f>TRIM(データ!C740)</f>
        <v/>
      </c>
      <c r="C743" s="47" t="str">
        <f>TRIM(データ!D740)</f>
        <v>機械費</v>
      </c>
      <c r="D743" s="36" t="str">
        <f>REPT("｜",$A743)&amp;TRIM(データ!E740)</f>
        <v>｜｜｜ランマー</v>
      </c>
      <c r="E743" s="37" t="str">
        <f>TRIM(データ!F740)</f>
        <v/>
      </c>
      <c r="F743" s="38" t="str">
        <f>TRIM(データ!G740)</f>
        <v>台</v>
      </c>
      <c r="G743" s="50">
        <f>データ!H740</f>
        <v>1</v>
      </c>
      <c r="H743" s="48">
        <f>データ!I740</f>
        <v>1500</v>
      </c>
      <c r="I743" s="48">
        <f>データ!J740</f>
        <v>1500</v>
      </c>
      <c r="J743" s="39" t="str">
        <f>IF(OR($C743="総括",$C743="内訳書",$C743="内訳代価",$C743="明細書",$C743="明細代価",$C743="代価表",$C743="単価表"),データ!K740,"")</f>
        <v/>
      </c>
      <c r="K743" s="11" t="str">
        <f t="shared" si="66"/>
        <v/>
      </c>
      <c r="L743" s="46">
        <f t="shared" si="67"/>
        <v>2.1597339207809597E-5</v>
      </c>
      <c r="M743" s="40" t="str">
        <f>IF(データ!L740="","",データ!L740)</f>
        <v/>
      </c>
      <c r="N743" s="41" t="str">
        <f>IF(データ!M740="","",データ!M740)</f>
        <v/>
      </c>
      <c r="O743" s="42">
        <f>データ!N740</f>
        <v>0</v>
      </c>
      <c r="P743" s="48">
        <f>IF($C743="集計行","",データ!O740)</f>
        <v>0</v>
      </c>
      <c r="Q743" s="48">
        <f>データ!P740</f>
        <v>0</v>
      </c>
      <c r="R743" s="39" t="str">
        <f>IF(OR($C743="総括",$C743="内訳書",$C743="内訳代価",$C743="明細書",$C743="明細代価",$C743="代価表",$C743="単価表"),データ!Q740,"")</f>
        <v/>
      </c>
      <c r="S743" s="11" t="str">
        <f t="shared" si="68"/>
        <v/>
      </c>
      <c r="T743" s="46" t="e">
        <f t="shared" si="69"/>
        <v>#DIV/0!</v>
      </c>
      <c r="U743" s="40" t="str">
        <f>IF(データ!R740="","",データ!R740)</f>
        <v/>
      </c>
      <c r="V743" s="41" t="str">
        <f>IF(データ!S740="","",データ!S740)</f>
        <v/>
      </c>
      <c r="W743" s="42">
        <f>データ!T740</f>
        <v>0</v>
      </c>
      <c r="X743" s="48">
        <f>IF($C743="集計行","",データ!U740)</f>
        <v>0</v>
      </c>
      <c r="Y743" s="48">
        <f>データ!V740</f>
        <v>0</v>
      </c>
      <c r="Z743" s="39" t="str">
        <f>IF(OR($C743="総括",$C743="内訳書",$C743="内訳代価",$C743="明細書",$C743="明細代価",$C743="代価表",$C743="単価表"),データ!W740,"")</f>
        <v/>
      </c>
      <c r="AA743" s="11" t="str">
        <f t="shared" si="70"/>
        <v/>
      </c>
      <c r="AB743" s="46" t="e">
        <f t="shared" si="71"/>
        <v>#DIV/0!</v>
      </c>
      <c r="AC743" s="40" t="str">
        <f>IF(データ!X740="","",データ!X740)</f>
        <v/>
      </c>
      <c r="AD743" s="41" t="str">
        <f>IF(データ!Y740="","",データ!Y740)</f>
        <v/>
      </c>
      <c r="AE743" s="47" t="str">
        <f>TRIM(データ!B740)</f>
        <v/>
      </c>
      <c r="AF743" s="43" t="str">
        <f>TRIM(データ!Z740)</f>
        <v/>
      </c>
    </row>
    <row r="744" spans="1:32" x14ac:dyDescent="0.15">
      <c r="A744" s="47">
        <f>データ!A741</f>
        <v>3</v>
      </c>
      <c r="B744" s="47" t="str">
        <f>TRIM(データ!C741)</f>
        <v/>
      </c>
      <c r="C744" s="47" t="str">
        <f>TRIM(データ!D741)</f>
        <v>機械費</v>
      </c>
      <c r="D744" s="36" t="str">
        <f>REPT("｜",$A744)&amp;TRIM(データ!E741)</f>
        <v>｜｜｜プレート</v>
      </c>
      <c r="E744" s="37" t="str">
        <f>TRIM(データ!F741)</f>
        <v/>
      </c>
      <c r="F744" s="38" t="str">
        <f>TRIM(データ!G741)</f>
        <v>台</v>
      </c>
      <c r="G744" s="50">
        <f>データ!H741</f>
        <v>1</v>
      </c>
      <c r="H744" s="48">
        <f>データ!I741</f>
        <v>1500</v>
      </c>
      <c r="I744" s="48">
        <f>データ!J741</f>
        <v>1500</v>
      </c>
      <c r="J744" s="39" t="str">
        <f>IF(OR($C744="総括",$C744="内訳書",$C744="内訳代価",$C744="明細書",$C744="明細代価",$C744="代価表",$C744="単価表"),データ!K741,"")</f>
        <v/>
      </c>
      <c r="K744" s="11" t="str">
        <f t="shared" si="66"/>
        <v/>
      </c>
      <c r="L744" s="46">
        <f t="shared" si="67"/>
        <v>2.1597339207809597E-5</v>
      </c>
      <c r="M744" s="40" t="str">
        <f>IF(データ!L741="","",データ!L741)</f>
        <v/>
      </c>
      <c r="N744" s="41" t="str">
        <f>IF(データ!M741="","",データ!M741)</f>
        <v/>
      </c>
      <c r="O744" s="42">
        <f>データ!N741</f>
        <v>0</v>
      </c>
      <c r="P744" s="48">
        <f>IF($C744="集計行","",データ!O741)</f>
        <v>0</v>
      </c>
      <c r="Q744" s="48">
        <f>データ!P741</f>
        <v>0</v>
      </c>
      <c r="R744" s="39" t="str">
        <f>IF(OR($C744="総括",$C744="内訳書",$C744="内訳代価",$C744="明細書",$C744="明細代価",$C744="代価表",$C744="単価表"),データ!Q741,"")</f>
        <v/>
      </c>
      <c r="S744" s="11" t="str">
        <f t="shared" si="68"/>
        <v/>
      </c>
      <c r="T744" s="46" t="e">
        <f t="shared" si="69"/>
        <v>#DIV/0!</v>
      </c>
      <c r="U744" s="40" t="str">
        <f>IF(データ!R741="","",データ!R741)</f>
        <v/>
      </c>
      <c r="V744" s="41" t="str">
        <f>IF(データ!S741="","",データ!S741)</f>
        <v/>
      </c>
      <c r="W744" s="42">
        <f>データ!T741</f>
        <v>0</v>
      </c>
      <c r="X744" s="48">
        <f>IF($C744="集計行","",データ!U741)</f>
        <v>0</v>
      </c>
      <c r="Y744" s="48">
        <f>データ!V741</f>
        <v>0</v>
      </c>
      <c r="Z744" s="39" t="str">
        <f>IF(OR($C744="総括",$C744="内訳書",$C744="内訳代価",$C744="明細書",$C744="明細代価",$C744="代価表",$C744="単価表"),データ!W741,"")</f>
        <v/>
      </c>
      <c r="AA744" s="11" t="str">
        <f t="shared" si="70"/>
        <v/>
      </c>
      <c r="AB744" s="46" t="e">
        <f t="shared" si="71"/>
        <v>#DIV/0!</v>
      </c>
      <c r="AC744" s="40" t="str">
        <f>IF(データ!X741="","",データ!X741)</f>
        <v/>
      </c>
      <c r="AD744" s="41" t="str">
        <f>IF(データ!Y741="","",データ!Y741)</f>
        <v/>
      </c>
      <c r="AE744" s="47" t="str">
        <f>TRIM(データ!B741)</f>
        <v/>
      </c>
      <c r="AF744" s="43" t="str">
        <f>TRIM(データ!Z741)</f>
        <v/>
      </c>
    </row>
    <row r="745" spans="1:32" x14ac:dyDescent="0.15">
      <c r="A745" s="47">
        <f>データ!A742</f>
        <v>3</v>
      </c>
      <c r="B745" s="47" t="str">
        <f>TRIM(データ!C742)</f>
        <v/>
      </c>
      <c r="C745" s="47" t="str">
        <f>TRIM(データ!D742)</f>
        <v>機械費</v>
      </c>
      <c r="D745" s="36" t="str">
        <f>REPT("｜",$A745)&amp;TRIM(データ!E742)</f>
        <v>｜｜｜小物機械</v>
      </c>
      <c r="E745" s="37" t="str">
        <f>TRIM(データ!F742)</f>
        <v>スプレイヤー</v>
      </c>
      <c r="F745" s="38" t="str">
        <f>TRIM(データ!G742)</f>
        <v>台</v>
      </c>
      <c r="G745" s="50">
        <f>データ!H742</f>
        <v>1</v>
      </c>
      <c r="H745" s="48">
        <f>データ!I742</f>
        <v>1500</v>
      </c>
      <c r="I745" s="48">
        <f>データ!J742</f>
        <v>1500</v>
      </c>
      <c r="J745" s="39" t="str">
        <f>IF(OR($C745="総括",$C745="内訳書",$C745="内訳代価",$C745="明細書",$C745="明細代価",$C745="代価表",$C745="単価表"),データ!K742,"")</f>
        <v/>
      </c>
      <c r="K745" s="11" t="str">
        <f t="shared" si="66"/>
        <v/>
      </c>
      <c r="L745" s="46">
        <f t="shared" si="67"/>
        <v>2.1597339207809597E-5</v>
      </c>
      <c r="M745" s="40" t="str">
        <f>IF(データ!L742="","",データ!L742)</f>
        <v/>
      </c>
      <c r="N745" s="41" t="str">
        <f>IF(データ!M742="","",データ!M742)</f>
        <v/>
      </c>
      <c r="O745" s="42">
        <f>データ!N742</f>
        <v>0</v>
      </c>
      <c r="P745" s="48">
        <f>IF($C745="集計行","",データ!O742)</f>
        <v>0</v>
      </c>
      <c r="Q745" s="48">
        <f>データ!P742</f>
        <v>0</v>
      </c>
      <c r="R745" s="39" t="str">
        <f>IF(OR($C745="総括",$C745="内訳書",$C745="内訳代価",$C745="明細書",$C745="明細代価",$C745="代価表",$C745="単価表"),データ!Q742,"")</f>
        <v/>
      </c>
      <c r="S745" s="11" t="str">
        <f t="shared" si="68"/>
        <v/>
      </c>
      <c r="T745" s="46" t="e">
        <f t="shared" si="69"/>
        <v>#DIV/0!</v>
      </c>
      <c r="U745" s="40" t="str">
        <f>IF(データ!R742="","",データ!R742)</f>
        <v/>
      </c>
      <c r="V745" s="41" t="str">
        <f>IF(データ!S742="","",データ!S742)</f>
        <v/>
      </c>
      <c r="W745" s="42">
        <f>データ!T742</f>
        <v>0</v>
      </c>
      <c r="X745" s="48">
        <f>IF($C745="集計行","",データ!U742)</f>
        <v>0</v>
      </c>
      <c r="Y745" s="48">
        <f>データ!V742</f>
        <v>0</v>
      </c>
      <c r="Z745" s="39" t="str">
        <f>IF(OR($C745="総括",$C745="内訳書",$C745="内訳代価",$C745="明細書",$C745="明細代価",$C745="代価表",$C745="単価表"),データ!W742,"")</f>
        <v/>
      </c>
      <c r="AA745" s="11" t="str">
        <f t="shared" si="70"/>
        <v/>
      </c>
      <c r="AB745" s="46" t="e">
        <f t="shared" si="71"/>
        <v>#DIV/0!</v>
      </c>
      <c r="AC745" s="40" t="str">
        <f>IF(データ!X742="","",データ!X742)</f>
        <v/>
      </c>
      <c r="AD745" s="41" t="str">
        <f>IF(データ!Y742="","",データ!Y742)</f>
        <v/>
      </c>
      <c r="AE745" s="47" t="str">
        <f>TRIM(データ!B742)</f>
        <v/>
      </c>
      <c r="AF745" s="43" t="str">
        <f>TRIM(データ!Z742)</f>
        <v/>
      </c>
    </row>
    <row r="746" spans="1:32" x14ac:dyDescent="0.15">
      <c r="A746" s="47">
        <f>データ!A743</f>
        <v>3</v>
      </c>
      <c r="B746" s="47" t="str">
        <f>TRIM(データ!C743)</f>
        <v/>
      </c>
      <c r="C746" s="47" t="str">
        <f>TRIM(データ!D743)</f>
        <v>運搬費</v>
      </c>
      <c r="D746" s="36" t="str">
        <f>REPT("｜",$A746)&amp;TRIM(データ!E743)</f>
        <v>｜｜｜4tダンプ</v>
      </c>
      <c r="E746" s="37" t="str">
        <f>TRIM(データ!F743)</f>
        <v/>
      </c>
      <c r="F746" s="38" t="str">
        <f>TRIM(データ!G743)</f>
        <v>台</v>
      </c>
      <c r="G746" s="50">
        <f>データ!H743</f>
        <v>1</v>
      </c>
      <c r="H746" s="48">
        <f>データ!I743</f>
        <v>10000</v>
      </c>
      <c r="I746" s="48">
        <f>データ!J743</f>
        <v>10000</v>
      </c>
      <c r="J746" s="39" t="str">
        <f>IF(OR($C746="総括",$C746="内訳書",$C746="内訳代価",$C746="明細書",$C746="明細代価",$C746="代価表",$C746="単価表"),データ!K743,"")</f>
        <v/>
      </c>
      <c r="K746" s="11" t="str">
        <f t="shared" si="66"/>
        <v/>
      </c>
      <c r="L746" s="46">
        <f t="shared" si="67"/>
        <v>1.4398226138539731E-4</v>
      </c>
      <c r="M746" s="40" t="str">
        <f>IF(データ!L743="","",データ!L743)</f>
        <v/>
      </c>
      <c r="N746" s="41" t="str">
        <f>IF(データ!M743="","",データ!M743)</f>
        <v/>
      </c>
      <c r="O746" s="42">
        <f>データ!N743</f>
        <v>0</v>
      </c>
      <c r="P746" s="48">
        <f>IF($C746="集計行","",データ!O743)</f>
        <v>0</v>
      </c>
      <c r="Q746" s="48">
        <f>データ!P743</f>
        <v>0</v>
      </c>
      <c r="R746" s="39" t="str">
        <f>IF(OR($C746="総括",$C746="内訳書",$C746="内訳代価",$C746="明細書",$C746="明細代価",$C746="代価表",$C746="単価表"),データ!Q743,"")</f>
        <v/>
      </c>
      <c r="S746" s="11" t="str">
        <f t="shared" si="68"/>
        <v/>
      </c>
      <c r="T746" s="46" t="e">
        <f t="shared" si="69"/>
        <v>#DIV/0!</v>
      </c>
      <c r="U746" s="40" t="str">
        <f>IF(データ!R743="","",データ!R743)</f>
        <v/>
      </c>
      <c r="V746" s="41" t="str">
        <f>IF(データ!S743="","",データ!S743)</f>
        <v/>
      </c>
      <c r="W746" s="42">
        <f>データ!T743</f>
        <v>0</v>
      </c>
      <c r="X746" s="48">
        <f>IF($C746="集計行","",データ!U743)</f>
        <v>0</v>
      </c>
      <c r="Y746" s="48">
        <f>データ!V743</f>
        <v>0</v>
      </c>
      <c r="Z746" s="39" t="str">
        <f>IF(OR($C746="総括",$C746="内訳書",$C746="内訳代価",$C746="明細書",$C746="明細代価",$C746="代価表",$C746="単価表"),データ!W743,"")</f>
        <v/>
      </c>
      <c r="AA746" s="11" t="str">
        <f t="shared" si="70"/>
        <v/>
      </c>
      <c r="AB746" s="46" t="e">
        <f t="shared" si="71"/>
        <v>#DIV/0!</v>
      </c>
      <c r="AC746" s="40" t="str">
        <f>IF(データ!X743="","",データ!X743)</f>
        <v/>
      </c>
      <c r="AD746" s="41" t="str">
        <f>IF(データ!Y743="","",データ!Y743)</f>
        <v/>
      </c>
      <c r="AE746" s="47" t="str">
        <f>TRIM(データ!B743)</f>
        <v/>
      </c>
      <c r="AF746" s="43" t="str">
        <f>TRIM(データ!Z743)</f>
        <v/>
      </c>
    </row>
    <row r="747" spans="1:32" x14ac:dyDescent="0.15">
      <c r="A747" s="47">
        <f>データ!A744</f>
        <v>3</v>
      </c>
      <c r="B747" s="47" t="str">
        <f>TRIM(データ!C744)</f>
        <v/>
      </c>
      <c r="C747" s="47" t="str">
        <f>TRIM(データ!D744)</f>
        <v>運搬費</v>
      </c>
      <c r="D747" s="36" t="str">
        <f>REPT("｜",$A747)&amp;TRIM(データ!E744)</f>
        <v>｜｜｜2tダンプ</v>
      </c>
      <c r="E747" s="37" t="str">
        <f>TRIM(データ!F744)</f>
        <v/>
      </c>
      <c r="F747" s="38" t="str">
        <f>TRIM(データ!G744)</f>
        <v>台</v>
      </c>
      <c r="G747" s="50">
        <f>データ!H744</f>
        <v>2</v>
      </c>
      <c r="H747" s="48">
        <f>データ!I744</f>
        <v>7000</v>
      </c>
      <c r="I747" s="48">
        <f>データ!J744</f>
        <v>14000</v>
      </c>
      <c r="J747" s="39" t="str">
        <f>IF(OR($C747="総括",$C747="内訳書",$C747="内訳代価",$C747="明細書",$C747="明細代価",$C747="代価表",$C747="単価表"),データ!K744,"")</f>
        <v/>
      </c>
      <c r="K747" s="11" t="str">
        <f t="shared" si="66"/>
        <v/>
      </c>
      <c r="L747" s="46">
        <f t="shared" si="67"/>
        <v>2.0157516593955624E-4</v>
      </c>
      <c r="M747" s="40" t="str">
        <f>IF(データ!L744="","",データ!L744)</f>
        <v/>
      </c>
      <c r="N747" s="41" t="str">
        <f>IF(データ!M744="","",データ!M744)</f>
        <v/>
      </c>
      <c r="O747" s="42">
        <f>データ!N744</f>
        <v>0</v>
      </c>
      <c r="P747" s="48">
        <f>IF($C747="集計行","",データ!O744)</f>
        <v>0</v>
      </c>
      <c r="Q747" s="48">
        <f>データ!P744</f>
        <v>0</v>
      </c>
      <c r="R747" s="39" t="str">
        <f>IF(OR($C747="総括",$C747="内訳書",$C747="内訳代価",$C747="明細書",$C747="明細代価",$C747="代価表",$C747="単価表"),データ!Q744,"")</f>
        <v/>
      </c>
      <c r="S747" s="11" t="str">
        <f t="shared" si="68"/>
        <v/>
      </c>
      <c r="T747" s="46" t="e">
        <f t="shared" si="69"/>
        <v>#DIV/0!</v>
      </c>
      <c r="U747" s="40" t="str">
        <f>IF(データ!R744="","",データ!R744)</f>
        <v/>
      </c>
      <c r="V747" s="41" t="str">
        <f>IF(データ!S744="","",データ!S744)</f>
        <v/>
      </c>
      <c r="W747" s="42">
        <f>データ!T744</f>
        <v>0</v>
      </c>
      <c r="X747" s="48">
        <f>IF($C747="集計行","",データ!U744)</f>
        <v>0</v>
      </c>
      <c r="Y747" s="48">
        <f>データ!V744</f>
        <v>0</v>
      </c>
      <c r="Z747" s="39" t="str">
        <f>IF(OR($C747="総括",$C747="内訳書",$C747="内訳代価",$C747="明細書",$C747="明細代価",$C747="代価表",$C747="単価表"),データ!W744,"")</f>
        <v/>
      </c>
      <c r="AA747" s="11" t="str">
        <f t="shared" si="70"/>
        <v/>
      </c>
      <c r="AB747" s="46" t="e">
        <f t="shared" si="71"/>
        <v>#DIV/0!</v>
      </c>
      <c r="AC747" s="40" t="str">
        <f>IF(データ!X744="","",データ!X744)</f>
        <v/>
      </c>
      <c r="AD747" s="41" t="str">
        <f>IF(データ!Y744="","",データ!Y744)</f>
        <v/>
      </c>
      <c r="AE747" s="47" t="str">
        <f>TRIM(データ!B744)</f>
        <v/>
      </c>
      <c r="AF747" s="43" t="str">
        <f>TRIM(データ!Z744)</f>
        <v/>
      </c>
    </row>
    <row r="748" spans="1:32" x14ac:dyDescent="0.15">
      <c r="A748" s="47">
        <f>データ!A745</f>
        <v>3</v>
      </c>
      <c r="B748" s="47" t="str">
        <f>TRIM(データ!C745)</f>
        <v/>
      </c>
      <c r="C748" s="47" t="str">
        <f>TRIM(データ!D745)</f>
        <v>運搬費</v>
      </c>
      <c r="D748" s="36" t="str">
        <f>REPT("｜",$A748)&amp;TRIM(データ!E745)</f>
        <v>｜｜｜WP</v>
      </c>
      <c r="E748" s="37" t="str">
        <f>TRIM(データ!F745)</f>
        <v/>
      </c>
      <c r="F748" s="38" t="str">
        <f>TRIM(データ!G745)</f>
        <v>台</v>
      </c>
      <c r="G748" s="50">
        <f>データ!H745</f>
        <v>2</v>
      </c>
      <c r="H748" s="48">
        <f>データ!I745</f>
        <v>7000</v>
      </c>
      <c r="I748" s="48">
        <f>データ!J745</f>
        <v>14000</v>
      </c>
      <c r="J748" s="39" t="str">
        <f>IF(OR($C748="総括",$C748="内訳書",$C748="内訳代価",$C748="明細書",$C748="明細代価",$C748="代価表",$C748="単価表"),データ!K745,"")</f>
        <v/>
      </c>
      <c r="K748" s="11" t="str">
        <f t="shared" si="66"/>
        <v/>
      </c>
      <c r="L748" s="46">
        <f t="shared" si="67"/>
        <v>2.0157516593955624E-4</v>
      </c>
      <c r="M748" s="40" t="str">
        <f>IF(データ!L745="","",データ!L745)</f>
        <v/>
      </c>
      <c r="N748" s="41" t="str">
        <f>IF(データ!M745="","",データ!M745)</f>
        <v/>
      </c>
      <c r="O748" s="42">
        <f>データ!N745</f>
        <v>0</v>
      </c>
      <c r="P748" s="48">
        <f>IF($C748="集計行","",データ!O745)</f>
        <v>0</v>
      </c>
      <c r="Q748" s="48">
        <f>データ!P745</f>
        <v>0</v>
      </c>
      <c r="R748" s="39" t="str">
        <f>IF(OR($C748="総括",$C748="内訳書",$C748="内訳代価",$C748="明細書",$C748="明細代価",$C748="代価表",$C748="単価表"),データ!Q745,"")</f>
        <v/>
      </c>
      <c r="S748" s="11" t="str">
        <f t="shared" si="68"/>
        <v/>
      </c>
      <c r="T748" s="46" t="e">
        <f t="shared" si="69"/>
        <v>#DIV/0!</v>
      </c>
      <c r="U748" s="40" t="str">
        <f>IF(データ!R745="","",データ!R745)</f>
        <v/>
      </c>
      <c r="V748" s="41" t="str">
        <f>IF(データ!S745="","",データ!S745)</f>
        <v/>
      </c>
      <c r="W748" s="42">
        <f>データ!T745</f>
        <v>0</v>
      </c>
      <c r="X748" s="48">
        <f>IF($C748="集計行","",データ!U745)</f>
        <v>0</v>
      </c>
      <c r="Y748" s="48">
        <f>データ!V745</f>
        <v>0</v>
      </c>
      <c r="Z748" s="39" t="str">
        <f>IF(OR($C748="総括",$C748="内訳書",$C748="内訳代価",$C748="明細書",$C748="明細代価",$C748="代価表",$C748="単価表"),データ!W745,"")</f>
        <v/>
      </c>
      <c r="AA748" s="11" t="str">
        <f t="shared" si="70"/>
        <v/>
      </c>
      <c r="AB748" s="46" t="e">
        <f t="shared" si="71"/>
        <v>#DIV/0!</v>
      </c>
      <c r="AC748" s="40" t="str">
        <f>IF(データ!X745="","",データ!X745)</f>
        <v/>
      </c>
      <c r="AD748" s="41" t="str">
        <f>IF(データ!Y745="","",データ!Y745)</f>
        <v/>
      </c>
      <c r="AE748" s="47" t="str">
        <f>TRIM(データ!B745)</f>
        <v/>
      </c>
      <c r="AF748" s="43" t="str">
        <f>TRIM(データ!Z745)</f>
        <v/>
      </c>
    </row>
    <row r="749" spans="1:32" x14ac:dyDescent="0.15">
      <c r="A749" s="47">
        <f>データ!A746</f>
        <v>3</v>
      </c>
      <c r="B749" s="47" t="str">
        <f>TRIM(データ!C746)</f>
        <v/>
      </c>
      <c r="C749" s="47" t="str">
        <f>TRIM(データ!D746)</f>
        <v>材料費</v>
      </c>
      <c r="D749" s="36" t="str">
        <f>REPT("｜",$A749)&amp;TRIM(データ!E746)</f>
        <v>｜｜｜軽油</v>
      </c>
      <c r="E749" s="37" t="str">
        <f>TRIM(データ!F746)</f>
        <v/>
      </c>
      <c r="F749" s="38" t="str">
        <f>TRIM(データ!G746)</f>
        <v>リットル</v>
      </c>
      <c r="G749" s="50">
        <f>データ!H746</f>
        <v>90</v>
      </c>
      <c r="H749" s="48">
        <f>データ!I746</f>
        <v>150</v>
      </c>
      <c r="I749" s="48">
        <f>データ!J746</f>
        <v>13500</v>
      </c>
      <c r="J749" s="39" t="str">
        <f>IF(OR($C749="総括",$C749="内訳書",$C749="内訳代価",$C749="明細書",$C749="明細代価",$C749="代価表",$C749="単価表"),データ!K746,"")</f>
        <v/>
      </c>
      <c r="K749" s="11" t="str">
        <f t="shared" si="66"/>
        <v/>
      </c>
      <c r="L749" s="46">
        <f t="shared" si="67"/>
        <v>1.9437605287028639E-4</v>
      </c>
      <c r="M749" s="40" t="str">
        <f>IF(データ!L746="","",データ!L746)</f>
        <v/>
      </c>
      <c r="N749" s="41" t="str">
        <f>IF(データ!M746="","",データ!M746)</f>
        <v/>
      </c>
      <c r="O749" s="42">
        <f>データ!N746</f>
        <v>0</v>
      </c>
      <c r="P749" s="48">
        <f>IF($C749="集計行","",データ!O746)</f>
        <v>0</v>
      </c>
      <c r="Q749" s="48">
        <f>データ!P746</f>
        <v>0</v>
      </c>
      <c r="R749" s="39" t="str">
        <f>IF(OR($C749="総括",$C749="内訳書",$C749="内訳代価",$C749="明細書",$C749="明細代価",$C749="代価表",$C749="単価表"),データ!Q746,"")</f>
        <v/>
      </c>
      <c r="S749" s="11" t="str">
        <f t="shared" si="68"/>
        <v/>
      </c>
      <c r="T749" s="46" t="e">
        <f t="shared" si="69"/>
        <v>#DIV/0!</v>
      </c>
      <c r="U749" s="40" t="str">
        <f>IF(データ!R746="","",データ!R746)</f>
        <v/>
      </c>
      <c r="V749" s="41" t="str">
        <f>IF(データ!S746="","",データ!S746)</f>
        <v/>
      </c>
      <c r="W749" s="42">
        <f>データ!T746</f>
        <v>0</v>
      </c>
      <c r="X749" s="48">
        <f>IF($C749="集計行","",データ!U746)</f>
        <v>0</v>
      </c>
      <c r="Y749" s="48">
        <f>データ!V746</f>
        <v>0</v>
      </c>
      <c r="Z749" s="39" t="str">
        <f>IF(OR($C749="総括",$C749="内訳書",$C749="内訳代価",$C749="明細書",$C749="明細代価",$C749="代価表",$C749="単価表"),データ!W746,"")</f>
        <v/>
      </c>
      <c r="AA749" s="11" t="str">
        <f t="shared" si="70"/>
        <v/>
      </c>
      <c r="AB749" s="46" t="e">
        <f t="shared" si="71"/>
        <v>#DIV/0!</v>
      </c>
      <c r="AC749" s="40" t="str">
        <f>IF(データ!X746="","",データ!X746)</f>
        <v/>
      </c>
      <c r="AD749" s="41" t="str">
        <f>IF(データ!Y746="","",データ!Y746)</f>
        <v/>
      </c>
      <c r="AE749" s="47" t="str">
        <f>TRIM(データ!B746)</f>
        <v/>
      </c>
      <c r="AF749" s="43" t="str">
        <f>TRIM(データ!Z746)</f>
        <v/>
      </c>
    </row>
    <row r="750" spans="1:32" x14ac:dyDescent="0.15">
      <c r="A750" s="47">
        <f>データ!A747</f>
        <v>3</v>
      </c>
      <c r="B750" s="47" t="str">
        <f>TRIM(データ!C747)</f>
        <v/>
      </c>
      <c r="C750" s="47" t="str">
        <f>TRIM(データ!D747)</f>
        <v>材料費</v>
      </c>
      <c r="D750" s="36" t="str">
        <f>REPT("｜",$A750)&amp;TRIM(データ!E747)</f>
        <v>｜｜｜ガソリン</v>
      </c>
      <c r="E750" s="37" t="str">
        <f>TRIM(データ!F747)</f>
        <v/>
      </c>
      <c r="F750" s="38" t="str">
        <f>TRIM(データ!G747)</f>
        <v>リットル</v>
      </c>
      <c r="G750" s="50">
        <f>データ!H747</f>
        <v>100</v>
      </c>
      <c r="H750" s="48">
        <f>データ!I747</f>
        <v>200</v>
      </c>
      <c r="I750" s="48">
        <f>データ!J747</f>
        <v>20000</v>
      </c>
      <c r="J750" s="39" t="str">
        <f>IF(OR($C750="総括",$C750="内訳書",$C750="内訳代価",$C750="明細書",$C750="明細代価",$C750="代価表",$C750="単価表"),データ!K747,"")</f>
        <v/>
      </c>
      <c r="K750" s="11" t="str">
        <f t="shared" si="66"/>
        <v/>
      </c>
      <c r="L750" s="46">
        <f t="shared" si="67"/>
        <v>2.8796452277079463E-4</v>
      </c>
      <c r="M750" s="40" t="str">
        <f>IF(データ!L747="","",データ!L747)</f>
        <v/>
      </c>
      <c r="N750" s="41" t="str">
        <f>IF(データ!M747="","",データ!M747)</f>
        <v/>
      </c>
      <c r="O750" s="42">
        <f>データ!N747</f>
        <v>0</v>
      </c>
      <c r="P750" s="48">
        <f>IF($C750="集計行","",データ!O747)</f>
        <v>0</v>
      </c>
      <c r="Q750" s="48">
        <f>データ!P747</f>
        <v>0</v>
      </c>
      <c r="R750" s="39" t="str">
        <f>IF(OR($C750="総括",$C750="内訳書",$C750="内訳代価",$C750="明細書",$C750="明細代価",$C750="代価表",$C750="単価表"),データ!Q747,"")</f>
        <v/>
      </c>
      <c r="S750" s="11" t="str">
        <f t="shared" si="68"/>
        <v/>
      </c>
      <c r="T750" s="46" t="e">
        <f t="shared" si="69"/>
        <v>#DIV/0!</v>
      </c>
      <c r="U750" s="40" t="str">
        <f>IF(データ!R747="","",データ!R747)</f>
        <v/>
      </c>
      <c r="V750" s="41" t="str">
        <f>IF(データ!S747="","",データ!S747)</f>
        <v/>
      </c>
      <c r="W750" s="42">
        <f>データ!T747</f>
        <v>0</v>
      </c>
      <c r="X750" s="48">
        <f>IF($C750="集計行","",データ!U747)</f>
        <v>0</v>
      </c>
      <c r="Y750" s="48">
        <f>データ!V747</f>
        <v>0</v>
      </c>
      <c r="Z750" s="39" t="str">
        <f>IF(OR($C750="総括",$C750="内訳書",$C750="内訳代価",$C750="明細書",$C750="明細代価",$C750="代価表",$C750="単価表"),データ!W747,"")</f>
        <v/>
      </c>
      <c r="AA750" s="11" t="str">
        <f t="shared" si="70"/>
        <v/>
      </c>
      <c r="AB750" s="46" t="e">
        <f t="shared" si="71"/>
        <v>#DIV/0!</v>
      </c>
      <c r="AC750" s="40" t="str">
        <f>IF(データ!X747="","",データ!X747)</f>
        <v/>
      </c>
      <c r="AD750" s="41" t="str">
        <f>IF(データ!Y747="","",データ!Y747)</f>
        <v/>
      </c>
      <c r="AE750" s="47" t="str">
        <f>TRIM(データ!B747)</f>
        <v/>
      </c>
      <c r="AF750" s="43" t="str">
        <f>TRIM(データ!Z747)</f>
        <v/>
      </c>
    </row>
    <row r="751" spans="1:32" x14ac:dyDescent="0.15">
      <c r="A751" s="47">
        <f>データ!A748</f>
        <v>3</v>
      </c>
      <c r="B751" s="47" t="str">
        <f>TRIM(データ!C748)</f>
        <v/>
      </c>
      <c r="C751" s="47" t="str">
        <f>TRIM(データ!D748)</f>
        <v>外注費</v>
      </c>
      <c r="D751" s="36" t="str">
        <f>REPT("｜",$A751)&amp;TRIM(データ!E748)</f>
        <v>｜｜｜外注経費</v>
      </c>
      <c r="E751" s="37" t="str">
        <f>TRIM(データ!F748)</f>
        <v/>
      </c>
      <c r="F751" s="38" t="str">
        <f>TRIM(データ!G748)</f>
        <v>式</v>
      </c>
      <c r="G751" s="50">
        <f>データ!H748</f>
        <v>1</v>
      </c>
      <c r="H751" s="48">
        <f>データ!I748</f>
        <v>37250</v>
      </c>
      <c r="I751" s="48">
        <f>データ!J748</f>
        <v>37250</v>
      </c>
      <c r="J751" s="39" t="str">
        <f>IF(OR($C751="総括",$C751="内訳書",$C751="内訳代価",$C751="明細書",$C751="明細代価",$C751="代価表",$C751="単価表"),データ!K748,"")</f>
        <v/>
      </c>
      <c r="K751" s="11" t="str">
        <f t="shared" si="66"/>
        <v/>
      </c>
      <c r="L751" s="46">
        <f t="shared" si="67"/>
        <v>5.3633392366060498E-4</v>
      </c>
      <c r="M751" s="40" t="str">
        <f>IF(データ!L748="","",データ!L748)</f>
        <v/>
      </c>
      <c r="N751" s="41" t="str">
        <f>IF(データ!M748="","",データ!M748)</f>
        <v/>
      </c>
      <c r="O751" s="42">
        <f>データ!N748</f>
        <v>0</v>
      </c>
      <c r="P751" s="48">
        <f>IF($C751="集計行","",データ!O748)</f>
        <v>0</v>
      </c>
      <c r="Q751" s="48">
        <f>データ!P748</f>
        <v>0</v>
      </c>
      <c r="R751" s="39" t="str">
        <f>IF(OR($C751="総括",$C751="内訳書",$C751="内訳代価",$C751="明細書",$C751="明細代価",$C751="代価表",$C751="単価表"),データ!Q748,"")</f>
        <v/>
      </c>
      <c r="S751" s="11" t="str">
        <f t="shared" si="68"/>
        <v/>
      </c>
      <c r="T751" s="46" t="e">
        <f t="shared" si="69"/>
        <v>#DIV/0!</v>
      </c>
      <c r="U751" s="40" t="str">
        <f>IF(データ!R748="","",データ!R748)</f>
        <v/>
      </c>
      <c r="V751" s="41" t="str">
        <f>IF(データ!S748="","",データ!S748)</f>
        <v/>
      </c>
      <c r="W751" s="42">
        <f>データ!T748</f>
        <v>0</v>
      </c>
      <c r="X751" s="48">
        <f>IF($C751="集計行","",データ!U748)</f>
        <v>0</v>
      </c>
      <c r="Y751" s="48">
        <f>データ!V748</f>
        <v>0</v>
      </c>
      <c r="Z751" s="39" t="str">
        <f>IF(OR($C751="総括",$C751="内訳書",$C751="内訳代価",$C751="明細書",$C751="明細代価",$C751="代価表",$C751="単価表"),データ!W748,"")</f>
        <v/>
      </c>
      <c r="AA751" s="11" t="str">
        <f t="shared" si="70"/>
        <v/>
      </c>
      <c r="AB751" s="46" t="e">
        <f t="shared" si="71"/>
        <v>#DIV/0!</v>
      </c>
      <c r="AC751" s="40" t="str">
        <f>IF(データ!X748="","",データ!X748)</f>
        <v/>
      </c>
      <c r="AD751" s="41" t="str">
        <f>IF(データ!Y748="","",データ!Y748)</f>
        <v/>
      </c>
      <c r="AE751" s="47" t="str">
        <f>TRIM(データ!B748)</f>
        <v/>
      </c>
      <c r="AF751" s="43" t="str">
        <f>TRIM(データ!Z748)</f>
        <v/>
      </c>
    </row>
    <row r="752" spans="1:32" x14ac:dyDescent="0.15">
      <c r="A752" s="47">
        <f>データ!A749</f>
        <v>2</v>
      </c>
      <c r="B752" s="47" t="str">
        <f>TRIM(データ!C749)</f>
        <v/>
      </c>
      <c r="C752" s="47" t="str">
        <f>TRIM(データ!D749)</f>
        <v>内訳書</v>
      </c>
      <c r="D752" s="36" t="str">
        <f>REPT("｜",$A752)&amp;TRIM(データ!E749)</f>
        <v>｜｜アスファルト舗装</v>
      </c>
      <c r="E752" s="37" t="str">
        <f>TRIM(データ!F749)</f>
        <v>切り上げ部</v>
      </c>
      <c r="F752" s="38" t="str">
        <f>TRIM(データ!G749)</f>
        <v>m2</v>
      </c>
      <c r="G752" s="50">
        <f>データ!H749</f>
        <v>50</v>
      </c>
      <c r="H752" s="48">
        <f>データ!I749</f>
        <v>11200</v>
      </c>
      <c r="I752" s="48">
        <f>データ!J749</f>
        <v>560000</v>
      </c>
      <c r="J752" s="39">
        <f>IF(OR($C752="総括",$C752="内訳書",$C752="内訳代価",$C752="明細書",$C752="明細代価",$C752="代価表",$C752="単価表"),データ!K749,"")</f>
        <v>50</v>
      </c>
      <c r="K752" s="11" t="str">
        <f t="shared" si="66"/>
        <v/>
      </c>
      <c r="L752" s="46">
        <f t="shared" si="67"/>
        <v>8.0630066375822502E-3</v>
      </c>
      <c r="M752" s="40" t="str">
        <f>IF(データ!L749="","",データ!L749)</f>
        <v/>
      </c>
      <c r="N752" s="41" t="str">
        <f>IF(データ!M749="","",データ!M749)</f>
        <v>95号内訳書</v>
      </c>
      <c r="O752" s="42">
        <f>データ!N749</f>
        <v>0</v>
      </c>
      <c r="P752" s="48">
        <f>IF($C752="集計行","",データ!O749)</f>
        <v>0</v>
      </c>
      <c r="Q752" s="48">
        <f>データ!P749</f>
        <v>0</v>
      </c>
      <c r="R752" s="39">
        <f>IF(OR($C752="総括",$C752="内訳書",$C752="内訳代価",$C752="明細書",$C752="明細代価",$C752="代価表",$C752="単価表"),データ!Q749,"")</f>
        <v>0</v>
      </c>
      <c r="S752" s="11" t="str">
        <f t="shared" si="68"/>
        <v/>
      </c>
      <c r="T752" s="46" t="e">
        <f t="shared" si="69"/>
        <v>#DIV/0!</v>
      </c>
      <c r="U752" s="40" t="str">
        <f>IF(データ!R749="","",データ!R749)</f>
        <v/>
      </c>
      <c r="V752" s="41" t="str">
        <f>IF(データ!S749="","",データ!S749)</f>
        <v/>
      </c>
      <c r="W752" s="42">
        <f>データ!T749</f>
        <v>0</v>
      </c>
      <c r="X752" s="48">
        <f>IF($C752="集計行","",データ!U749)</f>
        <v>0</v>
      </c>
      <c r="Y752" s="48">
        <f>データ!V749</f>
        <v>0</v>
      </c>
      <c r="Z752" s="39">
        <f>IF(OR($C752="総括",$C752="内訳書",$C752="内訳代価",$C752="明細書",$C752="明細代価",$C752="代価表",$C752="単価表"),データ!W749,"")</f>
        <v>0</v>
      </c>
      <c r="AA752" s="11" t="str">
        <f t="shared" si="70"/>
        <v/>
      </c>
      <c r="AB752" s="46" t="e">
        <f t="shared" si="71"/>
        <v>#DIV/0!</v>
      </c>
      <c r="AC752" s="40" t="str">
        <f>IF(データ!X749="","",データ!X749)</f>
        <v/>
      </c>
      <c r="AD752" s="41" t="str">
        <f>IF(データ!Y749="","",データ!Y749)</f>
        <v/>
      </c>
      <c r="AE752" s="47" t="str">
        <f>TRIM(データ!B749)</f>
        <v/>
      </c>
      <c r="AF752" s="43" t="str">
        <f>TRIM(データ!Z749)</f>
        <v/>
      </c>
    </row>
    <row r="753" spans="1:32" x14ac:dyDescent="0.15">
      <c r="A753" s="47">
        <f>データ!A750</f>
        <v>3</v>
      </c>
      <c r="B753" s="47" t="str">
        <f>TRIM(データ!C750)</f>
        <v/>
      </c>
      <c r="C753" s="47" t="str">
        <f>TRIM(データ!D750)</f>
        <v>材料費</v>
      </c>
      <c r="D753" s="36" t="str">
        <f>REPT("｜",$A753)&amp;TRIM(データ!E750)</f>
        <v>｜｜｜開粒度アスコン</v>
      </c>
      <c r="E753" s="37" t="str">
        <f>TRIM(データ!F750)</f>
        <v/>
      </c>
      <c r="F753" s="38" t="str">
        <f>TRIM(データ!G750)</f>
        <v>ｔ</v>
      </c>
      <c r="G753" s="50">
        <f>データ!H750</f>
        <v>7</v>
      </c>
      <c r="H753" s="48">
        <f>データ!I750</f>
        <v>14500</v>
      </c>
      <c r="I753" s="48">
        <f>データ!J750</f>
        <v>101500</v>
      </c>
      <c r="J753" s="39" t="str">
        <f>IF(OR($C753="総括",$C753="内訳書",$C753="内訳代価",$C753="明細書",$C753="明細代価",$C753="代価表",$C753="単価表"),データ!K750,"")</f>
        <v/>
      </c>
      <c r="K753" s="11" t="str">
        <f t="shared" si="66"/>
        <v/>
      </c>
      <c r="L753" s="46">
        <f t="shared" si="67"/>
        <v>1.4614199530617827E-3</v>
      </c>
      <c r="M753" s="40" t="str">
        <f>IF(データ!L750="","",データ!L750)</f>
        <v/>
      </c>
      <c r="N753" s="41" t="str">
        <f>IF(データ!M750="","",データ!M750)</f>
        <v/>
      </c>
      <c r="O753" s="42">
        <f>データ!N750</f>
        <v>0</v>
      </c>
      <c r="P753" s="48">
        <f>IF($C753="集計行","",データ!O750)</f>
        <v>0</v>
      </c>
      <c r="Q753" s="48">
        <f>データ!P750</f>
        <v>0</v>
      </c>
      <c r="R753" s="39" t="str">
        <f>IF(OR($C753="総括",$C753="内訳書",$C753="内訳代価",$C753="明細書",$C753="明細代価",$C753="代価表",$C753="単価表"),データ!Q750,"")</f>
        <v/>
      </c>
      <c r="S753" s="11" t="str">
        <f t="shared" si="68"/>
        <v/>
      </c>
      <c r="T753" s="46" t="e">
        <f t="shared" si="69"/>
        <v>#DIV/0!</v>
      </c>
      <c r="U753" s="40" t="str">
        <f>IF(データ!R750="","",データ!R750)</f>
        <v/>
      </c>
      <c r="V753" s="41" t="str">
        <f>IF(データ!S750="","",データ!S750)</f>
        <v/>
      </c>
      <c r="W753" s="42">
        <f>データ!T750</f>
        <v>0</v>
      </c>
      <c r="X753" s="48">
        <f>IF($C753="集計行","",データ!U750)</f>
        <v>0</v>
      </c>
      <c r="Y753" s="48">
        <f>データ!V750</f>
        <v>0</v>
      </c>
      <c r="Z753" s="39" t="str">
        <f>IF(OR($C753="総括",$C753="内訳書",$C753="内訳代価",$C753="明細書",$C753="明細代価",$C753="代価表",$C753="単価表"),データ!W750,"")</f>
        <v/>
      </c>
      <c r="AA753" s="11" t="str">
        <f t="shared" si="70"/>
        <v/>
      </c>
      <c r="AB753" s="46" t="e">
        <f t="shared" si="71"/>
        <v>#DIV/0!</v>
      </c>
      <c r="AC753" s="40" t="str">
        <f>IF(データ!X750="","",データ!X750)</f>
        <v/>
      </c>
      <c r="AD753" s="41" t="str">
        <f>IF(データ!Y750="","",データ!Y750)</f>
        <v/>
      </c>
      <c r="AE753" s="47" t="str">
        <f>TRIM(データ!B750)</f>
        <v/>
      </c>
      <c r="AF753" s="43" t="str">
        <f>TRIM(データ!Z750)</f>
        <v/>
      </c>
    </row>
    <row r="754" spans="1:32" x14ac:dyDescent="0.15">
      <c r="A754" s="47">
        <f>データ!A751</f>
        <v>3</v>
      </c>
      <c r="B754" s="47" t="str">
        <f>TRIM(データ!C751)</f>
        <v/>
      </c>
      <c r="C754" s="47" t="str">
        <f>TRIM(データ!D751)</f>
        <v>労務費</v>
      </c>
      <c r="D754" s="36" t="str">
        <f>REPT("｜",$A754)&amp;TRIM(データ!E751)</f>
        <v>｜｜｜技工</v>
      </c>
      <c r="E754" s="37" t="str">
        <f>TRIM(データ!F751)</f>
        <v/>
      </c>
      <c r="F754" s="38" t="str">
        <f>TRIM(データ!G751)</f>
        <v>人</v>
      </c>
      <c r="G754" s="50">
        <f>データ!H751</f>
        <v>10</v>
      </c>
      <c r="H754" s="48">
        <f>データ!I751</f>
        <v>32000</v>
      </c>
      <c r="I754" s="48">
        <f>データ!J751</f>
        <v>320000</v>
      </c>
      <c r="J754" s="39" t="str">
        <f>IF(OR($C754="総括",$C754="内訳書",$C754="内訳代価",$C754="明細書",$C754="明細代価",$C754="代価表",$C754="単価表"),データ!K751,"")</f>
        <v/>
      </c>
      <c r="K754" s="11" t="str">
        <f t="shared" si="66"/>
        <v/>
      </c>
      <c r="L754" s="46">
        <f t="shared" si="67"/>
        <v>4.607432364332714E-3</v>
      </c>
      <c r="M754" s="40" t="str">
        <f>IF(データ!L751="","",データ!L751)</f>
        <v/>
      </c>
      <c r="N754" s="41" t="str">
        <f>IF(データ!M751="","",データ!M751)</f>
        <v/>
      </c>
      <c r="O754" s="42">
        <f>データ!N751</f>
        <v>0</v>
      </c>
      <c r="P754" s="48">
        <f>IF($C754="集計行","",データ!O751)</f>
        <v>0</v>
      </c>
      <c r="Q754" s="48">
        <f>データ!P751</f>
        <v>0</v>
      </c>
      <c r="R754" s="39" t="str">
        <f>IF(OR($C754="総括",$C754="内訳書",$C754="内訳代価",$C754="明細書",$C754="明細代価",$C754="代価表",$C754="単価表"),データ!Q751,"")</f>
        <v/>
      </c>
      <c r="S754" s="11" t="str">
        <f t="shared" si="68"/>
        <v/>
      </c>
      <c r="T754" s="46" t="e">
        <f t="shared" si="69"/>
        <v>#DIV/0!</v>
      </c>
      <c r="U754" s="40" t="str">
        <f>IF(データ!R751="","",データ!R751)</f>
        <v/>
      </c>
      <c r="V754" s="41" t="str">
        <f>IF(データ!S751="","",データ!S751)</f>
        <v/>
      </c>
      <c r="W754" s="42">
        <f>データ!T751</f>
        <v>0</v>
      </c>
      <c r="X754" s="48">
        <f>IF($C754="集計行","",データ!U751)</f>
        <v>0</v>
      </c>
      <c r="Y754" s="48">
        <f>データ!V751</f>
        <v>0</v>
      </c>
      <c r="Z754" s="39" t="str">
        <f>IF(OR($C754="総括",$C754="内訳書",$C754="内訳代価",$C754="明細書",$C754="明細代価",$C754="代価表",$C754="単価表"),データ!W751,"")</f>
        <v/>
      </c>
      <c r="AA754" s="11" t="str">
        <f t="shared" si="70"/>
        <v/>
      </c>
      <c r="AB754" s="46" t="e">
        <f t="shared" si="71"/>
        <v>#DIV/0!</v>
      </c>
      <c r="AC754" s="40" t="str">
        <f>IF(データ!X751="","",データ!X751)</f>
        <v/>
      </c>
      <c r="AD754" s="41" t="str">
        <f>IF(データ!Y751="","",データ!Y751)</f>
        <v/>
      </c>
      <c r="AE754" s="47" t="str">
        <f>TRIM(データ!B751)</f>
        <v/>
      </c>
      <c r="AF754" s="43" t="str">
        <f>TRIM(データ!Z751)</f>
        <v/>
      </c>
    </row>
    <row r="755" spans="1:32" x14ac:dyDescent="0.15">
      <c r="A755" s="47">
        <f>データ!A752</f>
        <v>3</v>
      </c>
      <c r="B755" s="47" t="str">
        <f>TRIM(データ!C752)</f>
        <v/>
      </c>
      <c r="C755" s="47" t="str">
        <f>TRIM(データ!D752)</f>
        <v>機械費</v>
      </c>
      <c r="D755" s="36" t="str">
        <f>REPT("｜",$A755)&amp;TRIM(データ!E752)</f>
        <v>｜｜｜BH0.15</v>
      </c>
      <c r="E755" s="37" t="str">
        <f>TRIM(データ!F752)</f>
        <v/>
      </c>
      <c r="F755" s="38" t="str">
        <f>TRIM(データ!G752)</f>
        <v>台</v>
      </c>
      <c r="G755" s="50">
        <f>データ!H752</f>
        <v>1</v>
      </c>
      <c r="H755" s="48">
        <f>データ!I752</f>
        <v>8000</v>
      </c>
      <c r="I755" s="48">
        <f>データ!J752</f>
        <v>8000</v>
      </c>
      <c r="J755" s="39" t="str">
        <f>IF(OR($C755="総括",$C755="内訳書",$C755="内訳代価",$C755="明細書",$C755="明細代価",$C755="代価表",$C755="単価表"),データ!K752,"")</f>
        <v/>
      </c>
      <c r="K755" s="11" t="str">
        <f t="shared" si="66"/>
        <v/>
      </c>
      <c r="L755" s="46">
        <f t="shared" si="67"/>
        <v>1.1518580910831785E-4</v>
      </c>
      <c r="M755" s="40" t="str">
        <f>IF(データ!L752="","",データ!L752)</f>
        <v/>
      </c>
      <c r="N755" s="41" t="str">
        <f>IF(データ!M752="","",データ!M752)</f>
        <v/>
      </c>
      <c r="O755" s="42">
        <f>データ!N752</f>
        <v>0</v>
      </c>
      <c r="P755" s="48">
        <f>IF($C755="集計行","",データ!O752)</f>
        <v>0</v>
      </c>
      <c r="Q755" s="48">
        <f>データ!P752</f>
        <v>0</v>
      </c>
      <c r="R755" s="39" t="str">
        <f>IF(OR($C755="総括",$C755="内訳書",$C755="内訳代価",$C755="明細書",$C755="明細代価",$C755="代価表",$C755="単価表"),データ!Q752,"")</f>
        <v/>
      </c>
      <c r="S755" s="11" t="str">
        <f t="shared" si="68"/>
        <v/>
      </c>
      <c r="T755" s="46" t="e">
        <f t="shared" si="69"/>
        <v>#DIV/0!</v>
      </c>
      <c r="U755" s="40" t="str">
        <f>IF(データ!R752="","",データ!R752)</f>
        <v/>
      </c>
      <c r="V755" s="41" t="str">
        <f>IF(データ!S752="","",データ!S752)</f>
        <v/>
      </c>
      <c r="W755" s="42">
        <f>データ!T752</f>
        <v>0</v>
      </c>
      <c r="X755" s="48">
        <f>IF($C755="集計行","",データ!U752)</f>
        <v>0</v>
      </c>
      <c r="Y755" s="48">
        <f>データ!V752</f>
        <v>0</v>
      </c>
      <c r="Z755" s="39" t="str">
        <f>IF(OR($C755="総括",$C755="内訳書",$C755="内訳代価",$C755="明細書",$C755="明細代価",$C755="代価表",$C755="単価表"),データ!W752,"")</f>
        <v/>
      </c>
      <c r="AA755" s="11" t="str">
        <f t="shared" si="70"/>
        <v/>
      </c>
      <c r="AB755" s="46" t="e">
        <f t="shared" si="71"/>
        <v>#DIV/0!</v>
      </c>
      <c r="AC755" s="40" t="str">
        <f>IF(データ!X752="","",データ!X752)</f>
        <v/>
      </c>
      <c r="AD755" s="41" t="str">
        <f>IF(データ!Y752="","",データ!Y752)</f>
        <v/>
      </c>
      <c r="AE755" s="47" t="str">
        <f>TRIM(データ!B752)</f>
        <v/>
      </c>
      <c r="AF755" s="43" t="str">
        <f>TRIM(データ!Z752)</f>
        <v/>
      </c>
    </row>
    <row r="756" spans="1:32" x14ac:dyDescent="0.15">
      <c r="A756" s="47">
        <f>データ!A753</f>
        <v>3</v>
      </c>
      <c r="B756" s="47" t="str">
        <f>TRIM(データ!C753)</f>
        <v/>
      </c>
      <c r="C756" s="47" t="str">
        <f>TRIM(データ!D753)</f>
        <v>機械費</v>
      </c>
      <c r="D756" s="36" t="str">
        <f>REPT("｜",$A756)&amp;TRIM(データ!E753)</f>
        <v>｜｜｜タイヤショベル</v>
      </c>
      <c r="E756" s="37" t="str">
        <f>TRIM(データ!F753)</f>
        <v/>
      </c>
      <c r="F756" s="38" t="str">
        <f>TRIM(データ!G753)</f>
        <v>台</v>
      </c>
      <c r="G756" s="50">
        <f>データ!H753</f>
        <v>1</v>
      </c>
      <c r="H756" s="48">
        <f>データ!I753</f>
        <v>8000</v>
      </c>
      <c r="I756" s="48">
        <f>データ!J753</f>
        <v>8000</v>
      </c>
      <c r="J756" s="39" t="str">
        <f>IF(OR($C756="総括",$C756="内訳書",$C756="内訳代価",$C756="明細書",$C756="明細代価",$C756="代価表",$C756="単価表"),データ!K753,"")</f>
        <v/>
      </c>
      <c r="K756" s="11" t="str">
        <f t="shared" si="66"/>
        <v/>
      </c>
      <c r="L756" s="46">
        <f t="shared" si="67"/>
        <v>1.1518580910831785E-4</v>
      </c>
      <c r="M756" s="40" t="str">
        <f>IF(データ!L753="","",データ!L753)</f>
        <v/>
      </c>
      <c r="N756" s="41" t="str">
        <f>IF(データ!M753="","",データ!M753)</f>
        <v/>
      </c>
      <c r="O756" s="42">
        <f>データ!N753</f>
        <v>0</v>
      </c>
      <c r="P756" s="48">
        <f>IF($C756="集計行","",データ!O753)</f>
        <v>0</v>
      </c>
      <c r="Q756" s="48">
        <f>データ!P753</f>
        <v>0</v>
      </c>
      <c r="R756" s="39" t="str">
        <f>IF(OR($C756="総括",$C756="内訳書",$C756="内訳代価",$C756="明細書",$C756="明細代価",$C756="代価表",$C756="単価表"),データ!Q753,"")</f>
        <v/>
      </c>
      <c r="S756" s="11" t="str">
        <f t="shared" si="68"/>
        <v/>
      </c>
      <c r="T756" s="46" t="e">
        <f t="shared" si="69"/>
        <v>#DIV/0!</v>
      </c>
      <c r="U756" s="40" t="str">
        <f>IF(データ!R753="","",データ!R753)</f>
        <v/>
      </c>
      <c r="V756" s="41" t="str">
        <f>IF(データ!S753="","",データ!S753)</f>
        <v/>
      </c>
      <c r="W756" s="42">
        <f>データ!T753</f>
        <v>0</v>
      </c>
      <c r="X756" s="48">
        <f>IF($C756="集計行","",データ!U753)</f>
        <v>0</v>
      </c>
      <c r="Y756" s="48">
        <f>データ!V753</f>
        <v>0</v>
      </c>
      <c r="Z756" s="39" t="str">
        <f>IF(OR($C756="総括",$C756="内訳書",$C756="内訳代価",$C756="明細書",$C756="明細代価",$C756="代価表",$C756="単価表"),データ!W753,"")</f>
        <v/>
      </c>
      <c r="AA756" s="11" t="str">
        <f t="shared" si="70"/>
        <v/>
      </c>
      <c r="AB756" s="46" t="e">
        <f t="shared" si="71"/>
        <v>#DIV/0!</v>
      </c>
      <c r="AC756" s="40" t="str">
        <f>IF(データ!X753="","",データ!X753)</f>
        <v/>
      </c>
      <c r="AD756" s="41" t="str">
        <f>IF(データ!Y753="","",データ!Y753)</f>
        <v/>
      </c>
      <c r="AE756" s="47" t="str">
        <f>TRIM(データ!B753)</f>
        <v/>
      </c>
      <c r="AF756" s="43" t="str">
        <f>TRIM(データ!Z753)</f>
        <v/>
      </c>
    </row>
    <row r="757" spans="1:32" x14ac:dyDescent="0.15">
      <c r="A757" s="47">
        <f>データ!A754</f>
        <v>3</v>
      </c>
      <c r="B757" s="47" t="str">
        <f>TRIM(データ!C754)</f>
        <v/>
      </c>
      <c r="C757" s="47" t="str">
        <f>TRIM(データ!D754)</f>
        <v>機械費</v>
      </c>
      <c r="D757" s="36" t="str">
        <f>REPT("｜",$A757)&amp;TRIM(データ!E754)</f>
        <v>｜｜｜コンバインドローラ</v>
      </c>
      <c r="E757" s="37" t="str">
        <f>TRIM(データ!F754)</f>
        <v/>
      </c>
      <c r="F757" s="38" t="str">
        <f>TRIM(データ!G754)</f>
        <v>台</v>
      </c>
      <c r="G757" s="50">
        <f>データ!H754</f>
        <v>1</v>
      </c>
      <c r="H757" s="48">
        <f>データ!I754</f>
        <v>8000</v>
      </c>
      <c r="I757" s="48">
        <f>データ!J754</f>
        <v>8000</v>
      </c>
      <c r="J757" s="39" t="str">
        <f>IF(OR($C757="総括",$C757="内訳書",$C757="内訳代価",$C757="明細書",$C757="明細代価",$C757="代価表",$C757="単価表"),データ!K754,"")</f>
        <v/>
      </c>
      <c r="K757" s="11" t="str">
        <f t="shared" si="66"/>
        <v/>
      </c>
      <c r="L757" s="46">
        <f t="shared" si="67"/>
        <v>1.1518580910831785E-4</v>
      </c>
      <c r="M757" s="40" t="str">
        <f>IF(データ!L754="","",データ!L754)</f>
        <v/>
      </c>
      <c r="N757" s="41" t="str">
        <f>IF(データ!M754="","",データ!M754)</f>
        <v/>
      </c>
      <c r="O757" s="42">
        <f>データ!N754</f>
        <v>0</v>
      </c>
      <c r="P757" s="48">
        <f>IF($C757="集計行","",データ!O754)</f>
        <v>0</v>
      </c>
      <c r="Q757" s="48">
        <f>データ!P754</f>
        <v>0</v>
      </c>
      <c r="R757" s="39" t="str">
        <f>IF(OR($C757="総括",$C757="内訳書",$C757="内訳代価",$C757="明細書",$C757="明細代価",$C757="代価表",$C757="単価表"),データ!Q754,"")</f>
        <v/>
      </c>
      <c r="S757" s="11" t="str">
        <f t="shared" si="68"/>
        <v/>
      </c>
      <c r="T757" s="46" t="e">
        <f t="shared" si="69"/>
        <v>#DIV/0!</v>
      </c>
      <c r="U757" s="40" t="str">
        <f>IF(データ!R754="","",データ!R754)</f>
        <v/>
      </c>
      <c r="V757" s="41" t="str">
        <f>IF(データ!S754="","",データ!S754)</f>
        <v/>
      </c>
      <c r="W757" s="42">
        <f>データ!T754</f>
        <v>0</v>
      </c>
      <c r="X757" s="48">
        <f>IF($C757="集計行","",データ!U754)</f>
        <v>0</v>
      </c>
      <c r="Y757" s="48">
        <f>データ!V754</f>
        <v>0</v>
      </c>
      <c r="Z757" s="39" t="str">
        <f>IF(OR($C757="総括",$C757="内訳書",$C757="内訳代価",$C757="明細書",$C757="明細代価",$C757="代価表",$C757="単価表"),データ!W754,"")</f>
        <v/>
      </c>
      <c r="AA757" s="11" t="str">
        <f t="shared" si="70"/>
        <v/>
      </c>
      <c r="AB757" s="46" t="e">
        <f t="shared" si="71"/>
        <v>#DIV/0!</v>
      </c>
      <c r="AC757" s="40" t="str">
        <f>IF(データ!X754="","",データ!X754)</f>
        <v/>
      </c>
      <c r="AD757" s="41" t="str">
        <f>IF(データ!Y754="","",データ!Y754)</f>
        <v/>
      </c>
      <c r="AE757" s="47" t="str">
        <f>TRIM(データ!B754)</f>
        <v/>
      </c>
      <c r="AF757" s="43" t="str">
        <f>TRIM(データ!Z754)</f>
        <v/>
      </c>
    </row>
    <row r="758" spans="1:32" x14ac:dyDescent="0.15">
      <c r="A758" s="47">
        <f>データ!A755</f>
        <v>3</v>
      </c>
      <c r="B758" s="47" t="str">
        <f>TRIM(データ!C755)</f>
        <v/>
      </c>
      <c r="C758" s="47" t="str">
        <f>TRIM(データ!D755)</f>
        <v>機械費</v>
      </c>
      <c r="D758" s="36" t="str">
        <f>REPT("｜",$A758)&amp;TRIM(データ!E755)</f>
        <v>｜｜｜ランマー</v>
      </c>
      <c r="E758" s="37" t="str">
        <f>TRIM(データ!F755)</f>
        <v/>
      </c>
      <c r="F758" s="38" t="str">
        <f>TRIM(データ!G755)</f>
        <v>台</v>
      </c>
      <c r="G758" s="50">
        <f>データ!H755</f>
        <v>1</v>
      </c>
      <c r="H758" s="48">
        <f>データ!I755</f>
        <v>1500</v>
      </c>
      <c r="I758" s="48">
        <f>データ!J755</f>
        <v>1500</v>
      </c>
      <c r="J758" s="39" t="str">
        <f>IF(OR($C758="総括",$C758="内訳書",$C758="内訳代価",$C758="明細書",$C758="明細代価",$C758="代価表",$C758="単価表"),データ!K755,"")</f>
        <v/>
      </c>
      <c r="K758" s="11" t="str">
        <f t="shared" si="66"/>
        <v/>
      </c>
      <c r="L758" s="46">
        <f t="shared" si="67"/>
        <v>2.1597339207809597E-5</v>
      </c>
      <c r="M758" s="40" t="str">
        <f>IF(データ!L755="","",データ!L755)</f>
        <v/>
      </c>
      <c r="N758" s="41" t="str">
        <f>IF(データ!M755="","",データ!M755)</f>
        <v/>
      </c>
      <c r="O758" s="42">
        <f>データ!N755</f>
        <v>0</v>
      </c>
      <c r="P758" s="48">
        <f>IF($C758="集計行","",データ!O755)</f>
        <v>0</v>
      </c>
      <c r="Q758" s="48">
        <f>データ!P755</f>
        <v>0</v>
      </c>
      <c r="R758" s="39" t="str">
        <f>IF(OR($C758="総括",$C758="内訳書",$C758="内訳代価",$C758="明細書",$C758="明細代価",$C758="代価表",$C758="単価表"),データ!Q755,"")</f>
        <v/>
      </c>
      <c r="S758" s="11" t="str">
        <f t="shared" si="68"/>
        <v/>
      </c>
      <c r="T758" s="46" t="e">
        <f t="shared" si="69"/>
        <v>#DIV/0!</v>
      </c>
      <c r="U758" s="40" t="str">
        <f>IF(データ!R755="","",データ!R755)</f>
        <v/>
      </c>
      <c r="V758" s="41" t="str">
        <f>IF(データ!S755="","",データ!S755)</f>
        <v/>
      </c>
      <c r="W758" s="42">
        <f>データ!T755</f>
        <v>0</v>
      </c>
      <c r="X758" s="48">
        <f>IF($C758="集計行","",データ!U755)</f>
        <v>0</v>
      </c>
      <c r="Y758" s="48">
        <f>データ!V755</f>
        <v>0</v>
      </c>
      <c r="Z758" s="39" t="str">
        <f>IF(OR($C758="総括",$C758="内訳書",$C758="内訳代価",$C758="明細書",$C758="明細代価",$C758="代価表",$C758="単価表"),データ!W755,"")</f>
        <v/>
      </c>
      <c r="AA758" s="11" t="str">
        <f t="shared" si="70"/>
        <v/>
      </c>
      <c r="AB758" s="46" t="e">
        <f t="shared" si="71"/>
        <v>#DIV/0!</v>
      </c>
      <c r="AC758" s="40" t="str">
        <f>IF(データ!X755="","",データ!X755)</f>
        <v/>
      </c>
      <c r="AD758" s="41" t="str">
        <f>IF(データ!Y755="","",データ!Y755)</f>
        <v/>
      </c>
      <c r="AE758" s="47" t="str">
        <f>TRIM(データ!B755)</f>
        <v/>
      </c>
      <c r="AF758" s="43" t="str">
        <f>TRIM(データ!Z755)</f>
        <v/>
      </c>
    </row>
    <row r="759" spans="1:32" x14ac:dyDescent="0.15">
      <c r="A759" s="47">
        <f>データ!A756</f>
        <v>3</v>
      </c>
      <c r="B759" s="47" t="str">
        <f>TRIM(データ!C756)</f>
        <v/>
      </c>
      <c r="C759" s="47" t="str">
        <f>TRIM(データ!D756)</f>
        <v>機械費</v>
      </c>
      <c r="D759" s="36" t="str">
        <f>REPT("｜",$A759)&amp;TRIM(データ!E756)</f>
        <v>｜｜｜プレート</v>
      </c>
      <c r="E759" s="37" t="str">
        <f>TRIM(データ!F756)</f>
        <v/>
      </c>
      <c r="F759" s="38" t="str">
        <f>TRIM(データ!G756)</f>
        <v>台</v>
      </c>
      <c r="G759" s="50">
        <f>データ!H756</f>
        <v>1</v>
      </c>
      <c r="H759" s="48">
        <f>データ!I756</f>
        <v>1500</v>
      </c>
      <c r="I759" s="48">
        <f>データ!J756</f>
        <v>1500</v>
      </c>
      <c r="J759" s="39" t="str">
        <f>IF(OR($C759="総括",$C759="内訳書",$C759="内訳代価",$C759="明細書",$C759="明細代価",$C759="代価表",$C759="単価表"),データ!K756,"")</f>
        <v/>
      </c>
      <c r="K759" s="11" t="str">
        <f t="shared" si="66"/>
        <v/>
      </c>
      <c r="L759" s="46">
        <f t="shared" si="67"/>
        <v>2.1597339207809597E-5</v>
      </c>
      <c r="M759" s="40" t="str">
        <f>IF(データ!L756="","",データ!L756)</f>
        <v/>
      </c>
      <c r="N759" s="41" t="str">
        <f>IF(データ!M756="","",データ!M756)</f>
        <v/>
      </c>
      <c r="O759" s="42">
        <f>データ!N756</f>
        <v>0</v>
      </c>
      <c r="P759" s="48">
        <f>IF($C759="集計行","",データ!O756)</f>
        <v>0</v>
      </c>
      <c r="Q759" s="48">
        <f>データ!P756</f>
        <v>0</v>
      </c>
      <c r="R759" s="39" t="str">
        <f>IF(OR($C759="総括",$C759="内訳書",$C759="内訳代価",$C759="明細書",$C759="明細代価",$C759="代価表",$C759="単価表"),データ!Q756,"")</f>
        <v/>
      </c>
      <c r="S759" s="11" t="str">
        <f t="shared" si="68"/>
        <v/>
      </c>
      <c r="T759" s="46" t="e">
        <f t="shared" si="69"/>
        <v>#DIV/0!</v>
      </c>
      <c r="U759" s="40" t="str">
        <f>IF(データ!R756="","",データ!R756)</f>
        <v/>
      </c>
      <c r="V759" s="41" t="str">
        <f>IF(データ!S756="","",データ!S756)</f>
        <v/>
      </c>
      <c r="W759" s="42">
        <f>データ!T756</f>
        <v>0</v>
      </c>
      <c r="X759" s="48">
        <f>IF($C759="集計行","",データ!U756)</f>
        <v>0</v>
      </c>
      <c r="Y759" s="48">
        <f>データ!V756</f>
        <v>0</v>
      </c>
      <c r="Z759" s="39" t="str">
        <f>IF(OR($C759="総括",$C759="内訳書",$C759="内訳代価",$C759="明細書",$C759="明細代価",$C759="代価表",$C759="単価表"),データ!W756,"")</f>
        <v/>
      </c>
      <c r="AA759" s="11" t="str">
        <f t="shared" si="70"/>
        <v/>
      </c>
      <c r="AB759" s="46" t="e">
        <f t="shared" si="71"/>
        <v>#DIV/0!</v>
      </c>
      <c r="AC759" s="40" t="str">
        <f>IF(データ!X756="","",データ!X756)</f>
        <v/>
      </c>
      <c r="AD759" s="41" t="str">
        <f>IF(データ!Y756="","",データ!Y756)</f>
        <v/>
      </c>
      <c r="AE759" s="47" t="str">
        <f>TRIM(データ!B756)</f>
        <v/>
      </c>
      <c r="AF759" s="43" t="str">
        <f>TRIM(データ!Z756)</f>
        <v/>
      </c>
    </row>
    <row r="760" spans="1:32" x14ac:dyDescent="0.15">
      <c r="A760" s="47">
        <f>データ!A757</f>
        <v>3</v>
      </c>
      <c r="B760" s="47" t="str">
        <f>TRIM(データ!C757)</f>
        <v/>
      </c>
      <c r="C760" s="47" t="str">
        <f>TRIM(データ!D757)</f>
        <v>運搬費</v>
      </c>
      <c r="D760" s="36" t="str">
        <f>REPT("｜",$A760)&amp;TRIM(データ!E757)</f>
        <v>｜｜｜4tダンプ</v>
      </c>
      <c r="E760" s="37" t="str">
        <f>TRIM(データ!F757)</f>
        <v/>
      </c>
      <c r="F760" s="38" t="str">
        <f>TRIM(データ!G757)</f>
        <v>台</v>
      </c>
      <c r="G760" s="50">
        <f>データ!H757</f>
        <v>1</v>
      </c>
      <c r="H760" s="48">
        <f>データ!I757</f>
        <v>10000</v>
      </c>
      <c r="I760" s="48">
        <f>データ!J757</f>
        <v>10000</v>
      </c>
      <c r="J760" s="39" t="str">
        <f>IF(OR($C760="総括",$C760="内訳書",$C760="内訳代価",$C760="明細書",$C760="明細代価",$C760="代価表",$C760="単価表"),データ!K757,"")</f>
        <v/>
      </c>
      <c r="K760" s="11" t="str">
        <f t="shared" si="66"/>
        <v/>
      </c>
      <c r="L760" s="46">
        <f t="shared" si="67"/>
        <v>1.4398226138539731E-4</v>
      </c>
      <c r="M760" s="40" t="str">
        <f>IF(データ!L757="","",データ!L757)</f>
        <v/>
      </c>
      <c r="N760" s="41" t="str">
        <f>IF(データ!M757="","",データ!M757)</f>
        <v/>
      </c>
      <c r="O760" s="42">
        <f>データ!N757</f>
        <v>0</v>
      </c>
      <c r="P760" s="48">
        <f>IF($C760="集計行","",データ!O757)</f>
        <v>0</v>
      </c>
      <c r="Q760" s="48">
        <f>データ!P757</f>
        <v>0</v>
      </c>
      <c r="R760" s="39" t="str">
        <f>IF(OR($C760="総括",$C760="内訳書",$C760="内訳代価",$C760="明細書",$C760="明細代価",$C760="代価表",$C760="単価表"),データ!Q757,"")</f>
        <v/>
      </c>
      <c r="S760" s="11" t="str">
        <f t="shared" si="68"/>
        <v/>
      </c>
      <c r="T760" s="46" t="e">
        <f t="shared" si="69"/>
        <v>#DIV/0!</v>
      </c>
      <c r="U760" s="40" t="str">
        <f>IF(データ!R757="","",データ!R757)</f>
        <v/>
      </c>
      <c r="V760" s="41" t="str">
        <f>IF(データ!S757="","",データ!S757)</f>
        <v/>
      </c>
      <c r="W760" s="42">
        <f>データ!T757</f>
        <v>0</v>
      </c>
      <c r="X760" s="48">
        <f>IF($C760="集計行","",データ!U757)</f>
        <v>0</v>
      </c>
      <c r="Y760" s="48">
        <f>データ!V757</f>
        <v>0</v>
      </c>
      <c r="Z760" s="39" t="str">
        <f>IF(OR($C760="総括",$C760="内訳書",$C760="内訳代価",$C760="明細書",$C760="明細代価",$C760="代価表",$C760="単価表"),データ!W757,"")</f>
        <v/>
      </c>
      <c r="AA760" s="11" t="str">
        <f t="shared" si="70"/>
        <v/>
      </c>
      <c r="AB760" s="46" t="e">
        <f t="shared" si="71"/>
        <v>#DIV/0!</v>
      </c>
      <c r="AC760" s="40" t="str">
        <f>IF(データ!X757="","",データ!X757)</f>
        <v/>
      </c>
      <c r="AD760" s="41" t="str">
        <f>IF(データ!Y757="","",データ!Y757)</f>
        <v/>
      </c>
      <c r="AE760" s="47" t="str">
        <f>TRIM(データ!B757)</f>
        <v/>
      </c>
      <c r="AF760" s="43" t="str">
        <f>TRIM(データ!Z757)</f>
        <v/>
      </c>
    </row>
    <row r="761" spans="1:32" x14ac:dyDescent="0.15">
      <c r="A761" s="47">
        <f>データ!A758</f>
        <v>3</v>
      </c>
      <c r="B761" s="47" t="str">
        <f>TRIM(データ!C758)</f>
        <v/>
      </c>
      <c r="C761" s="47" t="str">
        <f>TRIM(データ!D758)</f>
        <v>運搬費</v>
      </c>
      <c r="D761" s="36" t="str">
        <f>REPT("｜",$A761)&amp;TRIM(データ!E758)</f>
        <v>｜｜｜2tダンプ</v>
      </c>
      <c r="E761" s="37" t="str">
        <f>TRIM(データ!F758)</f>
        <v/>
      </c>
      <c r="F761" s="38" t="str">
        <f>TRIM(データ!G758)</f>
        <v>台</v>
      </c>
      <c r="G761" s="50">
        <f>データ!H758</f>
        <v>2</v>
      </c>
      <c r="H761" s="48">
        <f>データ!I758</f>
        <v>7000</v>
      </c>
      <c r="I761" s="48">
        <f>データ!J758</f>
        <v>14000</v>
      </c>
      <c r="J761" s="39" t="str">
        <f>IF(OR($C761="総括",$C761="内訳書",$C761="内訳代価",$C761="明細書",$C761="明細代価",$C761="代価表",$C761="単価表"),データ!K758,"")</f>
        <v/>
      </c>
      <c r="K761" s="11" t="str">
        <f t="shared" si="66"/>
        <v/>
      </c>
      <c r="L761" s="46">
        <f t="shared" si="67"/>
        <v>2.0157516593955624E-4</v>
      </c>
      <c r="M761" s="40" t="str">
        <f>IF(データ!L758="","",データ!L758)</f>
        <v/>
      </c>
      <c r="N761" s="41" t="str">
        <f>IF(データ!M758="","",データ!M758)</f>
        <v/>
      </c>
      <c r="O761" s="42">
        <f>データ!N758</f>
        <v>0</v>
      </c>
      <c r="P761" s="48">
        <f>IF($C761="集計行","",データ!O758)</f>
        <v>0</v>
      </c>
      <c r="Q761" s="48">
        <f>データ!P758</f>
        <v>0</v>
      </c>
      <c r="R761" s="39" t="str">
        <f>IF(OR($C761="総括",$C761="内訳書",$C761="内訳代価",$C761="明細書",$C761="明細代価",$C761="代価表",$C761="単価表"),データ!Q758,"")</f>
        <v/>
      </c>
      <c r="S761" s="11" t="str">
        <f t="shared" si="68"/>
        <v/>
      </c>
      <c r="T761" s="46" t="e">
        <f t="shared" si="69"/>
        <v>#DIV/0!</v>
      </c>
      <c r="U761" s="40" t="str">
        <f>IF(データ!R758="","",データ!R758)</f>
        <v/>
      </c>
      <c r="V761" s="41" t="str">
        <f>IF(データ!S758="","",データ!S758)</f>
        <v/>
      </c>
      <c r="W761" s="42">
        <f>データ!T758</f>
        <v>0</v>
      </c>
      <c r="X761" s="48">
        <f>IF($C761="集計行","",データ!U758)</f>
        <v>0</v>
      </c>
      <c r="Y761" s="48">
        <f>データ!V758</f>
        <v>0</v>
      </c>
      <c r="Z761" s="39" t="str">
        <f>IF(OR($C761="総括",$C761="内訳書",$C761="内訳代価",$C761="明細書",$C761="明細代価",$C761="代価表",$C761="単価表"),データ!W758,"")</f>
        <v/>
      </c>
      <c r="AA761" s="11" t="str">
        <f t="shared" si="70"/>
        <v/>
      </c>
      <c r="AB761" s="46" t="e">
        <f t="shared" si="71"/>
        <v>#DIV/0!</v>
      </c>
      <c r="AC761" s="40" t="str">
        <f>IF(データ!X758="","",データ!X758)</f>
        <v/>
      </c>
      <c r="AD761" s="41" t="str">
        <f>IF(データ!Y758="","",データ!Y758)</f>
        <v/>
      </c>
      <c r="AE761" s="47" t="str">
        <f>TRIM(データ!B758)</f>
        <v/>
      </c>
      <c r="AF761" s="43" t="str">
        <f>TRIM(データ!Z758)</f>
        <v/>
      </c>
    </row>
    <row r="762" spans="1:32" x14ac:dyDescent="0.15">
      <c r="A762" s="47">
        <f>データ!A759</f>
        <v>3</v>
      </c>
      <c r="B762" s="47" t="str">
        <f>TRIM(データ!C759)</f>
        <v/>
      </c>
      <c r="C762" s="47" t="str">
        <f>TRIM(データ!D759)</f>
        <v>運搬費</v>
      </c>
      <c r="D762" s="36" t="str">
        <f>REPT("｜",$A762)&amp;TRIM(データ!E759)</f>
        <v>｜｜｜WP</v>
      </c>
      <c r="E762" s="37" t="str">
        <f>TRIM(データ!F759)</f>
        <v/>
      </c>
      <c r="F762" s="38" t="str">
        <f>TRIM(データ!G759)</f>
        <v>台</v>
      </c>
      <c r="G762" s="50">
        <f>データ!H759</f>
        <v>2</v>
      </c>
      <c r="H762" s="48">
        <f>データ!I759</f>
        <v>7000</v>
      </c>
      <c r="I762" s="48">
        <f>データ!J759</f>
        <v>14000</v>
      </c>
      <c r="J762" s="39" t="str">
        <f>IF(OR($C762="総括",$C762="内訳書",$C762="内訳代価",$C762="明細書",$C762="明細代価",$C762="代価表",$C762="単価表"),データ!K759,"")</f>
        <v/>
      </c>
      <c r="K762" s="11" t="str">
        <f t="shared" si="66"/>
        <v/>
      </c>
      <c r="L762" s="46">
        <f t="shared" si="67"/>
        <v>2.0157516593955624E-4</v>
      </c>
      <c r="M762" s="40" t="str">
        <f>IF(データ!L759="","",データ!L759)</f>
        <v/>
      </c>
      <c r="N762" s="41" t="str">
        <f>IF(データ!M759="","",データ!M759)</f>
        <v/>
      </c>
      <c r="O762" s="42">
        <f>データ!N759</f>
        <v>0</v>
      </c>
      <c r="P762" s="48">
        <f>IF($C762="集計行","",データ!O759)</f>
        <v>0</v>
      </c>
      <c r="Q762" s="48">
        <f>データ!P759</f>
        <v>0</v>
      </c>
      <c r="R762" s="39" t="str">
        <f>IF(OR($C762="総括",$C762="内訳書",$C762="内訳代価",$C762="明細書",$C762="明細代価",$C762="代価表",$C762="単価表"),データ!Q759,"")</f>
        <v/>
      </c>
      <c r="S762" s="11" t="str">
        <f t="shared" si="68"/>
        <v/>
      </c>
      <c r="T762" s="46" t="e">
        <f t="shared" si="69"/>
        <v>#DIV/0!</v>
      </c>
      <c r="U762" s="40" t="str">
        <f>IF(データ!R759="","",データ!R759)</f>
        <v/>
      </c>
      <c r="V762" s="41" t="str">
        <f>IF(データ!S759="","",データ!S759)</f>
        <v/>
      </c>
      <c r="W762" s="42">
        <f>データ!T759</f>
        <v>0</v>
      </c>
      <c r="X762" s="48">
        <f>IF($C762="集計行","",データ!U759)</f>
        <v>0</v>
      </c>
      <c r="Y762" s="48">
        <f>データ!V759</f>
        <v>0</v>
      </c>
      <c r="Z762" s="39" t="str">
        <f>IF(OR($C762="総括",$C762="内訳書",$C762="内訳代価",$C762="明細書",$C762="明細代価",$C762="代価表",$C762="単価表"),データ!W759,"")</f>
        <v/>
      </c>
      <c r="AA762" s="11" t="str">
        <f t="shared" si="70"/>
        <v/>
      </c>
      <c r="AB762" s="46" t="e">
        <f t="shared" si="71"/>
        <v>#DIV/0!</v>
      </c>
      <c r="AC762" s="40" t="str">
        <f>IF(データ!X759="","",データ!X759)</f>
        <v/>
      </c>
      <c r="AD762" s="41" t="str">
        <f>IF(データ!Y759="","",データ!Y759)</f>
        <v/>
      </c>
      <c r="AE762" s="47" t="str">
        <f>TRIM(データ!B759)</f>
        <v/>
      </c>
      <c r="AF762" s="43" t="str">
        <f>TRIM(データ!Z759)</f>
        <v/>
      </c>
    </row>
    <row r="763" spans="1:32" x14ac:dyDescent="0.15">
      <c r="A763" s="47">
        <f>データ!A760</f>
        <v>3</v>
      </c>
      <c r="B763" s="47" t="str">
        <f>TRIM(データ!C760)</f>
        <v/>
      </c>
      <c r="C763" s="47" t="str">
        <f>TRIM(データ!D760)</f>
        <v>材料費</v>
      </c>
      <c r="D763" s="36" t="str">
        <f>REPT("｜",$A763)&amp;TRIM(データ!E760)</f>
        <v>｜｜｜軽油</v>
      </c>
      <c r="E763" s="37" t="str">
        <f>TRIM(データ!F760)</f>
        <v/>
      </c>
      <c r="F763" s="38" t="str">
        <f>TRIM(データ!G760)</f>
        <v>リットル</v>
      </c>
      <c r="G763" s="50">
        <f>データ!H760</f>
        <v>90</v>
      </c>
      <c r="H763" s="48">
        <f>データ!I760</f>
        <v>150</v>
      </c>
      <c r="I763" s="48">
        <f>データ!J760</f>
        <v>13500</v>
      </c>
      <c r="J763" s="39" t="str">
        <f>IF(OR($C763="総括",$C763="内訳書",$C763="内訳代価",$C763="明細書",$C763="明細代価",$C763="代価表",$C763="単価表"),データ!K760,"")</f>
        <v/>
      </c>
      <c r="K763" s="11" t="str">
        <f t="shared" si="66"/>
        <v/>
      </c>
      <c r="L763" s="46">
        <f t="shared" si="67"/>
        <v>1.9437605287028639E-4</v>
      </c>
      <c r="M763" s="40" t="str">
        <f>IF(データ!L760="","",データ!L760)</f>
        <v/>
      </c>
      <c r="N763" s="41" t="str">
        <f>IF(データ!M760="","",データ!M760)</f>
        <v/>
      </c>
      <c r="O763" s="42">
        <f>データ!N760</f>
        <v>0</v>
      </c>
      <c r="P763" s="48">
        <f>IF($C763="集計行","",データ!O760)</f>
        <v>0</v>
      </c>
      <c r="Q763" s="48">
        <f>データ!P760</f>
        <v>0</v>
      </c>
      <c r="R763" s="39" t="str">
        <f>IF(OR($C763="総括",$C763="内訳書",$C763="内訳代価",$C763="明細書",$C763="明細代価",$C763="代価表",$C763="単価表"),データ!Q760,"")</f>
        <v/>
      </c>
      <c r="S763" s="11" t="str">
        <f t="shared" si="68"/>
        <v/>
      </c>
      <c r="T763" s="46" t="e">
        <f t="shared" si="69"/>
        <v>#DIV/0!</v>
      </c>
      <c r="U763" s="40" t="str">
        <f>IF(データ!R760="","",データ!R760)</f>
        <v/>
      </c>
      <c r="V763" s="41" t="str">
        <f>IF(データ!S760="","",データ!S760)</f>
        <v/>
      </c>
      <c r="W763" s="42">
        <f>データ!T760</f>
        <v>0</v>
      </c>
      <c r="X763" s="48">
        <f>IF($C763="集計行","",データ!U760)</f>
        <v>0</v>
      </c>
      <c r="Y763" s="48">
        <f>データ!V760</f>
        <v>0</v>
      </c>
      <c r="Z763" s="39" t="str">
        <f>IF(OR($C763="総括",$C763="内訳書",$C763="内訳代価",$C763="明細書",$C763="明細代価",$C763="代価表",$C763="単価表"),データ!W760,"")</f>
        <v/>
      </c>
      <c r="AA763" s="11" t="str">
        <f t="shared" si="70"/>
        <v/>
      </c>
      <c r="AB763" s="46" t="e">
        <f t="shared" si="71"/>
        <v>#DIV/0!</v>
      </c>
      <c r="AC763" s="40" t="str">
        <f>IF(データ!X760="","",データ!X760)</f>
        <v/>
      </c>
      <c r="AD763" s="41" t="str">
        <f>IF(データ!Y760="","",データ!Y760)</f>
        <v/>
      </c>
      <c r="AE763" s="47" t="str">
        <f>TRIM(データ!B760)</f>
        <v/>
      </c>
      <c r="AF763" s="43" t="str">
        <f>TRIM(データ!Z760)</f>
        <v/>
      </c>
    </row>
    <row r="764" spans="1:32" x14ac:dyDescent="0.15">
      <c r="A764" s="47">
        <f>データ!A761</f>
        <v>3</v>
      </c>
      <c r="B764" s="47" t="str">
        <f>TRIM(データ!C761)</f>
        <v/>
      </c>
      <c r="C764" s="47" t="str">
        <f>TRIM(データ!D761)</f>
        <v>材料費</v>
      </c>
      <c r="D764" s="36" t="str">
        <f>REPT("｜",$A764)&amp;TRIM(データ!E761)</f>
        <v>｜｜｜ガソリン</v>
      </c>
      <c r="E764" s="37" t="str">
        <f>TRIM(データ!F761)</f>
        <v/>
      </c>
      <c r="F764" s="38" t="str">
        <f>TRIM(データ!G761)</f>
        <v>リットル</v>
      </c>
      <c r="G764" s="50">
        <f>データ!H761</f>
        <v>100</v>
      </c>
      <c r="H764" s="48">
        <f>データ!I761</f>
        <v>200</v>
      </c>
      <c r="I764" s="48">
        <f>データ!J761</f>
        <v>20000</v>
      </c>
      <c r="J764" s="39" t="str">
        <f>IF(OR($C764="総括",$C764="内訳書",$C764="内訳代価",$C764="明細書",$C764="明細代価",$C764="代価表",$C764="単価表"),データ!K761,"")</f>
        <v/>
      </c>
      <c r="K764" s="11" t="str">
        <f t="shared" si="66"/>
        <v/>
      </c>
      <c r="L764" s="46">
        <f t="shared" si="67"/>
        <v>2.8796452277079463E-4</v>
      </c>
      <c r="M764" s="40" t="str">
        <f>IF(データ!L761="","",データ!L761)</f>
        <v/>
      </c>
      <c r="N764" s="41" t="str">
        <f>IF(データ!M761="","",データ!M761)</f>
        <v/>
      </c>
      <c r="O764" s="42">
        <f>データ!N761</f>
        <v>0</v>
      </c>
      <c r="P764" s="48">
        <f>IF($C764="集計行","",データ!O761)</f>
        <v>0</v>
      </c>
      <c r="Q764" s="48">
        <f>データ!P761</f>
        <v>0</v>
      </c>
      <c r="R764" s="39" t="str">
        <f>IF(OR($C764="総括",$C764="内訳書",$C764="内訳代価",$C764="明細書",$C764="明細代価",$C764="代価表",$C764="単価表"),データ!Q761,"")</f>
        <v/>
      </c>
      <c r="S764" s="11" t="str">
        <f t="shared" si="68"/>
        <v/>
      </c>
      <c r="T764" s="46" t="e">
        <f t="shared" si="69"/>
        <v>#DIV/0!</v>
      </c>
      <c r="U764" s="40" t="str">
        <f>IF(データ!R761="","",データ!R761)</f>
        <v/>
      </c>
      <c r="V764" s="41" t="str">
        <f>IF(データ!S761="","",データ!S761)</f>
        <v/>
      </c>
      <c r="W764" s="42">
        <f>データ!T761</f>
        <v>0</v>
      </c>
      <c r="X764" s="48">
        <f>IF($C764="集計行","",データ!U761)</f>
        <v>0</v>
      </c>
      <c r="Y764" s="48">
        <f>データ!V761</f>
        <v>0</v>
      </c>
      <c r="Z764" s="39" t="str">
        <f>IF(OR($C764="総括",$C764="内訳書",$C764="内訳代価",$C764="明細書",$C764="明細代価",$C764="代価表",$C764="単価表"),データ!W761,"")</f>
        <v/>
      </c>
      <c r="AA764" s="11" t="str">
        <f t="shared" si="70"/>
        <v/>
      </c>
      <c r="AB764" s="46" t="e">
        <f t="shared" si="71"/>
        <v>#DIV/0!</v>
      </c>
      <c r="AC764" s="40" t="str">
        <f>IF(データ!X761="","",データ!X761)</f>
        <v/>
      </c>
      <c r="AD764" s="41" t="str">
        <f>IF(データ!Y761="","",データ!Y761)</f>
        <v/>
      </c>
      <c r="AE764" s="47" t="str">
        <f>TRIM(データ!B761)</f>
        <v/>
      </c>
      <c r="AF764" s="43" t="str">
        <f>TRIM(データ!Z761)</f>
        <v/>
      </c>
    </row>
    <row r="765" spans="1:32" x14ac:dyDescent="0.15">
      <c r="A765" s="47">
        <f>データ!A762</f>
        <v>3</v>
      </c>
      <c r="B765" s="47" t="str">
        <f>TRIM(データ!C762)</f>
        <v/>
      </c>
      <c r="C765" s="47" t="str">
        <f>TRIM(データ!D762)</f>
        <v>外注費</v>
      </c>
      <c r="D765" s="36" t="str">
        <f>REPT("｜",$A765)&amp;TRIM(データ!E762)</f>
        <v>｜｜｜外注経費</v>
      </c>
      <c r="E765" s="37" t="str">
        <f>TRIM(データ!F762)</f>
        <v/>
      </c>
      <c r="F765" s="38" t="str">
        <f>TRIM(データ!G762)</f>
        <v>式</v>
      </c>
      <c r="G765" s="50">
        <f>データ!H762</f>
        <v>1</v>
      </c>
      <c r="H765" s="48">
        <f>データ!I762</f>
        <v>40000</v>
      </c>
      <c r="I765" s="48">
        <f>データ!J762</f>
        <v>40000</v>
      </c>
      <c r="J765" s="39" t="str">
        <f>IF(OR($C765="総括",$C765="内訳書",$C765="内訳代価",$C765="明細書",$C765="明細代価",$C765="代価表",$C765="単価表"),データ!K762,"")</f>
        <v/>
      </c>
      <c r="K765" s="11" t="str">
        <f t="shared" si="66"/>
        <v/>
      </c>
      <c r="L765" s="46">
        <f t="shared" si="67"/>
        <v>5.7592904554158925E-4</v>
      </c>
      <c r="M765" s="40" t="str">
        <f>IF(データ!L762="","",データ!L762)</f>
        <v/>
      </c>
      <c r="N765" s="41" t="str">
        <f>IF(データ!M762="","",データ!M762)</f>
        <v/>
      </c>
      <c r="O765" s="42">
        <f>データ!N762</f>
        <v>0</v>
      </c>
      <c r="P765" s="48">
        <f>IF($C765="集計行","",データ!O762)</f>
        <v>0</v>
      </c>
      <c r="Q765" s="48">
        <f>データ!P762</f>
        <v>0</v>
      </c>
      <c r="R765" s="39" t="str">
        <f>IF(OR($C765="総括",$C765="内訳書",$C765="内訳代価",$C765="明細書",$C765="明細代価",$C765="代価表",$C765="単価表"),データ!Q762,"")</f>
        <v/>
      </c>
      <c r="S765" s="11" t="str">
        <f t="shared" si="68"/>
        <v/>
      </c>
      <c r="T765" s="46" t="e">
        <f t="shared" si="69"/>
        <v>#DIV/0!</v>
      </c>
      <c r="U765" s="40" t="str">
        <f>IF(データ!R762="","",データ!R762)</f>
        <v/>
      </c>
      <c r="V765" s="41" t="str">
        <f>IF(データ!S762="","",データ!S762)</f>
        <v/>
      </c>
      <c r="W765" s="42">
        <f>データ!T762</f>
        <v>0</v>
      </c>
      <c r="X765" s="48">
        <f>IF($C765="集計行","",データ!U762)</f>
        <v>0</v>
      </c>
      <c r="Y765" s="48">
        <f>データ!V762</f>
        <v>0</v>
      </c>
      <c r="Z765" s="39" t="str">
        <f>IF(OR($C765="総括",$C765="内訳書",$C765="内訳代価",$C765="明細書",$C765="明細代価",$C765="代価表",$C765="単価表"),データ!W762,"")</f>
        <v/>
      </c>
      <c r="AA765" s="11" t="str">
        <f t="shared" si="70"/>
        <v/>
      </c>
      <c r="AB765" s="46" t="e">
        <f t="shared" si="71"/>
        <v>#DIV/0!</v>
      </c>
      <c r="AC765" s="40" t="str">
        <f>IF(データ!X762="","",データ!X762)</f>
        <v/>
      </c>
      <c r="AD765" s="41" t="str">
        <f>IF(データ!Y762="","",データ!Y762)</f>
        <v/>
      </c>
      <c r="AE765" s="47" t="str">
        <f>TRIM(データ!B762)</f>
        <v/>
      </c>
      <c r="AF765" s="43" t="str">
        <f>TRIM(データ!Z762)</f>
        <v/>
      </c>
    </row>
    <row r="766" spans="1:32" x14ac:dyDescent="0.15">
      <c r="A766" s="47">
        <f>データ!A763</f>
        <v>1</v>
      </c>
      <c r="B766" s="47" t="str">
        <f>TRIM(データ!C763)</f>
        <v/>
      </c>
      <c r="C766" s="47" t="str">
        <f>TRIM(データ!D763)</f>
        <v>内訳書</v>
      </c>
      <c r="D766" s="36" t="str">
        <f>REPT("｜",$A766)&amp;TRIM(データ!E763)</f>
        <v>｜仮囲い撤去・復旧</v>
      </c>
      <c r="E766" s="37" t="str">
        <f>TRIM(データ!F763)</f>
        <v/>
      </c>
      <c r="F766" s="38" t="str">
        <f>TRIM(データ!G763)</f>
        <v>式</v>
      </c>
      <c r="G766" s="50">
        <f>データ!H763</f>
        <v>1</v>
      </c>
      <c r="H766" s="48">
        <f>データ!I763</f>
        <v>105000</v>
      </c>
      <c r="I766" s="48">
        <f>データ!J763</f>
        <v>105000</v>
      </c>
      <c r="J766" s="39">
        <f>IF(OR($C766="総括",$C766="内訳書",$C766="内訳代価",$C766="明細書",$C766="明細代価",$C766="代価表",$C766="単価表"),データ!K763,"")</f>
        <v>1</v>
      </c>
      <c r="K766" s="11" t="str">
        <f t="shared" si="66"/>
        <v/>
      </c>
      <c r="L766" s="46">
        <f t="shared" si="67"/>
        <v>1.5118137445466718E-3</v>
      </c>
      <c r="M766" s="40" t="str">
        <f>IF(データ!L763="","",データ!L763)</f>
        <v/>
      </c>
      <c r="N766" s="41" t="str">
        <f>IF(データ!M763="","",データ!M763)</f>
        <v>97号内訳書</v>
      </c>
      <c r="O766" s="42">
        <f>データ!N763</f>
        <v>0</v>
      </c>
      <c r="P766" s="48">
        <f>IF($C766="集計行","",データ!O763)</f>
        <v>0</v>
      </c>
      <c r="Q766" s="48">
        <f>データ!P763</f>
        <v>0</v>
      </c>
      <c r="R766" s="39">
        <f>IF(OR($C766="総括",$C766="内訳書",$C766="内訳代価",$C766="明細書",$C766="明細代価",$C766="代価表",$C766="単価表"),データ!Q763,"")</f>
        <v>0</v>
      </c>
      <c r="S766" s="11" t="str">
        <f t="shared" si="68"/>
        <v/>
      </c>
      <c r="T766" s="46" t="e">
        <f t="shared" si="69"/>
        <v>#DIV/0!</v>
      </c>
      <c r="U766" s="40" t="str">
        <f>IF(データ!R763="","",データ!R763)</f>
        <v/>
      </c>
      <c r="V766" s="41" t="str">
        <f>IF(データ!S763="","",データ!S763)</f>
        <v/>
      </c>
      <c r="W766" s="42">
        <f>データ!T763</f>
        <v>0</v>
      </c>
      <c r="X766" s="48">
        <f>IF($C766="集計行","",データ!U763)</f>
        <v>0</v>
      </c>
      <c r="Y766" s="48">
        <f>データ!V763</f>
        <v>0</v>
      </c>
      <c r="Z766" s="39">
        <f>IF(OR($C766="総括",$C766="内訳書",$C766="内訳代価",$C766="明細書",$C766="明細代価",$C766="代価表",$C766="単価表"),データ!W763,"")</f>
        <v>0</v>
      </c>
      <c r="AA766" s="11" t="str">
        <f t="shared" si="70"/>
        <v/>
      </c>
      <c r="AB766" s="46" t="e">
        <f t="shared" si="71"/>
        <v>#DIV/0!</v>
      </c>
      <c r="AC766" s="40" t="str">
        <f>IF(データ!X763="","",データ!X763)</f>
        <v/>
      </c>
      <c r="AD766" s="41" t="str">
        <f>IF(データ!Y763="","",データ!Y763)</f>
        <v/>
      </c>
      <c r="AE766" s="47" t="str">
        <f>TRIM(データ!B763)</f>
        <v/>
      </c>
      <c r="AF766" s="43" t="str">
        <f>TRIM(データ!Z763)</f>
        <v/>
      </c>
    </row>
    <row r="767" spans="1:32" x14ac:dyDescent="0.15">
      <c r="A767" s="47">
        <f>データ!A764</f>
        <v>2</v>
      </c>
      <c r="B767" s="47" t="str">
        <f>TRIM(データ!C764)</f>
        <v/>
      </c>
      <c r="C767" s="47" t="str">
        <f>TRIM(データ!D764)</f>
        <v>労務費</v>
      </c>
      <c r="D767" s="36" t="str">
        <f>REPT("｜",$A767)&amp;TRIM(データ!E764)</f>
        <v>｜｜世話役</v>
      </c>
      <c r="E767" s="37" t="str">
        <f>TRIM(データ!F764)</f>
        <v/>
      </c>
      <c r="F767" s="38" t="str">
        <f>TRIM(データ!G764)</f>
        <v>人</v>
      </c>
      <c r="G767" s="50">
        <f>データ!H764</f>
        <v>1</v>
      </c>
      <c r="H767" s="48">
        <f>データ!I764</f>
        <v>30000</v>
      </c>
      <c r="I767" s="48">
        <f>データ!J764</f>
        <v>30000</v>
      </c>
      <c r="J767" s="39" t="str">
        <f>IF(OR($C767="総括",$C767="内訳書",$C767="内訳代価",$C767="明細書",$C767="明細代価",$C767="代価表",$C767="単価表"),データ!K764,"")</f>
        <v/>
      </c>
      <c r="K767" s="11" t="str">
        <f t="shared" si="66"/>
        <v/>
      </c>
      <c r="L767" s="46">
        <f t="shared" si="67"/>
        <v>4.3194678415619197E-4</v>
      </c>
      <c r="M767" s="40" t="str">
        <f>IF(データ!L764="","",データ!L764)</f>
        <v/>
      </c>
      <c r="N767" s="41" t="str">
        <f>IF(データ!M764="","",データ!M764)</f>
        <v/>
      </c>
      <c r="O767" s="42">
        <f>データ!N764</f>
        <v>0</v>
      </c>
      <c r="P767" s="48">
        <f>IF($C767="集計行","",データ!O764)</f>
        <v>0</v>
      </c>
      <c r="Q767" s="48">
        <f>データ!P764</f>
        <v>0</v>
      </c>
      <c r="R767" s="39" t="str">
        <f>IF(OR($C767="総括",$C767="内訳書",$C767="内訳代価",$C767="明細書",$C767="明細代価",$C767="代価表",$C767="単価表"),データ!Q764,"")</f>
        <v/>
      </c>
      <c r="S767" s="11" t="str">
        <f t="shared" si="68"/>
        <v/>
      </c>
      <c r="T767" s="46" t="e">
        <f t="shared" si="69"/>
        <v>#DIV/0!</v>
      </c>
      <c r="U767" s="40" t="str">
        <f>IF(データ!R764="","",データ!R764)</f>
        <v/>
      </c>
      <c r="V767" s="41" t="str">
        <f>IF(データ!S764="","",データ!S764)</f>
        <v/>
      </c>
      <c r="W767" s="42">
        <f>データ!T764</f>
        <v>0</v>
      </c>
      <c r="X767" s="48">
        <f>IF($C767="集計行","",データ!U764)</f>
        <v>0</v>
      </c>
      <c r="Y767" s="48">
        <f>データ!V764</f>
        <v>0</v>
      </c>
      <c r="Z767" s="39" t="str">
        <f>IF(OR($C767="総括",$C767="内訳書",$C767="内訳代価",$C767="明細書",$C767="明細代価",$C767="代価表",$C767="単価表"),データ!W764,"")</f>
        <v/>
      </c>
      <c r="AA767" s="11" t="str">
        <f t="shared" si="70"/>
        <v/>
      </c>
      <c r="AB767" s="46" t="e">
        <f t="shared" si="71"/>
        <v>#DIV/0!</v>
      </c>
      <c r="AC767" s="40" t="str">
        <f>IF(データ!X764="","",データ!X764)</f>
        <v/>
      </c>
      <c r="AD767" s="41" t="str">
        <f>IF(データ!Y764="","",データ!Y764)</f>
        <v/>
      </c>
      <c r="AE767" s="47" t="str">
        <f>TRIM(データ!B764)</f>
        <v/>
      </c>
      <c r="AF767" s="43" t="str">
        <f>TRIM(データ!Z764)</f>
        <v/>
      </c>
    </row>
    <row r="768" spans="1:32" x14ac:dyDescent="0.15">
      <c r="A768" s="47">
        <f>データ!A765</f>
        <v>2</v>
      </c>
      <c r="B768" s="47" t="str">
        <f>TRIM(データ!C765)</f>
        <v/>
      </c>
      <c r="C768" s="47" t="str">
        <f>TRIM(データ!D765)</f>
        <v>労務費</v>
      </c>
      <c r="D768" s="36" t="str">
        <f>REPT("｜",$A768)&amp;TRIM(データ!E765)</f>
        <v>｜｜普通作業員</v>
      </c>
      <c r="E768" s="37" t="str">
        <f>TRIM(データ!F765)</f>
        <v/>
      </c>
      <c r="F768" s="38" t="str">
        <f>TRIM(データ!G765)</f>
        <v>人</v>
      </c>
      <c r="G768" s="50">
        <f>データ!H765</f>
        <v>3</v>
      </c>
      <c r="H768" s="48">
        <f>データ!I765</f>
        <v>25000</v>
      </c>
      <c r="I768" s="48">
        <f>データ!J765</f>
        <v>75000</v>
      </c>
      <c r="J768" s="39" t="str">
        <f>IF(OR($C768="総括",$C768="内訳書",$C768="内訳代価",$C768="明細書",$C768="明細代価",$C768="代価表",$C768="単価表"),データ!K765,"")</f>
        <v/>
      </c>
      <c r="K768" s="11" t="str">
        <f t="shared" si="66"/>
        <v/>
      </c>
      <c r="L768" s="46">
        <f t="shared" si="67"/>
        <v>1.0798669603904799E-3</v>
      </c>
      <c r="M768" s="40" t="str">
        <f>IF(データ!L765="","",データ!L765)</f>
        <v/>
      </c>
      <c r="N768" s="41" t="str">
        <f>IF(データ!M765="","",データ!M765)</f>
        <v/>
      </c>
      <c r="O768" s="42">
        <f>データ!N765</f>
        <v>0</v>
      </c>
      <c r="P768" s="48">
        <f>IF($C768="集計行","",データ!O765)</f>
        <v>0</v>
      </c>
      <c r="Q768" s="48">
        <f>データ!P765</f>
        <v>0</v>
      </c>
      <c r="R768" s="39" t="str">
        <f>IF(OR($C768="総括",$C768="内訳書",$C768="内訳代価",$C768="明細書",$C768="明細代価",$C768="代価表",$C768="単価表"),データ!Q765,"")</f>
        <v/>
      </c>
      <c r="S768" s="11" t="str">
        <f t="shared" si="68"/>
        <v/>
      </c>
      <c r="T768" s="46" t="e">
        <f t="shared" si="69"/>
        <v>#DIV/0!</v>
      </c>
      <c r="U768" s="40" t="str">
        <f>IF(データ!R765="","",データ!R765)</f>
        <v/>
      </c>
      <c r="V768" s="41" t="str">
        <f>IF(データ!S765="","",データ!S765)</f>
        <v/>
      </c>
      <c r="W768" s="42">
        <f>データ!T765</f>
        <v>0</v>
      </c>
      <c r="X768" s="48">
        <f>IF($C768="集計行","",データ!U765)</f>
        <v>0</v>
      </c>
      <c r="Y768" s="48">
        <f>データ!V765</f>
        <v>0</v>
      </c>
      <c r="Z768" s="39" t="str">
        <f>IF(OR($C768="総括",$C768="内訳書",$C768="内訳代価",$C768="明細書",$C768="明細代価",$C768="代価表",$C768="単価表"),データ!W765,"")</f>
        <v/>
      </c>
      <c r="AA768" s="11" t="str">
        <f t="shared" si="70"/>
        <v/>
      </c>
      <c r="AB768" s="46" t="e">
        <f t="shared" si="71"/>
        <v>#DIV/0!</v>
      </c>
      <c r="AC768" s="40" t="str">
        <f>IF(データ!X765="","",データ!X765)</f>
        <v/>
      </c>
      <c r="AD768" s="41" t="str">
        <f>IF(データ!Y765="","",データ!Y765)</f>
        <v/>
      </c>
      <c r="AE768" s="47" t="str">
        <f>TRIM(データ!B765)</f>
        <v/>
      </c>
      <c r="AF768" s="43" t="str">
        <f>TRIM(データ!Z765)</f>
        <v/>
      </c>
    </row>
    <row r="769" spans="1:32" x14ac:dyDescent="0.15">
      <c r="A769" s="47">
        <f>データ!A766</f>
        <v>1</v>
      </c>
      <c r="B769" s="47" t="str">
        <f>TRIM(データ!C766)</f>
        <v/>
      </c>
      <c r="C769" s="47" t="str">
        <f>TRIM(データ!D766)</f>
        <v>内訳書</v>
      </c>
      <c r="D769" s="36" t="str">
        <f>REPT("｜",$A769)&amp;TRIM(データ!E766)</f>
        <v>｜機械基礎</v>
      </c>
      <c r="E769" s="37" t="str">
        <f>TRIM(データ!F766)</f>
        <v/>
      </c>
      <c r="F769" s="38" t="str">
        <f>TRIM(データ!G766)</f>
        <v>式</v>
      </c>
      <c r="G769" s="50">
        <f>データ!H766</f>
        <v>1</v>
      </c>
      <c r="H769" s="48">
        <f>データ!I766</f>
        <v>125000</v>
      </c>
      <c r="I769" s="48">
        <f>データ!J766</f>
        <v>125000</v>
      </c>
      <c r="J769" s="39">
        <f>IF(OR($C769="総括",$C769="内訳書",$C769="内訳代価",$C769="明細書",$C769="明細代価",$C769="代価表",$C769="単価表"),データ!K766,"")</f>
        <v>1</v>
      </c>
      <c r="K769" s="11" t="str">
        <f t="shared" si="66"/>
        <v/>
      </c>
      <c r="L769" s="46">
        <f t="shared" si="67"/>
        <v>1.7997782673174665E-3</v>
      </c>
      <c r="M769" s="40" t="str">
        <f>IF(データ!L766="","",データ!L766)</f>
        <v/>
      </c>
      <c r="N769" s="41" t="str">
        <f>IF(データ!M766="","",データ!M766)</f>
        <v>98号内訳書</v>
      </c>
      <c r="O769" s="42">
        <f>データ!N766</f>
        <v>0</v>
      </c>
      <c r="P769" s="48">
        <f>IF($C769="集計行","",データ!O766)</f>
        <v>0</v>
      </c>
      <c r="Q769" s="48">
        <f>データ!P766</f>
        <v>0</v>
      </c>
      <c r="R769" s="39">
        <f>IF(OR($C769="総括",$C769="内訳書",$C769="内訳代価",$C769="明細書",$C769="明細代価",$C769="代価表",$C769="単価表"),データ!Q766,"")</f>
        <v>0</v>
      </c>
      <c r="S769" s="11" t="str">
        <f t="shared" si="68"/>
        <v/>
      </c>
      <c r="T769" s="46" t="e">
        <f t="shared" si="69"/>
        <v>#DIV/0!</v>
      </c>
      <c r="U769" s="40" t="str">
        <f>IF(データ!R766="","",データ!R766)</f>
        <v/>
      </c>
      <c r="V769" s="41" t="str">
        <f>IF(データ!S766="","",データ!S766)</f>
        <v/>
      </c>
      <c r="W769" s="42">
        <f>データ!T766</f>
        <v>0</v>
      </c>
      <c r="X769" s="48">
        <f>IF($C769="集計行","",データ!U766)</f>
        <v>0</v>
      </c>
      <c r="Y769" s="48">
        <f>データ!V766</f>
        <v>0</v>
      </c>
      <c r="Z769" s="39">
        <f>IF(OR($C769="総括",$C769="内訳書",$C769="内訳代価",$C769="明細書",$C769="明細代価",$C769="代価表",$C769="単価表"),データ!W766,"")</f>
        <v>0</v>
      </c>
      <c r="AA769" s="11" t="str">
        <f t="shared" si="70"/>
        <v/>
      </c>
      <c r="AB769" s="46" t="e">
        <f t="shared" si="71"/>
        <v>#DIV/0!</v>
      </c>
      <c r="AC769" s="40" t="str">
        <f>IF(データ!X766="","",データ!X766)</f>
        <v/>
      </c>
      <c r="AD769" s="41" t="str">
        <f>IF(データ!Y766="","",データ!Y766)</f>
        <v/>
      </c>
      <c r="AE769" s="47" t="str">
        <f>TRIM(データ!B766)</f>
        <v/>
      </c>
      <c r="AF769" s="43" t="str">
        <f>TRIM(データ!Z766)</f>
        <v/>
      </c>
    </row>
    <row r="770" spans="1:32" x14ac:dyDescent="0.15">
      <c r="A770" s="47">
        <f>データ!A767</f>
        <v>2</v>
      </c>
      <c r="B770" s="47" t="str">
        <f>TRIM(データ!C767)</f>
        <v/>
      </c>
      <c r="C770" s="47" t="str">
        <f>TRIM(データ!D767)</f>
        <v>労務費</v>
      </c>
      <c r="D770" s="36" t="str">
        <f>REPT("｜",$A770)&amp;TRIM(データ!E767)</f>
        <v>｜｜普通作業員</v>
      </c>
      <c r="E770" s="37" t="str">
        <f>TRIM(データ!F767)</f>
        <v>砕石敷</v>
      </c>
      <c r="F770" s="38" t="str">
        <f>TRIM(データ!G767)</f>
        <v>人</v>
      </c>
      <c r="G770" s="50">
        <f>データ!H767</f>
        <v>1</v>
      </c>
      <c r="H770" s="48">
        <f>データ!I767</f>
        <v>25000</v>
      </c>
      <c r="I770" s="48">
        <f>データ!J767</f>
        <v>25000</v>
      </c>
      <c r="J770" s="39" t="str">
        <f>IF(OR($C770="総括",$C770="内訳書",$C770="内訳代価",$C770="明細書",$C770="明細代価",$C770="代価表",$C770="単価表"),データ!K767,"")</f>
        <v/>
      </c>
      <c r="K770" s="11" t="str">
        <f t="shared" si="66"/>
        <v/>
      </c>
      <c r="L770" s="46">
        <f t="shared" si="67"/>
        <v>3.599556534634933E-4</v>
      </c>
      <c r="M770" s="40" t="str">
        <f>IF(データ!L767="","",データ!L767)</f>
        <v/>
      </c>
      <c r="N770" s="41" t="str">
        <f>IF(データ!M767="","",データ!M767)</f>
        <v/>
      </c>
      <c r="O770" s="42">
        <f>データ!N767</f>
        <v>0</v>
      </c>
      <c r="P770" s="48">
        <f>IF($C770="集計行","",データ!O767)</f>
        <v>0</v>
      </c>
      <c r="Q770" s="48">
        <f>データ!P767</f>
        <v>0</v>
      </c>
      <c r="R770" s="39" t="str">
        <f>IF(OR($C770="総括",$C770="内訳書",$C770="内訳代価",$C770="明細書",$C770="明細代価",$C770="代価表",$C770="単価表"),データ!Q767,"")</f>
        <v/>
      </c>
      <c r="S770" s="11" t="str">
        <f t="shared" si="68"/>
        <v/>
      </c>
      <c r="T770" s="46" t="e">
        <f t="shared" si="69"/>
        <v>#DIV/0!</v>
      </c>
      <c r="U770" s="40" t="str">
        <f>IF(データ!R767="","",データ!R767)</f>
        <v/>
      </c>
      <c r="V770" s="41" t="str">
        <f>IF(データ!S767="","",データ!S767)</f>
        <v/>
      </c>
      <c r="W770" s="42">
        <f>データ!T767</f>
        <v>0</v>
      </c>
      <c r="X770" s="48">
        <f>IF($C770="集計行","",データ!U767)</f>
        <v>0</v>
      </c>
      <c r="Y770" s="48">
        <f>データ!V767</f>
        <v>0</v>
      </c>
      <c r="Z770" s="39" t="str">
        <f>IF(OR($C770="総括",$C770="内訳書",$C770="内訳代価",$C770="明細書",$C770="明細代価",$C770="代価表",$C770="単価表"),データ!W767,"")</f>
        <v/>
      </c>
      <c r="AA770" s="11" t="str">
        <f t="shared" si="70"/>
        <v/>
      </c>
      <c r="AB770" s="46" t="e">
        <f t="shared" si="71"/>
        <v>#DIV/0!</v>
      </c>
      <c r="AC770" s="40" t="str">
        <f>IF(データ!X767="","",データ!X767)</f>
        <v/>
      </c>
      <c r="AD770" s="41" t="str">
        <f>IF(データ!Y767="","",データ!Y767)</f>
        <v/>
      </c>
      <c r="AE770" s="47" t="str">
        <f>TRIM(データ!B767)</f>
        <v/>
      </c>
      <c r="AF770" s="43" t="str">
        <f>TRIM(データ!Z767)</f>
        <v/>
      </c>
    </row>
    <row r="771" spans="1:32" x14ac:dyDescent="0.15">
      <c r="A771" s="47">
        <f>データ!A768</f>
        <v>2</v>
      </c>
      <c r="B771" s="47" t="str">
        <f>TRIM(データ!C768)</f>
        <v/>
      </c>
      <c r="C771" s="47" t="str">
        <f>TRIM(データ!D768)</f>
        <v>労務費</v>
      </c>
      <c r="D771" s="36" t="str">
        <f>REPT("｜",$A771)&amp;TRIM(データ!E768)</f>
        <v>｜｜普通作業員</v>
      </c>
      <c r="E771" s="37" t="str">
        <f>TRIM(データ!F768)</f>
        <v>型枠、配筋</v>
      </c>
      <c r="F771" s="38" t="str">
        <f>TRIM(データ!G768)</f>
        <v>人</v>
      </c>
      <c r="G771" s="50">
        <f>データ!H768</f>
        <v>2</v>
      </c>
      <c r="H771" s="48">
        <f>データ!I768</f>
        <v>25000</v>
      </c>
      <c r="I771" s="48">
        <f>データ!J768</f>
        <v>50000</v>
      </c>
      <c r="J771" s="39" t="str">
        <f>IF(OR($C771="総括",$C771="内訳書",$C771="内訳代価",$C771="明細書",$C771="明細代価",$C771="代価表",$C771="単価表"),データ!K768,"")</f>
        <v/>
      </c>
      <c r="K771" s="11" t="str">
        <f t="shared" si="66"/>
        <v/>
      </c>
      <c r="L771" s="46">
        <f t="shared" si="67"/>
        <v>7.1991130692698659E-4</v>
      </c>
      <c r="M771" s="40" t="str">
        <f>IF(データ!L768="","",データ!L768)</f>
        <v/>
      </c>
      <c r="N771" s="41" t="str">
        <f>IF(データ!M768="","",データ!M768)</f>
        <v/>
      </c>
      <c r="O771" s="42">
        <f>データ!N768</f>
        <v>0</v>
      </c>
      <c r="P771" s="48">
        <f>IF($C771="集計行","",データ!O768)</f>
        <v>0</v>
      </c>
      <c r="Q771" s="48">
        <f>データ!P768</f>
        <v>0</v>
      </c>
      <c r="R771" s="39" t="str">
        <f>IF(OR($C771="総括",$C771="内訳書",$C771="内訳代価",$C771="明細書",$C771="明細代価",$C771="代価表",$C771="単価表"),データ!Q768,"")</f>
        <v/>
      </c>
      <c r="S771" s="11" t="str">
        <f t="shared" si="68"/>
        <v/>
      </c>
      <c r="T771" s="46" t="e">
        <f t="shared" si="69"/>
        <v>#DIV/0!</v>
      </c>
      <c r="U771" s="40" t="str">
        <f>IF(データ!R768="","",データ!R768)</f>
        <v/>
      </c>
      <c r="V771" s="41" t="str">
        <f>IF(データ!S768="","",データ!S768)</f>
        <v/>
      </c>
      <c r="W771" s="42">
        <f>データ!T768</f>
        <v>0</v>
      </c>
      <c r="X771" s="48">
        <f>IF($C771="集計行","",データ!U768)</f>
        <v>0</v>
      </c>
      <c r="Y771" s="48">
        <f>データ!V768</f>
        <v>0</v>
      </c>
      <c r="Z771" s="39" t="str">
        <f>IF(OR($C771="総括",$C771="内訳書",$C771="内訳代価",$C771="明細書",$C771="明細代価",$C771="代価表",$C771="単価表"),データ!W768,"")</f>
        <v/>
      </c>
      <c r="AA771" s="11" t="str">
        <f t="shared" si="70"/>
        <v/>
      </c>
      <c r="AB771" s="46" t="e">
        <f t="shared" si="71"/>
        <v>#DIV/0!</v>
      </c>
      <c r="AC771" s="40" t="str">
        <f>IF(データ!X768="","",データ!X768)</f>
        <v/>
      </c>
      <c r="AD771" s="41" t="str">
        <f>IF(データ!Y768="","",データ!Y768)</f>
        <v/>
      </c>
      <c r="AE771" s="47" t="str">
        <f>TRIM(データ!B768)</f>
        <v/>
      </c>
      <c r="AF771" s="43" t="str">
        <f>TRIM(データ!Z768)</f>
        <v/>
      </c>
    </row>
    <row r="772" spans="1:32" x14ac:dyDescent="0.15">
      <c r="A772" s="47">
        <f>データ!A769</f>
        <v>2</v>
      </c>
      <c r="B772" s="47" t="str">
        <f>TRIM(データ!C769)</f>
        <v/>
      </c>
      <c r="C772" s="47" t="str">
        <f>TRIM(データ!D769)</f>
        <v>労務費</v>
      </c>
      <c r="D772" s="36" t="str">
        <f>REPT("｜",$A772)&amp;TRIM(データ!E769)</f>
        <v>｜｜普通作業員</v>
      </c>
      <c r="E772" s="37" t="str">
        <f>TRIM(データ!F769)</f>
        <v>生コン打設</v>
      </c>
      <c r="F772" s="38" t="str">
        <f>TRIM(データ!G769)</f>
        <v>人</v>
      </c>
      <c r="G772" s="50">
        <f>データ!H769</f>
        <v>2</v>
      </c>
      <c r="H772" s="48">
        <f>データ!I769</f>
        <v>25000</v>
      </c>
      <c r="I772" s="48">
        <f>データ!J769</f>
        <v>50000</v>
      </c>
      <c r="J772" s="39" t="str">
        <f>IF(OR($C772="総括",$C772="内訳書",$C772="内訳代価",$C772="明細書",$C772="明細代価",$C772="代価表",$C772="単価表"),データ!K769,"")</f>
        <v/>
      </c>
      <c r="K772" s="11" t="str">
        <f t="shared" si="66"/>
        <v/>
      </c>
      <c r="L772" s="46">
        <f t="shared" si="67"/>
        <v>7.1991130692698659E-4</v>
      </c>
      <c r="M772" s="40" t="str">
        <f>IF(データ!L769="","",データ!L769)</f>
        <v/>
      </c>
      <c r="N772" s="41" t="str">
        <f>IF(データ!M769="","",データ!M769)</f>
        <v/>
      </c>
      <c r="O772" s="42">
        <f>データ!N769</f>
        <v>0</v>
      </c>
      <c r="P772" s="48">
        <f>IF($C772="集計行","",データ!O769)</f>
        <v>0</v>
      </c>
      <c r="Q772" s="48">
        <f>データ!P769</f>
        <v>0</v>
      </c>
      <c r="R772" s="39" t="str">
        <f>IF(OR($C772="総括",$C772="内訳書",$C772="内訳代価",$C772="明細書",$C772="明細代価",$C772="代価表",$C772="単価表"),データ!Q769,"")</f>
        <v/>
      </c>
      <c r="S772" s="11" t="str">
        <f t="shared" si="68"/>
        <v/>
      </c>
      <c r="T772" s="46" t="e">
        <f t="shared" si="69"/>
        <v>#DIV/0!</v>
      </c>
      <c r="U772" s="40" t="str">
        <f>IF(データ!R769="","",データ!R769)</f>
        <v/>
      </c>
      <c r="V772" s="41" t="str">
        <f>IF(データ!S769="","",データ!S769)</f>
        <v/>
      </c>
      <c r="W772" s="42">
        <f>データ!T769</f>
        <v>0</v>
      </c>
      <c r="X772" s="48">
        <f>IF($C772="集計行","",データ!U769)</f>
        <v>0</v>
      </c>
      <c r="Y772" s="48">
        <f>データ!V769</f>
        <v>0</v>
      </c>
      <c r="Z772" s="39" t="str">
        <f>IF(OR($C772="総括",$C772="内訳書",$C772="内訳代価",$C772="明細書",$C772="明細代価",$C772="代価表",$C772="単価表"),データ!W769,"")</f>
        <v/>
      </c>
      <c r="AA772" s="11" t="str">
        <f t="shared" si="70"/>
        <v/>
      </c>
      <c r="AB772" s="46" t="e">
        <f t="shared" si="71"/>
        <v>#DIV/0!</v>
      </c>
      <c r="AC772" s="40" t="str">
        <f>IF(データ!X769="","",データ!X769)</f>
        <v/>
      </c>
      <c r="AD772" s="41" t="str">
        <f>IF(データ!Y769="","",データ!Y769)</f>
        <v/>
      </c>
      <c r="AE772" s="47" t="str">
        <f>TRIM(データ!B769)</f>
        <v/>
      </c>
      <c r="AF772" s="43" t="str">
        <f>TRIM(データ!Z769)</f>
        <v/>
      </c>
    </row>
    <row r="773" spans="1:32" x14ac:dyDescent="0.15">
      <c r="A773" s="47">
        <f>データ!A770</f>
        <v>1</v>
      </c>
      <c r="B773" s="47" t="str">
        <f>TRIM(データ!C770)</f>
        <v/>
      </c>
      <c r="C773" s="47" t="str">
        <f>TRIM(データ!D770)</f>
        <v>内訳書</v>
      </c>
      <c r="D773" s="36" t="str">
        <f>REPT("｜",$A773)&amp;TRIM(データ!E770)</f>
        <v>｜既設看板撤去</v>
      </c>
      <c r="E773" s="37" t="str">
        <f>TRIM(データ!F770)</f>
        <v/>
      </c>
      <c r="F773" s="38" t="str">
        <f>TRIM(データ!G770)</f>
        <v>式</v>
      </c>
      <c r="G773" s="50">
        <f>データ!H770</f>
        <v>1</v>
      </c>
      <c r="H773" s="48">
        <f>データ!I770</f>
        <v>145000</v>
      </c>
      <c r="I773" s="48">
        <f>データ!J770</f>
        <v>145000</v>
      </c>
      <c r="J773" s="39">
        <f>IF(OR($C773="総括",$C773="内訳書",$C773="内訳代価",$C773="明細書",$C773="明細代価",$C773="代価表",$C773="単価表"),データ!K770,"")</f>
        <v>1</v>
      </c>
      <c r="K773" s="11" t="str">
        <f t="shared" ref="K773:K836" si="72">IF(OR(J773="",G773=J773),"","*")</f>
        <v/>
      </c>
      <c r="L773" s="46">
        <f t="shared" ref="L773:L836" si="73">IF($A773&lt;=L$1,I773/I$4,"")</f>
        <v>2.0877427900882609E-3</v>
      </c>
      <c r="M773" s="40" t="str">
        <f>IF(データ!L770="","",データ!L770)</f>
        <v/>
      </c>
      <c r="N773" s="41" t="str">
        <f>IF(データ!M770="","",データ!M770)</f>
        <v>99号内訳書</v>
      </c>
      <c r="O773" s="42">
        <f>データ!N770</f>
        <v>0</v>
      </c>
      <c r="P773" s="48">
        <f>IF($C773="集計行","",データ!O770)</f>
        <v>0</v>
      </c>
      <c r="Q773" s="48">
        <f>データ!P770</f>
        <v>0</v>
      </c>
      <c r="R773" s="39">
        <f>IF(OR($C773="総括",$C773="内訳書",$C773="内訳代価",$C773="明細書",$C773="明細代価",$C773="代価表",$C773="単価表"),データ!Q770,"")</f>
        <v>0</v>
      </c>
      <c r="S773" s="11" t="str">
        <f t="shared" ref="S773:S836" si="74">IF(OR(R773="",O773=R773),"","*")</f>
        <v/>
      </c>
      <c r="T773" s="46" t="e">
        <f t="shared" ref="T773:T836" si="75">IF($A773&lt;=T$1,Q773/Q$4,"")</f>
        <v>#DIV/0!</v>
      </c>
      <c r="U773" s="40" t="str">
        <f>IF(データ!R770="","",データ!R770)</f>
        <v/>
      </c>
      <c r="V773" s="41" t="str">
        <f>IF(データ!S770="","",データ!S770)</f>
        <v/>
      </c>
      <c r="W773" s="42">
        <f>データ!T770</f>
        <v>0</v>
      </c>
      <c r="X773" s="48">
        <f>IF($C773="集計行","",データ!U770)</f>
        <v>0</v>
      </c>
      <c r="Y773" s="48">
        <f>データ!V770</f>
        <v>0</v>
      </c>
      <c r="Z773" s="39">
        <f>IF(OR($C773="総括",$C773="内訳書",$C773="内訳代価",$C773="明細書",$C773="明細代価",$C773="代価表",$C773="単価表"),データ!W770,"")</f>
        <v>0</v>
      </c>
      <c r="AA773" s="11" t="str">
        <f t="shared" ref="AA773:AA836" si="76">IF(OR(Z773="",W773=Z773),"","*")</f>
        <v/>
      </c>
      <c r="AB773" s="46" t="e">
        <f t="shared" ref="AB773:AB836" si="77">IF($A773&lt;=AB$1,Y773/Y$4,"")</f>
        <v>#DIV/0!</v>
      </c>
      <c r="AC773" s="40" t="str">
        <f>IF(データ!X770="","",データ!X770)</f>
        <v/>
      </c>
      <c r="AD773" s="41" t="str">
        <f>IF(データ!Y770="","",データ!Y770)</f>
        <v/>
      </c>
      <c r="AE773" s="47" t="str">
        <f>TRIM(データ!B770)</f>
        <v/>
      </c>
      <c r="AF773" s="43" t="str">
        <f>TRIM(データ!Z770)</f>
        <v/>
      </c>
    </row>
    <row r="774" spans="1:32" x14ac:dyDescent="0.15">
      <c r="A774" s="47">
        <f>データ!A771</f>
        <v>2</v>
      </c>
      <c r="B774" s="47" t="str">
        <f>TRIM(データ!C771)</f>
        <v/>
      </c>
      <c r="C774" s="47" t="str">
        <f>TRIM(データ!D771)</f>
        <v>労務費</v>
      </c>
      <c r="D774" s="36" t="str">
        <f>REPT("｜",$A774)&amp;TRIM(データ!E771)</f>
        <v>｜｜特殊作業員</v>
      </c>
      <c r="E774" s="37" t="str">
        <f>TRIM(データ!F771)</f>
        <v/>
      </c>
      <c r="F774" s="38" t="str">
        <f>TRIM(データ!G771)</f>
        <v>人</v>
      </c>
      <c r="G774" s="50">
        <f>データ!H771</f>
        <v>1</v>
      </c>
      <c r="H774" s="48">
        <f>データ!I771</f>
        <v>25000</v>
      </c>
      <c r="I774" s="48">
        <f>データ!J771</f>
        <v>25000</v>
      </c>
      <c r="J774" s="39" t="str">
        <f>IF(OR($C774="総括",$C774="内訳書",$C774="内訳代価",$C774="明細書",$C774="明細代価",$C774="代価表",$C774="単価表"),データ!K771,"")</f>
        <v/>
      </c>
      <c r="K774" s="11" t="str">
        <f t="shared" si="72"/>
        <v/>
      </c>
      <c r="L774" s="46">
        <f t="shared" si="73"/>
        <v>3.599556534634933E-4</v>
      </c>
      <c r="M774" s="40" t="str">
        <f>IF(データ!L771="","",データ!L771)</f>
        <v/>
      </c>
      <c r="N774" s="41" t="str">
        <f>IF(データ!M771="","",データ!M771)</f>
        <v/>
      </c>
      <c r="O774" s="42">
        <f>データ!N771</f>
        <v>0</v>
      </c>
      <c r="P774" s="48">
        <f>IF($C774="集計行","",データ!O771)</f>
        <v>0</v>
      </c>
      <c r="Q774" s="48">
        <f>データ!P771</f>
        <v>0</v>
      </c>
      <c r="R774" s="39" t="str">
        <f>IF(OR($C774="総括",$C774="内訳書",$C774="内訳代価",$C774="明細書",$C774="明細代価",$C774="代価表",$C774="単価表"),データ!Q771,"")</f>
        <v/>
      </c>
      <c r="S774" s="11" t="str">
        <f t="shared" si="74"/>
        <v/>
      </c>
      <c r="T774" s="46" t="e">
        <f t="shared" si="75"/>
        <v>#DIV/0!</v>
      </c>
      <c r="U774" s="40" t="str">
        <f>IF(データ!R771="","",データ!R771)</f>
        <v/>
      </c>
      <c r="V774" s="41" t="str">
        <f>IF(データ!S771="","",データ!S771)</f>
        <v/>
      </c>
      <c r="W774" s="42">
        <f>データ!T771</f>
        <v>0</v>
      </c>
      <c r="X774" s="48">
        <f>IF($C774="集計行","",データ!U771)</f>
        <v>0</v>
      </c>
      <c r="Y774" s="48">
        <f>データ!V771</f>
        <v>0</v>
      </c>
      <c r="Z774" s="39" t="str">
        <f>IF(OR($C774="総括",$C774="内訳書",$C774="内訳代価",$C774="明細書",$C774="明細代価",$C774="代価表",$C774="単価表"),データ!W771,"")</f>
        <v/>
      </c>
      <c r="AA774" s="11" t="str">
        <f t="shared" si="76"/>
        <v/>
      </c>
      <c r="AB774" s="46" t="e">
        <f t="shared" si="77"/>
        <v>#DIV/0!</v>
      </c>
      <c r="AC774" s="40" t="str">
        <f>IF(データ!X771="","",データ!X771)</f>
        <v/>
      </c>
      <c r="AD774" s="41" t="str">
        <f>IF(データ!Y771="","",データ!Y771)</f>
        <v/>
      </c>
      <c r="AE774" s="47" t="str">
        <f>TRIM(データ!B771)</f>
        <v/>
      </c>
      <c r="AF774" s="43" t="str">
        <f>TRIM(データ!Z771)</f>
        <v/>
      </c>
    </row>
    <row r="775" spans="1:32" x14ac:dyDescent="0.15">
      <c r="A775" s="47">
        <f>データ!A772</f>
        <v>2</v>
      </c>
      <c r="B775" s="47" t="str">
        <f>TRIM(データ!C772)</f>
        <v/>
      </c>
      <c r="C775" s="47" t="str">
        <f>TRIM(データ!D772)</f>
        <v>労務費</v>
      </c>
      <c r="D775" s="36" t="str">
        <f>REPT("｜",$A775)&amp;TRIM(データ!E772)</f>
        <v>｜｜普通作業員</v>
      </c>
      <c r="E775" s="37" t="str">
        <f>TRIM(データ!F772)</f>
        <v/>
      </c>
      <c r="F775" s="38" t="str">
        <f>TRIM(データ!G772)</f>
        <v>人</v>
      </c>
      <c r="G775" s="50">
        <f>データ!H772</f>
        <v>3</v>
      </c>
      <c r="H775" s="48">
        <f>データ!I772</f>
        <v>25000</v>
      </c>
      <c r="I775" s="48">
        <f>データ!J772</f>
        <v>75000</v>
      </c>
      <c r="J775" s="39" t="str">
        <f>IF(OR($C775="総括",$C775="内訳書",$C775="内訳代価",$C775="明細書",$C775="明細代価",$C775="代価表",$C775="単価表"),データ!K772,"")</f>
        <v/>
      </c>
      <c r="K775" s="11" t="str">
        <f t="shared" si="72"/>
        <v/>
      </c>
      <c r="L775" s="46">
        <f t="shared" si="73"/>
        <v>1.0798669603904799E-3</v>
      </c>
      <c r="M775" s="40" t="str">
        <f>IF(データ!L772="","",データ!L772)</f>
        <v/>
      </c>
      <c r="N775" s="41" t="str">
        <f>IF(データ!M772="","",データ!M772)</f>
        <v/>
      </c>
      <c r="O775" s="42">
        <f>データ!N772</f>
        <v>0</v>
      </c>
      <c r="P775" s="48">
        <f>IF($C775="集計行","",データ!O772)</f>
        <v>0</v>
      </c>
      <c r="Q775" s="48">
        <f>データ!P772</f>
        <v>0</v>
      </c>
      <c r="R775" s="39" t="str">
        <f>IF(OR($C775="総括",$C775="内訳書",$C775="内訳代価",$C775="明細書",$C775="明細代価",$C775="代価表",$C775="単価表"),データ!Q772,"")</f>
        <v/>
      </c>
      <c r="S775" s="11" t="str">
        <f t="shared" si="74"/>
        <v/>
      </c>
      <c r="T775" s="46" t="e">
        <f t="shared" si="75"/>
        <v>#DIV/0!</v>
      </c>
      <c r="U775" s="40" t="str">
        <f>IF(データ!R772="","",データ!R772)</f>
        <v/>
      </c>
      <c r="V775" s="41" t="str">
        <f>IF(データ!S772="","",データ!S772)</f>
        <v/>
      </c>
      <c r="W775" s="42">
        <f>データ!T772</f>
        <v>0</v>
      </c>
      <c r="X775" s="48">
        <f>IF($C775="集計行","",データ!U772)</f>
        <v>0</v>
      </c>
      <c r="Y775" s="48">
        <f>データ!V772</f>
        <v>0</v>
      </c>
      <c r="Z775" s="39" t="str">
        <f>IF(OR($C775="総括",$C775="内訳書",$C775="内訳代価",$C775="明細書",$C775="明細代価",$C775="代価表",$C775="単価表"),データ!W772,"")</f>
        <v/>
      </c>
      <c r="AA775" s="11" t="str">
        <f t="shared" si="76"/>
        <v/>
      </c>
      <c r="AB775" s="46" t="e">
        <f t="shared" si="77"/>
        <v>#DIV/0!</v>
      </c>
      <c r="AC775" s="40" t="str">
        <f>IF(データ!X772="","",データ!X772)</f>
        <v/>
      </c>
      <c r="AD775" s="41" t="str">
        <f>IF(データ!Y772="","",データ!Y772)</f>
        <v/>
      </c>
      <c r="AE775" s="47" t="str">
        <f>TRIM(データ!B772)</f>
        <v/>
      </c>
      <c r="AF775" s="43" t="str">
        <f>TRIM(データ!Z772)</f>
        <v/>
      </c>
    </row>
    <row r="776" spans="1:32" x14ac:dyDescent="0.15">
      <c r="A776" s="47">
        <f>データ!A773</f>
        <v>2</v>
      </c>
      <c r="B776" s="47" t="str">
        <f>TRIM(データ!C773)</f>
        <v/>
      </c>
      <c r="C776" s="47" t="str">
        <f>TRIM(データ!D773)</f>
        <v>機械費</v>
      </c>
      <c r="D776" s="36" t="str">
        <f>REPT("｜",$A776)&amp;TRIM(データ!E773)</f>
        <v>｜｜バックホウ</v>
      </c>
      <c r="E776" s="37" t="str">
        <f>TRIM(データ!F773)</f>
        <v>0.2m3 ブレーカー</v>
      </c>
      <c r="F776" s="38" t="str">
        <f>TRIM(データ!G773)</f>
        <v>台</v>
      </c>
      <c r="G776" s="50">
        <f>データ!H773</f>
        <v>1</v>
      </c>
      <c r="H776" s="48">
        <f>データ!I773</f>
        <v>25000</v>
      </c>
      <c r="I776" s="48">
        <f>データ!J773</f>
        <v>25000</v>
      </c>
      <c r="J776" s="39" t="str">
        <f>IF(OR($C776="総括",$C776="内訳書",$C776="内訳代価",$C776="明細書",$C776="明細代価",$C776="代価表",$C776="単価表"),データ!K773,"")</f>
        <v/>
      </c>
      <c r="K776" s="11" t="str">
        <f t="shared" si="72"/>
        <v/>
      </c>
      <c r="L776" s="46">
        <f t="shared" si="73"/>
        <v>3.599556534634933E-4</v>
      </c>
      <c r="M776" s="40" t="str">
        <f>IF(データ!L773="","",データ!L773)</f>
        <v/>
      </c>
      <c r="N776" s="41" t="str">
        <f>IF(データ!M773="","",データ!M773)</f>
        <v/>
      </c>
      <c r="O776" s="42">
        <f>データ!N773</f>
        <v>0</v>
      </c>
      <c r="P776" s="48">
        <f>IF($C776="集計行","",データ!O773)</f>
        <v>0</v>
      </c>
      <c r="Q776" s="48">
        <f>データ!P773</f>
        <v>0</v>
      </c>
      <c r="R776" s="39" t="str">
        <f>IF(OR($C776="総括",$C776="内訳書",$C776="内訳代価",$C776="明細書",$C776="明細代価",$C776="代価表",$C776="単価表"),データ!Q773,"")</f>
        <v/>
      </c>
      <c r="S776" s="11" t="str">
        <f t="shared" si="74"/>
        <v/>
      </c>
      <c r="T776" s="46" t="e">
        <f t="shared" si="75"/>
        <v>#DIV/0!</v>
      </c>
      <c r="U776" s="40" t="str">
        <f>IF(データ!R773="","",データ!R773)</f>
        <v/>
      </c>
      <c r="V776" s="41" t="str">
        <f>IF(データ!S773="","",データ!S773)</f>
        <v/>
      </c>
      <c r="W776" s="42">
        <f>データ!T773</f>
        <v>0</v>
      </c>
      <c r="X776" s="48">
        <f>IF($C776="集計行","",データ!U773)</f>
        <v>0</v>
      </c>
      <c r="Y776" s="48">
        <f>データ!V773</f>
        <v>0</v>
      </c>
      <c r="Z776" s="39" t="str">
        <f>IF(OR($C776="総括",$C776="内訳書",$C776="内訳代価",$C776="明細書",$C776="明細代価",$C776="代価表",$C776="単価表"),データ!W773,"")</f>
        <v/>
      </c>
      <c r="AA776" s="11" t="str">
        <f t="shared" si="76"/>
        <v/>
      </c>
      <c r="AB776" s="46" t="e">
        <f t="shared" si="77"/>
        <v>#DIV/0!</v>
      </c>
      <c r="AC776" s="40" t="str">
        <f>IF(データ!X773="","",データ!X773)</f>
        <v/>
      </c>
      <c r="AD776" s="41" t="str">
        <f>IF(データ!Y773="","",データ!Y773)</f>
        <v/>
      </c>
      <c r="AE776" s="47" t="str">
        <f>TRIM(データ!B773)</f>
        <v/>
      </c>
      <c r="AF776" s="43" t="str">
        <f>TRIM(データ!Z773)</f>
        <v/>
      </c>
    </row>
    <row r="777" spans="1:32" x14ac:dyDescent="0.15">
      <c r="A777" s="47">
        <f>データ!A774</f>
        <v>2</v>
      </c>
      <c r="B777" s="47" t="str">
        <f>TRIM(データ!C774)</f>
        <v/>
      </c>
      <c r="C777" s="47" t="str">
        <f>TRIM(データ!D774)</f>
        <v>運搬費</v>
      </c>
      <c r="D777" s="36" t="str">
        <f>REPT("｜",$A777)&amp;TRIM(データ!E774)</f>
        <v>｜｜重機回送</v>
      </c>
      <c r="E777" s="37" t="str">
        <f>TRIM(データ!F774)</f>
        <v>搬入</v>
      </c>
      <c r="F777" s="38" t="str">
        <f>TRIM(データ!G774)</f>
        <v>回</v>
      </c>
      <c r="G777" s="50">
        <f>データ!H774</f>
        <v>1</v>
      </c>
      <c r="H777" s="48">
        <f>データ!I774</f>
        <v>20000</v>
      </c>
      <c r="I777" s="48">
        <f>データ!J774</f>
        <v>20000</v>
      </c>
      <c r="J777" s="39" t="str">
        <f>IF(OR($C777="総括",$C777="内訳書",$C777="内訳代価",$C777="明細書",$C777="明細代価",$C777="代価表",$C777="単価表"),データ!K774,"")</f>
        <v/>
      </c>
      <c r="K777" s="11" t="str">
        <f t="shared" si="72"/>
        <v/>
      </c>
      <c r="L777" s="46">
        <f t="shared" si="73"/>
        <v>2.8796452277079463E-4</v>
      </c>
      <c r="M777" s="40" t="str">
        <f>IF(データ!L774="","",データ!L774)</f>
        <v/>
      </c>
      <c r="N777" s="41" t="str">
        <f>IF(データ!M774="","",データ!M774)</f>
        <v/>
      </c>
      <c r="O777" s="42">
        <f>データ!N774</f>
        <v>0</v>
      </c>
      <c r="P777" s="48">
        <f>IF($C777="集計行","",データ!O774)</f>
        <v>0</v>
      </c>
      <c r="Q777" s="48">
        <f>データ!P774</f>
        <v>0</v>
      </c>
      <c r="R777" s="39" t="str">
        <f>IF(OR($C777="総括",$C777="内訳書",$C777="内訳代価",$C777="明細書",$C777="明細代価",$C777="代価表",$C777="単価表"),データ!Q774,"")</f>
        <v/>
      </c>
      <c r="S777" s="11" t="str">
        <f t="shared" si="74"/>
        <v/>
      </c>
      <c r="T777" s="46" t="e">
        <f t="shared" si="75"/>
        <v>#DIV/0!</v>
      </c>
      <c r="U777" s="40" t="str">
        <f>IF(データ!R774="","",データ!R774)</f>
        <v/>
      </c>
      <c r="V777" s="41" t="str">
        <f>IF(データ!S774="","",データ!S774)</f>
        <v/>
      </c>
      <c r="W777" s="42">
        <f>データ!T774</f>
        <v>0</v>
      </c>
      <c r="X777" s="48">
        <f>IF($C777="集計行","",データ!U774)</f>
        <v>0</v>
      </c>
      <c r="Y777" s="48">
        <f>データ!V774</f>
        <v>0</v>
      </c>
      <c r="Z777" s="39" t="str">
        <f>IF(OR($C777="総括",$C777="内訳書",$C777="内訳代価",$C777="明細書",$C777="明細代価",$C777="代価表",$C777="単価表"),データ!W774,"")</f>
        <v/>
      </c>
      <c r="AA777" s="11" t="str">
        <f t="shared" si="76"/>
        <v/>
      </c>
      <c r="AB777" s="46" t="e">
        <f t="shared" si="77"/>
        <v>#DIV/0!</v>
      </c>
      <c r="AC777" s="40" t="str">
        <f>IF(データ!X774="","",データ!X774)</f>
        <v/>
      </c>
      <c r="AD777" s="41" t="str">
        <f>IF(データ!Y774="","",データ!Y774)</f>
        <v/>
      </c>
      <c r="AE777" s="47" t="str">
        <f>TRIM(データ!B774)</f>
        <v/>
      </c>
      <c r="AF777" s="43" t="str">
        <f>TRIM(データ!Z774)</f>
        <v/>
      </c>
    </row>
    <row r="778" spans="1:32" x14ac:dyDescent="0.15">
      <c r="A778" s="47">
        <f>データ!A775</f>
        <v>1</v>
      </c>
      <c r="B778" s="47" t="str">
        <f>TRIM(データ!C775)</f>
        <v/>
      </c>
      <c r="C778" s="47" t="str">
        <f>TRIM(データ!D775)</f>
        <v>内訳書</v>
      </c>
      <c r="D778" s="36" t="str">
        <f>REPT("｜",$A778)&amp;TRIM(データ!E775)</f>
        <v>｜既設横断側溝撤去</v>
      </c>
      <c r="E778" s="37" t="str">
        <f>TRIM(データ!F775)</f>
        <v/>
      </c>
      <c r="F778" s="38" t="str">
        <f>TRIM(データ!G775)</f>
        <v>式</v>
      </c>
      <c r="G778" s="50">
        <f>データ!H775</f>
        <v>1</v>
      </c>
      <c r="H778" s="48">
        <f>データ!I775</f>
        <v>266500</v>
      </c>
      <c r="I778" s="48">
        <f>データ!J775</f>
        <v>266500</v>
      </c>
      <c r="J778" s="39">
        <f>IF(OR($C778="総括",$C778="内訳書",$C778="内訳代価",$C778="明細書",$C778="明細代価",$C778="代価表",$C778="単価表"),データ!K775,"")</f>
        <v>1</v>
      </c>
      <c r="K778" s="11" t="str">
        <f t="shared" si="72"/>
        <v/>
      </c>
      <c r="L778" s="46">
        <f t="shared" si="73"/>
        <v>3.8371272659208384E-3</v>
      </c>
      <c r="M778" s="40" t="str">
        <f>IF(データ!L775="","",データ!L775)</f>
        <v/>
      </c>
      <c r="N778" s="41" t="str">
        <f>IF(データ!M775="","",データ!M775)</f>
        <v>100号内訳書</v>
      </c>
      <c r="O778" s="42">
        <f>データ!N775</f>
        <v>0</v>
      </c>
      <c r="P778" s="48">
        <f>IF($C778="集計行","",データ!O775)</f>
        <v>0</v>
      </c>
      <c r="Q778" s="48">
        <f>データ!P775</f>
        <v>0</v>
      </c>
      <c r="R778" s="39">
        <f>IF(OR($C778="総括",$C778="内訳書",$C778="内訳代価",$C778="明細書",$C778="明細代価",$C778="代価表",$C778="単価表"),データ!Q775,"")</f>
        <v>0</v>
      </c>
      <c r="S778" s="11" t="str">
        <f t="shared" si="74"/>
        <v/>
      </c>
      <c r="T778" s="46" t="e">
        <f t="shared" si="75"/>
        <v>#DIV/0!</v>
      </c>
      <c r="U778" s="40" t="str">
        <f>IF(データ!R775="","",データ!R775)</f>
        <v/>
      </c>
      <c r="V778" s="41" t="str">
        <f>IF(データ!S775="","",データ!S775)</f>
        <v/>
      </c>
      <c r="W778" s="42">
        <f>データ!T775</f>
        <v>0</v>
      </c>
      <c r="X778" s="48">
        <f>IF($C778="集計行","",データ!U775)</f>
        <v>0</v>
      </c>
      <c r="Y778" s="48">
        <f>データ!V775</f>
        <v>0</v>
      </c>
      <c r="Z778" s="39">
        <f>IF(OR($C778="総括",$C778="内訳書",$C778="内訳代価",$C778="明細書",$C778="明細代価",$C778="代価表",$C778="単価表"),データ!W775,"")</f>
        <v>0</v>
      </c>
      <c r="AA778" s="11" t="str">
        <f t="shared" si="76"/>
        <v/>
      </c>
      <c r="AB778" s="46" t="e">
        <f t="shared" si="77"/>
        <v>#DIV/0!</v>
      </c>
      <c r="AC778" s="40" t="str">
        <f>IF(データ!X775="","",データ!X775)</f>
        <v/>
      </c>
      <c r="AD778" s="41" t="str">
        <f>IF(データ!Y775="","",データ!Y775)</f>
        <v/>
      </c>
      <c r="AE778" s="47" t="str">
        <f>TRIM(データ!B775)</f>
        <v/>
      </c>
      <c r="AF778" s="43" t="str">
        <f>TRIM(データ!Z775)</f>
        <v/>
      </c>
    </row>
    <row r="779" spans="1:32" x14ac:dyDescent="0.15">
      <c r="A779" s="47">
        <f>データ!A776</f>
        <v>2</v>
      </c>
      <c r="B779" s="47" t="str">
        <f>TRIM(データ!C776)</f>
        <v/>
      </c>
      <c r="C779" s="47" t="str">
        <f>TRIM(データ!D776)</f>
        <v>労務費</v>
      </c>
      <c r="D779" s="36" t="str">
        <f>REPT("｜",$A779)&amp;TRIM(データ!E776)</f>
        <v>｜｜特殊作業員</v>
      </c>
      <c r="E779" s="37" t="str">
        <f>TRIM(データ!F776)</f>
        <v/>
      </c>
      <c r="F779" s="38" t="str">
        <f>TRIM(データ!G776)</f>
        <v>人</v>
      </c>
      <c r="G779" s="50">
        <f>データ!H776</f>
        <v>2</v>
      </c>
      <c r="H779" s="48">
        <f>データ!I776</f>
        <v>25000</v>
      </c>
      <c r="I779" s="48">
        <f>データ!J776</f>
        <v>50000</v>
      </c>
      <c r="J779" s="39" t="str">
        <f>IF(OR($C779="総括",$C779="内訳書",$C779="内訳代価",$C779="明細書",$C779="明細代価",$C779="代価表",$C779="単価表"),データ!K776,"")</f>
        <v/>
      </c>
      <c r="K779" s="11" t="str">
        <f t="shared" si="72"/>
        <v/>
      </c>
      <c r="L779" s="46">
        <f t="shared" si="73"/>
        <v>7.1991130692698659E-4</v>
      </c>
      <c r="M779" s="40" t="str">
        <f>IF(データ!L776="","",データ!L776)</f>
        <v/>
      </c>
      <c r="N779" s="41" t="str">
        <f>IF(データ!M776="","",データ!M776)</f>
        <v/>
      </c>
      <c r="O779" s="42">
        <f>データ!N776</f>
        <v>0</v>
      </c>
      <c r="P779" s="48">
        <f>IF($C779="集計行","",データ!O776)</f>
        <v>0</v>
      </c>
      <c r="Q779" s="48">
        <f>データ!P776</f>
        <v>0</v>
      </c>
      <c r="R779" s="39" t="str">
        <f>IF(OR($C779="総括",$C779="内訳書",$C779="内訳代価",$C779="明細書",$C779="明細代価",$C779="代価表",$C779="単価表"),データ!Q776,"")</f>
        <v/>
      </c>
      <c r="S779" s="11" t="str">
        <f t="shared" si="74"/>
        <v/>
      </c>
      <c r="T779" s="46" t="e">
        <f t="shared" si="75"/>
        <v>#DIV/0!</v>
      </c>
      <c r="U779" s="40" t="str">
        <f>IF(データ!R776="","",データ!R776)</f>
        <v/>
      </c>
      <c r="V779" s="41" t="str">
        <f>IF(データ!S776="","",データ!S776)</f>
        <v/>
      </c>
      <c r="W779" s="42">
        <f>データ!T776</f>
        <v>0</v>
      </c>
      <c r="X779" s="48">
        <f>IF($C779="集計行","",データ!U776)</f>
        <v>0</v>
      </c>
      <c r="Y779" s="48">
        <f>データ!V776</f>
        <v>0</v>
      </c>
      <c r="Z779" s="39" t="str">
        <f>IF(OR($C779="総括",$C779="内訳書",$C779="内訳代価",$C779="明細書",$C779="明細代価",$C779="代価表",$C779="単価表"),データ!W776,"")</f>
        <v/>
      </c>
      <c r="AA779" s="11" t="str">
        <f t="shared" si="76"/>
        <v/>
      </c>
      <c r="AB779" s="46" t="e">
        <f t="shared" si="77"/>
        <v>#DIV/0!</v>
      </c>
      <c r="AC779" s="40" t="str">
        <f>IF(データ!X776="","",データ!X776)</f>
        <v/>
      </c>
      <c r="AD779" s="41" t="str">
        <f>IF(データ!Y776="","",データ!Y776)</f>
        <v/>
      </c>
      <c r="AE779" s="47" t="str">
        <f>TRIM(データ!B776)</f>
        <v/>
      </c>
      <c r="AF779" s="43" t="str">
        <f>TRIM(データ!Z776)</f>
        <v/>
      </c>
    </row>
    <row r="780" spans="1:32" x14ac:dyDescent="0.15">
      <c r="A780" s="47">
        <f>データ!A777</f>
        <v>2</v>
      </c>
      <c r="B780" s="47" t="str">
        <f>TRIM(データ!C777)</f>
        <v/>
      </c>
      <c r="C780" s="47" t="str">
        <f>TRIM(データ!D777)</f>
        <v>労務費</v>
      </c>
      <c r="D780" s="36" t="str">
        <f>REPT("｜",$A780)&amp;TRIM(データ!E777)</f>
        <v>｜｜普通作業員</v>
      </c>
      <c r="E780" s="37" t="str">
        <f>TRIM(データ!F777)</f>
        <v/>
      </c>
      <c r="F780" s="38" t="str">
        <f>TRIM(データ!G777)</f>
        <v>人</v>
      </c>
      <c r="G780" s="50">
        <f>データ!H777</f>
        <v>4</v>
      </c>
      <c r="H780" s="48">
        <f>データ!I777</f>
        <v>25000</v>
      </c>
      <c r="I780" s="48">
        <f>データ!J777</f>
        <v>100000</v>
      </c>
      <c r="J780" s="39" t="str">
        <f>IF(OR($C780="総括",$C780="内訳書",$C780="内訳代価",$C780="明細書",$C780="明細代価",$C780="代価表",$C780="単価表"),データ!K777,"")</f>
        <v/>
      </c>
      <c r="K780" s="11" t="str">
        <f t="shared" si="72"/>
        <v/>
      </c>
      <c r="L780" s="46">
        <f t="shared" si="73"/>
        <v>1.4398226138539732E-3</v>
      </c>
      <c r="M780" s="40" t="str">
        <f>IF(データ!L777="","",データ!L777)</f>
        <v/>
      </c>
      <c r="N780" s="41" t="str">
        <f>IF(データ!M777="","",データ!M777)</f>
        <v/>
      </c>
      <c r="O780" s="42">
        <f>データ!N777</f>
        <v>0</v>
      </c>
      <c r="P780" s="48">
        <f>IF($C780="集計行","",データ!O777)</f>
        <v>0</v>
      </c>
      <c r="Q780" s="48">
        <f>データ!P777</f>
        <v>0</v>
      </c>
      <c r="R780" s="39" t="str">
        <f>IF(OR($C780="総括",$C780="内訳書",$C780="内訳代価",$C780="明細書",$C780="明細代価",$C780="代価表",$C780="単価表"),データ!Q777,"")</f>
        <v/>
      </c>
      <c r="S780" s="11" t="str">
        <f t="shared" si="74"/>
        <v/>
      </c>
      <c r="T780" s="46" t="e">
        <f t="shared" si="75"/>
        <v>#DIV/0!</v>
      </c>
      <c r="U780" s="40" t="str">
        <f>IF(データ!R777="","",データ!R777)</f>
        <v/>
      </c>
      <c r="V780" s="41" t="str">
        <f>IF(データ!S777="","",データ!S777)</f>
        <v/>
      </c>
      <c r="W780" s="42">
        <f>データ!T777</f>
        <v>0</v>
      </c>
      <c r="X780" s="48">
        <f>IF($C780="集計行","",データ!U777)</f>
        <v>0</v>
      </c>
      <c r="Y780" s="48">
        <f>データ!V777</f>
        <v>0</v>
      </c>
      <c r="Z780" s="39" t="str">
        <f>IF(OR($C780="総括",$C780="内訳書",$C780="内訳代価",$C780="明細書",$C780="明細代価",$C780="代価表",$C780="単価表"),データ!W777,"")</f>
        <v/>
      </c>
      <c r="AA780" s="11" t="str">
        <f t="shared" si="76"/>
        <v/>
      </c>
      <c r="AB780" s="46" t="e">
        <f t="shared" si="77"/>
        <v>#DIV/0!</v>
      </c>
      <c r="AC780" s="40" t="str">
        <f>IF(データ!X777="","",データ!X777)</f>
        <v/>
      </c>
      <c r="AD780" s="41" t="str">
        <f>IF(データ!Y777="","",データ!Y777)</f>
        <v/>
      </c>
      <c r="AE780" s="47" t="str">
        <f>TRIM(データ!B777)</f>
        <v/>
      </c>
      <c r="AF780" s="43" t="str">
        <f>TRIM(データ!Z777)</f>
        <v/>
      </c>
    </row>
    <row r="781" spans="1:32" x14ac:dyDescent="0.15">
      <c r="A781" s="47">
        <f>データ!A778</f>
        <v>2</v>
      </c>
      <c r="B781" s="47" t="str">
        <f>TRIM(データ!C778)</f>
        <v/>
      </c>
      <c r="C781" s="47" t="str">
        <f>TRIM(データ!D778)</f>
        <v>機械費</v>
      </c>
      <c r="D781" s="36" t="str">
        <f>REPT("｜",$A781)&amp;TRIM(データ!E778)</f>
        <v>｜｜バックホウ</v>
      </c>
      <c r="E781" s="37" t="str">
        <f>TRIM(データ!F778)</f>
        <v>0.2m3 ブレーカー</v>
      </c>
      <c r="F781" s="38" t="str">
        <f>TRIM(データ!G778)</f>
        <v>台</v>
      </c>
      <c r="G781" s="50">
        <f>データ!H778</f>
        <v>2</v>
      </c>
      <c r="H781" s="48">
        <f>データ!I778</f>
        <v>25000</v>
      </c>
      <c r="I781" s="48">
        <f>データ!J778</f>
        <v>50000</v>
      </c>
      <c r="J781" s="39" t="str">
        <f>IF(OR($C781="総括",$C781="内訳書",$C781="内訳代価",$C781="明細書",$C781="明細代価",$C781="代価表",$C781="単価表"),データ!K778,"")</f>
        <v/>
      </c>
      <c r="K781" s="11" t="str">
        <f t="shared" si="72"/>
        <v/>
      </c>
      <c r="L781" s="46">
        <f t="shared" si="73"/>
        <v>7.1991130692698659E-4</v>
      </c>
      <c r="M781" s="40" t="str">
        <f>IF(データ!L778="","",データ!L778)</f>
        <v/>
      </c>
      <c r="N781" s="41" t="str">
        <f>IF(データ!M778="","",データ!M778)</f>
        <v/>
      </c>
      <c r="O781" s="42">
        <f>データ!N778</f>
        <v>0</v>
      </c>
      <c r="P781" s="48">
        <f>IF($C781="集計行","",データ!O778)</f>
        <v>0</v>
      </c>
      <c r="Q781" s="48">
        <f>データ!P778</f>
        <v>0</v>
      </c>
      <c r="R781" s="39" t="str">
        <f>IF(OR($C781="総括",$C781="内訳書",$C781="内訳代価",$C781="明細書",$C781="明細代価",$C781="代価表",$C781="単価表"),データ!Q778,"")</f>
        <v/>
      </c>
      <c r="S781" s="11" t="str">
        <f t="shared" si="74"/>
        <v/>
      </c>
      <c r="T781" s="46" t="e">
        <f t="shared" si="75"/>
        <v>#DIV/0!</v>
      </c>
      <c r="U781" s="40" t="str">
        <f>IF(データ!R778="","",データ!R778)</f>
        <v/>
      </c>
      <c r="V781" s="41" t="str">
        <f>IF(データ!S778="","",データ!S778)</f>
        <v/>
      </c>
      <c r="W781" s="42">
        <f>データ!T778</f>
        <v>0</v>
      </c>
      <c r="X781" s="48">
        <f>IF($C781="集計行","",データ!U778)</f>
        <v>0</v>
      </c>
      <c r="Y781" s="48">
        <f>データ!V778</f>
        <v>0</v>
      </c>
      <c r="Z781" s="39" t="str">
        <f>IF(OR($C781="総括",$C781="内訳書",$C781="内訳代価",$C781="明細書",$C781="明細代価",$C781="代価表",$C781="単価表"),データ!W778,"")</f>
        <v/>
      </c>
      <c r="AA781" s="11" t="str">
        <f t="shared" si="76"/>
        <v/>
      </c>
      <c r="AB781" s="46" t="e">
        <f t="shared" si="77"/>
        <v>#DIV/0!</v>
      </c>
      <c r="AC781" s="40" t="str">
        <f>IF(データ!X778="","",データ!X778)</f>
        <v/>
      </c>
      <c r="AD781" s="41" t="str">
        <f>IF(データ!Y778="","",データ!Y778)</f>
        <v/>
      </c>
      <c r="AE781" s="47" t="str">
        <f>TRIM(データ!B778)</f>
        <v/>
      </c>
      <c r="AF781" s="43" t="str">
        <f>TRIM(データ!Z778)</f>
        <v/>
      </c>
    </row>
    <row r="782" spans="1:32" x14ac:dyDescent="0.15">
      <c r="A782" s="47">
        <f>データ!A779</f>
        <v>2</v>
      </c>
      <c r="B782" s="47" t="str">
        <f>TRIM(データ!C779)</f>
        <v/>
      </c>
      <c r="C782" s="47" t="str">
        <f>TRIM(データ!D779)</f>
        <v>運搬費</v>
      </c>
      <c r="D782" s="36" t="str">
        <f>REPT("｜",$A782)&amp;TRIM(データ!E779)</f>
        <v>｜｜ダンプトラック</v>
      </c>
      <c r="E782" s="37" t="str">
        <f>TRIM(データ!F779)</f>
        <v>4tDT</v>
      </c>
      <c r="F782" s="38" t="str">
        <f>TRIM(データ!G779)</f>
        <v>台</v>
      </c>
      <c r="G782" s="50">
        <f>データ!H779</f>
        <v>1</v>
      </c>
      <c r="H782" s="48">
        <f>データ!I779</f>
        <v>15000</v>
      </c>
      <c r="I782" s="48">
        <f>データ!J779</f>
        <v>15000</v>
      </c>
      <c r="J782" s="39" t="str">
        <f>IF(OR($C782="総括",$C782="内訳書",$C782="内訳代価",$C782="明細書",$C782="明細代価",$C782="代価表",$C782="単価表"),データ!K779,"")</f>
        <v/>
      </c>
      <c r="K782" s="11" t="str">
        <f t="shared" si="72"/>
        <v/>
      </c>
      <c r="L782" s="46">
        <f t="shared" si="73"/>
        <v>2.1597339207809598E-4</v>
      </c>
      <c r="M782" s="40" t="str">
        <f>IF(データ!L779="","",データ!L779)</f>
        <v/>
      </c>
      <c r="N782" s="41" t="str">
        <f>IF(データ!M779="","",データ!M779)</f>
        <v/>
      </c>
      <c r="O782" s="42">
        <f>データ!N779</f>
        <v>0</v>
      </c>
      <c r="P782" s="48">
        <f>IF($C782="集計行","",データ!O779)</f>
        <v>0</v>
      </c>
      <c r="Q782" s="48">
        <f>データ!P779</f>
        <v>0</v>
      </c>
      <c r="R782" s="39" t="str">
        <f>IF(OR($C782="総括",$C782="内訳書",$C782="内訳代価",$C782="明細書",$C782="明細代価",$C782="代価表",$C782="単価表"),データ!Q779,"")</f>
        <v/>
      </c>
      <c r="S782" s="11" t="str">
        <f t="shared" si="74"/>
        <v/>
      </c>
      <c r="T782" s="46" t="e">
        <f t="shared" si="75"/>
        <v>#DIV/0!</v>
      </c>
      <c r="U782" s="40" t="str">
        <f>IF(データ!R779="","",データ!R779)</f>
        <v/>
      </c>
      <c r="V782" s="41" t="str">
        <f>IF(データ!S779="","",データ!S779)</f>
        <v/>
      </c>
      <c r="W782" s="42">
        <f>データ!T779</f>
        <v>0</v>
      </c>
      <c r="X782" s="48">
        <f>IF($C782="集計行","",データ!U779)</f>
        <v>0</v>
      </c>
      <c r="Y782" s="48">
        <f>データ!V779</f>
        <v>0</v>
      </c>
      <c r="Z782" s="39" t="str">
        <f>IF(OR($C782="総括",$C782="内訳書",$C782="内訳代価",$C782="明細書",$C782="明細代価",$C782="代価表",$C782="単価表"),データ!W779,"")</f>
        <v/>
      </c>
      <c r="AA782" s="11" t="str">
        <f t="shared" si="76"/>
        <v/>
      </c>
      <c r="AB782" s="46" t="e">
        <f t="shared" si="77"/>
        <v>#DIV/0!</v>
      </c>
      <c r="AC782" s="40" t="str">
        <f>IF(データ!X779="","",データ!X779)</f>
        <v/>
      </c>
      <c r="AD782" s="41" t="str">
        <f>IF(データ!Y779="","",データ!Y779)</f>
        <v/>
      </c>
      <c r="AE782" s="47" t="str">
        <f>TRIM(データ!B779)</f>
        <v/>
      </c>
      <c r="AF782" s="43" t="str">
        <f>TRIM(データ!Z779)</f>
        <v/>
      </c>
    </row>
    <row r="783" spans="1:32" x14ac:dyDescent="0.15">
      <c r="A783" s="47">
        <f>データ!A780</f>
        <v>2</v>
      </c>
      <c r="B783" s="47" t="str">
        <f>TRIM(データ!C780)</f>
        <v/>
      </c>
      <c r="C783" s="47" t="str">
        <f>TRIM(データ!D780)</f>
        <v>運搬費</v>
      </c>
      <c r="D783" s="36" t="str">
        <f>REPT("｜",$A783)&amp;TRIM(データ!E780)</f>
        <v>｜｜コンクリート殻</v>
      </c>
      <c r="E783" s="37" t="str">
        <f>TRIM(データ!F780)</f>
        <v/>
      </c>
      <c r="F783" s="38" t="str">
        <f>TRIM(データ!G780)</f>
        <v>t</v>
      </c>
      <c r="G783" s="50">
        <f>データ!H780</f>
        <v>9</v>
      </c>
      <c r="H783" s="48">
        <f>データ!I780</f>
        <v>3500</v>
      </c>
      <c r="I783" s="48">
        <f>データ!J780</f>
        <v>31500</v>
      </c>
      <c r="J783" s="39" t="str">
        <f>IF(OR($C783="総括",$C783="内訳書",$C783="内訳代価",$C783="明細書",$C783="明細代価",$C783="代価表",$C783="単価表"),データ!K780,"")</f>
        <v/>
      </c>
      <c r="K783" s="11" t="str">
        <f t="shared" si="72"/>
        <v/>
      </c>
      <c r="L783" s="46">
        <f t="shared" si="73"/>
        <v>4.5354412336400153E-4</v>
      </c>
      <c r="M783" s="40" t="str">
        <f>IF(データ!L780="","",データ!L780)</f>
        <v/>
      </c>
      <c r="N783" s="41" t="str">
        <f>IF(データ!M780="","",データ!M780)</f>
        <v/>
      </c>
      <c r="O783" s="42">
        <f>データ!N780</f>
        <v>0</v>
      </c>
      <c r="P783" s="48">
        <f>IF($C783="集計行","",データ!O780)</f>
        <v>0</v>
      </c>
      <c r="Q783" s="48">
        <f>データ!P780</f>
        <v>0</v>
      </c>
      <c r="R783" s="39" t="str">
        <f>IF(OR($C783="総括",$C783="内訳書",$C783="内訳代価",$C783="明細書",$C783="明細代価",$C783="代価表",$C783="単価表"),データ!Q780,"")</f>
        <v/>
      </c>
      <c r="S783" s="11" t="str">
        <f t="shared" si="74"/>
        <v/>
      </c>
      <c r="T783" s="46" t="e">
        <f t="shared" si="75"/>
        <v>#DIV/0!</v>
      </c>
      <c r="U783" s="40" t="str">
        <f>IF(データ!R780="","",データ!R780)</f>
        <v/>
      </c>
      <c r="V783" s="41" t="str">
        <f>IF(データ!S780="","",データ!S780)</f>
        <v/>
      </c>
      <c r="W783" s="42">
        <f>データ!T780</f>
        <v>0</v>
      </c>
      <c r="X783" s="48">
        <f>IF($C783="集計行","",データ!U780)</f>
        <v>0</v>
      </c>
      <c r="Y783" s="48">
        <f>データ!V780</f>
        <v>0</v>
      </c>
      <c r="Z783" s="39" t="str">
        <f>IF(OR($C783="総括",$C783="内訳書",$C783="内訳代価",$C783="明細書",$C783="明細代価",$C783="代価表",$C783="単価表"),データ!W780,"")</f>
        <v/>
      </c>
      <c r="AA783" s="11" t="str">
        <f t="shared" si="76"/>
        <v/>
      </c>
      <c r="AB783" s="46" t="e">
        <f t="shared" si="77"/>
        <v>#DIV/0!</v>
      </c>
      <c r="AC783" s="40" t="str">
        <f>IF(データ!X780="","",データ!X780)</f>
        <v/>
      </c>
      <c r="AD783" s="41" t="str">
        <f>IF(データ!Y780="","",データ!Y780)</f>
        <v/>
      </c>
      <c r="AE783" s="47" t="str">
        <f>TRIM(データ!B780)</f>
        <v/>
      </c>
      <c r="AF783" s="43" t="str">
        <f>TRIM(データ!Z780)</f>
        <v/>
      </c>
    </row>
    <row r="784" spans="1:32" x14ac:dyDescent="0.15">
      <c r="A784" s="47">
        <f>データ!A781</f>
        <v>2</v>
      </c>
      <c r="B784" s="47" t="str">
        <f>TRIM(データ!C781)</f>
        <v/>
      </c>
      <c r="C784" s="47" t="str">
        <f>TRIM(データ!D781)</f>
        <v>運搬費</v>
      </c>
      <c r="D784" s="36" t="str">
        <f>REPT("｜",$A784)&amp;TRIM(データ!E781)</f>
        <v>｜｜重機回送</v>
      </c>
      <c r="E784" s="37" t="str">
        <f>TRIM(データ!F781)</f>
        <v/>
      </c>
      <c r="F784" s="38" t="str">
        <f>TRIM(データ!G781)</f>
        <v>回</v>
      </c>
      <c r="G784" s="50">
        <f>データ!H781</f>
        <v>1</v>
      </c>
      <c r="H784" s="48">
        <f>データ!I781</f>
        <v>20000</v>
      </c>
      <c r="I784" s="48">
        <f>データ!J781</f>
        <v>20000</v>
      </c>
      <c r="J784" s="39" t="str">
        <f>IF(OR($C784="総括",$C784="内訳書",$C784="内訳代価",$C784="明細書",$C784="明細代価",$C784="代価表",$C784="単価表"),データ!K781,"")</f>
        <v/>
      </c>
      <c r="K784" s="11" t="str">
        <f t="shared" si="72"/>
        <v/>
      </c>
      <c r="L784" s="46">
        <f t="shared" si="73"/>
        <v>2.8796452277079463E-4</v>
      </c>
      <c r="M784" s="40" t="str">
        <f>IF(データ!L781="","",データ!L781)</f>
        <v/>
      </c>
      <c r="N784" s="41" t="str">
        <f>IF(データ!M781="","",データ!M781)</f>
        <v/>
      </c>
      <c r="O784" s="42">
        <f>データ!N781</f>
        <v>0</v>
      </c>
      <c r="P784" s="48">
        <f>IF($C784="集計行","",データ!O781)</f>
        <v>0</v>
      </c>
      <c r="Q784" s="48">
        <f>データ!P781</f>
        <v>0</v>
      </c>
      <c r="R784" s="39" t="str">
        <f>IF(OR($C784="総括",$C784="内訳書",$C784="内訳代価",$C784="明細書",$C784="明細代価",$C784="代価表",$C784="単価表"),データ!Q781,"")</f>
        <v/>
      </c>
      <c r="S784" s="11" t="str">
        <f t="shared" si="74"/>
        <v/>
      </c>
      <c r="T784" s="46" t="e">
        <f t="shared" si="75"/>
        <v>#DIV/0!</v>
      </c>
      <c r="U784" s="40" t="str">
        <f>IF(データ!R781="","",データ!R781)</f>
        <v/>
      </c>
      <c r="V784" s="41" t="str">
        <f>IF(データ!S781="","",データ!S781)</f>
        <v/>
      </c>
      <c r="W784" s="42">
        <f>データ!T781</f>
        <v>0</v>
      </c>
      <c r="X784" s="48">
        <f>IF($C784="集計行","",データ!U781)</f>
        <v>0</v>
      </c>
      <c r="Y784" s="48">
        <f>データ!V781</f>
        <v>0</v>
      </c>
      <c r="Z784" s="39" t="str">
        <f>IF(OR($C784="総括",$C784="内訳書",$C784="内訳代価",$C784="明細書",$C784="明細代価",$C784="代価表",$C784="単価表"),データ!W781,"")</f>
        <v/>
      </c>
      <c r="AA784" s="11" t="str">
        <f t="shared" si="76"/>
        <v/>
      </c>
      <c r="AB784" s="46" t="e">
        <f t="shared" si="77"/>
        <v>#DIV/0!</v>
      </c>
      <c r="AC784" s="40" t="str">
        <f>IF(データ!X781="","",データ!X781)</f>
        <v/>
      </c>
      <c r="AD784" s="41" t="str">
        <f>IF(データ!Y781="","",データ!Y781)</f>
        <v/>
      </c>
      <c r="AE784" s="47" t="str">
        <f>TRIM(データ!B781)</f>
        <v/>
      </c>
      <c r="AF784" s="43" t="str">
        <f>TRIM(データ!Z781)</f>
        <v/>
      </c>
    </row>
    <row r="785" spans="1:32" x14ac:dyDescent="0.15">
      <c r="A785" s="47">
        <f>データ!A782</f>
        <v>1</v>
      </c>
      <c r="B785" s="47" t="str">
        <f>TRIM(データ!C782)</f>
        <v/>
      </c>
      <c r="C785" s="47" t="str">
        <f>TRIM(データ!D782)</f>
        <v>内訳書</v>
      </c>
      <c r="D785" s="36" t="str">
        <f>REPT("｜",$A785)&amp;TRIM(データ!E782)</f>
        <v>｜浄化槽設置</v>
      </c>
      <c r="E785" s="37" t="str">
        <f>TRIM(データ!F782)</f>
        <v>掘削、土留め、砕石敷均し</v>
      </c>
      <c r="F785" s="38" t="str">
        <f>TRIM(データ!G782)</f>
        <v>式</v>
      </c>
      <c r="G785" s="50">
        <f>データ!H782</f>
        <v>1</v>
      </c>
      <c r="H785" s="48">
        <f>データ!I782</f>
        <v>455500</v>
      </c>
      <c r="I785" s="48">
        <f>データ!J782</f>
        <v>455500</v>
      </c>
      <c r="J785" s="39">
        <f>IF(OR($C785="総括",$C785="内訳書",$C785="内訳代価",$C785="明細書",$C785="明細代価",$C785="代価表",$C785="単価表"),データ!K782,"")</f>
        <v>1</v>
      </c>
      <c r="K785" s="11" t="str">
        <f t="shared" si="72"/>
        <v/>
      </c>
      <c r="L785" s="46">
        <f t="shared" si="73"/>
        <v>6.5583920061048481E-3</v>
      </c>
      <c r="M785" s="40" t="str">
        <f>IF(データ!L782="","",データ!L782)</f>
        <v/>
      </c>
      <c r="N785" s="41" t="str">
        <f>IF(データ!M782="","",データ!M782)</f>
        <v>101号内訳書</v>
      </c>
      <c r="O785" s="42">
        <f>データ!N782</f>
        <v>0</v>
      </c>
      <c r="P785" s="48">
        <f>IF($C785="集計行","",データ!O782)</f>
        <v>0</v>
      </c>
      <c r="Q785" s="48">
        <f>データ!P782</f>
        <v>0</v>
      </c>
      <c r="R785" s="39">
        <f>IF(OR($C785="総括",$C785="内訳書",$C785="内訳代価",$C785="明細書",$C785="明細代価",$C785="代価表",$C785="単価表"),データ!Q782,"")</f>
        <v>0</v>
      </c>
      <c r="S785" s="11" t="str">
        <f t="shared" si="74"/>
        <v/>
      </c>
      <c r="T785" s="46" t="e">
        <f t="shared" si="75"/>
        <v>#DIV/0!</v>
      </c>
      <c r="U785" s="40" t="str">
        <f>IF(データ!R782="","",データ!R782)</f>
        <v/>
      </c>
      <c r="V785" s="41" t="str">
        <f>IF(データ!S782="","",データ!S782)</f>
        <v/>
      </c>
      <c r="W785" s="42">
        <f>データ!T782</f>
        <v>0</v>
      </c>
      <c r="X785" s="48">
        <f>IF($C785="集計行","",データ!U782)</f>
        <v>0</v>
      </c>
      <c r="Y785" s="48">
        <f>データ!V782</f>
        <v>0</v>
      </c>
      <c r="Z785" s="39">
        <f>IF(OR($C785="総括",$C785="内訳書",$C785="内訳代価",$C785="明細書",$C785="明細代価",$C785="代価表",$C785="単価表"),データ!W782,"")</f>
        <v>0</v>
      </c>
      <c r="AA785" s="11" t="str">
        <f t="shared" si="76"/>
        <v/>
      </c>
      <c r="AB785" s="46" t="e">
        <f t="shared" si="77"/>
        <v>#DIV/0!</v>
      </c>
      <c r="AC785" s="40" t="str">
        <f>IF(データ!X782="","",データ!X782)</f>
        <v/>
      </c>
      <c r="AD785" s="41" t="str">
        <f>IF(データ!Y782="","",データ!Y782)</f>
        <v/>
      </c>
      <c r="AE785" s="47" t="str">
        <f>TRIM(データ!B782)</f>
        <v/>
      </c>
      <c r="AF785" s="43" t="str">
        <f>TRIM(データ!Z782)</f>
        <v/>
      </c>
    </row>
    <row r="786" spans="1:32" x14ac:dyDescent="0.15">
      <c r="A786" s="47">
        <f>データ!A783</f>
        <v>2</v>
      </c>
      <c r="B786" s="47" t="str">
        <f>TRIM(データ!C783)</f>
        <v/>
      </c>
      <c r="C786" s="47" t="str">
        <f>TRIM(データ!D783)</f>
        <v>労務費</v>
      </c>
      <c r="D786" s="36" t="str">
        <f>REPT("｜",$A786)&amp;TRIM(データ!E783)</f>
        <v>｜｜世話役</v>
      </c>
      <c r="E786" s="37" t="str">
        <f>TRIM(データ!F783)</f>
        <v/>
      </c>
      <c r="F786" s="38" t="str">
        <f>TRIM(データ!G783)</f>
        <v>人</v>
      </c>
      <c r="G786" s="50">
        <f>データ!H783</f>
        <v>1</v>
      </c>
      <c r="H786" s="48">
        <f>データ!I783</f>
        <v>30000</v>
      </c>
      <c r="I786" s="48">
        <f>データ!J783</f>
        <v>30000</v>
      </c>
      <c r="J786" s="39" t="str">
        <f>IF(OR($C786="総括",$C786="内訳書",$C786="内訳代価",$C786="明細書",$C786="明細代価",$C786="代価表",$C786="単価表"),データ!K783,"")</f>
        <v/>
      </c>
      <c r="K786" s="11" t="str">
        <f t="shared" si="72"/>
        <v/>
      </c>
      <c r="L786" s="46">
        <f t="shared" si="73"/>
        <v>4.3194678415619197E-4</v>
      </c>
      <c r="M786" s="40" t="str">
        <f>IF(データ!L783="","",データ!L783)</f>
        <v/>
      </c>
      <c r="N786" s="41" t="str">
        <f>IF(データ!M783="","",データ!M783)</f>
        <v/>
      </c>
      <c r="O786" s="42">
        <f>データ!N783</f>
        <v>0</v>
      </c>
      <c r="P786" s="48">
        <f>IF($C786="集計行","",データ!O783)</f>
        <v>0</v>
      </c>
      <c r="Q786" s="48">
        <f>データ!P783</f>
        <v>0</v>
      </c>
      <c r="R786" s="39" t="str">
        <f>IF(OR($C786="総括",$C786="内訳書",$C786="内訳代価",$C786="明細書",$C786="明細代価",$C786="代価表",$C786="単価表"),データ!Q783,"")</f>
        <v/>
      </c>
      <c r="S786" s="11" t="str">
        <f t="shared" si="74"/>
        <v/>
      </c>
      <c r="T786" s="46" t="e">
        <f t="shared" si="75"/>
        <v>#DIV/0!</v>
      </c>
      <c r="U786" s="40" t="str">
        <f>IF(データ!R783="","",データ!R783)</f>
        <v/>
      </c>
      <c r="V786" s="41" t="str">
        <f>IF(データ!S783="","",データ!S783)</f>
        <v/>
      </c>
      <c r="W786" s="42">
        <f>データ!T783</f>
        <v>0</v>
      </c>
      <c r="X786" s="48">
        <f>IF($C786="集計行","",データ!U783)</f>
        <v>0</v>
      </c>
      <c r="Y786" s="48">
        <f>データ!V783</f>
        <v>0</v>
      </c>
      <c r="Z786" s="39" t="str">
        <f>IF(OR($C786="総括",$C786="内訳書",$C786="内訳代価",$C786="明細書",$C786="明細代価",$C786="代価表",$C786="単価表"),データ!W783,"")</f>
        <v/>
      </c>
      <c r="AA786" s="11" t="str">
        <f t="shared" si="76"/>
        <v/>
      </c>
      <c r="AB786" s="46" t="e">
        <f t="shared" si="77"/>
        <v>#DIV/0!</v>
      </c>
      <c r="AC786" s="40" t="str">
        <f>IF(データ!X783="","",データ!X783)</f>
        <v/>
      </c>
      <c r="AD786" s="41" t="str">
        <f>IF(データ!Y783="","",データ!Y783)</f>
        <v/>
      </c>
      <c r="AE786" s="47" t="str">
        <f>TRIM(データ!B783)</f>
        <v/>
      </c>
      <c r="AF786" s="43" t="str">
        <f>TRIM(データ!Z783)</f>
        <v/>
      </c>
    </row>
    <row r="787" spans="1:32" x14ac:dyDescent="0.15">
      <c r="A787" s="47">
        <f>データ!A784</f>
        <v>2</v>
      </c>
      <c r="B787" s="47" t="str">
        <f>TRIM(データ!C784)</f>
        <v/>
      </c>
      <c r="C787" s="47" t="str">
        <f>TRIM(データ!D784)</f>
        <v>労務費</v>
      </c>
      <c r="D787" s="36" t="str">
        <f>REPT("｜",$A787)&amp;TRIM(データ!E784)</f>
        <v>｜｜特殊作業員</v>
      </c>
      <c r="E787" s="37" t="str">
        <f>TRIM(データ!F784)</f>
        <v/>
      </c>
      <c r="F787" s="38" t="str">
        <f>TRIM(データ!G784)</f>
        <v>人</v>
      </c>
      <c r="G787" s="50">
        <f>データ!H784</f>
        <v>1</v>
      </c>
      <c r="H787" s="48">
        <f>データ!I784</f>
        <v>25000</v>
      </c>
      <c r="I787" s="48">
        <f>データ!J784</f>
        <v>25000</v>
      </c>
      <c r="J787" s="39" t="str">
        <f>IF(OR($C787="総括",$C787="内訳書",$C787="内訳代価",$C787="明細書",$C787="明細代価",$C787="代価表",$C787="単価表"),データ!K784,"")</f>
        <v/>
      </c>
      <c r="K787" s="11" t="str">
        <f t="shared" si="72"/>
        <v/>
      </c>
      <c r="L787" s="46">
        <f t="shared" si="73"/>
        <v>3.599556534634933E-4</v>
      </c>
      <c r="M787" s="40" t="str">
        <f>IF(データ!L784="","",データ!L784)</f>
        <v/>
      </c>
      <c r="N787" s="41" t="str">
        <f>IF(データ!M784="","",データ!M784)</f>
        <v/>
      </c>
      <c r="O787" s="42">
        <f>データ!N784</f>
        <v>0</v>
      </c>
      <c r="P787" s="48">
        <f>IF($C787="集計行","",データ!O784)</f>
        <v>0</v>
      </c>
      <c r="Q787" s="48">
        <f>データ!P784</f>
        <v>0</v>
      </c>
      <c r="R787" s="39" t="str">
        <f>IF(OR($C787="総括",$C787="内訳書",$C787="内訳代価",$C787="明細書",$C787="明細代価",$C787="代価表",$C787="単価表"),データ!Q784,"")</f>
        <v/>
      </c>
      <c r="S787" s="11" t="str">
        <f t="shared" si="74"/>
        <v/>
      </c>
      <c r="T787" s="46" t="e">
        <f t="shared" si="75"/>
        <v>#DIV/0!</v>
      </c>
      <c r="U787" s="40" t="str">
        <f>IF(データ!R784="","",データ!R784)</f>
        <v/>
      </c>
      <c r="V787" s="41" t="str">
        <f>IF(データ!S784="","",データ!S784)</f>
        <v/>
      </c>
      <c r="W787" s="42">
        <f>データ!T784</f>
        <v>0</v>
      </c>
      <c r="X787" s="48">
        <f>IF($C787="集計行","",データ!U784)</f>
        <v>0</v>
      </c>
      <c r="Y787" s="48">
        <f>データ!V784</f>
        <v>0</v>
      </c>
      <c r="Z787" s="39" t="str">
        <f>IF(OR($C787="総括",$C787="内訳書",$C787="内訳代価",$C787="明細書",$C787="明細代価",$C787="代価表",$C787="単価表"),データ!W784,"")</f>
        <v/>
      </c>
      <c r="AA787" s="11" t="str">
        <f t="shared" si="76"/>
        <v/>
      </c>
      <c r="AB787" s="46" t="e">
        <f t="shared" si="77"/>
        <v>#DIV/0!</v>
      </c>
      <c r="AC787" s="40" t="str">
        <f>IF(データ!X784="","",データ!X784)</f>
        <v/>
      </c>
      <c r="AD787" s="41" t="str">
        <f>IF(データ!Y784="","",データ!Y784)</f>
        <v/>
      </c>
      <c r="AE787" s="47" t="str">
        <f>TRIM(データ!B784)</f>
        <v/>
      </c>
      <c r="AF787" s="43" t="str">
        <f>TRIM(データ!Z784)</f>
        <v/>
      </c>
    </row>
    <row r="788" spans="1:32" x14ac:dyDescent="0.15">
      <c r="A788" s="47">
        <f>データ!A785</f>
        <v>2</v>
      </c>
      <c r="B788" s="47" t="str">
        <f>TRIM(データ!C785)</f>
        <v/>
      </c>
      <c r="C788" s="47" t="str">
        <f>TRIM(データ!D785)</f>
        <v>労務費</v>
      </c>
      <c r="D788" s="36" t="str">
        <f>REPT("｜",$A788)&amp;TRIM(データ!E785)</f>
        <v>｜｜普通作業員</v>
      </c>
      <c r="E788" s="37" t="str">
        <f>TRIM(データ!F785)</f>
        <v/>
      </c>
      <c r="F788" s="38" t="str">
        <f>TRIM(データ!G785)</f>
        <v>人</v>
      </c>
      <c r="G788" s="50">
        <f>データ!H785</f>
        <v>3</v>
      </c>
      <c r="H788" s="48">
        <f>データ!I785</f>
        <v>25000</v>
      </c>
      <c r="I788" s="48">
        <f>データ!J785</f>
        <v>75000</v>
      </c>
      <c r="J788" s="39" t="str">
        <f>IF(OR($C788="総括",$C788="内訳書",$C788="内訳代価",$C788="明細書",$C788="明細代価",$C788="代価表",$C788="単価表"),データ!K785,"")</f>
        <v/>
      </c>
      <c r="K788" s="11" t="str">
        <f t="shared" si="72"/>
        <v/>
      </c>
      <c r="L788" s="46">
        <f t="shared" si="73"/>
        <v>1.0798669603904799E-3</v>
      </c>
      <c r="M788" s="40" t="str">
        <f>IF(データ!L785="","",データ!L785)</f>
        <v/>
      </c>
      <c r="N788" s="41" t="str">
        <f>IF(データ!M785="","",データ!M785)</f>
        <v/>
      </c>
      <c r="O788" s="42">
        <f>データ!N785</f>
        <v>0</v>
      </c>
      <c r="P788" s="48">
        <f>IF($C788="集計行","",データ!O785)</f>
        <v>0</v>
      </c>
      <c r="Q788" s="48">
        <f>データ!P785</f>
        <v>0</v>
      </c>
      <c r="R788" s="39" t="str">
        <f>IF(OR($C788="総括",$C788="内訳書",$C788="内訳代価",$C788="明細書",$C788="明細代価",$C788="代価表",$C788="単価表"),データ!Q785,"")</f>
        <v/>
      </c>
      <c r="S788" s="11" t="str">
        <f t="shared" si="74"/>
        <v/>
      </c>
      <c r="T788" s="46" t="e">
        <f t="shared" si="75"/>
        <v>#DIV/0!</v>
      </c>
      <c r="U788" s="40" t="str">
        <f>IF(データ!R785="","",データ!R785)</f>
        <v/>
      </c>
      <c r="V788" s="41" t="str">
        <f>IF(データ!S785="","",データ!S785)</f>
        <v/>
      </c>
      <c r="W788" s="42">
        <f>データ!T785</f>
        <v>0</v>
      </c>
      <c r="X788" s="48">
        <f>IF($C788="集計行","",データ!U785)</f>
        <v>0</v>
      </c>
      <c r="Y788" s="48">
        <f>データ!V785</f>
        <v>0</v>
      </c>
      <c r="Z788" s="39" t="str">
        <f>IF(OR($C788="総括",$C788="内訳書",$C788="内訳代価",$C788="明細書",$C788="明細代価",$C788="代価表",$C788="単価表"),データ!W785,"")</f>
        <v/>
      </c>
      <c r="AA788" s="11" t="str">
        <f t="shared" si="76"/>
        <v/>
      </c>
      <c r="AB788" s="46" t="e">
        <f t="shared" si="77"/>
        <v>#DIV/0!</v>
      </c>
      <c r="AC788" s="40" t="str">
        <f>IF(データ!X785="","",データ!X785)</f>
        <v/>
      </c>
      <c r="AD788" s="41" t="str">
        <f>IF(データ!Y785="","",データ!Y785)</f>
        <v/>
      </c>
      <c r="AE788" s="47" t="str">
        <f>TRIM(データ!B785)</f>
        <v/>
      </c>
      <c r="AF788" s="43" t="str">
        <f>TRIM(データ!Z785)</f>
        <v/>
      </c>
    </row>
    <row r="789" spans="1:32" x14ac:dyDescent="0.15">
      <c r="A789" s="47">
        <f>データ!A786</f>
        <v>2</v>
      </c>
      <c r="B789" s="47" t="str">
        <f>TRIM(データ!C786)</f>
        <v/>
      </c>
      <c r="C789" s="47" t="str">
        <f>TRIM(データ!D786)</f>
        <v>運搬費</v>
      </c>
      <c r="D789" s="36" t="str">
        <f>REPT("｜",$A789)&amp;TRIM(データ!E786)</f>
        <v>｜｜ダンプトラック</v>
      </c>
      <c r="E789" s="37" t="str">
        <f>TRIM(データ!F786)</f>
        <v>4tDT</v>
      </c>
      <c r="F789" s="38" t="str">
        <f>TRIM(データ!G786)</f>
        <v>台</v>
      </c>
      <c r="G789" s="50">
        <f>データ!H786</f>
        <v>1</v>
      </c>
      <c r="H789" s="48">
        <f>データ!I786</f>
        <v>15000</v>
      </c>
      <c r="I789" s="48">
        <f>データ!J786</f>
        <v>15000</v>
      </c>
      <c r="J789" s="39" t="str">
        <f>IF(OR($C789="総括",$C789="内訳書",$C789="内訳代価",$C789="明細書",$C789="明細代価",$C789="代価表",$C789="単価表"),データ!K786,"")</f>
        <v/>
      </c>
      <c r="K789" s="11" t="str">
        <f t="shared" si="72"/>
        <v/>
      </c>
      <c r="L789" s="46">
        <f t="shared" si="73"/>
        <v>2.1597339207809598E-4</v>
      </c>
      <c r="M789" s="40" t="str">
        <f>IF(データ!L786="","",データ!L786)</f>
        <v/>
      </c>
      <c r="N789" s="41" t="str">
        <f>IF(データ!M786="","",データ!M786)</f>
        <v/>
      </c>
      <c r="O789" s="42">
        <f>データ!N786</f>
        <v>0</v>
      </c>
      <c r="P789" s="48">
        <f>IF($C789="集計行","",データ!O786)</f>
        <v>0</v>
      </c>
      <c r="Q789" s="48">
        <f>データ!P786</f>
        <v>0</v>
      </c>
      <c r="R789" s="39" t="str">
        <f>IF(OR($C789="総括",$C789="内訳書",$C789="内訳代価",$C789="明細書",$C789="明細代価",$C789="代価表",$C789="単価表"),データ!Q786,"")</f>
        <v/>
      </c>
      <c r="S789" s="11" t="str">
        <f t="shared" si="74"/>
        <v/>
      </c>
      <c r="T789" s="46" t="e">
        <f t="shared" si="75"/>
        <v>#DIV/0!</v>
      </c>
      <c r="U789" s="40" t="str">
        <f>IF(データ!R786="","",データ!R786)</f>
        <v/>
      </c>
      <c r="V789" s="41" t="str">
        <f>IF(データ!S786="","",データ!S786)</f>
        <v/>
      </c>
      <c r="W789" s="42">
        <f>データ!T786</f>
        <v>0</v>
      </c>
      <c r="X789" s="48">
        <f>IF($C789="集計行","",データ!U786)</f>
        <v>0</v>
      </c>
      <c r="Y789" s="48">
        <f>データ!V786</f>
        <v>0</v>
      </c>
      <c r="Z789" s="39" t="str">
        <f>IF(OR($C789="総括",$C789="内訳書",$C789="内訳代価",$C789="明細書",$C789="明細代価",$C789="代価表",$C789="単価表"),データ!W786,"")</f>
        <v/>
      </c>
      <c r="AA789" s="11" t="str">
        <f t="shared" si="76"/>
        <v/>
      </c>
      <c r="AB789" s="46" t="e">
        <f t="shared" si="77"/>
        <v>#DIV/0!</v>
      </c>
      <c r="AC789" s="40" t="str">
        <f>IF(データ!X786="","",データ!X786)</f>
        <v/>
      </c>
      <c r="AD789" s="41" t="str">
        <f>IF(データ!Y786="","",データ!Y786)</f>
        <v/>
      </c>
      <c r="AE789" s="47" t="str">
        <f>TRIM(データ!B786)</f>
        <v/>
      </c>
      <c r="AF789" s="43" t="str">
        <f>TRIM(データ!Z786)</f>
        <v/>
      </c>
    </row>
    <row r="790" spans="1:32" x14ac:dyDescent="0.15">
      <c r="A790" s="47">
        <f>データ!A787</f>
        <v>2</v>
      </c>
      <c r="B790" s="47" t="str">
        <f>TRIM(データ!C787)</f>
        <v/>
      </c>
      <c r="C790" s="47" t="str">
        <f>TRIM(データ!D787)</f>
        <v>運搬費</v>
      </c>
      <c r="D790" s="36" t="str">
        <f>REPT("｜",$A790)&amp;TRIM(データ!E787)</f>
        <v>｜｜掘削残土運搬処分</v>
      </c>
      <c r="E790" s="37" t="str">
        <f>TRIM(データ!F787)</f>
        <v/>
      </c>
      <c r="F790" s="38" t="str">
        <f>TRIM(データ!G787)</f>
        <v>m3</v>
      </c>
      <c r="G790" s="50">
        <f>データ!H787</f>
        <v>45</v>
      </c>
      <c r="H790" s="48">
        <f>データ!I787</f>
        <v>6900</v>
      </c>
      <c r="I790" s="48">
        <f>データ!J787</f>
        <v>310500</v>
      </c>
      <c r="J790" s="39" t="str">
        <f>IF(OR($C790="総括",$C790="内訳書",$C790="内訳代価",$C790="明細書",$C790="明細代価",$C790="代価表",$C790="単価表"),データ!K787,"")</f>
        <v/>
      </c>
      <c r="K790" s="11" t="str">
        <f t="shared" si="72"/>
        <v/>
      </c>
      <c r="L790" s="46">
        <f t="shared" si="73"/>
        <v>4.4706492160165867E-3</v>
      </c>
      <c r="M790" s="40" t="str">
        <f>IF(データ!L787="","",データ!L787)</f>
        <v/>
      </c>
      <c r="N790" s="41" t="str">
        <f>IF(データ!M787="","",データ!M787)</f>
        <v/>
      </c>
      <c r="O790" s="42">
        <f>データ!N787</f>
        <v>0</v>
      </c>
      <c r="P790" s="48">
        <f>IF($C790="集計行","",データ!O787)</f>
        <v>0</v>
      </c>
      <c r="Q790" s="48">
        <f>データ!P787</f>
        <v>0</v>
      </c>
      <c r="R790" s="39" t="str">
        <f>IF(OR($C790="総括",$C790="内訳書",$C790="内訳代価",$C790="明細書",$C790="明細代価",$C790="代価表",$C790="単価表"),データ!Q787,"")</f>
        <v/>
      </c>
      <c r="S790" s="11" t="str">
        <f t="shared" si="74"/>
        <v/>
      </c>
      <c r="T790" s="46" t="e">
        <f t="shared" si="75"/>
        <v>#DIV/0!</v>
      </c>
      <c r="U790" s="40" t="str">
        <f>IF(データ!R787="","",データ!R787)</f>
        <v/>
      </c>
      <c r="V790" s="41" t="str">
        <f>IF(データ!S787="","",データ!S787)</f>
        <v/>
      </c>
      <c r="W790" s="42">
        <f>データ!T787</f>
        <v>0</v>
      </c>
      <c r="X790" s="48">
        <f>IF($C790="集計行","",データ!U787)</f>
        <v>0</v>
      </c>
      <c r="Y790" s="48">
        <f>データ!V787</f>
        <v>0</v>
      </c>
      <c r="Z790" s="39" t="str">
        <f>IF(OR($C790="総括",$C790="内訳書",$C790="内訳代価",$C790="明細書",$C790="明細代価",$C790="代価表",$C790="単価表"),データ!W787,"")</f>
        <v/>
      </c>
      <c r="AA790" s="11" t="str">
        <f t="shared" si="76"/>
        <v/>
      </c>
      <c r="AB790" s="46" t="e">
        <f t="shared" si="77"/>
        <v>#DIV/0!</v>
      </c>
      <c r="AC790" s="40" t="str">
        <f>IF(データ!X787="","",データ!X787)</f>
        <v/>
      </c>
      <c r="AD790" s="41" t="str">
        <f>IF(データ!Y787="","",データ!Y787)</f>
        <v/>
      </c>
      <c r="AE790" s="47" t="str">
        <f>TRIM(データ!B787)</f>
        <v/>
      </c>
      <c r="AF790" s="43" t="str">
        <f>TRIM(データ!Z787)</f>
        <v/>
      </c>
    </row>
    <row r="791" spans="1:32" x14ac:dyDescent="0.15">
      <c r="A791" s="47">
        <f>データ!A788</f>
        <v>1</v>
      </c>
      <c r="B791" s="47" t="str">
        <f>TRIM(データ!C788)</f>
        <v/>
      </c>
      <c r="C791" s="47" t="str">
        <f>TRIM(データ!D788)</f>
        <v>内訳書</v>
      </c>
      <c r="D791" s="36" t="str">
        <f>REPT("｜",$A791)&amp;TRIM(データ!E788)</f>
        <v>｜浄化槽設置</v>
      </c>
      <c r="E791" s="37" t="str">
        <f>TRIM(データ!F788)</f>
        <v>埋戻し</v>
      </c>
      <c r="F791" s="38" t="str">
        <f>TRIM(データ!G788)</f>
        <v>式</v>
      </c>
      <c r="G791" s="50">
        <f>データ!H788</f>
        <v>1</v>
      </c>
      <c r="H791" s="48">
        <f>データ!I788</f>
        <v>127800</v>
      </c>
      <c r="I791" s="48">
        <f>データ!J788</f>
        <v>127800</v>
      </c>
      <c r="J791" s="39">
        <f>IF(OR($C791="総括",$C791="内訳書",$C791="内訳代価",$C791="明細書",$C791="明細代価",$C791="代価表",$C791="単価表"),データ!K788,"")</f>
        <v>1</v>
      </c>
      <c r="K791" s="11" t="str">
        <f t="shared" si="72"/>
        <v/>
      </c>
      <c r="L791" s="46">
        <f t="shared" si="73"/>
        <v>1.8400933005053776E-3</v>
      </c>
      <c r="M791" s="40" t="str">
        <f>IF(データ!L788="","",データ!L788)</f>
        <v/>
      </c>
      <c r="N791" s="41" t="str">
        <f>IF(データ!M788="","",データ!M788)</f>
        <v>102号内訳書</v>
      </c>
      <c r="O791" s="42">
        <f>データ!N788</f>
        <v>0</v>
      </c>
      <c r="P791" s="48">
        <f>IF($C791="集計行","",データ!O788)</f>
        <v>0</v>
      </c>
      <c r="Q791" s="48">
        <f>データ!P788</f>
        <v>0</v>
      </c>
      <c r="R791" s="39">
        <f>IF(OR($C791="総括",$C791="内訳書",$C791="内訳代価",$C791="明細書",$C791="明細代価",$C791="代価表",$C791="単価表"),データ!Q788,"")</f>
        <v>0</v>
      </c>
      <c r="S791" s="11" t="str">
        <f t="shared" si="74"/>
        <v/>
      </c>
      <c r="T791" s="46" t="e">
        <f t="shared" si="75"/>
        <v>#DIV/0!</v>
      </c>
      <c r="U791" s="40" t="str">
        <f>IF(データ!R788="","",データ!R788)</f>
        <v/>
      </c>
      <c r="V791" s="41" t="str">
        <f>IF(データ!S788="","",データ!S788)</f>
        <v/>
      </c>
      <c r="W791" s="42">
        <f>データ!T788</f>
        <v>0</v>
      </c>
      <c r="X791" s="48">
        <f>IF($C791="集計行","",データ!U788)</f>
        <v>0</v>
      </c>
      <c r="Y791" s="48">
        <f>データ!V788</f>
        <v>0</v>
      </c>
      <c r="Z791" s="39">
        <f>IF(OR($C791="総括",$C791="内訳書",$C791="内訳代価",$C791="明細書",$C791="明細代価",$C791="代価表",$C791="単価表"),データ!W788,"")</f>
        <v>0</v>
      </c>
      <c r="AA791" s="11" t="str">
        <f t="shared" si="76"/>
        <v/>
      </c>
      <c r="AB791" s="46" t="e">
        <f t="shared" si="77"/>
        <v>#DIV/0!</v>
      </c>
      <c r="AC791" s="40" t="str">
        <f>IF(データ!X788="","",データ!X788)</f>
        <v/>
      </c>
      <c r="AD791" s="41" t="str">
        <f>IF(データ!Y788="","",データ!Y788)</f>
        <v/>
      </c>
      <c r="AE791" s="47" t="str">
        <f>TRIM(データ!B788)</f>
        <v/>
      </c>
      <c r="AF791" s="43" t="str">
        <f>TRIM(データ!Z788)</f>
        <v/>
      </c>
    </row>
    <row r="792" spans="1:32" x14ac:dyDescent="0.15">
      <c r="A792" s="47">
        <f>データ!A789</f>
        <v>2</v>
      </c>
      <c r="B792" s="47" t="str">
        <f>TRIM(データ!C789)</f>
        <v/>
      </c>
      <c r="C792" s="47" t="str">
        <f>TRIM(データ!D789)</f>
        <v/>
      </c>
      <c r="D792" s="36" t="str">
        <f>REPT("｜",$A792)&amp;TRIM(データ!E789)</f>
        <v>｜｜特殊作業員</v>
      </c>
      <c r="E792" s="37" t="str">
        <f>TRIM(データ!F789)</f>
        <v/>
      </c>
      <c r="F792" s="38" t="str">
        <f>TRIM(データ!G789)</f>
        <v>人</v>
      </c>
      <c r="G792" s="50">
        <f>データ!H789</f>
        <v>1</v>
      </c>
      <c r="H792" s="48">
        <f>データ!I789</f>
        <v>25000</v>
      </c>
      <c r="I792" s="48">
        <f>データ!J789</f>
        <v>25000</v>
      </c>
      <c r="J792" s="39" t="str">
        <f>IF(OR($C792="総括",$C792="内訳書",$C792="内訳代価",$C792="明細書",$C792="明細代価",$C792="代価表",$C792="単価表"),データ!K789,"")</f>
        <v/>
      </c>
      <c r="K792" s="11" t="str">
        <f t="shared" si="72"/>
        <v/>
      </c>
      <c r="L792" s="46">
        <f t="shared" si="73"/>
        <v>3.599556534634933E-4</v>
      </c>
      <c r="M792" s="40" t="str">
        <f>IF(データ!L789="","",データ!L789)</f>
        <v/>
      </c>
      <c r="N792" s="41" t="str">
        <f>IF(データ!M789="","",データ!M789)</f>
        <v/>
      </c>
      <c r="O792" s="42">
        <f>データ!N789</f>
        <v>0</v>
      </c>
      <c r="P792" s="48">
        <f>IF($C792="集計行","",データ!O789)</f>
        <v>0</v>
      </c>
      <c r="Q792" s="48">
        <f>データ!P789</f>
        <v>0</v>
      </c>
      <c r="R792" s="39" t="str">
        <f>IF(OR($C792="総括",$C792="内訳書",$C792="内訳代価",$C792="明細書",$C792="明細代価",$C792="代価表",$C792="単価表"),データ!Q789,"")</f>
        <v/>
      </c>
      <c r="S792" s="11" t="str">
        <f t="shared" si="74"/>
        <v/>
      </c>
      <c r="T792" s="46" t="e">
        <f t="shared" si="75"/>
        <v>#DIV/0!</v>
      </c>
      <c r="U792" s="40" t="str">
        <f>IF(データ!R789="","",データ!R789)</f>
        <v/>
      </c>
      <c r="V792" s="41" t="str">
        <f>IF(データ!S789="","",データ!S789)</f>
        <v/>
      </c>
      <c r="W792" s="42">
        <f>データ!T789</f>
        <v>0</v>
      </c>
      <c r="X792" s="48">
        <f>IF($C792="集計行","",データ!U789)</f>
        <v>0</v>
      </c>
      <c r="Y792" s="48">
        <f>データ!V789</f>
        <v>0</v>
      </c>
      <c r="Z792" s="39" t="str">
        <f>IF(OR($C792="総括",$C792="内訳書",$C792="内訳代価",$C792="明細書",$C792="明細代価",$C792="代価表",$C792="単価表"),データ!W789,"")</f>
        <v/>
      </c>
      <c r="AA792" s="11" t="str">
        <f t="shared" si="76"/>
        <v/>
      </c>
      <c r="AB792" s="46" t="e">
        <f t="shared" si="77"/>
        <v>#DIV/0!</v>
      </c>
      <c r="AC792" s="40" t="str">
        <f>IF(データ!X789="","",データ!X789)</f>
        <v/>
      </c>
      <c r="AD792" s="41" t="str">
        <f>IF(データ!Y789="","",データ!Y789)</f>
        <v/>
      </c>
      <c r="AE792" s="47" t="str">
        <f>TRIM(データ!B789)</f>
        <v/>
      </c>
      <c r="AF792" s="43" t="str">
        <f>TRIM(データ!Z789)</f>
        <v/>
      </c>
    </row>
    <row r="793" spans="1:32" x14ac:dyDescent="0.15">
      <c r="A793" s="47">
        <f>データ!A790</f>
        <v>2</v>
      </c>
      <c r="B793" s="47" t="str">
        <f>TRIM(データ!C790)</f>
        <v/>
      </c>
      <c r="C793" s="47" t="str">
        <f>TRIM(データ!D790)</f>
        <v/>
      </c>
      <c r="D793" s="36" t="str">
        <f>REPT("｜",$A793)&amp;TRIM(データ!E790)</f>
        <v>｜｜普通作業員</v>
      </c>
      <c r="E793" s="37" t="str">
        <f>TRIM(データ!F790)</f>
        <v/>
      </c>
      <c r="F793" s="38" t="str">
        <f>TRIM(データ!G790)</f>
        <v>人</v>
      </c>
      <c r="G793" s="50">
        <f>データ!H790</f>
        <v>3</v>
      </c>
      <c r="H793" s="48">
        <f>データ!I790</f>
        <v>25000</v>
      </c>
      <c r="I793" s="48">
        <f>データ!J790</f>
        <v>75000</v>
      </c>
      <c r="J793" s="39" t="str">
        <f>IF(OR($C793="総括",$C793="内訳書",$C793="内訳代価",$C793="明細書",$C793="明細代価",$C793="代価表",$C793="単価表"),データ!K790,"")</f>
        <v/>
      </c>
      <c r="K793" s="11" t="str">
        <f t="shared" si="72"/>
        <v/>
      </c>
      <c r="L793" s="46">
        <f t="shared" si="73"/>
        <v>1.0798669603904799E-3</v>
      </c>
      <c r="M793" s="40" t="str">
        <f>IF(データ!L790="","",データ!L790)</f>
        <v/>
      </c>
      <c r="N793" s="41" t="str">
        <f>IF(データ!M790="","",データ!M790)</f>
        <v/>
      </c>
      <c r="O793" s="42">
        <f>データ!N790</f>
        <v>0</v>
      </c>
      <c r="P793" s="48">
        <f>IF($C793="集計行","",データ!O790)</f>
        <v>0</v>
      </c>
      <c r="Q793" s="48">
        <f>データ!P790</f>
        <v>0</v>
      </c>
      <c r="R793" s="39" t="str">
        <f>IF(OR($C793="総括",$C793="内訳書",$C793="内訳代価",$C793="明細書",$C793="明細代価",$C793="代価表",$C793="単価表"),データ!Q790,"")</f>
        <v/>
      </c>
      <c r="S793" s="11" t="str">
        <f t="shared" si="74"/>
        <v/>
      </c>
      <c r="T793" s="46" t="e">
        <f t="shared" si="75"/>
        <v>#DIV/0!</v>
      </c>
      <c r="U793" s="40" t="str">
        <f>IF(データ!R790="","",データ!R790)</f>
        <v/>
      </c>
      <c r="V793" s="41" t="str">
        <f>IF(データ!S790="","",データ!S790)</f>
        <v/>
      </c>
      <c r="W793" s="42">
        <f>データ!T790</f>
        <v>0</v>
      </c>
      <c r="X793" s="48">
        <f>IF($C793="集計行","",データ!U790)</f>
        <v>0</v>
      </c>
      <c r="Y793" s="48">
        <f>データ!V790</f>
        <v>0</v>
      </c>
      <c r="Z793" s="39" t="str">
        <f>IF(OR($C793="総括",$C793="内訳書",$C793="内訳代価",$C793="明細書",$C793="明細代価",$C793="代価表",$C793="単価表"),データ!W790,"")</f>
        <v/>
      </c>
      <c r="AA793" s="11" t="str">
        <f t="shared" si="76"/>
        <v/>
      </c>
      <c r="AB793" s="46" t="e">
        <f t="shared" si="77"/>
        <v>#DIV/0!</v>
      </c>
      <c r="AC793" s="40" t="str">
        <f>IF(データ!X790="","",データ!X790)</f>
        <v/>
      </c>
      <c r="AD793" s="41" t="str">
        <f>IF(データ!Y790="","",データ!Y790)</f>
        <v/>
      </c>
      <c r="AE793" s="47" t="str">
        <f>TRIM(データ!B790)</f>
        <v/>
      </c>
      <c r="AF793" s="43" t="str">
        <f>TRIM(データ!Z790)</f>
        <v/>
      </c>
    </row>
    <row r="794" spans="1:32" x14ac:dyDescent="0.15">
      <c r="A794" s="47">
        <f>データ!A791</f>
        <v>2</v>
      </c>
      <c r="B794" s="47" t="str">
        <f>TRIM(データ!C791)</f>
        <v/>
      </c>
      <c r="C794" s="47" t="str">
        <f>TRIM(データ!D791)</f>
        <v/>
      </c>
      <c r="D794" s="36" t="str">
        <f>REPT("｜",$A794)&amp;TRIM(データ!E791)</f>
        <v>｜｜ダンプトラック</v>
      </c>
      <c r="E794" s="37" t="str">
        <f>TRIM(データ!F791)</f>
        <v/>
      </c>
      <c r="F794" s="38" t="str">
        <f>TRIM(データ!G791)</f>
        <v>台</v>
      </c>
      <c r="G794" s="50">
        <f>データ!H791</f>
        <v>1</v>
      </c>
      <c r="H794" s="48">
        <f>データ!I791</f>
        <v>15000</v>
      </c>
      <c r="I794" s="48">
        <f>データ!J791</f>
        <v>15000</v>
      </c>
      <c r="J794" s="39" t="str">
        <f>IF(OR($C794="総括",$C794="内訳書",$C794="内訳代価",$C794="明細書",$C794="明細代価",$C794="代価表",$C794="単価表"),データ!K791,"")</f>
        <v/>
      </c>
      <c r="K794" s="11" t="str">
        <f t="shared" si="72"/>
        <v/>
      </c>
      <c r="L794" s="46">
        <f t="shared" si="73"/>
        <v>2.1597339207809598E-4</v>
      </c>
      <c r="M794" s="40" t="str">
        <f>IF(データ!L791="","",データ!L791)</f>
        <v/>
      </c>
      <c r="N794" s="41" t="str">
        <f>IF(データ!M791="","",データ!M791)</f>
        <v/>
      </c>
      <c r="O794" s="42">
        <f>データ!N791</f>
        <v>0</v>
      </c>
      <c r="P794" s="48">
        <f>IF($C794="集計行","",データ!O791)</f>
        <v>0</v>
      </c>
      <c r="Q794" s="48">
        <f>データ!P791</f>
        <v>0</v>
      </c>
      <c r="R794" s="39" t="str">
        <f>IF(OR($C794="総括",$C794="内訳書",$C794="内訳代価",$C794="明細書",$C794="明細代価",$C794="代価表",$C794="単価表"),データ!Q791,"")</f>
        <v/>
      </c>
      <c r="S794" s="11" t="str">
        <f t="shared" si="74"/>
        <v/>
      </c>
      <c r="T794" s="46" t="e">
        <f t="shared" si="75"/>
        <v>#DIV/0!</v>
      </c>
      <c r="U794" s="40" t="str">
        <f>IF(データ!R791="","",データ!R791)</f>
        <v/>
      </c>
      <c r="V794" s="41" t="str">
        <f>IF(データ!S791="","",データ!S791)</f>
        <v/>
      </c>
      <c r="W794" s="42">
        <f>データ!T791</f>
        <v>0</v>
      </c>
      <c r="X794" s="48">
        <f>IF($C794="集計行","",データ!U791)</f>
        <v>0</v>
      </c>
      <c r="Y794" s="48">
        <f>データ!V791</f>
        <v>0</v>
      </c>
      <c r="Z794" s="39" t="str">
        <f>IF(OR($C794="総括",$C794="内訳書",$C794="内訳代価",$C794="明細書",$C794="明細代価",$C794="代価表",$C794="単価表"),データ!W791,"")</f>
        <v/>
      </c>
      <c r="AA794" s="11" t="str">
        <f t="shared" si="76"/>
        <v/>
      </c>
      <c r="AB794" s="46" t="e">
        <f t="shared" si="77"/>
        <v>#DIV/0!</v>
      </c>
      <c r="AC794" s="40" t="str">
        <f>IF(データ!X791="","",データ!X791)</f>
        <v/>
      </c>
      <c r="AD794" s="41" t="str">
        <f>IF(データ!Y791="","",データ!Y791)</f>
        <v/>
      </c>
      <c r="AE794" s="47" t="str">
        <f>TRIM(データ!B791)</f>
        <v/>
      </c>
      <c r="AF794" s="43" t="str">
        <f>TRIM(データ!Z791)</f>
        <v/>
      </c>
    </row>
    <row r="795" spans="1:32" x14ac:dyDescent="0.15">
      <c r="A795" s="47">
        <f>データ!A792</f>
        <v>2</v>
      </c>
      <c r="B795" s="47" t="str">
        <f>TRIM(データ!C792)</f>
        <v/>
      </c>
      <c r="C795" s="47" t="str">
        <f>TRIM(データ!D792)</f>
        <v/>
      </c>
      <c r="D795" s="36" t="str">
        <f>REPT("｜",$A795)&amp;TRIM(データ!E792)</f>
        <v>｜｜ランマ</v>
      </c>
      <c r="E795" s="37" t="str">
        <f>TRIM(データ!F792)</f>
        <v/>
      </c>
      <c r="F795" s="38" t="str">
        <f>TRIM(データ!G792)</f>
        <v>台</v>
      </c>
      <c r="G795" s="50">
        <f>データ!H792</f>
        <v>1</v>
      </c>
      <c r="H795" s="48">
        <f>データ!I792</f>
        <v>2000</v>
      </c>
      <c r="I795" s="48">
        <f>データ!J792</f>
        <v>2000</v>
      </c>
      <c r="J795" s="39" t="str">
        <f>IF(OR($C795="総括",$C795="内訳書",$C795="内訳代価",$C795="明細書",$C795="明細代価",$C795="代価表",$C795="単価表"),データ!K792,"")</f>
        <v/>
      </c>
      <c r="K795" s="11" t="str">
        <f t="shared" si="72"/>
        <v/>
      </c>
      <c r="L795" s="46">
        <f t="shared" si="73"/>
        <v>2.8796452277079463E-5</v>
      </c>
      <c r="M795" s="40" t="str">
        <f>IF(データ!L792="","",データ!L792)</f>
        <v/>
      </c>
      <c r="N795" s="41" t="str">
        <f>IF(データ!M792="","",データ!M792)</f>
        <v/>
      </c>
      <c r="O795" s="42">
        <f>データ!N792</f>
        <v>0</v>
      </c>
      <c r="P795" s="48">
        <f>IF($C795="集計行","",データ!O792)</f>
        <v>0</v>
      </c>
      <c r="Q795" s="48">
        <f>データ!P792</f>
        <v>0</v>
      </c>
      <c r="R795" s="39" t="str">
        <f>IF(OR($C795="総括",$C795="内訳書",$C795="内訳代価",$C795="明細書",$C795="明細代価",$C795="代価表",$C795="単価表"),データ!Q792,"")</f>
        <v/>
      </c>
      <c r="S795" s="11" t="str">
        <f t="shared" si="74"/>
        <v/>
      </c>
      <c r="T795" s="46" t="e">
        <f t="shared" si="75"/>
        <v>#DIV/0!</v>
      </c>
      <c r="U795" s="40" t="str">
        <f>IF(データ!R792="","",データ!R792)</f>
        <v/>
      </c>
      <c r="V795" s="41" t="str">
        <f>IF(データ!S792="","",データ!S792)</f>
        <v/>
      </c>
      <c r="W795" s="42">
        <f>データ!T792</f>
        <v>0</v>
      </c>
      <c r="X795" s="48">
        <f>IF($C795="集計行","",データ!U792)</f>
        <v>0</v>
      </c>
      <c r="Y795" s="48">
        <f>データ!V792</f>
        <v>0</v>
      </c>
      <c r="Z795" s="39" t="str">
        <f>IF(OR($C795="総括",$C795="内訳書",$C795="内訳代価",$C795="明細書",$C795="明細代価",$C795="代価表",$C795="単価表"),データ!W792,"")</f>
        <v/>
      </c>
      <c r="AA795" s="11" t="str">
        <f t="shared" si="76"/>
        <v/>
      </c>
      <c r="AB795" s="46" t="e">
        <f t="shared" si="77"/>
        <v>#DIV/0!</v>
      </c>
      <c r="AC795" s="40" t="str">
        <f>IF(データ!X792="","",データ!X792)</f>
        <v/>
      </c>
      <c r="AD795" s="41" t="str">
        <f>IF(データ!Y792="","",データ!Y792)</f>
        <v/>
      </c>
      <c r="AE795" s="47" t="str">
        <f>TRIM(データ!B792)</f>
        <v/>
      </c>
      <c r="AF795" s="43" t="str">
        <f>TRIM(データ!Z792)</f>
        <v/>
      </c>
    </row>
    <row r="796" spans="1:32" x14ac:dyDescent="0.15">
      <c r="A796" s="47">
        <f>データ!A793</f>
        <v>2</v>
      </c>
      <c r="B796" s="47" t="str">
        <f>TRIM(データ!C793)</f>
        <v/>
      </c>
      <c r="C796" s="47" t="str">
        <f>TRIM(データ!D793)</f>
        <v/>
      </c>
      <c r="D796" s="36" t="str">
        <f>REPT("｜",$A796)&amp;TRIM(データ!E793)</f>
        <v>｜｜再生砂</v>
      </c>
      <c r="E796" s="37" t="str">
        <f>TRIM(データ!F793)</f>
        <v/>
      </c>
      <c r="F796" s="38" t="str">
        <f>TRIM(データ!G793)</f>
        <v>m3</v>
      </c>
      <c r="G796" s="50">
        <f>データ!H793</f>
        <v>9</v>
      </c>
      <c r="H796" s="48">
        <f>データ!I793</f>
        <v>1200</v>
      </c>
      <c r="I796" s="48">
        <f>データ!J793</f>
        <v>10800</v>
      </c>
      <c r="J796" s="39" t="str">
        <f>IF(OR($C796="総括",$C796="内訳書",$C796="内訳代価",$C796="明細書",$C796="明細代価",$C796="代価表",$C796="単価表"),データ!K793,"")</f>
        <v/>
      </c>
      <c r="K796" s="11" t="str">
        <f t="shared" si="72"/>
        <v/>
      </c>
      <c r="L796" s="46">
        <f t="shared" si="73"/>
        <v>1.5550084229622911E-4</v>
      </c>
      <c r="M796" s="40" t="str">
        <f>IF(データ!L793="","",データ!L793)</f>
        <v/>
      </c>
      <c r="N796" s="41" t="str">
        <f>IF(データ!M793="","",データ!M793)</f>
        <v/>
      </c>
      <c r="O796" s="42">
        <f>データ!N793</f>
        <v>0</v>
      </c>
      <c r="P796" s="48">
        <f>IF($C796="集計行","",データ!O793)</f>
        <v>0</v>
      </c>
      <c r="Q796" s="48">
        <f>データ!P793</f>
        <v>0</v>
      </c>
      <c r="R796" s="39" t="str">
        <f>IF(OR($C796="総括",$C796="内訳書",$C796="内訳代価",$C796="明細書",$C796="明細代価",$C796="代価表",$C796="単価表"),データ!Q793,"")</f>
        <v/>
      </c>
      <c r="S796" s="11" t="str">
        <f t="shared" si="74"/>
        <v/>
      </c>
      <c r="T796" s="46" t="e">
        <f t="shared" si="75"/>
        <v>#DIV/0!</v>
      </c>
      <c r="U796" s="40" t="str">
        <f>IF(データ!R793="","",データ!R793)</f>
        <v/>
      </c>
      <c r="V796" s="41" t="str">
        <f>IF(データ!S793="","",データ!S793)</f>
        <v/>
      </c>
      <c r="W796" s="42">
        <f>データ!T793</f>
        <v>0</v>
      </c>
      <c r="X796" s="48">
        <f>IF($C796="集計行","",データ!U793)</f>
        <v>0</v>
      </c>
      <c r="Y796" s="48">
        <f>データ!V793</f>
        <v>0</v>
      </c>
      <c r="Z796" s="39" t="str">
        <f>IF(OR($C796="総括",$C796="内訳書",$C796="内訳代価",$C796="明細書",$C796="明細代価",$C796="代価表",$C796="単価表"),データ!W793,"")</f>
        <v/>
      </c>
      <c r="AA796" s="11" t="str">
        <f t="shared" si="76"/>
        <v/>
      </c>
      <c r="AB796" s="46" t="e">
        <f t="shared" si="77"/>
        <v>#DIV/0!</v>
      </c>
      <c r="AC796" s="40" t="str">
        <f>IF(データ!X793="","",データ!X793)</f>
        <v/>
      </c>
      <c r="AD796" s="41" t="str">
        <f>IF(データ!Y793="","",データ!Y793)</f>
        <v/>
      </c>
      <c r="AE796" s="47" t="str">
        <f>TRIM(データ!B793)</f>
        <v/>
      </c>
      <c r="AF796" s="43" t="str">
        <f>TRIM(データ!Z793)</f>
        <v/>
      </c>
    </row>
    <row r="797" spans="1:32" x14ac:dyDescent="0.15">
      <c r="A797" s="47">
        <f>データ!A794</f>
        <v>1</v>
      </c>
      <c r="B797" s="47" t="str">
        <f>TRIM(データ!C794)</f>
        <v/>
      </c>
      <c r="C797" s="47" t="str">
        <f>TRIM(データ!D794)</f>
        <v>内訳書</v>
      </c>
      <c r="D797" s="36" t="str">
        <f>REPT("｜",$A797)&amp;TRIM(データ!E794)</f>
        <v>｜浄化槽設置</v>
      </c>
      <c r="E797" s="37" t="str">
        <f>TRIM(データ!F794)</f>
        <v>スラブ型枠</v>
      </c>
      <c r="F797" s="38" t="str">
        <f>TRIM(データ!G794)</f>
        <v>式</v>
      </c>
      <c r="G797" s="50">
        <f>データ!H794</f>
        <v>1</v>
      </c>
      <c r="H797" s="48">
        <f>データ!I794</f>
        <v>25000</v>
      </c>
      <c r="I797" s="48">
        <f>データ!J794</f>
        <v>25000</v>
      </c>
      <c r="J797" s="39">
        <f>IF(OR($C797="総括",$C797="内訳書",$C797="内訳代価",$C797="明細書",$C797="明細代価",$C797="代価表",$C797="単価表"),データ!K794,"")</f>
        <v>1</v>
      </c>
      <c r="K797" s="11" t="str">
        <f t="shared" si="72"/>
        <v/>
      </c>
      <c r="L797" s="46">
        <f t="shared" si="73"/>
        <v>3.599556534634933E-4</v>
      </c>
      <c r="M797" s="40" t="str">
        <f>IF(データ!L794="","",データ!L794)</f>
        <v/>
      </c>
      <c r="N797" s="41" t="str">
        <f>IF(データ!M794="","",データ!M794)</f>
        <v>103号内訳書</v>
      </c>
      <c r="O797" s="42">
        <f>データ!N794</f>
        <v>0</v>
      </c>
      <c r="P797" s="48">
        <f>IF($C797="集計行","",データ!O794)</f>
        <v>0</v>
      </c>
      <c r="Q797" s="48">
        <f>データ!P794</f>
        <v>0</v>
      </c>
      <c r="R797" s="39">
        <f>IF(OR($C797="総括",$C797="内訳書",$C797="内訳代価",$C797="明細書",$C797="明細代価",$C797="代価表",$C797="単価表"),データ!Q794,"")</f>
        <v>0</v>
      </c>
      <c r="S797" s="11" t="str">
        <f t="shared" si="74"/>
        <v/>
      </c>
      <c r="T797" s="46" t="e">
        <f t="shared" si="75"/>
        <v>#DIV/0!</v>
      </c>
      <c r="U797" s="40" t="str">
        <f>IF(データ!R794="","",データ!R794)</f>
        <v/>
      </c>
      <c r="V797" s="41" t="str">
        <f>IF(データ!S794="","",データ!S794)</f>
        <v/>
      </c>
      <c r="W797" s="42">
        <f>データ!T794</f>
        <v>0</v>
      </c>
      <c r="X797" s="48">
        <f>IF($C797="集計行","",データ!U794)</f>
        <v>0</v>
      </c>
      <c r="Y797" s="48">
        <f>データ!V794</f>
        <v>0</v>
      </c>
      <c r="Z797" s="39">
        <f>IF(OR($C797="総括",$C797="内訳書",$C797="内訳代価",$C797="明細書",$C797="明細代価",$C797="代価表",$C797="単価表"),データ!W794,"")</f>
        <v>0</v>
      </c>
      <c r="AA797" s="11" t="str">
        <f t="shared" si="76"/>
        <v/>
      </c>
      <c r="AB797" s="46" t="e">
        <f t="shared" si="77"/>
        <v>#DIV/0!</v>
      </c>
      <c r="AC797" s="40" t="str">
        <f>IF(データ!X794="","",データ!X794)</f>
        <v/>
      </c>
      <c r="AD797" s="41" t="str">
        <f>IF(データ!Y794="","",データ!Y794)</f>
        <v/>
      </c>
      <c r="AE797" s="47" t="str">
        <f>TRIM(データ!B794)</f>
        <v/>
      </c>
      <c r="AF797" s="43" t="str">
        <f>TRIM(データ!Z794)</f>
        <v/>
      </c>
    </row>
    <row r="798" spans="1:32" x14ac:dyDescent="0.15">
      <c r="A798" s="47">
        <f>データ!A795</f>
        <v>2</v>
      </c>
      <c r="B798" s="47" t="str">
        <f>TRIM(データ!C795)</f>
        <v/>
      </c>
      <c r="C798" s="47" t="str">
        <f>TRIM(データ!D795)</f>
        <v>労務費</v>
      </c>
      <c r="D798" s="36" t="str">
        <f>REPT("｜",$A798)&amp;TRIM(データ!E795)</f>
        <v>｜｜普通作業員</v>
      </c>
      <c r="E798" s="37" t="str">
        <f>TRIM(データ!F795)</f>
        <v/>
      </c>
      <c r="F798" s="38" t="str">
        <f>TRIM(データ!G795)</f>
        <v>人</v>
      </c>
      <c r="G798" s="50">
        <f>データ!H795</f>
        <v>1</v>
      </c>
      <c r="H798" s="48">
        <f>データ!I795</f>
        <v>25000</v>
      </c>
      <c r="I798" s="48">
        <f>データ!J795</f>
        <v>25000</v>
      </c>
      <c r="J798" s="39" t="str">
        <f>IF(OR($C798="総括",$C798="内訳書",$C798="内訳代価",$C798="明細書",$C798="明細代価",$C798="代価表",$C798="単価表"),データ!K795,"")</f>
        <v/>
      </c>
      <c r="K798" s="11" t="str">
        <f t="shared" si="72"/>
        <v/>
      </c>
      <c r="L798" s="46">
        <f t="shared" si="73"/>
        <v>3.599556534634933E-4</v>
      </c>
      <c r="M798" s="40" t="str">
        <f>IF(データ!L795="","",データ!L795)</f>
        <v/>
      </c>
      <c r="N798" s="41" t="str">
        <f>IF(データ!M795="","",データ!M795)</f>
        <v/>
      </c>
      <c r="O798" s="42">
        <f>データ!N795</f>
        <v>0</v>
      </c>
      <c r="P798" s="48">
        <f>IF($C798="集計行","",データ!O795)</f>
        <v>0</v>
      </c>
      <c r="Q798" s="48">
        <f>データ!P795</f>
        <v>0</v>
      </c>
      <c r="R798" s="39" t="str">
        <f>IF(OR($C798="総括",$C798="内訳書",$C798="内訳代価",$C798="明細書",$C798="明細代価",$C798="代価表",$C798="単価表"),データ!Q795,"")</f>
        <v/>
      </c>
      <c r="S798" s="11" t="str">
        <f t="shared" si="74"/>
        <v/>
      </c>
      <c r="T798" s="46" t="e">
        <f t="shared" si="75"/>
        <v>#DIV/0!</v>
      </c>
      <c r="U798" s="40" t="str">
        <f>IF(データ!R795="","",データ!R795)</f>
        <v/>
      </c>
      <c r="V798" s="41" t="str">
        <f>IF(データ!S795="","",データ!S795)</f>
        <v/>
      </c>
      <c r="W798" s="42">
        <f>データ!T795</f>
        <v>0</v>
      </c>
      <c r="X798" s="48">
        <f>IF($C798="集計行","",データ!U795)</f>
        <v>0</v>
      </c>
      <c r="Y798" s="48">
        <f>データ!V795</f>
        <v>0</v>
      </c>
      <c r="Z798" s="39" t="str">
        <f>IF(OR($C798="総括",$C798="内訳書",$C798="内訳代価",$C798="明細書",$C798="明細代価",$C798="代価表",$C798="単価表"),データ!W795,"")</f>
        <v/>
      </c>
      <c r="AA798" s="11" t="str">
        <f t="shared" si="76"/>
        <v/>
      </c>
      <c r="AB798" s="46" t="e">
        <f t="shared" si="77"/>
        <v>#DIV/0!</v>
      </c>
      <c r="AC798" s="40" t="str">
        <f>IF(データ!X795="","",データ!X795)</f>
        <v/>
      </c>
      <c r="AD798" s="41" t="str">
        <f>IF(データ!Y795="","",データ!Y795)</f>
        <v/>
      </c>
      <c r="AE798" s="47" t="str">
        <f>TRIM(データ!B795)</f>
        <v/>
      </c>
      <c r="AF798" s="43" t="str">
        <f>TRIM(データ!Z795)</f>
        <v/>
      </c>
    </row>
    <row r="799" spans="1:32" x14ac:dyDescent="0.15">
      <c r="A799" s="47">
        <f>データ!A796</f>
        <v>1</v>
      </c>
      <c r="B799" s="47" t="str">
        <f>TRIM(データ!C796)</f>
        <v/>
      </c>
      <c r="C799" s="47" t="str">
        <f>TRIM(データ!D796)</f>
        <v>内訳書</v>
      </c>
      <c r="D799" s="36" t="str">
        <f>REPT("｜",$A799)&amp;TRIM(データ!E796)</f>
        <v>｜浄化槽設置</v>
      </c>
      <c r="E799" s="37" t="str">
        <f>TRIM(データ!F796)</f>
        <v>生コン打設</v>
      </c>
      <c r="F799" s="38" t="str">
        <f>TRIM(データ!G796)</f>
        <v>式</v>
      </c>
      <c r="G799" s="50">
        <f>データ!H796</f>
        <v>1</v>
      </c>
      <c r="H799" s="48">
        <f>データ!I796</f>
        <v>97500</v>
      </c>
      <c r="I799" s="48">
        <f>データ!J796</f>
        <v>97500</v>
      </c>
      <c r="J799" s="39">
        <f>IF(OR($C799="総括",$C799="内訳書",$C799="内訳代価",$C799="明細書",$C799="明細代価",$C799="代価表",$C799="単価表"),データ!K796,"")</f>
        <v>1</v>
      </c>
      <c r="K799" s="11" t="str">
        <f t="shared" si="72"/>
        <v/>
      </c>
      <c r="L799" s="46">
        <f t="shared" si="73"/>
        <v>1.4038270485076238E-3</v>
      </c>
      <c r="M799" s="40" t="str">
        <f>IF(データ!L796="","",データ!L796)</f>
        <v/>
      </c>
      <c r="N799" s="41" t="str">
        <f>IF(データ!M796="","",データ!M796)</f>
        <v>104号内訳書</v>
      </c>
      <c r="O799" s="42">
        <f>データ!N796</f>
        <v>0</v>
      </c>
      <c r="P799" s="48">
        <f>IF($C799="集計行","",データ!O796)</f>
        <v>0</v>
      </c>
      <c r="Q799" s="48">
        <f>データ!P796</f>
        <v>0</v>
      </c>
      <c r="R799" s="39">
        <f>IF(OR($C799="総括",$C799="内訳書",$C799="内訳代価",$C799="明細書",$C799="明細代価",$C799="代価表",$C799="単価表"),データ!Q796,"")</f>
        <v>0</v>
      </c>
      <c r="S799" s="11" t="str">
        <f t="shared" si="74"/>
        <v/>
      </c>
      <c r="T799" s="46" t="e">
        <f t="shared" si="75"/>
        <v>#DIV/0!</v>
      </c>
      <c r="U799" s="40" t="str">
        <f>IF(データ!R796="","",データ!R796)</f>
        <v/>
      </c>
      <c r="V799" s="41" t="str">
        <f>IF(データ!S796="","",データ!S796)</f>
        <v/>
      </c>
      <c r="W799" s="42">
        <f>データ!T796</f>
        <v>0</v>
      </c>
      <c r="X799" s="48">
        <f>IF($C799="集計行","",データ!U796)</f>
        <v>0</v>
      </c>
      <c r="Y799" s="48">
        <f>データ!V796</f>
        <v>0</v>
      </c>
      <c r="Z799" s="39">
        <f>IF(OR($C799="総括",$C799="内訳書",$C799="内訳代価",$C799="明細書",$C799="明細代価",$C799="代価表",$C799="単価表"),データ!W796,"")</f>
        <v>0</v>
      </c>
      <c r="AA799" s="11" t="str">
        <f t="shared" si="76"/>
        <v/>
      </c>
      <c r="AB799" s="46" t="e">
        <f t="shared" si="77"/>
        <v>#DIV/0!</v>
      </c>
      <c r="AC799" s="40" t="str">
        <f>IF(データ!X796="","",データ!X796)</f>
        <v/>
      </c>
      <c r="AD799" s="41" t="str">
        <f>IF(データ!Y796="","",データ!Y796)</f>
        <v/>
      </c>
      <c r="AE799" s="47" t="str">
        <f>TRIM(データ!B796)</f>
        <v/>
      </c>
      <c r="AF799" s="43" t="str">
        <f>TRIM(データ!Z796)</f>
        <v/>
      </c>
    </row>
    <row r="800" spans="1:32" x14ac:dyDescent="0.15">
      <c r="A800" s="47">
        <f>データ!A797</f>
        <v>2</v>
      </c>
      <c r="B800" s="47" t="str">
        <f>TRIM(データ!C797)</f>
        <v/>
      </c>
      <c r="C800" s="47" t="str">
        <f>TRIM(データ!D797)</f>
        <v>労務費</v>
      </c>
      <c r="D800" s="36" t="str">
        <f>REPT("｜",$A800)&amp;TRIM(データ!E797)</f>
        <v>｜｜特殊作業員</v>
      </c>
      <c r="E800" s="37" t="str">
        <f>TRIM(データ!F797)</f>
        <v/>
      </c>
      <c r="F800" s="38" t="str">
        <f>TRIM(データ!G797)</f>
        <v>人</v>
      </c>
      <c r="G800" s="50">
        <f>データ!H797</f>
        <v>0.5</v>
      </c>
      <c r="H800" s="48">
        <f>データ!I797</f>
        <v>25000</v>
      </c>
      <c r="I800" s="48">
        <f>データ!J797</f>
        <v>12500</v>
      </c>
      <c r="J800" s="39" t="str">
        <f>IF(OR($C800="総括",$C800="内訳書",$C800="内訳代価",$C800="明細書",$C800="明細代価",$C800="代価表",$C800="単価表"),データ!K797,"")</f>
        <v/>
      </c>
      <c r="K800" s="11" t="str">
        <f t="shared" si="72"/>
        <v/>
      </c>
      <c r="L800" s="46">
        <f t="shared" si="73"/>
        <v>1.7997782673174665E-4</v>
      </c>
      <c r="M800" s="40" t="str">
        <f>IF(データ!L797="","",データ!L797)</f>
        <v/>
      </c>
      <c r="N800" s="41" t="str">
        <f>IF(データ!M797="","",データ!M797)</f>
        <v/>
      </c>
      <c r="O800" s="42">
        <f>データ!N797</f>
        <v>0</v>
      </c>
      <c r="P800" s="48">
        <f>IF($C800="集計行","",データ!O797)</f>
        <v>0</v>
      </c>
      <c r="Q800" s="48">
        <f>データ!P797</f>
        <v>0</v>
      </c>
      <c r="R800" s="39" t="str">
        <f>IF(OR($C800="総括",$C800="内訳書",$C800="内訳代価",$C800="明細書",$C800="明細代価",$C800="代価表",$C800="単価表"),データ!Q797,"")</f>
        <v/>
      </c>
      <c r="S800" s="11" t="str">
        <f t="shared" si="74"/>
        <v/>
      </c>
      <c r="T800" s="46" t="e">
        <f t="shared" si="75"/>
        <v>#DIV/0!</v>
      </c>
      <c r="U800" s="40" t="str">
        <f>IF(データ!R797="","",データ!R797)</f>
        <v/>
      </c>
      <c r="V800" s="41" t="str">
        <f>IF(データ!S797="","",データ!S797)</f>
        <v/>
      </c>
      <c r="W800" s="42">
        <f>データ!T797</f>
        <v>0</v>
      </c>
      <c r="X800" s="48">
        <f>IF($C800="集計行","",データ!U797)</f>
        <v>0</v>
      </c>
      <c r="Y800" s="48">
        <f>データ!V797</f>
        <v>0</v>
      </c>
      <c r="Z800" s="39" t="str">
        <f>IF(OR($C800="総括",$C800="内訳書",$C800="内訳代価",$C800="明細書",$C800="明細代価",$C800="代価表",$C800="単価表"),データ!W797,"")</f>
        <v/>
      </c>
      <c r="AA800" s="11" t="str">
        <f t="shared" si="76"/>
        <v/>
      </c>
      <c r="AB800" s="46" t="e">
        <f t="shared" si="77"/>
        <v>#DIV/0!</v>
      </c>
      <c r="AC800" s="40" t="str">
        <f>IF(データ!X797="","",データ!X797)</f>
        <v/>
      </c>
      <c r="AD800" s="41" t="str">
        <f>IF(データ!Y797="","",データ!Y797)</f>
        <v/>
      </c>
      <c r="AE800" s="47" t="str">
        <f>TRIM(データ!B797)</f>
        <v/>
      </c>
      <c r="AF800" s="43" t="str">
        <f>TRIM(データ!Z797)</f>
        <v/>
      </c>
    </row>
    <row r="801" spans="1:32" x14ac:dyDescent="0.15">
      <c r="A801" s="47">
        <f>データ!A798</f>
        <v>2</v>
      </c>
      <c r="B801" s="47" t="str">
        <f>TRIM(データ!C798)</f>
        <v/>
      </c>
      <c r="C801" s="47" t="str">
        <f>TRIM(データ!D798)</f>
        <v>労務費</v>
      </c>
      <c r="D801" s="36" t="str">
        <f>REPT("｜",$A801)&amp;TRIM(データ!E798)</f>
        <v>｜｜普通作業員</v>
      </c>
      <c r="E801" s="37" t="str">
        <f>TRIM(データ!F798)</f>
        <v/>
      </c>
      <c r="F801" s="38" t="str">
        <f>TRIM(データ!G798)</f>
        <v>人</v>
      </c>
      <c r="G801" s="50">
        <f>データ!H798</f>
        <v>3</v>
      </c>
      <c r="H801" s="48">
        <f>データ!I798</f>
        <v>25000</v>
      </c>
      <c r="I801" s="48">
        <f>データ!J798</f>
        <v>75000</v>
      </c>
      <c r="J801" s="39" t="str">
        <f>IF(OR($C801="総括",$C801="内訳書",$C801="内訳代価",$C801="明細書",$C801="明細代価",$C801="代価表",$C801="単価表"),データ!K798,"")</f>
        <v/>
      </c>
      <c r="K801" s="11" t="str">
        <f t="shared" si="72"/>
        <v/>
      </c>
      <c r="L801" s="46">
        <f t="shared" si="73"/>
        <v>1.0798669603904799E-3</v>
      </c>
      <c r="M801" s="40" t="str">
        <f>IF(データ!L798="","",データ!L798)</f>
        <v/>
      </c>
      <c r="N801" s="41" t="str">
        <f>IF(データ!M798="","",データ!M798)</f>
        <v/>
      </c>
      <c r="O801" s="42">
        <f>データ!N798</f>
        <v>0</v>
      </c>
      <c r="P801" s="48">
        <f>IF($C801="集計行","",データ!O798)</f>
        <v>0</v>
      </c>
      <c r="Q801" s="48">
        <f>データ!P798</f>
        <v>0</v>
      </c>
      <c r="R801" s="39" t="str">
        <f>IF(OR($C801="総括",$C801="内訳書",$C801="内訳代価",$C801="明細書",$C801="明細代価",$C801="代価表",$C801="単価表"),データ!Q798,"")</f>
        <v/>
      </c>
      <c r="S801" s="11" t="str">
        <f t="shared" si="74"/>
        <v/>
      </c>
      <c r="T801" s="46" t="e">
        <f t="shared" si="75"/>
        <v>#DIV/0!</v>
      </c>
      <c r="U801" s="40" t="str">
        <f>IF(データ!R798="","",データ!R798)</f>
        <v/>
      </c>
      <c r="V801" s="41" t="str">
        <f>IF(データ!S798="","",データ!S798)</f>
        <v/>
      </c>
      <c r="W801" s="42">
        <f>データ!T798</f>
        <v>0</v>
      </c>
      <c r="X801" s="48">
        <f>IF($C801="集計行","",データ!U798)</f>
        <v>0</v>
      </c>
      <c r="Y801" s="48">
        <f>データ!V798</f>
        <v>0</v>
      </c>
      <c r="Z801" s="39" t="str">
        <f>IF(OR($C801="総括",$C801="内訳書",$C801="内訳代価",$C801="明細書",$C801="明細代価",$C801="代価表",$C801="単価表"),データ!W798,"")</f>
        <v/>
      </c>
      <c r="AA801" s="11" t="str">
        <f t="shared" si="76"/>
        <v/>
      </c>
      <c r="AB801" s="46" t="e">
        <f t="shared" si="77"/>
        <v>#DIV/0!</v>
      </c>
      <c r="AC801" s="40" t="str">
        <f>IF(データ!X798="","",データ!X798)</f>
        <v/>
      </c>
      <c r="AD801" s="41" t="str">
        <f>IF(データ!Y798="","",データ!Y798)</f>
        <v/>
      </c>
      <c r="AE801" s="47" t="str">
        <f>TRIM(データ!B798)</f>
        <v/>
      </c>
      <c r="AF801" s="43" t="str">
        <f>TRIM(データ!Z798)</f>
        <v/>
      </c>
    </row>
    <row r="802" spans="1:32" x14ac:dyDescent="0.15">
      <c r="A802" s="47">
        <f>データ!A799</f>
        <v>2</v>
      </c>
      <c r="B802" s="47" t="str">
        <f>TRIM(データ!C799)</f>
        <v/>
      </c>
      <c r="C802" s="47" t="str">
        <f>TRIM(データ!D799)</f>
        <v>機械費</v>
      </c>
      <c r="D802" s="36" t="str">
        <f>REPT("｜",$A802)&amp;TRIM(データ!E799)</f>
        <v>｜｜バックホウ0.15m3</v>
      </c>
      <c r="E802" s="37" t="str">
        <f>TRIM(データ!F799)</f>
        <v/>
      </c>
      <c r="F802" s="38" t="str">
        <f>TRIM(データ!G799)</f>
        <v>台</v>
      </c>
      <c r="G802" s="50">
        <f>データ!H799</f>
        <v>0.5</v>
      </c>
      <c r="H802" s="48">
        <f>データ!I799</f>
        <v>10000</v>
      </c>
      <c r="I802" s="48">
        <f>データ!J799</f>
        <v>5000</v>
      </c>
      <c r="J802" s="39" t="str">
        <f>IF(OR($C802="総括",$C802="内訳書",$C802="内訳代価",$C802="明細書",$C802="明細代価",$C802="代価表",$C802="単価表"),データ!K799,"")</f>
        <v/>
      </c>
      <c r="K802" s="11" t="str">
        <f t="shared" si="72"/>
        <v/>
      </c>
      <c r="L802" s="46">
        <f t="shared" si="73"/>
        <v>7.1991130692698657E-5</v>
      </c>
      <c r="M802" s="40" t="str">
        <f>IF(データ!L799="","",データ!L799)</f>
        <v/>
      </c>
      <c r="N802" s="41" t="str">
        <f>IF(データ!M799="","",データ!M799)</f>
        <v/>
      </c>
      <c r="O802" s="42">
        <f>データ!N799</f>
        <v>0</v>
      </c>
      <c r="P802" s="48">
        <f>IF($C802="集計行","",データ!O799)</f>
        <v>0</v>
      </c>
      <c r="Q802" s="48">
        <f>データ!P799</f>
        <v>0</v>
      </c>
      <c r="R802" s="39" t="str">
        <f>IF(OR($C802="総括",$C802="内訳書",$C802="内訳代価",$C802="明細書",$C802="明細代価",$C802="代価表",$C802="単価表"),データ!Q799,"")</f>
        <v/>
      </c>
      <c r="S802" s="11" t="str">
        <f t="shared" si="74"/>
        <v/>
      </c>
      <c r="T802" s="46" t="e">
        <f t="shared" si="75"/>
        <v>#DIV/0!</v>
      </c>
      <c r="U802" s="40" t="str">
        <f>IF(データ!R799="","",データ!R799)</f>
        <v/>
      </c>
      <c r="V802" s="41" t="str">
        <f>IF(データ!S799="","",データ!S799)</f>
        <v/>
      </c>
      <c r="W802" s="42">
        <f>データ!T799</f>
        <v>0</v>
      </c>
      <c r="X802" s="48">
        <f>IF($C802="集計行","",データ!U799)</f>
        <v>0</v>
      </c>
      <c r="Y802" s="48">
        <f>データ!V799</f>
        <v>0</v>
      </c>
      <c r="Z802" s="39" t="str">
        <f>IF(OR($C802="総括",$C802="内訳書",$C802="内訳代価",$C802="明細書",$C802="明細代価",$C802="代価表",$C802="単価表"),データ!W799,"")</f>
        <v/>
      </c>
      <c r="AA802" s="11" t="str">
        <f t="shared" si="76"/>
        <v/>
      </c>
      <c r="AB802" s="46" t="e">
        <f t="shared" si="77"/>
        <v>#DIV/0!</v>
      </c>
      <c r="AC802" s="40" t="str">
        <f>IF(データ!X799="","",データ!X799)</f>
        <v/>
      </c>
      <c r="AD802" s="41" t="str">
        <f>IF(データ!Y799="","",データ!Y799)</f>
        <v/>
      </c>
      <c r="AE802" s="47" t="str">
        <f>TRIM(データ!B799)</f>
        <v/>
      </c>
      <c r="AF802" s="43" t="str">
        <f>TRIM(データ!Z799)</f>
        <v/>
      </c>
    </row>
    <row r="803" spans="1:32" x14ac:dyDescent="0.15">
      <c r="A803" s="47">
        <f>データ!A800</f>
        <v>2</v>
      </c>
      <c r="B803" s="47" t="str">
        <f>TRIM(データ!C800)</f>
        <v/>
      </c>
      <c r="C803" s="47" t="str">
        <f>TRIM(データ!D800)</f>
        <v>機械費</v>
      </c>
      <c r="D803" s="36" t="str">
        <f>REPT("｜",$A803)&amp;TRIM(データ!E800)</f>
        <v>｜｜生コンホッパー</v>
      </c>
      <c r="E803" s="37" t="str">
        <f>TRIM(データ!F800)</f>
        <v/>
      </c>
      <c r="F803" s="38" t="str">
        <f>TRIM(データ!G800)</f>
        <v>台</v>
      </c>
      <c r="G803" s="50">
        <f>データ!H800</f>
        <v>1</v>
      </c>
      <c r="H803" s="48">
        <f>データ!I800</f>
        <v>5000</v>
      </c>
      <c r="I803" s="48">
        <f>データ!J800</f>
        <v>5000</v>
      </c>
      <c r="J803" s="39" t="str">
        <f>IF(OR($C803="総括",$C803="内訳書",$C803="内訳代価",$C803="明細書",$C803="明細代価",$C803="代価表",$C803="単価表"),データ!K800,"")</f>
        <v/>
      </c>
      <c r="K803" s="11" t="str">
        <f t="shared" si="72"/>
        <v/>
      </c>
      <c r="L803" s="46">
        <f t="shared" si="73"/>
        <v>7.1991130692698657E-5</v>
      </c>
      <c r="M803" s="40" t="str">
        <f>IF(データ!L800="","",データ!L800)</f>
        <v/>
      </c>
      <c r="N803" s="41" t="str">
        <f>IF(データ!M800="","",データ!M800)</f>
        <v/>
      </c>
      <c r="O803" s="42">
        <f>データ!N800</f>
        <v>0</v>
      </c>
      <c r="P803" s="48">
        <f>IF($C803="集計行","",データ!O800)</f>
        <v>0</v>
      </c>
      <c r="Q803" s="48">
        <f>データ!P800</f>
        <v>0</v>
      </c>
      <c r="R803" s="39" t="str">
        <f>IF(OR($C803="総括",$C803="内訳書",$C803="内訳代価",$C803="明細書",$C803="明細代価",$C803="代価表",$C803="単価表"),データ!Q800,"")</f>
        <v/>
      </c>
      <c r="S803" s="11" t="str">
        <f t="shared" si="74"/>
        <v/>
      </c>
      <c r="T803" s="46" t="e">
        <f t="shared" si="75"/>
        <v>#DIV/0!</v>
      </c>
      <c r="U803" s="40" t="str">
        <f>IF(データ!R800="","",データ!R800)</f>
        <v/>
      </c>
      <c r="V803" s="41" t="str">
        <f>IF(データ!S800="","",データ!S800)</f>
        <v/>
      </c>
      <c r="W803" s="42">
        <f>データ!T800</f>
        <v>0</v>
      </c>
      <c r="X803" s="48">
        <f>IF($C803="集計行","",データ!U800)</f>
        <v>0</v>
      </c>
      <c r="Y803" s="48">
        <f>データ!V800</f>
        <v>0</v>
      </c>
      <c r="Z803" s="39" t="str">
        <f>IF(OR($C803="総括",$C803="内訳書",$C803="内訳代価",$C803="明細書",$C803="明細代価",$C803="代価表",$C803="単価表"),データ!W800,"")</f>
        <v/>
      </c>
      <c r="AA803" s="11" t="str">
        <f t="shared" si="76"/>
        <v/>
      </c>
      <c r="AB803" s="46" t="e">
        <f t="shared" si="77"/>
        <v>#DIV/0!</v>
      </c>
      <c r="AC803" s="40" t="str">
        <f>IF(データ!X800="","",データ!X800)</f>
        <v/>
      </c>
      <c r="AD803" s="41" t="str">
        <f>IF(データ!Y800="","",データ!Y800)</f>
        <v/>
      </c>
      <c r="AE803" s="47" t="str">
        <f>TRIM(データ!B800)</f>
        <v/>
      </c>
      <c r="AF803" s="43" t="str">
        <f>TRIM(データ!Z800)</f>
        <v/>
      </c>
    </row>
    <row r="804" spans="1:32" x14ac:dyDescent="0.15">
      <c r="A804" s="47">
        <f>データ!A801</f>
        <v>1</v>
      </c>
      <c r="B804" s="47" t="str">
        <f>TRIM(データ!C801)</f>
        <v/>
      </c>
      <c r="C804" s="47" t="str">
        <f>TRIM(データ!D801)</f>
        <v>内訳書</v>
      </c>
      <c r="D804" s="36" t="str">
        <f>REPT("｜",$A804)&amp;TRIM(データ!E801)</f>
        <v>｜既設舗装版・縁石撤去</v>
      </c>
      <c r="E804" s="37" t="str">
        <f>TRIM(データ!F801)</f>
        <v/>
      </c>
      <c r="F804" s="38" t="str">
        <f>TRIM(データ!G801)</f>
        <v>式</v>
      </c>
      <c r="G804" s="50">
        <f>データ!H801</f>
        <v>1</v>
      </c>
      <c r="H804" s="48">
        <f>データ!I801</f>
        <v>841500</v>
      </c>
      <c r="I804" s="48">
        <f>データ!J801</f>
        <v>841500</v>
      </c>
      <c r="J804" s="39">
        <f>IF(OR($C804="総括",$C804="内訳書",$C804="内訳代価",$C804="明細書",$C804="明細代価",$C804="代価表",$C804="単価表"),データ!K801,"")</f>
        <v>1</v>
      </c>
      <c r="K804" s="11" t="str">
        <f t="shared" si="72"/>
        <v/>
      </c>
      <c r="L804" s="46">
        <f t="shared" si="73"/>
        <v>1.2116107295581184E-2</v>
      </c>
      <c r="M804" s="40" t="str">
        <f>IF(データ!L801="","",データ!L801)</f>
        <v/>
      </c>
      <c r="N804" s="41" t="str">
        <f>IF(データ!M801="","",データ!M801)</f>
        <v>105号内訳書</v>
      </c>
      <c r="O804" s="42">
        <f>データ!N801</f>
        <v>0</v>
      </c>
      <c r="P804" s="48">
        <f>IF($C804="集計行","",データ!O801)</f>
        <v>0</v>
      </c>
      <c r="Q804" s="48">
        <f>データ!P801</f>
        <v>0</v>
      </c>
      <c r="R804" s="39">
        <f>IF(OR($C804="総括",$C804="内訳書",$C804="内訳代価",$C804="明細書",$C804="明細代価",$C804="代価表",$C804="単価表"),データ!Q801,"")</f>
        <v>0</v>
      </c>
      <c r="S804" s="11" t="str">
        <f t="shared" si="74"/>
        <v/>
      </c>
      <c r="T804" s="46" t="e">
        <f t="shared" si="75"/>
        <v>#DIV/0!</v>
      </c>
      <c r="U804" s="40" t="str">
        <f>IF(データ!R801="","",データ!R801)</f>
        <v/>
      </c>
      <c r="V804" s="41" t="str">
        <f>IF(データ!S801="","",データ!S801)</f>
        <v/>
      </c>
      <c r="W804" s="42">
        <f>データ!T801</f>
        <v>0</v>
      </c>
      <c r="X804" s="48">
        <f>IF($C804="集計行","",データ!U801)</f>
        <v>0</v>
      </c>
      <c r="Y804" s="48">
        <f>データ!V801</f>
        <v>0</v>
      </c>
      <c r="Z804" s="39">
        <f>IF(OR($C804="総括",$C804="内訳書",$C804="内訳代価",$C804="明細書",$C804="明細代価",$C804="代価表",$C804="単価表"),データ!W801,"")</f>
        <v>0</v>
      </c>
      <c r="AA804" s="11" t="str">
        <f t="shared" si="76"/>
        <v/>
      </c>
      <c r="AB804" s="46" t="e">
        <f t="shared" si="77"/>
        <v>#DIV/0!</v>
      </c>
      <c r="AC804" s="40" t="str">
        <f>IF(データ!X801="","",データ!X801)</f>
        <v/>
      </c>
      <c r="AD804" s="41" t="str">
        <f>IF(データ!Y801="","",データ!Y801)</f>
        <v/>
      </c>
      <c r="AE804" s="47" t="str">
        <f>TRIM(データ!B801)</f>
        <v/>
      </c>
      <c r="AF804" s="43" t="str">
        <f>TRIM(データ!Z801)</f>
        <v/>
      </c>
    </row>
    <row r="805" spans="1:32" x14ac:dyDescent="0.15">
      <c r="A805" s="47">
        <f>データ!A802</f>
        <v>2</v>
      </c>
      <c r="B805" s="47" t="str">
        <f>TRIM(データ!C802)</f>
        <v/>
      </c>
      <c r="C805" s="47" t="str">
        <f>TRIM(データ!D802)</f>
        <v>労務費</v>
      </c>
      <c r="D805" s="36" t="str">
        <f>REPT("｜",$A805)&amp;TRIM(データ!E802)</f>
        <v>｜｜世話役</v>
      </c>
      <c r="E805" s="37" t="str">
        <f>TRIM(データ!F802)</f>
        <v/>
      </c>
      <c r="F805" s="38" t="str">
        <f>TRIM(データ!G802)</f>
        <v>人</v>
      </c>
      <c r="G805" s="50">
        <f>データ!H802</f>
        <v>1</v>
      </c>
      <c r="H805" s="48">
        <f>データ!I802</f>
        <v>30000</v>
      </c>
      <c r="I805" s="48">
        <f>データ!J802</f>
        <v>30000</v>
      </c>
      <c r="J805" s="39" t="str">
        <f>IF(OR($C805="総括",$C805="内訳書",$C805="内訳代価",$C805="明細書",$C805="明細代価",$C805="代価表",$C805="単価表"),データ!K802,"")</f>
        <v/>
      </c>
      <c r="K805" s="11" t="str">
        <f t="shared" si="72"/>
        <v/>
      </c>
      <c r="L805" s="46">
        <f t="shared" si="73"/>
        <v>4.3194678415619197E-4</v>
      </c>
      <c r="M805" s="40" t="str">
        <f>IF(データ!L802="","",データ!L802)</f>
        <v/>
      </c>
      <c r="N805" s="41" t="str">
        <f>IF(データ!M802="","",データ!M802)</f>
        <v/>
      </c>
      <c r="O805" s="42">
        <f>データ!N802</f>
        <v>0</v>
      </c>
      <c r="P805" s="48">
        <f>IF($C805="集計行","",データ!O802)</f>
        <v>0</v>
      </c>
      <c r="Q805" s="48">
        <f>データ!P802</f>
        <v>0</v>
      </c>
      <c r="R805" s="39" t="str">
        <f>IF(OR($C805="総括",$C805="内訳書",$C805="内訳代価",$C805="明細書",$C805="明細代価",$C805="代価表",$C805="単価表"),データ!Q802,"")</f>
        <v/>
      </c>
      <c r="S805" s="11" t="str">
        <f t="shared" si="74"/>
        <v/>
      </c>
      <c r="T805" s="46" t="e">
        <f t="shared" si="75"/>
        <v>#DIV/0!</v>
      </c>
      <c r="U805" s="40" t="str">
        <f>IF(データ!R802="","",データ!R802)</f>
        <v/>
      </c>
      <c r="V805" s="41" t="str">
        <f>IF(データ!S802="","",データ!S802)</f>
        <v/>
      </c>
      <c r="W805" s="42">
        <f>データ!T802</f>
        <v>0</v>
      </c>
      <c r="X805" s="48">
        <f>IF($C805="集計行","",データ!U802)</f>
        <v>0</v>
      </c>
      <c r="Y805" s="48">
        <f>データ!V802</f>
        <v>0</v>
      </c>
      <c r="Z805" s="39" t="str">
        <f>IF(OR($C805="総括",$C805="内訳書",$C805="内訳代価",$C805="明細書",$C805="明細代価",$C805="代価表",$C805="単価表"),データ!W802,"")</f>
        <v/>
      </c>
      <c r="AA805" s="11" t="str">
        <f t="shared" si="76"/>
        <v/>
      </c>
      <c r="AB805" s="46" t="e">
        <f t="shared" si="77"/>
        <v>#DIV/0!</v>
      </c>
      <c r="AC805" s="40" t="str">
        <f>IF(データ!X802="","",データ!X802)</f>
        <v/>
      </c>
      <c r="AD805" s="41" t="str">
        <f>IF(データ!Y802="","",データ!Y802)</f>
        <v/>
      </c>
      <c r="AE805" s="47" t="str">
        <f>TRIM(データ!B802)</f>
        <v/>
      </c>
      <c r="AF805" s="43" t="str">
        <f>TRIM(データ!Z802)</f>
        <v/>
      </c>
    </row>
    <row r="806" spans="1:32" x14ac:dyDescent="0.15">
      <c r="A806" s="47">
        <f>データ!A803</f>
        <v>2</v>
      </c>
      <c r="B806" s="47" t="str">
        <f>TRIM(データ!C803)</f>
        <v/>
      </c>
      <c r="C806" s="47" t="str">
        <f>TRIM(データ!D803)</f>
        <v>労務費</v>
      </c>
      <c r="D806" s="36" t="str">
        <f>REPT("｜",$A806)&amp;TRIM(データ!E803)</f>
        <v>｜｜特殊作業員</v>
      </c>
      <c r="E806" s="37" t="str">
        <f>TRIM(データ!F803)</f>
        <v/>
      </c>
      <c r="F806" s="38" t="str">
        <f>TRIM(データ!G803)</f>
        <v>人</v>
      </c>
      <c r="G806" s="50">
        <f>データ!H803</f>
        <v>5</v>
      </c>
      <c r="H806" s="48">
        <f>データ!I803</f>
        <v>25000</v>
      </c>
      <c r="I806" s="48">
        <f>データ!J803</f>
        <v>125000</v>
      </c>
      <c r="J806" s="39" t="str">
        <f>IF(OR($C806="総括",$C806="内訳書",$C806="内訳代価",$C806="明細書",$C806="明細代価",$C806="代価表",$C806="単価表"),データ!K803,"")</f>
        <v/>
      </c>
      <c r="K806" s="11" t="str">
        <f t="shared" si="72"/>
        <v/>
      </c>
      <c r="L806" s="46">
        <f t="shared" si="73"/>
        <v>1.7997782673174665E-3</v>
      </c>
      <c r="M806" s="40" t="str">
        <f>IF(データ!L803="","",データ!L803)</f>
        <v/>
      </c>
      <c r="N806" s="41" t="str">
        <f>IF(データ!M803="","",データ!M803)</f>
        <v/>
      </c>
      <c r="O806" s="42">
        <f>データ!N803</f>
        <v>0</v>
      </c>
      <c r="P806" s="48">
        <f>IF($C806="集計行","",データ!O803)</f>
        <v>0</v>
      </c>
      <c r="Q806" s="48">
        <f>データ!P803</f>
        <v>0</v>
      </c>
      <c r="R806" s="39" t="str">
        <f>IF(OR($C806="総括",$C806="内訳書",$C806="内訳代価",$C806="明細書",$C806="明細代価",$C806="代価表",$C806="単価表"),データ!Q803,"")</f>
        <v/>
      </c>
      <c r="S806" s="11" t="str">
        <f t="shared" si="74"/>
        <v/>
      </c>
      <c r="T806" s="46" t="e">
        <f t="shared" si="75"/>
        <v>#DIV/0!</v>
      </c>
      <c r="U806" s="40" t="str">
        <f>IF(データ!R803="","",データ!R803)</f>
        <v/>
      </c>
      <c r="V806" s="41" t="str">
        <f>IF(データ!S803="","",データ!S803)</f>
        <v/>
      </c>
      <c r="W806" s="42">
        <f>データ!T803</f>
        <v>0</v>
      </c>
      <c r="X806" s="48">
        <f>IF($C806="集計行","",データ!U803)</f>
        <v>0</v>
      </c>
      <c r="Y806" s="48">
        <f>データ!V803</f>
        <v>0</v>
      </c>
      <c r="Z806" s="39" t="str">
        <f>IF(OR($C806="総括",$C806="内訳書",$C806="内訳代価",$C806="明細書",$C806="明細代価",$C806="代価表",$C806="単価表"),データ!W803,"")</f>
        <v/>
      </c>
      <c r="AA806" s="11" t="str">
        <f t="shared" si="76"/>
        <v/>
      </c>
      <c r="AB806" s="46" t="e">
        <f t="shared" si="77"/>
        <v>#DIV/0!</v>
      </c>
      <c r="AC806" s="40" t="str">
        <f>IF(データ!X803="","",データ!X803)</f>
        <v/>
      </c>
      <c r="AD806" s="41" t="str">
        <f>IF(データ!Y803="","",データ!Y803)</f>
        <v/>
      </c>
      <c r="AE806" s="47" t="str">
        <f>TRIM(データ!B803)</f>
        <v/>
      </c>
      <c r="AF806" s="43" t="str">
        <f>TRIM(データ!Z803)</f>
        <v/>
      </c>
    </row>
    <row r="807" spans="1:32" x14ac:dyDescent="0.15">
      <c r="A807" s="47">
        <f>データ!A804</f>
        <v>2</v>
      </c>
      <c r="B807" s="47" t="str">
        <f>TRIM(データ!C804)</f>
        <v/>
      </c>
      <c r="C807" s="47" t="str">
        <f>TRIM(データ!D804)</f>
        <v>労務費</v>
      </c>
      <c r="D807" s="36" t="str">
        <f>REPT("｜",$A807)&amp;TRIM(データ!E804)</f>
        <v>｜｜普通作業員</v>
      </c>
      <c r="E807" s="37" t="str">
        <f>TRIM(データ!F804)</f>
        <v/>
      </c>
      <c r="F807" s="38" t="str">
        <f>TRIM(データ!G804)</f>
        <v>人</v>
      </c>
      <c r="G807" s="50">
        <f>データ!H804</f>
        <v>6</v>
      </c>
      <c r="H807" s="48">
        <f>データ!I804</f>
        <v>25000</v>
      </c>
      <c r="I807" s="48">
        <f>データ!J804</f>
        <v>150000</v>
      </c>
      <c r="J807" s="39" t="str">
        <f>IF(OR($C807="総括",$C807="内訳書",$C807="内訳代価",$C807="明細書",$C807="明細代価",$C807="代価表",$C807="単価表"),データ!K804,"")</f>
        <v/>
      </c>
      <c r="K807" s="11" t="str">
        <f t="shared" si="72"/>
        <v/>
      </c>
      <c r="L807" s="46">
        <f t="shared" si="73"/>
        <v>2.1597339207809598E-3</v>
      </c>
      <c r="M807" s="40" t="str">
        <f>IF(データ!L804="","",データ!L804)</f>
        <v/>
      </c>
      <c r="N807" s="41" t="str">
        <f>IF(データ!M804="","",データ!M804)</f>
        <v/>
      </c>
      <c r="O807" s="42">
        <f>データ!N804</f>
        <v>0</v>
      </c>
      <c r="P807" s="48">
        <f>IF($C807="集計行","",データ!O804)</f>
        <v>0</v>
      </c>
      <c r="Q807" s="48">
        <f>データ!P804</f>
        <v>0</v>
      </c>
      <c r="R807" s="39" t="str">
        <f>IF(OR($C807="総括",$C807="内訳書",$C807="内訳代価",$C807="明細書",$C807="明細代価",$C807="代価表",$C807="単価表"),データ!Q804,"")</f>
        <v/>
      </c>
      <c r="S807" s="11" t="str">
        <f t="shared" si="74"/>
        <v/>
      </c>
      <c r="T807" s="46" t="e">
        <f t="shared" si="75"/>
        <v>#DIV/0!</v>
      </c>
      <c r="U807" s="40" t="str">
        <f>IF(データ!R804="","",データ!R804)</f>
        <v/>
      </c>
      <c r="V807" s="41" t="str">
        <f>IF(データ!S804="","",データ!S804)</f>
        <v/>
      </c>
      <c r="W807" s="42">
        <f>データ!T804</f>
        <v>0</v>
      </c>
      <c r="X807" s="48">
        <f>IF($C807="集計行","",データ!U804)</f>
        <v>0</v>
      </c>
      <c r="Y807" s="48">
        <f>データ!V804</f>
        <v>0</v>
      </c>
      <c r="Z807" s="39" t="str">
        <f>IF(OR($C807="総括",$C807="内訳書",$C807="内訳代価",$C807="明細書",$C807="明細代価",$C807="代価表",$C807="単価表"),データ!W804,"")</f>
        <v/>
      </c>
      <c r="AA807" s="11" t="str">
        <f t="shared" si="76"/>
        <v/>
      </c>
      <c r="AB807" s="46" t="e">
        <f t="shared" si="77"/>
        <v>#DIV/0!</v>
      </c>
      <c r="AC807" s="40" t="str">
        <f>IF(データ!X804="","",データ!X804)</f>
        <v/>
      </c>
      <c r="AD807" s="41" t="str">
        <f>IF(データ!Y804="","",データ!Y804)</f>
        <v/>
      </c>
      <c r="AE807" s="47" t="str">
        <f>TRIM(データ!B804)</f>
        <v/>
      </c>
      <c r="AF807" s="43" t="str">
        <f>TRIM(データ!Z804)</f>
        <v/>
      </c>
    </row>
    <row r="808" spans="1:32" x14ac:dyDescent="0.15">
      <c r="A808" s="47">
        <f>データ!A805</f>
        <v>2</v>
      </c>
      <c r="B808" s="47" t="str">
        <f>TRIM(データ!C805)</f>
        <v/>
      </c>
      <c r="C808" s="47" t="str">
        <f>TRIM(データ!D805)</f>
        <v>機械費</v>
      </c>
      <c r="D808" s="36" t="str">
        <f>REPT("｜",$A808)&amp;TRIM(データ!E805)</f>
        <v>｜｜バックホウ</v>
      </c>
      <c r="E808" s="37" t="str">
        <f>TRIM(データ!F805)</f>
        <v>0.45m3</v>
      </c>
      <c r="F808" s="38" t="str">
        <f>TRIM(データ!G805)</f>
        <v>台</v>
      </c>
      <c r="G808" s="50">
        <f>データ!H805</f>
        <v>5</v>
      </c>
      <c r="H808" s="48">
        <f>データ!I805</f>
        <v>23000</v>
      </c>
      <c r="I808" s="48">
        <f>データ!J805</f>
        <v>115000</v>
      </c>
      <c r="J808" s="39" t="str">
        <f>IF(OR($C808="総括",$C808="内訳書",$C808="内訳代価",$C808="明細書",$C808="明細代価",$C808="代価表",$C808="単価表"),データ!K805,"")</f>
        <v/>
      </c>
      <c r="K808" s="11" t="str">
        <f t="shared" si="72"/>
        <v/>
      </c>
      <c r="L808" s="46">
        <f t="shared" si="73"/>
        <v>1.6557960059320692E-3</v>
      </c>
      <c r="M808" s="40" t="str">
        <f>IF(データ!L805="","",データ!L805)</f>
        <v/>
      </c>
      <c r="N808" s="41" t="str">
        <f>IF(データ!M805="","",データ!M805)</f>
        <v/>
      </c>
      <c r="O808" s="42">
        <f>データ!N805</f>
        <v>0</v>
      </c>
      <c r="P808" s="48">
        <f>IF($C808="集計行","",データ!O805)</f>
        <v>0</v>
      </c>
      <c r="Q808" s="48">
        <f>データ!P805</f>
        <v>0</v>
      </c>
      <c r="R808" s="39" t="str">
        <f>IF(OR($C808="総括",$C808="内訳書",$C808="内訳代価",$C808="明細書",$C808="明細代価",$C808="代価表",$C808="単価表"),データ!Q805,"")</f>
        <v/>
      </c>
      <c r="S808" s="11" t="str">
        <f t="shared" si="74"/>
        <v/>
      </c>
      <c r="T808" s="46" t="e">
        <f t="shared" si="75"/>
        <v>#DIV/0!</v>
      </c>
      <c r="U808" s="40" t="str">
        <f>IF(データ!R805="","",データ!R805)</f>
        <v/>
      </c>
      <c r="V808" s="41" t="str">
        <f>IF(データ!S805="","",データ!S805)</f>
        <v/>
      </c>
      <c r="W808" s="42">
        <f>データ!T805</f>
        <v>0</v>
      </c>
      <c r="X808" s="48">
        <f>IF($C808="集計行","",データ!U805)</f>
        <v>0</v>
      </c>
      <c r="Y808" s="48">
        <f>データ!V805</f>
        <v>0</v>
      </c>
      <c r="Z808" s="39" t="str">
        <f>IF(OR($C808="総括",$C808="内訳書",$C808="内訳代価",$C808="明細書",$C808="明細代価",$C808="代価表",$C808="単価表"),データ!W805,"")</f>
        <v/>
      </c>
      <c r="AA808" s="11" t="str">
        <f t="shared" si="76"/>
        <v/>
      </c>
      <c r="AB808" s="46" t="e">
        <f t="shared" si="77"/>
        <v>#DIV/0!</v>
      </c>
      <c r="AC808" s="40" t="str">
        <f>IF(データ!X805="","",データ!X805)</f>
        <v/>
      </c>
      <c r="AD808" s="41" t="str">
        <f>IF(データ!Y805="","",データ!Y805)</f>
        <v/>
      </c>
      <c r="AE808" s="47" t="str">
        <f>TRIM(データ!B805)</f>
        <v/>
      </c>
      <c r="AF808" s="43" t="str">
        <f>TRIM(データ!Z805)</f>
        <v/>
      </c>
    </row>
    <row r="809" spans="1:32" x14ac:dyDescent="0.15">
      <c r="A809" s="47">
        <f>データ!A806</f>
        <v>2</v>
      </c>
      <c r="B809" s="47" t="str">
        <f>TRIM(データ!C806)</f>
        <v/>
      </c>
      <c r="C809" s="47" t="str">
        <f>TRIM(データ!D806)</f>
        <v>運搬費</v>
      </c>
      <c r="D809" s="36" t="str">
        <f>REPT("｜",$A809)&amp;TRIM(データ!E806)</f>
        <v>｜｜ダンプトラック</v>
      </c>
      <c r="E809" s="37" t="str">
        <f>TRIM(データ!F806)</f>
        <v>4tDT</v>
      </c>
      <c r="F809" s="38" t="str">
        <f>TRIM(データ!G806)</f>
        <v>台</v>
      </c>
      <c r="G809" s="50">
        <f>データ!H806</f>
        <v>4</v>
      </c>
      <c r="H809" s="48">
        <f>データ!I806</f>
        <v>35000</v>
      </c>
      <c r="I809" s="48">
        <f>データ!J806</f>
        <v>140000</v>
      </c>
      <c r="J809" s="39" t="str">
        <f>IF(OR($C809="総括",$C809="内訳書",$C809="内訳代価",$C809="明細書",$C809="明細代価",$C809="代価表",$C809="単価表"),データ!K806,"")</f>
        <v/>
      </c>
      <c r="K809" s="11" t="str">
        <f t="shared" si="72"/>
        <v/>
      </c>
      <c r="L809" s="46">
        <f t="shared" si="73"/>
        <v>2.0157516593955625E-3</v>
      </c>
      <c r="M809" s="40" t="str">
        <f>IF(データ!L806="","",データ!L806)</f>
        <v/>
      </c>
      <c r="N809" s="41" t="str">
        <f>IF(データ!M806="","",データ!M806)</f>
        <v/>
      </c>
      <c r="O809" s="42">
        <f>データ!N806</f>
        <v>0</v>
      </c>
      <c r="P809" s="48">
        <f>IF($C809="集計行","",データ!O806)</f>
        <v>0</v>
      </c>
      <c r="Q809" s="48">
        <f>データ!P806</f>
        <v>0</v>
      </c>
      <c r="R809" s="39" t="str">
        <f>IF(OR($C809="総括",$C809="内訳書",$C809="内訳代価",$C809="明細書",$C809="明細代価",$C809="代価表",$C809="単価表"),データ!Q806,"")</f>
        <v/>
      </c>
      <c r="S809" s="11" t="str">
        <f t="shared" si="74"/>
        <v/>
      </c>
      <c r="T809" s="46" t="e">
        <f t="shared" si="75"/>
        <v>#DIV/0!</v>
      </c>
      <c r="U809" s="40" t="str">
        <f>IF(データ!R806="","",データ!R806)</f>
        <v/>
      </c>
      <c r="V809" s="41" t="str">
        <f>IF(データ!S806="","",データ!S806)</f>
        <v/>
      </c>
      <c r="W809" s="42">
        <f>データ!T806</f>
        <v>0</v>
      </c>
      <c r="X809" s="48">
        <f>IF($C809="集計行","",データ!U806)</f>
        <v>0</v>
      </c>
      <c r="Y809" s="48">
        <f>データ!V806</f>
        <v>0</v>
      </c>
      <c r="Z809" s="39" t="str">
        <f>IF(OR($C809="総括",$C809="内訳書",$C809="内訳代価",$C809="明細書",$C809="明細代価",$C809="代価表",$C809="単価表"),データ!W806,"")</f>
        <v/>
      </c>
      <c r="AA809" s="11" t="str">
        <f t="shared" si="76"/>
        <v/>
      </c>
      <c r="AB809" s="46" t="e">
        <f t="shared" si="77"/>
        <v>#DIV/0!</v>
      </c>
      <c r="AC809" s="40" t="str">
        <f>IF(データ!X806="","",データ!X806)</f>
        <v/>
      </c>
      <c r="AD809" s="41" t="str">
        <f>IF(データ!Y806="","",データ!Y806)</f>
        <v/>
      </c>
      <c r="AE809" s="47" t="str">
        <f>TRIM(データ!B806)</f>
        <v/>
      </c>
      <c r="AF809" s="43" t="str">
        <f>TRIM(データ!Z806)</f>
        <v/>
      </c>
    </row>
    <row r="810" spans="1:32" x14ac:dyDescent="0.15">
      <c r="A810" s="47">
        <f>データ!A807</f>
        <v>2</v>
      </c>
      <c r="B810" s="47" t="str">
        <f>TRIM(データ!C807)</f>
        <v/>
      </c>
      <c r="C810" s="47" t="str">
        <f>TRIM(データ!D807)</f>
        <v>運搬費</v>
      </c>
      <c r="D810" s="36" t="str">
        <f>REPT("｜",$A810)&amp;TRIM(データ!E807)</f>
        <v>｜｜ダンプトラック</v>
      </c>
      <c r="E810" s="37" t="str">
        <f>TRIM(データ!F807)</f>
        <v>10tDT</v>
      </c>
      <c r="F810" s="38" t="str">
        <f>TRIM(データ!G807)</f>
        <v>台</v>
      </c>
      <c r="G810" s="50">
        <f>データ!H807</f>
        <v>3</v>
      </c>
      <c r="H810" s="48">
        <f>データ!I807</f>
        <v>48000</v>
      </c>
      <c r="I810" s="48">
        <f>データ!J807</f>
        <v>144000</v>
      </c>
      <c r="J810" s="39" t="str">
        <f>IF(OR($C810="総括",$C810="内訳書",$C810="内訳代価",$C810="明細書",$C810="明細代価",$C810="代価表",$C810="単価表"),データ!K807,"")</f>
        <v/>
      </c>
      <c r="K810" s="11" t="str">
        <f t="shared" si="72"/>
        <v/>
      </c>
      <c r="L810" s="46">
        <f t="shared" si="73"/>
        <v>2.0733445639497215E-3</v>
      </c>
      <c r="M810" s="40" t="str">
        <f>IF(データ!L807="","",データ!L807)</f>
        <v/>
      </c>
      <c r="N810" s="41" t="str">
        <f>IF(データ!M807="","",データ!M807)</f>
        <v/>
      </c>
      <c r="O810" s="42">
        <f>データ!N807</f>
        <v>0</v>
      </c>
      <c r="P810" s="48">
        <f>IF($C810="集計行","",データ!O807)</f>
        <v>0</v>
      </c>
      <c r="Q810" s="48">
        <f>データ!P807</f>
        <v>0</v>
      </c>
      <c r="R810" s="39" t="str">
        <f>IF(OR($C810="総括",$C810="内訳書",$C810="内訳代価",$C810="明細書",$C810="明細代価",$C810="代価表",$C810="単価表"),データ!Q807,"")</f>
        <v/>
      </c>
      <c r="S810" s="11" t="str">
        <f t="shared" si="74"/>
        <v/>
      </c>
      <c r="T810" s="46" t="e">
        <f t="shared" si="75"/>
        <v>#DIV/0!</v>
      </c>
      <c r="U810" s="40" t="str">
        <f>IF(データ!R807="","",データ!R807)</f>
        <v/>
      </c>
      <c r="V810" s="41" t="str">
        <f>IF(データ!S807="","",データ!S807)</f>
        <v/>
      </c>
      <c r="W810" s="42">
        <f>データ!T807</f>
        <v>0</v>
      </c>
      <c r="X810" s="48">
        <f>IF($C810="集計行","",データ!U807)</f>
        <v>0</v>
      </c>
      <c r="Y810" s="48">
        <f>データ!V807</f>
        <v>0</v>
      </c>
      <c r="Z810" s="39" t="str">
        <f>IF(OR($C810="総括",$C810="内訳書",$C810="内訳代価",$C810="明細書",$C810="明細代価",$C810="代価表",$C810="単価表"),データ!W807,"")</f>
        <v/>
      </c>
      <c r="AA810" s="11" t="str">
        <f t="shared" si="76"/>
        <v/>
      </c>
      <c r="AB810" s="46" t="e">
        <f t="shared" si="77"/>
        <v>#DIV/0!</v>
      </c>
      <c r="AC810" s="40" t="str">
        <f>IF(データ!X807="","",データ!X807)</f>
        <v/>
      </c>
      <c r="AD810" s="41" t="str">
        <f>IF(データ!Y807="","",データ!Y807)</f>
        <v/>
      </c>
      <c r="AE810" s="47" t="str">
        <f>TRIM(データ!B807)</f>
        <v/>
      </c>
      <c r="AF810" s="43" t="str">
        <f>TRIM(データ!Z807)</f>
        <v/>
      </c>
    </row>
    <row r="811" spans="1:32" x14ac:dyDescent="0.15">
      <c r="A811" s="47">
        <f>データ!A808</f>
        <v>2</v>
      </c>
      <c r="B811" s="47" t="str">
        <f>TRIM(データ!C808)</f>
        <v/>
      </c>
      <c r="C811" s="47" t="str">
        <f>TRIM(データ!D808)</f>
        <v>運搬費</v>
      </c>
      <c r="D811" s="36" t="str">
        <f>REPT("｜",$A811)&amp;TRIM(データ!E808)</f>
        <v>｜｜アスファルト殻</v>
      </c>
      <c r="E811" s="37" t="str">
        <f>TRIM(データ!F808)</f>
        <v/>
      </c>
      <c r="F811" s="38" t="str">
        <f>TRIM(データ!G808)</f>
        <v>t</v>
      </c>
      <c r="G811" s="50">
        <f>データ!H808</f>
        <v>90</v>
      </c>
      <c r="H811" s="48">
        <f>データ!I808</f>
        <v>400</v>
      </c>
      <c r="I811" s="48">
        <f>データ!J808</f>
        <v>36000</v>
      </c>
      <c r="J811" s="39" t="str">
        <f>IF(OR($C811="総括",$C811="内訳書",$C811="内訳代価",$C811="明細書",$C811="明細代価",$C811="代価表",$C811="単価表"),データ!K808,"")</f>
        <v/>
      </c>
      <c r="K811" s="11" t="str">
        <f t="shared" si="72"/>
        <v/>
      </c>
      <c r="L811" s="46">
        <f t="shared" si="73"/>
        <v>5.1833614098743038E-4</v>
      </c>
      <c r="M811" s="40" t="str">
        <f>IF(データ!L808="","",データ!L808)</f>
        <v/>
      </c>
      <c r="N811" s="41" t="str">
        <f>IF(データ!M808="","",データ!M808)</f>
        <v/>
      </c>
      <c r="O811" s="42">
        <f>データ!N808</f>
        <v>0</v>
      </c>
      <c r="P811" s="48">
        <f>IF($C811="集計行","",データ!O808)</f>
        <v>0</v>
      </c>
      <c r="Q811" s="48">
        <f>データ!P808</f>
        <v>0</v>
      </c>
      <c r="R811" s="39" t="str">
        <f>IF(OR($C811="総括",$C811="内訳書",$C811="内訳代価",$C811="明細書",$C811="明細代価",$C811="代価表",$C811="単価表"),データ!Q808,"")</f>
        <v/>
      </c>
      <c r="S811" s="11" t="str">
        <f t="shared" si="74"/>
        <v/>
      </c>
      <c r="T811" s="46" t="e">
        <f t="shared" si="75"/>
        <v>#DIV/0!</v>
      </c>
      <c r="U811" s="40" t="str">
        <f>IF(データ!R808="","",データ!R808)</f>
        <v/>
      </c>
      <c r="V811" s="41" t="str">
        <f>IF(データ!S808="","",データ!S808)</f>
        <v/>
      </c>
      <c r="W811" s="42">
        <f>データ!T808</f>
        <v>0</v>
      </c>
      <c r="X811" s="48">
        <f>IF($C811="集計行","",データ!U808)</f>
        <v>0</v>
      </c>
      <c r="Y811" s="48">
        <f>データ!V808</f>
        <v>0</v>
      </c>
      <c r="Z811" s="39" t="str">
        <f>IF(OR($C811="総括",$C811="内訳書",$C811="内訳代価",$C811="明細書",$C811="明細代価",$C811="代価表",$C811="単価表"),データ!W808,"")</f>
        <v/>
      </c>
      <c r="AA811" s="11" t="str">
        <f t="shared" si="76"/>
        <v/>
      </c>
      <c r="AB811" s="46" t="e">
        <f t="shared" si="77"/>
        <v>#DIV/0!</v>
      </c>
      <c r="AC811" s="40" t="str">
        <f>IF(データ!X808="","",データ!X808)</f>
        <v/>
      </c>
      <c r="AD811" s="41" t="str">
        <f>IF(データ!Y808="","",データ!Y808)</f>
        <v/>
      </c>
      <c r="AE811" s="47" t="str">
        <f>TRIM(データ!B808)</f>
        <v/>
      </c>
      <c r="AF811" s="43" t="str">
        <f>TRIM(データ!Z808)</f>
        <v/>
      </c>
    </row>
    <row r="812" spans="1:32" x14ac:dyDescent="0.15">
      <c r="A812" s="47">
        <f>データ!A809</f>
        <v>2</v>
      </c>
      <c r="B812" s="47" t="str">
        <f>TRIM(データ!C809)</f>
        <v/>
      </c>
      <c r="C812" s="47" t="str">
        <f>TRIM(データ!D809)</f>
        <v>運搬費</v>
      </c>
      <c r="D812" s="36" t="str">
        <f>REPT("｜",$A812)&amp;TRIM(データ!E809)</f>
        <v>｜｜コンクリート殻</v>
      </c>
      <c r="E812" s="37" t="str">
        <f>TRIM(データ!F809)</f>
        <v/>
      </c>
      <c r="F812" s="38" t="str">
        <f>TRIM(データ!G809)</f>
        <v>t</v>
      </c>
      <c r="G812" s="50">
        <f>データ!H809</f>
        <v>29</v>
      </c>
      <c r="H812" s="48">
        <f>データ!I809</f>
        <v>3500</v>
      </c>
      <c r="I812" s="48">
        <f>データ!J809</f>
        <v>101500</v>
      </c>
      <c r="J812" s="39" t="str">
        <f>IF(OR($C812="総括",$C812="内訳書",$C812="内訳代価",$C812="明細書",$C812="明細代価",$C812="代価表",$C812="単価表"),データ!K809,"")</f>
        <v/>
      </c>
      <c r="K812" s="11" t="str">
        <f t="shared" si="72"/>
        <v/>
      </c>
      <c r="L812" s="46">
        <f t="shared" si="73"/>
        <v>1.4614199530617827E-3</v>
      </c>
      <c r="M812" s="40" t="str">
        <f>IF(データ!L809="","",データ!L809)</f>
        <v/>
      </c>
      <c r="N812" s="41" t="str">
        <f>IF(データ!M809="","",データ!M809)</f>
        <v/>
      </c>
      <c r="O812" s="42">
        <f>データ!N809</f>
        <v>0</v>
      </c>
      <c r="P812" s="48">
        <f>IF($C812="集計行","",データ!O809)</f>
        <v>0</v>
      </c>
      <c r="Q812" s="48">
        <f>データ!P809</f>
        <v>0</v>
      </c>
      <c r="R812" s="39" t="str">
        <f>IF(OR($C812="総括",$C812="内訳書",$C812="内訳代価",$C812="明細書",$C812="明細代価",$C812="代価表",$C812="単価表"),データ!Q809,"")</f>
        <v/>
      </c>
      <c r="S812" s="11" t="str">
        <f t="shared" si="74"/>
        <v/>
      </c>
      <c r="T812" s="46" t="e">
        <f t="shared" si="75"/>
        <v>#DIV/0!</v>
      </c>
      <c r="U812" s="40" t="str">
        <f>IF(データ!R809="","",データ!R809)</f>
        <v/>
      </c>
      <c r="V812" s="41" t="str">
        <f>IF(データ!S809="","",データ!S809)</f>
        <v/>
      </c>
      <c r="W812" s="42">
        <f>データ!T809</f>
        <v>0</v>
      </c>
      <c r="X812" s="48">
        <f>IF($C812="集計行","",データ!U809)</f>
        <v>0</v>
      </c>
      <c r="Y812" s="48">
        <f>データ!V809</f>
        <v>0</v>
      </c>
      <c r="Z812" s="39" t="str">
        <f>IF(OR($C812="総括",$C812="内訳書",$C812="内訳代価",$C812="明細書",$C812="明細代価",$C812="代価表",$C812="単価表"),データ!W809,"")</f>
        <v/>
      </c>
      <c r="AA812" s="11" t="str">
        <f t="shared" si="76"/>
        <v/>
      </c>
      <c r="AB812" s="46" t="e">
        <f t="shared" si="77"/>
        <v>#DIV/0!</v>
      </c>
      <c r="AC812" s="40" t="str">
        <f>IF(データ!X809="","",データ!X809)</f>
        <v/>
      </c>
      <c r="AD812" s="41" t="str">
        <f>IF(データ!Y809="","",データ!Y809)</f>
        <v/>
      </c>
      <c r="AE812" s="47" t="str">
        <f>TRIM(データ!B809)</f>
        <v/>
      </c>
      <c r="AF812" s="43" t="str">
        <f>TRIM(データ!Z809)</f>
        <v/>
      </c>
    </row>
    <row r="813" spans="1:32" x14ac:dyDescent="0.15">
      <c r="A813" s="47">
        <f>データ!A810</f>
        <v>1</v>
      </c>
      <c r="B813" s="47" t="str">
        <f>TRIM(データ!C810)</f>
        <v/>
      </c>
      <c r="C813" s="47" t="str">
        <f>TRIM(データ!D810)</f>
        <v>内訳書</v>
      </c>
      <c r="D813" s="36" t="str">
        <f>REPT("｜",$A813)&amp;TRIM(データ!E810)</f>
        <v>｜ガードポール基礎設置</v>
      </c>
      <c r="E813" s="37" t="str">
        <f>TRIM(データ!F810)</f>
        <v/>
      </c>
      <c r="F813" s="38" t="str">
        <f>TRIM(データ!G810)</f>
        <v>式</v>
      </c>
      <c r="G813" s="50">
        <f>データ!H810</f>
        <v>1</v>
      </c>
      <c r="H813" s="48">
        <f>データ!I810</f>
        <v>120000</v>
      </c>
      <c r="I813" s="48">
        <f>データ!J810</f>
        <v>120000</v>
      </c>
      <c r="J813" s="39">
        <f>IF(OR($C813="総括",$C813="内訳書",$C813="内訳代価",$C813="明細書",$C813="明細代価",$C813="代価表",$C813="単価表"),データ!K810,"")</f>
        <v>1</v>
      </c>
      <c r="K813" s="11" t="str">
        <f t="shared" si="72"/>
        <v/>
      </c>
      <c r="L813" s="46">
        <f t="shared" si="73"/>
        <v>1.7277871366247679E-3</v>
      </c>
      <c r="M813" s="40" t="str">
        <f>IF(データ!L810="","",データ!L810)</f>
        <v/>
      </c>
      <c r="N813" s="41" t="str">
        <f>IF(データ!M810="","",データ!M810)</f>
        <v>106号内訳書</v>
      </c>
      <c r="O813" s="42">
        <f>データ!N810</f>
        <v>0</v>
      </c>
      <c r="P813" s="48">
        <f>IF($C813="集計行","",データ!O810)</f>
        <v>0</v>
      </c>
      <c r="Q813" s="48">
        <f>データ!P810</f>
        <v>0</v>
      </c>
      <c r="R813" s="39">
        <f>IF(OR($C813="総括",$C813="内訳書",$C813="内訳代価",$C813="明細書",$C813="明細代価",$C813="代価表",$C813="単価表"),データ!Q810,"")</f>
        <v>0</v>
      </c>
      <c r="S813" s="11" t="str">
        <f t="shared" si="74"/>
        <v/>
      </c>
      <c r="T813" s="46" t="e">
        <f t="shared" si="75"/>
        <v>#DIV/0!</v>
      </c>
      <c r="U813" s="40" t="str">
        <f>IF(データ!R810="","",データ!R810)</f>
        <v/>
      </c>
      <c r="V813" s="41" t="str">
        <f>IF(データ!S810="","",データ!S810)</f>
        <v/>
      </c>
      <c r="W813" s="42">
        <f>データ!T810</f>
        <v>0</v>
      </c>
      <c r="X813" s="48">
        <f>IF($C813="集計行","",データ!U810)</f>
        <v>0</v>
      </c>
      <c r="Y813" s="48">
        <f>データ!V810</f>
        <v>0</v>
      </c>
      <c r="Z813" s="39">
        <f>IF(OR($C813="総括",$C813="内訳書",$C813="内訳代価",$C813="明細書",$C813="明細代価",$C813="代価表",$C813="単価表"),データ!W810,"")</f>
        <v>0</v>
      </c>
      <c r="AA813" s="11" t="str">
        <f t="shared" si="76"/>
        <v/>
      </c>
      <c r="AB813" s="46" t="e">
        <f t="shared" si="77"/>
        <v>#DIV/0!</v>
      </c>
      <c r="AC813" s="40" t="str">
        <f>IF(データ!X810="","",データ!X810)</f>
        <v/>
      </c>
      <c r="AD813" s="41" t="str">
        <f>IF(データ!Y810="","",データ!Y810)</f>
        <v/>
      </c>
      <c r="AE813" s="47" t="str">
        <f>TRIM(データ!B810)</f>
        <v/>
      </c>
      <c r="AF813" s="43" t="str">
        <f>TRIM(データ!Z810)</f>
        <v/>
      </c>
    </row>
    <row r="814" spans="1:32" x14ac:dyDescent="0.15">
      <c r="A814" s="47">
        <f>データ!A811</f>
        <v>2</v>
      </c>
      <c r="B814" s="47" t="str">
        <f>TRIM(データ!C811)</f>
        <v/>
      </c>
      <c r="C814" s="47" t="str">
        <f>TRIM(データ!D811)</f>
        <v>労務費</v>
      </c>
      <c r="D814" s="36" t="str">
        <f>REPT("｜",$A814)&amp;TRIM(データ!E811)</f>
        <v>｜｜普通作業員</v>
      </c>
      <c r="E814" s="37" t="str">
        <f>TRIM(データ!F811)</f>
        <v/>
      </c>
      <c r="F814" s="38" t="str">
        <f>TRIM(データ!G811)</f>
        <v>人</v>
      </c>
      <c r="G814" s="50">
        <f>データ!H811</f>
        <v>1</v>
      </c>
      <c r="H814" s="48">
        <f>データ!I811</f>
        <v>25000</v>
      </c>
      <c r="I814" s="48">
        <f>データ!J811</f>
        <v>25000</v>
      </c>
      <c r="J814" s="39" t="str">
        <f>IF(OR($C814="総括",$C814="内訳書",$C814="内訳代価",$C814="明細書",$C814="明細代価",$C814="代価表",$C814="単価表"),データ!K811,"")</f>
        <v/>
      </c>
      <c r="K814" s="11" t="str">
        <f t="shared" si="72"/>
        <v/>
      </c>
      <c r="L814" s="46">
        <f t="shared" si="73"/>
        <v>3.599556534634933E-4</v>
      </c>
      <c r="M814" s="40" t="str">
        <f>IF(データ!L811="","",データ!L811)</f>
        <v/>
      </c>
      <c r="N814" s="41" t="str">
        <f>IF(データ!M811="","",データ!M811)</f>
        <v/>
      </c>
      <c r="O814" s="42">
        <f>データ!N811</f>
        <v>0</v>
      </c>
      <c r="P814" s="48">
        <f>IF($C814="集計行","",データ!O811)</f>
        <v>0</v>
      </c>
      <c r="Q814" s="48">
        <f>データ!P811</f>
        <v>0</v>
      </c>
      <c r="R814" s="39" t="str">
        <f>IF(OR($C814="総括",$C814="内訳書",$C814="内訳代価",$C814="明細書",$C814="明細代価",$C814="代価表",$C814="単価表"),データ!Q811,"")</f>
        <v/>
      </c>
      <c r="S814" s="11" t="str">
        <f t="shared" si="74"/>
        <v/>
      </c>
      <c r="T814" s="46" t="e">
        <f t="shared" si="75"/>
        <v>#DIV/0!</v>
      </c>
      <c r="U814" s="40" t="str">
        <f>IF(データ!R811="","",データ!R811)</f>
        <v/>
      </c>
      <c r="V814" s="41" t="str">
        <f>IF(データ!S811="","",データ!S811)</f>
        <v/>
      </c>
      <c r="W814" s="42">
        <f>データ!T811</f>
        <v>0</v>
      </c>
      <c r="X814" s="48">
        <f>IF($C814="集計行","",データ!U811)</f>
        <v>0</v>
      </c>
      <c r="Y814" s="48">
        <f>データ!V811</f>
        <v>0</v>
      </c>
      <c r="Z814" s="39" t="str">
        <f>IF(OR($C814="総括",$C814="内訳書",$C814="内訳代価",$C814="明細書",$C814="明細代価",$C814="代価表",$C814="単価表"),データ!W811,"")</f>
        <v/>
      </c>
      <c r="AA814" s="11" t="str">
        <f t="shared" si="76"/>
        <v/>
      </c>
      <c r="AB814" s="46" t="e">
        <f t="shared" si="77"/>
        <v>#DIV/0!</v>
      </c>
      <c r="AC814" s="40" t="str">
        <f>IF(データ!X811="","",データ!X811)</f>
        <v/>
      </c>
      <c r="AD814" s="41" t="str">
        <f>IF(データ!Y811="","",データ!Y811)</f>
        <v/>
      </c>
      <c r="AE814" s="47" t="str">
        <f>TRIM(データ!B811)</f>
        <v/>
      </c>
      <c r="AF814" s="43" t="str">
        <f>TRIM(データ!Z811)</f>
        <v/>
      </c>
    </row>
    <row r="815" spans="1:32" x14ac:dyDescent="0.15">
      <c r="A815" s="47">
        <f>データ!A812</f>
        <v>2</v>
      </c>
      <c r="B815" s="47" t="str">
        <f>TRIM(データ!C812)</f>
        <v/>
      </c>
      <c r="C815" s="47" t="str">
        <f>TRIM(データ!D812)</f>
        <v>材料費</v>
      </c>
      <c r="D815" s="36" t="str">
        <f>REPT("｜",$A815)&amp;TRIM(データ!E812)</f>
        <v>｜｜基礎ブロック</v>
      </c>
      <c r="E815" s="37" t="str">
        <f>TRIM(データ!F812)</f>
        <v>400×500×500</v>
      </c>
      <c r="F815" s="38" t="str">
        <f>TRIM(データ!G812)</f>
        <v>個</v>
      </c>
      <c r="G815" s="50">
        <f>データ!H812</f>
        <v>10</v>
      </c>
      <c r="H815" s="48">
        <f>データ!I812</f>
        <v>9500</v>
      </c>
      <c r="I815" s="48">
        <f>データ!J812</f>
        <v>95000</v>
      </c>
      <c r="J815" s="39" t="str">
        <f>IF(OR($C815="総括",$C815="内訳書",$C815="内訳代価",$C815="明細書",$C815="明細代価",$C815="代価表",$C815="単価表"),データ!K812,"")</f>
        <v/>
      </c>
      <c r="K815" s="11" t="str">
        <f t="shared" si="72"/>
        <v/>
      </c>
      <c r="L815" s="46">
        <f t="shared" si="73"/>
        <v>1.3678314831612746E-3</v>
      </c>
      <c r="M815" s="40" t="str">
        <f>IF(データ!L812="","",データ!L812)</f>
        <v/>
      </c>
      <c r="N815" s="41" t="str">
        <f>IF(データ!M812="","",データ!M812)</f>
        <v/>
      </c>
      <c r="O815" s="42">
        <f>データ!N812</f>
        <v>0</v>
      </c>
      <c r="P815" s="48">
        <f>IF($C815="集計行","",データ!O812)</f>
        <v>0</v>
      </c>
      <c r="Q815" s="48">
        <f>データ!P812</f>
        <v>0</v>
      </c>
      <c r="R815" s="39" t="str">
        <f>IF(OR($C815="総括",$C815="内訳書",$C815="内訳代価",$C815="明細書",$C815="明細代価",$C815="代価表",$C815="単価表"),データ!Q812,"")</f>
        <v/>
      </c>
      <c r="S815" s="11" t="str">
        <f t="shared" si="74"/>
        <v/>
      </c>
      <c r="T815" s="46" t="e">
        <f t="shared" si="75"/>
        <v>#DIV/0!</v>
      </c>
      <c r="U815" s="40" t="str">
        <f>IF(データ!R812="","",データ!R812)</f>
        <v/>
      </c>
      <c r="V815" s="41" t="str">
        <f>IF(データ!S812="","",データ!S812)</f>
        <v/>
      </c>
      <c r="W815" s="42">
        <f>データ!T812</f>
        <v>0</v>
      </c>
      <c r="X815" s="48">
        <f>IF($C815="集計行","",データ!U812)</f>
        <v>0</v>
      </c>
      <c r="Y815" s="48">
        <f>データ!V812</f>
        <v>0</v>
      </c>
      <c r="Z815" s="39" t="str">
        <f>IF(OR($C815="総括",$C815="内訳書",$C815="内訳代価",$C815="明細書",$C815="明細代価",$C815="代価表",$C815="単価表"),データ!W812,"")</f>
        <v/>
      </c>
      <c r="AA815" s="11" t="str">
        <f t="shared" si="76"/>
        <v/>
      </c>
      <c r="AB815" s="46" t="e">
        <f t="shared" si="77"/>
        <v>#DIV/0!</v>
      </c>
      <c r="AC815" s="40" t="str">
        <f>IF(データ!X812="","",データ!X812)</f>
        <v/>
      </c>
      <c r="AD815" s="41" t="str">
        <f>IF(データ!Y812="","",データ!Y812)</f>
        <v/>
      </c>
      <c r="AE815" s="47" t="str">
        <f>TRIM(データ!B812)</f>
        <v/>
      </c>
      <c r="AF815" s="43" t="str">
        <f>TRIM(データ!Z812)</f>
        <v/>
      </c>
    </row>
    <row r="816" spans="1:32" x14ac:dyDescent="0.15">
      <c r="A816" s="47">
        <f>データ!A813</f>
        <v>1</v>
      </c>
      <c r="B816" s="47" t="str">
        <f>TRIM(データ!C813)</f>
        <v/>
      </c>
      <c r="C816" s="47" t="str">
        <f>TRIM(データ!D813)</f>
        <v>内訳書</v>
      </c>
      <c r="D816" s="36" t="str">
        <f>REPT("｜",$A816)&amp;TRIM(データ!E813)</f>
        <v>｜沈下防止コンクリート型枠組払い</v>
      </c>
      <c r="E816" s="37" t="str">
        <f>TRIM(データ!F813)</f>
        <v/>
      </c>
      <c r="F816" s="38" t="str">
        <f>TRIM(データ!G813)</f>
        <v>式</v>
      </c>
      <c r="G816" s="50">
        <f>データ!H813</f>
        <v>1</v>
      </c>
      <c r="H816" s="48">
        <f>データ!I813</f>
        <v>50000</v>
      </c>
      <c r="I816" s="48">
        <f>データ!J813</f>
        <v>50000</v>
      </c>
      <c r="J816" s="39">
        <f>IF(OR($C816="総括",$C816="内訳書",$C816="内訳代価",$C816="明細書",$C816="明細代価",$C816="代価表",$C816="単価表"),データ!K813,"")</f>
        <v>1</v>
      </c>
      <c r="K816" s="11" t="str">
        <f t="shared" si="72"/>
        <v/>
      </c>
      <c r="L816" s="46">
        <f t="shared" si="73"/>
        <v>7.1991130692698659E-4</v>
      </c>
      <c r="M816" s="40" t="str">
        <f>IF(データ!L813="","",データ!L813)</f>
        <v/>
      </c>
      <c r="N816" s="41" t="str">
        <f>IF(データ!M813="","",データ!M813)</f>
        <v>107号内訳書</v>
      </c>
      <c r="O816" s="42">
        <f>データ!N813</f>
        <v>0</v>
      </c>
      <c r="P816" s="48">
        <f>IF($C816="集計行","",データ!O813)</f>
        <v>0</v>
      </c>
      <c r="Q816" s="48">
        <f>データ!P813</f>
        <v>0</v>
      </c>
      <c r="R816" s="39">
        <f>IF(OR($C816="総括",$C816="内訳書",$C816="内訳代価",$C816="明細書",$C816="明細代価",$C816="代価表",$C816="単価表"),データ!Q813,"")</f>
        <v>0</v>
      </c>
      <c r="S816" s="11" t="str">
        <f t="shared" si="74"/>
        <v/>
      </c>
      <c r="T816" s="46" t="e">
        <f t="shared" si="75"/>
        <v>#DIV/0!</v>
      </c>
      <c r="U816" s="40" t="str">
        <f>IF(データ!R813="","",データ!R813)</f>
        <v/>
      </c>
      <c r="V816" s="41" t="str">
        <f>IF(データ!S813="","",データ!S813)</f>
        <v/>
      </c>
      <c r="W816" s="42">
        <f>データ!T813</f>
        <v>0</v>
      </c>
      <c r="X816" s="48">
        <f>IF($C816="集計行","",データ!U813)</f>
        <v>0</v>
      </c>
      <c r="Y816" s="48">
        <f>データ!V813</f>
        <v>0</v>
      </c>
      <c r="Z816" s="39">
        <f>IF(OR($C816="総括",$C816="内訳書",$C816="内訳代価",$C816="明細書",$C816="明細代価",$C816="代価表",$C816="単価表"),データ!W813,"")</f>
        <v>0</v>
      </c>
      <c r="AA816" s="11" t="str">
        <f t="shared" si="76"/>
        <v/>
      </c>
      <c r="AB816" s="46" t="e">
        <f t="shared" si="77"/>
        <v>#DIV/0!</v>
      </c>
      <c r="AC816" s="40" t="str">
        <f>IF(データ!X813="","",データ!X813)</f>
        <v/>
      </c>
      <c r="AD816" s="41" t="str">
        <f>IF(データ!Y813="","",データ!Y813)</f>
        <v/>
      </c>
      <c r="AE816" s="47" t="str">
        <f>TRIM(データ!B813)</f>
        <v/>
      </c>
      <c r="AF816" s="43" t="str">
        <f>TRIM(データ!Z813)</f>
        <v/>
      </c>
    </row>
    <row r="817" spans="1:32" x14ac:dyDescent="0.15">
      <c r="A817" s="47">
        <f>データ!A814</f>
        <v>2</v>
      </c>
      <c r="B817" s="47" t="str">
        <f>TRIM(データ!C814)</f>
        <v/>
      </c>
      <c r="C817" s="47" t="str">
        <f>TRIM(データ!D814)</f>
        <v>労務費</v>
      </c>
      <c r="D817" s="36" t="str">
        <f>REPT("｜",$A817)&amp;TRIM(データ!E814)</f>
        <v>｜｜普通作業員</v>
      </c>
      <c r="E817" s="37" t="str">
        <f>TRIM(データ!F814)</f>
        <v/>
      </c>
      <c r="F817" s="38" t="str">
        <f>TRIM(データ!G814)</f>
        <v>人</v>
      </c>
      <c r="G817" s="50">
        <f>データ!H814</f>
        <v>2</v>
      </c>
      <c r="H817" s="48">
        <f>データ!I814</f>
        <v>25000</v>
      </c>
      <c r="I817" s="48">
        <f>データ!J814</f>
        <v>50000</v>
      </c>
      <c r="J817" s="39" t="str">
        <f>IF(OR($C817="総括",$C817="内訳書",$C817="内訳代価",$C817="明細書",$C817="明細代価",$C817="代価表",$C817="単価表"),データ!K814,"")</f>
        <v/>
      </c>
      <c r="K817" s="11" t="str">
        <f t="shared" si="72"/>
        <v/>
      </c>
      <c r="L817" s="46">
        <f t="shared" si="73"/>
        <v>7.1991130692698659E-4</v>
      </c>
      <c r="M817" s="40" t="str">
        <f>IF(データ!L814="","",データ!L814)</f>
        <v/>
      </c>
      <c r="N817" s="41" t="str">
        <f>IF(データ!M814="","",データ!M814)</f>
        <v/>
      </c>
      <c r="O817" s="42">
        <f>データ!N814</f>
        <v>0</v>
      </c>
      <c r="P817" s="48">
        <f>IF($C817="集計行","",データ!O814)</f>
        <v>0</v>
      </c>
      <c r="Q817" s="48">
        <f>データ!P814</f>
        <v>0</v>
      </c>
      <c r="R817" s="39" t="str">
        <f>IF(OR($C817="総括",$C817="内訳書",$C817="内訳代価",$C817="明細書",$C817="明細代価",$C817="代価表",$C817="単価表"),データ!Q814,"")</f>
        <v/>
      </c>
      <c r="S817" s="11" t="str">
        <f t="shared" si="74"/>
        <v/>
      </c>
      <c r="T817" s="46" t="e">
        <f t="shared" si="75"/>
        <v>#DIV/0!</v>
      </c>
      <c r="U817" s="40" t="str">
        <f>IF(データ!R814="","",データ!R814)</f>
        <v/>
      </c>
      <c r="V817" s="41" t="str">
        <f>IF(データ!S814="","",データ!S814)</f>
        <v/>
      </c>
      <c r="W817" s="42">
        <f>データ!T814</f>
        <v>0</v>
      </c>
      <c r="X817" s="48">
        <f>IF($C817="集計行","",データ!U814)</f>
        <v>0</v>
      </c>
      <c r="Y817" s="48">
        <f>データ!V814</f>
        <v>0</v>
      </c>
      <c r="Z817" s="39" t="str">
        <f>IF(OR($C817="総括",$C817="内訳書",$C817="内訳代価",$C817="明細書",$C817="明細代価",$C817="代価表",$C817="単価表"),データ!W814,"")</f>
        <v/>
      </c>
      <c r="AA817" s="11" t="str">
        <f t="shared" si="76"/>
        <v/>
      </c>
      <c r="AB817" s="46" t="e">
        <f t="shared" si="77"/>
        <v>#DIV/0!</v>
      </c>
      <c r="AC817" s="40" t="str">
        <f>IF(データ!X814="","",データ!X814)</f>
        <v/>
      </c>
      <c r="AD817" s="41" t="str">
        <f>IF(データ!Y814="","",データ!Y814)</f>
        <v/>
      </c>
      <c r="AE817" s="47" t="str">
        <f>TRIM(データ!B814)</f>
        <v/>
      </c>
      <c r="AF817" s="43" t="str">
        <f>TRIM(データ!Z814)</f>
        <v/>
      </c>
    </row>
    <row r="818" spans="1:32" x14ac:dyDescent="0.15">
      <c r="A818" s="47">
        <f>データ!A815</f>
        <v>1</v>
      </c>
      <c r="B818" s="47" t="str">
        <f>TRIM(データ!C815)</f>
        <v/>
      </c>
      <c r="C818" s="47" t="str">
        <f>TRIM(データ!D815)</f>
        <v>内訳書</v>
      </c>
      <c r="D818" s="36" t="str">
        <f>REPT("｜",$A818)&amp;TRIM(データ!E815)</f>
        <v>｜看板基礎設置</v>
      </c>
      <c r="E818" s="37" t="str">
        <f>TRIM(データ!F815)</f>
        <v>掘削、型枠、配筋、打設</v>
      </c>
      <c r="F818" s="38" t="str">
        <f>TRIM(データ!G815)</f>
        <v>式</v>
      </c>
      <c r="G818" s="50">
        <f>データ!H815</f>
        <v>1</v>
      </c>
      <c r="H818" s="48">
        <f>データ!I815</f>
        <v>55000</v>
      </c>
      <c r="I818" s="48">
        <f>データ!J815</f>
        <v>55000</v>
      </c>
      <c r="J818" s="39">
        <f>IF(OR($C818="総括",$C818="内訳書",$C818="内訳代価",$C818="明細書",$C818="明細代価",$C818="代価表",$C818="単価表"),データ!K815,"")</f>
        <v>1</v>
      </c>
      <c r="K818" s="11" t="str">
        <f t="shared" si="72"/>
        <v/>
      </c>
      <c r="L818" s="46">
        <f t="shared" si="73"/>
        <v>7.9190243761968521E-4</v>
      </c>
      <c r="M818" s="40" t="str">
        <f>IF(データ!L815="","",データ!L815)</f>
        <v/>
      </c>
      <c r="N818" s="41" t="str">
        <f>IF(データ!M815="","",データ!M815)</f>
        <v>108号内訳書</v>
      </c>
      <c r="O818" s="42">
        <f>データ!N815</f>
        <v>0</v>
      </c>
      <c r="P818" s="48">
        <f>IF($C818="集計行","",データ!O815)</f>
        <v>0</v>
      </c>
      <c r="Q818" s="48">
        <f>データ!P815</f>
        <v>0</v>
      </c>
      <c r="R818" s="39">
        <f>IF(OR($C818="総括",$C818="内訳書",$C818="内訳代価",$C818="明細書",$C818="明細代価",$C818="代価表",$C818="単価表"),データ!Q815,"")</f>
        <v>0</v>
      </c>
      <c r="S818" s="11" t="str">
        <f t="shared" si="74"/>
        <v/>
      </c>
      <c r="T818" s="46" t="e">
        <f t="shared" si="75"/>
        <v>#DIV/0!</v>
      </c>
      <c r="U818" s="40" t="str">
        <f>IF(データ!R815="","",データ!R815)</f>
        <v/>
      </c>
      <c r="V818" s="41" t="str">
        <f>IF(データ!S815="","",データ!S815)</f>
        <v/>
      </c>
      <c r="W818" s="42">
        <f>データ!T815</f>
        <v>0</v>
      </c>
      <c r="X818" s="48">
        <f>IF($C818="集計行","",データ!U815)</f>
        <v>0</v>
      </c>
      <c r="Y818" s="48">
        <f>データ!V815</f>
        <v>0</v>
      </c>
      <c r="Z818" s="39">
        <f>IF(OR($C818="総括",$C818="内訳書",$C818="内訳代価",$C818="明細書",$C818="明細代価",$C818="代価表",$C818="単価表"),データ!W815,"")</f>
        <v>0</v>
      </c>
      <c r="AA818" s="11" t="str">
        <f t="shared" si="76"/>
        <v/>
      </c>
      <c r="AB818" s="46" t="e">
        <f t="shared" si="77"/>
        <v>#DIV/0!</v>
      </c>
      <c r="AC818" s="40" t="str">
        <f>IF(データ!X815="","",データ!X815)</f>
        <v/>
      </c>
      <c r="AD818" s="41" t="str">
        <f>IF(データ!Y815="","",データ!Y815)</f>
        <v/>
      </c>
      <c r="AE818" s="47" t="str">
        <f>TRIM(データ!B815)</f>
        <v/>
      </c>
      <c r="AF818" s="43" t="str">
        <f>TRIM(データ!Z815)</f>
        <v/>
      </c>
    </row>
    <row r="819" spans="1:32" x14ac:dyDescent="0.15">
      <c r="A819" s="47">
        <f>データ!A816</f>
        <v>2</v>
      </c>
      <c r="B819" s="47" t="str">
        <f>TRIM(データ!C816)</f>
        <v/>
      </c>
      <c r="C819" s="47" t="str">
        <f>TRIM(データ!D816)</f>
        <v>労務費</v>
      </c>
      <c r="D819" s="36" t="str">
        <f>REPT("｜",$A819)&amp;TRIM(データ!E816)</f>
        <v>｜｜特殊作業員</v>
      </c>
      <c r="E819" s="37" t="str">
        <f>TRIM(データ!F816)</f>
        <v/>
      </c>
      <c r="F819" s="38" t="str">
        <f>TRIM(データ!G816)</f>
        <v>人</v>
      </c>
      <c r="G819" s="50">
        <f>データ!H816</f>
        <v>0.5</v>
      </c>
      <c r="H819" s="48">
        <f>データ!I816</f>
        <v>25000</v>
      </c>
      <c r="I819" s="48">
        <f>データ!J816</f>
        <v>12500</v>
      </c>
      <c r="J819" s="39" t="str">
        <f>IF(OR($C819="総括",$C819="内訳書",$C819="内訳代価",$C819="明細書",$C819="明細代価",$C819="代価表",$C819="単価表"),データ!K816,"")</f>
        <v/>
      </c>
      <c r="K819" s="11" t="str">
        <f t="shared" si="72"/>
        <v/>
      </c>
      <c r="L819" s="46">
        <f t="shared" si="73"/>
        <v>1.7997782673174665E-4</v>
      </c>
      <c r="M819" s="40" t="str">
        <f>IF(データ!L816="","",データ!L816)</f>
        <v/>
      </c>
      <c r="N819" s="41" t="str">
        <f>IF(データ!M816="","",データ!M816)</f>
        <v/>
      </c>
      <c r="O819" s="42">
        <f>データ!N816</f>
        <v>0</v>
      </c>
      <c r="P819" s="48">
        <f>IF($C819="集計行","",データ!O816)</f>
        <v>0</v>
      </c>
      <c r="Q819" s="48">
        <f>データ!P816</f>
        <v>0</v>
      </c>
      <c r="R819" s="39" t="str">
        <f>IF(OR($C819="総括",$C819="内訳書",$C819="内訳代価",$C819="明細書",$C819="明細代価",$C819="代価表",$C819="単価表"),データ!Q816,"")</f>
        <v/>
      </c>
      <c r="S819" s="11" t="str">
        <f t="shared" si="74"/>
        <v/>
      </c>
      <c r="T819" s="46" t="e">
        <f t="shared" si="75"/>
        <v>#DIV/0!</v>
      </c>
      <c r="U819" s="40" t="str">
        <f>IF(データ!R816="","",データ!R816)</f>
        <v/>
      </c>
      <c r="V819" s="41" t="str">
        <f>IF(データ!S816="","",データ!S816)</f>
        <v/>
      </c>
      <c r="W819" s="42">
        <f>データ!T816</f>
        <v>0</v>
      </c>
      <c r="X819" s="48">
        <f>IF($C819="集計行","",データ!U816)</f>
        <v>0</v>
      </c>
      <c r="Y819" s="48">
        <f>データ!V816</f>
        <v>0</v>
      </c>
      <c r="Z819" s="39" t="str">
        <f>IF(OR($C819="総括",$C819="内訳書",$C819="内訳代価",$C819="明細書",$C819="明細代価",$C819="代価表",$C819="単価表"),データ!W816,"")</f>
        <v/>
      </c>
      <c r="AA819" s="11" t="str">
        <f t="shared" si="76"/>
        <v/>
      </c>
      <c r="AB819" s="46" t="e">
        <f t="shared" si="77"/>
        <v>#DIV/0!</v>
      </c>
      <c r="AC819" s="40" t="str">
        <f>IF(データ!X816="","",データ!X816)</f>
        <v/>
      </c>
      <c r="AD819" s="41" t="str">
        <f>IF(データ!Y816="","",データ!Y816)</f>
        <v/>
      </c>
      <c r="AE819" s="47" t="str">
        <f>TRIM(データ!B816)</f>
        <v/>
      </c>
      <c r="AF819" s="43" t="str">
        <f>TRIM(データ!Z816)</f>
        <v/>
      </c>
    </row>
    <row r="820" spans="1:32" x14ac:dyDescent="0.15">
      <c r="A820" s="47">
        <f>データ!A817</f>
        <v>2</v>
      </c>
      <c r="B820" s="47" t="str">
        <f>TRIM(データ!C817)</f>
        <v/>
      </c>
      <c r="C820" s="47" t="str">
        <f>TRIM(データ!D817)</f>
        <v>労務費</v>
      </c>
      <c r="D820" s="36" t="str">
        <f>REPT("｜",$A820)&amp;TRIM(データ!E817)</f>
        <v>｜｜普通作業員</v>
      </c>
      <c r="E820" s="37" t="str">
        <f>TRIM(データ!F817)</f>
        <v/>
      </c>
      <c r="F820" s="38" t="str">
        <f>TRIM(データ!G817)</f>
        <v>人</v>
      </c>
      <c r="G820" s="50">
        <f>データ!H817</f>
        <v>1.5</v>
      </c>
      <c r="H820" s="48">
        <f>データ!I817</f>
        <v>25000</v>
      </c>
      <c r="I820" s="48">
        <f>データ!J817</f>
        <v>37500</v>
      </c>
      <c r="J820" s="39" t="str">
        <f>IF(OR($C820="総括",$C820="内訳書",$C820="内訳代価",$C820="明細書",$C820="明細代価",$C820="代価表",$C820="単価表"),データ!K817,"")</f>
        <v/>
      </c>
      <c r="K820" s="11" t="str">
        <f t="shared" si="72"/>
        <v/>
      </c>
      <c r="L820" s="46">
        <f t="shared" si="73"/>
        <v>5.3993348019523994E-4</v>
      </c>
      <c r="M820" s="40" t="str">
        <f>IF(データ!L817="","",データ!L817)</f>
        <v/>
      </c>
      <c r="N820" s="41" t="str">
        <f>IF(データ!M817="","",データ!M817)</f>
        <v/>
      </c>
      <c r="O820" s="42">
        <f>データ!N817</f>
        <v>0</v>
      </c>
      <c r="P820" s="48">
        <f>IF($C820="集計行","",データ!O817)</f>
        <v>0</v>
      </c>
      <c r="Q820" s="48">
        <f>データ!P817</f>
        <v>0</v>
      </c>
      <c r="R820" s="39" t="str">
        <f>IF(OR($C820="総括",$C820="内訳書",$C820="内訳代価",$C820="明細書",$C820="明細代価",$C820="代価表",$C820="単価表"),データ!Q817,"")</f>
        <v/>
      </c>
      <c r="S820" s="11" t="str">
        <f t="shared" si="74"/>
        <v/>
      </c>
      <c r="T820" s="46" t="e">
        <f t="shared" si="75"/>
        <v>#DIV/0!</v>
      </c>
      <c r="U820" s="40" t="str">
        <f>IF(データ!R817="","",データ!R817)</f>
        <v/>
      </c>
      <c r="V820" s="41" t="str">
        <f>IF(データ!S817="","",データ!S817)</f>
        <v/>
      </c>
      <c r="W820" s="42">
        <f>データ!T817</f>
        <v>0</v>
      </c>
      <c r="X820" s="48">
        <f>IF($C820="集計行","",データ!U817)</f>
        <v>0</v>
      </c>
      <c r="Y820" s="48">
        <f>データ!V817</f>
        <v>0</v>
      </c>
      <c r="Z820" s="39" t="str">
        <f>IF(OR($C820="総括",$C820="内訳書",$C820="内訳代価",$C820="明細書",$C820="明細代価",$C820="代価表",$C820="単価表"),データ!W817,"")</f>
        <v/>
      </c>
      <c r="AA820" s="11" t="str">
        <f t="shared" si="76"/>
        <v/>
      </c>
      <c r="AB820" s="46" t="e">
        <f t="shared" si="77"/>
        <v>#DIV/0!</v>
      </c>
      <c r="AC820" s="40" t="str">
        <f>IF(データ!X817="","",データ!X817)</f>
        <v/>
      </c>
      <c r="AD820" s="41" t="str">
        <f>IF(データ!Y817="","",データ!Y817)</f>
        <v/>
      </c>
      <c r="AE820" s="47" t="str">
        <f>TRIM(データ!B817)</f>
        <v/>
      </c>
      <c r="AF820" s="43" t="str">
        <f>TRIM(データ!Z817)</f>
        <v/>
      </c>
    </row>
    <row r="821" spans="1:32" x14ac:dyDescent="0.15">
      <c r="A821" s="47">
        <f>データ!A818</f>
        <v>2</v>
      </c>
      <c r="B821" s="47" t="str">
        <f>TRIM(データ!C818)</f>
        <v/>
      </c>
      <c r="C821" s="47" t="str">
        <f>TRIM(データ!D818)</f>
        <v>機械費</v>
      </c>
      <c r="D821" s="36" t="str">
        <f>REPT("｜",$A821)&amp;TRIM(データ!E818)</f>
        <v>｜｜バックホウ0.15m3</v>
      </c>
      <c r="E821" s="37" t="str">
        <f>TRIM(データ!F818)</f>
        <v/>
      </c>
      <c r="F821" s="38" t="str">
        <f>TRIM(データ!G818)</f>
        <v>台</v>
      </c>
      <c r="G821" s="50">
        <f>データ!H818</f>
        <v>0.5</v>
      </c>
      <c r="H821" s="48">
        <f>データ!I818</f>
        <v>10000</v>
      </c>
      <c r="I821" s="48">
        <f>データ!J818</f>
        <v>5000</v>
      </c>
      <c r="J821" s="39" t="str">
        <f>IF(OR($C821="総括",$C821="内訳書",$C821="内訳代価",$C821="明細書",$C821="明細代価",$C821="代価表",$C821="単価表"),データ!K818,"")</f>
        <v/>
      </c>
      <c r="K821" s="11" t="str">
        <f t="shared" si="72"/>
        <v/>
      </c>
      <c r="L821" s="46">
        <f t="shared" si="73"/>
        <v>7.1991130692698657E-5</v>
      </c>
      <c r="M821" s="40" t="str">
        <f>IF(データ!L818="","",データ!L818)</f>
        <v/>
      </c>
      <c r="N821" s="41" t="str">
        <f>IF(データ!M818="","",データ!M818)</f>
        <v/>
      </c>
      <c r="O821" s="42">
        <f>データ!N818</f>
        <v>0</v>
      </c>
      <c r="P821" s="48">
        <f>IF($C821="集計行","",データ!O818)</f>
        <v>0</v>
      </c>
      <c r="Q821" s="48">
        <f>データ!P818</f>
        <v>0</v>
      </c>
      <c r="R821" s="39" t="str">
        <f>IF(OR($C821="総括",$C821="内訳書",$C821="内訳代価",$C821="明細書",$C821="明細代価",$C821="代価表",$C821="単価表"),データ!Q818,"")</f>
        <v/>
      </c>
      <c r="S821" s="11" t="str">
        <f t="shared" si="74"/>
        <v/>
      </c>
      <c r="T821" s="46" t="e">
        <f t="shared" si="75"/>
        <v>#DIV/0!</v>
      </c>
      <c r="U821" s="40" t="str">
        <f>IF(データ!R818="","",データ!R818)</f>
        <v/>
      </c>
      <c r="V821" s="41" t="str">
        <f>IF(データ!S818="","",データ!S818)</f>
        <v/>
      </c>
      <c r="W821" s="42">
        <f>データ!T818</f>
        <v>0</v>
      </c>
      <c r="X821" s="48">
        <f>IF($C821="集計行","",データ!U818)</f>
        <v>0</v>
      </c>
      <c r="Y821" s="48">
        <f>データ!V818</f>
        <v>0</v>
      </c>
      <c r="Z821" s="39" t="str">
        <f>IF(OR($C821="総括",$C821="内訳書",$C821="内訳代価",$C821="明細書",$C821="明細代価",$C821="代価表",$C821="単価表"),データ!W818,"")</f>
        <v/>
      </c>
      <c r="AA821" s="11" t="str">
        <f t="shared" si="76"/>
        <v/>
      </c>
      <c r="AB821" s="46" t="e">
        <f t="shared" si="77"/>
        <v>#DIV/0!</v>
      </c>
      <c r="AC821" s="40" t="str">
        <f>IF(データ!X818="","",データ!X818)</f>
        <v/>
      </c>
      <c r="AD821" s="41" t="str">
        <f>IF(データ!Y818="","",データ!Y818)</f>
        <v/>
      </c>
      <c r="AE821" s="47" t="str">
        <f>TRIM(データ!B818)</f>
        <v/>
      </c>
      <c r="AF821" s="43" t="str">
        <f>TRIM(データ!Z818)</f>
        <v/>
      </c>
    </row>
    <row r="822" spans="1:32" x14ac:dyDescent="0.15">
      <c r="A822" s="47">
        <f>データ!A819</f>
        <v>1</v>
      </c>
      <c r="B822" s="47" t="str">
        <f>TRIM(データ!C819)</f>
        <v/>
      </c>
      <c r="C822" s="47" t="str">
        <f>TRIM(データ!D819)</f>
        <v>内訳書</v>
      </c>
      <c r="D822" s="36" t="str">
        <f>REPT("｜",$A822)&amp;TRIM(データ!E819)</f>
        <v>｜雨桶用浸透桝、標識基礎設置</v>
      </c>
      <c r="E822" s="37" t="str">
        <f>TRIM(データ!F819)</f>
        <v/>
      </c>
      <c r="F822" s="38" t="str">
        <f>TRIM(データ!G819)</f>
        <v>式</v>
      </c>
      <c r="G822" s="50">
        <f>データ!H819</f>
        <v>1</v>
      </c>
      <c r="H822" s="48">
        <f>データ!I819</f>
        <v>36000</v>
      </c>
      <c r="I822" s="48">
        <f>データ!J819</f>
        <v>36000</v>
      </c>
      <c r="J822" s="39">
        <f>IF(OR($C822="総括",$C822="内訳書",$C822="内訳代価",$C822="明細書",$C822="明細代価",$C822="代価表",$C822="単価表"),データ!K819,"")</f>
        <v>1</v>
      </c>
      <c r="K822" s="11" t="str">
        <f t="shared" si="72"/>
        <v/>
      </c>
      <c r="L822" s="46">
        <f t="shared" si="73"/>
        <v>5.1833614098743038E-4</v>
      </c>
      <c r="M822" s="40" t="str">
        <f>IF(データ!L819="","",データ!L819)</f>
        <v/>
      </c>
      <c r="N822" s="41" t="str">
        <f>IF(データ!M819="","",データ!M819)</f>
        <v>109号内訳書</v>
      </c>
      <c r="O822" s="42">
        <f>データ!N819</f>
        <v>0</v>
      </c>
      <c r="P822" s="48">
        <f>IF($C822="集計行","",データ!O819)</f>
        <v>0</v>
      </c>
      <c r="Q822" s="48">
        <f>データ!P819</f>
        <v>0</v>
      </c>
      <c r="R822" s="39">
        <f>IF(OR($C822="総括",$C822="内訳書",$C822="内訳代価",$C822="明細書",$C822="明細代価",$C822="代価表",$C822="単価表"),データ!Q819,"")</f>
        <v>0</v>
      </c>
      <c r="S822" s="11" t="str">
        <f t="shared" si="74"/>
        <v/>
      </c>
      <c r="T822" s="46" t="e">
        <f t="shared" si="75"/>
        <v>#DIV/0!</v>
      </c>
      <c r="U822" s="40" t="str">
        <f>IF(データ!R819="","",データ!R819)</f>
        <v/>
      </c>
      <c r="V822" s="41" t="str">
        <f>IF(データ!S819="","",データ!S819)</f>
        <v/>
      </c>
      <c r="W822" s="42">
        <f>データ!T819</f>
        <v>0</v>
      </c>
      <c r="X822" s="48">
        <f>IF($C822="集計行","",データ!U819)</f>
        <v>0</v>
      </c>
      <c r="Y822" s="48">
        <f>データ!V819</f>
        <v>0</v>
      </c>
      <c r="Z822" s="39">
        <f>IF(OR($C822="総括",$C822="内訳書",$C822="内訳代価",$C822="明細書",$C822="明細代価",$C822="代価表",$C822="単価表"),データ!W819,"")</f>
        <v>0</v>
      </c>
      <c r="AA822" s="11" t="str">
        <f t="shared" si="76"/>
        <v/>
      </c>
      <c r="AB822" s="46" t="e">
        <f t="shared" si="77"/>
        <v>#DIV/0!</v>
      </c>
      <c r="AC822" s="40" t="str">
        <f>IF(データ!X819="","",データ!X819)</f>
        <v/>
      </c>
      <c r="AD822" s="41" t="str">
        <f>IF(データ!Y819="","",データ!Y819)</f>
        <v/>
      </c>
      <c r="AE822" s="47" t="str">
        <f>TRIM(データ!B819)</f>
        <v/>
      </c>
      <c r="AF822" s="43" t="str">
        <f>TRIM(データ!Z819)</f>
        <v/>
      </c>
    </row>
    <row r="823" spans="1:32" x14ac:dyDescent="0.15">
      <c r="A823" s="47">
        <f>データ!A820</f>
        <v>2</v>
      </c>
      <c r="B823" s="47" t="str">
        <f>TRIM(データ!C820)</f>
        <v/>
      </c>
      <c r="C823" s="47" t="str">
        <f>TRIM(データ!D820)</f>
        <v>労務費</v>
      </c>
      <c r="D823" s="36" t="str">
        <f>REPT("｜",$A823)&amp;TRIM(データ!E820)</f>
        <v>｜｜普通作業員</v>
      </c>
      <c r="E823" s="37" t="str">
        <f>TRIM(データ!F820)</f>
        <v/>
      </c>
      <c r="F823" s="38" t="str">
        <f>TRIM(データ!G820)</f>
        <v>人</v>
      </c>
      <c r="G823" s="50">
        <f>データ!H820</f>
        <v>1</v>
      </c>
      <c r="H823" s="48">
        <f>データ!I820</f>
        <v>25000</v>
      </c>
      <c r="I823" s="48">
        <f>データ!J820</f>
        <v>25000</v>
      </c>
      <c r="J823" s="39" t="str">
        <f>IF(OR($C823="総括",$C823="内訳書",$C823="内訳代価",$C823="明細書",$C823="明細代価",$C823="代価表",$C823="単価表"),データ!K820,"")</f>
        <v/>
      </c>
      <c r="K823" s="11" t="str">
        <f t="shared" si="72"/>
        <v/>
      </c>
      <c r="L823" s="46">
        <f t="shared" si="73"/>
        <v>3.599556534634933E-4</v>
      </c>
      <c r="M823" s="40" t="str">
        <f>IF(データ!L820="","",データ!L820)</f>
        <v/>
      </c>
      <c r="N823" s="41" t="str">
        <f>IF(データ!M820="","",データ!M820)</f>
        <v/>
      </c>
      <c r="O823" s="42">
        <f>データ!N820</f>
        <v>0</v>
      </c>
      <c r="P823" s="48">
        <f>IF($C823="集計行","",データ!O820)</f>
        <v>0</v>
      </c>
      <c r="Q823" s="48">
        <f>データ!P820</f>
        <v>0</v>
      </c>
      <c r="R823" s="39" t="str">
        <f>IF(OR($C823="総括",$C823="内訳書",$C823="内訳代価",$C823="明細書",$C823="明細代価",$C823="代価表",$C823="単価表"),データ!Q820,"")</f>
        <v/>
      </c>
      <c r="S823" s="11" t="str">
        <f t="shared" si="74"/>
        <v/>
      </c>
      <c r="T823" s="46" t="e">
        <f t="shared" si="75"/>
        <v>#DIV/0!</v>
      </c>
      <c r="U823" s="40" t="str">
        <f>IF(データ!R820="","",データ!R820)</f>
        <v/>
      </c>
      <c r="V823" s="41" t="str">
        <f>IF(データ!S820="","",データ!S820)</f>
        <v/>
      </c>
      <c r="W823" s="42">
        <f>データ!T820</f>
        <v>0</v>
      </c>
      <c r="X823" s="48">
        <f>IF($C823="集計行","",データ!U820)</f>
        <v>0</v>
      </c>
      <c r="Y823" s="48">
        <f>データ!V820</f>
        <v>0</v>
      </c>
      <c r="Z823" s="39" t="str">
        <f>IF(OR($C823="総括",$C823="内訳書",$C823="内訳代価",$C823="明細書",$C823="明細代価",$C823="代価表",$C823="単価表"),データ!W820,"")</f>
        <v/>
      </c>
      <c r="AA823" s="11" t="str">
        <f t="shared" si="76"/>
        <v/>
      </c>
      <c r="AB823" s="46" t="e">
        <f t="shared" si="77"/>
        <v>#DIV/0!</v>
      </c>
      <c r="AC823" s="40" t="str">
        <f>IF(データ!X820="","",データ!X820)</f>
        <v/>
      </c>
      <c r="AD823" s="41" t="str">
        <f>IF(データ!Y820="","",データ!Y820)</f>
        <v/>
      </c>
      <c r="AE823" s="47" t="str">
        <f>TRIM(データ!B820)</f>
        <v/>
      </c>
      <c r="AF823" s="43" t="str">
        <f>TRIM(データ!Z820)</f>
        <v/>
      </c>
    </row>
    <row r="824" spans="1:32" x14ac:dyDescent="0.15">
      <c r="A824" s="47">
        <f>データ!A821</f>
        <v>2</v>
      </c>
      <c r="B824" s="47" t="str">
        <f>TRIM(データ!C821)</f>
        <v/>
      </c>
      <c r="C824" s="47" t="str">
        <f>TRIM(データ!D821)</f>
        <v>材料費</v>
      </c>
      <c r="D824" s="36" t="str">
        <f>REPT("｜",$A824)&amp;TRIM(データ!E821)</f>
        <v>｜｜集水桝</v>
      </c>
      <c r="E824" s="37" t="str">
        <f>TRIM(データ!F821)</f>
        <v>□400　グレーチング蓋共</v>
      </c>
      <c r="F824" s="38" t="str">
        <f>TRIM(データ!G821)</f>
        <v>個</v>
      </c>
      <c r="G824" s="50">
        <f>データ!H821</f>
        <v>1</v>
      </c>
      <c r="H824" s="48">
        <f>データ!I821</f>
        <v>8000</v>
      </c>
      <c r="I824" s="48">
        <f>データ!J821</f>
        <v>8000</v>
      </c>
      <c r="J824" s="39" t="str">
        <f>IF(OR($C824="総括",$C824="内訳書",$C824="内訳代価",$C824="明細書",$C824="明細代価",$C824="代価表",$C824="単価表"),データ!K821,"")</f>
        <v/>
      </c>
      <c r="K824" s="11" t="str">
        <f t="shared" si="72"/>
        <v/>
      </c>
      <c r="L824" s="46">
        <f t="shared" si="73"/>
        <v>1.1518580910831785E-4</v>
      </c>
      <c r="M824" s="40" t="str">
        <f>IF(データ!L821="","",データ!L821)</f>
        <v/>
      </c>
      <c r="N824" s="41" t="str">
        <f>IF(データ!M821="","",データ!M821)</f>
        <v/>
      </c>
      <c r="O824" s="42">
        <f>データ!N821</f>
        <v>0</v>
      </c>
      <c r="P824" s="48">
        <f>IF($C824="集計行","",データ!O821)</f>
        <v>0</v>
      </c>
      <c r="Q824" s="48">
        <f>データ!P821</f>
        <v>0</v>
      </c>
      <c r="R824" s="39" t="str">
        <f>IF(OR($C824="総括",$C824="内訳書",$C824="内訳代価",$C824="明細書",$C824="明細代価",$C824="代価表",$C824="単価表"),データ!Q821,"")</f>
        <v/>
      </c>
      <c r="S824" s="11" t="str">
        <f t="shared" si="74"/>
        <v/>
      </c>
      <c r="T824" s="46" t="e">
        <f t="shared" si="75"/>
        <v>#DIV/0!</v>
      </c>
      <c r="U824" s="40" t="str">
        <f>IF(データ!R821="","",データ!R821)</f>
        <v/>
      </c>
      <c r="V824" s="41" t="str">
        <f>IF(データ!S821="","",データ!S821)</f>
        <v/>
      </c>
      <c r="W824" s="42">
        <f>データ!T821</f>
        <v>0</v>
      </c>
      <c r="X824" s="48">
        <f>IF($C824="集計行","",データ!U821)</f>
        <v>0</v>
      </c>
      <c r="Y824" s="48">
        <f>データ!V821</f>
        <v>0</v>
      </c>
      <c r="Z824" s="39" t="str">
        <f>IF(OR($C824="総括",$C824="内訳書",$C824="内訳代価",$C824="明細書",$C824="明細代価",$C824="代価表",$C824="単価表"),データ!W821,"")</f>
        <v/>
      </c>
      <c r="AA824" s="11" t="str">
        <f t="shared" si="76"/>
        <v/>
      </c>
      <c r="AB824" s="46" t="e">
        <f t="shared" si="77"/>
        <v>#DIV/0!</v>
      </c>
      <c r="AC824" s="40" t="str">
        <f>IF(データ!X821="","",データ!X821)</f>
        <v/>
      </c>
      <c r="AD824" s="41" t="str">
        <f>IF(データ!Y821="","",データ!Y821)</f>
        <v/>
      </c>
      <c r="AE824" s="47" t="str">
        <f>TRIM(データ!B821)</f>
        <v/>
      </c>
      <c r="AF824" s="43" t="str">
        <f>TRIM(データ!Z821)</f>
        <v/>
      </c>
    </row>
    <row r="825" spans="1:32" x14ac:dyDescent="0.15">
      <c r="A825" s="47">
        <f>データ!A822</f>
        <v>2</v>
      </c>
      <c r="B825" s="47" t="str">
        <f>TRIM(データ!C822)</f>
        <v/>
      </c>
      <c r="C825" s="47" t="str">
        <f>TRIM(データ!D822)</f>
        <v>材料費</v>
      </c>
      <c r="D825" s="36" t="str">
        <f>REPT("｜",$A825)&amp;TRIM(データ!E822)</f>
        <v>｜｜基礎石</v>
      </c>
      <c r="E825" s="37" t="str">
        <f>TRIM(データ!F822)</f>
        <v>□400</v>
      </c>
      <c r="F825" s="38" t="str">
        <f>TRIM(データ!G822)</f>
        <v>個</v>
      </c>
      <c r="G825" s="50">
        <f>データ!H822</f>
        <v>1</v>
      </c>
      <c r="H825" s="48">
        <f>データ!I822</f>
        <v>3000</v>
      </c>
      <c r="I825" s="48">
        <f>データ!J822</f>
        <v>3000</v>
      </c>
      <c r="J825" s="39" t="str">
        <f>IF(OR($C825="総括",$C825="内訳書",$C825="内訳代価",$C825="明細書",$C825="明細代価",$C825="代価表",$C825="単価表"),データ!K822,"")</f>
        <v/>
      </c>
      <c r="K825" s="11" t="str">
        <f t="shared" si="72"/>
        <v/>
      </c>
      <c r="L825" s="46">
        <f t="shared" si="73"/>
        <v>4.3194678415619194E-5</v>
      </c>
      <c r="M825" s="40" t="str">
        <f>IF(データ!L822="","",データ!L822)</f>
        <v/>
      </c>
      <c r="N825" s="41" t="str">
        <f>IF(データ!M822="","",データ!M822)</f>
        <v/>
      </c>
      <c r="O825" s="42">
        <f>データ!N822</f>
        <v>0</v>
      </c>
      <c r="P825" s="48">
        <f>IF($C825="集計行","",データ!O822)</f>
        <v>0</v>
      </c>
      <c r="Q825" s="48">
        <f>データ!P822</f>
        <v>0</v>
      </c>
      <c r="R825" s="39" t="str">
        <f>IF(OR($C825="総括",$C825="内訳書",$C825="内訳代価",$C825="明細書",$C825="明細代価",$C825="代価表",$C825="単価表"),データ!Q822,"")</f>
        <v/>
      </c>
      <c r="S825" s="11" t="str">
        <f t="shared" si="74"/>
        <v/>
      </c>
      <c r="T825" s="46" t="e">
        <f t="shared" si="75"/>
        <v>#DIV/0!</v>
      </c>
      <c r="U825" s="40" t="str">
        <f>IF(データ!R822="","",データ!R822)</f>
        <v/>
      </c>
      <c r="V825" s="41" t="str">
        <f>IF(データ!S822="","",データ!S822)</f>
        <v/>
      </c>
      <c r="W825" s="42">
        <f>データ!T822</f>
        <v>0</v>
      </c>
      <c r="X825" s="48">
        <f>IF($C825="集計行","",データ!U822)</f>
        <v>0</v>
      </c>
      <c r="Y825" s="48">
        <f>データ!V822</f>
        <v>0</v>
      </c>
      <c r="Z825" s="39" t="str">
        <f>IF(OR($C825="総括",$C825="内訳書",$C825="内訳代価",$C825="明細書",$C825="明細代価",$C825="代価表",$C825="単価表"),データ!W822,"")</f>
        <v/>
      </c>
      <c r="AA825" s="11" t="str">
        <f t="shared" si="76"/>
        <v/>
      </c>
      <c r="AB825" s="46" t="e">
        <f t="shared" si="77"/>
        <v>#DIV/0!</v>
      </c>
      <c r="AC825" s="40" t="str">
        <f>IF(データ!X822="","",データ!X822)</f>
        <v/>
      </c>
      <c r="AD825" s="41" t="str">
        <f>IF(データ!Y822="","",データ!Y822)</f>
        <v/>
      </c>
      <c r="AE825" s="47" t="str">
        <f>TRIM(データ!B822)</f>
        <v/>
      </c>
      <c r="AF825" s="43" t="str">
        <f>TRIM(データ!Z822)</f>
        <v/>
      </c>
    </row>
    <row r="826" spans="1:32" x14ac:dyDescent="0.15">
      <c r="A826" s="47">
        <f>データ!A823</f>
        <v>1</v>
      </c>
      <c r="B826" s="47" t="str">
        <f>TRIM(データ!C823)</f>
        <v/>
      </c>
      <c r="C826" s="47" t="str">
        <f>TRIM(データ!D823)</f>
        <v>内訳書</v>
      </c>
      <c r="D826" s="36" t="str">
        <f>REPT("｜",$A826)&amp;TRIM(データ!E823)</f>
        <v>｜既存フェンス・擁壁撤去・復旧</v>
      </c>
      <c r="E826" s="37" t="str">
        <f>TRIM(データ!F823)</f>
        <v/>
      </c>
      <c r="F826" s="38" t="str">
        <f>TRIM(データ!G823)</f>
        <v>式</v>
      </c>
      <c r="G826" s="50">
        <f>データ!H823</f>
        <v>1</v>
      </c>
      <c r="H826" s="48">
        <f>データ!I823</f>
        <v>75000</v>
      </c>
      <c r="I826" s="48">
        <f>データ!J823</f>
        <v>75000</v>
      </c>
      <c r="J826" s="39">
        <f>IF(OR($C826="総括",$C826="内訳書",$C826="内訳代価",$C826="明細書",$C826="明細代価",$C826="代価表",$C826="単価表"),データ!K823,"")</f>
        <v>1</v>
      </c>
      <c r="K826" s="11" t="str">
        <f t="shared" si="72"/>
        <v/>
      </c>
      <c r="L826" s="46">
        <f t="shared" si="73"/>
        <v>1.0798669603904799E-3</v>
      </c>
      <c r="M826" s="40" t="str">
        <f>IF(データ!L823="","",データ!L823)</f>
        <v/>
      </c>
      <c r="N826" s="41" t="str">
        <f>IF(データ!M823="","",データ!M823)</f>
        <v>110号内訳書</v>
      </c>
      <c r="O826" s="42">
        <f>データ!N823</f>
        <v>0</v>
      </c>
      <c r="P826" s="48">
        <f>IF($C826="集計行","",データ!O823)</f>
        <v>0</v>
      </c>
      <c r="Q826" s="48">
        <f>データ!P823</f>
        <v>0</v>
      </c>
      <c r="R826" s="39">
        <f>IF(OR($C826="総括",$C826="内訳書",$C826="内訳代価",$C826="明細書",$C826="明細代価",$C826="代価表",$C826="単価表"),データ!Q823,"")</f>
        <v>0</v>
      </c>
      <c r="S826" s="11" t="str">
        <f t="shared" si="74"/>
        <v/>
      </c>
      <c r="T826" s="46" t="e">
        <f t="shared" si="75"/>
        <v>#DIV/0!</v>
      </c>
      <c r="U826" s="40" t="str">
        <f>IF(データ!R823="","",データ!R823)</f>
        <v/>
      </c>
      <c r="V826" s="41" t="str">
        <f>IF(データ!S823="","",データ!S823)</f>
        <v/>
      </c>
      <c r="W826" s="42">
        <f>データ!T823</f>
        <v>0</v>
      </c>
      <c r="X826" s="48">
        <f>IF($C826="集計行","",データ!U823)</f>
        <v>0</v>
      </c>
      <c r="Y826" s="48">
        <f>データ!V823</f>
        <v>0</v>
      </c>
      <c r="Z826" s="39">
        <f>IF(OR($C826="総括",$C826="内訳書",$C826="内訳代価",$C826="明細書",$C826="明細代価",$C826="代価表",$C826="単価表"),データ!W823,"")</f>
        <v>0</v>
      </c>
      <c r="AA826" s="11" t="str">
        <f t="shared" si="76"/>
        <v/>
      </c>
      <c r="AB826" s="46" t="e">
        <f t="shared" si="77"/>
        <v>#DIV/0!</v>
      </c>
      <c r="AC826" s="40" t="str">
        <f>IF(データ!X823="","",データ!X823)</f>
        <v/>
      </c>
      <c r="AD826" s="41" t="str">
        <f>IF(データ!Y823="","",データ!Y823)</f>
        <v/>
      </c>
      <c r="AE826" s="47" t="str">
        <f>TRIM(データ!B823)</f>
        <v/>
      </c>
      <c r="AF826" s="43" t="str">
        <f>TRIM(データ!Z823)</f>
        <v/>
      </c>
    </row>
    <row r="827" spans="1:32" x14ac:dyDescent="0.15">
      <c r="A827" s="47">
        <f>データ!A824</f>
        <v>2</v>
      </c>
      <c r="B827" s="47" t="str">
        <f>TRIM(データ!C824)</f>
        <v/>
      </c>
      <c r="C827" s="47" t="str">
        <f>TRIM(データ!D824)</f>
        <v>労務費</v>
      </c>
      <c r="D827" s="36" t="str">
        <f>REPT("｜",$A827)&amp;TRIM(データ!E824)</f>
        <v>｜｜特殊作業員</v>
      </c>
      <c r="E827" s="37" t="str">
        <f>TRIM(データ!F824)</f>
        <v/>
      </c>
      <c r="F827" s="38" t="str">
        <f>TRIM(データ!G824)</f>
        <v>人</v>
      </c>
      <c r="G827" s="50">
        <f>データ!H824</f>
        <v>0.5</v>
      </c>
      <c r="H827" s="48">
        <f>データ!I824</f>
        <v>25000</v>
      </c>
      <c r="I827" s="48">
        <f>データ!J824</f>
        <v>12500</v>
      </c>
      <c r="J827" s="39" t="str">
        <f>IF(OR($C827="総括",$C827="内訳書",$C827="内訳代価",$C827="明細書",$C827="明細代価",$C827="代価表",$C827="単価表"),データ!K824,"")</f>
        <v/>
      </c>
      <c r="K827" s="11" t="str">
        <f t="shared" si="72"/>
        <v/>
      </c>
      <c r="L827" s="46">
        <f t="shared" si="73"/>
        <v>1.7997782673174665E-4</v>
      </c>
      <c r="M827" s="40" t="str">
        <f>IF(データ!L824="","",データ!L824)</f>
        <v/>
      </c>
      <c r="N827" s="41" t="str">
        <f>IF(データ!M824="","",データ!M824)</f>
        <v/>
      </c>
      <c r="O827" s="42">
        <f>データ!N824</f>
        <v>0</v>
      </c>
      <c r="P827" s="48">
        <f>IF($C827="集計行","",データ!O824)</f>
        <v>0</v>
      </c>
      <c r="Q827" s="48">
        <f>データ!P824</f>
        <v>0</v>
      </c>
      <c r="R827" s="39" t="str">
        <f>IF(OR($C827="総括",$C827="内訳書",$C827="内訳代価",$C827="明細書",$C827="明細代価",$C827="代価表",$C827="単価表"),データ!Q824,"")</f>
        <v/>
      </c>
      <c r="S827" s="11" t="str">
        <f t="shared" si="74"/>
        <v/>
      </c>
      <c r="T827" s="46" t="e">
        <f t="shared" si="75"/>
        <v>#DIV/0!</v>
      </c>
      <c r="U827" s="40" t="str">
        <f>IF(データ!R824="","",データ!R824)</f>
        <v/>
      </c>
      <c r="V827" s="41" t="str">
        <f>IF(データ!S824="","",データ!S824)</f>
        <v/>
      </c>
      <c r="W827" s="42">
        <f>データ!T824</f>
        <v>0</v>
      </c>
      <c r="X827" s="48">
        <f>IF($C827="集計行","",データ!U824)</f>
        <v>0</v>
      </c>
      <c r="Y827" s="48">
        <f>データ!V824</f>
        <v>0</v>
      </c>
      <c r="Z827" s="39" t="str">
        <f>IF(OR($C827="総括",$C827="内訳書",$C827="内訳代価",$C827="明細書",$C827="明細代価",$C827="代価表",$C827="単価表"),データ!W824,"")</f>
        <v/>
      </c>
      <c r="AA827" s="11" t="str">
        <f t="shared" si="76"/>
        <v/>
      </c>
      <c r="AB827" s="46" t="e">
        <f t="shared" si="77"/>
        <v>#DIV/0!</v>
      </c>
      <c r="AC827" s="40" t="str">
        <f>IF(データ!X824="","",データ!X824)</f>
        <v/>
      </c>
      <c r="AD827" s="41" t="str">
        <f>IF(データ!Y824="","",データ!Y824)</f>
        <v/>
      </c>
      <c r="AE827" s="47" t="str">
        <f>TRIM(データ!B824)</f>
        <v/>
      </c>
      <c r="AF827" s="43" t="str">
        <f>TRIM(データ!Z824)</f>
        <v/>
      </c>
    </row>
    <row r="828" spans="1:32" x14ac:dyDescent="0.15">
      <c r="A828" s="47">
        <f>データ!A825</f>
        <v>2</v>
      </c>
      <c r="B828" s="47" t="str">
        <f>TRIM(データ!C825)</f>
        <v/>
      </c>
      <c r="C828" s="47" t="str">
        <f>TRIM(データ!D825)</f>
        <v>労務費</v>
      </c>
      <c r="D828" s="36" t="str">
        <f>REPT("｜",$A828)&amp;TRIM(データ!E825)</f>
        <v>｜｜普通作業員</v>
      </c>
      <c r="E828" s="37" t="str">
        <f>TRIM(データ!F825)</f>
        <v/>
      </c>
      <c r="F828" s="38" t="str">
        <f>TRIM(データ!G825)</f>
        <v>人</v>
      </c>
      <c r="G828" s="50">
        <f>データ!H825</f>
        <v>1.5</v>
      </c>
      <c r="H828" s="48">
        <f>データ!I825</f>
        <v>25000</v>
      </c>
      <c r="I828" s="48">
        <f>データ!J825</f>
        <v>37500</v>
      </c>
      <c r="J828" s="39" t="str">
        <f>IF(OR($C828="総括",$C828="内訳書",$C828="内訳代価",$C828="明細書",$C828="明細代価",$C828="代価表",$C828="単価表"),データ!K825,"")</f>
        <v/>
      </c>
      <c r="K828" s="11" t="str">
        <f t="shared" si="72"/>
        <v/>
      </c>
      <c r="L828" s="46">
        <f t="shared" si="73"/>
        <v>5.3993348019523994E-4</v>
      </c>
      <c r="M828" s="40" t="str">
        <f>IF(データ!L825="","",データ!L825)</f>
        <v/>
      </c>
      <c r="N828" s="41" t="str">
        <f>IF(データ!M825="","",データ!M825)</f>
        <v/>
      </c>
      <c r="O828" s="42">
        <f>データ!N825</f>
        <v>0</v>
      </c>
      <c r="P828" s="48">
        <f>IF($C828="集計行","",データ!O825)</f>
        <v>0</v>
      </c>
      <c r="Q828" s="48">
        <f>データ!P825</f>
        <v>0</v>
      </c>
      <c r="R828" s="39" t="str">
        <f>IF(OR($C828="総括",$C828="内訳書",$C828="内訳代価",$C828="明細書",$C828="明細代価",$C828="代価表",$C828="単価表"),データ!Q825,"")</f>
        <v/>
      </c>
      <c r="S828" s="11" t="str">
        <f t="shared" si="74"/>
        <v/>
      </c>
      <c r="T828" s="46" t="e">
        <f t="shared" si="75"/>
        <v>#DIV/0!</v>
      </c>
      <c r="U828" s="40" t="str">
        <f>IF(データ!R825="","",データ!R825)</f>
        <v/>
      </c>
      <c r="V828" s="41" t="str">
        <f>IF(データ!S825="","",データ!S825)</f>
        <v/>
      </c>
      <c r="W828" s="42">
        <f>データ!T825</f>
        <v>0</v>
      </c>
      <c r="X828" s="48">
        <f>IF($C828="集計行","",データ!U825)</f>
        <v>0</v>
      </c>
      <c r="Y828" s="48">
        <f>データ!V825</f>
        <v>0</v>
      </c>
      <c r="Z828" s="39" t="str">
        <f>IF(OR($C828="総括",$C828="内訳書",$C828="内訳代価",$C828="明細書",$C828="明細代価",$C828="代価表",$C828="単価表"),データ!W825,"")</f>
        <v/>
      </c>
      <c r="AA828" s="11" t="str">
        <f t="shared" si="76"/>
        <v/>
      </c>
      <c r="AB828" s="46" t="e">
        <f t="shared" si="77"/>
        <v>#DIV/0!</v>
      </c>
      <c r="AC828" s="40" t="str">
        <f>IF(データ!X825="","",データ!X825)</f>
        <v/>
      </c>
      <c r="AD828" s="41" t="str">
        <f>IF(データ!Y825="","",データ!Y825)</f>
        <v/>
      </c>
      <c r="AE828" s="47" t="str">
        <f>TRIM(データ!B825)</f>
        <v/>
      </c>
      <c r="AF828" s="43" t="str">
        <f>TRIM(データ!Z825)</f>
        <v/>
      </c>
    </row>
    <row r="829" spans="1:32" x14ac:dyDescent="0.15">
      <c r="A829" s="47">
        <f>データ!A826</f>
        <v>2</v>
      </c>
      <c r="B829" s="47" t="str">
        <f>TRIM(データ!C826)</f>
        <v/>
      </c>
      <c r="C829" s="47" t="str">
        <f>TRIM(データ!D826)</f>
        <v>機械費</v>
      </c>
      <c r="D829" s="36" t="str">
        <f>REPT("｜",$A829)&amp;TRIM(データ!E826)</f>
        <v>｜｜バックホウ0.15m3</v>
      </c>
      <c r="E829" s="37" t="str">
        <f>TRIM(データ!F826)</f>
        <v/>
      </c>
      <c r="F829" s="38" t="str">
        <f>TRIM(データ!G826)</f>
        <v>台</v>
      </c>
      <c r="G829" s="50">
        <f>データ!H826</f>
        <v>0.5</v>
      </c>
      <c r="H829" s="48">
        <f>データ!I826</f>
        <v>10000</v>
      </c>
      <c r="I829" s="48">
        <f>データ!J826</f>
        <v>5000</v>
      </c>
      <c r="J829" s="39" t="str">
        <f>IF(OR($C829="総括",$C829="内訳書",$C829="内訳代価",$C829="明細書",$C829="明細代価",$C829="代価表",$C829="単価表"),データ!K826,"")</f>
        <v/>
      </c>
      <c r="K829" s="11" t="str">
        <f t="shared" si="72"/>
        <v/>
      </c>
      <c r="L829" s="46">
        <f t="shared" si="73"/>
        <v>7.1991130692698657E-5</v>
      </c>
      <c r="M829" s="40" t="str">
        <f>IF(データ!L826="","",データ!L826)</f>
        <v/>
      </c>
      <c r="N829" s="41" t="str">
        <f>IF(データ!M826="","",データ!M826)</f>
        <v/>
      </c>
      <c r="O829" s="42">
        <f>データ!N826</f>
        <v>0</v>
      </c>
      <c r="P829" s="48">
        <f>IF($C829="集計行","",データ!O826)</f>
        <v>0</v>
      </c>
      <c r="Q829" s="48">
        <f>データ!P826</f>
        <v>0</v>
      </c>
      <c r="R829" s="39" t="str">
        <f>IF(OR($C829="総括",$C829="内訳書",$C829="内訳代価",$C829="明細書",$C829="明細代価",$C829="代価表",$C829="単価表"),データ!Q826,"")</f>
        <v/>
      </c>
      <c r="S829" s="11" t="str">
        <f t="shared" si="74"/>
        <v/>
      </c>
      <c r="T829" s="46" t="e">
        <f t="shared" si="75"/>
        <v>#DIV/0!</v>
      </c>
      <c r="U829" s="40" t="str">
        <f>IF(データ!R826="","",データ!R826)</f>
        <v/>
      </c>
      <c r="V829" s="41" t="str">
        <f>IF(データ!S826="","",データ!S826)</f>
        <v/>
      </c>
      <c r="W829" s="42">
        <f>データ!T826</f>
        <v>0</v>
      </c>
      <c r="X829" s="48">
        <f>IF($C829="集計行","",データ!U826)</f>
        <v>0</v>
      </c>
      <c r="Y829" s="48">
        <f>データ!V826</f>
        <v>0</v>
      </c>
      <c r="Z829" s="39" t="str">
        <f>IF(OR($C829="総括",$C829="内訳書",$C829="内訳代価",$C829="明細書",$C829="明細代価",$C829="代価表",$C829="単価表"),データ!W826,"")</f>
        <v/>
      </c>
      <c r="AA829" s="11" t="str">
        <f t="shared" si="76"/>
        <v/>
      </c>
      <c r="AB829" s="46" t="e">
        <f t="shared" si="77"/>
        <v>#DIV/0!</v>
      </c>
      <c r="AC829" s="40" t="str">
        <f>IF(データ!X826="","",データ!X826)</f>
        <v/>
      </c>
      <c r="AD829" s="41" t="str">
        <f>IF(データ!Y826="","",データ!Y826)</f>
        <v/>
      </c>
      <c r="AE829" s="47" t="str">
        <f>TRIM(データ!B826)</f>
        <v/>
      </c>
      <c r="AF829" s="43" t="str">
        <f>TRIM(データ!Z826)</f>
        <v/>
      </c>
    </row>
    <row r="830" spans="1:32" x14ac:dyDescent="0.15">
      <c r="A830" s="47">
        <f>データ!A827</f>
        <v>2</v>
      </c>
      <c r="B830" s="47" t="str">
        <f>TRIM(データ!C827)</f>
        <v/>
      </c>
      <c r="C830" s="47" t="str">
        <f>TRIM(データ!D827)</f>
        <v>機械費</v>
      </c>
      <c r="D830" s="36" t="str">
        <f>REPT("｜",$A830)&amp;TRIM(データ!E827)</f>
        <v>｜｜削孔機</v>
      </c>
      <c r="E830" s="37" t="str">
        <f>TRIM(データ!F827)</f>
        <v>φ50コア刃共</v>
      </c>
      <c r="F830" s="38" t="str">
        <f>TRIM(データ!G827)</f>
        <v>式</v>
      </c>
      <c r="G830" s="50">
        <f>データ!H827</f>
        <v>1</v>
      </c>
      <c r="H830" s="48">
        <f>データ!I827</f>
        <v>20000</v>
      </c>
      <c r="I830" s="48">
        <f>データ!J827</f>
        <v>20000</v>
      </c>
      <c r="J830" s="39" t="str">
        <f>IF(OR($C830="総括",$C830="内訳書",$C830="内訳代価",$C830="明細書",$C830="明細代価",$C830="代価表",$C830="単価表"),データ!K827,"")</f>
        <v/>
      </c>
      <c r="K830" s="11" t="str">
        <f t="shared" si="72"/>
        <v/>
      </c>
      <c r="L830" s="46">
        <f t="shared" si="73"/>
        <v>2.8796452277079463E-4</v>
      </c>
      <c r="M830" s="40" t="str">
        <f>IF(データ!L827="","",データ!L827)</f>
        <v/>
      </c>
      <c r="N830" s="41" t="str">
        <f>IF(データ!M827="","",データ!M827)</f>
        <v/>
      </c>
      <c r="O830" s="42">
        <f>データ!N827</f>
        <v>0</v>
      </c>
      <c r="P830" s="48">
        <f>IF($C830="集計行","",データ!O827)</f>
        <v>0</v>
      </c>
      <c r="Q830" s="48">
        <f>データ!P827</f>
        <v>0</v>
      </c>
      <c r="R830" s="39" t="str">
        <f>IF(OR($C830="総括",$C830="内訳書",$C830="内訳代価",$C830="明細書",$C830="明細代価",$C830="代価表",$C830="単価表"),データ!Q827,"")</f>
        <v/>
      </c>
      <c r="S830" s="11" t="str">
        <f t="shared" si="74"/>
        <v/>
      </c>
      <c r="T830" s="46" t="e">
        <f t="shared" si="75"/>
        <v>#DIV/0!</v>
      </c>
      <c r="U830" s="40" t="str">
        <f>IF(データ!R827="","",データ!R827)</f>
        <v/>
      </c>
      <c r="V830" s="41" t="str">
        <f>IF(データ!S827="","",データ!S827)</f>
        <v/>
      </c>
      <c r="W830" s="42">
        <f>データ!T827</f>
        <v>0</v>
      </c>
      <c r="X830" s="48">
        <f>IF($C830="集計行","",データ!U827)</f>
        <v>0</v>
      </c>
      <c r="Y830" s="48">
        <f>データ!V827</f>
        <v>0</v>
      </c>
      <c r="Z830" s="39" t="str">
        <f>IF(OR($C830="総括",$C830="内訳書",$C830="内訳代価",$C830="明細書",$C830="明細代価",$C830="代価表",$C830="単価表"),データ!W827,"")</f>
        <v/>
      </c>
      <c r="AA830" s="11" t="str">
        <f t="shared" si="76"/>
        <v/>
      </c>
      <c r="AB830" s="46" t="e">
        <f t="shared" si="77"/>
        <v>#DIV/0!</v>
      </c>
      <c r="AC830" s="40" t="str">
        <f>IF(データ!X827="","",データ!X827)</f>
        <v/>
      </c>
      <c r="AD830" s="41" t="str">
        <f>IF(データ!Y827="","",データ!Y827)</f>
        <v/>
      </c>
      <c r="AE830" s="47" t="str">
        <f>TRIM(データ!B827)</f>
        <v/>
      </c>
      <c r="AF830" s="43" t="str">
        <f>TRIM(データ!Z827)</f>
        <v/>
      </c>
    </row>
    <row r="831" spans="1:32" x14ac:dyDescent="0.15">
      <c r="A831" s="47">
        <f>データ!A828</f>
        <v>1</v>
      </c>
      <c r="B831" s="47" t="str">
        <f>TRIM(データ!C828)</f>
        <v/>
      </c>
      <c r="C831" s="47" t="str">
        <f>TRIM(データ!D828)</f>
        <v>内訳書</v>
      </c>
      <c r="D831" s="36" t="str">
        <f>REPT("｜",$A831)&amp;TRIM(データ!E828)</f>
        <v>｜バリカー設置</v>
      </c>
      <c r="E831" s="37" t="str">
        <f>TRIM(データ!F828)</f>
        <v/>
      </c>
      <c r="F831" s="38" t="str">
        <f>TRIM(データ!G828)</f>
        <v>式</v>
      </c>
      <c r="G831" s="50">
        <f>データ!H828</f>
        <v>1</v>
      </c>
      <c r="H831" s="48">
        <f>データ!I828</f>
        <v>70000</v>
      </c>
      <c r="I831" s="48">
        <f>データ!J828</f>
        <v>70000</v>
      </c>
      <c r="J831" s="39">
        <f>IF(OR($C831="総括",$C831="内訳書",$C831="内訳代価",$C831="明細書",$C831="明細代価",$C831="代価表",$C831="単価表"),データ!K828,"")</f>
        <v>1</v>
      </c>
      <c r="K831" s="11" t="str">
        <f t="shared" si="72"/>
        <v/>
      </c>
      <c r="L831" s="46">
        <f t="shared" si="73"/>
        <v>1.0078758296977813E-3</v>
      </c>
      <c r="M831" s="40" t="str">
        <f>IF(データ!L828="","",データ!L828)</f>
        <v/>
      </c>
      <c r="N831" s="41" t="str">
        <f>IF(データ!M828="","",データ!M828)</f>
        <v>111号内訳書</v>
      </c>
      <c r="O831" s="42">
        <f>データ!N828</f>
        <v>0</v>
      </c>
      <c r="P831" s="48">
        <f>IF($C831="集計行","",データ!O828)</f>
        <v>0</v>
      </c>
      <c r="Q831" s="48">
        <f>データ!P828</f>
        <v>0</v>
      </c>
      <c r="R831" s="39">
        <f>IF(OR($C831="総括",$C831="内訳書",$C831="内訳代価",$C831="明細書",$C831="明細代価",$C831="代価表",$C831="単価表"),データ!Q828,"")</f>
        <v>0</v>
      </c>
      <c r="S831" s="11" t="str">
        <f t="shared" si="74"/>
        <v/>
      </c>
      <c r="T831" s="46" t="e">
        <f t="shared" si="75"/>
        <v>#DIV/0!</v>
      </c>
      <c r="U831" s="40" t="str">
        <f>IF(データ!R828="","",データ!R828)</f>
        <v/>
      </c>
      <c r="V831" s="41" t="str">
        <f>IF(データ!S828="","",データ!S828)</f>
        <v/>
      </c>
      <c r="W831" s="42">
        <f>データ!T828</f>
        <v>0</v>
      </c>
      <c r="X831" s="48">
        <f>IF($C831="集計行","",データ!U828)</f>
        <v>0</v>
      </c>
      <c r="Y831" s="48">
        <f>データ!V828</f>
        <v>0</v>
      </c>
      <c r="Z831" s="39">
        <f>IF(OR($C831="総括",$C831="内訳書",$C831="内訳代価",$C831="明細書",$C831="明細代価",$C831="代価表",$C831="単価表"),データ!W828,"")</f>
        <v>0</v>
      </c>
      <c r="AA831" s="11" t="str">
        <f t="shared" si="76"/>
        <v/>
      </c>
      <c r="AB831" s="46" t="e">
        <f t="shared" si="77"/>
        <v>#DIV/0!</v>
      </c>
      <c r="AC831" s="40" t="str">
        <f>IF(データ!X828="","",データ!X828)</f>
        <v/>
      </c>
      <c r="AD831" s="41" t="str">
        <f>IF(データ!Y828="","",データ!Y828)</f>
        <v/>
      </c>
      <c r="AE831" s="47" t="str">
        <f>TRIM(データ!B828)</f>
        <v/>
      </c>
      <c r="AF831" s="43" t="str">
        <f>TRIM(データ!Z828)</f>
        <v/>
      </c>
    </row>
    <row r="832" spans="1:32" x14ac:dyDescent="0.15">
      <c r="A832" s="47">
        <f>データ!A829</f>
        <v>2</v>
      </c>
      <c r="B832" s="47" t="str">
        <f>TRIM(データ!C829)</f>
        <v/>
      </c>
      <c r="C832" s="47" t="str">
        <f>TRIM(データ!D829)</f>
        <v>外注費</v>
      </c>
      <c r="D832" s="36" t="str">
        <f>REPT("｜",$A832)&amp;TRIM(データ!E829)</f>
        <v>｜｜削孔　φ250</v>
      </c>
      <c r="E832" s="37" t="str">
        <f>TRIM(データ!F829)</f>
        <v/>
      </c>
      <c r="F832" s="38" t="str">
        <f>TRIM(データ!G829)</f>
        <v>箇所</v>
      </c>
      <c r="G832" s="50">
        <f>データ!H829</f>
        <v>2</v>
      </c>
      <c r="H832" s="48">
        <f>データ!I829</f>
        <v>35000</v>
      </c>
      <c r="I832" s="48">
        <f>データ!J829</f>
        <v>70000</v>
      </c>
      <c r="J832" s="39" t="str">
        <f>IF(OR($C832="総括",$C832="内訳書",$C832="内訳代価",$C832="明細書",$C832="明細代価",$C832="代価表",$C832="単価表"),データ!K829,"")</f>
        <v/>
      </c>
      <c r="K832" s="11" t="str">
        <f t="shared" si="72"/>
        <v/>
      </c>
      <c r="L832" s="46">
        <f t="shared" si="73"/>
        <v>1.0078758296977813E-3</v>
      </c>
      <c r="M832" s="40" t="str">
        <f>IF(データ!L829="","",データ!L829)</f>
        <v/>
      </c>
      <c r="N832" s="41" t="str">
        <f>IF(データ!M829="","",データ!M829)</f>
        <v/>
      </c>
      <c r="O832" s="42">
        <f>データ!N829</f>
        <v>0</v>
      </c>
      <c r="P832" s="48">
        <f>IF($C832="集計行","",データ!O829)</f>
        <v>0</v>
      </c>
      <c r="Q832" s="48">
        <f>データ!P829</f>
        <v>0</v>
      </c>
      <c r="R832" s="39" t="str">
        <f>IF(OR($C832="総括",$C832="内訳書",$C832="内訳代価",$C832="明細書",$C832="明細代価",$C832="代価表",$C832="単価表"),データ!Q829,"")</f>
        <v/>
      </c>
      <c r="S832" s="11" t="str">
        <f t="shared" si="74"/>
        <v/>
      </c>
      <c r="T832" s="46" t="e">
        <f t="shared" si="75"/>
        <v>#DIV/0!</v>
      </c>
      <c r="U832" s="40" t="str">
        <f>IF(データ!R829="","",データ!R829)</f>
        <v/>
      </c>
      <c r="V832" s="41" t="str">
        <f>IF(データ!S829="","",データ!S829)</f>
        <v/>
      </c>
      <c r="W832" s="42">
        <f>データ!T829</f>
        <v>0</v>
      </c>
      <c r="X832" s="48">
        <f>IF($C832="集計行","",データ!U829)</f>
        <v>0</v>
      </c>
      <c r="Y832" s="48">
        <f>データ!V829</f>
        <v>0</v>
      </c>
      <c r="Z832" s="39" t="str">
        <f>IF(OR($C832="総括",$C832="内訳書",$C832="内訳代価",$C832="明細書",$C832="明細代価",$C832="代価表",$C832="単価表"),データ!W829,"")</f>
        <v/>
      </c>
      <c r="AA832" s="11" t="str">
        <f t="shared" si="76"/>
        <v/>
      </c>
      <c r="AB832" s="46" t="e">
        <f t="shared" si="77"/>
        <v>#DIV/0!</v>
      </c>
      <c r="AC832" s="40" t="str">
        <f>IF(データ!X829="","",データ!X829)</f>
        <v/>
      </c>
      <c r="AD832" s="41" t="str">
        <f>IF(データ!Y829="","",データ!Y829)</f>
        <v/>
      </c>
      <c r="AE832" s="47" t="str">
        <f>TRIM(データ!B829)</f>
        <v/>
      </c>
      <c r="AF832" s="43" t="str">
        <f>TRIM(データ!Z829)</f>
        <v/>
      </c>
    </row>
    <row r="833" spans="1:32" x14ac:dyDescent="0.15">
      <c r="A833" s="47">
        <f>データ!A830</f>
        <v>1</v>
      </c>
      <c r="B833" s="47" t="str">
        <f>TRIM(データ!C830)</f>
        <v/>
      </c>
      <c r="C833" s="47" t="str">
        <f>TRIM(データ!D830)</f>
        <v>内訳書</v>
      </c>
      <c r="D833" s="36" t="str">
        <f>REPT("｜",$A833)&amp;TRIM(データ!E830)</f>
        <v>｜外構残土処分</v>
      </c>
      <c r="E833" s="37" t="str">
        <f>TRIM(データ!F830)</f>
        <v/>
      </c>
      <c r="F833" s="38" t="str">
        <f>TRIM(データ!G830)</f>
        <v>式</v>
      </c>
      <c r="G833" s="50">
        <f>データ!H830</f>
        <v>1</v>
      </c>
      <c r="H833" s="48">
        <f>データ!I830</f>
        <v>552000</v>
      </c>
      <c r="I833" s="48">
        <f>データ!J830</f>
        <v>552000</v>
      </c>
      <c r="J833" s="39">
        <f>IF(OR($C833="総括",$C833="内訳書",$C833="内訳代価",$C833="明細書",$C833="明細代価",$C833="代価表",$C833="単価表"),データ!K830,"")</f>
        <v>1</v>
      </c>
      <c r="K833" s="11" t="str">
        <f t="shared" si="72"/>
        <v/>
      </c>
      <c r="L833" s="46">
        <f t="shared" si="73"/>
        <v>7.9478208284739314E-3</v>
      </c>
      <c r="M833" s="40" t="str">
        <f>IF(データ!L830="","",データ!L830)</f>
        <v/>
      </c>
      <c r="N833" s="41" t="str">
        <f>IF(データ!M830="","",データ!M830)</f>
        <v>112号内訳書</v>
      </c>
      <c r="O833" s="42">
        <f>データ!N830</f>
        <v>0</v>
      </c>
      <c r="P833" s="48">
        <f>IF($C833="集計行","",データ!O830)</f>
        <v>0</v>
      </c>
      <c r="Q833" s="48">
        <f>データ!P830</f>
        <v>0</v>
      </c>
      <c r="R833" s="39">
        <f>IF(OR($C833="総括",$C833="内訳書",$C833="内訳代価",$C833="明細書",$C833="明細代価",$C833="代価表",$C833="単価表"),データ!Q830,"")</f>
        <v>0</v>
      </c>
      <c r="S833" s="11" t="str">
        <f t="shared" si="74"/>
        <v/>
      </c>
      <c r="T833" s="46" t="e">
        <f t="shared" si="75"/>
        <v>#DIV/0!</v>
      </c>
      <c r="U833" s="40" t="str">
        <f>IF(データ!R830="","",データ!R830)</f>
        <v/>
      </c>
      <c r="V833" s="41" t="str">
        <f>IF(データ!S830="","",データ!S830)</f>
        <v/>
      </c>
      <c r="W833" s="42">
        <f>データ!T830</f>
        <v>0</v>
      </c>
      <c r="X833" s="48">
        <f>IF($C833="集計行","",データ!U830)</f>
        <v>0</v>
      </c>
      <c r="Y833" s="48">
        <f>データ!V830</f>
        <v>0</v>
      </c>
      <c r="Z833" s="39">
        <f>IF(OR($C833="総括",$C833="内訳書",$C833="内訳代価",$C833="明細書",$C833="明細代価",$C833="代価表",$C833="単価表"),データ!W830,"")</f>
        <v>0</v>
      </c>
      <c r="AA833" s="11" t="str">
        <f t="shared" si="76"/>
        <v/>
      </c>
      <c r="AB833" s="46" t="e">
        <f t="shared" si="77"/>
        <v>#DIV/0!</v>
      </c>
      <c r="AC833" s="40" t="str">
        <f>IF(データ!X830="","",データ!X830)</f>
        <v/>
      </c>
      <c r="AD833" s="41" t="str">
        <f>IF(データ!Y830="","",データ!Y830)</f>
        <v/>
      </c>
      <c r="AE833" s="47" t="str">
        <f>TRIM(データ!B830)</f>
        <v/>
      </c>
      <c r="AF833" s="43" t="str">
        <f>TRIM(データ!Z830)</f>
        <v/>
      </c>
    </row>
    <row r="834" spans="1:32" x14ac:dyDescent="0.15">
      <c r="A834" s="47">
        <f>データ!A831</f>
        <v>2</v>
      </c>
      <c r="B834" s="47" t="str">
        <f>TRIM(データ!C831)</f>
        <v/>
      </c>
      <c r="C834" s="47" t="str">
        <f>TRIM(データ!D831)</f>
        <v>運搬費</v>
      </c>
      <c r="D834" s="36" t="str">
        <f>REPT("｜",$A834)&amp;TRIM(データ!E831)</f>
        <v>｜｜残土運搬処分</v>
      </c>
      <c r="E834" s="37" t="str">
        <f>TRIM(データ!F831)</f>
        <v/>
      </c>
      <c r="F834" s="38" t="str">
        <f>TRIM(データ!G831)</f>
        <v>m3</v>
      </c>
      <c r="G834" s="50">
        <f>データ!H831</f>
        <v>80</v>
      </c>
      <c r="H834" s="48">
        <f>データ!I831</f>
        <v>6900</v>
      </c>
      <c r="I834" s="48">
        <f>データ!J831</f>
        <v>552000</v>
      </c>
      <c r="J834" s="39" t="str">
        <f>IF(OR($C834="総括",$C834="内訳書",$C834="内訳代価",$C834="明細書",$C834="明細代価",$C834="代価表",$C834="単価表"),データ!K831,"")</f>
        <v/>
      </c>
      <c r="K834" s="11" t="str">
        <f t="shared" si="72"/>
        <v/>
      </c>
      <c r="L834" s="46">
        <f t="shared" si="73"/>
        <v>7.9478208284739314E-3</v>
      </c>
      <c r="M834" s="40" t="str">
        <f>IF(データ!L831="","",データ!L831)</f>
        <v/>
      </c>
      <c r="N834" s="41" t="str">
        <f>IF(データ!M831="","",データ!M831)</f>
        <v/>
      </c>
      <c r="O834" s="42">
        <f>データ!N831</f>
        <v>0</v>
      </c>
      <c r="P834" s="48">
        <f>IF($C834="集計行","",データ!O831)</f>
        <v>0</v>
      </c>
      <c r="Q834" s="48">
        <f>データ!P831</f>
        <v>0</v>
      </c>
      <c r="R834" s="39" t="str">
        <f>IF(OR($C834="総括",$C834="内訳書",$C834="内訳代価",$C834="明細書",$C834="明細代価",$C834="代価表",$C834="単価表"),データ!Q831,"")</f>
        <v/>
      </c>
      <c r="S834" s="11" t="str">
        <f t="shared" si="74"/>
        <v/>
      </c>
      <c r="T834" s="46" t="e">
        <f t="shared" si="75"/>
        <v>#DIV/0!</v>
      </c>
      <c r="U834" s="40" t="str">
        <f>IF(データ!R831="","",データ!R831)</f>
        <v/>
      </c>
      <c r="V834" s="41" t="str">
        <f>IF(データ!S831="","",データ!S831)</f>
        <v/>
      </c>
      <c r="W834" s="42">
        <f>データ!T831</f>
        <v>0</v>
      </c>
      <c r="X834" s="48">
        <f>IF($C834="集計行","",データ!U831)</f>
        <v>0</v>
      </c>
      <c r="Y834" s="48">
        <f>データ!V831</f>
        <v>0</v>
      </c>
      <c r="Z834" s="39" t="str">
        <f>IF(OR($C834="総括",$C834="内訳書",$C834="内訳代価",$C834="明細書",$C834="明細代価",$C834="代価表",$C834="単価表"),データ!W831,"")</f>
        <v/>
      </c>
      <c r="AA834" s="11" t="str">
        <f t="shared" si="76"/>
        <v/>
      </c>
      <c r="AB834" s="46" t="e">
        <f t="shared" si="77"/>
        <v>#DIV/0!</v>
      </c>
      <c r="AC834" s="40" t="str">
        <f>IF(データ!X831="","",データ!X831)</f>
        <v/>
      </c>
      <c r="AD834" s="41" t="str">
        <f>IF(データ!Y831="","",データ!Y831)</f>
        <v/>
      </c>
      <c r="AE834" s="47" t="str">
        <f>TRIM(データ!B831)</f>
        <v/>
      </c>
      <c r="AF834" s="43" t="str">
        <f>TRIM(データ!Z831)</f>
        <v/>
      </c>
    </row>
    <row r="835" spans="1:32" x14ac:dyDescent="0.15">
      <c r="A835" s="47">
        <f>データ!A832</f>
        <v>1</v>
      </c>
      <c r="B835" s="47" t="str">
        <f>TRIM(データ!C832)</f>
        <v/>
      </c>
      <c r="C835" s="47" t="str">
        <f>TRIM(データ!D832)</f>
        <v>内訳書</v>
      </c>
      <c r="D835" s="36" t="str">
        <f>REPT("｜",$A835)&amp;TRIM(データ!E832)</f>
        <v>｜既存フェンス撤去</v>
      </c>
      <c r="E835" s="37" t="str">
        <f>TRIM(データ!F832)</f>
        <v/>
      </c>
      <c r="F835" s="38" t="str">
        <f>TRIM(データ!G832)</f>
        <v>式</v>
      </c>
      <c r="G835" s="50">
        <f>データ!H832</f>
        <v>1</v>
      </c>
      <c r="H835" s="48">
        <f>データ!I832</f>
        <v>54000</v>
      </c>
      <c r="I835" s="48">
        <f>データ!J832</f>
        <v>54000</v>
      </c>
      <c r="J835" s="39">
        <f>IF(OR($C835="総括",$C835="内訳書",$C835="内訳代価",$C835="明細書",$C835="明細代価",$C835="代価表",$C835="単価表"),データ!K832,"")</f>
        <v>1</v>
      </c>
      <c r="K835" s="11" t="str">
        <f t="shared" si="72"/>
        <v/>
      </c>
      <c r="L835" s="46">
        <f t="shared" si="73"/>
        <v>7.7750421148114557E-4</v>
      </c>
      <c r="M835" s="40" t="str">
        <f>IF(データ!L832="","",データ!L832)</f>
        <v/>
      </c>
      <c r="N835" s="41" t="str">
        <f>IF(データ!M832="","",データ!M832)</f>
        <v>113号内訳書</v>
      </c>
      <c r="O835" s="42">
        <f>データ!N832</f>
        <v>0</v>
      </c>
      <c r="P835" s="48">
        <f>IF($C835="集計行","",データ!O832)</f>
        <v>0</v>
      </c>
      <c r="Q835" s="48">
        <f>データ!P832</f>
        <v>0</v>
      </c>
      <c r="R835" s="39">
        <f>IF(OR($C835="総括",$C835="内訳書",$C835="内訳代価",$C835="明細書",$C835="明細代価",$C835="代価表",$C835="単価表"),データ!Q832,"")</f>
        <v>0</v>
      </c>
      <c r="S835" s="11" t="str">
        <f t="shared" si="74"/>
        <v/>
      </c>
      <c r="T835" s="46" t="e">
        <f t="shared" si="75"/>
        <v>#DIV/0!</v>
      </c>
      <c r="U835" s="40" t="str">
        <f>IF(データ!R832="","",データ!R832)</f>
        <v/>
      </c>
      <c r="V835" s="41" t="str">
        <f>IF(データ!S832="","",データ!S832)</f>
        <v/>
      </c>
      <c r="W835" s="42">
        <f>データ!T832</f>
        <v>0</v>
      </c>
      <c r="X835" s="48">
        <f>IF($C835="集計行","",データ!U832)</f>
        <v>0</v>
      </c>
      <c r="Y835" s="48">
        <f>データ!V832</f>
        <v>0</v>
      </c>
      <c r="Z835" s="39">
        <f>IF(OR($C835="総括",$C835="内訳書",$C835="内訳代価",$C835="明細書",$C835="明細代価",$C835="代価表",$C835="単価表"),データ!W832,"")</f>
        <v>0</v>
      </c>
      <c r="AA835" s="11" t="str">
        <f t="shared" si="76"/>
        <v/>
      </c>
      <c r="AB835" s="46" t="e">
        <f t="shared" si="77"/>
        <v>#DIV/0!</v>
      </c>
      <c r="AC835" s="40" t="str">
        <f>IF(データ!X832="","",データ!X832)</f>
        <v/>
      </c>
      <c r="AD835" s="41" t="str">
        <f>IF(データ!Y832="","",データ!Y832)</f>
        <v/>
      </c>
      <c r="AE835" s="47" t="str">
        <f>TRIM(データ!B832)</f>
        <v/>
      </c>
      <c r="AF835" s="43" t="str">
        <f>TRIM(データ!Z832)</f>
        <v/>
      </c>
    </row>
    <row r="836" spans="1:32" x14ac:dyDescent="0.15">
      <c r="A836" s="47">
        <f>データ!A833</f>
        <v>2</v>
      </c>
      <c r="B836" s="47" t="str">
        <f>TRIM(データ!C833)</f>
        <v/>
      </c>
      <c r="C836" s="47" t="str">
        <f>TRIM(データ!D833)</f>
        <v>労務費</v>
      </c>
      <c r="D836" s="36" t="str">
        <f>REPT("｜",$A836)&amp;TRIM(データ!E833)</f>
        <v>｜｜普通作業員</v>
      </c>
      <c r="E836" s="37" t="str">
        <f>TRIM(データ!F833)</f>
        <v/>
      </c>
      <c r="F836" s="38" t="str">
        <f>TRIM(データ!G833)</f>
        <v>人</v>
      </c>
      <c r="G836" s="50">
        <f>データ!H833</f>
        <v>2</v>
      </c>
      <c r="H836" s="48">
        <f>データ!I833</f>
        <v>25000</v>
      </c>
      <c r="I836" s="48">
        <f>データ!J833</f>
        <v>50000</v>
      </c>
      <c r="J836" s="39" t="str">
        <f>IF(OR($C836="総括",$C836="内訳書",$C836="内訳代価",$C836="明細書",$C836="明細代価",$C836="代価表",$C836="単価表"),データ!K833,"")</f>
        <v/>
      </c>
      <c r="K836" s="11" t="str">
        <f t="shared" si="72"/>
        <v/>
      </c>
      <c r="L836" s="46">
        <f t="shared" si="73"/>
        <v>7.1991130692698659E-4</v>
      </c>
      <c r="M836" s="40" t="str">
        <f>IF(データ!L833="","",データ!L833)</f>
        <v/>
      </c>
      <c r="N836" s="41" t="str">
        <f>IF(データ!M833="","",データ!M833)</f>
        <v/>
      </c>
      <c r="O836" s="42">
        <f>データ!N833</f>
        <v>0</v>
      </c>
      <c r="P836" s="48">
        <f>IF($C836="集計行","",データ!O833)</f>
        <v>0</v>
      </c>
      <c r="Q836" s="48">
        <f>データ!P833</f>
        <v>0</v>
      </c>
      <c r="R836" s="39" t="str">
        <f>IF(OR($C836="総括",$C836="内訳書",$C836="内訳代価",$C836="明細書",$C836="明細代価",$C836="代価表",$C836="単価表"),データ!Q833,"")</f>
        <v/>
      </c>
      <c r="S836" s="11" t="str">
        <f t="shared" si="74"/>
        <v/>
      </c>
      <c r="T836" s="46" t="e">
        <f t="shared" si="75"/>
        <v>#DIV/0!</v>
      </c>
      <c r="U836" s="40" t="str">
        <f>IF(データ!R833="","",データ!R833)</f>
        <v/>
      </c>
      <c r="V836" s="41" t="str">
        <f>IF(データ!S833="","",データ!S833)</f>
        <v/>
      </c>
      <c r="W836" s="42">
        <f>データ!T833</f>
        <v>0</v>
      </c>
      <c r="X836" s="48">
        <f>IF($C836="集計行","",データ!U833)</f>
        <v>0</v>
      </c>
      <c r="Y836" s="48">
        <f>データ!V833</f>
        <v>0</v>
      </c>
      <c r="Z836" s="39" t="str">
        <f>IF(OR($C836="総括",$C836="内訳書",$C836="内訳代価",$C836="明細書",$C836="明細代価",$C836="代価表",$C836="単価表"),データ!W833,"")</f>
        <v/>
      </c>
      <c r="AA836" s="11" t="str">
        <f t="shared" si="76"/>
        <v/>
      </c>
      <c r="AB836" s="46" t="e">
        <f t="shared" si="77"/>
        <v>#DIV/0!</v>
      </c>
      <c r="AC836" s="40" t="str">
        <f>IF(データ!X833="","",データ!X833)</f>
        <v/>
      </c>
      <c r="AD836" s="41" t="str">
        <f>IF(データ!Y833="","",データ!Y833)</f>
        <v/>
      </c>
      <c r="AE836" s="47" t="str">
        <f>TRIM(データ!B833)</f>
        <v/>
      </c>
      <c r="AF836" s="43" t="str">
        <f>TRIM(データ!Z833)</f>
        <v/>
      </c>
    </row>
    <row r="837" spans="1:32" x14ac:dyDescent="0.15">
      <c r="A837" s="47">
        <f>データ!A834</f>
        <v>2</v>
      </c>
      <c r="B837" s="47" t="str">
        <f>TRIM(データ!C834)</f>
        <v/>
      </c>
      <c r="C837" s="47" t="str">
        <f>TRIM(データ!D834)</f>
        <v>材料費</v>
      </c>
      <c r="D837" s="36" t="str">
        <f>REPT("｜",$A837)&amp;TRIM(データ!E834)</f>
        <v>｜｜資機材</v>
      </c>
      <c r="E837" s="37" t="str">
        <f>TRIM(データ!F834)</f>
        <v>サンダー、モルタル</v>
      </c>
      <c r="F837" s="38" t="str">
        <f>TRIM(データ!G834)</f>
        <v>式</v>
      </c>
      <c r="G837" s="50">
        <f>データ!H834</f>
        <v>1</v>
      </c>
      <c r="H837" s="48">
        <f>データ!I834</f>
        <v>4000</v>
      </c>
      <c r="I837" s="48">
        <f>データ!J834</f>
        <v>4000</v>
      </c>
      <c r="J837" s="39" t="str">
        <f>IF(OR($C837="総括",$C837="内訳書",$C837="内訳代価",$C837="明細書",$C837="明細代価",$C837="代価表",$C837="単価表"),データ!K834,"")</f>
        <v/>
      </c>
      <c r="K837" s="11" t="str">
        <f t="shared" ref="K837:K861" si="78">IF(OR(J837="",G837=J837),"","*")</f>
        <v/>
      </c>
      <c r="L837" s="46">
        <f t="shared" ref="L837:L861" si="79">IF($A837&lt;=L$1,I837/I$4,"")</f>
        <v>5.7592904554158925E-5</v>
      </c>
      <c r="M837" s="40" t="str">
        <f>IF(データ!L834="","",データ!L834)</f>
        <v/>
      </c>
      <c r="N837" s="41" t="str">
        <f>IF(データ!M834="","",データ!M834)</f>
        <v/>
      </c>
      <c r="O837" s="42">
        <f>データ!N834</f>
        <v>0</v>
      </c>
      <c r="P837" s="48">
        <f>IF($C837="集計行","",データ!O834)</f>
        <v>0</v>
      </c>
      <c r="Q837" s="48">
        <f>データ!P834</f>
        <v>0</v>
      </c>
      <c r="R837" s="39" t="str">
        <f>IF(OR($C837="総括",$C837="内訳書",$C837="内訳代価",$C837="明細書",$C837="明細代価",$C837="代価表",$C837="単価表"),データ!Q834,"")</f>
        <v/>
      </c>
      <c r="S837" s="11" t="str">
        <f t="shared" ref="S837:S861" si="80">IF(OR(R837="",O837=R837),"","*")</f>
        <v/>
      </c>
      <c r="T837" s="46" t="e">
        <f t="shared" ref="T837:T861" si="81">IF($A837&lt;=T$1,Q837/Q$4,"")</f>
        <v>#DIV/0!</v>
      </c>
      <c r="U837" s="40" t="str">
        <f>IF(データ!R834="","",データ!R834)</f>
        <v/>
      </c>
      <c r="V837" s="41" t="str">
        <f>IF(データ!S834="","",データ!S834)</f>
        <v/>
      </c>
      <c r="W837" s="42">
        <f>データ!T834</f>
        <v>0</v>
      </c>
      <c r="X837" s="48">
        <f>IF($C837="集計行","",データ!U834)</f>
        <v>0</v>
      </c>
      <c r="Y837" s="48">
        <f>データ!V834</f>
        <v>0</v>
      </c>
      <c r="Z837" s="39" t="str">
        <f>IF(OR($C837="総括",$C837="内訳書",$C837="内訳代価",$C837="明細書",$C837="明細代価",$C837="代価表",$C837="単価表"),データ!W834,"")</f>
        <v/>
      </c>
      <c r="AA837" s="11" t="str">
        <f t="shared" ref="AA837:AA861" si="82">IF(OR(Z837="",W837=Z837),"","*")</f>
        <v/>
      </c>
      <c r="AB837" s="46" t="e">
        <f t="shared" ref="AB837:AB861" si="83">IF($A837&lt;=AB$1,Y837/Y$4,"")</f>
        <v>#DIV/0!</v>
      </c>
      <c r="AC837" s="40" t="str">
        <f>IF(データ!X834="","",データ!X834)</f>
        <v/>
      </c>
      <c r="AD837" s="41" t="str">
        <f>IF(データ!Y834="","",データ!Y834)</f>
        <v/>
      </c>
      <c r="AE837" s="47" t="str">
        <f>TRIM(データ!B834)</f>
        <v/>
      </c>
      <c r="AF837" s="43" t="str">
        <f>TRIM(データ!Z834)</f>
        <v/>
      </c>
    </row>
    <row r="838" spans="1:32" x14ac:dyDescent="0.15">
      <c r="A838" s="47">
        <f>データ!A835</f>
        <v>1</v>
      </c>
      <c r="B838" s="47" t="str">
        <f>TRIM(データ!C835)</f>
        <v/>
      </c>
      <c r="C838" s="47" t="str">
        <f>TRIM(データ!D835)</f>
        <v>内訳書</v>
      </c>
      <c r="D838" s="36" t="str">
        <f>REPT("｜",$A838)&amp;TRIM(データ!E835)</f>
        <v>｜駐車場整備</v>
      </c>
      <c r="E838" s="37" t="str">
        <f>TRIM(データ!F835)</f>
        <v/>
      </c>
      <c r="F838" s="38" t="str">
        <f>TRIM(データ!G835)</f>
        <v>式</v>
      </c>
      <c r="G838" s="50">
        <f>データ!H835</f>
        <v>1</v>
      </c>
      <c r="H838" s="48">
        <f>データ!I835</f>
        <v>317900</v>
      </c>
      <c r="I838" s="48">
        <f>データ!J835</f>
        <v>317900</v>
      </c>
      <c r="J838" s="39">
        <f>IF(OR($C838="総括",$C838="内訳書",$C838="内訳代価",$C838="明細書",$C838="明細代価",$C838="代価表",$C838="単価表"),データ!K835,"")</f>
        <v>1</v>
      </c>
      <c r="K838" s="11" t="str">
        <f t="shared" si="78"/>
        <v/>
      </c>
      <c r="L838" s="46">
        <f t="shared" si="79"/>
        <v>4.5771960894417808E-3</v>
      </c>
      <c r="M838" s="40" t="str">
        <f>IF(データ!L835="","",データ!L835)</f>
        <v/>
      </c>
      <c r="N838" s="41" t="str">
        <f>IF(データ!M835="","",データ!M835)</f>
        <v>114号内訳書</v>
      </c>
      <c r="O838" s="42">
        <f>データ!N835</f>
        <v>0</v>
      </c>
      <c r="P838" s="48">
        <f>IF($C838="集計行","",データ!O835)</f>
        <v>0</v>
      </c>
      <c r="Q838" s="48">
        <f>データ!P835</f>
        <v>0</v>
      </c>
      <c r="R838" s="39">
        <f>IF(OR($C838="総括",$C838="内訳書",$C838="内訳代価",$C838="明細書",$C838="明細代価",$C838="代価表",$C838="単価表"),データ!Q835,"")</f>
        <v>0</v>
      </c>
      <c r="S838" s="11" t="str">
        <f t="shared" si="80"/>
        <v/>
      </c>
      <c r="T838" s="46" t="e">
        <f t="shared" si="81"/>
        <v>#DIV/0!</v>
      </c>
      <c r="U838" s="40" t="str">
        <f>IF(データ!R835="","",データ!R835)</f>
        <v/>
      </c>
      <c r="V838" s="41" t="str">
        <f>IF(データ!S835="","",データ!S835)</f>
        <v/>
      </c>
      <c r="W838" s="42">
        <f>データ!T835</f>
        <v>0</v>
      </c>
      <c r="X838" s="48">
        <f>IF($C838="集計行","",データ!U835)</f>
        <v>0</v>
      </c>
      <c r="Y838" s="48">
        <f>データ!V835</f>
        <v>0</v>
      </c>
      <c r="Z838" s="39">
        <f>IF(OR($C838="総括",$C838="内訳書",$C838="内訳代価",$C838="明細書",$C838="明細代価",$C838="代価表",$C838="単価表"),データ!W835,"")</f>
        <v>0</v>
      </c>
      <c r="AA838" s="11" t="str">
        <f t="shared" si="82"/>
        <v/>
      </c>
      <c r="AB838" s="46" t="e">
        <f t="shared" si="83"/>
        <v>#DIV/0!</v>
      </c>
      <c r="AC838" s="40" t="str">
        <f>IF(データ!X835="","",データ!X835)</f>
        <v/>
      </c>
      <c r="AD838" s="41" t="str">
        <f>IF(データ!Y835="","",データ!Y835)</f>
        <v/>
      </c>
      <c r="AE838" s="47" t="str">
        <f>TRIM(データ!B835)</f>
        <v/>
      </c>
      <c r="AF838" s="43" t="str">
        <f>TRIM(データ!Z835)</f>
        <v/>
      </c>
    </row>
    <row r="839" spans="1:32" x14ac:dyDescent="0.15">
      <c r="A839" s="47">
        <f>データ!A836</f>
        <v>2</v>
      </c>
      <c r="B839" s="47" t="str">
        <f>TRIM(データ!C836)</f>
        <v/>
      </c>
      <c r="C839" s="47" t="str">
        <f>TRIM(データ!D836)</f>
        <v>労務費</v>
      </c>
      <c r="D839" s="36" t="str">
        <f>REPT("｜",$A839)&amp;TRIM(データ!E836)</f>
        <v>｜｜特殊作業員</v>
      </c>
      <c r="E839" s="37" t="str">
        <f>TRIM(データ!F836)</f>
        <v/>
      </c>
      <c r="F839" s="38" t="str">
        <f>TRIM(データ!G836)</f>
        <v>人</v>
      </c>
      <c r="G839" s="50">
        <f>データ!H836</f>
        <v>2</v>
      </c>
      <c r="H839" s="48">
        <f>データ!I836</f>
        <v>25000</v>
      </c>
      <c r="I839" s="48">
        <f>データ!J836</f>
        <v>50000</v>
      </c>
      <c r="J839" s="39" t="str">
        <f>IF(OR($C839="総括",$C839="内訳書",$C839="内訳代価",$C839="明細書",$C839="明細代価",$C839="代価表",$C839="単価表"),データ!K836,"")</f>
        <v/>
      </c>
      <c r="K839" s="11" t="str">
        <f t="shared" si="78"/>
        <v/>
      </c>
      <c r="L839" s="46">
        <f t="shared" si="79"/>
        <v>7.1991130692698659E-4</v>
      </c>
      <c r="M839" s="40" t="str">
        <f>IF(データ!L836="","",データ!L836)</f>
        <v/>
      </c>
      <c r="N839" s="41" t="str">
        <f>IF(データ!M836="","",データ!M836)</f>
        <v/>
      </c>
      <c r="O839" s="42">
        <f>データ!N836</f>
        <v>0</v>
      </c>
      <c r="P839" s="48">
        <f>IF($C839="集計行","",データ!O836)</f>
        <v>0</v>
      </c>
      <c r="Q839" s="48">
        <f>データ!P836</f>
        <v>0</v>
      </c>
      <c r="R839" s="39" t="str">
        <f>IF(OR($C839="総括",$C839="内訳書",$C839="内訳代価",$C839="明細書",$C839="明細代価",$C839="代価表",$C839="単価表"),データ!Q836,"")</f>
        <v/>
      </c>
      <c r="S839" s="11" t="str">
        <f t="shared" si="80"/>
        <v/>
      </c>
      <c r="T839" s="46" t="e">
        <f t="shared" si="81"/>
        <v>#DIV/0!</v>
      </c>
      <c r="U839" s="40" t="str">
        <f>IF(データ!R836="","",データ!R836)</f>
        <v/>
      </c>
      <c r="V839" s="41" t="str">
        <f>IF(データ!S836="","",データ!S836)</f>
        <v/>
      </c>
      <c r="W839" s="42">
        <f>データ!T836</f>
        <v>0</v>
      </c>
      <c r="X839" s="48">
        <f>IF($C839="集計行","",データ!U836)</f>
        <v>0</v>
      </c>
      <c r="Y839" s="48">
        <f>データ!V836</f>
        <v>0</v>
      </c>
      <c r="Z839" s="39" t="str">
        <f>IF(OR($C839="総括",$C839="内訳書",$C839="内訳代価",$C839="明細書",$C839="明細代価",$C839="代価表",$C839="単価表"),データ!W836,"")</f>
        <v/>
      </c>
      <c r="AA839" s="11" t="str">
        <f t="shared" si="82"/>
        <v/>
      </c>
      <c r="AB839" s="46" t="e">
        <f t="shared" si="83"/>
        <v>#DIV/0!</v>
      </c>
      <c r="AC839" s="40" t="str">
        <f>IF(データ!X836="","",データ!X836)</f>
        <v/>
      </c>
      <c r="AD839" s="41" t="str">
        <f>IF(データ!Y836="","",データ!Y836)</f>
        <v/>
      </c>
      <c r="AE839" s="47" t="str">
        <f>TRIM(データ!B836)</f>
        <v/>
      </c>
      <c r="AF839" s="43" t="str">
        <f>TRIM(データ!Z836)</f>
        <v/>
      </c>
    </row>
    <row r="840" spans="1:32" x14ac:dyDescent="0.15">
      <c r="A840" s="47">
        <f>データ!A837</f>
        <v>2</v>
      </c>
      <c r="B840" s="47" t="str">
        <f>TRIM(データ!C837)</f>
        <v/>
      </c>
      <c r="C840" s="47" t="str">
        <f>TRIM(データ!D837)</f>
        <v>労務費</v>
      </c>
      <c r="D840" s="36" t="str">
        <f>REPT("｜",$A840)&amp;TRIM(データ!E837)</f>
        <v>｜｜普通作業員</v>
      </c>
      <c r="E840" s="37" t="str">
        <f>TRIM(データ!F837)</f>
        <v/>
      </c>
      <c r="F840" s="38" t="str">
        <f>TRIM(データ!G837)</f>
        <v>人</v>
      </c>
      <c r="G840" s="50">
        <f>データ!H837</f>
        <v>4</v>
      </c>
      <c r="H840" s="48">
        <f>データ!I837</f>
        <v>25000</v>
      </c>
      <c r="I840" s="48">
        <f>データ!J837</f>
        <v>100000</v>
      </c>
      <c r="J840" s="39" t="str">
        <f>IF(OR($C840="総括",$C840="内訳書",$C840="内訳代価",$C840="明細書",$C840="明細代価",$C840="代価表",$C840="単価表"),データ!K837,"")</f>
        <v/>
      </c>
      <c r="K840" s="11" t="str">
        <f t="shared" si="78"/>
        <v/>
      </c>
      <c r="L840" s="46">
        <f t="shared" si="79"/>
        <v>1.4398226138539732E-3</v>
      </c>
      <c r="M840" s="40" t="str">
        <f>IF(データ!L837="","",データ!L837)</f>
        <v/>
      </c>
      <c r="N840" s="41" t="str">
        <f>IF(データ!M837="","",データ!M837)</f>
        <v/>
      </c>
      <c r="O840" s="42">
        <f>データ!N837</f>
        <v>0</v>
      </c>
      <c r="P840" s="48">
        <f>IF($C840="集計行","",データ!O837)</f>
        <v>0</v>
      </c>
      <c r="Q840" s="48">
        <f>データ!P837</f>
        <v>0</v>
      </c>
      <c r="R840" s="39" t="str">
        <f>IF(OR($C840="総括",$C840="内訳書",$C840="内訳代価",$C840="明細書",$C840="明細代価",$C840="代価表",$C840="単価表"),データ!Q837,"")</f>
        <v/>
      </c>
      <c r="S840" s="11" t="str">
        <f t="shared" si="80"/>
        <v/>
      </c>
      <c r="T840" s="46" t="e">
        <f t="shared" si="81"/>
        <v>#DIV/0!</v>
      </c>
      <c r="U840" s="40" t="str">
        <f>IF(データ!R837="","",データ!R837)</f>
        <v/>
      </c>
      <c r="V840" s="41" t="str">
        <f>IF(データ!S837="","",データ!S837)</f>
        <v/>
      </c>
      <c r="W840" s="42">
        <f>データ!T837</f>
        <v>0</v>
      </c>
      <c r="X840" s="48">
        <f>IF($C840="集計行","",データ!U837)</f>
        <v>0</v>
      </c>
      <c r="Y840" s="48">
        <f>データ!V837</f>
        <v>0</v>
      </c>
      <c r="Z840" s="39" t="str">
        <f>IF(OR($C840="総括",$C840="内訳書",$C840="内訳代価",$C840="明細書",$C840="明細代価",$C840="代価表",$C840="単価表"),データ!W837,"")</f>
        <v/>
      </c>
      <c r="AA840" s="11" t="str">
        <f t="shared" si="82"/>
        <v/>
      </c>
      <c r="AB840" s="46" t="e">
        <f t="shared" si="83"/>
        <v>#DIV/0!</v>
      </c>
      <c r="AC840" s="40" t="str">
        <f>IF(データ!X837="","",データ!X837)</f>
        <v/>
      </c>
      <c r="AD840" s="41" t="str">
        <f>IF(データ!Y837="","",データ!Y837)</f>
        <v/>
      </c>
      <c r="AE840" s="47" t="str">
        <f>TRIM(データ!B837)</f>
        <v/>
      </c>
      <c r="AF840" s="43" t="str">
        <f>TRIM(データ!Z837)</f>
        <v/>
      </c>
    </row>
    <row r="841" spans="1:32" x14ac:dyDescent="0.15">
      <c r="A841" s="47">
        <f>データ!A838</f>
        <v>2</v>
      </c>
      <c r="B841" s="47" t="str">
        <f>TRIM(データ!C838)</f>
        <v/>
      </c>
      <c r="C841" s="47" t="str">
        <f>TRIM(データ!D838)</f>
        <v>機械費</v>
      </c>
      <c r="D841" s="36" t="str">
        <f>REPT("｜",$A841)&amp;TRIM(データ!E838)</f>
        <v>｜｜バックホウ0.45m3</v>
      </c>
      <c r="E841" s="37" t="str">
        <f>TRIM(データ!F838)</f>
        <v/>
      </c>
      <c r="F841" s="38" t="str">
        <f>TRIM(データ!G838)</f>
        <v>台</v>
      </c>
      <c r="G841" s="50">
        <f>データ!H838</f>
        <v>1</v>
      </c>
      <c r="H841" s="48">
        <f>データ!I838</f>
        <v>23000</v>
      </c>
      <c r="I841" s="48">
        <f>データ!J838</f>
        <v>23000</v>
      </c>
      <c r="J841" s="39" t="str">
        <f>IF(OR($C841="総括",$C841="内訳書",$C841="内訳代価",$C841="明細書",$C841="明細代価",$C841="代価表",$C841="単価表"),データ!K838,"")</f>
        <v/>
      </c>
      <c r="K841" s="11" t="str">
        <f t="shared" si="78"/>
        <v/>
      </c>
      <c r="L841" s="46">
        <f t="shared" si="79"/>
        <v>3.3115920118641386E-4</v>
      </c>
      <c r="M841" s="40" t="str">
        <f>IF(データ!L838="","",データ!L838)</f>
        <v/>
      </c>
      <c r="N841" s="41" t="str">
        <f>IF(データ!M838="","",データ!M838)</f>
        <v/>
      </c>
      <c r="O841" s="42">
        <f>データ!N838</f>
        <v>0</v>
      </c>
      <c r="P841" s="48">
        <f>IF($C841="集計行","",データ!O838)</f>
        <v>0</v>
      </c>
      <c r="Q841" s="48">
        <f>データ!P838</f>
        <v>0</v>
      </c>
      <c r="R841" s="39" t="str">
        <f>IF(OR($C841="総括",$C841="内訳書",$C841="内訳代価",$C841="明細書",$C841="明細代価",$C841="代価表",$C841="単価表"),データ!Q838,"")</f>
        <v/>
      </c>
      <c r="S841" s="11" t="str">
        <f t="shared" si="80"/>
        <v/>
      </c>
      <c r="T841" s="46" t="e">
        <f t="shared" si="81"/>
        <v>#DIV/0!</v>
      </c>
      <c r="U841" s="40" t="str">
        <f>IF(データ!R838="","",データ!R838)</f>
        <v/>
      </c>
      <c r="V841" s="41" t="str">
        <f>IF(データ!S838="","",データ!S838)</f>
        <v/>
      </c>
      <c r="W841" s="42">
        <f>データ!T838</f>
        <v>0</v>
      </c>
      <c r="X841" s="48">
        <f>IF($C841="集計行","",データ!U838)</f>
        <v>0</v>
      </c>
      <c r="Y841" s="48">
        <f>データ!V838</f>
        <v>0</v>
      </c>
      <c r="Z841" s="39" t="str">
        <f>IF(OR($C841="総括",$C841="内訳書",$C841="内訳代価",$C841="明細書",$C841="明細代価",$C841="代価表",$C841="単価表"),データ!W838,"")</f>
        <v/>
      </c>
      <c r="AA841" s="11" t="str">
        <f t="shared" si="82"/>
        <v/>
      </c>
      <c r="AB841" s="46" t="e">
        <f t="shared" si="83"/>
        <v>#DIV/0!</v>
      </c>
      <c r="AC841" s="40" t="str">
        <f>IF(データ!X838="","",データ!X838)</f>
        <v/>
      </c>
      <c r="AD841" s="41" t="str">
        <f>IF(データ!Y838="","",データ!Y838)</f>
        <v/>
      </c>
      <c r="AE841" s="47" t="str">
        <f>TRIM(データ!B838)</f>
        <v/>
      </c>
      <c r="AF841" s="43" t="str">
        <f>TRIM(データ!Z838)</f>
        <v/>
      </c>
    </row>
    <row r="842" spans="1:32" x14ac:dyDescent="0.15">
      <c r="A842" s="47">
        <f>データ!A839</f>
        <v>2</v>
      </c>
      <c r="B842" s="47" t="str">
        <f>TRIM(データ!C839)</f>
        <v/>
      </c>
      <c r="C842" s="47" t="str">
        <f>TRIM(データ!D839)</f>
        <v>運搬費</v>
      </c>
      <c r="D842" s="36" t="str">
        <f>REPT("｜",$A842)&amp;TRIM(データ!E839)</f>
        <v>｜｜残土運搬処分</v>
      </c>
      <c r="E842" s="37" t="str">
        <f>TRIM(データ!F839)</f>
        <v/>
      </c>
      <c r="F842" s="38" t="str">
        <f>TRIM(データ!G839)</f>
        <v>m3</v>
      </c>
      <c r="G842" s="50">
        <f>データ!H839</f>
        <v>21</v>
      </c>
      <c r="H842" s="48">
        <f>データ!I839</f>
        <v>6900</v>
      </c>
      <c r="I842" s="48">
        <f>データ!J839</f>
        <v>144900</v>
      </c>
      <c r="J842" s="39" t="str">
        <f>IF(OR($C842="総括",$C842="内訳書",$C842="内訳代価",$C842="明細書",$C842="明細代価",$C842="代価表",$C842="単価表"),データ!K839,"")</f>
        <v/>
      </c>
      <c r="K842" s="11" t="str">
        <f t="shared" si="78"/>
        <v/>
      </c>
      <c r="L842" s="46">
        <f t="shared" si="79"/>
        <v>2.086302967474407E-3</v>
      </c>
      <c r="M842" s="40" t="str">
        <f>IF(データ!L839="","",データ!L839)</f>
        <v/>
      </c>
      <c r="N842" s="41" t="str">
        <f>IF(データ!M839="","",データ!M839)</f>
        <v/>
      </c>
      <c r="O842" s="42">
        <f>データ!N839</f>
        <v>0</v>
      </c>
      <c r="P842" s="48">
        <f>IF($C842="集計行","",データ!O839)</f>
        <v>0</v>
      </c>
      <c r="Q842" s="48">
        <f>データ!P839</f>
        <v>0</v>
      </c>
      <c r="R842" s="39" t="str">
        <f>IF(OR($C842="総括",$C842="内訳書",$C842="内訳代価",$C842="明細書",$C842="明細代価",$C842="代価表",$C842="単価表"),データ!Q839,"")</f>
        <v/>
      </c>
      <c r="S842" s="11" t="str">
        <f t="shared" si="80"/>
        <v/>
      </c>
      <c r="T842" s="46" t="e">
        <f t="shared" si="81"/>
        <v>#DIV/0!</v>
      </c>
      <c r="U842" s="40" t="str">
        <f>IF(データ!R839="","",データ!R839)</f>
        <v/>
      </c>
      <c r="V842" s="41" t="str">
        <f>IF(データ!S839="","",データ!S839)</f>
        <v/>
      </c>
      <c r="W842" s="42">
        <f>データ!T839</f>
        <v>0</v>
      </c>
      <c r="X842" s="48">
        <f>IF($C842="集計行","",データ!U839)</f>
        <v>0</v>
      </c>
      <c r="Y842" s="48">
        <f>データ!V839</f>
        <v>0</v>
      </c>
      <c r="Z842" s="39" t="str">
        <f>IF(OR($C842="総括",$C842="内訳書",$C842="内訳代価",$C842="明細書",$C842="明細代価",$C842="代価表",$C842="単価表"),データ!W839,"")</f>
        <v/>
      </c>
      <c r="AA842" s="11" t="str">
        <f t="shared" si="82"/>
        <v/>
      </c>
      <c r="AB842" s="46" t="e">
        <f t="shared" si="83"/>
        <v>#DIV/0!</v>
      </c>
      <c r="AC842" s="40" t="str">
        <f>IF(データ!X839="","",データ!X839)</f>
        <v/>
      </c>
      <c r="AD842" s="41" t="str">
        <f>IF(データ!Y839="","",データ!Y839)</f>
        <v/>
      </c>
      <c r="AE842" s="47" t="str">
        <f>TRIM(データ!B839)</f>
        <v/>
      </c>
      <c r="AF842" s="43" t="str">
        <f>TRIM(データ!Z839)</f>
        <v/>
      </c>
    </row>
    <row r="843" spans="1:32" x14ac:dyDescent="0.15">
      <c r="A843" s="47">
        <f>データ!A840</f>
        <v>1</v>
      </c>
      <c r="B843" s="47" t="str">
        <f>TRIM(データ!C840)</f>
        <v/>
      </c>
      <c r="C843" s="47" t="str">
        <f>TRIM(データ!D840)</f>
        <v>内訳書</v>
      </c>
      <c r="D843" s="36" t="str">
        <f>REPT("｜",$A843)&amp;TRIM(データ!E840)</f>
        <v>｜集水桝グレーチング蓋交換</v>
      </c>
      <c r="E843" s="37" t="str">
        <f>TRIM(データ!F840)</f>
        <v>普通目→細目</v>
      </c>
      <c r="F843" s="38" t="str">
        <f>TRIM(データ!G840)</f>
        <v>式</v>
      </c>
      <c r="G843" s="50">
        <f>データ!H840</f>
        <v>1</v>
      </c>
      <c r="H843" s="48">
        <f>データ!I840</f>
        <v>63000</v>
      </c>
      <c r="I843" s="48">
        <f>データ!J840</f>
        <v>63000</v>
      </c>
      <c r="J843" s="39">
        <f>IF(OR($C843="総括",$C843="内訳書",$C843="内訳代価",$C843="明細書",$C843="明細代価",$C843="代価表",$C843="単価表"),データ!K840,"")</f>
        <v>1</v>
      </c>
      <c r="K843" s="11" t="str">
        <f t="shared" si="78"/>
        <v/>
      </c>
      <c r="L843" s="46">
        <f t="shared" si="79"/>
        <v>9.0708824672800306E-4</v>
      </c>
      <c r="M843" s="40" t="str">
        <f>IF(データ!L840="","",データ!L840)</f>
        <v/>
      </c>
      <c r="N843" s="41" t="str">
        <f>IF(データ!M840="","",データ!M840)</f>
        <v>115号内訳書</v>
      </c>
      <c r="O843" s="42">
        <f>データ!N840</f>
        <v>0</v>
      </c>
      <c r="P843" s="48">
        <f>IF($C843="集計行","",データ!O840)</f>
        <v>0</v>
      </c>
      <c r="Q843" s="48">
        <f>データ!P840</f>
        <v>0</v>
      </c>
      <c r="R843" s="39">
        <f>IF(OR($C843="総括",$C843="内訳書",$C843="内訳代価",$C843="明細書",$C843="明細代価",$C843="代価表",$C843="単価表"),データ!Q840,"")</f>
        <v>0</v>
      </c>
      <c r="S843" s="11" t="str">
        <f t="shared" si="80"/>
        <v/>
      </c>
      <c r="T843" s="46" t="e">
        <f t="shared" si="81"/>
        <v>#DIV/0!</v>
      </c>
      <c r="U843" s="40" t="str">
        <f>IF(データ!R840="","",データ!R840)</f>
        <v/>
      </c>
      <c r="V843" s="41" t="str">
        <f>IF(データ!S840="","",データ!S840)</f>
        <v/>
      </c>
      <c r="W843" s="42">
        <f>データ!T840</f>
        <v>0</v>
      </c>
      <c r="X843" s="48">
        <f>IF($C843="集計行","",データ!U840)</f>
        <v>0</v>
      </c>
      <c r="Y843" s="48">
        <f>データ!V840</f>
        <v>0</v>
      </c>
      <c r="Z843" s="39">
        <f>IF(OR($C843="総括",$C843="内訳書",$C843="内訳代価",$C843="明細書",$C843="明細代価",$C843="代価表",$C843="単価表"),データ!W840,"")</f>
        <v>0</v>
      </c>
      <c r="AA843" s="11" t="str">
        <f t="shared" si="82"/>
        <v/>
      </c>
      <c r="AB843" s="46" t="e">
        <f t="shared" si="83"/>
        <v>#DIV/0!</v>
      </c>
      <c r="AC843" s="40" t="str">
        <f>IF(データ!X840="","",データ!X840)</f>
        <v/>
      </c>
      <c r="AD843" s="41" t="str">
        <f>IF(データ!Y840="","",データ!Y840)</f>
        <v/>
      </c>
      <c r="AE843" s="47" t="str">
        <f>TRIM(データ!B840)</f>
        <v/>
      </c>
      <c r="AF843" s="43" t="str">
        <f>TRIM(データ!Z840)</f>
        <v/>
      </c>
    </row>
    <row r="844" spans="1:32" x14ac:dyDescent="0.15">
      <c r="A844" s="47">
        <f>データ!A841</f>
        <v>2</v>
      </c>
      <c r="B844" s="47" t="str">
        <f>TRIM(データ!C841)</f>
        <v/>
      </c>
      <c r="C844" s="47" t="str">
        <f>TRIM(データ!D841)</f>
        <v>労務費</v>
      </c>
      <c r="D844" s="36" t="str">
        <f>REPT("｜",$A844)&amp;TRIM(データ!E841)</f>
        <v>｜｜普通作業員</v>
      </c>
      <c r="E844" s="37" t="str">
        <f>TRIM(データ!F841)</f>
        <v/>
      </c>
      <c r="F844" s="38" t="str">
        <f>TRIM(データ!G841)</f>
        <v>人</v>
      </c>
      <c r="G844" s="50">
        <f>データ!H841</f>
        <v>1</v>
      </c>
      <c r="H844" s="48">
        <f>データ!I841</f>
        <v>25000</v>
      </c>
      <c r="I844" s="48">
        <f>データ!J841</f>
        <v>25000</v>
      </c>
      <c r="J844" s="39" t="str">
        <f>IF(OR($C844="総括",$C844="内訳書",$C844="内訳代価",$C844="明細書",$C844="明細代価",$C844="代価表",$C844="単価表"),データ!K841,"")</f>
        <v/>
      </c>
      <c r="K844" s="11" t="str">
        <f t="shared" si="78"/>
        <v/>
      </c>
      <c r="L844" s="46">
        <f t="shared" si="79"/>
        <v>3.599556534634933E-4</v>
      </c>
      <c r="M844" s="40" t="str">
        <f>IF(データ!L841="","",データ!L841)</f>
        <v/>
      </c>
      <c r="N844" s="41" t="str">
        <f>IF(データ!M841="","",データ!M841)</f>
        <v/>
      </c>
      <c r="O844" s="42">
        <f>データ!N841</f>
        <v>0</v>
      </c>
      <c r="P844" s="48">
        <f>IF($C844="集計行","",データ!O841)</f>
        <v>0</v>
      </c>
      <c r="Q844" s="48">
        <f>データ!P841</f>
        <v>0</v>
      </c>
      <c r="R844" s="39" t="str">
        <f>IF(OR($C844="総括",$C844="内訳書",$C844="内訳代価",$C844="明細書",$C844="明細代価",$C844="代価表",$C844="単価表"),データ!Q841,"")</f>
        <v/>
      </c>
      <c r="S844" s="11" t="str">
        <f t="shared" si="80"/>
        <v/>
      </c>
      <c r="T844" s="46" t="e">
        <f t="shared" si="81"/>
        <v>#DIV/0!</v>
      </c>
      <c r="U844" s="40" t="str">
        <f>IF(データ!R841="","",データ!R841)</f>
        <v/>
      </c>
      <c r="V844" s="41" t="str">
        <f>IF(データ!S841="","",データ!S841)</f>
        <v/>
      </c>
      <c r="W844" s="42">
        <f>データ!T841</f>
        <v>0</v>
      </c>
      <c r="X844" s="48">
        <f>IF($C844="集計行","",データ!U841)</f>
        <v>0</v>
      </c>
      <c r="Y844" s="48">
        <f>データ!V841</f>
        <v>0</v>
      </c>
      <c r="Z844" s="39" t="str">
        <f>IF(OR($C844="総括",$C844="内訳書",$C844="内訳代価",$C844="明細書",$C844="明細代価",$C844="代価表",$C844="単価表"),データ!W841,"")</f>
        <v/>
      </c>
      <c r="AA844" s="11" t="str">
        <f t="shared" si="82"/>
        <v/>
      </c>
      <c r="AB844" s="46" t="e">
        <f t="shared" si="83"/>
        <v>#DIV/0!</v>
      </c>
      <c r="AC844" s="40" t="str">
        <f>IF(データ!X841="","",データ!X841)</f>
        <v/>
      </c>
      <c r="AD844" s="41" t="str">
        <f>IF(データ!Y841="","",データ!Y841)</f>
        <v/>
      </c>
      <c r="AE844" s="47" t="str">
        <f>TRIM(データ!B841)</f>
        <v/>
      </c>
      <c r="AF844" s="43" t="str">
        <f>TRIM(データ!Z841)</f>
        <v/>
      </c>
    </row>
    <row r="845" spans="1:32" x14ac:dyDescent="0.15">
      <c r="A845" s="47">
        <f>データ!A842</f>
        <v>2</v>
      </c>
      <c r="B845" s="47" t="str">
        <f>TRIM(データ!C842)</f>
        <v/>
      </c>
      <c r="C845" s="47" t="str">
        <f>TRIM(データ!D842)</f>
        <v>運搬費</v>
      </c>
      <c r="D845" s="36" t="str">
        <f>REPT("｜",$A845)&amp;TRIM(データ!E842)</f>
        <v>｜｜通勤車</v>
      </c>
      <c r="E845" s="37" t="str">
        <f>TRIM(データ!F842)</f>
        <v/>
      </c>
      <c r="F845" s="38" t="str">
        <f>TRIM(データ!G842)</f>
        <v>台</v>
      </c>
      <c r="G845" s="50">
        <f>データ!H842</f>
        <v>1</v>
      </c>
      <c r="H845" s="48">
        <f>データ!I842</f>
        <v>3000</v>
      </c>
      <c r="I845" s="48">
        <f>データ!J842</f>
        <v>3000</v>
      </c>
      <c r="J845" s="39" t="str">
        <f>IF(OR($C845="総括",$C845="内訳書",$C845="内訳代価",$C845="明細書",$C845="明細代価",$C845="代価表",$C845="単価表"),データ!K842,"")</f>
        <v/>
      </c>
      <c r="K845" s="11" t="str">
        <f t="shared" si="78"/>
        <v/>
      </c>
      <c r="L845" s="46">
        <f t="shared" si="79"/>
        <v>4.3194678415619194E-5</v>
      </c>
      <c r="M845" s="40" t="str">
        <f>IF(データ!L842="","",データ!L842)</f>
        <v/>
      </c>
      <c r="N845" s="41" t="str">
        <f>IF(データ!M842="","",データ!M842)</f>
        <v/>
      </c>
      <c r="O845" s="42">
        <f>データ!N842</f>
        <v>0</v>
      </c>
      <c r="P845" s="48">
        <f>IF($C845="集計行","",データ!O842)</f>
        <v>0</v>
      </c>
      <c r="Q845" s="48">
        <f>データ!P842</f>
        <v>0</v>
      </c>
      <c r="R845" s="39" t="str">
        <f>IF(OR($C845="総括",$C845="内訳書",$C845="内訳代価",$C845="明細書",$C845="明細代価",$C845="代価表",$C845="単価表"),データ!Q842,"")</f>
        <v/>
      </c>
      <c r="S845" s="11" t="str">
        <f t="shared" si="80"/>
        <v/>
      </c>
      <c r="T845" s="46" t="e">
        <f t="shared" si="81"/>
        <v>#DIV/0!</v>
      </c>
      <c r="U845" s="40" t="str">
        <f>IF(データ!R842="","",データ!R842)</f>
        <v/>
      </c>
      <c r="V845" s="41" t="str">
        <f>IF(データ!S842="","",データ!S842)</f>
        <v/>
      </c>
      <c r="W845" s="42">
        <f>データ!T842</f>
        <v>0</v>
      </c>
      <c r="X845" s="48">
        <f>IF($C845="集計行","",データ!U842)</f>
        <v>0</v>
      </c>
      <c r="Y845" s="48">
        <f>データ!V842</f>
        <v>0</v>
      </c>
      <c r="Z845" s="39" t="str">
        <f>IF(OR($C845="総括",$C845="内訳書",$C845="内訳代価",$C845="明細書",$C845="明細代価",$C845="代価表",$C845="単価表"),データ!W842,"")</f>
        <v/>
      </c>
      <c r="AA845" s="11" t="str">
        <f t="shared" si="82"/>
        <v/>
      </c>
      <c r="AB845" s="46" t="e">
        <f t="shared" si="83"/>
        <v>#DIV/0!</v>
      </c>
      <c r="AC845" s="40" t="str">
        <f>IF(データ!X842="","",データ!X842)</f>
        <v/>
      </c>
      <c r="AD845" s="41" t="str">
        <f>IF(データ!Y842="","",データ!Y842)</f>
        <v/>
      </c>
      <c r="AE845" s="47" t="str">
        <f>TRIM(データ!B842)</f>
        <v/>
      </c>
      <c r="AF845" s="43" t="str">
        <f>TRIM(データ!Z842)</f>
        <v/>
      </c>
    </row>
    <row r="846" spans="1:32" x14ac:dyDescent="0.15">
      <c r="A846" s="47">
        <f>データ!A843</f>
        <v>2</v>
      </c>
      <c r="B846" s="47" t="str">
        <f>TRIM(データ!C843)</f>
        <v/>
      </c>
      <c r="C846" s="47" t="str">
        <f>TRIM(データ!D843)</f>
        <v>材料費</v>
      </c>
      <c r="D846" s="36" t="str">
        <f>REPT("｜",$A846)&amp;TRIM(データ!E843)</f>
        <v>｜｜グレーチング蓋</v>
      </c>
      <c r="E846" s="37" t="str">
        <f>TRIM(データ!F843)</f>
        <v>T-14 細目</v>
      </c>
      <c r="F846" s="38" t="str">
        <f>TRIM(データ!G843)</f>
        <v>枚</v>
      </c>
      <c r="G846" s="50">
        <f>データ!H843</f>
        <v>1</v>
      </c>
      <c r="H846" s="48">
        <f>データ!I843</f>
        <v>35000</v>
      </c>
      <c r="I846" s="48">
        <f>データ!J843</f>
        <v>35000</v>
      </c>
      <c r="J846" s="39" t="str">
        <f>IF(OR($C846="総括",$C846="内訳書",$C846="内訳代価",$C846="明細書",$C846="明細代価",$C846="代価表",$C846="単価表"),データ!K843,"")</f>
        <v/>
      </c>
      <c r="K846" s="11" t="str">
        <f t="shared" si="78"/>
        <v/>
      </c>
      <c r="L846" s="46">
        <f t="shared" si="79"/>
        <v>5.0393791484889064E-4</v>
      </c>
      <c r="M846" s="40" t="str">
        <f>IF(データ!L843="","",データ!L843)</f>
        <v/>
      </c>
      <c r="N846" s="41" t="str">
        <f>IF(データ!M843="","",データ!M843)</f>
        <v/>
      </c>
      <c r="O846" s="42">
        <f>データ!N843</f>
        <v>0</v>
      </c>
      <c r="P846" s="48">
        <f>IF($C846="集計行","",データ!O843)</f>
        <v>0</v>
      </c>
      <c r="Q846" s="48">
        <f>データ!P843</f>
        <v>0</v>
      </c>
      <c r="R846" s="39" t="str">
        <f>IF(OR($C846="総括",$C846="内訳書",$C846="内訳代価",$C846="明細書",$C846="明細代価",$C846="代価表",$C846="単価表"),データ!Q843,"")</f>
        <v/>
      </c>
      <c r="S846" s="11" t="str">
        <f t="shared" si="80"/>
        <v/>
      </c>
      <c r="T846" s="46" t="e">
        <f t="shared" si="81"/>
        <v>#DIV/0!</v>
      </c>
      <c r="U846" s="40" t="str">
        <f>IF(データ!R843="","",データ!R843)</f>
        <v/>
      </c>
      <c r="V846" s="41" t="str">
        <f>IF(データ!S843="","",データ!S843)</f>
        <v/>
      </c>
      <c r="W846" s="42">
        <f>データ!T843</f>
        <v>0</v>
      </c>
      <c r="X846" s="48">
        <f>IF($C846="集計行","",データ!U843)</f>
        <v>0</v>
      </c>
      <c r="Y846" s="48">
        <f>データ!V843</f>
        <v>0</v>
      </c>
      <c r="Z846" s="39" t="str">
        <f>IF(OR($C846="総括",$C846="内訳書",$C846="内訳代価",$C846="明細書",$C846="明細代価",$C846="代価表",$C846="単価表"),データ!W843,"")</f>
        <v/>
      </c>
      <c r="AA846" s="11" t="str">
        <f t="shared" si="82"/>
        <v/>
      </c>
      <c r="AB846" s="46" t="e">
        <f t="shared" si="83"/>
        <v>#DIV/0!</v>
      </c>
      <c r="AC846" s="40" t="str">
        <f>IF(データ!X843="","",データ!X843)</f>
        <v/>
      </c>
      <c r="AD846" s="41" t="str">
        <f>IF(データ!Y843="","",データ!Y843)</f>
        <v/>
      </c>
      <c r="AE846" s="47" t="str">
        <f>TRIM(データ!B843)</f>
        <v/>
      </c>
      <c r="AF846" s="43" t="str">
        <f>TRIM(データ!Z843)</f>
        <v/>
      </c>
    </row>
    <row r="847" spans="1:32" x14ac:dyDescent="0.15">
      <c r="A847" s="47">
        <f>データ!A844</f>
        <v>1</v>
      </c>
      <c r="B847" s="47" t="str">
        <f>TRIM(データ!C844)</f>
        <v/>
      </c>
      <c r="C847" s="47" t="str">
        <f>TRIM(データ!D844)</f>
        <v>内訳書</v>
      </c>
      <c r="D847" s="36" t="str">
        <f>REPT("｜",$A847)&amp;TRIM(データ!E844)</f>
        <v>｜切り下げ仮復旧</v>
      </c>
      <c r="E847" s="37" t="str">
        <f>TRIM(データ!F844)</f>
        <v/>
      </c>
      <c r="F847" s="38" t="str">
        <f>TRIM(データ!G844)</f>
        <v>式</v>
      </c>
      <c r="G847" s="50">
        <f>データ!H844</f>
        <v>1</v>
      </c>
      <c r="H847" s="48">
        <f>データ!I844</f>
        <v>887300</v>
      </c>
      <c r="I847" s="48">
        <f>データ!J844</f>
        <v>887300</v>
      </c>
      <c r="J847" s="39">
        <f>IF(OR($C847="総括",$C847="内訳書",$C847="内訳代価",$C847="明細書",$C847="明細代価",$C847="代価表",$C847="単価表"),データ!K844,"")</f>
        <v>1</v>
      </c>
      <c r="K847" s="11" t="str">
        <f t="shared" si="78"/>
        <v/>
      </c>
      <c r="L847" s="46">
        <f t="shared" si="79"/>
        <v>1.2775546052726305E-2</v>
      </c>
      <c r="M847" s="40" t="str">
        <f>IF(データ!L844="","",データ!L844)</f>
        <v/>
      </c>
      <c r="N847" s="41" t="str">
        <f>IF(データ!M844="","",データ!M844)</f>
        <v>117号内訳書</v>
      </c>
      <c r="O847" s="42">
        <f>データ!N844</f>
        <v>0</v>
      </c>
      <c r="P847" s="48">
        <f>IF($C847="集計行","",データ!O844)</f>
        <v>0</v>
      </c>
      <c r="Q847" s="48">
        <f>データ!P844</f>
        <v>0</v>
      </c>
      <c r="R847" s="39">
        <f>IF(OR($C847="総括",$C847="内訳書",$C847="内訳代価",$C847="明細書",$C847="明細代価",$C847="代価表",$C847="単価表"),データ!Q844,"")</f>
        <v>0</v>
      </c>
      <c r="S847" s="11" t="str">
        <f t="shared" si="80"/>
        <v/>
      </c>
      <c r="T847" s="46" t="e">
        <f t="shared" si="81"/>
        <v>#DIV/0!</v>
      </c>
      <c r="U847" s="40" t="str">
        <f>IF(データ!R844="","",データ!R844)</f>
        <v/>
      </c>
      <c r="V847" s="41" t="str">
        <f>IF(データ!S844="","",データ!S844)</f>
        <v/>
      </c>
      <c r="W847" s="42">
        <f>データ!T844</f>
        <v>0</v>
      </c>
      <c r="X847" s="48">
        <f>IF($C847="集計行","",データ!U844)</f>
        <v>0</v>
      </c>
      <c r="Y847" s="48">
        <f>データ!V844</f>
        <v>0</v>
      </c>
      <c r="Z847" s="39">
        <f>IF(OR($C847="総括",$C847="内訳書",$C847="内訳代価",$C847="明細書",$C847="明細代価",$C847="代価表",$C847="単価表"),データ!W844,"")</f>
        <v>0</v>
      </c>
      <c r="AA847" s="11" t="str">
        <f t="shared" si="82"/>
        <v/>
      </c>
      <c r="AB847" s="46" t="e">
        <f t="shared" si="83"/>
        <v>#DIV/0!</v>
      </c>
      <c r="AC847" s="40" t="str">
        <f>IF(データ!X844="","",データ!X844)</f>
        <v/>
      </c>
      <c r="AD847" s="41" t="str">
        <f>IF(データ!Y844="","",データ!Y844)</f>
        <v/>
      </c>
      <c r="AE847" s="47" t="str">
        <f>TRIM(データ!B844)</f>
        <v/>
      </c>
      <c r="AF847" s="43" t="str">
        <f>TRIM(データ!Z844)</f>
        <v/>
      </c>
    </row>
    <row r="848" spans="1:32" x14ac:dyDescent="0.15">
      <c r="A848" s="47">
        <f>データ!A845</f>
        <v>2</v>
      </c>
      <c r="B848" s="47" t="str">
        <f>TRIM(データ!C845)</f>
        <v/>
      </c>
      <c r="C848" s="47" t="str">
        <f>TRIM(データ!D845)</f>
        <v>労務費</v>
      </c>
      <c r="D848" s="36" t="str">
        <f>REPT("｜",$A848)&amp;TRIM(データ!E845)</f>
        <v>｜｜世話役</v>
      </c>
      <c r="E848" s="37" t="str">
        <f>TRIM(データ!F845)</f>
        <v/>
      </c>
      <c r="F848" s="38" t="str">
        <f>TRIM(データ!G845)</f>
        <v>人</v>
      </c>
      <c r="G848" s="50">
        <f>データ!H845</f>
        <v>2</v>
      </c>
      <c r="H848" s="48">
        <f>データ!I845</f>
        <v>30000</v>
      </c>
      <c r="I848" s="48">
        <f>データ!J845</f>
        <v>60000</v>
      </c>
      <c r="J848" s="39" t="str">
        <f>IF(OR($C848="総括",$C848="内訳書",$C848="内訳代価",$C848="明細書",$C848="明細代価",$C848="代価表",$C848="単価表"),データ!K845,"")</f>
        <v/>
      </c>
      <c r="K848" s="11" t="str">
        <f t="shared" si="78"/>
        <v/>
      </c>
      <c r="L848" s="46">
        <f t="shared" si="79"/>
        <v>8.6389356831238393E-4</v>
      </c>
      <c r="M848" s="40" t="str">
        <f>IF(データ!L845="","",データ!L845)</f>
        <v/>
      </c>
      <c r="N848" s="41" t="str">
        <f>IF(データ!M845="","",データ!M845)</f>
        <v/>
      </c>
      <c r="O848" s="42">
        <f>データ!N845</f>
        <v>0</v>
      </c>
      <c r="P848" s="48">
        <f>IF($C848="集計行","",データ!O845)</f>
        <v>0</v>
      </c>
      <c r="Q848" s="48">
        <f>データ!P845</f>
        <v>0</v>
      </c>
      <c r="R848" s="39" t="str">
        <f>IF(OR($C848="総括",$C848="内訳書",$C848="内訳代価",$C848="明細書",$C848="明細代価",$C848="代価表",$C848="単価表"),データ!Q845,"")</f>
        <v/>
      </c>
      <c r="S848" s="11" t="str">
        <f t="shared" si="80"/>
        <v/>
      </c>
      <c r="T848" s="46" t="e">
        <f t="shared" si="81"/>
        <v>#DIV/0!</v>
      </c>
      <c r="U848" s="40" t="str">
        <f>IF(データ!R845="","",データ!R845)</f>
        <v/>
      </c>
      <c r="V848" s="41" t="str">
        <f>IF(データ!S845="","",データ!S845)</f>
        <v/>
      </c>
      <c r="W848" s="42">
        <f>データ!T845</f>
        <v>0</v>
      </c>
      <c r="X848" s="48">
        <f>IF($C848="集計行","",データ!U845)</f>
        <v>0</v>
      </c>
      <c r="Y848" s="48">
        <f>データ!V845</f>
        <v>0</v>
      </c>
      <c r="Z848" s="39" t="str">
        <f>IF(OR($C848="総括",$C848="内訳書",$C848="内訳代価",$C848="明細書",$C848="明細代価",$C848="代価表",$C848="単価表"),データ!W845,"")</f>
        <v/>
      </c>
      <c r="AA848" s="11" t="str">
        <f t="shared" si="82"/>
        <v/>
      </c>
      <c r="AB848" s="46" t="e">
        <f t="shared" si="83"/>
        <v>#DIV/0!</v>
      </c>
      <c r="AC848" s="40" t="str">
        <f>IF(データ!X845="","",データ!X845)</f>
        <v/>
      </c>
      <c r="AD848" s="41" t="str">
        <f>IF(データ!Y845="","",データ!Y845)</f>
        <v/>
      </c>
      <c r="AE848" s="47" t="str">
        <f>TRIM(データ!B845)</f>
        <v/>
      </c>
      <c r="AF848" s="43" t="str">
        <f>TRIM(データ!Z845)</f>
        <v/>
      </c>
    </row>
    <row r="849" spans="1:32" x14ac:dyDescent="0.15">
      <c r="A849" s="47">
        <f>データ!A846</f>
        <v>2</v>
      </c>
      <c r="B849" s="47" t="str">
        <f>TRIM(データ!C846)</f>
        <v/>
      </c>
      <c r="C849" s="47" t="str">
        <f>TRIM(データ!D846)</f>
        <v>労務費</v>
      </c>
      <c r="D849" s="36" t="str">
        <f>REPT("｜",$A849)&amp;TRIM(データ!E846)</f>
        <v>｜｜普通作業員</v>
      </c>
      <c r="E849" s="37" t="str">
        <f>TRIM(データ!F846)</f>
        <v/>
      </c>
      <c r="F849" s="38" t="str">
        <f>TRIM(データ!G846)</f>
        <v>人</v>
      </c>
      <c r="G849" s="50">
        <f>データ!H846</f>
        <v>10</v>
      </c>
      <c r="H849" s="48">
        <f>データ!I846</f>
        <v>25000</v>
      </c>
      <c r="I849" s="48">
        <f>データ!J846</f>
        <v>250000</v>
      </c>
      <c r="J849" s="39" t="str">
        <f>IF(OR($C849="総括",$C849="内訳書",$C849="内訳代価",$C849="明細書",$C849="明細代価",$C849="代価表",$C849="単価表"),データ!K846,"")</f>
        <v/>
      </c>
      <c r="K849" s="11" t="str">
        <f t="shared" si="78"/>
        <v/>
      </c>
      <c r="L849" s="46">
        <f t="shared" si="79"/>
        <v>3.599556534634933E-3</v>
      </c>
      <c r="M849" s="40" t="str">
        <f>IF(データ!L846="","",データ!L846)</f>
        <v/>
      </c>
      <c r="N849" s="41" t="str">
        <f>IF(データ!M846="","",データ!M846)</f>
        <v/>
      </c>
      <c r="O849" s="42">
        <f>データ!N846</f>
        <v>0</v>
      </c>
      <c r="P849" s="48">
        <f>IF($C849="集計行","",データ!O846)</f>
        <v>0</v>
      </c>
      <c r="Q849" s="48">
        <f>データ!P846</f>
        <v>0</v>
      </c>
      <c r="R849" s="39" t="str">
        <f>IF(OR($C849="総括",$C849="内訳書",$C849="内訳代価",$C849="明細書",$C849="明細代価",$C849="代価表",$C849="単価表"),データ!Q846,"")</f>
        <v/>
      </c>
      <c r="S849" s="11" t="str">
        <f t="shared" si="80"/>
        <v/>
      </c>
      <c r="T849" s="46" t="e">
        <f t="shared" si="81"/>
        <v>#DIV/0!</v>
      </c>
      <c r="U849" s="40" t="str">
        <f>IF(データ!R846="","",データ!R846)</f>
        <v/>
      </c>
      <c r="V849" s="41" t="str">
        <f>IF(データ!S846="","",データ!S846)</f>
        <v/>
      </c>
      <c r="W849" s="42">
        <f>データ!T846</f>
        <v>0</v>
      </c>
      <c r="X849" s="48">
        <f>IF($C849="集計行","",データ!U846)</f>
        <v>0</v>
      </c>
      <c r="Y849" s="48">
        <f>データ!V846</f>
        <v>0</v>
      </c>
      <c r="Z849" s="39" t="str">
        <f>IF(OR($C849="総括",$C849="内訳書",$C849="内訳代価",$C849="明細書",$C849="明細代価",$C849="代価表",$C849="単価表"),データ!W846,"")</f>
        <v/>
      </c>
      <c r="AA849" s="11" t="str">
        <f t="shared" si="82"/>
        <v/>
      </c>
      <c r="AB849" s="46" t="e">
        <f t="shared" si="83"/>
        <v>#DIV/0!</v>
      </c>
      <c r="AC849" s="40" t="str">
        <f>IF(データ!X846="","",データ!X846)</f>
        <v/>
      </c>
      <c r="AD849" s="41" t="str">
        <f>IF(データ!Y846="","",データ!Y846)</f>
        <v/>
      </c>
      <c r="AE849" s="47" t="str">
        <f>TRIM(データ!B846)</f>
        <v/>
      </c>
      <c r="AF849" s="43" t="str">
        <f>TRIM(データ!Z846)</f>
        <v/>
      </c>
    </row>
    <row r="850" spans="1:32" x14ac:dyDescent="0.15">
      <c r="A850" s="47">
        <f>データ!A847</f>
        <v>2</v>
      </c>
      <c r="B850" s="47" t="str">
        <f>TRIM(データ!C847)</f>
        <v/>
      </c>
      <c r="C850" s="47" t="str">
        <f>TRIM(データ!D847)</f>
        <v>機械費</v>
      </c>
      <c r="D850" s="36" t="str">
        <f>REPT("｜",$A850)&amp;TRIM(データ!E847)</f>
        <v>｜｜バックホウ</v>
      </c>
      <c r="E850" s="37" t="str">
        <f>TRIM(データ!F847)</f>
        <v/>
      </c>
      <c r="F850" s="38" t="str">
        <f>TRIM(データ!G847)</f>
        <v>台</v>
      </c>
      <c r="G850" s="50">
        <f>データ!H847</f>
        <v>2</v>
      </c>
      <c r="H850" s="48">
        <f>データ!I847</f>
        <v>12000</v>
      </c>
      <c r="I850" s="48">
        <f>データ!J847</f>
        <v>24000</v>
      </c>
      <c r="J850" s="39" t="str">
        <f>IF(OR($C850="総括",$C850="内訳書",$C850="内訳代価",$C850="明細書",$C850="明細代価",$C850="代価表",$C850="単価表"),データ!K847,"")</f>
        <v/>
      </c>
      <c r="K850" s="11" t="str">
        <f t="shared" si="78"/>
        <v/>
      </c>
      <c r="L850" s="46">
        <f t="shared" si="79"/>
        <v>3.4555742732495355E-4</v>
      </c>
      <c r="M850" s="40" t="str">
        <f>IF(データ!L847="","",データ!L847)</f>
        <v/>
      </c>
      <c r="N850" s="41" t="str">
        <f>IF(データ!M847="","",データ!M847)</f>
        <v/>
      </c>
      <c r="O850" s="42">
        <f>データ!N847</f>
        <v>0</v>
      </c>
      <c r="P850" s="48">
        <f>IF($C850="集計行","",データ!O847)</f>
        <v>0</v>
      </c>
      <c r="Q850" s="48">
        <f>データ!P847</f>
        <v>0</v>
      </c>
      <c r="R850" s="39" t="str">
        <f>IF(OR($C850="総括",$C850="内訳書",$C850="内訳代価",$C850="明細書",$C850="明細代価",$C850="代価表",$C850="単価表"),データ!Q847,"")</f>
        <v/>
      </c>
      <c r="S850" s="11" t="str">
        <f t="shared" si="80"/>
        <v/>
      </c>
      <c r="T850" s="46" t="e">
        <f t="shared" si="81"/>
        <v>#DIV/0!</v>
      </c>
      <c r="U850" s="40" t="str">
        <f>IF(データ!R847="","",データ!R847)</f>
        <v/>
      </c>
      <c r="V850" s="41" t="str">
        <f>IF(データ!S847="","",データ!S847)</f>
        <v/>
      </c>
      <c r="W850" s="42">
        <f>データ!T847</f>
        <v>0</v>
      </c>
      <c r="X850" s="48">
        <f>IF($C850="集計行","",データ!U847)</f>
        <v>0</v>
      </c>
      <c r="Y850" s="48">
        <f>データ!V847</f>
        <v>0</v>
      </c>
      <c r="Z850" s="39" t="str">
        <f>IF(OR($C850="総括",$C850="内訳書",$C850="内訳代価",$C850="明細書",$C850="明細代価",$C850="代価表",$C850="単価表"),データ!W847,"")</f>
        <v/>
      </c>
      <c r="AA850" s="11" t="str">
        <f t="shared" si="82"/>
        <v/>
      </c>
      <c r="AB850" s="46" t="e">
        <f t="shared" si="83"/>
        <v>#DIV/0!</v>
      </c>
      <c r="AC850" s="40" t="str">
        <f>IF(データ!X847="","",データ!X847)</f>
        <v/>
      </c>
      <c r="AD850" s="41" t="str">
        <f>IF(データ!Y847="","",データ!Y847)</f>
        <v/>
      </c>
      <c r="AE850" s="47" t="str">
        <f>TRIM(データ!B847)</f>
        <v/>
      </c>
      <c r="AF850" s="43" t="str">
        <f>TRIM(データ!Z847)</f>
        <v/>
      </c>
    </row>
    <row r="851" spans="1:32" x14ac:dyDescent="0.15">
      <c r="A851" s="47">
        <f>データ!A848</f>
        <v>2</v>
      </c>
      <c r="B851" s="47" t="str">
        <f>TRIM(データ!C848)</f>
        <v/>
      </c>
      <c r="C851" s="47" t="str">
        <f>TRIM(データ!D848)</f>
        <v>運搬費</v>
      </c>
      <c r="D851" s="36" t="str">
        <f>REPT("｜",$A851)&amp;TRIM(データ!E848)</f>
        <v>｜｜ダンプトラック</v>
      </c>
      <c r="E851" s="37" t="str">
        <f>TRIM(データ!F848)</f>
        <v>4tDT</v>
      </c>
      <c r="F851" s="38" t="str">
        <f>TRIM(データ!G848)</f>
        <v>台</v>
      </c>
      <c r="G851" s="50">
        <f>データ!H848</f>
        <v>2</v>
      </c>
      <c r="H851" s="48">
        <f>データ!I848</f>
        <v>15000</v>
      </c>
      <c r="I851" s="48">
        <f>データ!J848</f>
        <v>30000</v>
      </c>
      <c r="J851" s="39" t="str">
        <f>IF(OR($C851="総括",$C851="内訳書",$C851="内訳代価",$C851="明細書",$C851="明細代価",$C851="代価表",$C851="単価表"),データ!K848,"")</f>
        <v/>
      </c>
      <c r="K851" s="11" t="str">
        <f t="shared" si="78"/>
        <v/>
      </c>
      <c r="L851" s="46">
        <f t="shared" si="79"/>
        <v>4.3194678415619197E-4</v>
      </c>
      <c r="M851" s="40" t="str">
        <f>IF(データ!L848="","",データ!L848)</f>
        <v/>
      </c>
      <c r="N851" s="41" t="str">
        <f>IF(データ!M848="","",データ!M848)</f>
        <v/>
      </c>
      <c r="O851" s="42">
        <f>データ!N848</f>
        <v>0</v>
      </c>
      <c r="P851" s="48">
        <f>IF($C851="集計行","",データ!O848)</f>
        <v>0</v>
      </c>
      <c r="Q851" s="48">
        <f>データ!P848</f>
        <v>0</v>
      </c>
      <c r="R851" s="39" t="str">
        <f>IF(OR($C851="総括",$C851="内訳書",$C851="内訳代価",$C851="明細書",$C851="明細代価",$C851="代価表",$C851="単価表"),データ!Q848,"")</f>
        <v/>
      </c>
      <c r="S851" s="11" t="str">
        <f t="shared" si="80"/>
        <v/>
      </c>
      <c r="T851" s="46" t="e">
        <f t="shared" si="81"/>
        <v>#DIV/0!</v>
      </c>
      <c r="U851" s="40" t="str">
        <f>IF(データ!R848="","",データ!R848)</f>
        <v/>
      </c>
      <c r="V851" s="41" t="str">
        <f>IF(データ!S848="","",データ!S848)</f>
        <v/>
      </c>
      <c r="W851" s="42">
        <f>データ!T848</f>
        <v>0</v>
      </c>
      <c r="X851" s="48">
        <f>IF($C851="集計行","",データ!U848)</f>
        <v>0</v>
      </c>
      <c r="Y851" s="48">
        <f>データ!V848</f>
        <v>0</v>
      </c>
      <c r="Z851" s="39" t="str">
        <f>IF(OR($C851="総括",$C851="内訳書",$C851="内訳代価",$C851="明細書",$C851="明細代価",$C851="代価表",$C851="単価表"),データ!W848,"")</f>
        <v/>
      </c>
      <c r="AA851" s="11" t="str">
        <f t="shared" si="82"/>
        <v/>
      </c>
      <c r="AB851" s="46" t="e">
        <f t="shared" si="83"/>
        <v>#DIV/0!</v>
      </c>
      <c r="AC851" s="40" t="str">
        <f>IF(データ!X848="","",データ!X848)</f>
        <v/>
      </c>
      <c r="AD851" s="41" t="str">
        <f>IF(データ!Y848="","",データ!Y848)</f>
        <v/>
      </c>
      <c r="AE851" s="47" t="str">
        <f>TRIM(データ!B848)</f>
        <v/>
      </c>
      <c r="AF851" s="43" t="str">
        <f>TRIM(データ!Z848)</f>
        <v/>
      </c>
    </row>
    <row r="852" spans="1:32" x14ac:dyDescent="0.15">
      <c r="A852" s="47">
        <f>データ!A849</f>
        <v>2</v>
      </c>
      <c r="B852" s="47" t="str">
        <f>TRIM(データ!C849)</f>
        <v/>
      </c>
      <c r="C852" s="47" t="str">
        <f>TRIM(データ!D849)</f>
        <v>労務費</v>
      </c>
      <c r="D852" s="36" t="str">
        <f>REPT("｜",$A852)&amp;TRIM(データ!E849)</f>
        <v>｜｜応援職員</v>
      </c>
      <c r="E852" s="37" t="str">
        <f>TRIM(データ!F849)</f>
        <v/>
      </c>
      <c r="F852" s="38" t="str">
        <f>TRIM(データ!G849)</f>
        <v>人</v>
      </c>
      <c r="G852" s="50">
        <f>データ!H849</f>
        <v>1</v>
      </c>
      <c r="H852" s="48">
        <f>データ!I849</f>
        <v>38800</v>
      </c>
      <c r="I852" s="48">
        <f>データ!J849</f>
        <v>38800</v>
      </c>
      <c r="J852" s="39" t="str">
        <f>IF(OR($C852="総括",$C852="内訳書",$C852="内訳代価",$C852="明細書",$C852="明細代価",$C852="代価表",$C852="単価表"),データ!K849,"")</f>
        <v/>
      </c>
      <c r="K852" s="11" t="str">
        <f t="shared" si="78"/>
        <v/>
      </c>
      <c r="L852" s="46">
        <f t="shared" si="79"/>
        <v>5.5865117417534165E-4</v>
      </c>
      <c r="M852" s="40" t="str">
        <f>IF(データ!L849="","",データ!L849)</f>
        <v/>
      </c>
      <c r="N852" s="41" t="str">
        <f>IF(データ!M849="","",データ!M849)</f>
        <v/>
      </c>
      <c r="O852" s="42">
        <f>データ!N849</f>
        <v>0</v>
      </c>
      <c r="P852" s="48">
        <f>IF($C852="集計行","",データ!O849)</f>
        <v>0</v>
      </c>
      <c r="Q852" s="48">
        <f>データ!P849</f>
        <v>0</v>
      </c>
      <c r="R852" s="39" t="str">
        <f>IF(OR($C852="総括",$C852="内訳書",$C852="内訳代価",$C852="明細書",$C852="明細代価",$C852="代価表",$C852="単価表"),データ!Q849,"")</f>
        <v/>
      </c>
      <c r="S852" s="11" t="str">
        <f t="shared" si="80"/>
        <v/>
      </c>
      <c r="T852" s="46" t="e">
        <f t="shared" si="81"/>
        <v>#DIV/0!</v>
      </c>
      <c r="U852" s="40" t="str">
        <f>IF(データ!R849="","",データ!R849)</f>
        <v/>
      </c>
      <c r="V852" s="41" t="str">
        <f>IF(データ!S849="","",データ!S849)</f>
        <v/>
      </c>
      <c r="W852" s="42">
        <f>データ!T849</f>
        <v>0</v>
      </c>
      <c r="X852" s="48">
        <f>IF($C852="集計行","",データ!U849)</f>
        <v>0</v>
      </c>
      <c r="Y852" s="48">
        <f>データ!V849</f>
        <v>0</v>
      </c>
      <c r="Z852" s="39" t="str">
        <f>IF(OR($C852="総括",$C852="内訳書",$C852="内訳代価",$C852="明細書",$C852="明細代価",$C852="代価表",$C852="単価表"),データ!W849,"")</f>
        <v/>
      </c>
      <c r="AA852" s="11" t="str">
        <f t="shared" si="82"/>
        <v/>
      </c>
      <c r="AB852" s="46" t="e">
        <f t="shared" si="83"/>
        <v>#DIV/0!</v>
      </c>
      <c r="AC852" s="40" t="str">
        <f>IF(データ!X849="","",データ!X849)</f>
        <v/>
      </c>
      <c r="AD852" s="41" t="str">
        <f>IF(データ!Y849="","",データ!Y849)</f>
        <v/>
      </c>
      <c r="AE852" s="47" t="str">
        <f>TRIM(データ!B849)</f>
        <v/>
      </c>
      <c r="AF852" s="43" t="str">
        <f>TRIM(データ!Z849)</f>
        <v/>
      </c>
    </row>
    <row r="853" spans="1:32" x14ac:dyDescent="0.15">
      <c r="A853" s="47">
        <f>データ!A850</f>
        <v>2</v>
      </c>
      <c r="B853" s="47" t="str">
        <f>TRIM(データ!C850)</f>
        <v/>
      </c>
      <c r="C853" s="47" t="str">
        <f>TRIM(データ!D850)</f>
        <v>外注費</v>
      </c>
      <c r="D853" s="36" t="str">
        <f>REPT("｜",$A853)&amp;TRIM(データ!E850)</f>
        <v>｜｜交通誘導員</v>
      </c>
      <c r="E853" s="37" t="str">
        <f>TRIM(データ!F850)</f>
        <v/>
      </c>
      <c r="F853" s="38" t="str">
        <f>TRIM(データ!G850)</f>
        <v>人</v>
      </c>
      <c r="G853" s="50">
        <f>データ!H850</f>
        <v>4</v>
      </c>
      <c r="H853" s="48">
        <f>データ!I850</f>
        <v>25000</v>
      </c>
      <c r="I853" s="48">
        <f>データ!J850</f>
        <v>100000</v>
      </c>
      <c r="J853" s="39" t="str">
        <f>IF(OR($C853="総括",$C853="内訳書",$C853="内訳代価",$C853="明細書",$C853="明細代価",$C853="代価表",$C853="単価表"),データ!K850,"")</f>
        <v/>
      </c>
      <c r="K853" s="11" t="str">
        <f t="shared" si="78"/>
        <v/>
      </c>
      <c r="L853" s="46">
        <f t="shared" si="79"/>
        <v>1.4398226138539732E-3</v>
      </c>
      <c r="M853" s="40" t="str">
        <f>IF(データ!L850="","",データ!L850)</f>
        <v/>
      </c>
      <c r="N853" s="41" t="str">
        <f>IF(データ!M850="","",データ!M850)</f>
        <v/>
      </c>
      <c r="O853" s="42">
        <f>データ!N850</f>
        <v>0</v>
      </c>
      <c r="P853" s="48">
        <f>IF($C853="集計行","",データ!O850)</f>
        <v>0</v>
      </c>
      <c r="Q853" s="48">
        <f>データ!P850</f>
        <v>0</v>
      </c>
      <c r="R853" s="39" t="str">
        <f>IF(OR($C853="総括",$C853="内訳書",$C853="内訳代価",$C853="明細書",$C853="明細代価",$C853="代価表",$C853="単価表"),データ!Q850,"")</f>
        <v/>
      </c>
      <c r="S853" s="11" t="str">
        <f t="shared" si="80"/>
        <v/>
      </c>
      <c r="T853" s="46" t="e">
        <f t="shared" si="81"/>
        <v>#DIV/0!</v>
      </c>
      <c r="U853" s="40" t="str">
        <f>IF(データ!R850="","",データ!R850)</f>
        <v/>
      </c>
      <c r="V853" s="41" t="str">
        <f>IF(データ!S850="","",データ!S850)</f>
        <v/>
      </c>
      <c r="W853" s="42">
        <f>データ!T850</f>
        <v>0</v>
      </c>
      <c r="X853" s="48">
        <f>IF($C853="集計行","",データ!U850)</f>
        <v>0</v>
      </c>
      <c r="Y853" s="48">
        <f>データ!V850</f>
        <v>0</v>
      </c>
      <c r="Z853" s="39" t="str">
        <f>IF(OR($C853="総括",$C853="内訳書",$C853="内訳代価",$C853="明細書",$C853="明細代価",$C853="代価表",$C853="単価表"),データ!W850,"")</f>
        <v/>
      </c>
      <c r="AA853" s="11" t="str">
        <f t="shared" si="82"/>
        <v/>
      </c>
      <c r="AB853" s="46" t="e">
        <f t="shared" si="83"/>
        <v>#DIV/0!</v>
      </c>
      <c r="AC853" s="40" t="str">
        <f>IF(データ!X850="","",データ!X850)</f>
        <v/>
      </c>
      <c r="AD853" s="41" t="str">
        <f>IF(データ!Y850="","",データ!Y850)</f>
        <v/>
      </c>
      <c r="AE853" s="47" t="str">
        <f>TRIM(データ!B850)</f>
        <v/>
      </c>
      <c r="AF853" s="43" t="str">
        <f>TRIM(データ!Z850)</f>
        <v/>
      </c>
    </row>
    <row r="854" spans="1:32" x14ac:dyDescent="0.15">
      <c r="A854" s="47">
        <f>データ!A851</f>
        <v>2</v>
      </c>
      <c r="B854" s="47" t="str">
        <f>TRIM(データ!C851)</f>
        <v/>
      </c>
      <c r="C854" s="47" t="str">
        <f>TRIM(データ!D851)</f>
        <v>材料費</v>
      </c>
      <c r="D854" s="36" t="str">
        <f>REPT("｜",$A854)&amp;TRIM(データ!E851)</f>
        <v>｜｜保安資材</v>
      </c>
      <c r="E854" s="37" t="str">
        <f>TRIM(データ!F851)</f>
        <v/>
      </c>
      <c r="F854" s="38" t="str">
        <f>TRIM(データ!G851)</f>
        <v>式</v>
      </c>
      <c r="G854" s="50">
        <f>データ!H851</f>
        <v>1</v>
      </c>
      <c r="H854" s="48">
        <f>データ!I851</f>
        <v>81100</v>
      </c>
      <c r="I854" s="48">
        <f>データ!J851</f>
        <v>81100</v>
      </c>
      <c r="J854" s="39" t="str">
        <f>IF(OR($C854="総括",$C854="内訳書",$C854="内訳代価",$C854="明細書",$C854="明細代価",$C854="代価表",$C854="単価表"),データ!K851,"")</f>
        <v/>
      </c>
      <c r="K854" s="11" t="str">
        <f t="shared" si="78"/>
        <v/>
      </c>
      <c r="L854" s="46">
        <f t="shared" si="79"/>
        <v>1.1676961398355723E-3</v>
      </c>
      <c r="M854" s="40" t="str">
        <f>IF(データ!L851="","",データ!L851)</f>
        <v/>
      </c>
      <c r="N854" s="41" t="str">
        <f>IF(データ!M851="","",データ!M851)</f>
        <v/>
      </c>
      <c r="O854" s="42">
        <f>データ!N851</f>
        <v>0</v>
      </c>
      <c r="P854" s="48">
        <f>IF($C854="集計行","",データ!O851)</f>
        <v>0</v>
      </c>
      <c r="Q854" s="48">
        <f>データ!P851</f>
        <v>0</v>
      </c>
      <c r="R854" s="39" t="str">
        <f>IF(OR($C854="総括",$C854="内訳書",$C854="内訳代価",$C854="明細書",$C854="明細代価",$C854="代価表",$C854="単価表"),データ!Q851,"")</f>
        <v/>
      </c>
      <c r="S854" s="11" t="str">
        <f t="shared" si="80"/>
        <v/>
      </c>
      <c r="T854" s="46" t="e">
        <f t="shared" si="81"/>
        <v>#DIV/0!</v>
      </c>
      <c r="U854" s="40" t="str">
        <f>IF(データ!R851="","",データ!R851)</f>
        <v/>
      </c>
      <c r="V854" s="41" t="str">
        <f>IF(データ!S851="","",データ!S851)</f>
        <v/>
      </c>
      <c r="W854" s="42">
        <f>データ!T851</f>
        <v>0</v>
      </c>
      <c r="X854" s="48">
        <f>IF($C854="集計行","",データ!U851)</f>
        <v>0</v>
      </c>
      <c r="Y854" s="48">
        <f>データ!V851</f>
        <v>0</v>
      </c>
      <c r="Z854" s="39" t="str">
        <f>IF(OR($C854="総括",$C854="内訳書",$C854="内訳代価",$C854="明細書",$C854="明細代価",$C854="代価表",$C854="単価表"),データ!W851,"")</f>
        <v/>
      </c>
      <c r="AA854" s="11" t="str">
        <f t="shared" si="82"/>
        <v/>
      </c>
      <c r="AB854" s="46" t="e">
        <f t="shared" si="83"/>
        <v>#DIV/0!</v>
      </c>
      <c r="AC854" s="40" t="str">
        <f>IF(データ!X851="","",データ!X851)</f>
        <v/>
      </c>
      <c r="AD854" s="41" t="str">
        <f>IF(データ!Y851="","",データ!Y851)</f>
        <v/>
      </c>
      <c r="AE854" s="47" t="str">
        <f>TRIM(データ!B851)</f>
        <v/>
      </c>
      <c r="AF854" s="43" t="str">
        <f>TRIM(データ!Z851)</f>
        <v/>
      </c>
    </row>
    <row r="855" spans="1:32" x14ac:dyDescent="0.15">
      <c r="A855" s="47">
        <f>データ!A852</f>
        <v>2</v>
      </c>
      <c r="B855" s="47" t="str">
        <f>TRIM(データ!C852)</f>
        <v/>
      </c>
      <c r="C855" s="47" t="str">
        <f>TRIM(データ!D852)</f>
        <v>材料費</v>
      </c>
      <c r="D855" s="36" t="str">
        <f>REPT("｜",$A855)&amp;TRIM(データ!E852)</f>
        <v>｜｜L型街渠</v>
      </c>
      <c r="E855" s="37" t="str">
        <f>TRIM(データ!F852)</f>
        <v/>
      </c>
      <c r="F855" s="38" t="str">
        <f>TRIM(データ!G852)</f>
        <v>式</v>
      </c>
      <c r="G855" s="50">
        <f>データ!H852</f>
        <v>1</v>
      </c>
      <c r="H855" s="48">
        <f>データ!I852</f>
        <v>220000</v>
      </c>
      <c r="I855" s="48">
        <f>データ!J852</f>
        <v>220000</v>
      </c>
      <c r="J855" s="39" t="str">
        <f>IF(OR($C855="総括",$C855="内訳書",$C855="内訳代価",$C855="明細書",$C855="明細代価",$C855="代価表",$C855="単価表"),データ!K852,"")</f>
        <v/>
      </c>
      <c r="K855" s="11" t="str">
        <f t="shared" si="78"/>
        <v/>
      </c>
      <c r="L855" s="46">
        <f t="shared" si="79"/>
        <v>3.1676097504787408E-3</v>
      </c>
      <c r="M855" s="40" t="str">
        <f>IF(データ!L852="","",データ!L852)</f>
        <v/>
      </c>
      <c r="N855" s="41" t="str">
        <f>IF(データ!M852="","",データ!M852)</f>
        <v/>
      </c>
      <c r="O855" s="42">
        <f>データ!N852</f>
        <v>0</v>
      </c>
      <c r="P855" s="48">
        <f>IF($C855="集計行","",データ!O852)</f>
        <v>0</v>
      </c>
      <c r="Q855" s="48">
        <f>データ!P852</f>
        <v>0</v>
      </c>
      <c r="R855" s="39" t="str">
        <f>IF(OR($C855="総括",$C855="内訳書",$C855="内訳代価",$C855="明細書",$C855="明細代価",$C855="代価表",$C855="単価表"),データ!Q852,"")</f>
        <v/>
      </c>
      <c r="S855" s="11" t="str">
        <f t="shared" si="80"/>
        <v/>
      </c>
      <c r="T855" s="46" t="e">
        <f t="shared" si="81"/>
        <v>#DIV/0!</v>
      </c>
      <c r="U855" s="40" t="str">
        <f>IF(データ!R852="","",データ!R852)</f>
        <v/>
      </c>
      <c r="V855" s="41" t="str">
        <f>IF(データ!S852="","",データ!S852)</f>
        <v/>
      </c>
      <c r="W855" s="42">
        <f>データ!T852</f>
        <v>0</v>
      </c>
      <c r="X855" s="48">
        <f>IF($C855="集計行","",データ!U852)</f>
        <v>0</v>
      </c>
      <c r="Y855" s="48">
        <f>データ!V852</f>
        <v>0</v>
      </c>
      <c r="Z855" s="39" t="str">
        <f>IF(OR($C855="総括",$C855="内訳書",$C855="内訳代価",$C855="明細書",$C855="明細代価",$C855="代価表",$C855="単価表"),データ!W852,"")</f>
        <v/>
      </c>
      <c r="AA855" s="11" t="str">
        <f t="shared" si="82"/>
        <v/>
      </c>
      <c r="AB855" s="46" t="e">
        <f t="shared" si="83"/>
        <v>#DIV/0!</v>
      </c>
      <c r="AC855" s="40" t="str">
        <f>IF(データ!X852="","",データ!X852)</f>
        <v/>
      </c>
      <c r="AD855" s="41" t="str">
        <f>IF(データ!Y852="","",データ!Y852)</f>
        <v/>
      </c>
      <c r="AE855" s="47" t="str">
        <f>TRIM(データ!B852)</f>
        <v/>
      </c>
      <c r="AF855" s="43" t="str">
        <f>TRIM(データ!Z852)</f>
        <v/>
      </c>
    </row>
    <row r="856" spans="1:32" x14ac:dyDescent="0.15">
      <c r="A856" s="47">
        <f>データ!A853</f>
        <v>2</v>
      </c>
      <c r="B856" s="47" t="str">
        <f>TRIM(データ!C853)</f>
        <v/>
      </c>
      <c r="C856" s="47" t="str">
        <f>TRIM(データ!D853)</f>
        <v>材料費</v>
      </c>
      <c r="D856" s="36" t="str">
        <f>REPT("｜",$A856)&amp;TRIM(データ!E853)</f>
        <v>｜｜再生密粒度AS</v>
      </c>
      <c r="E856" s="37" t="str">
        <f>TRIM(データ!F853)</f>
        <v/>
      </c>
      <c r="F856" s="38" t="str">
        <f>TRIM(データ!G853)</f>
        <v>t</v>
      </c>
      <c r="G856" s="50">
        <f>データ!H853</f>
        <v>8</v>
      </c>
      <c r="H856" s="48">
        <f>データ!I853</f>
        <v>9300</v>
      </c>
      <c r="I856" s="48">
        <f>データ!J853</f>
        <v>74400</v>
      </c>
      <c r="J856" s="39" t="str">
        <f>IF(OR($C856="総括",$C856="内訳書",$C856="内訳代価",$C856="明細書",$C856="明細代価",$C856="代価表",$C856="単価表"),データ!K853,"")</f>
        <v/>
      </c>
      <c r="K856" s="11" t="str">
        <f t="shared" si="78"/>
        <v/>
      </c>
      <c r="L856" s="46">
        <f t="shared" si="79"/>
        <v>1.071228024707356E-3</v>
      </c>
      <c r="M856" s="40" t="str">
        <f>IF(データ!L853="","",データ!L853)</f>
        <v/>
      </c>
      <c r="N856" s="41" t="str">
        <f>IF(データ!M853="","",データ!M853)</f>
        <v/>
      </c>
      <c r="O856" s="42">
        <f>データ!N853</f>
        <v>0</v>
      </c>
      <c r="P856" s="48">
        <f>IF($C856="集計行","",データ!O853)</f>
        <v>0</v>
      </c>
      <c r="Q856" s="48">
        <f>データ!P853</f>
        <v>0</v>
      </c>
      <c r="R856" s="39" t="str">
        <f>IF(OR($C856="総括",$C856="内訳書",$C856="内訳代価",$C856="明細書",$C856="明細代価",$C856="代価表",$C856="単価表"),データ!Q853,"")</f>
        <v/>
      </c>
      <c r="S856" s="11" t="str">
        <f t="shared" si="80"/>
        <v/>
      </c>
      <c r="T856" s="46" t="e">
        <f t="shared" si="81"/>
        <v>#DIV/0!</v>
      </c>
      <c r="U856" s="40" t="str">
        <f>IF(データ!R853="","",データ!R853)</f>
        <v/>
      </c>
      <c r="V856" s="41" t="str">
        <f>IF(データ!S853="","",データ!S853)</f>
        <v/>
      </c>
      <c r="W856" s="42">
        <f>データ!T853</f>
        <v>0</v>
      </c>
      <c r="X856" s="48">
        <f>IF($C856="集計行","",データ!U853)</f>
        <v>0</v>
      </c>
      <c r="Y856" s="48">
        <f>データ!V853</f>
        <v>0</v>
      </c>
      <c r="Z856" s="39" t="str">
        <f>IF(OR($C856="総括",$C856="内訳書",$C856="内訳代価",$C856="明細書",$C856="明細代価",$C856="代価表",$C856="単価表"),データ!W853,"")</f>
        <v/>
      </c>
      <c r="AA856" s="11" t="str">
        <f t="shared" si="82"/>
        <v/>
      </c>
      <c r="AB856" s="46" t="e">
        <f t="shared" si="83"/>
        <v>#DIV/0!</v>
      </c>
      <c r="AC856" s="40" t="str">
        <f>IF(データ!X853="","",データ!X853)</f>
        <v/>
      </c>
      <c r="AD856" s="41" t="str">
        <f>IF(データ!Y853="","",データ!Y853)</f>
        <v/>
      </c>
      <c r="AE856" s="47" t="str">
        <f>TRIM(データ!B853)</f>
        <v/>
      </c>
      <c r="AF856" s="43" t="str">
        <f>TRIM(データ!Z853)</f>
        <v/>
      </c>
    </row>
    <row r="857" spans="1:32" x14ac:dyDescent="0.15">
      <c r="A857" s="47">
        <f>データ!A854</f>
        <v>2</v>
      </c>
      <c r="B857" s="47" t="str">
        <f>TRIM(データ!C854)</f>
        <v/>
      </c>
      <c r="C857" s="47" t="str">
        <f>TRIM(データ!D854)</f>
        <v>材料費</v>
      </c>
      <c r="D857" s="36" t="str">
        <f>REPT("｜",$A857)&amp;TRIM(データ!E854)</f>
        <v>｜｜乳剤</v>
      </c>
      <c r="E857" s="37" t="str">
        <f>TRIM(データ!F854)</f>
        <v/>
      </c>
      <c r="F857" s="38" t="str">
        <f>TRIM(データ!G854)</f>
        <v>缶</v>
      </c>
      <c r="G857" s="50">
        <f>データ!H854</f>
        <v>1</v>
      </c>
      <c r="H857" s="48">
        <f>データ!I854</f>
        <v>9000</v>
      </c>
      <c r="I857" s="48">
        <f>データ!J854</f>
        <v>9000</v>
      </c>
      <c r="J857" s="39" t="str">
        <f>IF(OR($C857="総括",$C857="内訳書",$C857="内訳代価",$C857="明細書",$C857="明細代価",$C857="代価表",$C857="単価表"),データ!K854,"")</f>
        <v/>
      </c>
      <c r="K857" s="11" t="str">
        <f t="shared" si="78"/>
        <v/>
      </c>
      <c r="L857" s="46">
        <f t="shared" si="79"/>
        <v>1.295840352468576E-4</v>
      </c>
      <c r="M857" s="40" t="str">
        <f>IF(データ!L854="","",データ!L854)</f>
        <v/>
      </c>
      <c r="N857" s="41" t="str">
        <f>IF(データ!M854="","",データ!M854)</f>
        <v/>
      </c>
      <c r="O857" s="42">
        <f>データ!N854</f>
        <v>0</v>
      </c>
      <c r="P857" s="48">
        <f>IF($C857="集計行","",データ!O854)</f>
        <v>0</v>
      </c>
      <c r="Q857" s="48">
        <f>データ!P854</f>
        <v>0</v>
      </c>
      <c r="R857" s="39" t="str">
        <f>IF(OR($C857="総括",$C857="内訳書",$C857="内訳代価",$C857="明細書",$C857="明細代価",$C857="代価表",$C857="単価表"),データ!Q854,"")</f>
        <v/>
      </c>
      <c r="S857" s="11" t="str">
        <f t="shared" si="80"/>
        <v/>
      </c>
      <c r="T857" s="46" t="e">
        <f t="shared" si="81"/>
        <v>#DIV/0!</v>
      </c>
      <c r="U857" s="40" t="str">
        <f>IF(データ!R854="","",データ!R854)</f>
        <v/>
      </c>
      <c r="V857" s="41" t="str">
        <f>IF(データ!S854="","",データ!S854)</f>
        <v/>
      </c>
      <c r="W857" s="42">
        <f>データ!T854</f>
        <v>0</v>
      </c>
      <c r="X857" s="48">
        <f>IF($C857="集計行","",データ!U854)</f>
        <v>0</v>
      </c>
      <c r="Y857" s="48">
        <f>データ!V854</f>
        <v>0</v>
      </c>
      <c r="Z857" s="39" t="str">
        <f>IF(OR($C857="総括",$C857="内訳書",$C857="内訳代価",$C857="明細書",$C857="明細代価",$C857="代価表",$C857="単価表"),データ!W854,"")</f>
        <v/>
      </c>
      <c r="AA857" s="11" t="str">
        <f t="shared" si="82"/>
        <v/>
      </c>
      <c r="AB857" s="46" t="e">
        <f t="shared" si="83"/>
        <v>#DIV/0!</v>
      </c>
      <c r="AC857" s="40" t="str">
        <f>IF(データ!X854="","",データ!X854)</f>
        <v/>
      </c>
      <c r="AD857" s="41" t="str">
        <f>IF(データ!Y854="","",データ!Y854)</f>
        <v/>
      </c>
      <c r="AE857" s="47" t="str">
        <f>TRIM(データ!B854)</f>
        <v/>
      </c>
      <c r="AF857" s="43" t="str">
        <f>TRIM(データ!Z854)</f>
        <v/>
      </c>
    </row>
    <row r="858" spans="1:32" x14ac:dyDescent="0.15">
      <c r="A858" s="47">
        <f>データ!A855</f>
        <v>1</v>
      </c>
      <c r="B858" s="47" t="str">
        <f>TRIM(データ!C855)</f>
        <v/>
      </c>
      <c r="C858" s="47" t="str">
        <f>TRIM(データ!D855)</f>
        <v>内訳書</v>
      </c>
      <c r="D858" s="36" t="str">
        <f>REPT("｜",$A858)&amp;TRIM(データ!E855)</f>
        <v>｜残土処分</v>
      </c>
      <c r="E858" s="37" t="str">
        <f>TRIM(データ!F855)</f>
        <v>造園屋置場分</v>
      </c>
      <c r="F858" s="38" t="str">
        <f>TRIM(データ!G855)</f>
        <v>式</v>
      </c>
      <c r="G858" s="50">
        <f>データ!H855</f>
        <v>1</v>
      </c>
      <c r="H858" s="48">
        <f>データ!I855</f>
        <v>-672000</v>
      </c>
      <c r="I858" s="48">
        <f>データ!J855</f>
        <v>-672000</v>
      </c>
      <c r="J858" s="39">
        <f>IF(OR($C858="総括",$C858="内訳書",$C858="内訳代価",$C858="明細書",$C858="明細代価",$C858="代価表",$C858="単価表"),データ!K855,"")</f>
        <v>1</v>
      </c>
      <c r="K858" s="11" t="str">
        <f t="shared" si="78"/>
        <v/>
      </c>
      <c r="L858" s="46">
        <f t="shared" si="79"/>
        <v>-9.6756079650986999E-3</v>
      </c>
      <c r="M858" s="40" t="str">
        <f>IF(データ!L855="","",データ!L855)</f>
        <v/>
      </c>
      <c r="N858" s="41" t="str">
        <f>IF(データ!M855="","",データ!M855)</f>
        <v>118号内訳書</v>
      </c>
      <c r="O858" s="42">
        <f>データ!N855</f>
        <v>0</v>
      </c>
      <c r="P858" s="48">
        <f>IF($C858="集計行","",データ!O855)</f>
        <v>0</v>
      </c>
      <c r="Q858" s="48">
        <f>データ!P855</f>
        <v>0</v>
      </c>
      <c r="R858" s="39">
        <f>IF(OR($C858="総括",$C858="内訳書",$C858="内訳代価",$C858="明細書",$C858="明細代価",$C858="代価表",$C858="単価表"),データ!Q855,"")</f>
        <v>0</v>
      </c>
      <c r="S858" s="11" t="str">
        <f t="shared" si="80"/>
        <v/>
      </c>
      <c r="T858" s="46" t="e">
        <f t="shared" si="81"/>
        <v>#DIV/0!</v>
      </c>
      <c r="U858" s="40" t="str">
        <f>IF(データ!R855="","",データ!R855)</f>
        <v/>
      </c>
      <c r="V858" s="41" t="str">
        <f>IF(データ!S855="","",データ!S855)</f>
        <v/>
      </c>
      <c r="W858" s="42">
        <f>データ!T855</f>
        <v>0</v>
      </c>
      <c r="X858" s="48">
        <f>IF($C858="集計行","",データ!U855)</f>
        <v>0</v>
      </c>
      <c r="Y858" s="48">
        <f>データ!V855</f>
        <v>0</v>
      </c>
      <c r="Z858" s="39">
        <f>IF(OR($C858="総括",$C858="内訳書",$C858="内訳代価",$C858="明細書",$C858="明細代価",$C858="代価表",$C858="単価表"),データ!W855,"")</f>
        <v>0</v>
      </c>
      <c r="AA858" s="11" t="str">
        <f t="shared" si="82"/>
        <v/>
      </c>
      <c r="AB858" s="46" t="e">
        <f t="shared" si="83"/>
        <v>#DIV/0!</v>
      </c>
      <c r="AC858" s="40" t="str">
        <f>IF(データ!X855="","",データ!X855)</f>
        <v/>
      </c>
      <c r="AD858" s="41" t="str">
        <f>IF(データ!Y855="","",データ!Y855)</f>
        <v/>
      </c>
      <c r="AE858" s="47" t="str">
        <f>TRIM(データ!B855)</f>
        <v/>
      </c>
      <c r="AF858" s="43" t="str">
        <f>TRIM(データ!Z855)</f>
        <v/>
      </c>
    </row>
    <row r="859" spans="1:32" x14ac:dyDescent="0.15">
      <c r="A859" s="47">
        <f>データ!A856</f>
        <v>2</v>
      </c>
      <c r="B859" s="47" t="str">
        <f>TRIM(データ!C856)</f>
        <v/>
      </c>
      <c r="C859" s="47" t="str">
        <f>TRIM(データ!D856)</f>
        <v>運搬費</v>
      </c>
      <c r="D859" s="36" t="str">
        <f>REPT("｜",$A859)&amp;TRIM(データ!E856)</f>
        <v>｜｜残土処分</v>
      </c>
      <c r="E859" s="37" t="str">
        <f>TRIM(データ!F856)</f>
        <v/>
      </c>
      <c r="F859" s="38" t="str">
        <f>TRIM(データ!G856)</f>
        <v>m3</v>
      </c>
      <c r="G859" s="50">
        <f>データ!H856</f>
        <v>224</v>
      </c>
      <c r="H859" s="48">
        <f>データ!I856</f>
        <v>-3000</v>
      </c>
      <c r="I859" s="48">
        <f>データ!J856</f>
        <v>-672000</v>
      </c>
      <c r="J859" s="39" t="str">
        <f>IF(OR($C859="総括",$C859="内訳書",$C859="内訳代価",$C859="明細書",$C859="明細代価",$C859="代価表",$C859="単価表"),データ!K856,"")</f>
        <v/>
      </c>
      <c r="K859" s="11" t="str">
        <f t="shared" si="78"/>
        <v/>
      </c>
      <c r="L859" s="46">
        <f t="shared" si="79"/>
        <v>-9.6756079650986999E-3</v>
      </c>
      <c r="M859" s="40" t="str">
        <f>IF(データ!L856="","",データ!L856)</f>
        <v/>
      </c>
      <c r="N859" s="41" t="str">
        <f>IF(データ!M856="","",データ!M856)</f>
        <v/>
      </c>
      <c r="O859" s="42">
        <f>データ!N856</f>
        <v>0</v>
      </c>
      <c r="P859" s="48">
        <f>IF($C859="集計行","",データ!O856)</f>
        <v>0</v>
      </c>
      <c r="Q859" s="48">
        <f>データ!P856</f>
        <v>0</v>
      </c>
      <c r="R859" s="39" t="str">
        <f>IF(OR($C859="総括",$C859="内訳書",$C859="内訳代価",$C859="明細書",$C859="明細代価",$C859="代価表",$C859="単価表"),データ!Q856,"")</f>
        <v/>
      </c>
      <c r="S859" s="11" t="str">
        <f t="shared" si="80"/>
        <v/>
      </c>
      <c r="T859" s="46" t="e">
        <f t="shared" si="81"/>
        <v>#DIV/0!</v>
      </c>
      <c r="U859" s="40" t="str">
        <f>IF(データ!R856="","",データ!R856)</f>
        <v/>
      </c>
      <c r="V859" s="41" t="str">
        <f>IF(データ!S856="","",データ!S856)</f>
        <v/>
      </c>
      <c r="W859" s="42">
        <f>データ!T856</f>
        <v>0</v>
      </c>
      <c r="X859" s="48">
        <f>IF($C859="集計行","",データ!U856)</f>
        <v>0</v>
      </c>
      <c r="Y859" s="48">
        <f>データ!V856</f>
        <v>0</v>
      </c>
      <c r="Z859" s="39" t="str">
        <f>IF(OR($C859="総括",$C859="内訳書",$C859="内訳代価",$C859="明細書",$C859="明細代価",$C859="代価表",$C859="単価表"),データ!W856,"")</f>
        <v/>
      </c>
      <c r="AA859" s="11" t="str">
        <f t="shared" si="82"/>
        <v/>
      </c>
      <c r="AB859" s="46" t="e">
        <f t="shared" si="83"/>
        <v>#DIV/0!</v>
      </c>
      <c r="AC859" s="40" t="str">
        <f>IF(データ!X856="","",データ!X856)</f>
        <v/>
      </c>
      <c r="AD859" s="41" t="str">
        <f>IF(データ!Y856="","",データ!Y856)</f>
        <v/>
      </c>
      <c r="AE859" s="47" t="str">
        <f>TRIM(データ!B856)</f>
        <v/>
      </c>
      <c r="AF859" s="43" t="str">
        <f>TRIM(データ!Z856)</f>
        <v/>
      </c>
    </row>
    <row r="860" spans="1:32" x14ac:dyDescent="0.15">
      <c r="A860" s="47">
        <f>データ!A857</f>
        <v>1</v>
      </c>
      <c r="B860" s="47" t="str">
        <f>TRIM(データ!C857)</f>
        <v/>
      </c>
      <c r="C860" s="47" t="str">
        <f>TRIM(データ!D857)</f>
        <v>内訳書</v>
      </c>
      <c r="D860" s="36" t="str">
        <f>REPT("｜",$A860)&amp;TRIM(データ!E857)</f>
        <v>｜法定福利費</v>
      </c>
      <c r="E860" s="37" t="str">
        <f>TRIM(データ!F857)</f>
        <v/>
      </c>
      <c r="F860" s="38" t="str">
        <f>TRIM(データ!G857)</f>
        <v>式</v>
      </c>
      <c r="G860" s="50">
        <f>データ!H857</f>
        <v>1</v>
      </c>
      <c r="H860" s="48">
        <f>データ!I857</f>
        <v>203000</v>
      </c>
      <c r="I860" s="48">
        <f>データ!J857</f>
        <v>203000</v>
      </c>
      <c r="J860" s="39">
        <f>IF(OR($C860="総括",$C860="内訳書",$C860="内訳代価",$C860="明細書",$C860="明細代価",$C860="代価表",$C860="単価表"),データ!K857,"")</f>
        <v>1</v>
      </c>
      <c r="K860" s="11" t="str">
        <f t="shared" si="78"/>
        <v/>
      </c>
      <c r="L860" s="46">
        <f t="shared" si="79"/>
        <v>2.9228399061235655E-3</v>
      </c>
      <c r="M860" s="40" t="str">
        <f>IF(データ!L857="","",データ!L857)</f>
        <v/>
      </c>
      <c r="N860" s="41" t="str">
        <f>IF(データ!M857="","",データ!M857)</f>
        <v>116号内訳書</v>
      </c>
      <c r="O860" s="42">
        <f>データ!N857</f>
        <v>0</v>
      </c>
      <c r="P860" s="48">
        <f>IF($C860="集計行","",データ!O857)</f>
        <v>0</v>
      </c>
      <c r="Q860" s="48">
        <f>データ!P857</f>
        <v>0</v>
      </c>
      <c r="R860" s="39">
        <f>IF(OR($C860="総括",$C860="内訳書",$C860="内訳代価",$C860="明細書",$C860="明細代価",$C860="代価表",$C860="単価表"),データ!Q857,"")</f>
        <v>0</v>
      </c>
      <c r="S860" s="11" t="str">
        <f t="shared" si="80"/>
        <v/>
      </c>
      <c r="T860" s="46" t="e">
        <f t="shared" si="81"/>
        <v>#DIV/0!</v>
      </c>
      <c r="U860" s="40" t="str">
        <f>IF(データ!R857="","",データ!R857)</f>
        <v/>
      </c>
      <c r="V860" s="41" t="str">
        <f>IF(データ!S857="","",データ!S857)</f>
        <v/>
      </c>
      <c r="W860" s="42">
        <f>データ!T857</f>
        <v>0</v>
      </c>
      <c r="X860" s="48">
        <f>IF($C860="集計行","",データ!U857)</f>
        <v>0</v>
      </c>
      <c r="Y860" s="48">
        <f>データ!V857</f>
        <v>0</v>
      </c>
      <c r="Z860" s="39">
        <f>IF(OR($C860="総括",$C860="内訳書",$C860="内訳代価",$C860="明細書",$C860="明細代価",$C860="代価表",$C860="単価表"),データ!W857,"")</f>
        <v>0</v>
      </c>
      <c r="AA860" s="11" t="str">
        <f t="shared" si="82"/>
        <v/>
      </c>
      <c r="AB860" s="46" t="e">
        <f t="shared" si="83"/>
        <v>#DIV/0!</v>
      </c>
      <c r="AC860" s="40" t="str">
        <f>IF(データ!X857="","",データ!X857)</f>
        <v/>
      </c>
      <c r="AD860" s="41" t="str">
        <f>IF(データ!Y857="","",データ!Y857)</f>
        <v/>
      </c>
      <c r="AE860" s="47" t="str">
        <f>TRIM(データ!B857)</f>
        <v/>
      </c>
      <c r="AF860" s="43" t="str">
        <f>TRIM(データ!Z857)</f>
        <v/>
      </c>
    </row>
    <row r="861" spans="1:32" x14ac:dyDescent="0.15">
      <c r="A861" s="47">
        <f>データ!A858</f>
        <v>2</v>
      </c>
      <c r="B861" s="47" t="str">
        <f>TRIM(データ!C858)</f>
        <v/>
      </c>
      <c r="C861" s="47" t="str">
        <f>TRIM(データ!D858)</f>
        <v>労務費</v>
      </c>
      <c r="D861" s="36" t="str">
        <f>REPT("｜",$A861)&amp;TRIM(データ!E858)</f>
        <v>｜｜法定福利費</v>
      </c>
      <c r="E861" s="37" t="str">
        <f>TRIM(データ!F858)</f>
        <v/>
      </c>
      <c r="F861" s="38" t="str">
        <f>TRIM(データ!G858)</f>
        <v>式</v>
      </c>
      <c r="G861" s="50">
        <f>データ!H858</f>
        <v>1</v>
      </c>
      <c r="H861" s="48">
        <f>データ!I858</f>
        <v>203000</v>
      </c>
      <c r="I861" s="48">
        <f>データ!J858</f>
        <v>203000</v>
      </c>
      <c r="J861" s="39" t="str">
        <f>IF(OR($C861="総括",$C861="内訳書",$C861="内訳代価",$C861="明細書",$C861="明細代価",$C861="代価表",$C861="単価表"),データ!K858,"")</f>
        <v/>
      </c>
      <c r="K861" s="11" t="str">
        <f t="shared" si="78"/>
        <v/>
      </c>
      <c r="L861" s="46">
        <f t="shared" si="79"/>
        <v>2.9228399061235655E-3</v>
      </c>
      <c r="M861" s="40" t="str">
        <f>IF(データ!L858="","",データ!L858)</f>
        <v/>
      </c>
      <c r="N861" s="41" t="str">
        <f>IF(データ!M858="","",データ!M858)</f>
        <v/>
      </c>
      <c r="O861" s="42">
        <f>データ!N858</f>
        <v>0</v>
      </c>
      <c r="P861" s="48">
        <f>IF($C861="集計行","",データ!O858)</f>
        <v>0</v>
      </c>
      <c r="Q861" s="48">
        <f>データ!P858</f>
        <v>0</v>
      </c>
      <c r="R861" s="39" t="str">
        <f>IF(OR($C861="総括",$C861="内訳書",$C861="内訳代価",$C861="明細書",$C861="明細代価",$C861="代価表",$C861="単価表"),データ!Q858,"")</f>
        <v/>
      </c>
      <c r="S861" s="11" t="str">
        <f t="shared" si="80"/>
        <v/>
      </c>
      <c r="T861" s="46" t="e">
        <f t="shared" si="81"/>
        <v>#DIV/0!</v>
      </c>
      <c r="U861" s="40" t="str">
        <f>IF(データ!R858="","",データ!R858)</f>
        <v/>
      </c>
      <c r="V861" s="41" t="str">
        <f>IF(データ!S858="","",データ!S858)</f>
        <v/>
      </c>
      <c r="W861" s="42">
        <f>データ!T858</f>
        <v>0</v>
      </c>
      <c r="X861" s="48">
        <f>IF($C861="集計行","",データ!U858)</f>
        <v>0</v>
      </c>
      <c r="Y861" s="48">
        <f>データ!V858</f>
        <v>0</v>
      </c>
      <c r="Z861" s="39" t="str">
        <f>IF(OR($C861="総括",$C861="内訳書",$C861="内訳代価",$C861="明細書",$C861="明細代価",$C861="代価表",$C861="単価表"),データ!W858,"")</f>
        <v/>
      </c>
      <c r="AA861" s="11" t="str">
        <f t="shared" si="82"/>
        <v/>
      </c>
      <c r="AB861" s="46" t="e">
        <f t="shared" si="83"/>
        <v>#DIV/0!</v>
      </c>
      <c r="AC861" s="40" t="str">
        <f>IF(データ!X858="","",データ!X858)</f>
        <v/>
      </c>
      <c r="AD861" s="41" t="str">
        <f>IF(データ!Y858="","",データ!Y858)</f>
        <v/>
      </c>
      <c r="AE861" s="47" t="str">
        <f>TRIM(データ!B858)</f>
        <v/>
      </c>
      <c r="AF861" s="43" t="str">
        <f>TRIM(データ!Z858)</f>
        <v/>
      </c>
    </row>
    <row r="862" spans="1:32" x14ac:dyDescent="0.15">
      <c r="A862" s="44"/>
      <c r="B862" s="44"/>
      <c r="C862" s="7"/>
      <c r="D862" s="44"/>
      <c r="E862" s="44"/>
      <c r="F862" s="45"/>
      <c r="G862" s="44"/>
      <c r="H862" s="44"/>
      <c r="I862" s="44"/>
      <c r="J862" s="44"/>
      <c r="K862" s="45"/>
      <c r="L862" s="44"/>
      <c r="M862" s="44"/>
      <c r="N862" s="44"/>
      <c r="O862" s="44"/>
      <c r="P862" s="44"/>
      <c r="Q862" s="44"/>
      <c r="R862" s="44"/>
      <c r="S862" s="45"/>
      <c r="T862" s="44"/>
      <c r="U862" s="44"/>
      <c r="V862" s="44"/>
      <c r="W862" s="44"/>
      <c r="X862" s="44"/>
      <c r="Y862" s="44"/>
      <c r="Z862" s="44"/>
      <c r="AA862" s="45"/>
      <c r="AB862" s="44"/>
      <c r="AC862" s="44"/>
      <c r="AD862" s="44"/>
      <c r="AE862" s="44"/>
      <c r="AF862" s="9"/>
    </row>
  </sheetData>
  <autoFilter ref="A3:AE862" xr:uid="{00000000-0001-0000-0100-000000000000}"/>
  <mergeCells count="4">
    <mergeCell ref="AF2:AF3"/>
    <mergeCell ref="G2:N2"/>
    <mergeCell ref="O2:V2"/>
    <mergeCell ref="W2:AD2"/>
  </mergeCells>
  <phoneticPr fontId="3"/>
  <conditionalFormatting sqref="A4:AF861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2026-01-19T02:26:18Z</dcterms:modified>
</cp:coreProperties>
</file>