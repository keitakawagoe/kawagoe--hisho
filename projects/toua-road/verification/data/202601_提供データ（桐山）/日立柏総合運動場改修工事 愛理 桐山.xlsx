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3CEA6F49-12FB-4B26-BD8D-BA42DC6B8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内訳一覧!$A$3:$AE$123</definedName>
    <definedName name="_xlnm.Print_Area" localSheetId="1">内訳一覧!$A$1:$AF$123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22" i="4" l="1"/>
  <c r="AE122" i="4"/>
  <c r="AD122" i="4"/>
  <c r="AC122" i="4"/>
  <c r="Y122" i="4"/>
  <c r="W122" i="4"/>
  <c r="V122" i="4"/>
  <c r="U122" i="4"/>
  <c r="Q122" i="4"/>
  <c r="O122" i="4"/>
  <c r="N122" i="4"/>
  <c r="M122" i="4"/>
  <c r="I122" i="4"/>
  <c r="H122" i="4"/>
  <c r="G122" i="4"/>
  <c r="F122" i="4"/>
  <c r="E122" i="4"/>
  <c r="C122" i="4"/>
  <c r="Z122" i="4" s="1"/>
  <c r="AA122" i="4" s="1"/>
  <c r="B122" i="4"/>
  <c r="A122" i="4"/>
  <c r="AF121" i="4"/>
  <c r="AE121" i="4"/>
  <c r="AD121" i="4"/>
  <c r="AC121" i="4"/>
  <c r="Z121" i="4"/>
  <c r="Y121" i="4"/>
  <c r="W121" i="4"/>
  <c r="V121" i="4"/>
  <c r="U121" i="4"/>
  <c r="S121" i="4"/>
  <c r="R121" i="4"/>
  <c r="Q121" i="4"/>
  <c r="P121" i="4"/>
  <c r="O121" i="4"/>
  <c r="N121" i="4"/>
  <c r="M121" i="4"/>
  <c r="J121" i="4"/>
  <c r="K121" i="4" s="1"/>
  <c r="I121" i="4"/>
  <c r="H121" i="4"/>
  <c r="G121" i="4"/>
  <c r="F121" i="4"/>
  <c r="E121" i="4"/>
  <c r="D121" i="4"/>
  <c r="C121" i="4"/>
  <c r="X121" i="4" s="1"/>
  <c r="B121" i="4"/>
  <c r="A121" i="4"/>
  <c r="AF120" i="4"/>
  <c r="AE120" i="4"/>
  <c r="AD120" i="4"/>
  <c r="AC120" i="4"/>
  <c r="Z120" i="4"/>
  <c r="AA120" i="4" s="1"/>
  <c r="Y120" i="4"/>
  <c r="W120" i="4"/>
  <c r="V120" i="4"/>
  <c r="U120" i="4"/>
  <c r="Q120" i="4"/>
  <c r="O120" i="4"/>
  <c r="N120" i="4"/>
  <c r="M120" i="4"/>
  <c r="I120" i="4"/>
  <c r="H120" i="4"/>
  <c r="G120" i="4"/>
  <c r="F120" i="4"/>
  <c r="E120" i="4"/>
  <c r="C120" i="4"/>
  <c r="R120" i="4" s="1"/>
  <c r="S120" i="4" s="1"/>
  <c r="B120" i="4"/>
  <c r="A120" i="4"/>
  <c r="AF119" i="4"/>
  <c r="AE119" i="4"/>
  <c r="AD119" i="4"/>
  <c r="AC119" i="4"/>
  <c r="Z119" i="4"/>
  <c r="Y119" i="4"/>
  <c r="W119" i="4"/>
  <c r="V119" i="4"/>
  <c r="U119" i="4"/>
  <c r="Q119" i="4"/>
  <c r="O119" i="4"/>
  <c r="N119" i="4"/>
  <c r="M119" i="4"/>
  <c r="J119" i="4"/>
  <c r="K119" i="4" s="1"/>
  <c r="I119" i="4"/>
  <c r="H119" i="4"/>
  <c r="G119" i="4"/>
  <c r="F119" i="4"/>
  <c r="E119" i="4"/>
  <c r="C119" i="4"/>
  <c r="B119" i="4"/>
  <c r="A119" i="4"/>
  <c r="AF118" i="4"/>
  <c r="AE118" i="4"/>
  <c r="AD118" i="4"/>
  <c r="AC118" i="4"/>
  <c r="Z118" i="4"/>
  <c r="Y118" i="4"/>
  <c r="X118" i="4"/>
  <c r="W118" i="4"/>
  <c r="V118" i="4"/>
  <c r="U118" i="4"/>
  <c r="R118" i="4"/>
  <c r="S118" i="4" s="1"/>
  <c r="Q118" i="4"/>
  <c r="P118" i="4"/>
  <c r="O118" i="4"/>
  <c r="N118" i="4"/>
  <c r="M118" i="4"/>
  <c r="J118" i="4"/>
  <c r="K118" i="4" s="1"/>
  <c r="I118" i="4"/>
  <c r="H118" i="4"/>
  <c r="G118" i="4"/>
  <c r="F118" i="4"/>
  <c r="E118" i="4"/>
  <c r="D118" i="4"/>
  <c r="C118" i="4"/>
  <c r="B118" i="4"/>
  <c r="A118" i="4"/>
  <c r="AF117" i="4"/>
  <c r="AE117" i="4"/>
  <c r="AD117" i="4"/>
  <c r="AC117" i="4"/>
  <c r="Y117" i="4"/>
  <c r="W117" i="4"/>
  <c r="V117" i="4"/>
  <c r="U117" i="4"/>
  <c r="S117" i="4"/>
  <c r="R117" i="4"/>
  <c r="Q117" i="4"/>
  <c r="O117" i="4"/>
  <c r="N117" i="4"/>
  <c r="M117" i="4"/>
  <c r="I117" i="4"/>
  <c r="H117" i="4"/>
  <c r="G117" i="4"/>
  <c r="F117" i="4"/>
  <c r="E117" i="4"/>
  <c r="C117" i="4"/>
  <c r="B117" i="4"/>
  <c r="A117" i="4"/>
  <c r="AF116" i="4"/>
  <c r="AE116" i="4"/>
  <c r="AD116" i="4"/>
  <c r="AC116" i="4"/>
  <c r="Y116" i="4"/>
  <c r="W116" i="4"/>
  <c r="V116" i="4"/>
  <c r="U116" i="4"/>
  <c r="Q116" i="4"/>
  <c r="O116" i="4"/>
  <c r="N116" i="4"/>
  <c r="M116" i="4"/>
  <c r="I116" i="4"/>
  <c r="H116" i="4"/>
  <c r="G116" i="4"/>
  <c r="F116" i="4"/>
  <c r="E116" i="4"/>
  <c r="D116" i="4"/>
  <c r="C116" i="4"/>
  <c r="B116" i="4"/>
  <c r="A116" i="4"/>
  <c r="AF115" i="4"/>
  <c r="AE115" i="4"/>
  <c r="AD115" i="4"/>
  <c r="AC115" i="4"/>
  <c r="Z115" i="4"/>
  <c r="AA115" i="4" s="1"/>
  <c r="Y115" i="4"/>
  <c r="X115" i="4"/>
  <c r="W115" i="4"/>
  <c r="V115" i="4"/>
  <c r="U115" i="4"/>
  <c r="S115" i="4"/>
  <c r="R115" i="4"/>
  <c r="Q115" i="4"/>
  <c r="P115" i="4"/>
  <c r="O115" i="4"/>
  <c r="N115" i="4"/>
  <c r="M115" i="4"/>
  <c r="J115" i="4"/>
  <c r="I115" i="4"/>
  <c r="H115" i="4"/>
  <c r="G115" i="4"/>
  <c r="F115" i="4"/>
  <c r="E115" i="4"/>
  <c r="D115" i="4"/>
  <c r="C115" i="4"/>
  <c r="B115" i="4"/>
  <c r="A115" i="4"/>
  <c r="AF114" i="4"/>
  <c r="AE114" i="4"/>
  <c r="AD114" i="4"/>
  <c r="AC114" i="4"/>
  <c r="Z114" i="4"/>
  <c r="AA114" i="4" s="1"/>
  <c r="Y114" i="4"/>
  <c r="W114" i="4"/>
  <c r="V114" i="4"/>
  <c r="U114" i="4"/>
  <c r="R114" i="4"/>
  <c r="S114" i="4" s="1"/>
  <c r="Q114" i="4"/>
  <c r="O114" i="4"/>
  <c r="N114" i="4"/>
  <c r="M114" i="4"/>
  <c r="I114" i="4"/>
  <c r="H114" i="4"/>
  <c r="G114" i="4"/>
  <c r="F114" i="4"/>
  <c r="E114" i="4"/>
  <c r="C114" i="4"/>
  <c r="B114" i="4"/>
  <c r="A114" i="4"/>
  <c r="AF113" i="4"/>
  <c r="AE113" i="4"/>
  <c r="AD113" i="4"/>
  <c r="AC113" i="4"/>
  <c r="Y113" i="4"/>
  <c r="W113" i="4"/>
  <c r="V113" i="4"/>
  <c r="U113" i="4"/>
  <c r="Q113" i="4"/>
  <c r="O113" i="4"/>
  <c r="N113" i="4"/>
  <c r="M113" i="4"/>
  <c r="I113" i="4"/>
  <c r="H113" i="4"/>
  <c r="G113" i="4"/>
  <c r="F113" i="4"/>
  <c r="E113" i="4"/>
  <c r="D113" i="4"/>
  <c r="C113" i="4"/>
  <c r="B113" i="4"/>
  <c r="A113" i="4"/>
  <c r="AF112" i="4"/>
  <c r="AE112" i="4"/>
  <c r="AD112" i="4"/>
  <c r="AC112" i="4"/>
  <c r="Z112" i="4"/>
  <c r="AA112" i="4" s="1"/>
  <c r="Y112" i="4"/>
  <c r="X112" i="4"/>
  <c r="W112" i="4"/>
  <c r="V112" i="4"/>
  <c r="U112" i="4"/>
  <c r="S112" i="4"/>
  <c r="R112" i="4"/>
  <c r="Q112" i="4"/>
  <c r="P112" i="4"/>
  <c r="O112" i="4"/>
  <c r="N112" i="4"/>
  <c r="M112" i="4"/>
  <c r="J112" i="4"/>
  <c r="I112" i="4"/>
  <c r="H112" i="4"/>
  <c r="G112" i="4"/>
  <c r="K112" i="4" s="1"/>
  <c r="F112" i="4"/>
  <c r="E112" i="4"/>
  <c r="D112" i="4"/>
  <c r="C112" i="4"/>
  <c r="B112" i="4"/>
  <c r="A112" i="4"/>
  <c r="AF111" i="4"/>
  <c r="AE111" i="4"/>
  <c r="AD111" i="4"/>
  <c r="AC111" i="4"/>
  <c r="Z111" i="4"/>
  <c r="AA111" i="4" s="1"/>
  <c r="Y111" i="4"/>
  <c r="W111" i="4"/>
  <c r="V111" i="4"/>
  <c r="U111" i="4"/>
  <c r="R111" i="4"/>
  <c r="S111" i="4" s="1"/>
  <c r="Q111" i="4"/>
  <c r="O111" i="4"/>
  <c r="N111" i="4"/>
  <c r="M111" i="4"/>
  <c r="I111" i="4"/>
  <c r="H111" i="4"/>
  <c r="G111" i="4"/>
  <c r="F111" i="4"/>
  <c r="E111" i="4"/>
  <c r="C111" i="4"/>
  <c r="B111" i="4"/>
  <c r="A111" i="4"/>
  <c r="AF110" i="4"/>
  <c r="AE110" i="4"/>
  <c r="AD110" i="4"/>
  <c r="AC110" i="4"/>
  <c r="Z110" i="4"/>
  <c r="AA110" i="4" s="1"/>
  <c r="Y110" i="4"/>
  <c r="W110" i="4"/>
  <c r="V110" i="4"/>
  <c r="U110" i="4"/>
  <c r="Q110" i="4"/>
  <c r="O110" i="4"/>
  <c r="N110" i="4"/>
  <c r="M110" i="4"/>
  <c r="J110" i="4"/>
  <c r="K110" i="4" s="1"/>
  <c r="I110" i="4"/>
  <c r="H110" i="4"/>
  <c r="G110" i="4"/>
  <c r="F110" i="4"/>
  <c r="E110" i="4"/>
  <c r="D110" i="4"/>
  <c r="C110" i="4"/>
  <c r="B110" i="4"/>
  <c r="A110" i="4"/>
  <c r="AF109" i="4"/>
  <c r="AE109" i="4"/>
  <c r="AD109" i="4"/>
  <c r="AC109" i="4"/>
  <c r="Z109" i="4"/>
  <c r="AA109" i="4" s="1"/>
  <c r="Y109" i="4"/>
  <c r="X109" i="4"/>
  <c r="W109" i="4"/>
  <c r="V109" i="4"/>
  <c r="U109" i="4"/>
  <c r="R109" i="4"/>
  <c r="S109" i="4" s="1"/>
  <c r="Q109" i="4"/>
  <c r="P109" i="4"/>
  <c r="O109" i="4"/>
  <c r="N109" i="4"/>
  <c r="M109" i="4"/>
  <c r="K109" i="4"/>
  <c r="J109" i="4"/>
  <c r="I109" i="4"/>
  <c r="H109" i="4"/>
  <c r="G109" i="4"/>
  <c r="F109" i="4"/>
  <c r="E109" i="4"/>
  <c r="D109" i="4"/>
  <c r="C109" i="4"/>
  <c r="B109" i="4"/>
  <c r="A109" i="4"/>
  <c r="AF108" i="4"/>
  <c r="AE108" i="4"/>
  <c r="AD108" i="4"/>
  <c r="AC108" i="4"/>
  <c r="Y108" i="4"/>
  <c r="W108" i="4"/>
  <c r="V108" i="4"/>
  <c r="U108" i="4"/>
  <c r="R108" i="4"/>
  <c r="S108" i="4" s="1"/>
  <c r="Q108" i="4"/>
  <c r="O108" i="4"/>
  <c r="N108" i="4"/>
  <c r="M108" i="4"/>
  <c r="I108" i="4"/>
  <c r="H108" i="4"/>
  <c r="G108" i="4"/>
  <c r="F108" i="4"/>
  <c r="E108" i="4"/>
  <c r="C108" i="4"/>
  <c r="B108" i="4"/>
  <c r="A108" i="4"/>
  <c r="AF107" i="4"/>
  <c r="AE107" i="4"/>
  <c r="AD107" i="4"/>
  <c r="AC107" i="4"/>
  <c r="Y107" i="4"/>
  <c r="W107" i="4"/>
  <c r="V107" i="4"/>
  <c r="U107" i="4"/>
  <c r="Q107" i="4"/>
  <c r="O107" i="4"/>
  <c r="N107" i="4"/>
  <c r="M107" i="4"/>
  <c r="I107" i="4"/>
  <c r="H107" i="4"/>
  <c r="G107" i="4"/>
  <c r="F107" i="4"/>
  <c r="E107" i="4"/>
  <c r="D107" i="4"/>
  <c r="C107" i="4"/>
  <c r="B107" i="4"/>
  <c r="A107" i="4"/>
  <c r="AF106" i="4"/>
  <c r="AE106" i="4"/>
  <c r="AD106" i="4"/>
  <c r="AC106" i="4"/>
  <c r="Z106" i="4"/>
  <c r="Y106" i="4"/>
  <c r="X106" i="4"/>
  <c r="W106" i="4"/>
  <c r="V106" i="4"/>
  <c r="U106" i="4"/>
  <c r="S106" i="4"/>
  <c r="R106" i="4"/>
  <c r="Q106" i="4"/>
  <c r="P106" i="4"/>
  <c r="O106" i="4"/>
  <c r="N106" i="4"/>
  <c r="M106" i="4"/>
  <c r="J106" i="4"/>
  <c r="K106" i="4" s="1"/>
  <c r="I106" i="4"/>
  <c r="H106" i="4"/>
  <c r="G106" i="4"/>
  <c r="F106" i="4"/>
  <c r="E106" i="4"/>
  <c r="D106" i="4"/>
  <c r="C106" i="4"/>
  <c r="B106" i="4"/>
  <c r="A106" i="4"/>
  <c r="AF105" i="4"/>
  <c r="AE105" i="4"/>
  <c r="AD105" i="4"/>
  <c r="AC105" i="4"/>
  <c r="Z105" i="4"/>
  <c r="AA105" i="4" s="1"/>
  <c r="Y105" i="4"/>
  <c r="W105" i="4"/>
  <c r="V105" i="4"/>
  <c r="U105" i="4"/>
  <c r="Q105" i="4"/>
  <c r="O105" i="4"/>
  <c r="N105" i="4"/>
  <c r="M105" i="4"/>
  <c r="I105" i="4"/>
  <c r="H105" i="4"/>
  <c r="G105" i="4"/>
  <c r="F105" i="4"/>
  <c r="E105" i="4"/>
  <c r="C105" i="4"/>
  <c r="R105" i="4" s="1"/>
  <c r="S105" i="4" s="1"/>
  <c r="B105" i="4"/>
  <c r="A105" i="4"/>
  <c r="AF104" i="4"/>
  <c r="AE104" i="4"/>
  <c r="AD104" i="4"/>
  <c r="AC104" i="4"/>
  <c r="Z104" i="4"/>
  <c r="Y104" i="4"/>
  <c r="W104" i="4"/>
  <c r="V104" i="4"/>
  <c r="U104" i="4"/>
  <c r="Q104" i="4"/>
  <c r="O104" i="4"/>
  <c r="N104" i="4"/>
  <c r="M104" i="4"/>
  <c r="J104" i="4"/>
  <c r="K104" i="4" s="1"/>
  <c r="I104" i="4"/>
  <c r="H104" i="4"/>
  <c r="G104" i="4"/>
  <c r="F104" i="4"/>
  <c r="E104" i="4"/>
  <c r="D104" i="4"/>
  <c r="C104" i="4"/>
  <c r="B104" i="4"/>
  <c r="A104" i="4"/>
  <c r="AF103" i="4"/>
  <c r="AE103" i="4"/>
  <c r="AD103" i="4"/>
  <c r="AC103" i="4"/>
  <c r="Z103" i="4"/>
  <c r="Y103" i="4"/>
  <c r="X103" i="4"/>
  <c r="W103" i="4"/>
  <c r="V103" i="4"/>
  <c r="U103" i="4"/>
  <c r="S103" i="4"/>
  <c r="R103" i="4"/>
  <c r="Q103" i="4"/>
  <c r="P103" i="4"/>
  <c r="O103" i="4"/>
  <c r="N103" i="4"/>
  <c r="M103" i="4"/>
  <c r="J103" i="4"/>
  <c r="K103" i="4" s="1"/>
  <c r="I103" i="4"/>
  <c r="H103" i="4"/>
  <c r="G103" i="4"/>
  <c r="F103" i="4"/>
  <c r="E103" i="4"/>
  <c r="D103" i="4"/>
  <c r="C103" i="4"/>
  <c r="B103" i="4"/>
  <c r="A103" i="4"/>
  <c r="AF102" i="4"/>
  <c r="AE102" i="4"/>
  <c r="AD102" i="4"/>
  <c r="AC102" i="4"/>
  <c r="Y102" i="4"/>
  <c r="W102" i="4"/>
  <c r="V102" i="4"/>
  <c r="U102" i="4"/>
  <c r="Q102" i="4"/>
  <c r="O102" i="4"/>
  <c r="N102" i="4"/>
  <c r="M102" i="4"/>
  <c r="I102" i="4"/>
  <c r="H102" i="4"/>
  <c r="G102" i="4"/>
  <c r="F102" i="4"/>
  <c r="E102" i="4"/>
  <c r="C102" i="4"/>
  <c r="B102" i="4"/>
  <c r="A102" i="4"/>
  <c r="AF101" i="4"/>
  <c r="AE101" i="4"/>
  <c r="AD101" i="4"/>
  <c r="AC101" i="4"/>
  <c r="Y101" i="4"/>
  <c r="W101" i="4"/>
  <c r="V101" i="4"/>
  <c r="U101" i="4"/>
  <c r="Q101" i="4"/>
  <c r="O101" i="4"/>
  <c r="N101" i="4"/>
  <c r="M101" i="4"/>
  <c r="I101" i="4"/>
  <c r="H101" i="4"/>
  <c r="G101" i="4"/>
  <c r="F101" i="4"/>
  <c r="E101" i="4"/>
  <c r="D101" i="4"/>
  <c r="C101" i="4"/>
  <c r="B101" i="4"/>
  <c r="A101" i="4"/>
  <c r="AF100" i="4"/>
  <c r="AE100" i="4"/>
  <c r="AD100" i="4"/>
  <c r="AC100" i="4"/>
  <c r="Z100" i="4"/>
  <c r="Y100" i="4"/>
  <c r="X100" i="4"/>
  <c r="W100" i="4"/>
  <c r="V100" i="4"/>
  <c r="U100" i="4"/>
  <c r="R100" i="4"/>
  <c r="S100" i="4" s="1"/>
  <c r="Q100" i="4"/>
  <c r="P100" i="4"/>
  <c r="O100" i="4"/>
  <c r="N100" i="4"/>
  <c r="M100" i="4"/>
  <c r="J100" i="4"/>
  <c r="I100" i="4"/>
  <c r="H100" i="4"/>
  <c r="G100" i="4"/>
  <c r="K100" i="4" s="1"/>
  <c r="F100" i="4"/>
  <c r="E100" i="4"/>
  <c r="D100" i="4"/>
  <c r="C100" i="4"/>
  <c r="B100" i="4"/>
  <c r="A100" i="4"/>
  <c r="AF99" i="4"/>
  <c r="AE99" i="4"/>
  <c r="AD99" i="4"/>
  <c r="AC99" i="4"/>
  <c r="Z99" i="4"/>
  <c r="AA99" i="4" s="1"/>
  <c r="Y99" i="4"/>
  <c r="W99" i="4"/>
  <c r="V99" i="4"/>
  <c r="U99" i="4"/>
  <c r="Q99" i="4"/>
  <c r="O99" i="4"/>
  <c r="N99" i="4"/>
  <c r="M99" i="4"/>
  <c r="I99" i="4"/>
  <c r="H99" i="4"/>
  <c r="G99" i="4"/>
  <c r="F99" i="4"/>
  <c r="E99" i="4"/>
  <c r="C99" i="4"/>
  <c r="B99" i="4"/>
  <c r="A99" i="4"/>
  <c r="AF98" i="4"/>
  <c r="AE98" i="4"/>
  <c r="AD98" i="4"/>
  <c r="AC98" i="4"/>
  <c r="Y98" i="4"/>
  <c r="W98" i="4"/>
  <c r="V98" i="4"/>
  <c r="U98" i="4"/>
  <c r="Q98" i="4"/>
  <c r="O98" i="4"/>
  <c r="N98" i="4"/>
  <c r="M98" i="4"/>
  <c r="I98" i="4"/>
  <c r="H98" i="4"/>
  <c r="G98" i="4"/>
  <c r="F98" i="4"/>
  <c r="E98" i="4"/>
  <c r="D98" i="4"/>
  <c r="C98" i="4"/>
  <c r="B98" i="4"/>
  <c r="A98" i="4"/>
  <c r="AF97" i="4"/>
  <c r="AE97" i="4"/>
  <c r="AD97" i="4"/>
  <c r="AC97" i="4"/>
  <c r="Z97" i="4"/>
  <c r="Y97" i="4"/>
  <c r="X97" i="4"/>
  <c r="W97" i="4"/>
  <c r="V97" i="4"/>
  <c r="U97" i="4"/>
  <c r="S97" i="4"/>
  <c r="R97" i="4"/>
  <c r="Q97" i="4"/>
  <c r="P97" i="4"/>
  <c r="O97" i="4"/>
  <c r="N97" i="4"/>
  <c r="M97" i="4"/>
  <c r="J97" i="4"/>
  <c r="I97" i="4"/>
  <c r="H97" i="4"/>
  <c r="G97" i="4"/>
  <c r="F97" i="4"/>
  <c r="E97" i="4"/>
  <c r="D97" i="4"/>
  <c r="C97" i="4"/>
  <c r="B97" i="4"/>
  <c r="A97" i="4"/>
  <c r="AF96" i="4"/>
  <c r="AE96" i="4"/>
  <c r="AD96" i="4"/>
  <c r="AC96" i="4"/>
  <c r="Z96" i="4"/>
  <c r="AA96" i="4" s="1"/>
  <c r="Y96" i="4"/>
  <c r="W96" i="4"/>
  <c r="V96" i="4"/>
  <c r="U96" i="4"/>
  <c r="R96" i="4"/>
  <c r="S96" i="4" s="1"/>
  <c r="Q96" i="4"/>
  <c r="O96" i="4"/>
  <c r="N96" i="4"/>
  <c r="M96" i="4"/>
  <c r="I96" i="4"/>
  <c r="H96" i="4"/>
  <c r="G96" i="4"/>
  <c r="F96" i="4"/>
  <c r="E96" i="4"/>
  <c r="C96" i="4"/>
  <c r="B96" i="4"/>
  <c r="A96" i="4"/>
  <c r="AF95" i="4"/>
  <c r="AE95" i="4"/>
  <c r="AD95" i="4"/>
  <c r="AC95" i="4"/>
  <c r="Z95" i="4"/>
  <c r="AA95" i="4" s="1"/>
  <c r="Y95" i="4"/>
  <c r="W95" i="4"/>
  <c r="V95" i="4"/>
  <c r="U95" i="4"/>
  <c r="Q95" i="4"/>
  <c r="O95" i="4"/>
  <c r="N95" i="4"/>
  <c r="M95" i="4"/>
  <c r="J95" i="4"/>
  <c r="K95" i="4" s="1"/>
  <c r="I95" i="4"/>
  <c r="H95" i="4"/>
  <c r="G95" i="4"/>
  <c r="F95" i="4"/>
  <c r="E95" i="4"/>
  <c r="D95" i="4"/>
  <c r="C95" i="4"/>
  <c r="B95" i="4"/>
  <c r="A95" i="4"/>
  <c r="AF94" i="4"/>
  <c r="AE94" i="4"/>
  <c r="AD94" i="4"/>
  <c r="AC94" i="4"/>
  <c r="Z94" i="4"/>
  <c r="AA94" i="4" s="1"/>
  <c r="Y94" i="4"/>
  <c r="X94" i="4"/>
  <c r="W94" i="4"/>
  <c r="V94" i="4"/>
  <c r="U94" i="4"/>
  <c r="R94" i="4"/>
  <c r="S94" i="4" s="1"/>
  <c r="Q94" i="4"/>
  <c r="P94" i="4"/>
  <c r="O94" i="4"/>
  <c r="N94" i="4"/>
  <c r="M94" i="4"/>
  <c r="K94" i="4"/>
  <c r="J94" i="4"/>
  <c r="I94" i="4"/>
  <c r="H94" i="4"/>
  <c r="G94" i="4"/>
  <c r="F94" i="4"/>
  <c r="E94" i="4"/>
  <c r="D94" i="4"/>
  <c r="C94" i="4"/>
  <c r="B94" i="4"/>
  <c r="A94" i="4"/>
  <c r="AF93" i="4"/>
  <c r="AE93" i="4"/>
  <c r="AD93" i="4"/>
  <c r="AC93" i="4"/>
  <c r="Y93" i="4"/>
  <c r="W93" i="4"/>
  <c r="V93" i="4"/>
  <c r="U93" i="4"/>
  <c r="R93" i="4"/>
  <c r="S93" i="4" s="1"/>
  <c r="Q93" i="4"/>
  <c r="O93" i="4"/>
  <c r="N93" i="4"/>
  <c r="M93" i="4"/>
  <c r="I93" i="4"/>
  <c r="H93" i="4"/>
  <c r="G93" i="4"/>
  <c r="F93" i="4"/>
  <c r="E93" i="4"/>
  <c r="C93" i="4"/>
  <c r="B93" i="4"/>
  <c r="A93" i="4"/>
  <c r="AF92" i="4"/>
  <c r="AE92" i="4"/>
  <c r="AD92" i="4"/>
  <c r="AC92" i="4"/>
  <c r="Y92" i="4"/>
  <c r="W92" i="4"/>
  <c r="V92" i="4"/>
  <c r="U92" i="4"/>
  <c r="Q92" i="4"/>
  <c r="O92" i="4"/>
  <c r="N92" i="4"/>
  <c r="M92" i="4"/>
  <c r="I92" i="4"/>
  <c r="H92" i="4"/>
  <c r="G92" i="4"/>
  <c r="F92" i="4"/>
  <c r="E92" i="4"/>
  <c r="D92" i="4"/>
  <c r="C92" i="4"/>
  <c r="B92" i="4"/>
  <c r="A92" i="4"/>
  <c r="AF91" i="4"/>
  <c r="AE91" i="4"/>
  <c r="AD91" i="4"/>
  <c r="AC91" i="4"/>
  <c r="Z91" i="4"/>
  <c r="AA91" i="4" s="1"/>
  <c r="Y91" i="4"/>
  <c r="X91" i="4"/>
  <c r="W91" i="4"/>
  <c r="V91" i="4"/>
  <c r="U91" i="4"/>
  <c r="S91" i="4"/>
  <c r="R91" i="4"/>
  <c r="Q91" i="4"/>
  <c r="P91" i="4"/>
  <c r="O91" i="4"/>
  <c r="N91" i="4"/>
  <c r="M91" i="4"/>
  <c r="J91" i="4"/>
  <c r="K91" i="4" s="1"/>
  <c r="I91" i="4"/>
  <c r="H91" i="4"/>
  <c r="G91" i="4"/>
  <c r="F91" i="4"/>
  <c r="E91" i="4"/>
  <c r="D91" i="4"/>
  <c r="C91" i="4"/>
  <c r="B91" i="4"/>
  <c r="A91" i="4"/>
  <c r="AF90" i="4"/>
  <c r="AE90" i="4"/>
  <c r="AD90" i="4"/>
  <c r="AC90" i="4"/>
  <c r="Z90" i="4"/>
  <c r="AA90" i="4" s="1"/>
  <c r="Y90" i="4"/>
  <c r="W90" i="4"/>
  <c r="V90" i="4"/>
  <c r="U90" i="4"/>
  <c r="R90" i="4"/>
  <c r="S90" i="4" s="1"/>
  <c r="Q90" i="4"/>
  <c r="O90" i="4"/>
  <c r="N90" i="4"/>
  <c r="M90" i="4"/>
  <c r="I90" i="4"/>
  <c r="H90" i="4"/>
  <c r="G90" i="4"/>
  <c r="F90" i="4"/>
  <c r="E90" i="4"/>
  <c r="C90" i="4"/>
  <c r="B90" i="4"/>
  <c r="A90" i="4"/>
  <c r="AF89" i="4"/>
  <c r="AE89" i="4"/>
  <c r="AD89" i="4"/>
  <c r="AC89" i="4"/>
  <c r="Z89" i="4"/>
  <c r="AA89" i="4" s="1"/>
  <c r="Y89" i="4"/>
  <c r="W89" i="4"/>
  <c r="V89" i="4"/>
  <c r="U89" i="4"/>
  <c r="Q89" i="4"/>
  <c r="O89" i="4"/>
  <c r="N89" i="4"/>
  <c r="M89" i="4"/>
  <c r="K89" i="4"/>
  <c r="J89" i="4"/>
  <c r="I89" i="4"/>
  <c r="H89" i="4"/>
  <c r="G89" i="4"/>
  <c r="F89" i="4"/>
  <c r="E89" i="4"/>
  <c r="D89" i="4"/>
  <c r="C89" i="4"/>
  <c r="B89" i="4"/>
  <c r="A89" i="4"/>
  <c r="AF88" i="4"/>
  <c r="AE88" i="4"/>
  <c r="AD88" i="4"/>
  <c r="AC88" i="4"/>
  <c r="Z88" i="4"/>
  <c r="AA88" i="4" s="1"/>
  <c r="Y88" i="4"/>
  <c r="X88" i="4"/>
  <c r="W88" i="4"/>
  <c r="V88" i="4"/>
  <c r="U88" i="4"/>
  <c r="R88" i="4"/>
  <c r="S88" i="4" s="1"/>
  <c r="Q88" i="4"/>
  <c r="P88" i="4"/>
  <c r="O88" i="4"/>
  <c r="N88" i="4"/>
  <c r="M88" i="4"/>
  <c r="K88" i="4"/>
  <c r="J88" i="4"/>
  <c r="I88" i="4"/>
  <c r="H88" i="4"/>
  <c r="G88" i="4"/>
  <c r="F88" i="4"/>
  <c r="E88" i="4"/>
  <c r="D88" i="4"/>
  <c r="C88" i="4"/>
  <c r="B88" i="4"/>
  <c r="A88" i="4"/>
  <c r="AF87" i="4"/>
  <c r="AE87" i="4"/>
  <c r="AD87" i="4"/>
  <c r="AC87" i="4"/>
  <c r="Y87" i="4"/>
  <c r="W87" i="4"/>
  <c r="V87" i="4"/>
  <c r="U87" i="4"/>
  <c r="Q87" i="4"/>
  <c r="O87" i="4"/>
  <c r="N87" i="4"/>
  <c r="M87" i="4"/>
  <c r="I87" i="4"/>
  <c r="H87" i="4"/>
  <c r="G87" i="4"/>
  <c r="F87" i="4"/>
  <c r="E87" i="4"/>
  <c r="C87" i="4"/>
  <c r="B87" i="4"/>
  <c r="A87" i="4"/>
  <c r="AF86" i="4"/>
  <c r="AE86" i="4"/>
  <c r="AD86" i="4"/>
  <c r="AC86" i="4"/>
  <c r="Y86" i="4"/>
  <c r="W86" i="4"/>
  <c r="V86" i="4"/>
  <c r="U86" i="4"/>
  <c r="Q86" i="4"/>
  <c r="O86" i="4"/>
  <c r="N86" i="4"/>
  <c r="M86" i="4"/>
  <c r="K86" i="4"/>
  <c r="J86" i="4"/>
  <c r="I86" i="4"/>
  <c r="H86" i="4"/>
  <c r="G86" i="4"/>
  <c r="F86" i="4"/>
  <c r="E86" i="4"/>
  <c r="D86" i="4"/>
  <c r="C86" i="4"/>
  <c r="B86" i="4"/>
  <c r="A86" i="4"/>
  <c r="AF85" i="4"/>
  <c r="AE85" i="4"/>
  <c r="AD85" i="4"/>
  <c r="AC85" i="4"/>
  <c r="Z85" i="4"/>
  <c r="Y85" i="4"/>
  <c r="X85" i="4"/>
  <c r="W85" i="4"/>
  <c r="V85" i="4"/>
  <c r="U85" i="4"/>
  <c r="R85" i="4"/>
  <c r="S85" i="4" s="1"/>
  <c r="Q85" i="4"/>
  <c r="P85" i="4"/>
  <c r="O85" i="4"/>
  <c r="N85" i="4"/>
  <c r="M85" i="4"/>
  <c r="J85" i="4"/>
  <c r="K85" i="4" s="1"/>
  <c r="I85" i="4"/>
  <c r="H85" i="4"/>
  <c r="G85" i="4"/>
  <c r="F85" i="4"/>
  <c r="E85" i="4"/>
  <c r="D85" i="4"/>
  <c r="C85" i="4"/>
  <c r="B85" i="4"/>
  <c r="A85" i="4"/>
  <c r="AF84" i="4"/>
  <c r="AE84" i="4"/>
  <c r="AD84" i="4"/>
  <c r="AC84" i="4"/>
  <c r="Z84" i="4"/>
  <c r="AA84" i="4" s="1"/>
  <c r="Y84" i="4"/>
  <c r="X84" i="4"/>
  <c r="W84" i="4"/>
  <c r="V84" i="4"/>
  <c r="U84" i="4"/>
  <c r="Q84" i="4"/>
  <c r="O84" i="4"/>
  <c r="N84" i="4"/>
  <c r="M84" i="4"/>
  <c r="J84" i="4"/>
  <c r="K84" i="4" s="1"/>
  <c r="I84" i="4"/>
  <c r="H84" i="4"/>
  <c r="G84" i="4"/>
  <c r="F84" i="4"/>
  <c r="E84" i="4"/>
  <c r="C84" i="4"/>
  <c r="P84" i="4" s="1"/>
  <c r="B84" i="4"/>
  <c r="A84" i="4"/>
  <c r="AF83" i="4"/>
  <c r="AE83" i="4"/>
  <c r="AD83" i="4"/>
  <c r="AC83" i="4"/>
  <c r="AB83" i="4"/>
  <c r="Y83" i="4"/>
  <c r="W83" i="4"/>
  <c r="V83" i="4"/>
  <c r="U83" i="4"/>
  <c r="Q83" i="4"/>
  <c r="P83" i="4"/>
  <c r="O83" i="4"/>
  <c r="N83" i="4"/>
  <c r="M83" i="4"/>
  <c r="I83" i="4"/>
  <c r="H83" i="4"/>
  <c r="G83" i="4"/>
  <c r="F83" i="4"/>
  <c r="E83" i="4"/>
  <c r="D83" i="4"/>
  <c r="C83" i="4"/>
  <c r="B83" i="4"/>
  <c r="A83" i="4"/>
  <c r="AF82" i="4"/>
  <c r="AE82" i="4"/>
  <c r="AD82" i="4"/>
  <c r="AC82" i="4"/>
  <c r="Z82" i="4"/>
  <c r="AA82" i="4" s="1"/>
  <c r="Y82" i="4"/>
  <c r="X82" i="4"/>
  <c r="W82" i="4"/>
  <c r="V82" i="4"/>
  <c r="U82" i="4"/>
  <c r="S82" i="4"/>
  <c r="R82" i="4"/>
  <c r="Q82" i="4"/>
  <c r="P82" i="4"/>
  <c r="O82" i="4"/>
  <c r="N82" i="4"/>
  <c r="M82" i="4"/>
  <c r="J82" i="4"/>
  <c r="K82" i="4" s="1"/>
  <c r="I82" i="4"/>
  <c r="H82" i="4"/>
  <c r="G82" i="4"/>
  <c r="F82" i="4"/>
  <c r="E82" i="4"/>
  <c r="D82" i="4"/>
  <c r="C82" i="4"/>
  <c r="B82" i="4"/>
  <c r="A82" i="4"/>
  <c r="AF81" i="4"/>
  <c r="AE81" i="4"/>
  <c r="AD81" i="4"/>
  <c r="AC81" i="4"/>
  <c r="Y81" i="4"/>
  <c r="W81" i="4"/>
  <c r="V81" i="4"/>
  <c r="U81" i="4"/>
  <c r="Q81" i="4"/>
  <c r="P81" i="4"/>
  <c r="O81" i="4"/>
  <c r="N81" i="4"/>
  <c r="M81" i="4"/>
  <c r="I81" i="4"/>
  <c r="H81" i="4"/>
  <c r="G81" i="4"/>
  <c r="F81" i="4"/>
  <c r="E81" i="4"/>
  <c r="D81" i="4"/>
  <c r="C81" i="4"/>
  <c r="B81" i="4"/>
  <c r="A81" i="4"/>
  <c r="AF80" i="4"/>
  <c r="AE80" i="4"/>
  <c r="AD80" i="4"/>
  <c r="AC80" i="4"/>
  <c r="Y80" i="4"/>
  <c r="W80" i="4"/>
  <c r="V80" i="4"/>
  <c r="U80" i="4"/>
  <c r="Q80" i="4"/>
  <c r="O80" i="4"/>
  <c r="N80" i="4"/>
  <c r="M80" i="4"/>
  <c r="I80" i="4"/>
  <c r="H80" i="4"/>
  <c r="G80" i="4"/>
  <c r="F80" i="4"/>
  <c r="E80" i="4"/>
  <c r="D80" i="4"/>
  <c r="C80" i="4"/>
  <c r="B80" i="4"/>
  <c r="A80" i="4"/>
  <c r="AF79" i="4"/>
  <c r="AE79" i="4"/>
  <c r="AD79" i="4"/>
  <c r="AC79" i="4"/>
  <c r="Z79" i="4"/>
  <c r="Y79" i="4"/>
  <c r="X79" i="4"/>
  <c r="W79" i="4"/>
  <c r="V79" i="4"/>
  <c r="U79" i="4"/>
  <c r="R79" i="4"/>
  <c r="S79" i="4" s="1"/>
  <c r="Q79" i="4"/>
  <c r="T79" i="4" s="1"/>
  <c r="P79" i="4"/>
  <c r="O79" i="4"/>
  <c r="N79" i="4"/>
  <c r="M79" i="4"/>
  <c r="K79" i="4"/>
  <c r="J79" i="4"/>
  <c r="I79" i="4"/>
  <c r="H79" i="4"/>
  <c r="G79" i="4"/>
  <c r="F79" i="4"/>
  <c r="E79" i="4"/>
  <c r="D79" i="4"/>
  <c r="C79" i="4"/>
  <c r="B79" i="4"/>
  <c r="A79" i="4"/>
  <c r="AF78" i="4"/>
  <c r="AE78" i="4"/>
  <c r="AD78" i="4"/>
  <c r="AC78" i="4"/>
  <c r="Z78" i="4"/>
  <c r="AA78" i="4" s="1"/>
  <c r="Y78" i="4"/>
  <c r="W78" i="4"/>
  <c r="V78" i="4"/>
  <c r="U78" i="4"/>
  <c r="R78" i="4"/>
  <c r="S78" i="4" s="1"/>
  <c r="Q78" i="4"/>
  <c r="O78" i="4"/>
  <c r="N78" i="4"/>
  <c r="M78" i="4"/>
  <c r="I78" i="4"/>
  <c r="H78" i="4"/>
  <c r="G78" i="4"/>
  <c r="F78" i="4"/>
  <c r="E78" i="4"/>
  <c r="C78" i="4"/>
  <c r="X78" i="4" s="1"/>
  <c r="B78" i="4"/>
  <c r="A78" i="4"/>
  <c r="AF77" i="4"/>
  <c r="AE77" i="4"/>
  <c r="AD77" i="4"/>
  <c r="AC77" i="4"/>
  <c r="Z77" i="4"/>
  <c r="AA77" i="4" s="1"/>
  <c r="Y77" i="4"/>
  <c r="X77" i="4"/>
  <c r="W77" i="4"/>
  <c r="V77" i="4"/>
  <c r="U77" i="4"/>
  <c r="R77" i="4"/>
  <c r="S77" i="4" s="1"/>
  <c r="Q77" i="4"/>
  <c r="O77" i="4"/>
  <c r="N77" i="4"/>
  <c r="M77" i="4"/>
  <c r="J77" i="4"/>
  <c r="K77" i="4" s="1"/>
  <c r="I77" i="4"/>
  <c r="H77" i="4"/>
  <c r="G77" i="4"/>
  <c r="F77" i="4"/>
  <c r="E77" i="4"/>
  <c r="D77" i="4"/>
  <c r="C77" i="4"/>
  <c r="P77" i="4" s="1"/>
  <c r="B77" i="4"/>
  <c r="A77" i="4"/>
  <c r="AF76" i="4"/>
  <c r="AE76" i="4"/>
  <c r="AD76" i="4"/>
  <c r="AC76" i="4"/>
  <c r="AB76" i="4"/>
  <c r="Z76" i="4"/>
  <c r="AA76" i="4" s="1"/>
  <c r="Y76" i="4"/>
  <c r="X76" i="4"/>
  <c r="W76" i="4"/>
  <c r="V76" i="4"/>
  <c r="U76" i="4"/>
  <c r="S76" i="4"/>
  <c r="R76" i="4"/>
  <c r="Q76" i="4"/>
  <c r="P76" i="4"/>
  <c r="O76" i="4"/>
  <c r="N76" i="4"/>
  <c r="M76" i="4"/>
  <c r="J76" i="4"/>
  <c r="I76" i="4"/>
  <c r="H76" i="4"/>
  <c r="G76" i="4"/>
  <c r="F76" i="4"/>
  <c r="E76" i="4"/>
  <c r="D76" i="4"/>
  <c r="C76" i="4"/>
  <c r="B76" i="4"/>
  <c r="A76" i="4"/>
  <c r="AF75" i="4"/>
  <c r="AE75" i="4"/>
  <c r="AD75" i="4"/>
  <c r="AC75" i="4"/>
  <c r="Y75" i="4"/>
  <c r="W75" i="4"/>
  <c r="V75" i="4"/>
  <c r="U75" i="4"/>
  <c r="Q75" i="4"/>
  <c r="P75" i="4"/>
  <c r="O75" i="4"/>
  <c r="N75" i="4"/>
  <c r="M75" i="4"/>
  <c r="J75" i="4"/>
  <c r="K75" i="4" s="1"/>
  <c r="I75" i="4"/>
  <c r="H75" i="4"/>
  <c r="G75" i="4"/>
  <c r="F75" i="4"/>
  <c r="E75" i="4"/>
  <c r="D75" i="4"/>
  <c r="C75" i="4"/>
  <c r="B75" i="4"/>
  <c r="A75" i="4"/>
  <c r="AF74" i="4"/>
  <c r="AE74" i="4"/>
  <c r="AD74" i="4"/>
  <c r="AC74" i="4"/>
  <c r="Y74" i="4"/>
  <c r="W74" i="4"/>
  <c r="V74" i="4"/>
  <c r="U74" i="4"/>
  <c r="R74" i="4"/>
  <c r="S74" i="4" s="1"/>
  <c r="Q74" i="4"/>
  <c r="P74" i="4"/>
  <c r="O74" i="4"/>
  <c r="N74" i="4"/>
  <c r="M74" i="4"/>
  <c r="J74" i="4"/>
  <c r="K74" i="4" s="1"/>
  <c r="I74" i="4"/>
  <c r="H74" i="4"/>
  <c r="G74" i="4"/>
  <c r="F74" i="4"/>
  <c r="E74" i="4"/>
  <c r="D74" i="4"/>
  <c r="C74" i="4"/>
  <c r="Z74" i="4" s="1"/>
  <c r="AA74" i="4" s="1"/>
  <c r="B74" i="4"/>
  <c r="A74" i="4"/>
  <c r="AF73" i="4"/>
  <c r="AE73" i="4"/>
  <c r="AD73" i="4"/>
  <c r="AC73" i="4"/>
  <c r="Z73" i="4"/>
  <c r="Y73" i="4"/>
  <c r="X73" i="4"/>
  <c r="W73" i="4"/>
  <c r="V73" i="4"/>
  <c r="U73" i="4"/>
  <c r="R73" i="4"/>
  <c r="S73" i="4" s="1"/>
  <c r="Q73" i="4"/>
  <c r="P73" i="4"/>
  <c r="O73" i="4"/>
  <c r="N73" i="4"/>
  <c r="M73" i="4"/>
  <c r="K73" i="4"/>
  <c r="J73" i="4"/>
  <c r="I73" i="4"/>
  <c r="H73" i="4"/>
  <c r="G73" i="4"/>
  <c r="F73" i="4"/>
  <c r="E73" i="4"/>
  <c r="D73" i="4"/>
  <c r="C73" i="4"/>
  <c r="B73" i="4"/>
  <c r="A73" i="4"/>
  <c r="AF72" i="4"/>
  <c r="AE72" i="4"/>
  <c r="AD72" i="4"/>
  <c r="AC72" i="4"/>
  <c r="Z72" i="4"/>
  <c r="AA72" i="4" s="1"/>
  <c r="Y72" i="4"/>
  <c r="X72" i="4"/>
  <c r="W72" i="4"/>
  <c r="V72" i="4"/>
  <c r="U72" i="4"/>
  <c r="S72" i="4"/>
  <c r="R72" i="4"/>
  <c r="Q72" i="4"/>
  <c r="O72" i="4"/>
  <c r="N72" i="4"/>
  <c r="M72" i="4"/>
  <c r="J72" i="4"/>
  <c r="I72" i="4"/>
  <c r="H72" i="4"/>
  <c r="G72" i="4"/>
  <c r="F72" i="4"/>
  <c r="E72" i="4"/>
  <c r="C72" i="4"/>
  <c r="P72" i="4" s="1"/>
  <c r="B72" i="4"/>
  <c r="A72" i="4"/>
  <c r="D72" i="4" s="1"/>
  <c r="AF71" i="4"/>
  <c r="AE71" i="4"/>
  <c r="AD71" i="4"/>
  <c r="AC71" i="4"/>
  <c r="Y71" i="4"/>
  <c r="W71" i="4"/>
  <c r="V71" i="4"/>
  <c r="U71" i="4"/>
  <c r="T71" i="4"/>
  <c r="R71" i="4"/>
  <c r="Q71" i="4"/>
  <c r="O71" i="4"/>
  <c r="N71" i="4"/>
  <c r="M71" i="4"/>
  <c r="I71" i="4"/>
  <c r="H71" i="4"/>
  <c r="G71" i="4"/>
  <c r="F71" i="4"/>
  <c r="E71" i="4"/>
  <c r="D71" i="4"/>
  <c r="C71" i="4"/>
  <c r="B71" i="4"/>
  <c r="A71" i="4"/>
  <c r="AF70" i="4"/>
  <c r="AE70" i="4"/>
  <c r="AD70" i="4"/>
  <c r="AC70" i="4"/>
  <c r="Z70" i="4"/>
  <c r="AA70" i="4" s="1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J70" i="4"/>
  <c r="K70" i="4" s="1"/>
  <c r="I70" i="4"/>
  <c r="H70" i="4"/>
  <c r="G70" i="4"/>
  <c r="F70" i="4"/>
  <c r="E70" i="4"/>
  <c r="D70" i="4"/>
  <c r="C70" i="4"/>
  <c r="B70" i="4"/>
  <c r="A70" i="4"/>
  <c r="AF69" i="4"/>
  <c r="AE69" i="4"/>
  <c r="AD69" i="4"/>
  <c r="AC69" i="4"/>
  <c r="Y69" i="4"/>
  <c r="W69" i="4"/>
  <c r="V69" i="4"/>
  <c r="U69" i="4"/>
  <c r="Q69" i="4"/>
  <c r="P69" i="4"/>
  <c r="O69" i="4"/>
  <c r="N69" i="4"/>
  <c r="M69" i="4"/>
  <c r="I69" i="4"/>
  <c r="H69" i="4"/>
  <c r="G69" i="4"/>
  <c r="F69" i="4"/>
  <c r="E69" i="4"/>
  <c r="D69" i="4"/>
  <c r="C69" i="4"/>
  <c r="B69" i="4"/>
  <c r="A69" i="4"/>
  <c r="AF68" i="4"/>
  <c r="AE68" i="4"/>
  <c r="AD68" i="4"/>
  <c r="AC68" i="4"/>
  <c r="Y68" i="4"/>
  <c r="X68" i="4"/>
  <c r="W68" i="4"/>
  <c r="V68" i="4"/>
  <c r="U68" i="4"/>
  <c r="Q68" i="4"/>
  <c r="O68" i="4"/>
  <c r="N68" i="4"/>
  <c r="M68" i="4"/>
  <c r="J68" i="4"/>
  <c r="K68" i="4" s="1"/>
  <c r="I68" i="4"/>
  <c r="H68" i="4"/>
  <c r="G68" i="4"/>
  <c r="F68" i="4"/>
  <c r="E68" i="4"/>
  <c r="D68" i="4"/>
  <c r="C68" i="4"/>
  <c r="B68" i="4"/>
  <c r="A68" i="4"/>
  <c r="AF67" i="4"/>
  <c r="AE67" i="4"/>
  <c r="AD67" i="4"/>
  <c r="AC67" i="4"/>
  <c r="Z67" i="4"/>
  <c r="Y67" i="4"/>
  <c r="X67" i="4"/>
  <c r="W67" i="4"/>
  <c r="V67" i="4"/>
  <c r="U67" i="4"/>
  <c r="S67" i="4"/>
  <c r="R67" i="4"/>
  <c r="Q67" i="4"/>
  <c r="P67" i="4"/>
  <c r="O67" i="4"/>
  <c r="N67" i="4"/>
  <c r="M67" i="4"/>
  <c r="K67" i="4"/>
  <c r="J67" i="4"/>
  <c r="I67" i="4"/>
  <c r="H67" i="4"/>
  <c r="G67" i="4"/>
  <c r="F67" i="4"/>
  <c r="E67" i="4"/>
  <c r="D67" i="4"/>
  <c r="C67" i="4"/>
  <c r="B67" i="4"/>
  <c r="A67" i="4"/>
  <c r="AF66" i="4"/>
  <c r="AE66" i="4"/>
  <c r="AD66" i="4"/>
  <c r="AC66" i="4"/>
  <c r="Z66" i="4"/>
  <c r="AA66" i="4" s="1"/>
  <c r="Y66" i="4"/>
  <c r="W66" i="4"/>
  <c r="V66" i="4"/>
  <c r="U66" i="4"/>
  <c r="R66" i="4"/>
  <c r="S66" i="4" s="1"/>
  <c r="Q66" i="4"/>
  <c r="O66" i="4"/>
  <c r="N66" i="4"/>
  <c r="M66" i="4"/>
  <c r="I66" i="4"/>
  <c r="H66" i="4"/>
  <c r="G66" i="4"/>
  <c r="F66" i="4"/>
  <c r="E66" i="4"/>
  <c r="C66" i="4"/>
  <c r="X66" i="4" s="1"/>
  <c r="B66" i="4"/>
  <c r="A66" i="4"/>
  <c r="AF65" i="4"/>
  <c r="AE65" i="4"/>
  <c r="AD65" i="4"/>
  <c r="AC65" i="4"/>
  <c r="Z65" i="4"/>
  <c r="AA65" i="4" s="1"/>
  <c r="Y65" i="4"/>
  <c r="X65" i="4"/>
  <c r="W65" i="4"/>
  <c r="V65" i="4"/>
  <c r="U65" i="4"/>
  <c r="R65" i="4"/>
  <c r="S65" i="4" s="1"/>
  <c r="Q65" i="4"/>
  <c r="O65" i="4"/>
  <c r="N65" i="4"/>
  <c r="M65" i="4"/>
  <c r="J65" i="4"/>
  <c r="K65" i="4" s="1"/>
  <c r="I65" i="4"/>
  <c r="H65" i="4"/>
  <c r="G65" i="4"/>
  <c r="F65" i="4"/>
  <c r="E65" i="4"/>
  <c r="D65" i="4"/>
  <c r="C65" i="4"/>
  <c r="P65" i="4" s="1"/>
  <c r="B65" i="4"/>
  <c r="A65" i="4"/>
  <c r="AF64" i="4"/>
  <c r="AE64" i="4"/>
  <c r="AD64" i="4"/>
  <c r="AC64" i="4"/>
  <c r="Z64" i="4"/>
  <c r="AA64" i="4" s="1"/>
  <c r="Y64" i="4"/>
  <c r="X64" i="4"/>
  <c r="W64" i="4"/>
  <c r="V64" i="4"/>
  <c r="U64" i="4"/>
  <c r="S64" i="4"/>
  <c r="R64" i="4"/>
  <c r="Q64" i="4"/>
  <c r="P64" i="4"/>
  <c r="O64" i="4"/>
  <c r="N64" i="4"/>
  <c r="M64" i="4"/>
  <c r="J64" i="4"/>
  <c r="K64" i="4" s="1"/>
  <c r="I64" i="4"/>
  <c r="H64" i="4"/>
  <c r="G64" i="4"/>
  <c r="F64" i="4"/>
  <c r="E64" i="4"/>
  <c r="D64" i="4"/>
  <c r="C64" i="4"/>
  <c r="B64" i="4"/>
  <c r="A64" i="4"/>
  <c r="AF63" i="4"/>
  <c r="AE63" i="4"/>
  <c r="AD63" i="4"/>
  <c r="AC63" i="4"/>
  <c r="AB63" i="4"/>
  <c r="Y63" i="4"/>
  <c r="X63" i="4"/>
  <c r="W63" i="4"/>
  <c r="V63" i="4"/>
  <c r="U63" i="4"/>
  <c r="Q63" i="4"/>
  <c r="O63" i="4"/>
  <c r="N63" i="4"/>
  <c r="M63" i="4"/>
  <c r="J63" i="4"/>
  <c r="K63" i="4" s="1"/>
  <c r="I63" i="4"/>
  <c r="H63" i="4"/>
  <c r="G63" i="4"/>
  <c r="F63" i="4"/>
  <c r="E63" i="4"/>
  <c r="C63" i="4"/>
  <c r="P63" i="4" s="1"/>
  <c r="B63" i="4"/>
  <c r="A63" i="4"/>
  <c r="AF62" i="4"/>
  <c r="AE62" i="4"/>
  <c r="AD62" i="4"/>
  <c r="AC62" i="4"/>
  <c r="Y62" i="4"/>
  <c r="W62" i="4"/>
  <c r="V62" i="4"/>
  <c r="U62" i="4"/>
  <c r="R62" i="4"/>
  <c r="S62" i="4" s="1"/>
  <c r="Q62" i="4"/>
  <c r="P62" i="4"/>
  <c r="O62" i="4"/>
  <c r="N62" i="4"/>
  <c r="M62" i="4"/>
  <c r="J62" i="4"/>
  <c r="K62" i="4" s="1"/>
  <c r="I62" i="4"/>
  <c r="H62" i="4"/>
  <c r="G62" i="4"/>
  <c r="F62" i="4"/>
  <c r="E62" i="4"/>
  <c r="D62" i="4"/>
  <c r="C62" i="4"/>
  <c r="Z62" i="4" s="1"/>
  <c r="B62" i="4"/>
  <c r="A62" i="4"/>
  <c r="AF61" i="4"/>
  <c r="AE61" i="4"/>
  <c r="AD61" i="4"/>
  <c r="AC61" i="4"/>
  <c r="Z61" i="4"/>
  <c r="Y61" i="4"/>
  <c r="X61" i="4"/>
  <c r="W61" i="4"/>
  <c r="V61" i="4"/>
  <c r="U61" i="4"/>
  <c r="R61" i="4"/>
  <c r="S61" i="4" s="1"/>
  <c r="Q61" i="4"/>
  <c r="P61" i="4"/>
  <c r="O61" i="4"/>
  <c r="N61" i="4"/>
  <c r="M61" i="4"/>
  <c r="K61" i="4"/>
  <c r="J61" i="4"/>
  <c r="I61" i="4"/>
  <c r="H61" i="4"/>
  <c r="G61" i="4"/>
  <c r="F61" i="4"/>
  <c r="E61" i="4"/>
  <c r="D61" i="4"/>
  <c r="C61" i="4"/>
  <c r="B61" i="4"/>
  <c r="A61" i="4"/>
  <c r="AF60" i="4"/>
  <c r="AE60" i="4"/>
  <c r="AD60" i="4"/>
  <c r="AC60" i="4"/>
  <c r="Z60" i="4"/>
  <c r="AA60" i="4" s="1"/>
  <c r="Y60" i="4"/>
  <c r="X60" i="4"/>
  <c r="W60" i="4"/>
  <c r="V60" i="4"/>
  <c r="U60" i="4"/>
  <c r="T60" i="4"/>
  <c r="S60" i="4"/>
  <c r="R60" i="4"/>
  <c r="Q60" i="4"/>
  <c r="O60" i="4"/>
  <c r="N60" i="4"/>
  <c r="M60" i="4"/>
  <c r="J60" i="4"/>
  <c r="I60" i="4"/>
  <c r="H60" i="4"/>
  <c r="G60" i="4"/>
  <c r="F60" i="4"/>
  <c r="E60" i="4"/>
  <c r="C60" i="4"/>
  <c r="P60" i="4" s="1"/>
  <c r="B60" i="4"/>
  <c r="A60" i="4"/>
  <c r="D60" i="4" s="1"/>
  <c r="AF59" i="4"/>
  <c r="AE59" i="4"/>
  <c r="AD59" i="4"/>
  <c r="AC59" i="4"/>
  <c r="AA59" i="4"/>
  <c r="Z59" i="4"/>
  <c r="Y59" i="4"/>
  <c r="W59" i="4"/>
  <c r="V59" i="4"/>
  <c r="U59" i="4"/>
  <c r="Q59" i="4"/>
  <c r="O59" i="4"/>
  <c r="N59" i="4"/>
  <c r="M59" i="4"/>
  <c r="I59" i="4"/>
  <c r="H59" i="4"/>
  <c r="G59" i="4"/>
  <c r="F59" i="4"/>
  <c r="E59" i="4"/>
  <c r="D59" i="4"/>
  <c r="C59" i="4"/>
  <c r="B59" i="4"/>
  <c r="A59" i="4"/>
  <c r="AF58" i="4"/>
  <c r="AE58" i="4"/>
  <c r="AD58" i="4"/>
  <c r="AC58" i="4"/>
  <c r="Z58" i="4"/>
  <c r="AA58" i="4" s="1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K58" i="4"/>
  <c r="J58" i="4"/>
  <c r="I58" i="4"/>
  <c r="H58" i="4"/>
  <c r="G58" i="4"/>
  <c r="F58" i="4"/>
  <c r="E58" i="4"/>
  <c r="D58" i="4"/>
  <c r="C58" i="4"/>
  <c r="B58" i="4"/>
  <c r="A58" i="4"/>
  <c r="AF57" i="4"/>
  <c r="AE57" i="4"/>
  <c r="AD57" i="4"/>
  <c r="AC57" i="4"/>
  <c r="Y57" i="4"/>
  <c r="W57" i="4"/>
  <c r="V57" i="4"/>
  <c r="U57" i="4"/>
  <c r="Q57" i="4"/>
  <c r="P57" i="4"/>
  <c r="O57" i="4"/>
  <c r="N57" i="4"/>
  <c r="M57" i="4"/>
  <c r="I57" i="4"/>
  <c r="H57" i="4"/>
  <c r="G57" i="4"/>
  <c r="F57" i="4"/>
  <c r="E57" i="4"/>
  <c r="D57" i="4"/>
  <c r="C57" i="4"/>
  <c r="B57" i="4"/>
  <c r="A57" i="4"/>
  <c r="AF56" i="4"/>
  <c r="AE56" i="4"/>
  <c r="AD56" i="4"/>
  <c r="AC56" i="4"/>
  <c r="AB56" i="4"/>
  <c r="Y56" i="4"/>
  <c r="X56" i="4"/>
  <c r="W56" i="4"/>
  <c r="V56" i="4"/>
  <c r="U56" i="4"/>
  <c r="Q56" i="4"/>
  <c r="P56" i="4"/>
  <c r="O56" i="4"/>
  <c r="N56" i="4"/>
  <c r="M56" i="4"/>
  <c r="I56" i="4"/>
  <c r="H56" i="4"/>
  <c r="G56" i="4"/>
  <c r="F56" i="4"/>
  <c r="E56" i="4"/>
  <c r="D56" i="4"/>
  <c r="C56" i="4"/>
  <c r="R56" i="4" s="1"/>
  <c r="S56" i="4" s="1"/>
  <c r="B56" i="4"/>
  <c r="A56" i="4"/>
  <c r="AF55" i="4"/>
  <c r="AE55" i="4"/>
  <c r="AD55" i="4"/>
  <c r="AC55" i="4"/>
  <c r="Z55" i="4"/>
  <c r="Y55" i="4"/>
  <c r="X55" i="4"/>
  <c r="W55" i="4"/>
  <c r="V55" i="4"/>
  <c r="U55" i="4"/>
  <c r="R55" i="4"/>
  <c r="S55" i="4" s="1"/>
  <c r="Q55" i="4"/>
  <c r="P55" i="4"/>
  <c r="O55" i="4"/>
  <c r="N55" i="4"/>
  <c r="M55" i="4"/>
  <c r="K55" i="4"/>
  <c r="J55" i="4"/>
  <c r="I55" i="4"/>
  <c r="H55" i="4"/>
  <c r="G55" i="4"/>
  <c r="F55" i="4"/>
  <c r="E55" i="4"/>
  <c r="D55" i="4"/>
  <c r="C55" i="4"/>
  <c r="B55" i="4"/>
  <c r="A55" i="4"/>
  <c r="AF54" i="4"/>
  <c r="AE54" i="4"/>
  <c r="AD54" i="4"/>
  <c r="AC54" i="4"/>
  <c r="Y54" i="4"/>
  <c r="W54" i="4"/>
  <c r="V54" i="4"/>
  <c r="U54" i="4"/>
  <c r="Q54" i="4"/>
  <c r="O54" i="4"/>
  <c r="N54" i="4"/>
  <c r="M54" i="4"/>
  <c r="I54" i="4"/>
  <c r="H54" i="4"/>
  <c r="G54" i="4"/>
  <c r="F54" i="4"/>
  <c r="E54" i="4"/>
  <c r="C54" i="4"/>
  <c r="R54" i="4" s="1"/>
  <c r="S54" i="4" s="1"/>
  <c r="B54" i="4"/>
  <c r="A54" i="4"/>
  <c r="AF53" i="4"/>
  <c r="AE53" i="4"/>
  <c r="AD53" i="4"/>
  <c r="AC53" i="4"/>
  <c r="Z53" i="4"/>
  <c r="AA53" i="4" s="1"/>
  <c r="Y53" i="4"/>
  <c r="X53" i="4"/>
  <c r="W53" i="4"/>
  <c r="V53" i="4"/>
  <c r="U53" i="4"/>
  <c r="R53" i="4"/>
  <c r="S53" i="4" s="1"/>
  <c r="Q53" i="4"/>
  <c r="O53" i="4"/>
  <c r="N53" i="4"/>
  <c r="M53" i="4"/>
  <c r="J53" i="4"/>
  <c r="K53" i="4" s="1"/>
  <c r="I53" i="4"/>
  <c r="H53" i="4"/>
  <c r="G53" i="4"/>
  <c r="F53" i="4"/>
  <c r="E53" i="4"/>
  <c r="D53" i="4"/>
  <c r="C53" i="4"/>
  <c r="P53" i="4" s="1"/>
  <c r="B53" i="4"/>
  <c r="A53" i="4"/>
  <c r="AF52" i="4"/>
  <c r="AE52" i="4"/>
  <c r="AD52" i="4"/>
  <c r="AC52" i="4"/>
  <c r="Z52" i="4"/>
  <c r="AA52" i="4" s="1"/>
  <c r="Y52" i="4"/>
  <c r="X52" i="4"/>
  <c r="W52" i="4"/>
  <c r="V52" i="4"/>
  <c r="U52" i="4"/>
  <c r="S52" i="4"/>
  <c r="R52" i="4"/>
  <c r="Q52" i="4"/>
  <c r="T52" i="4" s="1"/>
  <c r="P52" i="4"/>
  <c r="O52" i="4"/>
  <c r="N52" i="4"/>
  <c r="M52" i="4"/>
  <c r="J52" i="4"/>
  <c r="K52" i="4" s="1"/>
  <c r="I52" i="4"/>
  <c r="H52" i="4"/>
  <c r="G52" i="4"/>
  <c r="F52" i="4"/>
  <c r="E52" i="4"/>
  <c r="D52" i="4"/>
  <c r="C52" i="4"/>
  <c r="B52" i="4"/>
  <c r="A52" i="4"/>
  <c r="AF51" i="4"/>
  <c r="AE51" i="4"/>
  <c r="AD51" i="4"/>
  <c r="AC51" i="4"/>
  <c r="AB51" i="4"/>
  <c r="Y51" i="4"/>
  <c r="X51" i="4"/>
  <c r="W51" i="4"/>
  <c r="V51" i="4"/>
  <c r="U51" i="4"/>
  <c r="Q51" i="4"/>
  <c r="P51" i="4"/>
  <c r="O51" i="4"/>
  <c r="N51" i="4"/>
  <c r="M51" i="4"/>
  <c r="J51" i="4"/>
  <c r="K51" i="4" s="1"/>
  <c r="I51" i="4"/>
  <c r="H51" i="4"/>
  <c r="G51" i="4"/>
  <c r="F51" i="4"/>
  <c r="E51" i="4"/>
  <c r="C51" i="4"/>
  <c r="B51" i="4"/>
  <c r="A51" i="4"/>
  <c r="T51" i="4" s="1"/>
  <c r="AF50" i="4"/>
  <c r="AE50" i="4"/>
  <c r="AD50" i="4"/>
  <c r="AC50" i="4"/>
  <c r="Y50" i="4"/>
  <c r="W50" i="4"/>
  <c r="V50" i="4"/>
  <c r="U50" i="4"/>
  <c r="Q50" i="4"/>
  <c r="O50" i="4"/>
  <c r="N50" i="4"/>
  <c r="M50" i="4"/>
  <c r="I50" i="4"/>
  <c r="H50" i="4"/>
  <c r="G50" i="4"/>
  <c r="F50" i="4"/>
  <c r="E50" i="4"/>
  <c r="D50" i="4"/>
  <c r="C50" i="4"/>
  <c r="B50" i="4"/>
  <c r="A50" i="4"/>
  <c r="AF49" i="4"/>
  <c r="AE49" i="4"/>
  <c r="AD49" i="4"/>
  <c r="AC49" i="4"/>
  <c r="Z49" i="4"/>
  <c r="AA49" i="4" s="1"/>
  <c r="Y49" i="4"/>
  <c r="X49" i="4"/>
  <c r="W49" i="4"/>
  <c r="V49" i="4"/>
  <c r="U49" i="4"/>
  <c r="R49" i="4"/>
  <c r="S49" i="4" s="1"/>
  <c r="Q49" i="4"/>
  <c r="T49" i="4" s="1"/>
  <c r="P49" i="4"/>
  <c r="O49" i="4"/>
  <c r="N49" i="4"/>
  <c r="M49" i="4"/>
  <c r="K49" i="4"/>
  <c r="J49" i="4"/>
  <c r="I49" i="4"/>
  <c r="H49" i="4"/>
  <c r="G49" i="4"/>
  <c r="F49" i="4"/>
  <c r="E49" i="4"/>
  <c r="D49" i="4"/>
  <c r="C49" i="4"/>
  <c r="B49" i="4"/>
  <c r="A49" i="4"/>
  <c r="AF48" i="4"/>
  <c r="AE48" i="4"/>
  <c r="AD48" i="4"/>
  <c r="AC48" i="4"/>
  <c r="Z48" i="4"/>
  <c r="AA48" i="4" s="1"/>
  <c r="Y48" i="4"/>
  <c r="X48" i="4"/>
  <c r="W48" i="4"/>
  <c r="V48" i="4"/>
  <c r="U48" i="4"/>
  <c r="R48" i="4"/>
  <c r="S48" i="4" s="1"/>
  <c r="Q48" i="4"/>
  <c r="O48" i="4"/>
  <c r="N48" i="4"/>
  <c r="M48" i="4"/>
  <c r="J48" i="4"/>
  <c r="I48" i="4"/>
  <c r="H48" i="4"/>
  <c r="G48" i="4"/>
  <c r="F48" i="4"/>
  <c r="E48" i="4"/>
  <c r="C48" i="4"/>
  <c r="P48" i="4" s="1"/>
  <c r="B48" i="4"/>
  <c r="A48" i="4"/>
  <c r="D48" i="4" s="1"/>
  <c r="AF47" i="4"/>
  <c r="AE47" i="4"/>
  <c r="AD47" i="4"/>
  <c r="AC47" i="4"/>
  <c r="AB47" i="4"/>
  <c r="Y47" i="4"/>
  <c r="W47" i="4"/>
  <c r="V47" i="4"/>
  <c r="U47" i="4"/>
  <c r="Q47" i="4"/>
  <c r="P47" i="4"/>
  <c r="O47" i="4"/>
  <c r="N47" i="4"/>
  <c r="M47" i="4"/>
  <c r="I47" i="4"/>
  <c r="H47" i="4"/>
  <c r="G47" i="4"/>
  <c r="F47" i="4"/>
  <c r="E47" i="4"/>
  <c r="C47" i="4"/>
  <c r="B47" i="4"/>
  <c r="A47" i="4"/>
  <c r="AF46" i="4"/>
  <c r="AE46" i="4"/>
  <c r="AD46" i="4"/>
  <c r="AC46" i="4"/>
  <c r="Z46" i="4"/>
  <c r="AA46" i="4" s="1"/>
  <c r="Y46" i="4"/>
  <c r="X46" i="4"/>
  <c r="W46" i="4"/>
  <c r="V46" i="4"/>
  <c r="U46" i="4"/>
  <c r="S46" i="4"/>
  <c r="R46" i="4"/>
  <c r="Q46" i="4"/>
  <c r="P46" i="4"/>
  <c r="O46" i="4"/>
  <c r="N46" i="4"/>
  <c r="M46" i="4"/>
  <c r="K46" i="4"/>
  <c r="J46" i="4"/>
  <c r="I46" i="4"/>
  <c r="H46" i="4"/>
  <c r="G46" i="4"/>
  <c r="F46" i="4"/>
  <c r="E46" i="4"/>
  <c r="D46" i="4"/>
  <c r="C46" i="4"/>
  <c r="B46" i="4"/>
  <c r="A46" i="4"/>
  <c r="AF45" i="4"/>
  <c r="AE45" i="4"/>
  <c r="AD45" i="4"/>
  <c r="AC45" i="4"/>
  <c r="AB45" i="4"/>
  <c r="Y45" i="4"/>
  <c r="W45" i="4"/>
  <c r="V45" i="4"/>
  <c r="U45" i="4"/>
  <c r="Q45" i="4"/>
  <c r="P45" i="4"/>
  <c r="O45" i="4"/>
  <c r="N45" i="4"/>
  <c r="M45" i="4"/>
  <c r="I45" i="4"/>
  <c r="H45" i="4"/>
  <c r="G45" i="4"/>
  <c r="F45" i="4"/>
  <c r="E45" i="4"/>
  <c r="D45" i="4"/>
  <c r="C45" i="4"/>
  <c r="B45" i="4"/>
  <c r="A45" i="4"/>
  <c r="AF44" i="4"/>
  <c r="AE44" i="4"/>
  <c r="AD44" i="4"/>
  <c r="AC44" i="4"/>
  <c r="Z44" i="4"/>
  <c r="AA44" i="4" s="1"/>
  <c r="Y44" i="4"/>
  <c r="X44" i="4"/>
  <c r="W44" i="4"/>
  <c r="V44" i="4"/>
  <c r="U44" i="4"/>
  <c r="Q44" i="4"/>
  <c r="O44" i="4"/>
  <c r="N44" i="4"/>
  <c r="M44" i="4"/>
  <c r="K44" i="4"/>
  <c r="J44" i="4"/>
  <c r="I44" i="4"/>
  <c r="H44" i="4"/>
  <c r="G44" i="4"/>
  <c r="F44" i="4"/>
  <c r="E44" i="4"/>
  <c r="C44" i="4"/>
  <c r="R44" i="4" s="1"/>
  <c r="S44" i="4" s="1"/>
  <c r="B44" i="4"/>
  <c r="A44" i="4"/>
  <c r="AF43" i="4"/>
  <c r="AE43" i="4"/>
  <c r="AD43" i="4"/>
  <c r="AC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J43" i="4"/>
  <c r="K43" i="4" s="1"/>
  <c r="I43" i="4"/>
  <c r="H43" i="4"/>
  <c r="G43" i="4"/>
  <c r="F43" i="4"/>
  <c r="E43" i="4"/>
  <c r="D43" i="4"/>
  <c r="C43" i="4"/>
  <c r="B43" i="4"/>
  <c r="A43" i="4"/>
  <c r="AF42" i="4"/>
  <c r="AE42" i="4"/>
  <c r="AD42" i="4"/>
  <c r="AC42" i="4"/>
  <c r="Z42" i="4"/>
  <c r="AA42" i="4" s="1"/>
  <c r="Y42" i="4"/>
  <c r="AB42" i="4" s="1"/>
  <c r="X42" i="4"/>
  <c r="W42" i="4"/>
  <c r="V42" i="4"/>
  <c r="U42" i="4"/>
  <c r="Q42" i="4"/>
  <c r="O42" i="4"/>
  <c r="N42" i="4"/>
  <c r="M42" i="4"/>
  <c r="I42" i="4"/>
  <c r="H42" i="4"/>
  <c r="G42" i="4"/>
  <c r="F42" i="4"/>
  <c r="E42" i="4"/>
  <c r="C42" i="4"/>
  <c r="J42" i="4" s="1"/>
  <c r="K42" i="4" s="1"/>
  <c r="B42" i="4"/>
  <c r="A42" i="4"/>
  <c r="AF41" i="4"/>
  <c r="AE41" i="4"/>
  <c r="AD41" i="4"/>
  <c r="AC41" i="4"/>
  <c r="Z41" i="4"/>
  <c r="AA41" i="4" s="1"/>
  <c r="Y41" i="4"/>
  <c r="X41" i="4"/>
  <c r="W41" i="4"/>
  <c r="V41" i="4"/>
  <c r="U41" i="4"/>
  <c r="R41" i="4"/>
  <c r="S41" i="4" s="1"/>
  <c r="Q41" i="4"/>
  <c r="O41" i="4"/>
  <c r="N41" i="4"/>
  <c r="M41" i="4"/>
  <c r="J41" i="4"/>
  <c r="K41" i="4" s="1"/>
  <c r="I41" i="4"/>
  <c r="H41" i="4"/>
  <c r="G41" i="4"/>
  <c r="F41" i="4"/>
  <c r="E41" i="4"/>
  <c r="C41" i="4"/>
  <c r="P41" i="4" s="1"/>
  <c r="B41" i="4"/>
  <c r="A41" i="4"/>
  <c r="L41" i="4" s="1"/>
  <c r="AF40" i="4"/>
  <c r="AE40" i="4"/>
  <c r="AD40" i="4"/>
  <c r="AC40" i="4"/>
  <c r="Z40" i="4"/>
  <c r="AA40" i="4" s="1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J40" i="4"/>
  <c r="K40" i="4" s="1"/>
  <c r="I40" i="4"/>
  <c r="H40" i="4"/>
  <c r="G40" i="4"/>
  <c r="F40" i="4"/>
  <c r="E40" i="4"/>
  <c r="D40" i="4"/>
  <c r="C40" i="4"/>
  <c r="B40" i="4"/>
  <c r="A40" i="4"/>
  <c r="AF39" i="4"/>
  <c r="AE39" i="4"/>
  <c r="AD39" i="4"/>
  <c r="AC39" i="4"/>
  <c r="Y39" i="4"/>
  <c r="X39" i="4"/>
  <c r="W39" i="4"/>
  <c r="V39" i="4"/>
  <c r="U39" i="4"/>
  <c r="Q39" i="4"/>
  <c r="O39" i="4"/>
  <c r="N39" i="4"/>
  <c r="M39" i="4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AB38" i="4"/>
  <c r="Y38" i="4"/>
  <c r="X38" i="4"/>
  <c r="W38" i="4"/>
  <c r="V38" i="4"/>
  <c r="U38" i="4"/>
  <c r="R38" i="4"/>
  <c r="S38" i="4" s="1"/>
  <c r="Q38" i="4"/>
  <c r="O38" i="4"/>
  <c r="N38" i="4"/>
  <c r="M38" i="4"/>
  <c r="K38" i="4"/>
  <c r="J38" i="4"/>
  <c r="I38" i="4"/>
  <c r="H38" i="4"/>
  <c r="G38" i="4"/>
  <c r="F38" i="4"/>
  <c r="E38" i="4"/>
  <c r="D38" i="4"/>
  <c r="C38" i="4"/>
  <c r="Z38" i="4" s="1"/>
  <c r="B38" i="4"/>
  <c r="A38" i="4"/>
  <c r="AF37" i="4"/>
  <c r="AE37" i="4"/>
  <c r="AD37" i="4"/>
  <c r="AC37" i="4"/>
  <c r="Y37" i="4"/>
  <c r="W37" i="4"/>
  <c r="V37" i="4"/>
  <c r="U37" i="4"/>
  <c r="Q37" i="4"/>
  <c r="P37" i="4"/>
  <c r="O37" i="4"/>
  <c r="N37" i="4"/>
  <c r="M37" i="4"/>
  <c r="I37" i="4"/>
  <c r="H37" i="4"/>
  <c r="G37" i="4"/>
  <c r="F37" i="4"/>
  <c r="E37" i="4"/>
  <c r="D37" i="4"/>
  <c r="C37" i="4"/>
  <c r="B37" i="4"/>
  <c r="A37" i="4"/>
  <c r="AF36" i="4"/>
  <c r="AE36" i="4"/>
  <c r="AD36" i="4"/>
  <c r="AC36" i="4"/>
  <c r="Z36" i="4"/>
  <c r="AA36" i="4" s="1"/>
  <c r="Y36" i="4"/>
  <c r="X36" i="4"/>
  <c r="W36" i="4"/>
  <c r="V36" i="4"/>
  <c r="U36" i="4"/>
  <c r="Q36" i="4"/>
  <c r="O36" i="4"/>
  <c r="N36" i="4"/>
  <c r="M36" i="4"/>
  <c r="J36" i="4"/>
  <c r="K36" i="4" s="1"/>
  <c r="I36" i="4"/>
  <c r="L36" i="4" s="1"/>
  <c r="H36" i="4"/>
  <c r="G36" i="4"/>
  <c r="F36" i="4"/>
  <c r="E36" i="4"/>
  <c r="C36" i="4"/>
  <c r="B36" i="4"/>
  <c r="A36" i="4"/>
  <c r="AF35" i="4"/>
  <c r="AE35" i="4"/>
  <c r="AD35" i="4"/>
  <c r="AC35" i="4"/>
  <c r="AB35" i="4"/>
  <c r="Y35" i="4"/>
  <c r="W35" i="4"/>
  <c r="V35" i="4"/>
  <c r="U35" i="4"/>
  <c r="T35" i="4"/>
  <c r="Q35" i="4"/>
  <c r="O35" i="4"/>
  <c r="N35" i="4"/>
  <c r="M35" i="4"/>
  <c r="I35" i="4"/>
  <c r="H35" i="4"/>
  <c r="G35" i="4"/>
  <c r="F35" i="4"/>
  <c r="E35" i="4"/>
  <c r="D35" i="4"/>
  <c r="C35" i="4"/>
  <c r="B35" i="4"/>
  <c r="A35" i="4"/>
  <c r="AF34" i="4"/>
  <c r="AE34" i="4"/>
  <c r="AD34" i="4"/>
  <c r="AC34" i="4"/>
  <c r="Y34" i="4"/>
  <c r="X34" i="4"/>
  <c r="W34" i="4"/>
  <c r="V34" i="4"/>
  <c r="U34" i="4"/>
  <c r="S34" i="4"/>
  <c r="R34" i="4"/>
  <c r="Q34" i="4"/>
  <c r="O34" i="4"/>
  <c r="N34" i="4"/>
  <c r="M34" i="4"/>
  <c r="K34" i="4"/>
  <c r="I34" i="4"/>
  <c r="H34" i="4"/>
  <c r="G34" i="4"/>
  <c r="F34" i="4"/>
  <c r="E34" i="4"/>
  <c r="C34" i="4"/>
  <c r="J34" i="4" s="1"/>
  <c r="B34" i="4"/>
  <c r="A34" i="4"/>
  <c r="AF33" i="4"/>
  <c r="AE33" i="4"/>
  <c r="AD33" i="4"/>
  <c r="AC33" i="4"/>
  <c r="Z33" i="4"/>
  <c r="AA33" i="4" s="1"/>
  <c r="Y33" i="4"/>
  <c r="X33" i="4"/>
  <c r="W33" i="4"/>
  <c r="V33" i="4"/>
  <c r="U33" i="4"/>
  <c r="Q33" i="4"/>
  <c r="O33" i="4"/>
  <c r="N33" i="4"/>
  <c r="M33" i="4"/>
  <c r="K33" i="4"/>
  <c r="J33" i="4"/>
  <c r="I33" i="4"/>
  <c r="H33" i="4"/>
  <c r="G33" i="4"/>
  <c r="F33" i="4"/>
  <c r="E33" i="4"/>
  <c r="C33" i="4"/>
  <c r="B33" i="4"/>
  <c r="A33" i="4"/>
  <c r="L33" i="4" s="1"/>
  <c r="AF32" i="4"/>
  <c r="AE32" i="4"/>
  <c r="AD32" i="4"/>
  <c r="AC32" i="4"/>
  <c r="Y32" i="4"/>
  <c r="W32" i="4"/>
  <c r="V32" i="4"/>
  <c r="U32" i="4"/>
  <c r="Q32" i="4"/>
  <c r="T32" i="4" s="1"/>
  <c r="P32" i="4"/>
  <c r="O32" i="4"/>
  <c r="N32" i="4"/>
  <c r="M32" i="4"/>
  <c r="J32" i="4"/>
  <c r="K32" i="4" s="1"/>
  <c r="I32" i="4"/>
  <c r="H32" i="4"/>
  <c r="G32" i="4"/>
  <c r="F32" i="4"/>
  <c r="E32" i="4"/>
  <c r="D32" i="4"/>
  <c r="C32" i="4"/>
  <c r="B32" i="4"/>
  <c r="A32" i="4"/>
  <c r="AF31" i="4"/>
  <c r="AE31" i="4"/>
  <c r="AD31" i="4"/>
  <c r="AC31" i="4"/>
  <c r="AA31" i="4"/>
  <c r="Z31" i="4"/>
  <c r="Y31" i="4"/>
  <c r="X31" i="4"/>
  <c r="W31" i="4"/>
  <c r="V31" i="4"/>
  <c r="U31" i="4"/>
  <c r="R31" i="4"/>
  <c r="S31" i="4" s="1"/>
  <c r="Q31" i="4"/>
  <c r="O31" i="4"/>
  <c r="N31" i="4"/>
  <c r="M31" i="4"/>
  <c r="K31" i="4"/>
  <c r="I31" i="4"/>
  <c r="H31" i="4"/>
  <c r="G31" i="4"/>
  <c r="F31" i="4"/>
  <c r="E31" i="4"/>
  <c r="C31" i="4"/>
  <c r="J31" i="4" s="1"/>
  <c r="B31" i="4"/>
  <c r="A31" i="4"/>
  <c r="AF30" i="4"/>
  <c r="AE30" i="4"/>
  <c r="AD30" i="4"/>
  <c r="AC30" i="4"/>
  <c r="Y30" i="4"/>
  <c r="W30" i="4"/>
  <c r="V30" i="4"/>
  <c r="U30" i="4"/>
  <c r="Q30" i="4"/>
  <c r="O30" i="4"/>
  <c r="N30" i="4"/>
  <c r="M30" i="4"/>
  <c r="I30" i="4"/>
  <c r="H30" i="4"/>
  <c r="G30" i="4"/>
  <c r="F30" i="4"/>
  <c r="E30" i="4"/>
  <c r="C30" i="4"/>
  <c r="B30" i="4"/>
  <c r="A30" i="4"/>
  <c r="AF29" i="4"/>
  <c r="AE29" i="4"/>
  <c r="AD29" i="4"/>
  <c r="AC29" i="4"/>
  <c r="AB29" i="4"/>
  <c r="Y29" i="4"/>
  <c r="W29" i="4"/>
  <c r="V29" i="4"/>
  <c r="U29" i="4"/>
  <c r="T29" i="4"/>
  <c r="S29" i="4"/>
  <c r="R29" i="4"/>
  <c r="Q29" i="4"/>
  <c r="O29" i="4"/>
  <c r="N29" i="4"/>
  <c r="M29" i="4"/>
  <c r="J29" i="4"/>
  <c r="K29" i="4" s="1"/>
  <c r="I29" i="4"/>
  <c r="H29" i="4"/>
  <c r="G29" i="4"/>
  <c r="F29" i="4"/>
  <c r="E29" i="4"/>
  <c r="D29" i="4"/>
  <c r="C29" i="4"/>
  <c r="B29" i="4"/>
  <c r="A29" i="4"/>
  <c r="AF28" i="4"/>
  <c r="AE28" i="4"/>
  <c r="AD28" i="4"/>
  <c r="AC28" i="4"/>
  <c r="Z28" i="4"/>
  <c r="AA28" i="4" s="1"/>
  <c r="Y28" i="4"/>
  <c r="W28" i="4"/>
  <c r="V28" i="4"/>
  <c r="U28" i="4"/>
  <c r="Q28" i="4"/>
  <c r="P28" i="4"/>
  <c r="O28" i="4"/>
  <c r="N28" i="4"/>
  <c r="M28" i="4"/>
  <c r="I28" i="4"/>
  <c r="H28" i="4"/>
  <c r="G28" i="4"/>
  <c r="F28" i="4"/>
  <c r="E28" i="4"/>
  <c r="C28" i="4"/>
  <c r="B28" i="4"/>
  <c r="A28" i="4"/>
  <c r="AF27" i="4"/>
  <c r="AE27" i="4"/>
  <c r="AD27" i="4"/>
  <c r="AC27" i="4"/>
  <c r="Z27" i="4"/>
  <c r="Y27" i="4"/>
  <c r="W27" i="4"/>
  <c r="V27" i="4"/>
  <c r="U27" i="4"/>
  <c r="T27" i="4"/>
  <c r="Q27" i="4"/>
  <c r="O27" i="4"/>
  <c r="N27" i="4"/>
  <c r="M27" i="4"/>
  <c r="I27" i="4"/>
  <c r="L27" i="4" s="1"/>
  <c r="H27" i="4"/>
  <c r="G27" i="4"/>
  <c r="F27" i="4"/>
  <c r="E27" i="4"/>
  <c r="C27" i="4"/>
  <c r="B27" i="4"/>
  <c r="A27" i="4"/>
  <c r="AF26" i="4"/>
  <c r="AE26" i="4"/>
  <c r="AD26" i="4"/>
  <c r="AC26" i="4"/>
  <c r="AB26" i="4"/>
  <c r="Y26" i="4"/>
  <c r="W26" i="4"/>
  <c r="V26" i="4"/>
  <c r="U26" i="4"/>
  <c r="R26" i="4"/>
  <c r="S26" i="4" s="1"/>
  <c r="Q26" i="4"/>
  <c r="T26" i="4" s="1"/>
  <c r="O26" i="4"/>
  <c r="N26" i="4"/>
  <c r="M26" i="4"/>
  <c r="J26" i="4"/>
  <c r="K26" i="4" s="1"/>
  <c r="I26" i="4"/>
  <c r="H26" i="4"/>
  <c r="G26" i="4"/>
  <c r="F26" i="4"/>
  <c r="E26" i="4"/>
  <c r="D26" i="4"/>
  <c r="C26" i="4"/>
  <c r="B26" i="4"/>
  <c r="A26" i="4"/>
  <c r="AF25" i="4"/>
  <c r="AE25" i="4"/>
  <c r="AD25" i="4"/>
  <c r="AC25" i="4"/>
  <c r="Y25" i="4"/>
  <c r="W25" i="4"/>
  <c r="V25" i="4"/>
  <c r="U25" i="4"/>
  <c r="S25" i="4"/>
  <c r="R25" i="4"/>
  <c r="Q25" i="4"/>
  <c r="P25" i="4"/>
  <c r="O25" i="4"/>
  <c r="N25" i="4"/>
  <c r="M25" i="4"/>
  <c r="I25" i="4"/>
  <c r="H25" i="4"/>
  <c r="G25" i="4"/>
  <c r="F25" i="4"/>
  <c r="E25" i="4"/>
  <c r="D25" i="4"/>
  <c r="C25" i="4"/>
  <c r="X25" i="4" s="1"/>
  <c r="B25" i="4"/>
  <c r="A25" i="4"/>
  <c r="AF24" i="4"/>
  <c r="AE24" i="4"/>
  <c r="AD24" i="4"/>
  <c r="AC24" i="4"/>
  <c r="Z24" i="4"/>
  <c r="Y24" i="4"/>
  <c r="X24" i="4"/>
  <c r="W24" i="4"/>
  <c r="V24" i="4"/>
  <c r="U24" i="4"/>
  <c r="Q24" i="4"/>
  <c r="O24" i="4"/>
  <c r="N24" i="4"/>
  <c r="M24" i="4"/>
  <c r="J24" i="4"/>
  <c r="K24" i="4" s="1"/>
  <c r="I24" i="4"/>
  <c r="H24" i="4"/>
  <c r="G24" i="4"/>
  <c r="F24" i="4"/>
  <c r="E24" i="4"/>
  <c r="C24" i="4"/>
  <c r="B24" i="4"/>
  <c r="A24" i="4"/>
  <c r="AF23" i="4"/>
  <c r="AE23" i="4"/>
  <c r="AD23" i="4"/>
  <c r="AC23" i="4"/>
  <c r="AB23" i="4"/>
  <c r="Y23" i="4"/>
  <c r="W23" i="4"/>
  <c r="V23" i="4"/>
  <c r="U23" i="4"/>
  <c r="Q23" i="4"/>
  <c r="T23" i="4" s="1"/>
  <c r="P23" i="4"/>
  <c r="O23" i="4"/>
  <c r="N23" i="4"/>
  <c r="M23" i="4"/>
  <c r="I23" i="4"/>
  <c r="H23" i="4"/>
  <c r="G23" i="4"/>
  <c r="F23" i="4"/>
  <c r="E23" i="4"/>
  <c r="D23" i="4"/>
  <c r="C23" i="4"/>
  <c r="B23" i="4"/>
  <c r="A23" i="4"/>
  <c r="AF22" i="4"/>
  <c r="AE22" i="4"/>
  <c r="AD22" i="4"/>
  <c r="AC22" i="4"/>
  <c r="Y22" i="4"/>
  <c r="X22" i="4"/>
  <c r="W22" i="4"/>
  <c r="V22" i="4"/>
  <c r="U22" i="4"/>
  <c r="R22" i="4"/>
  <c r="S22" i="4" s="1"/>
  <c r="Q22" i="4"/>
  <c r="O22" i="4"/>
  <c r="N22" i="4"/>
  <c r="M22" i="4"/>
  <c r="K22" i="4"/>
  <c r="I22" i="4"/>
  <c r="H22" i="4"/>
  <c r="G22" i="4"/>
  <c r="F22" i="4"/>
  <c r="E22" i="4"/>
  <c r="C22" i="4"/>
  <c r="J22" i="4" s="1"/>
  <c r="B22" i="4"/>
  <c r="A22" i="4"/>
  <c r="AF21" i="4"/>
  <c r="AE21" i="4"/>
  <c r="AD21" i="4"/>
  <c r="AC21" i="4"/>
  <c r="AA21" i="4"/>
  <c r="Z21" i="4"/>
  <c r="Y21" i="4"/>
  <c r="X21" i="4"/>
  <c r="W21" i="4"/>
  <c r="V21" i="4"/>
  <c r="U21" i="4"/>
  <c r="Q21" i="4"/>
  <c r="O21" i="4"/>
  <c r="N21" i="4"/>
  <c r="M21" i="4"/>
  <c r="J21" i="4"/>
  <c r="K21" i="4" s="1"/>
  <c r="I21" i="4"/>
  <c r="H21" i="4"/>
  <c r="G21" i="4"/>
  <c r="F21" i="4"/>
  <c r="E21" i="4"/>
  <c r="C21" i="4"/>
  <c r="B21" i="4"/>
  <c r="A21" i="4"/>
  <c r="AF20" i="4"/>
  <c r="AE20" i="4"/>
  <c r="AD20" i="4"/>
  <c r="AC20" i="4"/>
  <c r="Y20" i="4"/>
  <c r="W20" i="4"/>
  <c r="V20" i="4"/>
  <c r="U20" i="4"/>
  <c r="Q20" i="4"/>
  <c r="T20" i="4" s="1"/>
  <c r="P20" i="4"/>
  <c r="O20" i="4"/>
  <c r="N20" i="4"/>
  <c r="M20" i="4"/>
  <c r="I20" i="4"/>
  <c r="H20" i="4"/>
  <c r="G20" i="4"/>
  <c r="F20" i="4"/>
  <c r="E20" i="4"/>
  <c r="D20" i="4"/>
  <c r="C20" i="4"/>
  <c r="B20" i="4"/>
  <c r="A20" i="4"/>
  <c r="AF19" i="4"/>
  <c r="AE19" i="4"/>
  <c r="AD19" i="4"/>
  <c r="AC19" i="4"/>
  <c r="Z19" i="4"/>
  <c r="AA19" i="4" s="1"/>
  <c r="Y19" i="4"/>
  <c r="X19" i="4"/>
  <c r="W19" i="4"/>
  <c r="V19" i="4"/>
  <c r="U19" i="4"/>
  <c r="R19" i="4"/>
  <c r="S19" i="4" s="1"/>
  <c r="Q19" i="4"/>
  <c r="O19" i="4"/>
  <c r="N19" i="4"/>
  <c r="M19" i="4"/>
  <c r="K19" i="4"/>
  <c r="I19" i="4"/>
  <c r="H19" i="4"/>
  <c r="G19" i="4"/>
  <c r="F19" i="4"/>
  <c r="E19" i="4"/>
  <c r="D19" i="4"/>
  <c r="C19" i="4"/>
  <c r="J19" i="4" s="1"/>
  <c r="B19" i="4"/>
  <c r="A19" i="4"/>
  <c r="AF18" i="4"/>
  <c r="AE18" i="4"/>
  <c r="AD18" i="4"/>
  <c r="AC18" i="4"/>
  <c r="Y18" i="4"/>
  <c r="W18" i="4"/>
  <c r="V18" i="4"/>
  <c r="U18" i="4"/>
  <c r="T18" i="4"/>
  <c r="Q18" i="4"/>
  <c r="O18" i="4"/>
  <c r="N18" i="4"/>
  <c r="M18" i="4"/>
  <c r="I18" i="4"/>
  <c r="H18" i="4"/>
  <c r="G18" i="4"/>
  <c r="F18" i="4"/>
  <c r="E18" i="4"/>
  <c r="D18" i="4"/>
  <c r="C18" i="4"/>
  <c r="B18" i="4"/>
  <c r="A18" i="4"/>
  <c r="AF17" i="4"/>
  <c r="AE17" i="4"/>
  <c r="AD17" i="4"/>
  <c r="AC17" i="4"/>
  <c r="Y17" i="4"/>
  <c r="X17" i="4"/>
  <c r="W17" i="4"/>
  <c r="AA17" i="4" s="1"/>
  <c r="V17" i="4"/>
  <c r="U17" i="4"/>
  <c r="T17" i="4"/>
  <c r="S17" i="4"/>
  <c r="R17" i="4"/>
  <c r="Q17" i="4"/>
  <c r="P17" i="4"/>
  <c r="O17" i="4"/>
  <c r="N17" i="4"/>
  <c r="M17" i="4"/>
  <c r="J17" i="4"/>
  <c r="K17" i="4" s="1"/>
  <c r="I17" i="4"/>
  <c r="L17" i="4" s="1"/>
  <c r="H17" i="4"/>
  <c r="G17" i="4"/>
  <c r="F17" i="4"/>
  <c r="E17" i="4"/>
  <c r="D17" i="4"/>
  <c r="C17" i="4"/>
  <c r="Z17" i="4" s="1"/>
  <c r="B17" i="4"/>
  <c r="A17" i="4"/>
  <c r="AB17" i="4" s="1"/>
  <c r="AF16" i="4"/>
  <c r="AE16" i="4"/>
  <c r="AD16" i="4"/>
  <c r="AC16" i="4"/>
  <c r="AB16" i="4"/>
  <c r="Y16" i="4"/>
  <c r="W16" i="4"/>
  <c r="V16" i="4"/>
  <c r="U16" i="4"/>
  <c r="Q16" i="4"/>
  <c r="T16" i="4" s="1"/>
  <c r="P16" i="4"/>
  <c r="O16" i="4"/>
  <c r="N16" i="4"/>
  <c r="M16" i="4"/>
  <c r="I16" i="4"/>
  <c r="H16" i="4"/>
  <c r="G16" i="4"/>
  <c r="F16" i="4"/>
  <c r="E16" i="4"/>
  <c r="D16" i="4"/>
  <c r="C16" i="4"/>
  <c r="B16" i="4"/>
  <c r="A16" i="4"/>
  <c r="AF15" i="4"/>
  <c r="AE15" i="4"/>
  <c r="AD15" i="4"/>
  <c r="AC15" i="4"/>
  <c r="AB15" i="4"/>
  <c r="Y15" i="4"/>
  <c r="W15" i="4"/>
  <c r="V15" i="4"/>
  <c r="U15" i="4"/>
  <c r="Q15" i="4"/>
  <c r="O15" i="4"/>
  <c r="N15" i="4"/>
  <c r="M15" i="4"/>
  <c r="I15" i="4"/>
  <c r="H15" i="4"/>
  <c r="G15" i="4"/>
  <c r="F15" i="4"/>
  <c r="E15" i="4"/>
  <c r="C15" i="4"/>
  <c r="Z15" i="4" s="1"/>
  <c r="AA15" i="4" s="1"/>
  <c r="B15" i="4"/>
  <c r="A15" i="4"/>
  <c r="AF14" i="4"/>
  <c r="AE14" i="4"/>
  <c r="AD14" i="4"/>
  <c r="AC14" i="4"/>
  <c r="AA14" i="4"/>
  <c r="Y14" i="4"/>
  <c r="W14" i="4"/>
  <c r="V14" i="4"/>
  <c r="U14" i="4"/>
  <c r="R14" i="4"/>
  <c r="S14" i="4" s="1"/>
  <c r="Q14" i="4"/>
  <c r="P14" i="4"/>
  <c r="O14" i="4"/>
  <c r="N14" i="4"/>
  <c r="M14" i="4"/>
  <c r="J14" i="4"/>
  <c r="K14" i="4" s="1"/>
  <c r="I14" i="4"/>
  <c r="H14" i="4"/>
  <c r="G14" i="4"/>
  <c r="F14" i="4"/>
  <c r="E14" i="4"/>
  <c r="C14" i="4"/>
  <c r="Z14" i="4" s="1"/>
  <c r="B14" i="4"/>
  <c r="A14" i="4"/>
  <c r="AF13" i="4"/>
  <c r="AE13" i="4"/>
  <c r="AD13" i="4"/>
  <c r="AC13" i="4"/>
  <c r="AB13" i="4"/>
  <c r="Y13" i="4"/>
  <c r="W13" i="4"/>
  <c r="V13" i="4"/>
  <c r="U13" i="4"/>
  <c r="Q13" i="4"/>
  <c r="O13" i="4"/>
  <c r="N13" i="4"/>
  <c r="M13" i="4"/>
  <c r="I13" i="4"/>
  <c r="H13" i="4"/>
  <c r="G13" i="4"/>
  <c r="F13" i="4"/>
  <c r="E13" i="4"/>
  <c r="D13" i="4"/>
  <c r="C13" i="4"/>
  <c r="P13" i="4" s="1"/>
  <c r="B13" i="4"/>
  <c r="A13" i="4"/>
  <c r="AF12" i="4"/>
  <c r="AE12" i="4"/>
  <c r="AD12" i="4"/>
  <c r="AC12" i="4"/>
  <c r="Y12" i="4"/>
  <c r="AB12" i="4" s="1"/>
  <c r="W12" i="4"/>
  <c r="V12" i="4"/>
  <c r="U12" i="4"/>
  <c r="Q12" i="4"/>
  <c r="O12" i="4"/>
  <c r="N12" i="4"/>
  <c r="M12" i="4"/>
  <c r="J12" i="4"/>
  <c r="K12" i="4" s="1"/>
  <c r="I12" i="4"/>
  <c r="H12" i="4"/>
  <c r="G12" i="4"/>
  <c r="F12" i="4"/>
  <c r="E12" i="4"/>
  <c r="D12" i="4"/>
  <c r="C12" i="4"/>
  <c r="B12" i="4"/>
  <c r="A12" i="4"/>
  <c r="AF11" i="4"/>
  <c r="AE11" i="4"/>
  <c r="AD11" i="4"/>
  <c r="AC11" i="4"/>
  <c r="AB11" i="4"/>
  <c r="Y11" i="4"/>
  <c r="W11" i="4"/>
  <c r="V11" i="4"/>
  <c r="U11" i="4"/>
  <c r="R11" i="4"/>
  <c r="S11" i="4" s="1"/>
  <c r="Q11" i="4"/>
  <c r="O11" i="4"/>
  <c r="N11" i="4"/>
  <c r="M11" i="4"/>
  <c r="I11" i="4"/>
  <c r="H11" i="4"/>
  <c r="G11" i="4"/>
  <c r="F11" i="4"/>
  <c r="E11" i="4"/>
  <c r="D11" i="4"/>
  <c r="C11" i="4"/>
  <c r="P11" i="4" s="1"/>
  <c r="B11" i="4"/>
  <c r="A11" i="4"/>
  <c r="AF10" i="4"/>
  <c r="AE10" i="4"/>
  <c r="AD10" i="4"/>
  <c r="AC10" i="4"/>
  <c r="Z10" i="4"/>
  <c r="AA10" i="4" s="1"/>
  <c r="Y10" i="4"/>
  <c r="X10" i="4"/>
  <c r="W10" i="4"/>
  <c r="V10" i="4"/>
  <c r="U10" i="4"/>
  <c r="R10" i="4"/>
  <c r="S10" i="4" s="1"/>
  <c r="Q10" i="4"/>
  <c r="O10" i="4"/>
  <c r="N10" i="4"/>
  <c r="M10" i="4"/>
  <c r="K10" i="4"/>
  <c r="I10" i="4"/>
  <c r="H10" i="4"/>
  <c r="G10" i="4"/>
  <c r="F10" i="4"/>
  <c r="E10" i="4"/>
  <c r="C10" i="4"/>
  <c r="J10" i="4" s="1"/>
  <c r="B10" i="4"/>
  <c r="A10" i="4"/>
  <c r="L10" i="4" s="1"/>
  <c r="AF9" i="4"/>
  <c r="AE9" i="4"/>
  <c r="AD9" i="4"/>
  <c r="AC9" i="4"/>
  <c r="Z9" i="4"/>
  <c r="AA9" i="4" s="1"/>
  <c r="Y9" i="4"/>
  <c r="AB9" i="4" s="1"/>
  <c r="W9" i="4"/>
  <c r="V9" i="4"/>
  <c r="U9" i="4"/>
  <c r="R9" i="4"/>
  <c r="S9" i="4" s="1"/>
  <c r="Q9" i="4"/>
  <c r="P9" i="4"/>
  <c r="O9" i="4"/>
  <c r="N9" i="4"/>
  <c r="M9" i="4"/>
  <c r="J9" i="4"/>
  <c r="K9" i="4" s="1"/>
  <c r="I9" i="4"/>
  <c r="H9" i="4"/>
  <c r="G9" i="4"/>
  <c r="F9" i="4"/>
  <c r="E9" i="4"/>
  <c r="D9" i="4"/>
  <c r="C9" i="4"/>
  <c r="X9" i="4" s="1"/>
  <c r="B9" i="4"/>
  <c r="A9" i="4"/>
  <c r="AF8" i="4"/>
  <c r="AE8" i="4"/>
  <c r="AD8" i="4"/>
  <c r="AC8" i="4"/>
  <c r="Y8" i="4"/>
  <c r="W8" i="4"/>
  <c r="V8" i="4"/>
  <c r="U8" i="4"/>
  <c r="Q8" i="4"/>
  <c r="P8" i="4"/>
  <c r="O8" i="4"/>
  <c r="N8" i="4"/>
  <c r="M8" i="4"/>
  <c r="I8" i="4"/>
  <c r="H8" i="4"/>
  <c r="G8" i="4"/>
  <c r="F8" i="4"/>
  <c r="E8" i="4"/>
  <c r="C8" i="4"/>
  <c r="J8" i="4" s="1"/>
  <c r="K8" i="4" s="1"/>
  <c r="B8" i="4"/>
  <c r="A8" i="4"/>
  <c r="T8" i="4" s="1"/>
  <c r="AF7" i="4"/>
  <c r="AE7" i="4"/>
  <c r="AD7" i="4"/>
  <c r="AC7" i="4"/>
  <c r="Z7" i="4"/>
  <c r="AA7" i="4" s="1"/>
  <c r="Y7" i="4"/>
  <c r="X7" i="4"/>
  <c r="W7" i="4"/>
  <c r="V7" i="4"/>
  <c r="U7" i="4"/>
  <c r="T7" i="4"/>
  <c r="R7" i="4"/>
  <c r="S7" i="4" s="1"/>
  <c r="Q7" i="4"/>
  <c r="O7" i="4"/>
  <c r="N7" i="4"/>
  <c r="M7" i="4"/>
  <c r="K7" i="4"/>
  <c r="J7" i="4"/>
  <c r="I7" i="4"/>
  <c r="H7" i="4"/>
  <c r="G7" i="4"/>
  <c r="F7" i="4"/>
  <c r="E7" i="4"/>
  <c r="C7" i="4"/>
  <c r="P7" i="4" s="1"/>
  <c r="B7" i="4"/>
  <c r="A7" i="4"/>
  <c r="AF6" i="4"/>
  <c r="AE6" i="4"/>
  <c r="AD6" i="4"/>
  <c r="AC6" i="4"/>
  <c r="Z6" i="4"/>
  <c r="AA6" i="4" s="1"/>
  <c r="Y6" i="4"/>
  <c r="AB6" i="4" s="1"/>
  <c r="W6" i="4"/>
  <c r="V6" i="4"/>
  <c r="U6" i="4"/>
  <c r="R6" i="4"/>
  <c r="S6" i="4" s="1"/>
  <c r="Q6" i="4"/>
  <c r="T6" i="4" s="1"/>
  <c r="P6" i="4"/>
  <c r="O6" i="4"/>
  <c r="N6" i="4"/>
  <c r="M6" i="4"/>
  <c r="J6" i="4"/>
  <c r="K6" i="4" s="1"/>
  <c r="I6" i="4"/>
  <c r="H6" i="4"/>
  <c r="G6" i="4"/>
  <c r="F6" i="4"/>
  <c r="E6" i="4"/>
  <c r="D6" i="4"/>
  <c r="C6" i="4"/>
  <c r="X6" i="4" s="1"/>
  <c r="B6" i="4"/>
  <c r="A6" i="4"/>
  <c r="AF5" i="4"/>
  <c r="AE5" i="4"/>
  <c r="AD5" i="4"/>
  <c r="AC5" i="4"/>
  <c r="Z5" i="4"/>
  <c r="AA5" i="4" s="1"/>
  <c r="Y5" i="4"/>
  <c r="W5" i="4"/>
  <c r="V5" i="4"/>
  <c r="U5" i="4"/>
  <c r="Q5" i="4"/>
  <c r="P5" i="4"/>
  <c r="O5" i="4"/>
  <c r="N5" i="4"/>
  <c r="M5" i="4"/>
  <c r="I5" i="4"/>
  <c r="H5" i="4"/>
  <c r="G5" i="4"/>
  <c r="F5" i="4"/>
  <c r="E5" i="4"/>
  <c r="C5" i="4"/>
  <c r="J5" i="4" s="1"/>
  <c r="K5" i="4" s="1"/>
  <c r="B5" i="4"/>
  <c r="A5" i="4"/>
  <c r="T5" i="4" s="1"/>
  <c r="B4" i="4"/>
  <c r="AD4" i="4"/>
  <c r="AC4" i="4"/>
  <c r="Y4" i="4"/>
  <c r="W4" i="4"/>
  <c r="V4" i="4"/>
  <c r="U4" i="4"/>
  <c r="Q4" i="4"/>
  <c r="O4" i="4"/>
  <c r="N4" i="4"/>
  <c r="M4" i="4"/>
  <c r="I4" i="4"/>
  <c r="L80" i="4" s="1"/>
  <c r="H4" i="4"/>
  <c r="G4" i="4"/>
  <c r="F4" i="4"/>
  <c r="E4" i="4"/>
  <c r="C4" i="4"/>
  <c r="Z4" i="4" s="1"/>
  <c r="AE4" i="4"/>
  <c r="AF4" i="4"/>
  <c r="A4" i="4"/>
  <c r="D4" i="4" s="1"/>
  <c r="T28" i="4" l="1"/>
  <c r="L28" i="4"/>
  <c r="Z35" i="4"/>
  <c r="AA35" i="4" s="1"/>
  <c r="X35" i="4"/>
  <c r="R35" i="4"/>
  <c r="S35" i="4" s="1"/>
  <c r="J35" i="4"/>
  <c r="K35" i="4" s="1"/>
  <c r="L37" i="4"/>
  <c r="T44" i="4"/>
  <c r="D44" i="4"/>
  <c r="Z50" i="4"/>
  <c r="AA50" i="4" s="1"/>
  <c r="X50" i="4"/>
  <c r="J50" i="4"/>
  <c r="K50" i="4" s="1"/>
  <c r="R50" i="4"/>
  <c r="S50" i="4" s="1"/>
  <c r="L63" i="4"/>
  <c r="Z20" i="4"/>
  <c r="AA20" i="4" s="1"/>
  <c r="X20" i="4"/>
  <c r="AB21" i="4"/>
  <c r="D21" i="4"/>
  <c r="T31" i="4"/>
  <c r="AB31" i="4"/>
  <c r="R92" i="4"/>
  <c r="S92" i="4" s="1"/>
  <c r="P92" i="4"/>
  <c r="X92" i="4"/>
  <c r="J92" i="4"/>
  <c r="K92" i="4" s="1"/>
  <c r="Z92" i="4"/>
  <c r="AA92" i="4" s="1"/>
  <c r="R8" i="4"/>
  <c r="S8" i="4" s="1"/>
  <c r="X15" i="4"/>
  <c r="R20" i="4"/>
  <c r="S20" i="4" s="1"/>
  <c r="J37" i="4"/>
  <c r="K37" i="4" s="1"/>
  <c r="Z37" i="4"/>
  <c r="AA37" i="4" s="1"/>
  <c r="P54" i="4"/>
  <c r="L56" i="4"/>
  <c r="S71" i="4"/>
  <c r="D5" i="4"/>
  <c r="L9" i="4"/>
  <c r="T13" i="4"/>
  <c r="L13" i="4"/>
  <c r="AA24" i="4"/>
  <c r="D28" i="4"/>
  <c r="X71" i="4"/>
  <c r="J71" i="4"/>
  <c r="K71" i="4" s="1"/>
  <c r="P71" i="4"/>
  <c r="Z71" i="4"/>
  <c r="AA71" i="4" s="1"/>
  <c r="R80" i="4"/>
  <c r="S80" i="4" s="1"/>
  <c r="Z80" i="4"/>
  <c r="AA80" i="4" s="1"/>
  <c r="P80" i="4"/>
  <c r="J80" i="4"/>
  <c r="K80" i="4" s="1"/>
  <c r="X80" i="4"/>
  <c r="J16" i="4"/>
  <c r="K16" i="4" s="1"/>
  <c r="Z16" i="4"/>
  <c r="AA16" i="4" s="1"/>
  <c r="R113" i="4"/>
  <c r="S113" i="4" s="1"/>
  <c r="P113" i="4"/>
  <c r="X113" i="4"/>
  <c r="J113" i="4"/>
  <c r="K113" i="4" s="1"/>
  <c r="Z113" i="4"/>
  <c r="AA113" i="4" s="1"/>
  <c r="D8" i="4"/>
  <c r="R12" i="4"/>
  <c r="S12" i="4" s="1"/>
  <c r="Z12" i="4"/>
  <c r="AA12" i="4" s="1"/>
  <c r="P12" i="4"/>
  <c r="R16" i="4"/>
  <c r="S16" i="4" s="1"/>
  <c r="J28" i="4"/>
  <c r="K28" i="4" s="1"/>
  <c r="R28" i="4"/>
  <c r="S28" i="4" s="1"/>
  <c r="X28" i="4"/>
  <c r="R5" i="4"/>
  <c r="S5" i="4" s="1"/>
  <c r="J15" i="4"/>
  <c r="K15" i="4" s="1"/>
  <c r="AB30" i="4"/>
  <c r="D30" i="4"/>
  <c r="L30" i="4"/>
  <c r="R37" i="4"/>
  <c r="S37" i="4" s="1"/>
  <c r="L48" i="4"/>
  <c r="L54" i="4"/>
  <c r="T54" i="4"/>
  <c r="D54" i="4"/>
  <c r="AB54" i="4"/>
  <c r="L65" i="4"/>
  <c r="R1" i="4"/>
  <c r="T119" i="4"/>
  <c r="T116" i="4"/>
  <c r="T113" i="4"/>
  <c r="T110" i="4"/>
  <c r="T107" i="4"/>
  <c r="T104" i="4"/>
  <c r="T101" i="4"/>
  <c r="T98" i="4"/>
  <c r="T95" i="4"/>
  <c r="T92" i="4"/>
  <c r="T89" i="4"/>
  <c r="T86" i="4"/>
  <c r="T80" i="4"/>
  <c r="T68" i="4"/>
  <c r="T56" i="4"/>
  <c r="T81" i="4"/>
  <c r="T69" i="4"/>
  <c r="T57" i="4"/>
  <c r="T74" i="4"/>
  <c r="T62" i="4"/>
  <c r="T76" i="4"/>
  <c r="T50" i="4"/>
  <c r="T64" i="4"/>
  <c r="T83" i="4"/>
  <c r="T77" i="4"/>
  <c r="T48" i="4"/>
  <c r="T36" i="4"/>
  <c r="T24" i="4"/>
  <c r="T82" i="4"/>
  <c r="T59" i="4"/>
  <c r="T55" i="4"/>
  <c r="L6" i="4"/>
  <c r="T12" i="4"/>
  <c r="T21" i="4"/>
  <c r="T22" i="4"/>
  <c r="L22" i="4"/>
  <c r="D22" i="4"/>
  <c r="AB22" i="4"/>
  <c r="T30" i="4"/>
  <c r="D31" i="4"/>
  <c r="T38" i="4"/>
  <c r="L42" i="4"/>
  <c r="T53" i="4"/>
  <c r="T72" i="4"/>
  <c r="X102" i="4"/>
  <c r="J102" i="4"/>
  <c r="K102" i="4" s="1"/>
  <c r="P102" i="4"/>
  <c r="Z102" i="4"/>
  <c r="AA102" i="4" s="1"/>
  <c r="R102" i="4"/>
  <c r="S102" i="4" s="1"/>
  <c r="J13" i="4"/>
  <c r="K13" i="4" s="1"/>
  <c r="X13" i="4"/>
  <c r="R13" i="4"/>
  <c r="S13" i="4" s="1"/>
  <c r="L14" i="4"/>
  <c r="D14" i="4"/>
  <c r="AB14" i="4"/>
  <c r="L15" i="4"/>
  <c r="L23" i="4"/>
  <c r="L24" i="4"/>
  <c r="R30" i="4"/>
  <c r="S30" i="4" s="1"/>
  <c r="P30" i="4"/>
  <c r="Z30" i="4"/>
  <c r="AA30" i="4" s="1"/>
  <c r="X30" i="4"/>
  <c r="J30" i="4"/>
  <c r="K30" i="4" s="1"/>
  <c r="X54" i="4"/>
  <c r="J54" i="4"/>
  <c r="K54" i="4" s="1"/>
  <c r="Z54" i="4"/>
  <c r="AA54" i="4" s="1"/>
  <c r="L98" i="4"/>
  <c r="X8" i="4"/>
  <c r="J11" i="4"/>
  <c r="K11" i="4" s="1"/>
  <c r="L19" i="4"/>
  <c r="Z32" i="4"/>
  <c r="AA32" i="4" s="1"/>
  <c r="X32" i="4"/>
  <c r="AB33" i="4"/>
  <c r="D33" i="4"/>
  <c r="D41" i="4"/>
  <c r="AB41" i="4"/>
  <c r="L51" i="4"/>
  <c r="L77" i="4"/>
  <c r="X5" i="4"/>
  <c r="D10" i="4"/>
  <c r="AB10" i="4"/>
  <c r="T10" i="4"/>
  <c r="D15" i="4"/>
  <c r="T15" i="4"/>
  <c r="Z23" i="4"/>
  <c r="AA23" i="4" s="1"/>
  <c r="X23" i="4"/>
  <c r="R23" i="4"/>
  <c r="S23" i="4" s="1"/>
  <c r="J23" i="4"/>
  <c r="K23" i="4" s="1"/>
  <c r="AA27" i="4"/>
  <c r="R32" i="4"/>
  <c r="S32" i="4" s="1"/>
  <c r="T47" i="4"/>
  <c r="D47" i="4"/>
  <c r="L47" i="4"/>
  <c r="R101" i="4"/>
  <c r="S101" i="4" s="1"/>
  <c r="P101" i="4"/>
  <c r="X101" i="4"/>
  <c r="Z101" i="4"/>
  <c r="AA101" i="4" s="1"/>
  <c r="J101" i="4"/>
  <c r="K101" i="4" s="1"/>
  <c r="Z1" i="4"/>
  <c r="AB118" i="4"/>
  <c r="AB115" i="4"/>
  <c r="AB112" i="4"/>
  <c r="AB109" i="4"/>
  <c r="AB106" i="4"/>
  <c r="AB103" i="4"/>
  <c r="AB100" i="4"/>
  <c r="AB97" i="4"/>
  <c r="AB94" i="4"/>
  <c r="AB91" i="4"/>
  <c r="AB88" i="4"/>
  <c r="AB85" i="4"/>
  <c r="AB116" i="4"/>
  <c r="AB113" i="4"/>
  <c r="AB110" i="4"/>
  <c r="AB107" i="4"/>
  <c r="AB104" i="4"/>
  <c r="AB101" i="4"/>
  <c r="AB98" i="4"/>
  <c r="AB95" i="4"/>
  <c r="AB92" i="4"/>
  <c r="AB89" i="4"/>
  <c r="AB86" i="4"/>
  <c r="AB74" i="4"/>
  <c r="AB62" i="4"/>
  <c r="AB79" i="4"/>
  <c r="AB67" i="4"/>
  <c r="AB55" i="4"/>
  <c r="AB77" i="4"/>
  <c r="AB65" i="4"/>
  <c r="AB53" i="4"/>
  <c r="AB82" i="4"/>
  <c r="AB70" i="4"/>
  <c r="AB58" i="4"/>
  <c r="AB46" i="4"/>
  <c r="AB73" i="4"/>
  <c r="AB61" i="4"/>
  <c r="AB49" i="4"/>
  <c r="AB64" i="4"/>
  <c r="AB69" i="4"/>
  <c r="AB68" i="4"/>
  <c r="AB59" i="4"/>
  <c r="AB52" i="4"/>
  <c r="AB81" i="4"/>
  <c r="AB80" i="4"/>
  <c r="AB37" i="4"/>
  <c r="AB25" i="4"/>
  <c r="AB71" i="4"/>
  <c r="AB50" i="4"/>
  <c r="AB32" i="4"/>
  <c r="AB75" i="4"/>
  <c r="AB57" i="4"/>
  <c r="AB7" i="4"/>
  <c r="D7" i="4"/>
  <c r="L8" i="4"/>
  <c r="Z8" i="4"/>
  <c r="AA8" i="4" s="1"/>
  <c r="T9" i="4"/>
  <c r="X12" i="4"/>
  <c r="L16" i="4"/>
  <c r="X16" i="4"/>
  <c r="AB18" i="4"/>
  <c r="L18" i="4"/>
  <c r="T19" i="4"/>
  <c r="AB19" i="4"/>
  <c r="J20" i="4"/>
  <c r="K20" i="4" s="1"/>
  <c r="L25" i="4"/>
  <c r="AB28" i="4"/>
  <c r="X37" i="4"/>
  <c r="T46" i="4"/>
  <c r="Z57" i="4"/>
  <c r="AA57" i="4" s="1"/>
  <c r="X57" i="4"/>
  <c r="J57" i="4"/>
  <c r="K57" i="4" s="1"/>
  <c r="R57" i="4"/>
  <c r="S57" i="4" s="1"/>
  <c r="R75" i="4"/>
  <c r="S75" i="4" s="1"/>
  <c r="Z75" i="4"/>
  <c r="AA75" i="4" s="1"/>
  <c r="X75" i="4"/>
  <c r="L93" i="4"/>
  <c r="T93" i="4"/>
  <c r="AB93" i="4"/>
  <c r="D93" i="4"/>
  <c r="X99" i="4"/>
  <c r="J99" i="4"/>
  <c r="K99" i="4" s="1"/>
  <c r="P99" i="4"/>
  <c r="R99" i="4"/>
  <c r="S99" i="4" s="1"/>
  <c r="R122" i="4"/>
  <c r="S122" i="4" s="1"/>
  <c r="P122" i="4"/>
  <c r="X122" i="4"/>
  <c r="J122" i="4"/>
  <c r="K122" i="4" s="1"/>
  <c r="L7" i="4"/>
  <c r="T11" i="4"/>
  <c r="T14" i="4"/>
  <c r="R15" i="4"/>
  <c r="S15" i="4" s="1"/>
  <c r="P15" i="4"/>
  <c r="L29" i="4"/>
  <c r="T33" i="4"/>
  <c r="T34" i="4"/>
  <c r="L34" i="4"/>
  <c r="D34" i="4"/>
  <c r="AB34" i="4"/>
  <c r="T41" i="4"/>
  <c r="AB44" i="4"/>
  <c r="X47" i="4"/>
  <c r="J47" i="4"/>
  <c r="K47" i="4" s="1"/>
  <c r="R47" i="4"/>
  <c r="S47" i="4" s="1"/>
  <c r="Z47" i="4"/>
  <c r="AA47" i="4" s="1"/>
  <c r="L66" i="4"/>
  <c r="T66" i="4"/>
  <c r="D66" i="4"/>
  <c r="AB66" i="4"/>
  <c r="L72" i="4"/>
  <c r="L5" i="4"/>
  <c r="AB8" i="4"/>
  <c r="Z13" i="4"/>
  <c r="AA13" i="4" s="1"/>
  <c r="R18" i="4"/>
  <c r="S18" i="4" s="1"/>
  <c r="P18" i="4"/>
  <c r="Z18" i="4"/>
  <c r="AA18" i="4" s="1"/>
  <c r="X18" i="4"/>
  <c r="J18" i="4"/>
  <c r="K18" i="4" s="1"/>
  <c r="J25" i="4"/>
  <c r="K25" i="4" s="1"/>
  <c r="Z25" i="4"/>
  <c r="AA25" i="4" s="1"/>
  <c r="L26" i="4"/>
  <c r="P35" i="4"/>
  <c r="L38" i="4"/>
  <c r="L44" i="4"/>
  <c r="P50" i="4"/>
  <c r="T65" i="4"/>
  <c r="J1" i="4"/>
  <c r="L118" i="4"/>
  <c r="L115" i="4"/>
  <c r="L112" i="4"/>
  <c r="L109" i="4"/>
  <c r="L106" i="4"/>
  <c r="L103" i="4"/>
  <c r="L100" i="4"/>
  <c r="L97" i="4"/>
  <c r="L94" i="4"/>
  <c r="L91" i="4"/>
  <c r="L88" i="4"/>
  <c r="L71" i="4"/>
  <c r="L59" i="4"/>
  <c r="L76" i="4"/>
  <c r="L64" i="4"/>
  <c r="L52" i="4"/>
  <c r="L85" i="4"/>
  <c r="L81" i="4"/>
  <c r="L69" i="4"/>
  <c r="L57" i="4"/>
  <c r="L45" i="4"/>
  <c r="L79" i="4"/>
  <c r="L67" i="4"/>
  <c r="L55" i="4"/>
  <c r="L43" i="4"/>
  <c r="L82" i="4"/>
  <c r="L70" i="4"/>
  <c r="L58" i="4"/>
  <c r="L60" i="4"/>
  <c r="L73" i="4"/>
  <c r="L68" i="4"/>
  <c r="L61" i="4"/>
  <c r="L75" i="4"/>
  <c r="L53" i="4"/>
  <c r="L49" i="4"/>
  <c r="AB5" i="4"/>
  <c r="Z11" i="4"/>
  <c r="AA11" i="4" s="1"/>
  <c r="X11" i="4"/>
  <c r="L12" i="4"/>
  <c r="L21" i="4"/>
  <c r="L31" i="4"/>
  <c r="L62" i="4"/>
  <c r="R98" i="4"/>
  <c r="S98" i="4" s="1"/>
  <c r="P98" i="4"/>
  <c r="X98" i="4"/>
  <c r="J98" i="4"/>
  <c r="K98" i="4" s="1"/>
  <c r="Z98" i="4"/>
  <c r="AA98" i="4" s="1"/>
  <c r="R116" i="4"/>
  <c r="S116" i="4" s="1"/>
  <c r="P116" i="4"/>
  <c r="X116" i="4"/>
  <c r="Z116" i="4"/>
  <c r="AA116" i="4" s="1"/>
  <c r="J116" i="4"/>
  <c r="K116" i="4" s="1"/>
  <c r="L116" i="4"/>
  <c r="R24" i="4"/>
  <c r="S24" i="4" s="1"/>
  <c r="P24" i="4"/>
  <c r="R36" i="4"/>
  <c r="S36" i="4" s="1"/>
  <c r="P36" i="4"/>
  <c r="T39" i="4"/>
  <c r="R42" i="4"/>
  <c r="S42" i="4" s="1"/>
  <c r="T45" i="4"/>
  <c r="X59" i="4"/>
  <c r="J59" i="4"/>
  <c r="K59" i="4" s="1"/>
  <c r="R59" i="4"/>
  <c r="S59" i="4" s="1"/>
  <c r="R68" i="4"/>
  <c r="S68" i="4" s="1"/>
  <c r="Z68" i="4"/>
  <c r="AA68" i="4" s="1"/>
  <c r="AB84" i="4"/>
  <c r="D84" i="4"/>
  <c r="T84" i="4"/>
  <c r="T88" i="4"/>
  <c r="L108" i="4"/>
  <c r="T108" i="4"/>
  <c r="AB108" i="4"/>
  <c r="D108" i="4"/>
  <c r="T109" i="4"/>
  <c r="L11" i="4"/>
  <c r="P22" i="4"/>
  <c r="AB27" i="4"/>
  <c r="D27" i="4"/>
  <c r="Z29" i="4"/>
  <c r="AA29" i="4" s="1"/>
  <c r="X29" i="4"/>
  <c r="P29" i="4"/>
  <c r="P34" i="4"/>
  <c r="L35" i="4"/>
  <c r="Z45" i="4"/>
  <c r="AA45" i="4" s="1"/>
  <c r="X45" i="4"/>
  <c r="J45" i="4"/>
  <c r="K45" i="4" s="1"/>
  <c r="R45" i="4"/>
  <c r="S45" i="4" s="1"/>
  <c r="L50" i="4"/>
  <c r="P68" i="4"/>
  <c r="L78" i="4"/>
  <c r="T78" i="4"/>
  <c r="D78" i="4"/>
  <c r="AB78" i="4"/>
  <c r="L96" i="4"/>
  <c r="T96" i="4"/>
  <c r="AB96" i="4"/>
  <c r="D96" i="4"/>
  <c r="L114" i="4"/>
  <c r="T114" i="4"/>
  <c r="AB114" i="4"/>
  <c r="D114" i="4"/>
  <c r="L20" i="4"/>
  <c r="AB20" i="4"/>
  <c r="T25" i="4"/>
  <c r="T37" i="4"/>
  <c r="R39" i="4"/>
  <c r="S39" i="4" s="1"/>
  <c r="Z39" i="4"/>
  <c r="AA39" i="4" s="1"/>
  <c r="P39" i="4"/>
  <c r="AB43" i="4"/>
  <c r="T73" i="4"/>
  <c r="T75" i="4"/>
  <c r="K76" i="4"/>
  <c r="X83" i="4"/>
  <c r="Z83" i="4"/>
  <c r="AA83" i="4" s="1"/>
  <c r="J83" i="4"/>
  <c r="K83" i="4" s="1"/>
  <c r="R83" i="4"/>
  <c r="S83" i="4" s="1"/>
  <c r="T85" i="4"/>
  <c r="T106" i="4"/>
  <c r="T121" i="4"/>
  <c r="T122" i="4"/>
  <c r="R27" i="4"/>
  <c r="S27" i="4" s="1"/>
  <c r="P27" i="4"/>
  <c r="L40" i="4"/>
  <c r="AB40" i="4"/>
  <c r="Z69" i="4"/>
  <c r="AA69" i="4" s="1"/>
  <c r="X69" i="4"/>
  <c r="J69" i="4"/>
  <c r="K69" i="4" s="1"/>
  <c r="R69" i="4"/>
  <c r="S69" i="4" s="1"/>
  <c r="X87" i="4"/>
  <c r="J87" i="4"/>
  <c r="K87" i="4" s="1"/>
  <c r="P87" i="4"/>
  <c r="Z87" i="4"/>
  <c r="AA87" i="4" s="1"/>
  <c r="R87" i="4"/>
  <c r="S87" i="4" s="1"/>
  <c r="T100" i="4"/>
  <c r="X114" i="4"/>
  <c r="J114" i="4"/>
  <c r="K114" i="4" s="1"/>
  <c r="P114" i="4"/>
  <c r="L117" i="4"/>
  <c r="T117" i="4"/>
  <c r="AB117" i="4"/>
  <c r="D117" i="4"/>
  <c r="R33" i="4"/>
  <c r="S33" i="4" s="1"/>
  <c r="P33" i="4"/>
  <c r="J39" i="4"/>
  <c r="K39" i="4" s="1"/>
  <c r="L46" i="4"/>
  <c r="R51" i="4"/>
  <c r="S51" i="4" s="1"/>
  <c r="Z51" i="4"/>
  <c r="AA51" i="4" s="1"/>
  <c r="J56" i="4"/>
  <c r="K56" i="4" s="1"/>
  <c r="T67" i="4"/>
  <c r="L84" i="4"/>
  <c r="L95" i="4"/>
  <c r="K97" i="4"/>
  <c r="K115" i="4"/>
  <c r="T61" i="4"/>
  <c r="T63" i="4"/>
  <c r="L110" i="4"/>
  <c r="P10" i="4"/>
  <c r="R21" i="4"/>
  <c r="S21" i="4" s="1"/>
  <c r="P21" i="4"/>
  <c r="J27" i="4"/>
  <c r="K27" i="4" s="1"/>
  <c r="X27" i="4"/>
  <c r="X14" i="4"/>
  <c r="P19" i="4"/>
  <c r="Z22" i="4"/>
  <c r="AA22" i="4" s="1"/>
  <c r="AB24" i="4"/>
  <c r="D24" i="4"/>
  <c r="Z26" i="4"/>
  <c r="AA26" i="4" s="1"/>
  <c r="X26" i="4"/>
  <c r="P26" i="4"/>
  <c r="P31" i="4"/>
  <c r="L32" i="4"/>
  <c r="Z34" i="4"/>
  <c r="AA34" i="4" s="1"/>
  <c r="AB36" i="4"/>
  <c r="D36" i="4"/>
  <c r="AA38" i="4"/>
  <c r="P38" i="4"/>
  <c r="L39" i="4"/>
  <c r="AB39" i="4"/>
  <c r="T42" i="4"/>
  <c r="D42" i="4"/>
  <c r="P42" i="4"/>
  <c r="P44" i="4"/>
  <c r="Z56" i="4"/>
  <c r="AA56" i="4" s="1"/>
  <c r="P59" i="4"/>
  <c r="AA62" i="4"/>
  <c r="R63" i="4"/>
  <c r="S63" i="4" s="1"/>
  <c r="Z63" i="4"/>
  <c r="AA63" i="4" s="1"/>
  <c r="L74" i="4"/>
  <c r="Z81" i="4"/>
  <c r="AA81" i="4" s="1"/>
  <c r="X81" i="4"/>
  <c r="J81" i="4"/>
  <c r="K81" i="4" s="1"/>
  <c r="R81" i="4"/>
  <c r="S81" i="4" s="1"/>
  <c r="AA97" i="4"/>
  <c r="AA104" i="4"/>
  <c r="AA119" i="4"/>
  <c r="AA61" i="4"/>
  <c r="P66" i="4"/>
  <c r="AA73" i="4"/>
  <c r="P78" i="4"/>
  <c r="L87" i="4"/>
  <c r="T87" i="4"/>
  <c r="AB87" i="4"/>
  <c r="D87" i="4"/>
  <c r="L89" i="4"/>
  <c r="X93" i="4"/>
  <c r="J93" i="4"/>
  <c r="K93" i="4" s="1"/>
  <c r="P93" i="4"/>
  <c r="AA103" i="4"/>
  <c r="R107" i="4"/>
  <c r="S107" i="4" s="1"/>
  <c r="P107" i="4"/>
  <c r="X107" i="4"/>
  <c r="T115" i="4"/>
  <c r="K48" i="4"/>
  <c r="K60" i="4"/>
  <c r="K72" i="4"/>
  <c r="R86" i="4"/>
  <c r="S86" i="4" s="1"/>
  <c r="P86" i="4"/>
  <c r="X86" i="4"/>
  <c r="T94" i="4"/>
  <c r="L102" i="4"/>
  <c r="T102" i="4"/>
  <c r="AB102" i="4"/>
  <c r="D102" i="4"/>
  <c r="L104" i="4"/>
  <c r="X108" i="4"/>
  <c r="J108" i="4"/>
  <c r="K108" i="4" s="1"/>
  <c r="P108" i="4"/>
  <c r="AA118" i="4"/>
  <c r="L119" i="4"/>
  <c r="D51" i="4"/>
  <c r="X62" i="4"/>
  <c r="D63" i="4"/>
  <c r="X74" i="4"/>
  <c r="R84" i="4"/>
  <c r="S84" i="4" s="1"/>
  <c r="Z93" i="4"/>
  <c r="AA93" i="4" s="1"/>
  <c r="R95" i="4"/>
  <c r="S95" i="4" s="1"/>
  <c r="P95" i="4"/>
  <c r="X95" i="4"/>
  <c r="T103" i="4"/>
  <c r="L111" i="4"/>
  <c r="T111" i="4"/>
  <c r="AB111" i="4"/>
  <c r="D111" i="4"/>
  <c r="L113" i="4"/>
  <c r="X117" i="4"/>
  <c r="J117" i="4"/>
  <c r="K117" i="4" s="1"/>
  <c r="P117" i="4"/>
  <c r="AA121" i="4"/>
  <c r="L122" i="4"/>
  <c r="L83" i="4"/>
  <c r="L90" i="4"/>
  <c r="T90" i="4"/>
  <c r="AB90" i="4"/>
  <c r="D90" i="4"/>
  <c r="L92" i="4"/>
  <c r="X96" i="4"/>
  <c r="J96" i="4"/>
  <c r="K96" i="4" s="1"/>
  <c r="P96" i="4"/>
  <c r="AA106" i="4"/>
  <c r="Z107" i="4"/>
  <c r="AA107" i="4" s="1"/>
  <c r="Z108" i="4"/>
  <c r="AA108" i="4" s="1"/>
  <c r="R110" i="4"/>
  <c r="S110" i="4" s="1"/>
  <c r="P110" i="4"/>
  <c r="X110" i="4"/>
  <c r="T118" i="4"/>
  <c r="AA43" i="4"/>
  <c r="AB48" i="4"/>
  <c r="AA55" i="4"/>
  <c r="AB60" i="4"/>
  <c r="AA67" i="4"/>
  <c r="AB72" i="4"/>
  <c r="AA79" i="4"/>
  <c r="AA85" i="4"/>
  <c r="Z86" i="4"/>
  <c r="AA86" i="4" s="1"/>
  <c r="R89" i="4"/>
  <c r="S89" i="4" s="1"/>
  <c r="P89" i="4"/>
  <c r="X89" i="4"/>
  <c r="T97" i="4"/>
  <c r="L105" i="4"/>
  <c r="T105" i="4"/>
  <c r="AB105" i="4"/>
  <c r="D105" i="4"/>
  <c r="L107" i="4"/>
  <c r="X111" i="4"/>
  <c r="J111" i="4"/>
  <c r="K111" i="4" s="1"/>
  <c r="P111" i="4"/>
  <c r="AB119" i="4"/>
  <c r="L120" i="4"/>
  <c r="T120" i="4"/>
  <c r="AB120" i="4"/>
  <c r="D120" i="4"/>
  <c r="AB121" i="4"/>
  <c r="J66" i="4"/>
  <c r="K66" i="4" s="1"/>
  <c r="J78" i="4"/>
  <c r="K78" i="4" s="1"/>
  <c r="L86" i="4"/>
  <c r="X90" i="4"/>
  <c r="J90" i="4"/>
  <c r="K90" i="4" s="1"/>
  <c r="P90" i="4"/>
  <c r="AA100" i="4"/>
  <c r="R104" i="4"/>
  <c r="S104" i="4" s="1"/>
  <c r="P104" i="4"/>
  <c r="X104" i="4"/>
  <c r="J107" i="4"/>
  <c r="K107" i="4" s="1"/>
  <c r="T112" i="4"/>
  <c r="T91" i="4"/>
  <c r="L99" i="4"/>
  <c r="T99" i="4"/>
  <c r="AB99" i="4"/>
  <c r="D99" i="4"/>
  <c r="L101" i="4"/>
  <c r="X105" i="4"/>
  <c r="J105" i="4"/>
  <c r="K105" i="4" s="1"/>
  <c r="P105" i="4"/>
  <c r="Z117" i="4"/>
  <c r="AA117" i="4" s="1"/>
  <c r="R119" i="4"/>
  <c r="S119" i="4" s="1"/>
  <c r="P119" i="4"/>
  <c r="X119" i="4"/>
  <c r="X120" i="4"/>
  <c r="J120" i="4"/>
  <c r="K120" i="4" s="1"/>
  <c r="P120" i="4"/>
  <c r="D119" i="4"/>
  <c r="L121" i="4"/>
  <c r="D122" i="4"/>
  <c r="AB122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<sst xmlns="http://schemas.openxmlformats.org/spreadsheetml/2006/main" count="418" uniqueCount="110">
  <si>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</si>
  <si>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</si>
  <si>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</si>
  <si>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</si>
  <si>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</si>
  <si>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</si>
  <si>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</si>
  <si>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</si>
  <si>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</si>
  <si>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</si>
  <si>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</si>
  <si>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</si>
  <si>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</si>
  <si>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</si>
  <si>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</si>
  <si>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</si>
  <si>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</si>
  <si>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</si>
  <si>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</si>
  <si>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</si>
  <si>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</si>
  <si>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撤去工</t>
  </si>
  <si>
    <t>舗装版切断</t>
  </si>
  <si>
    <t>1号内訳書</t>
  </si>
  <si>
    <t>外注費</t>
  </si>
  <si>
    <t>As　t=5cm</t>
  </si>
  <si>
    <t>舗装版撤去</t>
  </si>
  <si>
    <t>m2</t>
  </si>
  <si>
    <t>2号内訳書</t>
  </si>
  <si>
    <t>労務費</t>
  </si>
  <si>
    <t>世話役</t>
  </si>
  <si>
    <t>人</t>
  </si>
  <si>
    <t>技工</t>
  </si>
  <si>
    <t>機械費</t>
  </si>
  <si>
    <t>0.2m3BH</t>
  </si>
  <si>
    <t>台</t>
  </si>
  <si>
    <t>0.5m3TS</t>
  </si>
  <si>
    <t>軽油</t>
  </si>
  <si>
    <t>リットル</t>
  </si>
  <si>
    <t>運搬費</t>
  </si>
  <si>
    <t>4tDT（常傭）</t>
  </si>
  <si>
    <t>2tDT</t>
  </si>
  <si>
    <t>WP</t>
  </si>
  <si>
    <t>材料費</t>
  </si>
  <si>
    <t>雑材</t>
  </si>
  <si>
    <t>地先境界ブロック撤去</t>
  </si>
  <si>
    <t>ｍ</t>
  </si>
  <si>
    <t>3号内訳書</t>
  </si>
  <si>
    <t>舗装殻運搬・処分</t>
  </si>
  <si>
    <t>ｔ</t>
  </si>
  <si>
    <t>4号内訳書</t>
  </si>
  <si>
    <t>10ｔDT（常傭）</t>
  </si>
  <si>
    <t>Asガラ処分</t>
  </si>
  <si>
    <t>コンクリート殻運搬・処分</t>
  </si>
  <si>
    <t>5号内訳書</t>
  </si>
  <si>
    <t>10tDT（常傭）</t>
  </si>
  <si>
    <t>ｺﾝｸﾘｰﾄ殻処分（二次製品）</t>
  </si>
  <si>
    <t>附帯工</t>
  </si>
  <si>
    <t>地先境界ブロック</t>
  </si>
  <si>
    <t>6号内訳書</t>
  </si>
  <si>
    <t>地先境界ブロックA</t>
  </si>
  <si>
    <t>本</t>
  </si>
  <si>
    <t>ｱｽﾌｧﾙﾄｴｯｼﾞ</t>
  </si>
  <si>
    <t>RC40</t>
  </si>
  <si>
    <t>生コンクリート</t>
  </si>
  <si>
    <t>m3</t>
  </si>
  <si>
    <t>中目砂</t>
  </si>
  <si>
    <t>セメント</t>
  </si>
  <si>
    <t>袋</t>
  </si>
  <si>
    <t>ランマ</t>
  </si>
  <si>
    <t>プレート</t>
  </si>
  <si>
    <t>舗装工</t>
  </si>
  <si>
    <t>路盤不陸整正</t>
  </si>
  <si>
    <t>7号内訳書</t>
  </si>
  <si>
    <t>4tCR</t>
  </si>
  <si>
    <t>表層</t>
  </si>
  <si>
    <t>8号内訳書</t>
  </si>
  <si>
    <t>透水性As</t>
  </si>
  <si>
    <t>4t車配達</t>
  </si>
  <si>
    <t>40AF（OP付）</t>
  </si>
  <si>
    <t>第2駐車場整備工</t>
  </si>
  <si>
    <t>9号内訳書</t>
  </si>
  <si>
    <t>砕石舗装工</t>
  </si>
  <si>
    <t>10号内訳書</t>
  </si>
  <si>
    <t>法定福利費</t>
  </si>
  <si>
    <t>測量</t>
  </si>
  <si>
    <t>日</t>
  </si>
  <si>
    <t>11号内訳書</t>
  </si>
  <si>
    <t>測量杭</t>
  </si>
  <si>
    <t>貫板</t>
  </si>
  <si>
    <t>枚</t>
  </si>
  <si>
    <t>レベル損料</t>
  </si>
  <si>
    <t>月</t>
  </si>
  <si>
    <t>仮設工</t>
  </si>
  <si>
    <t>オレンジネット設置</t>
  </si>
  <si>
    <t>12号内訳書</t>
  </si>
  <si>
    <t>オレンジネット</t>
  </si>
  <si>
    <t>巻</t>
  </si>
  <si>
    <t>ロープ止め</t>
  </si>
  <si>
    <t>段差ステップ</t>
  </si>
  <si>
    <t>カラーコーン損料</t>
  </si>
  <si>
    <t>コーンバー損料</t>
  </si>
  <si>
    <t>交通誘導員</t>
  </si>
  <si>
    <t>13号内訳書</t>
  </si>
  <si>
    <t>ガードマン（昼）</t>
  </si>
  <si>
    <t>外注経費</t>
  </si>
  <si>
    <t>14号内訳書</t>
  </si>
  <si>
    <t>15号内訳書</t>
  </si>
  <si>
    <t>予算</t>
    <phoneticPr fontId="3"/>
  </si>
  <si>
    <t>日立柏総合運動場改修工事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</si>
</sst>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19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109</v>
      </c>
      <c r="G1" s="51" t="s">
        <v>19</v>
      </c>
      <c r="H1">
        <v>1</v>
      </c>
      <c r="I1" s="58">
        <v>21008140</v>
      </c>
      <c r="J1" s="59">
        <v>21008140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19</v>
      </c>
      <c r="H2">
        <v>1</v>
      </c>
      <c r="I2" s="58">
        <v>35000</v>
      </c>
      <c r="J2" s="59">
        <v>35000</v>
      </c>
      <c r="K2">
        <v>1</v>
      </c>
      <c r="M2" s="51" t="s">
        <v>23</v>
      </c>
      <c r="O2" s="52"/>
    </row>
    <row r="3" spans="1:15" x14ac:dyDescent="0.15">
      <c r="A3">
        <v>2</v>
      </c>
      <c r="D3" s="51" t="s">
        <v>24</v>
      </c>
      <c r="E3" s="51" t="s">
        <v>22</v>
      </c>
      <c r="F3" s="51" t="s">
        <v>25</v>
      </c>
      <c r="G3" s="51" t="s">
        <v>19</v>
      </c>
      <c r="H3">
        <v>1</v>
      </c>
      <c r="I3" s="58">
        <v>35000</v>
      </c>
      <c r="J3" s="59">
        <v>35000</v>
      </c>
      <c r="K3">
        <v>0</v>
      </c>
      <c r="O3" s="52"/>
    </row>
    <row r="4" spans="1:15" x14ac:dyDescent="0.15">
      <c r="A4">
        <v>1</v>
      </c>
      <c r="D4" s="51" t="s">
        <v>20</v>
      </c>
      <c r="E4" s="51" t="s">
        <v>21</v>
      </c>
      <c r="F4" s="51" t="s">
        <v>26</v>
      </c>
      <c r="G4" s="51" t="s">
        <v>27</v>
      </c>
      <c r="H4">
        <v>1600</v>
      </c>
      <c r="I4" s="58">
        <v>540</v>
      </c>
      <c r="J4" s="59">
        <v>864000</v>
      </c>
      <c r="K4">
        <v>1600</v>
      </c>
      <c r="M4" s="51" t="s">
        <v>28</v>
      </c>
      <c r="O4" s="52"/>
    </row>
    <row r="5" spans="1:15" x14ac:dyDescent="0.15">
      <c r="A5">
        <v>2</v>
      </c>
      <c r="D5" s="51" t="s">
        <v>29</v>
      </c>
      <c r="E5" s="51" t="s">
        <v>30</v>
      </c>
      <c r="G5" s="51" t="s">
        <v>31</v>
      </c>
      <c r="H5">
        <v>6</v>
      </c>
      <c r="I5" s="58">
        <v>30000</v>
      </c>
      <c r="J5" s="59">
        <v>180000</v>
      </c>
      <c r="K5">
        <v>1</v>
      </c>
      <c r="O5" s="52"/>
    </row>
    <row r="6" spans="1:15" x14ac:dyDescent="0.15">
      <c r="A6">
        <v>2</v>
      </c>
      <c r="D6" s="51" t="s">
        <v>29</v>
      </c>
      <c r="E6" s="51" t="s">
        <v>32</v>
      </c>
      <c r="G6" s="51" t="s">
        <v>31</v>
      </c>
      <c r="H6">
        <v>12</v>
      </c>
      <c r="I6" s="58">
        <v>20000</v>
      </c>
      <c r="J6" s="59">
        <v>240000</v>
      </c>
      <c r="K6">
        <v>1</v>
      </c>
      <c r="O6" s="52"/>
    </row>
    <row r="7" spans="1:15" x14ac:dyDescent="0.15">
      <c r="A7">
        <v>2</v>
      </c>
      <c r="D7" s="51" t="s">
        <v>33</v>
      </c>
      <c r="E7" s="51" t="s">
        <v>34</v>
      </c>
      <c r="G7" s="51" t="s">
        <v>35</v>
      </c>
      <c r="H7">
        <v>6</v>
      </c>
      <c r="I7" s="58">
        <v>10000</v>
      </c>
      <c r="J7" s="59">
        <v>60000</v>
      </c>
      <c r="K7">
        <v>1</v>
      </c>
      <c r="O7" s="52"/>
    </row>
    <row r="8" spans="1:15" x14ac:dyDescent="0.15">
      <c r="A8">
        <v>2</v>
      </c>
      <c r="D8" s="51" t="s">
        <v>33</v>
      </c>
      <c r="E8" s="51" t="s">
        <v>36</v>
      </c>
      <c r="G8" s="51" t="s">
        <v>35</v>
      </c>
      <c r="H8">
        <v>6</v>
      </c>
      <c r="I8" s="58">
        <v>8000</v>
      </c>
      <c r="J8" s="59">
        <v>48000</v>
      </c>
      <c r="K8">
        <v>1</v>
      </c>
      <c r="O8" s="52"/>
    </row>
    <row r="9" spans="1:15" x14ac:dyDescent="0.15">
      <c r="A9">
        <v>2</v>
      </c>
      <c r="D9" s="51" t="s">
        <v>33</v>
      </c>
      <c r="E9" s="51" t="s">
        <v>37</v>
      </c>
      <c r="G9" s="51" t="s">
        <v>38</v>
      </c>
      <c r="H9">
        <v>180</v>
      </c>
      <c r="I9" s="58">
        <v>180</v>
      </c>
      <c r="J9" s="59">
        <v>32400</v>
      </c>
      <c r="K9">
        <v>1</v>
      </c>
      <c r="O9" s="52"/>
    </row>
    <row r="10" spans="1:15" x14ac:dyDescent="0.15">
      <c r="A10">
        <v>2</v>
      </c>
      <c r="D10" s="51" t="s">
        <v>39</v>
      </c>
      <c r="E10" s="51" t="s">
        <v>40</v>
      </c>
      <c r="G10" s="51" t="s">
        <v>35</v>
      </c>
      <c r="H10">
        <v>6</v>
      </c>
      <c r="I10" s="58">
        <v>32000</v>
      </c>
      <c r="J10" s="59">
        <v>192000</v>
      </c>
      <c r="K10">
        <v>1</v>
      </c>
      <c r="O10" s="52"/>
    </row>
    <row r="11" spans="1:15" x14ac:dyDescent="0.15">
      <c r="A11">
        <v>2</v>
      </c>
      <c r="D11" s="51" t="s">
        <v>39</v>
      </c>
      <c r="E11" s="51" t="s">
        <v>41</v>
      </c>
      <c r="G11" s="51" t="s">
        <v>35</v>
      </c>
      <c r="H11">
        <v>6</v>
      </c>
      <c r="I11" s="58">
        <v>8000</v>
      </c>
      <c r="J11" s="59">
        <v>48000</v>
      </c>
      <c r="K11">
        <v>1</v>
      </c>
      <c r="O11" s="52"/>
    </row>
    <row r="12" spans="1:15" x14ac:dyDescent="0.15">
      <c r="A12">
        <v>2</v>
      </c>
      <c r="D12" s="51" t="s">
        <v>39</v>
      </c>
      <c r="E12" s="51" t="s">
        <v>42</v>
      </c>
      <c r="G12" s="51" t="s">
        <v>35</v>
      </c>
      <c r="H12">
        <v>6</v>
      </c>
      <c r="I12" s="58">
        <v>8000</v>
      </c>
      <c r="J12" s="59">
        <v>48000</v>
      </c>
      <c r="K12">
        <v>1</v>
      </c>
      <c r="O12" s="52"/>
    </row>
    <row r="13" spans="1:15" x14ac:dyDescent="0.15">
      <c r="A13">
        <v>2</v>
      </c>
      <c r="D13" s="51" t="s">
        <v>43</v>
      </c>
      <c r="E13" s="51" t="s">
        <v>44</v>
      </c>
      <c r="G13" s="51" t="s">
        <v>19</v>
      </c>
      <c r="H13">
        <v>1</v>
      </c>
      <c r="I13" s="58">
        <v>15600</v>
      </c>
      <c r="J13" s="59">
        <v>15600</v>
      </c>
      <c r="K13">
        <v>0</v>
      </c>
      <c r="O13" s="52"/>
    </row>
    <row r="14" spans="1:15" x14ac:dyDescent="0.15">
      <c r="A14">
        <v>1</v>
      </c>
      <c r="D14" s="51" t="s">
        <v>20</v>
      </c>
      <c r="E14" s="51" t="s">
        <v>21</v>
      </c>
      <c r="F14" s="51" t="s">
        <v>45</v>
      </c>
      <c r="G14" s="51" t="s">
        <v>46</v>
      </c>
      <c r="H14">
        <v>897</v>
      </c>
      <c r="I14" s="58">
        <v>640</v>
      </c>
      <c r="J14" s="59">
        <v>574080</v>
      </c>
      <c r="K14">
        <v>897</v>
      </c>
      <c r="M14" s="51" t="s">
        <v>47</v>
      </c>
      <c r="O14" s="52"/>
    </row>
    <row r="15" spans="1:15" x14ac:dyDescent="0.15">
      <c r="A15">
        <v>2</v>
      </c>
      <c r="D15" s="51" t="s">
        <v>29</v>
      </c>
      <c r="E15" s="51" t="s">
        <v>30</v>
      </c>
      <c r="G15" s="51" t="s">
        <v>31</v>
      </c>
      <c r="H15">
        <v>4</v>
      </c>
      <c r="I15" s="58">
        <v>30000</v>
      </c>
      <c r="J15" s="59">
        <v>120000</v>
      </c>
      <c r="K15">
        <v>1</v>
      </c>
      <c r="O15" s="52"/>
    </row>
    <row r="16" spans="1:15" x14ac:dyDescent="0.15">
      <c r="A16">
        <v>2</v>
      </c>
      <c r="D16" s="51" t="s">
        <v>29</v>
      </c>
      <c r="E16" s="51" t="s">
        <v>32</v>
      </c>
      <c r="G16" s="51" t="s">
        <v>31</v>
      </c>
      <c r="H16">
        <v>8</v>
      </c>
      <c r="I16" s="58">
        <v>20000</v>
      </c>
      <c r="J16" s="59">
        <v>160000</v>
      </c>
      <c r="K16">
        <v>1</v>
      </c>
      <c r="O16" s="52"/>
    </row>
    <row r="17" spans="1:15" x14ac:dyDescent="0.15">
      <c r="A17">
        <v>2</v>
      </c>
      <c r="D17" s="51" t="s">
        <v>33</v>
      </c>
      <c r="E17" s="51" t="s">
        <v>34</v>
      </c>
      <c r="G17" s="51" t="s">
        <v>35</v>
      </c>
      <c r="H17">
        <v>4</v>
      </c>
      <c r="I17" s="58">
        <v>10000</v>
      </c>
      <c r="J17" s="59">
        <v>40000</v>
      </c>
      <c r="K17">
        <v>1</v>
      </c>
      <c r="O17" s="52"/>
    </row>
    <row r="18" spans="1:15" x14ac:dyDescent="0.15">
      <c r="A18">
        <v>2</v>
      </c>
      <c r="D18" s="51" t="s">
        <v>33</v>
      </c>
      <c r="E18" s="51" t="s">
        <v>36</v>
      </c>
      <c r="G18" s="51" t="s">
        <v>35</v>
      </c>
      <c r="H18">
        <v>4</v>
      </c>
      <c r="I18" s="58">
        <v>8000</v>
      </c>
      <c r="J18" s="59">
        <v>32000</v>
      </c>
      <c r="K18">
        <v>1</v>
      </c>
      <c r="O18" s="52"/>
    </row>
    <row r="19" spans="1:15" x14ac:dyDescent="0.15">
      <c r="A19">
        <v>2</v>
      </c>
      <c r="D19" s="51" t="s">
        <v>33</v>
      </c>
      <c r="E19" s="51" t="s">
        <v>37</v>
      </c>
      <c r="G19" s="51" t="s">
        <v>38</v>
      </c>
      <c r="H19">
        <v>120</v>
      </c>
      <c r="I19" s="58">
        <v>180</v>
      </c>
      <c r="J19" s="59">
        <v>21600</v>
      </c>
      <c r="K19">
        <v>1</v>
      </c>
      <c r="O19" s="52"/>
    </row>
    <row r="20" spans="1:15" x14ac:dyDescent="0.15">
      <c r="A20">
        <v>2</v>
      </c>
      <c r="D20" s="51" t="s">
        <v>39</v>
      </c>
      <c r="E20" s="51" t="s">
        <v>40</v>
      </c>
      <c r="G20" s="51" t="s">
        <v>35</v>
      </c>
      <c r="H20">
        <v>4</v>
      </c>
      <c r="I20" s="58">
        <v>32000</v>
      </c>
      <c r="J20" s="59">
        <v>128000</v>
      </c>
      <c r="K20">
        <v>1</v>
      </c>
      <c r="O20" s="52"/>
    </row>
    <row r="21" spans="1:15" x14ac:dyDescent="0.15">
      <c r="A21">
        <v>2</v>
      </c>
      <c r="D21" s="51" t="s">
        <v>39</v>
      </c>
      <c r="E21" s="51" t="s">
        <v>41</v>
      </c>
      <c r="G21" s="51" t="s">
        <v>35</v>
      </c>
      <c r="H21">
        <v>4</v>
      </c>
      <c r="I21" s="58">
        <v>8000</v>
      </c>
      <c r="J21" s="59">
        <v>32000</v>
      </c>
      <c r="K21">
        <v>1</v>
      </c>
      <c r="O21" s="52"/>
    </row>
    <row r="22" spans="1:15" x14ac:dyDescent="0.15">
      <c r="A22">
        <v>2</v>
      </c>
      <c r="D22" s="51" t="s">
        <v>39</v>
      </c>
      <c r="E22" s="51" t="s">
        <v>42</v>
      </c>
      <c r="G22" s="51" t="s">
        <v>35</v>
      </c>
      <c r="H22">
        <v>4</v>
      </c>
      <c r="I22" s="58">
        <v>8000</v>
      </c>
      <c r="J22" s="59">
        <v>32000</v>
      </c>
      <c r="K22">
        <v>1</v>
      </c>
      <c r="O22" s="52"/>
    </row>
    <row r="23" spans="1:15" x14ac:dyDescent="0.15">
      <c r="A23">
        <v>2</v>
      </c>
      <c r="D23" s="51" t="s">
        <v>43</v>
      </c>
      <c r="E23" s="51" t="s">
        <v>44</v>
      </c>
      <c r="G23" s="51" t="s">
        <v>19</v>
      </c>
      <c r="H23">
        <v>1</v>
      </c>
      <c r="I23" s="58">
        <v>8480</v>
      </c>
      <c r="J23" s="59">
        <v>8480</v>
      </c>
      <c r="K23">
        <v>0</v>
      </c>
      <c r="O23" s="52"/>
    </row>
    <row r="24" spans="1:15" x14ac:dyDescent="0.15">
      <c r="A24">
        <v>1</v>
      </c>
      <c r="D24" s="51" t="s">
        <v>20</v>
      </c>
      <c r="E24" s="51" t="s">
        <v>21</v>
      </c>
      <c r="F24" s="51" t="s">
        <v>48</v>
      </c>
      <c r="G24" s="51" t="s">
        <v>49</v>
      </c>
      <c r="H24">
        <v>188</v>
      </c>
      <c r="I24" s="58">
        <v>1950</v>
      </c>
      <c r="J24" s="59">
        <v>366600</v>
      </c>
      <c r="K24">
        <v>188</v>
      </c>
      <c r="M24" s="51" t="s">
        <v>50</v>
      </c>
      <c r="O24" s="52"/>
    </row>
    <row r="25" spans="1:15" x14ac:dyDescent="0.15">
      <c r="A25">
        <v>2</v>
      </c>
      <c r="D25" s="51" t="s">
        <v>39</v>
      </c>
      <c r="E25" s="51" t="s">
        <v>36</v>
      </c>
      <c r="G25" s="51" t="s">
        <v>35</v>
      </c>
      <c r="H25">
        <v>5</v>
      </c>
      <c r="I25" s="58">
        <v>8000</v>
      </c>
      <c r="J25" s="59">
        <v>40000</v>
      </c>
      <c r="K25">
        <v>0</v>
      </c>
      <c r="O25" s="52"/>
    </row>
    <row r="26" spans="1:15" x14ac:dyDescent="0.15">
      <c r="A26">
        <v>2</v>
      </c>
      <c r="D26" s="51" t="s">
        <v>33</v>
      </c>
      <c r="E26" s="51" t="s">
        <v>37</v>
      </c>
      <c r="G26" s="51" t="s">
        <v>38</v>
      </c>
      <c r="H26">
        <v>150</v>
      </c>
      <c r="I26" s="58">
        <v>180</v>
      </c>
      <c r="J26" s="59">
        <v>27000</v>
      </c>
      <c r="K26">
        <v>1</v>
      </c>
      <c r="O26" s="52"/>
    </row>
    <row r="27" spans="1:15" x14ac:dyDescent="0.15">
      <c r="A27">
        <v>2</v>
      </c>
      <c r="D27" s="51" t="s">
        <v>39</v>
      </c>
      <c r="E27" s="51" t="s">
        <v>51</v>
      </c>
      <c r="G27" s="51" t="s">
        <v>35</v>
      </c>
      <c r="H27">
        <v>5</v>
      </c>
      <c r="I27" s="58">
        <v>44000</v>
      </c>
      <c r="J27" s="59">
        <v>220000</v>
      </c>
      <c r="K27">
        <v>1</v>
      </c>
      <c r="O27" s="52"/>
    </row>
    <row r="28" spans="1:15" x14ac:dyDescent="0.15">
      <c r="A28">
        <v>2</v>
      </c>
      <c r="D28" s="51" t="s">
        <v>39</v>
      </c>
      <c r="E28" s="51" t="s">
        <v>52</v>
      </c>
      <c r="G28" s="51" t="s">
        <v>49</v>
      </c>
      <c r="H28">
        <v>188</v>
      </c>
      <c r="I28" s="58">
        <v>400</v>
      </c>
      <c r="J28" s="59">
        <v>75200</v>
      </c>
      <c r="K28">
        <v>1</v>
      </c>
      <c r="O28" s="52"/>
    </row>
    <row r="29" spans="1:15" x14ac:dyDescent="0.15">
      <c r="A29">
        <v>2</v>
      </c>
      <c r="D29" s="51" t="s">
        <v>43</v>
      </c>
      <c r="E29" s="51" t="s">
        <v>44</v>
      </c>
      <c r="G29" s="51" t="s">
        <v>19</v>
      </c>
      <c r="H29">
        <v>1</v>
      </c>
      <c r="I29" s="58">
        <v>4400</v>
      </c>
      <c r="J29" s="59">
        <v>4400</v>
      </c>
      <c r="K29">
        <v>1</v>
      </c>
      <c r="O29" s="52"/>
    </row>
    <row r="30" spans="1:15" x14ac:dyDescent="0.15">
      <c r="A30">
        <v>1</v>
      </c>
      <c r="D30" s="51" t="s">
        <v>20</v>
      </c>
      <c r="E30" s="51" t="s">
        <v>21</v>
      </c>
      <c r="F30" s="51" t="s">
        <v>53</v>
      </c>
      <c r="G30" s="51" t="s">
        <v>49</v>
      </c>
      <c r="H30">
        <v>66</v>
      </c>
      <c r="I30" s="58">
        <v>6200</v>
      </c>
      <c r="J30" s="59">
        <v>409200</v>
      </c>
      <c r="K30">
        <v>66</v>
      </c>
      <c r="M30" s="51" t="s">
        <v>54</v>
      </c>
      <c r="O30" s="52"/>
    </row>
    <row r="31" spans="1:15" x14ac:dyDescent="0.15">
      <c r="A31">
        <v>2</v>
      </c>
      <c r="D31" s="51" t="s">
        <v>33</v>
      </c>
      <c r="E31" s="51" t="s">
        <v>36</v>
      </c>
      <c r="G31" s="51" t="s">
        <v>35</v>
      </c>
      <c r="H31">
        <v>3</v>
      </c>
      <c r="I31" s="58">
        <v>8000</v>
      </c>
      <c r="J31" s="59">
        <v>24000</v>
      </c>
      <c r="K31">
        <v>0</v>
      </c>
      <c r="O31" s="52"/>
    </row>
    <row r="32" spans="1:15" x14ac:dyDescent="0.15">
      <c r="A32">
        <v>2</v>
      </c>
      <c r="D32" s="51" t="s">
        <v>33</v>
      </c>
      <c r="E32" s="51" t="s">
        <v>37</v>
      </c>
      <c r="G32" s="51" t="s">
        <v>38</v>
      </c>
      <c r="H32">
        <v>90</v>
      </c>
      <c r="I32" s="58">
        <v>180</v>
      </c>
      <c r="J32" s="59">
        <v>16200</v>
      </c>
      <c r="K32">
        <v>0</v>
      </c>
      <c r="O32" s="52"/>
    </row>
    <row r="33" spans="1:15" x14ac:dyDescent="0.15">
      <c r="A33">
        <v>2</v>
      </c>
      <c r="D33" s="51" t="s">
        <v>39</v>
      </c>
      <c r="E33" s="51" t="s">
        <v>55</v>
      </c>
      <c r="G33" s="51" t="s">
        <v>35</v>
      </c>
      <c r="H33">
        <v>3</v>
      </c>
      <c r="I33" s="58">
        <v>44000</v>
      </c>
      <c r="J33" s="59">
        <v>132000</v>
      </c>
      <c r="K33">
        <v>1</v>
      </c>
      <c r="O33" s="52"/>
    </row>
    <row r="34" spans="1:15" x14ac:dyDescent="0.15">
      <c r="A34">
        <v>2</v>
      </c>
      <c r="D34" s="51" t="s">
        <v>39</v>
      </c>
      <c r="E34" s="51" t="s">
        <v>56</v>
      </c>
      <c r="G34" s="51" t="s">
        <v>49</v>
      </c>
      <c r="H34">
        <v>66</v>
      </c>
      <c r="I34" s="58">
        <v>3500</v>
      </c>
      <c r="J34" s="59">
        <v>231000</v>
      </c>
      <c r="K34">
        <v>1</v>
      </c>
      <c r="O34" s="52"/>
    </row>
    <row r="35" spans="1:15" x14ac:dyDescent="0.15">
      <c r="A35">
        <v>2</v>
      </c>
      <c r="D35" s="51" t="s">
        <v>43</v>
      </c>
      <c r="E35" s="51" t="s">
        <v>44</v>
      </c>
      <c r="G35" s="51" t="s">
        <v>19</v>
      </c>
      <c r="H35">
        <v>1</v>
      </c>
      <c r="I35" s="58">
        <v>6000</v>
      </c>
      <c r="J35" s="59">
        <v>6000</v>
      </c>
      <c r="K35">
        <v>1</v>
      </c>
      <c r="O35" s="52"/>
    </row>
    <row r="36" spans="1:15" x14ac:dyDescent="0.15">
      <c r="A36">
        <v>1</v>
      </c>
      <c r="D36" s="51" t="s">
        <v>20</v>
      </c>
      <c r="E36" s="51" t="s">
        <v>57</v>
      </c>
      <c r="F36" s="51" t="s">
        <v>58</v>
      </c>
      <c r="G36" s="51" t="s">
        <v>46</v>
      </c>
      <c r="H36">
        <v>897</v>
      </c>
      <c r="I36" s="58">
        <v>4580</v>
      </c>
      <c r="J36" s="59">
        <v>4108260</v>
      </c>
      <c r="K36">
        <v>897</v>
      </c>
      <c r="M36" s="51" t="s">
        <v>59</v>
      </c>
      <c r="O36" s="52"/>
    </row>
    <row r="37" spans="1:15" x14ac:dyDescent="0.15">
      <c r="A37">
        <v>2</v>
      </c>
      <c r="D37" s="51" t="s">
        <v>43</v>
      </c>
      <c r="E37" s="51" t="s">
        <v>60</v>
      </c>
      <c r="G37" s="51" t="s">
        <v>61</v>
      </c>
      <c r="H37">
        <v>1400</v>
      </c>
      <c r="I37" s="58">
        <v>460</v>
      </c>
      <c r="J37" s="59">
        <v>644000</v>
      </c>
      <c r="K37">
        <v>0</v>
      </c>
      <c r="O37" s="52"/>
    </row>
    <row r="38" spans="1:15" x14ac:dyDescent="0.15">
      <c r="A38">
        <v>2</v>
      </c>
      <c r="D38" s="51" t="s">
        <v>43</v>
      </c>
      <c r="E38" s="51" t="s">
        <v>62</v>
      </c>
      <c r="G38" s="51" t="s">
        <v>61</v>
      </c>
      <c r="H38">
        <v>30</v>
      </c>
      <c r="I38" s="58">
        <v>6600</v>
      </c>
      <c r="J38" s="59">
        <v>198000</v>
      </c>
      <c r="K38">
        <v>1</v>
      </c>
      <c r="O38" s="52"/>
    </row>
    <row r="39" spans="1:15" x14ac:dyDescent="0.15">
      <c r="A39">
        <v>2</v>
      </c>
      <c r="D39" s="51" t="s">
        <v>43</v>
      </c>
      <c r="E39" s="51" t="s">
        <v>63</v>
      </c>
      <c r="G39" s="51" t="s">
        <v>49</v>
      </c>
      <c r="H39">
        <v>20</v>
      </c>
      <c r="I39" s="58">
        <v>400</v>
      </c>
      <c r="J39" s="59">
        <v>8000</v>
      </c>
      <c r="K39">
        <v>1</v>
      </c>
      <c r="O39" s="52"/>
    </row>
    <row r="40" spans="1:15" x14ac:dyDescent="0.15">
      <c r="A40">
        <v>2</v>
      </c>
      <c r="D40" s="51" t="s">
        <v>43</v>
      </c>
      <c r="E40" s="51" t="s">
        <v>64</v>
      </c>
      <c r="G40" s="51" t="s">
        <v>65</v>
      </c>
      <c r="H40">
        <v>12</v>
      </c>
      <c r="I40" s="58">
        <v>20000</v>
      </c>
      <c r="J40" s="59">
        <v>240000</v>
      </c>
      <c r="K40">
        <v>1</v>
      </c>
      <c r="O40" s="52"/>
    </row>
    <row r="41" spans="1:15" x14ac:dyDescent="0.15">
      <c r="A41">
        <v>2</v>
      </c>
      <c r="D41" s="51" t="s">
        <v>43</v>
      </c>
      <c r="E41" s="51" t="s">
        <v>66</v>
      </c>
      <c r="G41" s="51" t="s">
        <v>65</v>
      </c>
      <c r="H41">
        <v>8</v>
      </c>
      <c r="I41" s="58">
        <v>6000</v>
      </c>
      <c r="J41" s="59">
        <v>48000</v>
      </c>
      <c r="K41">
        <v>1</v>
      </c>
      <c r="O41" s="52"/>
    </row>
    <row r="42" spans="1:15" x14ac:dyDescent="0.15">
      <c r="A42">
        <v>2</v>
      </c>
      <c r="D42" s="51" t="s">
        <v>43</v>
      </c>
      <c r="E42" s="51" t="s">
        <v>67</v>
      </c>
      <c r="G42" s="51" t="s">
        <v>68</v>
      </c>
      <c r="H42">
        <v>80</v>
      </c>
      <c r="I42" s="58">
        <v>700</v>
      </c>
      <c r="J42" s="59">
        <v>56000</v>
      </c>
      <c r="K42">
        <v>1</v>
      </c>
      <c r="O42" s="52"/>
    </row>
    <row r="43" spans="1:15" x14ac:dyDescent="0.15">
      <c r="A43">
        <v>2</v>
      </c>
      <c r="D43" s="51" t="s">
        <v>29</v>
      </c>
      <c r="E43" s="51" t="s">
        <v>30</v>
      </c>
      <c r="G43" s="51" t="s">
        <v>31</v>
      </c>
      <c r="H43">
        <v>26</v>
      </c>
      <c r="I43" s="58">
        <v>30000</v>
      </c>
      <c r="J43" s="59">
        <v>780000</v>
      </c>
      <c r="K43">
        <v>1</v>
      </c>
      <c r="O43" s="52"/>
    </row>
    <row r="44" spans="1:15" x14ac:dyDescent="0.15">
      <c r="A44">
        <v>2</v>
      </c>
      <c r="D44" s="51" t="s">
        <v>29</v>
      </c>
      <c r="E44" s="51" t="s">
        <v>32</v>
      </c>
      <c r="G44" s="51" t="s">
        <v>31</v>
      </c>
      <c r="H44">
        <v>52</v>
      </c>
      <c r="I44" s="58">
        <v>20000</v>
      </c>
      <c r="J44" s="59">
        <v>1040000</v>
      </c>
      <c r="K44">
        <v>1</v>
      </c>
      <c r="O44" s="52"/>
    </row>
    <row r="45" spans="1:15" x14ac:dyDescent="0.15">
      <c r="A45">
        <v>2</v>
      </c>
      <c r="D45" s="51" t="s">
        <v>33</v>
      </c>
      <c r="E45" s="51" t="s">
        <v>34</v>
      </c>
      <c r="G45" s="51" t="s">
        <v>35</v>
      </c>
      <c r="H45">
        <v>26</v>
      </c>
      <c r="I45" s="58">
        <v>10000</v>
      </c>
      <c r="J45" s="59">
        <v>260000</v>
      </c>
      <c r="K45">
        <v>1</v>
      </c>
      <c r="O45" s="52"/>
    </row>
    <row r="46" spans="1:15" x14ac:dyDescent="0.15">
      <c r="A46">
        <v>2</v>
      </c>
      <c r="D46" s="51" t="s">
        <v>33</v>
      </c>
      <c r="E46" s="51" t="s">
        <v>36</v>
      </c>
      <c r="G46" s="51" t="s">
        <v>35</v>
      </c>
      <c r="H46">
        <v>26</v>
      </c>
      <c r="I46" s="58">
        <v>8000</v>
      </c>
      <c r="J46" s="59">
        <v>208000</v>
      </c>
      <c r="K46">
        <v>1</v>
      </c>
      <c r="O46" s="52"/>
    </row>
    <row r="47" spans="1:15" x14ac:dyDescent="0.15">
      <c r="A47">
        <v>2</v>
      </c>
      <c r="D47" s="51" t="s">
        <v>33</v>
      </c>
      <c r="E47" s="51" t="s">
        <v>69</v>
      </c>
      <c r="G47" s="51" t="s">
        <v>35</v>
      </c>
      <c r="H47">
        <v>26</v>
      </c>
      <c r="I47" s="58">
        <v>1000</v>
      </c>
      <c r="J47" s="59">
        <v>26000</v>
      </c>
      <c r="K47">
        <v>1</v>
      </c>
      <c r="O47" s="52"/>
    </row>
    <row r="48" spans="1:15" x14ac:dyDescent="0.15">
      <c r="A48">
        <v>2</v>
      </c>
      <c r="D48" s="51" t="s">
        <v>33</v>
      </c>
      <c r="E48" s="51" t="s">
        <v>70</v>
      </c>
      <c r="G48" s="51" t="s">
        <v>35</v>
      </c>
      <c r="H48">
        <v>26</v>
      </c>
      <c r="I48" s="58">
        <v>800</v>
      </c>
      <c r="J48" s="59">
        <v>20800</v>
      </c>
      <c r="K48">
        <v>1</v>
      </c>
      <c r="O48" s="52"/>
    </row>
    <row r="49" spans="1:15" x14ac:dyDescent="0.15">
      <c r="A49">
        <v>2</v>
      </c>
      <c r="D49" s="51" t="s">
        <v>33</v>
      </c>
      <c r="E49" s="51" t="s">
        <v>37</v>
      </c>
      <c r="G49" s="51" t="s">
        <v>38</v>
      </c>
      <c r="H49">
        <v>780</v>
      </c>
      <c r="I49" s="58">
        <v>180</v>
      </c>
      <c r="J49" s="59">
        <v>140400</v>
      </c>
      <c r="K49">
        <v>1</v>
      </c>
      <c r="O49" s="52"/>
    </row>
    <row r="50" spans="1:15" x14ac:dyDescent="0.15">
      <c r="A50">
        <v>2</v>
      </c>
      <c r="D50" s="51" t="s">
        <v>39</v>
      </c>
      <c r="E50" s="51" t="s">
        <v>41</v>
      </c>
      <c r="G50" s="51" t="s">
        <v>35</v>
      </c>
      <c r="H50">
        <v>26</v>
      </c>
      <c r="I50" s="58">
        <v>8000</v>
      </c>
      <c r="J50" s="59">
        <v>208000</v>
      </c>
      <c r="K50">
        <v>1</v>
      </c>
      <c r="O50" s="52"/>
    </row>
    <row r="51" spans="1:15" x14ac:dyDescent="0.15">
      <c r="A51">
        <v>2</v>
      </c>
      <c r="D51" s="51" t="s">
        <v>39</v>
      </c>
      <c r="E51" s="51" t="s">
        <v>42</v>
      </c>
      <c r="G51" s="51" t="s">
        <v>35</v>
      </c>
      <c r="H51">
        <v>26</v>
      </c>
      <c r="I51" s="58">
        <v>8000</v>
      </c>
      <c r="J51" s="59">
        <v>208000</v>
      </c>
      <c r="K51">
        <v>1</v>
      </c>
      <c r="O51" s="52"/>
    </row>
    <row r="52" spans="1:15" x14ac:dyDescent="0.15">
      <c r="A52">
        <v>2</v>
      </c>
      <c r="D52" s="51" t="s">
        <v>43</v>
      </c>
      <c r="E52" s="51" t="s">
        <v>44</v>
      </c>
      <c r="G52" s="51" t="s">
        <v>19</v>
      </c>
      <c r="H52">
        <v>1</v>
      </c>
      <c r="I52" s="58">
        <v>23060</v>
      </c>
      <c r="J52" s="59">
        <v>23060</v>
      </c>
      <c r="K52">
        <v>1</v>
      </c>
      <c r="O52" s="52"/>
    </row>
    <row r="53" spans="1:15" x14ac:dyDescent="0.15">
      <c r="A53">
        <v>1</v>
      </c>
      <c r="D53" s="51" t="s">
        <v>20</v>
      </c>
      <c r="E53" s="51" t="s">
        <v>71</v>
      </c>
      <c r="F53" s="51" t="s">
        <v>72</v>
      </c>
      <c r="G53" s="51" t="s">
        <v>27</v>
      </c>
      <c r="H53">
        <v>1600</v>
      </c>
      <c r="I53" s="58">
        <v>530</v>
      </c>
      <c r="J53" s="59">
        <v>848000</v>
      </c>
      <c r="K53">
        <v>1600</v>
      </c>
      <c r="M53" s="51" t="s">
        <v>73</v>
      </c>
      <c r="O53" s="52"/>
    </row>
    <row r="54" spans="1:15" x14ac:dyDescent="0.15">
      <c r="A54">
        <v>2</v>
      </c>
      <c r="D54" s="51" t="s">
        <v>43</v>
      </c>
      <c r="E54" s="51" t="s">
        <v>63</v>
      </c>
      <c r="G54" s="51" t="s">
        <v>49</v>
      </c>
      <c r="H54">
        <v>110</v>
      </c>
      <c r="I54" s="58">
        <v>1300</v>
      </c>
      <c r="J54" s="59">
        <v>143000</v>
      </c>
      <c r="K54">
        <v>0</v>
      </c>
      <c r="O54" s="52"/>
    </row>
    <row r="55" spans="1:15" x14ac:dyDescent="0.15">
      <c r="A55">
        <v>2</v>
      </c>
      <c r="D55" s="51" t="s">
        <v>29</v>
      </c>
      <c r="E55" s="51" t="s">
        <v>30</v>
      </c>
      <c r="G55" s="51" t="s">
        <v>31</v>
      </c>
      <c r="H55">
        <v>5</v>
      </c>
      <c r="I55" s="58">
        <v>30000</v>
      </c>
      <c r="J55" s="59">
        <v>150000</v>
      </c>
      <c r="K55">
        <v>1</v>
      </c>
      <c r="O55" s="52"/>
    </row>
    <row r="56" spans="1:15" x14ac:dyDescent="0.15">
      <c r="A56">
        <v>2</v>
      </c>
      <c r="D56" s="51" t="s">
        <v>29</v>
      </c>
      <c r="E56" s="51" t="s">
        <v>32</v>
      </c>
      <c r="G56" s="51" t="s">
        <v>31</v>
      </c>
      <c r="H56">
        <v>15</v>
      </c>
      <c r="I56" s="58">
        <v>20000</v>
      </c>
      <c r="J56" s="59">
        <v>300000</v>
      </c>
      <c r="K56">
        <v>1</v>
      </c>
      <c r="O56" s="52"/>
    </row>
    <row r="57" spans="1:15" x14ac:dyDescent="0.15">
      <c r="A57">
        <v>2</v>
      </c>
      <c r="D57" s="51" t="s">
        <v>33</v>
      </c>
      <c r="E57" s="51" t="s">
        <v>34</v>
      </c>
      <c r="G57" s="51" t="s">
        <v>35</v>
      </c>
      <c r="H57">
        <v>5</v>
      </c>
      <c r="I57" s="58">
        <v>10000</v>
      </c>
      <c r="J57" s="59">
        <v>50000</v>
      </c>
      <c r="K57">
        <v>1</v>
      </c>
      <c r="O57" s="52"/>
    </row>
    <row r="58" spans="1:15" x14ac:dyDescent="0.15">
      <c r="A58">
        <v>2</v>
      </c>
      <c r="D58" s="51" t="s">
        <v>33</v>
      </c>
      <c r="E58" s="51" t="s">
        <v>74</v>
      </c>
      <c r="G58" s="51" t="s">
        <v>35</v>
      </c>
      <c r="H58">
        <v>5</v>
      </c>
      <c r="I58" s="58">
        <v>6000</v>
      </c>
      <c r="J58" s="59">
        <v>30000</v>
      </c>
      <c r="K58">
        <v>1</v>
      </c>
      <c r="O58" s="52"/>
    </row>
    <row r="59" spans="1:15" x14ac:dyDescent="0.15">
      <c r="A59">
        <v>2</v>
      </c>
      <c r="D59" s="51" t="s">
        <v>33</v>
      </c>
      <c r="E59" s="51" t="s">
        <v>36</v>
      </c>
      <c r="G59" s="51" t="s">
        <v>35</v>
      </c>
      <c r="H59">
        <v>5</v>
      </c>
      <c r="I59" s="58">
        <v>8000</v>
      </c>
      <c r="J59" s="59">
        <v>40000</v>
      </c>
      <c r="K59">
        <v>1</v>
      </c>
      <c r="O59" s="52"/>
    </row>
    <row r="60" spans="1:15" x14ac:dyDescent="0.15">
      <c r="A60">
        <v>2</v>
      </c>
      <c r="D60" s="51" t="s">
        <v>33</v>
      </c>
      <c r="E60" s="51" t="s">
        <v>70</v>
      </c>
      <c r="G60" s="51" t="s">
        <v>35</v>
      </c>
      <c r="H60">
        <v>5</v>
      </c>
      <c r="I60" s="58">
        <v>800</v>
      </c>
      <c r="J60" s="59">
        <v>4000</v>
      </c>
      <c r="K60">
        <v>1</v>
      </c>
      <c r="O60" s="52"/>
    </row>
    <row r="61" spans="1:15" x14ac:dyDescent="0.15">
      <c r="A61">
        <v>2</v>
      </c>
      <c r="D61" s="51" t="s">
        <v>33</v>
      </c>
      <c r="E61" s="51" t="s">
        <v>37</v>
      </c>
      <c r="G61" s="51" t="s">
        <v>38</v>
      </c>
      <c r="H61">
        <v>200</v>
      </c>
      <c r="I61" s="58">
        <v>180</v>
      </c>
      <c r="J61" s="59">
        <v>36000</v>
      </c>
      <c r="K61">
        <v>1</v>
      </c>
      <c r="O61" s="52"/>
    </row>
    <row r="62" spans="1:15" x14ac:dyDescent="0.15">
      <c r="A62">
        <v>2</v>
      </c>
      <c r="D62" s="51" t="s">
        <v>39</v>
      </c>
      <c r="E62" s="51" t="s">
        <v>41</v>
      </c>
      <c r="G62" s="51" t="s">
        <v>35</v>
      </c>
      <c r="H62">
        <v>5</v>
      </c>
      <c r="I62" s="58">
        <v>8000</v>
      </c>
      <c r="J62" s="59">
        <v>40000</v>
      </c>
      <c r="K62">
        <v>1</v>
      </c>
      <c r="O62" s="52"/>
    </row>
    <row r="63" spans="1:15" x14ac:dyDescent="0.15">
      <c r="A63">
        <v>2</v>
      </c>
      <c r="D63" s="51" t="s">
        <v>39</v>
      </c>
      <c r="E63" s="51" t="s">
        <v>42</v>
      </c>
      <c r="G63" s="51" t="s">
        <v>35</v>
      </c>
      <c r="H63">
        <v>5</v>
      </c>
      <c r="I63" s="58">
        <v>8000</v>
      </c>
      <c r="J63" s="59">
        <v>40000</v>
      </c>
      <c r="K63">
        <v>1</v>
      </c>
      <c r="O63" s="52"/>
    </row>
    <row r="64" spans="1:15" x14ac:dyDescent="0.15">
      <c r="A64">
        <v>2</v>
      </c>
      <c r="D64" s="51" t="s">
        <v>43</v>
      </c>
      <c r="E64" s="51" t="s">
        <v>44</v>
      </c>
      <c r="G64" s="51" t="s">
        <v>19</v>
      </c>
      <c r="H64">
        <v>1</v>
      </c>
      <c r="I64" s="58">
        <v>15000</v>
      </c>
      <c r="J64" s="59">
        <v>15000</v>
      </c>
      <c r="K64">
        <v>1</v>
      </c>
      <c r="O64" s="52"/>
    </row>
    <row r="65" spans="1:15" x14ac:dyDescent="0.15">
      <c r="A65">
        <v>1</v>
      </c>
      <c r="D65" s="51" t="s">
        <v>20</v>
      </c>
      <c r="E65" s="51" t="s">
        <v>71</v>
      </c>
      <c r="F65" s="51" t="s">
        <v>75</v>
      </c>
      <c r="G65" s="51" t="s">
        <v>27</v>
      </c>
      <c r="H65">
        <v>1600</v>
      </c>
      <c r="I65" s="58">
        <v>2200</v>
      </c>
      <c r="J65" s="59">
        <v>3520000</v>
      </c>
      <c r="K65">
        <v>1600</v>
      </c>
      <c r="M65" s="51" t="s">
        <v>76</v>
      </c>
      <c r="O65" s="52"/>
    </row>
    <row r="66" spans="1:15" x14ac:dyDescent="0.15">
      <c r="A66">
        <v>2</v>
      </c>
      <c r="D66" s="51" t="s">
        <v>43</v>
      </c>
      <c r="E66" s="51" t="s">
        <v>77</v>
      </c>
      <c r="F66" s="51" t="s">
        <v>78</v>
      </c>
      <c r="G66" s="51" t="s">
        <v>49</v>
      </c>
      <c r="H66">
        <v>185</v>
      </c>
      <c r="I66" s="58">
        <v>13700</v>
      </c>
      <c r="J66" s="59">
        <v>2534500</v>
      </c>
      <c r="K66">
        <v>1</v>
      </c>
      <c r="O66" s="52"/>
    </row>
    <row r="67" spans="1:15" x14ac:dyDescent="0.15">
      <c r="A67">
        <v>2</v>
      </c>
      <c r="D67" s="51" t="s">
        <v>29</v>
      </c>
      <c r="E67" s="51" t="s">
        <v>30</v>
      </c>
      <c r="G67" s="51" t="s">
        <v>31</v>
      </c>
      <c r="H67">
        <v>3</v>
      </c>
      <c r="I67" s="58">
        <v>30000</v>
      </c>
      <c r="J67" s="59">
        <v>90000</v>
      </c>
      <c r="K67">
        <v>1</v>
      </c>
      <c r="O67" s="52"/>
    </row>
    <row r="68" spans="1:15" x14ac:dyDescent="0.15">
      <c r="A68">
        <v>2</v>
      </c>
      <c r="D68" s="51" t="s">
        <v>29</v>
      </c>
      <c r="E68" s="51" t="s">
        <v>32</v>
      </c>
      <c r="G68" s="51" t="s">
        <v>31</v>
      </c>
      <c r="H68">
        <v>24</v>
      </c>
      <c r="I68" s="58">
        <v>20000</v>
      </c>
      <c r="J68" s="59">
        <v>480000</v>
      </c>
      <c r="K68">
        <v>1</v>
      </c>
      <c r="O68" s="52"/>
    </row>
    <row r="69" spans="1:15" x14ac:dyDescent="0.15">
      <c r="A69">
        <v>2</v>
      </c>
      <c r="D69" s="51" t="s">
        <v>33</v>
      </c>
      <c r="E69" s="51" t="s">
        <v>79</v>
      </c>
      <c r="G69" s="51" t="s">
        <v>35</v>
      </c>
      <c r="H69">
        <v>3</v>
      </c>
      <c r="I69" s="58">
        <v>95000</v>
      </c>
      <c r="J69" s="59">
        <v>285000</v>
      </c>
      <c r="K69">
        <v>1</v>
      </c>
      <c r="O69" s="52"/>
    </row>
    <row r="70" spans="1:15" x14ac:dyDescent="0.15">
      <c r="A70">
        <v>2</v>
      </c>
      <c r="D70" s="51" t="s">
        <v>33</v>
      </c>
      <c r="E70" s="51" t="s">
        <v>74</v>
      </c>
      <c r="G70" s="51" t="s">
        <v>35</v>
      </c>
      <c r="H70">
        <v>3</v>
      </c>
      <c r="I70" s="58">
        <v>6000</v>
      </c>
      <c r="J70" s="59">
        <v>18000</v>
      </c>
      <c r="K70">
        <v>1</v>
      </c>
      <c r="O70" s="52"/>
    </row>
    <row r="71" spans="1:15" x14ac:dyDescent="0.15">
      <c r="A71">
        <v>2</v>
      </c>
      <c r="D71" s="51" t="s">
        <v>33</v>
      </c>
      <c r="E71" s="51" t="s">
        <v>36</v>
      </c>
      <c r="G71" s="51" t="s">
        <v>35</v>
      </c>
      <c r="H71">
        <v>3</v>
      </c>
      <c r="I71" s="58">
        <v>8000</v>
      </c>
      <c r="J71" s="59">
        <v>24000</v>
      </c>
      <c r="K71">
        <v>1</v>
      </c>
      <c r="O71" s="52"/>
    </row>
    <row r="72" spans="1:15" x14ac:dyDescent="0.15">
      <c r="A72">
        <v>2</v>
      </c>
      <c r="D72" s="51" t="s">
        <v>33</v>
      </c>
      <c r="E72" s="51" t="s">
        <v>70</v>
      </c>
      <c r="G72" s="51" t="s">
        <v>35</v>
      </c>
      <c r="H72">
        <v>6</v>
      </c>
      <c r="I72" s="58">
        <v>800</v>
      </c>
      <c r="J72" s="59">
        <v>4800</v>
      </c>
      <c r="K72">
        <v>1</v>
      </c>
      <c r="O72" s="52"/>
    </row>
    <row r="73" spans="1:15" x14ac:dyDescent="0.15">
      <c r="A73">
        <v>2</v>
      </c>
      <c r="D73" s="51" t="s">
        <v>33</v>
      </c>
      <c r="E73" s="51" t="s">
        <v>37</v>
      </c>
      <c r="G73" s="51" t="s">
        <v>38</v>
      </c>
      <c r="H73">
        <v>150</v>
      </c>
      <c r="I73" s="58">
        <v>180</v>
      </c>
      <c r="J73" s="59">
        <v>27000</v>
      </c>
      <c r="K73">
        <v>1</v>
      </c>
      <c r="O73" s="52"/>
    </row>
    <row r="74" spans="1:15" x14ac:dyDescent="0.15">
      <c r="A74">
        <v>2</v>
      </c>
      <c r="D74" s="51" t="s">
        <v>39</v>
      </c>
      <c r="E74" s="51" t="s">
        <v>41</v>
      </c>
      <c r="G74" s="51" t="s">
        <v>35</v>
      </c>
      <c r="H74">
        <v>3</v>
      </c>
      <c r="I74" s="58">
        <v>8000</v>
      </c>
      <c r="J74" s="59">
        <v>24000</v>
      </c>
      <c r="K74">
        <v>1</v>
      </c>
      <c r="O74" s="52"/>
    </row>
    <row r="75" spans="1:15" x14ac:dyDescent="0.15">
      <c r="A75">
        <v>2</v>
      </c>
      <c r="D75" s="51" t="s">
        <v>39</v>
      </c>
      <c r="E75" s="51" t="s">
        <v>42</v>
      </c>
      <c r="G75" s="51" t="s">
        <v>35</v>
      </c>
      <c r="H75">
        <v>3</v>
      </c>
      <c r="I75" s="58">
        <v>8000</v>
      </c>
      <c r="J75" s="59">
        <v>24000</v>
      </c>
      <c r="K75">
        <v>1</v>
      </c>
      <c r="O75" s="52"/>
    </row>
    <row r="76" spans="1:15" x14ac:dyDescent="0.15">
      <c r="A76">
        <v>2</v>
      </c>
      <c r="D76" s="51" t="s">
        <v>43</v>
      </c>
      <c r="E76" s="51" t="s">
        <v>44</v>
      </c>
      <c r="G76" s="51" t="s">
        <v>19</v>
      </c>
      <c r="H76">
        <v>1</v>
      </c>
      <c r="I76" s="58">
        <v>8700</v>
      </c>
      <c r="J76" s="59">
        <v>8700</v>
      </c>
      <c r="K76">
        <v>1</v>
      </c>
      <c r="O76" s="52"/>
    </row>
    <row r="77" spans="1:15" x14ac:dyDescent="0.15">
      <c r="A77">
        <v>1</v>
      </c>
      <c r="D77" s="51" t="s">
        <v>20</v>
      </c>
      <c r="E77" s="51" t="s">
        <v>80</v>
      </c>
      <c r="G77" s="51" t="s">
        <v>27</v>
      </c>
      <c r="H77">
        <v>6500</v>
      </c>
      <c r="I77" s="58">
        <v>520</v>
      </c>
      <c r="J77" s="59">
        <v>3380000</v>
      </c>
      <c r="K77">
        <v>6500</v>
      </c>
      <c r="M77" s="51" t="s">
        <v>81</v>
      </c>
      <c r="O77" s="52"/>
    </row>
    <row r="78" spans="1:15" x14ac:dyDescent="0.15">
      <c r="A78">
        <v>2</v>
      </c>
      <c r="D78" s="51" t="s">
        <v>43</v>
      </c>
      <c r="E78" s="51" t="s">
        <v>63</v>
      </c>
      <c r="G78" s="51" t="s">
        <v>49</v>
      </c>
      <c r="H78">
        <v>600</v>
      </c>
      <c r="I78" s="58">
        <v>1300</v>
      </c>
      <c r="J78" s="59">
        <v>780000</v>
      </c>
      <c r="K78">
        <v>1</v>
      </c>
      <c r="O78" s="52"/>
    </row>
    <row r="79" spans="1:15" x14ac:dyDescent="0.15">
      <c r="A79">
        <v>2</v>
      </c>
      <c r="D79" s="51" t="s">
        <v>29</v>
      </c>
      <c r="E79" s="51" t="s">
        <v>30</v>
      </c>
      <c r="G79" s="51" t="s">
        <v>31</v>
      </c>
      <c r="H79">
        <v>16</v>
      </c>
      <c r="I79" s="58">
        <v>30000</v>
      </c>
      <c r="J79" s="59">
        <v>480000</v>
      </c>
      <c r="K79">
        <v>1</v>
      </c>
      <c r="O79" s="52"/>
    </row>
    <row r="80" spans="1:15" x14ac:dyDescent="0.15">
      <c r="A80">
        <v>2</v>
      </c>
      <c r="D80" s="51" t="s">
        <v>29</v>
      </c>
      <c r="E80" s="51" t="s">
        <v>32</v>
      </c>
      <c r="G80" s="51" t="s">
        <v>31</v>
      </c>
      <c r="H80">
        <v>64</v>
      </c>
      <c r="I80" s="58">
        <v>20000</v>
      </c>
      <c r="J80" s="59">
        <v>1280000</v>
      </c>
      <c r="K80">
        <v>1</v>
      </c>
      <c r="O80" s="52"/>
    </row>
    <row r="81" spans="1:15" x14ac:dyDescent="0.15">
      <c r="A81">
        <v>2</v>
      </c>
      <c r="D81" s="51" t="s">
        <v>33</v>
      </c>
      <c r="E81" s="51" t="s">
        <v>34</v>
      </c>
      <c r="G81" s="51" t="s">
        <v>35</v>
      </c>
      <c r="H81">
        <v>16</v>
      </c>
      <c r="I81" s="58">
        <v>10000</v>
      </c>
      <c r="J81" s="59">
        <v>160000</v>
      </c>
      <c r="K81">
        <v>1</v>
      </c>
      <c r="O81" s="52"/>
    </row>
    <row r="82" spans="1:15" x14ac:dyDescent="0.15">
      <c r="A82">
        <v>2</v>
      </c>
      <c r="D82" s="51" t="s">
        <v>33</v>
      </c>
      <c r="E82" s="51" t="s">
        <v>74</v>
      </c>
      <c r="G82" s="51" t="s">
        <v>35</v>
      </c>
      <c r="H82">
        <v>16</v>
      </c>
      <c r="I82" s="58">
        <v>6000</v>
      </c>
      <c r="J82" s="59">
        <v>96000</v>
      </c>
      <c r="K82">
        <v>1</v>
      </c>
      <c r="O82" s="52"/>
    </row>
    <row r="83" spans="1:15" x14ac:dyDescent="0.15">
      <c r="A83">
        <v>2</v>
      </c>
      <c r="D83" s="51" t="s">
        <v>33</v>
      </c>
      <c r="E83" s="51" t="s">
        <v>36</v>
      </c>
      <c r="G83" s="51" t="s">
        <v>35</v>
      </c>
      <c r="H83">
        <v>16</v>
      </c>
      <c r="I83" s="58">
        <v>8000</v>
      </c>
      <c r="J83" s="59">
        <v>128000</v>
      </c>
      <c r="K83">
        <v>1</v>
      </c>
      <c r="O83" s="52"/>
    </row>
    <row r="84" spans="1:15" x14ac:dyDescent="0.15">
      <c r="A84">
        <v>2</v>
      </c>
      <c r="D84" s="51" t="s">
        <v>33</v>
      </c>
      <c r="E84" s="51" t="s">
        <v>70</v>
      </c>
      <c r="G84" s="51" t="s">
        <v>35</v>
      </c>
      <c r="H84">
        <v>16</v>
      </c>
      <c r="I84" s="58">
        <v>800</v>
      </c>
      <c r="J84" s="59">
        <v>12800</v>
      </c>
      <c r="K84">
        <v>1</v>
      </c>
      <c r="O84" s="52"/>
    </row>
    <row r="85" spans="1:15" x14ac:dyDescent="0.15">
      <c r="A85">
        <v>2</v>
      </c>
      <c r="D85" s="51" t="s">
        <v>33</v>
      </c>
      <c r="E85" s="51" t="s">
        <v>37</v>
      </c>
      <c r="G85" s="51" t="s">
        <v>38</v>
      </c>
      <c r="H85">
        <v>800</v>
      </c>
      <c r="I85" s="58">
        <v>180</v>
      </c>
      <c r="J85" s="59">
        <v>144000</v>
      </c>
      <c r="K85">
        <v>1</v>
      </c>
      <c r="O85" s="52"/>
    </row>
    <row r="86" spans="1:15" x14ac:dyDescent="0.15">
      <c r="A86">
        <v>2</v>
      </c>
      <c r="D86" s="51" t="s">
        <v>39</v>
      </c>
      <c r="E86" s="51" t="s">
        <v>41</v>
      </c>
      <c r="G86" s="51" t="s">
        <v>35</v>
      </c>
      <c r="H86">
        <v>16</v>
      </c>
      <c r="I86" s="58">
        <v>8000</v>
      </c>
      <c r="J86" s="59">
        <v>128000</v>
      </c>
      <c r="K86">
        <v>1</v>
      </c>
      <c r="O86" s="52"/>
    </row>
    <row r="87" spans="1:15" x14ac:dyDescent="0.15">
      <c r="A87">
        <v>2</v>
      </c>
      <c r="D87" s="51" t="s">
        <v>39</v>
      </c>
      <c r="E87" s="51" t="s">
        <v>42</v>
      </c>
      <c r="G87" s="51" t="s">
        <v>35</v>
      </c>
      <c r="H87">
        <v>16</v>
      </c>
      <c r="I87" s="58">
        <v>8000</v>
      </c>
      <c r="J87" s="59">
        <v>128000</v>
      </c>
      <c r="K87">
        <v>1</v>
      </c>
      <c r="O87" s="52"/>
    </row>
    <row r="88" spans="1:15" x14ac:dyDescent="0.15">
      <c r="A88">
        <v>2</v>
      </c>
      <c r="D88" s="51" t="s">
        <v>43</v>
      </c>
      <c r="E88" s="51" t="s">
        <v>44</v>
      </c>
      <c r="G88" s="51" t="s">
        <v>19</v>
      </c>
      <c r="H88">
        <v>1</v>
      </c>
      <c r="I88" s="58">
        <v>43200</v>
      </c>
      <c r="J88" s="59">
        <v>43200</v>
      </c>
      <c r="K88">
        <v>1</v>
      </c>
      <c r="O88" s="52"/>
    </row>
    <row r="89" spans="1:15" x14ac:dyDescent="0.15">
      <c r="A89">
        <v>1</v>
      </c>
      <c r="D89" s="51" t="s">
        <v>20</v>
      </c>
      <c r="E89" s="51" t="s">
        <v>82</v>
      </c>
      <c r="G89" s="51" t="s">
        <v>27</v>
      </c>
      <c r="H89">
        <v>693</v>
      </c>
      <c r="I89" s="58">
        <v>1000</v>
      </c>
      <c r="J89" s="59">
        <v>693000</v>
      </c>
      <c r="K89">
        <v>693</v>
      </c>
      <c r="M89" s="51" t="s">
        <v>83</v>
      </c>
      <c r="O89" s="52"/>
    </row>
    <row r="90" spans="1:15" x14ac:dyDescent="0.15">
      <c r="A90">
        <v>2</v>
      </c>
      <c r="D90" s="51" t="s">
        <v>43</v>
      </c>
      <c r="E90" s="51" t="s">
        <v>63</v>
      </c>
      <c r="G90" s="51" t="s">
        <v>49</v>
      </c>
      <c r="H90">
        <v>110</v>
      </c>
      <c r="I90" s="58">
        <v>1300</v>
      </c>
      <c r="J90" s="59">
        <v>143000</v>
      </c>
      <c r="K90">
        <v>1</v>
      </c>
      <c r="O90" s="52"/>
    </row>
    <row r="91" spans="1:15" x14ac:dyDescent="0.15">
      <c r="A91">
        <v>2</v>
      </c>
      <c r="D91" s="51" t="s">
        <v>43</v>
      </c>
      <c r="E91" s="51" t="s">
        <v>30</v>
      </c>
      <c r="G91" s="51" t="s">
        <v>31</v>
      </c>
      <c r="H91">
        <v>4</v>
      </c>
      <c r="I91" s="58">
        <v>30000</v>
      </c>
      <c r="J91" s="59">
        <v>120000</v>
      </c>
      <c r="K91">
        <v>1</v>
      </c>
      <c r="O91" s="52"/>
    </row>
    <row r="92" spans="1:15" x14ac:dyDescent="0.15">
      <c r="A92">
        <v>2</v>
      </c>
      <c r="D92" s="51" t="s">
        <v>29</v>
      </c>
      <c r="E92" s="51" t="s">
        <v>32</v>
      </c>
      <c r="G92" s="51" t="s">
        <v>31</v>
      </c>
      <c r="H92">
        <v>12</v>
      </c>
      <c r="I92" s="58">
        <v>20000</v>
      </c>
      <c r="J92" s="59">
        <v>240000</v>
      </c>
      <c r="K92">
        <v>1</v>
      </c>
      <c r="O92" s="52"/>
    </row>
    <row r="93" spans="1:15" x14ac:dyDescent="0.15">
      <c r="A93">
        <v>2</v>
      </c>
      <c r="D93" s="51" t="s">
        <v>33</v>
      </c>
      <c r="E93" s="51" t="s">
        <v>34</v>
      </c>
      <c r="G93" s="51" t="s">
        <v>35</v>
      </c>
      <c r="H93">
        <v>4</v>
      </c>
      <c r="I93" s="58">
        <v>10000</v>
      </c>
      <c r="J93" s="59">
        <v>40000</v>
      </c>
      <c r="K93">
        <v>1</v>
      </c>
      <c r="O93" s="52"/>
    </row>
    <row r="94" spans="1:15" x14ac:dyDescent="0.15">
      <c r="A94">
        <v>2</v>
      </c>
      <c r="D94" s="51" t="s">
        <v>33</v>
      </c>
      <c r="E94" s="51" t="s">
        <v>74</v>
      </c>
      <c r="G94" s="51" t="s">
        <v>35</v>
      </c>
      <c r="H94">
        <v>4</v>
      </c>
      <c r="I94" s="58">
        <v>6000</v>
      </c>
      <c r="J94" s="59">
        <v>24000</v>
      </c>
      <c r="K94">
        <v>1</v>
      </c>
      <c r="O94" s="52"/>
    </row>
    <row r="95" spans="1:15" x14ac:dyDescent="0.15">
      <c r="A95">
        <v>2</v>
      </c>
      <c r="D95" s="51" t="s">
        <v>33</v>
      </c>
      <c r="E95" s="51" t="s">
        <v>36</v>
      </c>
      <c r="G95" s="51" t="s">
        <v>35</v>
      </c>
      <c r="H95">
        <v>4</v>
      </c>
      <c r="I95" s="58">
        <v>8000</v>
      </c>
      <c r="J95" s="59">
        <v>32000</v>
      </c>
      <c r="K95">
        <v>1</v>
      </c>
      <c r="O95" s="52"/>
    </row>
    <row r="96" spans="1:15" x14ac:dyDescent="0.15">
      <c r="A96">
        <v>2</v>
      </c>
      <c r="D96" s="51" t="s">
        <v>33</v>
      </c>
      <c r="E96" s="51" t="s">
        <v>37</v>
      </c>
      <c r="G96" s="51" t="s">
        <v>38</v>
      </c>
      <c r="H96">
        <v>120</v>
      </c>
      <c r="I96" s="58">
        <v>180</v>
      </c>
      <c r="J96" s="59">
        <v>21600</v>
      </c>
      <c r="K96">
        <v>1</v>
      </c>
      <c r="O96" s="52"/>
    </row>
    <row r="97" spans="1:15" x14ac:dyDescent="0.15">
      <c r="A97">
        <v>2</v>
      </c>
      <c r="D97" s="51" t="s">
        <v>43</v>
      </c>
      <c r="E97" s="51" t="s">
        <v>44</v>
      </c>
      <c r="G97" s="51" t="s">
        <v>19</v>
      </c>
      <c r="H97">
        <v>1</v>
      </c>
      <c r="I97" s="58">
        <v>17400</v>
      </c>
      <c r="J97" s="59">
        <v>17400</v>
      </c>
      <c r="K97">
        <v>1</v>
      </c>
      <c r="O97" s="52"/>
    </row>
    <row r="98" spans="1:15" x14ac:dyDescent="0.15">
      <c r="A98">
        <v>2</v>
      </c>
      <c r="D98" s="51" t="s">
        <v>24</v>
      </c>
      <c r="E98" s="51" t="s">
        <v>84</v>
      </c>
      <c r="G98" s="51" t="s">
        <v>19</v>
      </c>
      <c r="H98">
        <v>1</v>
      </c>
      <c r="I98" s="58">
        <v>55000</v>
      </c>
      <c r="J98" s="59">
        <v>55000</v>
      </c>
      <c r="K98">
        <v>1</v>
      </c>
      <c r="O98" s="52"/>
    </row>
    <row r="99" spans="1:15" x14ac:dyDescent="0.15">
      <c r="A99">
        <v>1</v>
      </c>
      <c r="D99" s="51" t="s">
        <v>20</v>
      </c>
      <c r="E99" s="51" t="s">
        <v>85</v>
      </c>
      <c r="G99" s="51" t="s">
        <v>86</v>
      </c>
      <c r="H99">
        <v>15</v>
      </c>
      <c r="I99" s="58">
        <v>52000</v>
      </c>
      <c r="J99" s="59">
        <v>780000</v>
      </c>
      <c r="K99">
        <v>15</v>
      </c>
      <c r="M99" s="51" t="s">
        <v>87</v>
      </c>
      <c r="O99" s="52"/>
    </row>
    <row r="100" spans="1:15" x14ac:dyDescent="0.15">
      <c r="A100">
        <v>2</v>
      </c>
      <c r="D100" s="51" t="s">
        <v>43</v>
      </c>
      <c r="E100" s="51" t="s">
        <v>88</v>
      </c>
      <c r="G100" s="51" t="s">
        <v>61</v>
      </c>
      <c r="H100">
        <v>200</v>
      </c>
      <c r="I100" s="58">
        <v>130</v>
      </c>
      <c r="J100" s="59">
        <v>26000</v>
      </c>
      <c r="K100">
        <v>1</v>
      </c>
      <c r="O100" s="52"/>
    </row>
    <row r="101" spans="1:15" x14ac:dyDescent="0.15">
      <c r="A101">
        <v>2</v>
      </c>
      <c r="D101" s="51" t="s">
        <v>43</v>
      </c>
      <c r="E101" s="51" t="s">
        <v>89</v>
      </c>
      <c r="G101" s="51" t="s">
        <v>90</v>
      </c>
      <c r="H101">
        <v>40</v>
      </c>
      <c r="I101" s="58">
        <v>350</v>
      </c>
      <c r="J101" s="59">
        <v>14000</v>
      </c>
      <c r="K101">
        <v>1</v>
      </c>
      <c r="O101" s="52"/>
    </row>
    <row r="102" spans="1:15" x14ac:dyDescent="0.15">
      <c r="A102">
        <v>2</v>
      </c>
      <c r="D102" s="51" t="s">
        <v>29</v>
      </c>
      <c r="E102" s="51" t="s">
        <v>32</v>
      </c>
      <c r="G102" s="51" t="s">
        <v>31</v>
      </c>
      <c r="H102">
        <v>30</v>
      </c>
      <c r="I102" s="58">
        <v>20000</v>
      </c>
      <c r="J102" s="59">
        <v>600000</v>
      </c>
      <c r="K102">
        <v>1</v>
      </c>
      <c r="O102" s="52"/>
    </row>
    <row r="103" spans="1:15" x14ac:dyDescent="0.15">
      <c r="A103">
        <v>2</v>
      </c>
      <c r="D103" s="51" t="s">
        <v>39</v>
      </c>
      <c r="E103" s="51" t="s">
        <v>41</v>
      </c>
      <c r="G103" s="51" t="s">
        <v>35</v>
      </c>
      <c r="H103">
        <v>15</v>
      </c>
      <c r="I103" s="58">
        <v>8000</v>
      </c>
      <c r="J103" s="59">
        <v>120000</v>
      </c>
      <c r="K103">
        <v>1</v>
      </c>
      <c r="O103" s="52"/>
    </row>
    <row r="104" spans="1:15" x14ac:dyDescent="0.15">
      <c r="A104">
        <v>2</v>
      </c>
      <c r="D104" s="51" t="s">
        <v>33</v>
      </c>
      <c r="E104" s="51" t="s">
        <v>91</v>
      </c>
      <c r="G104" s="51" t="s">
        <v>92</v>
      </c>
      <c r="H104">
        <v>3</v>
      </c>
      <c r="I104" s="58">
        <v>5000</v>
      </c>
      <c r="J104" s="59">
        <v>15000</v>
      </c>
      <c r="K104">
        <v>1</v>
      </c>
      <c r="O104" s="52"/>
    </row>
    <row r="105" spans="1:15" x14ac:dyDescent="0.15">
      <c r="A105">
        <v>2</v>
      </c>
      <c r="D105" s="51" t="s">
        <v>43</v>
      </c>
      <c r="E105" s="51" t="s">
        <v>44</v>
      </c>
      <c r="G105" s="51" t="s">
        <v>19</v>
      </c>
      <c r="H105">
        <v>1</v>
      </c>
      <c r="I105" s="58">
        <v>5000</v>
      </c>
      <c r="J105" s="59">
        <v>5000</v>
      </c>
      <c r="K105">
        <v>1</v>
      </c>
      <c r="O105" s="52"/>
    </row>
    <row r="106" spans="1:15" x14ac:dyDescent="0.15">
      <c r="A106">
        <v>1</v>
      </c>
      <c r="D106" s="51" t="s">
        <v>20</v>
      </c>
      <c r="E106" s="51" t="s">
        <v>93</v>
      </c>
      <c r="F106" s="51" t="s">
        <v>94</v>
      </c>
      <c r="G106" s="51" t="s">
        <v>46</v>
      </c>
      <c r="H106">
        <v>200</v>
      </c>
      <c r="I106" s="58">
        <v>1200</v>
      </c>
      <c r="J106" s="59">
        <v>240000</v>
      </c>
      <c r="K106">
        <v>200</v>
      </c>
      <c r="M106" s="51" t="s">
        <v>95</v>
      </c>
      <c r="O106" s="52"/>
    </row>
    <row r="107" spans="1:15" x14ac:dyDescent="0.15">
      <c r="A107">
        <v>2</v>
      </c>
      <c r="D107" s="51" t="s">
        <v>43</v>
      </c>
      <c r="E107" s="51" t="s">
        <v>96</v>
      </c>
      <c r="G107" s="51" t="s">
        <v>97</v>
      </c>
      <c r="H107">
        <v>4</v>
      </c>
      <c r="I107" s="58">
        <v>6000</v>
      </c>
      <c r="J107" s="59">
        <v>24000</v>
      </c>
      <c r="K107">
        <v>1</v>
      </c>
      <c r="O107" s="52"/>
    </row>
    <row r="108" spans="1:15" x14ac:dyDescent="0.15">
      <c r="A108">
        <v>2</v>
      </c>
      <c r="D108" s="51" t="s">
        <v>43</v>
      </c>
      <c r="E108" s="51" t="s">
        <v>98</v>
      </c>
      <c r="G108" s="51" t="s">
        <v>61</v>
      </c>
      <c r="H108">
        <v>45</v>
      </c>
      <c r="I108" s="58">
        <v>1000</v>
      </c>
      <c r="J108" s="59">
        <v>45000</v>
      </c>
      <c r="K108">
        <v>1</v>
      </c>
      <c r="O108" s="52"/>
    </row>
    <row r="109" spans="1:15" x14ac:dyDescent="0.15">
      <c r="A109">
        <v>2</v>
      </c>
      <c r="D109" s="51" t="s">
        <v>43</v>
      </c>
      <c r="E109" s="51" t="s">
        <v>99</v>
      </c>
      <c r="G109" s="51" t="s">
        <v>61</v>
      </c>
      <c r="H109">
        <v>5</v>
      </c>
      <c r="I109" s="58">
        <v>6000</v>
      </c>
      <c r="J109" s="59">
        <v>30000</v>
      </c>
      <c r="K109">
        <v>1</v>
      </c>
      <c r="O109" s="52"/>
    </row>
    <row r="110" spans="1:15" x14ac:dyDescent="0.15">
      <c r="A110">
        <v>2</v>
      </c>
      <c r="D110" s="51" t="s">
        <v>33</v>
      </c>
      <c r="E110" s="51" t="s">
        <v>100</v>
      </c>
      <c r="G110" s="51" t="s">
        <v>61</v>
      </c>
      <c r="H110">
        <v>20</v>
      </c>
      <c r="I110" s="58">
        <v>1000</v>
      </c>
      <c r="J110" s="59">
        <v>20000</v>
      </c>
      <c r="K110">
        <v>1</v>
      </c>
      <c r="O110" s="52"/>
    </row>
    <row r="111" spans="1:15" x14ac:dyDescent="0.15">
      <c r="A111">
        <v>2</v>
      </c>
      <c r="D111" s="51" t="s">
        <v>33</v>
      </c>
      <c r="E111" s="51" t="s">
        <v>101</v>
      </c>
      <c r="G111" s="51" t="s">
        <v>61</v>
      </c>
      <c r="H111">
        <v>20</v>
      </c>
      <c r="I111" s="58">
        <v>1000</v>
      </c>
      <c r="J111" s="59">
        <v>20000</v>
      </c>
      <c r="K111">
        <v>1</v>
      </c>
      <c r="O111" s="52"/>
    </row>
    <row r="112" spans="1:15" x14ac:dyDescent="0.15">
      <c r="A112">
        <v>2</v>
      </c>
      <c r="D112" s="51" t="s">
        <v>29</v>
      </c>
      <c r="E112" s="51" t="s">
        <v>32</v>
      </c>
      <c r="G112" s="51" t="s">
        <v>31</v>
      </c>
      <c r="H112">
        <v>4</v>
      </c>
      <c r="I112" s="58">
        <v>20000</v>
      </c>
      <c r="J112" s="59">
        <v>80000</v>
      </c>
      <c r="K112">
        <v>1</v>
      </c>
      <c r="O112" s="52"/>
    </row>
    <row r="113" spans="1:15" x14ac:dyDescent="0.15">
      <c r="A113">
        <v>2</v>
      </c>
      <c r="D113" s="51" t="s">
        <v>43</v>
      </c>
      <c r="E113" s="51" t="s">
        <v>44</v>
      </c>
      <c r="G113" s="51" t="s">
        <v>19</v>
      </c>
      <c r="H113">
        <v>1</v>
      </c>
      <c r="I113" s="58">
        <v>21000</v>
      </c>
      <c r="J113" s="59">
        <v>21000</v>
      </c>
      <c r="K113">
        <v>1</v>
      </c>
      <c r="O113" s="52"/>
    </row>
    <row r="114" spans="1:15" x14ac:dyDescent="0.15">
      <c r="A114">
        <v>1</v>
      </c>
      <c r="D114" s="51" t="s">
        <v>20</v>
      </c>
      <c r="E114" s="51" t="s">
        <v>102</v>
      </c>
      <c r="G114" s="51" t="s">
        <v>31</v>
      </c>
      <c r="H114">
        <v>20</v>
      </c>
      <c r="I114" s="58">
        <v>36000</v>
      </c>
      <c r="J114" s="59">
        <v>720000</v>
      </c>
      <c r="K114">
        <v>20</v>
      </c>
      <c r="M114" s="51" t="s">
        <v>103</v>
      </c>
      <c r="O114" s="52"/>
    </row>
    <row r="115" spans="1:15" x14ac:dyDescent="0.15">
      <c r="A115">
        <v>2</v>
      </c>
      <c r="D115" s="51" t="s">
        <v>24</v>
      </c>
      <c r="E115" s="51" t="s">
        <v>104</v>
      </c>
      <c r="G115" s="51" t="s">
        <v>31</v>
      </c>
      <c r="H115">
        <v>40</v>
      </c>
      <c r="I115" s="58">
        <v>18000</v>
      </c>
      <c r="J115" s="59">
        <v>720000</v>
      </c>
      <c r="K115">
        <v>0</v>
      </c>
      <c r="O115" s="52"/>
    </row>
    <row r="116" spans="1:15" x14ac:dyDescent="0.15">
      <c r="A116">
        <v>1</v>
      </c>
      <c r="D116" s="51" t="s">
        <v>20</v>
      </c>
      <c r="E116" s="51" t="s">
        <v>105</v>
      </c>
      <c r="G116" s="51" t="s">
        <v>19</v>
      </c>
      <c r="H116">
        <v>1</v>
      </c>
      <c r="I116" s="58">
        <v>1100000</v>
      </c>
      <c r="J116" s="59">
        <v>1100000</v>
      </c>
      <c r="K116">
        <v>1</v>
      </c>
      <c r="M116" s="51" t="s">
        <v>106</v>
      </c>
      <c r="O116" s="52"/>
    </row>
    <row r="117" spans="1:15" x14ac:dyDescent="0.15">
      <c r="A117">
        <v>2</v>
      </c>
      <c r="D117" s="51" t="s">
        <v>24</v>
      </c>
      <c r="E117" s="51" t="s">
        <v>105</v>
      </c>
      <c r="G117" s="51" t="s">
        <v>19</v>
      </c>
      <c r="H117">
        <v>1</v>
      </c>
      <c r="I117" s="58">
        <v>1100000</v>
      </c>
      <c r="J117" s="59">
        <v>1100000</v>
      </c>
      <c r="K117">
        <v>0</v>
      </c>
      <c r="O117" s="52"/>
    </row>
    <row r="118" spans="1:15" x14ac:dyDescent="0.15">
      <c r="A118">
        <v>1</v>
      </c>
      <c r="D118" s="51" t="s">
        <v>20</v>
      </c>
      <c r="E118" s="51" t="s">
        <v>84</v>
      </c>
      <c r="G118" s="51" t="s">
        <v>19</v>
      </c>
      <c r="H118">
        <v>1</v>
      </c>
      <c r="I118" s="58">
        <v>820000</v>
      </c>
      <c r="J118" s="59">
        <v>820000</v>
      </c>
      <c r="K118">
        <v>1</v>
      </c>
      <c r="M118" s="51" t="s">
        <v>107</v>
      </c>
      <c r="O118" s="52"/>
    </row>
    <row r="119" spans="1:15" x14ac:dyDescent="0.15">
      <c r="A119">
        <v>2</v>
      </c>
      <c r="D119" s="51" t="s">
        <v>84</v>
      </c>
      <c r="E119" s="51" t="s">
        <v>84</v>
      </c>
      <c r="G119" s="51" t="s">
        <v>19</v>
      </c>
      <c r="H119">
        <v>1</v>
      </c>
      <c r="I119" s="58">
        <v>820000</v>
      </c>
      <c r="J119" s="59">
        <v>820000</v>
      </c>
      <c r="K119">
        <v>0</v>
      </c>
      <c r="O119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23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日立柏総合運動場改修工事</v>
      </c>
      <c r="G1" s="4"/>
      <c r="H1" s="16" t="s">
        <v>15</v>
      </c>
      <c r="I1" s="13">
        <v>26900000</v>
      </c>
      <c r="J1" s="17">
        <f>I4/I$1</f>
        <v>0.78097174721189588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108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日立柏総合運動場改修工事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21008140</v>
      </c>
      <c r="I4" s="48">
        <f>データ!J1</f>
        <v>21008140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｜撤去工</v>
      </c>
      <c r="E5" s="37" t="str">
        <f>TRIM(データ!F2)</f>
        <v>舗装版切断</v>
      </c>
      <c r="F5" s="38" t="str">
        <f>TRIM(データ!G2)</f>
        <v>式</v>
      </c>
      <c r="G5" s="50">
        <f>データ!H2</f>
        <v>1</v>
      </c>
      <c r="H5" s="48">
        <f>データ!I2</f>
        <v>35000</v>
      </c>
      <c r="I5" s="48">
        <f>データ!J2</f>
        <v>35000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1.6660208852378173E-3</v>
      </c>
      <c r="M5" s="40" t="str">
        <f>IF(データ!L2="","",データ!L2)</f>
        <v/>
      </c>
      <c r="N5" s="41" t="str">
        <f>IF(データ!M2="","",データ!M2)</f>
        <v>1号内訳書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外注費</v>
      </c>
      <c r="D6" s="36" t="str">
        <f>REPT("｜",$A6)&amp;TRIM(データ!E3)</f>
        <v>｜｜舗装版切断</v>
      </c>
      <c r="E6" s="37" t="str">
        <f>TRIM(データ!F3)</f>
        <v>As　t=5cm</v>
      </c>
      <c r="F6" s="38" t="str">
        <f>TRIM(データ!G3)</f>
        <v>式</v>
      </c>
      <c r="G6" s="50">
        <f>データ!H3</f>
        <v>1</v>
      </c>
      <c r="H6" s="48">
        <f>データ!I3</f>
        <v>35000</v>
      </c>
      <c r="I6" s="48">
        <f>データ!J3</f>
        <v>35000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1.6660208852378173E-3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1</v>
      </c>
      <c r="B7" s="47" t="str">
        <f>TRIM(データ!C4)</f>
        <v/>
      </c>
      <c r="C7" s="47" t="str">
        <f>TRIM(データ!D4)</f>
        <v>内訳代価</v>
      </c>
      <c r="D7" s="36" t="str">
        <f>REPT("｜",$A7)&amp;TRIM(データ!E4)</f>
        <v>｜撤去工</v>
      </c>
      <c r="E7" s="37" t="str">
        <f>TRIM(データ!F4)</f>
        <v>舗装版撤去</v>
      </c>
      <c r="F7" s="38" t="str">
        <f>TRIM(データ!G4)</f>
        <v>m2</v>
      </c>
      <c r="G7" s="50">
        <f>データ!H4</f>
        <v>1600</v>
      </c>
      <c r="H7" s="48">
        <f>データ!I4</f>
        <v>540</v>
      </c>
      <c r="I7" s="48">
        <f>データ!J4</f>
        <v>864000</v>
      </c>
      <c r="J7" s="39">
        <f>IF(OR($C7="総括",$C7="内訳書",$C7="内訳代価",$C7="明細書",$C7="明細代価",$C7="代価表",$C7="単価表"),データ!K4,"")</f>
        <v>1600</v>
      </c>
      <c r="K7" s="11" t="str">
        <f t="shared" si="0"/>
        <v/>
      </c>
      <c r="L7" s="46">
        <f t="shared" si="1"/>
        <v>4.1126915567013547E-2</v>
      </c>
      <c r="M7" s="40" t="str">
        <f>IF(データ!L4="","",データ!L4)</f>
        <v/>
      </c>
      <c r="N7" s="41" t="str">
        <f>IF(データ!M4="","",データ!M4)</f>
        <v>2号内訳書</v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>
        <f>IF(OR($C7="総括",$C7="内訳書",$C7="内訳代価",$C7="明細書",$C7="明細代価",$C7="代価表",$C7="単価表"),データ!Q4,"")</f>
        <v>0</v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>
        <f>IF(OR($C7="総括",$C7="内訳書",$C7="内訳代価",$C7="明細書",$C7="明細代価",$C7="代価表",$C7="単価表"),データ!W4,"")</f>
        <v>0</v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労務費</v>
      </c>
      <c r="D8" s="36" t="str">
        <f>REPT("｜",$A8)&amp;TRIM(データ!E5)</f>
        <v>｜｜世話役</v>
      </c>
      <c r="E8" s="37" t="str">
        <f>TRIM(データ!F5)</f>
        <v/>
      </c>
      <c r="F8" s="38" t="str">
        <f>TRIM(データ!G5)</f>
        <v>人</v>
      </c>
      <c r="G8" s="50">
        <f>データ!H5</f>
        <v>6</v>
      </c>
      <c r="H8" s="48">
        <f>データ!I5</f>
        <v>30000</v>
      </c>
      <c r="I8" s="48">
        <f>データ!J5</f>
        <v>180000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8.5681074097944884E-3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労務費</v>
      </c>
      <c r="D9" s="36" t="str">
        <f>REPT("｜",$A9)&amp;TRIM(データ!E6)</f>
        <v>｜｜技工</v>
      </c>
      <c r="E9" s="37" t="str">
        <f>TRIM(データ!F6)</f>
        <v/>
      </c>
      <c r="F9" s="38" t="str">
        <f>TRIM(データ!G6)</f>
        <v>人</v>
      </c>
      <c r="G9" s="50">
        <f>データ!H6</f>
        <v>12</v>
      </c>
      <c r="H9" s="48">
        <f>データ!I6</f>
        <v>20000</v>
      </c>
      <c r="I9" s="48">
        <f>データ!J6</f>
        <v>240000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1.142414321305932E-2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機械費</v>
      </c>
      <c r="D10" s="36" t="str">
        <f>REPT("｜",$A10)&amp;TRIM(データ!E7)</f>
        <v>｜｜0.2m3BH</v>
      </c>
      <c r="E10" s="37" t="str">
        <f>TRIM(データ!F7)</f>
        <v/>
      </c>
      <c r="F10" s="38" t="str">
        <f>TRIM(データ!G7)</f>
        <v>台</v>
      </c>
      <c r="G10" s="50">
        <f>データ!H7</f>
        <v>6</v>
      </c>
      <c r="H10" s="48">
        <f>データ!I7</f>
        <v>10000</v>
      </c>
      <c r="I10" s="48">
        <f>データ!J7</f>
        <v>60000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2.8560358032648299E-3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｜｜0.5m3TS</v>
      </c>
      <c r="E11" s="37" t="str">
        <f>TRIM(データ!F8)</f>
        <v/>
      </c>
      <c r="F11" s="38" t="str">
        <f>TRIM(データ!G8)</f>
        <v>台</v>
      </c>
      <c r="G11" s="50">
        <f>データ!H8</f>
        <v>6</v>
      </c>
      <c r="H11" s="48">
        <f>データ!I8</f>
        <v>8000</v>
      </c>
      <c r="I11" s="48">
        <f>データ!J8</f>
        <v>48000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2.2848286426118639E-3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｜｜軽油</v>
      </c>
      <c r="E12" s="37" t="str">
        <f>TRIM(データ!F9)</f>
        <v/>
      </c>
      <c r="F12" s="38" t="str">
        <f>TRIM(データ!G9)</f>
        <v>リットル</v>
      </c>
      <c r="G12" s="50">
        <f>データ!H9</f>
        <v>180</v>
      </c>
      <c r="H12" s="48">
        <f>データ!I9</f>
        <v>180</v>
      </c>
      <c r="I12" s="48">
        <f>データ!J9</f>
        <v>32400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1.5422593337630082E-3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運搬費</v>
      </c>
      <c r="D13" s="36" t="str">
        <f>REPT("｜",$A13)&amp;TRIM(データ!E10)</f>
        <v>｜｜4tDT（常傭）</v>
      </c>
      <c r="E13" s="37" t="str">
        <f>TRIM(データ!F10)</f>
        <v/>
      </c>
      <c r="F13" s="38" t="str">
        <f>TRIM(データ!G10)</f>
        <v>台</v>
      </c>
      <c r="G13" s="50">
        <f>データ!H10</f>
        <v>6</v>
      </c>
      <c r="H13" s="48">
        <f>データ!I10</f>
        <v>32000</v>
      </c>
      <c r="I13" s="48">
        <f>データ!J10</f>
        <v>192000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9.1393145704474557E-3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運搬費</v>
      </c>
      <c r="D14" s="36" t="str">
        <f>REPT("｜",$A14)&amp;TRIM(データ!E11)</f>
        <v>｜｜2tDT</v>
      </c>
      <c r="E14" s="37" t="str">
        <f>TRIM(データ!F11)</f>
        <v/>
      </c>
      <c r="F14" s="38" t="str">
        <f>TRIM(データ!G11)</f>
        <v>台</v>
      </c>
      <c r="G14" s="50">
        <f>データ!H11</f>
        <v>6</v>
      </c>
      <c r="H14" s="48">
        <f>データ!I11</f>
        <v>8000</v>
      </c>
      <c r="I14" s="48">
        <f>データ!J11</f>
        <v>48000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2.2848286426118639E-3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運搬費</v>
      </c>
      <c r="D15" s="36" t="str">
        <f>REPT("｜",$A15)&amp;TRIM(データ!E12)</f>
        <v>｜｜WP</v>
      </c>
      <c r="E15" s="37" t="str">
        <f>TRIM(データ!F12)</f>
        <v/>
      </c>
      <c r="F15" s="38" t="str">
        <f>TRIM(データ!G12)</f>
        <v>台</v>
      </c>
      <c r="G15" s="50">
        <f>データ!H12</f>
        <v>6</v>
      </c>
      <c r="H15" s="48">
        <f>データ!I12</f>
        <v>8000</v>
      </c>
      <c r="I15" s="48">
        <f>データ!J12</f>
        <v>48000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2.2848286426118639E-3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材料費</v>
      </c>
      <c r="D16" s="36" t="str">
        <f>REPT("｜",$A16)&amp;TRIM(データ!E13)</f>
        <v>｜｜雑材</v>
      </c>
      <c r="E16" s="37" t="str">
        <f>TRIM(データ!F13)</f>
        <v/>
      </c>
      <c r="F16" s="38" t="str">
        <f>TRIM(データ!G13)</f>
        <v>式</v>
      </c>
      <c r="G16" s="50">
        <f>データ!H13</f>
        <v>1</v>
      </c>
      <c r="H16" s="48">
        <f>データ!I13</f>
        <v>15600</v>
      </c>
      <c r="I16" s="48">
        <f>データ!J13</f>
        <v>15600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7.4256930884885578E-4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1</v>
      </c>
      <c r="B17" s="47" t="str">
        <f>TRIM(データ!C14)</f>
        <v/>
      </c>
      <c r="C17" s="47" t="str">
        <f>TRIM(データ!D14)</f>
        <v>内訳代価</v>
      </c>
      <c r="D17" s="36" t="str">
        <f>REPT("｜",$A17)&amp;TRIM(データ!E14)</f>
        <v>｜撤去工</v>
      </c>
      <c r="E17" s="37" t="str">
        <f>TRIM(データ!F14)</f>
        <v>地先境界ブロック撤去</v>
      </c>
      <c r="F17" s="38" t="str">
        <f>TRIM(データ!G14)</f>
        <v>ｍ</v>
      </c>
      <c r="G17" s="50">
        <f>データ!H14</f>
        <v>897</v>
      </c>
      <c r="H17" s="48">
        <f>データ!I14</f>
        <v>640</v>
      </c>
      <c r="I17" s="48">
        <f>データ!J14</f>
        <v>574080</v>
      </c>
      <c r="J17" s="39">
        <f>IF(OR($C17="総括",$C17="内訳書",$C17="内訳代価",$C17="明細書",$C17="明細代価",$C17="代価表",$C17="単価表"),データ!K14,"")</f>
        <v>897</v>
      </c>
      <c r="K17" s="11" t="str">
        <f t="shared" si="0"/>
        <v/>
      </c>
      <c r="L17" s="46">
        <f t="shared" si="1"/>
        <v>2.7326550565637892E-2</v>
      </c>
      <c r="M17" s="40" t="str">
        <f>IF(データ!L14="","",データ!L14)</f>
        <v/>
      </c>
      <c r="N17" s="41" t="str">
        <f>IF(データ!M14="","",データ!M14)</f>
        <v>3号内訳書</v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>
        <f>IF(OR($C17="総括",$C17="内訳書",$C17="内訳代価",$C17="明細書",$C17="明細代価",$C17="代価表",$C17="単価表"),データ!Q14,"")</f>
        <v>0</v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>
        <f>IF(OR($C17="総括",$C17="内訳書",$C17="内訳代価",$C17="明細書",$C17="明細代価",$C17="代価表",$C17="単価表"),データ!W14,"")</f>
        <v>0</v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労務費</v>
      </c>
      <c r="D18" s="36" t="str">
        <f>REPT("｜",$A18)&amp;TRIM(データ!E15)</f>
        <v>｜｜世話役</v>
      </c>
      <c r="E18" s="37" t="str">
        <f>TRIM(データ!F15)</f>
        <v/>
      </c>
      <c r="F18" s="38" t="str">
        <f>TRIM(データ!G15)</f>
        <v>人</v>
      </c>
      <c r="G18" s="50">
        <f>データ!H15</f>
        <v>4</v>
      </c>
      <c r="H18" s="48">
        <f>データ!I15</f>
        <v>30000</v>
      </c>
      <c r="I18" s="48">
        <f>データ!J15</f>
        <v>120000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5.7120716065296598E-3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労務費</v>
      </c>
      <c r="D19" s="36" t="str">
        <f>REPT("｜",$A19)&amp;TRIM(データ!E16)</f>
        <v>｜｜技工</v>
      </c>
      <c r="E19" s="37" t="str">
        <f>TRIM(データ!F16)</f>
        <v/>
      </c>
      <c r="F19" s="38" t="str">
        <f>TRIM(データ!G16)</f>
        <v>人</v>
      </c>
      <c r="G19" s="50">
        <f>データ!H16</f>
        <v>8</v>
      </c>
      <c r="H19" s="48">
        <f>データ!I16</f>
        <v>20000</v>
      </c>
      <c r="I19" s="48">
        <f>データ!J16</f>
        <v>160000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7.6160954753728789E-3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機械費</v>
      </c>
      <c r="D20" s="36" t="str">
        <f>REPT("｜",$A20)&amp;TRIM(データ!E17)</f>
        <v>｜｜0.2m3BH</v>
      </c>
      <c r="E20" s="37" t="str">
        <f>TRIM(データ!F17)</f>
        <v/>
      </c>
      <c r="F20" s="38" t="str">
        <f>TRIM(データ!G17)</f>
        <v>台</v>
      </c>
      <c r="G20" s="50">
        <f>データ!H17</f>
        <v>4</v>
      </c>
      <c r="H20" s="48">
        <f>データ!I17</f>
        <v>10000</v>
      </c>
      <c r="I20" s="48">
        <f>データ!J17</f>
        <v>40000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1.9040238688432197E-3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機械費</v>
      </c>
      <c r="D21" s="36" t="str">
        <f>REPT("｜",$A21)&amp;TRIM(データ!E18)</f>
        <v>｜｜0.5m3TS</v>
      </c>
      <c r="E21" s="37" t="str">
        <f>TRIM(データ!F18)</f>
        <v/>
      </c>
      <c r="F21" s="38" t="str">
        <f>TRIM(データ!G18)</f>
        <v>台</v>
      </c>
      <c r="G21" s="50">
        <f>データ!H18</f>
        <v>4</v>
      </c>
      <c r="H21" s="48">
        <f>データ!I18</f>
        <v>8000</v>
      </c>
      <c r="I21" s="48">
        <f>データ!J18</f>
        <v>32000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1.523219095074576E-3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｜｜軽油</v>
      </c>
      <c r="E22" s="37" t="str">
        <f>TRIM(データ!F19)</f>
        <v/>
      </c>
      <c r="F22" s="38" t="str">
        <f>TRIM(データ!G19)</f>
        <v>リットル</v>
      </c>
      <c r="G22" s="50">
        <f>データ!H19</f>
        <v>120</v>
      </c>
      <c r="H22" s="48">
        <f>データ!I19</f>
        <v>180</v>
      </c>
      <c r="I22" s="48">
        <f>データ!J19</f>
        <v>21600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1.0281728891753388E-3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運搬費</v>
      </c>
      <c r="D23" s="36" t="str">
        <f>REPT("｜",$A23)&amp;TRIM(データ!E20)</f>
        <v>｜｜4tDT（常傭）</v>
      </c>
      <c r="E23" s="37" t="str">
        <f>TRIM(データ!F20)</f>
        <v/>
      </c>
      <c r="F23" s="38" t="str">
        <f>TRIM(データ!G20)</f>
        <v>台</v>
      </c>
      <c r="G23" s="50">
        <f>データ!H20</f>
        <v>4</v>
      </c>
      <c r="H23" s="48">
        <f>データ!I20</f>
        <v>32000</v>
      </c>
      <c r="I23" s="48">
        <f>データ!J20</f>
        <v>128000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6.0928763802983038E-3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運搬費</v>
      </c>
      <c r="D24" s="36" t="str">
        <f>REPT("｜",$A24)&amp;TRIM(データ!E21)</f>
        <v>｜｜2tDT</v>
      </c>
      <c r="E24" s="37" t="str">
        <f>TRIM(データ!F21)</f>
        <v/>
      </c>
      <c r="F24" s="38" t="str">
        <f>TRIM(データ!G21)</f>
        <v>台</v>
      </c>
      <c r="G24" s="50">
        <f>データ!H21</f>
        <v>4</v>
      </c>
      <c r="H24" s="48">
        <f>データ!I21</f>
        <v>8000</v>
      </c>
      <c r="I24" s="48">
        <f>データ!J21</f>
        <v>32000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1.523219095074576E-3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運搬費</v>
      </c>
      <c r="D25" s="36" t="str">
        <f>REPT("｜",$A25)&amp;TRIM(データ!E22)</f>
        <v>｜｜WP</v>
      </c>
      <c r="E25" s="37" t="str">
        <f>TRIM(データ!F22)</f>
        <v/>
      </c>
      <c r="F25" s="38" t="str">
        <f>TRIM(データ!G22)</f>
        <v>台</v>
      </c>
      <c r="G25" s="50">
        <f>データ!H22</f>
        <v>4</v>
      </c>
      <c r="H25" s="48">
        <f>データ!I22</f>
        <v>8000</v>
      </c>
      <c r="I25" s="48">
        <f>データ!J22</f>
        <v>32000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1.523219095074576E-3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材料費</v>
      </c>
      <c r="D26" s="36" t="str">
        <f>REPT("｜",$A26)&amp;TRIM(データ!E23)</f>
        <v>｜｜雑材</v>
      </c>
      <c r="E26" s="37" t="str">
        <f>TRIM(データ!F23)</f>
        <v/>
      </c>
      <c r="F26" s="38" t="str">
        <f>TRIM(データ!G23)</f>
        <v>式</v>
      </c>
      <c r="G26" s="50">
        <f>データ!H23</f>
        <v>1</v>
      </c>
      <c r="H26" s="48">
        <f>データ!I23</f>
        <v>8480</v>
      </c>
      <c r="I26" s="48">
        <f>データ!J23</f>
        <v>8480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4.0365306019476261E-4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1</v>
      </c>
      <c r="B27" s="47" t="str">
        <f>TRIM(データ!C24)</f>
        <v/>
      </c>
      <c r="C27" s="47" t="str">
        <f>TRIM(データ!D24)</f>
        <v>内訳代価</v>
      </c>
      <c r="D27" s="36" t="str">
        <f>REPT("｜",$A27)&amp;TRIM(データ!E24)</f>
        <v>｜撤去工</v>
      </c>
      <c r="E27" s="37" t="str">
        <f>TRIM(データ!F24)</f>
        <v>舗装殻運搬・処分</v>
      </c>
      <c r="F27" s="38" t="str">
        <f>TRIM(データ!G24)</f>
        <v>ｔ</v>
      </c>
      <c r="G27" s="50">
        <f>データ!H24</f>
        <v>188</v>
      </c>
      <c r="H27" s="48">
        <f>データ!I24</f>
        <v>1950</v>
      </c>
      <c r="I27" s="48">
        <f>データ!J24</f>
        <v>366600</v>
      </c>
      <c r="J27" s="39">
        <f>IF(OR($C27="総括",$C27="内訳書",$C27="内訳代価",$C27="明細書",$C27="明細代価",$C27="代価表",$C27="単価表"),データ!K24,"")</f>
        <v>188</v>
      </c>
      <c r="K27" s="11" t="str">
        <f t="shared" si="0"/>
        <v/>
      </c>
      <c r="L27" s="46">
        <f t="shared" si="1"/>
        <v>1.745037875794811E-2</v>
      </c>
      <c r="M27" s="40" t="str">
        <f>IF(データ!L24="","",データ!L24)</f>
        <v/>
      </c>
      <c r="N27" s="41" t="str">
        <f>IF(データ!M24="","",データ!M24)</f>
        <v>4号内訳書</v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>
        <f>IF(OR($C27="総括",$C27="内訳書",$C27="内訳代価",$C27="明細書",$C27="明細代価",$C27="代価表",$C27="単価表"),データ!Q24,"")</f>
        <v>0</v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>
        <f>IF(OR($C27="総括",$C27="内訳書",$C27="内訳代価",$C27="明細書",$C27="明細代価",$C27="代価表",$C27="単価表"),データ!W24,"")</f>
        <v>0</v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運搬費</v>
      </c>
      <c r="D28" s="36" t="str">
        <f>REPT("｜",$A28)&amp;TRIM(データ!E25)</f>
        <v>｜｜0.5m3TS</v>
      </c>
      <c r="E28" s="37" t="str">
        <f>TRIM(データ!F25)</f>
        <v/>
      </c>
      <c r="F28" s="38" t="str">
        <f>TRIM(データ!G25)</f>
        <v>台</v>
      </c>
      <c r="G28" s="50">
        <f>データ!H25</f>
        <v>5</v>
      </c>
      <c r="H28" s="48">
        <f>データ!I25</f>
        <v>8000</v>
      </c>
      <c r="I28" s="48">
        <f>データ!J25</f>
        <v>40000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1.9040238688432197E-3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｜｜軽油</v>
      </c>
      <c r="E29" s="37" t="str">
        <f>TRIM(データ!F26)</f>
        <v/>
      </c>
      <c r="F29" s="38" t="str">
        <f>TRIM(データ!G26)</f>
        <v>リットル</v>
      </c>
      <c r="G29" s="50">
        <f>データ!H26</f>
        <v>150</v>
      </c>
      <c r="H29" s="48">
        <f>データ!I26</f>
        <v>180</v>
      </c>
      <c r="I29" s="48">
        <f>データ!J26</f>
        <v>27000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1.2852161114691734E-3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運搬費</v>
      </c>
      <c r="D30" s="36" t="str">
        <f>REPT("｜",$A30)&amp;TRIM(データ!E27)</f>
        <v>｜｜10ｔDT（常傭）</v>
      </c>
      <c r="E30" s="37" t="str">
        <f>TRIM(データ!F27)</f>
        <v/>
      </c>
      <c r="F30" s="38" t="str">
        <f>TRIM(データ!G27)</f>
        <v>台</v>
      </c>
      <c r="G30" s="50">
        <f>データ!H27</f>
        <v>5</v>
      </c>
      <c r="H30" s="48">
        <f>データ!I27</f>
        <v>44000</v>
      </c>
      <c r="I30" s="48">
        <f>データ!J27</f>
        <v>220000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1.0472131278637709E-2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運搬費</v>
      </c>
      <c r="D31" s="36" t="str">
        <f>REPT("｜",$A31)&amp;TRIM(データ!E28)</f>
        <v>｜｜Asガラ処分</v>
      </c>
      <c r="E31" s="37" t="str">
        <f>TRIM(データ!F28)</f>
        <v/>
      </c>
      <c r="F31" s="38" t="str">
        <f>TRIM(データ!G28)</f>
        <v>ｔ</v>
      </c>
      <c r="G31" s="50">
        <f>データ!H28</f>
        <v>188</v>
      </c>
      <c r="H31" s="48">
        <f>データ!I28</f>
        <v>400</v>
      </c>
      <c r="I31" s="48">
        <f>データ!J28</f>
        <v>75200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3.5795648734252531E-3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材料費</v>
      </c>
      <c r="D32" s="36" t="str">
        <f>REPT("｜",$A32)&amp;TRIM(データ!E29)</f>
        <v>｜｜雑材</v>
      </c>
      <c r="E32" s="37" t="str">
        <f>TRIM(データ!F29)</f>
        <v/>
      </c>
      <c r="F32" s="38" t="str">
        <f>TRIM(データ!G29)</f>
        <v>式</v>
      </c>
      <c r="G32" s="50">
        <f>データ!H29</f>
        <v>1</v>
      </c>
      <c r="H32" s="48">
        <f>データ!I29</f>
        <v>4400</v>
      </c>
      <c r="I32" s="48">
        <f>データ!J29</f>
        <v>4400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2.0944262557275419E-4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1</v>
      </c>
      <c r="B33" s="47" t="str">
        <f>TRIM(データ!C30)</f>
        <v/>
      </c>
      <c r="C33" s="47" t="str">
        <f>TRIM(データ!D30)</f>
        <v>内訳代価</v>
      </c>
      <c r="D33" s="36" t="str">
        <f>REPT("｜",$A33)&amp;TRIM(データ!E30)</f>
        <v>｜撤去工</v>
      </c>
      <c r="E33" s="37" t="str">
        <f>TRIM(データ!F30)</f>
        <v>コンクリート殻運搬・処分</v>
      </c>
      <c r="F33" s="38" t="str">
        <f>TRIM(データ!G30)</f>
        <v>ｔ</v>
      </c>
      <c r="G33" s="50">
        <f>データ!H30</f>
        <v>66</v>
      </c>
      <c r="H33" s="48">
        <f>データ!I30</f>
        <v>6200</v>
      </c>
      <c r="I33" s="48">
        <f>データ!J30</f>
        <v>409200</v>
      </c>
      <c r="J33" s="39">
        <f>IF(OR($C33="総括",$C33="内訳書",$C33="内訳代価",$C33="明細書",$C33="明細代価",$C33="代価表",$C33="単価表"),データ!K30,"")</f>
        <v>66</v>
      </c>
      <c r="K33" s="11" t="str">
        <f t="shared" si="0"/>
        <v/>
      </c>
      <c r="L33" s="46">
        <f t="shared" si="1"/>
        <v>1.9478164178266137E-2</v>
      </c>
      <c r="M33" s="40" t="str">
        <f>IF(データ!L30="","",データ!L30)</f>
        <v/>
      </c>
      <c r="N33" s="41" t="str">
        <f>IF(データ!M30="","",データ!M30)</f>
        <v>5号内訳書</v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>
        <f>IF(OR($C33="総括",$C33="内訳書",$C33="内訳代価",$C33="明細書",$C33="明細代価",$C33="代価表",$C33="単価表"),データ!Q30,"")</f>
        <v>0</v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>
        <f>IF(OR($C33="総括",$C33="内訳書",$C33="内訳代価",$C33="明細書",$C33="明細代価",$C33="代価表",$C33="単価表"),データ!W30,"")</f>
        <v>0</v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機械費</v>
      </c>
      <c r="D34" s="36" t="str">
        <f>REPT("｜",$A34)&amp;TRIM(データ!E31)</f>
        <v>｜｜0.5m3TS</v>
      </c>
      <c r="E34" s="37" t="str">
        <f>TRIM(データ!F31)</f>
        <v/>
      </c>
      <c r="F34" s="38" t="str">
        <f>TRIM(データ!G31)</f>
        <v>台</v>
      </c>
      <c r="G34" s="50">
        <f>データ!H31</f>
        <v>3</v>
      </c>
      <c r="H34" s="48">
        <f>データ!I31</f>
        <v>8000</v>
      </c>
      <c r="I34" s="48">
        <f>データ!J31</f>
        <v>24000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1.142414321305932E-3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機械費</v>
      </c>
      <c r="D35" s="36" t="str">
        <f>REPT("｜",$A35)&amp;TRIM(データ!E32)</f>
        <v>｜｜軽油</v>
      </c>
      <c r="E35" s="37" t="str">
        <f>TRIM(データ!F32)</f>
        <v/>
      </c>
      <c r="F35" s="38" t="str">
        <f>TRIM(データ!G32)</f>
        <v>リットル</v>
      </c>
      <c r="G35" s="50">
        <f>データ!H32</f>
        <v>90</v>
      </c>
      <c r="H35" s="48">
        <f>データ!I32</f>
        <v>180</v>
      </c>
      <c r="I35" s="48">
        <f>データ!J32</f>
        <v>16200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7.7112966688150408E-4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運搬費</v>
      </c>
      <c r="D36" s="36" t="str">
        <f>REPT("｜",$A36)&amp;TRIM(データ!E33)</f>
        <v>｜｜10tDT（常傭）</v>
      </c>
      <c r="E36" s="37" t="str">
        <f>TRIM(データ!F33)</f>
        <v/>
      </c>
      <c r="F36" s="38" t="str">
        <f>TRIM(データ!G33)</f>
        <v>台</v>
      </c>
      <c r="G36" s="50">
        <f>データ!H33</f>
        <v>3</v>
      </c>
      <c r="H36" s="48">
        <f>データ!I33</f>
        <v>44000</v>
      </c>
      <c r="I36" s="48">
        <f>データ!J33</f>
        <v>132000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6.2832787671826254E-3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運搬費</v>
      </c>
      <c r="D37" s="36" t="str">
        <f>REPT("｜",$A37)&amp;TRIM(データ!E34)</f>
        <v>｜｜ｺﾝｸﾘｰﾄ殻処分（二次製品）</v>
      </c>
      <c r="E37" s="37" t="str">
        <f>TRIM(データ!F34)</f>
        <v/>
      </c>
      <c r="F37" s="38" t="str">
        <f>TRIM(データ!G34)</f>
        <v>ｔ</v>
      </c>
      <c r="G37" s="50">
        <f>データ!H34</f>
        <v>66</v>
      </c>
      <c r="H37" s="48">
        <f>データ!I34</f>
        <v>3500</v>
      </c>
      <c r="I37" s="48">
        <f>データ!J34</f>
        <v>231000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1.0995737842569594E-2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材料費</v>
      </c>
      <c r="D38" s="36" t="str">
        <f>REPT("｜",$A38)&amp;TRIM(データ!E35)</f>
        <v>｜｜雑材</v>
      </c>
      <c r="E38" s="37" t="str">
        <f>TRIM(データ!F35)</f>
        <v/>
      </c>
      <c r="F38" s="38" t="str">
        <f>TRIM(データ!G35)</f>
        <v>式</v>
      </c>
      <c r="G38" s="50">
        <f>データ!H35</f>
        <v>1</v>
      </c>
      <c r="H38" s="48">
        <f>データ!I35</f>
        <v>6000</v>
      </c>
      <c r="I38" s="48">
        <f>データ!J35</f>
        <v>6000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2.8560358032648299E-4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1</v>
      </c>
      <c r="B39" s="47" t="str">
        <f>TRIM(データ!C36)</f>
        <v/>
      </c>
      <c r="C39" s="47" t="str">
        <f>TRIM(データ!D36)</f>
        <v>内訳代価</v>
      </c>
      <c r="D39" s="36" t="str">
        <f>REPT("｜",$A39)&amp;TRIM(データ!E36)</f>
        <v>｜附帯工</v>
      </c>
      <c r="E39" s="37" t="str">
        <f>TRIM(データ!F36)</f>
        <v>地先境界ブロック</v>
      </c>
      <c r="F39" s="38" t="str">
        <f>TRIM(データ!G36)</f>
        <v>ｍ</v>
      </c>
      <c r="G39" s="50">
        <f>データ!H36</f>
        <v>897</v>
      </c>
      <c r="H39" s="48">
        <f>データ!I36</f>
        <v>4580</v>
      </c>
      <c r="I39" s="48">
        <f>データ!J36</f>
        <v>4108260</v>
      </c>
      <c r="J39" s="39">
        <f>IF(OR($C39="総括",$C39="内訳書",$C39="内訳代価",$C39="明細書",$C39="明細代価",$C39="代価表",$C39="単価表"),データ!K36,"")</f>
        <v>897</v>
      </c>
      <c r="K39" s="11" t="str">
        <f t="shared" si="0"/>
        <v/>
      </c>
      <c r="L39" s="46">
        <f t="shared" si="1"/>
        <v>0.19555562748534616</v>
      </c>
      <c r="M39" s="40" t="str">
        <f>IF(データ!L36="","",データ!L36)</f>
        <v/>
      </c>
      <c r="N39" s="41" t="str">
        <f>IF(データ!M36="","",データ!M36)</f>
        <v>6号内訳書</v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>
        <f>IF(OR($C39="総括",$C39="内訳書",$C39="内訳代価",$C39="明細書",$C39="明細代価",$C39="代価表",$C39="単価表"),データ!Q36,"")</f>
        <v>0</v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>
        <f>IF(OR($C39="総括",$C39="内訳書",$C39="内訳代価",$C39="明細書",$C39="明細代価",$C39="代価表",$C39="単価表"),データ!W36,"")</f>
        <v>0</v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材料費</v>
      </c>
      <c r="D40" s="36" t="str">
        <f>REPT("｜",$A40)&amp;TRIM(データ!E37)</f>
        <v>｜｜地先境界ブロックA</v>
      </c>
      <c r="E40" s="37" t="str">
        <f>TRIM(データ!F37)</f>
        <v/>
      </c>
      <c r="F40" s="38" t="str">
        <f>TRIM(データ!G37)</f>
        <v>本</v>
      </c>
      <c r="G40" s="50">
        <f>データ!H37</f>
        <v>1400</v>
      </c>
      <c r="H40" s="48">
        <f>データ!I37</f>
        <v>460</v>
      </c>
      <c r="I40" s="48">
        <f>データ!J37</f>
        <v>644000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3.0654784288375838E-2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材料費</v>
      </c>
      <c r="D41" s="36" t="str">
        <f>REPT("｜",$A41)&amp;TRIM(データ!E38)</f>
        <v>｜｜ｱｽﾌｧﾙﾄｴｯｼﾞ</v>
      </c>
      <c r="E41" s="37" t="str">
        <f>TRIM(データ!F38)</f>
        <v/>
      </c>
      <c r="F41" s="38" t="str">
        <f>TRIM(データ!G38)</f>
        <v>本</v>
      </c>
      <c r="G41" s="50">
        <f>データ!H38</f>
        <v>30</v>
      </c>
      <c r="H41" s="48">
        <f>データ!I38</f>
        <v>6600</v>
      </c>
      <c r="I41" s="48">
        <f>データ!J38</f>
        <v>198000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9.4249181507739376E-3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材料費</v>
      </c>
      <c r="D42" s="36" t="str">
        <f>REPT("｜",$A42)&amp;TRIM(データ!E39)</f>
        <v>｜｜RC40</v>
      </c>
      <c r="E42" s="37" t="str">
        <f>TRIM(データ!F39)</f>
        <v/>
      </c>
      <c r="F42" s="38" t="str">
        <f>TRIM(データ!G39)</f>
        <v>ｔ</v>
      </c>
      <c r="G42" s="50">
        <f>データ!H39</f>
        <v>20</v>
      </c>
      <c r="H42" s="48">
        <f>データ!I39</f>
        <v>400</v>
      </c>
      <c r="I42" s="48">
        <f>データ!J39</f>
        <v>8000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3.8080477376864399E-4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材料費</v>
      </c>
      <c r="D43" s="36" t="str">
        <f>REPT("｜",$A43)&amp;TRIM(データ!E40)</f>
        <v>｜｜生コンクリート</v>
      </c>
      <c r="E43" s="37" t="str">
        <f>TRIM(データ!F40)</f>
        <v/>
      </c>
      <c r="F43" s="38" t="str">
        <f>TRIM(データ!G40)</f>
        <v>m3</v>
      </c>
      <c r="G43" s="50">
        <f>データ!H40</f>
        <v>12</v>
      </c>
      <c r="H43" s="48">
        <f>データ!I40</f>
        <v>20000</v>
      </c>
      <c r="I43" s="48">
        <f>データ!J40</f>
        <v>240000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1.142414321305932E-2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材料費</v>
      </c>
      <c r="D44" s="36" t="str">
        <f>REPT("｜",$A44)&amp;TRIM(データ!E41)</f>
        <v>｜｜中目砂</v>
      </c>
      <c r="E44" s="37" t="str">
        <f>TRIM(データ!F41)</f>
        <v/>
      </c>
      <c r="F44" s="38" t="str">
        <f>TRIM(データ!G41)</f>
        <v>m3</v>
      </c>
      <c r="G44" s="50">
        <f>データ!H41</f>
        <v>8</v>
      </c>
      <c r="H44" s="48">
        <f>データ!I41</f>
        <v>6000</v>
      </c>
      <c r="I44" s="48">
        <f>データ!J41</f>
        <v>48000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2.2848286426118639E-3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材料費</v>
      </c>
      <c r="D45" s="36" t="str">
        <f>REPT("｜",$A45)&amp;TRIM(データ!E42)</f>
        <v>｜｜セメント</v>
      </c>
      <c r="E45" s="37" t="str">
        <f>TRIM(データ!F42)</f>
        <v/>
      </c>
      <c r="F45" s="38" t="str">
        <f>TRIM(データ!G42)</f>
        <v>袋</v>
      </c>
      <c r="G45" s="50">
        <f>データ!H42</f>
        <v>80</v>
      </c>
      <c r="H45" s="48">
        <f>データ!I42</f>
        <v>700</v>
      </c>
      <c r="I45" s="48">
        <f>データ!J42</f>
        <v>56000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2.6656334163805079E-3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労務費</v>
      </c>
      <c r="D46" s="36" t="str">
        <f>REPT("｜",$A46)&amp;TRIM(データ!E43)</f>
        <v>｜｜世話役</v>
      </c>
      <c r="E46" s="37" t="str">
        <f>TRIM(データ!F43)</f>
        <v/>
      </c>
      <c r="F46" s="38" t="str">
        <f>TRIM(データ!G43)</f>
        <v>人</v>
      </c>
      <c r="G46" s="50">
        <f>データ!H43</f>
        <v>26</v>
      </c>
      <c r="H46" s="48">
        <f>データ!I43</f>
        <v>30000</v>
      </c>
      <c r="I46" s="48">
        <f>データ!J43</f>
        <v>780000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3.7128465442442783E-2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労務費</v>
      </c>
      <c r="D47" s="36" t="str">
        <f>REPT("｜",$A47)&amp;TRIM(データ!E44)</f>
        <v>｜｜技工</v>
      </c>
      <c r="E47" s="37" t="str">
        <f>TRIM(データ!F44)</f>
        <v/>
      </c>
      <c r="F47" s="38" t="str">
        <f>TRIM(データ!G44)</f>
        <v>人</v>
      </c>
      <c r="G47" s="50">
        <f>データ!H44</f>
        <v>52</v>
      </c>
      <c r="H47" s="48">
        <f>データ!I44</f>
        <v>20000</v>
      </c>
      <c r="I47" s="48">
        <f>データ!J44</f>
        <v>1040000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4.9504620589923713E-2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機械費</v>
      </c>
      <c r="D48" s="36" t="str">
        <f>REPT("｜",$A48)&amp;TRIM(データ!E45)</f>
        <v>｜｜0.2m3BH</v>
      </c>
      <c r="E48" s="37" t="str">
        <f>TRIM(データ!F45)</f>
        <v/>
      </c>
      <c r="F48" s="38" t="str">
        <f>TRIM(データ!G45)</f>
        <v>台</v>
      </c>
      <c r="G48" s="50">
        <f>データ!H45</f>
        <v>26</v>
      </c>
      <c r="H48" s="48">
        <f>データ!I45</f>
        <v>10000</v>
      </c>
      <c r="I48" s="48">
        <f>データ!J45</f>
        <v>260000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1.2376155147480928E-2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機械費</v>
      </c>
      <c r="D49" s="36" t="str">
        <f>REPT("｜",$A49)&amp;TRIM(データ!E46)</f>
        <v>｜｜0.5m3TS</v>
      </c>
      <c r="E49" s="37" t="str">
        <f>TRIM(データ!F46)</f>
        <v/>
      </c>
      <c r="F49" s="38" t="str">
        <f>TRIM(データ!G46)</f>
        <v>台</v>
      </c>
      <c r="G49" s="50">
        <f>データ!H46</f>
        <v>26</v>
      </c>
      <c r="H49" s="48">
        <f>データ!I46</f>
        <v>8000</v>
      </c>
      <c r="I49" s="48">
        <f>データ!J46</f>
        <v>208000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9.9009241179847437E-3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機械費</v>
      </c>
      <c r="D50" s="36" t="str">
        <f>REPT("｜",$A50)&amp;TRIM(データ!E47)</f>
        <v>｜｜ランマ</v>
      </c>
      <c r="E50" s="37" t="str">
        <f>TRIM(データ!F47)</f>
        <v/>
      </c>
      <c r="F50" s="38" t="str">
        <f>TRIM(データ!G47)</f>
        <v>台</v>
      </c>
      <c r="G50" s="50">
        <f>データ!H47</f>
        <v>26</v>
      </c>
      <c r="H50" s="48">
        <f>データ!I47</f>
        <v>1000</v>
      </c>
      <c r="I50" s="48">
        <f>データ!J47</f>
        <v>26000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1.237615514748093E-3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機械費</v>
      </c>
      <c r="D51" s="36" t="str">
        <f>REPT("｜",$A51)&amp;TRIM(データ!E48)</f>
        <v>｜｜プレート</v>
      </c>
      <c r="E51" s="37" t="str">
        <f>TRIM(データ!F48)</f>
        <v/>
      </c>
      <c r="F51" s="38" t="str">
        <f>TRIM(データ!G48)</f>
        <v>台</v>
      </c>
      <c r="G51" s="50">
        <f>データ!H48</f>
        <v>26</v>
      </c>
      <c r="H51" s="48">
        <f>データ!I48</f>
        <v>800</v>
      </c>
      <c r="I51" s="48">
        <f>データ!J48</f>
        <v>20800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9.9009241179847437E-4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機械費</v>
      </c>
      <c r="D52" s="36" t="str">
        <f>REPT("｜",$A52)&amp;TRIM(データ!E49)</f>
        <v>｜｜軽油</v>
      </c>
      <c r="E52" s="37" t="str">
        <f>TRIM(データ!F49)</f>
        <v/>
      </c>
      <c r="F52" s="38" t="str">
        <f>TRIM(データ!G49)</f>
        <v>リットル</v>
      </c>
      <c r="G52" s="50">
        <f>データ!H49</f>
        <v>780</v>
      </c>
      <c r="H52" s="48">
        <f>データ!I49</f>
        <v>180</v>
      </c>
      <c r="I52" s="48">
        <f>データ!J49</f>
        <v>140400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6.6831237796397018E-3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運搬費</v>
      </c>
      <c r="D53" s="36" t="str">
        <f>REPT("｜",$A53)&amp;TRIM(データ!E50)</f>
        <v>｜｜2tDT</v>
      </c>
      <c r="E53" s="37" t="str">
        <f>TRIM(データ!F50)</f>
        <v/>
      </c>
      <c r="F53" s="38" t="str">
        <f>TRIM(データ!G50)</f>
        <v>台</v>
      </c>
      <c r="G53" s="50">
        <f>データ!H50</f>
        <v>26</v>
      </c>
      <c r="H53" s="48">
        <f>データ!I50</f>
        <v>8000</v>
      </c>
      <c r="I53" s="48">
        <f>データ!J50</f>
        <v>208000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9.9009241179847437E-3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運搬費</v>
      </c>
      <c r="D54" s="36" t="str">
        <f>REPT("｜",$A54)&amp;TRIM(データ!E51)</f>
        <v>｜｜WP</v>
      </c>
      <c r="E54" s="37" t="str">
        <f>TRIM(データ!F51)</f>
        <v/>
      </c>
      <c r="F54" s="38" t="str">
        <f>TRIM(データ!G51)</f>
        <v>台</v>
      </c>
      <c r="G54" s="50">
        <f>データ!H51</f>
        <v>26</v>
      </c>
      <c r="H54" s="48">
        <f>データ!I51</f>
        <v>8000</v>
      </c>
      <c r="I54" s="48">
        <f>データ!J51</f>
        <v>208000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9.9009241179847437E-3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材料費</v>
      </c>
      <c r="D55" s="36" t="str">
        <f>REPT("｜",$A55)&amp;TRIM(データ!E52)</f>
        <v>｜｜雑材</v>
      </c>
      <c r="E55" s="37" t="str">
        <f>TRIM(データ!F52)</f>
        <v/>
      </c>
      <c r="F55" s="38" t="str">
        <f>TRIM(データ!G52)</f>
        <v>式</v>
      </c>
      <c r="G55" s="50">
        <f>データ!H52</f>
        <v>1</v>
      </c>
      <c r="H55" s="48">
        <f>データ!I52</f>
        <v>23060</v>
      </c>
      <c r="I55" s="48">
        <f>データ!J52</f>
        <v>23060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1.0976697603881163E-3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1</v>
      </c>
      <c r="B56" s="47" t="str">
        <f>TRIM(データ!C53)</f>
        <v/>
      </c>
      <c r="C56" s="47" t="str">
        <f>TRIM(データ!D53)</f>
        <v>内訳代価</v>
      </c>
      <c r="D56" s="36" t="str">
        <f>REPT("｜",$A56)&amp;TRIM(データ!E53)</f>
        <v>｜舗装工</v>
      </c>
      <c r="E56" s="37" t="str">
        <f>TRIM(データ!F53)</f>
        <v>路盤不陸整正</v>
      </c>
      <c r="F56" s="38" t="str">
        <f>TRIM(データ!G53)</f>
        <v>m2</v>
      </c>
      <c r="G56" s="50">
        <f>データ!H53</f>
        <v>1600</v>
      </c>
      <c r="H56" s="48">
        <f>データ!I53</f>
        <v>530</v>
      </c>
      <c r="I56" s="48">
        <f>データ!J53</f>
        <v>848000</v>
      </c>
      <c r="J56" s="39">
        <f>IF(OR($C56="総括",$C56="内訳書",$C56="内訳代価",$C56="明細書",$C56="明細代価",$C56="代価表",$C56="単価表"),データ!K53,"")</f>
        <v>1600</v>
      </c>
      <c r="K56" s="11" t="str">
        <f t="shared" si="0"/>
        <v/>
      </c>
      <c r="L56" s="46">
        <f t="shared" si="1"/>
        <v>4.0365306019476258E-2</v>
      </c>
      <c r="M56" s="40" t="str">
        <f>IF(データ!L53="","",データ!L53)</f>
        <v/>
      </c>
      <c r="N56" s="41" t="str">
        <f>IF(データ!M53="","",データ!M53)</f>
        <v>7号内訳書</v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>
        <f>IF(OR($C56="総括",$C56="内訳書",$C56="内訳代価",$C56="明細書",$C56="明細代価",$C56="代価表",$C56="単価表"),データ!Q53,"")</f>
        <v>0</v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>
        <f>IF(OR($C56="総括",$C56="内訳書",$C56="内訳代価",$C56="明細書",$C56="明細代価",$C56="代価表",$C56="単価表"),データ!W53,"")</f>
        <v>0</v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材料費</v>
      </c>
      <c r="D57" s="36" t="str">
        <f>REPT("｜",$A57)&amp;TRIM(データ!E54)</f>
        <v>｜｜RC40</v>
      </c>
      <c r="E57" s="37" t="str">
        <f>TRIM(データ!F54)</f>
        <v/>
      </c>
      <c r="F57" s="38" t="str">
        <f>TRIM(データ!G54)</f>
        <v>ｔ</v>
      </c>
      <c r="G57" s="50">
        <f>データ!H54</f>
        <v>110</v>
      </c>
      <c r="H57" s="48">
        <f>データ!I54</f>
        <v>1300</v>
      </c>
      <c r="I57" s="48">
        <f>データ!J54</f>
        <v>143000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6.8068853311145112E-3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労務費</v>
      </c>
      <c r="D58" s="36" t="str">
        <f>REPT("｜",$A58)&amp;TRIM(データ!E55)</f>
        <v>｜｜世話役</v>
      </c>
      <c r="E58" s="37" t="str">
        <f>TRIM(データ!F55)</f>
        <v/>
      </c>
      <c r="F58" s="38" t="str">
        <f>TRIM(データ!G55)</f>
        <v>人</v>
      </c>
      <c r="G58" s="50">
        <f>データ!H55</f>
        <v>5</v>
      </c>
      <c r="H58" s="48">
        <f>データ!I55</f>
        <v>30000</v>
      </c>
      <c r="I58" s="48">
        <f>データ!J55</f>
        <v>150000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7.1400895081620746E-3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労務費</v>
      </c>
      <c r="D59" s="36" t="str">
        <f>REPT("｜",$A59)&amp;TRIM(データ!E56)</f>
        <v>｜｜技工</v>
      </c>
      <c r="E59" s="37" t="str">
        <f>TRIM(データ!F56)</f>
        <v/>
      </c>
      <c r="F59" s="38" t="str">
        <f>TRIM(データ!G56)</f>
        <v>人</v>
      </c>
      <c r="G59" s="50">
        <f>データ!H56</f>
        <v>15</v>
      </c>
      <c r="H59" s="48">
        <f>データ!I56</f>
        <v>20000</v>
      </c>
      <c r="I59" s="48">
        <f>データ!J56</f>
        <v>300000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1.4280179016324149E-2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機械費</v>
      </c>
      <c r="D60" s="36" t="str">
        <f>REPT("｜",$A60)&amp;TRIM(データ!E57)</f>
        <v>｜｜0.2m3BH</v>
      </c>
      <c r="E60" s="37" t="str">
        <f>TRIM(データ!F57)</f>
        <v/>
      </c>
      <c r="F60" s="38" t="str">
        <f>TRIM(データ!G57)</f>
        <v>台</v>
      </c>
      <c r="G60" s="50">
        <f>データ!H57</f>
        <v>5</v>
      </c>
      <c r="H60" s="48">
        <f>データ!I57</f>
        <v>10000</v>
      </c>
      <c r="I60" s="48">
        <f>データ!J57</f>
        <v>50000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2.3800298360540247E-3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機械費</v>
      </c>
      <c r="D61" s="36" t="str">
        <f>REPT("｜",$A61)&amp;TRIM(データ!E58)</f>
        <v>｜｜4tCR</v>
      </c>
      <c r="E61" s="37" t="str">
        <f>TRIM(データ!F58)</f>
        <v/>
      </c>
      <c r="F61" s="38" t="str">
        <f>TRIM(データ!G58)</f>
        <v>台</v>
      </c>
      <c r="G61" s="50">
        <f>データ!H58</f>
        <v>5</v>
      </c>
      <c r="H61" s="48">
        <f>データ!I58</f>
        <v>6000</v>
      </c>
      <c r="I61" s="48">
        <f>データ!J58</f>
        <v>30000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1.428017901632415E-3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機械費</v>
      </c>
      <c r="D62" s="36" t="str">
        <f>REPT("｜",$A62)&amp;TRIM(データ!E59)</f>
        <v>｜｜0.5m3TS</v>
      </c>
      <c r="E62" s="37" t="str">
        <f>TRIM(データ!F59)</f>
        <v/>
      </c>
      <c r="F62" s="38" t="str">
        <f>TRIM(データ!G59)</f>
        <v>台</v>
      </c>
      <c r="G62" s="50">
        <f>データ!H59</f>
        <v>5</v>
      </c>
      <c r="H62" s="48">
        <f>データ!I59</f>
        <v>8000</v>
      </c>
      <c r="I62" s="48">
        <f>データ!J59</f>
        <v>40000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1.9040238688432197E-3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機械費</v>
      </c>
      <c r="D63" s="36" t="str">
        <f>REPT("｜",$A63)&amp;TRIM(データ!E60)</f>
        <v>｜｜プレート</v>
      </c>
      <c r="E63" s="37" t="str">
        <f>TRIM(データ!F60)</f>
        <v/>
      </c>
      <c r="F63" s="38" t="str">
        <f>TRIM(データ!G60)</f>
        <v>台</v>
      </c>
      <c r="G63" s="50">
        <f>データ!H60</f>
        <v>5</v>
      </c>
      <c r="H63" s="48">
        <f>データ!I60</f>
        <v>800</v>
      </c>
      <c r="I63" s="48">
        <f>データ!J60</f>
        <v>4000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1.9040238688432199E-4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機械費</v>
      </c>
      <c r="D64" s="36" t="str">
        <f>REPT("｜",$A64)&amp;TRIM(データ!E61)</f>
        <v>｜｜軽油</v>
      </c>
      <c r="E64" s="37" t="str">
        <f>TRIM(データ!F61)</f>
        <v/>
      </c>
      <c r="F64" s="38" t="str">
        <f>TRIM(データ!G61)</f>
        <v>リットル</v>
      </c>
      <c r="G64" s="50">
        <f>データ!H61</f>
        <v>200</v>
      </c>
      <c r="H64" s="48">
        <f>データ!I61</f>
        <v>180</v>
      </c>
      <c r="I64" s="48">
        <f>データ!J61</f>
        <v>36000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1.7136214819588977E-3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運搬費</v>
      </c>
      <c r="D65" s="36" t="str">
        <f>REPT("｜",$A65)&amp;TRIM(データ!E62)</f>
        <v>｜｜2tDT</v>
      </c>
      <c r="E65" s="37" t="str">
        <f>TRIM(データ!F62)</f>
        <v/>
      </c>
      <c r="F65" s="38" t="str">
        <f>TRIM(データ!G62)</f>
        <v>台</v>
      </c>
      <c r="G65" s="50">
        <f>データ!H62</f>
        <v>5</v>
      </c>
      <c r="H65" s="48">
        <f>データ!I62</f>
        <v>8000</v>
      </c>
      <c r="I65" s="48">
        <f>データ!J62</f>
        <v>40000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1.9040238688432197E-3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運搬費</v>
      </c>
      <c r="D66" s="36" t="str">
        <f>REPT("｜",$A66)&amp;TRIM(データ!E63)</f>
        <v>｜｜WP</v>
      </c>
      <c r="E66" s="37" t="str">
        <f>TRIM(データ!F63)</f>
        <v/>
      </c>
      <c r="F66" s="38" t="str">
        <f>TRIM(データ!G63)</f>
        <v>台</v>
      </c>
      <c r="G66" s="50">
        <f>データ!H63</f>
        <v>5</v>
      </c>
      <c r="H66" s="48">
        <f>データ!I63</f>
        <v>8000</v>
      </c>
      <c r="I66" s="48">
        <f>データ!J63</f>
        <v>40000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1.9040238688432197E-3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材料費</v>
      </c>
      <c r="D67" s="36" t="str">
        <f>REPT("｜",$A67)&amp;TRIM(データ!E64)</f>
        <v>｜｜雑材</v>
      </c>
      <c r="E67" s="37" t="str">
        <f>TRIM(データ!F64)</f>
        <v/>
      </c>
      <c r="F67" s="38" t="str">
        <f>TRIM(データ!G64)</f>
        <v>式</v>
      </c>
      <c r="G67" s="50">
        <f>データ!H64</f>
        <v>1</v>
      </c>
      <c r="H67" s="48">
        <f>データ!I64</f>
        <v>15000</v>
      </c>
      <c r="I67" s="48">
        <f>データ!J64</f>
        <v>15000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7.1400895081620748E-4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1</v>
      </c>
      <c r="B68" s="47" t="str">
        <f>TRIM(データ!C65)</f>
        <v/>
      </c>
      <c r="C68" s="47" t="str">
        <f>TRIM(データ!D65)</f>
        <v>内訳代価</v>
      </c>
      <c r="D68" s="36" t="str">
        <f>REPT("｜",$A68)&amp;TRIM(データ!E65)</f>
        <v>｜舗装工</v>
      </c>
      <c r="E68" s="37" t="str">
        <f>TRIM(データ!F65)</f>
        <v>表層</v>
      </c>
      <c r="F68" s="38" t="str">
        <f>TRIM(データ!G65)</f>
        <v>m2</v>
      </c>
      <c r="G68" s="50">
        <f>データ!H65</f>
        <v>1600</v>
      </c>
      <c r="H68" s="48">
        <f>データ!I65</f>
        <v>2200</v>
      </c>
      <c r="I68" s="48">
        <f>データ!J65</f>
        <v>3520000</v>
      </c>
      <c r="J68" s="39">
        <f>IF(OR($C68="総括",$C68="内訳書",$C68="内訳代価",$C68="明細書",$C68="明細代価",$C68="代価表",$C68="単価表"),データ!K65,"")</f>
        <v>1600</v>
      </c>
      <c r="K68" s="11" t="str">
        <f t="shared" si="0"/>
        <v/>
      </c>
      <c r="L68" s="46">
        <f t="shared" si="1"/>
        <v>0.16755410045820335</v>
      </c>
      <c r="M68" s="40" t="str">
        <f>IF(データ!L65="","",データ!L65)</f>
        <v/>
      </c>
      <c r="N68" s="41" t="str">
        <f>IF(データ!M65="","",データ!M65)</f>
        <v>8号内訳書</v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>
        <f>IF(OR($C68="総括",$C68="内訳書",$C68="内訳代価",$C68="明細書",$C68="明細代価",$C68="代価表",$C68="単価表"),データ!Q65,"")</f>
        <v>0</v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>
        <f>IF(OR($C68="総括",$C68="内訳書",$C68="内訳代価",$C68="明細書",$C68="明細代価",$C68="代価表",$C68="単価表"),データ!W65,"")</f>
        <v>0</v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材料費</v>
      </c>
      <c r="D69" s="36" t="str">
        <f>REPT("｜",$A69)&amp;TRIM(データ!E66)</f>
        <v>｜｜透水性As</v>
      </c>
      <c r="E69" s="37" t="str">
        <f>TRIM(データ!F66)</f>
        <v>4t車配達</v>
      </c>
      <c r="F69" s="38" t="str">
        <f>TRIM(データ!G66)</f>
        <v>ｔ</v>
      </c>
      <c r="G69" s="50">
        <f>データ!H66</f>
        <v>185</v>
      </c>
      <c r="H69" s="48">
        <f>データ!I66</f>
        <v>13700</v>
      </c>
      <c r="I69" s="48">
        <f>データ!J66</f>
        <v>2534500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22" si="6">IF(OR(J69="",G69=J69),"","*")</f>
        <v/>
      </c>
      <c r="L69" s="46">
        <f t="shared" ref="L69:L122" si="7">IF($A69&lt;=L$1,I69/I$4,"")</f>
        <v>0.12064371238957852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22" si="8">IF(OR(R69="",O69=R69),"","*")</f>
        <v/>
      </c>
      <c r="T69" s="46" t="e">
        <f t="shared" ref="T69:T12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22" si="10">IF(OR(Z69="",W69=Z69),"","*")</f>
        <v/>
      </c>
      <c r="AB69" s="46" t="e">
        <f t="shared" ref="AB69:AB12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労務費</v>
      </c>
      <c r="D70" s="36" t="str">
        <f>REPT("｜",$A70)&amp;TRIM(データ!E67)</f>
        <v>｜｜世話役</v>
      </c>
      <c r="E70" s="37" t="str">
        <f>TRIM(データ!F67)</f>
        <v/>
      </c>
      <c r="F70" s="38" t="str">
        <f>TRIM(データ!G67)</f>
        <v>人</v>
      </c>
      <c r="G70" s="50">
        <f>データ!H67</f>
        <v>3</v>
      </c>
      <c r="H70" s="48">
        <f>データ!I67</f>
        <v>30000</v>
      </c>
      <c r="I70" s="48">
        <f>データ!J67</f>
        <v>90000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4.2840537048972442E-3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労務費</v>
      </c>
      <c r="D71" s="36" t="str">
        <f>REPT("｜",$A71)&amp;TRIM(データ!E68)</f>
        <v>｜｜技工</v>
      </c>
      <c r="E71" s="37" t="str">
        <f>TRIM(データ!F68)</f>
        <v/>
      </c>
      <c r="F71" s="38" t="str">
        <f>TRIM(データ!G68)</f>
        <v>人</v>
      </c>
      <c r="G71" s="50">
        <f>データ!H68</f>
        <v>24</v>
      </c>
      <c r="H71" s="48">
        <f>データ!I68</f>
        <v>20000</v>
      </c>
      <c r="I71" s="48">
        <f>データ!J68</f>
        <v>480000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2.2848286426118639E-2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機械費</v>
      </c>
      <c r="D72" s="36" t="str">
        <f>REPT("｜",$A72)&amp;TRIM(データ!E69)</f>
        <v>｜｜40AF（OP付）</v>
      </c>
      <c r="E72" s="37" t="str">
        <f>TRIM(データ!F69)</f>
        <v/>
      </c>
      <c r="F72" s="38" t="str">
        <f>TRIM(データ!G69)</f>
        <v>台</v>
      </c>
      <c r="G72" s="50">
        <f>データ!H69</f>
        <v>3</v>
      </c>
      <c r="H72" s="48">
        <f>データ!I69</f>
        <v>95000</v>
      </c>
      <c r="I72" s="48">
        <f>データ!J69</f>
        <v>285000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1.3566170065507942E-2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機械費</v>
      </c>
      <c r="D73" s="36" t="str">
        <f>REPT("｜",$A73)&amp;TRIM(データ!E70)</f>
        <v>｜｜4tCR</v>
      </c>
      <c r="E73" s="37" t="str">
        <f>TRIM(データ!F70)</f>
        <v/>
      </c>
      <c r="F73" s="38" t="str">
        <f>TRIM(データ!G70)</f>
        <v>台</v>
      </c>
      <c r="G73" s="50">
        <f>データ!H70</f>
        <v>3</v>
      </c>
      <c r="H73" s="48">
        <f>データ!I70</f>
        <v>6000</v>
      </c>
      <c r="I73" s="48">
        <f>データ!J70</f>
        <v>18000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8.5681074097944886E-4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機械費</v>
      </c>
      <c r="D74" s="36" t="str">
        <f>REPT("｜",$A74)&amp;TRIM(データ!E71)</f>
        <v>｜｜0.5m3TS</v>
      </c>
      <c r="E74" s="37" t="str">
        <f>TRIM(データ!F71)</f>
        <v/>
      </c>
      <c r="F74" s="38" t="str">
        <f>TRIM(データ!G71)</f>
        <v>台</v>
      </c>
      <c r="G74" s="50">
        <f>データ!H71</f>
        <v>3</v>
      </c>
      <c r="H74" s="48">
        <f>データ!I71</f>
        <v>8000</v>
      </c>
      <c r="I74" s="48">
        <f>データ!J71</f>
        <v>24000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1.142414321305932E-3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機械費</v>
      </c>
      <c r="D75" s="36" t="str">
        <f>REPT("｜",$A75)&amp;TRIM(データ!E72)</f>
        <v>｜｜プレート</v>
      </c>
      <c r="E75" s="37" t="str">
        <f>TRIM(データ!F72)</f>
        <v/>
      </c>
      <c r="F75" s="38" t="str">
        <f>TRIM(データ!G72)</f>
        <v>台</v>
      </c>
      <c r="G75" s="50">
        <f>データ!H72</f>
        <v>6</v>
      </c>
      <c r="H75" s="48">
        <f>データ!I72</f>
        <v>800</v>
      </c>
      <c r="I75" s="48">
        <f>データ!J72</f>
        <v>4800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2.2848286426118637E-4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機械費</v>
      </c>
      <c r="D76" s="36" t="str">
        <f>REPT("｜",$A76)&amp;TRIM(データ!E73)</f>
        <v>｜｜軽油</v>
      </c>
      <c r="E76" s="37" t="str">
        <f>TRIM(データ!F73)</f>
        <v/>
      </c>
      <c r="F76" s="38" t="str">
        <f>TRIM(データ!G73)</f>
        <v>リットル</v>
      </c>
      <c r="G76" s="50">
        <f>データ!H73</f>
        <v>150</v>
      </c>
      <c r="H76" s="48">
        <f>データ!I73</f>
        <v>180</v>
      </c>
      <c r="I76" s="48">
        <f>データ!J73</f>
        <v>27000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1.2852161114691734E-3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運搬費</v>
      </c>
      <c r="D77" s="36" t="str">
        <f>REPT("｜",$A77)&amp;TRIM(データ!E74)</f>
        <v>｜｜2tDT</v>
      </c>
      <c r="E77" s="37" t="str">
        <f>TRIM(データ!F74)</f>
        <v/>
      </c>
      <c r="F77" s="38" t="str">
        <f>TRIM(データ!G74)</f>
        <v>台</v>
      </c>
      <c r="G77" s="50">
        <f>データ!H74</f>
        <v>3</v>
      </c>
      <c r="H77" s="48">
        <f>データ!I74</f>
        <v>8000</v>
      </c>
      <c r="I77" s="48">
        <f>データ!J74</f>
        <v>24000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1.142414321305932E-3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運搬費</v>
      </c>
      <c r="D78" s="36" t="str">
        <f>REPT("｜",$A78)&amp;TRIM(データ!E75)</f>
        <v>｜｜WP</v>
      </c>
      <c r="E78" s="37" t="str">
        <f>TRIM(データ!F75)</f>
        <v/>
      </c>
      <c r="F78" s="38" t="str">
        <f>TRIM(データ!G75)</f>
        <v>台</v>
      </c>
      <c r="G78" s="50">
        <f>データ!H75</f>
        <v>3</v>
      </c>
      <c r="H78" s="48">
        <f>データ!I75</f>
        <v>8000</v>
      </c>
      <c r="I78" s="48">
        <f>データ!J75</f>
        <v>24000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1.142414321305932E-3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材料費</v>
      </c>
      <c r="D79" s="36" t="str">
        <f>REPT("｜",$A79)&amp;TRIM(データ!E76)</f>
        <v>｜｜雑材</v>
      </c>
      <c r="E79" s="37" t="str">
        <f>TRIM(データ!F76)</f>
        <v/>
      </c>
      <c r="F79" s="38" t="str">
        <f>TRIM(データ!G76)</f>
        <v>式</v>
      </c>
      <c r="G79" s="50">
        <f>データ!H76</f>
        <v>1</v>
      </c>
      <c r="H79" s="48">
        <f>データ!I76</f>
        <v>8700</v>
      </c>
      <c r="I79" s="48">
        <f>データ!J76</f>
        <v>8700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4.1412519147340034E-4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1</v>
      </c>
      <c r="B80" s="47" t="str">
        <f>TRIM(データ!C77)</f>
        <v/>
      </c>
      <c r="C80" s="47" t="str">
        <f>TRIM(データ!D77)</f>
        <v>内訳代価</v>
      </c>
      <c r="D80" s="36" t="str">
        <f>REPT("｜",$A80)&amp;TRIM(データ!E77)</f>
        <v>｜第2駐車場整備工</v>
      </c>
      <c r="E80" s="37" t="str">
        <f>TRIM(データ!F77)</f>
        <v/>
      </c>
      <c r="F80" s="38" t="str">
        <f>TRIM(データ!G77)</f>
        <v>m2</v>
      </c>
      <c r="G80" s="50">
        <f>データ!H77</f>
        <v>6500</v>
      </c>
      <c r="H80" s="48">
        <f>データ!I77</f>
        <v>520</v>
      </c>
      <c r="I80" s="48">
        <f>データ!J77</f>
        <v>3380000</v>
      </c>
      <c r="J80" s="39">
        <f>IF(OR($C80="総括",$C80="内訳書",$C80="内訳代価",$C80="明細書",$C80="明細代価",$C80="代価表",$C80="単価表"),データ!K77,"")</f>
        <v>6500</v>
      </c>
      <c r="K80" s="11" t="str">
        <f t="shared" si="6"/>
        <v/>
      </c>
      <c r="L80" s="46">
        <f t="shared" si="7"/>
        <v>0.16089001691725208</v>
      </c>
      <c r="M80" s="40" t="str">
        <f>IF(データ!L77="","",データ!L77)</f>
        <v/>
      </c>
      <c r="N80" s="41" t="str">
        <f>IF(データ!M77="","",データ!M77)</f>
        <v>9号内訳書</v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>
        <f>IF(OR($C80="総括",$C80="内訳書",$C80="内訳代価",$C80="明細書",$C80="明細代価",$C80="代価表",$C80="単価表"),データ!Q77,"")</f>
        <v>0</v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>
        <f>IF(OR($C80="総括",$C80="内訳書",$C80="内訳代価",$C80="明細書",$C80="明細代価",$C80="代価表",$C80="単価表"),データ!W77,"")</f>
        <v>0</v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材料費</v>
      </c>
      <c r="D81" s="36" t="str">
        <f>REPT("｜",$A81)&amp;TRIM(データ!E78)</f>
        <v>｜｜RC40</v>
      </c>
      <c r="E81" s="37" t="str">
        <f>TRIM(データ!F78)</f>
        <v/>
      </c>
      <c r="F81" s="38" t="str">
        <f>TRIM(データ!G78)</f>
        <v>ｔ</v>
      </c>
      <c r="G81" s="50">
        <f>データ!H78</f>
        <v>600</v>
      </c>
      <c r="H81" s="48">
        <f>データ!I78</f>
        <v>1300</v>
      </c>
      <c r="I81" s="48">
        <f>データ!J78</f>
        <v>780000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3.7128465442442783E-2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/>
      </c>
      <c r="AF81" s="43" t="str">
        <f>TRIM(データ!Z78)</f>
        <v/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労務費</v>
      </c>
      <c r="D82" s="36" t="str">
        <f>REPT("｜",$A82)&amp;TRIM(データ!E79)</f>
        <v>｜｜世話役</v>
      </c>
      <c r="E82" s="37" t="str">
        <f>TRIM(データ!F79)</f>
        <v/>
      </c>
      <c r="F82" s="38" t="str">
        <f>TRIM(データ!G79)</f>
        <v>人</v>
      </c>
      <c r="G82" s="50">
        <f>データ!H79</f>
        <v>16</v>
      </c>
      <c r="H82" s="48">
        <f>データ!I79</f>
        <v>30000</v>
      </c>
      <c r="I82" s="48">
        <f>データ!J79</f>
        <v>480000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2.2848286426118639E-2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/>
      </c>
      <c r="AF82" s="43" t="str">
        <f>TRIM(データ!Z79)</f>
        <v/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労務費</v>
      </c>
      <c r="D83" s="36" t="str">
        <f>REPT("｜",$A83)&amp;TRIM(データ!E80)</f>
        <v>｜｜技工</v>
      </c>
      <c r="E83" s="37" t="str">
        <f>TRIM(データ!F80)</f>
        <v/>
      </c>
      <c r="F83" s="38" t="str">
        <f>TRIM(データ!G80)</f>
        <v>人</v>
      </c>
      <c r="G83" s="50">
        <f>データ!H80</f>
        <v>64</v>
      </c>
      <c r="H83" s="48">
        <f>データ!I80</f>
        <v>20000</v>
      </c>
      <c r="I83" s="48">
        <f>データ!J80</f>
        <v>1280000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6.0928763802983031E-2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機械費</v>
      </c>
      <c r="D84" s="36" t="str">
        <f>REPT("｜",$A84)&amp;TRIM(データ!E81)</f>
        <v>｜｜0.2m3BH</v>
      </c>
      <c r="E84" s="37" t="str">
        <f>TRIM(データ!F81)</f>
        <v/>
      </c>
      <c r="F84" s="38" t="str">
        <f>TRIM(データ!G81)</f>
        <v>台</v>
      </c>
      <c r="G84" s="50">
        <f>データ!H81</f>
        <v>16</v>
      </c>
      <c r="H84" s="48">
        <f>データ!I81</f>
        <v>10000</v>
      </c>
      <c r="I84" s="48">
        <f>データ!J81</f>
        <v>160000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7.6160954753728789E-3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/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機械費</v>
      </c>
      <c r="D85" s="36" t="str">
        <f>REPT("｜",$A85)&amp;TRIM(データ!E82)</f>
        <v>｜｜4tCR</v>
      </c>
      <c r="E85" s="37" t="str">
        <f>TRIM(データ!F82)</f>
        <v/>
      </c>
      <c r="F85" s="38" t="str">
        <f>TRIM(データ!G82)</f>
        <v>台</v>
      </c>
      <c r="G85" s="50">
        <f>データ!H82</f>
        <v>16</v>
      </c>
      <c r="H85" s="48">
        <f>データ!I82</f>
        <v>6000</v>
      </c>
      <c r="I85" s="48">
        <f>データ!J82</f>
        <v>96000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4.5696572852237279E-3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/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機械費</v>
      </c>
      <c r="D86" s="36" t="str">
        <f>REPT("｜",$A86)&amp;TRIM(データ!E83)</f>
        <v>｜｜0.5m3TS</v>
      </c>
      <c r="E86" s="37" t="str">
        <f>TRIM(データ!F83)</f>
        <v/>
      </c>
      <c r="F86" s="38" t="str">
        <f>TRIM(データ!G83)</f>
        <v>台</v>
      </c>
      <c r="G86" s="50">
        <f>データ!H83</f>
        <v>16</v>
      </c>
      <c r="H86" s="48">
        <f>データ!I83</f>
        <v>8000</v>
      </c>
      <c r="I86" s="48">
        <f>データ!J83</f>
        <v>128000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6.0928763802983038E-3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機械費</v>
      </c>
      <c r="D87" s="36" t="str">
        <f>REPT("｜",$A87)&amp;TRIM(データ!E84)</f>
        <v>｜｜プレート</v>
      </c>
      <c r="E87" s="37" t="str">
        <f>TRIM(データ!F84)</f>
        <v/>
      </c>
      <c r="F87" s="38" t="str">
        <f>TRIM(データ!G84)</f>
        <v>台</v>
      </c>
      <c r="G87" s="50">
        <f>データ!H84</f>
        <v>16</v>
      </c>
      <c r="H87" s="48">
        <f>データ!I84</f>
        <v>800</v>
      </c>
      <c r="I87" s="48">
        <f>データ!J84</f>
        <v>12800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6.0928763802983038E-4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機械費</v>
      </c>
      <c r="D88" s="36" t="str">
        <f>REPT("｜",$A88)&amp;TRIM(データ!E85)</f>
        <v>｜｜軽油</v>
      </c>
      <c r="E88" s="37" t="str">
        <f>TRIM(データ!F85)</f>
        <v/>
      </c>
      <c r="F88" s="38" t="str">
        <f>TRIM(データ!G85)</f>
        <v>リットル</v>
      </c>
      <c r="G88" s="50">
        <f>データ!H85</f>
        <v>800</v>
      </c>
      <c r="H88" s="48">
        <f>データ!I85</f>
        <v>180</v>
      </c>
      <c r="I88" s="48">
        <f>データ!J85</f>
        <v>144000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6.8544859278355909E-3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運搬費</v>
      </c>
      <c r="D89" s="36" t="str">
        <f>REPT("｜",$A89)&amp;TRIM(データ!E86)</f>
        <v>｜｜2tDT</v>
      </c>
      <c r="E89" s="37" t="str">
        <f>TRIM(データ!F86)</f>
        <v/>
      </c>
      <c r="F89" s="38" t="str">
        <f>TRIM(データ!G86)</f>
        <v>台</v>
      </c>
      <c r="G89" s="50">
        <f>データ!H86</f>
        <v>16</v>
      </c>
      <c r="H89" s="48">
        <f>データ!I86</f>
        <v>8000</v>
      </c>
      <c r="I89" s="48">
        <f>データ!J86</f>
        <v>128000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6.0928763802983038E-3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運搬費</v>
      </c>
      <c r="D90" s="36" t="str">
        <f>REPT("｜",$A90)&amp;TRIM(データ!E87)</f>
        <v>｜｜WP</v>
      </c>
      <c r="E90" s="37" t="str">
        <f>TRIM(データ!F87)</f>
        <v/>
      </c>
      <c r="F90" s="38" t="str">
        <f>TRIM(データ!G87)</f>
        <v>台</v>
      </c>
      <c r="G90" s="50">
        <f>データ!H87</f>
        <v>16</v>
      </c>
      <c r="H90" s="48">
        <f>データ!I87</f>
        <v>8000</v>
      </c>
      <c r="I90" s="48">
        <f>データ!J87</f>
        <v>128000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6.0928763802983038E-3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材料費</v>
      </c>
      <c r="D91" s="36" t="str">
        <f>REPT("｜",$A91)&amp;TRIM(データ!E88)</f>
        <v>｜｜雑材</v>
      </c>
      <c r="E91" s="37" t="str">
        <f>TRIM(データ!F88)</f>
        <v/>
      </c>
      <c r="F91" s="38" t="str">
        <f>TRIM(データ!G88)</f>
        <v>式</v>
      </c>
      <c r="G91" s="50">
        <f>データ!H88</f>
        <v>1</v>
      </c>
      <c r="H91" s="48">
        <f>データ!I88</f>
        <v>43200</v>
      </c>
      <c r="I91" s="48">
        <f>データ!J88</f>
        <v>43200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2.0563457783506775E-3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1</v>
      </c>
      <c r="B92" s="47" t="str">
        <f>TRIM(データ!C89)</f>
        <v/>
      </c>
      <c r="C92" s="47" t="str">
        <f>TRIM(データ!D89)</f>
        <v>内訳代価</v>
      </c>
      <c r="D92" s="36" t="str">
        <f>REPT("｜",$A92)&amp;TRIM(データ!E89)</f>
        <v>｜砕石舗装工</v>
      </c>
      <c r="E92" s="37" t="str">
        <f>TRIM(データ!F89)</f>
        <v/>
      </c>
      <c r="F92" s="38" t="str">
        <f>TRIM(データ!G89)</f>
        <v>m2</v>
      </c>
      <c r="G92" s="50">
        <f>データ!H89</f>
        <v>693</v>
      </c>
      <c r="H92" s="48">
        <f>データ!I89</f>
        <v>1000</v>
      </c>
      <c r="I92" s="48">
        <f>データ!J89</f>
        <v>693000</v>
      </c>
      <c r="J92" s="39">
        <f>IF(OR($C92="総括",$C92="内訳書",$C92="内訳代価",$C92="明細書",$C92="明細代価",$C92="代価表",$C92="単価表"),データ!K89,"")</f>
        <v>693</v>
      </c>
      <c r="K92" s="11" t="str">
        <f t="shared" si="6"/>
        <v/>
      </c>
      <c r="L92" s="46">
        <f t="shared" si="7"/>
        <v>3.2987213527708781E-2</v>
      </c>
      <c r="M92" s="40" t="str">
        <f>IF(データ!L89="","",データ!L89)</f>
        <v/>
      </c>
      <c r="N92" s="41" t="str">
        <f>IF(データ!M89="","",データ!M89)</f>
        <v>10号内訳書</v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>
        <f>IF(OR($C92="総括",$C92="内訳書",$C92="内訳代価",$C92="明細書",$C92="明細代価",$C92="代価表",$C92="単価表"),データ!Q89,"")</f>
        <v>0</v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>
        <f>IF(OR($C92="総括",$C92="内訳書",$C92="内訳代価",$C92="明細書",$C92="明細代価",$C92="代価表",$C92="単価表"),データ!W89,"")</f>
        <v>0</v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材料費</v>
      </c>
      <c r="D93" s="36" t="str">
        <f>REPT("｜",$A93)&amp;TRIM(データ!E90)</f>
        <v>｜｜RC40</v>
      </c>
      <c r="E93" s="37" t="str">
        <f>TRIM(データ!F90)</f>
        <v/>
      </c>
      <c r="F93" s="38" t="str">
        <f>TRIM(データ!G90)</f>
        <v>ｔ</v>
      </c>
      <c r="G93" s="50">
        <f>データ!H90</f>
        <v>110</v>
      </c>
      <c r="H93" s="48">
        <f>データ!I90</f>
        <v>1300</v>
      </c>
      <c r="I93" s="48">
        <f>データ!J90</f>
        <v>143000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6.8068853311145112E-3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材料費</v>
      </c>
      <c r="D94" s="36" t="str">
        <f>REPT("｜",$A94)&amp;TRIM(データ!E91)</f>
        <v>｜｜世話役</v>
      </c>
      <c r="E94" s="37" t="str">
        <f>TRIM(データ!F91)</f>
        <v/>
      </c>
      <c r="F94" s="38" t="str">
        <f>TRIM(データ!G91)</f>
        <v>人</v>
      </c>
      <c r="G94" s="50">
        <f>データ!H91</f>
        <v>4</v>
      </c>
      <c r="H94" s="48">
        <f>データ!I91</f>
        <v>30000</v>
      </c>
      <c r="I94" s="48">
        <f>データ!J91</f>
        <v>120000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5.7120716065296598E-3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労務費</v>
      </c>
      <c r="D95" s="36" t="str">
        <f>REPT("｜",$A95)&amp;TRIM(データ!E92)</f>
        <v>｜｜技工</v>
      </c>
      <c r="E95" s="37" t="str">
        <f>TRIM(データ!F92)</f>
        <v/>
      </c>
      <c r="F95" s="38" t="str">
        <f>TRIM(データ!G92)</f>
        <v>人</v>
      </c>
      <c r="G95" s="50">
        <f>データ!H92</f>
        <v>12</v>
      </c>
      <c r="H95" s="48">
        <f>データ!I92</f>
        <v>20000</v>
      </c>
      <c r="I95" s="48">
        <f>データ!J92</f>
        <v>240000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1.142414321305932E-2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/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機械費</v>
      </c>
      <c r="D96" s="36" t="str">
        <f>REPT("｜",$A96)&amp;TRIM(データ!E93)</f>
        <v>｜｜0.2m3BH</v>
      </c>
      <c r="E96" s="37" t="str">
        <f>TRIM(データ!F93)</f>
        <v/>
      </c>
      <c r="F96" s="38" t="str">
        <f>TRIM(データ!G93)</f>
        <v>台</v>
      </c>
      <c r="G96" s="50">
        <f>データ!H93</f>
        <v>4</v>
      </c>
      <c r="H96" s="48">
        <f>データ!I93</f>
        <v>10000</v>
      </c>
      <c r="I96" s="48">
        <f>データ!J93</f>
        <v>40000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1.9040238688432197E-3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/>
      </c>
      <c r="AF96" s="43" t="str">
        <f>TRIM(データ!Z93)</f>
        <v/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機械費</v>
      </c>
      <c r="D97" s="36" t="str">
        <f>REPT("｜",$A97)&amp;TRIM(データ!E94)</f>
        <v>｜｜4tCR</v>
      </c>
      <c r="E97" s="37" t="str">
        <f>TRIM(データ!F94)</f>
        <v/>
      </c>
      <c r="F97" s="38" t="str">
        <f>TRIM(データ!G94)</f>
        <v>台</v>
      </c>
      <c r="G97" s="50">
        <f>データ!H94</f>
        <v>4</v>
      </c>
      <c r="H97" s="48">
        <f>データ!I94</f>
        <v>6000</v>
      </c>
      <c r="I97" s="48">
        <f>データ!J94</f>
        <v>24000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1.142414321305932E-3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/>
      </c>
      <c r="AF97" s="43" t="str">
        <f>TRIM(データ!Z94)</f>
        <v/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機械費</v>
      </c>
      <c r="D98" s="36" t="str">
        <f>REPT("｜",$A98)&amp;TRIM(データ!E95)</f>
        <v>｜｜0.5m3TS</v>
      </c>
      <c r="E98" s="37" t="str">
        <f>TRIM(データ!F95)</f>
        <v/>
      </c>
      <c r="F98" s="38" t="str">
        <f>TRIM(データ!G95)</f>
        <v>台</v>
      </c>
      <c r="G98" s="50">
        <f>データ!H95</f>
        <v>4</v>
      </c>
      <c r="H98" s="48">
        <f>データ!I95</f>
        <v>8000</v>
      </c>
      <c r="I98" s="48">
        <f>データ!J95</f>
        <v>32000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1.523219095074576E-3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/>
      </c>
      <c r="AF98" s="43" t="str">
        <f>TRIM(データ!Z95)</f>
        <v/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機械費</v>
      </c>
      <c r="D99" s="36" t="str">
        <f>REPT("｜",$A99)&amp;TRIM(データ!E96)</f>
        <v>｜｜軽油</v>
      </c>
      <c r="E99" s="37" t="str">
        <f>TRIM(データ!F96)</f>
        <v/>
      </c>
      <c r="F99" s="38" t="str">
        <f>TRIM(データ!G96)</f>
        <v>リットル</v>
      </c>
      <c r="G99" s="50">
        <f>データ!H96</f>
        <v>120</v>
      </c>
      <c r="H99" s="48">
        <f>データ!I96</f>
        <v>180</v>
      </c>
      <c r="I99" s="48">
        <f>データ!J96</f>
        <v>21600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1.0281728891753388E-3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/>
      </c>
      <c r="AF99" s="43" t="str">
        <f>TRIM(データ!Z96)</f>
        <v/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材料費</v>
      </c>
      <c r="D100" s="36" t="str">
        <f>REPT("｜",$A100)&amp;TRIM(データ!E97)</f>
        <v>｜｜雑材</v>
      </c>
      <c r="E100" s="37" t="str">
        <f>TRIM(データ!F97)</f>
        <v/>
      </c>
      <c r="F100" s="38" t="str">
        <f>TRIM(データ!G97)</f>
        <v>式</v>
      </c>
      <c r="G100" s="50">
        <f>データ!H97</f>
        <v>1</v>
      </c>
      <c r="H100" s="48">
        <f>データ!I97</f>
        <v>17400</v>
      </c>
      <c r="I100" s="48">
        <f>データ!J97</f>
        <v>17400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8.2825038294680067E-4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/>
      </c>
      <c r="AF100" s="43" t="str">
        <f>TRIM(データ!Z97)</f>
        <v/>
      </c>
    </row>
    <row r="101" spans="1:32" x14ac:dyDescent="0.15">
      <c r="A101" s="47">
        <f>データ!A98</f>
        <v>2</v>
      </c>
      <c r="B101" s="47" t="str">
        <f>TRIM(データ!C98)</f>
        <v/>
      </c>
      <c r="C101" s="47" t="str">
        <f>TRIM(データ!D98)</f>
        <v>外注費</v>
      </c>
      <c r="D101" s="36" t="str">
        <f>REPT("｜",$A101)&amp;TRIM(データ!E98)</f>
        <v>｜｜法定福利費</v>
      </c>
      <c r="E101" s="37" t="str">
        <f>TRIM(データ!F98)</f>
        <v/>
      </c>
      <c r="F101" s="38" t="str">
        <f>TRIM(データ!G98)</f>
        <v>式</v>
      </c>
      <c r="G101" s="50">
        <f>データ!H98</f>
        <v>1</v>
      </c>
      <c r="H101" s="48">
        <f>データ!I98</f>
        <v>55000</v>
      </c>
      <c r="I101" s="48">
        <f>データ!J98</f>
        <v>55000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2.6180328196594273E-3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/>
      </c>
      <c r="AF101" s="43" t="str">
        <f>TRIM(データ!Z98)</f>
        <v/>
      </c>
    </row>
    <row r="102" spans="1:32" x14ac:dyDescent="0.15">
      <c r="A102" s="47">
        <f>データ!A99</f>
        <v>1</v>
      </c>
      <c r="B102" s="47" t="str">
        <f>TRIM(データ!C99)</f>
        <v/>
      </c>
      <c r="C102" s="47" t="str">
        <f>TRIM(データ!D99)</f>
        <v>内訳代価</v>
      </c>
      <c r="D102" s="36" t="str">
        <f>REPT("｜",$A102)&amp;TRIM(データ!E99)</f>
        <v>｜測量</v>
      </c>
      <c r="E102" s="37" t="str">
        <f>TRIM(データ!F99)</f>
        <v/>
      </c>
      <c r="F102" s="38" t="str">
        <f>TRIM(データ!G99)</f>
        <v>日</v>
      </c>
      <c r="G102" s="50">
        <f>データ!H99</f>
        <v>15</v>
      </c>
      <c r="H102" s="48">
        <f>データ!I99</f>
        <v>52000</v>
      </c>
      <c r="I102" s="48">
        <f>データ!J99</f>
        <v>780000</v>
      </c>
      <c r="J102" s="39">
        <f>IF(OR($C102="総括",$C102="内訳書",$C102="内訳代価",$C102="明細書",$C102="明細代価",$C102="代価表",$C102="単価表"),データ!K99,"")</f>
        <v>15</v>
      </c>
      <c r="K102" s="11" t="str">
        <f t="shared" si="6"/>
        <v/>
      </c>
      <c r="L102" s="46">
        <f t="shared" si="7"/>
        <v>3.7128465442442783E-2</v>
      </c>
      <c r="M102" s="40" t="str">
        <f>IF(データ!L99="","",データ!L99)</f>
        <v/>
      </c>
      <c r="N102" s="41" t="str">
        <f>IF(データ!M99="","",データ!M99)</f>
        <v>11号内訳書</v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>
        <f>IF(OR($C102="総括",$C102="内訳書",$C102="内訳代価",$C102="明細書",$C102="明細代価",$C102="代価表",$C102="単価表"),データ!Q99,"")</f>
        <v>0</v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>
        <f>IF(OR($C102="総括",$C102="内訳書",$C102="内訳代価",$C102="明細書",$C102="明細代価",$C102="代価表",$C102="単価表"),データ!W99,"")</f>
        <v>0</v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/>
      </c>
      <c r="AF102" s="43" t="str">
        <f>TRIM(データ!Z99)</f>
        <v/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材料費</v>
      </c>
      <c r="D103" s="36" t="str">
        <f>REPT("｜",$A103)&amp;TRIM(データ!E100)</f>
        <v>｜｜測量杭</v>
      </c>
      <c r="E103" s="37" t="str">
        <f>TRIM(データ!F100)</f>
        <v/>
      </c>
      <c r="F103" s="38" t="str">
        <f>TRIM(データ!G100)</f>
        <v>本</v>
      </c>
      <c r="G103" s="50">
        <f>データ!H100</f>
        <v>200</v>
      </c>
      <c r="H103" s="48">
        <f>データ!I100</f>
        <v>130</v>
      </c>
      <c r="I103" s="48">
        <f>データ!J100</f>
        <v>26000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1.237615514748093E-3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/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材料費</v>
      </c>
      <c r="D104" s="36" t="str">
        <f>REPT("｜",$A104)&amp;TRIM(データ!E101)</f>
        <v>｜｜貫板</v>
      </c>
      <c r="E104" s="37" t="str">
        <f>TRIM(データ!F101)</f>
        <v/>
      </c>
      <c r="F104" s="38" t="str">
        <f>TRIM(データ!G101)</f>
        <v>枚</v>
      </c>
      <c r="G104" s="50">
        <f>データ!H101</f>
        <v>40</v>
      </c>
      <c r="H104" s="48">
        <f>データ!I101</f>
        <v>350</v>
      </c>
      <c r="I104" s="48">
        <f>データ!J101</f>
        <v>14000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6.6640835409512698E-4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/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労務費</v>
      </c>
      <c r="D105" s="36" t="str">
        <f>REPT("｜",$A105)&amp;TRIM(データ!E102)</f>
        <v>｜｜技工</v>
      </c>
      <c r="E105" s="37" t="str">
        <f>TRIM(データ!F102)</f>
        <v/>
      </c>
      <c r="F105" s="38" t="str">
        <f>TRIM(データ!G102)</f>
        <v>人</v>
      </c>
      <c r="G105" s="50">
        <f>データ!H102</f>
        <v>30</v>
      </c>
      <c r="H105" s="48">
        <f>データ!I102</f>
        <v>20000</v>
      </c>
      <c r="I105" s="48">
        <f>データ!J102</f>
        <v>600000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2.8560358032648298E-2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運搬費</v>
      </c>
      <c r="D106" s="36" t="str">
        <f>REPT("｜",$A106)&amp;TRIM(データ!E103)</f>
        <v>｜｜2tDT</v>
      </c>
      <c r="E106" s="37" t="str">
        <f>TRIM(データ!F103)</f>
        <v/>
      </c>
      <c r="F106" s="38" t="str">
        <f>TRIM(データ!G103)</f>
        <v>台</v>
      </c>
      <c r="G106" s="50">
        <f>データ!H103</f>
        <v>15</v>
      </c>
      <c r="H106" s="48">
        <f>データ!I103</f>
        <v>8000</v>
      </c>
      <c r="I106" s="48">
        <f>データ!J103</f>
        <v>120000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5.7120716065296598E-3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/>
      </c>
      <c r="AF106" s="43" t="str">
        <f>TRIM(データ!Z103)</f>
        <v/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機械費</v>
      </c>
      <c r="D107" s="36" t="str">
        <f>REPT("｜",$A107)&amp;TRIM(データ!E104)</f>
        <v>｜｜レベル損料</v>
      </c>
      <c r="E107" s="37" t="str">
        <f>TRIM(データ!F104)</f>
        <v/>
      </c>
      <c r="F107" s="38" t="str">
        <f>TRIM(データ!G104)</f>
        <v>月</v>
      </c>
      <c r="G107" s="50">
        <f>データ!H104</f>
        <v>3</v>
      </c>
      <c r="H107" s="48">
        <f>データ!I104</f>
        <v>5000</v>
      </c>
      <c r="I107" s="48">
        <f>データ!J104</f>
        <v>15000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7.1400895081620748E-4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/>
      </c>
      <c r="AF107" s="43" t="str">
        <f>TRIM(データ!Z104)</f>
        <v/>
      </c>
    </row>
    <row r="108" spans="1:32" x14ac:dyDescent="0.15">
      <c r="A108" s="47">
        <f>データ!A105</f>
        <v>2</v>
      </c>
      <c r="B108" s="47" t="str">
        <f>TRIM(データ!C105)</f>
        <v/>
      </c>
      <c r="C108" s="47" t="str">
        <f>TRIM(データ!D105)</f>
        <v>材料費</v>
      </c>
      <c r="D108" s="36" t="str">
        <f>REPT("｜",$A108)&amp;TRIM(データ!E105)</f>
        <v>｜｜雑材</v>
      </c>
      <c r="E108" s="37" t="str">
        <f>TRIM(データ!F105)</f>
        <v/>
      </c>
      <c r="F108" s="38" t="str">
        <f>TRIM(データ!G105)</f>
        <v>式</v>
      </c>
      <c r="G108" s="50">
        <f>データ!H105</f>
        <v>1</v>
      </c>
      <c r="H108" s="48">
        <f>データ!I105</f>
        <v>5000</v>
      </c>
      <c r="I108" s="48">
        <f>データ!J105</f>
        <v>5000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2.3800298360540247E-4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1</v>
      </c>
      <c r="B109" s="47" t="str">
        <f>TRIM(データ!C106)</f>
        <v/>
      </c>
      <c r="C109" s="47" t="str">
        <f>TRIM(データ!D106)</f>
        <v>内訳代価</v>
      </c>
      <c r="D109" s="36" t="str">
        <f>REPT("｜",$A109)&amp;TRIM(データ!E106)</f>
        <v>｜仮設工</v>
      </c>
      <c r="E109" s="37" t="str">
        <f>TRIM(データ!F106)</f>
        <v>オレンジネット設置</v>
      </c>
      <c r="F109" s="38" t="str">
        <f>TRIM(データ!G106)</f>
        <v>ｍ</v>
      </c>
      <c r="G109" s="50">
        <f>データ!H106</f>
        <v>200</v>
      </c>
      <c r="H109" s="48">
        <f>データ!I106</f>
        <v>1200</v>
      </c>
      <c r="I109" s="48">
        <f>データ!J106</f>
        <v>240000</v>
      </c>
      <c r="J109" s="39">
        <f>IF(OR($C109="総括",$C109="内訳書",$C109="内訳代価",$C109="明細書",$C109="明細代価",$C109="代価表",$C109="単価表"),データ!K106,"")</f>
        <v>200</v>
      </c>
      <c r="K109" s="11" t="str">
        <f t="shared" si="6"/>
        <v/>
      </c>
      <c r="L109" s="46">
        <f t="shared" si="7"/>
        <v>1.142414321305932E-2</v>
      </c>
      <c r="M109" s="40" t="str">
        <f>IF(データ!L106="","",データ!L106)</f>
        <v/>
      </c>
      <c r="N109" s="41" t="str">
        <f>IF(データ!M106="","",データ!M106)</f>
        <v>12号内訳書</v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>
        <f>IF(OR($C109="総括",$C109="内訳書",$C109="内訳代価",$C109="明細書",$C109="明細代価",$C109="代価表",$C109="単価表"),データ!Q106,"")</f>
        <v>0</v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>
        <f>IF(OR($C109="総括",$C109="内訳書",$C109="内訳代価",$C109="明細書",$C109="明細代価",$C109="代価表",$C109="単価表"),データ!W106,"")</f>
        <v>0</v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材料費</v>
      </c>
      <c r="D110" s="36" t="str">
        <f>REPT("｜",$A110)&amp;TRIM(データ!E107)</f>
        <v>｜｜オレンジネット</v>
      </c>
      <c r="E110" s="37" t="str">
        <f>TRIM(データ!F107)</f>
        <v/>
      </c>
      <c r="F110" s="38" t="str">
        <f>TRIM(データ!G107)</f>
        <v>巻</v>
      </c>
      <c r="G110" s="50">
        <f>データ!H107</f>
        <v>4</v>
      </c>
      <c r="H110" s="48">
        <f>データ!I107</f>
        <v>6000</v>
      </c>
      <c r="I110" s="48">
        <f>データ!J107</f>
        <v>24000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1.142414321305932E-3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/>
      </c>
      <c r="AF110" s="43" t="str">
        <f>TRIM(データ!Z107)</f>
        <v/>
      </c>
    </row>
    <row r="111" spans="1:32" x14ac:dyDescent="0.15">
      <c r="A111" s="47">
        <f>データ!A108</f>
        <v>2</v>
      </c>
      <c r="B111" s="47" t="str">
        <f>TRIM(データ!C108)</f>
        <v/>
      </c>
      <c r="C111" s="47" t="str">
        <f>TRIM(データ!D108)</f>
        <v>材料費</v>
      </c>
      <c r="D111" s="36" t="str">
        <f>REPT("｜",$A111)&amp;TRIM(データ!E108)</f>
        <v>｜｜ロープ止め</v>
      </c>
      <c r="E111" s="37" t="str">
        <f>TRIM(データ!F108)</f>
        <v/>
      </c>
      <c r="F111" s="38" t="str">
        <f>TRIM(データ!G108)</f>
        <v>本</v>
      </c>
      <c r="G111" s="50">
        <f>データ!H108</f>
        <v>45</v>
      </c>
      <c r="H111" s="48">
        <f>データ!I108</f>
        <v>1000</v>
      </c>
      <c r="I111" s="48">
        <f>データ!J108</f>
        <v>45000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2.1420268524486221E-3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/>
      </c>
      <c r="AF111" s="43" t="str">
        <f>TRIM(データ!Z108)</f>
        <v/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材料費</v>
      </c>
      <c r="D112" s="36" t="str">
        <f>REPT("｜",$A112)&amp;TRIM(データ!E109)</f>
        <v>｜｜段差ステップ</v>
      </c>
      <c r="E112" s="37" t="str">
        <f>TRIM(データ!F109)</f>
        <v/>
      </c>
      <c r="F112" s="38" t="str">
        <f>TRIM(データ!G109)</f>
        <v>本</v>
      </c>
      <c r="G112" s="50">
        <f>データ!H109</f>
        <v>5</v>
      </c>
      <c r="H112" s="48">
        <f>データ!I109</f>
        <v>6000</v>
      </c>
      <c r="I112" s="48">
        <f>データ!J109</f>
        <v>30000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1.428017901632415E-3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/>
      </c>
      <c r="AF112" s="43" t="str">
        <f>TRIM(データ!Z109)</f>
        <v/>
      </c>
    </row>
    <row r="113" spans="1:32" x14ac:dyDescent="0.15">
      <c r="A113" s="47">
        <f>データ!A110</f>
        <v>2</v>
      </c>
      <c r="B113" s="47" t="str">
        <f>TRIM(データ!C110)</f>
        <v/>
      </c>
      <c r="C113" s="47" t="str">
        <f>TRIM(データ!D110)</f>
        <v>機械費</v>
      </c>
      <c r="D113" s="36" t="str">
        <f>REPT("｜",$A113)&amp;TRIM(データ!E110)</f>
        <v>｜｜カラーコーン損料</v>
      </c>
      <c r="E113" s="37" t="str">
        <f>TRIM(データ!F110)</f>
        <v/>
      </c>
      <c r="F113" s="38" t="str">
        <f>TRIM(データ!G110)</f>
        <v>本</v>
      </c>
      <c r="G113" s="50">
        <f>データ!H110</f>
        <v>20</v>
      </c>
      <c r="H113" s="48">
        <f>データ!I110</f>
        <v>1000</v>
      </c>
      <c r="I113" s="48">
        <f>データ!J110</f>
        <v>20000</v>
      </c>
      <c r="J113" s="39" t="str">
        <f>IF(OR($C113="総括",$C113="内訳書",$C113="内訳代価",$C113="明細書",$C113="明細代価",$C113="代価表",$C113="単価表"),データ!K110,"")</f>
        <v/>
      </c>
      <c r="K113" s="11" t="str">
        <f t="shared" si="6"/>
        <v/>
      </c>
      <c r="L113" s="46">
        <f t="shared" si="7"/>
        <v>9.5201193442160986E-4</v>
      </c>
      <c r="M113" s="40" t="str">
        <f>IF(データ!L110="","",データ!L110)</f>
        <v/>
      </c>
      <c r="N113" s="41" t="str">
        <f>IF(データ!M110="","",データ!M110)</f>
        <v/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 t="str">
        <f>IF(OR($C113="総括",$C113="内訳書",$C113="内訳代価",$C113="明細書",$C113="明細代価",$C113="代価表",$C113="単価表"),データ!Q110,"")</f>
        <v/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 t="str">
        <f>IF(OR($C113="総括",$C113="内訳書",$C113="内訳代価",$C113="明細書",$C113="明細代価",$C113="代価表",$C113="単価表"),データ!W110,"")</f>
        <v/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機械費</v>
      </c>
      <c r="D114" s="36" t="str">
        <f>REPT("｜",$A114)&amp;TRIM(データ!E111)</f>
        <v>｜｜コーンバー損料</v>
      </c>
      <c r="E114" s="37" t="str">
        <f>TRIM(データ!F111)</f>
        <v/>
      </c>
      <c r="F114" s="38" t="str">
        <f>TRIM(データ!G111)</f>
        <v>本</v>
      </c>
      <c r="G114" s="50">
        <f>データ!H111</f>
        <v>20</v>
      </c>
      <c r="H114" s="48">
        <f>データ!I111</f>
        <v>1000</v>
      </c>
      <c r="I114" s="48">
        <f>データ!J111</f>
        <v>20000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9.5201193442160986E-4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2</v>
      </c>
      <c r="B115" s="47" t="str">
        <f>TRIM(データ!C112)</f>
        <v/>
      </c>
      <c r="C115" s="47" t="str">
        <f>TRIM(データ!D112)</f>
        <v>労務費</v>
      </c>
      <c r="D115" s="36" t="str">
        <f>REPT("｜",$A115)&amp;TRIM(データ!E112)</f>
        <v>｜｜技工</v>
      </c>
      <c r="E115" s="37" t="str">
        <f>TRIM(データ!F112)</f>
        <v/>
      </c>
      <c r="F115" s="38" t="str">
        <f>TRIM(データ!G112)</f>
        <v>人</v>
      </c>
      <c r="G115" s="50">
        <f>データ!H112</f>
        <v>4</v>
      </c>
      <c r="H115" s="48">
        <f>データ!I112</f>
        <v>20000</v>
      </c>
      <c r="I115" s="48">
        <f>データ!J112</f>
        <v>80000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3.8080477376864394E-3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/>
      </c>
      <c r="AF115" s="43" t="str">
        <f>TRIM(データ!Z112)</f>
        <v/>
      </c>
    </row>
    <row r="116" spans="1:32" x14ac:dyDescent="0.15">
      <c r="A116" s="47">
        <f>データ!A113</f>
        <v>2</v>
      </c>
      <c r="B116" s="47" t="str">
        <f>TRIM(データ!C113)</f>
        <v/>
      </c>
      <c r="C116" s="47" t="str">
        <f>TRIM(データ!D113)</f>
        <v>材料費</v>
      </c>
      <c r="D116" s="36" t="str">
        <f>REPT("｜",$A116)&amp;TRIM(データ!E113)</f>
        <v>｜｜雑材</v>
      </c>
      <c r="E116" s="37" t="str">
        <f>TRIM(データ!F113)</f>
        <v/>
      </c>
      <c r="F116" s="38" t="str">
        <f>TRIM(データ!G113)</f>
        <v>式</v>
      </c>
      <c r="G116" s="50">
        <f>データ!H113</f>
        <v>1</v>
      </c>
      <c r="H116" s="48">
        <f>データ!I113</f>
        <v>21000</v>
      </c>
      <c r="I116" s="48">
        <f>データ!J113</f>
        <v>21000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9.9961253114269036E-4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/>
      </c>
      <c r="AF116" s="43" t="str">
        <f>TRIM(データ!Z113)</f>
        <v/>
      </c>
    </row>
    <row r="117" spans="1:32" x14ac:dyDescent="0.15">
      <c r="A117" s="47">
        <f>データ!A114</f>
        <v>1</v>
      </c>
      <c r="B117" s="47" t="str">
        <f>TRIM(データ!C114)</f>
        <v/>
      </c>
      <c r="C117" s="47" t="str">
        <f>TRIM(データ!D114)</f>
        <v>内訳代価</v>
      </c>
      <c r="D117" s="36" t="str">
        <f>REPT("｜",$A117)&amp;TRIM(データ!E114)</f>
        <v>｜交通誘導員</v>
      </c>
      <c r="E117" s="37" t="str">
        <f>TRIM(データ!F114)</f>
        <v/>
      </c>
      <c r="F117" s="38" t="str">
        <f>TRIM(データ!G114)</f>
        <v>人</v>
      </c>
      <c r="G117" s="50">
        <f>データ!H114</f>
        <v>20</v>
      </c>
      <c r="H117" s="48">
        <f>データ!I114</f>
        <v>36000</v>
      </c>
      <c r="I117" s="48">
        <f>データ!J114</f>
        <v>720000</v>
      </c>
      <c r="J117" s="39">
        <f>IF(OR($C117="総括",$C117="内訳書",$C117="内訳代価",$C117="明細書",$C117="明細代価",$C117="代価表",$C117="単価表"),データ!K114,"")</f>
        <v>20</v>
      </c>
      <c r="K117" s="11" t="str">
        <f t="shared" si="6"/>
        <v/>
      </c>
      <c r="L117" s="46">
        <f t="shared" si="7"/>
        <v>3.4272429639177954E-2</v>
      </c>
      <c r="M117" s="40" t="str">
        <f>IF(データ!L114="","",データ!L114)</f>
        <v/>
      </c>
      <c r="N117" s="41" t="str">
        <f>IF(データ!M114="","",データ!M114)</f>
        <v>13号内訳書</v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>
        <f>IF(OR($C117="総括",$C117="内訳書",$C117="内訳代価",$C117="明細書",$C117="明細代価",$C117="代価表",$C117="単価表"),データ!Q114,"")</f>
        <v>0</v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>
        <f>IF(OR($C117="総括",$C117="内訳書",$C117="内訳代価",$C117="明細書",$C117="明細代価",$C117="代価表",$C117="単価表"),データ!W114,"")</f>
        <v>0</v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外注費</v>
      </c>
      <c r="D118" s="36" t="str">
        <f>REPT("｜",$A118)&amp;TRIM(データ!E115)</f>
        <v>｜｜ガードマン（昼）</v>
      </c>
      <c r="E118" s="37" t="str">
        <f>TRIM(データ!F115)</f>
        <v/>
      </c>
      <c r="F118" s="38" t="str">
        <f>TRIM(データ!G115)</f>
        <v>人</v>
      </c>
      <c r="G118" s="50">
        <f>データ!H115</f>
        <v>40</v>
      </c>
      <c r="H118" s="48">
        <f>データ!I115</f>
        <v>18000</v>
      </c>
      <c r="I118" s="48">
        <f>データ!J115</f>
        <v>720000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3.4272429639177954E-2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/>
      </c>
      <c r="AF118" s="43" t="str">
        <f>TRIM(データ!Z115)</f>
        <v/>
      </c>
    </row>
    <row r="119" spans="1:32" x14ac:dyDescent="0.15">
      <c r="A119" s="47">
        <f>データ!A116</f>
        <v>1</v>
      </c>
      <c r="B119" s="47" t="str">
        <f>TRIM(データ!C116)</f>
        <v/>
      </c>
      <c r="C119" s="47" t="str">
        <f>TRIM(データ!D116)</f>
        <v>内訳代価</v>
      </c>
      <c r="D119" s="36" t="str">
        <f>REPT("｜",$A119)&amp;TRIM(データ!E116)</f>
        <v>｜外注経費</v>
      </c>
      <c r="E119" s="37" t="str">
        <f>TRIM(データ!F116)</f>
        <v/>
      </c>
      <c r="F119" s="38" t="str">
        <f>TRIM(データ!G116)</f>
        <v>式</v>
      </c>
      <c r="G119" s="50">
        <f>データ!H116</f>
        <v>1</v>
      </c>
      <c r="H119" s="48">
        <f>データ!I116</f>
        <v>1100000</v>
      </c>
      <c r="I119" s="48">
        <f>データ!J116</f>
        <v>1100000</v>
      </c>
      <c r="J119" s="39">
        <f>IF(OR($C119="総括",$C119="内訳書",$C119="内訳代価",$C119="明細書",$C119="明細代価",$C119="代価表",$C119="単価表"),データ!K116,"")</f>
        <v>1</v>
      </c>
      <c r="K119" s="11" t="str">
        <f t="shared" si="6"/>
        <v/>
      </c>
      <c r="L119" s="46">
        <f t="shared" si="7"/>
        <v>5.2360656393188543E-2</v>
      </c>
      <c r="M119" s="40" t="str">
        <f>IF(データ!L116="","",データ!L116)</f>
        <v/>
      </c>
      <c r="N119" s="41" t="str">
        <f>IF(データ!M116="","",データ!M116)</f>
        <v>14号内訳書</v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>
        <f>IF(OR($C119="総括",$C119="内訳書",$C119="内訳代価",$C119="明細書",$C119="明細代価",$C119="代価表",$C119="単価表"),データ!Q116,"")</f>
        <v>0</v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>
        <f>IF(OR($C119="総括",$C119="内訳書",$C119="内訳代価",$C119="明細書",$C119="明細代価",$C119="代価表",$C119="単価表"),データ!W116,"")</f>
        <v>0</v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/>
      </c>
      <c r="AF119" s="43" t="str">
        <f>TRIM(データ!Z116)</f>
        <v/>
      </c>
    </row>
    <row r="120" spans="1:32" x14ac:dyDescent="0.15">
      <c r="A120" s="47">
        <f>データ!A117</f>
        <v>2</v>
      </c>
      <c r="B120" s="47" t="str">
        <f>TRIM(データ!C117)</f>
        <v/>
      </c>
      <c r="C120" s="47" t="str">
        <f>TRIM(データ!D117)</f>
        <v>外注費</v>
      </c>
      <c r="D120" s="36" t="str">
        <f>REPT("｜",$A120)&amp;TRIM(データ!E117)</f>
        <v>｜｜外注経費</v>
      </c>
      <c r="E120" s="37" t="str">
        <f>TRIM(データ!F117)</f>
        <v/>
      </c>
      <c r="F120" s="38" t="str">
        <f>TRIM(データ!G117)</f>
        <v>式</v>
      </c>
      <c r="G120" s="50">
        <f>データ!H117</f>
        <v>1</v>
      </c>
      <c r="H120" s="48">
        <f>データ!I117</f>
        <v>1100000</v>
      </c>
      <c r="I120" s="48">
        <f>データ!J117</f>
        <v>1100000</v>
      </c>
      <c r="J120" s="39" t="str">
        <f>IF(OR($C120="総括",$C120="内訳書",$C120="内訳代価",$C120="明細書",$C120="明細代価",$C120="代価表",$C120="単価表"),データ!K117,"")</f>
        <v/>
      </c>
      <c r="K120" s="11" t="str">
        <f t="shared" si="6"/>
        <v/>
      </c>
      <c r="L120" s="46">
        <f t="shared" si="7"/>
        <v>5.2360656393188543E-2</v>
      </c>
      <c r="M120" s="40" t="str">
        <f>IF(データ!L117="","",データ!L117)</f>
        <v/>
      </c>
      <c r="N120" s="41" t="str">
        <f>IF(データ!M117="","",データ!M117)</f>
        <v/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 t="str">
        <f>IF(OR($C120="総括",$C120="内訳書",$C120="内訳代価",$C120="明細書",$C120="明細代価",$C120="代価表",$C120="単価表"),データ!Q117,"")</f>
        <v/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 t="str">
        <f>IF(OR($C120="総括",$C120="内訳書",$C120="内訳代価",$C120="明細書",$C120="明細代価",$C120="代価表",$C120="単価表"),データ!W117,"")</f>
        <v/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1</v>
      </c>
      <c r="B121" s="47" t="str">
        <f>TRIM(データ!C118)</f>
        <v/>
      </c>
      <c r="C121" s="47" t="str">
        <f>TRIM(データ!D118)</f>
        <v>内訳代価</v>
      </c>
      <c r="D121" s="36" t="str">
        <f>REPT("｜",$A121)&amp;TRIM(データ!E118)</f>
        <v>｜法定福利費</v>
      </c>
      <c r="E121" s="37" t="str">
        <f>TRIM(データ!F118)</f>
        <v/>
      </c>
      <c r="F121" s="38" t="str">
        <f>TRIM(データ!G118)</f>
        <v>式</v>
      </c>
      <c r="G121" s="50">
        <f>データ!H118</f>
        <v>1</v>
      </c>
      <c r="H121" s="48">
        <f>データ!I118</f>
        <v>820000</v>
      </c>
      <c r="I121" s="48">
        <f>データ!J118</f>
        <v>820000</v>
      </c>
      <c r="J121" s="39">
        <f>IF(OR($C121="総括",$C121="内訳書",$C121="内訳代価",$C121="明細書",$C121="明細代価",$C121="代価表",$C121="単価表"),データ!K118,"")</f>
        <v>1</v>
      </c>
      <c r="K121" s="11" t="str">
        <f t="shared" si="6"/>
        <v/>
      </c>
      <c r="L121" s="46">
        <f t="shared" si="7"/>
        <v>3.9032489311286007E-2</v>
      </c>
      <c r="M121" s="40" t="str">
        <f>IF(データ!L118="","",データ!L118)</f>
        <v/>
      </c>
      <c r="N121" s="41" t="str">
        <f>IF(データ!M118="","",データ!M118)</f>
        <v>15号内訳書</v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>
        <f>IF(OR($C121="総括",$C121="内訳書",$C121="内訳代価",$C121="明細書",$C121="明細代価",$C121="代価表",$C121="単価表"),データ!Q118,"")</f>
        <v>0</v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>
        <f>IF(OR($C121="総括",$C121="内訳書",$C121="内訳代価",$C121="明細書",$C121="明細代価",$C121="代価表",$C121="単価表"),データ!W118,"")</f>
        <v>0</v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/>
      </c>
      <c r="AF121" s="43" t="str">
        <f>TRIM(データ!Z118)</f>
        <v/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法定福利費</v>
      </c>
      <c r="D122" s="36" t="str">
        <f>REPT("｜",$A122)&amp;TRIM(データ!E119)</f>
        <v>｜｜法定福利費</v>
      </c>
      <c r="E122" s="37" t="str">
        <f>TRIM(データ!F119)</f>
        <v/>
      </c>
      <c r="F122" s="38" t="str">
        <f>TRIM(データ!G119)</f>
        <v>式</v>
      </c>
      <c r="G122" s="50">
        <f>データ!H119</f>
        <v>1</v>
      </c>
      <c r="H122" s="48">
        <f>データ!I119</f>
        <v>820000</v>
      </c>
      <c r="I122" s="48">
        <f>データ!J119</f>
        <v>820000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3.9032489311286007E-2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/>
      </c>
      <c r="AF122" s="43" t="str">
        <f>TRIM(データ!Z119)</f>
        <v/>
      </c>
    </row>
    <row r="123" spans="1:32" x14ac:dyDescent="0.15">
      <c r="A123" s="44"/>
      <c r="B123" s="44"/>
      <c r="C123" s="7"/>
      <c r="D123" s="44"/>
      <c r="E123" s="44"/>
      <c r="F123" s="45"/>
      <c r="G123" s="44"/>
      <c r="H123" s="44"/>
      <c r="I123" s="44"/>
      <c r="J123" s="44"/>
      <c r="K123" s="45"/>
      <c r="L123" s="44"/>
      <c r="M123" s="44"/>
      <c r="N123" s="44"/>
      <c r="O123" s="44"/>
      <c r="P123" s="44"/>
      <c r="Q123" s="44"/>
      <c r="R123" s="44"/>
      <c r="S123" s="45"/>
      <c r="T123" s="44"/>
      <c r="U123" s="44"/>
      <c r="V123" s="44"/>
      <c r="W123" s="44"/>
      <c r="X123" s="44"/>
      <c r="Y123" s="44"/>
      <c r="Z123" s="44"/>
      <c r="AA123" s="45"/>
      <c r="AB123" s="44"/>
      <c r="AC123" s="44"/>
      <c r="AD123" s="44"/>
      <c r="AE123" s="44"/>
      <c r="AF123" s="9"/>
    </row>
  </sheetData>
  <autoFilter ref="A3:AE123" xr:uid="{00000000-0001-0000-0100-000000000000}"/>
  <mergeCells count="4">
    <mergeCell ref="AF2:AF3"/>
    <mergeCell ref="G2:N2"/>
    <mergeCell ref="O2:V2"/>
    <mergeCell ref="W2:AD2"/>
  </mergeCells>
  <phoneticPr fontId="3"/>
  <conditionalFormatting sqref="A4:AF122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2026-01-19T00:40:37Z</dcterms:modified>
</cp:coreProperties>
</file>