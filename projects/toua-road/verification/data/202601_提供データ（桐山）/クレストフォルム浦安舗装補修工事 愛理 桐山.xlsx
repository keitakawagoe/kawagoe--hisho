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4B635464-5EFD-4DB6-9691-AD5DACA40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内訳一覧!$A$3:$AE$96</definedName>
    <definedName name="_xlnm.Print_Area" localSheetId="1">内訳一覧!$A$1:$AF$96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95" i="4" l="1"/>
  <c r="AE95" i="4"/>
  <c r="AD95" i="4"/>
  <c r="AC95" i="4"/>
  <c r="AB95" i="4"/>
  <c r="Z95" i="4"/>
  <c r="AA95" i="4" s="1"/>
  <c r="Y95" i="4"/>
  <c r="X95" i="4"/>
  <c r="W95" i="4"/>
  <c r="V95" i="4"/>
  <c r="U95" i="4"/>
  <c r="Q95" i="4"/>
  <c r="O95" i="4"/>
  <c r="N95" i="4"/>
  <c r="M95" i="4"/>
  <c r="K95" i="4"/>
  <c r="J95" i="4"/>
  <c r="I95" i="4"/>
  <c r="H95" i="4"/>
  <c r="G95" i="4"/>
  <c r="F95" i="4"/>
  <c r="E95" i="4"/>
  <c r="C95" i="4"/>
  <c r="R95" i="4" s="1"/>
  <c r="S95" i="4" s="1"/>
  <c r="B95" i="4"/>
  <c r="A95" i="4"/>
  <c r="AF94" i="4"/>
  <c r="AE94" i="4"/>
  <c r="AD94" i="4"/>
  <c r="AC94" i="4"/>
  <c r="Y94" i="4"/>
  <c r="X94" i="4"/>
  <c r="W94" i="4"/>
  <c r="V94" i="4"/>
  <c r="U94" i="4"/>
  <c r="R94" i="4"/>
  <c r="S94" i="4" s="1"/>
  <c r="Q94" i="4"/>
  <c r="T94" i="4" s="1"/>
  <c r="O94" i="4"/>
  <c r="N94" i="4"/>
  <c r="M94" i="4"/>
  <c r="J94" i="4"/>
  <c r="K94" i="4" s="1"/>
  <c r="I94" i="4"/>
  <c r="H94" i="4"/>
  <c r="G94" i="4"/>
  <c r="F94" i="4"/>
  <c r="E94" i="4"/>
  <c r="C94" i="4"/>
  <c r="P94" i="4" s="1"/>
  <c r="B94" i="4"/>
  <c r="A94" i="4"/>
  <c r="AF93" i="4"/>
  <c r="AE93" i="4"/>
  <c r="AD93" i="4"/>
  <c r="AC93" i="4"/>
  <c r="Y93" i="4"/>
  <c r="W93" i="4"/>
  <c r="V93" i="4"/>
  <c r="U93" i="4"/>
  <c r="Q93" i="4"/>
  <c r="P93" i="4"/>
  <c r="O93" i="4"/>
  <c r="N93" i="4"/>
  <c r="M93" i="4"/>
  <c r="I93" i="4"/>
  <c r="H93" i="4"/>
  <c r="G93" i="4"/>
  <c r="F93" i="4"/>
  <c r="E93" i="4"/>
  <c r="C93" i="4"/>
  <c r="B93" i="4"/>
  <c r="A93" i="4"/>
  <c r="AF92" i="4"/>
  <c r="AE92" i="4"/>
  <c r="AD92" i="4"/>
  <c r="AC92" i="4"/>
  <c r="Z92" i="4"/>
  <c r="AA92" i="4" s="1"/>
  <c r="Y92" i="4"/>
  <c r="X92" i="4"/>
  <c r="W92" i="4"/>
  <c r="V92" i="4"/>
  <c r="U92" i="4"/>
  <c r="Q92" i="4"/>
  <c r="O92" i="4"/>
  <c r="N92" i="4"/>
  <c r="M92" i="4"/>
  <c r="J92" i="4"/>
  <c r="K92" i="4" s="1"/>
  <c r="I92" i="4"/>
  <c r="H92" i="4"/>
  <c r="G92" i="4"/>
  <c r="F92" i="4"/>
  <c r="E92" i="4"/>
  <c r="C92" i="4"/>
  <c r="R92" i="4" s="1"/>
  <c r="S92" i="4" s="1"/>
  <c r="B92" i="4"/>
  <c r="A92" i="4"/>
  <c r="AF91" i="4"/>
  <c r="AE91" i="4"/>
  <c r="AD91" i="4"/>
  <c r="AC91" i="4"/>
  <c r="Z91" i="4"/>
  <c r="AA91" i="4" s="1"/>
  <c r="Y91" i="4"/>
  <c r="X91" i="4"/>
  <c r="W91" i="4"/>
  <c r="V91" i="4"/>
  <c r="U91" i="4"/>
  <c r="T91" i="4"/>
  <c r="S91" i="4"/>
  <c r="R91" i="4"/>
  <c r="Q91" i="4"/>
  <c r="O91" i="4"/>
  <c r="N91" i="4"/>
  <c r="M91" i="4"/>
  <c r="K91" i="4"/>
  <c r="J91" i="4"/>
  <c r="I91" i="4"/>
  <c r="H91" i="4"/>
  <c r="G91" i="4"/>
  <c r="F91" i="4"/>
  <c r="E91" i="4"/>
  <c r="C91" i="4"/>
  <c r="P91" i="4" s="1"/>
  <c r="B91" i="4"/>
  <c r="A91" i="4"/>
  <c r="AF90" i="4"/>
  <c r="AE90" i="4"/>
  <c r="AD90" i="4"/>
  <c r="AC90" i="4"/>
  <c r="Y90" i="4"/>
  <c r="W90" i="4"/>
  <c r="V90" i="4"/>
  <c r="U90" i="4"/>
  <c r="Q90" i="4"/>
  <c r="T90" i="4" s="1"/>
  <c r="O90" i="4"/>
  <c r="N90" i="4"/>
  <c r="M90" i="4"/>
  <c r="I90" i="4"/>
  <c r="H90" i="4"/>
  <c r="G90" i="4"/>
  <c r="F90" i="4"/>
  <c r="E90" i="4"/>
  <c r="D90" i="4"/>
  <c r="C90" i="4"/>
  <c r="R90" i="4" s="1"/>
  <c r="S90" i="4" s="1"/>
  <c r="B90" i="4"/>
  <c r="A90" i="4"/>
  <c r="AB90" i="4" s="1"/>
  <c r="AF89" i="4"/>
  <c r="AE89" i="4"/>
  <c r="AD89" i="4"/>
  <c r="AC89" i="4"/>
  <c r="Y89" i="4"/>
  <c r="W89" i="4"/>
  <c r="V89" i="4"/>
  <c r="U89" i="4"/>
  <c r="Q89" i="4"/>
  <c r="O89" i="4"/>
  <c r="N89" i="4"/>
  <c r="M89" i="4"/>
  <c r="I89" i="4"/>
  <c r="H89" i="4"/>
  <c r="G89" i="4"/>
  <c r="F89" i="4"/>
  <c r="E89" i="4"/>
  <c r="C89" i="4"/>
  <c r="R89" i="4" s="1"/>
  <c r="S89" i="4" s="1"/>
  <c r="B89" i="4"/>
  <c r="A89" i="4"/>
  <c r="AF88" i="4"/>
  <c r="AE88" i="4"/>
  <c r="AD88" i="4"/>
  <c r="AC88" i="4"/>
  <c r="Z88" i="4"/>
  <c r="AA88" i="4" s="1"/>
  <c r="Y88" i="4"/>
  <c r="X88" i="4"/>
  <c r="W88" i="4"/>
  <c r="V88" i="4"/>
  <c r="U88" i="4"/>
  <c r="T88" i="4"/>
  <c r="R88" i="4"/>
  <c r="S88" i="4" s="1"/>
  <c r="Q88" i="4"/>
  <c r="O88" i="4"/>
  <c r="N88" i="4"/>
  <c r="M88" i="4"/>
  <c r="J88" i="4"/>
  <c r="I88" i="4"/>
  <c r="H88" i="4"/>
  <c r="G88" i="4"/>
  <c r="K88" i="4" s="1"/>
  <c r="F88" i="4"/>
  <c r="E88" i="4"/>
  <c r="C88" i="4"/>
  <c r="P88" i="4" s="1"/>
  <c r="B88" i="4"/>
  <c r="A88" i="4"/>
  <c r="AF87" i="4"/>
  <c r="AE87" i="4"/>
  <c r="AD87" i="4"/>
  <c r="AC87" i="4"/>
  <c r="Z87" i="4"/>
  <c r="AA87" i="4" s="1"/>
  <c r="Y87" i="4"/>
  <c r="W87" i="4"/>
  <c r="V87" i="4"/>
  <c r="U87" i="4"/>
  <c r="S87" i="4"/>
  <c r="R87" i="4"/>
  <c r="Q87" i="4"/>
  <c r="O87" i="4"/>
  <c r="N87" i="4"/>
  <c r="M87" i="4"/>
  <c r="J87" i="4"/>
  <c r="K87" i="4" s="1"/>
  <c r="I87" i="4"/>
  <c r="H87" i="4"/>
  <c r="G87" i="4"/>
  <c r="F87" i="4"/>
  <c r="E87" i="4"/>
  <c r="D87" i="4"/>
  <c r="C87" i="4"/>
  <c r="X87" i="4" s="1"/>
  <c r="B87" i="4"/>
  <c r="A87" i="4"/>
  <c r="AF86" i="4"/>
  <c r="AE86" i="4"/>
  <c r="AD86" i="4"/>
  <c r="AC86" i="4"/>
  <c r="Z86" i="4"/>
  <c r="AA86" i="4" s="1"/>
  <c r="Y86" i="4"/>
  <c r="AB86" i="4" s="1"/>
  <c r="X86" i="4"/>
  <c r="W86" i="4"/>
  <c r="V86" i="4"/>
  <c r="U86" i="4"/>
  <c r="R86" i="4"/>
  <c r="S86" i="4" s="1"/>
  <c r="Q86" i="4"/>
  <c r="O86" i="4"/>
  <c r="N86" i="4"/>
  <c r="M86" i="4"/>
  <c r="J86" i="4"/>
  <c r="K86" i="4" s="1"/>
  <c r="I86" i="4"/>
  <c r="H86" i="4"/>
  <c r="G86" i="4"/>
  <c r="F86" i="4"/>
  <c r="E86" i="4"/>
  <c r="D86" i="4"/>
  <c r="C86" i="4"/>
  <c r="P86" i="4" s="1"/>
  <c r="B86" i="4"/>
  <c r="A86" i="4"/>
  <c r="AF85" i="4"/>
  <c r="AE85" i="4"/>
  <c r="AD85" i="4"/>
  <c r="AC85" i="4"/>
  <c r="Z85" i="4"/>
  <c r="Y85" i="4"/>
  <c r="X85" i="4"/>
  <c r="W85" i="4"/>
  <c r="V85" i="4"/>
  <c r="U85" i="4"/>
  <c r="R85" i="4"/>
  <c r="S85" i="4" s="1"/>
  <c r="Q85" i="4"/>
  <c r="T85" i="4" s="1"/>
  <c r="O85" i="4"/>
  <c r="N85" i="4"/>
  <c r="M85" i="4"/>
  <c r="J85" i="4"/>
  <c r="K85" i="4" s="1"/>
  <c r="I85" i="4"/>
  <c r="H85" i="4"/>
  <c r="G85" i="4"/>
  <c r="F85" i="4"/>
  <c r="E85" i="4"/>
  <c r="C85" i="4"/>
  <c r="P85" i="4" s="1"/>
  <c r="B85" i="4"/>
  <c r="A85" i="4"/>
  <c r="AF84" i="4"/>
  <c r="AE84" i="4"/>
  <c r="AD84" i="4"/>
  <c r="AC84" i="4"/>
  <c r="Y84" i="4"/>
  <c r="W84" i="4"/>
  <c r="V84" i="4"/>
  <c r="U84" i="4"/>
  <c r="Q84" i="4"/>
  <c r="P84" i="4"/>
  <c r="O84" i="4"/>
  <c r="N84" i="4"/>
  <c r="M84" i="4"/>
  <c r="I84" i="4"/>
  <c r="H84" i="4"/>
  <c r="G84" i="4"/>
  <c r="F84" i="4"/>
  <c r="E84" i="4"/>
  <c r="C84" i="4"/>
  <c r="X84" i="4" s="1"/>
  <c r="B84" i="4"/>
  <c r="A84" i="4"/>
  <c r="AF83" i="4"/>
  <c r="AE83" i="4"/>
  <c r="AD83" i="4"/>
  <c r="AC83" i="4"/>
  <c r="Y83" i="4"/>
  <c r="W83" i="4"/>
  <c r="V83" i="4"/>
  <c r="U83" i="4"/>
  <c r="Q83" i="4"/>
  <c r="O83" i="4"/>
  <c r="N83" i="4"/>
  <c r="M83" i="4"/>
  <c r="I83" i="4"/>
  <c r="H83" i="4"/>
  <c r="G83" i="4"/>
  <c r="F83" i="4"/>
  <c r="E83" i="4"/>
  <c r="C83" i="4"/>
  <c r="Z83" i="4" s="1"/>
  <c r="AA83" i="4" s="1"/>
  <c r="B83" i="4"/>
  <c r="A83" i="4"/>
  <c r="AF82" i="4"/>
  <c r="AE82" i="4"/>
  <c r="AD82" i="4"/>
  <c r="AC82" i="4"/>
  <c r="Z82" i="4"/>
  <c r="AA82" i="4" s="1"/>
  <c r="Y82" i="4"/>
  <c r="X82" i="4"/>
  <c r="W82" i="4"/>
  <c r="V82" i="4"/>
  <c r="U82" i="4"/>
  <c r="T82" i="4"/>
  <c r="S82" i="4"/>
  <c r="R82" i="4"/>
  <c r="Q82" i="4"/>
  <c r="O82" i="4"/>
  <c r="N82" i="4"/>
  <c r="M82" i="4"/>
  <c r="J82" i="4"/>
  <c r="I82" i="4"/>
  <c r="H82" i="4"/>
  <c r="G82" i="4"/>
  <c r="K82" i="4" s="1"/>
  <c r="F82" i="4"/>
  <c r="E82" i="4"/>
  <c r="C82" i="4"/>
  <c r="P82" i="4" s="1"/>
  <c r="B82" i="4"/>
  <c r="A82" i="4"/>
  <c r="AF81" i="4"/>
  <c r="AE81" i="4"/>
  <c r="AD81" i="4"/>
  <c r="AC81" i="4"/>
  <c r="Z81" i="4"/>
  <c r="AA81" i="4" s="1"/>
  <c r="Y81" i="4"/>
  <c r="W81" i="4"/>
  <c r="V81" i="4"/>
  <c r="U81" i="4"/>
  <c r="T81" i="4"/>
  <c r="Q81" i="4"/>
  <c r="O81" i="4"/>
  <c r="N81" i="4"/>
  <c r="M81" i="4"/>
  <c r="J81" i="4"/>
  <c r="K81" i="4" s="1"/>
  <c r="I81" i="4"/>
  <c r="H81" i="4"/>
  <c r="G81" i="4"/>
  <c r="F81" i="4"/>
  <c r="E81" i="4"/>
  <c r="D81" i="4"/>
  <c r="C81" i="4"/>
  <c r="X81" i="4" s="1"/>
  <c r="B81" i="4"/>
  <c r="A81" i="4"/>
  <c r="AF80" i="4"/>
  <c r="AE80" i="4"/>
  <c r="AD80" i="4"/>
  <c r="AC80" i="4"/>
  <c r="Z80" i="4"/>
  <c r="AA80" i="4" s="1"/>
  <c r="Y80" i="4"/>
  <c r="X80" i="4"/>
  <c r="W80" i="4"/>
  <c r="V80" i="4"/>
  <c r="U80" i="4"/>
  <c r="R80" i="4"/>
  <c r="S80" i="4" s="1"/>
  <c r="Q80" i="4"/>
  <c r="P80" i="4"/>
  <c r="O80" i="4"/>
  <c r="N80" i="4"/>
  <c r="M80" i="4"/>
  <c r="K80" i="4"/>
  <c r="J80" i="4"/>
  <c r="I80" i="4"/>
  <c r="H80" i="4"/>
  <c r="G80" i="4"/>
  <c r="F80" i="4"/>
  <c r="E80" i="4"/>
  <c r="D80" i="4"/>
  <c r="C80" i="4"/>
  <c r="B80" i="4"/>
  <c r="A80" i="4"/>
  <c r="AF79" i="4"/>
  <c r="AE79" i="4"/>
  <c r="AD79" i="4"/>
  <c r="AC79" i="4"/>
  <c r="Z79" i="4"/>
  <c r="Y79" i="4"/>
  <c r="X79" i="4"/>
  <c r="W79" i="4"/>
  <c r="V79" i="4"/>
  <c r="U79" i="4"/>
  <c r="R79" i="4"/>
  <c r="S79" i="4" s="1"/>
  <c r="Q79" i="4"/>
  <c r="T79" i="4" s="1"/>
  <c r="O79" i="4"/>
  <c r="N79" i="4"/>
  <c r="M79" i="4"/>
  <c r="J79" i="4"/>
  <c r="K79" i="4" s="1"/>
  <c r="I79" i="4"/>
  <c r="H79" i="4"/>
  <c r="G79" i="4"/>
  <c r="F79" i="4"/>
  <c r="E79" i="4"/>
  <c r="C79" i="4"/>
  <c r="P79" i="4" s="1"/>
  <c r="B79" i="4"/>
  <c r="A79" i="4"/>
  <c r="AF78" i="4"/>
  <c r="AE78" i="4"/>
  <c r="AD78" i="4"/>
  <c r="AC78" i="4"/>
  <c r="Y78" i="4"/>
  <c r="W78" i="4"/>
  <c r="V78" i="4"/>
  <c r="U78" i="4"/>
  <c r="Q78" i="4"/>
  <c r="O78" i="4"/>
  <c r="N78" i="4"/>
  <c r="M78" i="4"/>
  <c r="I78" i="4"/>
  <c r="H78" i="4"/>
  <c r="G78" i="4"/>
  <c r="F78" i="4"/>
  <c r="E78" i="4"/>
  <c r="C78" i="4"/>
  <c r="B78" i="4"/>
  <c r="A78" i="4"/>
  <c r="AF77" i="4"/>
  <c r="AE77" i="4"/>
  <c r="AD77" i="4"/>
  <c r="AC77" i="4"/>
  <c r="Y77" i="4"/>
  <c r="W77" i="4"/>
  <c r="V77" i="4"/>
  <c r="U77" i="4"/>
  <c r="Q77" i="4"/>
  <c r="O77" i="4"/>
  <c r="N77" i="4"/>
  <c r="M77" i="4"/>
  <c r="I77" i="4"/>
  <c r="H77" i="4"/>
  <c r="G77" i="4"/>
  <c r="F77" i="4"/>
  <c r="E77" i="4"/>
  <c r="C77" i="4"/>
  <c r="R77" i="4" s="1"/>
  <c r="S77" i="4" s="1"/>
  <c r="B77" i="4"/>
  <c r="A77" i="4"/>
  <c r="T77" i="4" s="1"/>
  <c r="AF76" i="4"/>
  <c r="AE76" i="4"/>
  <c r="AD76" i="4"/>
  <c r="AC76" i="4"/>
  <c r="Z76" i="4"/>
  <c r="AA76" i="4" s="1"/>
  <c r="Y76" i="4"/>
  <c r="X76" i="4"/>
  <c r="W76" i="4"/>
  <c r="V76" i="4"/>
  <c r="U76" i="4"/>
  <c r="T76" i="4"/>
  <c r="S76" i="4"/>
  <c r="R76" i="4"/>
  <c r="Q76" i="4"/>
  <c r="O76" i="4"/>
  <c r="N76" i="4"/>
  <c r="M76" i="4"/>
  <c r="J76" i="4"/>
  <c r="K76" i="4" s="1"/>
  <c r="I76" i="4"/>
  <c r="H76" i="4"/>
  <c r="G76" i="4"/>
  <c r="F76" i="4"/>
  <c r="E76" i="4"/>
  <c r="C76" i="4"/>
  <c r="P76" i="4" s="1"/>
  <c r="B76" i="4"/>
  <c r="A76" i="4"/>
  <c r="AF75" i="4"/>
  <c r="AE75" i="4"/>
  <c r="AD75" i="4"/>
  <c r="AC75" i="4"/>
  <c r="Z75" i="4"/>
  <c r="AA75" i="4" s="1"/>
  <c r="Y75" i="4"/>
  <c r="W75" i="4"/>
  <c r="V75" i="4"/>
  <c r="U75" i="4"/>
  <c r="T75" i="4"/>
  <c r="S75" i="4"/>
  <c r="R75" i="4"/>
  <c r="Q75" i="4"/>
  <c r="O75" i="4"/>
  <c r="N75" i="4"/>
  <c r="M75" i="4"/>
  <c r="J75" i="4"/>
  <c r="K75" i="4" s="1"/>
  <c r="I75" i="4"/>
  <c r="H75" i="4"/>
  <c r="G75" i="4"/>
  <c r="F75" i="4"/>
  <c r="E75" i="4"/>
  <c r="C75" i="4"/>
  <c r="X75" i="4" s="1"/>
  <c r="B75" i="4"/>
  <c r="A75" i="4"/>
  <c r="AF74" i="4"/>
  <c r="AE74" i="4"/>
  <c r="AD74" i="4"/>
  <c r="AC74" i="4"/>
  <c r="AA74" i="4"/>
  <c r="Z74" i="4"/>
  <c r="Y74" i="4"/>
  <c r="W74" i="4"/>
  <c r="V74" i="4"/>
  <c r="U74" i="4"/>
  <c r="R74" i="4"/>
  <c r="S74" i="4" s="1"/>
  <c r="Q74" i="4"/>
  <c r="P74" i="4"/>
  <c r="O74" i="4"/>
  <c r="N74" i="4"/>
  <c r="M74" i="4"/>
  <c r="J74" i="4"/>
  <c r="K74" i="4" s="1"/>
  <c r="I74" i="4"/>
  <c r="H74" i="4"/>
  <c r="G74" i="4"/>
  <c r="F74" i="4"/>
  <c r="E74" i="4"/>
  <c r="C74" i="4"/>
  <c r="X74" i="4" s="1"/>
  <c r="B74" i="4"/>
  <c r="A74" i="4"/>
  <c r="AF73" i="4"/>
  <c r="AE73" i="4"/>
  <c r="AD73" i="4"/>
  <c r="AC73" i="4"/>
  <c r="Z73" i="4"/>
  <c r="AA73" i="4" s="1"/>
  <c r="Y73" i="4"/>
  <c r="X73" i="4"/>
  <c r="W73" i="4"/>
  <c r="V73" i="4"/>
  <c r="U73" i="4"/>
  <c r="T73" i="4"/>
  <c r="Q73" i="4"/>
  <c r="O73" i="4"/>
  <c r="N73" i="4"/>
  <c r="M73" i="4"/>
  <c r="K73" i="4"/>
  <c r="J73" i="4"/>
  <c r="I73" i="4"/>
  <c r="H73" i="4"/>
  <c r="G73" i="4"/>
  <c r="F73" i="4"/>
  <c r="E73" i="4"/>
  <c r="C73" i="4"/>
  <c r="P73" i="4" s="1"/>
  <c r="B73" i="4"/>
  <c r="A73" i="4"/>
  <c r="AF72" i="4"/>
  <c r="AE72" i="4"/>
  <c r="AD72" i="4"/>
  <c r="AC72" i="4"/>
  <c r="Y72" i="4"/>
  <c r="W72" i="4"/>
  <c r="V72" i="4"/>
  <c r="U72" i="4"/>
  <c r="Q72" i="4"/>
  <c r="O72" i="4"/>
  <c r="N72" i="4"/>
  <c r="M72" i="4"/>
  <c r="I72" i="4"/>
  <c r="H72" i="4"/>
  <c r="G72" i="4"/>
  <c r="F72" i="4"/>
  <c r="E72" i="4"/>
  <c r="C72" i="4"/>
  <c r="B72" i="4"/>
  <c r="A72" i="4"/>
  <c r="AF71" i="4"/>
  <c r="AE71" i="4"/>
  <c r="AD71" i="4"/>
  <c r="AC71" i="4"/>
  <c r="Z71" i="4"/>
  <c r="AA71" i="4" s="1"/>
  <c r="Y71" i="4"/>
  <c r="X71" i="4"/>
  <c r="W71" i="4"/>
  <c r="V71" i="4"/>
  <c r="U71" i="4"/>
  <c r="S71" i="4"/>
  <c r="R71" i="4"/>
  <c r="Q71" i="4"/>
  <c r="P71" i="4"/>
  <c r="O71" i="4"/>
  <c r="N71" i="4"/>
  <c r="M71" i="4"/>
  <c r="J71" i="4"/>
  <c r="I71" i="4"/>
  <c r="H71" i="4"/>
  <c r="G71" i="4"/>
  <c r="F71" i="4"/>
  <c r="E71" i="4"/>
  <c r="C71" i="4"/>
  <c r="B71" i="4"/>
  <c r="A71" i="4"/>
  <c r="AF70" i="4"/>
  <c r="AE70" i="4"/>
  <c r="AD70" i="4"/>
  <c r="AC70" i="4"/>
  <c r="Z70" i="4"/>
  <c r="AA70" i="4" s="1"/>
  <c r="Y70" i="4"/>
  <c r="W70" i="4"/>
  <c r="V70" i="4"/>
  <c r="U70" i="4"/>
  <c r="R70" i="4"/>
  <c r="S70" i="4" s="1"/>
  <c r="Q70" i="4"/>
  <c r="T70" i="4" s="1"/>
  <c r="O70" i="4"/>
  <c r="N70" i="4"/>
  <c r="M70" i="4"/>
  <c r="I70" i="4"/>
  <c r="H70" i="4"/>
  <c r="G70" i="4"/>
  <c r="F70" i="4"/>
  <c r="E70" i="4"/>
  <c r="C70" i="4"/>
  <c r="B70" i="4"/>
  <c r="A70" i="4"/>
  <c r="AF69" i="4"/>
  <c r="AE69" i="4"/>
  <c r="AD69" i="4"/>
  <c r="AC69" i="4"/>
  <c r="Z69" i="4"/>
  <c r="AA69" i="4" s="1"/>
  <c r="Y69" i="4"/>
  <c r="W69" i="4"/>
  <c r="V69" i="4"/>
  <c r="U69" i="4"/>
  <c r="S69" i="4"/>
  <c r="R69" i="4"/>
  <c r="Q69" i="4"/>
  <c r="O69" i="4"/>
  <c r="N69" i="4"/>
  <c r="M69" i="4"/>
  <c r="J69" i="4"/>
  <c r="K69" i="4" s="1"/>
  <c r="I69" i="4"/>
  <c r="H69" i="4"/>
  <c r="G69" i="4"/>
  <c r="F69" i="4"/>
  <c r="E69" i="4"/>
  <c r="C69" i="4"/>
  <c r="X69" i="4" s="1"/>
  <c r="B69" i="4"/>
  <c r="A69" i="4"/>
  <c r="AF68" i="4"/>
  <c r="AE68" i="4"/>
  <c r="AD68" i="4"/>
  <c r="AC68" i="4"/>
  <c r="Z68" i="4"/>
  <c r="AA68" i="4" s="1"/>
  <c r="Y68" i="4"/>
  <c r="W68" i="4"/>
  <c r="V68" i="4"/>
  <c r="U68" i="4"/>
  <c r="R68" i="4"/>
  <c r="S68" i="4" s="1"/>
  <c r="Q68" i="4"/>
  <c r="P68" i="4"/>
  <c r="O68" i="4"/>
  <c r="N68" i="4"/>
  <c r="M68" i="4"/>
  <c r="J68" i="4"/>
  <c r="I68" i="4"/>
  <c r="H68" i="4"/>
  <c r="G68" i="4"/>
  <c r="F68" i="4"/>
  <c r="E68" i="4"/>
  <c r="C68" i="4"/>
  <c r="X68" i="4" s="1"/>
  <c r="B68" i="4"/>
  <c r="A68" i="4"/>
  <c r="AF67" i="4"/>
  <c r="AE67" i="4"/>
  <c r="AD67" i="4"/>
  <c r="AC67" i="4"/>
  <c r="AA67" i="4"/>
  <c r="Z67" i="4"/>
  <c r="Y67" i="4"/>
  <c r="X67" i="4"/>
  <c r="W67" i="4"/>
  <c r="V67" i="4"/>
  <c r="U67" i="4"/>
  <c r="T67" i="4"/>
  <c r="Q67" i="4"/>
  <c r="O67" i="4"/>
  <c r="N67" i="4"/>
  <c r="M67" i="4"/>
  <c r="J67" i="4"/>
  <c r="I67" i="4"/>
  <c r="H67" i="4"/>
  <c r="G67" i="4"/>
  <c r="F67" i="4"/>
  <c r="E67" i="4"/>
  <c r="C67" i="4"/>
  <c r="P67" i="4" s="1"/>
  <c r="B67" i="4"/>
  <c r="A67" i="4"/>
  <c r="AF66" i="4"/>
  <c r="AE66" i="4"/>
  <c r="AD66" i="4"/>
  <c r="AC66" i="4"/>
  <c r="Z66" i="4"/>
  <c r="AA66" i="4" s="1"/>
  <c r="Y66" i="4"/>
  <c r="W66" i="4"/>
  <c r="V66" i="4"/>
  <c r="U66" i="4"/>
  <c r="R66" i="4"/>
  <c r="S66" i="4" s="1"/>
  <c r="Q66" i="4"/>
  <c r="P66" i="4"/>
  <c r="O66" i="4"/>
  <c r="N66" i="4"/>
  <c r="M66" i="4"/>
  <c r="I66" i="4"/>
  <c r="H66" i="4"/>
  <c r="G66" i="4"/>
  <c r="F66" i="4"/>
  <c r="E66" i="4"/>
  <c r="D66" i="4"/>
  <c r="C66" i="4"/>
  <c r="B66" i="4"/>
  <c r="A66" i="4"/>
  <c r="AF65" i="4"/>
  <c r="AE65" i="4"/>
  <c r="AD65" i="4"/>
  <c r="AC65" i="4"/>
  <c r="Z65" i="4"/>
  <c r="AA65" i="4" s="1"/>
  <c r="Y65" i="4"/>
  <c r="X65" i="4"/>
  <c r="W65" i="4"/>
  <c r="V65" i="4"/>
  <c r="U65" i="4"/>
  <c r="S65" i="4"/>
  <c r="R65" i="4"/>
  <c r="Q65" i="4"/>
  <c r="P65" i="4"/>
  <c r="O65" i="4"/>
  <c r="N65" i="4"/>
  <c r="M65" i="4"/>
  <c r="J65" i="4"/>
  <c r="K65" i="4" s="1"/>
  <c r="I65" i="4"/>
  <c r="L65" i="4" s="1"/>
  <c r="H65" i="4"/>
  <c r="G65" i="4"/>
  <c r="F65" i="4"/>
  <c r="E65" i="4"/>
  <c r="C65" i="4"/>
  <c r="B65" i="4"/>
  <c r="A65" i="4"/>
  <c r="AF64" i="4"/>
  <c r="AE64" i="4"/>
  <c r="AD64" i="4"/>
  <c r="AC64" i="4"/>
  <c r="Z64" i="4"/>
  <c r="AA64" i="4" s="1"/>
  <c r="Y64" i="4"/>
  <c r="W64" i="4"/>
  <c r="V64" i="4"/>
  <c r="U64" i="4"/>
  <c r="T64" i="4"/>
  <c r="R64" i="4"/>
  <c r="S64" i="4" s="1"/>
  <c r="Q64" i="4"/>
  <c r="O64" i="4"/>
  <c r="N64" i="4"/>
  <c r="M64" i="4"/>
  <c r="I64" i="4"/>
  <c r="H64" i="4"/>
  <c r="G64" i="4"/>
  <c r="F64" i="4"/>
  <c r="E64" i="4"/>
  <c r="C64" i="4"/>
  <c r="B64" i="4"/>
  <c r="A64" i="4"/>
  <c r="AF63" i="4"/>
  <c r="AE63" i="4"/>
  <c r="AD63" i="4"/>
  <c r="AC63" i="4"/>
  <c r="Z63" i="4"/>
  <c r="Y63" i="4"/>
  <c r="W63" i="4"/>
  <c r="AA63" i="4" s="1"/>
  <c r="V63" i="4"/>
  <c r="U63" i="4"/>
  <c r="R63" i="4"/>
  <c r="S63" i="4" s="1"/>
  <c r="Q63" i="4"/>
  <c r="O63" i="4"/>
  <c r="N63" i="4"/>
  <c r="M63" i="4"/>
  <c r="J63" i="4"/>
  <c r="K63" i="4" s="1"/>
  <c r="I63" i="4"/>
  <c r="H63" i="4"/>
  <c r="G63" i="4"/>
  <c r="F63" i="4"/>
  <c r="E63" i="4"/>
  <c r="C63" i="4"/>
  <c r="X63" i="4" s="1"/>
  <c r="B63" i="4"/>
  <c r="A63" i="4"/>
  <c r="AF62" i="4"/>
  <c r="AE62" i="4"/>
  <c r="AD62" i="4"/>
  <c r="AC62" i="4"/>
  <c r="AB62" i="4"/>
  <c r="Y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P62" i="4" s="1"/>
  <c r="B62" i="4"/>
  <c r="A62" i="4"/>
  <c r="AF61" i="4"/>
  <c r="AE61" i="4"/>
  <c r="AD61" i="4"/>
  <c r="AC61" i="4"/>
  <c r="Z61" i="4"/>
  <c r="AA61" i="4" s="1"/>
  <c r="Y61" i="4"/>
  <c r="X61" i="4"/>
  <c r="W61" i="4"/>
  <c r="V61" i="4"/>
  <c r="U61" i="4"/>
  <c r="T61" i="4"/>
  <c r="Q61" i="4"/>
  <c r="O61" i="4"/>
  <c r="N61" i="4"/>
  <c r="M61" i="4"/>
  <c r="K61" i="4"/>
  <c r="J61" i="4"/>
  <c r="I61" i="4"/>
  <c r="L61" i="4" s="1"/>
  <c r="H61" i="4"/>
  <c r="G61" i="4"/>
  <c r="F61" i="4"/>
  <c r="E61" i="4"/>
  <c r="C61" i="4"/>
  <c r="P61" i="4" s="1"/>
  <c r="B61" i="4"/>
  <c r="A61" i="4"/>
  <c r="AF60" i="4"/>
  <c r="AE60" i="4"/>
  <c r="AD60" i="4"/>
  <c r="AC60" i="4"/>
  <c r="Y60" i="4"/>
  <c r="W60" i="4"/>
  <c r="V60" i="4"/>
  <c r="U60" i="4"/>
  <c r="Q60" i="4"/>
  <c r="O60" i="4"/>
  <c r="N60" i="4"/>
  <c r="M60" i="4"/>
  <c r="I60" i="4"/>
  <c r="H60" i="4"/>
  <c r="G60" i="4"/>
  <c r="F60" i="4"/>
  <c r="E60" i="4"/>
  <c r="C60" i="4"/>
  <c r="R60" i="4" s="1"/>
  <c r="S60" i="4" s="1"/>
  <c r="B60" i="4"/>
  <c r="A60" i="4"/>
  <c r="AF59" i="4"/>
  <c r="AE59" i="4"/>
  <c r="AD59" i="4"/>
  <c r="AC59" i="4"/>
  <c r="AA59" i="4"/>
  <c r="Z59" i="4"/>
  <c r="Y59" i="4"/>
  <c r="X59" i="4"/>
  <c r="W59" i="4"/>
  <c r="V59" i="4"/>
  <c r="U59" i="4"/>
  <c r="R59" i="4"/>
  <c r="S59" i="4" s="1"/>
  <c r="Q59" i="4"/>
  <c r="P59" i="4"/>
  <c r="O59" i="4"/>
  <c r="N59" i="4"/>
  <c r="M59" i="4"/>
  <c r="J59" i="4"/>
  <c r="K59" i="4" s="1"/>
  <c r="I59" i="4"/>
  <c r="H59" i="4"/>
  <c r="G59" i="4"/>
  <c r="F59" i="4"/>
  <c r="E59" i="4"/>
  <c r="C59" i="4"/>
  <c r="B59" i="4"/>
  <c r="A59" i="4"/>
  <c r="AF58" i="4"/>
  <c r="AE58" i="4"/>
  <c r="AD58" i="4"/>
  <c r="AC58" i="4"/>
  <c r="Y58" i="4"/>
  <c r="W58" i="4"/>
  <c r="V58" i="4"/>
  <c r="U58" i="4"/>
  <c r="T58" i="4"/>
  <c r="Q58" i="4"/>
  <c r="O58" i="4"/>
  <c r="N58" i="4"/>
  <c r="M58" i="4"/>
  <c r="I58" i="4"/>
  <c r="H58" i="4"/>
  <c r="G58" i="4"/>
  <c r="F58" i="4"/>
  <c r="E58" i="4"/>
  <c r="C58" i="4"/>
  <c r="B58" i="4"/>
  <c r="A58" i="4"/>
  <c r="AF57" i="4"/>
  <c r="AE57" i="4"/>
  <c r="AD57" i="4"/>
  <c r="AC57" i="4"/>
  <c r="Z57" i="4"/>
  <c r="Y57" i="4"/>
  <c r="W57" i="4"/>
  <c r="V57" i="4"/>
  <c r="U57" i="4"/>
  <c r="R57" i="4"/>
  <c r="S57" i="4" s="1"/>
  <c r="Q57" i="4"/>
  <c r="O57" i="4"/>
  <c r="N57" i="4"/>
  <c r="M57" i="4"/>
  <c r="J57" i="4"/>
  <c r="I57" i="4"/>
  <c r="H57" i="4"/>
  <c r="G57" i="4"/>
  <c r="K57" i="4" s="1"/>
  <c r="F57" i="4"/>
  <c r="E57" i="4"/>
  <c r="C57" i="4"/>
  <c r="X57" i="4" s="1"/>
  <c r="B57" i="4"/>
  <c r="A57" i="4"/>
  <c r="AF56" i="4"/>
  <c r="AE56" i="4"/>
  <c r="AD56" i="4"/>
  <c r="AC56" i="4"/>
  <c r="AB56" i="4"/>
  <c r="AA56" i="4"/>
  <c r="Z56" i="4"/>
  <c r="Y56" i="4"/>
  <c r="W56" i="4"/>
  <c r="V56" i="4"/>
  <c r="U56" i="4"/>
  <c r="Q56" i="4"/>
  <c r="P56" i="4"/>
  <c r="O56" i="4"/>
  <c r="N56" i="4"/>
  <c r="M56" i="4"/>
  <c r="I56" i="4"/>
  <c r="H56" i="4"/>
  <c r="G56" i="4"/>
  <c r="F56" i="4"/>
  <c r="E56" i="4"/>
  <c r="C56" i="4"/>
  <c r="B56" i="4"/>
  <c r="A56" i="4"/>
  <c r="AF55" i="4"/>
  <c r="AE55" i="4"/>
  <c r="AD55" i="4"/>
  <c r="AC55" i="4"/>
  <c r="Y55" i="4"/>
  <c r="W55" i="4"/>
  <c r="V55" i="4"/>
  <c r="U55" i="4"/>
  <c r="Q55" i="4"/>
  <c r="T55" i="4" s="1"/>
  <c r="O55" i="4"/>
  <c r="N55" i="4"/>
  <c r="M55" i="4"/>
  <c r="I55" i="4"/>
  <c r="H55" i="4"/>
  <c r="G55" i="4"/>
  <c r="F55" i="4"/>
  <c r="E55" i="4"/>
  <c r="C55" i="4"/>
  <c r="B55" i="4"/>
  <c r="A55" i="4"/>
  <c r="AF54" i="4"/>
  <c r="AE54" i="4"/>
  <c r="AD54" i="4"/>
  <c r="AC54" i="4"/>
  <c r="Z54" i="4"/>
  <c r="AA54" i="4" s="1"/>
  <c r="Y54" i="4"/>
  <c r="W54" i="4"/>
  <c r="V54" i="4"/>
  <c r="U54" i="4"/>
  <c r="Q54" i="4"/>
  <c r="P54" i="4"/>
  <c r="O54" i="4"/>
  <c r="N54" i="4"/>
  <c r="M54" i="4"/>
  <c r="I54" i="4"/>
  <c r="H54" i="4"/>
  <c r="G54" i="4"/>
  <c r="F54" i="4"/>
  <c r="E54" i="4"/>
  <c r="C54" i="4"/>
  <c r="B54" i="4"/>
  <c r="A54" i="4"/>
  <c r="AF53" i="4"/>
  <c r="AE53" i="4"/>
  <c r="AD53" i="4"/>
  <c r="AC53" i="4"/>
  <c r="Z53" i="4"/>
  <c r="AA53" i="4" s="1"/>
  <c r="Y53" i="4"/>
  <c r="X53" i="4"/>
  <c r="W53" i="4"/>
  <c r="V53" i="4"/>
  <c r="U53" i="4"/>
  <c r="R53" i="4"/>
  <c r="S53" i="4" s="1"/>
  <c r="Q53" i="4"/>
  <c r="P53" i="4"/>
  <c r="O53" i="4"/>
  <c r="N53" i="4"/>
  <c r="M53" i="4"/>
  <c r="J53" i="4"/>
  <c r="K53" i="4" s="1"/>
  <c r="I53" i="4"/>
  <c r="H53" i="4"/>
  <c r="G53" i="4"/>
  <c r="F53" i="4"/>
  <c r="E53" i="4"/>
  <c r="C53" i="4"/>
  <c r="B53" i="4"/>
  <c r="A53" i="4"/>
  <c r="AF52" i="4"/>
  <c r="AE52" i="4"/>
  <c r="AD52" i="4"/>
  <c r="AC52" i="4"/>
  <c r="AB52" i="4"/>
  <c r="Y52" i="4"/>
  <c r="W52" i="4"/>
  <c r="V52" i="4"/>
  <c r="U52" i="4"/>
  <c r="Q52" i="4"/>
  <c r="T52" i="4" s="1"/>
  <c r="O52" i="4"/>
  <c r="N52" i="4"/>
  <c r="M52" i="4"/>
  <c r="J52" i="4"/>
  <c r="K52" i="4" s="1"/>
  <c r="I52" i="4"/>
  <c r="H52" i="4"/>
  <c r="G52" i="4"/>
  <c r="F52" i="4"/>
  <c r="E52" i="4"/>
  <c r="D52" i="4"/>
  <c r="C52" i="4"/>
  <c r="R52" i="4" s="1"/>
  <c r="S52" i="4" s="1"/>
  <c r="B52" i="4"/>
  <c r="A52" i="4"/>
  <c r="AF51" i="4"/>
  <c r="AE51" i="4"/>
  <c r="AD51" i="4"/>
  <c r="AC51" i="4"/>
  <c r="AB51" i="4"/>
  <c r="Y51" i="4"/>
  <c r="W51" i="4"/>
  <c r="V51" i="4"/>
  <c r="U51" i="4"/>
  <c r="Q51" i="4"/>
  <c r="T51" i="4" s="1"/>
  <c r="P51" i="4"/>
  <c r="O51" i="4"/>
  <c r="N51" i="4"/>
  <c r="M51" i="4"/>
  <c r="I51" i="4"/>
  <c r="H51" i="4"/>
  <c r="G51" i="4"/>
  <c r="F51" i="4"/>
  <c r="E51" i="4"/>
  <c r="D51" i="4"/>
  <c r="C51" i="4"/>
  <c r="B51" i="4"/>
  <c r="A51" i="4"/>
  <c r="AF50" i="4"/>
  <c r="AE50" i="4"/>
  <c r="AD50" i="4"/>
  <c r="AC50" i="4"/>
  <c r="Z50" i="4"/>
  <c r="Y50" i="4"/>
  <c r="X50" i="4"/>
  <c r="W50" i="4"/>
  <c r="V50" i="4"/>
  <c r="U50" i="4"/>
  <c r="R50" i="4"/>
  <c r="S50" i="4" s="1"/>
  <c r="Q50" i="4"/>
  <c r="P50" i="4"/>
  <c r="O50" i="4"/>
  <c r="N50" i="4"/>
  <c r="M50" i="4"/>
  <c r="J50" i="4"/>
  <c r="K50" i="4" s="1"/>
  <c r="I50" i="4"/>
  <c r="H50" i="4"/>
  <c r="G50" i="4"/>
  <c r="F50" i="4"/>
  <c r="E50" i="4"/>
  <c r="C50" i="4"/>
  <c r="B50" i="4"/>
  <c r="A50" i="4"/>
  <c r="T50" i="4" s="1"/>
  <c r="AF49" i="4"/>
  <c r="AE49" i="4"/>
  <c r="AD49" i="4"/>
  <c r="AC49" i="4"/>
  <c r="Z49" i="4"/>
  <c r="AA49" i="4" s="1"/>
  <c r="Y49" i="4"/>
  <c r="X49" i="4"/>
  <c r="W49" i="4"/>
  <c r="V49" i="4"/>
  <c r="U49" i="4"/>
  <c r="T49" i="4"/>
  <c r="S49" i="4"/>
  <c r="R49" i="4"/>
  <c r="Q49" i="4"/>
  <c r="O49" i="4"/>
  <c r="N49" i="4"/>
  <c r="M49" i="4"/>
  <c r="J49" i="4"/>
  <c r="I49" i="4"/>
  <c r="H49" i="4"/>
  <c r="G49" i="4"/>
  <c r="F49" i="4"/>
  <c r="E49" i="4"/>
  <c r="D49" i="4"/>
  <c r="C49" i="4"/>
  <c r="P49" i="4" s="1"/>
  <c r="B49" i="4"/>
  <c r="A49" i="4"/>
  <c r="AF48" i="4"/>
  <c r="AE48" i="4"/>
  <c r="AD48" i="4"/>
  <c r="AC48" i="4"/>
  <c r="Z48" i="4"/>
  <c r="AA48" i="4" s="1"/>
  <c r="Y48" i="4"/>
  <c r="W48" i="4"/>
  <c r="V48" i="4"/>
  <c r="U48" i="4"/>
  <c r="Q48" i="4"/>
  <c r="P48" i="4"/>
  <c r="O48" i="4"/>
  <c r="N48" i="4"/>
  <c r="M48" i="4"/>
  <c r="I48" i="4"/>
  <c r="H48" i="4"/>
  <c r="G48" i="4"/>
  <c r="F48" i="4"/>
  <c r="E48" i="4"/>
  <c r="C48" i="4"/>
  <c r="X48" i="4" s="1"/>
  <c r="B48" i="4"/>
  <c r="A48" i="4"/>
  <c r="AF47" i="4"/>
  <c r="AE47" i="4"/>
  <c r="AD47" i="4"/>
  <c r="AC47" i="4"/>
  <c r="Z47" i="4"/>
  <c r="AA47" i="4" s="1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J47" i="4"/>
  <c r="I47" i="4"/>
  <c r="L47" i="4" s="1"/>
  <c r="H47" i="4"/>
  <c r="G47" i="4"/>
  <c r="K47" i="4" s="1"/>
  <c r="F47" i="4"/>
  <c r="E47" i="4"/>
  <c r="C47" i="4"/>
  <c r="B47" i="4"/>
  <c r="A47" i="4"/>
  <c r="D47" i="4" s="1"/>
  <c r="AF46" i="4"/>
  <c r="AE46" i="4"/>
  <c r="AD46" i="4"/>
  <c r="AC46" i="4"/>
  <c r="AB46" i="4"/>
  <c r="Y46" i="4"/>
  <c r="W46" i="4"/>
  <c r="V46" i="4"/>
  <c r="U46" i="4"/>
  <c r="Q46" i="4"/>
  <c r="T46" i="4" s="1"/>
  <c r="P46" i="4"/>
  <c r="O46" i="4"/>
  <c r="N46" i="4"/>
  <c r="M46" i="4"/>
  <c r="I46" i="4"/>
  <c r="L46" i="4" s="1"/>
  <c r="H46" i="4"/>
  <c r="G46" i="4"/>
  <c r="F46" i="4"/>
  <c r="E46" i="4"/>
  <c r="D46" i="4"/>
  <c r="C46" i="4"/>
  <c r="B46" i="4"/>
  <c r="A46" i="4"/>
  <c r="AF45" i="4"/>
  <c r="AE45" i="4"/>
  <c r="AD45" i="4"/>
  <c r="AC45" i="4"/>
  <c r="Z45" i="4"/>
  <c r="AA45" i="4" s="1"/>
  <c r="Y45" i="4"/>
  <c r="X45" i="4"/>
  <c r="W45" i="4"/>
  <c r="V45" i="4"/>
  <c r="U45" i="4"/>
  <c r="Q45" i="4"/>
  <c r="P45" i="4"/>
  <c r="O45" i="4"/>
  <c r="N45" i="4"/>
  <c r="M45" i="4"/>
  <c r="J45" i="4"/>
  <c r="K45" i="4" s="1"/>
  <c r="I45" i="4"/>
  <c r="H45" i="4"/>
  <c r="G45" i="4"/>
  <c r="F45" i="4"/>
  <c r="E45" i="4"/>
  <c r="D45" i="4"/>
  <c r="C45" i="4"/>
  <c r="R45" i="4" s="1"/>
  <c r="S45" i="4" s="1"/>
  <c r="B45" i="4"/>
  <c r="A45" i="4"/>
  <c r="T45" i="4" s="1"/>
  <c r="AF44" i="4"/>
  <c r="AE44" i="4"/>
  <c r="AD44" i="4"/>
  <c r="AC44" i="4"/>
  <c r="Z44" i="4"/>
  <c r="Y44" i="4"/>
  <c r="X44" i="4"/>
  <c r="W44" i="4"/>
  <c r="V44" i="4"/>
  <c r="U44" i="4"/>
  <c r="T44" i="4"/>
  <c r="R44" i="4"/>
  <c r="S44" i="4" s="1"/>
  <c r="Q44" i="4"/>
  <c r="P44" i="4"/>
  <c r="O44" i="4"/>
  <c r="N44" i="4"/>
  <c r="M44" i="4"/>
  <c r="K44" i="4"/>
  <c r="J44" i="4"/>
  <c r="I44" i="4"/>
  <c r="H44" i="4"/>
  <c r="G44" i="4"/>
  <c r="F44" i="4"/>
  <c r="E44" i="4"/>
  <c r="D44" i="4"/>
  <c r="C44" i="4"/>
  <c r="B44" i="4"/>
  <c r="A44" i="4"/>
  <c r="AB44" i="4" s="1"/>
  <c r="AF43" i="4"/>
  <c r="AE43" i="4"/>
  <c r="AD43" i="4"/>
  <c r="AC43" i="4"/>
  <c r="Z43" i="4"/>
  <c r="AA43" i="4" s="1"/>
  <c r="Y43" i="4"/>
  <c r="X43" i="4"/>
  <c r="W43" i="4"/>
  <c r="V43" i="4"/>
  <c r="U43" i="4"/>
  <c r="Q43" i="4"/>
  <c r="T43" i="4" s="1"/>
  <c r="O43" i="4"/>
  <c r="N43" i="4"/>
  <c r="M43" i="4"/>
  <c r="I43" i="4"/>
  <c r="H43" i="4"/>
  <c r="G43" i="4"/>
  <c r="F43" i="4"/>
  <c r="E43" i="4"/>
  <c r="D43" i="4"/>
  <c r="C43" i="4"/>
  <c r="J43" i="4" s="1"/>
  <c r="K43" i="4" s="1"/>
  <c r="B43" i="4"/>
  <c r="A43" i="4"/>
  <c r="AF42" i="4"/>
  <c r="AE42" i="4"/>
  <c r="AD42" i="4"/>
  <c r="AC42" i="4"/>
  <c r="Z42" i="4"/>
  <c r="AA42" i="4" s="1"/>
  <c r="Y42" i="4"/>
  <c r="X42" i="4"/>
  <c r="W42" i="4"/>
  <c r="V42" i="4"/>
  <c r="U42" i="4"/>
  <c r="T42" i="4"/>
  <c r="R42" i="4"/>
  <c r="S42" i="4" s="1"/>
  <c r="Q42" i="4"/>
  <c r="O42" i="4"/>
  <c r="N42" i="4"/>
  <c r="M42" i="4"/>
  <c r="J42" i="4"/>
  <c r="K42" i="4" s="1"/>
  <c r="I42" i="4"/>
  <c r="H42" i="4"/>
  <c r="G42" i="4"/>
  <c r="F42" i="4"/>
  <c r="E42" i="4"/>
  <c r="C42" i="4"/>
  <c r="P42" i="4" s="1"/>
  <c r="B42" i="4"/>
  <c r="A42" i="4"/>
  <c r="D42" i="4" s="1"/>
  <c r="AF41" i="4"/>
  <c r="AE41" i="4"/>
  <c r="AD41" i="4"/>
  <c r="AC41" i="4"/>
  <c r="Z41" i="4"/>
  <c r="AA41" i="4" s="1"/>
  <c r="Y41" i="4"/>
  <c r="AB41" i="4" s="1"/>
  <c r="X41" i="4"/>
  <c r="W41" i="4"/>
  <c r="V41" i="4"/>
  <c r="U41" i="4"/>
  <c r="R41" i="4"/>
  <c r="S41" i="4" s="1"/>
  <c r="Q41" i="4"/>
  <c r="P41" i="4"/>
  <c r="O41" i="4"/>
  <c r="N41" i="4"/>
  <c r="M41" i="4"/>
  <c r="J41" i="4"/>
  <c r="K41" i="4" s="1"/>
  <c r="I41" i="4"/>
  <c r="H41" i="4"/>
  <c r="G41" i="4"/>
  <c r="F41" i="4"/>
  <c r="E41" i="4"/>
  <c r="C41" i="4"/>
  <c r="B41" i="4"/>
  <c r="A41" i="4"/>
  <c r="AF40" i="4"/>
  <c r="AE40" i="4"/>
  <c r="AD40" i="4"/>
  <c r="AC40" i="4"/>
  <c r="AB40" i="4"/>
  <c r="Y40" i="4"/>
  <c r="W40" i="4"/>
  <c r="V40" i="4"/>
  <c r="U40" i="4"/>
  <c r="Q40" i="4"/>
  <c r="T40" i="4" s="1"/>
  <c r="O40" i="4"/>
  <c r="N40" i="4"/>
  <c r="M40" i="4"/>
  <c r="J40" i="4"/>
  <c r="K40" i="4" s="1"/>
  <c r="I40" i="4"/>
  <c r="H40" i="4"/>
  <c r="G40" i="4"/>
  <c r="F40" i="4"/>
  <c r="E40" i="4"/>
  <c r="D40" i="4"/>
  <c r="C40" i="4"/>
  <c r="R40" i="4" s="1"/>
  <c r="S40" i="4" s="1"/>
  <c r="B40" i="4"/>
  <c r="A40" i="4"/>
  <c r="AF39" i="4"/>
  <c r="AE39" i="4"/>
  <c r="AD39" i="4"/>
  <c r="AC39" i="4"/>
  <c r="AB39" i="4"/>
  <c r="Y39" i="4"/>
  <c r="W39" i="4"/>
  <c r="V39" i="4"/>
  <c r="U39" i="4"/>
  <c r="Q39" i="4"/>
  <c r="T39" i="4" s="1"/>
  <c r="O39" i="4"/>
  <c r="N39" i="4"/>
  <c r="M39" i="4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Z38" i="4"/>
  <c r="Y38" i="4"/>
  <c r="X38" i="4"/>
  <c r="W38" i="4"/>
  <c r="V38" i="4"/>
  <c r="U38" i="4"/>
  <c r="R38" i="4"/>
  <c r="S38" i="4" s="1"/>
  <c r="Q38" i="4"/>
  <c r="P38" i="4"/>
  <c r="O38" i="4"/>
  <c r="N38" i="4"/>
  <c r="M38" i="4"/>
  <c r="K38" i="4"/>
  <c r="J38" i="4"/>
  <c r="I38" i="4"/>
  <c r="H38" i="4"/>
  <c r="G38" i="4"/>
  <c r="F38" i="4"/>
  <c r="E38" i="4"/>
  <c r="C38" i="4"/>
  <c r="B38" i="4"/>
  <c r="A38" i="4"/>
  <c r="T38" i="4" s="1"/>
  <c r="AF37" i="4"/>
  <c r="AE37" i="4"/>
  <c r="AD37" i="4"/>
  <c r="AC37" i="4"/>
  <c r="Z37" i="4"/>
  <c r="AA37" i="4" s="1"/>
  <c r="Y37" i="4"/>
  <c r="X37" i="4"/>
  <c r="W37" i="4"/>
  <c r="V37" i="4"/>
  <c r="U37" i="4"/>
  <c r="T37" i="4"/>
  <c r="R37" i="4"/>
  <c r="S37" i="4" s="1"/>
  <c r="Q37" i="4"/>
  <c r="O37" i="4"/>
  <c r="N37" i="4"/>
  <c r="M37" i="4"/>
  <c r="J37" i="4"/>
  <c r="I37" i="4"/>
  <c r="L37" i="4" s="1"/>
  <c r="H37" i="4"/>
  <c r="G37" i="4"/>
  <c r="F37" i="4"/>
  <c r="E37" i="4"/>
  <c r="D37" i="4"/>
  <c r="C37" i="4"/>
  <c r="P37" i="4" s="1"/>
  <c r="B37" i="4"/>
  <c r="A37" i="4"/>
  <c r="AF36" i="4"/>
  <c r="AE36" i="4"/>
  <c r="AD36" i="4"/>
  <c r="AC36" i="4"/>
  <c r="AA36" i="4"/>
  <c r="Z36" i="4"/>
  <c r="Y36" i="4"/>
  <c r="W36" i="4"/>
  <c r="V36" i="4"/>
  <c r="U36" i="4"/>
  <c r="Q36" i="4"/>
  <c r="P36" i="4"/>
  <c r="O36" i="4"/>
  <c r="N36" i="4"/>
  <c r="M36" i="4"/>
  <c r="L36" i="4"/>
  <c r="I36" i="4"/>
  <c r="H36" i="4"/>
  <c r="G36" i="4"/>
  <c r="F36" i="4"/>
  <c r="E36" i="4"/>
  <c r="C36" i="4"/>
  <c r="X36" i="4" s="1"/>
  <c r="B36" i="4"/>
  <c r="A36" i="4"/>
  <c r="AF35" i="4"/>
  <c r="AE35" i="4"/>
  <c r="AD35" i="4"/>
  <c r="AC35" i="4"/>
  <c r="Z35" i="4"/>
  <c r="AA35" i="4" s="1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J35" i="4"/>
  <c r="I35" i="4"/>
  <c r="H35" i="4"/>
  <c r="G35" i="4"/>
  <c r="K35" i="4" s="1"/>
  <c r="F35" i="4"/>
  <c r="E35" i="4"/>
  <c r="C35" i="4"/>
  <c r="B35" i="4"/>
  <c r="A35" i="4"/>
  <c r="AB35" i="4" s="1"/>
  <c r="AF34" i="4"/>
  <c r="AE34" i="4"/>
  <c r="AD34" i="4"/>
  <c r="AC34" i="4"/>
  <c r="AB34" i="4"/>
  <c r="Y34" i="4"/>
  <c r="W34" i="4"/>
  <c r="V34" i="4"/>
  <c r="U34" i="4"/>
  <c r="Q34" i="4"/>
  <c r="T34" i="4" s="1"/>
  <c r="P34" i="4"/>
  <c r="O34" i="4"/>
  <c r="N34" i="4"/>
  <c r="M34" i="4"/>
  <c r="I34" i="4"/>
  <c r="H34" i="4"/>
  <c r="G34" i="4"/>
  <c r="F34" i="4"/>
  <c r="E34" i="4"/>
  <c r="D34" i="4"/>
  <c r="C34" i="4"/>
  <c r="B34" i="4"/>
  <c r="A34" i="4"/>
  <c r="AF33" i="4"/>
  <c r="AE33" i="4"/>
  <c r="AD33" i="4"/>
  <c r="AC33" i="4"/>
  <c r="Z33" i="4"/>
  <c r="Y33" i="4"/>
  <c r="X33" i="4"/>
  <c r="W33" i="4"/>
  <c r="V33" i="4"/>
  <c r="U33" i="4"/>
  <c r="Q33" i="4"/>
  <c r="P33" i="4"/>
  <c r="O33" i="4"/>
  <c r="N33" i="4"/>
  <c r="M33" i="4"/>
  <c r="J33" i="4"/>
  <c r="K33" i="4" s="1"/>
  <c r="I33" i="4"/>
  <c r="H33" i="4"/>
  <c r="G33" i="4"/>
  <c r="F33" i="4"/>
  <c r="E33" i="4"/>
  <c r="D33" i="4"/>
  <c r="C33" i="4"/>
  <c r="R33" i="4" s="1"/>
  <c r="S33" i="4" s="1"/>
  <c r="B33" i="4"/>
  <c r="A33" i="4"/>
  <c r="T33" i="4" s="1"/>
  <c r="AF32" i="4"/>
  <c r="AE32" i="4"/>
  <c r="AD32" i="4"/>
  <c r="AC32" i="4"/>
  <c r="Z32" i="4"/>
  <c r="Y32" i="4"/>
  <c r="X32" i="4"/>
  <c r="W32" i="4"/>
  <c r="V32" i="4"/>
  <c r="U32" i="4"/>
  <c r="T32" i="4"/>
  <c r="R32" i="4"/>
  <c r="S32" i="4" s="1"/>
  <c r="Q32" i="4"/>
  <c r="P32" i="4"/>
  <c r="O32" i="4"/>
  <c r="N32" i="4"/>
  <c r="M32" i="4"/>
  <c r="K32" i="4"/>
  <c r="J32" i="4"/>
  <c r="I32" i="4"/>
  <c r="H32" i="4"/>
  <c r="G32" i="4"/>
  <c r="F32" i="4"/>
  <c r="E32" i="4"/>
  <c r="D32" i="4"/>
  <c r="C32" i="4"/>
  <c r="B32" i="4"/>
  <c r="A32" i="4"/>
  <c r="AB32" i="4" s="1"/>
  <c r="AF31" i="4"/>
  <c r="AE31" i="4"/>
  <c r="AD31" i="4"/>
  <c r="AC31" i="4"/>
  <c r="AB31" i="4"/>
  <c r="Z31" i="4"/>
  <c r="AA31" i="4" s="1"/>
  <c r="Y31" i="4"/>
  <c r="X31" i="4"/>
  <c r="W31" i="4"/>
  <c r="V31" i="4"/>
  <c r="U31" i="4"/>
  <c r="Q31" i="4"/>
  <c r="T31" i="4" s="1"/>
  <c r="O31" i="4"/>
  <c r="N31" i="4"/>
  <c r="M31" i="4"/>
  <c r="L31" i="4"/>
  <c r="I31" i="4"/>
  <c r="H31" i="4"/>
  <c r="G31" i="4"/>
  <c r="F31" i="4"/>
  <c r="E31" i="4"/>
  <c r="D31" i="4"/>
  <c r="C31" i="4"/>
  <c r="J31" i="4" s="1"/>
  <c r="K31" i="4" s="1"/>
  <c r="B31" i="4"/>
  <c r="A31" i="4"/>
  <c r="AF30" i="4"/>
  <c r="AE30" i="4"/>
  <c r="AD30" i="4"/>
  <c r="AC30" i="4"/>
  <c r="Z30" i="4"/>
  <c r="AA30" i="4" s="1"/>
  <c r="Y30" i="4"/>
  <c r="X30" i="4"/>
  <c r="W30" i="4"/>
  <c r="V30" i="4"/>
  <c r="U30" i="4"/>
  <c r="T30" i="4"/>
  <c r="R30" i="4"/>
  <c r="S30" i="4" s="1"/>
  <c r="Q30" i="4"/>
  <c r="O30" i="4"/>
  <c r="N30" i="4"/>
  <c r="M30" i="4"/>
  <c r="J30" i="4"/>
  <c r="K30" i="4" s="1"/>
  <c r="I30" i="4"/>
  <c r="H30" i="4"/>
  <c r="G30" i="4"/>
  <c r="F30" i="4"/>
  <c r="E30" i="4"/>
  <c r="C30" i="4"/>
  <c r="P30" i="4" s="1"/>
  <c r="B30" i="4"/>
  <c r="A30" i="4"/>
  <c r="D30" i="4" s="1"/>
  <c r="AF29" i="4"/>
  <c r="AE29" i="4"/>
  <c r="AD29" i="4"/>
  <c r="AC29" i="4"/>
  <c r="AB29" i="4"/>
  <c r="Z29" i="4"/>
  <c r="AA29" i="4" s="1"/>
  <c r="Y29" i="4"/>
  <c r="X29" i="4"/>
  <c r="W29" i="4"/>
  <c r="V29" i="4"/>
  <c r="U29" i="4"/>
  <c r="R29" i="4"/>
  <c r="S29" i="4" s="1"/>
  <c r="Q29" i="4"/>
  <c r="P29" i="4"/>
  <c r="O29" i="4"/>
  <c r="N29" i="4"/>
  <c r="M29" i="4"/>
  <c r="J29" i="4"/>
  <c r="K29" i="4" s="1"/>
  <c r="I29" i="4"/>
  <c r="H29" i="4"/>
  <c r="G29" i="4"/>
  <c r="F29" i="4"/>
  <c r="E29" i="4"/>
  <c r="C29" i="4"/>
  <c r="B29" i="4"/>
  <c r="A29" i="4"/>
  <c r="AF28" i="4"/>
  <c r="AE28" i="4"/>
  <c r="AD28" i="4"/>
  <c r="AC28" i="4"/>
  <c r="AB28" i="4"/>
  <c r="Y28" i="4"/>
  <c r="W28" i="4"/>
  <c r="V28" i="4"/>
  <c r="U28" i="4"/>
  <c r="Q28" i="4"/>
  <c r="T28" i="4" s="1"/>
  <c r="O28" i="4"/>
  <c r="N28" i="4"/>
  <c r="M28" i="4"/>
  <c r="J28" i="4"/>
  <c r="K28" i="4" s="1"/>
  <c r="I28" i="4"/>
  <c r="L28" i="4" s="1"/>
  <c r="H28" i="4"/>
  <c r="G28" i="4"/>
  <c r="F28" i="4"/>
  <c r="E28" i="4"/>
  <c r="D28" i="4"/>
  <c r="C28" i="4"/>
  <c r="R28" i="4" s="1"/>
  <c r="S28" i="4" s="1"/>
  <c r="B28" i="4"/>
  <c r="A28" i="4"/>
  <c r="AF27" i="4"/>
  <c r="AE27" i="4"/>
  <c r="AD27" i="4"/>
  <c r="AC27" i="4"/>
  <c r="AB27" i="4"/>
  <c r="Y27" i="4"/>
  <c r="W27" i="4"/>
  <c r="V27" i="4"/>
  <c r="U27" i="4"/>
  <c r="Q27" i="4"/>
  <c r="T27" i="4" s="1"/>
  <c r="P27" i="4"/>
  <c r="O27" i="4"/>
  <c r="N27" i="4"/>
  <c r="M27" i="4"/>
  <c r="I27" i="4"/>
  <c r="H27" i="4"/>
  <c r="G27" i="4"/>
  <c r="F27" i="4"/>
  <c r="E27" i="4"/>
  <c r="D27" i="4"/>
  <c r="C27" i="4"/>
  <c r="B27" i="4"/>
  <c r="A27" i="4"/>
  <c r="AF26" i="4"/>
  <c r="AE26" i="4"/>
  <c r="AD26" i="4"/>
  <c r="AC26" i="4"/>
  <c r="AB26" i="4"/>
  <c r="Z26" i="4"/>
  <c r="Y26" i="4"/>
  <c r="X26" i="4"/>
  <c r="W26" i="4"/>
  <c r="V26" i="4"/>
  <c r="U26" i="4"/>
  <c r="R26" i="4"/>
  <c r="S26" i="4" s="1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T26" i="4" s="1"/>
  <c r="AF25" i="4"/>
  <c r="AE25" i="4"/>
  <c r="AD25" i="4"/>
  <c r="AC25" i="4"/>
  <c r="Z25" i="4"/>
  <c r="AA25" i="4" s="1"/>
  <c r="Y25" i="4"/>
  <c r="X25" i="4"/>
  <c r="W25" i="4"/>
  <c r="V25" i="4"/>
  <c r="U25" i="4"/>
  <c r="T25" i="4"/>
  <c r="R25" i="4"/>
  <c r="S25" i="4" s="1"/>
  <c r="Q25" i="4"/>
  <c r="O25" i="4"/>
  <c r="N25" i="4"/>
  <c r="M25" i="4"/>
  <c r="J25" i="4"/>
  <c r="I25" i="4"/>
  <c r="H25" i="4"/>
  <c r="G25" i="4"/>
  <c r="F25" i="4"/>
  <c r="E25" i="4"/>
  <c r="D25" i="4"/>
  <c r="C25" i="4"/>
  <c r="P25" i="4" s="1"/>
  <c r="B25" i="4"/>
  <c r="A25" i="4"/>
  <c r="AF24" i="4"/>
  <c r="AE24" i="4"/>
  <c r="AD24" i="4"/>
  <c r="AC24" i="4"/>
  <c r="AA24" i="4"/>
  <c r="Z24" i="4"/>
  <c r="Y24" i="4"/>
  <c r="W24" i="4"/>
  <c r="V24" i="4"/>
  <c r="U24" i="4"/>
  <c r="R24" i="4"/>
  <c r="S24" i="4" s="1"/>
  <c r="Q24" i="4"/>
  <c r="P24" i="4"/>
  <c r="O24" i="4"/>
  <c r="N24" i="4"/>
  <c r="M24" i="4"/>
  <c r="L24" i="4"/>
  <c r="I24" i="4"/>
  <c r="H24" i="4"/>
  <c r="G24" i="4"/>
  <c r="F24" i="4"/>
  <c r="E24" i="4"/>
  <c r="C24" i="4"/>
  <c r="X24" i="4" s="1"/>
  <c r="B24" i="4"/>
  <c r="A24" i="4"/>
  <c r="AF23" i="4"/>
  <c r="AE23" i="4"/>
  <c r="AD23" i="4"/>
  <c r="AC23" i="4"/>
  <c r="Z23" i="4"/>
  <c r="AA23" i="4" s="1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J23" i="4"/>
  <c r="I23" i="4"/>
  <c r="L23" i="4" s="1"/>
  <c r="H23" i="4"/>
  <c r="G23" i="4"/>
  <c r="K23" i="4" s="1"/>
  <c r="F23" i="4"/>
  <c r="E23" i="4"/>
  <c r="C23" i="4"/>
  <c r="B23" i="4"/>
  <c r="A23" i="4"/>
  <c r="D23" i="4" s="1"/>
  <c r="AF22" i="4"/>
  <c r="AE22" i="4"/>
  <c r="AD22" i="4"/>
  <c r="AC22" i="4"/>
  <c r="AB22" i="4"/>
  <c r="Y22" i="4"/>
  <c r="W22" i="4"/>
  <c r="V22" i="4"/>
  <c r="U22" i="4"/>
  <c r="Q22" i="4"/>
  <c r="T22" i="4" s="1"/>
  <c r="O22" i="4"/>
  <c r="N22" i="4"/>
  <c r="M22" i="4"/>
  <c r="I22" i="4"/>
  <c r="L22" i="4" s="1"/>
  <c r="H22" i="4"/>
  <c r="G22" i="4"/>
  <c r="F22" i="4"/>
  <c r="E22" i="4"/>
  <c r="D22" i="4"/>
  <c r="C22" i="4"/>
  <c r="P22" i="4" s="1"/>
  <c r="B22" i="4"/>
  <c r="A22" i="4"/>
  <c r="AF21" i="4"/>
  <c r="AE21" i="4"/>
  <c r="AD21" i="4"/>
  <c r="AC21" i="4"/>
  <c r="Z21" i="4"/>
  <c r="AA21" i="4" s="1"/>
  <c r="Y21" i="4"/>
  <c r="X21" i="4"/>
  <c r="W21" i="4"/>
  <c r="V21" i="4"/>
  <c r="U21" i="4"/>
  <c r="Q21" i="4"/>
  <c r="P21" i="4"/>
  <c r="O21" i="4"/>
  <c r="N21" i="4"/>
  <c r="M21" i="4"/>
  <c r="J21" i="4"/>
  <c r="K21" i="4" s="1"/>
  <c r="I21" i="4"/>
  <c r="H21" i="4"/>
  <c r="G21" i="4"/>
  <c r="F21" i="4"/>
  <c r="E21" i="4"/>
  <c r="D21" i="4"/>
  <c r="C21" i="4"/>
  <c r="R21" i="4" s="1"/>
  <c r="S21" i="4" s="1"/>
  <c r="B21" i="4"/>
  <c r="A21" i="4"/>
  <c r="T21" i="4" s="1"/>
  <c r="AF20" i="4"/>
  <c r="AE20" i="4"/>
  <c r="AD20" i="4"/>
  <c r="AC20" i="4"/>
  <c r="AB20" i="4"/>
  <c r="Z20" i="4"/>
  <c r="Y20" i="4"/>
  <c r="X20" i="4"/>
  <c r="W20" i="4"/>
  <c r="V20" i="4"/>
  <c r="U20" i="4"/>
  <c r="T20" i="4"/>
  <c r="R20" i="4"/>
  <c r="S20" i="4" s="1"/>
  <c r="Q20" i="4"/>
  <c r="P20" i="4"/>
  <c r="O20" i="4"/>
  <c r="N20" i="4"/>
  <c r="M20" i="4"/>
  <c r="K20" i="4"/>
  <c r="J20" i="4"/>
  <c r="I20" i="4"/>
  <c r="H20" i="4"/>
  <c r="G20" i="4"/>
  <c r="F20" i="4"/>
  <c r="E20" i="4"/>
  <c r="D20" i="4"/>
  <c r="C20" i="4"/>
  <c r="B20" i="4"/>
  <c r="A20" i="4"/>
  <c r="AF19" i="4"/>
  <c r="AE19" i="4"/>
  <c r="AD19" i="4"/>
  <c r="AC19" i="4"/>
  <c r="AB19" i="4"/>
  <c r="Z19" i="4"/>
  <c r="AA19" i="4" s="1"/>
  <c r="Y19" i="4"/>
  <c r="X19" i="4"/>
  <c r="W19" i="4"/>
  <c r="V19" i="4"/>
  <c r="U19" i="4"/>
  <c r="Q19" i="4"/>
  <c r="T19" i="4" s="1"/>
  <c r="O19" i="4"/>
  <c r="N19" i="4"/>
  <c r="M19" i="4"/>
  <c r="J19" i="4"/>
  <c r="K19" i="4" s="1"/>
  <c r="I19" i="4"/>
  <c r="H19" i="4"/>
  <c r="G19" i="4"/>
  <c r="F19" i="4"/>
  <c r="E19" i="4"/>
  <c r="D19" i="4"/>
  <c r="C19" i="4"/>
  <c r="R19" i="4" s="1"/>
  <c r="S19" i="4" s="1"/>
  <c r="B19" i="4"/>
  <c r="A19" i="4"/>
  <c r="AF18" i="4"/>
  <c r="AE18" i="4"/>
  <c r="AD18" i="4"/>
  <c r="AC18" i="4"/>
  <c r="Z18" i="4"/>
  <c r="AA18" i="4" s="1"/>
  <c r="Y18" i="4"/>
  <c r="X18" i="4"/>
  <c r="W18" i="4"/>
  <c r="V18" i="4"/>
  <c r="U18" i="4"/>
  <c r="R18" i="4"/>
  <c r="S18" i="4" s="1"/>
  <c r="Q18" i="4"/>
  <c r="T18" i="4" s="1"/>
  <c r="O18" i="4"/>
  <c r="N18" i="4"/>
  <c r="M18" i="4"/>
  <c r="J18" i="4"/>
  <c r="K18" i="4" s="1"/>
  <c r="I18" i="4"/>
  <c r="H18" i="4"/>
  <c r="G18" i="4"/>
  <c r="F18" i="4"/>
  <c r="E18" i="4"/>
  <c r="C18" i="4"/>
  <c r="P18" i="4" s="1"/>
  <c r="B18" i="4"/>
  <c r="A18" i="4"/>
  <c r="D18" i="4" s="1"/>
  <c r="AF17" i="4"/>
  <c r="AE17" i="4"/>
  <c r="AD17" i="4"/>
  <c r="AC17" i="4"/>
  <c r="Z17" i="4"/>
  <c r="AA17" i="4" s="1"/>
  <c r="Y17" i="4"/>
  <c r="AB17" i="4" s="1"/>
  <c r="X17" i="4"/>
  <c r="W17" i="4"/>
  <c r="V17" i="4"/>
  <c r="U17" i="4"/>
  <c r="R17" i="4"/>
  <c r="S17" i="4" s="1"/>
  <c r="Q17" i="4"/>
  <c r="P17" i="4"/>
  <c r="O17" i="4"/>
  <c r="N17" i="4"/>
  <c r="M17" i="4"/>
  <c r="L17" i="4"/>
  <c r="J17" i="4"/>
  <c r="K17" i="4" s="1"/>
  <c r="I17" i="4"/>
  <c r="H17" i="4"/>
  <c r="G17" i="4"/>
  <c r="F17" i="4"/>
  <c r="E17" i="4"/>
  <c r="C17" i="4"/>
  <c r="B17" i="4"/>
  <c r="A17" i="4"/>
  <c r="AF16" i="4"/>
  <c r="AE16" i="4"/>
  <c r="AD16" i="4"/>
  <c r="AC16" i="4"/>
  <c r="AB16" i="4"/>
  <c r="Y16" i="4"/>
  <c r="W16" i="4"/>
  <c r="V16" i="4"/>
  <c r="U16" i="4"/>
  <c r="T16" i="4"/>
  <c r="Q16" i="4"/>
  <c r="O16" i="4"/>
  <c r="N16" i="4"/>
  <c r="M16" i="4"/>
  <c r="J16" i="4"/>
  <c r="K16" i="4" s="1"/>
  <c r="I16" i="4"/>
  <c r="L16" i="4" s="1"/>
  <c r="H16" i="4"/>
  <c r="G16" i="4"/>
  <c r="F16" i="4"/>
  <c r="E16" i="4"/>
  <c r="D16" i="4"/>
  <c r="C16" i="4"/>
  <c r="R16" i="4" s="1"/>
  <c r="S16" i="4" s="1"/>
  <c r="B16" i="4"/>
  <c r="A16" i="4"/>
  <c r="AF15" i="4"/>
  <c r="AE15" i="4"/>
  <c r="AD15" i="4"/>
  <c r="AC15" i="4"/>
  <c r="AB15" i="4"/>
  <c r="Y15" i="4"/>
  <c r="W15" i="4"/>
  <c r="V15" i="4"/>
  <c r="U15" i="4"/>
  <c r="Q15" i="4"/>
  <c r="T15" i="4" s="1"/>
  <c r="P15" i="4"/>
  <c r="O15" i="4"/>
  <c r="N15" i="4"/>
  <c r="M15" i="4"/>
  <c r="I15" i="4"/>
  <c r="H15" i="4"/>
  <c r="G15" i="4"/>
  <c r="F15" i="4"/>
  <c r="E15" i="4"/>
  <c r="D15" i="4"/>
  <c r="C15" i="4"/>
  <c r="B15" i="4"/>
  <c r="A15" i="4"/>
  <c r="AF14" i="4"/>
  <c r="AE14" i="4"/>
  <c r="AD14" i="4"/>
  <c r="AC14" i="4"/>
  <c r="AB14" i="4"/>
  <c r="Z14" i="4"/>
  <c r="Y14" i="4"/>
  <c r="X14" i="4"/>
  <c r="W14" i="4"/>
  <c r="V14" i="4"/>
  <c r="U14" i="4"/>
  <c r="R14" i="4"/>
  <c r="S14" i="4" s="1"/>
  <c r="Q14" i="4"/>
  <c r="P14" i="4"/>
  <c r="O14" i="4"/>
  <c r="N14" i="4"/>
  <c r="M14" i="4"/>
  <c r="J14" i="4"/>
  <c r="K14" i="4" s="1"/>
  <c r="I14" i="4"/>
  <c r="L14" i="4" s="1"/>
  <c r="H14" i="4"/>
  <c r="G14" i="4"/>
  <c r="F14" i="4"/>
  <c r="E14" i="4"/>
  <c r="D14" i="4"/>
  <c r="C14" i="4"/>
  <c r="B14" i="4"/>
  <c r="A14" i="4"/>
  <c r="T14" i="4" s="1"/>
  <c r="AF13" i="4"/>
  <c r="AE13" i="4"/>
  <c r="AD13" i="4"/>
  <c r="AC13" i="4"/>
  <c r="Z13" i="4"/>
  <c r="AA13" i="4" s="1"/>
  <c r="Y13" i="4"/>
  <c r="X13" i="4"/>
  <c r="W13" i="4"/>
  <c r="V13" i="4"/>
  <c r="U13" i="4"/>
  <c r="T13" i="4"/>
  <c r="S13" i="4"/>
  <c r="R13" i="4"/>
  <c r="Q13" i="4"/>
  <c r="O13" i="4"/>
  <c r="N13" i="4"/>
  <c r="M13" i="4"/>
  <c r="J13" i="4"/>
  <c r="I13" i="4"/>
  <c r="L13" i="4" s="1"/>
  <c r="H13" i="4"/>
  <c r="G13" i="4"/>
  <c r="F13" i="4"/>
  <c r="E13" i="4"/>
  <c r="D13" i="4"/>
  <c r="C13" i="4"/>
  <c r="P13" i="4" s="1"/>
  <c r="B13" i="4"/>
  <c r="A13" i="4"/>
  <c r="AF12" i="4"/>
  <c r="AE12" i="4"/>
  <c r="AD12" i="4"/>
  <c r="AC12" i="4"/>
  <c r="Z12" i="4"/>
  <c r="AA12" i="4" s="1"/>
  <c r="Y12" i="4"/>
  <c r="X12" i="4"/>
  <c r="W12" i="4"/>
  <c r="V12" i="4"/>
  <c r="U12" i="4"/>
  <c r="R12" i="4"/>
  <c r="S12" i="4" s="1"/>
  <c r="Q12" i="4"/>
  <c r="P12" i="4"/>
  <c r="O12" i="4"/>
  <c r="N12" i="4"/>
  <c r="M12" i="4"/>
  <c r="L12" i="4"/>
  <c r="K12" i="4"/>
  <c r="I12" i="4"/>
  <c r="H12" i="4"/>
  <c r="G12" i="4"/>
  <c r="F12" i="4"/>
  <c r="E12" i="4"/>
  <c r="C12" i="4"/>
  <c r="J12" i="4" s="1"/>
  <c r="B12" i="4"/>
  <c r="A12" i="4"/>
  <c r="AF11" i="4"/>
  <c r="AE11" i="4"/>
  <c r="AD11" i="4"/>
  <c r="AC11" i="4"/>
  <c r="Z11" i="4"/>
  <c r="AA11" i="4" s="1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J11" i="4"/>
  <c r="I11" i="4"/>
  <c r="H11" i="4"/>
  <c r="G11" i="4"/>
  <c r="K11" i="4" s="1"/>
  <c r="F11" i="4"/>
  <c r="E11" i="4"/>
  <c r="C11" i="4"/>
  <c r="B11" i="4"/>
  <c r="A11" i="4"/>
  <c r="D11" i="4" s="1"/>
  <c r="AF10" i="4"/>
  <c r="AE10" i="4"/>
  <c r="AD10" i="4"/>
  <c r="AC10" i="4"/>
  <c r="AB10" i="4"/>
  <c r="Y10" i="4"/>
  <c r="W10" i="4"/>
  <c r="V10" i="4"/>
  <c r="U10" i="4"/>
  <c r="Q10" i="4"/>
  <c r="T10" i="4" s="1"/>
  <c r="P10" i="4"/>
  <c r="O10" i="4"/>
  <c r="N10" i="4"/>
  <c r="M10" i="4"/>
  <c r="I10" i="4"/>
  <c r="H10" i="4"/>
  <c r="G10" i="4"/>
  <c r="F10" i="4"/>
  <c r="E10" i="4"/>
  <c r="D10" i="4"/>
  <c r="C10" i="4"/>
  <c r="B10" i="4"/>
  <c r="A10" i="4"/>
  <c r="AF9" i="4"/>
  <c r="AE9" i="4"/>
  <c r="AD9" i="4"/>
  <c r="AC9" i="4"/>
  <c r="Z9" i="4"/>
  <c r="Y9" i="4"/>
  <c r="X9" i="4"/>
  <c r="W9" i="4"/>
  <c r="V9" i="4"/>
  <c r="U9" i="4"/>
  <c r="Q9" i="4"/>
  <c r="P9" i="4"/>
  <c r="O9" i="4"/>
  <c r="N9" i="4"/>
  <c r="M9" i="4"/>
  <c r="J9" i="4"/>
  <c r="K9" i="4" s="1"/>
  <c r="I9" i="4"/>
  <c r="H9" i="4"/>
  <c r="G9" i="4"/>
  <c r="F9" i="4"/>
  <c r="E9" i="4"/>
  <c r="D9" i="4"/>
  <c r="C9" i="4"/>
  <c r="R9" i="4" s="1"/>
  <c r="S9" i="4" s="1"/>
  <c r="B9" i="4"/>
  <c r="A9" i="4"/>
  <c r="T9" i="4" s="1"/>
  <c r="AF8" i="4"/>
  <c r="AE8" i="4"/>
  <c r="AD8" i="4"/>
  <c r="AC8" i="4"/>
  <c r="AB8" i="4"/>
  <c r="Z8" i="4"/>
  <c r="Y8" i="4"/>
  <c r="X8" i="4"/>
  <c r="W8" i="4"/>
  <c r="V8" i="4"/>
  <c r="U8" i="4"/>
  <c r="T8" i="4"/>
  <c r="R8" i="4"/>
  <c r="S8" i="4" s="1"/>
  <c r="Q8" i="4"/>
  <c r="P8" i="4"/>
  <c r="O8" i="4"/>
  <c r="N8" i="4"/>
  <c r="M8" i="4"/>
  <c r="K8" i="4"/>
  <c r="J8" i="4"/>
  <c r="I8" i="4"/>
  <c r="L8" i="4" s="1"/>
  <c r="H8" i="4"/>
  <c r="G8" i="4"/>
  <c r="F8" i="4"/>
  <c r="E8" i="4"/>
  <c r="D8" i="4"/>
  <c r="C8" i="4"/>
  <c r="B8" i="4"/>
  <c r="A8" i="4"/>
  <c r="AF7" i="4"/>
  <c r="AE7" i="4"/>
  <c r="AD7" i="4"/>
  <c r="AC7" i="4"/>
  <c r="AB7" i="4"/>
  <c r="Z7" i="4"/>
  <c r="AA7" i="4" s="1"/>
  <c r="Y7" i="4"/>
  <c r="X7" i="4"/>
  <c r="W7" i="4"/>
  <c r="V7" i="4"/>
  <c r="U7" i="4"/>
  <c r="Q7" i="4"/>
  <c r="T7" i="4" s="1"/>
  <c r="O7" i="4"/>
  <c r="N7" i="4"/>
  <c r="M7" i="4"/>
  <c r="L7" i="4"/>
  <c r="J7" i="4"/>
  <c r="K7" i="4" s="1"/>
  <c r="I7" i="4"/>
  <c r="H7" i="4"/>
  <c r="G7" i="4"/>
  <c r="F7" i="4"/>
  <c r="E7" i="4"/>
  <c r="D7" i="4"/>
  <c r="C7" i="4"/>
  <c r="R7" i="4" s="1"/>
  <c r="S7" i="4" s="1"/>
  <c r="B7" i="4"/>
  <c r="A7" i="4"/>
  <c r="AF6" i="4"/>
  <c r="AE6" i="4"/>
  <c r="AD6" i="4"/>
  <c r="AC6" i="4"/>
  <c r="Z6" i="4"/>
  <c r="AA6" i="4" s="1"/>
  <c r="Y6" i="4"/>
  <c r="X6" i="4"/>
  <c r="W6" i="4"/>
  <c r="V6" i="4"/>
  <c r="U6" i="4"/>
  <c r="R6" i="4"/>
  <c r="S6" i="4" s="1"/>
  <c r="Q6" i="4"/>
  <c r="O6" i="4"/>
  <c r="N6" i="4"/>
  <c r="M6" i="4"/>
  <c r="J6" i="4"/>
  <c r="K6" i="4" s="1"/>
  <c r="I6" i="4"/>
  <c r="H6" i="4"/>
  <c r="G6" i="4"/>
  <c r="F6" i="4"/>
  <c r="E6" i="4"/>
  <c r="C6" i="4"/>
  <c r="P6" i="4" s="1"/>
  <c r="B6" i="4"/>
  <c r="A6" i="4"/>
  <c r="T6" i="4" s="1"/>
  <c r="AF5" i="4"/>
  <c r="AE5" i="4"/>
  <c r="AD5" i="4"/>
  <c r="AC5" i="4"/>
  <c r="Z5" i="4"/>
  <c r="AA5" i="4" s="1"/>
  <c r="Y5" i="4"/>
  <c r="AB5" i="4" s="1"/>
  <c r="X5" i="4"/>
  <c r="W5" i="4"/>
  <c r="V5" i="4"/>
  <c r="U5" i="4"/>
  <c r="T5" i="4"/>
  <c r="R5" i="4"/>
  <c r="S5" i="4" s="1"/>
  <c r="Q5" i="4"/>
  <c r="P5" i="4"/>
  <c r="O5" i="4"/>
  <c r="N5" i="4"/>
  <c r="M5" i="4"/>
  <c r="L5" i="4"/>
  <c r="J5" i="4"/>
  <c r="K5" i="4" s="1"/>
  <c r="I5" i="4"/>
  <c r="H5" i="4"/>
  <c r="G5" i="4"/>
  <c r="F5" i="4"/>
  <c r="E5" i="4"/>
  <c r="C5" i="4"/>
  <c r="B5" i="4"/>
  <c r="A5" i="4"/>
  <c r="D5" i="4" s="1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L43" i="4" s="1"/>
  <c r="H4" i="4"/>
  <c r="G4" i="4"/>
  <c r="F4" i="4"/>
  <c r="E4" i="4"/>
  <c r="C4" i="4"/>
  <c r="Z4" i="4" s="1"/>
  <c r="AE4" i="4"/>
  <c r="AF4" i="4"/>
  <c r="A4" i="4"/>
  <c r="D4" i="4" s="1"/>
  <c r="X72" i="4" l="1"/>
  <c r="J72" i="4"/>
  <c r="K72" i="4" s="1"/>
  <c r="Z72" i="4"/>
  <c r="AA72" i="4" s="1"/>
  <c r="R72" i="4"/>
  <c r="S72" i="4" s="1"/>
  <c r="T17" i="4"/>
  <c r="D17" i="4"/>
  <c r="L29" i="4"/>
  <c r="T29" i="4"/>
  <c r="D29" i="4"/>
  <c r="L32" i="4"/>
  <c r="Z34" i="4"/>
  <c r="AA34" i="4" s="1"/>
  <c r="X34" i="4"/>
  <c r="J34" i="4"/>
  <c r="K34" i="4" s="1"/>
  <c r="R34" i="4"/>
  <c r="S34" i="4" s="1"/>
  <c r="K67" i="4"/>
  <c r="Z39" i="4"/>
  <c r="AA39" i="4" s="1"/>
  <c r="J39" i="4"/>
  <c r="K39" i="4" s="1"/>
  <c r="X39" i="4"/>
  <c r="R39" i="4"/>
  <c r="S39" i="4" s="1"/>
  <c r="T53" i="4"/>
  <c r="AB53" i="4"/>
  <c r="L53" i="4"/>
  <c r="D53" i="4"/>
  <c r="P55" i="4"/>
  <c r="R55" i="4"/>
  <c r="S55" i="4" s="1"/>
  <c r="X55" i="4"/>
  <c r="Z55" i="4"/>
  <c r="AA55" i="4" s="1"/>
  <c r="J55" i="4"/>
  <c r="K55" i="4" s="1"/>
  <c r="T36" i="4"/>
  <c r="D36" i="4"/>
  <c r="AB36" i="4"/>
  <c r="L48" i="4"/>
  <c r="L49" i="4"/>
  <c r="Z51" i="4"/>
  <c r="AA51" i="4" s="1"/>
  <c r="J51" i="4"/>
  <c r="K51" i="4" s="1"/>
  <c r="X51" i="4"/>
  <c r="R51" i="4"/>
  <c r="S51" i="4" s="1"/>
  <c r="AA57" i="4"/>
  <c r="K71" i="4"/>
  <c r="X90" i="4"/>
  <c r="J90" i="4"/>
  <c r="K90" i="4" s="1"/>
  <c r="P90" i="4"/>
  <c r="Z90" i="4"/>
  <c r="AA90" i="4" s="1"/>
  <c r="T12" i="4"/>
  <c r="D12" i="4"/>
  <c r="AB12" i="4"/>
  <c r="Z15" i="4"/>
  <c r="AA15" i="4" s="1"/>
  <c r="X15" i="4"/>
  <c r="J15" i="4"/>
  <c r="K15" i="4" s="1"/>
  <c r="R15" i="4"/>
  <c r="S15" i="4" s="1"/>
  <c r="L19" i="4"/>
  <c r="L20" i="4"/>
  <c r="L25" i="4"/>
  <c r="L38" i="4"/>
  <c r="L40" i="4"/>
  <c r="L56" i="4"/>
  <c r="L70" i="4"/>
  <c r="L73" i="4"/>
  <c r="AA9" i="4"/>
  <c r="Z27" i="4"/>
  <c r="AA27" i="4" s="1"/>
  <c r="X27" i="4"/>
  <c r="J27" i="4"/>
  <c r="K27" i="4" s="1"/>
  <c r="R27" i="4"/>
  <c r="S27" i="4" s="1"/>
  <c r="L44" i="4"/>
  <c r="Z46" i="4"/>
  <c r="AA46" i="4" s="1"/>
  <c r="X46" i="4"/>
  <c r="J46" i="4"/>
  <c r="K46" i="4" s="1"/>
  <c r="R46" i="4"/>
  <c r="S46" i="4" s="1"/>
  <c r="L55" i="4"/>
  <c r="T59" i="4"/>
  <c r="D59" i="4"/>
  <c r="AB59" i="4"/>
  <c r="L59" i="4"/>
  <c r="D6" i="4"/>
  <c r="AB6" i="4"/>
  <c r="L6" i="4"/>
  <c r="X10" i="4"/>
  <c r="J10" i="4"/>
  <c r="K10" i="4" s="1"/>
  <c r="R10" i="4"/>
  <c r="S10" i="4" s="1"/>
  <c r="L10" i="4"/>
  <c r="L11" i="4"/>
  <c r="T24" i="4"/>
  <c r="D24" i="4"/>
  <c r="AB24" i="4"/>
  <c r="AA33" i="4"/>
  <c r="L35" i="4"/>
  <c r="L41" i="4"/>
  <c r="T41" i="4"/>
  <c r="D41" i="4"/>
  <c r="T48" i="4"/>
  <c r="D48" i="4"/>
  <c r="AB48" i="4"/>
  <c r="T62" i="4"/>
  <c r="L62" i="4"/>
  <c r="D62" i="4"/>
  <c r="T68" i="4"/>
  <c r="AB68" i="4"/>
  <c r="L68" i="4"/>
  <c r="D68" i="4"/>
  <c r="X78" i="4"/>
  <c r="Z78" i="4"/>
  <c r="AA78" i="4" s="1"/>
  <c r="J78" i="4"/>
  <c r="K78" i="4" s="1"/>
  <c r="R78" i="4"/>
  <c r="S78" i="4" s="1"/>
  <c r="P78" i="4"/>
  <c r="Z10" i="4"/>
  <c r="AA10" i="4" s="1"/>
  <c r="J1" i="4"/>
  <c r="L80" i="4"/>
  <c r="L82" i="4"/>
  <c r="L94" i="4"/>
  <c r="L86" i="4"/>
  <c r="L88" i="4"/>
  <c r="L15" i="4"/>
  <c r="L51" i="4"/>
  <c r="L39" i="4"/>
  <c r="L27" i="4"/>
  <c r="L91" i="4"/>
  <c r="L76" i="4"/>
  <c r="L71" i="4"/>
  <c r="L67" i="4"/>
  <c r="L58" i="4"/>
  <c r="L64" i="4"/>
  <c r="L74" i="4"/>
  <c r="L34" i="4"/>
  <c r="L50" i="4"/>
  <c r="L52" i="4"/>
  <c r="P72" i="4"/>
  <c r="P58" i="4"/>
  <c r="X58" i="4"/>
  <c r="J58" i="4"/>
  <c r="K58" i="4" s="1"/>
  <c r="R58" i="4"/>
  <c r="S58" i="4" s="1"/>
  <c r="Z58" i="4"/>
  <c r="AA58" i="4" s="1"/>
  <c r="X22" i="4"/>
  <c r="J22" i="4"/>
  <c r="K22" i="4" s="1"/>
  <c r="R22" i="4"/>
  <c r="S22" i="4" s="1"/>
  <c r="Z22" i="4"/>
  <c r="AA22" i="4" s="1"/>
  <c r="P39" i="4"/>
  <c r="L72" i="4"/>
  <c r="T72" i="4"/>
  <c r="AB72" i="4"/>
  <c r="D72" i="4"/>
  <c r="T92" i="4"/>
  <c r="D92" i="4"/>
  <c r="L92" i="4"/>
  <c r="L93" i="4"/>
  <c r="AB93" i="4"/>
  <c r="T93" i="4"/>
  <c r="D93" i="4"/>
  <c r="L9" i="4"/>
  <c r="X16" i="4"/>
  <c r="L21" i="4"/>
  <c r="X28" i="4"/>
  <c r="L33" i="4"/>
  <c r="X40" i="4"/>
  <c r="L45" i="4"/>
  <c r="X52" i="4"/>
  <c r="T56" i="4"/>
  <c r="Z60" i="4"/>
  <c r="AA60" i="4" s="1"/>
  <c r="AA14" i="4"/>
  <c r="P19" i="4"/>
  <c r="AA26" i="4"/>
  <c r="P31" i="4"/>
  <c r="AA38" i="4"/>
  <c r="P43" i="4"/>
  <c r="AB43" i="4"/>
  <c r="AA50" i="4"/>
  <c r="X62" i="4"/>
  <c r="J62" i="4"/>
  <c r="K62" i="4" s="1"/>
  <c r="L66" i="4"/>
  <c r="AB66" i="4"/>
  <c r="L69" i="4"/>
  <c r="D69" i="4"/>
  <c r="AB69" i="4"/>
  <c r="AB78" i="4"/>
  <c r="L79" i="4"/>
  <c r="T83" i="4"/>
  <c r="L83" i="4"/>
  <c r="D83" i="4"/>
  <c r="K13" i="4"/>
  <c r="Z16" i="4"/>
  <c r="AA16" i="4" s="1"/>
  <c r="K25" i="4"/>
  <c r="Z28" i="4"/>
  <c r="AA28" i="4" s="1"/>
  <c r="K37" i="4"/>
  <c r="AB38" i="4"/>
  <c r="Z40" i="4"/>
  <c r="AA40" i="4" s="1"/>
  <c r="K49" i="4"/>
  <c r="AB50" i="4"/>
  <c r="Z52" i="4"/>
  <c r="AA52" i="4" s="1"/>
  <c r="X56" i="4"/>
  <c r="J56" i="4"/>
  <c r="K56" i="4" s="1"/>
  <c r="L60" i="4"/>
  <c r="AB60" i="4"/>
  <c r="R62" i="4"/>
  <c r="S62" i="4" s="1"/>
  <c r="P7" i="4"/>
  <c r="AB9" i="4"/>
  <c r="L18" i="4"/>
  <c r="AB21" i="4"/>
  <c r="L30" i="4"/>
  <c r="R31" i="4"/>
  <c r="S31" i="4" s="1"/>
  <c r="AB33" i="4"/>
  <c r="R36" i="4"/>
  <c r="S36" i="4" s="1"/>
  <c r="D38" i="4"/>
  <c r="L42" i="4"/>
  <c r="R43" i="4"/>
  <c r="S43" i="4" s="1"/>
  <c r="AB45" i="4"/>
  <c r="R48" i="4"/>
  <c r="S48" i="4" s="1"/>
  <c r="D50" i="4"/>
  <c r="L54" i="4"/>
  <c r="AB54" i="4"/>
  <c r="D56" i="4"/>
  <c r="R56" i="4"/>
  <c r="S56" i="4" s="1"/>
  <c r="P60" i="4"/>
  <c r="L63" i="4"/>
  <c r="D63" i="4"/>
  <c r="AB63" i="4"/>
  <c r="X66" i="4"/>
  <c r="J66" i="4"/>
  <c r="K66" i="4" s="1"/>
  <c r="AB70" i="4"/>
  <c r="T74" i="4"/>
  <c r="D74" i="4"/>
  <c r="AB74" i="4"/>
  <c r="AB77" i="4"/>
  <c r="L85" i="4"/>
  <c r="P52" i="4"/>
  <c r="AB11" i="4"/>
  <c r="AB23" i="4"/>
  <c r="AB47" i="4"/>
  <c r="X54" i="4"/>
  <c r="J54" i="4"/>
  <c r="K54" i="4" s="1"/>
  <c r="D60" i="4"/>
  <c r="AB67" i="4"/>
  <c r="T69" i="4"/>
  <c r="P70" i="4"/>
  <c r="X70" i="4"/>
  <c r="J70" i="4"/>
  <c r="K70" i="4" s="1"/>
  <c r="T71" i="4"/>
  <c r="D71" i="4"/>
  <c r="AB71" i="4"/>
  <c r="P28" i="4"/>
  <c r="P40" i="4"/>
  <c r="X60" i="4"/>
  <c r="J60" i="4"/>
  <c r="K60" i="4" s="1"/>
  <c r="AB30" i="4"/>
  <c r="D35" i="4"/>
  <c r="AB42" i="4"/>
  <c r="D54" i="4"/>
  <c r="R54" i="4"/>
  <c r="S54" i="4" s="1"/>
  <c r="AB64" i="4"/>
  <c r="T66" i="4"/>
  <c r="K68" i="4"/>
  <c r="AB83" i="4"/>
  <c r="AB92" i="4"/>
  <c r="P16" i="4"/>
  <c r="L57" i="4"/>
  <c r="D57" i="4"/>
  <c r="AB57" i="4"/>
  <c r="AB18" i="4"/>
  <c r="AA8" i="4"/>
  <c r="AB13" i="4"/>
  <c r="AA20" i="4"/>
  <c r="J24" i="4"/>
  <c r="K24" i="4" s="1"/>
  <c r="AB25" i="4"/>
  <c r="AA32" i="4"/>
  <c r="J36" i="4"/>
  <c r="K36" i="4" s="1"/>
  <c r="AB37" i="4"/>
  <c r="AA44" i="4"/>
  <c r="J48" i="4"/>
  <c r="K48" i="4" s="1"/>
  <c r="AB49" i="4"/>
  <c r="AB58" i="4"/>
  <c r="D58" i="4"/>
  <c r="T60" i="4"/>
  <c r="AB61" i="4"/>
  <c r="D61" i="4"/>
  <c r="T63" i="4"/>
  <c r="T54" i="4"/>
  <c r="AB55" i="4"/>
  <c r="D55" i="4"/>
  <c r="T57" i="4"/>
  <c r="Z62" i="4"/>
  <c r="AA62" i="4" s="1"/>
  <c r="P64" i="4"/>
  <c r="X64" i="4"/>
  <c r="J64" i="4"/>
  <c r="K64" i="4" s="1"/>
  <c r="T65" i="4"/>
  <c r="D65" i="4"/>
  <c r="AB65" i="4"/>
  <c r="AB76" i="4"/>
  <c r="L78" i="4"/>
  <c r="T78" i="4"/>
  <c r="D78" i="4"/>
  <c r="L89" i="4"/>
  <c r="T95" i="4"/>
  <c r="D95" i="4"/>
  <c r="L95" i="4"/>
  <c r="T87" i="4"/>
  <c r="AB88" i="4"/>
  <c r="X89" i="4"/>
  <c r="X93" i="4"/>
  <c r="J93" i="4"/>
  <c r="K93" i="4" s="1"/>
  <c r="R93" i="4"/>
  <c r="S93" i="4" s="1"/>
  <c r="J77" i="4"/>
  <c r="K77" i="4" s="1"/>
  <c r="X77" i="4"/>
  <c r="L81" i="4"/>
  <c r="AB81" i="4"/>
  <c r="P83" i="4"/>
  <c r="J84" i="4"/>
  <c r="K84" i="4" s="1"/>
  <c r="T86" i="4"/>
  <c r="J89" i="4"/>
  <c r="K89" i="4" s="1"/>
  <c r="AB91" i="4"/>
  <c r="AA79" i="4"/>
  <c r="P81" i="4"/>
  <c r="Z84" i="4"/>
  <c r="AA84" i="4" s="1"/>
  <c r="Z89" i="4"/>
  <c r="AA89" i="4" s="1"/>
  <c r="AB94" i="4"/>
  <c r="L77" i="4"/>
  <c r="Z77" i="4"/>
  <c r="AA77" i="4" s="1"/>
  <c r="AB79" i="4"/>
  <c r="R83" i="4"/>
  <c r="S83" i="4" s="1"/>
  <c r="R81" i="4"/>
  <c r="S81" i="4" s="1"/>
  <c r="L84" i="4"/>
  <c r="AB84" i="4"/>
  <c r="T89" i="4"/>
  <c r="AB89" i="4"/>
  <c r="AB73" i="4"/>
  <c r="L75" i="4"/>
  <c r="AB82" i="4"/>
  <c r="AB75" i="4"/>
  <c r="D77" i="4"/>
  <c r="P77" i="4"/>
  <c r="T80" i="4"/>
  <c r="J83" i="4"/>
  <c r="K83" i="4" s="1"/>
  <c r="X83" i="4"/>
  <c r="D84" i="4"/>
  <c r="R84" i="4"/>
  <c r="S84" i="4" s="1"/>
  <c r="L87" i="4"/>
  <c r="AB87" i="4"/>
  <c r="D89" i="4"/>
  <c r="P89" i="4"/>
  <c r="Z93" i="4"/>
  <c r="AA93" i="4" s="1"/>
  <c r="AB80" i="4"/>
  <c r="AA85" i="4"/>
  <c r="P87" i="4"/>
  <c r="P92" i="4"/>
  <c r="P95" i="4"/>
  <c r="P57" i="4"/>
  <c r="P63" i="4"/>
  <c r="P69" i="4"/>
  <c r="P75" i="4"/>
  <c r="R61" i="4"/>
  <c r="S61" i="4" s="1"/>
  <c r="R67" i="4"/>
  <c r="S67" i="4" s="1"/>
  <c r="R73" i="4"/>
  <c r="S73" i="4" s="1"/>
  <c r="D75" i="4"/>
  <c r="T84" i="4"/>
  <c r="AB85" i="4"/>
  <c r="L90" i="4"/>
  <c r="Z94" i="4"/>
  <c r="AA94" i="4" s="1"/>
  <c r="D64" i="4"/>
  <c r="D67" i="4"/>
  <c r="D70" i="4"/>
  <c r="D73" i="4"/>
  <c r="D76" i="4"/>
  <c r="D79" i="4"/>
  <c r="D82" i="4"/>
  <c r="D85" i="4"/>
  <c r="D88" i="4"/>
  <c r="D91" i="4"/>
  <c r="D94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<sst xmlns="http://schemas.openxmlformats.org/spreadsheetml/2006/main" count="400" uniqueCount="139">
  <si>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</si>
  <si>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</si>
  <si>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</si>
  <si>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</si>
  <si>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</si>
  <si>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</si>
  <si>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</si>
  <si>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</si>
  <si>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</si>
  <si>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</si>
  <si>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</si>
  <si>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</si>
  <si>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</si>
  <si>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</si>
  <si>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</si>
  <si>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</si>
  <si>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</si>
  <si>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</si>
  <si>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</si>
  <si>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</si>
  <si>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02230001</t>
  </si>
  <si>
    <t>内訳書</t>
  </si>
  <si>
    <t>撤去・不陸</t>
  </si>
  <si>
    <t>既設舗装版撤去　不陸整正</t>
  </si>
  <si>
    <t>15号内訳書</t>
  </si>
  <si>
    <t>材料費</t>
  </si>
  <si>
    <t>軽油</t>
  </si>
  <si>
    <t>リットル</t>
  </si>
  <si>
    <t>ガソリン</t>
  </si>
  <si>
    <t>RC-40</t>
  </si>
  <si>
    <t>補足材</t>
  </si>
  <si>
    <t>t</t>
  </si>
  <si>
    <t>労務費</t>
  </si>
  <si>
    <t>舗装工</t>
  </si>
  <si>
    <t>人</t>
  </si>
  <si>
    <t>外注費</t>
  </si>
  <si>
    <t>As舗装切断</t>
  </si>
  <si>
    <t>最低保証</t>
  </si>
  <si>
    <t>機械費</t>
  </si>
  <si>
    <t>0.2m3BH</t>
  </si>
  <si>
    <t>台</t>
  </si>
  <si>
    <t>0.15m3BH</t>
  </si>
  <si>
    <t>4tｺﾝﾊﾞｲﾝﾄﾞﾛｰﾗｰ</t>
  </si>
  <si>
    <t>ﾗﾝﾏｰ</t>
  </si>
  <si>
    <t>小物機械</t>
  </si>
  <si>
    <t>運搬費</t>
  </si>
  <si>
    <t>8t常用ダンプ</t>
  </si>
  <si>
    <t>Asガラ処理費</t>
  </si>
  <si>
    <t>2tダンプ</t>
  </si>
  <si>
    <t>WP</t>
  </si>
  <si>
    <t>表層</t>
  </si>
  <si>
    <t>t＝5㎝　ハンプ2ヵ所</t>
  </si>
  <si>
    <t>16号内訳書</t>
  </si>
  <si>
    <t>ﾘｯﾄﾙ</t>
  </si>
  <si>
    <t>再生密粒As13㎜</t>
  </si>
  <si>
    <t>520m2*5cm 8t配達</t>
  </si>
  <si>
    <t>V密粒As13㎜</t>
  </si>
  <si>
    <t>2.6m2*5cm*2ヵ所 8t配達</t>
  </si>
  <si>
    <t>AF45</t>
  </si>
  <si>
    <t>OP付</t>
  </si>
  <si>
    <t xml:space="preserve">ﾌｨﾆｯｼｬｰﾘｰｽ </t>
  </si>
  <si>
    <t>3tﾀｲﾔﾛｰﾗｰ</t>
  </si>
  <si>
    <t>ﾗﾝﾏｰ　舗装ｶｯﾀｰ</t>
  </si>
  <si>
    <t>２ｔダンプ</t>
  </si>
  <si>
    <t>02230005</t>
  </si>
  <si>
    <t>区画線設置</t>
  </si>
  <si>
    <t>17号内訳書</t>
  </si>
  <si>
    <t>停止線　文字*3箇所 ハンプ（黄色）</t>
  </si>
  <si>
    <t>04600001</t>
  </si>
  <si>
    <t>重機回送</t>
  </si>
  <si>
    <t>回</t>
  </si>
  <si>
    <t>18号内訳書</t>
  </si>
  <si>
    <t>10t車回送</t>
  </si>
  <si>
    <t>0.2BH 0.15BH</t>
  </si>
  <si>
    <t>ｺﾝﾊﾞｲﾝﾄﾞﾛｰﾗｰ　ﾀｲﾔﾛｰﾗｰ</t>
  </si>
  <si>
    <t>AF</t>
  </si>
  <si>
    <t>04650001</t>
  </si>
  <si>
    <t>安全管理</t>
  </si>
  <si>
    <t>ｶﾞｰﾄﾞﾏﾝ　規制材</t>
  </si>
  <si>
    <t>19号内訳書</t>
  </si>
  <si>
    <t>ｶﾞｰﾄﾞﾏﾝ</t>
  </si>
  <si>
    <t>規制材</t>
  </si>
  <si>
    <t>軽トラ</t>
  </si>
  <si>
    <t>外注工</t>
  </si>
  <si>
    <t>法定福利費　外注経費</t>
  </si>
  <si>
    <t>20号内訳書</t>
  </si>
  <si>
    <t>外注経費</t>
  </si>
  <si>
    <t>労務＋機械*0.8%</t>
  </si>
  <si>
    <t>法定福利費</t>
  </si>
  <si>
    <t>労務*16％</t>
  </si>
  <si>
    <t>撤去・路盤②</t>
  </si>
  <si>
    <t>既設As15㎝　RC10㎝</t>
  </si>
  <si>
    <t>m2</t>
  </si>
  <si>
    <t>21号内訳書</t>
  </si>
  <si>
    <t>L</t>
  </si>
  <si>
    <t>RM-30</t>
  </si>
  <si>
    <t>m3</t>
  </si>
  <si>
    <t xml:space="preserve">200m2×10㎝ </t>
  </si>
  <si>
    <t>R密粒13㎜</t>
  </si>
  <si>
    <t>0.25m3BH</t>
  </si>
  <si>
    <t>0.5m3ﾀｲﾔｼｮﾍﾞﾙ</t>
  </si>
  <si>
    <t>舗装版ｶｯﾀｰ</t>
  </si>
  <si>
    <t>As殻処理費</t>
  </si>
  <si>
    <t xml:space="preserve">500m2*50mm </t>
  </si>
  <si>
    <t>ｔ</t>
  </si>
  <si>
    <t xml:space="preserve">200m2*100mm </t>
  </si>
  <si>
    <t>8tダンプ</t>
  </si>
  <si>
    <t>表層②</t>
  </si>
  <si>
    <t>t＝50　ハンプ2ヵ所</t>
  </si>
  <si>
    <t>22号内訳書</t>
  </si>
  <si>
    <t>V密粒13㎜</t>
  </si>
  <si>
    <t xml:space="preserve">8t配達 </t>
  </si>
  <si>
    <t>V細粒</t>
  </si>
  <si>
    <t xml:space="preserve">8配達 </t>
  </si>
  <si>
    <t>PK-3</t>
  </si>
  <si>
    <t>本</t>
  </si>
  <si>
    <t xml:space="preserve">ﾄﾞﾗﾑ </t>
  </si>
  <si>
    <t>養生砂</t>
  </si>
  <si>
    <t>ハンプ型枠</t>
  </si>
  <si>
    <t>型枠定規</t>
  </si>
  <si>
    <t>AF4.0ｍ</t>
  </si>
  <si>
    <t xml:space="preserve">OP付き </t>
  </si>
  <si>
    <t>ｽﾌﾟﾚｰﾔｰ</t>
  </si>
  <si>
    <t>重機回送②</t>
  </si>
  <si>
    <t>AF BH ﾛｰﾗｰ</t>
  </si>
  <si>
    <t>24号内訳書</t>
  </si>
  <si>
    <t>0.15BH 　TS</t>
  </si>
  <si>
    <t>4tCR 　3tTR</t>
  </si>
  <si>
    <t>4.0AF</t>
  </si>
  <si>
    <t>外注工②</t>
  </si>
  <si>
    <t>25号内訳書</t>
  </si>
  <si>
    <t>労務＋機械*8％</t>
  </si>
  <si>
    <t>安全管理②</t>
  </si>
  <si>
    <t>日</t>
  </si>
  <si>
    <t>26号内訳書</t>
  </si>
  <si>
    <t>ｶﾞｰﾄﾞﾏﾝB　昼</t>
  </si>
  <si>
    <t>安全資材運搬</t>
  </si>
  <si>
    <t>予算2</t>
    <phoneticPr fontId="3"/>
  </si>
  <si>
    <t>クレストフォルム浦安舗装補修工事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</si>
</sst>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2"/>
  <sheetViews>
    <sheetView tabSelected="1" workbookViewId="0"/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138</v>
      </c>
      <c r="G1" s="51" t="s">
        <v>19</v>
      </c>
      <c r="H1">
        <v>1</v>
      </c>
      <c r="I1" s="58">
        <v>4107440</v>
      </c>
      <c r="J1" s="59">
        <v>4107440</v>
      </c>
      <c r="K1">
        <v>1</v>
      </c>
      <c r="O1" s="52"/>
    </row>
    <row r="2" spans="1:15" x14ac:dyDescent="0.15">
      <c r="A2">
        <v>1</v>
      </c>
      <c r="C2" s="51" t="s">
        <v>20</v>
      </c>
      <c r="D2" s="51" t="s">
        <v>21</v>
      </c>
      <c r="E2" s="51" t="s">
        <v>22</v>
      </c>
      <c r="F2" s="51" t="s">
        <v>23</v>
      </c>
      <c r="G2" s="51" t="s">
        <v>19</v>
      </c>
      <c r="H2">
        <v>1</v>
      </c>
      <c r="I2" s="58">
        <v>510000</v>
      </c>
      <c r="J2" s="59">
        <v>510000</v>
      </c>
      <c r="K2">
        <v>1</v>
      </c>
      <c r="M2" s="51" t="s">
        <v>24</v>
      </c>
      <c r="O2" s="52"/>
    </row>
    <row r="3" spans="1:15" x14ac:dyDescent="0.15">
      <c r="A3">
        <v>2</v>
      </c>
      <c r="C3" s="51" t="s">
        <v>20</v>
      </c>
      <c r="D3" s="51" t="s">
        <v>25</v>
      </c>
      <c r="E3" s="51" t="s">
        <v>26</v>
      </c>
      <c r="G3" s="51" t="s">
        <v>27</v>
      </c>
      <c r="H3">
        <v>50</v>
      </c>
      <c r="I3" s="58">
        <v>180</v>
      </c>
      <c r="J3" s="59">
        <v>9000</v>
      </c>
      <c r="K3">
        <v>1</v>
      </c>
      <c r="O3" s="52"/>
    </row>
    <row r="4" spans="1:15" x14ac:dyDescent="0.15">
      <c r="A4">
        <v>2</v>
      </c>
      <c r="C4" s="51" t="s">
        <v>20</v>
      </c>
      <c r="D4" s="51" t="s">
        <v>25</v>
      </c>
      <c r="E4" s="51" t="s">
        <v>28</v>
      </c>
      <c r="G4" s="51" t="s">
        <v>27</v>
      </c>
      <c r="H4">
        <v>50</v>
      </c>
      <c r="I4" s="58">
        <v>200</v>
      </c>
      <c r="J4" s="59">
        <v>10000</v>
      </c>
      <c r="K4">
        <v>1</v>
      </c>
      <c r="O4" s="52"/>
    </row>
    <row r="5" spans="1:15" x14ac:dyDescent="0.15">
      <c r="A5">
        <v>2</v>
      </c>
      <c r="C5" s="51" t="s">
        <v>20</v>
      </c>
      <c r="D5" s="51" t="s">
        <v>25</v>
      </c>
      <c r="E5" s="51" t="s">
        <v>29</v>
      </c>
      <c r="F5" s="51" t="s">
        <v>30</v>
      </c>
      <c r="G5" s="51" t="s">
        <v>31</v>
      </c>
      <c r="H5">
        <v>20</v>
      </c>
      <c r="I5" s="58">
        <v>1000</v>
      </c>
      <c r="J5" s="59">
        <v>20000</v>
      </c>
      <c r="K5">
        <v>1</v>
      </c>
      <c r="O5" s="52"/>
    </row>
    <row r="6" spans="1:15" x14ac:dyDescent="0.15">
      <c r="A6">
        <v>2</v>
      </c>
      <c r="C6" s="51" t="s">
        <v>20</v>
      </c>
      <c r="D6" s="51" t="s">
        <v>32</v>
      </c>
      <c r="E6" s="51" t="s">
        <v>33</v>
      </c>
      <c r="G6" s="51" t="s">
        <v>34</v>
      </c>
      <c r="H6">
        <v>10</v>
      </c>
      <c r="I6" s="58">
        <v>23000</v>
      </c>
      <c r="J6" s="59">
        <v>230000</v>
      </c>
      <c r="K6">
        <v>1</v>
      </c>
      <c r="O6" s="52"/>
    </row>
    <row r="7" spans="1:15" x14ac:dyDescent="0.15">
      <c r="A7">
        <v>2</v>
      </c>
      <c r="C7" s="51" t="s">
        <v>20</v>
      </c>
      <c r="D7" s="51" t="s">
        <v>35</v>
      </c>
      <c r="E7" s="51" t="s">
        <v>36</v>
      </c>
      <c r="F7" s="51" t="s">
        <v>37</v>
      </c>
      <c r="G7" s="51" t="s">
        <v>19</v>
      </c>
      <c r="H7">
        <v>1</v>
      </c>
      <c r="I7" s="58">
        <v>15000</v>
      </c>
      <c r="J7" s="59">
        <v>15000</v>
      </c>
      <c r="K7">
        <v>1</v>
      </c>
      <c r="O7" s="52"/>
    </row>
    <row r="8" spans="1:15" x14ac:dyDescent="0.15">
      <c r="A8">
        <v>2</v>
      </c>
      <c r="C8" s="51" t="s">
        <v>20</v>
      </c>
      <c r="D8" s="51" t="s">
        <v>38</v>
      </c>
      <c r="E8" s="51" t="s">
        <v>39</v>
      </c>
      <c r="G8" s="51" t="s">
        <v>40</v>
      </c>
      <c r="H8">
        <v>1</v>
      </c>
      <c r="I8" s="58">
        <v>10000</v>
      </c>
      <c r="J8" s="59">
        <v>10000</v>
      </c>
      <c r="K8">
        <v>1</v>
      </c>
      <c r="O8" s="52"/>
    </row>
    <row r="9" spans="1:15" x14ac:dyDescent="0.15">
      <c r="A9">
        <v>2</v>
      </c>
      <c r="C9" s="51" t="s">
        <v>20</v>
      </c>
      <c r="D9" s="51" t="s">
        <v>38</v>
      </c>
      <c r="E9" s="51" t="s">
        <v>41</v>
      </c>
      <c r="G9" s="51" t="s">
        <v>40</v>
      </c>
      <c r="H9">
        <v>1</v>
      </c>
      <c r="I9" s="58">
        <v>8500</v>
      </c>
      <c r="J9" s="59">
        <v>8500</v>
      </c>
      <c r="K9">
        <v>1</v>
      </c>
      <c r="O9" s="52"/>
    </row>
    <row r="10" spans="1:15" x14ac:dyDescent="0.15">
      <c r="A10">
        <v>2</v>
      </c>
      <c r="C10" s="51" t="s">
        <v>20</v>
      </c>
      <c r="D10" s="51" t="s">
        <v>38</v>
      </c>
      <c r="E10" s="51" t="s">
        <v>42</v>
      </c>
      <c r="G10" s="51" t="s">
        <v>40</v>
      </c>
      <c r="H10">
        <v>1</v>
      </c>
      <c r="I10" s="58">
        <v>7000</v>
      </c>
      <c r="J10" s="59">
        <v>7000</v>
      </c>
      <c r="K10">
        <v>1</v>
      </c>
      <c r="O10" s="52"/>
    </row>
    <row r="11" spans="1:15" x14ac:dyDescent="0.15">
      <c r="A11">
        <v>2</v>
      </c>
      <c r="C11" s="51" t="s">
        <v>20</v>
      </c>
      <c r="D11" s="51" t="s">
        <v>38</v>
      </c>
      <c r="E11" s="51" t="s">
        <v>43</v>
      </c>
      <c r="G11" s="51" t="s">
        <v>40</v>
      </c>
      <c r="H11">
        <v>1</v>
      </c>
      <c r="I11" s="58">
        <v>1500</v>
      </c>
      <c r="J11" s="59">
        <v>1500</v>
      </c>
      <c r="K11">
        <v>1</v>
      </c>
      <c r="O11" s="52"/>
    </row>
    <row r="12" spans="1:15" x14ac:dyDescent="0.15">
      <c r="A12">
        <v>2</v>
      </c>
      <c r="C12" s="51" t="s">
        <v>20</v>
      </c>
      <c r="D12" s="51" t="s">
        <v>38</v>
      </c>
      <c r="E12" s="51" t="s">
        <v>44</v>
      </c>
      <c r="G12" s="51" t="s">
        <v>19</v>
      </c>
      <c r="H12">
        <v>1</v>
      </c>
      <c r="I12" s="58">
        <v>5000</v>
      </c>
      <c r="J12" s="59">
        <v>5000</v>
      </c>
      <c r="K12">
        <v>1</v>
      </c>
      <c r="O12" s="52"/>
    </row>
    <row r="13" spans="1:15" x14ac:dyDescent="0.15">
      <c r="A13">
        <v>2</v>
      </c>
      <c r="C13" s="51" t="s">
        <v>20</v>
      </c>
      <c r="D13" s="51" t="s">
        <v>45</v>
      </c>
      <c r="E13" s="51" t="s">
        <v>46</v>
      </c>
      <c r="G13" s="51" t="s">
        <v>40</v>
      </c>
      <c r="H13">
        <v>3</v>
      </c>
      <c r="I13" s="58">
        <v>40000</v>
      </c>
      <c r="J13" s="59">
        <v>120000</v>
      </c>
      <c r="K13">
        <v>1</v>
      </c>
      <c r="O13" s="52"/>
    </row>
    <row r="14" spans="1:15" x14ac:dyDescent="0.15">
      <c r="A14">
        <v>2</v>
      </c>
      <c r="C14" s="51" t="s">
        <v>20</v>
      </c>
      <c r="D14" s="51" t="s">
        <v>45</v>
      </c>
      <c r="E14" s="51" t="s">
        <v>47</v>
      </c>
      <c r="G14" s="51" t="s">
        <v>31</v>
      </c>
      <c r="H14">
        <v>65</v>
      </c>
      <c r="I14" s="58">
        <v>800</v>
      </c>
      <c r="J14" s="59">
        <v>52000</v>
      </c>
      <c r="K14">
        <v>1</v>
      </c>
      <c r="O14" s="52"/>
    </row>
    <row r="15" spans="1:15" x14ac:dyDescent="0.15">
      <c r="A15">
        <v>2</v>
      </c>
      <c r="C15" s="51" t="s">
        <v>20</v>
      </c>
      <c r="D15" s="51" t="s">
        <v>45</v>
      </c>
      <c r="E15" s="51" t="s">
        <v>48</v>
      </c>
      <c r="G15" s="51" t="s">
        <v>40</v>
      </c>
      <c r="H15">
        <v>2</v>
      </c>
      <c r="I15" s="58">
        <v>7000</v>
      </c>
      <c r="J15" s="59">
        <v>14000</v>
      </c>
      <c r="K15">
        <v>1</v>
      </c>
      <c r="O15" s="52"/>
    </row>
    <row r="16" spans="1:15" x14ac:dyDescent="0.15">
      <c r="A16">
        <v>2</v>
      </c>
      <c r="C16" s="51" t="s">
        <v>20</v>
      </c>
      <c r="D16" s="51" t="s">
        <v>45</v>
      </c>
      <c r="E16" s="51" t="s">
        <v>49</v>
      </c>
      <c r="G16" s="51" t="s">
        <v>40</v>
      </c>
      <c r="H16">
        <v>1</v>
      </c>
      <c r="I16" s="58">
        <v>8000</v>
      </c>
      <c r="J16" s="59">
        <v>8000</v>
      </c>
      <c r="K16">
        <v>1</v>
      </c>
      <c r="O16" s="52"/>
    </row>
    <row r="17" spans="1:26" x14ac:dyDescent="0.15">
      <c r="A17">
        <v>1</v>
      </c>
      <c r="C17" s="51" t="s">
        <v>20</v>
      </c>
      <c r="D17" s="51" t="s">
        <v>21</v>
      </c>
      <c r="E17" s="51" t="s">
        <v>50</v>
      </c>
      <c r="F17" s="51" t="s">
        <v>51</v>
      </c>
      <c r="G17" s="51" t="s">
        <v>19</v>
      </c>
      <c r="H17">
        <v>1</v>
      </c>
      <c r="I17" s="58">
        <v>1179600</v>
      </c>
      <c r="J17" s="59">
        <v>1179600</v>
      </c>
      <c r="K17">
        <v>1</v>
      </c>
      <c r="M17" s="51" t="s">
        <v>52</v>
      </c>
      <c r="O17" s="52"/>
    </row>
    <row r="18" spans="1:26" x14ac:dyDescent="0.15">
      <c r="A18">
        <v>2</v>
      </c>
      <c r="C18" s="51" t="s">
        <v>20</v>
      </c>
      <c r="D18" s="51" t="s">
        <v>25</v>
      </c>
      <c r="E18" s="51" t="s">
        <v>26</v>
      </c>
      <c r="G18" s="51" t="s">
        <v>27</v>
      </c>
      <c r="H18">
        <v>80</v>
      </c>
      <c r="I18" s="58">
        <v>180</v>
      </c>
      <c r="J18" s="59">
        <v>14400</v>
      </c>
      <c r="K18">
        <v>1</v>
      </c>
      <c r="O18" s="52"/>
    </row>
    <row r="19" spans="1:26" x14ac:dyDescent="0.15">
      <c r="A19">
        <v>2</v>
      </c>
      <c r="C19" s="51" t="s">
        <v>20</v>
      </c>
      <c r="D19" s="51" t="s">
        <v>25</v>
      </c>
      <c r="E19" s="51" t="s">
        <v>28</v>
      </c>
      <c r="G19" s="51" t="s">
        <v>53</v>
      </c>
      <c r="H19">
        <v>50</v>
      </c>
      <c r="I19" s="58">
        <v>200</v>
      </c>
      <c r="J19" s="59">
        <v>10000</v>
      </c>
      <c r="K19">
        <v>1</v>
      </c>
      <c r="O19" s="52"/>
    </row>
    <row r="20" spans="1:26" x14ac:dyDescent="0.15">
      <c r="A20">
        <v>2</v>
      </c>
      <c r="C20" s="51" t="s">
        <v>20</v>
      </c>
      <c r="D20" s="51" t="s">
        <v>25</v>
      </c>
      <c r="E20" s="51" t="s">
        <v>54</v>
      </c>
      <c r="G20" s="51" t="s">
        <v>31</v>
      </c>
      <c r="H20">
        <v>70</v>
      </c>
      <c r="I20" s="58">
        <v>11200</v>
      </c>
      <c r="J20" s="59">
        <v>784000</v>
      </c>
      <c r="K20">
        <v>1</v>
      </c>
      <c r="O20" s="52"/>
      <c r="Z20" s="51" t="s">
        <v>55</v>
      </c>
    </row>
    <row r="21" spans="1:26" x14ac:dyDescent="0.15">
      <c r="A21">
        <v>2</v>
      </c>
      <c r="C21" s="51" t="s">
        <v>20</v>
      </c>
      <c r="D21" s="51" t="s">
        <v>25</v>
      </c>
      <c r="E21" s="51" t="s">
        <v>56</v>
      </c>
      <c r="G21" s="51" t="s">
        <v>31</v>
      </c>
      <c r="H21">
        <v>1</v>
      </c>
      <c r="I21" s="58">
        <v>12700</v>
      </c>
      <c r="J21" s="59">
        <v>12700</v>
      </c>
      <c r="K21">
        <v>1</v>
      </c>
      <c r="O21" s="52"/>
      <c r="Z21" s="51" t="s">
        <v>57</v>
      </c>
    </row>
    <row r="22" spans="1:26" x14ac:dyDescent="0.15">
      <c r="A22">
        <v>2</v>
      </c>
      <c r="C22" s="51" t="s">
        <v>20</v>
      </c>
      <c r="D22" s="51" t="s">
        <v>32</v>
      </c>
      <c r="E22" s="51" t="s">
        <v>33</v>
      </c>
      <c r="G22" s="51" t="s">
        <v>34</v>
      </c>
      <c r="H22">
        <v>10</v>
      </c>
      <c r="I22" s="58">
        <v>23000</v>
      </c>
      <c r="J22" s="59">
        <v>230000</v>
      </c>
      <c r="K22">
        <v>1</v>
      </c>
      <c r="O22" s="52"/>
    </row>
    <row r="23" spans="1:26" x14ac:dyDescent="0.15">
      <c r="A23">
        <v>2</v>
      </c>
      <c r="C23" s="51" t="s">
        <v>20</v>
      </c>
      <c r="D23" s="51" t="s">
        <v>38</v>
      </c>
      <c r="E23" s="51" t="s">
        <v>58</v>
      </c>
      <c r="F23" s="51" t="s">
        <v>59</v>
      </c>
      <c r="G23" s="51" t="s">
        <v>40</v>
      </c>
      <c r="H23">
        <v>1</v>
      </c>
      <c r="I23" s="58">
        <v>75000</v>
      </c>
      <c r="J23" s="59">
        <v>75000</v>
      </c>
      <c r="K23">
        <v>1</v>
      </c>
      <c r="O23" s="52"/>
      <c r="Z23" s="51" t="s">
        <v>60</v>
      </c>
    </row>
    <row r="24" spans="1:26" x14ac:dyDescent="0.15">
      <c r="A24">
        <v>2</v>
      </c>
      <c r="C24" s="51" t="s">
        <v>20</v>
      </c>
      <c r="D24" s="51" t="s">
        <v>38</v>
      </c>
      <c r="E24" s="51" t="s">
        <v>41</v>
      </c>
      <c r="G24" s="51" t="s">
        <v>40</v>
      </c>
      <c r="H24">
        <v>1</v>
      </c>
      <c r="I24" s="58">
        <v>8500</v>
      </c>
      <c r="J24" s="59">
        <v>8500</v>
      </c>
      <c r="K24">
        <v>1</v>
      </c>
      <c r="O24" s="52"/>
    </row>
    <row r="25" spans="1:26" x14ac:dyDescent="0.15">
      <c r="A25">
        <v>2</v>
      </c>
      <c r="C25" s="51" t="s">
        <v>20</v>
      </c>
      <c r="D25" s="51" t="s">
        <v>38</v>
      </c>
      <c r="E25" s="51" t="s">
        <v>42</v>
      </c>
      <c r="G25" s="51" t="s">
        <v>40</v>
      </c>
      <c r="H25">
        <v>1</v>
      </c>
      <c r="I25" s="58">
        <v>7000</v>
      </c>
      <c r="J25" s="59">
        <v>7000</v>
      </c>
      <c r="K25">
        <v>1</v>
      </c>
      <c r="O25" s="52"/>
    </row>
    <row r="26" spans="1:26" x14ac:dyDescent="0.15">
      <c r="A26">
        <v>2</v>
      </c>
      <c r="C26" s="51" t="s">
        <v>20</v>
      </c>
      <c r="D26" s="51" t="s">
        <v>38</v>
      </c>
      <c r="E26" s="51" t="s">
        <v>61</v>
      </c>
      <c r="G26" s="51" t="s">
        <v>40</v>
      </c>
      <c r="H26">
        <v>1</v>
      </c>
      <c r="I26" s="58">
        <v>7000</v>
      </c>
      <c r="J26" s="59">
        <v>7000</v>
      </c>
      <c r="K26">
        <v>1</v>
      </c>
      <c r="O26" s="52"/>
    </row>
    <row r="27" spans="1:26" x14ac:dyDescent="0.15">
      <c r="A27">
        <v>2</v>
      </c>
      <c r="C27" s="51" t="s">
        <v>20</v>
      </c>
      <c r="D27" s="51" t="s">
        <v>38</v>
      </c>
      <c r="E27" s="51" t="s">
        <v>62</v>
      </c>
      <c r="G27" s="51" t="s">
        <v>40</v>
      </c>
      <c r="H27">
        <v>1</v>
      </c>
      <c r="I27" s="58">
        <v>4000</v>
      </c>
      <c r="J27" s="59">
        <v>4000</v>
      </c>
      <c r="K27">
        <v>1</v>
      </c>
      <c r="O27" s="52"/>
    </row>
    <row r="28" spans="1:26" x14ac:dyDescent="0.15">
      <c r="A28">
        <v>2</v>
      </c>
      <c r="C28" s="51" t="s">
        <v>20</v>
      </c>
      <c r="D28" s="51" t="s">
        <v>38</v>
      </c>
      <c r="E28" s="51" t="s">
        <v>44</v>
      </c>
      <c r="G28" s="51" t="s">
        <v>40</v>
      </c>
      <c r="H28">
        <v>1</v>
      </c>
      <c r="I28" s="58">
        <v>5000</v>
      </c>
      <c r="J28" s="59">
        <v>5000</v>
      </c>
      <c r="K28">
        <v>1</v>
      </c>
      <c r="O28" s="52"/>
    </row>
    <row r="29" spans="1:26" x14ac:dyDescent="0.15">
      <c r="A29">
        <v>2</v>
      </c>
      <c r="C29" s="51" t="s">
        <v>20</v>
      </c>
      <c r="D29" s="51" t="s">
        <v>45</v>
      </c>
      <c r="E29" s="51" t="s">
        <v>63</v>
      </c>
      <c r="G29" s="51" t="s">
        <v>40</v>
      </c>
      <c r="H29">
        <v>2</v>
      </c>
      <c r="I29" s="58">
        <v>7000</v>
      </c>
      <c r="J29" s="59">
        <v>14000</v>
      </c>
      <c r="K29">
        <v>1</v>
      </c>
      <c r="O29" s="52"/>
    </row>
    <row r="30" spans="1:26" x14ac:dyDescent="0.15">
      <c r="A30">
        <v>2</v>
      </c>
      <c r="C30" s="51" t="s">
        <v>20</v>
      </c>
      <c r="D30" s="51" t="s">
        <v>45</v>
      </c>
      <c r="E30" s="51" t="s">
        <v>49</v>
      </c>
      <c r="G30" s="51" t="s">
        <v>40</v>
      </c>
      <c r="H30">
        <v>1</v>
      </c>
      <c r="I30" s="58">
        <v>8000</v>
      </c>
      <c r="J30" s="59">
        <v>8000</v>
      </c>
      <c r="K30">
        <v>1</v>
      </c>
      <c r="O30" s="52"/>
    </row>
    <row r="31" spans="1:26" x14ac:dyDescent="0.15">
      <c r="A31">
        <v>1</v>
      </c>
      <c r="C31" s="51" t="s">
        <v>64</v>
      </c>
      <c r="D31" s="51" t="s">
        <v>21</v>
      </c>
      <c r="E31" s="51" t="s">
        <v>65</v>
      </c>
      <c r="F31" s="51" t="s">
        <v>37</v>
      </c>
      <c r="G31" s="51" t="s">
        <v>19</v>
      </c>
      <c r="H31">
        <v>1</v>
      </c>
      <c r="I31" s="58">
        <v>80000</v>
      </c>
      <c r="J31" s="59">
        <v>80000</v>
      </c>
      <c r="K31">
        <v>1</v>
      </c>
      <c r="M31" s="51" t="s">
        <v>66</v>
      </c>
      <c r="O31" s="52"/>
    </row>
    <row r="32" spans="1:26" x14ac:dyDescent="0.15">
      <c r="A32">
        <v>2</v>
      </c>
      <c r="C32" s="51" t="s">
        <v>64</v>
      </c>
      <c r="D32" s="51" t="s">
        <v>35</v>
      </c>
      <c r="E32" s="51" t="s">
        <v>65</v>
      </c>
      <c r="F32" s="51" t="s">
        <v>37</v>
      </c>
      <c r="G32" s="51" t="s">
        <v>19</v>
      </c>
      <c r="H32">
        <v>1</v>
      </c>
      <c r="I32" s="58">
        <v>80000</v>
      </c>
      <c r="J32" s="59">
        <v>80000</v>
      </c>
      <c r="K32">
        <v>1</v>
      </c>
      <c r="O32" s="52"/>
      <c r="Z32" s="51" t="s">
        <v>67</v>
      </c>
    </row>
    <row r="33" spans="1:26" x14ac:dyDescent="0.15">
      <c r="A33">
        <v>1</v>
      </c>
      <c r="C33" s="51" t="s">
        <v>68</v>
      </c>
      <c r="D33" s="51" t="s">
        <v>21</v>
      </c>
      <c r="E33" s="51" t="s">
        <v>69</v>
      </c>
      <c r="G33" s="51" t="s">
        <v>70</v>
      </c>
      <c r="H33">
        <v>6</v>
      </c>
      <c r="I33" s="58">
        <v>23333.34</v>
      </c>
      <c r="J33" s="59">
        <v>140000</v>
      </c>
      <c r="K33">
        <v>6</v>
      </c>
      <c r="M33" s="51" t="s">
        <v>71</v>
      </c>
      <c r="O33" s="52"/>
    </row>
    <row r="34" spans="1:26" x14ac:dyDescent="0.15">
      <c r="A34">
        <v>2</v>
      </c>
      <c r="C34" s="51" t="s">
        <v>68</v>
      </c>
      <c r="D34" s="51" t="s">
        <v>45</v>
      </c>
      <c r="E34" s="51" t="s">
        <v>72</v>
      </c>
      <c r="F34" s="51" t="s">
        <v>73</v>
      </c>
      <c r="G34" s="51" t="s">
        <v>70</v>
      </c>
      <c r="H34">
        <v>2</v>
      </c>
      <c r="I34" s="58">
        <v>25000</v>
      </c>
      <c r="J34" s="59">
        <v>50000</v>
      </c>
      <c r="K34">
        <v>1</v>
      </c>
      <c r="O34" s="52"/>
    </row>
    <row r="35" spans="1:26" x14ac:dyDescent="0.15">
      <c r="A35">
        <v>2</v>
      </c>
      <c r="C35" s="51" t="s">
        <v>68</v>
      </c>
      <c r="D35" s="51" t="s">
        <v>45</v>
      </c>
      <c r="E35" s="51" t="s">
        <v>72</v>
      </c>
      <c r="F35" s="51" t="s">
        <v>74</v>
      </c>
      <c r="G35" s="51" t="s">
        <v>70</v>
      </c>
      <c r="H35">
        <v>2</v>
      </c>
      <c r="I35" s="58">
        <v>25000</v>
      </c>
      <c r="J35" s="59">
        <v>50000</v>
      </c>
      <c r="K35">
        <v>1</v>
      </c>
      <c r="O35" s="52"/>
    </row>
    <row r="36" spans="1:26" x14ac:dyDescent="0.15">
      <c r="A36">
        <v>2</v>
      </c>
      <c r="C36" s="51" t="s">
        <v>68</v>
      </c>
      <c r="D36" s="51" t="s">
        <v>45</v>
      </c>
      <c r="E36" s="51" t="s">
        <v>72</v>
      </c>
      <c r="F36" s="51" t="s">
        <v>75</v>
      </c>
      <c r="G36" s="51" t="s">
        <v>70</v>
      </c>
      <c r="H36">
        <v>2</v>
      </c>
      <c r="I36" s="58">
        <v>20000</v>
      </c>
      <c r="J36" s="59">
        <v>40000</v>
      </c>
      <c r="K36">
        <v>1</v>
      </c>
      <c r="O36" s="52"/>
    </row>
    <row r="37" spans="1:26" x14ac:dyDescent="0.15">
      <c r="A37">
        <v>1</v>
      </c>
      <c r="C37" s="51" t="s">
        <v>76</v>
      </c>
      <c r="D37" s="51" t="s">
        <v>21</v>
      </c>
      <c r="E37" s="51" t="s">
        <v>77</v>
      </c>
      <c r="F37" s="51" t="s">
        <v>78</v>
      </c>
      <c r="G37" s="51" t="s">
        <v>19</v>
      </c>
      <c r="H37">
        <v>1</v>
      </c>
      <c r="I37" s="58">
        <v>81000</v>
      </c>
      <c r="J37" s="59">
        <v>81000</v>
      </c>
      <c r="K37">
        <v>1</v>
      </c>
      <c r="M37" s="51" t="s">
        <v>79</v>
      </c>
      <c r="O37" s="52"/>
    </row>
    <row r="38" spans="1:26" x14ac:dyDescent="0.15">
      <c r="A38">
        <v>2</v>
      </c>
      <c r="C38" s="51" t="s">
        <v>76</v>
      </c>
      <c r="D38" s="51" t="s">
        <v>35</v>
      </c>
      <c r="E38" s="51" t="s">
        <v>80</v>
      </c>
      <c r="G38" s="51" t="s">
        <v>34</v>
      </c>
      <c r="H38">
        <v>2</v>
      </c>
      <c r="I38" s="58">
        <v>18000</v>
      </c>
      <c r="J38" s="59">
        <v>36000</v>
      </c>
      <c r="K38">
        <v>1</v>
      </c>
      <c r="O38" s="52"/>
    </row>
    <row r="39" spans="1:26" x14ac:dyDescent="0.15">
      <c r="A39">
        <v>2</v>
      </c>
      <c r="C39" s="51" t="s">
        <v>76</v>
      </c>
      <c r="D39" s="51" t="s">
        <v>35</v>
      </c>
      <c r="E39" s="51" t="s">
        <v>81</v>
      </c>
      <c r="G39" s="51" t="s">
        <v>19</v>
      </c>
      <c r="H39">
        <v>1</v>
      </c>
      <c r="I39" s="58">
        <v>15000</v>
      </c>
      <c r="J39" s="59">
        <v>15000</v>
      </c>
      <c r="K39">
        <v>1</v>
      </c>
      <c r="O39" s="52"/>
    </row>
    <row r="40" spans="1:26" x14ac:dyDescent="0.15">
      <c r="A40">
        <v>2</v>
      </c>
      <c r="C40" s="51" t="s">
        <v>76</v>
      </c>
      <c r="D40" s="51" t="s">
        <v>45</v>
      </c>
      <c r="E40" s="51" t="s">
        <v>82</v>
      </c>
      <c r="G40" s="51" t="s">
        <v>40</v>
      </c>
      <c r="H40">
        <v>3</v>
      </c>
      <c r="I40" s="58">
        <v>10000</v>
      </c>
      <c r="J40" s="59">
        <v>30000</v>
      </c>
      <c r="K40">
        <v>1</v>
      </c>
      <c r="O40" s="52"/>
    </row>
    <row r="41" spans="1:26" x14ac:dyDescent="0.15">
      <c r="A41">
        <v>1</v>
      </c>
      <c r="C41" s="51" t="s">
        <v>64</v>
      </c>
      <c r="D41" s="51" t="s">
        <v>21</v>
      </c>
      <c r="E41" s="51" t="s">
        <v>83</v>
      </c>
      <c r="F41" s="51" t="s">
        <v>84</v>
      </c>
      <c r="G41" s="51" t="s">
        <v>19</v>
      </c>
      <c r="H41">
        <v>1</v>
      </c>
      <c r="I41" s="58">
        <v>122000</v>
      </c>
      <c r="J41" s="59">
        <v>122000</v>
      </c>
      <c r="K41">
        <v>1</v>
      </c>
      <c r="M41" s="51" t="s">
        <v>85</v>
      </c>
      <c r="O41" s="52"/>
    </row>
    <row r="42" spans="1:26" x14ac:dyDescent="0.15">
      <c r="A42">
        <v>2</v>
      </c>
      <c r="C42" s="51" t="s">
        <v>64</v>
      </c>
      <c r="D42" s="51" t="s">
        <v>35</v>
      </c>
      <c r="E42" s="51" t="s">
        <v>86</v>
      </c>
      <c r="F42" s="51" t="s">
        <v>87</v>
      </c>
      <c r="G42" s="51" t="s">
        <v>19</v>
      </c>
      <c r="H42">
        <v>1</v>
      </c>
      <c r="I42" s="58">
        <v>48000</v>
      </c>
      <c r="J42" s="59">
        <v>48000</v>
      </c>
      <c r="K42">
        <v>1</v>
      </c>
      <c r="O42" s="52"/>
    </row>
    <row r="43" spans="1:26" x14ac:dyDescent="0.15">
      <c r="A43">
        <v>2</v>
      </c>
      <c r="C43" s="51" t="s">
        <v>64</v>
      </c>
      <c r="D43" s="51" t="s">
        <v>35</v>
      </c>
      <c r="E43" s="51" t="s">
        <v>88</v>
      </c>
      <c r="F43" s="51" t="s">
        <v>89</v>
      </c>
      <c r="G43" s="51" t="s">
        <v>19</v>
      </c>
      <c r="H43">
        <v>1</v>
      </c>
      <c r="I43" s="58">
        <v>74000</v>
      </c>
      <c r="J43" s="59">
        <v>74000</v>
      </c>
      <c r="K43">
        <v>1</v>
      </c>
      <c r="O43" s="52"/>
    </row>
    <row r="44" spans="1:26" x14ac:dyDescent="0.15">
      <c r="A44">
        <v>1</v>
      </c>
      <c r="D44" s="51" t="s">
        <v>21</v>
      </c>
      <c r="E44" s="51" t="s">
        <v>90</v>
      </c>
      <c r="F44" s="51" t="s">
        <v>91</v>
      </c>
      <c r="G44" s="51" t="s">
        <v>92</v>
      </c>
      <c r="H44">
        <v>500</v>
      </c>
      <c r="I44" s="58">
        <v>951.2</v>
      </c>
      <c r="J44" s="59">
        <v>475600</v>
      </c>
      <c r="K44">
        <v>500</v>
      </c>
      <c r="M44" s="51" t="s">
        <v>93</v>
      </c>
      <c r="O44" s="52"/>
    </row>
    <row r="45" spans="1:26" x14ac:dyDescent="0.15">
      <c r="A45">
        <v>2</v>
      </c>
      <c r="D45" s="51" t="s">
        <v>25</v>
      </c>
      <c r="E45" s="51" t="s">
        <v>26</v>
      </c>
      <c r="G45" s="51" t="s">
        <v>94</v>
      </c>
      <c r="H45">
        <v>40</v>
      </c>
      <c r="I45" s="58">
        <v>180</v>
      </c>
      <c r="J45" s="59">
        <v>7200</v>
      </c>
      <c r="K45">
        <v>1</v>
      </c>
      <c r="O45" s="52"/>
    </row>
    <row r="46" spans="1:26" x14ac:dyDescent="0.15">
      <c r="A46">
        <v>2</v>
      </c>
      <c r="D46" s="51" t="s">
        <v>25</v>
      </c>
      <c r="E46" s="51" t="s">
        <v>28</v>
      </c>
      <c r="G46" s="51" t="s">
        <v>94</v>
      </c>
      <c r="H46">
        <v>10</v>
      </c>
      <c r="I46" s="58">
        <v>200</v>
      </c>
      <c r="J46" s="59">
        <v>2000</v>
      </c>
      <c r="K46">
        <v>1</v>
      </c>
      <c r="O46" s="52"/>
    </row>
    <row r="47" spans="1:26" x14ac:dyDescent="0.15">
      <c r="A47">
        <v>2</v>
      </c>
      <c r="D47" s="51" t="s">
        <v>25</v>
      </c>
      <c r="E47" s="51" t="s">
        <v>95</v>
      </c>
      <c r="G47" s="51" t="s">
        <v>96</v>
      </c>
      <c r="H47">
        <v>25</v>
      </c>
      <c r="I47" s="58">
        <v>1000</v>
      </c>
      <c r="J47" s="59">
        <v>25000</v>
      </c>
      <c r="K47">
        <v>1</v>
      </c>
      <c r="O47" s="52"/>
      <c r="Z47" s="51" t="s">
        <v>97</v>
      </c>
    </row>
    <row r="48" spans="1:26" x14ac:dyDescent="0.15">
      <c r="A48">
        <v>2</v>
      </c>
      <c r="D48" s="51" t="s">
        <v>25</v>
      </c>
      <c r="E48" s="51" t="s">
        <v>98</v>
      </c>
      <c r="G48" s="51" t="s">
        <v>31</v>
      </c>
      <c r="H48">
        <v>3</v>
      </c>
      <c r="I48" s="58">
        <v>10000</v>
      </c>
      <c r="J48" s="59">
        <v>30000</v>
      </c>
      <c r="K48">
        <v>1</v>
      </c>
      <c r="O48" s="52"/>
    </row>
    <row r="49" spans="1:26" x14ac:dyDescent="0.15">
      <c r="A49">
        <v>2</v>
      </c>
      <c r="D49" s="51" t="s">
        <v>32</v>
      </c>
      <c r="E49" s="51" t="s">
        <v>33</v>
      </c>
      <c r="G49" s="51" t="s">
        <v>34</v>
      </c>
      <c r="H49">
        <v>8</v>
      </c>
      <c r="I49" s="58">
        <v>23000</v>
      </c>
      <c r="J49" s="59">
        <v>184000</v>
      </c>
      <c r="K49">
        <v>1</v>
      </c>
      <c r="O49" s="52"/>
    </row>
    <row r="50" spans="1:26" x14ac:dyDescent="0.15">
      <c r="A50">
        <v>2</v>
      </c>
      <c r="D50" s="51" t="s">
        <v>38</v>
      </c>
      <c r="E50" s="51" t="s">
        <v>99</v>
      </c>
      <c r="G50" s="51" t="s">
        <v>40</v>
      </c>
      <c r="H50">
        <v>1</v>
      </c>
      <c r="I50" s="58">
        <v>11000</v>
      </c>
      <c r="J50" s="59">
        <v>11000</v>
      </c>
      <c r="K50">
        <v>1</v>
      </c>
      <c r="O50" s="52"/>
    </row>
    <row r="51" spans="1:26" x14ac:dyDescent="0.15">
      <c r="A51">
        <v>2</v>
      </c>
      <c r="D51" s="51" t="s">
        <v>38</v>
      </c>
      <c r="E51" s="51" t="s">
        <v>41</v>
      </c>
      <c r="G51" s="51" t="s">
        <v>40</v>
      </c>
      <c r="H51">
        <v>1</v>
      </c>
      <c r="I51" s="58">
        <v>8500</v>
      </c>
      <c r="J51" s="59">
        <v>8500</v>
      </c>
      <c r="K51">
        <v>1</v>
      </c>
      <c r="O51" s="52"/>
    </row>
    <row r="52" spans="1:26" x14ac:dyDescent="0.15">
      <c r="A52">
        <v>2</v>
      </c>
      <c r="D52" s="51" t="s">
        <v>38</v>
      </c>
      <c r="E52" s="51" t="s">
        <v>100</v>
      </c>
      <c r="G52" s="51" t="s">
        <v>40</v>
      </c>
      <c r="H52">
        <v>1</v>
      </c>
      <c r="I52" s="58">
        <v>7500</v>
      </c>
      <c r="J52" s="59">
        <v>7500</v>
      </c>
      <c r="K52">
        <v>1</v>
      </c>
      <c r="O52" s="52"/>
    </row>
    <row r="53" spans="1:26" x14ac:dyDescent="0.15">
      <c r="A53">
        <v>2</v>
      </c>
      <c r="D53" s="51" t="s">
        <v>38</v>
      </c>
      <c r="E53" s="51" t="s">
        <v>42</v>
      </c>
      <c r="G53" s="51" t="s">
        <v>40</v>
      </c>
      <c r="H53">
        <v>1</v>
      </c>
      <c r="I53" s="58">
        <v>7500</v>
      </c>
      <c r="J53" s="59">
        <v>7500</v>
      </c>
      <c r="K53">
        <v>1</v>
      </c>
      <c r="O53" s="52"/>
    </row>
    <row r="54" spans="1:26" x14ac:dyDescent="0.15">
      <c r="A54">
        <v>2</v>
      </c>
      <c r="D54" s="51" t="s">
        <v>38</v>
      </c>
      <c r="E54" s="51" t="s">
        <v>61</v>
      </c>
      <c r="G54" s="51" t="s">
        <v>40</v>
      </c>
      <c r="H54">
        <v>1</v>
      </c>
      <c r="I54" s="58">
        <v>7500</v>
      </c>
      <c r="J54" s="59">
        <v>7500</v>
      </c>
      <c r="K54">
        <v>1</v>
      </c>
      <c r="O54" s="52"/>
    </row>
    <row r="55" spans="1:26" x14ac:dyDescent="0.15">
      <c r="A55">
        <v>2</v>
      </c>
      <c r="D55" s="51" t="s">
        <v>38</v>
      </c>
      <c r="E55" s="51" t="s">
        <v>101</v>
      </c>
      <c r="G55" s="51" t="s">
        <v>40</v>
      </c>
      <c r="H55">
        <v>1</v>
      </c>
      <c r="I55" s="58">
        <v>3000</v>
      </c>
      <c r="J55" s="59">
        <v>3000</v>
      </c>
      <c r="K55">
        <v>1</v>
      </c>
      <c r="O55" s="52"/>
    </row>
    <row r="56" spans="1:26" x14ac:dyDescent="0.15">
      <c r="A56">
        <v>2</v>
      </c>
      <c r="D56" s="51" t="s">
        <v>38</v>
      </c>
      <c r="E56" s="51" t="s">
        <v>44</v>
      </c>
      <c r="G56" s="51" t="s">
        <v>40</v>
      </c>
      <c r="H56">
        <v>1</v>
      </c>
      <c r="I56" s="58">
        <v>5000</v>
      </c>
      <c r="J56" s="59">
        <v>5000</v>
      </c>
      <c r="K56">
        <v>1</v>
      </c>
      <c r="O56" s="52"/>
    </row>
    <row r="57" spans="1:26" x14ac:dyDescent="0.15">
      <c r="A57">
        <v>2</v>
      </c>
      <c r="D57" s="51" t="s">
        <v>45</v>
      </c>
      <c r="E57" s="51" t="s">
        <v>102</v>
      </c>
      <c r="G57" s="51" t="s">
        <v>31</v>
      </c>
      <c r="H57">
        <v>59</v>
      </c>
      <c r="I57" s="58">
        <v>400</v>
      </c>
      <c r="J57" s="59">
        <v>23600</v>
      </c>
      <c r="K57">
        <v>1</v>
      </c>
      <c r="O57" s="52"/>
      <c r="Z57" s="51" t="s">
        <v>103</v>
      </c>
    </row>
    <row r="58" spans="1:26" x14ac:dyDescent="0.15">
      <c r="A58">
        <v>2</v>
      </c>
      <c r="D58" s="51" t="s">
        <v>45</v>
      </c>
      <c r="E58" s="51" t="s">
        <v>102</v>
      </c>
      <c r="G58" s="51" t="s">
        <v>104</v>
      </c>
      <c r="H58">
        <v>47</v>
      </c>
      <c r="I58" s="58">
        <v>400</v>
      </c>
      <c r="J58" s="59">
        <v>18800</v>
      </c>
      <c r="K58">
        <v>1</v>
      </c>
      <c r="O58" s="52"/>
      <c r="Z58" s="51" t="s">
        <v>105</v>
      </c>
    </row>
    <row r="59" spans="1:26" x14ac:dyDescent="0.15">
      <c r="A59">
        <v>2</v>
      </c>
      <c r="D59" s="51" t="s">
        <v>45</v>
      </c>
      <c r="E59" s="51" t="s">
        <v>106</v>
      </c>
      <c r="G59" s="51" t="s">
        <v>40</v>
      </c>
      <c r="H59">
        <v>3</v>
      </c>
      <c r="I59" s="58">
        <v>40000</v>
      </c>
      <c r="J59" s="59">
        <v>120000</v>
      </c>
      <c r="K59">
        <v>1</v>
      </c>
      <c r="O59" s="52"/>
    </row>
    <row r="60" spans="1:26" x14ac:dyDescent="0.15">
      <c r="A60">
        <v>2</v>
      </c>
      <c r="D60" s="51" t="s">
        <v>45</v>
      </c>
      <c r="E60" s="51" t="s">
        <v>48</v>
      </c>
      <c r="G60" s="51" t="s">
        <v>40</v>
      </c>
      <c r="H60">
        <v>1</v>
      </c>
      <c r="I60" s="58">
        <v>7000</v>
      </c>
      <c r="J60" s="59">
        <v>7000</v>
      </c>
      <c r="K60">
        <v>1</v>
      </c>
      <c r="O60" s="52"/>
    </row>
    <row r="61" spans="1:26" x14ac:dyDescent="0.15">
      <c r="A61">
        <v>2</v>
      </c>
      <c r="D61" s="51" t="s">
        <v>45</v>
      </c>
      <c r="E61" s="51" t="s">
        <v>49</v>
      </c>
      <c r="G61" s="51" t="s">
        <v>40</v>
      </c>
      <c r="H61">
        <v>1</v>
      </c>
      <c r="I61" s="58">
        <v>8000</v>
      </c>
      <c r="J61" s="59">
        <v>8000</v>
      </c>
      <c r="K61">
        <v>1</v>
      </c>
      <c r="O61" s="52"/>
    </row>
    <row r="62" spans="1:26" x14ac:dyDescent="0.15">
      <c r="A62">
        <v>1</v>
      </c>
      <c r="D62" s="51" t="s">
        <v>21</v>
      </c>
      <c r="E62" s="51" t="s">
        <v>107</v>
      </c>
      <c r="F62" s="51" t="s">
        <v>108</v>
      </c>
      <c r="G62" s="51" t="s">
        <v>92</v>
      </c>
      <c r="H62">
        <v>500</v>
      </c>
      <c r="I62" s="58">
        <v>2107.4</v>
      </c>
      <c r="J62" s="59">
        <v>1053700</v>
      </c>
      <c r="K62">
        <v>500</v>
      </c>
      <c r="M62" s="51" t="s">
        <v>109</v>
      </c>
      <c r="O62" s="52"/>
    </row>
    <row r="63" spans="1:26" x14ac:dyDescent="0.15">
      <c r="A63">
        <v>2</v>
      </c>
      <c r="D63" s="51" t="s">
        <v>25</v>
      </c>
      <c r="E63" s="51" t="s">
        <v>26</v>
      </c>
      <c r="G63" s="51" t="s">
        <v>94</v>
      </c>
      <c r="H63">
        <v>40</v>
      </c>
      <c r="I63" s="58">
        <v>180</v>
      </c>
      <c r="J63" s="59">
        <v>7200</v>
      </c>
      <c r="K63">
        <v>1</v>
      </c>
      <c r="O63" s="52"/>
    </row>
    <row r="64" spans="1:26" x14ac:dyDescent="0.15">
      <c r="A64">
        <v>2</v>
      </c>
      <c r="D64" s="51" t="s">
        <v>25</v>
      </c>
      <c r="E64" s="51" t="s">
        <v>28</v>
      </c>
      <c r="G64" s="51" t="s">
        <v>94</v>
      </c>
      <c r="H64">
        <v>10</v>
      </c>
      <c r="I64" s="58">
        <v>200</v>
      </c>
      <c r="J64" s="59">
        <v>2000</v>
      </c>
      <c r="K64">
        <v>1</v>
      </c>
      <c r="O64" s="52"/>
    </row>
    <row r="65" spans="1:26" x14ac:dyDescent="0.15">
      <c r="A65">
        <v>2</v>
      </c>
      <c r="D65" s="51" t="s">
        <v>25</v>
      </c>
      <c r="E65" s="51" t="s">
        <v>110</v>
      </c>
      <c r="G65" s="51" t="s">
        <v>104</v>
      </c>
      <c r="H65">
        <v>18</v>
      </c>
      <c r="I65" s="58">
        <v>12700</v>
      </c>
      <c r="J65" s="59">
        <v>228600</v>
      </c>
      <c r="K65">
        <v>1</v>
      </c>
      <c r="O65" s="52"/>
      <c r="Z65" s="51" t="s">
        <v>111</v>
      </c>
    </row>
    <row r="66" spans="1:26" x14ac:dyDescent="0.15">
      <c r="A66">
        <v>2</v>
      </c>
      <c r="D66" s="51" t="s">
        <v>25</v>
      </c>
      <c r="E66" s="51" t="s">
        <v>98</v>
      </c>
      <c r="G66" s="51" t="s">
        <v>104</v>
      </c>
      <c r="H66">
        <v>33</v>
      </c>
      <c r="I66" s="58">
        <v>11200</v>
      </c>
      <c r="J66" s="59">
        <v>369600</v>
      </c>
      <c r="K66">
        <v>1</v>
      </c>
      <c r="O66" s="52"/>
      <c r="Z66" s="51" t="s">
        <v>111</v>
      </c>
    </row>
    <row r="67" spans="1:26" x14ac:dyDescent="0.15">
      <c r="A67">
        <v>2</v>
      </c>
      <c r="D67" s="51" t="s">
        <v>25</v>
      </c>
      <c r="E67" s="51" t="s">
        <v>112</v>
      </c>
      <c r="G67" s="51" t="s">
        <v>104</v>
      </c>
      <c r="H67">
        <v>3</v>
      </c>
      <c r="I67" s="58">
        <v>13100</v>
      </c>
      <c r="J67" s="59">
        <v>39300</v>
      </c>
      <c r="K67">
        <v>1</v>
      </c>
      <c r="O67" s="52"/>
      <c r="Z67" s="51" t="s">
        <v>113</v>
      </c>
    </row>
    <row r="68" spans="1:26" x14ac:dyDescent="0.15">
      <c r="A68">
        <v>2</v>
      </c>
      <c r="D68" s="51" t="s">
        <v>25</v>
      </c>
      <c r="E68" s="51" t="s">
        <v>114</v>
      </c>
      <c r="G68" s="51" t="s">
        <v>115</v>
      </c>
      <c r="H68">
        <v>1</v>
      </c>
      <c r="I68" s="58">
        <v>20000</v>
      </c>
      <c r="J68" s="59">
        <v>20000</v>
      </c>
      <c r="K68">
        <v>1</v>
      </c>
      <c r="O68" s="52"/>
      <c r="Z68" s="51" t="s">
        <v>116</v>
      </c>
    </row>
    <row r="69" spans="1:26" x14ac:dyDescent="0.15">
      <c r="A69">
        <v>2</v>
      </c>
      <c r="D69" s="51" t="s">
        <v>25</v>
      </c>
      <c r="E69" s="51" t="s">
        <v>117</v>
      </c>
      <c r="G69" s="51" t="s">
        <v>96</v>
      </c>
      <c r="H69">
        <v>0.5</v>
      </c>
      <c r="I69" s="58">
        <v>6000</v>
      </c>
      <c r="J69" s="59">
        <v>3000</v>
      </c>
      <c r="K69">
        <v>1</v>
      </c>
      <c r="O69" s="52"/>
    </row>
    <row r="70" spans="1:26" x14ac:dyDescent="0.15">
      <c r="A70">
        <v>2</v>
      </c>
      <c r="D70" s="51" t="s">
        <v>25</v>
      </c>
      <c r="E70" s="51" t="s">
        <v>118</v>
      </c>
      <c r="G70" s="51" t="s">
        <v>19</v>
      </c>
      <c r="H70">
        <v>1</v>
      </c>
      <c r="I70" s="58">
        <v>5000</v>
      </c>
      <c r="J70" s="59">
        <v>5000</v>
      </c>
      <c r="K70">
        <v>1</v>
      </c>
      <c r="O70" s="52"/>
    </row>
    <row r="71" spans="1:26" x14ac:dyDescent="0.15">
      <c r="A71">
        <v>2</v>
      </c>
      <c r="D71" s="51" t="s">
        <v>25</v>
      </c>
      <c r="E71" s="51" t="s">
        <v>119</v>
      </c>
      <c r="G71" s="51" t="s">
        <v>115</v>
      </c>
      <c r="H71">
        <v>5</v>
      </c>
      <c r="I71" s="58">
        <v>3000</v>
      </c>
      <c r="J71" s="59">
        <v>15000</v>
      </c>
      <c r="K71">
        <v>1</v>
      </c>
      <c r="O71" s="52"/>
    </row>
    <row r="72" spans="1:26" x14ac:dyDescent="0.15">
      <c r="A72">
        <v>2</v>
      </c>
      <c r="D72" s="51" t="s">
        <v>25</v>
      </c>
      <c r="E72" s="51" t="s">
        <v>33</v>
      </c>
      <c r="G72" s="51" t="s">
        <v>34</v>
      </c>
      <c r="H72">
        <v>10</v>
      </c>
      <c r="I72" s="58">
        <v>23000</v>
      </c>
      <c r="J72" s="59">
        <v>230000</v>
      </c>
      <c r="K72">
        <v>1</v>
      </c>
      <c r="O72" s="52"/>
    </row>
    <row r="73" spans="1:26" x14ac:dyDescent="0.15">
      <c r="A73">
        <v>2</v>
      </c>
      <c r="D73" s="51" t="s">
        <v>38</v>
      </c>
      <c r="E73" s="51" t="s">
        <v>120</v>
      </c>
      <c r="G73" s="51" t="s">
        <v>40</v>
      </c>
      <c r="H73">
        <v>1</v>
      </c>
      <c r="I73" s="58">
        <v>80000</v>
      </c>
      <c r="J73" s="59">
        <v>80000</v>
      </c>
      <c r="K73">
        <v>1</v>
      </c>
      <c r="O73" s="52"/>
      <c r="Z73" s="51" t="s">
        <v>121</v>
      </c>
    </row>
    <row r="74" spans="1:26" x14ac:dyDescent="0.15">
      <c r="A74">
        <v>2</v>
      </c>
      <c r="D74" s="51" t="s">
        <v>38</v>
      </c>
      <c r="E74" s="51" t="s">
        <v>41</v>
      </c>
      <c r="G74" s="51" t="s">
        <v>40</v>
      </c>
      <c r="H74">
        <v>1</v>
      </c>
      <c r="I74" s="58">
        <v>8500</v>
      </c>
      <c r="J74" s="59">
        <v>8500</v>
      </c>
      <c r="K74">
        <v>1</v>
      </c>
      <c r="O74" s="52"/>
    </row>
    <row r="75" spans="1:26" x14ac:dyDescent="0.15">
      <c r="A75">
        <v>2</v>
      </c>
      <c r="D75" s="51" t="s">
        <v>38</v>
      </c>
      <c r="E75" s="51" t="s">
        <v>42</v>
      </c>
      <c r="G75" s="51" t="s">
        <v>40</v>
      </c>
      <c r="H75">
        <v>1</v>
      </c>
      <c r="I75" s="58">
        <v>7500</v>
      </c>
      <c r="J75" s="59">
        <v>7500</v>
      </c>
      <c r="K75">
        <v>1</v>
      </c>
      <c r="O75" s="52"/>
    </row>
    <row r="76" spans="1:26" x14ac:dyDescent="0.15">
      <c r="A76">
        <v>2</v>
      </c>
      <c r="D76" s="51" t="s">
        <v>38</v>
      </c>
      <c r="E76" s="51" t="s">
        <v>61</v>
      </c>
      <c r="G76" s="51" t="s">
        <v>40</v>
      </c>
      <c r="H76">
        <v>1</v>
      </c>
      <c r="I76" s="58">
        <v>7500</v>
      </c>
      <c r="J76" s="59">
        <v>7500</v>
      </c>
      <c r="K76">
        <v>1</v>
      </c>
      <c r="O76" s="52"/>
    </row>
    <row r="77" spans="1:26" x14ac:dyDescent="0.15">
      <c r="A77">
        <v>2</v>
      </c>
      <c r="D77" s="51" t="s">
        <v>38</v>
      </c>
      <c r="E77" s="51" t="s">
        <v>100</v>
      </c>
      <c r="G77" s="51" t="s">
        <v>40</v>
      </c>
      <c r="H77">
        <v>1</v>
      </c>
      <c r="I77" s="58">
        <v>7500</v>
      </c>
      <c r="J77" s="59">
        <v>7500</v>
      </c>
      <c r="K77">
        <v>1</v>
      </c>
      <c r="O77" s="52"/>
    </row>
    <row r="78" spans="1:26" x14ac:dyDescent="0.15">
      <c r="A78">
        <v>2</v>
      </c>
      <c r="D78" s="51" t="s">
        <v>38</v>
      </c>
      <c r="E78" s="51" t="s">
        <v>122</v>
      </c>
      <c r="G78" s="51" t="s">
        <v>40</v>
      </c>
      <c r="H78">
        <v>1</v>
      </c>
      <c r="I78" s="58">
        <v>3000</v>
      </c>
      <c r="J78" s="59">
        <v>3000</v>
      </c>
      <c r="K78">
        <v>1</v>
      </c>
      <c r="O78" s="52"/>
    </row>
    <row r="79" spans="1:26" x14ac:dyDescent="0.15">
      <c r="A79">
        <v>2</v>
      </c>
      <c r="D79" s="51" t="s">
        <v>38</v>
      </c>
      <c r="E79" s="51" t="s">
        <v>44</v>
      </c>
      <c r="G79" s="51" t="s">
        <v>40</v>
      </c>
      <c r="H79">
        <v>1</v>
      </c>
      <c r="I79" s="58">
        <v>5000</v>
      </c>
      <c r="J79" s="59">
        <v>5000</v>
      </c>
      <c r="K79">
        <v>1</v>
      </c>
      <c r="O79" s="52"/>
    </row>
    <row r="80" spans="1:26" x14ac:dyDescent="0.15">
      <c r="A80">
        <v>2</v>
      </c>
      <c r="D80" s="51" t="s">
        <v>45</v>
      </c>
      <c r="E80" s="51" t="s">
        <v>48</v>
      </c>
      <c r="G80" s="51" t="s">
        <v>40</v>
      </c>
      <c r="H80">
        <v>1</v>
      </c>
      <c r="I80" s="58">
        <v>7000</v>
      </c>
      <c r="J80" s="59">
        <v>7000</v>
      </c>
      <c r="K80">
        <v>1</v>
      </c>
      <c r="O80" s="52"/>
    </row>
    <row r="81" spans="1:15" x14ac:dyDescent="0.15">
      <c r="A81">
        <v>2</v>
      </c>
      <c r="D81" s="51" t="s">
        <v>45</v>
      </c>
      <c r="E81" s="51" t="s">
        <v>49</v>
      </c>
      <c r="G81" s="51" t="s">
        <v>40</v>
      </c>
      <c r="H81">
        <v>1</v>
      </c>
      <c r="I81" s="58">
        <v>8000</v>
      </c>
      <c r="J81" s="59">
        <v>8000</v>
      </c>
      <c r="K81">
        <v>1</v>
      </c>
      <c r="O81" s="52"/>
    </row>
    <row r="82" spans="1:15" x14ac:dyDescent="0.15">
      <c r="A82">
        <v>1</v>
      </c>
      <c r="D82" s="51" t="s">
        <v>21</v>
      </c>
      <c r="E82" s="51" t="s">
        <v>123</v>
      </c>
      <c r="F82" s="51" t="s">
        <v>124</v>
      </c>
      <c r="G82" s="51" t="s">
        <v>70</v>
      </c>
      <c r="H82">
        <v>6</v>
      </c>
      <c r="I82" s="58">
        <v>30333.34</v>
      </c>
      <c r="J82" s="59">
        <v>182000</v>
      </c>
      <c r="K82">
        <v>6</v>
      </c>
      <c r="M82" s="51" t="s">
        <v>125</v>
      </c>
      <c r="O82" s="52"/>
    </row>
    <row r="83" spans="1:15" x14ac:dyDescent="0.15">
      <c r="A83">
        <v>2</v>
      </c>
      <c r="D83" s="51" t="s">
        <v>45</v>
      </c>
      <c r="E83" s="51" t="s">
        <v>72</v>
      </c>
      <c r="F83" s="51" t="s">
        <v>126</v>
      </c>
      <c r="G83" s="51" t="s">
        <v>70</v>
      </c>
      <c r="H83">
        <v>2</v>
      </c>
      <c r="I83" s="58">
        <v>20000</v>
      </c>
      <c r="J83" s="59">
        <v>40000</v>
      </c>
      <c r="K83">
        <v>1</v>
      </c>
      <c r="O83" s="52"/>
    </row>
    <row r="84" spans="1:15" x14ac:dyDescent="0.15">
      <c r="A84">
        <v>2</v>
      </c>
      <c r="D84" s="51" t="s">
        <v>45</v>
      </c>
      <c r="E84" s="51" t="s">
        <v>72</v>
      </c>
      <c r="F84" s="51" t="s">
        <v>126</v>
      </c>
      <c r="G84" s="51" t="s">
        <v>70</v>
      </c>
      <c r="H84">
        <v>2</v>
      </c>
      <c r="I84" s="58">
        <v>23000</v>
      </c>
      <c r="J84" s="59">
        <v>46000</v>
      </c>
      <c r="K84">
        <v>1</v>
      </c>
      <c r="O84" s="52"/>
    </row>
    <row r="85" spans="1:15" x14ac:dyDescent="0.15">
      <c r="A85">
        <v>2</v>
      </c>
      <c r="D85" s="51" t="s">
        <v>45</v>
      </c>
      <c r="E85" s="51" t="s">
        <v>72</v>
      </c>
      <c r="F85" s="51" t="s">
        <v>127</v>
      </c>
      <c r="G85" s="51" t="s">
        <v>70</v>
      </c>
      <c r="H85">
        <v>2</v>
      </c>
      <c r="I85" s="58">
        <v>23000</v>
      </c>
      <c r="J85" s="59">
        <v>46000</v>
      </c>
      <c r="K85">
        <v>1</v>
      </c>
      <c r="O85" s="52"/>
    </row>
    <row r="86" spans="1:15" x14ac:dyDescent="0.15">
      <c r="A86">
        <v>2</v>
      </c>
      <c r="D86" s="51" t="s">
        <v>45</v>
      </c>
      <c r="E86" s="51" t="s">
        <v>72</v>
      </c>
      <c r="F86" s="51" t="s">
        <v>128</v>
      </c>
      <c r="G86" s="51" t="s">
        <v>70</v>
      </c>
      <c r="H86">
        <v>2</v>
      </c>
      <c r="I86" s="58">
        <v>25000</v>
      </c>
      <c r="J86" s="59">
        <v>50000</v>
      </c>
      <c r="K86">
        <v>1</v>
      </c>
      <c r="O86" s="52"/>
    </row>
    <row r="87" spans="1:15" x14ac:dyDescent="0.15">
      <c r="A87">
        <v>1</v>
      </c>
      <c r="D87" s="51" t="s">
        <v>21</v>
      </c>
      <c r="E87" s="51" t="s">
        <v>129</v>
      </c>
      <c r="G87" s="51" t="s">
        <v>19</v>
      </c>
      <c r="H87">
        <v>1</v>
      </c>
      <c r="I87" s="58">
        <v>113040</v>
      </c>
      <c r="J87" s="59">
        <v>113040</v>
      </c>
      <c r="K87">
        <v>1</v>
      </c>
      <c r="M87" s="51" t="s">
        <v>130</v>
      </c>
      <c r="O87" s="52"/>
    </row>
    <row r="88" spans="1:15" x14ac:dyDescent="0.15">
      <c r="A88">
        <v>2</v>
      </c>
      <c r="D88" s="51" t="s">
        <v>35</v>
      </c>
      <c r="E88" s="51" t="s">
        <v>86</v>
      </c>
      <c r="F88" s="51" t="s">
        <v>131</v>
      </c>
      <c r="G88" s="51" t="s">
        <v>19</v>
      </c>
      <c r="H88">
        <v>1</v>
      </c>
      <c r="I88" s="58">
        <v>46800</v>
      </c>
      <c r="J88" s="59">
        <v>46800</v>
      </c>
      <c r="K88">
        <v>1</v>
      </c>
      <c r="O88" s="52"/>
    </row>
    <row r="89" spans="1:15" x14ac:dyDescent="0.15">
      <c r="A89">
        <v>2</v>
      </c>
      <c r="D89" s="51" t="s">
        <v>35</v>
      </c>
      <c r="E89" s="51" t="s">
        <v>88</v>
      </c>
      <c r="F89" s="51" t="s">
        <v>89</v>
      </c>
      <c r="G89" s="51" t="s">
        <v>19</v>
      </c>
      <c r="H89">
        <v>1</v>
      </c>
      <c r="I89" s="58">
        <v>66240</v>
      </c>
      <c r="J89" s="59">
        <v>66240</v>
      </c>
      <c r="K89">
        <v>1</v>
      </c>
      <c r="O89" s="52"/>
    </row>
    <row r="90" spans="1:15" x14ac:dyDescent="0.15">
      <c r="A90">
        <v>1</v>
      </c>
      <c r="D90" s="51" t="s">
        <v>21</v>
      </c>
      <c r="E90" s="51" t="s">
        <v>132</v>
      </c>
      <c r="G90" s="51" t="s">
        <v>133</v>
      </c>
      <c r="H90">
        <v>3</v>
      </c>
      <c r="I90" s="58">
        <v>26333.34</v>
      </c>
      <c r="J90" s="59">
        <v>79000</v>
      </c>
      <c r="K90">
        <v>3</v>
      </c>
      <c r="M90" s="51" t="s">
        <v>134</v>
      </c>
      <c r="O90" s="52"/>
    </row>
    <row r="91" spans="1:15" x14ac:dyDescent="0.15">
      <c r="A91">
        <v>2</v>
      </c>
      <c r="D91" s="51" t="s">
        <v>35</v>
      </c>
      <c r="E91" s="51" t="s">
        <v>135</v>
      </c>
      <c r="G91" s="51" t="s">
        <v>34</v>
      </c>
      <c r="H91">
        <v>3</v>
      </c>
      <c r="I91" s="58">
        <v>18000</v>
      </c>
      <c r="J91" s="59">
        <v>54000</v>
      </c>
      <c r="K91">
        <v>1</v>
      </c>
      <c r="O91" s="52"/>
    </row>
    <row r="92" spans="1:15" x14ac:dyDescent="0.15">
      <c r="A92">
        <v>2</v>
      </c>
      <c r="D92" s="51" t="s">
        <v>45</v>
      </c>
      <c r="E92" s="51" t="s">
        <v>136</v>
      </c>
      <c r="F92" s="51" t="s">
        <v>82</v>
      </c>
      <c r="G92" s="51" t="s">
        <v>40</v>
      </c>
      <c r="H92">
        <v>5</v>
      </c>
      <c r="I92" s="58">
        <v>5000</v>
      </c>
      <c r="J92" s="59">
        <v>25000</v>
      </c>
      <c r="K92">
        <v>1</v>
      </c>
      <c r="O92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96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クレストフォルム浦安舗装補修工事</v>
      </c>
      <c r="G1" s="4"/>
      <c r="H1" s="16" t="s">
        <v>15</v>
      </c>
      <c r="I1" s="13">
        <v>4450000</v>
      </c>
      <c r="J1" s="17">
        <f>I4/I$1</f>
        <v>0.92302022471910117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137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クレストフォルム浦安舗装補修工事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4107440</v>
      </c>
      <c r="I4" s="48">
        <f>データ!J1</f>
        <v>4107440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>02230001</v>
      </c>
      <c r="C5" s="47" t="str">
        <f>TRIM(データ!D2)</f>
        <v>内訳書</v>
      </c>
      <c r="D5" s="36" t="str">
        <f>REPT("｜",$A5)&amp;TRIM(データ!E2)</f>
        <v>｜撤去・不陸</v>
      </c>
      <c r="E5" s="37" t="str">
        <f>TRIM(データ!F2)</f>
        <v>既設舗装版撤去　不陸整正</v>
      </c>
      <c r="F5" s="38" t="str">
        <f>TRIM(データ!G2)</f>
        <v>式</v>
      </c>
      <c r="G5" s="50">
        <f>データ!H2</f>
        <v>1</v>
      </c>
      <c r="H5" s="48">
        <f>データ!I2</f>
        <v>510000</v>
      </c>
      <c r="I5" s="48">
        <f>データ!J2</f>
        <v>510000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0.12416492998071792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>02230001</v>
      </c>
      <c r="C6" s="47" t="str">
        <f>TRIM(データ!D3)</f>
        <v>材料費</v>
      </c>
      <c r="D6" s="36" t="str">
        <f>REPT("｜",$A6)&amp;TRIM(データ!E3)</f>
        <v>｜｜軽油</v>
      </c>
      <c r="E6" s="37" t="str">
        <f>TRIM(データ!F3)</f>
        <v/>
      </c>
      <c r="F6" s="38" t="str">
        <f>TRIM(データ!G3)</f>
        <v>リットル</v>
      </c>
      <c r="G6" s="50">
        <f>データ!H3</f>
        <v>50</v>
      </c>
      <c r="H6" s="48">
        <f>データ!I3</f>
        <v>180</v>
      </c>
      <c r="I6" s="48">
        <f>データ!J3</f>
        <v>9000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2.1911458231891395E-3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>02230001</v>
      </c>
      <c r="C7" s="47" t="str">
        <f>TRIM(データ!D4)</f>
        <v>材料費</v>
      </c>
      <c r="D7" s="36" t="str">
        <f>REPT("｜",$A7)&amp;TRIM(データ!E4)</f>
        <v>｜｜ガソリン</v>
      </c>
      <c r="E7" s="37" t="str">
        <f>TRIM(データ!F4)</f>
        <v/>
      </c>
      <c r="F7" s="38" t="str">
        <f>TRIM(データ!G4)</f>
        <v>リットル</v>
      </c>
      <c r="G7" s="50">
        <f>データ!H4</f>
        <v>50</v>
      </c>
      <c r="H7" s="48">
        <f>データ!I4</f>
        <v>200</v>
      </c>
      <c r="I7" s="48">
        <f>データ!J4</f>
        <v>10000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2.4346064702101553E-3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>02230001</v>
      </c>
      <c r="C8" s="47" t="str">
        <f>TRIM(データ!D5)</f>
        <v>材料費</v>
      </c>
      <c r="D8" s="36" t="str">
        <f>REPT("｜",$A8)&amp;TRIM(データ!E5)</f>
        <v>｜｜RC-40</v>
      </c>
      <c r="E8" s="37" t="str">
        <f>TRIM(データ!F5)</f>
        <v>補足材</v>
      </c>
      <c r="F8" s="38" t="str">
        <f>TRIM(データ!G5)</f>
        <v>t</v>
      </c>
      <c r="G8" s="50">
        <f>データ!H5</f>
        <v>20</v>
      </c>
      <c r="H8" s="48">
        <f>データ!I5</f>
        <v>1000</v>
      </c>
      <c r="I8" s="48">
        <f>データ!J5</f>
        <v>20000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4.8692129404203106E-3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>02230001</v>
      </c>
      <c r="C9" s="47" t="str">
        <f>TRIM(データ!D6)</f>
        <v>労務費</v>
      </c>
      <c r="D9" s="36" t="str">
        <f>REPT("｜",$A9)&amp;TRIM(データ!E6)</f>
        <v>｜｜舗装工</v>
      </c>
      <c r="E9" s="37" t="str">
        <f>TRIM(データ!F6)</f>
        <v/>
      </c>
      <c r="F9" s="38" t="str">
        <f>TRIM(データ!G6)</f>
        <v>人</v>
      </c>
      <c r="G9" s="50">
        <f>データ!H6</f>
        <v>10</v>
      </c>
      <c r="H9" s="48">
        <f>データ!I6</f>
        <v>23000</v>
      </c>
      <c r="I9" s="48">
        <f>データ!J6</f>
        <v>230000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5.5995948814833572E-2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>02230001</v>
      </c>
      <c r="C10" s="47" t="str">
        <f>TRIM(データ!D7)</f>
        <v>外注費</v>
      </c>
      <c r="D10" s="36" t="str">
        <f>REPT("｜",$A10)&amp;TRIM(データ!E7)</f>
        <v>｜｜As舗装切断</v>
      </c>
      <c r="E10" s="37" t="str">
        <f>TRIM(データ!F7)</f>
        <v>最低保証</v>
      </c>
      <c r="F10" s="38" t="str">
        <f>TRIM(データ!G7)</f>
        <v>式</v>
      </c>
      <c r="G10" s="50">
        <f>データ!H7</f>
        <v>1</v>
      </c>
      <c r="H10" s="48">
        <f>データ!I7</f>
        <v>15000</v>
      </c>
      <c r="I10" s="48">
        <f>データ!J7</f>
        <v>15000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3.6519097053152329E-3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>02230001</v>
      </c>
      <c r="C11" s="47" t="str">
        <f>TRIM(データ!D8)</f>
        <v>機械費</v>
      </c>
      <c r="D11" s="36" t="str">
        <f>REPT("｜",$A11)&amp;TRIM(データ!E8)</f>
        <v>｜｜0.2m3BH</v>
      </c>
      <c r="E11" s="37" t="str">
        <f>TRIM(データ!F8)</f>
        <v/>
      </c>
      <c r="F11" s="38" t="str">
        <f>TRIM(データ!G8)</f>
        <v>台</v>
      </c>
      <c r="G11" s="50">
        <f>データ!H8</f>
        <v>1</v>
      </c>
      <c r="H11" s="48">
        <f>データ!I8</f>
        <v>10000</v>
      </c>
      <c r="I11" s="48">
        <f>データ!J8</f>
        <v>10000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2.4346064702101553E-3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>02230001</v>
      </c>
      <c r="C12" s="47" t="str">
        <f>TRIM(データ!D9)</f>
        <v>機械費</v>
      </c>
      <c r="D12" s="36" t="str">
        <f>REPT("｜",$A12)&amp;TRIM(データ!E9)</f>
        <v>｜｜0.15m3BH</v>
      </c>
      <c r="E12" s="37" t="str">
        <f>TRIM(データ!F9)</f>
        <v/>
      </c>
      <c r="F12" s="38" t="str">
        <f>TRIM(データ!G9)</f>
        <v>台</v>
      </c>
      <c r="G12" s="50">
        <f>データ!H9</f>
        <v>1</v>
      </c>
      <c r="H12" s="48">
        <f>データ!I9</f>
        <v>8500</v>
      </c>
      <c r="I12" s="48">
        <f>データ!J9</f>
        <v>8500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2.069415499678632E-3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>02230001</v>
      </c>
      <c r="C13" s="47" t="str">
        <f>TRIM(データ!D10)</f>
        <v>機械費</v>
      </c>
      <c r="D13" s="36" t="str">
        <f>REPT("｜",$A13)&amp;TRIM(データ!E10)</f>
        <v>｜｜4tｺﾝﾊﾞｲﾝﾄﾞﾛｰﾗｰ</v>
      </c>
      <c r="E13" s="37" t="str">
        <f>TRIM(データ!F10)</f>
        <v/>
      </c>
      <c r="F13" s="38" t="str">
        <f>TRIM(データ!G10)</f>
        <v>台</v>
      </c>
      <c r="G13" s="50">
        <f>データ!H10</f>
        <v>1</v>
      </c>
      <c r="H13" s="48">
        <f>データ!I10</f>
        <v>7000</v>
      </c>
      <c r="I13" s="48">
        <f>データ!J10</f>
        <v>7000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1.7042245291471086E-3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>02230001</v>
      </c>
      <c r="C14" s="47" t="str">
        <f>TRIM(データ!D11)</f>
        <v>機械費</v>
      </c>
      <c r="D14" s="36" t="str">
        <f>REPT("｜",$A14)&amp;TRIM(データ!E11)</f>
        <v>｜｜ﾗﾝﾏｰ</v>
      </c>
      <c r="E14" s="37" t="str">
        <f>TRIM(データ!F11)</f>
        <v/>
      </c>
      <c r="F14" s="38" t="str">
        <f>TRIM(データ!G11)</f>
        <v>台</v>
      </c>
      <c r="G14" s="50">
        <f>データ!H11</f>
        <v>1</v>
      </c>
      <c r="H14" s="48">
        <f>データ!I11</f>
        <v>1500</v>
      </c>
      <c r="I14" s="48">
        <f>データ!J11</f>
        <v>1500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3.651909705315233E-4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>02230001</v>
      </c>
      <c r="C15" s="47" t="str">
        <f>TRIM(データ!D12)</f>
        <v>機械費</v>
      </c>
      <c r="D15" s="36" t="str">
        <f>REPT("｜",$A15)&amp;TRIM(データ!E12)</f>
        <v>｜｜小物機械</v>
      </c>
      <c r="E15" s="37" t="str">
        <f>TRIM(データ!F12)</f>
        <v/>
      </c>
      <c r="F15" s="38" t="str">
        <f>TRIM(データ!G12)</f>
        <v>式</v>
      </c>
      <c r="G15" s="50">
        <f>データ!H12</f>
        <v>1</v>
      </c>
      <c r="H15" s="48">
        <f>データ!I12</f>
        <v>5000</v>
      </c>
      <c r="I15" s="48">
        <f>データ!J12</f>
        <v>5000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1.2173032351050776E-3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>02230001</v>
      </c>
      <c r="C16" s="47" t="str">
        <f>TRIM(データ!D13)</f>
        <v>運搬費</v>
      </c>
      <c r="D16" s="36" t="str">
        <f>REPT("｜",$A16)&amp;TRIM(データ!E13)</f>
        <v>｜｜8t常用ダンプ</v>
      </c>
      <c r="E16" s="37" t="str">
        <f>TRIM(データ!F13)</f>
        <v/>
      </c>
      <c r="F16" s="38" t="str">
        <f>TRIM(データ!G13)</f>
        <v>台</v>
      </c>
      <c r="G16" s="50">
        <f>データ!H13</f>
        <v>3</v>
      </c>
      <c r="H16" s="48">
        <f>データ!I13</f>
        <v>40000</v>
      </c>
      <c r="I16" s="48">
        <f>データ!J13</f>
        <v>120000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2.9215277642521863E-2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>02230001</v>
      </c>
      <c r="C17" s="47" t="str">
        <f>TRIM(データ!D14)</f>
        <v>運搬費</v>
      </c>
      <c r="D17" s="36" t="str">
        <f>REPT("｜",$A17)&amp;TRIM(データ!E14)</f>
        <v>｜｜Asガラ処理費</v>
      </c>
      <c r="E17" s="37" t="str">
        <f>TRIM(データ!F14)</f>
        <v/>
      </c>
      <c r="F17" s="38" t="str">
        <f>TRIM(データ!G14)</f>
        <v>t</v>
      </c>
      <c r="G17" s="50">
        <f>データ!H14</f>
        <v>65</v>
      </c>
      <c r="H17" s="48">
        <f>データ!I14</f>
        <v>800</v>
      </c>
      <c r="I17" s="48">
        <f>データ!J14</f>
        <v>52000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1.2659953645092807E-2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>02230001</v>
      </c>
      <c r="C18" s="47" t="str">
        <f>TRIM(データ!D15)</f>
        <v>運搬費</v>
      </c>
      <c r="D18" s="36" t="str">
        <f>REPT("｜",$A18)&amp;TRIM(データ!E15)</f>
        <v>｜｜2tダンプ</v>
      </c>
      <c r="E18" s="37" t="str">
        <f>TRIM(データ!F15)</f>
        <v/>
      </c>
      <c r="F18" s="38" t="str">
        <f>TRIM(データ!G15)</f>
        <v>台</v>
      </c>
      <c r="G18" s="50">
        <f>データ!H15</f>
        <v>2</v>
      </c>
      <c r="H18" s="48">
        <f>データ!I15</f>
        <v>7000</v>
      </c>
      <c r="I18" s="48">
        <f>データ!J15</f>
        <v>14000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3.4084490582942171E-3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>02230001</v>
      </c>
      <c r="C19" s="47" t="str">
        <f>TRIM(データ!D16)</f>
        <v>運搬費</v>
      </c>
      <c r="D19" s="36" t="str">
        <f>REPT("｜",$A19)&amp;TRIM(データ!E16)</f>
        <v>｜｜WP</v>
      </c>
      <c r="E19" s="37" t="str">
        <f>TRIM(データ!F16)</f>
        <v/>
      </c>
      <c r="F19" s="38" t="str">
        <f>TRIM(データ!G16)</f>
        <v>台</v>
      </c>
      <c r="G19" s="50">
        <f>データ!H16</f>
        <v>1</v>
      </c>
      <c r="H19" s="48">
        <f>データ!I16</f>
        <v>8000</v>
      </c>
      <c r="I19" s="48">
        <f>データ!J16</f>
        <v>8000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1.9476851761681241E-3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1</v>
      </c>
      <c r="B20" s="47" t="str">
        <f>TRIM(データ!C17)</f>
        <v>02230001</v>
      </c>
      <c r="C20" s="47" t="str">
        <f>TRIM(データ!D17)</f>
        <v>内訳書</v>
      </c>
      <c r="D20" s="36" t="str">
        <f>REPT("｜",$A20)&amp;TRIM(データ!E17)</f>
        <v>｜表層</v>
      </c>
      <c r="E20" s="37" t="str">
        <f>TRIM(データ!F17)</f>
        <v>t＝5㎝　ハンプ2ヵ所</v>
      </c>
      <c r="F20" s="38" t="str">
        <f>TRIM(データ!G17)</f>
        <v>式</v>
      </c>
      <c r="G20" s="50">
        <f>データ!H17</f>
        <v>1</v>
      </c>
      <c r="H20" s="48">
        <f>データ!I17</f>
        <v>1179600</v>
      </c>
      <c r="I20" s="48">
        <f>データ!J17</f>
        <v>1179600</v>
      </c>
      <c r="J20" s="39">
        <f>IF(OR($C20="総括",$C20="内訳書",$C20="内訳代価",$C20="明細書",$C20="明細代価",$C20="代価表",$C20="単価表"),データ!K17,"")</f>
        <v>1</v>
      </c>
      <c r="K20" s="11" t="str">
        <f t="shared" si="0"/>
        <v/>
      </c>
      <c r="L20" s="46">
        <f t="shared" si="1"/>
        <v>0.28718617922598993</v>
      </c>
      <c r="M20" s="40" t="str">
        <f>IF(データ!L17="","",データ!L17)</f>
        <v/>
      </c>
      <c r="N20" s="41" t="str">
        <f>IF(データ!M17="","",データ!M17)</f>
        <v>16号内訳書</v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>
        <f>IF(OR($C20="総括",$C20="内訳書",$C20="内訳代価",$C20="明細書",$C20="明細代価",$C20="代価表",$C20="単価表"),データ!Q17,"")</f>
        <v>0</v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>
        <f>IF(OR($C20="総括",$C20="内訳書",$C20="内訳代価",$C20="明細書",$C20="明細代価",$C20="代価表",$C20="単価表"),データ!W17,"")</f>
        <v>0</v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>02230001</v>
      </c>
      <c r="C21" s="47" t="str">
        <f>TRIM(データ!D18)</f>
        <v>材料費</v>
      </c>
      <c r="D21" s="36" t="str">
        <f>REPT("｜",$A21)&amp;TRIM(データ!E18)</f>
        <v>｜｜軽油</v>
      </c>
      <c r="E21" s="37" t="str">
        <f>TRIM(データ!F18)</f>
        <v/>
      </c>
      <c r="F21" s="38" t="str">
        <f>TRIM(データ!G18)</f>
        <v>リットル</v>
      </c>
      <c r="G21" s="50">
        <f>データ!H18</f>
        <v>80</v>
      </c>
      <c r="H21" s="48">
        <f>データ!I18</f>
        <v>180</v>
      </c>
      <c r="I21" s="48">
        <f>データ!J18</f>
        <v>14400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3.5058333171026235E-3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>02230001</v>
      </c>
      <c r="C22" s="47" t="str">
        <f>TRIM(データ!D19)</f>
        <v>材料費</v>
      </c>
      <c r="D22" s="36" t="str">
        <f>REPT("｜",$A22)&amp;TRIM(データ!E19)</f>
        <v>｜｜ガソリン</v>
      </c>
      <c r="E22" s="37" t="str">
        <f>TRIM(データ!F19)</f>
        <v/>
      </c>
      <c r="F22" s="38" t="str">
        <f>TRIM(データ!G19)</f>
        <v>ﾘｯﾄﾙ</v>
      </c>
      <c r="G22" s="50">
        <f>データ!H19</f>
        <v>50</v>
      </c>
      <c r="H22" s="48">
        <f>データ!I19</f>
        <v>200</v>
      </c>
      <c r="I22" s="48">
        <f>データ!J19</f>
        <v>10000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2.4346064702101553E-3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>02230001</v>
      </c>
      <c r="C23" s="47" t="str">
        <f>TRIM(データ!D20)</f>
        <v>材料費</v>
      </c>
      <c r="D23" s="36" t="str">
        <f>REPT("｜",$A23)&amp;TRIM(データ!E20)</f>
        <v>｜｜再生密粒As13㎜</v>
      </c>
      <c r="E23" s="37" t="str">
        <f>TRIM(データ!F20)</f>
        <v/>
      </c>
      <c r="F23" s="38" t="str">
        <f>TRIM(データ!G20)</f>
        <v>t</v>
      </c>
      <c r="G23" s="50">
        <f>データ!H20</f>
        <v>70</v>
      </c>
      <c r="H23" s="48">
        <f>データ!I20</f>
        <v>11200</v>
      </c>
      <c r="I23" s="48">
        <f>データ!J20</f>
        <v>784000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0.19087314726447616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>520m2*5cm 8t配達</v>
      </c>
    </row>
    <row r="24" spans="1:32" x14ac:dyDescent="0.15">
      <c r="A24" s="47">
        <f>データ!A21</f>
        <v>2</v>
      </c>
      <c r="B24" s="47" t="str">
        <f>TRIM(データ!C21)</f>
        <v>02230001</v>
      </c>
      <c r="C24" s="47" t="str">
        <f>TRIM(データ!D21)</f>
        <v>材料費</v>
      </c>
      <c r="D24" s="36" t="str">
        <f>REPT("｜",$A24)&amp;TRIM(データ!E21)</f>
        <v>｜｜V密粒As13㎜</v>
      </c>
      <c r="E24" s="37" t="str">
        <f>TRIM(データ!F21)</f>
        <v/>
      </c>
      <c r="F24" s="38" t="str">
        <f>TRIM(データ!G21)</f>
        <v>t</v>
      </c>
      <c r="G24" s="50">
        <f>データ!H21</f>
        <v>1</v>
      </c>
      <c r="H24" s="48">
        <f>データ!I21</f>
        <v>12700</v>
      </c>
      <c r="I24" s="48">
        <f>データ!J21</f>
        <v>12700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3.0919502171668973E-3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>2.6m2*5cm*2ヵ所 8t配達</v>
      </c>
    </row>
    <row r="25" spans="1:32" x14ac:dyDescent="0.15">
      <c r="A25" s="47">
        <f>データ!A22</f>
        <v>2</v>
      </c>
      <c r="B25" s="47" t="str">
        <f>TRIM(データ!C22)</f>
        <v>02230001</v>
      </c>
      <c r="C25" s="47" t="str">
        <f>TRIM(データ!D22)</f>
        <v>労務費</v>
      </c>
      <c r="D25" s="36" t="str">
        <f>REPT("｜",$A25)&amp;TRIM(データ!E22)</f>
        <v>｜｜舗装工</v>
      </c>
      <c r="E25" s="37" t="str">
        <f>TRIM(データ!F22)</f>
        <v/>
      </c>
      <c r="F25" s="38" t="str">
        <f>TRIM(データ!G22)</f>
        <v>人</v>
      </c>
      <c r="G25" s="50">
        <f>データ!H22</f>
        <v>10</v>
      </c>
      <c r="H25" s="48">
        <f>データ!I22</f>
        <v>23000</v>
      </c>
      <c r="I25" s="48">
        <f>データ!J22</f>
        <v>230000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5.5995948814833572E-2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>02230001</v>
      </c>
      <c r="C26" s="47" t="str">
        <f>TRIM(データ!D23)</f>
        <v>機械費</v>
      </c>
      <c r="D26" s="36" t="str">
        <f>REPT("｜",$A26)&amp;TRIM(データ!E23)</f>
        <v>｜｜AF45</v>
      </c>
      <c r="E26" s="37" t="str">
        <f>TRIM(データ!F23)</f>
        <v>OP付</v>
      </c>
      <c r="F26" s="38" t="str">
        <f>TRIM(データ!G23)</f>
        <v>台</v>
      </c>
      <c r="G26" s="50">
        <f>データ!H23</f>
        <v>1</v>
      </c>
      <c r="H26" s="48">
        <f>データ!I23</f>
        <v>75000</v>
      </c>
      <c r="I26" s="48">
        <f>データ!J23</f>
        <v>75000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1.8259548526576165E-2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>ﾌｨﾆｯｼｬｰﾘｰｽ</v>
      </c>
    </row>
    <row r="27" spans="1:32" x14ac:dyDescent="0.15">
      <c r="A27" s="47">
        <f>データ!A24</f>
        <v>2</v>
      </c>
      <c r="B27" s="47" t="str">
        <f>TRIM(データ!C24)</f>
        <v>02230001</v>
      </c>
      <c r="C27" s="47" t="str">
        <f>TRIM(データ!D24)</f>
        <v>機械費</v>
      </c>
      <c r="D27" s="36" t="str">
        <f>REPT("｜",$A27)&amp;TRIM(データ!E24)</f>
        <v>｜｜0.15m3BH</v>
      </c>
      <c r="E27" s="37" t="str">
        <f>TRIM(データ!F24)</f>
        <v/>
      </c>
      <c r="F27" s="38" t="str">
        <f>TRIM(データ!G24)</f>
        <v>台</v>
      </c>
      <c r="G27" s="50">
        <f>データ!H24</f>
        <v>1</v>
      </c>
      <c r="H27" s="48">
        <f>データ!I24</f>
        <v>8500</v>
      </c>
      <c r="I27" s="48">
        <f>データ!J24</f>
        <v>8500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2.069415499678632E-3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>02230001</v>
      </c>
      <c r="C28" s="47" t="str">
        <f>TRIM(データ!D25)</f>
        <v>機械費</v>
      </c>
      <c r="D28" s="36" t="str">
        <f>REPT("｜",$A28)&amp;TRIM(データ!E25)</f>
        <v>｜｜4tｺﾝﾊﾞｲﾝﾄﾞﾛｰﾗｰ</v>
      </c>
      <c r="E28" s="37" t="str">
        <f>TRIM(データ!F25)</f>
        <v/>
      </c>
      <c r="F28" s="38" t="str">
        <f>TRIM(データ!G25)</f>
        <v>台</v>
      </c>
      <c r="G28" s="50">
        <f>データ!H25</f>
        <v>1</v>
      </c>
      <c r="H28" s="48">
        <f>データ!I25</f>
        <v>7000</v>
      </c>
      <c r="I28" s="48">
        <f>データ!J25</f>
        <v>7000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1.7042245291471086E-3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>02230001</v>
      </c>
      <c r="C29" s="47" t="str">
        <f>TRIM(データ!D26)</f>
        <v>機械費</v>
      </c>
      <c r="D29" s="36" t="str">
        <f>REPT("｜",$A29)&amp;TRIM(データ!E26)</f>
        <v>｜｜3tﾀｲﾔﾛｰﾗｰ</v>
      </c>
      <c r="E29" s="37" t="str">
        <f>TRIM(データ!F26)</f>
        <v/>
      </c>
      <c r="F29" s="38" t="str">
        <f>TRIM(データ!G26)</f>
        <v>台</v>
      </c>
      <c r="G29" s="50">
        <f>データ!H26</f>
        <v>1</v>
      </c>
      <c r="H29" s="48">
        <f>データ!I26</f>
        <v>7000</v>
      </c>
      <c r="I29" s="48">
        <f>データ!J26</f>
        <v>7000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1.7042245291471086E-3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>02230001</v>
      </c>
      <c r="C30" s="47" t="str">
        <f>TRIM(データ!D27)</f>
        <v>機械費</v>
      </c>
      <c r="D30" s="36" t="str">
        <f>REPT("｜",$A30)&amp;TRIM(データ!E27)</f>
        <v>｜｜ﾗﾝﾏｰ　舗装ｶｯﾀｰ</v>
      </c>
      <c r="E30" s="37" t="str">
        <f>TRIM(データ!F27)</f>
        <v/>
      </c>
      <c r="F30" s="38" t="str">
        <f>TRIM(データ!G27)</f>
        <v>台</v>
      </c>
      <c r="G30" s="50">
        <f>データ!H27</f>
        <v>1</v>
      </c>
      <c r="H30" s="48">
        <f>データ!I27</f>
        <v>4000</v>
      </c>
      <c r="I30" s="48">
        <f>データ!J27</f>
        <v>4000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9.7384258808406207E-4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>02230001</v>
      </c>
      <c r="C31" s="47" t="str">
        <f>TRIM(データ!D28)</f>
        <v>機械費</v>
      </c>
      <c r="D31" s="36" t="str">
        <f>REPT("｜",$A31)&amp;TRIM(データ!E28)</f>
        <v>｜｜小物機械</v>
      </c>
      <c r="E31" s="37" t="str">
        <f>TRIM(データ!F28)</f>
        <v/>
      </c>
      <c r="F31" s="38" t="str">
        <f>TRIM(データ!G28)</f>
        <v>台</v>
      </c>
      <c r="G31" s="50">
        <f>データ!H28</f>
        <v>1</v>
      </c>
      <c r="H31" s="48">
        <f>データ!I28</f>
        <v>5000</v>
      </c>
      <c r="I31" s="48">
        <f>データ!J28</f>
        <v>5000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1.2173032351050776E-3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>02230001</v>
      </c>
      <c r="C32" s="47" t="str">
        <f>TRIM(データ!D29)</f>
        <v>運搬費</v>
      </c>
      <c r="D32" s="36" t="str">
        <f>REPT("｜",$A32)&amp;TRIM(データ!E29)</f>
        <v>｜｜２ｔダンプ</v>
      </c>
      <c r="E32" s="37" t="str">
        <f>TRIM(データ!F29)</f>
        <v/>
      </c>
      <c r="F32" s="38" t="str">
        <f>TRIM(データ!G29)</f>
        <v>台</v>
      </c>
      <c r="G32" s="50">
        <f>データ!H29</f>
        <v>2</v>
      </c>
      <c r="H32" s="48">
        <f>データ!I29</f>
        <v>7000</v>
      </c>
      <c r="I32" s="48">
        <f>データ!J29</f>
        <v>14000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3.4084490582942171E-3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>02230001</v>
      </c>
      <c r="C33" s="47" t="str">
        <f>TRIM(データ!D30)</f>
        <v>運搬費</v>
      </c>
      <c r="D33" s="36" t="str">
        <f>REPT("｜",$A33)&amp;TRIM(データ!E30)</f>
        <v>｜｜WP</v>
      </c>
      <c r="E33" s="37" t="str">
        <f>TRIM(データ!F30)</f>
        <v/>
      </c>
      <c r="F33" s="38" t="str">
        <f>TRIM(データ!G30)</f>
        <v>台</v>
      </c>
      <c r="G33" s="50">
        <f>データ!H30</f>
        <v>1</v>
      </c>
      <c r="H33" s="48">
        <f>データ!I30</f>
        <v>8000</v>
      </c>
      <c r="I33" s="48">
        <f>データ!J30</f>
        <v>8000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1.9476851761681241E-3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1</v>
      </c>
      <c r="B34" s="47" t="str">
        <f>TRIM(データ!C31)</f>
        <v>02230005</v>
      </c>
      <c r="C34" s="47" t="str">
        <f>TRIM(データ!D31)</f>
        <v>内訳書</v>
      </c>
      <c r="D34" s="36" t="str">
        <f>REPT("｜",$A34)&amp;TRIM(データ!E31)</f>
        <v>｜区画線設置</v>
      </c>
      <c r="E34" s="37" t="str">
        <f>TRIM(データ!F31)</f>
        <v>最低保証</v>
      </c>
      <c r="F34" s="38" t="str">
        <f>TRIM(データ!G31)</f>
        <v>式</v>
      </c>
      <c r="G34" s="50">
        <f>データ!H31</f>
        <v>1</v>
      </c>
      <c r="H34" s="48">
        <f>データ!I31</f>
        <v>80000</v>
      </c>
      <c r="I34" s="48">
        <f>データ!J31</f>
        <v>80000</v>
      </c>
      <c r="J34" s="39">
        <f>IF(OR($C34="総括",$C34="内訳書",$C34="内訳代価",$C34="明細書",$C34="明細代価",$C34="代価表",$C34="単価表"),データ!K31,"")</f>
        <v>1</v>
      </c>
      <c r="K34" s="11" t="str">
        <f t="shared" si="0"/>
        <v/>
      </c>
      <c r="L34" s="46">
        <f t="shared" si="1"/>
        <v>1.9476851761681242E-2</v>
      </c>
      <c r="M34" s="40" t="str">
        <f>IF(データ!L31="","",データ!L31)</f>
        <v/>
      </c>
      <c r="N34" s="41" t="str">
        <f>IF(データ!M31="","",データ!M31)</f>
        <v>17号内訳書</v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>
        <f>IF(OR($C34="総括",$C34="内訳書",$C34="内訳代価",$C34="明細書",$C34="明細代価",$C34="代価表",$C34="単価表"),データ!Q31,"")</f>
        <v>0</v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>
        <f>IF(OR($C34="総括",$C34="内訳書",$C34="内訳代価",$C34="明細書",$C34="明細代価",$C34="代価表",$C34="単価表"),データ!W31,"")</f>
        <v>0</v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>02230005</v>
      </c>
      <c r="C35" s="47" t="str">
        <f>TRIM(データ!D32)</f>
        <v>外注費</v>
      </c>
      <c r="D35" s="36" t="str">
        <f>REPT("｜",$A35)&amp;TRIM(データ!E32)</f>
        <v>｜｜区画線設置</v>
      </c>
      <c r="E35" s="37" t="str">
        <f>TRIM(データ!F32)</f>
        <v>最低保証</v>
      </c>
      <c r="F35" s="38" t="str">
        <f>TRIM(データ!G32)</f>
        <v>式</v>
      </c>
      <c r="G35" s="50">
        <f>データ!H32</f>
        <v>1</v>
      </c>
      <c r="H35" s="48">
        <f>データ!I32</f>
        <v>80000</v>
      </c>
      <c r="I35" s="48">
        <f>データ!J32</f>
        <v>80000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1.9476851761681242E-2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>停止線　文字*3箇所 ハンプ（黄色）</v>
      </c>
    </row>
    <row r="36" spans="1:32" x14ac:dyDescent="0.15">
      <c r="A36" s="47">
        <f>データ!A33</f>
        <v>1</v>
      </c>
      <c r="B36" s="47" t="str">
        <f>TRIM(データ!C33)</f>
        <v>04600001</v>
      </c>
      <c r="C36" s="47" t="str">
        <f>TRIM(データ!D33)</f>
        <v>内訳書</v>
      </c>
      <c r="D36" s="36" t="str">
        <f>REPT("｜",$A36)&amp;TRIM(データ!E33)</f>
        <v>｜重機回送</v>
      </c>
      <c r="E36" s="37" t="str">
        <f>TRIM(データ!F33)</f>
        <v/>
      </c>
      <c r="F36" s="38" t="str">
        <f>TRIM(データ!G33)</f>
        <v>回</v>
      </c>
      <c r="G36" s="50">
        <f>データ!H33</f>
        <v>6</v>
      </c>
      <c r="H36" s="48">
        <f>データ!I33</f>
        <v>23333.34</v>
      </c>
      <c r="I36" s="48">
        <f>データ!J33</f>
        <v>140000</v>
      </c>
      <c r="J36" s="39">
        <f>IF(OR($C36="総括",$C36="内訳書",$C36="内訳代価",$C36="明細書",$C36="明細代価",$C36="代価表",$C36="単価表"),データ!K33,"")</f>
        <v>6</v>
      </c>
      <c r="K36" s="11" t="str">
        <f t="shared" si="0"/>
        <v/>
      </c>
      <c r="L36" s="46">
        <f t="shared" si="1"/>
        <v>3.4084490582942176E-2</v>
      </c>
      <c r="M36" s="40" t="str">
        <f>IF(データ!L33="","",データ!L33)</f>
        <v/>
      </c>
      <c r="N36" s="41" t="str">
        <f>IF(データ!M33="","",データ!M33)</f>
        <v>18号内訳書</v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>
        <f>IF(OR($C36="総括",$C36="内訳書",$C36="内訳代価",$C36="明細書",$C36="明細代価",$C36="代価表",$C36="単価表"),データ!Q33,"")</f>
        <v>0</v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>
        <f>IF(OR($C36="総括",$C36="内訳書",$C36="内訳代価",$C36="明細書",$C36="明細代価",$C36="代価表",$C36="単価表"),データ!W33,"")</f>
        <v>0</v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>04600001</v>
      </c>
      <c r="C37" s="47" t="str">
        <f>TRIM(データ!D34)</f>
        <v>運搬費</v>
      </c>
      <c r="D37" s="36" t="str">
        <f>REPT("｜",$A37)&amp;TRIM(データ!E34)</f>
        <v>｜｜10t車回送</v>
      </c>
      <c r="E37" s="37" t="str">
        <f>TRIM(データ!F34)</f>
        <v>0.2BH 0.15BH</v>
      </c>
      <c r="F37" s="38" t="str">
        <f>TRIM(データ!G34)</f>
        <v>回</v>
      </c>
      <c r="G37" s="50">
        <f>データ!H34</f>
        <v>2</v>
      </c>
      <c r="H37" s="48">
        <f>データ!I34</f>
        <v>25000</v>
      </c>
      <c r="I37" s="48">
        <f>データ!J34</f>
        <v>50000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1.2173032351050776E-2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>04600001</v>
      </c>
      <c r="C38" s="47" t="str">
        <f>TRIM(データ!D35)</f>
        <v>運搬費</v>
      </c>
      <c r="D38" s="36" t="str">
        <f>REPT("｜",$A38)&amp;TRIM(データ!E35)</f>
        <v>｜｜10t車回送</v>
      </c>
      <c r="E38" s="37" t="str">
        <f>TRIM(データ!F35)</f>
        <v>ｺﾝﾊﾞｲﾝﾄﾞﾛｰﾗｰ　ﾀｲﾔﾛｰﾗｰ</v>
      </c>
      <c r="F38" s="38" t="str">
        <f>TRIM(データ!G35)</f>
        <v>回</v>
      </c>
      <c r="G38" s="50">
        <f>データ!H35</f>
        <v>2</v>
      </c>
      <c r="H38" s="48">
        <f>データ!I35</f>
        <v>25000</v>
      </c>
      <c r="I38" s="48">
        <f>データ!J35</f>
        <v>50000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1.2173032351050776E-2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>04600001</v>
      </c>
      <c r="C39" s="47" t="str">
        <f>TRIM(データ!D36)</f>
        <v>運搬費</v>
      </c>
      <c r="D39" s="36" t="str">
        <f>REPT("｜",$A39)&amp;TRIM(データ!E36)</f>
        <v>｜｜10t車回送</v>
      </c>
      <c r="E39" s="37" t="str">
        <f>TRIM(データ!F36)</f>
        <v>AF</v>
      </c>
      <c r="F39" s="38" t="str">
        <f>TRIM(データ!G36)</f>
        <v>回</v>
      </c>
      <c r="G39" s="50">
        <f>データ!H36</f>
        <v>2</v>
      </c>
      <c r="H39" s="48">
        <f>データ!I36</f>
        <v>20000</v>
      </c>
      <c r="I39" s="48">
        <f>データ!J36</f>
        <v>40000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9.7384258808406211E-3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1</v>
      </c>
      <c r="B40" s="47" t="str">
        <f>TRIM(データ!C37)</f>
        <v>04650001</v>
      </c>
      <c r="C40" s="47" t="str">
        <f>TRIM(データ!D37)</f>
        <v>内訳書</v>
      </c>
      <c r="D40" s="36" t="str">
        <f>REPT("｜",$A40)&amp;TRIM(データ!E37)</f>
        <v>｜安全管理</v>
      </c>
      <c r="E40" s="37" t="str">
        <f>TRIM(データ!F37)</f>
        <v>ｶﾞｰﾄﾞﾏﾝ　規制材</v>
      </c>
      <c r="F40" s="38" t="str">
        <f>TRIM(データ!G37)</f>
        <v>式</v>
      </c>
      <c r="G40" s="50">
        <f>データ!H37</f>
        <v>1</v>
      </c>
      <c r="H40" s="48">
        <f>データ!I37</f>
        <v>81000</v>
      </c>
      <c r="I40" s="48">
        <f>データ!J37</f>
        <v>81000</v>
      </c>
      <c r="J40" s="39">
        <f>IF(OR($C40="総括",$C40="内訳書",$C40="内訳代価",$C40="明細書",$C40="明細代価",$C40="代価表",$C40="単価表"),データ!K37,"")</f>
        <v>1</v>
      </c>
      <c r="K40" s="11" t="str">
        <f t="shared" si="0"/>
        <v/>
      </c>
      <c r="L40" s="46">
        <f t="shared" si="1"/>
        <v>1.9720312408702256E-2</v>
      </c>
      <c r="M40" s="40" t="str">
        <f>IF(データ!L37="","",データ!L37)</f>
        <v/>
      </c>
      <c r="N40" s="41" t="str">
        <f>IF(データ!M37="","",データ!M37)</f>
        <v>19号内訳書</v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>
        <f>IF(OR($C40="総括",$C40="内訳書",$C40="内訳代価",$C40="明細書",$C40="明細代価",$C40="代価表",$C40="単価表"),データ!Q37,"")</f>
        <v>0</v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>
        <f>IF(OR($C40="総括",$C40="内訳書",$C40="内訳代価",$C40="明細書",$C40="明細代価",$C40="代価表",$C40="単価表"),データ!W37,"")</f>
        <v>0</v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>04650001</v>
      </c>
      <c r="C41" s="47" t="str">
        <f>TRIM(データ!D38)</f>
        <v>外注費</v>
      </c>
      <c r="D41" s="36" t="str">
        <f>REPT("｜",$A41)&amp;TRIM(データ!E38)</f>
        <v>｜｜ｶﾞｰﾄﾞﾏﾝ</v>
      </c>
      <c r="E41" s="37" t="str">
        <f>TRIM(データ!F38)</f>
        <v/>
      </c>
      <c r="F41" s="38" t="str">
        <f>TRIM(データ!G38)</f>
        <v>人</v>
      </c>
      <c r="G41" s="50">
        <f>データ!H38</f>
        <v>2</v>
      </c>
      <c r="H41" s="48">
        <f>データ!I38</f>
        <v>18000</v>
      </c>
      <c r="I41" s="48">
        <f>データ!J38</f>
        <v>36000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8.764583292756558E-3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>04650001</v>
      </c>
      <c r="C42" s="47" t="str">
        <f>TRIM(データ!D39)</f>
        <v>外注費</v>
      </c>
      <c r="D42" s="36" t="str">
        <f>REPT("｜",$A42)&amp;TRIM(データ!E39)</f>
        <v>｜｜規制材</v>
      </c>
      <c r="E42" s="37" t="str">
        <f>TRIM(データ!F39)</f>
        <v/>
      </c>
      <c r="F42" s="38" t="str">
        <f>TRIM(データ!G39)</f>
        <v>式</v>
      </c>
      <c r="G42" s="50">
        <f>データ!H39</f>
        <v>1</v>
      </c>
      <c r="H42" s="48">
        <f>データ!I39</f>
        <v>15000</v>
      </c>
      <c r="I42" s="48">
        <f>データ!J39</f>
        <v>15000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3.6519097053152329E-3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>04650001</v>
      </c>
      <c r="C43" s="47" t="str">
        <f>TRIM(データ!D40)</f>
        <v>運搬費</v>
      </c>
      <c r="D43" s="36" t="str">
        <f>REPT("｜",$A43)&amp;TRIM(データ!E40)</f>
        <v>｜｜軽トラ</v>
      </c>
      <c r="E43" s="37" t="str">
        <f>TRIM(データ!F40)</f>
        <v/>
      </c>
      <c r="F43" s="38" t="str">
        <f>TRIM(データ!G40)</f>
        <v>台</v>
      </c>
      <c r="G43" s="50">
        <f>データ!H40</f>
        <v>3</v>
      </c>
      <c r="H43" s="48">
        <f>データ!I40</f>
        <v>10000</v>
      </c>
      <c r="I43" s="48">
        <f>データ!J40</f>
        <v>30000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7.3038194106304659E-3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1</v>
      </c>
      <c r="B44" s="47" t="str">
        <f>TRIM(データ!C41)</f>
        <v>02230005</v>
      </c>
      <c r="C44" s="47" t="str">
        <f>TRIM(データ!D41)</f>
        <v>内訳書</v>
      </c>
      <c r="D44" s="36" t="str">
        <f>REPT("｜",$A44)&amp;TRIM(データ!E41)</f>
        <v>｜外注工</v>
      </c>
      <c r="E44" s="37" t="str">
        <f>TRIM(データ!F41)</f>
        <v>法定福利費　外注経費</v>
      </c>
      <c r="F44" s="38" t="str">
        <f>TRIM(データ!G41)</f>
        <v>式</v>
      </c>
      <c r="G44" s="50">
        <f>データ!H41</f>
        <v>1</v>
      </c>
      <c r="H44" s="48">
        <f>データ!I41</f>
        <v>122000</v>
      </c>
      <c r="I44" s="48">
        <f>データ!J41</f>
        <v>122000</v>
      </c>
      <c r="J44" s="39">
        <f>IF(OR($C44="総括",$C44="内訳書",$C44="内訳代価",$C44="明細書",$C44="明細代価",$C44="代価表",$C44="単価表"),データ!K41,"")</f>
        <v>1</v>
      </c>
      <c r="K44" s="11" t="str">
        <f t="shared" si="0"/>
        <v/>
      </c>
      <c r="L44" s="46">
        <f t="shared" si="1"/>
        <v>2.9702198936563895E-2</v>
      </c>
      <c r="M44" s="40" t="str">
        <f>IF(データ!L41="","",データ!L41)</f>
        <v/>
      </c>
      <c r="N44" s="41" t="str">
        <f>IF(データ!M41="","",データ!M41)</f>
        <v>20号内訳書</v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>
        <f>IF(OR($C44="総括",$C44="内訳書",$C44="内訳代価",$C44="明細書",$C44="明細代価",$C44="代価表",$C44="単価表"),データ!Q41,"")</f>
        <v>0</v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>
        <f>IF(OR($C44="総括",$C44="内訳書",$C44="内訳代価",$C44="明細書",$C44="明細代価",$C44="代価表",$C44="単価表"),データ!W41,"")</f>
        <v>0</v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>02230005</v>
      </c>
      <c r="C45" s="47" t="str">
        <f>TRIM(データ!D42)</f>
        <v>外注費</v>
      </c>
      <c r="D45" s="36" t="str">
        <f>REPT("｜",$A45)&amp;TRIM(データ!E42)</f>
        <v>｜｜外注経費</v>
      </c>
      <c r="E45" s="37" t="str">
        <f>TRIM(データ!F42)</f>
        <v>労務＋機械*0.8%</v>
      </c>
      <c r="F45" s="38" t="str">
        <f>TRIM(データ!G42)</f>
        <v>式</v>
      </c>
      <c r="G45" s="50">
        <f>データ!H42</f>
        <v>1</v>
      </c>
      <c r="H45" s="48">
        <f>データ!I42</f>
        <v>48000</v>
      </c>
      <c r="I45" s="48">
        <f>データ!J42</f>
        <v>48000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1.1686111057008746E-2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>02230005</v>
      </c>
      <c r="C46" s="47" t="str">
        <f>TRIM(データ!D43)</f>
        <v>外注費</v>
      </c>
      <c r="D46" s="36" t="str">
        <f>REPT("｜",$A46)&amp;TRIM(データ!E43)</f>
        <v>｜｜法定福利費</v>
      </c>
      <c r="E46" s="37" t="str">
        <f>TRIM(データ!F43)</f>
        <v>労務*16％</v>
      </c>
      <c r="F46" s="38" t="str">
        <f>TRIM(データ!G43)</f>
        <v>式</v>
      </c>
      <c r="G46" s="50">
        <f>データ!H43</f>
        <v>1</v>
      </c>
      <c r="H46" s="48">
        <f>データ!I43</f>
        <v>74000</v>
      </c>
      <c r="I46" s="48">
        <f>データ!J43</f>
        <v>74000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1.8016087879555148E-2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1</v>
      </c>
      <c r="B47" s="47" t="str">
        <f>TRIM(データ!C44)</f>
        <v/>
      </c>
      <c r="C47" s="47" t="str">
        <f>TRIM(データ!D44)</f>
        <v>内訳書</v>
      </c>
      <c r="D47" s="36" t="str">
        <f>REPT("｜",$A47)&amp;TRIM(データ!E44)</f>
        <v>｜撤去・路盤②</v>
      </c>
      <c r="E47" s="37" t="str">
        <f>TRIM(データ!F44)</f>
        <v>既設As15㎝　RC10㎝</v>
      </c>
      <c r="F47" s="38" t="str">
        <f>TRIM(データ!G44)</f>
        <v>m2</v>
      </c>
      <c r="G47" s="50">
        <f>データ!H44</f>
        <v>500</v>
      </c>
      <c r="H47" s="48">
        <f>データ!I44</f>
        <v>951.2</v>
      </c>
      <c r="I47" s="48">
        <f>データ!J44</f>
        <v>475600</v>
      </c>
      <c r="J47" s="39">
        <f>IF(OR($C47="総括",$C47="内訳書",$C47="内訳代価",$C47="明細書",$C47="明細代価",$C47="代価表",$C47="単価表"),データ!K44,"")</f>
        <v>500</v>
      </c>
      <c r="K47" s="11" t="str">
        <f t="shared" si="0"/>
        <v/>
      </c>
      <c r="L47" s="46">
        <f t="shared" si="1"/>
        <v>0.11578988372319499</v>
      </c>
      <c r="M47" s="40" t="str">
        <f>IF(データ!L44="","",データ!L44)</f>
        <v/>
      </c>
      <c r="N47" s="41" t="str">
        <f>IF(データ!M44="","",データ!M44)</f>
        <v>21号内訳書</v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>
        <f>IF(OR($C47="総括",$C47="内訳書",$C47="内訳代価",$C47="明細書",$C47="明細代価",$C47="代価表",$C47="単価表"),データ!Q44,"")</f>
        <v>0</v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>
        <f>IF(OR($C47="総括",$C47="内訳書",$C47="内訳代価",$C47="明細書",$C47="明細代価",$C47="代価表",$C47="単価表"),データ!W44,"")</f>
        <v>0</v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材料費</v>
      </c>
      <c r="D48" s="36" t="str">
        <f>REPT("｜",$A48)&amp;TRIM(データ!E45)</f>
        <v>｜｜軽油</v>
      </c>
      <c r="E48" s="37" t="str">
        <f>TRIM(データ!F45)</f>
        <v/>
      </c>
      <c r="F48" s="38" t="str">
        <f>TRIM(データ!G45)</f>
        <v>L</v>
      </c>
      <c r="G48" s="50">
        <f>データ!H45</f>
        <v>40</v>
      </c>
      <c r="H48" s="48">
        <f>データ!I45</f>
        <v>180</v>
      </c>
      <c r="I48" s="48">
        <f>データ!J45</f>
        <v>7200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1.7529166585513118E-3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材料費</v>
      </c>
      <c r="D49" s="36" t="str">
        <f>REPT("｜",$A49)&amp;TRIM(データ!E46)</f>
        <v>｜｜ガソリン</v>
      </c>
      <c r="E49" s="37" t="str">
        <f>TRIM(データ!F46)</f>
        <v/>
      </c>
      <c r="F49" s="38" t="str">
        <f>TRIM(データ!G46)</f>
        <v>L</v>
      </c>
      <c r="G49" s="50">
        <f>データ!H46</f>
        <v>10</v>
      </c>
      <c r="H49" s="48">
        <f>データ!I46</f>
        <v>200</v>
      </c>
      <c r="I49" s="48">
        <f>データ!J46</f>
        <v>2000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4.8692129404203104E-4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材料費</v>
      </c>
      <c r="D50" s="36" t="str">
        <f>REPT("｜",$A50)&amp;TRIM(データ!E47)</f>
        <v>｜｜RM-30</v>
      </c>
      <c r="E50" s="37" t="str">
        <f>TRIM(データ!F47)</f>
        <v/>
      </c>
      <c r="F50" s="38" t="str">
        <f>TRIM(データ!G47)</f>
        <v>m3</v>
      </c>
      <c r="G50" s="50">
        <f>データ!H47</f>
        <v>25</v>
      </c>
      <c r="H50" s="48">
        <f>データ!I47</f>
        <v>1000</v>
      </c>
      <c r="I50" s="48">
        <f>データ!J47</f>
        <v>25000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6.0865161755253878E-3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>200m2×10㎝</v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材料費</v>
      </c>
      <c r="D51" s="36" t="str">
        <f>REPT("｜",$A51)&amp;TRIM(データ!E48)</f>
        <v>｜｜R密粒13㎜</v>
      </c>
      <c r="E51" s="37" t="str">
        <f>TRIM(データ!F48)</f>
        <v/>
      </c>
      <c r="F51" s="38" t="str">
        <f>TRIM(データ!G48)</f>
        <v>t</v>
      </c>
      <c r="G51" s="50">
        <f>データ!H48</f>
        <v>3</v>
      </c>
      <c r="H51" s="48">
        <f>データ!I48</f>
        <v>10000</v>
      </c>
      <c r="I51" s="48">
        <f>データ!J48</f>
        <v>30000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7.3038194106304659E-3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労務費</v>
      </c>
      <c r="D52" s="36" t="str">
        <f>REPT("｜",$A52)&amp;TRIM(データ!E49)</f>
        <v>｜｜舗装工</v>
      </c>
      <c r="E52" s="37" t="str">
        <f>TRIM(データ!F49)</f>
        <v/>
      </c>
      <c r="F52" s="38" t="str">
        <f>TRIM(データ!G49)</f>
        <v>人</v>
      </c>
      <c r="G52" s="50">
        <f>データ!H49</f>
        <v>8</v>
      </c>
      <c r="H52" s="48">
        <f>データ!I49</f>
        <v>23000</v>
      </c>
      <c r="I52" s="48">
        <f>データ!J49</f>
        <v>184000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4.4796759051866857E-2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｜｜0.25m3BH</v>
      </c>
      <c r="E53" s="37" t="str">
        <f>TRIM(データ!F50)</f>
        <v/>
      </c>
      <c r="F53" s="38" t="str">
        <f>TRIM(データ!G50)</f>
        <v>台</v>
      </c>
      <c r="G53" s="50">
        <f>データ!H50</f>
        <v>1</v>
      </c>
      <c r="H53" s="48">
        <f>データ!I50</f>
        <v>11000</v>
      </c>
      <c r="I53" s="48">
        <f>データ!J50</f>
        <v>11000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2.6780671172311706E-3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機械費</v>
      </c>
      <c r="D54" s="36" t="str">
        <f>REPT("｜",$A54)&amp;TRIM(データ!E51)</f>
        <v>｜｜0.15m3BH</v>
      </c>
      <c r="E54" s="37" t="str">
        <f>TRIM(データ!F51)</f>
        <v/>
      </c>
      <c r="F54" s="38" t="str">
        <f>TRIM(データ!G51)</f>
        <v>台</v>
      </c>
      <c r="G54" s="50">
        <f>データ!H51</f>
        <v>1</v>
      </c>
      <c r="H54" s="48">
        <f>データ!I51</f>
        <v>8500</v>
      </c>
      <c r="I54" s="48">
        <f>データ!J51</f>
        <v>8500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2.069415499678632E-3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機械費</v>
      </c>
      <c r="D55" s="36" t="str">
        <f>REPT("｜",$A55)&amp;TRIM(データ!E52)</f>
        <v>｜｜0.5m3ﾀｲﾔｼｮﾍﾞﾙ</v>
      </c>
      <c r="E55" s="37" t="str">
        <f>TRIM(データ!F52)</f>
        <v/>
      </c>
      <c r="F55" s="38" t="str">
        <f>TRIM(データ!G52)</f>
        <v>台</v>
      </c>
      <c r="G55" s="50">
        <f>データ!H52</f>
        <v>1</v>
      </c>
      <c r="H55" s="48">
        <f>データ!I52</f>
        <v>7500</v>
      </c>
      <c r="I55" s="48">
        <f>データ!J52</f>
        <v>7500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1.8259548526576165E-3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機械費</v>
      </c>
      <c r="D56" s="36" t="str">
        <f>REPT("｜",$A56)&amp;TRIM(データ!E53)</f>
        <v>｜｜4tｺﾝﾊﾞｲﾝﾄﾞﾛｰﾗｰ</v>
      </c>
      <c r="E56" s="37" t="str">
        <f>TRIM(データ!F53)</f>
        <v/>
      </c>
      <c r="F56" s="38" t="str">
        <f>TRIM(データ!G53)</f>
        <v>台</v>
      </c>
      <c r="G56" s="50">
        <f>データ!H53</f>
        <v>1</v>
      </c>
      <c r="H56" s="48">
        <f>データ!I53</f>
        <v>7500</v>
      </c>
      <c r="I56" s="48">
        <f>データ!J53</f>
        <v>7500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1.8259548526576165E-3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機械費</v>
      </c>
      <c r="D57" s="36" t="str">
        <f>REPT("｜",$A57)&amp;TRIM(データ!E54)</f>
        <v>｜｜3tﾀｲﾔﾛｰﾗｰ</v>
      </c>
      <c r="E57" s="37" t="str">
        <f>TRIM(データ!F54)</f>
        <v/>
      </c>
      <c r="F57" s="38" t="str">
        <f>TRIM(データ!G54)</f>
        <v>台</v>
      </c>
      <c r="G57" s="50">
        <f>データ!H54</f>
        <v>1</v>
      </c>
      <c r="H57" s="48">
        <f>データ!I54</f>
        <v>7500</v>
      </c>
      <c r="I57" s="48">
        <f>データ!J54</f>
        <v>7500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1.8259548526576165E-3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機械費</v>
      </c>
      <c r="D58" s="36" t="str">
        <f>REPT("｜",$A58)&amp;TRIM(データ!E55)</f>
        <v>｜｜舗装版ｶｯﾀｰ</v>
      </c>
      <c r="E58" s="37" t="str">
        <f>TRIM(データ!F55)</f>
        <v/>
      </c>
      <c r="F58" s="38" t="str">
        <f>TRIM(データ!G55)</f>
        <v>台</v>
      </c>
      <c r="G58" s="50">
        <f>データ!H55</f>
        <v>1</v>
      </c>
      <c r="H58" s="48">
        <f>データ!I55</f>
        <v>3000</v>
      </c>
      <c r="I58" s="48">
        <f>データ!J55</f>
        <v>3000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7.3038194106304661E-4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機械費</v>
      </c>
      <c r="D59" s="36" t="str">
        <f>REPT("｜",$A59)&amp;TRIM(データ!E56)</f>
        <v>｜｜小物機械</v>
      </c>
      <c r="E59" s="37" t="str">
        <f>TRIM(データ!F56)</f>
        <v/>
      </c>
      <c r="F59" s="38" t="str">
        <f>TRIM(データ!G56)</f>
        <v>台</v>
      </c>
      <c r="G59" s="50">
        <f>データ!H56</f>
        <v>1</v>
      </c>
      <c r="H59" s="48">
        <f>データ!I56</f>
        <v>5000</v>
      </c>
      <c r="I59" s="48">
        <f>データ!J56</f>
        <v>5000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1.2173032351050776E-3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運搬費</v>
      </c>
      <c r="D60" s="36" t="str">
        <f>REPT("｜",$A60)&amp;TRIM(データ!E57)</f>
        <v>｜｜As殻処理費</v>
      </c>
      <c r="E60" s="37" t="str">
        <f>TRIM(データ!F57)</f>
        <v/>
      </c>
      <c r="F60" s="38" t="str">
        <f>TRIM(データ!G57)</f>
        <v>t</v>
      </c>
      <c r="G60" s="50">
        <f>データ!H57</f>
        <v>59</v>
      </c>
      <c r="H60" s="48">
        <f>データ!I57</f>
        <v>400</v>
      </c>
      <c r="I60" s="48">
        <f>データ!J57</f>
        <v>23600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5.745671269695966E-3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>500m2*50mm</v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運搬費</v>
      </c>
      <c r="D61" s="36" t="str">
        <f>REPT("｜",$A61)&amp;TRIM(データ!E58)</f>
        <v>｜｜As殻処理費</v>
      </c>
      <c r="E61" s="37" t="str">
        <f>TRIM(データ!F58)</f>
        <v/>
      </c>
      <c r="F61" s="38" t="str">
        <f>TRIM(データ!G58)</f>
        <v>ｔ</v>
      </c>
      <c r="G61" s="50">
        <f>データ!H58</f>
        <v>47</v>
      </c>
      <c r="H61" s="48">
        <f>データ!I58</f>
        <v>400</v>
      </c>
      <c r="I61" s="48">
        <f>データ!J58</f>
        <v>18800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4.5770601639950918E-3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>200m2*100mm</v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運搬費</v>
      </c>
      <c r="D62" s="36" t="str">
        <f>REPT("｜",$A62)&amp;TRIM(データ!E59)</f>
        <v>｜｜8tダンプ</v>
      </c>
      <c r="E62" s="37" t="str">
        <f>TRIM(データ!F59)</f>
        <v/>
      </c>
      <c r="F62" s="38" t="str">
        <f>TRIM(データ!G59)</f>
        <v>台</v>
      </c>
      <c r="G62" s="50">
        <f>データ!H59</f>
        <v>3</v>
      </c>
      <c r="H62" s="48">
        <f>データ!I59</f>
        <v>40000</v>
      </c>
      <c r="I62" s="48">
        <f>データ!J59</f>
        <v>120000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2.9215277642521863E-2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運搬費</v>
      </c>
      <c r="D63" s="36" t="str">
        <f>REPT("｜",$A63)&amp;TRIM(データ!E60)</f>
        <v>｜｜2tダンプ</v>
      </c>
      <c r="E63" s="37" t="str">
        <f>TRIM(データ!F60)</f>
        <v/>
      </c>
      <c r="F63" s="38" t="str">
        <f>TRIM(データ!G60)</f>
        <v>台</v>
      </c>
      <c r="G63" s="50">
        <f>データ!H60</f>
        <v>1</v>
      </c>
      <c r="H63" s="48">
        <f>データ!I60</f>
        <v>7000</v>
      </c>
      <c r="I63" s="48">
        <f>データ!J60</f>
        <v>7000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1.7042245291471086E-3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運搬費</v>
      </c>
      <c r="D64" s="36" t="str">
        <f>REPT("｜",$A64)&amp;TRIM(データ!E61)</f>
        <v>｜｜WP</v>
      </c>
      <c r="E64" s="37" t="str">
        <f>TRIM(データ!F61)</f>
        <v/>
      </c>
      <c r="F64" s="38" t="str">
        <f>TRIM(データ!G61)</f>
        <v>台</v>
      </c>
      <c r="G64" s="50">
        <f>データ!H61</f>
        <v>1</v>
      </c>
      <c r="H64" s="48">
        <f>データ!I61</f>
        <v>8000</v>
      </c>
      <c r="I64" s="48">
        <f>データ!J61</f>
        <v>8000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1.9476851761681241E-3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1</v>
      </c>
      <c r="B65" s="47" t="str">
        <f>TRIM(データ!C62)</f>
        <v/>
      </c>
      <c r="C65" s="47" t="str">
        <f>TRIM(データ!D62)</f>
        <v>内訳書</v>
      </c>
      <c r="D65" s="36" t="str">
        <f>REPT("｜",$A65)&amp;TRIM(データ!E62)</f>
        <v>｜表層②</v>
      </c>
      <c r="E65" s="37" t="str">
        <f>TRIM(データ!F62)</f>
        <v>t＝50　ハンプ2ヵ所</v>
      </c>
      <c r="F65" s="38" t="str">
        <f>TRIM(データ!G62)</f>
        <v>m2</v>
      </c>
      <c r="G65" s="50">
        <f>データ!H62</f>
        <v>500</v>
      </c>
      <c r="H65" s="48">
        <f>データ!I62</f>
        <v>2107.4</v>
      </c>
      <c r="I65" s="48">
        <f>データ!J62</f>
        <v>1053700</v>
      </c>
      <c r="J65" s="39">
        <f>IF(OR($C65="総括",$C65="内訳書",$C65="内訳代価",$C65="明細書",$C65="明細代価",$C65="代価表",$C65="単価表"),データ!K62,"")</f>
        <v>500</v>
      </c>
      <c r="K65" s="11" t="str">
        <f t="shared" si="0"/>
        <v/>
      </c>
      <c r="L65" s="46">
        <f t="shared" si="1"/>
        <v>0.25653448376604404</v>
      </c>
      <c r="M65" s="40" t="str">
        <f>IF(データ!L62="","",データ!L62)</f>
        <v/>
      </c>
      <c r="N65" s="41" t="str">
        <f>IF(データ!M62="","",データ!M62)</f>
        <v>22号内訳書</v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>
        <f>IF(OR($C65="総括",$C65="内訳書",$C65="内訳代価",$C65="明細書",$C65="明細代価",$C65="代価表",$C65="単価表"),データ!Q62,"")</f>
        <v>0</v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>
        <f>IF(OR($C65="総括",$C65="内訳書",$C65="内訳代価",$C65="明細書",$C65="明細代価",$C65="代価表",$C65="単価表"),データ!W62,"")</f>
        <v>0</v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材料費</v>
      </c>
      <c r="D66" s="36" t="str">
        <f>REPT("｜",$A66)&amp;TRIM(データ!E63)</f>
        <v>｜｜軽油</v>
      </c>
      <c r="E66" s="37" t="str">
        <f>TRIM(データ!F63)</f>
        <v/>
      </c>
      <c r="F66" s="38" t="str">
        <f>TRIM(データ!G63)</f>
        <v>L</v>
      </c>
      <c r="G66" s="50">
        <f>データ!H63</f>
        <v>40</v>
      </c>
      <c r="H66" s="48">
        <f>データ!I63</f>
        <v>180</v>
      </c>
      <c r="I66" s="48">
        <f>データ!J63</f>
        <v>7200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1.7529166585513118E-3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材料費</v>
      </c>
      <c r="D67" s="36" t="str">
        <f>REPT("｜",$A67)&amp;TRIM(データ!E64)</f>
        <v>｜｜ガソリン</v>
      </c>
      <c r="E67" s="37" t="str">
        <f>TRIM(データ!F64)</f>
        <v/>
      </c>
      <c r="F67" s="38" t="str">
        <f>TRIM(データ!G64)</f>
        <v>L</v>
      </c>
      <c r="G67" s="50">
        <f>データ!H64</f>
        <v>10</v>
      </c>
      <c r="H67" s="48">
        <f>データ!I64</f>
        <v>200</v>
      </c>
      <c r="I67" s="48">
        <f>データ!J64</f>
        <v>2000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4.8692129404203104E-4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材料費</v>
      </c>
      <c r="D68" s="36" t="str">
        <f>REPT("｜",$A68)&amp;TRIM(データ!E65)</f>
        <v>｜｜V密粒13㎜</v>
      </c>
      <c r="E68" s="37" t="str">
        <f>TRIM(データ!F65)</f>
        <v/>
      </c>
      <c r="F68" s="38" t="str">
        <f>TRIM(データ!G65)</f>
        <v>ｔ</v>
      </c>
      <c r="G68" s="50">
        <f>データ!H65</f>
        <v>18</v>
      </c>
      <c r="H68" s="48">
        <f>データ!I65</f>
        <v>12700</v>
      </c>
      <c r="I68" s="48">
        <f>データ!J65</f>
        <v>228600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5.5655103909004147E-2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>8t配達</v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材料費</v>
      </c>
      <c r="D69" s="36" t="str">
        <f>REPT("｜",$A69)&amp;TRIM(データ!E66)</f>
        <v>｜｜R密粒13㎜</v>
      </c>
      <c r="E69" s="37" t="str">
        <f>TRIM(データ!F66)</f>
        <v/>
      </c>
      <c r="F69" s="38" t="str">
        <f>TRIM(データ!G66)</f>
        <v>ｔ</v>
      </c>
      <c r="G69" s="50">
        <f>データ!H66</f>
        <v>33</v>
      </c>
      <c r="H69" s="48">
        <f>データ!I66</f>
        <v>11200</v>
      </c>
      <c r="I69" s="48">
        <f>データ!J66</f>
        <v>369600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95" si="6">IF(OR(J69="",G69=J69),"","*")</f>
        <v/>
      </c>
      <c r="L69" s="46">
        <f t="shared" ref="L69:L95" si="7">IF($A69&lt;=L$1,I69/I$4,"")</f>
        <v>8.9983055138967344E-2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95" si="8">IF(OR(R69="",O69=R69),"","*")</f>
        <v/>
      </c>
      <c r="T69" s="46" t="e">
        <f t="shared" ref="T69:T95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95" si="10">IF(OR(Z69="",W69=Z69),"","*")</f>
        <v/>
      </c>
      <c r="AB69" s="46" t="e">
        <f t="shared" ref="AB69:AB95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>8t配達</v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材料費</v>
      </c>
      <c r="D70" s="36" t="str">
        <f>REPT("｜",$A70)&amp;TRIM(データ!E67)</f>
        <v>｜｜V細粒</v>
      </c>
      <c r="E70" s="37" t="str">
        <f>TRIM(データ!F67)</f>
        <v/>
      </c>
      <c r="F70" s="38" t="str">
        <f>TRIM(データ!G67)</f>
        <v>ｔ</v>
      </c>
      <c r="G70" s="50">
        <f>データ!H67</f>
        <v>3</v>
      </c>
      <c r="H70" s="48">
        <f>データ!I67</f>
        <v>13100</v>
      </c>
      <c r="I70" s="48">
        <f>データ!J67</f>
        <v>39300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9.5680034279259103E-3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>8配達</v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材料費</v>
      </c>
      <c r="D71" s="36" t="str">
        <f>REPT("｜",$A71)&amp;TRIM(データ!E68)</f>
        <v>｜｜PK-3</v>
      </c>
      <c r="E71" s="37" t="str">
        <f>TRIM(データ!F68)</f>
        <v/>
      </c>
      <c r="F71" s="38" t="str">
        <f>TRIM(データ!G68)</f>
        <v>本</v>
      </c>
      <c r="G71" s="50">
        <f>データ!H68</f>
        <v>1</v>
      </c>
      <c r="H71" s="48">
        <f>データ!I68</f>
        <v>20000</v>
      </c>
      <c r="I71" s="48">
        <f>データ!J68</f>
        <v>20000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4.8692129404203106E-3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>ﾄﾞﾗﾑ</v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材料費</v>
      </c>
      <c r="D72" s="36" t="str">
        <f>REPT("｜",$A72)&amp;TRIM(データ!E69)</f>
        <v>｜｜養生砂</v>
      </c>
      <c r="E72" s="37" t="str">
        <f>TRIM(データ!F69)</f>
        <v/>
      </c>
      <c r="F72" s="38" t="str">
        <f>TRIM(データ!G69)</f>
        <v>m3</v>
      </c>
      <c r="G72" s="50">
        <f>データ!H69</f>
        <v>0.5</v>
      </c>
      <c r="H72" s="48">
        <f>データ!I69</f>
        <v>6000</v>
      </c>
      <c r="I72" s="48">
        <f>データ!J69</f>
        <v>3000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7.3038194106304661E-4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材料費</v>
      </c>
      <c r="D73" s="36" t="str">
        <f>REPT("｜",$A73)&amp;TRIM(データ!E70)</f>
        <v>｜｜ハンプ型枠</v>
      </c>
      <c r="E73" s="37" t="str">
        <f>TRIM(データ!F70)</f>
        <v/>
      </c>
      <c r="F73" s="38" t="str">
        <f>TRIM(データ!G70)</f>
        <v>式</v>
      </c>
      <c r="G73" s="50">
        <f>データ!H70</f>
        <v>1</v>
      </c>
      <c r="H73" s="48">
        <f>データ!I70</f>
        <v>5000</v>
      </c>
      <c r="I73" s="48">
        <f>データ!J70</f>
        <v>5000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1.2173032351050776E-3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材料費</v>
      </c>
      <c r="D74" s="36" t="str">
        <f>REPT("｜",$A74)&amp;TRIM(データ!E71)</f>
        <v>｜｜型枠定規</v>
      </c>
      <c r="E74" s="37" t="str">
        <f>TRIM(データ!F71)</f>
        <v/>
      </c>
      <c r="F74" s="38" t="str">
        <f>TRIM(データ!G71)</f>
        <v>本</v>
      </c>
      <c r="G74" s="50">
        <f>データ!H71</f>
        <v>5</v>
      </c>
      <c r="H74" s="48">
        <f>データ!I71</f>
        <v>3000</v>
      </c>
      <c r="I74" s="48">
        <f>データ!J71</f>
        <v>15000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3.6519097053152329E-3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材料費</v>
      </c>
      <c r="D75" s="36" t="str">
        <f>REPT("｜",$A75)&amp;TRIM(データ!E72)</f>
        <v>｜｜舗装工</v>
      </c>
      <c r="E75" s="37" t="str">
        <f>TRIM(データ!F72)</f>
        <v/>
      </c>
      <c r="F75" s="38" t="str">
        <f>TRIM(データ!G72)</f>
        <v>人</v>
      </c>
      <c r="G75" s="50">
        <f>データ!H72</f>
        <v>10</v>
      </c>
      <c r="H75" s="48">
        <f>データ!I72</f>
        <v>23000</v>
      </c>
      <c r="I75" s="48">
        <f>データ!J72</f>
        <v>230000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5.5995948814833572E-2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機械費</v>
      </c>
      <c r="D76" s="36" t="str">
        <f>REPT("｜",$A76)&amp;TRIM(データ!E73)</f>
        <v>｜｜AF4.0ｍ</v>
      </c>
      <c r="E76" s="37" t="str">
        <f>TRIM(データ!F73)</f>
        <v/>
      </c>
      <c r="F76" s="38" t="str">
        <f>TRIM(データ!G73)</f>
        <v>台</v>
      </c>
      <c r="G76" s="50">
        <f>データ!H73</f>
        <v>1</v>
      </c>
      <c r="H76" s="48">
        <f>データ!I73</f>
        <v>80000</v>
      </c>
      <c r="I76" s="48">
        <f>データ!J73</f>
        <v>80000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1.9476851761681242E-2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>OP付き</v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機械費</v>
      </c>
      <c r="D77" s="36" t="str">
        <f>REPT("｜",$A77)&amp;TRIM(データ!E74)</f>
        <v>｜｜0.15m3BH</v>
      </c>
      <c r="E77" s="37" t="str">
        <f>TRIM(データ!F74)</f>
        <v/>
      </c>
      <c r="F77" s="38" t="str">
        <f>TRIM(データ!G74)</f>
        <v>台</v>
      </c>
      <c r="G77" s="50">
        <f>データ!H74</f>
        <v>1</v>
      </c>
      <c r="H77" s="48">
        <f>データ!I74</f>
        <v>8500</v>
      </c>
      <c r="I77" s="48">
        <f>データ!J74</f>
        <v>8500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2.069415499678632E-3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機械費</v>
      </c>
      <c r="D78" s="36" t="str">
        <f>REPT("｜",$A78)&amp;TRIM(データ!E75)</f>
        <v>｜｜4tｺﾝﾊﾞｲﾝﾄﾞﾛｰﾗｰ</v>
      </c>
      <c r="E78" s="37" t="str">
        <f>TRIM(データ!F75)</f>
        <v/>
      </c>
      <c r="F78" s="38" t="str">
        <f>TRIM(データ!G75)</f>
        <v>台</v>
      </c>
      <c r="G78" s="50">
        <f>データ!H75</f>
        <v>1</v>
      </c>
      <c r="H78" s="48">
        <f>データ!I75</f>
        <v>7500</v>
      </c>
      <c r="I78" s="48">
        <f>データ!J75</f>
        <v>7500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1.8259548526576165E-3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機械費</v>
      </c>
      <c r="D79" s="36" t="str">
        <f>REPT("｜",$A79)&amp;TRIM(データ!E76)</f>
        <v>｜｜3tﾀｲﾔﾛｰﾗｰ</v>
      </c>
      <c r="E79" s="37" t="str">
        <f>TRIM(データ!F76)</f>
        <v/>
      </c>
      <c r="F79" s="38" t="str">
        <f>TRIM(データ!G76)</f>
        <v>台</v>
      </c>
      <c r="G79" s="50">
        <f>データ!H76</f>
        <v>1</v>
      </c>
      <c r="H79" s="48">
        <f>データ!I76</f>
        <v>7500</v>
      </c>
      <c r="I79" s="48">
        <f>データ!J76</f>
        <v>7500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1.8259548526576165E-3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機械費</v>
      </c>
      <c r="D80" s="36" t="str">
        <f>REPT("｜",$A80)&amp;TRIM(データ!E77)</f>
        <v>｜｜0.5m3ﾀｲﾔｼｮﾍﾞﾙ</v>
      </c>
      <c r="E80" s="37" t="str">
        <f>TRIM(データ!F77)</f>
        <v/>
      </c>
      <c r="F80" s="38" t="str">
        <f>TRIM(データ!G77)</f>
        <v>台</v>
      </c>
      <c r="G80" s="50">
        <f>データ!H77</f>
        <v>1</v>
      </c>
      <c r="H80" s="48">
        <f>データ!I77</f>
        <v>7500</v>
      </c>
      <c r="I80" s="48">
        <f>データ!J77</f>
        <v>7500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1.8259548526576165E-3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機械費</v>
      </c>
      <c r="D81" s="36" t="str">
        <f>REPT("｜",$A81)&amp;TRIM(データ!E78)</f>
        <v>｜｜ｽﾌﾟﾚｰﾔｰ</v>
      </c>
      <c r="E81" s="37" t="str">
        <f>TRIM(データ!F78)</f>
        <v/>
      </c>
      <c r="F81" s="38" t="str">
        <f>TRIM(データ!G78)</f>
        <v>台</v>
      </c>
      <c r="G81" s="50">
        <f>データ!H78</f>
        <v>1</v>
      </c>
      <c r="H81" s="48">
        <f>データ!I78</f>
        <v>3000</v>
      </c>
      <c r="I81" s="48">
        <f>データ!J78</f>
        <v>3000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7.3038194106304661E-4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｜｜小物機械</v>
      </c>
      <c r="E82" s="37" t="str">
        <f>TRIM(データ!F79)</f>
        <v/>
      </c>
      <c r="F82" s="38" t="str">
        <f>TRIM(データ!G79)</f>
        <v>台</v>
      </c>
      <c r="G82" s="50">
        <f>データ!H79</f>
        <v>1</v>
      </c>
      <c r="H82" s="48">
        <f>データ!I79</f>
        <v>5000</v>
      </c>
      <c r="I82" s="48">
        <f>データ!J79</f>
        <v>5000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1.2173032351050776E-3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運搬費</v>
      </c>
      <c r="D83" s="36" t="str">
        <f>REPT("｜",$A83)&amp;TRIM(データ!E80)</f>
        <v>｜｜2tダンプ</v>
      </c>
      <c r="E83" s="37" t="str">
        <f>TRIM(データ!F80)</f>
        <v/>
      </c>
      <c r="F83" s="38" t="str">
        <f>TRIM(データ!G80)</f>
        <v>台</v>
      </c>
      <c r="G83" s="50">
        <f>データ!H80</f>
        <v>1</v>
      </c>
      <c r="H83" s="48">
        <f>データ!I80</f>
        <v>7000</v>
      </c>
      <c r="I83" s="48">
        <f>データ!J80</f>
        <v>7000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1.7042245291471086E-3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運搬費</v>
      </c>
      <c r="D84" s="36" t="str">
        <f>REPT("｜",$A84)&amp;TRIM(データ!E81)</f>
        <v>｜｜WP</v>
      </c>
      <c r="E84" s="37" t="str">
        <f>TRIM(データ!F81)</f>
        <v/>
      </c>
      <c r="F84" s="38" t="str">
        <f>TRIM(データ!G81)</f>
        <v>台</v>
      </c>
      <c r="G84" s="50">
        <f>データ!H81</f>
        <v>1</v>
      </c>
      <c r="H84" s="48">
        <f>データ!I81</f>
        <v>8000</v>
      </c>
      <c r="I84" s="48">
        <f>データ!J81</f>
        <v>8000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1.9476851761681241E-3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1</v>
      </c>
      <c r="B85" s="47" t="str">
        <f>TRIM(データ!C82)</f>
        <v/>
      </c>
      <c r="C85" s="47" t="str">
        <f>TRIM(データ!D82)</f>
        <v>内訳書</v>
      </c>
      <c r="D85" s="36" t="str">
        <f>REPT("｜",$A85)&amp;TRIM(データ!E82)</f>
        <v>｜重機回送②</v>
      </c>
      <c r="E85" s="37" t="str">
        <f>TRIM(データ!F82)</f>
        <v>AF BH ﾛｰﾗｰ</v>
      </c>
      <c r="F85" s="38" t="str">
        <f>TRIM(データ!G82)</f>
        <v>回</v>
      </c>
      <c r="G85" s="50">
        <f>データ!H82</f>
        <v>6</v>
      </c>
      <c r="H85" s="48">
        <f>データ!I82</f>
        <v>30333.34</v>
      </c>
      <c r="I85" s="48">
        <f>データ!J82</f>
        <v>182000</v>
      </c>
      <c r="J85" s="39">
        <f>IF(OR($C85="総括",$C85="内訳書",$C85="内訳代価",$C85="明細書",$C85="明細代価",$C85="代価表",$C85="単価表"),データ!K82,"")</f>
        <v>6</v>
      </c>
      <c r="K85" s="11" t="str">
        <f t="shared" si="6"/>
        <v/>
      </c>
      <c r="L85" s="46">
        <f t="shared" si="7"/>
        <v>4.4309837757824828E-2</v>
      </c>
      <c r="M85" s="40" t="str">
        <f>IF(データ!L82="","",データ!L82)</f>
        <v/>
      </c>
      <c r="N85" s="41" t="str">
        <f>IF(データ!M82="","",データ!M82)</f>
        <v>24号内訳書</v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>
        <f>IF(OR($C85="総括",$C85="内訳書",$C85="内訳代価",$C85="明細書",$C85="明細代価",$C85="代価表",$C85="単価表"),データ!Q82,"")</f>
        <v>0</v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>
        <f>IF(OR($C85="総括",$C85="内訳書",$C85="内訳代価",$C85="明細書",$C85="明細代価",$C85="代価表",$C85="単価表"),データ!W82,"")</f>
        <v>0</v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運搬費</v>
      </c>
      <c r="D86" s="36" t="str">
        <f>REPT("｜",$A86)&amp;TRIM(データ!E83)</f>
        <v>｜｜10t車回送</v>
      </c>
      <c r="E86" s="37" t="str">
        <f>TRIM(データ!F83)</f>
        <v>0.15BH TS</v>
      </c>
      <c r="F86" s="38" t="str">
        <f>TRIM(データ!G83)</f>
        <v>回</v>
      </c>
      <c r="G86" s="50">
        <f>データ!H83</f>
        <v>2</v>
      </c>
      <c r="H86" s="48">
        <f>データ!I83</f>
        <v>20000</v>
      </c>
      <c r="I86" s="48">
        <f>データ!J83</f>
        <v>40000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9.7384258808406211E-3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運搬費</v>
      </c>
      <c r="D87" s="36" t="str">
        <f>REPT("｜",$A87)&amp;TRIM(データ!E84)</f>
        <v>｜｜10t車回送</v>
      </c>
      <c r="E87" s="37" t="str">
        <f>TRIM(データ!F84)</f>
        <v>0.15BH TS</v>
      </c>
      <c r="F87" s="38" t="str">
        <f>TRIM(データ!G84)</f>
        <v>回</v>
      </c>
      <c r="G87" s="50">
        <f>データ!H84</f>
        <v>2</v>
      </c>
      <c r="H87" s="48">
        <f>データ!I84</f>
        <v>23000</v>
      </c>
      <c r="I87" s="48">
        <f>データ!J84</f>
        <v>46000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1.1199189762966714E-2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運搬費</v>
      </c>
      <c r="D88" s="36" t="str">
        <f>REPT("｜",$A88)&amp;TRIM(データ!E85)</f>
        <v>｜｜10t車回送</v>
      </c>
      <c r="E88" s="37" t="str">
        <f>TRIM(データ!F85)</f>
        <v>4tCR 3tTR</v>
      </c>
      <c r="F88" s="38" t="str">
        <f>TRIM(データ!G85)</f>
        <v>回</v>
      </c>
      <c r="G88" s="50">
        <f>データ!H85</f>
        <v>2</v>
      </c>
      <c r="H88" s="48">
        <f>データ!I85</f>
        <v>23000</v>
      </c>
      <c r="I88" s="48">
        <f>データ!J85</f>
        <v>46000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1.1199189762966714E-2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｜｜10t車回送</v>
      </c>
      <c r="E89" s="37" t="str">
        <f>TRIM(データ!F86)</f>
        <v>4.0AF</v>
      </c>
      <c r="F89" s="38" t="str">
        <f>TRIM(データ!G86)</f>
        <v>回</v>
      </c>
      <c r="G89" s="50">
        <f>データ!H86</f>
        <v>2</v>
      </c>
      <c r="H89" s="48">
        <f>データ!I86</f>
        <v>25000</v>
      </c>
      <c r="I89" s="48">
        <f>データ!J86</f>
        <v>50000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1.2173032351050776E-2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1</v>
      </c>
      <c r="B90" s="47" t="str">
        <f>TRIM(データ!C87)</f>
        <v/>
      </c>
      <c r="C90" s="47" t="str">
        <f>TRIM(データ!D87)</f>
        <v>内訳書</v>
      </c>
      <c r="D90" s="36" t="str">
        <f>REPT("｜",$A90)&amp;TRIM(データ!E87)</f>
        <v>｜外注工②</v>
      </c>
      <c r="E90" s="37" t="str">
        <f>TRIM(データ!F87)</f>
        <v/>
      </c>
      <c r="F90" s="38" t="str">
        <f>TRIM(データ!G87)</f>
        <v>式</v>
      </c>
      <c r="G90" s="50">
        <f>データ!H87</f>
        <v>1</v>
      </c>
      <c r="H90" s="48">
        <f>データ!I87</f>
        <v>113040</v>
      </c>
      <c r="I90" s="48">
        <f>データ!J87</f>
        <v>113040</v>
      </c>
      <c r="J90" s="39">
        <f>IF(OR($C90="総括",$C90="内訳書",$C90="内訳代価",$C90="明細書",$C90="明細代価",$C90="代価表",$C90="単価表"),データ!K87,"")</f>
        <v>1</v>
      </c>
      <c r="K90" s="11" t="str">
        <f t="shared" si="6"/>
        <v/>
      </c>
      <c r="L90" s="46">
        <f t="shared" si="7"/>
        <v>2.7520791539255594E-2</v>
      </c>
      <c r="M90" s="40" t="str">
        <f>IF(データ!L87="","",データ!L87)</f>
        <v/>
      </c>
      <c r="N90" s="41" t="str">
        <f>IF(データ!M87="","",データ!M87)</f>
        <v>25号内訳書</v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>
        <f>IF(OR($C90="総括",$C90="内訳書",$C90="内訳代価",$C90="明細書",$C90="明細代価",$C90="代価表",$C90="単価表"),データ!Q87,"")</f>
        <v>0</v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>
        <f>IF(OR($C90="総括",$C90="内訳書",$C90="内訳代価",$C90="明細書",$C90="明細代価",$C90="代価表",$C90="単価表"),データ!W87,"")</f>
        <v>0</v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外注費</v>
      </c>
      <c r="D91" s="36" t="str">
        <f>REPT("｜",$A91)&amp;TRIM(データ!E88)</f>
        <v>｜｜外注経費</v>
      </c>
      <c r="E91" s="37" t="str">
        <f>TRIM(データ!F88)</f>
        <v>労務＋機械*8％</v>
      </c>
      <c r="F91" s="38" t="str">
        <f>TRIM(データ!G88)</f>
        <v>式</v>
      </c>
      <c r="G91" s="50">
        <f>データ!H88</f>
        <v>1</v>
      </c>
      <c r="H91" s="48">
        <f>データ!I88</f>
        <v>46800</v>
      </c>
      <c r="I91" s="48">
        <f>データ!J88</f>
        <v>46800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1.1393958280583526E-2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外注費</v>
      </c>
      <c r="D92" s="36" t="str">
        <f>REPT("｜",$A92)&amp;TRIM(データ!E89)</f>
        <v>｜｜法定福利費</v>
      </c>
      <c r="E92" s="37" t="str">
        <f>TRIM(データ!F89)</f>
        <v>労務*16％</v>
      </c>
      <c r="F92" s="38" t="str">
        <f>TRIM(データ!G89)</f>
        <v>式</v>
      </c>
      <c r="G92" s="50">
        <f>データ!H89</f>
        <v>1</v>
      </c>
      <c r="H92" s="48">
        <f>データ!I89</f>
        <v>66240</v>
      </c>
      <c r="I92" s="48">
        <f>データ!J89</f>
        <v>66240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1.6126833258672067E-2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1</v>
      </c>
      <c r="B93" s="47" t="str">
        <f>TRIM(データ!C90)</f>
        <v/>
      </c>
      <c r="C93" s="47" t="str">
        <f>TRIM(データ!D90)</f>
        <v>内訳書</v>
      </c>
      <c r="D93" s="36" t="str">
        <f>REPT("｜",$A93)&amp;TRIM(データ!E90)</f>
        <v>｜安全管理②</v>
      </c>
      <c r="E93" s="37" t="str">
        <f>TRIM(データ!F90)</f>
        <v/>
      </c>
      <c r="F93" s="38" t="str">
        <f>TRIM(データ!G90)</f>
        <v>日</v>
      </c>
      <c r="G93" s="50">
        <f>データ!H90</f>
        <v>3</v>
      </c>
      <c r="H93" s="48">
        <f>データ!I90</f>
        <v>26333.34</v>
      </c>
      <c r="I93" s="48">
        <f>データ!J90</f>
        <v>79000</v>
      </c>
      <c r="J93" s="39">
        <f>IF(OR($C93="総括",$C93="内訳書",$C93="内訳代価",$C93="明細書",$C93="明細代価",$C93="代価表",$C93="単価表"),データ!K90,"")</f>
        <v>3</v>
      </c>
      <c r="K93" s="11" t="str">
        <f t="shared" si="6"/>
        <v/>
      </c>
      <c r="L93" s="46">
        <f t="shared" si="7"/>
        <v>1.9233391114660225E-2</v>
      </c>
      <c r="M93" s="40" t="str">
        <f>IF(データ!L90="","",データ!L90)</f>
        <v/>
      </c>
      <c r="N93" s="41" t="str">
        <f>IF(データ!M90="","",データ!M90)</f>
        <v>26号内訳書</v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>
        <f>IF(OR($C93="総括",$C93="内訳書",$C93="内訳代価",$C93="明細書",$C93="明細代価",$C93="代価表",$C93="単価表"),データ!Q90,"")</f>
        <v>0</v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>
        <f>IF(OR($C93="総括",$C93="内訳書",$C93="内訳代価",$C93="明細書",$C93="明細代価",$C93="代価表",$C93="単価表"),データ!W90,"")</f>
        <v>0</v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外注費</v>
      </c>
      <c r="D94" s="36" t="str">
        <f>REPT("｜",$A94)&amp;TRIM(データ!E91)</f>
        <v>｜｜ｶﾞｰﾄﾞﾏﾝB　昼</v>
      </c>
      <c r="E94" s="37" t="str">
        <f>TRIM(データ!F91)</f>
        <v/>
      </c>
      <c r="F94" s="38" t="str">
        <f>TRIM(データ!G91)</f>
        <v>人</v>
      </c>
      <c r="G94" s="50">
        <f>データ!H91</f>
        <v>3</v>
      </c>
      <c r="H94" s="48">
        <f>データ!I91</f>
        <v>18000</v>
      </c>
      <c r="I94" s="48">
        <f>データ!J91</f>
        <v>54000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1.3146874939134839E-2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運搬費</v>
      </c>
      <c r="D95" s="36" t="str">
        <f>REPT("｜",$A95)&amp;TRIM(データ!E92)</f>
        <v>｜｜安全資材運搬</v>
      </c>
      <c r="E95" s="37" t="str">
        <f>TRIM(データ!F92)</f>
        <v>軽トラ</v>
      </c>
      <c r="F95" s="38" t="str">
        <f>TRIM(データ!G92)</f>
        <v>台</v>
      </c>
      <c r="G95" s="50">
        <f>データ!H92</f>
        <v>5</v>
      </c>
      <c r="H95" s="48">
        <f>データ!I92</f>
        <v>5000</v>
      </c>
      <c r="I95" s="48">
        <f>データ!J92</f>
        <v>25000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6.0865161755253878E-3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4"/>
      <c r="B96" s="44"/>
      <c r="C96" s="7"/>
      <c r="D96" s="44"/>
      <c r="E96" s="44"/>
      <c r="F96" s="45"/>
      <c r="G96" s="44"/>
      <c r="H96" s="44"/>
      <c r="I96" s="44"/>
      <c r="J96" s="44"/>
      <c r="K96" s="45"/>
      <c r="L96" s="44"/>
      <c r="M96" s="44"/>
      <c r="N96" s="44"/>
      <c r="O96" s="44"/>
      <c r="P96" s="44"/>
      <c r="Q96" s="44"/>
      <c r="R96" s="44"/>
      <c r="S96" s="45"/>
      <c r="T96" s="44"/>
      <c r="U96" s="44"/>
      <c r="V96" s="44"/>
      <c r="W96" s="44"/>
      <c r="X96" s="44"/>
      <c r="Y96" s="44"/>
      <c r="Z96" s="44"/>
      <c r="AA96" s="45"/>
      <c r="AB96" s="44"/>
      <c r="AC96" s="44"/>
      <c r="AD96" s="44"/>
      <c r="AE96" s="44"/>
      <c r="AF96" s="9"/>
    </row>
  </sheetData>
  <autoFilter ref="A3:AE96" xr:uid="{00000000-0001-0000-0100-000000000000}"/>
  <mergeCells count="4">
    <mergeCell ref="AF2:AF3"/>
    <mergeCell ref="G2:N2"/>
    <mergeCell ref="O2:V2"/>
    <mergeCell ref="W2:AD2"/>
  </mergeCells>
  <phoneticPr fontId="3"/>
  <conditionalFormatting sqref="A4:AF95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2026-01-19T00:38:25Z</dcterms:modified>
</cp:coreProperties>
</file>