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codeName="ThisWorkbook"/>
  <xr:revisionPtr revIDLastSave="0" documentId="8_{95AD2DC4-76F7-4EB6-A9AA-2E7A793BCA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データ" sheetId="1" r:id="rId1"/>
    <sheet name="内訳一覧" sheetId="4" r:id="rId2"/>
  </sheets>
  <definedNames>
    <definedName name="_xlnm._FilterDatabase" localSheetId="1" hidden="1">内訳一覧!$A$3:$AE$156</definedName>
    <definedName name="_xlnm.Print_Area" localSheetId="1">内訳一覧!$A$1:$AF$156</definedName>
    <definedName name="_xlnm.Print_Titles" localSheetId="1">内訳一覧!$2:$3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F155" i="4" l="1"/>
  <c r="AE155" i="4"/>
  <c r="AD155" i="4"/>
  <c r="AC155" i="4"/>
  <c r="Z155" i="4"/>
  <c r="AA155" i="4" s="1"/>
  <c r="Y155" i="4"/>
  <c r="X155" i="4"/>
  <c r="W155" i="4"/>
  <c r="V155" i="4"/>
  <c r="U155" i="4"/>
  <c r="Q155" i="4"/>
  <c r="P155" i="4"/>
  <c r="O155" i="4"/>
  <c r="N155" i="4"/>
  <c r="M155" i="4"/>
  <c r="K155" i="4"/>
  <c r="J155" i="4"/>
  <c r="I155" i="4"/>
  <c r="H155" i="4"/>
  <c r="G155" i="4"/>
  <c r="F155" i="4"/>
  <c r="E155" i="4"/>
  <c r="C155" i="4"/>
  <c r="R155" i="4" s="1"/>
  <c r="S155" i="4" s="1"/>
  <c r="B155" i="4"/>
  <c r="A155" i="4"/>
  <c r="AF154" i="4"/>
  <c r="AE154" i="4"/>
  <c r="AD154" i="4"/>
  <c r="AC154" i="4"/>
  <c r="Z154" i="4"/>
  <c r="AA154" i="4" s="1"/>
  <c r="Y154" i="4"/>
  <c r="X154" i="4"/>
  <c r="W154" i="4"/>
  <c r="V154" i="4"/>
  <c r="U154" i="4"/>
  <c r="R154" i="4"/>
  <c r="S154" i="4" s="1"/>
  <c r="Q154" i="4"/>
  <c r="O154" i="4"/>
  <c r="N154" i="4"/>
  <c r="M154" i="4"/>
  <c r="L154" i="4"/>
  <c r="K154" i="4"/>
  <c r="J154" i="4"/>
  <c r="I154" i="4"/>
  <c r="H154" i="4"/>
  <c r="G154" i="4"/>
  <c r="F154" i="4"/>
  <c r="E154" i="4"/>
  <c r="C154" i="4"/>
  <c r="P154" i="4" s="1"/>
  <c r="B154" i="4"/>
  <c r="A154" i="4"/>
  <c r="AF153" i="4"/>
  <c r="AE153" i="4"/>
  <c r="AD153" i="4"/>
  <c r="AC153" i="4"/>
  <c r="Y153" i="4"/>
  <c r="W153" i="4"/>
  <c r="V153" i="4"/>
  <c r="U153" i="4"/>
  <c r="Q153" i="4"/>
  <c r="O153" i="4"/>
  <c r="N153" i="4"/>
  <c r="M153" i="4"/>
  <c r="J153" i="4"/>
  <c r="K153" i="4" s="1"/>
  <c r="I153" i="4"/>
  <c r="H153" i="4"/>
  <c r="G153" i="4"/>
  <c r="F153" i="4"/>
  <c r="E153" i="4"/>
  <c r="D153" i="4"/>
  <c r="C153" i="4"/>
  <c r="B153" i="4"/>
  <c r="A153" i="4"/>
  <c r="AF152" i="4"/>
  <c r="AE152" i="4"/>
  <c r="AD152" i="4"/>
  <c r="AC152" i="4"/>
  <c r="Y152" i="4"/>
  <c r="X152" i="4"/>
  <c r="W152" i="4"/>
  <c r="V152" i="4"/>
  <c r="U152" i="4"/>
  <c r="Q152" i="4"/>
  <c r="P152" i="4"/>
  <c r="O152" i="4"/>
  <c r="N152" i="4"/>
  <c r="M152" i="4"/>
  <c r="I152" i="4"/>
  <c r="H152" i="4"/>
  <c r="G152" i="4"/>
  <c r="F152" i="4"/>
  <c r="E152" i="4"/>
  <c r="D152" i="4"/>
  <c r="C152" i="4"/>
  <c r="B152" i="4"/>
  <c r="A152" i="4"/>
  <c r="AF151" i="4"/>
  <c r="AE151" i="4"/>
  <c r="AD151" i="4"/>
  <c r="AC151" i="4"/>
  <c r="Z151" i="4"/>
  <c r="Y151" i="4"/>
  <c r="X151" i="4"/>
  <c r="W151" i="4"/>
  <c r="V151" i="4"/>
  <c r="U151" i="4"/>
  <c r="R151" i="4"/>
  <c r="S151" i="4" s="1"/>
  <c r="Q151" i="4"/>
  <c r="O151" i="4"/>
  <c r="N151" i="4"/>
  <c r="M151" i="4"/>
  <c r="J151" i="4"/>
  <c r="K151" i="4" s="1"/>
  <c r="I151" i="4"/>
  <c r="L151" i="4" s="1"/>
  <c r="H151" i="4"/>
  <c r="G151" i="4"/>
  <c r="F151" i="4"/>
  <c r="E151" i="4"/>
  <c r="C151" i="4"/>
  <c r="P151" i="4" s="1"/>
  <c r="B151" i="4"/>
  <c r="A151" i="4"/>
  <c r="AF150" i="4"/>
  <c r="AE150" i="4"/>
  <c r="AD150" i="4"/>
  <c r="AC150" i="4"/>
  <c r="AA150" i="4"/>
  <c r="Z150" i="4"/>
  <c r="Y150" i="4"/>
  <c r="W150" i="4"/>
  <c r="V150" i="4"/>
  <c r="U150" i="4"/>
  <c r="R150" i="4"/>
  <c r="Q150" i="4"/>
  <c r="P150" i="4"/>
  <c r="O150" i="4"/>
  <c r="N150" i="4"/>
  <c r="M150" i="4"/>
  <c r="J150" i="4"/>
  <c r="I150" i="4"/>
  <c r="H150" i="4"/>
  <c r="G150" i="4"/>
  <c r="F150" i="4"/>
  <c r="E150" i="4"/>
  <c r="C150" i="4"/>
  <c r="X150" i="4" s="1"/>
  <c r="B150" i="4"/>
  <c r="A150" i="4"/>
  <c r="AF149" i="4"/>
  <c r="AE149" i="4"/>
  <c r="AD149" i="4"/>
  <c r="AC149" i="4"/>
  <c r="Z149" i="4"/>
  <c r="AA149" i="4" s="1"/>
  <c r="Y149" i="4"/>
  <c r="W149" i="4"/>
  <c r="V149" i="4"/>
  <c r="U149" i="4"/>
  <c r="R149" i="4"/>
  <c r="S149" i="4" s="1"/>
  <c r="Q149" i="4"/>
  <c r="O149" i="4"/>
  <c r="N149" i="4"/>
  <c r="M149" i="4"/>
  <c r="I149" i="4"/>
  <c r="H149" i="4"/>
  <c r="G149" i="4"/>
  <c r="F149" i="4"/>
  <c r="E149" i="4"/>
  <c r="C149" i="4"/>
  <c r="B149" i="4"/>
  <c r="A149" i="4"/>
  <c r="AF148" i="4"/>
  <c r="AE148" i="4"/>
  <c r="AD148" i="4"/>
  <c r="AC148" i="4"/>
  <c r="Z148" i="4"/>
  <c r="Y148" i="4"/>
  <c r="X148" i="4"/>
  <c r="W148" i="4"/>
  <c r="V148" i="4"/>
  <c r="U148" i="4"/>
  <c r="R148" i="4"/>
  <c r="S148" i="4" s="1"/>
  <c r="Q148" i="4"/>
  <c r="O148" i="4"/>
  <c r="N148" i="4"/>
  <c r="M148" i="4"/>
  <c r="J148" i="4"/>
  <c r="I148" i="4"/>
  <c r="H148" i="4"/>
  <c r="G148" i="4"/>
  <c r="K148" i="4" s="1"/>
  <c r="F148" i="4"/>
  <c r="E148" i="4"/>
  <c r="C148" i="4"/>
  <c r="P148" i="4" s="1"/>
  <c r="B148" i="4"/>
  <c r="A148" i="4"/>
  <c r="AF147" i="4"/>
  <c r="AE147" i="4"/>
  <c r="AD147" i="4"/>
  <c r="AC147" i="4"/>
  <c r="Y147" i="4"/>
  <c r="W147" i="4"/>
  <c r="V147" i="4"/>
  <c r="U147" i="4"/>
  <c r="Q147" i="4"/>
  <c r="O147" i="4"/>
  <c r="N147" i="4"/>
  <c r="M147" i="4"/>
  <c r="I147" i="4"/>
  <c r="H147" i="4"/>
  <c r="G147" i="4"/>
  <c r="F147" i="4"/>
  <c r="E147" i="4"/>
  <c r="D147" i="4"/>
  <c r="C147" i="4"/>
  <c r="B147" i="4"/>
  <c r="A147" i="4"/>
  <c r="AF146" i="4"/>
  <c r="AE146" i="4"/>
  <c r="AD146" i="4"/>
  <c r="AC146" i="4"/>
  <c r="Y146" i="4"/>
  <c r="W146" i="4"/>
  <c r="V146" i="4"/>
  <c r="U146" i="4"/>
  <c r="Q146" i="4"/>
  <c r="O146" i="4"/>
  <c r="N146" i="4"/>
  <c r="M146" i="4"/>
  <c r="I146" i="4"/>
  <c r="H146" i="4"/>
  <c r="G146" i="4"/>
  <c r="F146" i="4"/>
  <c r="E146" i="4"/>
  <c r="D146" i="4"/>
  <c r="C146" i="4"/>
  <c r="X146" i="4" s="1"/>
  <c r="B146" i="4"/>
  <c r="A146" i="4"/>
  <c r="AF145" i="4"/>
  <c r="AE145" i="4"/>
  <c r="AD145" i="4"/>
  <c r="AC145" i="4"/>
  <c r="Z145" i="4"/>
  <c r="AA145" i="4" s="1"/>
  <c r="Y145" i="4"/>
  <c r="X145" i="4"/>
  <c r="W145" i="4"/>
  <c r="V145" i="4"/>
  <c r="U145" i="4"/>
  <c r="S145" i="4"/>
  <c r="R145" i="4"/>
  <c r="Q145" i="4"/>
  <c r="O145" i="4"/>
  <c r="N145" i="4"/>
  <c r="M145" i="4"/>
  <c r="J145" i="4"/>
  <c r="K145" i="4" s="1"/>
  <c r="I145" i="4"/>
  <c r="H145" i="4"/>
  <c r="G145" i="4"/>
  <c r="F145" i="4"/>
  <c r="E145" i="4"/>
  <c r="C145" i="4"/>
  <c r="P145" i="4" s="1"/>
  <c r="B145" i="4"/>
  <c r="A145" i="4"/>
  <c r="AF144" i="4"/>
  <c r="AE144" i="4"/>
  <c r="AD144" i="4"/>
  <c r="AC144" i="4"/>
  <c r="Y144" i="4"/>
  <c r="W144" i="4"/>
  <c r="V144" i="4"/>
  <c r="U144" i="4"/>
  <c r="Q144" i="4"/>
  <c r="P144" i="4"/>
  <c r="O144" i="4"/>
  <c r="N144" i="4"/>
  <c r="M144" i="4"/>
  <c r="I144" i="4"/>
  <c r="H144" i="4"/>
  <c r="G144" i="4"/>
  <c r="F144" i="4"/>
  <c r="E144" i="4"/>
  <c r="C144" i="4"/>
  <c r="B144" i="4"/>
  <c r="A144" i="4"/>
  <c r="AF143" i="4"/>
  <c r="AE143" i="4"/>
  <c r="AD143" i="4"/>
  <c r="AC143" i="4"/>
  <c r="Z143" i="4"/>
  <c r="Y143" i="4"/>
  <c r="X143" i="4"/>
  <c r="W143" i="4"/>
  <c r="V143" i="4"/>
  <c r="U143" i="4"/>
  <c r="R143" i="4"/>
  <c r="S143" i="4" s="1"/>
  <c r="Q143" i="4"/>
  <c r="P143" i="4"/>
  <c r="O143" i="4"/>
  <c r="N143" i="4"/>
  <c r="M143" i="4"/>
  <c r="K143" i="4"/>
  <c r="J143" i="4"/>
  <c r="I143" i="4"/>
  <c r="H143" i="4"/>
  <c r="G143" i="4"/>
  <c r="F143" i="4"/>
  <c r="E143" i="4"/>
  <c r="C143" i="4"/>
  <c r="B143" i="4"/>
  <c r="A143" i="4"/>
  <c r="AF142" i="4"/>
  <c r="AE142" i="4"/>
  <c r="AD142" i="4"/>
  <c r="AC142" i="4"/>
  <c r="Z142" i="4"/>
  <c r="AA142" i="4" s="1"/>
  <c r="Y142" i="4"/>
  <c r="X142" i="4"/>
  <c r="W142" i="4"/>
  <c r="V142" i="4"/>
  <c r="U142" i="4"/>
  <c r="S142" i="4"/>
  <c r="R142" i="4"/>
  <c r="Q142" i="4"/>
  <c r="O142" i="4"/>
  <c r="N142" i="4"/>
  <c r="M142" i="4"/>
  <c r="K142" i="4"/>
  <c r="J142" i="4"/>
  <c r="I142" i="4"/>
  <c r="H142" i="4"/>
  <c r="G142" i="4"/>
  <c r="F142" i="4"/>
  <c r="E142" i="4"/>
  <c r="C142" i="4"/>
  <c r="P142" i="4" s="1"/>
  <c r="B142" i="4"/>
  <c r="A142" i="4"/>
  <c r="L142" i="4" s="1"/>
  <c r="AF141" i="4"/>
  <c r="AE141" i="4"/>
  <c r="AD141" i="4"/>
  <c r="AC141" i="4"/>
  <c r="Z141" i="4"/>
  <c r="Y141" i="4"/>
  <c r="W141" i="4"/>
  <c r="V141" i="4"/>
  <c r="U141" i="4"/>
  <c r="R141" i="4"/>
  <c r="S141" i="4" s="1"/>
  <c r="Q141" i="4"/>
  <c r="T141" i="4" s="1"/>
  <c r="O141" i="4"/>
  <c r="N141" i="4"/>
  <c r="M141" i="4"/>
  <c r="J141" i="4"/>
  <c r="K141" i="4" s="1"/>
  <c r="I141" i="4"/>
  <c r="H141" i="4"/>
  <c r="G141" i="4"/>
  <c r="F141" i="4"/>
  <c r="E141" i="4"/>
  <c r="D141" i="4"/>
  <c r="C141" i="4"/>
  <c r="X141" i="4" s="1"/>
  <c r="B141" i="4"/>
  <c r="A141" i="4"/>
  <c r="AF140" i="4"/>
  <c r="AE140" i="4"/>
  <c r="AD140" i="4"/>
  <c r="AC140" i="4"/>
  <c r="AA140" i="4"/>
  <c r="Z140" i="4"/>
  <c r="Y140" i="4"/>
  <c r="X140" i="4"/>
  <c r="W140" i="4"/>
  <c r="V140" i="4"/>
  <c r="U140" i="4"/>
  <c r="R140" i="4"/>
  <c r="S140" i="4" s="1"/>
  <c r="Q140" i="4"/>
  <c r="P140" i="4"/>
  <c r="O140" i="4"/>
  <c r="N140" i="4"/>
  <c r="M140" i="4"/>
  <c r="K140" i="4"/>
  <c r="I140" i="4"/>
  <c r="H140" i="4"/>
  <c r="G140" i="4"/>
  <c r="F140" i="4"/>
  <c r="E140" i="4"/>
  <c r="C140" i="4"/>
  <c r="J140" i="4" s="1"/>
  <c r="B140" i="4"/>
  <c r="A140" i="4"/>
  <c r="AF139" i="4"/>
  <c r="AE139" i="4"/>
  <c r="AD139" i="4"/>
  <c r="AC139" i="4"/>
  <c r="Z139" i="4"/>
  <c r="AA139" i="4" s="1"/>
  <c r="Y139" i="4"/>
  <c r="X139" i="4"/>
  <c r="W139" i="4"/>
  <c r="V139" i="4"/>
  <c r="U139" i="4"/>
  <c r="T139" i="4"/>
  <c r="R139" i="4"/>
  <c r="S139" i="4" s="1"/>
  <c r="Q139" i="4"/>
  <c r="O139" i="4"/>
  <c r="N139" i="4"/>
  <c r="M139" i="4"/>
  <c r="J139" i="4"/>
  <c r="I139" i="4"/>
  <c r="H139" i="4"/>
  <c r="G139" i="4"/>
  <c r="K139" i="4" s="1"/>
  <c r="F139" i="4"/>
  <c r="E139" i="4"/>
  <c r="C139" i="4"/>
  <c r="P139" i="4" s="1"/>
  <c r="B139" i="4"/>
  <c r="A139" i="4"/>
  <c r="AF138" i="4"/>
  <c r="AE138" i="4"/>
  <c r="AD138" i="4"/>
  <c r="AC138" i="4"/>
  <c r="Y138" i="4"/>
  <c r="W138" i="4"/>
  <c r="V138" i="4"/>
  <c r="U138" i="4"/>
  <c r="Q138" i="4"/>
  <c r="O138" i="4"/>
  <c r="N138" i="4"/>
  <c r="M138" i="4"/>
  <c r="I138" i="4"/>
  <c r="H138" i="4"/>
  <c r="G138" i="4"/>
  <c r="F138" i="4"/>
  <c r="E138" i="4"/>
  <c r="D138" i="4"/>
  <c r="C138" i="4"/>
  <c r="P138" i="4" s="1"/>
  <c r="B138" i="4"/>
  <c r="A138" i="4"/>
  <c r="AF137" i="4"/>
  <c r="AE137" i="4"/>
  <c r="AD137" i="4"/>
  <c r="AC137" i="4"/>
  <c r="Z137" i="4"/>
  <c r="AA137" i="4" s="1"/>
  <c r="Y137" i="4"/>
  <c r="X137" i="4"/>
  <c r="W137" i="4"/>
  <c r="V137" i="4"/>
  <c r="U137" i="4"/>
  <c r="S137" i="4"/>
  <c r="R137" i="4"/>
  <c r="Q137" i="4"/>
  <c r="O137" i="4"/>
  <c r="N137" i="4"/>
  <c r="M137" i="4"/>
  <c r="J137" i="4"/>
  <c r="K137" i="4" s="1"/>
  <c r="I137" i="4"/>
  <c r="H137" i="4"/>
  <c r="G137" i="4"/>
  <c r="F137" i="4"/>
  <c r="E137" i="4"/>
  <c r="C137" i="4"/>
  <c r="P137" i="4" s="1"/>
  <c r="B137" i="4"/>
  <c r="A137" i="4"/>
  <c r="AF136" i="4"/>
  <c r="AE136" i="4"/>
  <c r="AD136" i="4"/>
  <c r="AC136" i="4"/>
  <c r="Z136" i="4"/>
  <c r="AA136" i="4" s="1"/>
  <c r="Y136" i="4"/>
  <c r="X136" i="4"/>
  <c r="W136" i="4"/>
  <c r="V136" i="4"/>
  <c r="U136" i="4"/>
  <c r="Q136" i="4"/>
  <c r="O136" i="4"/>
  <c r="N136" i="4"/>
  <c r="M136" i="4"/>
  <c r="I136" i="4"/>
  <c r="H136" i="4"/>
  <c r="G136" i="4"/>
  <c r="F136" i="4"/>
  <c r="E136" i="4"/>
  <c r="C136" i="4"/>
  <c r="B136" i="4"/>
  <c r="A136" i="4"/>
  <c r="AF135" i="4"/>
  <c r="AE135" i="4"/>
  <c r="AD135" i="4"/>
  <c r="AC135" i="4"/>
  <c r="Z135" i="4"/>
  <c r="AA135" i="4" s="1"/>
  <c r="Y135" i="4"/>
  <c r="W135" i="4"/>
  <c r="V135" i="4"/>
  <c r="U135" i="4"/>
  <c r="R135" i="4"/>
  <c r="S135" i="4" s="1"/>
  <c r="Q135" i="4"/>
  <c r="T135" i="4" s="1"/>
  <c r="O135" i="4"/>
  <c r="N135" i="4"/>
  <c r="M135" i="4"/>
  <c r="J135" i="4"/>
  <c r="K135" i="4" s="1"/>
  <c r="I135" i="4"/>
  <c r="H135" i="4"/>
  <c r="G135" i="4"/>
  <c r="F135" i="4"/>
  <c r="E135" i="4"/>
  <c r="D135" i="4"/>
  <c r="C135" i="4"/>
  <c r="X135" i="4" s="1"/>
  <c r="B135" i="4"/>
  <c r="A135" i="4"/>
  <c r="AF134" i="4"/>
  <c r="AE134" i="4"/>
  <c r="AD134" i="4"/>
  <c r="AC134" i="4"/>
  <c r="AA134" i="4"/>
  <c r="Z134" i="4"/>
  <c r="Y134" i="4"/>
  <c r="X134" i="4"/>
  <c r="W134" i="4"/>
  <c r="V134" i="4"/>
  <c r="U134" i="4"/>
  <c r="R134" i="4"/>
  <c r="S134" i="4" s="1"/>
  <c r="Q134" i="4"/>
  <c r="P134" i="4"/>
  <c r="O134" i="4"/>
  <c r="N134" i="4"/>
  <c r="M134" i="4"/>
  <c r="I134" i="4"/>
  <c r="H134" i="4"/>
  <c r="G134" i="4"/>
  <c r="F134" i="4"/>
  <c r="E134" i="4"/>
  <c r="D134" i="4"/>
  <c r="C134" i="4"/>
  <c r="J134" i="4" s="1"/>
  <c r="K134" i="4" s="1"/>
  <c r="B134" i="4"/>
  <c r="A134" i="4"/>
  <c r="AF133" i="4"/>
  <c r="AE133" i="4"/>
  <c r="AD133" i="4"/>
  <c r="AC133" i="4"/>
  <c r="Z133" i="4"/>
  <c r="Y133" i="4"/>
  <c r="X133" i="4"/>
  <c r="W133" i="4"/>
  <c r="V133" i="4"/>
  <c r="U133" i="4"/>
  <c r="R133" i="4"/>
  <c r="S133" i="4" s="1"/>
  <c r="Q133" i="4"/>
  <c r="O133" i="4"/>
  <c r="N133" i="4"/>
  <c r="M133" i="4"/>
  <c r="J133" i="4"/>
  <c r="I133" i="4"/>
  <c r="H133" i="4"/>
  <c r="G133" i="4"/>
  <c r="F133" i="4"/>
  <c r="E133" i="4"/>
  <c r="C133" i="4"/>
  <c r="P133" i="4" s="1"/>
  <c r="B133" i="4"/>
  <c r="A133" i="4"/>
  <c r="AF132" i="4"/>
  <c r="AE132" i="4"/>
  <c r="AD132" i="4"/>
  <c r="AC132" i="4"/>
  <c r="Z132" i="4"/>
  <c r="AA132" i="4" s="1"/>
  <c r="Y132" i="4"/>
  <c r="W132" i="4"/>
  <c r="V132" i="4"/>
  <c r="U132" i="4"/>
  <c r="R132" i="4"/>
  <c r="S132" i="4" s="1"/>
  <c r="Q132" i="4"/>
  <c r="O132" i="4"/>
  <c r="N132" i="4"/>
  <c r="M132" i="4"/>
  <c r="K132" i="4"/>
  <c r="J132" i="4"/>
  <c r="I132" i="4"/>
  <c r="H132" i="4"/>
  <c r="G132" i="4"/>
  <c r="F132" i="4"/>
  <c r="E132" i="4"/>
  <c r="D132" i="4"/>
  <c r="C132" i="4"/>
  <c r="X132" i="4" s="1"/>
  <c r="B132" i="4"/>
  <c r="A132" i="4"/>
  <c r="AF131" i="4"/>
  <c r="AE131" i="4"/>
  <c r="AD131" i="4"/>
  <c r="AC131" i="4"/>
  <c r="Z131" i="4"/>
  <c r="Y131" i="4"/>
  <c r="X131" i="4"/>
  <c r="W131" i="4"/>
  <c r="V131" i="4"/>
  <c r="U131" i="4"/>
  <c r="S131" i="4"/>
  <c r="R131" i="4"/>
  <c r="Q131" i="4"/>
  <c r="O131" i="4"/>
  <c r="N131" i="4"/>
  <c r="M131" i="4"/>
  <c r="J131" i="4"/>
  <c r="I131" i="4"/>
  <c r="H131" i="4"/>
  <c r="G131" i="4"/>
  <c r="K131" i="4" s="1"/>
  <c r="F131" i="4"/>
  <c r="E131" i="4"/>
  <c r="C131" i="4"/>
  <c r="P131" i="4" s="1"/>
  <c r="B131" i="4"/>
  <c r="A131" i="4"/>
  <c r="AF130" i="4"/>
  <c r="AE130" i="4"/>
  <c r="AD130" i="4"/>
  <c r="AC130" i="4"/>
  <c r="Z130" i="4"/>
  <c r="AA130" i="4" s="1"/>
  <c r="Y130" i="4"/>
  <c r="W130" i="4"/>
  <c r="V130" i="4"/>
  <c r="U130" i="4"/>
  <c r="Q130" i="4"/>
  <c r="O130" i="4"/>
  <c r="N130" i="4"/>
  <c r="M130" i="4"/>
  <c r="L130" i="4"/>
  <c r="I130" i="4"/>
  <c r="H130" i="4"/>
  <c r="G130" i="4"/>
  <c r="F130" i="4"/>
  <c r="E130" i="4"/>
  <c r="C130" i="4"/>
  <c r="B130" i="4"/>
  <c r="A130" i="4"/>
  <c r="AF129" i="4"/>
  <c r="AE129" i="4"/>
  <c r="AD129" i="4"/>
  <c r="AC129" i="4"/>
  <c r="Z129" i="4"/>
  <c r="AA129" i="4" s="1"/>
  <c r="Y129" i="4"/>
  <c r="W129" i="4"/>
  <c r="V129" i="4"/>
  <c r="U129" i="4"/>
  <c r="T129" i="4"/>
  <c r="R129" i="4"/>
  <c r="S129" i="4" s="1"/>
  <c r="Q129" i="4"/>
  <c r="O129" i="4"/>
  <c r="N129" i="4"/>
  <c r="M129" i="4"/>
  <c r="K129" i="4"/>
  <c r="J129" i="4"/>
  <c r="I129" i="4"/>
  <c r="H129" i="4"/>
  <c r="G129" i="4"/>
  <c r="F129" i="4"/>
  <c r="E129" i="4"/>
  <c r="D129" i="4"/>
  <c r="C129" i="4"/>
  <c r="X129" i="4" s="1"/>
  <c r="B129" i="4"/>
  <c r="A129" i="4"/>
  <c r="AF128" i="4"/>
  <c r="AE128" i="4"/>
  <c r="AD128" i="4"/>
  <c r="AC128" i="4"/>
  <c r="AA128" i="4"/>
  <c r="Z128" i="4"/>
  <c r="Y128" i="4"/>
  <c r="X128" i="4"/>
  <c r="W128" i="4"/>
  <c r="V128" i="4"/>
  <c r="U128" i="4"/>
  <c r="R128" i="4"/>
  <c r="S128" i="4" s="1"/>
  <c r="Q128" i="4"/>
  <c r="P128" i="4"/>
  <c r="O128" i="4"/>
  <c r="N128" i="4"/>
  <c r="M128" i="4"/>
  <c r="I128" i="4"/>
  <c r="H128" i="4"/>
  <c r="G128" i="4"/>
  <c r="F128" i="4"/>
  <c r="E128" i="4"/>
  <c r="D128" i="4"/>
  <c r="C128" i="4"/>
  <c r="J128" i="4" s="1"/>
  <c r="K128" i="4" s="1"/>
  <c r="B128" i="4"/>
  <c r="A128" i="4"/>
  <c r="L128" i="4" s="1"/>
  <c r="AF127" i="4"/>
  <c r="AE127" i="4"/>
  <c r="AD127" i="4"/>
  <c r="AC127" i="4"/>
  <c r="Z127" i="4"/>
  <c r="Y127" i="4"/>
  <c r="X127" i="4"/>
  <c r="W127" i="4"/>
  <c r="V127" i="4"/>
  <c r="U127" i="4"/>
  <c r="S127" i="4"/>
  <c r="R127" i="4"/>
  <c r="Q127" i="4"/>
  <c r="O127" i="4"/>
  <c r="N127" i="4"/>
  <c r="M127" i="4"/>
  <c r="J127" i="4"/>
  <c r="K127" i="4" s="1"/>
  <c r="I127" i="4"/>
  <c r="H127" i="4"/>
  <c r="G127" i="4"/>
  <c r="F127" i="4"/>
  <c r="E127" i="4"/>
  <c r="C127" i="4"/>
  <c r="P127" i="4" s="1"/>
  <c r="B127" i="4"/>
  <c r="A127" i="4"/>
  <c r="AF126" i="4"/>
  <c r="AE126" i="4"/>
  <c r="AD126" i="4"/>
  <c r="AC126" i="4"/>
  <c r="Z126" i="4"/>
  <c r="Y126" i="4"/>
  <c r="W126" i="4"/>
  <c r="AA126" i="4" s="1"/>
  <c r="V126" i="4"/>
  <c r="U126" i="4"/>
  <c r="R126" i="4"/>
  <c r="S126" i="4" s="1"/>
  <c r="Q126" i="4"/>
  <c r="O126" i="4"/>
  <c r="N126" i="4"/>
  <c r="M126" i="4"/>
  <c r="J126" i="4"/>
  <c r="K126" i="4" s="1"/>
  <c r="I126" i="4"/>
  <c r="H126" i="4"/>
  <c r="G126" i="4"/>
  <c r="F126" i="4"/>
  <c r="E126" i="4"/>
  <c r="C126" i="4"/>
  <c r="X126" i="4" s="1"/>
  <c r="B126" i="4"/>
  <c r="A126" i="4"/>
  <c r="AF125" i="4"/>
  <c r="AE125" i="4"/>
  <c r="AD125" i="4"/>
  <c r="AC125" i="4"/>
  <c r="Z125" i="4"/>
  <c r="Y125" i="4"/>
  <c r="X125" i="4"/>
  <c r="W125" i="4"/>
  <c r="V125" i="4"/>
  <c r="U125" i="4"/>
  <c r="R125" i="4"/>
  <c r="S125" i="4" s="1"/>
  <c r="Q125" i="4"/>
  <c r="O125" i="4"/>
  <c r="N125" i="4"/>
  <c r="M125" i="4"/>
  <c r="L125" i="4"/>
  <c r="J125" i="4"/>
  <c r="K125" i="4" s="1"/>
  <c r="I125" i="4"/>
  <c r="H125" i="4"/>
  <c r="G125" i="4"/>
  <c r="F125" i="4"/>
  <c r="E125" i="4"/>
  <c r="C125" i="4"/>
  <c r="P125" i="4" s="1"/>
  <c r="B125" i="4"/>
  <c r="A125" i="4"/>
  <c r="AF124" i="4"/>
  <c r="AE124" i="4"/>
  <c r="AD124" i="4"/>
  <c r="AC124" i="4"/>
  <c r="AA124" i="4"/>
  <c r="Z124" i="4"/>
  <c r="Y124" i="4"/>
  <c r="W124" i="4"/>
  <c r="V124" i="4"/>
  <c r="U124" i="4"/>
  <c r="Q124" i="4"/>
  <c r="O124" i="4"/>
  <c r="N124" i="4"/>
  <c r="M124" i="4"/>
  <c r="I124" i="4"/>
  <c r="H124" i="4"/>
  <c r="G124" i="4"/>
  <c r="F124" i="4"/>
  <c r="E124" i="4"/>
  <c r="C124" i="4"/>
  <c r="B124" i="4"/>
  <c r="A124" i="4"/>
  <c r="AF123" i="4"/>
  <c r="AE123" i="4"/>
  <c r="AD123" i="4"/>
  <c r="AC123" i="4"/>
  <c r="Z123" i="4"/>
  <c r="Y123" i="4"/>
  <c r="W123" i="4"/>
  <c r="V123" i="4"/>
  <c r="U123" i="4"/>
  <c r="S123" i="4"/>
  <c r="R123" i="4"/>
  <c r="Q123" i="4"/>
  <c r="O123" i="4"/>
  <c r="N123" i="4"/>
  <c r="M123" i="4"/>
  <c r="J123" i="4"/>
  <c r="I123" i="4"/>
  <c r="H123" i="4"/>
  <c r="G123" i="4"/>
  <c r="F123" i="4"/>
  <c r="E123" i="4"/>
  <c r="D123" i="4"/>
  <c r="C123" i="4"/>
  <c r="X123" i="4" s="1"/>
  <c r="B123" i="4"/>
  <c r="A123" i="4"/>
  <c r="AF122" i="4"/>
  <c r="AE122" i="4"/>
  <c r="AD122" i="4"/>
  <c r="AC122" i="4"/>
  <c r="Z122" i="4"/>
  <c r="AA122" i="4" s="1"/>
  <c r="Y122" i="4"/>
  <c r="X122" i="4"/>
  <c r="W122" i="4"/>
  <c r="V122" i="4"/>
  <c r="U122" i="4"/>
  <c r="R122" i="4"/>
  <c r="S122" i="4" s="1"/>
  <c r="Q122" i="4"/>
  <c r="P122" i="4"/>
  <c r="O122" i="4"/>
  <c r="N122" i="4"/>
  <c r="M122" i="4"/>
  <c r="L122" i="4"/>
  <c r="K122" i="4"/>
  <c r="I122" i="4"/>
  <c r="H122" i="4"/>
  <c r="G122" i="4"/>
  <c r="F122" i="4"/>
  <c r="E122" i="4"/>
  <c r="C122" i="4"/>
  <c r="J122" i="4" s="1"/>
  <c r="B122" i="4"/>
  <c r="A122" i="4"/>
  <c r="AF121" i="4"/>
  <c r="AE121" i="4"/>
  <c r="AD121" i="4"/>
  <c r="AC121" i="4"/>
  <c r="Z121" i="4"/>
  <c r="AA121" i="4" s="1"/>
  <c r="Y121" i="4"/>
  <c r="X121" i="4"/>
  <c r="W121" i="4"/>
  <c r="V121" i="4"/>
  <c r="U121" i="4"/>
  <c r="T121" i="4"/>
  <c r="R121" i="4"/>
  <c r="S121" i="4" s="1"/>
  <c r="Q121" i="4"/>
  <c r="O121" i="4"/>
  <c r="N121" i="4"/>
  <c r="M121" i="4"/>
  <c r="J121" i="4"/>
  <c r="I121" i="4"/>
  <c r="H121" i="4"/>
  <c r="G121" i="4"/>
  <c r="K121" i="4" s="1"/>
  <c r="F121" i="4"/>
  <c r="E121" i="4"/>
  <c r="C121" i="4"/>
  <c r="P121" i="4" s="1"/>
  <c r="B121" i="4"/>
  <c r="A121" i="4"/>
  <c r="AF120" i="4"/>
  <c r="AE120" i="4"/>
  <c r="AD120" i="4"/>
  <c r="AC120" i="4"/>
  <c r="Y120" i="4"/>
  <c r="W120" i="4"/>
  <c r="V120" i="4"/>
  <c r="U120" i="4"/>
  <c r="Q120" i="4"/>
  <c r="O120" i="4"/>
  <c r="N120" i="4"/>
  <c r="M120" i="4"/>
  <c r="I120" i="4"/>
  <c r="H120" i="4"/>
  <c r="G120" i="4"/>
  <c r="F120" i="4"/>
  <c r="E120" i="4"/>
  <c r="D120" i="4"/>
  <c r="C120" i="4"/>
  <c r="P120" i="4" s="1"/>
  <c r="B120" i="4"/>
  <c r="A120" i="4"/>
  <c r="AF119" i="4"/>
  <c r="AE119" i="4"/>
  <c r="AD119" i="4"/>
  <c r="AC119" i="4"/>
  <c r="Z119" i="4"/>
  <c r="AA119" i="4" s="1"/>
  <c r="Y119" i="4"/>
  <c r="X119" i="4"/>
  <c r="W119" i="4"/>
  <c r="V119" i="4"/>
  <c r="U119" i="4"/>
  <c r="S119" i="4"/>
  <c r="R119" i="4"/>
  <c r="Q119" i="4"/>
  <c r="O119" i="4"/>
  <c r="N119" i="4"/>
  <c r="M119" i="4"/>
  <c r="J119" i="4"/>
  <c r="K119" i="4" s="1"/>
  <c r="I119" i="4"/>
  <c r="H119" i="4"/>
  <c r="G119" i="4"/>
  <c r="F119" i="4"/>
  <c r="E119" i="4"/>
  <c r="C119" i="4"/>
  <c r="P119" i="4" s="1"/>
  <c r="B119" i="4"/>
  <c r="A119" i="4"/>
  <c r="AF118" i="4"/>
  <c r="AE118" i="4"/>
  <c r="AD118" i="4"/>
  <c r="AC118" i="4"/>
  <c r="Z118" i="4"/>
  <c r="AA118" i="4" s="1"/>
  <c r="Y118" i="4"/>
  <c r="X118" i="4"/>
  <c r="W118" i="4"/>
  <c r="V118" i="4"/>
  <c r="U118" i="4"/>
  <c r="Q118" i="4"/>
  <c r="O118" i="4"/>
  <c r="N118" i="4"/>
  <c r="M118" i="4"/>
  <c r="I118" i="4"/>
  <c r="H118" i="4"/>
  <c r="G118" i="4"/>
  <c r="F118" i="4"/>
  <c r="E118" i="4"/>
  <c r="C118" i="4"/>
  <c r="B118" i="4"/>
  <c r="A118" i="4"/>
  <c r="AF117" i="4"/>
  <c r="AE117" i="4"/>
  <c r="AD117" i="4"/>
  <c r="AC117" i="4"/>
  <c r="Z117" i="4"/>
  <c r="AA117" i="4" s="1"/>
  <c r="Y117" i="4"/>
  <c r="W117" i="4"/>
  <c r="V117" i="4"/>
  <c r="U117" i="4"/>
  <c r="S117" i="4"/>
  <c r="R117" i="4"/>
  <c r="Q117" i="4"/>
  <c r="O117" i="4"/>
  <c r="N117" i="4"/>
  <c r="M117" i="4"/>
  <c r="K117" i="4"/>
  <c r="J117" i="4"/>
  <c r="I117" i="4"/>
  <c r="H117" i="4"/>
  <c r="G117" i="4"/>
  <c r="F117" i="4"/>
  <c r="E117" i="4"/>
  <c r="D117" i="4"/>
  <c r="C117" i="4"/>
  <c r="X117" i="4" s="1"/>
  <c r="B117" i="4"/>
  <c r="A117" i="4"/>
  <c r="AF116" i="4"/>
  <c r="AE116" i="4"/>
  <c r="AD116" i="4"/>
  <c r="AC116" i="4"/>
  <c r="AA116" i="4"/>
  <c r="Z116" i="4"/>
  <c r="Y116" i="4"/>
  <c r="X116" i="4"/>
  <c r="W116" i="4"/>
  <c r="V116" i="4"/>
  <c r="U116" i="4"/>
  <c r="R116" i="4"/>
  <c r="S116" i="4" s="1"/>
  <c r="Q116" i="4"/>
  <c r="P116" i="4"/>
  <c r="O116" i="4"/>
  <c r="N116" i="4"/>
  <c r="M116" i="4"/>
  <c r="K116" i="4"/>
  <c r="I116" i="4"/>
  <c r="H116" i="4"/>
  <c r="G116" i="4"/>
  <c r="F116" i="4"/>
  <c r="E116" i="4"/>
  <c r="D116" i="4"/>
  <c r="C116" i="4"/>
  <c r="J116" i="4" s="1"/>
  <c r="B116" i="4"/>
  <c r="A116" i="4"/>
  <c r="AF115" i="4"/>
  <c r="AE115" i="4"/>
  <c r="AD115" i="4"/>
  <c r="AC115" i="4"/>
  <c r="Z115" i="4"/>
  <c r="Y115" i="4"/>
  <c r="X115" i="4"/>
  <c r="W115" i="4"/>
  <c r="V115" i="4"/>
  <c r="U115" i="4"/>
  <c r="S115" i="4"/>
  <c r="R115" i="4"/>
  <c r="Q115" i="4"/>
  <c r="O115" i="4"/>
  <c r="N115" i="4"/>
  <c r="M115" i="4"/>
  <c r="J115" i="4"/>
  <c r="I115" i="4"/>
  <c r="H115" i="4"/>
  <c r="G115" i="4"/>
  <c r="F115" i="4"/>
  <c r="E115" i="4"/>
  <c r="C115" i="4"/>
  <c r="P115" i="4" s="1"/>
  <c r="B115" i="4"/>
  <c r="A115" i="4"/>
  <c r="AF114" i="4"/>
  <c r="AE114" i="4"/>
  <c r="AD114" i="4"/>
  <c r="AC114" i="4"/>
  <c r="Z114" i="4"/>
  <c r="AA114" i="4" s="1"/>
  <c r="Y114" i="4"/>
  <c r="W114" i="4"/>
  <c r="V114" i="4"/>
  <c r="U114" i="4"/>
  <c r="R114" i="4"/>
  <c r="S114" i="4" s="1"/>
  <c r="Q114" i="4"/>
  <c r="O114" i="4"/>
  <c r="N114" i="4"/>
  <c r="M114" i="4"/>
  <c r="J114" i="4"/>
  <c r="K114" i="4" s="1"/>
  <c r="I114" i="4"/>
  <c r="H114" i="4"/>
  <c r="G114" i="4"/>
  <c r="F114" i="4"/>
  <c r="E114" i="4"/>
  <c r="D114" i="4"/>
  <c r="C114" i="4"/>
  <c r="X114" i="4" s="1"/>
  <c r="B114" i="4"/>
  <c r="A114" i="4"/>
  <c r="AF113" i="4"/>
  <c r="AE113" i="4"/>
  <c r="AD113" i="4"/>
  <c r="AC113" i="4"/>
  <c r="Z113" i="4"/>
  <c r="Y113" i="4"/>
  <c r="X113" i="4"/>
  <c r="W113" i="4"/>
  <c r="V113" i="4"/>
  <c r="U113" i="4"/>
  <c r="R113" i="4"/>
  <c r="S113" i="4" s="1"/>
  <c r="Q113" i="4"/>
  <c r="O113" i="4"/>
  <c r="N113" i="4"/>
  <c r="M113" i="4"/>
  <c r="J113" i="4"/>
  <c r="K113" i="4" s="1"/>
  <c r="I113" i="4"/>
  <c r="H113" i="4"/>
  <c r="G113" i="4"/>
  <c r="F113" i="4"/>
  <c r="E113" i="4"/>
  <c r="C113" i="4"/>
  <c r="P113" i="4" s="1"/>
  <c r="B113" i="4"/>
  <c r="A113" i="4"/>
  <c r="AF112" i="4"/>
  <c r="AE112" i="4"/>
  <c r="AD112" i="4"/>
  <c r="AC112" i="4"/>
  <c r="Z112" i="4"/>
  <c r="AA112" i="4" s="1"/>
  <c r="Y112" i="4"/>
  <c r="W112" i="4"/>
  <c r="V112" i="4"/>
  <c r="U112" i="4"/>
  <c r="Q112" i="4"/>
  <c r="P112" i="4"/>
  <c r="O112" i="4"/>
  <c r="N112" i="4"/>
  <c r="M112" i="4"/>
  <c r="I112" i="4"/>
  <c r="H112" i="4"/>
  <c r="G112" i="4"/>
  <c r="F112" i="4"/>
  <c r="E112" i="4"/>
  <c r="C112" i="4"/>
  <c r="B112" i="4"/>
  <c r="A112" i="4"/>
  <c r="AF111" i="4"/>
  <c r="AE111" i="4"/>
  <c r="AD111" i="4"/>
  <c r="AC111" i="4"/>
  <c r="Y111" i="4"/>
  <c r="W111" i="4"/>
  <c r="V111" i="4"/>
  <c r="U111" i="4"/>
  <c r="Q111" i="4"/>
  <c r="O111" i="4"/>
  <c r="N111" i="4"/>
  <c r="M111" i="4"/>
  <c r="I111" i="4"/>
  <c r="H111" i="4"/>
  <c r="G111" i="4"/>
  <c r="F111" i="4"/>
  <c r="E111" i="4"/>
  <c r="D111" i="4"/>
  <c r="C111" i="4"/>
  <c r="P111" i="4" s="1"/>
  <c r="B111" i="4"/>
  <c r="A111" i="4"/>
  <c r="T111" i="4" s="1"/>
  <c r="AF110" i="4"/>
  <c r="AE110" i="4"/>
  <c r="AD110" i="4"/>
  <c r="AC110" i="4"/>
  <c r="Y110" i="4"/>
  <c r="X110" i="4"/>
  <c r="W110" i="4"/>
  <c r="V110" i="4"/>
  <c r="U110" i="4"/>
  <c r="R110" i="4"/>
  <c r="S110" i="4" s="1"/>
  <c r="Q110" i="4"/>
  <c r="O110" i="4"/>
  <c r="N110" i="4"/>
  <c r="M110" i="4"/>
  <c r="J110" i="4"/>
  <c r="K110" i="4" s="1"/>
  <c r="I110" i="4"/>
  <c r="H110" i="4"/>
  <c r="G110" i="4"/>
  <c r="F110" i="4"/>
  <c r="E110" i="4"/>
  <c r="C110" i="4"/>
  <c r="P110" i="4" s="1"/>
  <c r="B110" i="4"/>
  <c r="A110" i="4"/>
  <c r="AF109" i="4"/>
  <c r="AE109" i="4"/>
  <c r="AD109" i="4"/>
  <c r="AC109" i="4"/>
  <c r="AA109" i="4"/>
  <c r="Z109" i="4"/>
  <c r="Y109" i="4"/>
  <c r="W109" i="4"/>
  <c r="V109" i="4"/>
  <c r="U109" i="4"/>
  <c r="Q109" i="4"/>
  <c r="P109" i="4"/>
  <c r="O109" i="4"/>
  <c r="N109" i="4"/>
  <c r="M109" i="4"/>
  <c r="I109" i="4"/>
  <c r="H109" i="4"/>
  <c r="G109" i="4"/>
  <c r="F109" i="4"/>
  <c r="E109" i="4"/>
  <c r="C109" i="4"/>
  <c r="B109" i="4"/>
  <c r="A109" i="4"/>
  <c r="T109" i="4" s="1"/>
  <c r="AF108" i="4"/>
  <c r="AE108" i="4"/>
  <c r="AD108" i="4"/>
  <c r="AC108" i="4"/>
  <c r="Y108" i="4"/>
  <c r="W108" i="4"/>
  <c r="V108" i="4"/>
  <c r="U108" i="4"/>
  <c r="Q108" i="4"/>
  <c r="P108" i="4"/>
  <c r="O108" i="4"/>
  <c r="N108" i="4"/>
  <c r="M108" i="4"/>
  <c r="I108" i="4"/>
  <c r="H108" i="4"/>
  <c r="G108" i="4"/>
  <c r="F108" i="4"/>
  <c r="E108" i="4"/>
  <c r="D108" i="4"/>
  <c r="C108" i="4"/>
  <c r="B108" i="4"/>
  <c r="A108" i="4"/>
  <c r="AF107" i="4"/>
  <c r="AE107" i="4"/>
  <c r="AD107" i="4"/>
  <c r="AC107" i="4"/>
  <c r="Y107" i="4"/>
  <c r="X107" i="4"/>
  <c r="W107" i="4"/>
  <c r="V107" i="4"/>
  <c r="U107" i="4"/>
  <c r="T107" i="4"/>
  <c r="R107" i="4"/>
  <c r="S107" i="4" s="1"/>
  <c r="Q107" i="4"/>
  <c r="O107" i="4"/>
  <c r="N107" i="4"/>
  <c r="M107" i="4"/>
  <c r="J107" i="4"/>
  <c r="I107" i="4"/>
  <c r="H107" i="4"/>
  <c r="G107" i="4"/>
  <c r="F107" i="4"/>
  <c r="E107" i="4"/>
  <c r="C107" i="4"/>
  <c r="P107" i="4" s="1"/>
  <c r="B107" i="4"/>
  <c r="A107" i="4"/>
  <c r="AF106" i="4"/>
  <c r="AE106" i="4"/>
  <c r="AD106" i="4"/>
  <c r="AC106" i="4"/>
  <c r="Z106" i="4"/>
  <c r="AA106" i="4" s="1"/>
  <c r="Y106" i="4"/>
  <c r="W106" i="4"/>
  <c r="V106" i="4"/>
  <c r="U106" i="4"/>
  <c r="Q106" i="4"/>
  <c r="P106" i="4"/>
  <c r="O106" i="4"/>
  <c r="N106" i="4"/>
  <c r="M106" i="4"/>
  <c r="I106" i="4"/>
  <c r="H106" i="4"/>
  <c r="G106" i="4"/>
  <c r="F106" i="4"/>
  <c r="E106" i="4"/>
  <c r="C106" i="4"/>
  <c r="B106" i="4"/>
  <c r="A106" i="4"/>
  <c r="AF105" i="4"/>
  <c r="AE105" i="4"/>
  <c r="AD105" i="4"/>
  <c r="AC105" i="4"/>
  <c r="Z105" i="4"/>
  <c r="AA105" i="4" s="1"/>
  <c r="Y105" i="4"/>
  <c r="W105" i="4"/>
  <c r="V105" i="4"/>
  <c r="U105" i="4"/>
  <c r="Q105" i="4"/>
  <c r="O105" i="4"/>
  <c r="N105" i="4"/>
  <c r="M105" i="4"/>
  <c r="J105" i="4"/>
  <c r="K105" i="4" s="1"/>
  <c r="I105" i="4"/>
  <c r="H105" i="4"/>
  <c r="G105" i="4"/>
  <c r="F105" i="4"/>
  <c r="E105" i="4"/>
  <c r="D105" i="4"/>
  <c r="C105" i="4"/>
  <c r="B105" i="4"/>
  <c r="A105" i="4"/>
  <c r="AF104" i="4"/>
  <c r="AE104" i="4"/>
  <c r="AD104" i="4"/>
  <c r="AC104" i="4"/>
  <c r="Y104" i="4"/>
  <c r="X104" i="4"/>
  <c r="W104" i="4"/>
  <c r="V104" i="4"/>
  <c r="U104" i="4"/>
  <c r="R104" i="4"/>
  <c r="S104" i="4" s="1"/>
  <c r="Q104" i="4"/>
  <c r="O104" i="4"/>
  <c r="N104" i="4"/>
  <c r="M104" i="4"/>
  <c r="J104" i="4"/>
  <c r="K104" i="4" s="1"/>
  <c r="I104" i="4"/>
  <c r="H104" i="4"/>
  <c r="G104" i="4"/>
  <c r="F104" i="4"/>
  <c r="E104" i="4"/>
  <c r="C104" i="4"/>
  <c r="P104" i="4" s="1"/>
  <c r="B104" i="4"/>
  <c r="A104" i="4"/>
  <c r="AF103" i="4"/>
  <c r="AE103" i="4"/>
  <c r="AD103" i="4"/>
  <c r="AC103" i="4"/>
  <c r="AA103" i="4"/>
  <c r="Z103" i="4"/>
  <c r="Y103" i="4"/>
  <c r="W103" i="4"/>
  <c r="V103" i="4"/>
  <c r="U103" i="4"/>
  <c r="Q103" i="4"/>
  <c r="P103" i="4"/>
  <c r="O103" i="4"/>
  <c r="N103" i="4"/>
  <c r="M103" i="4"/>
  <c r="I103" i="4"/>
  <c r="H103" i="4"/>
  <c r="G103" i="4"/>
  <c r="F103" i="4"/>
  <c r="E103" i="4"/>
  <c r="C103" i="4"/>
  <c r="B103" i="4"/>
  <c r="A103" i="4"/>
  <c r="AF102" i="4"/>
  <c r="AE102" i="4"/>
  <c r="AD102" i="4"/>
  <c r="AC102" i="4"/>
  <c r="Y102" i="4"/>
  <c r="W102" i="4"/>
  <c r="V102" i="4"/>
  <c r="U102" i="4"/>
  <c r="Q102" i="4"/>
  <c r="O102" i="4"/>
  <c r="N102" i="4"/>
  <c r="M102" i="4"/>
  <c r="I102" i="4"/>
  <c r="H102" i="4"/>
  <c r="G102" i="4"/>
  <c r="F102" i="4"/>
  <c r="E102" i="4"/>
  <c r="D102" i="4"/>
  <c r="C102" i="4"/>
  <c r="B102" i="4"/>
  <c r="A102" i="4"/>
  <c r="AF101" i="4"/>
  <c r="AE101" i="4"/>
  <c r="AD101" i="4"/>
  <c r="AC101" i="4"/>
  <c r="Y101" i="4"/>
  <c r="X101" i="4"/>
  <c r="W101" i="4"/>
  <c r="V101" i="4"/>
  <c r="U101" i="4"/>
  <c r="T101" i="4"/>
  <c r="R101" i="4"/>
  <c r="S101" i="4" s="1"/>
  <c r="Q101" i="4"/>
  <c r="O101" i="4"/>
  <c r="N101" i="4"/>
  <c r="M101" i="4"/>
  <c r="J101" i="4"/>
  <c r="I101" i="4"/>
  <c r="H101" i="4"/>
  <c r="G101" i="4"/>
  <c r="F101" i="4"/>
  <c r="E101" i="4"/>
  <c r="C101" i="4"/>
  <c r="P101" i="4" s="1"/>
  <c r="B101" i="4"/>
  <c r="A101" i="4"/>
  <c r="AF100" i="4"/>
  <c r="AE100" i="4"/>
  <c r="AD100" i="4"/>
  <c r="AC100" i="4"/>
  <c r="Z100" i="4"/>
  <c r="AA100" i="4" s="1"/>
  <c r="Y100" i="4"/>
  <c r="W100" i="4"/>
  <c r="V100" i="4"/>
  <c r="U100" i="4"/>
  <c r="Q100" i="4"/>
  <c r="P100" i="4"/>
  <c r="O100" i="4"/>
  <c r="N100" i="4"/>
  <c r="M100" i="4"/>
  <c r="I100" i="4"/>
  <c r="H100" i="4"/>
  <c r="G100" i="4"/>
  <c r="F100" i="4"/>
  <c r="E100" i="4"/>
  <c r="C100" i="4"/>
  <c r="B100" i="4"/>
  <c r="A100" i="4"/>
  <c r="AF99" i="4"/>
  <c r="AE99" i="4"/>
  <c r="AD99" i="4"/>
  <c r="AC99" i="4"/>
  <c r="Z99" i="4"/>
  <c r="AA99" i="4" s="1"/>
  <c r="Y99" i="4"/>
  <c r="W99" i="4"/>
  <c r="V99" i="4"/>
  <c r="U99" i="4"/>
  <c r="Q99" i="4"/>
  <c r="P99" i="4"/>
  <c r="O99" i="4"/>
  <c r="N99" i="4"/>
  <c r="M99" i="4"/>
  <c r="J99" i="4"/>
  <c r="K99" i="4" s="1"/>
  <c r="I99" i="4"/>
  <c r="H99" i="4"/>
  <c r="G99" i="4"/>
  <c r="F99" i="4"/>
  <c r="E99" i="4"/>
  <c r="D99" i="4"/>
  <c r="C99" i="4"/>
  <c r="B99" i="4"/>
  <c r="A99" i="4"/>
  <c r="T99" i="4" s="1"/>
  <c r="AF98" i="4"/>
  <c r="AE98" i="4"/>
  <c r="AD98" i="4"/>
  <c r="AC98" i="4"/>
  <c r="Y98" i="4"/>
  <c r="X98" i="4"/>
  <c r="W98" i="4"/>
  <c r="V98" i="4"/>
  <c r="U98" i="4"/>
  <c r="R98" i="4"/>
  <c r="S98" i="4" s="1"/>
  <c r="Q98" i="4"/>
  <c r="O98" i="4"/>
  <c r="N98" i="4"/>
  <c r="M98" i="4"/>
  <c r="J98" i="4"/>
  <c r="K98" i="4" s="1"/>
  <c r="I98" i="4"/>
  <c r="H98" i="4"/>
  <c r="G98" i="4"/>
  <c r="F98" i="4"/>
  <c r="E98" i="4"/>
  <c r="C98" i="4"/>
  <c r="P98" i="4" s="1"/>
  <c r="B98" i="4"/>
  <c r="A98" i="4"/>
  <c r="AF97" i="4"/>
  <c r="AE97" i="4"/>
  <c r="AD97" i="4"/>
  <c r="AC97" i="4"/>
  <c r="AA97" i="4"/>
  <c r="Z97" i="4"/>
  <c r="Y97" i="4"/>
  <c r="W97" i="4"/>
  <c r="V97" i="4"/>
  <c r="U97" i="4"/>
  <c r="Q97" i="4"/>
  <c r="P97" i="4"/>
  <c r="O97" i="4"/>
  <c r="N97" i="4"/>
  <c r="M97" i="4"/>
  <c r="I97" i="4"/>
  <c r="H97" i="4"/>
  <c r="G97" i="4"/>
  <c r="F97" i="4"/>
  <c r="E97" i="4"/>
  <c r="C97" i="4"/>
  <c r="B97" i="4"/>
  <c r="A97" i="4"/>
  <c r="AF96" i="4"/>
  <c r="AE96" i="4"/>
  <c r="AD96" i="4"/>
  <c r="AC96" i="4"/>
  <c r="Y96" i="4"/>
  <c r="W96" i="4"/>
  <c r="V96" i="4"/>
  <c r="U96" i="4"/>
  <c r="Q96" i="4"/>
  <c r="O96" i="4"/>
  <c r="N96" i="4"/>
  <c r="M96" i="4"/>
  <c r="L96" i="4"/>
  <c r="I96" i="4"/>
  <c r="H96" i="4"/>
  <c r="G96" i="4"/>
  <c r="F96" i="4"/>
  <c r="E96" i="4"/>
  <c r="D96" i="4"/>
  <c r="C96" i="4"/>
  <c r="B96" i="4"/>
  <c r="A96" i="4"/>
  <c r="T96" i="4" s="1"/>
  <c r="AF95" i="4"/>
  <c r="AE95" i="4"/>
  <c r="AD95" i="4"/>
  <c r="AC95" i="4"/>
  <c r="Y95" i="4"/>
  <c r="X95" i="4"/>
  <c r="W95" i="4"/>
  <c r="V95" i="4"/>
  <c r="U95" i="4"/>
  <c r="T95" i="4"/>
  <c r="R95" i="4"/>
  <c r="S95" i="4" s="1"/>
  <c r="Q95" i="4"/>
  <c r="O95" i="4"/>
  <c r="N95" i="4"/>
  <c r="M95" i="4"/>
  <c r="J95" i="4"/>
  <c r="I95" i="4"/>
  <c r="H95" i="4"/>
  <c r="G95" i="4"/>
  <c r="F95" i="4"/>
  <c r="E95" i="4"/>
  <c r="C95" i="4"/>
  <c r="P95" i="4" s="1"/>
  <c r="B95" i="4"/>
  <c r="A95" i="4"/>
  <c r="AF94" i="4"/>
  <c r="AE94" i="4"/>
  <c r="AD94" i="4"/>
  <c r="AC94" i="4"/>
  <c r="Z94" i="4"/>
  <c r="AA94" i="4" s="1"/>
  <c r="Y94" i="4"/>
  <c r="W94" i="4"/>
  <c r="V94" i="4"/>
  <c r="U94" i="4"/>
  <c r="T94" i="4"/>
  <c r="Q94" i="4"/>
  <c r="P94" i="4"/>
  <c r="O94" i="4"/>
  <c r="N94" i="4"/>
  <c r="M94" i="4"/>
  <c r="I94" i="4"/>
  <c r="H94" i="4"/>
  <c r="G94" i="4"/>
  <c r="F94" i="4"/>
  <c r="E94" i="4"/>
  <c r="C94" i="4"/>
  <c r="B94" i="4"/>
  <c r="A94" i="4"/>
  <c r="AF93" i="4"/>
  <c r="AE93" i="4"/>
  <c r="AD93" i="4"/>
  <c r="AC93" i="4"/>
  <c r="Z93" i="4"/>
  <c r="AA93" i="4" s="1"/>
  <c r="Y93" i="4"/>
  <c r="W93" i="4"/>
  <c r="V93" i="4"/>
  <c r="U93" i="4"/>
  <c r="Q93" i="4"/>
  <c r="P93" i="4"/>
  <c r="O93" i="4"/>
  <c r="N93" i="4"/>
  <c r="M93" i="4"/>
  <c r="K93" i="4"/>
  <c r="J93" i="4"/>
  <c r="I93" i="4"/>
  <c r="H93" i="4"/>
  <c r="G93" i="4"/>
  <c r="F93" i="4"/>
  <c r="E93" i="4"/>
  <c r="D93" i="4"/>
  <c r="C93" i="4"/>
  <c r="B93" i="4"/>
  <c r="A93" i="4"/>
  <c r="AF92" i="4"/>
  <c r="AE92" i="4"/>
  <c r="AD92" i="4"/>
  <c r="AC92" i="4"/>
  <c r="Y92" i="4"/>
  <c r="X92" i="4"/>
  <c r="W92" i="4"/>
  <c r="V92" i="4"/>
  <c r="U92" i="4"/>
  <c r="R92" i="4"/>
  <c r="S92" i="4" s="1"/>
  <c r="Q92" i="4"/>
  <c r="O92" i="4"/>
  <c r="N92" i="4"/>
  <c r="M92" i="4"/>
  <c r="J92" i="4"/>
  <c r="K92" i="4" s="1"/>
  <c r="I92" i="4"/>
  <c r="H92" i="4"/>
  <c r="G92" i="4"/>
  <c r="F92" i="4"/>
  <c r="E92" i="4"/>
  <c r="C92" i="4"/>
  <c r="P92" i="4" s="1"/>
  <c r="B92" i="4"/>
  <c r="A92" i="4"/>
  <c r="AF91" i="4"/>
  <c r="AE91" i="4"/>
  <c r="AD91" i="4"/>
  <c r="AC91" i="4"/>
  <c r="AA91" i="4"/>
  <c r="Z91" i="4"/>
  <c r="Y91" i="4"/>
  <c r="W91" i="4"/>
  <c r="V91" i="4"/>
  <c r="U91" i="4"/>
  <c r="Q91" i="4"/>
  <c r="P91" i="4"/>
  <c r="O91" i="4"/>
  <c r="N91" i="4"/>
  <c r="M91" i="4"/>
  <c r="I91" i="4"/>
  <c r="H91" i="4"/>
  <c r="G91" i="4"/>
  <c r="F91" i="4"/>
  <c r="E91" i="4"/>
  <c r="C91" i="4"/>
  <c r="B91" i="4"/>
  <c r="A91" i="4"/>
  <c r="AF90" i="4"/>
  <c r="AE90" i="4"/>
  <c r="AD90" i="4"/>
  <c r="AC90" i="4"/>
  <c r="Y90" i="4"/>
  <c r="W90" i="4"/>
  <c r="V90" i="4"/>
  <c r="U90" i="4"/>
  <c r="Q90" i="4"/>
  <c r="O90" i="4"/>
  <c r="N90" i="4"/>
  <c r="M90" i="4"/>
  <c r="I90" i="4"/>
  <c r="H90" i="4"/>
  <c r="G90" i="4"/>
  <c r="F90" i="4"/>
  <c r="E90" i="4"/>
  <c r="D90" i="4"/>
  <c r="C90" i="4"/>
  <c r="Z90" i="4" s="1"/>
  <c r="AA90" i="4" s="1"/>
  <c r="B90" i="4"/>
  <c r="A90" i="4"/>
  <c r="AF89" i="4"/>
  <c r="AE89" i="4"/>
  <c r="AD89" i="4"/>
  <c r="AC89" i="4"/>
  <c r="Y89" i="4"/>
  <c r="X89" i="4"/>
  <c r="W89" i="4"/>
  <c r="V89" i="4"/>
  <c r="U89" i="4"/>
  <c r="T89" i="4"/>
  <c r="R89" i="4"/>
  <c r="S89" i="4" s="1"/>
  <c r="Q89" i="4"/>
  <c r="O89" i="4"/>
  <c r="N89" i="4"/>
  <c r="M89" i="4"/>
  <c r="J89" i="4"/>
  <c r="K89" i="4" s="1"/>
  <c r="I89" i="4"/>
  <c r="H89" i="4"/>
  <c r="G89" i="4"/>
  <c r="F89" i="4"/>
  <c r="E89" i="4"/>
  <c r="C89" i="4"/>
  <c r="P89" i="4" s="1"/>
  <c r="B89" i="4"/>
  <c r="A89" i="4"/>
  <c r="AF88" i="4"/>
  <c r="AE88" i="4"/>
  <c r="AD88" i="4"/>
  <c r="AC88" i="4"/>
  <c r="AA88" i="4"/>
  <c r="Z88" i="4"/>
  <c r="Y88" i="4"/>
  <c r="W88" i="4"/>
  <c r="V88" i="4"/>
  <c r="U88" i="4"/>
  <c r="T88" i="4"/>
  <c r="Q88" i="4"/>
  <c r="P88" i="4"/>
  <c r="O88" i="4"/>
  <c r="N88" i="4"/>
  <c r="M88" i="4"/>
  <c r="I88" i="4"/>
  <c r="H88" i="4"/>
  <c r="G88" i="4"/>
  <c r="F88" i="4"/>
  <c r="E88" i="4"/>
  <c r="C88" i="4"/>
  <c r="B88" i="4"/>
  <c r="A88" i="4"/>
  <c r="AF87" i="4"/>
  <c r="AE87" i="4"/>
  <c r="AD87" i="4"/>
  <c r="AC87" i="4"/>
  <c r="Y87" i="4"/>
  <c r="W87" i="4"/>
  <c r="V87" i="4"/>
  <c r="U87" i="4"/>
  <c r="Q87" i="4"/>
  <c r="P87" i="4"/>
  <c r="O87" i="4"/>
  <c r="N87" i="4"/>
  <c r="M87" i="4"/>
  <c r="I87" i="4"/>
  <c r="H87" i="4"/>
  <c r="G87" i="4"/>
  <c r="F87" i="4"/>
  <c r="E87" i="4"/>
  <c r="D87" i="4"/>
  <c r="C87" i="4"/>
  <c r="B87" i="4"/>
  <c r="A87" i="4"/>
  <c r="AF86" i="4"/>
  <c r="AE86" i="4"/>
  <c r="AD86" i="4"/>
  <c r="AC86" i="4"/>
  <c r="Y86" i="4"/>
  <c r="X86" i="4"/>
  <c r="W86" i="4"/>
  <c r="V86" i="4"/>
  <c r="U86" i="4"/>
  <c r="T86" i="4"/>
  <c r="R86" i="4"/>
  <c r="S86" i="4" s="1"/>
  <c r="Q86" i="4"/>
  <c r="O86" i="4"/>
  <c r="N86" i="4"/>
  <c r="M86" i="4"/>
  <c r="J86" i="4"/>
  <c r="I86" i="4"/>
  <c r="H86" i="4"/>
  <c r="G86" i="4"/>
  <c r="F86" i="4"/>
  <c r="E86" i="4"/>
  <c r="C86" i="4"/>
  <c r="P86" i="4" s="1"/>
  <c r="B86" i="4"/>
  <c r="A86" i="4"/>
  <c r="AF85" i="4"/>
  <c r="AE85" i="4"/>
  <c r="AD85" i="4"/>
  <c r="AC85" i="4"/>
  <c r="Z85" i="4"/>
  <c r="AA85" i="4" s="1"/>
  <c r="Y85" i="4"/>
  <c r="W85" i="4"/>
  <c r="V85" i="4"/>
  <c r="U85" i="4"/>
  <c r="Q85" i="4"/>
  <c r="P85" i="4"/>
  <c r="O85" i="4"/>
  <c r="N85" i="4"/>
  <c r="M85" i="4"/>
  <c r="I85" i="4"/>
  <c r="H85" i="4"/>
  <c r="G85" i="4"/>
  <c r="F85" i="4"/>
  <c r="E85" i="4"/>
  <c r="C85" i="4"/>
  <c r="B85" i="4"/>
  <c r="A85" i="4"/>
  <c r="AF84" i="4"/>
  <c r="AE84" i="4"/>
  <c r="AD84" i="4"/>
  <c r="AC84" i="4"/>
  <c r="Z84" i="4"/>
  <c r="AA84" i="4" s="1"/>
  <c r="Y84" i="4"/>
  <c r="W84" i="4"/>
  <c r="V84" i="4"/>
  <c r="U84" i="4"/>
  <c r="Q84" i="4"/>
  <c r="P84" i="4"/>
  <c r="O84" i="4"/>
  <c r="N84" i="4"/>
  <c r="M84" i="4"/>
  <c r="J84" i="4"/>
  <c r="K84" i="4" s="1"/>
  <c r="I84" i="4"/>
  <c r="H84" i="4"/>
  <c r="G84" i="4"/>
  <c r="F84" i="4"/>
  <c r="E84" i="4"/>
  <c r="D84" i="4"/>
  <c r="C84" i="4"/>
  <c r="B84" i="4"/>
  <c r="A84" i="4"/>
  <c r="AF83" i="4"/>
  <c r="AE83" i="4"/>
  <c r="AD83" i="4"/>
  <c r="AC83" i="4"/>
  <c r="Y83" i="4"/>
  <c r="X83" i="4"/>
  <c r="W83" i="4"/>
  <c r="V83" i="4"/>
  <c r="U83" i="4"/>
  <c r="R83" i="4"/>
  <c r="S83" i="4" s="1"/>
  <c r="Q83" i="4"/>
  <c r="O83" i="4"/>
  <c r="N83" i="4"/>
  <c r="M83" i="4"/>
  <c r="J83" i="4"/>
  <c r="K83" i="4" s="1"/>
  <c r="I83" i="4"/>
  <c r="H83" i="4"/>
  <c r="G83" i="4"/>
  <c r="F83" i="4"/>
  <c r="E83" i="4"/>
  <c r="C83" i="4"/>
  <c r="P83" i="4" s="1"/>
  <c r="B83" i="4"/>
  <c r="A83" i="4"/>
  <c r="AF82" i="4"/>
  <c r="AE82" i="4"/>
  <c r="AD82" i="4"/>
  <c r="AC82" i="4"/>
  <c r="AA82" i="4"/>
  <c r="Z82" i="4"/>
  <c r="Y82" i="4"/>
  <c r="W82" i="4"/>
  <c r="V82" i="4"/>
  <c r="U82" i="4"/>
  <c r="Q82" i="4"/>
  <c r="P82" i="4"/>
  <c r="O82" i="4"/>
  <c r="N82" i="4"/>
  <c r="M82" i="4"/>
  <c r="I82" i="4"/>
  <c r="H82" i="4"/>
  <c r="G82" i="4"/>
  <c r="F82" i="4"/>
  <c r="E82" i="4"/>
  <c r="C82" i="4"/>
  <c r="B82" i="4"/>
  <c r="A82" i="4"/>
  <c r="AF81" i="4"/>
  <c r="AE81" i="4"/>
  <c r="AD81" i="4"/>
  <c r="AC81" i="4"/>
  <c r="Y81" i="4"/>
  <c r="W81" i="4"/>
  <c r="V81" i="4"/>
  <c r="U81" i="4"/>
  <c r="Q81" i="4"/>
  <c r="O81" i="4"/>
  <c r="N81" i="4"/>
  <c r="M81" i="4"/>
  <c r="I81" i="4"/>
  <c r="H81" i="4"/>
  <c r="G81" i="4"/>
  <c r="F81" i="4"/>
  <c r="E81" i="4"/>
  <c r="D81" i="4"/>
  <c r="C81" i="4"/>
  <c r="P81" i="4" s="1"/>
  <c r="B81" i="4"/>
  <c r="A81" i="4"/>
  <c r="AF80" i="4"/>
  <c r="AE80" i="4"/>
  <c r="AD80" i="4"/>
  <c r="AC80" i="4"/>
  <c r="Y80" i="4"/>
  <c r="X80" i="4"/>
  <c r="W80" i="4"/>
  <c r="V80" i="4"/>
  <c r="U80" i="4"/>
  <c r="R80" i="4"/>
  <c r="S80" i="4" s="1"/>
  <c r="Q80" i="4"/>
  <c r="O80" i="4"/>
  <c r="N80" i="4"/>
  <c r="M80" i="4"/>
  <c r="J80" i="4"/>
  <c r="I80" i="4"/>
  <c r="H80" i="4"/>
  <c r="G80" i="4"/>
  <c r="F80" i="4"/>
  <c r="E80" i="4"/>
  <c r="C80" i="4"/>
  <c r="P80" i="4" s="1"/>
  <c r="B80" i="4"/>
  <c r="A80" i="4"/>
  <c r="AF79" i="4"/>
  <c r="AE79" i="4"/>
  <c r="AD79" i="4"/>
  <c r="AC79" i="4"/>
  <c r="Z79" i="4"/>
  <c r="AA79" i="4" s="1"/>
  <c r="Y79" i="4"/>
  <c r="W79" i="4"/>
  <c r="V79" i="4"/>
  <c r="U79" i="4"/>
  <c r="Q79" i="4"/>
  <c r="P79" i="4"/>
  <c r="O79" i="4"/>
  <c r="N79" i="4"/>
  <c r="M79" i="4"/>
  <c r="I79" i="4"/>
  <c r="H79" i="4"/>
  <c r="G79" i="4"/>
  <c r="F79" i="4"/>
  <c r="E79" i="4"/>
  <c r="C79" i="4"/>
  <c r="B79" i="4"/>
  <c r="A79" i="4"/>
  <c r="AF78" i="4"/>
  <c r="AE78" i="4"/>
  <c r="AD78" i="4"/>
  <c r="AC78" i="4"/>
  <c r="Z78" i="4"/>
  <c r="AA78" i="4" s="1"/>
  <c r="Y78" i="4"/>
  <c r="W78" i="4"/>
  <c r="V78" i="4"/>
  <c r="U78" i="4"/>
  <c r="Q78" i="4"/>
  <c r="O78" i="4"/>
  <c r="N78" i="4"/>
  <c r="M78" i="4"/>
  <c r="L78" i="4"/>
  <c r="J78" i="4"/>
  <c r="K78" i="4" s="1"/>
  <c r="I78" i="4"/>
  <c r="H78" i="4"/>
  <c r="G78" i="4"/>
  <c r="F78" i="4"/>
  <c r="E78" i="4"/>
  <c r="D78" i="4"/>
  <c r="C78" i="4"/>
  <c r="B78" i="4"/>
  <c r="A78" i="4"/>
  <c r="AF77" i="4"/>
  <c r="AE77" i="4"/>
  <c r="AD77" i="4"/>
  <c r="AC77" i="4"/>
  <c r="Y77" i="4"/>
  <c r="X77" i="4"/>
  <c r="W77" i="4"/>
  <c r="V77" i="4"/>
  <c r="U77" i="4"/>
  <c r="R77" i="4"/>
  <c r="S77" i="4" s="1"/>
  <c r="Q77" i="4"/>
  <c r="O77" i="4"/>
  <c r="N77" i="4"/>
  <c r="M77" i="4"/>
  <c r="J77" i="4"/>
  <c r="I77" i="4"/>
  <c r="H77" i="4"/>
  <c r="G77" i="4"/>
  <c r="F77" i="4"/>
  <c r="E77" i="4"/>
  <c r="C77" i="4"/>
  <c r="P77" i="4" s="1"/>
  <c r="B77" i="4"/>
  <c r="A77" i="4"/>
  <c r="AF76" i="4"/>
  <c r="AE76" i="4"/>
  <c r="AD76" i="4"/>
  <c r="AC76" i="4"/>
  <c r="Z76" i="4"/>
  <c r="AA76" i="4" s="1"/>
  <c r="Y76" i="4"/>
  <c r="W76" i="4"/>
  <c r="V76" i="4"/>
  <c r="U76" i="4"/>
  <c r="Q76" i="4"/>
  <c r="P76" i="4"/>
  <c r="O76" i="4"/>
  <c r="N76" i="4"/>
  <c r="M76" i="4"/>
  <c r="I76" i="4"/>
  <c r="H76" i="4"/>
  <c r="G76" i="4"/>
  <c r="F76" i="4"/>
  <c r="E76" i="4"/>
  <c r="C76" i="4"/>
  <c r="B76" i="4"/>
  <c r="A76" i="4"/>
  <c r="AF75" i="4"/>
  <c r="AE75" i="4"/>
  <c r="AD75" i="4"/>
  <c r="AC75" i="4"/>
  <c r="Z75" i="4"/>
  <c r="AA75" i="4" s="1"/>
  <c r="Y75" i="4"/>
  <c r="W75" i="4"/>
  <c r="V75" i="4"/>
  <c r="U75" i="4"/>
  <c r="Q75" i="4"/>
  <c r="O75" i="4"/>
  <c r="N75" i="4"/>
  <c r="M75" i="4"/>
  <c r="L75" i="4"/>
  <c r="J75" i="4"/>
  <c r="K75" i="4" s="1"/>
  <c r="I75" i="4"/>
  <c r="H75" i="4"/>
  <c r="G75" i="4"/>
  <c r="F75" i="4"/>
  <c r="E75" i="4"/>
  <c r="D75" i="4"/>
  <c r="C75" i="4"/>
  <c r="P75" i="4" s="1"/>
  <c r="B75" i="4"/>
  <c r="A75" i="4"/>
  <c r="T75" i="4" s="1"/>
  <c r="AF74" i="4"/>
  <c r="AE74" i="4"/>
  <c r="AD74" i="4"/>
  <c r="AC74" i="4"/>
  <c r="Y74" i="4"/>
  <c r="X74" i="4"/>
  <c r="W74" i="4"/>
  <c r="V74" i="4"/>
  <c r="U74" i="4"/>
  <c r="T74" i="4"/>
  <c r="R74" i="4"/>
  <c r="S74" i="4" s="1"/>
  <c r="Q74" i="4"/>
  <c r="O74" i="4"/>
  <c r="N74" i="4"/>
  <c r="M74" i="4"/>
  <c r="J74" i="4"/>
  <c r="K74" i="4" s="1"/>
  <c r="I74" i="4"/>
  <c r="H74" i="4"/>
  <c r="G74" i="4"/>
  <c r="F74" i="4"/>
  <c r="E74" i="4"/>
  <c r="C74" i="4"/>
  <c r="P74" i="4" s="1"/>
  <c r="B74" i="4"/>
  <c r="A74" i="4"/>
  <c r="AF73" i="4"/>
  <c r="AE73" i="4"/>
  <c r="AD73" i="4"/>
  <c r="AC73" i="4"/>
  <c r="AA73" i="4"/>
  <c r="Z73" i="4"/>
  <c r="Y73" i="4"/>
  <c r="W73" i="4"/>
  <c r="V73" i="4"/>
  <c r="U73" i="4"/>
  <c r="Q73" i="4"/>
  <c r="P73" i="4"/>
  <c r="O73" i="4"/>
  <c r="N73" i="4"/>
  <c r="M73" i="4"/>
  <c r="I73" i="4"/>
  <c r="H73" i="4"/>
  <c r="G73" i="4"/>
  <c r="F73" i="4"/>
  <c r="E73" i="4"/>
  <c r="C73" i="4"/>
  <c r="B73" i="4"/>
  <c r="A73" i="4"/>
  <c r="AF72" i="4"/>
  <c r="AE72" i="4"/>
  <c r="AD72" i="4"/>
  <c r="AC72" i="4"/>
  <c r="Y72" i="4"/>
  <c r="W72" i="4"/>
  <c r="V72" i="4"/>
  <c r="U72" i="4"/>
  <c r="Q72" i="4"/>
  <c r="O72" i="4"/>
  <c r="N72" i="4"/>
  <c r="M72" i="4"/>
  <c r="J72" i="4"/>
  <c r="K72" i="4" s="1"/>
  <c r="I72" i="4"/>
  <c r="H72" i="4"/>
  <c r="G72" i="4"/>
  <c r="F72" i="4"/>
  <c r="E72" i="4"/>
  <c r="D72" i="4"/>
  <c r="C72" i="4"/>
  <c r="P72" i="4" s="1"/>
  <c r="B72" i="4"/>
  <c r="A72" i="4"/>
  <c r="AF71" i="4"/>
  <c r="AE71" i="4"/>
  <c r="AD71" i="4"/>
  <c r="AC71" i="4"/>
  <c r="Z71" i="4"/>
  <c r="Y71" i="4"/>
  <c r="X71" i="4"/>
  <c r="W71" i="4"/>
  <c r="V71" i="4"/>
  <c r="U71" i="4"/>
  <c r="S71" i="4"/>
  <c r="R71" i="4"/>
  <c r="Q71" i="4"/>
  <c r="O71" i="4"/>
  <c r="N71" i="4"/>
  <c r="M71" i="4"/>
  <c r="K71" i="4"/>
  <c r="J71" i="4"/>
  <c r="I71" i="4"/>
  <c r="H71" i="4"/>
  <c r="G71" i="4"/>
  <c r="F71" i="4"/>
  <c r="E71" i="4"/>
  <c r="C71" i="4"/>
  <c r="P71" i="4" s="1"/>
  <c r="B71" i="4"/>
  <c r="A71" i="4"/>
  <c r="AF70" i="4"/>
  <c r="AE70" i="4"/>
  <c r="AD70" i="4"/>
  <c r="AC70" i="4"/>
  <c r="AA70" i="4"/>
  <c r="Z70" i="4"/>
  <c r="Y70" i="4"/>
  <c r="AB70" i="4" s="1"/>
  <c r="W70" i="4"/>
  <c r="V70" i="4"/>
  <c r="U70" i="4"/>
  <c r="Q70" i="4"/>
  <c r="P70" i="4"/>
  <c r="O70" i="4"/>
  <c r="N70" i="4"/>
  <c r="M70" i="4"/>
  <c r="I70" i="4"/>
  <c r="H70" i="4"/>
  <c r="G70" i="4"/>
  <c r="F70" i="4"/>
  <c r="E70" i="4"/>
  <c r="C70" i="4"/>
  <c r="B70" i="4"/>
  <c r="A70" i="4"/>
  <c r="AF69" i="4"/>
  <c r="AE69" i="4"/>
  <c r="AD69" i="4"/>
  <c r="AC69" i="4"/>
  <c r="Z69" i="4"/>
  <c r="AA69" i="4" s="1"/>
  <c r="Y69" i="4"/>
  <c r="W69" i="4"/>
  <c r="V69" i="4"/>
  <c r="U69" i="4"/>
  <c r="Q69" i="4"/>
  <c r="P69" i="4"/>
  <c r="O69" i="4"/>
  <c r="N69" i="4"/>
  <c r="M69" i="4"/>
  <c r="I69" i="4"/>
  <c r="H69" i="4"/>
  <c r="G69" i="4"/>
  <c r="F69" i="4"/>
  <c r="E69" i="4"/>
  <c r="C69" i="4"/>
  <c r="R69" i="4" s="1"/>
  <c r="S69" i="4" s="1"/>
  <c r="B69" i="4"/>
  <c r="A69" i="4"/>
  <c r="AB69" i="4" s="1"/>
  <c r="AF68" i="4"/>
  <c r="AE68" i="4"/>
  <c r="AD68" i="4"/>
  <c r="AC68" i="4"/>
  <c r="Z68" i="4"/>
  <c r="Y68" i="4"/>
  <c r="X68" i="4"/>
  <c r="W68" i="4"/>
  <c r="V68" i="4"/>
  <c r="U68" i="4"/>
  <c r="T68" i="4"/>
  <c r="R68" i="4"/>
  <c r="S68" i="4" s="1"/>
  <c r="Q68" i="4"/>
  <c r="O68" i="4"/>
  <c r="N68" i="4"/>
  <c r="M68" i="4"/>
  <c r="J68" i="4"/>
  <c r="I68" i="4"/>
  <c r="H68" i="4"/>
  <c r="G68" i="4"/>
  <c r="K68" i="4" s="1"/>
  <c r="F68" i="4"/>
  <c r="E68" i="4"/>
  <c r="C68" i="4"/>
  <c r="P68" i="4" s="1"/>
  <c r="B68" i="4"/>
  <c r="A68" i="4"/>
  <c r="AF67" i="4"/>
  <c r="AE67" i="4"/>
  <c r="AD67" i="4"/>
  <c r="AC67" i="4"/>
  <c r="Z67" i="4"/>
  <c r="AA67" i="4" s="1"/>
  <c r="Y67" i="4"/>
  <c r="W67" i="4"/>
  <c r="V67" i="4"/>
  <c r="U67" i="4"/>
  <c r="Q67" i="4"/>
  <c r="O67" i="4"/>
  <c r="N67" i="4"/>
  <c r="M67" i="4"/>
  <c r="I67" i="4"/>
  <c r="H67" i="4"/>
  <c r="G67" i="4"/>
  <c r="F67" i="4"/>
  <c r="E67" i="4"/>
  <c r="D67" i="4"/>
  <c r="C67" i="4"/>
  <c r="P67" i="4" s="1"/>
  <c r="B67" i="4"/>
  <c r="A67" i="4"/>
  <c r="AF66" i="4"/>
  <c r="AE66" i="4"/>
  <c r="AD66" i="4"/>
  <c r="AC66" i="4"/>
  <c r="Y66" i="4"/>
  <c r="X66" i="4"/>
  <c r="W66" i="4"/>
  <c r="V66" i="4"/>
  <c r="U66" i="4"/>
  <c r="Q66" i="4"/>
  <c r="O66" i="4"/>
  <c r="N66" i="4"/>
  <c r="M66" i="4"/>
  <c r="J66" i="4"/>
  <c r="K66" i="4" s="1"/>
  <c r="I66" i="4"/>
  <c r="H66" i="4"/>
  <c r="G66" i="4"/>
  <c r="F66" i="4"/>
  <c r="E66" i="4"/>
  <c r="D66" i="4"/>
  <c r="C66" i="4"/>
  <c r="B66" i="4"/>
  <c r="A66" i="4"/>
  <c r="AF65" i="4"/>
  <c r="AE65" i="4"/>
  <c r="AD65" i="4"/>
  <c r="AC65" i="4"/>
  <c r="Z65" i="4"/>
  <c r="Y65" i="4"/>
  <c r="X65" i="4"/>
  <c r="W65" i="4"/>
  <c r="V65" i="4"/>
  <c r="U65" i="4"/>
  <c r="R65" i="4"/>
  <c r="S65" i="4" s="1"/>
  <c r="Q65" i="4"/>
  <c r="O65" i="4"/>
  <c r="N65" i="4"/>
  <c r="M65" i="4"/>
  <c r="L65" i="4"/>
  <c r="J65" i="4"/>
  <c r="I65" i="4"/>
  <c r="H65" i="4"/>
  <c r="G65" i="4"/>
  <c r="F65" i="4"/>
  <c r="E65" i="4"/>
  <c r="C65" i="4"/>
  <c r="P65" i="4" s="1"/>
  <c r="B65" i="4"/>
  <c r="A65" i="4"/>
  <c r="AF64" i="4"/>
  <c r="AE64" i="4"/>
  <c r="AD64" i="4"/>
  <c r="AC64" i="4"/>
  <c r="Z64" i="4"/>
  <c r="AA64" i="4" s="1"/>
  <c r="Y64" i="4"/>
  <c r="W64" i="4"/>
  <c r="V64" i="4"/>
  <c r="U64" i="4"/>
  <c r="R64" i="4"/>
  <c r="S64" i="4" s="1"/>
  <c r="Q64" i="4"/>
  <c r="P64" i="4"/>
  <c r="O64" i="4"/>
  <c r="N64" i="4"/>
  <c r="M64" i="4"/>
  <c r="I64" i="4"/>
  <c r="H64" i="4"/>
  <c r="G64" i="4"/>
  <c r="F64" i="4"/>
  <c r="E64" i="4"/>
  <c r="C64" i="4"/>
  <c r="X64" i="4" s="1"/>
  <c r="B64" i="4"/>
  <c r="A64" i="4"/>
  <c r="D64" i="4" s="1"/>
  <c r="AF63" i="4"/>
  <c r="AE63" i="4"/>
  <c r="AD63" i="4"/>
  <c r="AC63" i="4"/>
  <c r="Z63" i="4"/>
  <c r="AA63" i="4" s="1"/>
  <c r="Y63" i="4"/>
  <c r="X63" i="4"/>
  <c r="W63" i="4"/>
  <c r="V63" i="4"/>
  <c r="U63" i="4"/>
  <c r="R63" i="4"/>
  <c r="S63" i="4" s="1"/>
  <c r="Q63" i="4"/>
  <c r="O63" i="4"/>
  <c r="N63" i="4"/>
  <c r="M63" i="4"/>
  <c r="K63" i="4"/>
  <c r="J63" i="4"/>
  <c r="I63" i="4"/>
  <c r="H63" i="4"/>
  <c r="G63" i="4"/>
  <c r="F63" i="4"/>
  <c r="E63" i="4"/>
  <c r="C63" i="4"/>
  <c r="P63" i="4" s="1"/>
  <c r="B63" i="4"/>
  <c r="A63" i="4"/>
  <c r="AF62" i="4"/>
  <c r="AE62" i="4"/>
  <c r="AD62" i="4"/>
  <c r="AC62" i="4"/>
  <c r="Y62" i="4"/>
  <c r="W62" i="4"/>
  <c r="V62" i="4"/>
  <c r="U62" i="4"/>
  <c r="Q62" i="4"/>
  <c r="O62" i="4"/>
  <c r="N62" i="4"/>
  <c r="M62" i="4"/>
  <c r="I62" i="4"/>
  <c r="H62" i="4"/>
  <c r="G62" i="4"/>
  <c r="F62" i="4"/>
  <c r="E62" i="4"/>
  <c r="C62" i="4"/>
  <c r="R62" i="4" s="1"/>
  <c r="S62" i="4" s="1"/>
  <c r="B62" i="4"/>
  <c r="A62" i="4"/>
  <c r="AF61" i="4"/>
  <c r="AE61" i="4"/>
  <c r="AD61" i="4"/>
  <c r="AC61" i="4"/>
  <c r="Y61" i="4"/>
  <c r="W61" i="4"/>
  <c r="V61" i="4"/>
  <c r="U61" i="4"/>
  <c r="R61" i="4"/>
  <c r="S61" i="4" s="1"/>
  <c r="Q61" i="4"/>
  <c r="O61" i="4"/>
  <c r="N61" i="4"/>
  <c r="M61" i="4"/>
  <c r="K61" i="4"/>
  <c r="J61" i="4"/>
  <c r="I61" i="4"/>
  <c r="H61" i="4"/>
  <c r="G61" i="4"/>
  <c r="F61" i="4"/>
  <c r="E61" i="4"/>
  <c r="D61" i="4"/>
  <c r="C61" i="4"/>
  <c r="B61" i="4"/>
  <c r="A61" i="4"/>
  <c r="AF60" i="4"/>
  <c r="AE60" i="4"/>
  <c r="AD60" i="4"/>
  <c r="AC60" i="4"/>
  <c r="Y60" i="4"/>
  <c r="W60" i="4"/>
  <c r="V60" i="4"/>
  <c r="U60" i="4"/>
  <c r="Q60" i="4"/>
  <c r="O60" i="4"/>
  <c r="N60" i="4"/>
  <c r="M60" i="4"/>
  <c r="I60" i="4"/>
  <c r="H60" i="4"/>
  <c r="G60" i="4"/>
  <c r="F60" i="4"/>
  <c r="E60" i="4"/>
  <c r="D60" i="4"/>
  <c r="C60" i="4"/>
  <c r="R60" i="4" s="1"/>
  <c r="S60" i="4" s="1"/>
  <c r="B60" i="4"/>
  <c r="A60" i="4"/>
  <c r="AB60" i="4" s="1"/>
  <c r="AF59" i="4"/>
  <c r="AE59" i="4"/>
  <c r="AD59" i="4"/>
  <c r="AC59" i="4"/>
  <c r="Y59" i="4"/>
  <c r="W59" i="4"/>
  <c r="V59" i="4"/>
  <c r="U59" i="4"/>
  <c r="T59" i="4"/>
  <c r="Q59" i="4"/>
  <c r="O59" i="4"/>
  <c r="N59" i="4"/>
  <c r="M59" i="4"/>
  <c r="I59" i="4"/>
  <c r="L59" i="4" s="1"/>
  <c r="H59" i="4"/>
  <c r="G59" i="4"/>
  <c r="F59" i="4"/>
  <c r="E59" i="4"/>
  <c r="C59" i="4"/>
  <c r="B59" i="4"/>
  <c r="A59" i="4"/>
  <c r="AF58" i="4"/>
  <c r="AE58" i="4"/>
  <c r="AD58" i="4"/>
  <c r="AC58" i="4"/>
  <c r="Z58" i="4"/>
  <c r="AA58" i="4" s="1"/>
  <c r="Y58" i="4"/>
  <c r="W58" i="4"/>
  <c r="V58" i="4"/>
  <c r="U58" i="4"/>
  <c r="R58" i="4"/>
  <c r="S58" i="4" s="1"/>
  <c r="Q58" i="4"/>
  <c r="O58" i="4"/>
  <c r="N58" i="4"/>
  <c r="M58" i="4"/>
  <c r="J58" i="4"/>
  <c r="K58" i="4" s="1"/>
  <c r="I58" i="4"/>
  <c r="H58" i="4"/>
  <c r="G58" i="4"/>
  <c r="F58" i="4"/>
  <c r="E58" i="4"/>
  <c r="D58" i="4"/>
  <c r="C58" i="4"/>
  <c r="X58" i="4" s="1"/>
  <c r="B58" i="4"/>
  <c r="A58" i="4"/>
  <c r="AF57" i="4"/>
  <c r="AE57" i="4"/>
  <c r="AD57" i="4"/>
  <c r="AC57" i="4"/>
  <c r="Y57" i="4"/>
  <c r="X57" i="4"/>
  <c r="W57" i="4"/>
  <c r="V57" i="4"/>
  <c r="U57" i="4"/>
  <c r="R57" i="4"/>
  <c r="S57" i="4" s="1"/>
  <c r="Q57" i="4"/>
  <c r="P57" i="4"/>
  <c r="O57" i="4"/>
  <c r="N57" i="4"/>
  <c r="M57" i="4"/>
  <c r="J57" i="4"/>
  <c r="K57" i="4" s="1"/>
  <c r="I57" i="4"/>
  <c r="L57" i="4" s="1"/>
  <c r="H57" i="4"/>
  <c r="G57" i="4"/>
  <c r="F57" i="4"/>
  <c r="E57" i="4"/>
  <c r="D57" i="4"/>
  <c r="C57" i="4"/>
  <c r="Z57" i="4" s="1"/>
  <c r="B57" i="4"/>
  <c r="A57" i="4"/>
  <c r="AF56" i="4"/>
  <c r="AE56" i="4"/>
  <c r="AD56" i="4"/>
  <c r="AC56" i="4"/>
  <c r="Z56" i="4"/>
  <c r="AA56" i="4" s="1"/>
  <c r="Y56" i="4"/>
  <c r="W56" i="4"/>
  <c r="V56" i="4"/>
  <c r="U56" i="4"/>
  <c r="R56" i="4"/>
  <c r="S56" i="4" s="1"/>
  <c r="Q56" i="4"/>
  <c r="O56" i="4"/>
  <c r="N56" i="4"/>
  <c r="M56" i="4"/>
  <c r="L56" i="4"/>
  <c r="I56" i="4"/>
  <c r="H56" i="4"/>
  <c r="G56" i="4"/>
  <c r="F56" i="4"/>
  <c r="E56" i="4"/>
  <c r="C56" i="4"/>
  <c r="B56" i="4"/>
  <c r="A56" i="4"/>
  <c r="AF55" i="4"/>
  <c r="AE55" i="4"/>
  <c r="AD55" i="4"/>
  <c r="AC55" i="4"/>
  <c r="Y55" i="4"/>
  <c r="W55" i="4"/>
  <c r="V55" i="4"/>
  <c r="U55" i="4"/>
  <c r="Q55" i="4"/>
  <c r="T55" i="4" s="1"/>
  <c r="P55" i="4"/>
  <c r="O55" i="4"/>
  <c r="N55" i="4"/>
  <c r="M55" i="4"/>
  <c r="I55" i="4"/>
  <c r="H55" i="4"/>
  <c r="G55" i="4"/>
  <c r="F55" i="4"/>
  <c r="E55" i="4"/>
  <c r="D55" i="4"/>
  <c r="C55" i="4"/>
  <c r="B55" i="4"/>
  <c r="A55" i="4"/>
  <c r="AF54" i="4"/>
  <c r="AE54" i="4"/>
  <c r="AD54" i="4"/>
  <c r="AC54" i="4"/>
  <c r="Z54" i="4"/>
  <c r="AA54" i="4" s="1"/>
  <c r="Y54" i="4"/>
  <c r="X54" i="4"/>
  <c r="W54" i="4"/>
  <c r="V54" i="4"/>
  <c r="U54" i="4"/>
  <c r="R54" i="4"/>
  <c r="S54" i="4" s="1"/>
  <c r="Q54" i="4"/>
  <c r="P54" i="4"/>
  <c r="O54" i="4"/>
  <c r="N54" i="4"/>
  <c r="M54" i="4"/>
  <c r="L54" i="4"/>
  <c r="J54" i="4"/>
  <c r="K54" i="4" s="1"/>
  <c r="I54" i="4"/>
  <c r="H54" i="4"/>
  <c r="G54" i="4"/>
  <c r="F54" i="4"/>
  <c r="E54" i="4"/>
  <c r="C54" i="4"/>
  <c r="B54" i="4"/>
  <c r="A54" i="4"/>
  <c r="AF53" i="4"/>
  <c r="AE53" i="4"/>
  <c r="AD53" i="4"/>
  <c r="AC53" i="4"/>
  <c r="Y53" i="4"/>
  <c r="W53" i="4"/>
  <c r="V53" i="4"/>
  <c r="U53" i="4"/>
  <c r="Q53" i="4"/>
  <c r="T53" i="4" s="1"/>
  <c r="O53" i="4"/>
  <c r="N53" i="4"/>
  <c r="M53" i="4"/>
  <c r="I53" i="4"/>
  <c r="H53" i="4"/>
  <c r="G53" i="4"/>
  <c r="F53" i="4"/>
  <c r="E53" i="4"/>
  <c r="C53" i="4"/>
  <c r="B53" i="4"/>
  <c r="A53" i="4"/>
  <c r="AF52" i="4"/>
  <c r="AE52" i="4"/>
  <c r="AD52" i="4"/>
  <c r="AC52" i="4"/>
  <c r="Y52" i="4"/>
  <c r="W52" i="4"/>
  <c r="V52" i="4"/>
  <c r="U52" i="4"/>
  <c r="Q52" i="4"/>
  <c r="P52" i="4"/>
  <c r="O52" i="4"/>
  <c r="N52" i="4"/>
  <c r="M52" i="4"/>
  <c r="I52" i="4"/>
  <c r="H52" i="4"/>
  <c r="G52" i="4"/>
  <c r="F52" i="4"/>
  <c r="E52" i="4"/>
  <c r="D52" i="4"/>
  <c r="C52" i="4"/>
  <c r="B52" i="4"/>
  <c r="A52" i="4"/>
  <c r="AF51" i="4"/>
  <c r="AE51" i="4"/>
  <c r="AD51" i="4"/>
  <c r="AC51" i="4"/>
  <c r="Y51" i="4"/>
  <c r="X51" i="4"/>
  <c r="W51" i="4"/>
  <c r="V51" i="4"/>
  <c r="U51" i="4"/>
  <c r="R51" i="4"/>
  <c r="S51" i="4" s="1"/>
  <c r="Q51" i="4"/>
  <c r="P51" i="4"/>
  <c r="O51" i="4"/>
  <c r="N51" i="4"/>
  <c r="M51" i="4"/>
  <c r="J51" i="4"/>
  <c r="I51" i="4"/>
  <c r="H51" i="4"/>
  <c r="G51" i="4"/>
  <c r="K51" i="4" s="1"/>
  <c r="F51" i="4"/>
  <c r="E51" i="4"/>
  <c r="D51" i="4"/>
  <c r="C51" i="4"/>
  <c r="Z51" i="4" s="1"/>
  <c r="B51" i="4"/>
  <c r="A51" i="4"/>
  <c r="AF50" i="4"/>
  <c r="AE50" i="4"/>
  <c r="AD50" i="4"/>
  <c r="AC50" i="4"/>
  <c r="Z50" i="4"/>
  <c r="Y50" i="4"/>
  <c r="X50" i="4"/>
  <c r="W50" i="4"/>
  <c r="V50" i="4"/>
  <c r="U50" i="4"/>
  <c r="R50" i="4"/>
  <c r="Q50" i="4"/>
  <c r="O50" i="4"/>
  <c r="S50" i="4" s="1"/>
  <c r="N50" i="4"/>
  <c r="M50" i="4"/>
  <c r="J50" i="4"/>
  <c r="K50" i="4" s="1"/>
  <c r="I50" i="4"/>
  <c r="H50" i="4"/>
  <c r="G50" i="4"/>
  <c r="F50" i="4"/>
  <c r="E50" i="4"/>
  <c r="C50" i="4"/>
  <c r="P50" i="4" s="1"/>
  <c r="B50" i="4"/>
  <c r="A50" i="4"/>
  <c r="AF49" i="4"/>
  <c r="AE49" i="4"/>
  <c r="AD49" i="4"/>
  <c r="AC49" i="4"/>
  <c r="Y49" i="4"/>
  <c r="W49" i="4"/>
  <c r="V49" i="4"/>
  <c r="U49" i="4"/>
  <c r="Q49" i="4"/>
  <c r="T49" i="4" s="1"/>
  <c r="O49" i="4"/>
  <c r="N49" i="4"/>
  <c r="M49" i="4"/>
  <c r="J49" i="4"/>
  <c r="K49" i="4" s="1"/>
  <c r="I49" i="4"/>
  <c r="H49" i="4"/>
  <c r="G49" i="4"/>
  <c r="F49" i="4"/>
  <c r="E49" i="4"/>
  <c r="D49" i="4"/>
  <c r="C49" i="4"/>
  <c r="B49" i="4"/>
  <c r="A49" i="4"/>
  <c r="AF48" i="4"/>
  <c r="AE48" i="4"/>
  <c r="AD48" i="4"/>
  <c r="AC48" i="4"/>
  <c r="Y48" i="4"/>
  <c r="W48" i="4"/>
  <c r="V48" i="4"/>
  <c r="U48" i="4"/>
  <c r="Q48" i="4"/>
  <c r="O48" i="4"/>
  <c r="N48" i="4"/>
  <c r="M48" i="4"/>
  <c r="I48" i="4"/>
  <c r="H48" i="4"/>
  <c r="G48" i="4"/>
  <c r="F48" i="4"/>
  <c r="E48" i="4"/>
  <c r="D48" i="4"/>
  <c r="C48" i="4"/>
  <c r="B48" i="4"/>
  <c r="A48" i="4"/>
  <c r="AF47" i="4"/>
  <c r="AE47" i="4"/>
  <c r="AD47" i="4"/>
  <c r="AC47" i="4"/>
  <c r="Y47" i="4"/>
  <c r="X47" i="4"/>
  <c r="W47" i="4"/>
  <c r="V47" i="4"/>
  <c r="U47" i="4"/>
  <c r="T47" i="4"/>
  <c r="Q47" i="4"/>
  <c r="O47" i="4"/>
  <c r="N47" i="4"/>
  <c r="M47" i="4"/>
  <c r="J47" i="4"/>
  <c r="I47" i="4"/>
  <c r="L47" i="4" s="1"/>
  <c r="H47" i="4"/>
  <c r="G47" i="4"/>
  <c r="K47" i="4" s="1"/>
  <c r="F47" i="4"/>
  <c r="E47" i="4"/>
  <c r="C47" i="4"/>
  <c r="B47" i="4"/>
  <c r="A47" i="4"/>
  <c r="AF46" i="4"/>
  <c r="AE46" i="4"/>
  <c r="AD46" i="4"/>
  <c r="AC46" i="4"/>
  <c r="Z46" i="4"/>
  <c r="Y46" i="4"/>
  <c r="AB46" i="4" s="1"/>
  <c r="W46" i="4"/>
  <c r="V46" i="4"/>
  <c r="U46" i="4"/>
  <c r="Q46" i="4"/>
  <c r="O46" i="4"/>
  <c r="N46" i="4"/>
  <c r="M46" i="4"/>
  <c r="J46" i="4"/>
  <c r="K46" i="4" s="1"/>
  <c r="I46" i="4"/>
  <c r="H46" i="4"/>
  <c r="G46" i="4"/>
  <c r="F46" i="4"/>
  <c r="E46" i="4"/>
  <c r="D46" i="4"/>
  <c r="C46" i="4"/>
  <c r="B46" i="4"/>
  <c r="A46" i="4"/>
  <c r="AF45" i="4"/>
  <c r="AE45" i="4"/>
  <c r="AD45" i="4"/>
  <c r="AC45" i="4"/>
  <c r="Y45" i="4"/>
  <c r="X45" i="4"/>
  <c r="W45" i="4"/>
  <c r="V45" i="4"/>
  <c r="U45" i="4"/>
  <c r="R45" i="4"/>
  <c r="S45" i="4" s="1"/>
  <c r="Q45" i="4"/>
  <c r="P45" i="4"/>
  <c r="O45" i="4"/>
  <c r="N45" i="4"/>
  <c r="M45" i="4"/>
  <c r="L45" i="4"/>
  <c r="J45" i="4"/>
  <c r="K45" i="4" s="1"/>
  <c r="I45" i="4"/>
  <c r="H45" i="4"/>
  <c r="G45" i="4"/>
  <c r="F45" i="4"/>
  <c r="E45" i="4"/>
  <c r="D45" i="4"/>
  <c r="C45" i="4"/>
  <c r="Z45" i="4" s="1"/>
  <c r="AA45" i="4" s="1"/>
  <c r="B45" i="4"/>
  <c r="A45" i="4"/>
  <c r="AF44" i="4"/>
  <c r="AE44" i="4"/>
  <c r="AD44" i="4"/>
  <c r="AC44" i="4"/>
  <c r="Y44" i="4"/>
  <c r="W44" i="4"/>
  <c r="V44" i="4"/>
  <c r="U44" i="4"/>
  <c r="Q44" i="4"/>
  <c r="O44" i="4"/>
  <c r="N44" i="4"/>
  <c r="M44" i="4"/>
  <c r="I44" i="4"/>
  <c r="H44" i="4"/>
  <c r="G44" i="4"/>
  <c r="F44" i="4"/>
  <c r="E44" i="4"/>
  <c r="C44" i="4"/>
  <c r="B44" i="4"/>
  <c r="A44" i="4"/>
  <c r="AF43" i="4"/>
  <c r="AE43" i="4"/>
  <c r="AD43" i="4"/>
  <c r="AC43" i="4"/>
  <c r="Y43" i="4"/>
  <c r="W43" i="4"/>
  <c r="V43" i="4"/>
  <c r="U43" i="4"/>
  <c r="S43" i="4"/>
  <c r="R43" i="4"/>
  <c r="Q43" i="4"/>
  <c r="P43" i="4"/>
  <c r="O43" i="4"/>
  <c r="N43" i="4"/>
  <c r="M43" i="4"/>
  <c r="J43" i="4"/>
  <c r="I43" i="4"/>
  <c r="L43" i="4" s="1"/>
  <c r="H43" i="4"/>
  <c r="G43" i="4"/>
  <c r="K43" i="4" s="1"/>
  <c r="F43" i="4"/>
  <c r="E43" i="4"/>
  <c r="D43" i="4"/>
  <c r="C43" i="4"/>
  <c r="X43" i="4" s="1"/>
  <c r="B43" i="4"/>
  <c r="A43" i="4"/>
  <c r="AF42" i="4"/>
  <c r="AE42" i="4"/>
  <c r="AD42" i="4"/>
  <c r="AC42" i="4"/>
  <c r="Z42" i="4"/>
  <c r="AA42" i="4" s="1"/>
  <c r="Y42" i="4"/>
  <c r="W42" i="4"/>
  <c r="V42" i="4"/>
  <c r="U42" i="4"/>
  <c r="T42" i="4"/>
  <c r="R42" i="4"/>
  <c r="S42" i="4" s="1"/>
  <c r="Q42" i="4"/>
  <c r="O42" i="4"/>
  <c r="N42" i="4"/>
  <c r="M42" i="4"/>
  <c r="L42" i="4"/>
  <c r="I42" i="4"/>
  <c r="H42" i="4"/>
  <c r="G42" i="4"/>
  <c r="F42" i="4"/>
  <c r="E42" i="4"/>
  <c r="C42" i="4"/>
  <c r="B42" i="4"/>
  <c r="A42" i="4"/>
  <c r="AF41" i="4"/>
  <c r="AE41" i="4"/>
  <c r="AD41" i="4"/>
  <c r="AC41" i="4"/>
  <c r="Y41" i="4"/>
  <c r="W41" i="4"/>
  <c r="V41" i="4"/>
  <c r="U41" i="4"/>
  <c r="T41" i="4"/>
  <c r="Q41" i="4"/>
  <c r="O41" i="4"/>
  <c r="N41" i="4"/>
  <c r="M41" i="4"/>
  <c r="I41" i="4"/>
  <c r="H41" i="4"/>
  <c r="G41" i="4"/>
  <c r="F41" i="4"/>
  <c r="E41" i="4"/>
  <c r="D41" i="4"/>
  <c r="C41" i="4"/>
  <c r="P41" i="4" s="1"/>
  <c r="B41" i="4"/>
  <c r="A41" i="4"/>
  <c r="AF40" i="4"/>
  <c r="AE40" i="4"/>
  <c r="AD40" i="4"/>
  <c r="AC40" i="4"/>
  <c r="Y40" i="4"/>
  <c r="X40" i="4"/>
  <c r="W40" i="4"/>
  <c r="V40" i="4"/>
  <c r="U40" i="4"/>
  <c r="R40" i="4"/>
  <c r="S40" i="4" s="1"/>
  <c r="Q40" i="4"/>
  <c r="P40" i="4"/>
  <c r="O40" i="4"/>
  <c r="N40" i="4"/>
  <c r="M40" i="4"/>
  <c r="J40" i="4"/>
  <c r="K40" i="4" s="1"/>
  <c r="I40" i="4"/>
  <c r="L40" i="4" s="1"/>
  <c r="H40" i="4"/>
  <c r="G40" i="4"/>
  <c r="F40" i="4"/>
  <c r="E40" i="4"/>
  <c r="D40" i="4"/>
  <c r="C40" i="4"/>
  <c r="Z40" i="4" s="1"/>
  <c r="B40" i="4"/>
  <c r="A40" i="4"/>
  <c r="AF39" i="4"/>
  <c r="AE39" i="4"/>
  <c r="AD39" i="4"/>
  <c r="AC39" i="4"/>
  <c r="Y39" i="4"/>
  <c r="W39" i="4"/>
  <c r="V39" i="4"/>
  <c r="U39" i="4"/>
  <c r="Q39" i="4"/>
  <c r="O39" i="4"/>
  <c r="N39" i="4"/>
  <c r="M39" i="4"/>
  <c r="I39" i="4"/>
  <c r="H39" i="4"/>
  <c r="G39" i="4"/>
  <c r="F39" i="4"/>
  <c r="E39" i="4"/>
  <c r="C39" i="4"/>
  <c r="R39" i="4" s="1"/>
  <c r="S39" i="4" s="1"/>
  <c r="B39" i="4"/>
  <c r="A39" i="4"/>
  <c r="AF38" i="4"/>
  <c r="AE38" i="4"/>
  <c r="AD38" i="4"/>
  <c r="AC38" i="4"/>
  <c r="Y38" i="4"/>
  <c r="W38" i="4"/>
  <c r="V38" i="4"/>
  <c r="U38" i="4"/>
  <c r="T38" i="4"/>
  <c r="Q38" i="4"/>
  <c r="O38" i="4"/>
  <c r="N38" i="4"/>
  <c r="M38" i="4"/>
  <c r="I38" i="4"/>
  <c r="H38" i="4"/>
  <c r="G38" i="4"/>
  <c r="F38" i="4"/>
  <c r="E38" i="4"/>
  <c r="C38" i="4"/>
  <c r="P38" i="4" s="1"/>
  <c r="B38" i="4"/>
  <c r="A38" i="4"/>
  <c r="AF37" i="4"/>
  <c r="AE37" i="4"/>
  <c r="AD37" i="4"/>
  <c r="AC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J37" i="4"/>
  <c r="K37" i="4" s="1"/>
  <c r="I37" i="4"/>
  <c r="L37" i="4" s="1"/>
  <c r="H37" i="4"/>
  <c r="G37" i="4"/>
  <c r="F37" i="4"/>
  <c r="E37" i="4"/>
  <c r="D37" i="4"/>
  <c r="C37" i="4"/>
  <c r="B37" i="4"/>
  <c r="A37" i="4"/>
  <c r="AF36" i="4"/>
  <c r="AE36" i="4"/>
  <c r="AD36" i="4"/>
  <c r="AC36" i="4"/>
  <c r="AA36" i="4"/>
  <c r="Z36" i="4"/>
  <c r="Y36" i="4"/>
  <c r="W36" i="4"/>
  <c r="V36" i="4"/>
  <c r="U36" i="4"/>
  <c r="Q36" i="4"/>
  <c r="O36" i="4"/>
  <c r="N36" i="4"/>
  <c r="M36" i="4"/>
  <c r="I36" i="4"/>
  <c r="H36" i="4"/>
  <c r="G36" i="4"/>
  <c r="F36" i="4"/>
  <c r="E36" i="4"/>
  <c r="C36" i="4"/>
  <c r="R36" i="4" s="1"/>
  <c r="S36" i="4" s="1"/>
  <c r="B36" i="4"/>
  <c r="A36" i="4"/>
  <c r="AF35" i="4"/>
  <c r="AE35" i="4"/>
  <c r="AD35" i="4"/>
  <c r="AC35" i="4"/>
  <c r="Y35" i="4"/>
  <c r="W35" i="4"/>
  <c r="V35" i="4"/>
  <c r="U35" i="4"/>
  <c r="T35" i="4"/>
  <c r="Q35" i="4"/>
  <c r="O35" i="4"/>
  <c r="N35" i="4"/>
  <c r="M35" i="4"/>
  <c r="I35" i="4"/>
  <c r="H35" i="4"/>
  <c r="G35" i="4"/>
  <c r="F35" i="4"/>
  <c r="E35" i="4"/>
  <c r="D35" i="4"/>
  <c r="C35" i="4"/>
  <c r="B35" i="4"/>
  <c r="A35" i="4"/>
  <c r="AF34" i="4"/>
  <c r="AE34" i="4"/>
  <c r="AD34" i="4"/>
  <c r="AC34" i="4"/>
  <c r="Z34" i="4"/>
  <c r="Y34" i="4"/>
  <c r="X34" i="4"/>
  <c r="W34" i="4"/>
  <c r="V34" i="4"/>
  <c r="U34" i="4"/>
  <c r="R34" i="4"/>
  <c r="S34" i="4" s="1"/>
  <c r="Q34" i="4"/>
  <c r="P34" i="4"/>
  <c r="O34" i="4"/>
  <c r="N34" i="4"/>
  <c r="M34" i="4"/>
  <c r="J34" i="4"/>
  <c r="K34" i="4" s="1"/>
  <c r="I34" i="4"/>
  <c r="L34" i="4" s="1"/>
  <c r="H34" i="4"/>
  <c r="G34" i="4"/>
  <c r="F34" i="4"/>
  <c r="E34" i="4"/>
  <c r="D34" i="4"/>
  <c r="C34" i="4"/>
  <c r="B34" i="4"/>
  <c r="A34" i="4"/>
  <c r="AF33" i="4"/>
  <c r="AE33" i="4"/>
  <c r="AD33" i="4"/>
  <c r="AC33" i="4"/>
  <c r="Y33" i="4"/>
  <c r="W33" i="4"/>
  <c r="V33" i="4"/>
  <c r="U33" i="4"/>
  <c r="R33" i="4"/>
  <c r="S33" i="4" s="1"/>
  <c r="Q33" i="4"/>
  <c r="O33" i="4"/>
  <c r="N33" i="4"/>
  <c r="M33" i="4"/>
  <c r="I33" i="4"/>
  <c r="H33" i="4"/>
  <c r="G33" i="4"/>
  <c r="F33" i="4"/>
  <c r="E33" i="4"/>
  <c r="C33" i="4"/>
  <c r="B33" i="4"/>
  <c r="A33" i="4"/>
  <c r="AF32" i="4"/>
  <c r="AE32" i="4"/>
  <c r="AD32" i="4"/>
  <c r="AC32" i="4"/>
  <c r="Z32" i="4"/>
  <c r="AA32" i="4" s="1"/>
  <c r="Y32" i="4"/>
  <c r="W32" i="4"/>
  <c r="V32" i="4"/>
  <c r="U32" i="4"/>
  <c r="T32" i="4"/>
  <c r="Q32" i="4"/>
  <c r="P32" i="4"/>
  <c r="O32" i="4"/>
  <c r="N32" i="4"/>
  <c r="M32" i="4"/>
  <c r="J32" i="4"/>
  <c r="K32" i="4" s="1"/>
  <c r="I32" i="4"/>
  <c r="H32" i="4"/>
  <c r="G32" i="4"/>
  <c r="F32" i="4"/>
  <c r="E32" i="4"/>
  <c r="D32" i="4"/>
  <c r="C32" i="4"/>
  <c r="B32" i="4"/>
  <c r="A32" i="4"/>
  <c r="AF31" i="4"/>
  <c r="AE31" i="4"/>
  <c r="AD31" i="4"/>
  <c r="AC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J31" i="4"/>
  <c r="K31" i="4" s="1"/>
  <c r="I31" i="4"/>
  <c r="L31" i="4" s="1"/>
  <c r="H31" i="4"/>
  <c r="G31" i="4"/>
  <c r="F31" i="4"/>
  <c r="E31" i="4"/>
  <c r="D31" i="4"/>
  <c r="C31" i="4"/>
  <c r="B31" i="4"/>
  <c r="A31" i="4"/>
  <c r="AF30" i="4"/>
  <c r="AE30" i="4"/>
  <c r="AD30" i="4"/>
  <c r="AC30" i="4"/>
  <c r="Y30" i="4"/>
  <c r="W30" i="4"/>
  <c r="V30" i="4"/>
  <c r="U30" i="4"/>
  <c r="T30" i="4"/>
  <c r="Q30" i="4"/>
  <c r="O30" i="4"/>
  <c r="N30" i="4"/>
  <c r="M30" i="4"/>
  <c r="I30" i="4"/>
  <c r="H30" i="4"/>
  <c r="G30" i="4"/>
  <c r="F30" i="4"/>
  <c r="E30" i="4"/>
  <c r="C30" i="4"/>
  <c r="B30" i="4"/>
  <c r="A30" i="4"/>
  <c r="AF29" i="4"/>
  <c r="AE29" i="4"/>
  <c r="AD29" i="4"/>
  <c r="AC29" i="4"/>
  <c r="Z29" i="4"/>
  <c r="AA29" i="4" s="1"/>
  <c r="Y29" i="4"/>
  <c r="W29" i="4"/>
  <c r="V29" i="4"/>
  <c r="U29" i="4"/>
  <c r="T29" i="4"/>
  <c r="R29" i="4"/>
  <c r="S29" i="4" s="1"/>
  <c r="Q29" i="4"/>
  <c r="O29" i="4"/>
  <c r="N29" i="4"/>
  <c r="M29" i="4"/>
  <c r="J29" i="4"/>
  <c r="K29" i="4" s="1"/>
  <c r="I29" i="4"/>
  <c r="H29" i="4"/>
  <c r="G29" i="4"/>
  <c r="F29" i="4"/>
  <c r="E29" i="4"/>
  <c r="D29" i="4"/>
  <c r="C29" i="4"/>
  <c r="X29" i="4" s="1"/>
  <c r="B29" i="4"/>
  <c r="A29" i="4"/>
  <c r="AF28" i="4"/>
  <c r="AE28" i="4"/>
  <c r="AD28" i="4"/>
  <c r="AC28" i="4"/>
  <c r="Z28" i="4"/>
  <c r="AA28" i="4" s="1"/>
  <c r="Y28" i="4"/>
  <c r="X28" i="4"/>
  <c r="W28" i="4"/>
  <c r="V28" i="4"/>
  <c r="U28" i="4"/>
  <c r="R28" i="4"/>
  <c r="S28" i="4" s="1"/>
  <c r="Q28" i="4"/>
  <c r="T28" i="4" s="1"/>
  <c r="P28" i="4"/>
  <c r="O28" i="4"/>
  <c r="N28" i="4"/>
  <c r="M28" i="4"/>
  <c r="L28" i="4"/>
  <c r="J28" i="4"/>
  <c r="K28" i="4" s="1"/>
  <c r="I28" i="4"/>
  <c r="H28" i="4"/>
  <c r="G28" i="4"/>
  <c r="F28" i="4"/>
  <c r="E28" i="4"/>
  <c r="D28" i="4"/>
  <c r="C28" i="4"/>
  <c r="B28" i="4"/>
  <c r="A28" i="4"/>
  <c r="AF27" i="4"/>
  <c r="AE27" i="4"/>
  <c r="AD27" i="4"/>
  <c r="AC27" i="4"/>
  <c r="AA27" i="4"/>
  <c r="Z27" i="4"/>
  <c r="Y27" i="4"/>
  <c r="X27" i="4"/>
  <c r="W27" i="4"/>
  <c r="V27" i="4"/>
  <c r="U27" i="4"/>
  <c r="R27" i="4"/>
  <c r="Q27" i="4"/>
  <c r="O27" i="4"/>
  <c r="N27" i="4"/>
  <c r="M27" i="4"/>
  <c r="J27" i="4"/>
  <c r="I27" i="4"/>
  <c r="H27" i="4"/>
  <c r="G27" i="4"/>
  <c r="F27" i="4"/>
  <c r="E27" i="4"/>
  <c r="C27" i="4"/>
  <c r="P27" i="4" s="1"/>
  <c r="B27" i="4"/>
  <c r="A27" i="4"/>
  <c r="AF26" i="4"/>
  <c r="AE26" i="4"/>
  <c r="AD26" i="4"/>
  <c r="AC26" i="4"/>
  <c r="Y26" i="4"/>
  <c r="W26" i="4"/>
  <c r="V26" i="4"/>
  <c r="U26" i="4"/>
  <c r="T26" i="4"/>
  <c r="Q26" i="4"/>
  <c r="O26" i="4"/>
  <c r="N26" i="4"/>
  <c r="M26" i="4"/>
  <c r="I26" i="4"/>
  <c r="L26" i="4" s="1"/>
  <c r="H26" i="4"/>
  <c r="G26" i="4"/>
  <c r="F26" i="4"/>
  <c r="E26" i="4"/>
  <c r="D26" i="4"/>
  <c r="C26" i="4"/>
  <c r="P26" i="4" s="1"/>
  <c r="B26" i="4"/>
  <c r="A26" i="4"/>
  <c r="AF25" i="4"/>
  <c r="AE25" i="4"/>
  <c r="AD25" i="4"/>
  <c r="AC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J25" i="4"/>
  <c r="K25" i="4" s="1"/>
  <c r="I25" i="4"/>
  <c r="L25" i="4" s="1"/>
  <c r="H25" i="4"/>
  <c r="G25" i="4"/>
  <c r="F25" i="4"/>
  <c r="E25" i="4"/>
  <c r="D25" i="4"/>
  <c r="C25" i="4"/>
  <c r="B25" i="4"/>
  <c r="A25" i="4"/>
  <c r="AF24" i="4"/>
  <c r="AE24" i="4"/>
  <c r="AD24" i="4"/>
  <c r="AC24" i="4"/>
  <c r="Y24" i="4"/>
  <c r="X24" i="4"/>
  <c r="W24" i="4"/>
  <c r="V24" i="4"/>
  <c r="U24" i="4"/>
  <c r="S24" i="4"/>
  <c r="R24" i="4"/>
  <c r="Q24" i="4"/>
  <c r="T24" i="4" s="1"/>
  <c r="O24" i="4"/>
  <c r="N24" i="4"/>
  <c r="M24" i="4"/>
  <c r="J24" i="4"/>
  <c r="I24" i="4"/>
  <c r="H24" i="4"/>
  <c r="G24" i="4"/>
  <c r="F24" i="4"/>
  <c r="E24" i="4"/>
  <c r="D24" i="4"/>
  <c r="C24" i="4"/>
  <c r="P24" i="4" s="1"/>
  <c r="B24" i="4"/>
  <c r="A24" i="4"/>
  <c r="AF23" i="4"/>
  <c r="AE23" i="4"/>
  <c r="AD23" i="4"/>
  <c r="AC23" i="4"/>
  <c r="Z23" i="4"/>
  <c r="AA23" i="4" s="1"/>
  <c r="Y23" i="4"/>
  <c r="X23" i="4"/>
  <c r="W23" i="4"/>
  <c r="V23" i="4"/>
  <c r="U23" i="4"/>
  <c r="R23" i="4"/>
  <c r="S23" i="4" s="1"/>
  <c r="Q23" i="4"/>
  <c r="O23" i="4"/>
  <c r="N23" i="4"/>
  <c r="M23" i="4"/>
  <c r="L23" i="4"/>
  <c r="K23" i="4"/>
  <c r="I23" i="4"/>
  <c r="H23" i="4"/>
  <c r="G23" i="4"/>
  <c r="F23" i="4"/>
  <c r="E23" i="4"/>
  <c r="D23" i="4"/>
  <c r="C23" i="4"/>
  <c r="J23" i="4" s="1"/>
  <c r="B23" i="4"/>
  <c r="A23" i="4"/>
  <c r="AF22" i="4"/>
  <c r="AE22" i="4"/>
  <c r="AD22" i="4"/>
  <c r="AC22" i="4"/>
  <c r="Z22" i="4"/>
  <c r="Y22" i="4"/>
  <c r="X22" i="4"/>
  <c r="W22" i="4"/>
  <c r="V22" i="4"/>
  <c r="U22" i="4"/>
  <c r="R22" i="4"/>
  <c r="S22" i="4" s="1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A22" i="4"/>
  <c r="AF21" i="4"/>
  <c r="AE21" i="4"/>
  <c r="AD21" i="4"/>
  <c r="AC21" i="4"/>
  <c r="Y21" i="4"/>
  <c r="W21" i="4"/>
  <c r="V21" i="4"/>
  <c r="U21" i="4"/>
  <c r="T21" i="4"/>
  <c r="Q21" i="4"/>
  <c r="O21" i="4"/>
  <c r="N21" i="4"/>
  <c r="M21" i="4"/>
  <c r="I21" i="4"/>
  <c r="H21" i="4"/>
  <c r="G21" i="4"/>
  <c r="F21" i="4"/>
  <c r="E21" i="4"/>
  <c r="D21" i="4"/>
  <c r="C21" i="4"/>
  <c r="B21" i="4"/>
  <c r="A21" i="4"/>
  <c r="AB21" i="4" s="1"/>
  <c r="AF20" i="4"/>
  <c r="AE20" i="4"/>
  <c r="AD20" i="4"/>
  <c r="AC20" i="4"/>
  <c r="Z20" i="4"/>
  <c r="AA20" i="4" s="1"/>
  <c r="Y20" i="4"/>
  <c r="AB20" i="4" s="1"/>
  <c r="X20" i="4"/>
  <c r="W20" i="4"/>
  <c r="V20" i="4"/>
  <c r="U20" i="4"/>
  <c r="Q20" i="4"/>
  <c r="O20" i="4"/>
  <c r="N20" i="4"/>
  <c r="M20" i="4"/>
  <c r="J20" i="4"/>
  <c r="K20" i="4" s="1"/>
  <c r="I20" i="4"/>
  <c r="L20" i="4" s="1"/>
  <c r="H20" i="4"/>
  <c r="G20" i="4"/>
  <c r="F20" i="4"/>
  <c r="E20" i="4"/>
  <c r="C20" i="4"/>
  <c r="B20" i="4"/>
  <c r="A20" i="4"/>
  <c r="AF19" i="4"/>
  <c r="AE19" i="4"/>
  <c r="AD19" i="4"/>
  <c r="AC19" i="4"/>
  <c r="Y19" i="4"/>
  <c r="W19" i="4"/>
  <c r="V19" i="4"/>
  <c r="U19" i="4"/>
  <c r="Q19" i="4"/>
  <c r="T19" i="4" s="1"/>
  <c r="P19" i="4"/>
  <c r="O19" i="4"/>
  <c r="N19" i="4"/>
  <c r="M19" i="4"/>
  <c r="J19" i="4"/>
  <c r="K19" i="4" s="1"/>
  <c r="I19" i="4"/>
  <c r="L19" i="4" s="1"/>
  <c r="H19" i="4"/>
  <c r="G19" i="4"/>
  <c r="F19" i="4"/>
  <c r="E19" i="4"/>
  <c r="D19" i="4"/>
  <c r="C19" i="4"/>
  <c r="R19" i="4" s="1"/>
  <c r="S19" i="4" s="1"/>
  <c r="B19" i="4"/>
  <c r="A19" i="4"/>
  <c r="AF18" i="4"/>
  <c r="AE18" i="4"/>
  <c r="AD18" i="4"/>
  <c r="AC18" i="4"/>
  <c r="Y18" i="4"/>
  <c r="W18" i="4"/>
  <c r="V18" i="4"/>
  <c r="U18" i="4"/>
  <c r="Q18" i="4"/>
  <c r="O18" i="4"/>
  <c r="N18" i="4"/>
  <c r="M18" i="4"/>
  <c r="I18" i="4"/>
  <c r="H18" i="4"/>
  <c r="G18" i="4"/>
  <c r="F18" i="4"/>
  <c r="E18" i="4"/>
  <c r="D18" i="4"/>
  <c r="C18" i="4"/>
  <c r="J18" i="4" s="1"/>
  <c r="K18" i="4" s="1"/>
  <c r="B18" i="4"/>
  <c r="A18" i="4"/>
  <c r="L18" i="4" s="1"/>
  <c r="AF17" i="4"/>
  <c r="AE17" i="4"/>
  <c r="AD17" i="4"/>
  <c r="AC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J17" i="4"/>
  <c r="K17" i="4" s="1"/>
  <c r="I17" i="4"/>
  <c r="H17" i="4"/>
  <c r="G17" i="4"/>
  <c r="F17" i="4"/>
  <c r="E17" i="4"/>
  <c r="C17" i="4"/>
  <c r="B17" i="4"/>
  <c r="A17" i="4"/>
  <c r="L17" i="4" s="1"/>
  <c r="AF16" i="4"/>
  <c r="AE16" i="4"/>
  <c r="AD16" i="4"/>
  <c r="AC16" i="4"/>
  <c r="Y16" i="4"/>
  <c r="W16" i="4"/>
  <c r="V16" i="4"/>
  <c r="U16" i="4"/>
  <c r="R16" i="4"/>
  <c r="S16" i="4" s="1"/>
  <c r="Q16" i="4"/>
  <c r="T16" i="4" s="1"/>
  <c r="P16" i="4"/>
  <c r="O16" i="4"/>
  <c r="N16" i="4"/>
  <c r="M16" i="4"/>
  <c r="I16" i="4"/>
  <c r="H16" i="4"/>
  <c r="G16" i="4"/>
  <c r="F16" i="4"/>
  <c r="E16" i="4"/>
  <c r="D16" i="4"/>
  <c r="C16" i="4"/>
  <c r="B16" i="4"/>
  <c r="A16" i="4"/>
  <c r="AF15" i="4"/>
  <c r="AE15" i="4"/>
  <c r="AD15" i="4"/>
  <c r="AC15" i="4"/>
  <c r="Z15" i="4"/>
  <c r="AA15" i="4" s="1"/>
  <c r="Y15" i="4"/>
  <c r="X15" i="4"/>
  <c r="W15" i="4"/>
  <c r="V15" i="4"/>
  <c r="U15" i="4"/>
  <c r="R15" i="4"/>
  <c r="S15" i="4" s="1"/>
  <c r="Q15" i="4"/>
  <c r="O15" i="4"/>
  <c r="N15" i="4"/>
  <c r="M15" i="4"/>
  <c r="K15" i="4"/>
  <c r="I15" i="4"/>
  <c r="H15" i="4"/>
  <c r="G15" i="4"/>
  <c r="F15" i="4"/>
  <c r="E15" i="4"/>
  <c r="D15" i="4"/>
  <c r="C15" i="4"/>
  <c r="J15" i="4" s="1"/>
  <c r="B15" i="4"/>
  <c r="A15" i="4"/>
  <c r="AF14" i="4"/>
  <c r="AE14" i="4"/>
  <c r="AD14" i="4"/>
  <c r="AC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J14" i="4"/>
  <c r="K14" i="4" s="1"/>
  <c r="I14" i="4"/>
  <c r="H14" i="4"/>
  <c r="G14" i="4"/>
  <c r="F14" i="4"/>
  <c r="E14" i="4"/>
  <c r="C14" i="4"/>
  <c r="B14" i="4"/>
  <c r="A14" i="4"/>
  <c r="AF13" i="4"/>
  <c r="AE13" i="4"/>
  <c r="AD13" i="4"/>
  <c r="AC13" i="4"/>
  <c r="Y13" i="4"/>
  <c r="W13" i="4"/>
  <c r="V13" i="4"/>
  <c r="U13" i="4"/>
  <c r="Q13" i="4"/>
  <c r="T13" i="4" s="1"/>
  <c r="P13" i="4"/>
  <c r="O13" i="4"/>
  <c r="N13" i="4"/>
  <c r="M13" i="4"/>
  <c r="I13" i="4"/>
  <c r="H13" i="4"/>
  <c r="G13" i="4"/>
  <c r="F13" i="4"/>
  <c r="E13" i="4"/>
  <c r="D13" i="4"/>
  <c r="C13" i="4"/>
  <c r="X13" i="4" s="1"/>
  <c r="B13" i="4"/>
  <c r="A13" i="4"/>
  <c r="AF12" i="4"/>
  <c r="AE12" i="4"/>
  <c r="AD12" i="4"/>
  <c r="AC12" i="4"/>
  <c r="Z12" i="4"/>
  <c r="Y12" i="4"/>
  <c r="X12" i="4"/>
  <c r="W12" i="4"/>
  <c r="AA12" i="4" s="1"/>
  <c r="V12" i="4"/>
  <c r="U12" i="4"/>
  <c r="Q12" i="4"/>
  <c r="O12" i="4"/>
  <c r="N12" i="4"/>
  <c r="M12" i="4"/>
  <c r="J12" i="4"/>
  <c r="K12" i="4" s="1"/>
  <c r="I12" i="4"/>
  <c r="H12" i="4"/>
  <c r="G12" i="4"/>
  <c r="F12" i="4"/>
  <c r="E12" i="4"/>
  <c r="C12" i="4"/>
  <c r="R12" i="4" s="1"/>
  <c r="S12" i="4" s="1"/>
  <c r="B12" i="4"/>
  <c r="A12" i="4"/>
  <c r="T12" i="4" s="1"/>
  <c r="AF11" i="4"/>
  <c r="AE11" i="4"/>
  <c r="AD11" i="4"/>
  <c r="AC11" i="4"/>
  <c r="Z11" i="4"/>
  <c r="AA11" i="4" s="1"/>
  <c r="Y11" i="4"/>
  <c r="X11" i="4"/>
  <c r="W11" i="4"/>
  <c r="V11" i="4"/>
  <c r="U11" i="4"/>
  <c r="S11" i="4"/>
  <c r="R11" i="4"/>
  <c r="Q11" i="4"/>
  <c r="P11" i="4"/>
  <c r="O11" i="4"/>
  <c r="N11" i="4"/>
  <c r="M11" i="4"/>
  <c r="J11" i="4"/>
  <c r="I11" i="4"/>
  <c r="H11" i="4"/>
  <c r="G11" i="4"/>
  <c r="K11" i="4" s="1"/>
  <c r="F11" i="4"/>
  <c r="E11" i="4"/>
  <c r="C11" i="4"/>
  <c r="B11" i="4"/>
  <c r="A11" i="4"/>
  <c r="T11" i="4" s="1"/>
  <c r="AF10" i="4"/>
  <c r="AE10" i="4"/>
  <c r="AD10" i="4"/>
  <c r="AC10" i="4"/>
  <c r="Z10" i="4"/>
  <c r="AA10" i="4" s="1"/>
  <c r="Y10" i="4"/>
  <c r="AB10" i="4" s="1"/>
  <c r="W10" i="4"/>
  <c r="V10" i="4"/>
  <c r="U10" i="4"/>
  <c r="T10" i="4"/>
  <c r="R10" i="4"/>
  <c r="S10" i="4" s="1"/>
  <c r="Q10" i="4"/>
  <c r="O10" i="4"/>
  <c r="N10" i="4"/>
  <c r="M10" i="4"/>
  <c r="J10" i="4"/>
  <c r="I10" i="4"/>
  <c r="H10" i="4"/>
  <c r="G10" i="4"/>
  <c r="F10" i="4"/>
  <c r="E10" i="4"/>
  <c r="C10" i="4"/>
  <c r="X10" i="4" s="1"/>
  <c r="B10" i="4"/>
  <c r="A10" i="4"/>
  <c r="AF9" i="4"/>
  <c r="AE9" i="4"/>
  <c r="AD9" i="4"/>
  <c r="AC9" i="4"/>
  <c r="Z9" i="4"/>
  <c r="AA9" i="4" s="1"/>
  <c r="Y9" i="4"/>
  <c r="W9" i="4"/>
  <c r="V9" i="4"/>
  <c r="U9" i="4"/>
  <c r="Q9" i="4"/>
  <c r="O9" i="4"/>
  <c r="N9" i="4"/>
  <c r="M9" i="4"/>
  <c r="L9" i="4"/>
  <c r="I9" i="4"/>
  <c r="H9" i="4"/>
  <c r="G9" i="4"/>
  <c r="F9" i="4"/>
  <c r="E9" i="4"/>
  <c r="C9" i="4"/>
  <c r="R9" i="4" s="1"/>
  <c r="S9" i="4" s="1"/>
  <c r="B9" i="4"/>
  <c r="A9" i="4"/>
  <c r="T9" i="4" s="1"/>
  <c r="AF8" i="4"/>
  <c r="AE8" i="4"/>
  <c r="AD8" i="4"/>
  <c r="AC8" i="4"/>
  <c r="Z8" i="4"/>
  <c r="Y8" i="4"/>
  <c r="X8" i="4"/>
  <c r="W8" i="4"/>
  <c r="V8" i="4"/>
  <c r="U8" i="4"/>
  <c r="T8" i="4"/>
  <c r="R8" i="4"/>
  <c r="S8" i="4" s="1"/>
  <c r="Q8" i="4"/>
  <c r="P8" i="4"/>
  <c r="O8" i="4"/>
  <c r="N8" i="4"/>
  <c r="M8" i="4"/>
  <c r="J8" i="4"/>
  <c r="I8" i="4"/>
  <c r="L8" i="4" s="1"/>
  <c r="H8" i="4"/>
  <c r="G8" i="4"/>
  <c r="K8" i="4" s="1"/>
  <c r="F8" i="4"/>
  <c r="E8" i="4"/>
  <c r="C8" i="4"/>
  <c r="B8" i="4"/>
  <c r="A8" i="4"/>
  <c r="AF7" i="4"/>
  <c r="AE7" i="4"/>
  <c r="AD7" i="4"/>
  <c r="AC7" i="4"/>
  <c r="Z7" i="4"/>
  <c r="AA7" i="4" s="1"/>
  <c r="Y7" i="4"/>
  <c r="W7" i="4"/>
  <c r="V7" i="4"/>
  <c r="U7" i="4"/>
  <c r="Q7" i="4"/>
  <c r="O7" i="4"/>
  <c r="N7" i="4"/>
  <c r="M7" i="4"/>
  <c r="J7" i="4"/>
  <c r="K7" i="4" s="1"/>
  <c r="I7" i="4"/>
  <c r="H7" i="4"/>
  <c r="G7" i="4"/>
  <c r="F7" i="4"/>
  <c r="E7" i="4"/>
  <c r="C7" i="4"/>
  <c r="X7" i="4" s="1"/>
  <c r="B7" i="4"/>
  <c r="A7" i="4"/>
  <c r="L7" i="4" s="1"/>
  <c r="AF6" i="4"/>
  <c r="AE6" i="4"/>
  <c r="AD6" i="4"/>
  <c r="AC6" i="4"/>
  <c r="Y6" i="4"/>
  <c r="AB6" i="4" s="1"/>
  <c r="X6" i="4"/>
  <c r="W6" i="4"/>
  <c r="V6" i="4"/>
  <c r="U6" i="4"/>
  <c r="R6" i="4"/>
  <c r="S6" i="4" s="1"/>
  <c r="Q6" i="4"/>
  <c r="P6" i="4"/>
  <c r="O6" i="4"/>
  <c r="N6" i="4"/>
  <c r="M6" i="4"/>
  <c r="J6" i="4"/>
  <c r="K6" i="4" s="1"/>
  <c r="I6" i="4"/>
  <c r="H6" i="4"/>
  <c r="G6" i="4"/>
  <c r="F6" i="4"/>
  <c r="E6" i="4"/>
  <c r="D6" i="4"/>
  <c r="C6" i="4"/>
  <c r="Z6" i="4" s="1"/>
  <c r="AA6" i="4" s="1"/>
  <c r="B6" i="4"/>
  <c r="A6" i="4"/>
  <c r="L6" i="4" s="1"/>
  <c r="AF5" i="4"/>
  <c r="AE5" i="4"/>
  <c r="AD5" i="4"/>
  <c r="AC5" i="4"/>
  <c r="Z5" i="4"/>
  <c r="Y5" i="4"/>
  <c r="X5" i="4"/>
  <c r="W5" i="4"/>
  <c r="V5" i="4"/>
  <c r="U5" i="4"/>
  <c r="S5" i="4"/>
  <c r="R5" i="4"/>
  <c r="Q5" i="4"/>
  <c r="P5" i="4"/>
  <c r="O5" i="4"/>
  <c r="N5" i="4"/>
  <c r="M5" i="4"/>
  <c r="L5" i="4"/>
  <c r="J5" i="4"/>
  <c r="K5" i="4" s="1"/>
  <c r="I5" i="4"/>
  <c r="H5" i="4"/>
  <c r="G5" i="4"/>
  <c r="F5" i="4"/>
  <c r="E5" i="4"/>
  <c r="C5" i="4"/>
  <c r="B5" i="4"/>
  <c r="A5" i="4"/>
  <c r="B4" i="4"/>
  <c r="AD4" i="4"/>
  <c r="AC4" i="4"/>
  <c r="Y4" i="4"/>
  <c r="AB91" i="4" s="1"/>
  <c r="W4" i="4"/>
  <c r="V4" i="4"/>
  <c r="U4" i="4"/>
  <c r="Q4" i="4"/>
  <c r="O4" i="4"/>
  <c r="N4" i="4"/>
  <c r="M4" i="4"/>
  <c r="I4" i="4"/>
  <c r="H4" i="4"/>
  <c r="G4" i="4"/>
  <c r="F4" i="4"/>
  <c r="E4" i="4"/>
  <c r="C4" i="4"/>
  <c r="Z4" i="4" s="1"/>
  <c r="AE4" i="4"/>
  <c r="AF4" i="4"/>
  <c r="A4" i="4"/>
  <c r="D4" i="4" s="1"/>
  <c r="X21" i="4" l="1"/>
  <c r="J21" i="4"/>
  <c r="K21" i="4" s="1"/>
  <c r="D27" i="4"/>
  <c r="AB27" i="4"/>
  <c r="Z48" i="4"/>
  <c r="AA48" i="4" s="1"/>
  <c r="X48" i="4"/>
  <c r="J48" i="4"/>
  <c r="K48" i="4" s="1"/>
  <c r="AB141" i="4"/>
  <c r="X147" i="4"/>
  <c r="J147" i="4"/>
  <c r="K147" i="4" s="1"/>
  <c r="Z147" i="4"/>
  <c r="AA147" i="4" s="1"/>
  <c r="R147" i="4"/>
  <c r="S147" i="4" s="1"/>
  <c r="T54" i="4"/>
  <c r="D54" i="4"/>
  <c r="AB75" i="4"/>
  <c r="P90" i="4"/>
  <c r="T27" i="4"/>
  <c r="AB28" i="4"/>
  <c r="AB39" i="4"/>
  <c r="D39" i="4"/>
  <c r="P53" i="4"/>
  <c r="Z53" i="4"/>
  <c r="AA53" i="4" s="1"/>
  <c r="AB64" i="4"/>
  <c r="L73" i="4"/>
  <c r="D73" i="4"/>
  <c r="AB73" i="4"/>
  <c r="AB74" i="4"/>
  <c r="D74" i="4"/>
  <c r="L74" i="4"/>
  <c r="K77" i="4"/>
  <c r="R87" i="4"/>
  <c r="S87" i="4" s="1"/>
  <c r="X87" i="4"/>
  <c r="Z87" i="4"/>
  <c r="AA87" i="4" s="1"/>
  <c r="J87" i="4"/>
  <c r="K87" i="4" s="1"/>
  <c r="AB95" i="4"/>
  <c r="D95" i="4"/>
  <c r="L95" i="4"/>
  <c r="J1" i="4"/>
  <c r="L131" i="4"/>
  <c r="L127" i="4"/>
  <c r="L102" i="4"/>
  <c r="L68" i="4"/>
  <c r="L87" i="4"/>
  <c r="L48" i="4"/>
  <c r="L133" i="4"/>
  <c r="L121" i="4"/>
  <c r="L115" i="4"/>
  <c r="L108" i="4"/>
  <c r="L72" i="4"/>
  <c r="L148" i="4"/>
  <c r="L139" i="4"/>
  <c r="L119" i="4"/>
  <c r="L93" i="4"/>
  <c r="L62" i="4"/>
  <c r="L44" i="4"/>
  <c r="AB5" i="4"/>
  <c r="D5" i="4"/>
  <c r="AA5" i="4"/>
  <c r="P7" i="4"/>
  <c r="D9" i="4"/>
  <c r="P9" i="4"/>
  <c r="K10" i="4"/>
  <c r="L12" i="4"/>
  <c r="AB14" i="4"/>
  <c r="D14" i="4"/>
  <c r="AA14" i="4"/>
  <c r="Z16" i="4"/>
  <c r="AA16" i="4" s="1"/>
  <c r="X16" i="4"/>
  <c r="AA25" i="4"/>
  <c r="AB32" i="4"/>
  <c r="AA34" i="4"/>
  <c r="AB35" i="4"/>
  <c r="L38" i="4"/>
  <c r="AB38" i="4"/>
  <c r="P44" i="4"/>
  <c r="Z44" i="4"/>
  <c r="AA44" i="4" s="1"/>
  <c r="R44" i="4"/>
  <c r="S44" i="4" s="1"/>
  <c r="X52" i="4"/>
  <c r="Z52" i="4"/>
  <c r="AA52" i="4" s="1"/>
  <c r="J52" i="4"/>
  <c r="K52" i="4" s="1"/>
  <c r="R52" i="4"/>
  <c r="S52" i="4" s="1"/>
  <c r="R53" i="4"/>
  <c r="S53" i="4" s="1"/>
  <c r="AB57" i="4"/>
  <c r="T63" i="4"/>
  <c r="D63" i="4"/>
  <c r="AB63" i="4"/>
  <c r="L63" i="4"/>
  <c r="K65" i="4"/>
  <c r="AA65" i="4"/>
  <c r="AB66" i="4"/>
  <c r="T73" i="4"/>
  <c r="AB78" i="4"/>
  <c r="AB81" i="4"/>
  <c r="L94" i="4"/>
  <c r="D94" i="4"/>
  <c r="AB94" i="4"/>
  <c r="L99" i="4"/>
  <c r="AB99" i="4"/>
  <c r="AB103" i="4"/>
  <c r="L112" i="4"/>
  <c r="D112" i="4"/>
  <c r="T112" i="4"/>
  <c r="L120" i="4"/>
  <c r="T120" i="4"/>
  <c r="AB120" i="4"/>
  <c r="T122" i="4"/>
  <c r="AB122" i="4"/>
  <c r="D122" i="4"/>
  <c r="K123" i="4"/>
  <c r="AA125" i="4"/>
  <c r="L138" i="4"/>
  <c r="T138" i="4"/>
  <c r="AB138" i="4"/>
  <c r="T140" i="4"/>
  <c r="AB140" i="4"/>
  <c r="D140" i="4"/>
  <c r="L140" i="4"/>
  <c r="L143" i="4"/>
  <c r="AB144" i="4"/>
  <c r="R21" i="4"/>
  <c r="S21" i="4" s="1"/>
  <c r="AB96" i="4"/>
  <c r="R102" i="4"/>
  <c r="S102" i="4" s="1"/>
  <c r="X102" i="4"/>
  <c r="Z102" i="4"/>
  <c r="AA102" i="4" s="1"/>
  <c r="J102" i="4"/>
  <c r="K102" i="4" s="1"/>
  <c r="P18" i="4"/>
  <c r="AB45" i="4"/>
  <c r="AB54" i="4"/>
  <c r="AB19" i="4"/>
  <c r="R108" i="4"/>
  <c r="S108" i="4" s="1"/>
  <c r="X108" i="4"/>
  <c r="AB7" i="4"/>
  <c r="L97" i="4"/>
  <c r="D97" i="4"/>
  <c r="AB150" i="4"/>
  <c r="AB12" i="4"/>
  <c r="R38" i="4"/>
  <c r="S38" i="4" s="1"/>
  <c r="X38" i="4"/>
  <c r="Z38" i="4"/>
  <c r="AA38" i="4" s="1"/>
  <c r="J38" i="4"/>
  <c r="K38" i="4" s="1"/>
  <c r="AB98" i="4"/>
  <c r="D98" i="4"/>
  <c r="L98" i="4"/>
  <c r="T98" i="4"/>
  <c r="P130" i="4"/>
  <c r="J130" i="4"/>
  <c r="K130" i="4" s="1"/>
  <c r="X138" i="4"/>
  <c r="Z138" i="4"/>
  <c r="AA138" i="4" s="1"/>
  <c r="J138" i="4"/>
  <c r="K138" i="4" s="1"/>
  <c r="R138" i="4"/>
  <c r="S138" i="4" s="1"/>
  <c r="T20" i="4"/>
  <c r="D20" i="4"/>
  <c r="J33" i="4"/>
  <c r="K33" i="4" s="1"/>
  <c r="P33" i="4"/>
  <c r="Z33" i="4"/>
  <c r="AA33" i="4" s="1"/>
  <c r="X33" i="4"/>
  <c r="L76" i="4"/>
  <c r="D76" i="4"/>
  <c r="T76" i="4"/>
  <c r="AB106" i="4"/>
  <c r="Z108" i="4"/>
  <c r="AA108" i="4" s="1"/>
  <c r="AB135" i="4"/>
  <c r="AB154" i="4"/>
  <c r="R1" i="4"/>
  <c r="T144" i="4"/>
  <c r="T127" i="4"/>
  <c r="T117" i="4"/>
  <c r="T92" i="4"/>
  <c r="T65" i="4"/>
  <c r="T25" i="4"/>
  <c r="T106" i="4"/>
  <c r="T77" i="4"/>
  <c r="T151" i="4"/>
  <c r="T7" i="4"/>
  <c r="AB8" i="4"/>
  <c r="D8" i="4"/>
  <c r="AA8" i="4"/>
  <c r="P10" i="4"/>
  <c r="D12" i="4"/>
  <c r="P12" i="4"/>
  <c r="J13" i="4"/>
  <c r="K13" i="4" s="1"/>
  <c r="T23" i="4"/>
  <c r="AB23" i="4"/>
  <c r="K27" i="4"/>
  <c r="X46" i="4"/>
  <c r="R46" i="4"/>
  <c r="S46" i="4" s="1"/>
  <c r="P46" i="4"/>
  <c r="X53" i="4"/>
  <c r="X55" i="4"/>
  <c r="Z55" i="4"/>
  <c r="AA55" i="4" s="1"/>
  <c r="J55" i="4"/>
  <c r="K55" i="4" s="1"/>
  <c r="R55" i="4"/>
  <c r="S55" i="4" s="1"/>
  <c r="P56" i="4"/>
  <c r="X56" i="4"/>
  <c r="J56" i="4"/>
  <c r="K56" i="4" s="1"/>
  <c r="AA57" i="4"/>
  <c r="Z60" i="4"/>
  <c r="AA60" i="4" s="1"/>
  <c r="L69" i="4"/>
  <c r="L84" i="4"/>
  <c r="AB84" i="4"/>
  <c r="AB85" i="4"/>
  <c r="J90" i="4"/>
  <c r="K90" i="4" s="1"/>
  <c r="L103" i="4"/>
  <c r="D103" i="4"/>
  <c r="L105" i="4"/>
  <c r="K107" i="4"/>
  <c r="AB117" i="4"/>
  <c r="T123" i="4"/>
  <c r="AB124" i="4"/>
  <c r="D124" i="4"/>
  <c r="T124" i="4"/>
  <c r="L124" i="4"/>
  <c r="L150" i="4"/>
  <c r="D150" i="4"/>
  <c r="T150" i="4"/>
  <c r="R35" i="4"/>
  <c r="S35" i="4" s="1"/>
  <c r="X35" i="4"/>
  <c r="Z35" i="4"/>
  <c r="AA35" i="4" s="1"/>
  <c r="J35" i="4"/>
  <c r="K35" i="4" s="1"/>
  <c r="AB110" i="4"/>
  <c r="D110" i="4"/>
  <c r="L110" i="4"/>
  <c r="AB16" i="4"/>
  <c r="J30" i="4"/>
  <c r="K30" i="4" s="1"/>
  <c r="P30" i="4"/>
  <c r="Z30" i="4"/>
  <c r="AA30" i="4" s="1"/>
  <c r="X30" i="4"/>
  <c r="P59" i="4"/>
  <c r="Z59" i="4"/>
  <c r="AA59" i="4" s="1"/>
  <c r="X59" i="4"/>
  <c r="J59" i="4"/>
  <c r="K59" i="4" s="1"/>
  <c r="P60" i="4"/>
  <c r="R90" i="4"/>
  <c r="S90" i="4" s="1"/>
  <c r="X90" i="4"/>
  <c r="AB97" i="4"/>
  <c r="R111" i="4"/>
  <c r="S111" i="4" s="1"/>
  <c r="X111" i="4"/>
  <c r="R18" i="4"/>
  <c r="S18" i="4" s="1"/>
  <c r="AB34" i="4"/>
  <c r="R96" i="4"/>
  <c r="S96" i="4" s="1"/>
  <c r="X96" i="4"/>
  <c r="Z96" i="4"/>
  <c r="AA96" i="4" s="1"/>
  <c r="J96" i="4"/>
  <c r="K96" i="4" s="1"/>
  <c r="Z19" i="4"/>
  <c r="AA19" i="4" s="1"/>
  <c r="X19" i="4"/>
  <c r="T97" i="4"/>
  <c r="AB142" i="4"/>
  <c r="D142" i="4"/>
  <c r="T142" i="4"/>
  <c r="AB26" i="4"/>
  <c r="AB105" i="4"/>
  <c r="L155" i="4"/>
  <c r="T6" i="4"/>
  <c r="Z13" i="4"/>
  <c r="AA13" i="4" s="1"/>
  <c r="T15" i="4"/>
  <c r="AB15" i="4"/>
  <c r="Z18" i="4"/>
  <c r="AA18" i="4" s="1"/>
  <c r="R20" i="4"/>
  <c r="S20" i="4" s="1"/>
  <c r="P20" i="4"/>
  <c r="T22" i="4"/>
  <c r="L27" i="4"/>
  <c r="AB36" i="4"/>
  <c r="D36" i="4"/>
  <c r="L36" i="4"/>
  <c r="AB42" i="4"/>
  <c r="D42" i="4"/>
  <c r="AB43" i="4"/>
  <c r="X44" i="4"/>
  <c r="J53" i="4"/>
  <c r="K53" i="4" s="1"/>
  <c r="L60" i="4"/>
  <c r="AB67" i="4"/>
  <c r="L79" i="4"/>
  <c r="D79" i="4"/>
  <c r="AB79" i="4"/>
  <c r="AB80" i="4"/>
  <c r="D80" i="4"/>
  <c r="L80" i="4"/>
  <c r="T81" i="4"/>
  <c r="L82" i="4"/>
  <c r="D82" i="4"/>
  <c r="T84" i="4"/>
  <c r="K86" i="4"/>
  <c r="T103" i="4"/>
  <c r="AB104" i="4"/>
  <c r="D104" i="4"/>
  <c r="L104" i="4"/>
  <c r="T105" i="4"/>
  <c r="J108" i="4"/>
  <c r="K108" i="4" s="1"/>
  <c r="J111" i="4"/>
  <c r="K111" i="4" s="1"/>
  <c r="Z111" i="4"/>
  <c r="AA111" i="4" s="1"/>
  <c r="L116" i="4"/>
  <c r="AB11" i="4"/>
  <c r="D11" i="4"/>
  <c r="R26" i="4"/>
  <c r="S26" i="4" s="1"/>
  <c r="Z146" i="4"/>
  <c r="AA146" i="4" s="1"/>
  <c r="J146" i="4"/>
  <c r="K146" i="4" s="1"/>
  <c r="R146" i="4"/>
  <c r="S146" i="4" s="1"/>
  <c r="AA46" i="4"/>
  <c r="T110" i="4"/>
  <c r="P62" i="4"/>
  <c r="Z62" i="4"/>
  <c r="AA62" i="4" s="1"/>
  <c r="L64" i="4"/>
  <c r="T64" i="4"/>
  <c r="R72" i="4"/>
  <c r="S72" i="4" s="1"/>
  <c r="X72" i="4"/>
  <c r="R75" i="4"/>
  <c r="S75" i="4" s="1"/>
  <c r="X75" i="4"/>
  <c r="P96" i="4"/>
  <c r="AB100" i="4"/>
  <c r="AB17" i="4"/>
  <c r="D17" i="4"/>
  <c r="R32" i="4"/>
  <c r="S32" i="4" s="1"/>
  <c r="X32" i="4"/>
  <c r="T39" i="4"/>
  <c r="L81" i="4"/>
  <c r="X120" i="4"/>
  <c r="Z120" i="4"/>
  <c r="AA120" i="4" s="1"/>
  <c r="J120" i="4"/>
  <c r="K120" i="4" s="1"/>
  <c r="R120" i="4"/>
  <c r="S120" i="4" s="1"/>
  <c r="L152" i="4"/>
  <c r="L10" i="4"/>
  <c r="L13" i="4"/>
  <c r="X18" i="4"/>
  <c r="L50" i="4"/>
  <c r="T5" i="4"/>
  <c r="J9" i="4"/>
  <c r="K9" i="4" s="1"/>
  <c r="X9" i="4"/>
  <c r="D10" i="4"/>
  <c r="L11" i="4"/>
  <c r="T14" i="4"/>
  <c r="L16" i="4"/>
  <c r="L21" i="4"/>
  <c r="P21" i="4"/>
  <c r="P23" i="4"/>
  <c r="K24" i="4"/>
  <c r="AA31" i="4"/>
  <c r="P35" i="4"/>
  <c r="AA37" i="4"/>
  <c r="L41" i="4"/>
  <c r="AB41" i="4"/>
  <c r="J44" i="4"/>
  <c r="K44" i="4" s="1"/>
  <c r="P48" i="4"/>
  <c r="T60" i="4"/>
  <c r="X62" i="4"/>
  <c r="Z72" i="4"/>
  <c r="AA72" i="4" s="1"/>
  <c r="T79" i="4"/>
  <c r="T82" i="4"/>
  <c r="AB83" i="4"/>
  <c r="D83" i="4"/>
  <c r="L83" i="4"/>
  <c r="T83" i="4"/>
  <c r="L90" i="4"/>
  <c r="AB90" i="4"/>
  <c r="T100" i="4"/>
  <c r="AB101" i="4"/>
  <c r="D101" i="4"/>
  <c r="L101" i="4"/>
  <c r="T102" i="4"/>
  <c r="P102" i="4"/>
  <c r="T115" i="4"/>
  <c r="X130" i="4"/>
  <c r="L134" i="4"/>
  <c r="L136" i="4"/>
  <c r="L146" i="4"/>
  <c r="P146" i="4"/>
  <c r="P147" i="4"/>
  <c r="T149" i="4"/>
  <c r="D149" i="4"/>
  <c r="AB149" i="4"/>
  <c r="L149" i="4"/>
  <c r="T153" i="4"/>
  <c r="Z1" i="4"/>
  <c r="AB152" i="4"/>
  <c r="AB102" i="4"/>
  <c r="AB52" i="4"/>
  <c r="AB24" i="4"/>
  <c r="AB87" i="4"/>
  <c r="AB108" i="4"/>
  <c r="AB72" i="4"/>
  <c r="AB22" i="4"/>
  <c r="AB93" i="4"/>
  <c r="AB155" i="4"/>
  <c r="Z26" i="4"/>
  <c r="AA26" i="4" s="1"/>
  <c r="X26" i="4"/>
  <c r="J26" i="4"/>
  <c r="K26" i="4" s="1"/>
  <c r="R41" i="4"/>
  <c r="S41" i="4" s="1"/>
  <c r="X41" i="4"/>
  <c r="Z41" i="4"/>
  <c r="AA41" i="4" s="1"/>
  <c r="J41" i="4"/>
  <c r="K41" i="4" s="1"/>
  <c r="R48" i="4"/>
  <c r="S48" i="4" s="1"/>
  <c r="L109" i="4"/>
  <c r="D109" i="4"/>
  <c r="AB109" i="4"/>
  <c r="AB9" i="4"/>
  <c r="R13" i="4"/>
  <c r="S13" i="4" s="1"/>
  <c r="S27" i="4"/>
  <c r="AB76" i="4"/>
  <c r="AB123" i="4"/>
  <c r="AB25" i="4"/>
  <c r="AB33" i="4"/>
  <c r="D33" i="4"/>
  <c r="L33" i="4"/>
  <c r="J39" i="4"/>
  <c r="K39" i="4" s="1"/>
  <c r="P39" i="4"/>
  <c r="X39" i="4"/>
  <c r="AB40" i="4"/>
  <c r="AB82" i="4"/>
  <c r="D7" i="4"/>
  <c r="R7" i="4"/>
  <c r="S7" i="4" s="1"/>
  <c r="AA17" i="4"/>
  <c r="AA50" i="4"/>
  <c r="AB58" i="4"/>
  <c r="X60" i="4"/>
  <c r="R130" i="4"/>
  <c r="S130" i="4" s="1"/>
  <c r="L15" i="4"/>
  <c r="Z21" i="4"/>
  <c r="AA21" i="4" s="1"/>
  <c r="T33" i="4"/>
  <c r="D38" i="4"/>
  <c r="L51" i="4"/>
  <c r="J60" i="4"/>
  <c r="K60" i="4" s="1"/>
  <c r="AB13" i="4"/>
  <c r="P15" i="4"/>
  <c r="J16" i="4"/>
  <c r="K16" i="4" s="1"/>
  <c r="T18" i="4"/>
  <c r="AB18" i="4"/>
  <c r="L24" i="4"/>
  <c r="AB30" i="4"/>
  <c r="D30" i="4"/>
  <c r="L30" i="4"/>
  <c r="R30" i="4"/>
  <c r="S30" i="4" s="1"/>
  <c r="AB31" i="4"/>
  <c r="J36" i="4"/>
  <c r="K36" i="4" s="1"/>
  <c r="P36" i="4"/>
  <c r="X36" i="4"/>
  <c r="T36" i="4"/>
  <c r="AB37" i="4"/>
  <c r="L39" i="4"/>
  <c r="Z39" i="4"/>
  <c r="AA39" i="4" s="1"/>
  <c r="J42" i="4"/>
  <c r="K42" i="4" s="1"/>
  <c r="P42" i="4"/>
  <c r="X42" i="4"/>
  <c r="X49" i="4"/>
  <c r="Z49" i="4"/>
  <c r="AA49" i="4" s="1"/>
  <c r="R49" i="4"/>
  <c r="S49" i="4" s="1"/>
  <c r="P49" i="4"/>
  <c r="L53" i="4"/>
  <c r="R59" i="4"/>
  <c r="S59" i="4" s="1"/>
  <c r="J62" i="4"/>
  <c r="K62" i="4" s="1"/>
  <c r="Z66" i="4"/>
  <c r="AA66" i="4" s="1"/>
  <c r="R66" i="4"/>
  <c r="S66" i="4" s="1"/>
  <c r="P66" i="4"/>
  <c r="X67" i="4"/>
  <c r="J67" i="4"/>
  <c r="K67" i="4" s="1"/>
  <c r="R67" i="4"/>
  <c r="S67" i="4" s="1"/>
  <c r="T69" i="4"/>
  <c r="D69" i="4"/>
  <c r="T80" i="4"/>
  <c r="R81" i="4"/>
  <c r="S81" i="4" s="1"/>
  <c r="X81" i="4"/>
  <c r="Z81" i="4"/>
  <c r="AA81" i="4" s="1"/>
  <c r="J81" i="4"/>
  <c r="K81" i="4" s="1"/>
  <c r="L88" i="4"/>
  <c r="D88" i="4"/>
  <c r="AB88" i="4"/>
  <c r="AB89" i="4"/>
  <c r="D89" i="4"/>
  <c r="L89" i="4"/>
  <c r="T90" i="4"/>
  <c r="T104" i="4"/>
  <c r="R105" i="4"/>
  <c r="S105" i="4" s="1"/>
  <c r="X105" i="4"/>
  <c r="P105" i="4"/>
  <c r="L111" i="4"/>
  <c r="AB111" i="4"/>
  <c r="AB112" i="4"/>
  <c r="L118" i="4"/>
  <c r="T133" i="4"/>
  <c r="L137" i="4"/>
  <c r="T148" i="4"/>
  <c r="AA143" i="4"/>
  <c r="X153" i="4"/>
  <c r="P153" i="4"/>
  <c r="Z153" i="4"/>
  <c r="AA153" i="4" s="1"/>
  <c r="R153" i="4"/>
  <c r="S153" i="4" s="1"/>
  <c r="AA22" i="4"/>
  <c r="L29" i="4"/>
  <c r="AB29" i="4"/>
  <c r="T31" i="4"/>
  <c r="AB51" i="4"/>
  <c r="AB65" i="4"/>
  <c r="D65" i="4"/>
  <c r="L70" i="4"/>
  <c r="T70" i="4"/>
  <c r="D70" i="4"/>
  <c r="L71" i="4"/>
  <c r="AB77" i="4"/>
  <c r="D77" i="4"/>
  <c r="L77" i="4"/>
  <c r="T78" i="4"/>
  <c r="R84" i="4"/>
  <c r="S84" i="4" s="1"/>
  <c r="X84" i="4"/>
  <c r="L91" i="4"/>
  <c r="D91" i="4"/>
  <c r="K101" i="4"/>
  <c r="T113" i="4"/>
  <c r="D113" i="4"/>
  <c r="AB113" i="4"/>
  <c r="L113" i="4"/>
  <c r="L114" i="4"/>
  <c r="T114" i="4"/>
  <c r="AB114" i="4"/>
  <c r="K115" i="4"/>
  <c r="L126" i="4"/>
  <c r="T126" i="4"/>
  <c r="AB126" i="4"/>
  <c r="D126" i="4"/>
  <c r="K133" i="4"/>
  <c r="AB136" i="4"/>
  <c r="D136" i="4"/>
  <c r="T136" i="4"/>
  <c r="R152" i="4"/>
  <c r="S152" i="4" s="1"/>
  <c r="Z152" i="4"/>
  <c r="AA152" i="4" s="1"/>
  <c r="J152" i="4"/>
  <c r="K152" i="4" s="1"/>
  <c r="T154" i="4"/>
  <c r="T155" i="4"/>
  <c r="D155" i="4"/>
  <c r="Z24" i="4"/>
  <c r="AA24" i="4" s="1"/>
  <c r="T34" i="4"/>
  <c r="AA40" i="4"/>
  <c r="T71" i="4"/>
  <c r="K80" i="4"/>
  <c r="T91" i="4"/>
  <c r="AB92" i="4"/>
  <c r="D92" i="4"/>
  <c r="L92" i="4"/>
  <c r="T93" i="4"/>
  <c r="R99" i="4"/>
  <c r="S99" i="4" s="1"/>
  <c r="X99" i="4"/>
  <c r="L106" i="4"/>
  <c r="D106" i="4"/>
  <c r="AB118" i="4"/>
  <c r="D118" i="4"/>
  <c r="T118" i="4"/>
  <c r="AA133" i="4"/>
  <c r="T143" i="4"/>
  <c r="D143" i="4"/>
  <c r="AB143" i="4"/>
  <c r="P29" i="4"/>
  <c r="L32" i="4"/>
  <c r="T37" i="4"/>
  <c r="P47" i="4"/>
  <c r="Z47" i="4"/>
  <c r="AA47" i="4" s="1"/>
  <c r="X61" i="4"/>
  <c r="Z61" i="4"/>
  <c r="AA61" i="4" s="1"/>
  <c r="P61" i="4"/>
  <c r="L66" i="4"/>
  <c r="T72" i="4"/>
  <c r="R78" i="4"/>
  <c r="S78" i="4" s="1"/>
  <c r="X78" i="4"/>
  <c r="L85" i="4"/>
  <c r="D85" i="4"/>
  <c r="K95" i="4"/>
  <c r="AB107" i="4"/>
  <c r="D107" i="4"/>
  <c r="L107" i="4"/>
  <c r="T108" i="4"/>
  <c r="P114" i="4"/>
  <c r="AA115" i="4"/>
  <c r="P136" i="4"/>
  <c r="J136" i="4"/>
  <c r="K136" i="4" s="1"/>
  <c r="R136" i="4"/>
  <c r="S136" i="4" s="1"/>
  <c r="L35" i="4"/>
  <c r="T40" i="4"/>
  <c r="T43" i="4"/>
  <c r="R47" i="4"/>
  <c r="S47" i="4" s="1"/>
  <c r="T48" i="4"/>
  <c r="AB48" i="4"/>
  <c r="AA51" i="4"/>
  <c r="P58" i="4"/>
  <c r="T61" i="4"/>
  <c r="L67" i="4"/>
  <c r="T67" i="4"/>
  <c r="P78" i="4"/>
  <c r="T85" i="4"/>
  <c r="AB86" i="4"/>
  <c r="D86" i="4"/>
  <c r="L86" i="4"/>
  <c r="T87" i="4"/>
  <c r="R93" i="4"/>
  <c r="S93" i="4" s="1"/>
  <c r="X93" i="4"/>
  <c r="L100" i="4"/>
  <c r="D100" i="4"/>
  <c r="P118" i="4"/>
  <c r="J118" i="4"/>
  <c r="K118" i="4" s="1"/>
  <c r="R118" i="4"/>
  <c r="S118" i="4" s="1"/>
  <c r="T128" i="4"/>
  <c r="AB128" i="4"/>
  <c r="P132" i="4"/>
  <c r="AB44" i="4"/>
  <c r="D44" i="4"/>
  <c r="L46" i="4"/>
  <c r="AB50" i="4"/>
  <c r="D50" i="4"/>
  <c r="L52" i="4"/>
  <c r="AB56" i="4"/>
  <c r="D56" i="4"/>
  <c r="L58" i="4"/>
  <c r="AB62" i="4"/>
  <c r="D62" i="4"/>
  <c r="P124" i="4"/>
  <c r="J124" i="4"/>
  <c r="K124" i="4" s="1"/>
  <c r="R124" i="4"/>
  <c r="S124" i="4" s="1"/>
  <c r="AB129" i="4"/>
  <c r="L132" i="4"/>
  <c r="T132" i="4"/>
  <c r="AB132" i="4"/>
  <c r="Z43" i="4"/>
  <c r="AA43" i="4" s="1"/>
  <c r="T44" i="4"/>
  <c r="T45" i="4"/>
  <c r="T50" i="4"/>
  <c r="T51" i="4"/>
  <c r="T56" i="4"/>
  <c r="T57" i="4"/>
  <c r="T62" i="4"/>
  <c r="AA68" i="4"/>
  <c r="X70" i="4"/>
  <c r="J70" i="4"/>
  <c r="K70" i="4" s="1"/>
  <c r="R70" i="4"/>
  <c r="S70" i="4" s="1"/>
  <c r="AA123" i="4"/>
  <c r="X124" i="4"/>
  <c r="AA141" i="4"/>
  <c r="L144" i="4"/>
  <c r="D144" i="4"/>
  <c r="X149" i="4"/>
  <c r="J149" i="4"/>
  <c r="K149" i="4" s="1"/>
  <c r="P149" i="4"/>
  <c r="T46" i="4"/>
  <c r="AB47" i="4"/>
  <c r="D47" i="4"/>
  <c r="L49" i="4"/>
  <c r="T52" i="4"/>
  <c r="AB53" i="4"/>
  <c r="D53" i="4"/>
  <c r="L55" i="4"/>
  <c r="T58" i="4"/>
  <c r="AB59" i="4"/>
  <c r="D59" i="4"/>
  <c r="L61" i="4"/>
  <c r="AB68" i="4"/>
  <c r="D68" i="4"/>
  <c r="X69" i="4"/>
  <c r="AA71" i="4"/>
  <c r="X73" i="4"/>
  <c r="J73" i="4"/>
  <c r="K73" i="4" s="1"/>
  <c r="R73" i="4"/>
  <c r="S73" i="4" s="1"/>
  <c r="X76" i="4"/>
  <c r="J76" i="4"/>
  <c r="K76" i="4" s="1"/>
  <c r="R76" i="4"/>
  <c r="S76" i="4" s="1"/>
  <c r="X79" i="4"/>
  <c r="J79" i="4"/>
  <c r="K79" i="4" s="1"/>
  <c r="R79" i="4"/>
  <c r="S79" i="4" s="1"/>
  <c r="X82" i="4"/>
  <c r="J82" i="4"/>
  <c r="K82" i="4" s="1"/>
  <c r="R82" i="4"/>
  <c r="S82" i="4" s="1"/>
  <c r="X85" i="4"/>
  <c r="J85" i="4"/>
  <c r="K85" i="4" s="1"/>
  <c r="R85" i="4"/>
  <c r="S85" i="4" s="1"/>
  <c r="X88" i="4"/>
  <c r="J88" i="4"/>
  <c r="K88" i="4" s="1"/>
  <c r="R88" i="4"/>
  <c r="S88" i="4" s="1"/>
  <c r="X91" i="4"/>
  <c r="J91" i="4"/>
  <c r="K91" i="4" s="1"/>
  <c r="R91" i="4"/>
  <c r="S91" i="4" s="1"/>
  <c r="X94" i="4"/>
  <c r="J94" i="4"/>
  <c r="K94" i="4" s="1"/>
  <c r="R94" i="4"/>
  <c r="S94" i="4" s="1"/>
  <c r="X97" i="4"/>
  <c r="J97" i="4"/>
  <c r="K97" i="4" s="1"/>
  <c r="R97" i="4"/>
  <c r="S97" i="4" s="1"/>
  <c r="X100" i="4"/>
  <c r="J100" i="4"/>
  <c r="K100" i="4" s="1"/>
  <c r="R100" i="4"/>
  <c r="S100" i="4" s="1"/>
  <c r="X103" i="4"/>
  <c r="J103" i="4"/>
  <c r="K103" i="4" s="1"/>
  <c r="R103" i="4"/>
  <c r="S103" i="4" s="1"/>
  <c r="X106" i="4"/>
  <c r="J106" i="4"/>
  <c r="K106" i="4" s="1"/>
  <c r="R106" i="4"/>
  <c r="S106" i="4" s="1"/>
  <c r="X109" i="4"/>
  <c r="J109" i="4"/>
  <c r="K109" i="4" s="1"/>
  <c r="R109" i="4"/>
  <c r="S109" i="4" s="1"/>
  <c r="X112" i="4"/>
  <c r="J112" i="4"/>
  <c r="K112" i="4" s="1"/>
  <c r="R112" i="4"/>
  <c r="S112" i="4" s="1"/>
  <c r="AA113" i="4"/>
  <c r="P126" i="4"/>
  <c r="AA127" i="4"/>
  <c r="AB130" i="4"/>
  <c r="D130" i="4"/>
  <c r="T130" i="4"/>
  <c r="AB145" i="4"/>
  <c r="D145" i="4"/>
  <c r="T145" i="4"/>
  <c r="L145" i="4"/>
  <c r="S150" i="4"/>
  <c r="AB49" i="4"/>
  <c r="AB55" i="4"/>
  <c r="AB61" i="4"/>
  <c r="J64" i="4"/>
  <c r="K64" i="4" s="1"/>
  <c r="T66" i="4"/>
  <c r="J69" i="4"/>
  <c r="K69" i="4" s="1"/>
  <c r="AB71" i="4"/>
  <c r="D71" i="4"/>
  <c r="T116" i="4"/>
  <c r="AB116" i="4"/>
  <c r="AA131" i="4"/>
  <c r="T134" i="4"/>
  <c r="AB134" i="4"/>
  <c r="X144" i="4"/>
  <c r="Z144" i="4"/>
  <c r="AA144" i="4" s="1"/>
  <c r="J144" i="4"/>
  <c r="K144" i="4" s="1"/>
  <c r="R144" i="4"/>
  <c r="S144" i="4" s="1"/>
  <c r="AB151" i="4"/>
  <c r="L147" i="4"/>
  <c r="AB147" i="4"/>
  <c r="K150" i="4"/>
  <c r="T152" i="4"/>
  <c r="T119" i="4"/>
  <c r="T125" i="4"/>
  <c r="T131" i="4"/>
  <c r="T137" i="4"/>
  <c r="AA148" i="4"/>
  <c r="Z74" i="4"/>
  <c r="AA74" i="4" s="1"/>
  <c r="Z77" i="4"/>
  <c r="AA77" i="4" s="1"/>
  <c r="Z80" i="4"/>
  <c r="AA80" i="4" s="1"/>
  <c r="Z83" i="4"/>
  <c r="AA83" i="4" s="1"/>
  <c r="Z86" i="4"/>
  <c r="AA86" i="4" s="1"/>
  <c r="Z89" i="4"/>
  <c r="AA89" i="4" s="1"/>
  <c r="Z92" i="4"/>
  <c r="AA92" i="4" s="1"/>
  <c r="Z95" i="4"/>
  <c r="AA95" i="4" s="1"/>
  <c r="Z98" i="4"/>
  <c r="AA98" i="4" s="1"/>
  <c r="Z101" i="4"/>
  <c r="AA101" i="4" s="1"/>
  <c r="Z104" i="4"/>
  <c r="AA104" i="4" s="1"/>
  <c r="Z107" i="4"/>
  <c r="AA107" i="4" s="1"/>
  <c r="Z110" i="4"/>
  <c r="AA110" i="4" s="1"/>
  <c r="AB115" i="4"/>
  <c r="D115" i="4"/>
  <c r="L117" i="4"/>
  <c r="AB121" i="4"/>
  <c r="D121" i="4"/>
  <c r="L123" i="4"/>
  <c r="AB127" i="4"/>
  <c r="D127" i="4"/>
  <c r="L129" i="4"/>
  <c r="AB133" i="4"/>
  <c r="D133" i="4"/>
  <c r="L135" i="4"/>
  <c r="AB139" i="4"/>
  <c r="D139" i="4"/>
  <c r="L141" i="4"/>
  <c r="T147" i="4"/>
  <c r="AB148" i="4"/>
  <c r="D148" i="4"/>
  <c r="AB119" i="4"/>
  <c r="AB125" i="4"/>
  <c r="AB131" i="4"/>
  <c r="AB137" i="4"/>
  <c r="T146" i="4"/>
  <c r="L153" i="4"/>
  <c r="AB153" i="4"/>
  <c r="P117" i="4"/>
  <c r="D119" i="4"/>
  <c r="P123" i="4"/>
  <c r="D125" i="4"/>
  <c r="P129" i="4"/>
  <c r="D131" i="4"/>
  <c r="P135" i="4"/>
  <c r="D137" i="4"/>
  <c r="P141" i="4"/>
  <c r="AB146" i="4"/>
  <c r="AA151" i="4"/>
  <c r="D151" i="4"/>
  <c r="D154" i="4"/>
  <c r="R4" i="4"/>
  <c r="S4" i="4" s="1"/>
  <c r="J4" i="4"/>
  <c r="K4" i="4" s="1"/>
  <c r="X4" i="4"/>
  <c r="P4" i="4"/>
  <c r="AA4" i="4"/>
  <c r="AB4" i="4"/>
  <c r="L4" i="4"/>
  <c r="T4" i="4"/>
  <c r="D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L1" authorId="0" shapeId="0" xr:uid="{00000000-0006-0000-0100-000001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  <comment ref="T1" authorId="0" shapeId="0" xr:uid="{00000000-0006-0000-0100-000002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  <comment ref="AB1" authorId="0" shapeId="0" xr:uid="{00000000-0006-0000-0100-000003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</commentList>
</comments>
</file>

<file path=xl/sharedStrings.xml><?xml version="1.0" encoding="utf-8"?>
<sst xmlns="http://schemas.openxmlformats.org/spreadsheetml/2006/main" count="820" uniqueCount="177">
  <si>
    <t>業者名</t>
    <rPh sb="0" eb="2">
      <t>ギョウシャ</t>
    </rPh>
    <rPh sb="2" eb="3">
      <t>メイ</t>
    </rPh>
    <phoneticPr fontId="3"/>
  </si>
  <si>
    <t>摘要</t>
    <rPh sb="0" eb="2">
      <t>テキヨウ</t>
    </rPh>
    <phoneticPr fontId="3"/>
  </si>
  <si>
    <t>当り数量</t>
    <rPh sb="0" eb="1">
      <t>アタ</t>
    </rPh>
    <rPh sb="2" eb="4">
      <t>スウリョウ</t>
    </rPh>
    <phoneticPr fontId="3"/>
  </si>
  <si>
    <t>帳票</t>
    <rPh sb="0" eb="2">
      <t>チョウヒョウ</t>
    </rPh>
    <phoneticPr fontId="3"/>
  </si>
  <si>
    <t>工種・種別・細別</t>
    <rPh sb="0" eb="2">
      <t>コウシュ</t>
    </rPh>
    <rPh sb="3" eb="5">
      <t>シュベツ</t>
    </rPh>
    <rPh sb="6" eb="8">
      <t>サイベツ</t>
    </rPh>
    <phoneticPr fontId="3"/>
  </si>
  <si>
    <t>規格</t>
    <rPh sb="0" eb="2">
      <t>キカク</t>
    </rPh>
    <phoneticPr fontId="3"/>
  </si>
  <si>
    <t>単位</t>
    <rPh sb="0" eb="2">
      <t>タンイ</t>
    </rPh>
    <phoneticPr fontId="3"/>
  </si>
  <si>
    <t>予算 #02</t>
    <rPh sb="0" eb="2">
      <t>ヨサン</t>
    </rPh>
    <phoneticPr fontId="3"/>
  </si>
  <si>
    <t>予算 #03</t>
    <rPh sb="0" eb="2">
      <t>ヨサン</t>
    </rPh>
    <phoneticPr fontId="3"/>
  </si>
  <si>
    <t>備考</t>
    <rPh sb="0" eb="2">
      <t>ビコウ</t>
    </rPh>
    <phoneticPr fontId="3"/>
  </si>
  <si>
    <t>数量</t>
    <rPh sb="0" eb="2">
      <t>スウリョウ</t>
    </rPh>
    <phoneticPr fontId="3"/>
  </si>
  <si>
    <t>単価</t>
    <rPh sb="0" eb="2">
      <t>タンカ</t>
    </rPh>
    <phoneticPr fontId="3"/>
  </si>
  <si>
    <t>金額</t>
    <rPh sb="0" eb="2">
      <t>キンガク</t>
    </rPh>
    <phoneticPr fontId="3"/>
  </si>
  <si>
    <t>階層</t>
    <rPh sb="0" eb="2">
      <t>カイソウ</t>
    </rPh>
    <phoneticPr fontId="3"/>
  </si>
  <si>
    <t>構成率</t>
    <rPh sb="0" eb="3">
      <t>コウセイリツ</t>
    </rPh>
    <phoneticPr fontId="3"/>
  </si>
  <si>
    <t>工事価格</t>
    <rPh sb="0" eb="2">
      <t>コウジ</t>
    </rPh>
    <rPh sb="2" eb="4">
      <t>カカク</t>
    </rPh>
    <phoneticPr fontId="3"/>
  </si>
  <si>
    <t>ユーザー
コード</t>
    <phoneticPr fontId="3"/>
  </si>
  <si>
    <t>原価工種コード</t>
    <rPh sb="0" eb="2">
      <t>ゲンカ</t>
    </rPh>
    <rPh sb="2" eb="4">
      <t>コウシュ</t>
    </rPh>
    <phoneticPr fontId="3"/>
  </si>
  <si>
    <t>総括</t>
  </si>
  <si>
    <t>式</t>
  </si>
  <si>
    <t>内訳代価</t>
  </si>
  <si>
    <t>車道舗装</t>
  </si>
  <si>
    <t>上層路盤工(HMS-25　材料支給）</t>
  </si>
  <si>
    <t>m2</t>
  </si>
  <si>
    <t>15号内訳書</t>
  </si>
  <si>
    <t xml:space="preserve">s20718001 </t>
  </si>
  <si>
    <t>材料費</t>
  </si>
  <si>
    <t>雑材</t>
  </si>
  <si>
    <t xml:space="preserve">s20718015 </t>
  </si>
  <si>
    <t>乳剤PK-3・4</t>
  </si>
  <si>
    <t>L</t>
  </si>
  <si>
    <t xml:space="preserve">1270×0.8 </t>
  </si>
  <si>
    <t xml:space="preserve">s20718042 </t>
  </si>
  <si>
    <t>山砂</t>
  </si>
  <si>
    <t>ｔ</t>
  </si>
  <si>
    <t xml:space="preserve">s20718549 </t>
  </si>
  <si>
    <t>軽油</t>
  </si>
  <si>
    <t xml:space="preserve">r20718007 </t>
  </si>
  <si>
    <t>労務費</t>
  </si>
  <si>
    <t>運転工</t>
  </si>
  <si>
    <t>8H</t>
  </si>
  <si>
    <t>人</t>
  </si>
  <si>
    <t xml:space="preserve">2日×5人 </t>
  </si>
  <si>
    <t xml:space="preserve">k20718043 </t>
  </si>
  <si>
    <t>機械費</t>
  </si>
  <si>
    <t>タイヤR　8t</t>
  </si>
  <si>
    <t>8t　低騒音</t>
  </si>
  <si>
    <t>日台</t>
  </si>
  <si>
    <t xml:space="preserve">2日×1台 </t>
  </si>
  <si>
    <t xml:space="preserve">k20718030 </t>
  </si>
  <si>
    <t>モーターグレーダー</t>
  </si>
  <si>
    <t>3.1m　低騒音</t>
  </si>
  <si>
    <t xml:space="preserve">k20718039 </t>
  </si>
  <si>
    <t>マカダムR</t>
  </si>
  <si>
    <t>R2　低騒音</t>
  </si>
  <si>
    <t xml:space="preserve">k20718031 </t>
  </si>
  <si>
    <t>コンバインドR</t>
  </si>
  <si>
    <t>3t　4ｔ　低騒音</t>
  </si>
  <si>
    <t xml:space="preserve">k20718024 </t>
  </si>
  <si>
    <t>タイヤショベル0.5</t>
  </si>
  <si>
    <t>低騒音</t>
  </si>
  <si>
    <t xml:space="preserve">k20718001 </t>
  </si>
  <si>
    <t>小物機械　ﾊﾟｰﾄﾅ・丸ﾉｺ</t>
  </si>
  <si>
    <t>ｸﾞﾗｲﾝﾀﾞ-・ｺｱ抜きﾄﾞﾘﾙ・ﾌﾞﾛｱ　等</t>
  </si>
  <si>
    <t>台</t>
  </si>
  <si>
    <t xml:space="preserve">k20718106 </t>
  </si>
  <si>
    <t>ディストリビューター(昼)</t>
  </si>
  <si>
    <t xml:space="preserve">u20718025 </t>
  </si>
  <si>
    <t>運搬費</t>
  </si>
  <si>
    <t>2tダンプ</t>
  </si>
  <si>
    <t xml:space="preserve">2日×2台 </t>
  </si>
  <si>
    <t xml:space="preserve">u20718008 </t>
  </si>
  <si>
    <t>WP</t>
  </si>
  <si>
    <t>基層工</t>
  </si>
  <si>
    <t>16号内訳書</t>
  </si>
  <si>
    <t xml:space="preserve">s20718004 </t>
  </si>
  <si>
    <t>R粗粒度As20スラグ</t>
  </si>
  <si>
    <t xml:space="preserve">1270m2×5cm×2.4×5％ </t>
  </si>
  <si>
    <t>雑材　舗装</t>
  </si>
  <si>
    <t xml:space="preserve">1日×10人 </t>
  </si>
  <si>
    <t xml:space="preserve">k20718054 </t>
  </si>
  <si>
    <t>Asフィニッシャー6.0m</t>
  </si>
  <si>
    <t xml:space="preserve">1日×1台 </t>
  </si>
  <si>
    <t xml:space="preserve">1日×3台 </t>
  </si>
  <si>
    <t xml:space="preserve">1日×2台 </t>
  </si>
  <si>
    <t>中間層工</t>
  </si>
  <si>
    <t>17号内訳書</t>
  </si>
  <si>
    <t xml:space="preserve">1330m2×5cm×2.4×5％ </t>
  </si>
  <si>
    <t xml:space="preserve">s1005 </t>
  </si>
  <si>
    <t>TFE(ﾀｯｸﾌｧｲﾝE)</t>
  </si>
  <si>
    <t xml:space="preserve">1330×0.4 </t>
  </si>
  <si>
    <t>舗装</t>
  </si>
  <si>
    <t xml:space="preserve">1日×12人 </t>
  </si>
  <si>
    <t>表層工</t>
  </si>
  <si>
    <t>18号内訳書</t>
  </si>
  <si>
    <t xml:space="preserve">s20718006 </t>
  </si>
  <si>
    <t>R改質Ⅱ型密粒度As20スラグ</t>
  </si>
  <si>
    <t xml:space="preserve">s20718017 </t>
  </si>
  <si>
    <t>舗装型枠</t>
  </si>
  <si>
    <t>50*100*4000</t>
  </si>
  <si>
    <t>ｍ</t>
  </si>
  <si>
    <t>市道舗装</t>
  </si>
  <si>
    <t>側道　表層工</t>
  </si>
  <si>
    <t>19号内訳書</t>
  </si>
  <si>
    <t>R改質Ⅱ型密粒度As13スラグ</t>
  </si>
  <si>
    <t xml:space="preserve">700m2×5cm×2.4×5％ </t>
  </si>
  <si>
    <t xml:space="preserve">700m2×0.8 </t>
  </si>
  <si>
    <t xml:space="preserve">k20718053 </t>
  </si>
  <si>
    <t>Asフィニッシャー4.4m</t>
  </si>
  <si>
    <t>歩道舗装</t>
  </si>
  <si>
    <t>一般部　表層工</t>
  </si>
  <si>
    <t>20号内訳書</t>
  </si>
  <si>
    <t xml:space="preserve">s20718009 </t>
  </si>
  <si>
    <t>透水性As13</t>
  </si>
  <si>
    <t xml:space="preserve">k20718018 </t>
  </si>
  <si>
    <t>BH0.25クレーン</t>
  </si>
  <si>
    <t>低騒音・超小</t>
  </si>
  <si>
    <t>出入口部　表層工</t>
  </si>
  <si>
    <t>21号内訳書</t>
  </si>
  <si>
    <t>R密粒度As13スラグ</t>
  </si>
  <si>
    <t>仮舗装</t>
  </si>
  <si>
    <t>下層路盤工(RC-40　材料支給）</t>
  </si>
  <si>
    <t>22号内訳書</t>
  </si>
  <si>
    <t xml:space="preserve">1日×6人 </t>
  </si>
  <si>
    <t xml:space="preserve">k20718014 </t>
  </si>
  <si>
    <t>BH0.15クレーン</t>
  </si>
  <si>
    <t>23号内訳書</t>
  </si>
  <si>
    <t xml:space="preserve">k20718012 </t>
  </si>
  <si>
    <t>BH0.1クレーン</t>
  </si>
  <si>
    <t>切削工</t>
  </si>
  <si>
    <t>24号内訳書</t>
  </si>
  <si>
    <t xml:space="preserve">1日×5人 </t>
  </si>
  <si>
    <t xml:space="preserve">k20718118 </t>
  </si>
  <si>
    <t>切削機CRP1000</t>
  </si>
  <si>
    <t>機械運搬費</t>
  </si>
  <si>
    <t>25号内訳書</t>
  </si>
  <si>
    <t xml:space="preserve">u20718022 </t>
  </si>
  <si>
    <t>ミニ切削機回送</t>
  </si>
  <si>
    <t>1000</t>
  </si>
  <si>
    <t>回</t>
  </si>
  <si>
    <t xml:space="preserve">u20718017 </t>
  </si>
  <si>
    <t>AF回送　大型セルフ(60)</t>
  </si>
  <si>
    <t xml:space="preserve">AF60 </t>
  </si>
  <si>
    <t xml:space="preserve">u20718018 </t>
  </si>
  <si>
    <t>AF回送　大型セルフ(44)</t>
  </si>
  <si>
    <t xml:space="preserve">AF40 </t>
  </si>
  <si>
    <t xml:space="preserve">u20718012 </t>
  </si>
  <si>
    <t>回送　大型セルフ</t>
  </si>
  <si>
    <t xml:space="preserve">MG・TR・MR・CR/TS・BH0.25 </t>
  </si>
  <si>
    <t xml:space="preserve">u20718016 </t>
  </si>
  <si>
    <t>雑回送</t>
  </si>
  <si>
    <t xml:space="preserve">BH0.1 </t>
  </si>
  <si>
    <t>現場管理工</t>
  </si>
  <si>
    <t>27号内訳書</t>
  </si>
  <si>
    <t xml:space="preserve">2日×3人 </t>
  </si>
  <si>
    <t>技術・品質管理工</t>
  </si>
  <si>
    <t>28号内訳書</t>
  </si>
  <si>
    <t>測量資材</t>
  </si>
  <si>
    <t xml:space="preserve">g3001 </t>
  </si>
  <si>
    <t>外注費</t>
  </si>
  <si>
    <t>舗装路面の平坦性測定</t>
  </si>
  <si>
    <t xml:space="preserve">g20718051 </t>
  </si>
  <si>
    <t>Asコア採取(最低)</t>
  </si>
  <si>
    <t>最低補償</t>
  </si>
  <si>
    <t xml:space="preserve">1-5-33-23793-1 </t>
  </si>
  <si>
    <t>ｱｽﾌｧﾙﾄ混合物の抽出試験</t>
  </si>
  <si>
    <t>個</t>
  </si>
  <si>
    <t>外注工</t>
  </si>
  <si>
    <t>29号内訳書</t>
  </si>
  <si>
    <t xml:space="preserve">g20718107 </t>
  </si>
  <si>
    <t>外注経費</t>
  </si>
  <si>
    <t>材工8％</t>
  </si>
  <si>
    <t xml:space="preserve">g20718106 </t>
  </si>
  <si>
    <t>法定福利費</t>
  </si>
  <si>
    <t>労務費*16%</t>
  </si>
  <si>
    <t>予算</t>
    <phoneticPr fontId="3"/>
  </si>
  <si>
    <t>天神峰工区改良その2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</si>
</sst>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%"/>
    <numFmt numFmtId="177" formatCode="0.00_ "/>
    <numFmt numFmtId="178" formatCode="#,##0.000_ ;[Red]\-#,##0.000\ "/>
    <numFmt numFmtId="179" formatCode="#,##0.00_ ;[Red]\-#,##0.00\ "/>
    <numFmt numFmtId="180" formatCode="#,##0_ ;[Red]\-#,##0\ "/>
  </numFmts>
  <fonts count="1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12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color indexed="12"/>
      <name val="ＭＳ Ｐゴシック"/>
      <family val="3"/>
      <charset val="128"/>
    </font>
    <font>
      <sz val="10"/>
      <color indexed="8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7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0" fontId="2" fillId="0" borderId="0"/>
    <xf numFmtId="0" fontId="2" fillId="0" borderId="0"/>
  </cellStyleXfs>
  <cellXfs count="60">
    <xf numFmtId="0" fontId="0" fillId="0" borderId="0" xfId="0"/>
    <xf numFmtId="0" fontId="4" fillId="0" borderId="1" xfId="3" applyFont="1" applyBorder="1" applyAlignment="1">
      <alignment horizontal="left"/>
    </xf>
    <xf numFmtId="0" fontId="4" fillId="0" borderId="0" xfId="3" applyFont="1" applyAlignment="1">
      <alignment horizontal="left"/>
    </xf>
    <xf numFmtId="0" fontId="5" fillId="0" borderId="0" xfId="4" applyFont="1"/>
    <xf numFmtId="0" fontId="6" fillId="0" borderId="0" xfId="4" applyFont="1"/>
    <xf numFmtId="0" fontId="7" fillId="0" borderId="0" xfId="1" applyNumberFormat="1" applyFont="1" applyAlignment="1"/>
    <xf numFmtId="0" fontId="8" fillId="0" borderId="0" xfId="4" applyFont="1"/>
    <xf numFmtId="0" fontId="5" fillId="2" borderId="0" xfId="4" applyFont="1" applyFill="1"/>
    <xf numFmtId="38" fontId="7" fillId="0" borderId="1" xfId="2" applyFont="1" applyFill="1" applyBorder="1" applyAlignment="1">
      <alignment shrinkToFit="1"/>
    </xf>
    <xf numFmtId="0" fontId="9" fillId="2" borderId="0" xfId="4" applyFont="1" applyFill="1" applyAlignment="1">
      <alignment shrinkToFit="1"/>
    </xf>
    <xf numFmtId="0" fontId="9" fillId="0" borderId="0" xfId="4" applyFont="1" applyAlignment="1">
      <alignment shrinkToFit="1"/>
    </xf>
    <xf numFmtId="0" fontId="11" fillId="0" borderId="2" xfId="2" applyNumberFormat="1" applyFont="1" applyBorder="1" applyAlignment="1">
      <alignment horizontal="center" shrinkToFit="1"/>
    </xf>
    <xf numFmtId="0" fontId="7" fillId="3" borderId="0" xfId="1" applyNumberFormat="1" applyFont="1" applyFill="1" applyAlignment="1"/>
    <xf numFmtId="38" fontId="7" fillId="4" borderId="1" xfId="2" applyFont="1" applyFill="1" applyBorder="1" applyAlignment="1"/>
    <xf numFmtId="0" fontId="12" fillId="0" borderId="0" xfId="4" applyFont="1"/>
    <xf numFmtId="0" fontId="12" fillId="0" borderId="0" xfId="4" applyFont="1" applyAlignment="1">
      <alignment horizontal="center"/>
    </xf>
    <xf numFmtId="0" fontId="12" fillId="0" borderId="0" xfId="4" applyFont="1" applyAlignment="1">
      <alignment horizontal="right"/>
    </xf>
    <xf numFmtId="176" fontId="12" fillId="0" borderId="0" xfId="1" applyNumberFormat="1" applyFont="1" applyAlignment="1"/>
    <xf numFmtId="176" fontId="12" fillId="0" borderId="0" xfId="1" applyNumberFormat="1" applyFont="1" applyBorder="1" applyAlignment="1">
      <alignment horizontal="center"/>
    </xf>
    <xf numFmtId="176" fontId="12" fillId="0" borderId="0" xfId="1" applyNumberFormat="1" applyFont="1" applyBorder="1" applyAlignment="1"/>
    <xf numFmtId="0" fontId="6" fillId="5" borderId="3" xfId="4" applyFont="1" applyFill="1" applyBorder="1" applyAlignment="1">
      <alignment horizontal="center" vertical="center" wrapText="1"/>
    </xf>
    <xf numFmtId="0" fontId="12" fillId="5" borderId="3" xfId="4" applyFont="1" applyFill="1" applyBorder="1" applyAlignment="1">
      <alignment horizontal="center" vertical="center"/>
    </xf>
    <xf numFmtId="0" fontId="6" fillId="5" borderId="4" xfId="4" applyFont="1" applyFill="1" applyBorder="1" applyAlignment="1">
      <alignment horizontal="center" vertical="center"/>
    </xf>
    <xf numFmtId="0" fontId="12" fillId="5" borderId="4" xfId="4" applyFont="1" applyFill="1" applyBorder="1" applyAlignment="1">
      <alignment horizontal="center" vertical="center"/>
    </xf>
    <xf numFmtId="177" fontId="12" fillId="5" borderId="5" xfId="4" applyNumberFormat="1" applyFont="1" applyFill="1" applyBorder="1" applyAlignment="1">
      <alignment horizontal="center" vertical="center" shrinkToFit="1"/>
    </xf>
    <xf numFmtId="38" fontId="12" fillId="5" borderId="6" xfId="2" applyFont="1" applyFill="1" applyBorder="1" applyAlignment="1">
      <alignment horizontal="center" vertical="center" shrinkToFit="1"/>
    </xf>
    <xf numFmtId="177" fontId="12" fillId="5" borderId="7" xfId="4" applyNumberFormat="1" applyFont="1" applyFill="1" applyBorder="1" applyAlignment="1">
      <alignment horizontal="center" vertical="center" shrinkToFit="1"/>
    </xf>
    <xf numFmtId="177" fontId="12" fillId="5" borderId="8" xfId="4" applyNumberFormat="1" applyFont="1" applyFill="1" applyBorder="1" applyAlignment="1">
      <alignment horizontal="center" vertical="center" shrinkToFit="1"/>
    </xf>
    <xf numFmtId="177" fontId="13" fillId="5" borderId="6" xfId="4" applyNumberFormat="1" applyFont="1" applyFill="1" applyBorder="1" applyAlignment="1">
      <alignment horizontal="center" vertical="center" shrinkToFit="1"/>
    </xf>
    <xf numFmtId="177" fontId="13" fillId="5" borderId="9" xfId="4" applyNumberFormat="1" applyFont="1" applyFill="1" applyBorder="1" applyAlignment="1">
      <alignment horizontal="center" vertical="center" shrinkToFit="1"/>
    </xf>
    <xf numFmtId="177" fontId="14" fillId="5" borderId="5" xfId="4" applyNumberFormat="1" applyFont="1" applyFill="1" applyBorder="1" applyAlignment="1">
      <alignment horizontal="center" vertical="center" shrinkToFit="1"/>
    </xf>
    <xf numFmtId="38" fontId="14" fillId="5" borderId="6" xfId="2" applyFont="1" applyFill="1" applyBorder="1" applyAlignment="1">
      <alignment horizontal="center" vertical="center" shrinkToFit="1"/>
    </xf>
    <xf numFmtId="177" fontId="14" fillId="5" borderId="7" xfId="4" applyNumberFormat="1" applyFont="1" applyFill="1" applyBorder="1" applyAlignment="1">
      <alignment horizontal="center" vertical="center" shrinkToFit="1"/>
    </xf>
    <xf numFmtId="177" fontId="14" fillId="5" borderId="10" xfId="4" applyNumberFormat="1" applyFont="1" applyFill="1" applyBorder="1" applyAlignment="1">
      <alignment horizontal="center" vertical="center" shrinkToFit="1"/>
    </xf>
    <xf numFmtId="177" fontId="14" fillId="5" borderId="8" xfId="4" applyNumberFormat="1" applyFont="1" applyFill="1" applyBorder="1" applyAlignment="1">
      <alignment horizontal="center" vertical="center" shrinkToFit="1"/>
    </xf>
    <xf numFmtId="0" fontId="14" fillId="0" borderId="0" xfId="4" applyFont="1" applyAlignment="1">
      <alignment horizontal="center"/>
    </xf>
    <xf numFmtId="0" fontId="12" fillId="0" borderId="11" xfId="4" applyFont="1" applyBorder="1"/>
    <xf numFmtId="0" fontId="12" fillId="0" borderId="12" xfId="3" applyFont="1" applyBorder="1" applyAlignment="1">
      <alignment shrinkToFit="1"/>
    </xf>
    <xf numFmtId="0" fontId="12" fillId="0" borderId="12" xfId="3" applyFont="1" applyBorder="1" applyAlignment="1">
      <alignment horizontal="center" shrinkToFit="1"/>
    </xf>
    <xf numFmtId="0" fontId="12" fillId="0" borderId="13" xfId="2" applyNumberFormat="1" applyFont="1" applyBorder="1" applyAlignment="1">
      <alignment shrinkToFit="1"/>
    </xf>
    <xf numFmtId="0" fontId="12" fillId="0" borderId="14" xfId="1" applyNumberFormat="1" applyFont="1" applyBorder="1" applyAlignment="1">
      <alignment shrinkToFit="1"/>
    </xf>
    <xf numFmtId="0" fontId="12" fillId="0" borderId="15" xfId="1" applyNumberFormat="1" applyFont="1" applyBorder="1" applyAlignment="1">
      <alignment shrinkToFit="1"/>
    </xf>
    <xf numFmtId="0" fontId="12" fillId="0" borderId="16" xfId="4" applyFont="1" applyBorder="1" applyAlignment="1">
      <alignment shrinkToFit="1"/>
    </xf>
    <xf numFmtId="38" fontId="12" fillId="0" borderId="12" xfId="2" applyFont="1" applyBorder="1" applyAlignment="1">
      <alignment shrinkToFit="1"/>
    </xf>
    <xf numFmtId="0" fontId="12" fillId="2" borderId="0" xfId="4" applyFont="1" applyFill="1"/>
    <xf numFmtId="0" fontId="12" fillId="2" borderId="0" xfId="4" applyFont="1" applyFill="1" applyAlignment="1">
      <alignment horizontal="center"/>
    </xf>
    <xf numFmtId="176" fontId="12" fillId="0" borderId="14" xfId="1" applyNumberFormat="1" applyFont="1" applyBorder="1" applyAlignment="1">
      <alignment shrinkToFit="1"/>
    </xf>
    <xf numFmtId="0" fontId="1" fillId="0" borderId="12" xfId="3" applyFont="1" applyBorder="1" applyAlignment="1">
      <alignment shrinkToFit="1"/>
    </xf>
    <xf numFmtId="38" fontId="12" fillId="0" borderId="14" xfId="2" applyFont="1" applyBorder="1" applyAlignment="1">
      <alignment shrinkToFit="1"/>
    </xf>
    <xf numFmtId="0" fontId="15" fillId="5" borderId="3" xfId="4" applyFont="1" applyFill="1" applyBorder="1" applyAlignment="1">
      <alignment horizontal="center" vertical="center" wrapText="1"/>
    </xf>
    <xf numFmtId="178" fontId="12" fillId="0" borderId="16" xfId="2" applyNumberFormat="1" applyFont="1" applyBorder="1" applyAlignment="1">
      <alignment shrinkToFit="1"/>
    </xf>
    <xf numFmtId="49" fontId="0" fillId="0" borderId="0" xfId="0" applyNumberFormat="1"/>
    <xf numFmtId="0" fontId="0" fillId="0" borderId="0" xfId="0" quotePrefix="1"/>
    <xf numFmtId="0" fontId="12" fillId="5" borderId="17" xfId="4" applyFont="1" applyFill="1" applyBorder="1" applyAlignment="1">
      <alignment horizontal="center" vertical="center" shrinkToFit="1"/>
    </xf>
    <xf numFmtId="0" fontId="14" fillId="5" borderId="18" xfId="4" applyFont="1" applyFill="1" applyBorder="1" applyAlignment="1">
      <alignment horizontal="center" vertical="center" shrinkToFit="1"/>
    </xf>
    <xf numFmtId="177" fontId="12" fillId="5" borderId="19" xfId="4" applyNumberFormat="1" applyFont="1" applyFill="1" applyBorder="1" applyAlignment="1">
      <alignment horizontal="center" vertical="center"/>
    </xf>
    <xf numFmtId="177" fontId="12" fillId="5" borderId="20" xfId="4" applyNumberFormat="1" applyFont="1" applyFill="1" applyBorder="1" applyAlignment="1">
      <alignment horizontal="center" vertical="center"/>
    </xf>
    <xf numFmtId="177" fontId="12" fillId="5" borderId="21" xfId="4" applyNumberFormat="1" applyFont="1" applyFill="1" applyBorder="1" applyAlignment="1">
      <alignment horizontal="center" vertical="center"/>
    </xf>
    <xf numFmtId="179" fontId="0" fillId="0" borderId="0" xfId="0" applyNumberFormat="1"/>
    <xf numFmtId="180" fontId="0" fillId="0" borderId="0" xfId="0" applyNumberFormat="1"/>
  </cellXfs>
  <cellStyles count="5">
    <cellStyle name="パーセント" xfId="1" builtinId="5"/>
    <cellStyle name="桁区切り" xfId="2" builtinId="6"/>
    <cellStyle name="標準" xfId="0" builtinId="0"/>
    <cellStyle name="標準_実行予算書様式提案_要素変更済2" xfId="3" xr:uid="{00000000-0005-0000-0000-000003000000}"/>
    <cellStyle name="標準_人形町EV CMS" xfId="4" xr:uid="{00000000-0005-0000-0000-000004000000}"/>
  </cellStyles>
  <dxfs count="5">
    <dxf>
      <fill>
        <patternFill>
          <bgColor rgb="FFFFFF99"/>
        </patternFill>
      </fill>
    </dxf>
    <dxf>
      <fill>
        <patternFill>
          <bgColor indexed="41"/>
        </patternFill>
      </fill>
    </dxf>
    <dxf>
      <fill>
        <patternFill>
          <bgColor indexed="62"/>
        </patternFill>
      </fill>
    </dxf>
    <dxf>
      <fill>
        <patternFill>
          <bgColor rgb="FFFFCC66"/>
        </patternFill>
      </fill>
    </dxf>
    <dxf>
      <font>
        <color auto="1"/>
      </font>
      <fill>
        <patternFill>
          <bgColor rgb="FF66CC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CCCCFF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FFCC66"/>
      <rgbColor rgb="00339966"/>
      <rgbColor rgb="0099FF66"/>
      <rgbColor rgb="00333300"/>
      <rgbColor rgb="00993300"/>
      <rgbColor rgb="00993366"/>
      <rgbColor rgb="00FFCCCC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152"/>
  <sheetViews>
    <sheetView tabSelected="1" workbookViewId="0">
      <selection activeCell="E1" sqref="E1"/>
    </sheetView>
  </sheetViews>
  <sheetFormatPr defaultColWidth="8.875" defaultRowHeight="13.5" x14ac:dyDescent="0.15"/>
  <cols>
    <col min="2" max="7" width="8.875" style="51"/>
    <col min="12" max="13" width="8.875" style="51"/>
    <col min="18" max="19" width="8.875" style="51"/>
    <col min="24" max="26" width="8.875" style="51"/>
  </cols>
  <sheetData>
    <row r="1" spans="1:26" x14ac:dyDescent="0.15">
      <c r="A1">
        <v>0</v>
      </c>
      <c r="D1" s="51" t="s">
        <v>18</v>
      </c>
      <c r="E1" s="51" t="s">
        <v>176</v>
      </c>
      <c r="G1" s="51" t="s">
        <v>19</v>
      </c>
      <c r="H1">
        <v>1</v>
      </c>
      <c r="I1" s="58">
        <v>15300000</v>
      </c>
      <c r="J1" s="59">
        <v>15300000</v>
      </c>
      <c r="K1">
        <v>1</v>
      </c>
      <c r="O1" s="52"/>
    </row>
    <row r="2" spans="1:26" x14ac:dyDescent="0.15">
      <c r="A2">
        <v>1</v>
      </c>
      <c r="D2" s="51" t="s">
        <v>20</v>
      </c>
      <c r="E2" s="51" t="s">
        <v>21</v>
      </c>
      <c r="F2" s="51" t="s">
        <v>22</v>
      </c>
      <c r="G2" s="51" t="s">
        <v>23</v>
      </c>
      <c r="H2">
        <v>1270</v>
      </c>
      <c r="I2" s="58">
        <v>440</v>
      </c>
      <c r="J2" s="59">
        <v>558800</v>
      </c>
      <c r="K2">
        <v>1270</v>
      </c>
      <c r="M2" s="51" t="s">
        <v>24</v>
      </c>
      <c r="O2" s="52"/>
    </row>
    <row r="3" spans="1:26" x14ac:dyDescent="0.15">
      <c r="A3">
        <v>2</v>
      </c>
      <c r="B3" s="51" t="s">
        <v>25</v>
      </c>
      <c r="D3" s="51" t="s">
        <v>26</v>
      </c>
      <c r="E3" s="51" t="s">
        <v>27</v>
      </c>
      <c r="G3" s="51" t="s">
        <v>19</v>
      </c>
      <c r="H3">
        <v>1</v>
      </c>
      <c r="I3" s="58">
        <v>11800</v>
      </c>
      <c r="J3" s="59">
        <v>11800</v>
      </c>
      <c r="K3">
        <v>1</v>
      </c>
      <c r="O3" s="52"/>
    </row>
    <row r="4" spans="1:26" x14ac:dyDescent="0.15">
      <c r="A4">
        <v>2</v>
      </c>
      <c r="B4" s="51" t="s">
        <v>28</v>
      </c>
      <c r="D4" s="51" t="s">
        <v>26</v>
      </c>
      <c r="E4" s="51" t="s">
        <v>29</v>
      </c>
      <c r="G4" s="51" t="s">
        <v>30</v>
      </c>
      <c r="H4">
        <v>1100</v>
      </c>
      <c r="I4" s="58">
        <v>100</v>
      </c>
      <c r="J4" s="59">
        <v>110000</v>
      </c>
      <c r="K4">
        <v>1</v>
      </c>
      <c r="O4" s="52"/>
      <c r="Z4" s="51" t="s">
        <v>31</v>
      </c>
    </row>
    <row r="5" spans="1:26" x14ac:dyDescent="0.15">
      <c r="A5">
        <v>2</v>
      </c>
      <c r="B5" s="51" t="s">
        <v>32</v>
      </c>
      <c r="D5" s="51" t="s">
        <v>26</v>
      </c>
      <c r="E5" s="51" t="s">
        <v>33</v>
      </c>
      <c r="G5" s="51" t="s">
        <v>34</v>
      </c>
      <c r="H5">
        <v>1</v>
      </c>
      <c r="I5" s="58">
        <v>5000</v>
      </c>
      <c r="J5" s="59">
        <v>5000</v>
      </c>
      <c r="K5">
        <v>1</v>
      </c>
      <c r="O5" s="52"/>
    </row>
    <row r="6" spans="1:26" x14ac:dyDescent="0.15">
      <c r="A6">
        <v>2</v>
      </c>
      <c r="B6" s="51" t="s">
        <v>35</v>
      </c>
      <c r="D6" s="51" t="s">
        <v>26</v>
      </c>
      <c r="E6" s="51" t="s">
        <v>36</v>
      </c>
      <c r="G6" s="51" t="s">
        <v>30</v>
      </c>
      <c r="H6">
        <v>150</v>
      </c>
      <c r="I6" s="58">
        <v>160</v>
      </c>
      <c r="J6" s="59">
        <v>24000</v>
      </c>
      <c r="K6">
        <v>1</v>
      </c>
      <c r="O6" s="52"/>
    </row>
    <row r="7" spans="1:26" x14ac:dyDescent="0.15">
      <c r="A7">
        <v>2</v>
      </c>
      <c r="B7" s="51" t="s">
        <v>37</v>
      </c>
      <c r="D7" s="51" t="s">
        <v>38</v>
      </c>
      <c r="E7" s="51" t="s">
        <v>39</v>
      </c>
      <c r="F7" s="51" t="s">
        <v>40</v>
      </c>
      <c r="G7" s="51" t="s">
        <v>41</v>
      </c>
      <c r="H7">
        <v>10</v>
      </c>
      <c r="I7" s="58">
        <v>23000</v>
      </c>
      <c r="J7" s="59">
        <v>230000</v>
      </c>
      <c r="K7">
        <v>1</v>
      </c>
      <c r="O7" s="52"/>
      <c r="Z7" s="51" t="s">
        <v>42</v>
      </c>
    </row>
    <row r="8" spans="1:26" x14ac:dyDescent="0.15">
      <c r="A8">
        <v>2</v>
      </c>
      <c r="B8" s="51" t="s">
        <v>43</v>
      </c>
      <c r="D8" s="51" t="s">
        <v>44</v>
      </c>
      <c r="E8" s="51" t="s">
        <v>45</v>
      </c>
      <c r="F8" s="51" t="s">
        <v>46</v>
      </c>
      <c r="G8" s="51" t="s">
        <v>47</v>
      </c>
      <c r="H8">
        <v>4</v>
      </c>
      <c r="I8" s="58">
        <v>7000</v>
      </c>
      <c r="J8" s="59">
        <v>28000</v>
      </c>
      <c r="K8">
        <v>1</v>
      </c>
      <c r="O8" s="52"/>
      <c r="Z8" s="51" t="s">
        <v>48</v>
      </c>
    </row>
    <row r="9" spans="1:26" x14ac:dyDescent="0.15">
      <c r="A9">
        <v>2</v>
      </c>
      <c r="B9" s="51" t="s">
        <v>49</v>
      </c>
      <c r="D9" s="51" t="s">
        <v>44</v>
      </c>
      <c r="E9" s="51" t="s">
        <v>50</v>
      </c>
      <c r="F9" s="51" t="s">
        <v>51</v>
      </c>
      <c r="G9" s="51" t="s">
        <v>47</v>
      </c>
      <c r="H9">
        <v>2</v>
      </c>
      <c r="I9" s="58">
        <v>14000</v>
      </c>
      <c r="J9" s="59">
        <v>28000</v>
      </c>
      <c r="K9">
        <v>1</v>
      </c>
      <c r="O9" s="52"/>
      <c r="Z9" s="51" t="s">
        <v>48</v>
      </c>
    </row>
    <row r="10" spans="1:26" x14ac:dyDescent="0.15">
      <c r="A10">
        <v>2</v>
      </c>
      <c r="B10" s="51" t="s">
        <v>52</v>
      </c>
      <c r="D10" s="51" t="s">
        <v>44</v>
      </c>
      <c r="E10" s="51" t="s">
        <v>53</v>
      </c>
      <c r="F10" s="51" t="s">
        <v>54</v>
      </c>
      <c r="G10" s="51" t="s">
        <v>47</v>
      </c>
      <c r="H10">
        <v>2</v>
      </c>
      <c r="I10" s="58">
        <v>8000</v>
      </c>
      <c r="J10" s="59">
        <v>16000</v>
      </c>
      <c r="K10">
        <v>1</v>
      </c>
      <c r="O10" s="52"/>
      <c r="Z10" s="51" t="s">
        <v>48</v>
      </c>
    </row>
    <row r="11" spans="1:26" x14ac:dyDescent="0.15">
      <c r="A11">
        <v>2</v>
      </c>
      <c r="B11" s="51" t="s">
        <v>55</v>
      </c>
      <c r="D11" s="51" t="s">
        <v>44</v>
      </c>
      <c r="E11" s="51" t="s">
        <v>56</v>
      </c>
      <c r="F11" s="51" t="s">
        <v>57</v>
      </c>
      <c r="G11" s="51" t="s">
        <v>47</v>
      </c>
      <c r="H11">
        <v>2</v>
      </c>
      <c r="I11" s="58">
        <v>5000</v>
      </c>
      <c r="J11" s="59">
        <v>10000</v>
      </c>
      <c r="K11">
        <v>1</v>
      </c>
      <c r="O11" s="52"/>
      <c r="Z11" s="51" t="s">
        <v>48</v>
      </c>
    </row>
    <row r="12" spans="1:26" x14ac:dyDescent="0.15">
      <c r="A12">
        <v>2</v>
      </c>
      <c r="B12" s="51" t="s">
        <v>58</v>
      </c>
      <c r="D12" s="51" t="s">
        <v>44</v>
      </c>
      <c r="E12" s="51" t="s">
        <v>59</v>
      </c>
      <c r="F12" s="51" t="s">
        <v>60</v>
      </c>
      <c r="G12" s="51" t="s">
        <v>47</v>
      </c>
      <c r="H12">
        <v>2</v>
      </c>
      <c r="I12" s="58">
        <v>6000</v>
      </c>
      <c r="J12" s="59">
        <v>12000</v>
      </c>
      <c r="K12">
        <v>1</v>
      </c>
      <c r="O12" s="52"/>
      <c r="Z12" s="51" t="s">
        <v>48</v>
      </c>
    </row>
    <row r="13" spans="1:26" x14ac:dyDescent="0.15">
      <c r="A13">
        <v>2</v>
      </c>
      <c r="B13" s="51" t="s">
        <v>61</v>
      </c>
      <c r="D13" s="51" t="s">
        <v>44</v>
      </c>
      <c r="E13" s="51" t="s">
        <v>62</v>
      </c>
      <c r="F13" s="51" t="s">
        <v>63</v>
      </c>
      <c r="G13" s="51" t="s">
        <v>64</v>
      </c>
      <c r="H13">
        <v>2</v>
      </c>
      <c r="I13" s="58">
        <v>5000</v>
      </c>
      <c r="J13" s="59">
        <v>10000</v>
      </c>
      <c r="K13">
        <v>1</v>
      </c>
      <c r="O13" s="52"/>
    </row>
    <row r="14" spans="1:26" x14ac:dyDescent="0.15">
      <c r="A14">
        <v>2</v>
      </c>
      <c r="B14" s="51" t="s">
        <v>65</v>
      </c>
      <c r="D14" s="51" t="s">
        <v>44</v>
      </c>
      <c r="E14" s="51" t="s">
        <v>66</v>
      </c>
      <c r="G14" s="51" t="s">
        <v>47</v>
      </c>
      <c r="H14">
        <v>1</v>
      </c>
      <c r="I14" s="58">
        <v>40000</v>
      </c>
      <c r="J14" s="59">
        <v>40000</v>
      </c>
      <c r="K14">
        <v>1</v>
      </c>
      <c r="O14" s="52"/>
    </row>
    <row r="15" spans="1:26" x14ac:dyDescent="0.15">
      <c r="A15">
        <v>2</v>
      </c>
      <c r="B15" s="51" t="s">
        <v>67</v>
      </c>
      <c r="D15" s="51" t="s">
        <v>68</v>
      </c>
      <c r="E15" s="51" t="s">
        <v>69</v>
      </c>
      <c r="G15" s="51" t="s">
        <v>64</v>
      </c>
      <c r="H15">
        <v>4</v>
      </c>
      <c r="I15" s="58">
        <v>6000</v>
      </c>
      <c r="J15" s="59">
        <v>24000</v>
      </c>
      <c r="K15">
        <v>1</v>
      </c>
      <c r="O15" s="52"/>
      <c r="Z15" s="51" t="s">
        <v>70</v>
      </c>
    </row>
    <row r="16" spans="1:26" x14ac:dyDescent="0.15">
      <c r="A16">
        <v>2</v>
      </c>
      <c r="B16" s="51" t="s">
        <v>71</v>
      </c>
      <c r="D16" s="51" t="s">
        <v>68</v>
      </c>
      <c r="E16" s="51" t="s">
        <v>72</v>
      </c>
      <c r="G16" s="51" t="s">
        <v>64</v>
      </c>
      <c r="H16">
        <v>2</v>
      </c>
      <c r="I16" s="58">
        <v>5000</v>
      </c>
      <c r="J16" s="59">
        <v>10000</v>
      </c>
      <c r="K16">
        <v>1</v>
      </c>
      <c r="O16" s="52"/>
      <c r="Z16" s="51" t="s">
        <v>48</v>
      </c>
    </row>
    <row r="17" spans="1:26" x14ac:dyDescent="0.15">
      <c r="A17">
        <v>1</v>
      </c>
      <c r="D17" s="51" t="s">
        <v>20</v>
      </c>
      <c r="E17" s="51" t="s">
        <v>21</v>
      </c>
      <c r="F17" s="51" t="s">
        <v>73</v>
      </c>
      <c r="G17" s="51" t="s">
        <v>23</v>
      </c>
      <c r="H17">
        <v>1270</v>
      </c>
      <c r="I17" s="58">
        <v>1690</v>
      </c>
      <c r="J17" s="59">
        <v>2146300</v>
      </c>
      <c r="K17">
        <v>1270</v>
      </c>
      <c r="M17" s="51" t="s">
        <v>74</v>
      </c>
      <c r="O17" s="52"/>
    </row>
    <row r="18" spans="1:26" x14ac:dyDescent="0.15">
      <c r="A18">
        <v>2</v>
      </c>
      <c r="B18" s="51" t="s">
        <v>75</v>
      </c>
      <c r="D18" s="51" t="s">
        <v>26</v>
      </c>
      <c r="E18" s="51" t="s">
        <v>76</v>
      </c>
      <c r="G18" s="51" t="s">
        <v>34</v>
      </c>
      <c r="H18">
        <v>162</v>
      </c>
      <c r="I18" s="58">
        <v>10800</v>
      </c>
      <c r="J18" s="59">
        <v>1749600</v>
      </c>
      <c r="K18">
        <v>1</v>
      </c>
      <c r="O18" s="52"/>
      <c r="Z18" s="51" t="s">
        <v>77</v>
      </c>
    </row>
    <row r="19" spans="1:26" x14ac:dyDescent="0.15">
      <c r="A19">
        <v>2</v>
      </c>
      <c r="B19" s="51" t="s">
        <v>25</v>
      </c>
      <c r="D19" s="51" t="s">
        <v>26</v>
      </c>
      <c r="E19" s="51" t="s">
        <v>78</v>
      </c>
      <c r="G19" s="51" t="s">
        <v>19</v>
      </c>
      <c r="H19">
        <v>1</v>
      </c>
      <c r="I19" s="58">
        <v>8700</v>
      </c>
      <c r="J19" s="59">
        <v>8700</v>
      </c>
      <c r="K19">
        <v>1</v>
      </c>
      <c r="O19" s="52"/>
    </row>
    <row r="20" spans="1:26" x14ac:dyDescent="0.15">
      <c r="A20">
        <v>2</v>
      </c>
      <c r="B20" s="51" t="s">
        <v>35</v>
      </c>
      <c r="D20" s="51" t="s">
        <v>26</v>
      </c>
      <c r="E20" s="51" t="s">
        <v>36</v>
      </c>
      <c r="G20" s="51" t="s">
        <v>30</v>
      </c>
      <c r="H20">
        <v>100</v>
      </c>
      <c r="I20" s="58">
        <v>160</v>
      </c>
      <c r="J20" s="59">
        <v>16000</v>
      </c>
      <c r="K20">
        <v>1</v>
      </c>
      <c r="O20" s="52"/>
    </row>
    <row r="21" spans="1:26" x14ac:dyDescent="0.15">
      <c r="A21">
        <v>2</v>
      </c>
      <c r="B21" s="51" t="s">
        <v>37</v>
      </c>
      <c r="D21" s="51" t="s">
        <v>38</v>
      </c>
      <c r="E21" s="51" t="s">
        <v>39</v>
      </c>
      <c r="F21" s="51" t="s">
        <v>40</v>
      </c>
      <c r="G21" s="51" t="s">
        <v>41</v>
      </c>
      <c r="H21">
        <v>11</v>
      </c>
      <c r="I21" s="58">
        <v>23000</v>
      </c>
      <c r="J21" s="59">
        <v>253000</v>
      </c>
      <c r="K21">
        <v>1</v>
      </c>
      <c r="O21" s="52"/>
      <c r="Z21" s="51" t="s">
        <v>79</v>
      </c>
    </row>
    <row r="22" spans="1:26" x14ac:dyDescent="0.15">
      <c r="A22">
        <v>2</v>
      </c>
      <c r="B22" s="51" t="s">
        <v>80</v>
      </c>
      <c r="D22" s="51" t="s">
        <v>44</v>
      </c>
      <c r="E22" s="51" t="s">
        <v>81</v>
      </c>
      <c r="F22" s="51" t="s">
        <v>60</v>
      </c>
      <c r="G22" s="51" t="s">
        <v>47</v>
      </c>
      <c r="H22">
        <v>1</v>
      </c>
      <c r="I22" s="58">
        <v>60000</v>
      </c>
      <c r="J22" s="59">
        <v>60000</v>
      </c>
      <c r="K22">
        <v>1</v>
      </c>
      <c r="O22" s="52"/>
      <c r="Z22" s="51" t="s">
        <v>82</v>
      </c>
    </row>
    <row r="23" spans="1:26" x14ac:dyDescent="0.15">
      <c r="A23">
        <v>2</v>
      </c>
      <c r="B23" s="51" t="s">
        <v>43</v>
      </c>
      <c r="D23" s="51" t="s">
        <v>44</v>
      </c>
      <c r="E23" s="51" t="s">
        <v>45</v>
      </c>
      <c r="F23" s="51" t="s">
        <v>46</v>
      </c>
      <c r="G23" s="51" t="s">
        <v>47</v>
      </c>
      <c r="H23">
        <v>1</v>
      </c>
      <c r="I23" s="58">
        <v>7000</v>
      </c>
      <c r="J23" s="59">
        <v>7000</v>
      </c>
      <c r="K23">
        <v>1</v>
      </c>
      <c r="O23" s="52"/>
      <c r="Z23" s="51" t="s">
        <v>82</v>
      </c>
    </row>
    <row r="24" spans="1:26" x14ac:dyDescent="0.15">
      <c r="A24">
        <v>2</v>
      </c>
      <c r="B24" s="51" t="s">
        <v>52</v>
      </c>
      <c r="D24" s="51" t="s">
        <v>44</v>
      </c>
      <c r="E24" s="51" t="s">
        <v>53</v>
      </c>
      <c r="F24" s="51" t="s">
        <v>54</v>
      </c>
      <c r="G24" s="51" t="s">
        <v>47</v>
      </c>
      <c r="H24">
        <v>1</v>
      </c>
      <c r="I24" s="58">
        <v>8000</v>
      </c>
      <c r="J24" s="59">
        <v>8000</v>
      </c>
      <c r="K24">
        <v>1</v>
      </c>
      <c r="O24" s="52"/>
      <c r="Z24" s="51" t="s">
        <v>82</v>
      </c>
    </row>
    <row r="25" spans="1:26" x14ac:dyDescent="0.15">
      <c r="A25">
        <v>2</v>
      </c>
      <c r="B25" s="51" t="s">
        <v>55</v>
      </c>
      <c r="D25" s="51" t="s">
        <v>44</v>
      </c>
      <c r="E25" s="51" t="s">
        <v>56</v>
      </c>
      <c r="F25" s="51" t="s">
        <v>57</v>
      </c>
      <c r="G25" s="51" t="s">
        <v>47</v>
      </c>
      <c r="H25">
        <v>1</v>
      </c>
      <c r="I25" s="58">
        <v>5000</v>
      </c>
      <c r="J25" s="59">
        <v>5000</v>
      </c>
      <c r="K25">
        <v>1</v>
      </c>
      <c r="O25" s="52"/>
      <c r="Z25" s="51" t="s">
        <v>82</v>
      </c>
    </row>
    <row r="26" spans="1:26" x14ac:dyDescent="0.15">
      <c r="A26">
        <v>2</v>
      </c>
      <c r="B26" s="51" t="s">
        <v>58</v>
      </c>
      <c r="D26" s="51" t="s">
        <v>44</v>
      </c>
      <c r="E26" s="51" t="s">
        <v>59</v>
      </c>
      <c r="F26" s="51" t="s">
        <v>60</v>
      </c>
      <c r="G26" s="51" t="s">
        <v>47</v>
      </c>
      <c r="H26">
        <v>1</v>
      </c>
      <c r="I26" s="58">
        <v>6000</v>
      </c>
      <c r="J26" s="59">
        <v>6000</v>
      </c>
      <c r="K26">
        <v>1</v>
      </c>
      <c r="O26" s="52"/>
      <c r="Z26" s="51" t="s">
        <v>82</v>
      </c>
    </row>
    <row r="27" spans="1:26" x14ac:dyDescent="0.15">
      <c r="A27">
        <v>2</v>
      </c>
      <c r="B27" s="51" t="s">
        <v>61</v>
      </c>
      <c r="D27" s="51" t="s">
        <v>44</v>
      </c>
      <c r="E27" s="51" t="s">
        <v>62</v>
      </c>
      <c r="F27" s="51" t="s">
        <v>63</v>
      </c>
      <c r="G27" s="51" t="s">
        <v>64</v>
      </c>
      <c r="H27">
        <v>1</v>
      </c>
      <c r="I27" s="58">
        <v>5000</v>
      </c>
      <c r="J27" s="59">
        <v>5000</v>
      </c>
      <c r="K27">
        <v>1</v>
      </c>
      <c r="O27" s="52"/>
      <c r="Z27" s="51" t="s">
        <v>82</v>
      </c>
    </row>
    <row r="28" spans="1:26" x14ac:dyDescent="0.15">
      <c r="A28">
        <v>2</v>
      </c>
      <c r="B28" s="51" t="s">
        <v>67</v>
      </c>
      <c r="D28" s="51" t="s">
        <v>68</v>
      </c>
      <c r="E28" s="51" t="s">
        <v>69</v>
      </c>
      <c r="G28" s="51" t="s">
        <v>64</v>
      </c>
      <c r="H28">
        <v>3</v>
      </c>
      <c r="I28" s="58">
        <v>6000</v>
      </c>
      <c r="J28" s="59">
        <v>18000</v>
      </c>
      <c r="K28">
        <v>1</v>
      </c>
      <c r="O28" s="52"/>
      <c r="Z28" s="51" t="s">
        <v>83</v>
      </c>
    </row>
    <row r="29" spans="1:26" x14ac:dyDescent="0.15">
      <c r="A29">
        <v>2</v>
      </c>
      <c r="B29" s="51" t="s">
        <v>71</v>
      </c>
      <c r="D29" s="51" t="s">
        <v>68</v>
      </c>
      <c r="E29" s="51" t="s">
        <v>72</v>
      </c>
      <c r="G29" s="51" t="s">
        <v>64</v>
      </c>
      <c r="H29">
        <v>2</v>
      </c>
      <c r="I29" s="58">
        <v>5000</v>
      </c>
      <c r="J29" s="59">
        <v>10000</v>
      </c>
      <c r="K29">
        <v>1</v>
      </c>
      <c r="O29" s="52"/>
      <c r="Z29" s="51" t="s">
        <v>84</v>
      </c>
    </row>
    <row r="30" spans="1:26" x14ac:dyDescent="0.15">
      <c r="A30">
        <v>1</v>
      </c>
      <c r="D30" s="51" t="s">
        <v>20</v>
      </c>
      <c r="E30" s="51" t="s">
        <v>21</v>
      </c>
      <c r="F30" s="51" t="s">
        <v>85</v>
      </c>
      <c r="G30" s="51" t="s">
        <v>23</v>
      </c>
      <c r="H30">
        <v>1330</v>
      </c>
      <c r="I30" s="58">
        <v>1780</v>
      </c>
      <c r="J30" s="59">
        <v>2367400</v>
      </c>
      <c r="K30">
        <v>1330</v>
      </c>
      <c r="M30" s="51" t="s">
        <v>86</v>
      </c>
      <c r="O30" s="52"/>
    </row>
    <row r="31" spans="1:26" x14ac:dyDescent="0.15">
      <c r="A31">
        <v>2</v>
      </c>
      <c r="B31" s="51" t="s">
        <v>75</v>
      </c>
      <c r="D31" s="51" t="s">
        <v>26</v>
      </c>
      <c r="E31" s="51" t="s">
        <v>76</v>
      </c>
      <c r="G31" s="51" t="s">
        <v>34</v>
      </c>
      <c r="H31">
        <v>171</v>
      </c>
      <c r="I31" s="58">
        <v>10800</v>
      </c>
      <c r="J31" s="59">
        <v>1846800</v>
      </c>
      <c r="K31">
        <v>1</v>
      </c>
      <c r="O31" s="52"/>
      <c r="Z31" s="51" t="s">
        <v>87</v>
      </c>
    </row>
    <row r="32" spans="1:26" x14ac:dyDescent="0.15">
      <c r="A32">
        <v>2</v>
      </c>
      <c r="B32" s="51" t="s">
        <v>88</v>
      </c>
      <c r="D32" s="51" t="s">
        <v>26</v>
      </c>
      <c r="E32" s="51" t="s">
        <v>89</v>
      </c>
      <c r="G32" s="51" t="s">
        <v>30</v>
      </c>
      <c r="H32">
        <v>600</v>
      </c>
      <c r="I32" s="58">
        <v>155</v>
      </c>
      <c r="J32" s="59">
        <v>93000</v>
      </c>
      <c r="K32">
        <v>1</v>
      </c>
      <c r="O32" s="52"/>
      <c r="Z32" s="51" t="s">
        <v>90</v>
      </c>
    </row>
    <row r="33" spans="1:26" x14ac:dyDescent="0.15">
      <c r="A33">
        <v>2</v>
      </c>
      <c r="B33" s="51" t="s">
        <v>25</v>
      </c>
      <c r="D33" s="51" t="s">
        <v>26</v>
      </c>
      <c r="E33" s="51" t="s">
        <v>27</v>
      </c>
      <c r="F33" s="51" t="s">
        <v>91</v>
      </c>
      <c r="G33" s="51" t="s">
        <v>19</v>
      </c>
      <c r="H33">
        <v>1</v>
      </c>
      <c r="I33" s="58">
        <v>8600</v>
      </c>
      <c r="J33" s="59">
        <v>8600</v>
      </c>
      <c r="K33">
        <v>1</v>
      </c>
      <c r="O33" s="52"/>
    </row>
    <row r="34" spans="1:26" x14ac:dyDescent="0.15">
      <c r="A34">
        <v>2</v>
      </c>
      <c r="B34" s="51" t="s">
        <v>35</v>
      </c>
      <c r="D34" s="51" t="s">
        <v>26</v>
      </c>
      <c r="E34" s="51" t="s">
        <v>36</v>
      </c>
      <c r="G34" s="51" t="s">
        <v>30</v>
      </c>
      <c r="H34">
        <v>100</v>
      </c>
      <c r="I34" s="58">
        <v>180</v>
      </c>
      <c r="J34" s="59">
        <v>18000</v>
      </c>
      <c r="K34">
        <v>1</v>
      </c>
      <c r="O34" s="52"/>
    </row>
    <row r="35" spans="1:26" x14ac:dyDescent="0.15">
      <c r="A35">
        <v>2</v>
      </c>
      <c r="B35" s="51" t="s">
        <v>37</v>
      </c>
      <c r="D35" s="51" t="s">
        <v>38</v>
      </c>
      <c r="E35" s="51" t="s">
        <v>39</v>
      </c>
      <c r="F35" s="51" t="s">
        <v>40</v>
      </c>
      <c r="G35" s="51" t="s">
        <v>41</v>
      </c>
      <c r="H35">
        <v>11</v>
      </c>
      <c r="I35" s="58">
        <v>23000</v>
      </c>
      <c r="J35" s="59">
        <v>253000</v>
      </c>
      <c r="K35">
        <v>1</v>
      </c>
      <c r="O35" s="52"/>
      <c r="Z35" s="51" t="s">
        <v>92</v>
      </c>
    </row>
    <row r="36" spans="1:26" x14ac:dyDescent="0.15">
      <c r="A36">
        <v>2</v>
      </c>
      <c r="B36" s="51" t="s">
        <v>80</v>
      </c>
      <c r="D36" s="51" t="s">
        <v>44</v>
      </c>
      <c r="E36" s="51" t="s">
        <v>81</v>
      </c>
      <c r="F36" s="51" t="s">
        <v>60</v>
      </c>
      <c r="G36" s="51" t="s">
        <v>47</v>
      </c>
      <c r="H36">
        <v>1</v>
      </c>
      <c r="I36" s="58">
        <v>60000</v>
      </c>
      <c r="J36" s="59">
        <v>60000</v>
      </c>
      <c r="K36">
        <v>1</v>
      </c>
      <c r="O36" s="52"/>
      <c r="Z36" s="51" t="s">
        <v>82</v>
      </c>
    </row>
    <row r="37" spans="1:26" x14ac:dyDescent="0.15">
      <c r="A37">
        <v>2</v>
      </c>
      <c r="B37" s="51" t="s">
        <v>43</v>
      </c>
      <c r="D37" s="51" t="s">
        <v>44</v>
      </c>
      <c r="E37" s="51" t="s">
        <v>45</v>
      </c>
      <c r="F37" s="51" t="s">
        <v>46</v>
      </c>
      <c r="G37" s="51" t="s">
        <v>47</v>
      </c>
      <c r="H37">
        <v>1</v>
      </c>
      <c r="I37" s="58">
        <v>7000</v>
      </c>
      <c r="J37" s="59">
        <v>7000</v>
      </c>
      <c r="K37">
        <v>1</v>
      </c>
      <c r="O37" s="52"/>
      <c r="Z37" s="51" t="s">
        <v>82</v>
      </c>
    </row>
    <row r="38" spans="1:26" x14ac:dyDescent="0.15">
      <c r="A38">
        <v>2</v>
      </c>
      <c r="B38" s="51" t="s">
        <v>52</v>
      </c>
      <c r="D38" s="51" t="s">
        <v>44</v>
      </c>
      <c r="E38" s="51" t="s">
        <v>53</v>
      </c>
      <c r="F38" s="51" t="s">
        <v>54</v>
      </c>
      <c r="G38" s="51" t="s">
        <v>47</v>
      </c>
      <c r="H38">
        <v>1</v>
      </c>
      <c r="I38" s="58">
        <v>8000</v>
      </c>
      <c r="J38" s="59">
        <v>8000</v>
      </c>
      <c r="K38">
        <v>1</v>
      </c>
      <c r="O38" s="52"/>
      <c r="Z38" s="51" t="s">
        <v>82</v>
      </c>
    </row>
    <row r="39" spans="1:26" x14ac:dyDescent="0.15">
      <c r="A39">
        <v>2</v>
      </c>
      <c r="B39" s="51" t="s">
        <v>55</v>
      </c>
      <c r="D39" s="51" t="s">
        <v>44</v>
      </c>
      <c r="E39" s="51" t="s">
        <v>56</v>
      </c>
      <c r="F39" s="51" t="s">
        <v>57</v>
      </c>
      <c r="G39" s="51" t="s">
        <v>47</v>
      </c>
      <c r="H39">
        <v>1</v>
      </c>
      <c r="I39" s="58">
        <v>5000</v>
      </c>
      <c r="J39" s="59">
        <v>5000</v>
      </c>
      <c r="K39">
        <v>1</v>
      </c>
      <c r="O39" s="52"/>
      <c r="Z39" s="51" t="s">
        <v>82</v>
      </c>
    </row>
    <row r="40" spans="1:26" x14ac:dyDescent="0.15">
      <c r="A40">
        <v>2</v>
      </c>
      <c r="B40" s="51" t="s">
        <v>58</v>
      </c>
      <c r="D40" s="51" t="s">
        <v>44</v>
      </c>
      <c r="E40" s="51" t="s">
        <v>59</v>
      </c>
      <c r="F40" s="51" t="s">
        <v>60</v>
      </c>
      <c r="G40" s="51" t="s">
        <v>47</v>
      </c>
      <c r="H40">
        <v>1</v>
      </c>
      <c r="I40" s="58">
        <v>6000</v>
      </c>
      <c r="J40" s="59">
        <v>6000</v>
      </c>
      <c r="K40">
        <v>1</v>
      </c>
      <c r="O40" s="52"/>
      <c r="Z40" s="51" t="s">
        <v>82</v>
      </c>
    </row>
    <row r="41" spans="1:26" x14ac:dyDescent="0.15">
      <c r="A41">
        <v>2</v>
      </c>
      <c r="B41" s="51" t="s">
        <v>65</v>
      </c>
      <c r="D41" s="51" t="s">
        <v>44</v>
      </c>
      <c r="E41" s="51" t="s">
        <v>66</v>
      </c>
      <c r="G41" s="51" t="s">
        <v>47</v>
      </c>
      <c r="H41">
        <v>1</v>
      </c>
      <c r="I41" s="58">
        <v>40000</v>
      </c>
      <c r="J41" s="59">
        <v>40000</v>
      </c>
      <c r="K41">
        <v>1</v>
      </c>
      <c r="O41" s="52"/>
      <c r="Z41" s="51" t="s">
        <v>82</v>
      </c>
    </row>
    <row r="42" spans="1:26" x14ac:dyDescent="0.15">
      <c r="A42">
        <v>2</v>
      </c>
      <c r="B42" s="51" t="s">
        <v>67</v>
      </c>
      <c r="D42" s="51" t="s">
        <v>68</v>
      </c>
      <c r="E42" s="51" t="s">
        <v>69</v>
      </c>
      <c r="G42" s="51" t="s">
        <v>64</v>
      </c>
      <c r="H42">
        <v>2</v>
      </c>
      <c r="I42" s="58">
        <v>6000</v>
      </c>
      <c r="J42" s="59">
        <v>12000</v>
      </c>
      <c r="K42">
        <v>1</v>
      </c>
      <c r="O42" s="52"/>
      <c r="Z42" s="51" t="s">
        <v>83</v>
      </c>
    </row>
    <row r="43" spans="1:26" x14ac:dyDescent="0.15">
      <c r="A43">
        <v>2</v>
      </c>
      <c r="B43" s="51" t="s">
        <v>71</v>
      </c>
      <c r="D43" s="51" t="s">
        <v>68</v>
      </c>
      <c r="E43" s="51" t="s">
        <v>72</v>
      </c>
      <c r="G43" s="51" t="s">
        <v>64</v>
      </c>
      <c r="H43">
        <v>2</v>
      </c>
      <c r="I43" s="58">
        <v>5000</v>
      </c>
      <c r="J43" s="59">
        <v>10000</v>
      </c>
      <c r="K43">
        <v>1</v>
      </c>
      <c r="O43" s="52"/>
      <c r="Z43" s="51" t="s">
        <v>84</v>
      </c>
    </row>
    <row r="44" spans="1:26" x14ac:dyDescent="0.15">
      <c r="A44">
        <v>1</v>
      </c>
      <c r="D44" s="51" t="s">
        <v>20</v>
      </c>
      <c r="E44" s="51" t="s">
        <v>21</v>
      </c>
      <c r="F44" s="51" t="s">
        <v>93</v>
      </c>
      <c r="G44" s="51" t="s">
        <v>23</v>
      </c>
      <c r="H44">
        <v>1330</v>
      </c>
      <c r="I44" s="58">
        <v>2000</v>
      </c>
      <c r="J44" s="59">
        <v>2660000</v>
      </c>
      <c r="K44">
        <v>1330</v>
      </c>
      <c r="M44" s="51" t="s">
        <v>94</v>
      </c>
      <c r="O44" s="52"/>
    </row>
    <row r="45" spans="1:26" x14ac:dyDescent="0.15">
      <c r="A45">
        <v>2</v>
      </c>
      <c r="B45" s="51" t="s">
        <v>95</v>
      </c>
      <c r="D45" s="51" t="s">
        <v>26</v>
      </c>
      <c r="E45" s="51" t="s">
        <v>96</v>
      </c>
      <c r="G45" s="51" t="s">
        <v>34</v>
      </c>
      <c r="H45">
        <v>171</v>
      </c>
      <c r="I45" s="58">
        <v>12200</v>
      </c>
      <c r="J45" s="59">
        <v>2086200</v>
      </c>
      <c r="K45">
        <v>1</v>
      </c>
      <c r="O45" s="52"/>
      <c r="Z45" s="51" t="s">
        <v>87</v>
      </c>
    </row>
    <row r="46" spans="1:26" x14ac:dyDescent="0.15">
      <c r="A46">
        <v>2</v>
      </c>
      <c r="B46" s="51" t="s">
        <v>88</v>
      </c>
      <c r="D46" s="51" t="s">
        <v>26</v>
      </c>
      <c r="E46" s="51" t="s">
        <v>89</v>
      </c>
      <c r="G46" s="51" t="s">
        <v>30</v>
      </c>
      <c r="H46">
        <v>600</v>
      </c>
      <c r="I46" s="58">
        <v>155</v>
      </c>
      <c r="J46" s="59">
        <v>93000</v>
      </c>
      <c r="K46">
        <v>1</v>
      </c>
      <c r="O46" s="52"/>
    </row>
    <row r="47" spans="1:26" x14ac:dyDescent="0.15">
      <c r="A47">
        <v>2</v>
      </c>
      <c r="B47" s="51" t="s">
        <v>97</v>
      </c>
      <c r="D47" s="51" t="s">
        <v>26</v>
      </c>
      <c r="E47" s="51" t="s">
        <v>98</v>
      </c>
      <c r="F47" s="51" t="s">
        <v>99</v>
      </c>
      <c r="G47" s="51" t="s">
        <v>100</v>
      </c>
      <c r="H47">
        <v>200</v>
      </c>
      <c r="I47" s="58">
        <v>100</v>
      </c>
      <c r="J47" s="59">
        <v>20000</v>
      </c>
      <c r="K47">
        <v>1</v>
      </c>
      <c r="O47" s="52"/>
    </row>
    <row r="48" spans="1:26" x14ac:dyDescent="0.15">
      <c r="A48">
        <v>2</v>
      </c>
      <c r="B48" s="51" t="s">
        <v>25</v>
      </c>
      <c r="D48" s="51" t="s">
        <v>26</v>
      </c>
      <c r="E48" s="51" t="s">
        <v>27</v>
      </c>
      <c r="F48" s="51" t="s">
        <v>91</v>
      </c>
      <c r="G48" s="51" t="s">
        <v>19</v>
      </c>
      <c r="H48">
        <v>1</v>
      </c>
      <c r="I48" s="58">
        <v>12800</v>
      </c>
      <c r="J48" s="59">
        <v>12800</v>
      </c>
      <c r="K48">
        <v>1</v>
      </c>
      <c r="O48" s="52"/>
    </row>
    <row r="49" spans="1:26" x14ac:dyDescent="0.15">
      <c r="A49">
        <v>2</v>
      </c>
      <c r="B49" s="51" t="s">
        <v>35</v>
      </c>
      <c r="D49" s="51" t="s">
        <v>26</v>
      </c>
      <c r="E49" s="51" t="s">
        <v>36</v>
      </c>
      <c r="G49" s="51" t="s">
        <v>30</v>
      </c>
      <c r="H49">
        <v>100</v>
      </c>
      <c r="I49" s="58">
        <v>180</v>
      </c>
      <c r="J49" s="59">
        <v>18000</v>
      </c>
      <c r="K49">
        <v>1</v>
      </c>
      <c r="O49" s="52"/>
    </row>
    <row r="50" spans="1:26" x14ac:dyDescent="0.15">
      <c r="A50">
        <v>2</v>
      </c>
      <c r="B50" s="51" t="s">
        <v>37</v>
      </c>
      <c r="D50" s="51" t="s">
        <v>38</v>
      </c>
      <c r="E50" s="51" t="s">
        <v>39</v>
      </c>
      <c r="F50" s="51" t="s">
        <v>40</v>
      </c>
      <c r="G50" s="51" t="s">
        <v>41</v>
      </c>
      <c r="H50">
        <v>12</v>
      </c>
      <c r="I50" s="58">
        <v>23000</v>
      </c>
      <c r="J50" s="59">
        <v>276000</v>
      </c>
      <c r="K50">
        <v>1</v>
      </c>
      <c r="O50" s="52"/>
      <c r="Z50" s="51" t="s">
        <v>92</v>
      </c>
    </row>
    <row r="51" spans="1:26" x14ac:dyDescent="0.15">
      <c r="A51">
        <v>2</v>
      </c>
      <c r="B51" s="51" t="s">
        <v>80</v>
      </c>
      <c r="D51" s="51" t="s">
        <v>44</v>
      </c>
      <c r="E51" s="51" t="s">
        <v>81</v>
      </c>
      <c r="F51" s="51" t="s">
        <v>60</v>
      </c>
      <c r="G51" s="51" t="s">
        <v>47</v>
      </c>
      <c r="H51">
        <v>1</v>
      </c>
      <c r="I51" s="58">
        <v>60000</v>
      </c>
      <c r="J51" s="59">
        <v>60000</v>
      </c>
      <c r="K51">
        <v>1</v>
      </c>
      <c r="O51" s="52"/>
      <c r="Z51" s="51" t="s">
        <v>82</v>
      </c>
    </row>
    <row r="52" spans="1:26" x14ac:dyDescent="0.15">
      <c r="A52">
        <v>2</v>
      </c>
      <c r="B52" s="51" t="s">
        <v>43</v>
      </c>
      <c r="D52" s="51" t="s">
        <v>44</v>
      </c>
      <c r="E52" s="51" t="s">
        <v>45</v>
      </c>
      <c r="F52" s="51" t="s">
        <v>46</v>
      </c>
      <c r="G52" s="51" t="s">
        <v>47</v>
      </c>
      <c r="H52">
        <v>1</v>
      </c>
      <c r="I52" s="58">
        <v>7000</v>
      </c>
      <c r="J52" s="59">
        <v>7000</v>
      </c>
      <c r="K52">
        <v>1</v>
      </c>
      <c r="O52" s="52"/>
      <c r="Z52" s="51" t="s">
        <v>82</v>
      </c>
    </row>
    <row r="53" spans="1:26" x14ac:dyDescent="0.15">
      <c r="A53">
        <v>2</v>
      </c>
      <c r="B53" s="51" t="s">
        <v>52</v>
      </c>
      <c r="D53" s="51" t="s">
        <v>44</v>
      </c>
      <c r="E53" s="51" t="s">
        <v>53</v>
      </c>
      <c r="F53" s="51" t="s">
        <v>54</v>
      </c>
      <c r="G53" s="51" t="s">
        <v>47</v>
      </c>
      <c r="H53">
        <v>1</v>
      </c>
      <c r="I53" s="58">
        <v>8000</v>
      </c>
      <c r="J53" s="59">
        <v>8000</v>
      </c>
      <c r="K53">
        <v>1</v>
      </c>
      <c r="O53" s="52"/>
      <c r="Z53" s="51" t="s">
        <v>82</v>
      </c>
    </row>
    <row r="54" spans="1:26" x14ac:dyDescent="0.15">
      <c r="A54">
        <v>2</v>
      </c>
      <c r="B54" s="51" t="s">
        <v>55</v>
      </c>
      <c r="D54" s="51" t="s">
        <v>44</v>
      </c>
      <c r="E54" s="51" t="s">
        <v>56</v>
      </c>
      <c r="F54" s="51" t="s">
        <v>57</v>
      </c>
      <c r="G54" s="51" t="s">
        <v>47</v>
      </c>
      <c r="H54">
        <v>1</v>
      </c>
      <c r="I54" s="58">
        <v>5000</v>
      </c>
      <c r="J54" s="59">
        <v>5000</v>
      </c>
      <c r="K54">
        <v>1</v>
      </c>
      <c r="O54" s="52"/>
      <c r="Z54" s="51" t="s">
        <v>82</v>
      </c>
    </row>
    <row r="55" spans="1:26" x14ac:dyDescent="0.15">
      <c r="A55">
        <v>2</v>
      </c>
      <c r="B55" s="51" t="s">
        <v>58</v>
      </c>
      <c r="D55" s="51" t="s">
        <v>44</v>
      </c>
      <c r="E55" s="51" t="s">
        <v>59</v>
      </c>
      <c r="F55" s="51" t="s">
        <v>60</v>
      </c>
      <c r="G55" s="51" t="s">
        <v>47</v>
      </c>
      <c r="H55">
        <v>1</v>
      </c>
      <c r="I55" s="58">
        <v>6000</v>
      </c>
      <c r="J55" s="59">
        <v>6000</v>
      </c>
      <c r="K55">
        <v>1</v>
      </c>
      <c r="O55" s="52"/>
      <c r="Z55" s="51" t="s">
        <v>82</v>
      </c>
    </row>
    <row r="56" spans="1:26" x14ac:dyDescent="0.15">
      <c r="A56">
        <v>2</v>
      </c>
      <c r="B56" s="51" t="s">
        <v>65</v>
      </c>
      <c r="D56" s="51" t="s">
        <v>44</v>
      </c>
      <c r="E56" s="51" t="s">
        <v>66</v>
      </c>
      <c r="G56" s="51" t="s">
        <v>47</v>
      </c>
      <c r="H56">
        <v>1</v>
      </c>
      <c r="I56" s="58">
        <v>40000</v>
      </c>
      <c r="J56" s="59">
        <v>40000</v>
      </c>
      <c r="K56">
        <v>1</v>
      </c>
      <c r="O56" s="52"/>
      <c r="Z56" s="51" t="s">
        <v>82</v>
      </c>
    </row>
    <row r="57" spans="1:26" x14ac:dyDescent="0.15">
      <c r="A57">
        <v>2</v>
      </c>
      <c r="B57" s="51" t="s">
        <v>67</v>
      </c>
      <c r="D57" s="51" t="s">
        <v>68</v>
      </c>
      <c r="E57" s="51" t="s">
        <v>69</v>
      </c>
      <c r="G57" s="51" t="s">
        <v>64</v>
      </c>
      <c r="H57">
        <v>3</v>
      </c>
      <c r="I57" s="58">
        <v>6000</v>
      </c>
      <c r="J57" s="59">
        <v>18000</v>
      </c>
      <c r="K57">
        <v>1</v>
      </c>
      <c r="O57" s="52"/>
      <c r="Z57" s="51" t="s">
        <v>83</v>
      </c>
    </row>
    <row r="58" spans="1:26" x14ac:dyDescent="0.15">
      <c r="A58">
        <v>2</v>
      </c>
      <c r="B58" s="51" t="s">
        <v>71</v>
      </c>
      <c r="D58" s="51" t="s">
        <v>68</v>
      </c>
      <c r="E58" s="51" t="s">
        <v>72</v>
      </c>
      <c r="G58" s="51" t="s">
        <v>64</v>
      </c>
      <c r="H58">
        <v>2</v>
      </c>
      <c r="I58" s="58">
        <v>5000</v>
      </c>
      <c r="J58" s="59">
        <v>10000</v>
      </c>
      <c r="K58">
        <v>1</v>
      </c>
      <c r="O58" s="52"/>
      <c r="Z58" s="51" t="s">
        <v>84</v>
      </c>
    </row>
    <row r="59" spans="1:26" x14ac:dyDescent="0.15">
      <c r="A59">
        <v>1</v>
      </c>
      <c r="D59" s="51" t="s">
        <v>20</v>
      </c>
      <c r="E59" s="51" t="s">
        <v>101</v>
      </c>
      <c r="F59" s="51" t="s">
        <v>102</v>
      </c>
      <c r="G59" s="51" t="s">
        <v>23</v>
      </c>
      <c r="H59">
        <v>700</v>
      </c>
      <c r="I59" s="58">
        <v>2310</v>
      </c>
      <c r="J59" s="59">
        <v>1617000</v>
      </c>
      <c r="K59">
        <v>700</v>
      </c>
      <c r="M59" s="51" t="s">
        <v>103</v>
      </c>
      <c r="O59" s="52"/>
    </row>
    <row r="60" spans="1:26" x14ac:dyDescent="0.15">
      <c r="A60">
        <v>2</v>
      </c>
      <c r="B60" s="51" t="s">
        <v>95</v>
      </c>
      <c r="D60" s="51" t="s">
        <v>26</v>
      </c>
      <c r="E60" s="51" t="s">
        <v>104</v>
      </c>
      <c r="G60" s="51" t="s">
        <v>34</v>
      </c>
      <c r="H60">
        <v>90</v>
      </c>
      <c r="I60" s="58">
        <v>12200</v>
      </c>
      <c r="J60" s="59">
        <v>1098000</v>
      </c>
      <c r="K60">
        <v>1</v>
      </c>
      <c r="O60" s="52"/>
      <c r="Z60" s="51" t="s">
        <v>105</v>
      </c>
    </row>
    <row r="61" spans="1:26" x14ac:dyDescent="0.15">
      <c r="A61">
        <v>2</v>
      </c>
      <c r="B61" s="51" t="s">
        <v>28</v>
      </c>
      <c r="D61" s="51" t="s">
        <v>26</v>
      </c>
      <c r="E61" s="51" t="s">
        <v>29</v>
      </c>
      <c r="G61" s="51" t="s">
        <v>30</v>
      </c>
      <c r="H61">
        <v>600</v>
      </c>
      <c r="I61" s="58">
        <v>100</v>
      </c>
      <c r="J61" s="59">
        <v>60000</v>
      </c>
      <c r="K61">
        <v>1</v>
      </c>
      <c r="O61" s="52"/>
      <c r="Z61" s="51" t="s">
        <v>106</v>
      </c>
    </row>
    <row r="62" spans="1:26" x14ac:dyDescent="0.15">
      <c r="A62">
        <v>2</v>
      </c>
      <c r="B62" s="51" t="s">
        <v>32</v>
      </c>
      <c r="D62" s="51" t="s">
        <v>26</v>
      </c>
      <c r="E62" s="51" t="s">
        <v>33</v>
      </c>
      <c r="G62" s="51" t="s">
        <v>34</v>
      </c>
      <c r="H62">
        <v>1</v>
      </c>
      <c r="I62" s="58">
        <v>5000</v>
      </c>
      <c r="J62" s="59">
        <v>5000</v>
      </c>
      <c r="K62">
        <v>1</v>
      </c>
      <c r="O62" s="52"/>
    </row>
    <row r="63" spans="1:26" x14ac:dyDescent="0.15">
      <c r="A63">
        <v>2</v>
      </c>
      <c r="B63" s="51" t="s">
        <v>25</v>
      </c>
      <c r="D63" s="51" t="s">
        <v>26</v>
      </c>
      <c r="E63" s="51" t="s">
        <v>27</v>
      </c>
      <c r="F63" s="51" t="s">
        <v>91</v>
      </c>
      <c r="G63" s="51" t="s">
        <v>19</v>
      </c>
      <c r="H63">
        <v>1</v>
      </c>
      <c r="I63" s="58">
        <v>18000</v>
      </c>
      <c r="J63" s="59">
        <v>18000</v>
      </c>
      <c r="K63">
        <v>1</v>
      </c>
      <c r="O63" s="52"/>
    </row>
    <row r="64" spans="1:26" x14ac:dyDescent="0.15">
      <c r="A64">
        <v>2</v>
      </c>
      <c r="B64" s="51" t="s">
        <v>35</v>
      </c>
      <c r="D64" s="51" t="s">
        <v>26</v>
      </c>
      <c r="E64" s="51" t="s">
        <v>36</v>
      </c>
      <c r="G64" s="51" t="s">
        <v>30</v>
      </c>
      <c r="H64">
        <v>150</v>
      </c>
      <c r="I64" s="58">
        <v>180</v>
      </c>
      <c r="J64" s="59">
        <v>27000</v>
      </c>
      <c r="K64">
        <v>1</v>
      </c>
      <c r="O64" s="52"/>
    </row>
    <row r="65" spans="1:26" x14ac:dyDescent="0.15">
      <c r="A65">
        <v>2</v>
      </c>
      <c r="B65" s="51" t="s">
        <v>37</v>
      </c>
      <c r="D65" s="51" t="s">
        <v>38</v>
      </c>
      <c r="E65" s="51" t="s">
        <v>39</v>
      </c>
      <c r="F65" s="51" t="s">
        <v>40</v>
      </c>
      <c r="G65" s="51" t="s">
        <v>41</v>
      </c>
      <c r="H65">
        <v>12</v>
      </c>
      <c r="I65" s="58">
        <v>23000</v>
      </c>
      <c r="J65" s="59">
        <v>276000</v>
      </c>
      <c r="K65">
        <v>1</v>
      </c>
      <c r="O65" s="52"/>
      <c r="Z65" s="51" t="s">
        <v>92</v>
      </c>
    </row>
    <row r="66" spans="1:26" x14ac:dyDescent="0.15">
      <c r="A66">
        <v>2</v>
      </c>
      <c r="B66" s="51" t="s">
        <v>107</v>
      </c>
      <c r="D66" s="51" t="s">
        <v>44</v>
      </c>
      <c r="E66" s="51" t="s">
        <v>108</v>
      </c>
      <c r="F66" s="51" t="s">
        <v>60</v>
      </c>
      <c r="G66" s="51" t="s">
        <v>47</v>
      </c>
      <c r="H66">
        <v>1</v>
      </c>
      <c r="I66" s="58">
        <v>45000</v>
      </c>
      <c r="J66" s="59">
        <v>45000</v>
      </c>
      <c r="K66">
        <v>1</v>
      </c>
      <c r="O66" s="52"/>
      <c r="Z66" s="51" t="s">
        <v>82</v>
      </c>
    </row>
    <row r="67" spans="1:26" x14ac:dyDescent="0.15">
      <c r="A67">
        <v>2</v>
      </c>
      <c r="B67" s="51" t="s">
        <v>43</v>
      </c>
      <c r="D67" s="51" t="s">
        <v>44</v>
      </c>
      <c r="E67" s="51" t="s">
        <v>45</v>
      </c>
      <c r="F67" s="51" t="s">
        <v>46</v>
      </c>
      <c r="G67" s="51" t="s">
        <v>47</v>
      </c>
      <c r="H67">
        <v>1</v>
      </c>
      <c r="I67" s="58">
        <v>7000</v>
      </c>
      <c r="J67" s="59">
        <v>7000</v>
      </c>
      <c r="K67">
        <v>1</v>
      </c>
      <c r="O67" s="52"/>
      <c r="Z67" s="51" t="s">
        <v>82</v>
      </c>
    </row>
    <row r="68" spans="1:26" x14ac:dyDescent="0.15">
      <c r="A68">
        <v>2</v>
      </c>
      <c r="B68" s="51" t="s">
        <v>52</v>
      </c>
      <c r="D68" s="51" t="s">
        <v>44</v>
      </c>
      <c r="E68" s="51" t="s">
        <v>53</v>
      </c>
      <c r="F68" s="51" t="s">
        <v>54</v>
      </c>
      <c r="G68" s="51" t="s">
        <v>47</v>
      </c>
      <c r="H68">
        <v>1</v>
      </c>
      <c r="I68" s="58">
        <v>8000</v>
      </c>
      <c r="J68" s="59">
        <v>8000</v>
      </c>
      <c r="K68">
        <v>1</v>
      </c>
      <c r="O68" s="52"/>
      <c r="Z68" s="51" t="s">
        <v>82</v>
      </c>
    </row>
    <row r="69" spans="1:26" x14ac:dyDescent="0.15">
      <c r="A69">
        <v>2</v>
      </c>
      <c r="B69" s="51" t="s">
        <v>55</v>
      </c>
      <c r="D69" s="51" t="s">
        <v>44</v>
      </c>
      <c r="E69" s="51" t="s">
        <v>56</v>
      </c>
      <c r="F69" s="51" t="s">
        <v>57</v>
      </c>
      <c r="G69" s="51" t="s">
        <v>47</v>
      </c>
      <c r="H69">
        <v>1</v>
      </c>
      <c r="I69" s="58">
        <v>5000</v>
      </c>
      <c r="J69" s="59">
        <v>5000</v>
      </c>
      <c r="K69">
        <v>1</v>
      </c>
      <c r="O69" s="52"/>
      <c r="Z69" s="51" t="s">
        <v>82</v>
      </c>
    </row>
    <row r="70" spans="1:26" x14ac:dyDescent="0.15">
      <c r="A70">
        <v>2</v>
      </c>
      <c r="B70" s="51" t="s">
        <v>58</v>
      </c>
      <c r="D70" s="51" t="s">
        <v>44</v>
      </c>
      <c r="E70" s="51" t="s">
        <v>59</v>
      </c>
      <c r="F70" s="51" t="s">
        <v>60</v>
      </c>
      <c r="G70" s="51" t="s">
        <v>47</v>
      </c>
      <c r="H70">
        <v>1</v>
      </c>
      <c r="I70" s="58">
        <v>6000</v>
      </c>
      <c r="J70" s="59">
        <v>6000</v>
      </c>
      <c r="K70">
        <v>1</v>
      </c>
      <c r="O70" s="52"/>
      <c r="Z70" s="51" t="s">
        <v>82</v>
      </c>
    </row>
    <row r="71" spans="1:26" x14ac:dyDescent="0.15">
      <c r="A71">
        <v>2</v>
      </c>
      <c r="B71" s="51" t="s">
        <v>65</v>
      </c>
      <c r="D71" s="51" t="s">
        <v>44</v>
      </c>
      <c r="E71" s="51" t="s">
        <v>66</v>
      </c>
      <c r="G71" s="51" t="s">
        <v>47</v>
      </c>
      <c r="H71">
        <v>1</v>
      </c>
      <c r="I71" s="58">
        <v>40000</v>
      </c>
      <c r="J71" s="59">
        <v>40000</v>
      </c>
      <c r="K71">
        <v>1</v>
      </c>
      <c r="O71" s="52"/>
      <c r="Z71" s="51" t="s">
        <v>82</v>
      </c>
    </row>
    <row r="72" spans="1:26" x14ac:dyDescent="0.15">
      <c r="A72">
        <v>2</v>
      </c>
      <c r="B72" s="51" t="s">
        <v>67</v>
      </c>
      <c r="D72" s="51" t="s">
        <v>68</v>
      </c>
      <c r="E72" s="51" t="s">
        <v>69</v>
      </c>
      <c r="G72" s="51" t="s">
        <v>64</v>
      </c>
      <c r="H72">
        <v>2</v>
      </c>
      <c r="I72" s="58">
        <v>6000</v>
      </c>
      <c r="J72" s="59">
        <v>12000</v>
      </c>
      <c r="K72">
        <v>1</v>
      </c>
      <c r="O72" s="52"/>
      <c r="Z72" s="51" t="s">
        <v>84</v>
      </c>
    </row>
    <row r="73" spans="1:26" x14ac:dyDescent="0.15">
      <c r="A73">
        <v>2</v>
      </c>
      <c r="B73" s="51" t="s">
        <v>71</v>
      </c>
      <c r="D73" s="51" t="s">
        <v>68</v>
      </c>
      <c r="E73" s="51" t="s">
        <v>72</v>
      </c>
      <c r="G73" s="51" t="s">
        <v>64</v>
      </c>
      <c r="H73">
        <v>2</v>
      </c>
      <c r="I73" s="58">
        <v>5000</v>
      </c>
      <c r="J73" s="59">
        <v>10000</v>
      </c>
      <c r="K73">
        <v>1</v>
      </c>
      <c r="O73" s="52"/>
      <c r="Z73" s="51" t="s">
        <v>84</v>
      </c>
    </row>
    <row r="74" spans="1:26" x14ac:dyDescent="0.15">
      <c r="A74">
        <v>1</v>
      </c>
      <c r="D74" s="51" t="s">
        <v>20</v>
      </c>
      <c r="E74" s="51" t="s">
        <v>109</v>
      </c>
      <c r="F74" s="51" t="s">
        <v>110</v>
      </c>
      <c r="G74" s="51" t="s">
        <v>23</v>
      </c>
      <c r="H74">
        <v>520</v>
      </c>
      <c r="I74" s="58">
        <v>1960</v>
      </c>
      <c r="J74" s="59">
        <v>1019200</v>
      </c>
      <c r="K74">
        <v>520</v>
      </c>
      <c r="M74" s="51" t="s">
        <v>111</v>
      </c>
      <c r="O74" s="52"/>
    </row>
    <row r="75" spans="1:26" x14ac:dyDescent="0.15">
      <c r="A75">
        <v>2</v>
      </c>
      <c r="B75" s="51" t="s">
        <v>112</v>
      </c>
      <c r="D75" s="51" t="s">
        <v>26</v>
      </c>
      <c r="E75" s="51" t="s">
        <v>113</v>
      </c>
      <c r="G75" s="51" t="s">
        <v>34</v>
      </c>
      <c r="H75">
        <v>50</v>
      </c>
      <c r="I75" s="58">
        <v>13500</v>
      </c>
      <c r="J75" s="59">
        <v>675000</v>
      </c>
      <c r="K75">
        <v>1</v>
      </c>
      <c r="O75" s="52"/>
    </row>
    <row r="76" spans="1:26" x14ac:dyDescent="0.15">
      <c r="A76">
        <v>2</v>
      </c>
      <c r="B76" s="51" t="s">
        <v>25</v>
      </c>
      <c r="D76" s="51" t="s">
        <v>26</v>
      </c>
      <c r="E76" s="51" t="s">
        <v>27</v>
      </c>
      <c r="F76" s="51" t="s">
        <v>91</v>
      </c>
      <c r="G76" s="51" t="s">
        <v>19</v>
      </c>
      <c r="H76">
        <v>1</v>
      </c>
      <c r="I76" s="58">
        <v>3200</v>
      </c>
      <c r="J76" s="59">
        <v>3200</v>
      </c>
      <c r="K76">
        <v>1</v>
      </c>
      <c r="O76" s="52"/>
    </row>
    <row r="77" spans="1:26" x14ac:dyDescent="0.15">
      <c r="A77">
        <v>2</v>
      </c>
      <c r="B77" s="51" t="s">
        <v>35</v>
      </c>
      <c r="D77" s="51" t="s">
        <v>26</v>
      </c>
      <c r="E77" s="51" t="s">
        <v>36</v>
      </c>
      <c r="G77" s="51" t="s">
        <v>30</v>
      </c>
      <c r="H77">
        <v>100</v>
      </c>
      <c r="I77" s="58">
        <v>180</v>
      </c>
      <c r="J77" s="59">
        <v>18000</v>
      </c>
      <c r="K77">
        <v>1</v>
      </c>
      <c r="O77" s="52"/>
    </row>
    <row r="78" spans="1:26" x14ac:dyDescent="0.15">
      <c r="A78">
        <v>2</v>
      </c>
      <c r="B78" s="51" t="s">
        <v>37</v>
      </c>
      <c r="D78" s="51" t="s">
        <v>38</v>
      </c>
      <c r="E78" s="51" t="s">
        <v>39</v>
      </c>
      <c r="F78" s="51" t="s">
        <v>40</v>
      </c>
      <c r="G78" s="51" t="s">
        <v>41</v>
      </c>
      <c r="H78">
        <v>10</v>
      </c>
      <c r="I78" s="58">
        <v>23000</v>
      </c>
      <c r="J78" s="59">
        <v>230000</v>
      </c>
      <c r="K78">
        <v>1</v>
      </c>
      <c r="O78" s="52"/>
      <c r="Z78" s="51" t="s">
        <v>79</v>
      </c>
    </row>
    <row r="79" spans="1:26" x14ac:dyDescent="0.15">
      <c r="A79">
        <v>2</v>
      </c>
      <c r="B79" s="51" t="s">
        <v>114</v>
      </c>
      <c r="D79" s="51" t="s">
        <v>44</v>
      </c>
      <c r="E79" s="51" t="s">
        <v>115</v>
      </c>
      <c r="F79" s="51" t="s">
        <v>116</v>
      </c>
      <c r="G79" s="51" t="s">
        <v>47</v>
      </c>
      <c r="H79">
        <v>1</v>
      </c>
      <c r="I79" s="58">
        <v>13000</v>
      </c>
      <c r="J79" s="59">
        <v>13000</v>
      </c>
      <c r="K79">
        <v>1</v>
      </c>
      <c r="O79" s="52"/>
      <c r="Z79" s="51" t="s">
        <v>82</v>
      </c>
    </row>
    <row r="80" spans="1:26" x14ac:dyDescent="0.15">
      <c r="A80">
        <v>2</v>
      </c>
      <c r="B80" s="51" t="s">
        <v>107</v>
      </c>
      <c r="D80" s="51" t="s">
        <v>44</v>
      </c>
      <c r="E80" s="51" t="s">
        <v>108</v>
      </c>
      <c r="F80" s="51" t="s">
        <v>60</v>
      </c>
      <c r="G80" s="51" t="s">
        <v>47</v>
      </c>
      <c r="H80">
        <v>1</v>
      </c>
      <c r="I80" s="58">
        <v>45000</v>
      </c>
      <c r="J80" s="59">
        <v>45000</v>
      </c>
      <c r="K80">
        <v>1</v>
      </c>
      <c r="O80" s="52"/>
      <c r="Z80" s="51" t="s">
        <v>82</v>
      </c>
    </row>
    <row r="81" spans="1:26" x14ac:dyDescent="0.15">
      <c r="A81">
        <v>2</v>
      </c>
      <c r="B81" s="51" t="s">
        <v>43</v>
      </c>
      <c r="D81" s="51" t="s">
        <v>44</v>
      </c>
      <c r="E81" s="51" t="s">
        <v>45</v>
      </c>
      <c r="F81" s="51" t="s">
        <v>46</v>
      </c>
      <c r="G81" s="51" t="s">
        <v>47</v>
      </c>
      <c r="H81">
        <v>1</v>
      </c>
      <c r="I81" s="58">
        <v>7000</v>
      </c>
      <c r="J81" s="59">
        <v>7000</v>
      </c>
      <c r="K81">
        <v>1</v>
      </c>
      <c r="O81" s="52"/>
      <c r="Z81" s="51" t="s">
        <v>82</v>
      </c>
    </row>
    <row r="82" spans="1:26" x14ac:dyDescent="0.15">
      <c r="A82">
        <v>2</v>
      </c>
      <c r="B82" s="51" t="s">
        <v>55</v>
      </c>
      <c r="D82" s="51" t="s">
        <v>44</v>
      </c>
      <c r="E82" s="51" t="s">
        <v>56</v>
      </c>
      <c r="F82" s="51" t="s">
        <v>57</v>
      </c>
      <c r="G82" s="51" t="s">
        <v>47</v>
      </c>
      <c r="H82">
        <v>1</v>
      </c>
      <c r="I82" s="58">
        <v>5000</v>
      </c>
      <c r="J82" s="59">
        <v>5000</v>
      </c>
      <c r="K82">
        <v>1</v>
      </c>
      <c r="O82" s="52"/>
      <c r="Z82" s="51" t="s">
        <v>82</v>
      </c>
    </row>
    <row r="83" spans="1:26" x14ac:dyDescent="0.15">
      <c r="A83">
        <v>2</v>
      </c>
      <c r="B83" s="51" t="s">
        <v>58</v>
      </c>
      <c r="D83" s="51" t="s">
        <v>44</v>
      </c>
      <c r="E83" s="51" t="s">
        <v>59</v>
      </c>
      <c r="F83" s="51" t="s">
        <v>60</v>
      </c>
      <c r="G83" s="51" t="s">
        <v>47</v>
      </c>
      <c r="H83">
        <v>1</v>
      </c>
      <c r="I83" s="58">
        <v>6000</v>
      </c>
      <c r="J83" s="59">
        <v>6000</v>
      </c>
      <c r="K83">
        <v>1</v>
      </c>
      <c r="O83" s="52"/>
      <c r="Z83" s="51" t="s">
        <v>82</v>
      </c>
    </row>
    <row r="84" spans="1:26" x14ac:dyDescent="0.15">
      <c r="A84">
        <v>2</v>
      </c>
      <c r="B84" s="51" t="s">
        <v>67</v>
      </c>
      <c r="D84" s="51" t="s">
        <v>68</v>
      </c>
      <c r="E84" s="51" t="s">
        <v>69</v>
      </c>
      <c r="G84" s="51" t="s">
        <v>64</v>
      </c>
      <c r="H84">
        <v>2</v>
      </c>
      <c r="I84" s="58">
        <v>6000</v>
      </c>
      <c r="J84" s="59">
        <v>12000</v>
      </c>
      <c r="K84">
        <v>1</v>
      </c>
      <c r="O84" s="52"/>
      <c r="Z84" s="51" t="s">
        <v>84</v>
      </c>
    </row>
    <row r="85" spans="1:26" x14ac:dyDescent="0.15">
      <c r="A85">
        <v>2</v>
      </c>
      <c r="B85" s="51" t="s">
        <v>71</v>
      </c>
      <c r="D85" s="51" t="s">
        <v>68</v>
      </c>
      <c r="E85" s="51" t="s">
        <v>72</v>
      </c>
      <c r="G85" s="51" t="s">
        <v>64</v>
      </c>
      <c r="H85">
        <v>1</v>
      </c>
      <c r="I85" s="58">
        <v>5000</v>
      </c>
      <c r="J85" s="59">
        <v>5000</v>
      </c>
      <c r="K85">
        <v>1</v>
      </c>
      <c r="O85" s="52"/>
      <c r="Z85" s="51" t="s">
        <v>84</v>
      </c>
    </row>
    <row r="86" spans="1:26" x14ac:dyDescent="0.15">
      <c r="A86">
        <v>1</v>
      </c>
      <c r="D86" s="51" t="s">
        <v>20</v>
      </c>
      <c r="E86" s="51" t="s">
        <v>109</v>
      </c>
      <c r="F86" s="51" t="s">
        <v>117</v>
      </c>
      <c r="G86" s="51" t="s">
        <v>23</v>
      </c>
      <c r="H86">
        <v>50</v>
      </c>
      <c r="I86" s="58">
        <v>8800</v>
      </c>
      <c r="J86" s="59">
        <v>440000</v>
      </c>
      <c r="K86">
        <v>50</v>
      </c>
      <c r="M86" s="51" t="s">
        <v>118</v>
      </c>
      <c r="O86" s="52"/>
    </row>
    <row r="87" spans="1:26" x14ac:dyDescent="0.15">
      <c r="A87">
        <v>2</v>
      </c>
      <c r="B87" s="51" t="s">
        <v>95</v>
      </c>
      <c r="D87" s="51" t="s">
        <v>26</v>
      </c>
      <c r="E87" s="51" t="s">
        <v>119</v>
      </c>
      <c r="G87" s="51" t="s">
        <v>34</v>
      </c>
      <c r="H87">
        <v>9</v>
      </c>
      <c r="I87" s="58">
        <v>11000</v>
      </c>
      <c r="J87" s="59">
        <v>99000</v>
      </c>
      <c r="K87">
        <v>1</v>
      </c>
      <c r="O87" s="52"/>
    </row>
    <row r="88" spans="1:26" x14ac:dyDescent="0.15">
      <c r="A88">
        <v>2</v>
      </c>
      <c r="B88" s="51" t="s">
        <v>88</v>
      </c>
      <c r="D88" s="51" t="s">
        <v>26</v>
      </c>
      <c r="E88" s="51" t="s">
        <v>89</v>
      </c>
      <c r="G88" s="51" t="s">
        <v>30</v>
      </c>
      <c r="H88">
        <v>20</v>
      </c>
      <c r="I88" s="58">
        <v>155</v>
      </c>
      <c r="J88" s="59">
        <v>3100</v>
      </c>
      <c r="K88">
        <v>1</v>
      </c>
      <c r="O88" s="52"/>
    </row>
    <row r="89" spans="1:26" x14ac:dyDescent="0.15">
      <c r="A89">
        <v>2</v>
      </c>
      <c r="B89" s="51" t="s">
        <v>25</v>
      </c>
      <c r="D89" s="51" t="s">
        <v>26</v>
      </c>
      <c r="E89" s="51" t="s">
        <v>27</v>
      </c>
      <c r="F89" s="51" t="s">
        <v>91</v>
      </c>
      <c r="G89" s="51" t="s">
        <v>19</v>
      </c>
      <c r="H89">
        <v>1</v>
      </c>
      <c r="I89" s="58">
        <v>5900</v>
      </c>
      <c r="J89" s="59">
        <v>5900</v>
      </c>
      <c r="K89">
        <v>1</v>
      </c>
      <c r="O89" s="52"/>
    </row>
    <row r="90" spans="1:26" x14ac:dyDescent="0.15">
      <c r="A90">
        <v>2</v>
      </c>
      <c r="B90" s="51" t="s">
        <v>35</v>
      </c>
      <c r="D90" s="51" t="s">
        <v>26</v>
      </c>
      <c r="E90" s="51" t="s">
        <v>36</v>
      </c>
      <c r="G90" s="51" t="s">
        <v>30</v>
      </c>
      <c r="H90">
        <v>50</v>
      </c>
      <c r="I90" s="58">
        <v>180</v>
      </c>
      <c r="J90" s="59">
        <v>9000</v>
      </c>
      <c r="K90">
        <v>1</v>
      </c>
      <c r="O90" s="52"/>
    </row>
    <row r="91" spans="1:26" x14ac:dyDescent="0.15">
      <c r="A91">
        <v>2</v>
      </c>
      <c r="B91" s="51" t="s">
        <v>37</v>
      </c>
      <c r="D91" s="51" t="s">
        <v>38</v>
      </c>
      <c r="E91" s="51" t="s">
        <v>39</v>
      </c>
      <c r="F91" s="51" t="s">
        <v>40</v>
      </c>
      <c r="G91" s="51" t="s">
        <v>41</v>
      </c>
      <c r="H91">
        <v>10</v>
      </c>
      <c r="I91" s="58">
        <v>23000</v>
      </c>
      <c r="J91" s="59">
        <v>230000</v>
      </c>
      <c r="K91">
        <v>1</v>
      </c>
      <c r="O91" s="52"/>
      <c r="Z91" s="51" t="s">
        <v>79</v>
      </c>
    </row>
    <row r="92" spans="1:26" x14ac:dyDescent="0.15">
      <c r="A92">
        <v>2</v>
      </c>
      <c r="B92" s="51" t="s">
        <v>114</v>
      </c>
      <c r="D92" s="51" t="s">
        <v>44</v>
      </c>
      <c r="E92" s="51" t="s">
        <v>115</v>
      </c>
      <c r="F92" s="51" t="s">
        <v>116</v>
      </c>
      <c r="G92" s="51" t="s">
        <v>47</v>
      </c>
      <c r="H92">
        <v>1</v>
      </c>
      <c r="I92" s="58">
        <v>13000</v>
      </c>
      <c r="J92" s="59">
        <v>13000</v>
      </c>
      <c r="K92">
        <v>1</v>
      </c>
      <c r="O92" s="52"/>
      <c r="Z92" s="51" t="s">
        <v>82</v>
      </c>
    </row>
    <row r="93" spans="1:26" x14ac:dyDescent="0.15">
      <c r="A93">
        <v>2</v>
      </c>
      <c r="B93" s="51" t="s">
        <v>107</v>
      </c>
      <c r="D93" s="51" t="s">
        <v>44</v>
      </c>
      <c r="E93" s="51" t="s">
        <v>108</v>
      </c>
      <c r="F93" s="51" t="s">
        <v>60</v>
      </c>
      <c r="G93" s="51" t="s">
        <v>47</v>
      </c>
      <c r="H93">
        <v>1</v>
      </c>
      <c r="I93" s="58">
        <v>45000</v>
      </c>
      <c r="J93" s="59">
        <v>45000</v>
      </c>
      <c r="K93">
        <v>1</v>
      </c>
      <c r="O93" s="52"/>
      <c r="Z93" s="51" t="s">
        <v>82</v>
      </c>
    </row>
    <row r="94" spans="1:26" x14ac:dyDescent="0.15">
      <c r="A94">
        <v>2</v>
      </c>
      <c r="B94" s="51" t="s">
        <v>43</v>
      </c>
      <c r="D94" s="51" t="s">
        <v>44</v>
      </c>
      <c r="E94" s="51" t="s">
        <v>45</v>
      </c>
      <c r="F94" s="51" t="s">
        <v>46</v>
      </c>
      <c r="G94" s="51" t="s">
        <v>47</v>
      </c>
      <c r="H94">
        <v>1</v>
      </c>
      <c r="I94" s="58">
        <v>7000</v>
      </c>
      <c r="J94" s="59">
        <v>7000</v>
      </c>
      <c r="K94">
        <v>1</v>
      </c>
      <c r="O94" s="52"/>
      <c r="Z94" s="51" t="s">
        <v>82</v>
      </c>
    </row>
    <row r="95" spans="1:26" x14ac:dyDescent="0.15">
      <c r="A95">
        <v>2</v>
      </c>
      <c r="B95" s="51" t="s">
        <v>55</v>
      </c>
      <c r="D95" s="51" t="s">
        <v>44</v>
      </c>
      <c r="E95" s="51" t="s">
        <v>56</v>
      </c>
      <c r="F95" s="51" t="s">
        <v>57</v>
      </c>
      <c r="G95" s="51" t="s">
        <v>47</v>
      </c>
      <c r="H95">
        <v>1</v>
      </c>
      <c r="I95" s="58">
        <v>5000</v>
      </c>
      <c r="J95" s="59">
        <v>5000</v>
      </c>
      <c r="K95">
        <v>1</v>
      </c>
      <c r="O95" s="52"/>
      <c r="Z95" s="51" t="s">
        <v>82</v>
      </c>
    </row>
    <row r="96" spans="1:26" x14ac:dyDescent="0.15">
      <c r="A96">
        <v>2</v>
      </c>
      <c r="B96" s="51" t="s">
        <v>58</v>
      </c>
      <c r="D96" s="51" t="s">
        <v>44</v>
      </c>
      <c r="E96" s="51" t="s">
        <v>59</v>
      </c>
      <c r="F96" s="51" t="s">
        <v>60</v>
      </c>
      <c r="G96" s="51" t="s">
        <v>47</v>
      </c>
      <c r="H96">
        <v>1</v>
      </c>
      <c r="I96" s="58">
        <v>6000</v>
      </c>
      <c r="J96" s="59">
        <v>6000</v>
      </c>
      <c r="K96">
        <v>1</v>
      </c>
      <c r="O96" s="52"/>
      <c r="Z96" s="51" t="s">
        <v>82</v>
      </c>
    </row>
    <row r="97" spans="1:26" x14ac:dyDescent="0.15">
      <c r="A97">
        <v>2</v>
      </c>
      <c r="B97" s="51" t="s">
        <v>67</v>
      </c>
      <c r="D97" s="51" t="s">
        <v>68</v>
      </c>
      <c r="E97" s="51" t="s">
        <v>69</v>
      </c>
      <c r="G97" s="51" t="s">
        <v>64</v>
      </c>
      <c r="H97">
        <v>2</v>
      </c>
      <c r="I97" s="58">
        <v>6000</v>
      </c>
      <c r="J97" s="59">
        <v>12000</v>
      </c>
      <c r="K97">
        <v>1</v>
      </c>
      <c r="O97" s="52"/>
      <c r="Z97" s="51" t="s">
        <v>84</v>
      </c>
    </row>
    <row r="98" spans="1:26" x14ac:dyDescent="0.15">
      <c r="A98">
        <v>2</v>
      </c>
      <c r="B98" s="51" t="s">
        <v>71</v>
      </c>
      <c r="D98" s="51" t="s">
        <v>68</v>
      </c>
      <c r="E98" s="51" t="s">
        <v>72</v>
      </c>
      <c r="G98" s="51" t="s">
        <v>64</v>
      </c>
      <c r="H98">
        <v>1</v>
      </c>
      <c r="I98" s="58">
        <v>5000</v>
      </c>
      <c r="J98" s="59">
        <v>5000</v>
      </c>
      <c r="K98">
        <v>1</v>
      </c>
      <c r="O98" s="52"/>
      <c r="Z98" s="51" t="s">
        <v>84</v>
      </c>
    </row>
    <row r="99" spans="1:26" x14ac:dyDescent="0.15">
      <c r="A99">
        <v>1</v>
      </c>
      <c r="D99" s="51" t="s">
        <v>20</v>
      </c>
      <c r="E99" s="51" t="s">
        <v>120</v>
      </c>
      <c r="F99" s="51" t="s">
        <v>121</v>
      </c>
      <c r="G99" s="51" t="s">
        <v>23</v>
      </c>
      <c r="H99">
        <v>355</v>
      </c>
      <c r="I99" s="58">
        <v>580</v>
      </c>
      <c r="J99" s="59">
        <v>205900</v>
      </c>
      <c r="K99">
        <v>355</v>
      </c>
      <c r="M99" s="51" t="s">
        <v>122</v>
      </c>
      <c r="O99" s="52"/>
    </row>
    <row r="100" spans="1:26" x14ac:dyDescent="0.15">
      <c r="A100">
        <v>2</v>
      </c>
      <c r="B100" s="51" t="s">
        <v>35</v>
      </c>
      <c r="D100" s="51" t="s">
        <v>26</v>
      </c>
      <c r="E100" s="51" t="s">
        <v>36</v>
      </c>
      <c r="G100" s="51" t="s">
        <v>30</v>
      </c>
      <c r="H100">
        <v>100</v>
      </c>
      <c r="I100" s="58">
        <v>160</v>
      </c>
      <c r="J100" s="59">
        <v>16000</v>
      </c>
      <c r="K100">
        <v>1</v>
      </c>
      <c r="O100" s="52"/>
    </row>
    <row r="101" spans="1:26" x14ac:dyDescent="0.15">
      <c r="A101">
        <v>2</v>
      </c>
      <c r="B101" s="51" t="s">
        <v>25</v>
      </c>
      <c r="D101" s="51" t="s">
        <v>26</v>
      </c>
      <c r="E101" s="51" t="s">
        <v>27</v>
      </c>
      <c r="G101" s="51" t="s">
        <v>19</v>
      </c>
      <c r="H101">
        <v>1</v>
      </c>
      <c r="I101" s="58">
        <v>5900</v>
      </c>
      <c r="J101" s="59">
        <v>5900</v>
      </c>
      <c r="K101">
        <v>1</v>
      </c>
      <c r="O101" s="52"/>
    </row>
    <row r="102" spans="1:26" x14ac:dyDescent="0.15">
      <c r="A102">
        <v>2</v>
      </c>
      <c r="B102" s="51" t="s">
        <v>37</v>
      </c>
      <c r="D102" s="51" t="s">
        <v>38</v>
      </c>
      <c r="E102" s="51" t="s">
        <v>39</v>
      </c>
      <c r="F102" s="51" t="s">
        <v>40</v>
      </c>
      <c r="G102" s="51" t="s">
        <v>41</v>
      </c>
      <c r="H102">
        <v>6</v>
      </c>
      <c r="I102" s="58">
        <v>23000</v>
      </c>
      <c r="J102" s="59">
        <v>138000</v>
      </c>
      <c r="K102">
        <v>1</v>
      </c>
      <c r="O102" s="52"/>
      <c r="Z102" s="51" t="s">
        <v>123</v>
      </c>
    </row>
    <row r="103" spans="1:26" x14ac:dyDescent="0.15">
      <c r="A103">
        <v>2</v>
      </c>
      <c r="B103" s="51" t="s">
        <v>43</v>
      </c>
      <c r="D103" s="51" t="s">
        <v>44</v>
      </c>
      <c r="E103" s="51" t="s">
        <v>45</v>
      </c>
      <c r="F103" s="51" t="s">
        <v>46</v>
      </c>
      <c r="G103" s="51" t="s">
        <v>47</v>
      </c>
      <c r="H103">
        <v>1</v>
      </c>
      <c r="I103" s="58">
        <v>7000</v>
      </c>
      <c r="J103" s="59">
        <v>7000</v>
      </c>
      <c r="K103">
        <v>1</v>
      </c>
      <c r="O103" s="52"/>
      <c r="Z103" s="51" t="s">
        <v>82</v>
      </c>
    </row>
    <row r="104" spans="1:26" x14ac:dyDescent="0.15">
      <c r="A104">
        <v>2</v>
      </c>
      <c r="B104" s="51" t="s">
        <v>55</v>
      </c>
      <c r="D104" s="51" t="s">
        <v>44</v>
      </c>
      <c r="E104" s="51" t="s">
        <v>56</v>
      </c>
      <c r="F104" s="51" t="s">
        <v>57</v>
      </c>
      <c r="G104" s="51" t="s">
        <v>47</v>
      </c>
      <c r="H104">
        <v>1</v>
      </c>
      <c r="I104" s="58">
        <v>5000</v>
      </c>
      <c r="J104" s="59">
        <v>5000</v>
      </c>
      <c r="K104">
        <v>1</v>
      </c>
      <c r="O104" s="52"/>
      <c r="Z104" s="51" t="s">
        <v>82</v>
      </c>
    </row>
    <row r="105" spans="1:26" x14ac:dyDescent="0.15">
      <c r="A105">
        <v>2</v>
      </c>
      <c r="B105" s="51" t="s">
        <v>58</v>
      </c>
      <c r="D105" s="51" t="s">
        <v>44</v>
      </c>
      <c r="E105" s="51" t="s">
        <v>59</v>
      </c>
      <c r="F105" s="51" t="s">
        <v>60</v>
      </c>
      <c r="G105" s="51" t="s">
        <v>47</v>
      </c>
      <c r="H105">
        <v>1</v>
      </c>
      <c r="I105" s="58">
        <v>6000</v>
      </c>
      <c r="J105" s="59">
        <v>6000</v>
      </c>
      <c r="K105">
        <v>1</v>
      </c>
      <c r="O105" s="52"/>
      <c r="Z105" s="51" t="s">
        <v>82</v>
      </c>
    </row>
    <row r="106" spans="1:26" x14ac:dyDescent="0.15">
      <c r="A106">
        <v>2</v>
      </c>
      <c r="B106" s="51" t="s">
        <v>124</v>
      </c>
      <c r="D106" s="51" t="s">
        <v>44</v>
      </c>
      <c r="E106" s="51" t="s">
        <v>125</v>
      </c>
      <c r="F106" s="51" t="s">
        <v>116</v>
      </c>
      <c r="G106" s="51" t="s">
        <v>47</v>
      </c>
      <c r="H106">
        <v>1</v>
      </c>
      <c r="I106" s="58">
        <v>6000</v>
      </c>
      <c r="J106" s="59">
        <v>6000</v>
      </c>
      <c r="K106">
        <v>1</v>
      </c>
      <c r="O106" s="52"/>
      <c r="Z106" s="51" t="s">
        <v>82</v>
      </c>
    </row>
    <row r="107" spans="1:26" x14ac:dyDescent="0.15">
      <c r="A107">
        <v>2</v>
      </c>
      <c r="B107" s="51" t="s">
        <v>61</v>
      </c>
      <c r="D107" s="51" t="s">
        <v>44</v>
      </c>
      <c r="E107" s="51" t="s">
        <v>62</v>
      </c>
      <c r="F107" s="51" t="s">
        <v>63</v>
      </c>
      <c r="G107" s="51" t="s">
        <v>64</v>
      </c>
      <c r="H107">
        <v>1</v>
      </c>
      <c r="I107" s="58">
        <v>5000</v>
      </c>
      <c r="J107" s="59">
        <v>5000</v>
      </c>
      <c r="K107">
        <v>1</v>
      </c>
      <c r="O107" s="52"/>
    </row>
    <row r="108" spans="1:26" x14ac:dyDescent="0.15">
      <c r="A108">
        <v>2</v>
      </c>
      <c r="B108" s="51" t="s">
        <v>67</v>
      </c>
      <c r="D108" s="51" t="s">
        <v>68</v>
      </c>
      <c r="E108" s="51" t="s">
        <v>69</v>
      </c>
      <c r="G108" s="51" t="s">
        <v>64</v>
      </c>
      <c r="H108">
        <v>2</v>
      </c>
      <c r="I108" s="58">
        <v>6000</v>
      </c>
      <c r="J108" s="59">
        <v>12000</v>
      </c>
      <c r="K108">
        <v>1</v>
      </c>
      <c r="O108" s="52"/>
      <c r="Z108" s="51" t="s">
        <v>84</v>
      </c>
    </row>
    <row r="109" spans="1:26" x14ac:dyDescent="0.15">
      <c r="A109">
        <v>2</v>
      </c>
      <c r="B109" s="51" t="s">
        <v>71</v>
      </c>
      <c r="D109" s="51" t="s">
        <v>68</v>
      </c>
      <c r="E109" s="51" t="s">
        <v>72</v>
      </c>
      <c r="G109" s="51" t="s">
        <v>64</v>
      </c>
      <c r="H109">
        <v>1</v>
      </c>
      <c r="I109" s="58">
        <v>5000</v>
      </c>
      <c r="J109" s="59">
        <v>5000</v>
      </c>
      <c r="K109">
        <v>1</v>
      </c>
      <c r="O109" s="52"/>
      <c r="Z109" s="51" t="s">
        <v>82</v>
      </c>
    </row>
    <row r="110" spans="1:26" x14ac:dyDescent="0.15">
      <c r="A110">
        <v>1</v>
      </c>
      <c r="D110" s="51" t="s">
        <v>20</v>
      </c>
      <c r="E110" s="51" t="s">
        <v>120</v>
      </c>
      <c r="F110" s="51" t="s">
        <v>93</v>
      </c>
      <c r="G110" s="51" t="s">
        <v>23</v>
      </c>
      <c r="H110">
        <v>390</v>
      </c>
      <c r="I110" s="58">
        <v>2600</v>
      </c>
      <c r="J110" s="59">
        <v>1014000</v>
      </c>
      <c r="K110">
        <v>390</v>
      </c>
      <c r="M110" s="51" t="s">
        <v>126</v>
      </c>
      <c r="O110" s="52"/>
    </row>
    <row r="111" spans="1:26" x14ac:dyDescent="0.15">
      <c r="A111">
        <v>2</v>
      </c>
      <c r="B111" s="51" t="s">
        <v>95</v>
      </c>
      <c r="D111" s="51" t="s">
        <v>26</v>
      </c>
      <c r="E111" s="51" t="s">
        <v>119</v>
      </c>
      <c r="G111" s="51" t="s">
        <v>34</v>
      </c>
      <c r="H111">
        <v>54</v>
      </c>
      <c r="I111" s="58">
        <v>11000</v>
      </c>
      <c r="J111" s="59">
        <v>594000</v>
      </c>
      <c r="K111">
        <v>1</v>
      </c>
      <c r="O111" s="52"/>
    </row>
    <row r="112" spans="1:26" x14ac:dyDescent="0.15">
      <c r="A112">
        <v>2</v>
      </c>
      <c r="B112" s="51" t="s">
        <v>28</v>
      </c>
      <c r="D112" s="51" t="s">
        <v>26</v>
      </c>
      <c r="E112" s="51" t="s">
        <v>29</v>
      </c>
      <c r="G112" s="51" t="s">
        <v>30</v>
      </c>
      <c r="H112">
        <v>300</v>
      </c>
      <c r="I112" s="58">
        <v>100</v>
      </c>
      <c r="J112" s="59">
        <v>30000</v>
      </c>
      <c r="K112">
        <v>1</v>
      </c>
      <c r="O112" s="52"/>
    </row>
    <row r="113" spans="1:26" x14ac:dyDescent="0.15">
      <c r="A113">
        <v>2</v>
      </c>
      <c r="B113" s="51" t="s">
        <v>32</v>
      </c>
      <c r="D113" s="51" t="s">
        <v>26</v>
      </c>
      <c r="E113" s="51" t="s">
        <v>33</v>
      </c>
      <c r="G113" s="51" t="s">
        <v>34</v>
      </c>
      <c r="H113">
        <v>1</v>
      </c>
      <c r="I113" s="58">
        <v>5000</v>
      </c>
      <c r="J113" s="59">
        <v>5000</v>
      </c>
      <c r="K113">
        <v>1</v>
      </c>
      <c r="O113" s="52"/>
    </row>
    <row r="114" spans="1:26" x14ac:dyDescent="0.15">
      <c r="A114">
        <v>2</v>
      </c>
      <c r="B114" s="51" t="s">
        <v>25</v>
      </c>
      <c r="D114" s="51" t="s">
        <v>26</v>
      </c>
      <c r="E114" s="51" t="s">
        <v>27</v>
      </c>
      <c r="F114" s="51" t="s">
        <v>91</v>
      </c>
      <c r="G114" s="51" t="s">
        <v>19</v>
      </c>
      <c r="H114">
        <v>1</v>
      </c>
      <c r="I114" s="58">
        <v>2000</v>
      </c>
      <c r="J114" s="59">
        <v>2000</v>
      </c>
      <c r="K114">
        <v>1</v>
      </c>
      <c r="O114" s="52"/>
    </row>
    <row r="115" spans="1:26" x14ac:dyDescent="0.15">
      <c r="A115">
        <v>2</v>
      </c>
      <c r="B115" s="51" t="s">
        <v>35</v>
      </c>
      <c r="D115" s="51" t="s">
        <v>26</v>
      </c>
      <c r="E115" s="51" t="s">
        <v>36</v>
      </c>
      <c r="G115" s="51" t="s">
        <v>30</v>
      </c>
      <c r="H115">
        <v>50</v>
      </c>
      <c r="I115" s="58">
        <v>180</v>
      </c>
      <c r="J115" s="59">
        <v>9000</v>
      </c>
      <c r="K115">
        <v>1</v>
      </c>
      <c r="O115" s="52"/>
    </row>
    <row r="116" spans="1:26" x14ac:dyDescent="0.15">
      <c r="A116">
        <v>2</v>
      </c>
      <c r="B116" s="51" t="s">
        <v>37</v>
      </c>
      <c r="D116" s="51" t="s">
        <v>38</v>
      </c>
      <c r="E116" s="51" t="s">
        <v>39</v>
      </c>
      <c r="F116" s="51" t="s">
        <v>40</v>
      </c>
      <c r="G116" s="51" t="s">
        <v>41</v>
      </c>
      <c r="H116">
        <v>10</v>
      </c>
      <c r="I116" s="58">
        <v>23000</v>
      </c>
      <c r="J116" s="59">
        <v>230000</v>
      </c>
      <c r="K116">
        <v>1</v>
      </c>
      <c r="O116" s="52"/>
      <c r="Z116" s="51" t="s">
        <v>79</v>
      </c>
    </row>
    <row r="117" spans="1:26" x14ac:dyDescent="0.15">
      <c r="A117">
        <v>2</v>
      </c>
      <c r="B117" s="51" t="s">
        <v>114</v>
      </c>
      <c r="D117" s="51" t="s">
        <v>44</v>
      </c>
      <c r="E117" s="51" t="s">
        <v>115</v>
      </c>
      <c r="F117" s="51" t="s">
        <v>116</v>
      </c>
      <c r="G117" s="51" t="s">
        <v>47</v>
      </c>
      <c r="H117">
        <v>1</v>
      </c>
      <c r="I117" s="58">
        <v>13000</v>
      </c>
      <c r="J117" s="59">
        <v>13000</v>
      </c>
      <c r="K117">
        <v>1</v>
      </c>
      <c r="O117" s="52"/>
      <c r="Z117" s="51" t="s">
        <v>82</v>
      </c>
    </row>
    <row r="118" spans="1:26" x14ac:dyDescent="0.15">
      <c r="A118">
        <v>2</v>
      </c>
      <c r="B118" s="51" t="s">
        <v>127</v>
      </c>
      <c r="D118" s="51" t="s">
        <v>44</v>
      </c>
      <c r="E118" s="51" t="s">
        <v>128</v>
      </c>
      <c r="F118" s="51" t="s">
        <v>116</v>
      </c>
      <c r="G118" s="51" t="s">
        <v>47</v>
      </c>
      <c r="H118">
        <v>1</v>
      </c>
      <c r="I118" s="58">
        <v>6000</v>
      </c>
      <c r="J118" s="59">
        <v>6000</v>
      </c>
      <c r="K118">
        <v>1</v>
      </c>
      <c r="O118" s="52"/>
      <c r="Z118" s="51" t="s">
        <v>82</v>
      </c>
    </row>
    <row r="119" spans="1:26" x14ac:dyDescent="0.15">
      <c r="A119">
        <v>2</v>
      </c>
      <c r="B119" s="51" t="s">
        <v>107</v>
      </c>
      <c r="D119" s="51" t="s">
        <v>44</v>
      </c>
      <c r="E119" s="51" t="s">
        <v>108</v>
      </c>
      <c r="F119" s="51" t="s">
        <v>60</v>
      </c>
      <c r="G119" s="51" t="s">
        <v>47</v>
      </c>
      <c r="H119">
        <v>1</v>
      </c>
      <c r="I119" s="58">
        <v>45000</v>
      </c>
      <c r="J119" s="59">
        <v>45000</v>
      </c>
      <c r="K119">
        <v>1</v>
      </c>
      <c r="O119" s="52"/>
      <c r="Z119" s="51" t="s">
        <v>82</v>
      </c>
    </row>
    <row r="120" spans="1:26" x14ac:dyDescent="0.15">
      <c r="A120">
        <v>2</v>
      </c>
      <c r="B120" s="51" t="s">
        <v>43</v>
      </c>
      <c r="D120" s="51" t="s">
        <v>44</v>
      </c>
      <c r="E120" s="51" t="s">
        <v>45</v>
      </c>
      <c r="F120" s="51" t="s">
        <v>46</v>
      </c>
      <c r="G120" s="51" t="s">
        <v>47</v>
      </c>
      <c r="H120">
        <v>1</v>
      </c>
      <c r="I120" s="58">
        <v>7000</v>
      </c>
      <c r="J120" s="59">
        <v>7000</v>
      </c>
      <c r="K120">
        <v>1</v>
      </c>
      <c r="O120" s="52"/>
      <c r="Z120" s="51" t="s">
        <v>82</v>
      </c>
    </row>
    <row r="121" spans="1:26" x14ac:dyDescent="0.15">
      <c r="A121">
        <v>2</v>
      </c>
      <c r="B121" s="51" t="s">
        <v>55</v>
      </c>
      <c r="D121" s="51" t="s">
        <v>44</v>
      </c>
      <c r="E121" s="51" t="s">
        <v>56</v>
      </c>
      <c r="F121" s="51" t="s">
        <v>57</v>
      </c>
      <c r="G121" s="51" t="s">
        <v>47</v>
      </c>
      <c r="H121">
        <v>1</v>
      </c>
      <c r="I121" s="58">
        <v>5000</v>
      </c>
      <c r="J121" s="59">
        <v>5000</v>
      </c>
      <c r="K121">
        <v>1</v>
      </c>
      <c r="O121" s="52"/>
      <c r="Z121" s="51" t="s">
        <v>82</v>
      </c>
    </row>
    <row r="122" spans="1:26" x14ac:dyDescent="0.15">
      <c r="A122">
        <v>2</v>
      </c>
      <c r="B122" s="51" t="s">
        <v>58</v>
      </c>
      <c r="D122" s="51" t="s">
        <v>44</v>
      </c>
      <c r="E122" s="51" t="s">
        <v>59</v>
      </c>
      <c r="F122" s="51" t="s">
        <v>60</v>
      </c>
      <c r="G122" s="51" t="s">
        <v>47</v>
      </c>
      <c r="H122">
        <v>1</v>
      </c>
      <c r="I122" s="58">
        <v>6000</v>
      </c>
      <c r="J122" s="59">
        <v>6000</v>
      </c>
      <c r="K122">
        <v>1</v>
      </c>
      <c r="O122" s="52"/>
      <c r="Z122" s="51" t="s">
        <v>82</v>
      </c>
    </row>
    <row r="123" spans="1:26" x14ac:dyDescent="0.15">
      <c r="A123">
        <v>2</v>
      </c>
      <c r="B123" s="51" t="s">
        <v>65</v>
      </c>
      <c r="D123" s="51" t="s">
        <v>44</v>
      </c>
      <c r="E123" s="51" t="s">
        <v>66</v>
      </c>
      <c r="G123" s="51" t="s">
        <v>47</v>
      </c>
      <c r="H123">
        <v>1</v>
      </c>
      <c r="I123" s="58">
        <v>40000</v>
      </c>
      <c r="J123" s="59">
        <v>40000</v>
      </c>
      <c r="K123">
        <v>1</v>
      </c>
      <c r="O123" s="52"/>
      <c r="Z123" s="51" t="s">
        <v>82</v>
      </c>
    </row>
    <row r="124" spans="1:26" x14ac:dyDescent="0.15">
      <c r="A124">
        <v>2</v>
      </c>
      <c r="B124" s="51" t="s">
        <v>67</v>
      </c>
      <c r="D124" s="51" t="s">
        <v>68</v>
      </c>
      <c r="E124" s="51" t="s">
        <v>69</v>
      </c>
      <c r="G124" s="51" t="s">
        <v>64</v>
      </c>
      <c r="H124">
        <v>2</v>
      </c>
      <c r="I124" s="58">
        <v>6000</v>
      </c>
      <c r="J124" s="59">
        <v>12000</v>
      </c>
      <c r="K124">
        <v>1</v>
      </c>
      <c r="O124" s="52"/>
      <c r="Z124" s="51" t="s">
        <v>84</v>
      </c>
    </row>
    <row r="125" spans="1:26" x14ac:dyDescent="0.15">
      <c r="A125">
        <v>2</v>
      </c>
      <c r="B125" s="51" t="s">
        <v>71</v>
      </c>
      <c r="D125" s="51" t="s">
        <v>68</v>
      </c>
      <c r="E125" s="51" t="s">
        <v>72</v>
      </c>
      <c r="G125" s="51" t="s">
        <v>64</v>
      </c>
      <c r="H125">
        <v>2</v>
      </c>
      <c r="I125" s="58">
        <v>5000</v>
      </c>
      <c r="J125" s="59">
        <v>10000</v>
      </c>
      <c r="K125">
        <v>1</v>
      </c>
      <c r="O125" s="52"/>
      <c r="Z125" s="51" t="s">
        <v>84</v>
      </c>
    </row>
    <row r="126" spans="1:26" x14ac:dyDescent="0.15">
      <c r="A126">
        <v>1</v>
      </c>
      <c r="D126" s="51" t="s">
        <v>20</v>
      </c>
      <c r="E126" s="51" t="s">
        <v>120</v>
      </c>
      <c r="F126" s="51" t="s">
        <v>129</v>
      </c>
      <c r="G126" s="51" t="s">
        <v>23</v>
      </c>
      <c r="H126">
        <v>35</v>
      </c>
      <c r="I126" s="58">
        <v>8400</v>
      </c>
      <c r="J126" s="59">
        <v>294000</v>
      </c>
      <c r="K126">
        <v>35</v>
      </c>
      <c r="M126" s="51" t="s">
        <v>130</v>
      </c>
      <c r="O126" s="52"/>
    </row>
    <row r="127" spans="1:26" x14ac:dyDescent="0.15">
      <c r="A127">
        <v>2</v>
      </c>
      <c r="B127" s="51" t="s">
        <v>35</v>
      </c>
      <c r="D127" s="51" t="s">
        <v>26</v>
      </c>
      <c r="E127" s="51" t="s">
        <v>36</v>
      </c>
      <c r="G127" s="51" t="s">
        <v>30</v>
      </c>
      <c r="H127">
        <v>100</v>
      </c>
      <c r="I127" s="58">
        <v>160</v>
      </c>
      <c r="J127" s="59">
        <v>16000</v>
      </c>
      <c r="K127">
        <v>1</v>
      </c>
      <c r="O127" s="52"/>
    </row>
    <row r="128" spans="1:26" x14ac:dyDescent="0.15">
      <c r="A128">
        <v>2</v>
      </c>
      <c r="B128" s="51" t="s">
        <v>37</v>
      </c>
      <c r="D128" s="51" t="s">
        <v>38</v>
      </c>
      <c r="E128" s="51" t="s">
        <v>39</v>
      </c>
      <c r="F128" s="51" t="s">
        <v>40</v>
      </c>
      <c r="G128" s="51" t="s">
        <v>41</v>
      </c>
      <c r="H128">
        <v>5</v>
      </c>
      <c r="I128" s="58">
        <v>23000</v>
      </c>
      <c r="J128" s="59">
        <v>115000</v>
      </c>
      <c r="K128">
        <v>1</v>
      </c>
      <c r="O128" s="52"/>
      <c r="Z128" s="51" t="s">
        <v>131</v>
      </c>
    </row>
    <row r="129" spans="1:26" x14ac:dyDescent="0.15">
      <c r="A129">
        <v>2</v>
      </c>
      <c r="B129" s="51" t="s">
        <v>132</v>
      </c>
      <c r="D129" s="51" t="s">
        <v>44</v>
      </c>
      <c r="E129" s="51" t="s">
        <v>133</v>
      </c>
      <c r="G129" s="51" t="s">
        <v>64</v>
      </c>
      <c r="H129">
        <v>1</v>
      </c>
      <c r="I129" s="58">
        <v>140000</v>
      </c>
      <c r="J129" s="59">
        <v>140000</v>
      </c>
      <c r="K129">
        <v>1</v>
      </c>
      <c r="O129" s="52"/>
      <c r="Z129" s="51" t="s">
        <v>82</v>
      </c>
    </row>
    <row r="130" spans="1:26" x14ac:dyDescent="0.15">
      <c r="A130">
        <v>2</v>
      </c>
      <c r="B130" s="51" t="s">
        <v>127</v>
      </c>
      <c r="D130" s="51" t="s">
        <v>44</v>
      </c>
      <c r="E130" s="51" t="s">
        <v>128</v>
      </c>
      <c r="F130" s="51" t="s">
        <v>116</v>
      </c>
      <c r="G130" s="51" t="s">
        <v>47</v>
      </c>
      <c r="H130">
        <v>1</v>
      </c>
      <c r="I130" s="58">
        <v>6000</v>
      </c>
      <c r="J130" s="59">
        <v>6000</v>
      </c>
      <c r="K130">
        <v>1</v>
      </c>
      <c r="O130" s="52"/>
      <c r="Z130" s="51" t="s">
        <v>82</v>
      </c>
    </row>
    <row r="131" spans="1:26" x14ac:dyDescent="0.15">
      <c r="A131">
        <v>2</v>
      </c>
      <c r="B131" s="51" t="s">
        <v>58</v>
      </c>
      <c r="D131" s="51" t="s">
        <v>44</v>
      </c>
      <c r="E131" s="51" t="s">
        <v>59</v>
      </c>
      <c r="F131" s="51" t="s">
        <v>60</v>
      </c>
      <c r="G131" s="51" t="s">
        <v>47</v>
      </c>
      <c r="H131">
        <v>1</v>
      </c>
      <c r="I131" s="58">
        <v>6000</v>
      </c>
      <c r="J131" s="59">
        <v>6000</v>
      </c>
      <c r="K131">
        <v>1</v>
      </c>
      <c r="O131" s="52"/>
      <c r="Z131" s="51" t="s">
        <v>82</v>
      </c>
    </row>
    <row r="132" spans="1:26" x14ac:dyDescent="0.15">
      <c r="A132">
        <v>2</v>
      </c>
      <c r="B132" s="51" t="s">
        <v>67</v>
      </c>
      <c r="D132" s="51" t="s">
        <v>68</v>
      </c>
      <c r="E132" s="51" t="s">
        <v>69</v>
      </c>
      <c r="G132" s="51" t="s">
        <v>64</v>
      </c>
      <c r="H132">
        <v>1</v>
      </c>
      <c r="I132" s="58">
        <v>6000</v>
      </c>
      <c r="J132" s="59">
        <v>6000</v>
      </c>
      <c r="K132">
        <v>1</v>
      </c>
      <c r="O132" s="52"/>
      <c r="Z132" s="51" t="s">
        <v>82</v>
      </c>
    </row>
    <row r="133" spans="1:26" x14ac:dyDescent="0.15">
      <c r="A133">
        <v>2</v>
      </c>
      <c r="B133" s="51" t="s">
        <v>71</v>
      </c>
      <c r="D133" s="51" t="s">
        <v>68</v>
      </c>
      <c r="E133" s="51" t="s">
        <v>72</v>
      </c>
      <c r="G133" s="51" t="s">
        <v>64</v>
      </c>
      <c r="H133">
        <v>1</v>
      </c>
      <c r="I133" s="58">
        <v>5000</v>
      </c>
      <c r="J133" s="59">
        <v>5000</v>
      </c>
      <c r="K133">
        <v>1</v>
      </c>
      <c r="O133" s="52"/>
      <c r="Z133" s="51" t="s">
        <v>82</v>
      </c>
    </row>
    <row r="134" spans="1:26" x14ac:dyDescent="0.15">
      <c r="A134">
        <v>1</v>
      </c>
      <c r="D134" s="51" t="s">
        <v>20</v>
      </c>
      <c r="E134" s="51" t="s">
        <v>134</v>
      </c>
      <c r="G134" s="51" t="s">
        <v>19</v>
      </c>
      <c r="H134">
        <v>1</v>
      </c>
      <c r="I134" s="58">
        <v>430000</v>
      </c>
      <c r="J134" s="59">
        <v>430000</v>
      </c>
      <c r="K134">
        <v>1</v>
      </c>
      <c r="M134" s="51" t="s">
        <v>135</v>
      </c>
      <c r="O134" s="52"/>
    </row>
    <row r="135" spans="1:26" x14ac:dyDescent="0.15">
      <c r="A135">
        <v>2</v>
      </c>
      <c r="B135" s="51" t="s">
        <v>136</v>
      </c>
      <c r="D135" s="51" t="s">
        <v>68</v>
      </c>
      <c r="E135" s="51" t="s">
        <v>137</v>
      </c>
      <c r="F135" s="51" t="s">
        <v>138</v>
      </c>
      <c r="G135" s="51" t="s">
        <v>139</v>
      </c>
      <c r="H135">
        <v>2</v>
      </c>
      <c r="I135" s="58">
        <v>30000</v>
      </c>
      <c r="J135" s="59">
        <v>60000</v>
      </c>
      <c r="K135">
        <v>1</v>
      </c>
      <c r="O135" s="52"/>
    </row>
    <row r="136" spans="1:26" x14ac:dyDescent="0.15">
      <c r="A136">
        <v>2</v>
      </c>
      <c r="B136" s="51" t="s">
        <v>140</v>
      </c>
      <c r="D136" s="51" t="s">
        <v>68</v>
      </c>
      <c r="E136" s="51" t="s">
        <v>141</v>
      </c>
      <c r="G136" s="51" t="s">
        <v>139</v>
      </c>
      <c r="H136">
        <v>2</v>
      </c>
      <c r="I136" s="58">
        <v>30000</v>
      </c>
      <c r="J136" s="59">
        <v>60000</v>
      </c>
      <c r="K136">
        <v>1</v>
      </c>
      <c r="O136" s="52"/>
      <c r="Z136" s="51" t="s">
        <v>142</v>
      </c>
    </row>
    <row r="137" spans="1:26" x14ac:dyDescent="0.15">
      <c r="A137">
        <v>2</v>
      </c>
      <c r="B137" s="51" t="s">
        <v>143</v>
      </c>
      <c r="D137" s="51" t="s">
        <v>68</v>
      </c>
      <c r="E137" s="51" t="s">
        <v>144</v>
      </c>
      <c r="G137" s="51" t="s">
        <v>139</v>
      </c>
      <c r="H137">
        <v>2</v>
      </c>
      <c r="I137" s="58">
        <v>25000</v>
      </c>
      <c r="J137" s="59">
        <v>50000</v>
      </c>
      <c r="K137">
        <v>1</v>
      </c>
      <c r="O137" s="52"/>
      <c r="Z137" s="51" t="s">
        <v>145</v>
      </c>
    </row>
    <row r="138" spans="1:26" x14ac:dyDescent="0.15">
      <c r="A138">
        <v>2</v>
      </c>
      <c r="B138" s="51" t="s">
        <v>146</v>
      </c>
      <c r="D138" s="51" t="s">
        <v>68</v>
      </c>
      <c r="E138" s="51" t="s">
        <v>147</v>
      </c>
      <c r="G138" s="51" t="s">
        <v>139</v>
      </c>
      <c r="H138">
        <v>10</v>
      </c>
      <c r="I138" s="58">
        <v>20000</v>
      </c>
      <c r="J138" s="59">
        <v>200000</v>
      </c>
      <c r="K138">
        <v>1</v>
      </c>
      <c r="O138" s="52"/>
      <c r="Z138" s="51" t="s">
        <v>148</v>
      </c>
    </row>
    <row r="139" spans="1:26" x14ac:dyDescent="0.15">
      <c r="A139">
        <v>2</v>
      </c>
      <c r="B139" s="51" t="s">
        <v>149</v>
      </c>
      <c r="D139" s="51" t="s">
        <v>68</v>
      </c>
      <c r="E139" s="51" t="s">
        <v>150</v>
      </c>
      <c r="G139" s="51" t="s">
        <v>139</v>
      </c>
      <c r="H139">
        <v>4</v>
      </c>
      <c r="I139" s="58">
        <v>15000</v>
      </c>
      <c r="J139" s="59">
        <v>60000</v>
      </c>
      <c r="K139">
        <v>1</v>
      </c>
      <c r="O139" s="52"/>
      <c r="Z139" s="51" t="s">
        <v>151</v>
      </c>
    </row>
    <row r="140" spans="1:26" x14ac:dyDescent="0.15">
      <c r="A140">
        <v>1</v>
      </c>
      <c r="D140" s="51" t="s">
        <v>20</v>
      </c>
      <c r="E140" s="51" t="s">
        <v>152</v>
      </c>
      <c r="G140" s="51" t="s">
        <v>19</v>
      </c>
      <c r="H140">
        <v>1</v>
      </c>
      <c r="I140" s="58">
        <v>160000</v>
      </c>
      <c r="J140" s="59">
        <v>160000</v>
      </c>
      <c r="K140">
        <v>1</v>
      </c>
      <c r="M140" s="51" t="s">
        <v>153</v>
      </c>
      <c r="O140" s="52"/>
    </row>
    <row r="141" spans="1:26" x14ac:dyDescent="0.15">
      <c r="A141">
        <v>2</v>
      </c>
      <c r="B141" s="51" t="s">
        <v>37</v>
      </c>
      <c r="D141" s="51" t="s">
        <v>38</v>
      </c>
      <c r="E141" s="51" t="s">
        <v>39</v>
      </c>
      <c r="F141" s="51" t="s">
        <v>40</v>
      </c>
      <c r="G141" s="51" t="s">
        <v>41</v>
      </c>
      <c r="H141">
        <v>6</v>
      </c>
      <c r="I141" s="58">
        <v>23000</v>
      </c>
      <c r="J141" s="59">
        <v>138000</v>
      </c>
      <c r="K141">
        <v>1</v>
      </c>
      <c r="O141" s="52"/>
      <c r="Z141" s="51" t="s">
        <v>154</v>
      </c>
    </row>
    <row r="142" spans="1:26" x14ac:dyDescent="0.15">
      <c r="A142">
        <v>2</v>
      </c>
      <c r="B142" s="51" t="s">
        <v>61</v>
      </c>
      <c r="D142" s="51" t="s">
        <v>44</v>
      </c>
      <c r="E142" s="51" t="s">
        <v>62</v>
      </c>
      <c r="F142" s="51" t="s">
        <v>63</v>
      </c>
      <c r="G142" s="51" t="s">
        <v>64</v>
      </c>
      <c r="H142">
        <v>1</v>
      </c>
      <c r="I142" s="58">
        <v>5000</v>
      </c>
      <c r="J142" s="59">
        <v>5000</v>
      </c>
      <c r="K142">
        <v>1</v>
      </c>
      <c r="O142" s="52"/>
    </row>
    <row r="143" spans="1:26" x14ac:dyDescent="0.15">
      <c r="A143">
        <v>2</v>
      </c>
      <c r="B143" s="51" t="s">
        <v>67</v>
      </c>
      <c r="D143" s="51" t="s">
        <v>68</v>
      </c>
      <c r="E143" s="51" t="s">
        <v>69</v>
      </c>
      <c r="G143" s="51" t="s">
        <v>64</v>
      </c>
      <c r="H143">
        <v>2</v>
      </c>
      <c r="I143" s="58">
        <v>6000</v>
      </c>
      <c r="J143" s="59">
        <v>12000</v>
      </c>
      <c r="K143">
        <v>1</v>
      </c>
      <c r="O143" s="52"/>
    </row>
    <row r="144" spans="1:26" x14ac:dyDescent="0.15">
      <c r="A144">
        <v>2</v>
      </c>
      <c r="B144" s="51" t="s">
        <v>71</v>
      </c>
      <c r="D144" s="51" t="s">
        <v>68</v>
      </c>
      <c r="E144" s="51" t="s">
        <v>72</v>
      </c>
      <c r="G144" s="51" t="s">
        <v>64</v>
      </c>
      <c r="H144">
        <v>1</v>
      </c>
      <c r="I144" s="58">
        <v>5000</v>
      </c>
      <c r="J144" s="59">
        <v>5000</v>
      </c>
      <c r="K144">
        <v>1</v>
      </c>
      <c r="O144" s="52"/>
    </row>
    <row r="145" spans="1:15" x14ac:dyDescent="0.15">
      <c r="A145">
        <v>1</v>
      </c>
      <c r="D145" s="51" t="s">
        <v>20</v>
      </c>
      <c r="E145" s="51" t="s">
        <v>155</v>
      </c>
      <c r="G145" s="51" t="s">
        <v>19</v>
      </c>
      <c r="H145">
        <v>1</v>
      </c>
      <c r="I145" s="58">
        <v>237400</v>
      </c>
      <c r="J145" s="59">
        <v>237400</v>
      </c>
      <c r="K145">
        <v>1</v>
      </c>
      <c r="M145" s="51" t="s">
        <v>156</v>
      </c>
      <c r="O145" s="52"/>
    </row>
    <row r="146" spans="1:15" x14ac:dyDescent="0.15">
      <c r="A146">
        <v>2</v>
      </c>
      <c r="B146" s="51" t="s">
        <v>25</v>
      </c>
      <c r="D146" s="51" t="s">
        <v>26</v>
      </c>
      <c r="E146" s="51" t="s">
        <v>157</v>
      </c>
      <c r="G146" s="51" t="s">
        <v>19</v>
      </c>
      <c r="H146">
        <v>1</v>
      </c>
      <c r="I146" s="58">
        <v>11400</v>
      </c>
      <c r="J146" s="59">
        <v>11400</v>
      </c>
      <c r="K146">
        <v>1</v>
      </c>
      <c r="O146" s="52"/>
    </row>
    <row r="147" spans="1:15" x14ac:dyDescent="0.15">
      <c r="A147">
        <v>2</v>
      </c>
      <c r="B147" s="51" t="s">
        <v>158</v>
      </c>
      <c r="D147" s="51" t="s">
        <v>159</v>
      </c>
      <c r="E147" s="51" t="s">
        <v>160</v>
      </c>
      <c r="G147" s="51" t="s">
        <v>139</v>
      </c>
      <c r="H147">
        <v>1</v>
      </c>
      <c r="I147" s="58">
        <v>35000</v>
      </c>
      <c r="J147" s="59">
        <v>35000</v>
      </c>
      <c r="K147">
        <v>1</v>
      </c>
      <c r="O147" s="52"/>
    </row>
    <row r="148" spans="1:15" x14ac:dyDescent="0.15">
      <c r="A148">
        <v>2</v>
      </c>
      <c r="B148" s="51" t="s">
        <v>161</v>
      </c>
      <c r="D148" s="51" t="s">
        <v>159</v>
      </c>
      <c r="E148" s="51" t="s">
        <v>162</v>
      </c>
      <c r="F148" s="51" t="s">
        <v>163</v>
      </c>
      <c r="G148" s="51" t="s">
        <v>139</v>
      </c>
      <c r="H148">
        <v>1</v>
      </c>
      <c r="I148" s="58">
        <v>20000</v>
      </c>
      <c r="J148" s="59">
        <v>20000</v>
      </c>
      <c r="K148">
        <v>1</v>
      </c>
      <c r="O148" s="52"/>
    </row>
    <row r="149" spans="1:15" x14ac:dyDescent="0.15">
      <c r="A149">
        <v>2</v>
      </c>
      <c r="B149" s="51" t="s">
        <v>164</v>
      </c>
      <c r="D149" s="51" t="s">
        <v>159</v>
      </c>
      <c r="E149" s="51" t="s">
        <v>165</v>
      </c>
      <c r="G149" s="51" t="s">
        <v>166</v>
      </c>
      <c r="H149">
        <v>9</v>
      </c>
      <c r="I149" s="58">
        <v>19000</v>
      </c>
      <c r="J149" s="59">
        <v>171000</v>
      </c>
      <c r="K149">
        <v>1</v>
      </c>
      <c r="O149" s="52"/>
    </row>
    <row r="150" spans="1:15" x14ac:dyDescent="0.15">
      <c r="A150">
        <v>1</v>
      </c>
      <c r="D150" s="51" t="s">
        <v>20</v>
      </c>
      <c r="E150" s="51" t="s">
        <v>167</v>
      </c>
      <c r="G150" s="51" t="s">
        <v>19</v>
      </c>
      <c r="H150">
        <v>1</v>
      </c>
      <c r="I150" s="58">
        <v>1370000</v>
      </c>
      <c r="J150" s="59">
        <v>1370000</v>
      </c>
      <c r="K150">
        <v>1</v>
      </c>
      <c r="M150" s="51" t="s">
        <v>168</v>
      </c>
      <c r="O150" s="52"/>
    </row>
    <row r="151" spans="1:15" x14ac:dyDescent="0.15">
      <c r="A151">
        <v>2</v>
      </c>
      <c r="B151" s="51" t="s">
        <v>169</v>
      </c>
      <c r="D151" s="51" t="s">
        <v>159</v>
      </c>
      <c r="E151" s="51" t="s">
        <v>170</v>
      </c>
      <c r="F151" s="51" t="s">
        <v>171</v>
      </c>
      <c r="G151" s="51" t="s">
        <v>19</v>
      </c>
      <c r="H151">
        <v>1</v>
      </c>
      <c r="I151" s="58">
        <v>1000000</v>
      </c>
      <c r="J151" s="59">
        <v>1000000</v>
      </c>
      <c r="K151">
        <v>1</v>
      </c>
      <c r="O151" s="52"/>
    </row>
    <row r="152" spans="1:15" x14ac:dyDescent="0.15">
      <c r="A152">
        <v>2</v>
      </c>
      <c r="B152" s="51" t="s">
        <v>172</v>
      </c>
      <c r="D152" s="51" t="s">
        <v>159</v>
      </c>
      <c r="E152" s="51" t="s">
        <v>173</v>
      </c>
      <c r="F152" s="51" t="s">
        <v>174</v>
      </c>
      <c r="G152" s="51" t="s">
        <v>19</v>
      </c>
      <c r="H152">
        <v>1</v>
      </c>
      <c r="I152" s="58">
        <v>370000</v>
      </c>
      <c r="J152" s="59">
        <v>370000</v>
      </c>
      <c r="K152">
        <v>1</v>
      </c>
      <c r="O152" s="52"/>
    </row>
  </sheetData>
  <phoneticPr fontId="3"/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AF156"/>
  <sheetViews>
    <sheetView zoomScale="85" workbookViewId="0">
      <pane xSplit="4" ySplit="4" topLeftCell="E5" activePane="bottomRight" state="frozen"/>
      <selection activeCell="B29" sqref="B29"/>
      <selection pane="topRight" activeCell="B29" sqref="B29"/>
      <selection pane="bottomLeft" activeCell="B29" sqref="B29"/>
      <selection pane="bottomRight"/>
    </sheetView>
  </sheetViews>
  <sheetFormatPr defaultColWidth="9" defaultRowHeight="13.5" x14ac:dyDescent="0.15"/>
  <cols>
    <col min="1" max="1" width="3.625" style="14" customWidth="1"/>
    <col min="2" max="2" width="11.625" style="14" customWidth="1"/>
    <col min="3" max="3" width="7" style="3" customWidth="1"/>
    <col min="4" max="4" width="35.625" style="14" customWidth="1"/>
    <col min="5" max="5" width="24.375" style="14" customWidth="1"/>
    <col min="6" max="6" width="5.25" style="15" customWidth="1"/>
    <col min="7" max="7" width="8.625" style="14" customWidth="1"/>
    <col min="8" max="8" width="11.25" style="14" customWidth="1"/>
    <col min="9" max="9" width="12.5" style="14" customWidth="1"/>
    <col min="10" max="10" width="7.125" style="14" customWidth="1"/>
    <col min="11" max="11" width="1.75" style="15" customWidth="1"/>
    <col min="12" max="14" width="7.125" style="14" customWidth="1"/>
    <col min="15" max="15" width="8.625" style="14" hidden="1" customWidth="1"/>
    <col min="16" max="16" width="11.25" style="14" hidden="1" customWidth="1"/>
    <col min="17" max="17" width="12.5" style="14" hidden="1" customWidth="1"/>
    <col min="18" max="18" width="7.125" style="14" hidden="1" customWidth="1"/>
    <col min="19" max="19" width="1.75" style="15" hidden="1" customWidth="1"/>
    <col min="20" max="22" width="7.125" style="14" hidden="1" customWidth="1"/>
    <col min="23" max="23" width="8.625" style="14" hidden="1" customWidth="1"/>
    <col min="24" max="24" width="11.25" style="14" hidden="1" customWidth="1"/>
    <col min="25" max="25" width="12.5" style="14" hidden="1" customWidth="1"/>
    <col min="26" max="26" width="7.125" style="14" hidden="1" customWidth="1"/>
    <col min="27" max="27" width="1.75" style="15" hidden="1" customWidth="1"/>
    <col min="28" max="30" width="7.125" style="14" hidden="1" customWidth="1"/>
    <col min="31" max="31" width="5.75" style="14" customWidth="1"/>
    <col min="32" max="32" width="31.375" style="10" customWidth="1"/>
    <col min="33" max="33" width="2.125" style="14" customWidth="1"/>
    <col min="34" max="16384" width="9" style="14"/>
  </cols>
  <sheetData>
    <row r="1" spans="1:32" ht="22.5" customHeight="1" thickBot="1" x14ac:dyDescent="0.25">
      <c r="A1" s="1"/>
      <c r="B1" s="2"/>
      <c r="D1" s="1" t="str">
        <f>D4</f>
        <v>天神峰工区改良その2</v>
      </c>
      <c r="G1" s="4"/>
      <c r="H1" s="16" t="s">
        <v>15</v>
      </c>
      <c r="I1" s="13">
        <v>18200000</v>
      </c>
      <c r="J1" s="17">
        <f>I4/I$1</f>
        <v>0.84065934065934067</v>
      </c>
      <c r="K1" s="18"/>
      <c r="L1" s="12">
        <v>3</v>
      </c>
      <c r="M1" s="5"/>
      <c r="N1" s="5"/>
      <c r="O1" s="4"/>
      <c r="P1" s="16" t="s">
        <v>15</v>
      </c>
      <c r="Q1" s="13"/>
      <c r="R1" s="19" t="e">
        <f>Q4/Q$1</f>
        <v>#DIV/0!</v>
      </c>
      <c r="S1" s="18"/>
      <c r="T1" s="12">
        <v>3</v>
      </c>
      <c r="U1" s="5"/>
      <c r="V1" s="5"/>
      <c r="X1" s="16" t="s">
        <v>15</v>
      </c>
      <c r="Y1" s="13"/>
      <c r="Z1" s="17" t="e">
        <f>Y4/Y$1</f>
        <v>#DIV/0!</v>
      </c>
      <c r="AA1" s="18"/>
      <c r="AB1" s="12">
        <v>3</v>
      </c>
      <c r="AC1" s="5"/>
      <c r="AD1" s="5"/>
      <c r="AE1" s="2"/>
      <c r="AF1" s="8"/>
    </row>
    <row r="2" spans="1:32" s="6" customFormat="1" ht="22.5" customHeight="1" x14ac:dyDescent="0.15">
      <c r="A2" s="20" t="s">
        <v>13</v>
      </c>
      <c r="B2" s="20" t="s">
        <v>17</v>
      </c>
      <c r="C2" s="21" t="s">
        <v>3</v>
      </c>
      <c r="D2" s="21" t="s">
        <v>4</v>
      </c>
      <c r="E2" s="21" t="s">
        <v>5</v>
      </c>
      <c r="F2" s="21" t="s">
        <v>6</v>
      </c>
      <c r="G2" s="55" t="s">
        <v>175</v>
      </c>
      <c r="H2" s="56"/>
      <c r="I2" s="56"/>
      <c r="J2" s="56"/>
      <c r="K2" s="56"/>
      <c r="L2" s="56"/>
      <c r="M2" s="56"/>
      <c r="N2" s="57"/>
      <c r="O2" s="55" t="s">
        <v>7</v>
      </c>
      <c r="P2" s="56"/>
      <c r="Q2" s="56"/>
      <c r="R2" s="56"/>
      <c r="S2" s="56"/>
      <c r="T2" s="56"/>
      <c r="U2" s="56"/>
      <c r="V2" s="57"/>
      <c r="W2" s="55" t="s">
        <v>8</v>
      </c>
      <c r="X2" s="56"/>
      <c r="Y2" s="56"/>
      <c r="Z2" s="56"/>
      <c r="AA2" s="56"/>
      <c r="AB2" s="56"/>
      <c r="AC2" s="56"/>
      <c r="AD2" s="57"/>
      <c r="AE2" s="49" t="s">
        <v>16</v>
      </c>
      <c r="AF2" s="53" t="s">
        <v>9</v>
      </c>
    </row>
    <row r="3" spans="1:32" s="35" customFormat="1" ht="16.5" customHeight="1" x14ac:dyDescent="0.15">
      <c r="A3" s="22"/>
      <c r="B3" s="22"/>
      <c r="C3" s="23"/>
      <c r="D3" s="23"/>
      <c r="E3" s="23"/>
      <c r="F3" s="23"/>
      <c r="G3" s="24" t="s">
        <v>10</v>
      </c>
      <c r="H3" s="25" t="s">
        <v>11</v>
      </c>
      <c r="I3" s="25" t="s">
        <v>12</v>
      </c>
      <c r="J3" s="26" t="s">
        <v>2</v>
      </c>
      <c r="K3" s="27"/>
      <c r="L3" s="28" t="s">
        <v>14</v>
      </c>
      <c r="M3" s="28" t="s">
        <v>0</v>
      </c>
      <c r="N3" s="29" t="s">
        <v>1</v>
      </c>
      <c r="O3" s="30" t="s">
        <v>10</v>
      </c>
      <c r="P3" s="31" t="s">
        <v>11</v>
      </c>
      <c r="Q3" s="31" t="s">
        <v>12</v>
      </c>
      <c r="R3" s="32" t="s">
        <v>2</v>
      </c>
      <c r="S3" s="33"/>
      <c r="T3" s="28" t="s">
        <v>14</v>
      </c>
      <c r="U3" s="28" t="s">
        <v>0</v>
      </c>
      <c r="V3" s="29" t="s">
        <v>1</v>
      </c>
      <c r="W3" s="30" t="s">
        <v>10</v>
      </c>
      <c r="X3" s="31" t="s">
        <v>11</v>
      </c>
      <c r="Y3" s="31" t="s">
        <v>12</v>
      </c>
      <c r="Z3" s="32" t="s">
        <v>2</v>
      </c>
      <c r="AA3" s="34"/>
      <c r="AB3" s="28" t="s">
        <v>14</v>
      </c>
      <c r="AC3" s="28" t="s">
        <v>0</v>
      </c>
      <c r="AD3" s="29" t="s">
        <v>1</v>
      </c>
      <c r="AE3" s="22"/>
      <c r="AF3" s="54"/>
    </row>
    <row r="4" spans="1:32" x14ac:dyDescent="0.15">
      <c r="A4" s="47">
        <f>データ!A1</f>
        <v>0</v>
      </c>
      <c r="B4" s="47" t="str">
        <f>TRIM(データ!C1)</f>
        <v/>
      </c>
      <c r="C4" s="47" t="str">
        <f>TRIM(データ!D1)</f>
        <v>総括</v>
      </c>
      <c r="D4" s="36" t="str">
        <f>REPT("｜",$A4)&amp;TRIM(データ!E1)</f>
        <v>天神峰工区改良その2</v>
      </c>
      <c r="E4" s="37" t="str">
        <f>TRIM(データ!F1)</f>
        <v/>
      </c>
      <c r="F4" s="38" t="str">
        <f>TRIM(データ!G1)</f>
        <v>式</v>
      </c>
      <c r="G4" s="50">
        <f>データ!H1</f>
        <v>1</v>
      </c>
      <c r="H4" s="48">
        <f>データ!I1</f>
        <v>15300000</v>
      </c>
      <c r="I4" s="48">
        <f>データ!J1</f>
        <v>15300000</v>
      </c>
      <c r="J4" s="39">
        <f>IF(OR($C4="総括",$C4="内訳書",$C4="内訳代価",$C4="明細書",$C4="明細代価",$C4="代価表",$C4="単価表"),データ!K1,"")</f>
        <v>1</v>
      </c>
      <c r="K4" s="11" t="str">
        <f>IF(OR(J4="",G4=J4),"","*")</f>
        <v/>
      </c>
      <c r="L4" s="46">
        <f>IF($A4&lt;=L$1,I4/I$4,"")</f>
        <v>1</v>
      </c>
      <c r="M4" s="40" t="str">
        <f>IF(データ!L1="","",データ!L1)</f>
        <v/>
      </c>
      <c r="N4" s="41" t="str">
        <f>IF(データ!M1="","",データ!M1)</f>
        <v/>
      </c>
      <c r="O4" s="42">
        <f>データ!N1</f>
        <v>0</v>
      </c>
      <c r="P4" s="48">
        <f>IF($C4="集計行","",データ!O1)</f>
        <v>0</v>
      </c>
      <c r="Q4" s="48">
        <f>データ!P1</f>
        <v>0</v>
      </c>
      <c r="R4" s="39">
        <f>IF(OR($C4="総括",$C4="内訳書",$C4="内訳代価",$C4="明細書",$C4="明細代価",$C4="代価表",$C4="単価表"),データ!Q1,"")</f>
        <v>0</v>
      </c>
      <c r="S4" s="11" t="str">
        <f>IF(OR(R4="",O4=R4),"","*")</f>
        <v/>
      </c>
      <c r="T4" s="46" t="e">
        <f>IF($A4&lt;=T$1,Q4/Q$4,"")</f>
        <v>#DIV/0!</v>
      </c>
      <c r="U4" s="40" t="str">
        <f>IF(データ!R1="","",データ!R1)</f>
        <v/>
      </c>
      <c r="V4" s="41" t="str">
        <f>IF(データ!S1="","",データ!S1)</f>
        <v/>
      </c>
      <c r="W4" s="42">
        <f>データ!T1</f>
        <v>0</v>
      </c>
      <c r="X4" s="48">
        <f>IF($C4="集計行","",データ!U1)</f>
        <v>0</v>
      </c>
      <c r="Y4" s="48">
        <f>データ!V1</f>
        <v>0</v>
      </c>
      <c r="Z4" s="39">
        <f>IF(OR($C4="総括",$C4="内訳書",$C4="内訳代価",$C4="明細書",$C4="明細代価",$C4="代価表",$C4="単価表"),データ!W1,"")</f>
        <v>0</v>
      </c>
      <c r="AA4" s="11" t="str">
        <f>IF(OR(Z4="",W4=Z4),"","*")</f>
        <v/>
      </c>
      <c r="AB4" s="46" t="e">
        <f>IF($A4&lt;=AB$1,Y4/Y$4,"")</f>
        <v>#DIV/0!</v>
      </c>
      <c r="AC4" s="40" t="str">
        <f>IF(データ!X1="","",データ!X1)</f>
        <v/>
      </c>
      <c r="AD4" s="41" t="str">
        <f>IF(データ!Y1="","",データ!Y1)</f>
        <v/>
      </c>
      <c r="AE4" s="47" t="str">
        <f>TRIM(データ!B1)</f>
        <v/>
      </c>
      <c r="AF4" s="43" t="str">
        <f>TRIM(データ!Z1)</f>
        <v/>
      </c>
    </row>
    <row r="5" spans="1:32" x14ac:dyDescent="0.15">
      <c r="A5" s="47">
        <f>データ!A2</f>
        <v>1</v>
      </c>
      <c r="B5" s="47" t="str">
        <f>TRIM(データ!C2)</f>
        <v/>
      </c>
      <c r="C5" s="47" t="str">
        <f>TRIM(データ!D2)</f>
        <v>内訳代価</v>
      </c>
      <c r="D5" s="36" t="str">
        <f>REPT("｜",$A5)&amp;TRIM(データ!E2)</f>
        <v>｜車道舗装</v>
      </c>
      <c r="E5" s="37" t="str">
        <f>TRIM(データ!F2)</f>
        <v>上層路盤工(HMS-25　材料支給）</v>
      </c>
      <c r="F5" s="38" t="str">
        <f>TRIM(データ!G2)</f>
        <v>m2</v>
      </c>
      <c r="G5" s="50">
        <f>データ!H2</f>
        <v>1270</v>
      </c>
      <c r="H5" s="48">
        <f>データ!I2</f>
        <v>440</v>
      </c>
      <c r="I5" s="48">
        <f>データ!J2</f>
        <v>558800</v>
      </c>
      <c r="J5" s="39">
        <f>IF(OR($C5="総括",$C5="内訳書",$C5="内訳代価",$C5="明細書",$C5="明細代価",$C5="代価表",$C5="単価表"),データ!K2,"")</f>
        <v>1270</v>
      </c>
      <c r="K5" s="11" t="str">
        <f t="shared" ref="K5:K68" si="0">IF(OR(J5="",G5=J5),"","*")</f>
        <v/>
      </c>
      <c r="L5" s="46">
        <f t="shared" ref="L5:L68" si="1">IF($A5&lt;=L$1,I5/I$4,"")</f>
        <v>3.6522875816993462E-2</v>
      </c>
      <c r="M5" s="40" t="str">
        <f>IF(データ!L2="","",データ!L2)</f>
        <v/>
      </c>
      <c r="N5" s="41" t="str">
        <f>IF(データ!M2="","",データ!M2)</f>
        <v>15号内訳書</v>
      </c>
      <c r="O5" s="42">
        <f>データ!N2</f>
        <v>0</v>
      </c>
      <c r="P5" s="48">
        <f>IF($C5="集計行","",データ!O2)</f>
        <v>0</v>
      </c>
      <c r="Q5" s="48">
        <f>データ!P2</f>
        <v>0</v>
      </c>
      <c r="R5" s="39">
        <f>IF(OR($C5="総括",$C5="内訳書",$C5="内訳代価",$C5="明細書",$C5="明細代価",$C5="代価表",$C5="単価表"),データ!Q2,"")</f>
        <v>0</v>
      </c>
      <c r="S5" s="11" t="str">
        <f t="shared" ref="S5:S68" si="2">IF(OR(R5="",O5=R5),"","*")</f>
        <v/>
      </c>
      <c r="T5" s="46" t="e">
        <f t="shared" ref="T5:T68" si="3">IF($A5&lt;=T$1,Q5/Q$4,"")</f>
        <v>#DIV/0!</v>
      </c>
      <c r="U5" s="40" t="str">
        <f>IF(データ!R2="","",データ!R2)</f>
        <v/>
      </c>
      <c r="V5" s="41" t="str">
        <f>IF(データ!S2="","",データ!S2)</f>
        <v/>
      </c>
      <c r="W5" s="42">
        <f>データ!T2</f>
        <v>0</v>
      </c>
      <c r="X5" s="48">
        <f>IF($C5="集計行","",データ!U2)</f>
        <v>0</v>
      </c>
      <c r="Y5" s="48">
        <f>データ!V2</f>
        <v>0</v>
      </c>
      <c r="Z5" s="39">
        <f>IF(OR($C5="総括",$C5="内訳書",$C5="内訳代価",$C5="明細書",$C5="明細代価",$C5="代価表",$C5="単価表"),データ!W2,"")</f>
        <v>0</v>
      </c>
      <c r="AA5" s="11" t="str">
        <f t="shared" ref="AA5:AA68" si="4">IF(OR(Z5="",W5=Z5),"","*")</f>
        <v/>
      </c>
      <c r="AB5" s="46" t="e">
        <f t="shared" ref="AB5:AB68" si="5">IF($A5&lt;=AB$1,Y5/Y$4,"")</f>
        <v>#DIV/0!</v>
      </c>
      <c r="AC5" s="40" t="str">
        <f>IF(データ!X2="","",データ!X2)</f>
        <v/>
      </c>
      <c r="AD5" s="41" t="str">
        <f>IF(データ!Y2="","",データ!Y2)</f>
        <v/>
      </c>
      <c r="AE5" s="47" t="str">
        <f>TRIM(データ!B2)</f>
        <v/>
      </c>
      <c r="AF5" s="43" t="str">
        <f>TRIM(データ!Z2)</f>
        <v/>
      </c>
    </row>
    <row r="6" spans="1:32" x14ac:dyDescent="0.15">
      <c r="A6" s="47">
        <f>データ!A3</f>
        <v>2</v>
      </c>
      <c r="B6" s="47" t="str">
        <f>TRIM(データ!C3)</f>
        <v/>
      </c>
      <c r="C6" s="47" t="str">
        <f>TRIM(データ!D3)</f>
        <v>材料費</v>
      </c>
      <c r="D6" s="36" t="str">
        <f>REPT("｜",$A6)&amp;TRIM(データ!E3)</f>
        <v>｜｜雑材</v>
      </c>
      <c r="E6" s="37" t="str">
        <f>TRIM(データ!F3)</f>
        <v/>
      </c>
      <c r="F6" s="38" t="str">
        <f>TRIM(データ!G3)</f>
        <v>式</v>
      </c>
      <c r="G6" s="50">
        <f>データ!H3</f>
        <v>1</v>
      </c>
      <c r="H6" s="48">
        <f>データ!I3</f>
        <v>11800</v>
      </c>
      <c r="I6" s="48">
        <f>データ!J3</f>
        <v>11800</v>
      </c>
      <c r="J6" s="39" t="str">
        <f>IF(OR($C6="総括",$C6="内訳書",$C6="内訳代価",$C6="明細書",$C6="明細代価",$C6="代価表",$C6="単価表"),データ!K3,"")</f>
        <v/>
      </c>
      <c r="K6" s="11" t="str">
        <f t="shared" si="0"/>
        <v/>
      </c>
      <c r="L6" s="46">
        <f t="shared" si="1"/>
        <v>7.7124183006535953E-4</v>
      </c>
      <c r="M6" s="40" t="str">
        <f>IF(データ!L3="","",データ!L3)</f>
        <v/>
      </c>
      <c r="N6" s="41" t="str">
        <f>IF(データ!M3="","",データ!M3)</f>
        <v/>
      </c>
      <c r="O6" s="42">
        <f>データ!N3</f>
        <v>0</v>
      </c>
      <c r="P6" s="48">
        <f>IF($C6="集計行","",データ!O3)</f>
        <v>0</v>
      </c>
      <c r="Q6" s="48">
        <f>データ!P3</f>
        <v>0</v>
      </c>
      <c r="R6" s="39" t="str">
        <f>IF(OR($C6="総括",$C6="内訳書",$C6="内訳代価",$C6="明細書",$C6="明細代価",$C6="代価表",$C6="単価表"),データ!Q3,"")</f>
        <v/>
      </c>
      <c r="S6" s="11" t="str">
        <f t="shared" si="2"/>
        <v/>
      </c>
      <c r="T6" s="46" t="e">
        <f t="shared" si="3"/>
        <v>#DIV/0!</v>
      </c>
      <c r="U6" s="40" t="str">
        <f>IF(データ!R3="","",データ!R3)</f>
        <v/>
      </c>
      <c r="V6" s="41" t="str">
        <f>IF(データ!S3="","",データ!S3)</f>
        <v/>
      </c>
      <c r="W6" s="42">
        <f>データ!T3</f>
        <v>0</v>
      </c>
      <c r="X6" s="48">
        <f>IF($C6="集計行","",データ!U3)</f>
        <v>0</v>
      </c>
      <c r="Y6" s="48">
        <f>データ!V3</f>
        <v>0</v>
      </c>
      <c r="Z6" s="39" t="str">
        <f>IF(OR($C6="総括",$C6="内訳書",$C6="内訳代価",$C6="明細書",$C6="明細代価",$C6="代価表",$C6="単価表"),データ!W3,"")</f>
        <v/>
      </c>
      <c r="AA6" s="11" t="str">
        <f t="shared" si="4"/>
        <v/>
      </c>
      <c r="AB6" s="46" t="e">
        <f t="shared" si="5"/>
        <v>#DIV/0!</v>
      </c>
      <c r="AC6" s="40" t="str">
        <f>IF(データ!X3="","",データ!X3)</f>
        <v/>
      </c>
      <c r="AD6" s="41" t="str">
        <f>IF(データ!Y3="","",データ!Y3)</f>
        <v/>
      </c>
      <c r="AE6" s="47" t="str">
        <f>TRIM(データ!B3)</f>
        <v>s20718001</v>
      </c>
      <c r="AF6" s="43" t="str">
        <f>TRIM(データ!Z3)</f>
        <v/>
      </c>
    </row>
    <row r="7" spans="1:32" x14ac:dyDescent="0.15">
      <c r="A7" s="47">
        <f>データ!A4</f>
        <v>2</v>
      </c>
      <c r="B7" s="47" t="str">
        <f>TRIM(データ!C4)</f>
        <v/>
      </c>
      <c r="C7" s="47" t="str">
        <f>TRIM(データ!D4)</f>
        <v>材料費</v>
      </c>
      <c r="D7" s="36" t="str">
        <f>REPT("｜",$A7)&amp;TRIM(データ!E4)</f>
        <v>｜｜乳剤PK-3・4</v>
      </c>
      <c r="E7" s="37" t="str">
        <f>TRIM(データ!F4)</f>
        <v/>
      </c>
      <c r="F7" s="38" t="str">
        <f>TRIM(データ!G4)</f>
        <v>L</v>
      </c>
      <c r="G7" s="50">
        <f>データ!H4</f>
        <v>1100</v>
      </c>
      <c r="H7" s="48">
        <f>データ!I4</f>
        <v>100</v>
      </c>
      <c r="I7" s="48">
        <f>データ!J4</f>
        <v>110000</v>
      </c>
      <c r="J7" s="39" t="str">
        <f>IF(OR($C7="総括",$C7="内訳書",$C7="内訳代価",$C7="明細書",$C7="明細代価",$C7="代価表",$C7="単価表"),データ!K4,"")</f>
        <v/>
      </c>
      <c r="K7" s="11" t="str">
        <f t="shared" si="0"/>
        <v/>
      </c>
      <c r="L7" s="46">
        <f t="shared" si="1"/>
        <v>7.1895424836601303E-3</v>
      </c>
      <c r="M7" s="40" t="str">
        <f>IF(データ!L4="","",データ!L4)</f>
        <v/>
      </c>
      <c r="N7" s="41" t="str">
        <f>IF(データ!M4="","",データ!M4)</f>
        <v/>
      </c>
      <c r="O7" s="42">
        <f>データ!N4</f>
        <v>0</v>
      </c>
      <c r="P7" s="48">
        <f>IF($C7="集計行","",データ!O4)</f>
        <v>0</v>
      </c>
      <c r="Q7" s="48">
        <f>データ!P4</f>
        <v>0</v>
      </c>
      <c r="R7" s="39" t="str">
        <f>IF(OR($C7="総括",$C7="内訳書",$C7="内訳代価",$C7="明細書",$C7="明細代価",$C7="代価表",$C7="単価表"),データ!Q4,"")</f>
        <v/>
      </c>
      <c r="S7" s="11" t="str">
        <f t="shared" si="2"/>
        <v/>
      </c>
      <c r="T7" s="46" t="e">
        <f t="shared" si="3"/>
        <v>#DIV/0!</v>
      </c>
      <c r="U7" s="40" t="str">
        <f>IF(データ!R4="","",データ!R4)</f>
        <v/>
      </c>
      <c r="V7" s="41" t="str">
        <f>IF(データ!S4="","",データ!S4)</f>
        <v/>
      </c>
      <c r="W7" s="42">
        <f>データ!T4</f>
        <v>0</v>
      </c>
      <c r="X7" s="48">
        <f>IF($C7="集計行","",データ!U4)</f>
        <v>0</v>
      </c>
      <c r="Y7" s="48">
        <f>データ!V4</f>
        <v>0</v>
      </c>
      <c r="Z7" s="39" t="str">
        <f>IF(OR($C7="総括",$C7="内訳書",$C7="内訳代価",$C7="明細書",$C7="明細代価",$C7="代価表",$C7="単価表"),データ!W4,"")</f>
        <v/>
      </c>
      <c r="AA7" s="11" t="str">
        <f t="shared" si="4"/>
        <v/>
      </c>
      <c r="AB7" s="46" t="e">
        <f t="shared" si="5"/>
        <v>#DIV/0!</v>
      </c>
      <c r="AC7" s="40" t="str">
        <f>IF(データ!X4="","",データ!X4)</f>
        <v/>
      </c>
      <c r="AD7" s="41" t="str">
        <f>IF(データ!Y4="","",データ!Y4)</f>
        <v/>
      </c>
      <c r="AE7" s="47" t="str">
        <f>TRIM(データ!B4)</f>
        <v>s20718015</v>
      </c>
      <c r="AF7" s="43" t="str">
        <f>TRIM(データ!Z4)</f>
        <v>1270×0.8</v>
      </c>
    </row>
    <row r="8" spans="1:32" x14ac:dyDescent="0.15">
      <c r="A8" s="47">
        <f>データ!A5</f>
        <v>2</v>
      </c>
      <c r="B8" s="47" t="str">
        <f>TRIM(データ!C5)</f>
        <v/>
      </c>
      <c r="C8" s="47" t="str">
        <f>TRIM(データ!D5)</f>
        <v>材料費</v>
      </c>
      <c r="D8" s="36" t="str">
        <f>REPT("｜",$A8)&amp;TRIM(データ!E5)</f>
        <v>｜｜山砂</v>
      </c>
      <c r="E8" s="37" t="str">
        <f>TRIM(データ!F5)</f>
        <v/>
      </c>
      <c r="F8" s="38" t="str">
        <f>TRIM(データ!G5)</f>
        <v>ｔ</v>
      </c>
      <c r="G8" s="50">
        <f>データ!H5</f>
        <v>1</v>
      </c>
      <c r="H8" s="48">
        <f>データ!I5</f>
        <v>5000</v>
      </c>
      <c r="I8" s="48">
        <f>データ!J5</f>
        <v>5000</v>
      </c>
      <c r="J8" s="39" t="str">
        <f>IF(OR($C8="総括",$C8="内訳書",$C8="内訳代価",$C8="明細書",$C8="明細代価",$C8="代価表",$C8="単価表"),データ!K5,"")</f>
        <v/>
      </c>
      <c r="K8" s="11" t="str">
        <f t="shared" si="0"/>
        <v/>
      </c>
      <c r="L8" s="46">
        <f t="shared" si="1"/>
        <v>3.2679738562091501E-4</v>
      </c>
      <c r="M8" s="40" t="str">
        <f>IF(データ!L5="","",データ!L5)</f>
        <v/>
      </c>
      <c r="N8" s="41" t="str">
        <f>IF(データ!M5="","",データ!M5)</f>
        <v/>
      </c>
      <c r="O8" s="42">
        <f>データ!N5</f>
        <v>0</v>
      </c>
      <c r="P8" s="48">
        <f>IF($C8="集計行","",データ!O5)</f>
        <v>0</v>
      </c>
      <c r="Q8" s="48">
        <f>データ!P5</f>
        <v>0</v>
      </c>
      <c r="R8" s="39" t="str">
        <f>IF(OR($C8="総括",$C8="内訳書",$C8="内訳代価",$C8="明細書",$C8="明細代価",$C8="代価表",$C8="単価表"),データ!Q5,"")</f>
        <v/>
      </c>
      <c r="S8" s="11" t="str">
        <f t="shared" si="2"/>
        <v/>
      </c>
      <c r="T8" s="46" t="e">
        <f t="shared" si="3"/>
        <v>#DIV/0!</v>
      </c>
      <c r="U8" s="40" t="str">
        <f>IF(データ!R5="","",データ!R5)</f>
        <v/>
      </c>
      <c r="V8" s="41" t="str">
        <f>IF(データ!S5="","",データ!S5)</f>
        <v/>
      </c>
      <c r="W8" s="42">
        <f>データ!T5</f>
        <v>0</v>
      </c>
      <c r="X8" s="48">
        <f>IF($C8="集計行","",データ!U5)</f>
        <v>0</v>
      </c>
      <c r="Y8" s="48">
        <f>データ!V5</f>
        <v>0</v>
      </c>
      <c r="Z8" s="39" t="str">
        <f>IF(OR($C8="総括",$C8="内訳書",$C8="内訳代価",$C8="明細書",$C8="明細代価",$C8="代価表",$C8="単価表"),データ!W5,"")</f>
        <v/>
      </c>
      <c r="AA8" s="11" t="str">
        <f t="shared" si="4"/>
        <v/>
      </c>
      <c r="AB8" s="46" t="e">
        <f t="shared" si="5"/>
        <v>#DIV/0!</v>
      </c>
      <c r="AC8" s="40" t="str">
        <f>IF(データ!X5="","",データ!X5)</f>
        <v/>
      </c>
      <c r="AD8" s="41" t="str">
        <f>IF(データ!Y5="","",データ!Y5)</f>
        <v/>
      </c>
      <c r="AE8" s="47" t="str">
        <f>TRIM(データ!B5)</f>
        <v>s20718042</v>
      </c>
      <c r="AF8" s="43" t="str">
        <f>TRIM(データ!Z5)</f>
        <v/>
      </c>
    </row>
    <row r="9" spans="1:32" x14ac:dyDescent="0.15">
      <c r="A9" s="47">
        <f>データ!A6</f>
        <v>2</v>
      </c>
      <c r="B9" s="47" t="str">
        <f>TRIM(データ!C6)</f>
        <v/>
      </c>
      <c r="C9" s="47" t="str">
        <f>TRIM(データ!D6)</f>
        <v>材料費</v>
      </c>
      <c r="D9" s="36" t="str">
        <f>REPT("｜",$A9)&amp;TRIM(データ!E6)</f>
        <v>｜｜軽油</v>
      </c>
      <c r="E9" s="37" t="str">
        <f>TRIM(データ!F6)</f>
        <v/>
      </c>
      <c r="F9" s="38" t="str">
        <f>TRIM(データ!G6)</f>
        <v>L</v>
      </c>
      <c r="G9" s="50">
        <f>データ!H6</f>
        <v>150</v>
      </c>
      <c r="H9" s="48">
        <f>データ!I6</f>
        <v>160</v>
      </c>
      <c r="I9" s="48">
        <f>データ!J6</f>
        <v>24000</v>
      </c>
      <c r="J9" s="39" t="str">
        <f>IF(OR($C9="総括",$C9="内訳書",$C9="内訳代価",$C9="明細書",$C9="明細代価",$C9="代価表",$C9="単価表"),データ!K6,"")</f>
        <v/>
      </c>
      <c r="K9" s="11" t="str">
        <f t="shared" si="0"/>
        <v/>
      </c>
      <c r="L9" s="46">
        <f t="shared" si="1"/>
        <v>1.5686274509803921E-3</v>
      </c>
      <c r="M9" s="40" t="str">
        <f>IF(データ!L6="","",データ!L6)</f>
        <v/>
      </c>
      <c r="N9" s="41" t="str">
        <f>IF(データ!M6="","",データ!M6)</f>
        <v/>
      </c>
      <c r="O9" s="42">
        <f>データ!N6</f>
        <v>0</v>
      </c>
      <c r="P9" s="48">
        <f>IF($C9="集計行","",データ!O6)</f>
        <v>0</v>
      </c>
      <c r="Q9" s="48">
        <f>データ!P6</f>
        <v>0</v>
      </c>
      <c r="R9" s="39" t="str">
        <f>IF(OR($C9="総括",$C9="内訳書",$C9="内訳代価",$C9="明細書",$C9="明細代価",$C9="代価表",$C9="単価表"),データ!Q6,"")</f>
        <v/>
      </c>
      <c r="S9" s="11" t="str">
        <f t="shared" si="2"/>
        <v/>
      </c>
      <c r="T9" s="46" t="e">
        <f t="shared" si="3"/>
        <v>#DIV/0!</v>
      </c>
      <c r="U9" s="40" t="str">
        <f>IF(データ!R6="","",データ!R6)</f>
        <v/>
      </c>
      <c r="V9" s="41" t="str">
        <f>IF(データ!S6="","",データ!S6)</f>
        <v/>
      </c>
      <c r="W9" s="42">
        <f>データ!T6</f>
        <v>0</v>
      </c>
      <c r="X9" s="48">
        <f>IF($C9="集計行","",データ!U6)</f>
        <v>0</v>
      </c>
      <c r="Y9" s="48">
        <f>データ!V6</f>
        <v>0</v>
      </c>
      <c r="Z9" s="39" t="str">
        <f>IF(OR($C9="総括",$C9="内訳書",$C9="内訳代価",$C9="明細書",$C9="明細代価",$C9="代価表",$C9="単価表"),データ!W6,"")</f>
        <v/>
      </c>
      <c r="AA9" s="11" t="str">
        <f t="shared" si="4"/>
        <v/>
      </c>
      <c r="AB9" s="46" t="e">
        <f t="shared" si="5"/>
        <v>#DIV/0!</v>
      </c>
      <c r="AC9" s="40" t="str">
        <f>IF(データ!X6="","",データ!X6)</f>
        <v/>
      </c>
      <c r="AD9" s="41" t="str">
        <f>IF(データ!Y6="","",データ!Y6)</f>
        <v/>
      </c>
      <c r="AE9" s="47" t="str">
        <f>TRIM(データ!B6)</f>
        <v>s20718549</v>
      </c>
      <c r="AF9" s="43" t="str">
        <f>TRIM(データ!Z6)</f>
        <v/>
      </c>
    </row>
    <row r="10" spans="1:32" x14ac:dyDescent="0.15">
      <c r="A10" s="47">
        <f>データ!A7</f>
        <v>2</v>
      </c>
      <c r="B10" s="47" t="str">
        <f>TRIM(データ!C7)</f>
        <v/>
      </c>
      <c r="C10" s="47" t="str">
        <f>TRIM(データ!D7)</f>
        <v>労務費</v>
      </c>
      <c r="D10" s="36" t="str">
        <f>REPT("｜",$A10)&amp;TRIM(データ!E7)</f>
        <v>｜｜運転工</v>
      </c>
      <c r="E10" s="37" t="str">
        <f>TRIM(データ!F7)</f>
        <v>8H</v>
      </c>
      <c r="F10" s="38" t="str">
        <f>TRIM(データ!G7)</f>
        <v>人</v>
      </c>
      <c r="G10" s="50">
        <f>データ!H7</f>
        <v>10</v>
      </c>
      <c r="H10" s="48">
        <f>データ!I7</f>
        <v>23000</v>
      </c>
      <c r="I10" s="48">
        <f>データ!J7</f>
        <v>230000</v>
      </c>
      <c r="J10" s="39" t="str">
        <f>IF(OR($C10="総括",$C10="内訳書",$C10="内訳代価",$C10="明細書",$C10="明細代価",$C10="代価表",$C10="単価表"),データ!K7,"")</f>
        <v/>
      </c>
      <c r="K10" s="11" t="str">
        <f t="shared" si="0"/>
        <v/>
      </c>
      <c r="L10" s="46">
        <f t="shared" si="1"/>
        <v>1.5032679738562092E-2</v>
      </c>
      <c r="M10" s="40" t="str">
        <f>IF(データ!L7="","",データ!L7)</f>
        <v/>
      </c>
      <c r="N10" s="41" t="str">
        <f>IF(データ!M7="","",データ!M7)</f>
        <v/>
      </c>
      <c r="O10" s="42">
        <f>データ!N7</f>
        <v>0</v>
      </c>
      <c r="P10" s="48">
        <f>IF($C10="集計行","",データ!O7)</f>
        <v>0</v>
      </c>
      <c r="Q10" s="48">
        <f>データ!P7</f>
        <v>0</v>
      </c>
      <c r="R10" s="39" t="str">
        <f>IF(OR($C10="総括",$C10="内訳書",$C10="内訳代価",$C10="明細書",$C10="明細代価",$C10="代価表",$C10="単価表"),データ!Q7,"")</f>
        <v/>
      </c>
      <c r="S10" s="11" t="str">
        <f t="shared" si="2"/>
        <v/>
      </c>
      <c r="T10" s="46" t="e">
        <f t="shared" si="3"/>
        <v>#DIV/0!</v>
      </c>
      <c r="U10" s="40" t="str">
        <f>IF(データ!R7="","",データ!R7)</f>
        <v/>
      </c>
      <c r="V10" s="41" t="str">
        <f>IF(データ!S7="","",データ!S7)</f>
        <v/>
      </c>
      <c r="W10" s="42">
        <f>データ!T7</f>
        <v>0</v>
      </c>
      <c r="X10" s="48">
        <f>IF($C10="集計行","",データ!U7)</f>
        <v>0</v>
      </c>
      <c r="Y10" s="48">
        <f>データ!V7</f>
        <v>0</v>
      </c>
      <c r="Z10" s="39" t="str">
        <f>IF(OR($C10="総括",$C10="内訳書",$C10="内訳代価",$C10="明細書",$C10="明細代価",$C10="代価表",$C10="単価表"),データ!W7,"")</f>
        <v/>
      </c>
      <c r="AA10" s="11" t="str">
        <f t="shared" si="4"/>
        <v/>
      </c>
      <c r="AB10" s="46" t="e">
        <f t="shared" si="5"/>
        <v>#DIV/0!</v>
      </c>
      <c r="AC10" s="40" t="str">
        <f>IF(データ!X7="","",データ!X7)</f>
        <v/>
      </c>
      <c r="AD10" s="41" t="str">
        <f>IF(データ!Y7="","",データ!Y7)</f>
        <v/>
      </c>
      <c r="AE10" s="47" t="str">
        <f>TRIM(データ!B7)</f>
        <v>r20718007</v>
      </c>
      <c r="AF10" s="43" t="str">
        <f>TRIM(データ!Z7)</f>
        <v>2日×5人</v>
      </c>
    </row>
    <row r="11" spans="1:32" x14ac:dyDescent="0.15">
      <c r="A11" s="47">
        <f>データ!A8</f>
        <v>2</v>
      </c>
      <c r="B11" s="47" t="str">
        <f>TRIM(データ!C8)</f>
        <v/>
      </c>
      <c r="C11" s="47" t="str">
        <f>TRIM(データ!D8)</f>
        <v>機械費</v>
      </c>
      <c r="D11" s="36" t="str">
        <f>REPT("｜",$A11)&amp;TRIM(データ!E8)</f>
        <v>｜｜タイヤR　8t</v>
      </c>
      <c r="E11" s="37" t="str">
        <f>TRIM(データ!F8)</f>
        <v>8t　低騒音</v>
      </c>
      <c r="F11" s="38" t="str">
        <f>TRIM(データ!G8)</f>
        <v>日台</v>
      </c>
      <c r="G11" s="50">
        <f>データ!H8</f>
        <v>4</v>
      </c>
      <c r="H11" s="48">
        <f>データ!I8</f>
        <v>7000</v>
      </c>
      <c r="I11" s="48">
        <f>データ!J8</f>
        <v>28000</v>
      </c>
      <c r="J11" s="39" t="str">
        <f>IF(OR($C11="総括",$C11="内訳書",$C11="内訳代価",$C11="明細書",$C11="明細代価",$C11="代価表",$C11="単価表"),データ!K8,"")</f>
        <v/>
      </c>
      <c r="K11" s="11" t="str">
        <f t="shared" si="0"/>
        <v/>
      </c>
      <c r="L11" s="46">
        <f t="shared" si="1"/>
        <v>1.8300653594771241E-3</v>
      </c>
      <c r="M11" s="40" t="str">
        <f>IF(データ!L8="","",データ!L8)</f>
        <v/>
      </c>
      <c r="N11" s="41" t="str">
        <f>IF(データ!M8="","",データ!M8)</f>
        <v/>
      </c>
      <c r="O11" s="42">
        <f>データ!N8</f>
        <v>0</v>
      </c>
      <c r="P11" s="48">
        <f>IF($C11="集計行","",データ!O8)</f>
        <v>0</v>
      </c>
      <c r="Q11" s="48">
        <f>データ!P8</f>
        <v>0</v>
      </c>
      <c r="R11" s="39" t="str">
        <f>IF(OR($C11="総括",$C11="内訳書",$C11="内訳代価",$C11="明細書",$C11="明細代価",$C11="代価表",$C11="単価表"),データ!Q8,"")</f>
        <v/>
      </c>
      <c r="S11" s="11" t="str">
        <f t="shared" si="2"/>
        <v/>
      </c>
      <c r="T11" s="46" t="e">
        <f t="shared" si="3"/>
        <v>#DIV/0!</v>
      </c>
      <c r="U11" s="40" t="str">
        <f>IF(データ!R8="","",データ!R8)</f>
        <v/>
      </c>
      <c r="V11" s="41" t="str">
        <f>IF(データ!S8="","",データ!S8)</f>
        <v/>
      </c>
      <c r="W11" s="42">
        <f>データ!T8</f>
        <v>0</v>
      </c>
      <c r="X11" s="48">
        <f>IF($C11="集計行","",データ!U8)</f>
        <v>0</v>
      </c>
      <c r="Y11" s="48">
        <f>データ!V8</f>
        <v>0</v>
      </c>
      <c r="Z11" s="39" t="str">
        <f>IF(OR($C11="総括",$C11="内訳書",$C11="内訳代価",$C11="明細書",$C11="明細代価",$C11="代価表",$C11="単価表"),データ!W8,"")</f>
        <v/>
      </c>
      <c r="AA11" s="11" t="str">
        <f t="shared" si="4"/>
        <v/>
      </c>
      <c r="AB11" s="46" t="e">
        <f t="shared" si="5"/>
        <v>#DIV/0!</v>
      </c>
      <c r="AC11" s="40" t="str">
        <f>IF(データ!X8="","",データ!X8)</f>
        <v/>
      </c>
      <c r="AD11" s="41" t="str">
        <f>IF(データ!Y8="","",データ!Y8)</f>
        <v/>
      </c>
      <c r="AE11" s="47" t="str">
        <f>TRIM(データ!B8)</f>
        <v>k20718043</v>
      </c>
      <c r="AF11" s="43" t="str">
        <f>TRIM(データ!Z8)</f>
        <v>2日×1台</v>
      </c>
    </row>
    <row r="12" spans="1:32" x14ac:dyDescent="0.15">
      <c r="A12" s="47">
        <f>データ!A9</f>
        <v>2</v>
      </c>
      <c r="B12" s="47" t="str">
        <f>TRIM(データ!C9)</f>
        <v/>
      </c>
      <c r="C12" s="47" t="str">
        <f>TRIM(データ!D9)</f>
        <v>機械費</v>
      </c>
      <c r="D12" s="36" t="str">
        <f>REPT("｜",$A12)&amp;TRIM(データ!E9)</f>
        <v>｜｜モーターグレーダー</v>
      </c>
      <c r="E12" s="37" t="str">
        <f>TRIM(データ!F9)</f>
        <v>3.1m　低騒音</v>
      </c>
      <c r="F12" s="38" t="str">
        <f>TRIM(データ!G9)</f>
        <v>日台</v>
      </c>
      <c r="G12" s="50">
        <f>データ!H9</f>
        <v>2</v>
      </c>
      <c r="H12" s="48">
        <f>データ!I9</f>
        <v>14000</v>
      </c>
      <c r="I12" s="48">
        <f>データ!J9</f>
        <v>28000</v>
      </c>
      <c r="J12" s="39" t="str">
        <f>IF(OR($C12="総括",$C12="内訳書",$C12="内訳代価",$C12="明細書",$C12="明細代価",$C12="代価表",$C12="単価表"),データ!K9,"")</f>
        <v/>
      </c>
      <c r="K12" s="11" t="str">
        <f t="shared" si="0"/>
        <v/>
      </c>
      <c r="L12" s="46">
        <f t="shared" si="1"/>
        <v>1.8300653594771241E-3</v>
      </c>
      <c r="M12" s="40" t="str">
        <f>IF(データ!L9="","",データ!L9)</f>
        <v/>
      </c>
      <c r="N12" s="41" t="str">
        <f>IF(データ!M9="","",データ!M9)</f>
        <v/>
      </c>
      <c r="O12" s="42">
        <f>データ!N9</f>
        <v>0</v>
      </c>
      <c r="P12" s="48">
        <f>IF($C12="集計行","",データ!O9)</f>
        <v>0</v>
      </c>
      <c r="Q12" s="48">
        <f>データ!P9</f>
        <v>0</v>
      </c>
      <c r="R12" s="39" t="str">
        <f>IF(OR($C12="総括",$C12="内訳書",$C12="内訳代価",$C12="明細書",$C12="明細代価",$C12="代価表",$C12="単価表"),データ!Q9,"")</f>
        <v/>
      </c>
      <c r="S12" s="11" t="str">
        <f t="shared" si="2"/>
        <v/>
      </c>
      <c r="T12" s="46" t="e">
        <f t="shared" si="3"/>
        <v>#DIV/0!</v>
      </c>
      <c r="U12" s="40" t="str">
        <f>IF(データ!R9="","",データ!R9)</f>
        <v/>
      </c>
      <c r="V12" s="41" t="str">
        <f>IF(データ!S9="","",データ!S9)</f>
        <v/>
      </c>
      <c r="W12" s="42">
        <f>データ!T9</f>
        <v>0</v>
      </c>
      <c r="X12" s="48">
        <f>IF($C12="集計行","",データ!U9)</f>
        <v>0</v>
      </c>
      <c r="Y12" s="48">
        <f>データ!V9</f>
        <v>0</v>
      </c>
      <c r="Z12" s="39" t="str">
        <f>IF(OR($C12="総括",$C12="内訳書",$C12="内訳代価",$C12="明細書",$C12="明細代価",$C12="代価表",$C12="単価表"),データ!W9,"")</f>
        <v/>
      </c>
      <c r="AA12" s="11" t="str">
        <f t="shared" si="4"/>
        <v/>
      </c>
      <c r="AB12" s="46" t="e">
        <f t="shared" si="5"/>
        <v>#DIV/0!</v>
      </c>
      <c r="AC12" s="40" t="str">
        <f>IF(データ!X9="","",データ!X9)</f>
        <v/>
      </c>
      <c r="AD12" s="41" t="str">
        <f>IF(データ!Y9="","",データ!Y9)</f>
        <v/>
      </c>
      <c r="AE12" s="47" t="str">
        <f>TRIM(データ!B9)</f>
        <v>k20718030</v>
      </c>
      <c r="AF12" s="43" t="str">
        <f>TRIM(データ!Z9)</f>
        <v>2日×1台</v>
      </c>
    </row>
    <row r="13" spans="1:32" x14ac:dyDescent="0.15">
      <c r="A13" s="47">
        <f>データ!A10</f>
        <v>2</v>
      </c>
      <c r="B13" s="47" t="str">
        <f>TRIM(データ!C10)</f>
        <v/>
      </c>
      <c r="C13" s="47" t="str">
        <f>TRIM(データ!D10)</f>
        <v>機械費</v>
      </c>
      <c r="D13" s="36" t="str">
        <f>REPT("｜",$A13)&amp;TRIM(データ!E10)</f>
        <v>｜｜マカダムR</v>
      </c>
      <c r="E13" s="37" t="str">
        <f>TRIM(データ!F10)</f>
        <v>R2　低騒音</v>
      </c>
      <c r="F13" s="38" t="str">
        <f>TRIM(データ!G10)</f>
        <v>日台</v>
      </c>
      <c r="G13" s="50">
        <f>データ!H10</f>
        <v>2</v>
      </c>
      <c r="H13" s="48">
        <f>データ!I10</f>
        <v>8000</v>
      </c>
      <c r="I13" s="48">
        <f>データ!J10</f>
        <v>16000</v>
      </c>
      <c r="J13" s="39" t="str">
        <f>IF(OR($C13="総括",$C13="内訳書",$C13="内訳代価",$C13="明細書",$C13="明細代価",$C13="代価表",$C13="単価表"),データ!K10,"")</f>
        <v/>
      </c>
      <c r="K13" s="11" t="str">
        <f t="shared" si="0"/>
        <v/>
      </c>
      <c r="L13" s="46">
        <f t="shared" si="1"/>
        <v>1.0457516339869282E-3</v>
      </c>
      <c r="M13" s="40" t="str">
        <f>IF(データ!L10="","",データ!L10)</f>
        <v/>
      </c>
      <c r="N13" s="41" t="str">
        <f>IF(データ!M10="","",データ!M10)</f>
        <v/>
      </c>
      <c r="O13" s="42">
        <f>データ!N10</f>
        <v>0</v>
      </c>
      <c r="P13" s="48">
        <f>IF($C13="集計行","",データ!O10)</f>
        <v>0</v>
      </c>
      <c r="Q13" s="48">
        <f>データ!P10</f>
        <v>0</v>
      </c>
      <c r="R13" s="39" t="str">
        <f>IF(OR($C13="総括",$C13="内訳書",$C13="内訳代価",$C13="明細書",$C13="明細代価",$C13="代価表",$C13="単価表"),データ!Q10,"")</f>
        <v/>
      </c>
      <c r="S13" s="11" t="str">
        <f t="shared" si="2"/>
        <v/>
      </c>
      <c r="T13" s="46" t="e">
        <f t="shared" si="3"/>
        <v>#DIV/0!</v>
      </c>
      <c r="U13" s="40" t="str">
        <f>IF(データ!R10="","",データ!R10)</f>
        <v/>
      </c>
      <c r="V13" s="41" t="str">
        <f>IF(データ!S10="","",データ!S10)</f>
        <v/>
      </c>
      <c r="W13" s="42">
        <f>データ!T10</f>
        <v>0</v>
      </c>
      <c r="X13" s="48">
        <f>IF($C13="集計行","",データ!U10)</f>
        <v>0</v>
      </c>
      <c r="Y13" s="48">
        <f>データ!V10</f>
        <v>0</v>
      </c>
      <c r="Z13" s="39" t="str">
        <f>IF(OR($C13="総括",$C13="内訳書",$C13="内訳代価",$C13="明細書",$C13="明細代価",$C13="代価表",$C13="単価表"),データ!W10,"")</f>
        <v/>
      </c>
      <c r="AA13" s="11" t="str">
        <f t="shared" si="4"/>
        <v/>
      </c>
      <c r="AB13" s="46" t="e">
        <f t="shared" si="5"/>
        <v>#DIV/0!</v>
      </c>
      <c r="AC13" s="40" t="str">
        <f>IF(データ!X10="","",データ!X10)</f>
        <v/>
      </c>
      <c r="AD13" s="41" t="str">
        <f>IF(データ!Y10="","",データ!Y10)</f>
        <v/>
      </c>
      <c r="AE13" s="47" t="str">
        <f>TRIM(データ!B10)</f>
        <v>k20718039</v>
      </c>
      <c r="AF13" s="43" t="str">
        <f>TRIM(データ!Z10)</f>
        <v>2日×1台</v>
      </c>
    </row>
    <row r="14" spans="1:32" x14ac:dyDescent="0.15">
      <c r="A14" s="47">
        <f>データ!A11</f>
        <v>2</v>
      </c>
      <c r="B14" s="47" t="str">
        <f>TRIM(データ!C11)</f>
        <v/>
      </c>
      <c r="C14" s="47" t="str">
        <f>TRIM(データ!D11)</f>
        <v>機械費</v>
      </c>
      <c r="D14" s="36" t="str">
        <f>REPT("｜",$A14)&amp;TRIM(データ!E11)</f>
        <v>｜｜コンバインドR</v>
      </c>
      <c r="E14" s="37" t="str">
        <f>TRIM(データ!F11)</f>
        <v>3t　4ｔ　低騒音</v>
      </c>
      <c r="F14" s="38" t="str">
        <f>TRIM(データ!G11)</f>
        <v>日台</v>
      </c>
      <c r="G14" s="50">
        <f>データ!H11</f>
        <v>2</v>
      </c>
      <c r="H14" s="48">
        <f>データ!I11</f>
        <v>5000</v>
      </c>
      <c r="I14" s="48">
        <f>データ!J11</f>
        <v>10000</v>
      </c>
      <c r="J14" s="39" t="str">
        <f>IF(OR($C14="総括",$C14="内訳書",$C14="内訳代価",$C14="明細書",$C14="明細代価",$C14="代価表",$C14="単価表"),データ!K11,"")</f>
        <v/>
      </c>
      <c r="K14" s="11" t="str">
        <f t="shared" si="0"/>
        <v/>
      </c>
      <c r="L14" s="46">
        <f t="shared" si="1"/>
        <v>6.5359477124183002E-4</v>
      </c>
      <c r="M14" s="40" t="str">
        <f>IF(データ!L11="","",データ!L11)</f>
        <v/>
      </c>
      <c r="N14" s="41" t="str">
        <f>IF(データ!M11="","",データ!M11)</f>
        <v/>
      </c>
      <c r="O14" s="42">
        <f>データ!N11</f>
        <v>0</v>
      </c>
      <c r="P14" s="48">
        <f>IF($C14="集計行","",データ!O11)</f>
        <v>0</v>
      </c>
      <c r="Q14" s="48">
        <f>データ!P11</f>
        <v>0</v>
      </c>
      <c r="R14" s="39" t="str">
        <f>IF(OR($C14="総括",$C14="内訳書",$C14="内訳代価",$C14="明細書",$C14="明細代価",$C14="代価表",$C14="単価表"),データ!Q11,"")</f>
        <v/>
      </c>
      <c r="S14" s="11" t="str">
        <f t="shared" si="2"/>
        <v/>
      </c>
      <c r="T14" s="46" t="e">
        <f t="shared" si="3"/>
        <v>#DIV/0!</v>
      </c>
      <c r="U14" s="40" t="str">
        <f>IF(データ!R11="","",データ!R11)</f>
        <v/>
      </c>
      <c r="V14" s="41" t="str">
        <f>IF(データ!S11="","",データ!S11)</f>
        <v/>
      </c>
      <c r="W14" s="42">
        <f>データ!T11</f>
        <v>0</v>
      </c>
      <c r="X14" s="48">
        <f>IF($C14="集計行","",データ!U11)</f>
        <v>0</v>
      </c>
      <c r="Y14" s="48">
        <f>データ!V11</f>
        <v>0</v>
      </c>
      <c r="Z14" s="39" t="str">
        <f>IF(OR($C14="総括",$C14="内訳書",$C14="内訳代価",$C14="明細書",$C14="明細代価",$C14="代価表",$C14="単価表"),データ!W11,"")</f>
        <v/>
      </c>
      <c r="AA14" s="11" t="str">
        <f t="shared" si="4"/>
        <v/>
      </c>
      <c r="AB14" s="46" t="e">
        <f t="shared" si="5"/>
        <v>#DIV/0!</v>
      </c>
      <c r="AC14" s="40" t="str">
        <f>IF(データ!X11="","",データ!X11)</f>
        <v/>
      </c>
      <c r="AD14" s="41" t="str">
        <f>IF(データ!Y11="","",データ!Y11)</f>
        <v/>
      </c>
      <c r="AE14" s="47" t="str">
        <f>TRIM(データ!B11)</f>
        <v>k20718031</v>
      </c>
      <c r="AF14" s="43" t="str">
        <f>TRIM(データ!Z11)</f>
        <v>2日×1台</v>
      </c>
    </row>
    <row r="15" spans="1:32" x14ac:dyDescent="0.15">
      <c r="A15" s="47">
        <f>データ!A12</f>
        <v>2</v>
      </c>
      <c r="B15" s="47" t="str">
        <f>TRIM(データ!C12)</f>
        <v/>
      </c>
      <c r="C15" s="47" t="str">
        <f>TRIM(データ!D12)</f>
        <v>機械費</v>
      </c>
      <c r="D15" s="36" t="str">
        <f>REPT("｜",$A15)&amp;TRIM(データ!E12)</f>
        <v>｜｜タイヤショベル0.5</v>
      </c>
      <c r="E15" s="37" t="str">
        <f>TRIM(データ!F12)</f>
        <v>低騒音</v>
      </c>
      <c r="F15" s="38" t="str">
        <f>TRIM(データ!G12)</f>
        <v>日台</v>
      </c>
      <c r="G15" s="50">
        <f>データ!H12</f>
        <v>2</v>
      </c>
      <c r="H15" s="48">
        <f>データ!I12</f>
        <v>6000</v>
      </c>
      <c r="I15" s="48">
        <f>データ!J12</f>
        <v>12000</v>
      </c>
      <c r="J15" s="39" t="str">
        <f>IF(OR($C15="総括",$C15="内訳書",$C15="内訳代価",$C15="明細書",$C15="明細代価",$C15="代価表",$C15="単価表"),データ!K12,"")</f>
        <v/>
      </c>
      <c r="K15" s="11" t="str">
        <f t="shared" si="0"/>
        <v/>
      </c>
      <c r="L15" s="46">
        <f t="shared" si="1"/>
        <v>7.8431372549019605E-4</v>
      </c>
      <c r="M15" s="40" t="str">
        <f>IF(データ!L12="","",データ!L12)</f>
        <v/>
      </c>
      <c r="N15" s="41" t="str">
        <f>IF(データ!M12="","",データ!M12)</f>
        <v/>
      </c>
      <c r="O15" s="42">
        <f>データ!N12</f>
        <v>0</v>
      </c>
      <c r="P15" s="48">
        <f>IF($C15="集計行","",データ!O12)</f>
        <v>0</v>
      </c>
      <c r="Q15" s="48">
        <f>データ!P12</f>
        <v>0</v>
      </c>
      <c r="R15" s="39" t="str">
        <f>IF(OR($C15="総括",$C15="内訳書",$C15="内訳代価",$C15="明細書",$C15="明細代価",$C15="代価表",$C15="単価表"),データ!Q12,"")</f>
        <v/>
      </c>
      <c r="S15" s="11" t="str">
        <f t="shared" si="2"/>
        <v/>
      </c>
      <c r="T15" s="46" t="e">
        <f t="shared" si="3"/>
        <v>#DIV/0!</v>
      </c>
      <c r="U15" s="40" t="str">
        <f>IF(データ!R12="","",データ!R12)</f>
        <v/>
      </c>
      <c r="V15" s="41" t="str">
        <f>IF(データ!S12="","",データ!S12)</f>
        <v/>
      </c>
      <c r="W15" s="42">
        <f>データ!T12</f>
        <v>0</v>
      </c>
      <c r="X15" s="48">
        <f>IF($C15="集計行","",データ!U12)</f>
        <v>0</v>
      </c>
      <c r="Y15" s="48">
        <f>データ!V12</f>
        <v>0</v>
      </c>
      <c r="Z15" s="39" t="str">
        <f>IF(OR($C15="総括",$C15="内訳書",$C15="内訳代価",$C15="明細書",$C15="明細代価",$C15="代価表",$C15="単価表"),データ!W12,"")</f>
        <v/>
      </c>
      <c r="AA15" s="11" t="str">
        <f t="shared" si="4"/>
        <v/>
      </c>
      <c r="AB15" s="46" t="e">
        <f t="shared" si="5"/>
        <v>#DIV/0!</v>
      </c>
      <c r="AC15" s="40" t="str">
        <f>IF(データ!X12="","",データ!X12)</f>
        <v/>
      </c>
      <c r="AD15" s="41" t="str">
        <f>IF(データ!Y12="","",データ!Y12)</f>
        <v/>
      </c>
      <c r="AE15" s="47" t="str">
        <f>TRIM(データ!B12)</f>
        <v>k20718024</v>
      </c>
      <c r="AF15" s="43" t="str">
        <f>TRIM(データ!Z12)</f>
        <v>2日×1台</v>
      </c>
    </row>
    <row r="16" spans="1:32" x14ac:dyDescent="0.15">
      <c r="A16" s="47">
        <f>データ!A13</f>
        <v>2</v>
      </c>
      <c r="B16" s="47" t="str">
        <f>TRIM(データ!C13)</f>
        <v/>
      </c>
      <c r="C16" s="47" t="str">
        <f>TRIM(データ!D13)</f>
        <v>機械費</v>
      </c>
      <c r="D16" s="36" t="str">
        <f>REPT("｜",$A16)&amp;TRIM(データ!E13)</f>
        <v>｜｜小物機械　ﾊﾟｰﾄﾅ・丸ﾉｺ</v>
      </c>
      <c r="E16" s="37" t="str">
        <f>TRIM(データ!F13)</f>
        <v>ｸﾞﾗｲﾝﾀﾞ-・ｺｱ抜きﾄﾞﾘﾙ・ﾌﾞﾛｱ　等</v>
      </c>
      <c r="F16" s="38" t="str">
        <f>TRIM(データ!G13)</f>
        <v>台</v>
      </c>
      <c r="G16" s="50">
        <f>データ!H13</f>
        <v>2</v>
      </c>
      <c r="H16" s="48">
        <f>データ!I13</f>
        <v>5000</v>
      </c>
      <c r="I16" s="48">
        <f>データ!J13</f>
        <v>10000</v>
      </c>
      <c r="J16" s="39" t="str">
        <f>IF(OR($C16="総括",$C16="内訳書",$C16="内訳代価",$C16="明細書",$C16="明細代価",$C16="代価表",$C16="単価表"),データ!K13,"")</f>
        <v/>
      </c>
      <c r="K16" s="11" t="str">
        <f t="shared" si="0"/>
        <v/>
      </c>
      <c r="L16" s="46">
        <f t="shared" si="1"/>
        <v>6.5359477124183002E-4</v>
      </c>
      <c r="M16" s="40" t="str">
        <f>IF(データ!L13="","",データ!L13)</f>
        <v/>
      </c>
      <c r="N16" s="41" t="str">
        <f>IF(データ!M13="","",データ!M13)</f>
        <v/>
      </c>
      <c r="O16" s="42">
        <f>データ!N13</f>
        <v>0</v>
      </c>
      <c r="P16" s="48">
        <f>IF($C16="集計行","",データ!O13)</f>
        <v>0</v>
      </c>
      <c r="Q16" s="48">
        <f>データ!P13</f>
        <v>0</v>
      </c>
      <c r="R16" s="39" t="str">
        <f>IF(OR($C16="総括",$C16="内訳書",$C16="内訳代価",$C16="明細書",$C16="明細代価",$C16="代価表",$C16="単価表"),データ!Q13,"")</f>
        <v/>
      </c>
      <c r="S16" s="11" t="str">
        <f t="shared" si="2"/>
        <v/>
      </c>
      <c r="T16" s="46" t="e">
        <f t="shared" si="3"/>
        <v>#DIV/0!</v>
      </c>
      <c r="U16" s="40" t="str">
        <f>IF(データ!R13="","",データ!R13)</f>
        <v/>
      </c>
      <c r="V16" s="41" t="str">
        <f>IF(データ!S13="","",データ!S13)</f>
        <v/>
      </c>
      <c r="W16" s="42">
        <f>データ!T13</f>
        <v>0</v>
      </c>
      <c r="X16" s="48">
        <f>IF($C16="集計行","",データ!U13)</f>
        <v>0</v>
      </c>
      <c r="Y16" s="48">
        <f>データ!V13</f>
        <v>0</v>
      </c>
      <c r="Z16" s="39" t="str">
        <f>IF(OR($C16="総括",$C16="内訳書",$C16="内訳代価",$C16="明細書",$C16="明細代価",$C16="代価表",$C16="単価表"),データ!W13,"")</f>
        <v/>
      </c>
      <c r="AA16" s="11" t="str">
        <f t="shared" si="4"/>
        <v/>
      </c>
      <c r="AB16" s="46" t="e">
        <f t="shared" si="5"/>
        <v>#DIV/0!</v>
      </c>
      <c r="AC16" s="40" t="str">
        <f>IF(データ!X13="","",データ!X13)</f>
        <v/>
      </c>
      <c r="AD16" s="41" t="str">
        <f>IF(データ!Y13="","",データ!Y13)</f>
        <v/>
      </c>
      <c r="AE16" s="47" t="str">
        <f>TRIM(データ!B13)</f>
        <v>k20718001</v>
      </c>
      <c r="AF16" s="43" t="str">
        <f>TRIM(データ!Z13)</f>
        <v/>
      </c>
    </row>
    <row r="17" spans="1:32" x14ac:dyDescent="0.15">
      <c r="A17" s="47">
        <f>データ!A14</f>
        <v>2</v>
      </c>
      <c r="B17" s="47" t="str">
        <f>TRIM(データ!C14)</f>
        <v/>
      </c>
      <c r="C17" s="47" t="str">
        <f>TRIM(データ!D14)</f>
        <v>機械費</v>
      </c>
      <c r="D17" s="36" t="str">
        <f>REPT("｜",$A17)&amp;TRIM(データ!E14)</f>
        <v>｜｜ディストリビューター(昼)</v>
      </c>
      <c r="E17" s="37" t="str">
        <f>TRIM(データ!F14)</f>
        <v/>
      </c>
      <c r="F17" s="38" t="str">
        <f>TRIM(データ!G14)</f>
        <v>日台</v>
      </c>
      <c r="G17" s="50">
        <f>データ!H14</f>
        <v>1</v>
      </c>
      <c r="H17" s="48">
        <f>データ!I14</f>
        <v>40000</v>
      </c>
      <c r="I17" s="48">
        <f>データ!J14</f>
        <v>40000</v>
      </c>
      <c r="J17" s="39" t="str">
        <f>IF(OR($C17="総括",$C17="内訳書",$C17="内訳代価",$C17="明細書",$C17="明細代価",$C17="代価表",$C17="単価表"),データ!K14,"")</f>
        <v/>
      </c>
      <c r="K17" s="11" t="str">
        <f t="shared" si="0"/>
        <v/>
      </c>
      <c r="L17" s="46">
        <f t="shared" si="1"/>
        <v>2.6143790849673201E-3</v>
      </c>
      <c r="M17" s="40" t="str">
        <f>IF(データ!L14="","",データ!L14)</f>
        <v/>
      </c>
      <c r="N17" s="41" t="str">
        <f>IF(データ!M14="","",データ!M14)</f>
        <v/>
      </c>
      <c r="O17" s="42">
        <f>データ!N14</f>
        <v>0</v>
      </c>
      <c r="P17" s="48">
        <f>IF($C17="集計行","",データ!O14)</f>
        <v>0</v>
      </c>
      <c r="Q17" s="48">
        <f>データ!P14</f>
        <v>0</v>
      </c>
      <c r="R17" s="39" t="str">
        <f>IF(OR($C17="総括",$C17="内訳書",$C17="内訳代価",$C17="明細書",$C17="明細代価",$C17="代価表",$C17="単価表"),データ!Q14,"")</f>
        <v/>
      </c>
      <c r="S17" s="11" t="str">
        <f t="shared" si="2"/>
        <v/>
      </c>
      <c r="T17" s="46" t="e">
        <f t="shared" si="3"/>
        <v>#DIV/0!</v>
      </c>
      <c r="U17" s="40" t="str">
        <f>IF(データ!R14="","",データ!R14)</f>
        <v/>
      </c>
      <c r="V17" s="41" t="str">
        <f>IF(データ!S14="","",データ!S14)</f>
        <v/>
      </c>
      <c r="W17" s="42">
        <f>データ!T14</f>
        <v>0</v>
      </c>
      <c r="X17" s="48">
        <f>IF($C17="集計行","",データ!U14)</f>
        <v>0</v>
      </c>
      <c r="Y17" s="48">
        <f>データ!V14</f>
        <v>0</v>
      </c>
      <c r="Z17" s="39" t="str">
        <f>IF(OR($C17="総括",$C17="内訳書",$C17="内訳代価",$C17="明細書",$C17="明細代価",$C17="代価表",$C17="単価表"),データ!W14,"")</f>
        <v/>
      </c>
      <c r="AA17" s="11" t="str">
        <f t="shared" si="4"/>
        <v/>
      </c>
      <c r="AB17" s="46" t="e">
        <f t="shared" si="5"/>
        <v>#DIV/0!</v>
      </c>
      <c r="AC17" s="40" t="str">
        <f>IF(データ!X14="","",データ!X14)</f>
        <v/>
      </c>
      <c r="AD17" s="41" t="str">
        <f>IF(データ!Y14="","",データ!Y14)</f>
        <v/>
      </c>
      <c r="AE17" s="47" t="str">
        <f>TRIM(データ!B14)</f>
        <v>k20718106</v>
      </c>
      <c r="AF17" s="43" t="str">
        <f>TRIM(データ!Z14)</f>
        <v/>
      </c>
    </row>
    <row r="18" spans="1:32" x14ac:dyDescent="0.15">
      <c r="A18" s="47">
        <f>データ!A15</f>
        <v>2</v>
      </c>
      <c r="B18" s="47" t="str">
        <f>TRIM(データ!C15)</f>
        <v/>
      </c>
      <c r="C18" s="47" t="str">
        <f>TRIM(データ!D15)</f>
        <v>運搬費</v>
      </c>
      <c r="D18" s="36" t="str">
        <f>REPT("｜",$A18)&amp;TRIM(データ!E15)</f>
        <v>｜｜2tダンプ</v>
      </c>
      <c r="E18" s="37" t="str">
        <f>TRIM(データ!F15)</f>
        <v/>
      </c>
      <c r="F18" s="38" t="str">
        <f>TRIM(データ!G15)</f>
        <v>台</v>
      </c>
      <c r="G18" s="50">
        <f>データ!H15</f>
        <v>4</v>
      </c>
      <c r="H18" s="48">
        <f>データ!I15</f>
        <v>6000</v>
      </c>
      <c r="I18" s="48">
        <f>データ!J15</f>
        <v>24000</v>
      </c>
      <c r="J18" s="39" t="str">
        <f>IF(OR($C18="総括",$C18="内訳書",$C18="内訳代価",$C18="明細書",$C18="明細代価",$C18="代価表",$C18="単価表"),データ!K15,"")</f>
        <v/>
      </c>
      <c r="K18" s="11" t="str">
        <f t="shared" si="0"/>
        <v/>
      </c>
      <c r="L18" s="46">
        <f t="shared" si="1"/>
        <v>1.5686274509803921E-3</v>
      </c>
      <c r="M18" s="40" t="str">
        <f>IF(データ!L15="","",データ!L15)</f>
        <v/>
      </c>
      <c r="N18" s="41" t="str">
        <f>IF(データ!M15="","",データ!M15)</f>
        <v/>
      </c>
      <c r="O18" s="42">
        <f>データ!N15</f>
        <v>0</v>
      </c>
      <c r="P18" s="48">
        <f>IF($C18="集計行","",データ!O15)</f>
        <v>0</v>
      </c>
      <c r="Q18" s="48">
        <f>データ!P15</f>
        <v>0</v>
      </c>
      <c r="R18" s="39" t="str">
        <f>IF(OR($C18="総括",$C18="内訳書",$C18="内訳代価",$C18="明細書",$C18="明細代価",$C18="代価表",$C18="単価表"),データ!Q15,"")</f>
        <v/>
      </c>
      <c r="S18" s="11" t="str">
        <f t="shared" si="2"/>
        <v/>
      </c>
      <c r="T18" s="46" t="e">
        <f t="shared" si="3"/>
        <v>#DIV/0!</v>
      </c>
      <c r="U18" s="40" t="str">
        <f>IF(データ!R15="","",データ!R15)</f>
        <v/>
      </c>
      <c r="V18" s="41" t="str">
        <f>IF(データ!S15="","",データ!S15)</f>
        <v/>
      </c>
      <c r="W18" s="42">
        <f>データ!T15</f>
        <v>0</v>
      </c>
      <c r="X18" s="48">
        <f>IF($C18="集計行","",データ!U15)</f>
        <v>0</v>
      </c>
      <c r="Y18" s="48">
        <f>データ!V15</f>
        <v>0</v>
      </c>
      <c r="Z18" s="39" t="str">
        <f>IF(OR($C18="総括",$C18="内訳書",$C18="内訳代価",$C18="明細書",$C18="明細代価",$C18="代価表",$C18="単価表"),データ!W15,"")</f>
        <v/>
      </c>
      <c r="AA18" s="11" t="str">
        <f t="shared" si="4"/>
        <v/>
      </c>
      <c r="AB18" s="46" t="e">
        <f t="shared" si="5"/>
        <v>#DIV/0!</v>
      </c>
      <c r="AC18" s="40" t="str">
        <f>IF(データ!X15="","",データ!X15)</f>
        <v/>
      </c>
      <c r="AD18" s="41" t="str">
        <f>IF(データ!Y15="","",データ!Y15)</f>
        <v/>
      </c>
      <c r="AE18" s="47" t="str">
        <f>TRIM(データ!B15)</f>
        <v>u20718025</v>
      </c>
      <c r="AF18" s="43" t="str">
        <f>TRIM(データ!Z15)</f>
        <v>2日×2台</v>
      </c>
    </row>
    <row r="19" spans="1:32" x14ac:dyDescent="0.15">
      <c r="A19" s="47">
        <f>データ!A16</f>
        <v>2</v>
      </c>
      <c r="B19" s="47" t="str">
        <f>TRIM(データ!C16)</f>
        <v/>
      </c>
      <c r="C19" s="47" t="str">
        <f>TRIM(データ!D16)</f>
        <v>運搬費</v>
      </c>
      <c r="D19" s="36" t="str">
        <f>REPT("｜",$A19)&amp;TRIM(データ!E16)</f>
        <v>｜｜WP</v>
      </c>
      <c r="E19" s="37" t="str">
        <f>TRIM(データ!F16)</f>
        <v/>
      </c>
      <c r="F19" s="38" t="str">
        <f>TRIM(データ!G16)</f>
        <v>台</v>
      </c>
      <c r="G19" s="50">
        <f>データ!H16</f>
        <v>2</v>
      </c>
      <c r="H19" s="48">
        <f>データ!I16</f>
        <v>5000</v>
      </c>
      <c r="I19" s="48">
        <f>データ!J16</f>
        <v>10000</v>
      </c>
      <c r="J19" s="39" t="str">
        <f>IF(OR($C19="総括",$C19="内訳書",$C19="内訳代価",$C19="明細書",$C19="明細代価",$C19="代価表",$C19="単価表"),データ!K16,"")</f>
        <v/>
      </c>
      <c r="K19" s="11" t="str">
        <f t="shared" si="0"/>
        <v/>
      </c>
      <c r="L19" s="46">
        <f t="shared" si="1"/>
        <v>6.5359477124183002E-4</v>
      </c>
      <c r="M19" s="40" t="str">
        <f>IF(データ!L16="","",データ!L16)</f>
        <v/>
      </c>
      <c r="N19" s="41" t="str">
        <f>IF(データ!M16="","",データ!M16)</f>
        <v/>
      </c>
      <c r="O19" s="42">
        <f>データ!N16</f>
        <v>0</v>
      </c>
      <c r="P19" s="48">
        <f>IF($C19="集計行","",データ!O16)</f>
        <v>0</v>
      </c>
      <c r="Q19" s="48">
        <f>データ!P16</f>
        <v>0</v>
      </c>
      <c r="R19" s="39" t="str">
        <f>IF(OR($C19="総括",$C19="内訳書",$C19="内訳代価",$C19="明細書",$C19="明細代価",$C19="代価表",$C19="単価表"),データ!Q16,"")</f>
        <v/>
      </c>
      <c r="S19" s="11" t="str">
        <f t="shared" si="2"/>
        <v/>
      </c>
      <c r="T19" s="46" t="e">
        <f t="shared" si="3"/>
        <v>#DIV/0!</v>
      </c>
      <c r="U19" s="40" t="str">
        <f>IF(データ!R16="","",データ!R16)</f>
        <v/>
      </c>
      <c r="V19" s="41" t="str">
        <f>IF(データ!S16="","",データ!S16)</f>
        <v/>
      </c>
      <c r="W19" s="42">
        <f>データ!T16</f>
        <v>0</v>
      </c>
      <c r="X19" s="48">
        <f>IF($C19="集計行","",データ!U16)</f>
        <v>0</v>
      </c>
      <c r="Y19" s="48">
        <f>データ!V16</f>
        <v>0</v>
      </c>
      <c r="Z19" s="39" t="str">
        <f>IF(OR($C19="総括",$C19="内訳書",$C19="内訳代価",$C19="明細書",$C19="明細代価",$C19="代価表",$C19="単価表"),データ!W16,"")</f>
        <v/>
      </c>
      <c r="AA19" s="11" t="str">
        <f t="shared" si="4"/>
        <v/>
      </c>
      <c r="AB19" s="46" t="e">
        <f t="shared" si="5"/>
        <v>#DIV/0!</v>
      </c>
      <c r="AC19" s="40" t="str">
        <f>IF(データ!X16="","",データ!X16)</f>
        <v/>
      </c>
      <c r="AD19" s="41" t="str">
        <f>IF(データ!Y16="","",データ!Y16)</f>
        <v/>
      </c>
      <c r="AE19" s="47" t="str">
        <f>TRIM(データ!B16)</f>
        <v>u20718008</v>
      </c>
      <c r="AF19" s="43" t="str">
        <f>TRIM(データ!Z16)</f>
        <v>2日×1台</v>
      </c>
    </row>
    <row r="20" spans="1:32" x14ac:dyDescent="0.15">
      <c r="A20" s="47">
        <f>データ!A17</f>
        <v>1</v>
      </c>
      <c r="B20" s="47" t="str">
        <f>TRIM(データ!C17)</f>
        <v/>
      </c>
      <c r="C20" s="47" t="str">
        <f>TRIM(データ!D17)</f>
        <v>内訳代価</v>
      </c>
      <c r="D20" s="36" t="str">
        <f>REPT("｜",$A20)&amp;TRIM(データ!E17)</f>
        <v>｜車道舗装</v>
      </c>
      <c r="E20" s="37" t="str">
        <f>TRIM(データ!F17)</f>
        <v>基層工</v>
      </c>
      <c r="F20" s="38" t="str">
        <f>TRIM(データ!G17)</f>
        <v>m2</v>
      </c>
      <c r="G20" s="50">
        <f>データ!H17</f>
        <v>1270</v>
      </c>
      <c r="H20" s="48">
        <f>データ!I17</f>
        <v>1690</v>
      </c>
      <c r="I20" s="48">
        <f>データ!J17</f>
        <v>2146300</v>
      </c>
      <c r="J20" s="39">
        <f>IF(OR($C20="総括",$C20="内訳書",$C20="内訳代価",$C20="明細書",$C20="明細代価",$C20="代価表",$C20="単価表"),データ!K17,"")</f>
        <v>1270</v>
      </c>
      <c r="K20" s="11" t="str">
        <f t="shared" si="0"/>
        <v/>
      </c>
      <c r="L20" s="46">
        <f t="shared" si="1"/>
        <v>0.140281045751634</v>
      </c>
      <c r="M20" s="40" t="str">
        <f>IF(データ!L17="","",データ!L17)</f>
        <v/>
      </c>
      <c r="N20" s="41" t="str">
        <f>IF(データ!M17="","",データ!M17)</f>
        <v>16号内訳書</v>
      </c>
      <c r="O20" s="42">
        <f>データ!N17</f>
        <v>0</v>
      </c>
      <c r="P20" s="48">
        <f>IF($C20="集計行","",データ!O17)</f>
        <v>0</v>
      </c>
      <c r="Q20" s="48">
        <f>データ!P17</f>
        <v>0</v>
      </c>
      <c r="R20" s="39">
        <f>IF(OR($C20="総括",$C20="内訳書",$C20="内訳代価",$C20="明細書",$C20="明細代価",$C20="代価表",$C20="単価表"),データ!Q17,"")</f>
        <v>0</v>
      </c>
      <c r="S20" s="11" t="str">
        <f t="shared" si="2"/>
        <v/>
      </c>
      <c r="T20" s="46" t="e">
        <f t="shared" si="3"/>
        <v>#DIV/0!</v>
      </c>
      <c r="U20" s="40" t="str">
        <f>IF(データ!R17="","",データ!R17)</f>
        <v/>
      </c>
      <c r="V20" s="41" t="str">
        <f>IF(データ!S17="","",データ!S17)</f>
        <v/>
      </c>
      <c r="W20" s="42">
        <f>データ!T17</f>
        <v>0</v>
      </c>
      <c r="X20" s="48">
        <f>IF($C20="集計行","",データ!U17)</f>
        <v>0</v>
      </c>
      <c r="Y20" s="48">
        <f>データ!V17</f>
        <v>0</v>
      </c>
      <c r="Z20" s="39">
        <f>IF(OR($C20="総括",$C20="内訳書",$C20="内訳代価",$C20="明細書",$C20="明細代価",$C20="代価表",$C20="単価表"),データ!W17,"")</f>
        <v>0</v>
      </c>
      <c r="AA20" s="11" t="str">
        <f t="shared" si="4"/>
        <v/>
      </c>
      <c r="AB20" s="46" t="e">
        <f t="shared" si="5"/>
        <v>#DIV/0!</v>
      </c>
      <c r="AC20" s="40" t="str">
        <f>IF(データ!X17="","",データ!X17)</f>
        <v/>
      </c>
      <c r="AD20" s="41" t="str">
        <f>IF(データ!Y17="","",データ!Y17)</f>
        <v/>
      </c>
      <c r="AE20" s="47" t="str">
        <f>TRIM(データ!B17)</f>
        <v/>
      </c>
      <c r="AF20" s="43" t="str">
        <f>TRIM(データ!Z17)</f>
        <v/>
      </c>
    </row>
    <row r="21" spans="1:32" x14ac:dyDescent="0.15">
      <c r="A21" s="47">
        <f>データ!A18</f>
        <v>2</v>
      </c>
      <c r="B21" s="47" t="str">
        <f>TRIM(データ!C18)</f>
        <v/>
      </c>
      <c r="C21" s="47" t="str">
        <f>TRIM(データ!D18)</f>
        <v>材料費</v>
      </c>
      <c r="D21" s="36" t="str">
        <f>REPT("｜",$A21)&amp;TRIM(データ!E18)</f>
        <v>｜｜R粗粒度As20スラグ</v>
      </c>
      <c r="E21" s="37" t="str">
        <f>TRIM(データ!F18)</f>
        <v/>
      </c>
      <c r="F21" s="38" t="str">
        <f>TRIM(データ!G18)</f>
        <v>ｔ</v>
      </c>
      <c r="G21" s="50">
        <f>データ!H18</f>
        <v>162</v>
      </c>
      <c r="H21" s="48">
        <f>データ!I18</f>
        <v>10800</v>
      </c>
      <c r="I21" s="48">
        <f>データ!J18</f>
        <v>1749600</v>
      </c>
      <c r="J21" s="39" t="str">
        <f>IF(OR($C21="総括",$C21="内訳書",$C21="内訳代価",$C21="明細書",$C21="明細代価",$C21="代価表",$C21="単価表"),データ!K18,"")</f>
        <v/>
      </c>
      <c r="K21" s="11" t="str">
        <f t="shared" si="0"/>
        <v/>
      </c>
      <c r="L21" s="46">
        <f t="shared" si="1"/>
        <v>0.11435294117647059</v>
      </c>
      <c r="M21" s="40" t="str">
        <f>IF(データ!L18="","",データ!L18)</f>
        <v/>
      </c>
      <c r="N21" s="41" t="str">
        <f>IF(データ!M18="","",データ!M18)</f>
        <v/>
      </c>
      <c r="O21" s="42">
        <f>データ!N18</f>
        <v>0</v>
      </c>
      <c r="P21" s="48">
        <f>IF($C21="集計行","",データ!O18)</f>
        <v>0</v>
      </c>
      <c r="Q21" s="48">
        <f>データ!P18</f>
        <v>0</v>
      </c>
      <c r="R21" s="39" t="str">
        <f>IF(OR($C21="総括",$C21="内訳書",$C21="内訳代価",$C21="明細書",$C21="明細代価",$C21="代価表",$C21="単価表"),データ!Q18,"")</f>
        <v/>
      </c>
      <c r="S21" s="11" t="str">
        <f t="shared" si="2"/>
        <v/>
      </c>
      <c r="T21" s="46" t="e">
        <f t="shared" si="3"/>
        <v>#DIV/0!</v>
      </c>
      <c r="U21" s="40" t="str">
        <f>IF(データ!R18="","",データ!R18)</f>
        <v/>
      </c>
      <c r="V21" s="41" t="str">
        <f>IF(データ!S18="","",データ!S18)</f>
        <v/>
      </c>
      <c r="W21" s="42">
        <f>データ!T18</f>
        <v>0</v>
      </c>
      <c r="X21" s="48">
        <f>IF($C21="集計行","",データ!U18)</f>
        <v>0</v>
      </c>
      <c r="Y21" s="48">
        <f>データ!V18</f>
        <v>0</v>
      </c>
      <c r="Z21" s="39" t="str">
        <f>IF(OR($C21="総括",$C21="内訳書",$C21="内訳代価",$C21="明細書",$C21="明細代価",$C21="代価表",$C21="単価表"),データ!W18,"")</f>
        <v/>
      </c>
      <c r="AA21" s="11" t="str">
        <f t="shared" si="4"/>
        <v/>
      </c>
      <c r="AB21" s="46" t="e">
        <f t="shared" si="5"/>
        <v>#DIV/0!</v>
      </c>
      <c r="AC21" s="40" t="str">
        <f>IF(データ!X18="","",データ!X18)</f>
        <v/>
      </c>
      <c r="AD21" s="41" t="str">
        <f>IF(データ!Y18="","",データ!Y18)</f>
        <v/>
      </c>
      <c r="AE21" s="47" t="str">
        <f>TRIM(データ!B18)</f>
        <v>s20718004</v>
      </c>
      <c r="AF21" s="43" t="str">
        <f>TRIM(データ!Z18)</f>
        <v>1270m2×5cm×2.4×5％</v>
      </c>
    </row>
    <row r="22" spans="1:32" x14ac:dyDescent="0.15">
      <c r="A22" s="47">
        <f>データ!A19</f>
        <v>2</v>
      </c>
      <c r="B22" s="47" t="str">
        <f>TRIM(データ!C19)</f>
        <v/>
      </c>
      <c r="C22" s="47" t="str">
        <f>TRIM(データ!D19)</f>
        <v>材料費</v>
      </c>
      <c r="D22" s="36" t="str">
        <f>REPT("｜",$A22)&amp;TRIM(データ!E19)</f>
        <v>｜｜雑材　舗装</v>
      </c>
      <c r="E22" s="37" t="str">
        <f>TRIM(データ!F19)</f>
        <v/>
      </c>
      <c r="F22" s="38" t="str">
        <f>TRIM(データ!G19)</f>
        <v>式</v>
      </c>
      <c r="G22" s="50">
        <f>データ!H19</f>
        <v>1</v>
      </c>
      <c r="H22" s="48">
        <f>データ!I19</f>
        <v>8700</v>
      </c>
      <c r="I22" s="48">
        <f>データ!J19</f>
        <v>8700</v>
      </c>
      <c r="J22" s="39" t="str">
        <f>IF(OR($C22="総括",$C22="内訳書",$C22="内訳代価",$C22="明細書",$C22="明細代価",$C22="代価表",$C22="単価表"),データ!K19,"")</f>
        <v/>
      </c>
      <c r="K22" s="11" t="str">
        <f t="shared" si="0"/>
        <v/>
      </c>
      <c r="L22" s="46">
        <f t="shared" si="1"/>
        <v>5.6862745098039218E-4</v>
      </c>
      <c r="M22" s="40" t="str">
        <f>IF(データ!L19="","",データ!L19)</f>
        <v/>
      </c>
      <c r="N22" s="41" t="str">
        <f>IF(データ!M19="","",データ!M19)</f>
        <v/>
      </c>
      <c r="O22" s="42">
        <f>データ!N19</f>
        <v>0</v>
      </c>
      <c r="P22" s="48">
        <f>IF($C22="集計行","",データ!O19)</f>
        <v>0</v>
      </c>
      <c r="Q22" s="48">
        <f>データ!P19</f>
        <v>0</v>
      </c>
      <c r="R22" s="39" t="str">
        <f>IF(OR($C22="総括",$C22="内訳書",$C22="内訳代価",$C22="明細書",$C22="明細代価",$C22="代価表",$C22="単価表"),データ!Q19,"")</f>
        <v/>
      </c>
      <c r="S22" s="11" t="str">
        <f t="shared" si="2"/>
        <v/>
      </c>
      <c r="T22" s="46" t="e">
        <f t="shared" si="3"/>
        <v>#DIV/0!</v>
      </c>
      <c r="U22" s="40" t="str">
        <f>IF(データ!R19="","",データ!R19)</f>
        <v/>
      </c>
      <c r="V22" s="41" t="str">
        <f>IF(データ!S19="","",データ!S19)</f>
        <v/>
      </c>
      <c r="W22" s="42">
        <f>データ!T19</f>
        <v>0</v>
      </c>
      <c r="X22" s="48">
        <f>IF($C22="集計行","",データ!U19)</f>
        <v>0</v>
      </c>
      <c r="Y22" s="48">
        <f>データ!V19</f>
        <v>0</v>
      </c>
      <c r="Z22" s="39" t="str">
        <f>IF(OR($C22="総括",$C22="内訳書",$C22="内訳代価",$C22="明細書",$C22="明細代価",$C22="代価表",$C22="単価表"),データ!W19,"")</f>
        <v/>
      </c>
      <c r="AA22" s="11" t="str">
        <f t="shared" si="4"/>
        <v/>
      </c>
      <c r="AB22" s="46" t="e">
        <f t="shared" si="5"/>
        <v>#DIV/0!</v>
      </c>
      <c r="AC22" s="40" t="str">
        <f>IF(データ!X19="","",データ!X19)</f>
        <v/>
      </c>
      <c r="AD22" s="41" t="str">
        <f>IF(データ!Y19="","",データ!Y19)</f>
        <v/>
      </c>
      <c r="AE22" s="47" t="str">
        <f>TRIM(データ!B19)</f>
        <v>s20718001</v>
      </c>
      <c r="AF22" s="43" t="str">
        <f>TRIM(データ!Z19)</f>
        <v/>
      </c>
    </row>
    <row r="23" spans="1:32" x14ac:dyDescent="0.15">
      <c r="A23" s="47">
        <f>データ!A20</f>
        <v>2</v>
      </c>
      <c r="B23" s="47" t="str">
        <f>TRIM(データ!C20)</f>
        <v/>
      </c>
      <c r="C23" s="47" t="str">
        <f>TRIM(データ!D20)</f>
        <v>材料費</v>
      </c>
      <c r="D23" s="36" t="str">
        <f>REPT("｜",$A23)&amp;TRIM(データ!E20)</f>
        <v>｜｜軽油</v>
      </c>
      <c r="E23" s="37" t="str">
        <f>TRIM(データ!F20)</f>
        <v/>
      </c>
      <c r="F23" s="38" t="str">
        <f>TRIM(データ!G20)</f>
        <v>L</v>
      </c>
      <c r="G23" s="50">
        <f>データ!H20</f>
        <v>100</v>
      </c>
      <c r="H23" s="48">
        <f>データ!I20</f>
        <v>160</v>
      </c>
      <c r="I23" s="48">
        <f>データ!J20</f>
        <v>16000</v>
      </c>
      <c r="J23" s="39" t="str">
        <f>IF(OR($C23="総括",$C23="内訳書",$C23="内訳代価",$C23="明細書",$C23="明細代価",$C23="代価表",$C23="単価表"),データ!K20,"")</f>
        <v/>
      </c>
      <c r="K23" s="11" t="str">
        <f t="shared" si="0"/>
        <v/>
      </c>
      <c r="L23" s="46">
        <f t="shared" si="1"/>
        <v>1.0457516339869282E-3</v>
      </c>
      <c r="M23" s="40" t="str">
        <f>IF(データ!L20="","",データ!L20)</f>
        <v/>
      </c>
      <c r="N23" s="41" t="str">
        <f>IF(データ!M20="","",データ!M20)</f>
        <v/>
      </c>
      <c r="O23" s="42">
        <f>データ!N20</f>
        <v>0</v>
      </c>
      <c r="P23" s="48">
        <f>IF($C23="集計行","",データ!O20)</f>
        <v>0</v>
      </c>
      <c r="Q23" s="48">
        <f>データ!P20</f>
        <v>0</v>
      </c>
      <c r="R23" s="39" t="str">
        <f>IF(OR($C23="総括",$C23="内訳書",$C23="内訳代価",$C23="明細書",$C23="明細代価",$C23="代価表",$C23="単価表"),データ!Q20,"")</f>
        <v/>
      </c>
      <c r="S23" s="11" t="str">
        <f t="shared" si="2"/>
        <v/>
      </c>
      <c r="T23" s="46" t="e">
        <f t="shared" si="3"/>
        <v>#DIV/0!</v>
      </c>
      <c r="U23" s="40" t="str">
        <f>IF(データ!R20="","",データ!R20)</f>
        <v/>
      </c>
      <c r="V23" s="41" t="str">
        <f>IF(データ!S20="","",データ!S20)</f>
        <v/>
      </c>
      <c r="W23" s="42">
        <f>データ!T20</f>
        <v>0</v>
      </c>
      <c r="X23" s="48">
        <f>IF($C23="集計行","",データ!U20)</f>
        <v>0</v>
      </c>
      <c r="Y23" s="48">
        <f>データ!V20</f>
        <v>0</v>
      </c>
      <c r="Z23" s="39" t="str">
        <f>IF(OR($C23="総括",$C23="内訳書",$C23="内訳代価",$C23="明細書",$C23="明細代価",$C23="代価表",$C23="単価表"),データ!W20,"")</f>
        <v/>
      </c>
      <c r="AA23" s="11" t="str">
        <f t="shared" si="4"/>
        <v/>
      </c>
      <c r="AB23" s="46" t="e">
        <f t="shared" si="5"/>
        <v>#DIV/0!</v>
      </c>
      <c r="AC23" s="40" t="str">
        <f>IF(データ!X20="","",データ!X20)</f>
        <v/>
      </c>
      <c r="AD23" s="41" t="str">
        <f>IF(データ!Y20="","",データ!Y20)</f>
        <v/>
      </c>
      <c r="AE23" s="47" t="str">
        <f>TRIM(データ!B20)</f>
        <v>s20718549</v>
      </c>
      <c r="AF23" s="43" t="str">
        <f>TRIM(データ!Z20)</f>
        <v/>
      </c>
    </row>
    <row r="24" spans="1:32" x14ac:dyDescent="0.15">
      <c r="A24" s="47">
        <f>データ!A21</f>
        <v>2</v>
      </c>
      <c r="B24" s="47" t="str">
        <f>TRIM(データ!C21)</f>
        <v/>
      </c>
      <c r="C24" s="47" t="str">
        <f>TRIM(データ!D21)</f>
        <v>労務費</v>
      </c>
      <c r="D24" s="36" t="str">
        <f>REPT("｜",$A24)&amp;TRIM(データ!E21)</f>
        <v>｜｜運転工</v>
      </c>
      <c r="E24" s="37" t="str">
        <f>TRIM(データ!F21)</f>
        <v>8H</v>
      </c>
      <c r="F24" s="38" t="str">
        <f>TRIM(データ!G21)</f>
        <v>人</v>
      </c>
      <c r="G24" s="50">
        <f>データ!H21</f>
        <v>11</v>
      </c>
      <c r="H24" s="48">
        <f>データ!I21</f>
        <v>23000</v>
      </c>
      <c r="I24" s="48">
        <f>データ!J21</f>
        <v>253000</v>
      </c>
      <c r="J24" s="39" t="str">
        <f>IF(OR($C24="総括",$C24="内訳書",$C24="内訳代価",$C24="明細書",$C24="明細代価",$C24="代価表",$C24="単価表"),データ!K21,"")</f>
        <v/>
      </c>
      <c r="K24" s="11" t="str">
        <f t="shared" si="0"/>
        <v/>
      </c>
      <c r="L24" s="46">
        <f t="shared" si="1"/>
        <v>1.65359477124183E-2</v>
      </c>
      <c r="M24" s="40" t="str">
        <f>IF(データ!L21="","",データ!L21)</f>
        <v/>
      </c>
      <c r="N24" s="41" t="str">
        <f>IF(データ!M21="","",データ!M21)</f>
        <v/>
      </c>
      <c r="O24" s="42">
        <f>データ!N21</f>
        <v>0</v>
      </c>
      <c r="P24" s="48">
        <f>IF($C24="集計行","",データ!O21)</f>
        <v>0</v>
      </c>
      <c r="Q24" s="48">
        <f>データ!P21</f>
        <v>0</v>
      </c>
      <c r="R24" s="39" t="str">
        <f>IF(OR($C24="総括",$C24="内訳書",$C24="内訳代価",$C24="明細書",$C24="明細代価",$C24="代価表",$C24="単価表"),データ!Q21,"")</f>
        <v/>
      </c>
      <c r="S24" s="11" t="str">
        <f t="shared" si="2"/>
        <v/>
      </c>
      <c r="T24" s="46" t="e">
        <f t="shared" si="3"/>
        <v>#DIV/0!</v>
      </c>
      <c r="U24" s="40" t="str">
        <f>IF(データ!R21="","",データ!R21)</f>
        <v/>
      </c>
      <c r="V24" s="41" t="str">
        <f>IF(データ!S21="","",データ!S21)</f>
        <v/>
      </c>
      <c r="W24" s="42">
        <f>データ!T21</f>
        <v>0</v>
      </c>
      <c r="X24" s="48">
        <f>IF($C24="集計行","",データ!U21)</f>
        <v>0</v>
      </c>
      <c r="Y24" s="48">
        <f>データ!V21</f>
        <v>0</v>
      </c>
      <c r="Z24" s="39" t="str">
        <f>IF(OR($C24="総括",$C24="内訳書",$C24="内訳代価",$C24="明細書",$C24="明細代価",$C24="代価表",$C24="単価表"),データ!W21,"")</f>
        <v/>
      </c>
      <c r="AA24" s="11" t="str">
        <f t="shared" si="4"/>
        <v/>
      </c>
      <c r="AB24" s="46" t="e">
        <f t="shared" si="5"/>
        <v>#DIV/0!</v>
      </c>
      <c r="AC24" s="40" t="str">
        <f>IF(データ!X21="","",データ!X21)</f>
        <v/>
      </c>
      <c r="AD24" s="41" t="str">
        <f>IF(データ!Y21="","",データ!Y21)</f>
        <v/>
      </c>
      <c r="AE24" s="47" t="str">
        <f>TRIM(データ!B21)</f>
        <v>r20718007</v>
      </c>
      <c r="AF24" s="43" t="str">
        <f>TRIM(データ!Z21)</f>
        <v>1日×10人</v>
      </c>
    </row>
    <row r="25" spans="1:32" x14ac:dyDescent="0.15">
      <c r="A25" s="47">
        <f>データ!A22</f>
        <v>2</v>
      </c>
      <c r="B25" s="47" t="str">
        <f>TRIM(データ!C22)</f>
        <v/>
      </c>
      <c r="C25" s="47" t="str">
        <f>TRIM(データ!D22)</f>
        <v>機械費</v>
      </c>
      <c r="D25" s="36" t="str">
        <f>REPT("｜",$A25)&amp;TRIM(データ!E22)</f>
        <v>｜｜Asフィニッシャー6.0m</v>
      </c>
      <c r="E25" s="37" t="str">
        <f>TRIM(データ!F22)</f>
        <v>低騒音</v>
      </c>
      <c r="F25" s="38" t="str">
        <f>TRIM(データ!G22)</f>
        <v>日台</v>
      </c>
      <c r="G25" s="50">
        <f>データ!H22</f>
        <v>1</v>
      </c>
      <c r="H25" s="48">
        <f>データ!I22</f>
        <v>60000</v>
      </c>
      <c r="I25" s="48">
        <f>データ!J22</f>
        <v>60000</v>
      </c>
      <c r="J25" s="39" t="str">
        <f>IF(OR($C25="総括",$C25="内訳書",$C25="内訳代価",$C25="明細書",$C25="明細代価",$C25="代価表",$C25="単価表"),データ!K22,"")</f>
        <v/>
      </c>
      <c r="K25" s="11" t="str">
        <f t="shared" si="0"/>
        <v/>
      </c>
      <c r="L25" s="46">
        <f t="shared" si="1"/>
        <v>3.9215686274509803E-3</v>
      </c>
      <c r="M25" s="40" t="str">
        <f>IF(データ!L22="","",データ!L22)</f>
        <v/>
      </c>
      <c r="N25" s="41" t="str">
        <f>IF(データ!M22="","",データ!M22)</f>
        <v/>
      </c>
      <c r="O25" s="42">
        <f>データ!N22</f>
        <v>0</v>
      </c>
      <c r="P25" s="48">
        <f>IF($C25="集計行","",データ!O22)</f>
        <v>0</v>
      </c>
      <c r="Q25" s="48">
        <f>データ!P22</f>
        <v>0</v>
      </c>
      <c r="R25" s="39" t="str">
        <f>IF(OR($C25="総括",$C25="内訳書",$C25="内訳代価",$C25="明細書",$C25="明細代価",$C25="代価表",$C25="単価表"),データ!Q22,"")</f>
        <v/>
      </c>
      <c r="S25" s="11" t="str">
        <f t="shared" si="2"/>
        <v/>
      </c>
      <c r="T25" s="46" t="e">
        <f t="shared" si="3"/>
        <v>#DIV/0!</v>
      </c>
      <c r="U25" s="40" t="str">
        <f>IF(データ!R22="","",データ!R22)</f>
        <v/>
      </c>
      <c r="V25" s="41" t="str">
        <f>IF(データ!S22="","",データ!S22)</f>
        <v/>
      </c>
      <c r="W25" s="42">
        <f>データ!T22</f>
        <v>0</v>
      </c>
      <c r="X25" s="48">
        <f>IF($C25="集計行","",データ!U22)</f>
        <v>0</v>
      </c>
      <c r="Y25" s="48">
        <f>データ!V22</f>
        <v>0</v>
      </c>
      <c r="Z25" s="39" t="str">
        <f>IF(OR($C25="総括",$C25="内訳書",$C25="内訳代価",$C25="明細書",$C25="明細代価",$C25="代価表",$C25="単価表"),データ!W22,"")</f>
        <v/>
      </c>
      <c r="AA25" s="11" t="str">
        <f t="shared" si="4"/>
        <v/>
      </c>
      <c r="AB25" s="46" t="e">
        <f t="shared" si="5"/>
        <v>#DIV/0!</v>
      </c>
      <c r="AC25" s="40" t="str">
        <f>IF(データ!X22="","",データ!X22)</f>
        <v/>
      </c>
      <c r="AD25" s="41" t="str">
        <f>IF(データ!Y22="","",データ!Y22)</f>
        <v/>
      </c>
      <c r="AE25" s="47" t="str">
        <f>TRIM(データ!B22)</f>
        <v>k20718054</v>
      </c>
      <c r="AF25" s="43" t="str">
        <f>TRIM(データ!Z22)</f>
        <v>1日×1台</v>
      </c>
    </row>
    <row r="26" spans="1:32" x14ac:dyDescent="0.15">
      <c r="A26" s="47">
        <f>データ!A23</f>
        <v>2</v>
      </c>
      <c r="B26" s="47" t="str">
        <f>TRIM(データ!C23)</f>
        <v/>
      </c>
      <c r="C26" s="47" t="str">
        <f>TRIM(データ!D23)</f>
        <v>機械費</v>
      </c>
      <c r="D26" s="36" t="str">
        <f>REPT("｜",$A26)&amp;TRIM(データ!E23)</f>
        <v>｜｜タイヤR　8t</v>
      </c>
      <c r="E26" s="37" t="str">
        <f>TRIM(データ!F23)</f>
        <v>8t　低騒音</v>
      </c>
      <c r="F26" s="38" t="str">
        <f>TRIM(データ!G23)</f>
        <v>日台</v>
      </c>
      <c r="G26" s="50">
        <f>データ!H23</f>
        <v>1</v>
      </c>
      <c r="H26" s="48">
        <f>データ!I23</f>
        <v>7000</v>
      </c>
      <c r="I26" s="48">
        <f>データ!J23</f>
        <v>7000</v>
      </c>
      <c r="J26" s="39" t="str">
        <f>IF(OR($C26="総括",$C26="内訳書",$C26="内訳代価",$C26="明細書",$C26="明細代価",$C26="代価表",$C26="単価表"),データ!K23,"")</f>
        <v/>
      </c>
      <c r="K26" s="11" t="str">
        <f t="shared" si="0"/>
        <v/>
      </c>
      <c r="L26" s="46">
        <f t="shared" si="1"/>
        <v>4.5751633986928104E-4</v>
      </c>
      <c r="M26" s="40" t="str">
        <f>IF(データ!L23="","",データ!L23)</f>
        <v/>
      </c>
      <c r="N26" s="41" t="str">
        <f>IF(データ!M23="","",データ!M23)</f>
        <v/>
      </c>
      <c r="O26" s="42">
        <f>データ!N23</f>
        <v>0</v>
      </c>
      <c r="P26" s="48">
        <f>IF($C26="集計行","",データ!O23)</f>
        <v>0</v>
      </c>
      <c r="Q26" s="48">
        <f>データ!P23</f>
        <v>0</v>
      </c>
      <c r="R26" s="39" t="str">
        <f>IF(OR($C26="総括",$C26="内訳書",$C26="内訳代価",$C26="明細書",$C26="明細代価",$C26="代価表",$C26="単価表"),データ!Q23,"")</f>
        <v/>
      </c>
      <c r="S26" s="11" t="str">
        <f t="shared" si="2"/>
        <v/>
      </c>
      <c r="T26" s="46" t="e">
        <f t="shared" si="3"/>
        <v>#DIV/0!</v>
      </c>
      <c r="U26" s="40" t="str">
        <f>IF(データ!R23="","",データ!R23)</f>
        <v/>
      </c>
      <c r="V26" s="41" t="str">
        <f>IF(データ!S23="","",データ!S23)</f>
        <v/>
      </c>
      <c r="W26" s="42">
        <f>データ!T23</f>
        <v>0</v>
      </c>
      <c r="X26" s="48">
        <f>IF($C26="集計行","",データ!U23)</f>
        <v>0</v>
      </c>
      <c r="Y26" s="48">
        <f>データ!V23</f>
        <v>0</v>
      </c>
      <c r="Z26" s="39" t="str">
        <f>IF(OR($C26="総括",$C26="内訳書",$C26="内訳代価",$C26="明細書",$C26="明細代価",$C26="代価表",$C26="単価表"),データ!W23,"")</f>
        <v/>
      </c>
      <c r="AA26" s="11" t="str">
        <f t="shared" si="4"/>
        <v/>
      </c>
      <c r="AB26" s="46" t="e">
        <f t="shared" si="5"/>
        <v>#DIV/0!</v>
      </c>
      <c r="AC26" s="40" t="str">
        <f>IF(データ!X23="","",データ!X23)</f>
        <v/>
      </c>
      <c r="AD26" s="41" t="str">
        <f>IF(データ!Y23="","",データ!Y23)</f>
        <v/>
      </c>
      <c r="AE26" s="47" t="str">
        <f>TRIM(データ!B23)</f>
        <v>k20718043</v>
      </c>
      <c r="AF26" s="43" t="str">
        <f>TRIM(データ!Z23)</f>
        <v>1日×1台</v>
      </c>
    </row>
    <row r="27" spans="1:32" x14ac:dyDescent="0.15">
      <c r="A27" s="47">
        <f>データ!A24</f>
        <v>2</v>
      </c>
      <c r="B27" s="47" t="str">
        <f>TRIM(データ!C24)</f>
        <v/>
      </c>
      <c r="C27" s="47" t="str">
        <f>TRIM(データ!D24)</f>
        <v>機械費</v>
      </c>
      <c r="D27" s="36" t="str">
        <f>REPT("｜",$A27)&amp;TRIM(データ!E24)</f>
        <v>｜｜マカダムR</v>
      </c>
      <c r="E27" s="37" t="str">
        <f>TRIM(データ!F24)</f>
        <v>R2　低騒音</v>
      </c>
      <c r="F27" s="38" t="str">
        <f>TRIM(データ!G24)</f>
        <v>日台</v>
      </c>
      <c r="G27" s="50">
        <f>データ!H24</f>
        <v>1</v>
      </c>
      <c r="H27" s="48">
        <f>データ!I24</f>
        <v>8000</v>
      </c>
      <c r="I27" s="48">
        <f>データ!J24</f>
        <v>8000</v>
      </c>
      <c r="J27" s="39" t="str">
        <f>IF(OR($C27="総括",$C27="内訳書",$C27="内訳代価",$C27="明細書",$C27="明細代価",$C27="代価表",$C27="単価表"),データ!K24,"")</f>
        <v/>
      </c>
      <c r="K27" s="11" t="str">
        <f t="shared" si="0"/>
        <v/>
      </c>
      <c r="L27" s="46">
        <f t="shared" si="1"/>
        <v>5.228758169934641E-4</v>
      </c>
      <c r="M27" s="40" t="str">
        <f>IF(データ!L24="","",データ!L24)</f>
        <v/>
      </c>
      <c r="N27" s="41" t="str">
        <f>IF(データ!M24="","",データ!M24)</f>
        <v/>
      </c>
      <c r="O27" s="42">
        <f>データ!N24</f>
        <v>0</v>
      </c>
      <c r="P27" s="48">
        <f>IF($C27="集計行","",データ!O24)</f>
        <v>0</v>
      </c>
      <c r="Q27" s="48">
        <f>データ!P24</f>
        <v>0</v>
      </c>
      <c r="R27" s="39" t="str">
        <f>IF(OR($C27="総括",$C27="内訳書",$C27="内訳代価",$C27="明細書",$C27="明細代価",$C27="代価表",$C27="単価表"),データ!Q24,"")</f>
        <v/>
      </c>
      <c r="S27" s="11" t="str">
        <f t="shared" si="2"/>
        <v/>
      </c>
      <c r="T27" s="46" t="e">
        <f t="shared" si="3"/>
        <v>#DIV/0!</v>
      </c>
      <c r="U27" s="40" t="str">
        <f>IF(データ!R24="","",データ!R24)</f>
        <v/>
      </c>
      <c r="V27" s="41" t="str">
        <f>IF(データ!S24="","",データ!S24)</f>
        <v/>
      </c>
      <c r="W27" s="42">
        <f>データ!T24</f>
        <v>0</v>
      </c>
      <c r="X27" s="48">
        <f>IF($C27="集計行","",データ!U24)</f>
        <v>0</v>
      </c>
      <c r="Y27" s="48">
        <f>データ!V24</f>
        <v>0</v>
      </c>
      <c r="Z27" s="39" t="str">
        <f>IF(OR($C27="総括",$C27="内訳書",$C27="内訳代価",$C27="明細書",$C27="明細代価",$C27="代価表",$C27="単価表"),データ!W24,"")</f>
        <v/>
      </c>
      <c r="AA27" s="11" t="str">
        <f t="shared" si="4"/>
        <v/>
      </c>
      <c r="AB27" s="46" t="e">
        <f t="shared" si="5"/>
        <v>#DIV/0!</v>
      </c>
      <c r="AC27" s="40" t="str">
        <f>IF(データ!X24="","",データ!X24)</f>
        <v/>
      </c>
      <c r="AD27" s="41" t="str">
        <f>IF(データ!Y24="","",データ!Y24)</f>
        <v/>
      </c>
      <c r="AE27" s="47" t="str">
        <f>TRIM(データ!B24)</f>
        <v>k20718039</v>
      </c>
      <c r="AF27" s="43" t="str">
        <f>TRIM(データ!Z24)</f>
        <v>1日×1台</v>
      </c>
    </row>
    <row r="28" spans="1:32" x14ac:dyDescent="0.15">
      <c r="A28" s="47">
        <f>データ!A25</f>
        <v>2</v>
      </c>
      <c r="B28" s="47" t="str">
        <f>TRIM(データ!C25)</f>
        <v/>
      </c>
      <c r="C28" s="47" t="str">
        <f>TRIM(データ!D25)</f>
        <v>機械費</v>
      </c>
      <c r="D28" s="36" t="str">
        <f>REPT("｜",$A28)&amp;TRIM(データ!E25)</f>
        <v>｜｜コンバインドR</v>
      </c>
      <c r="E28" s="37" t="str">
        <f>TRIM(データ!F25)</f>
        <v>3t　4ｔ　低騒音</v>
      </c>
      <c r="F28" s="38" t="str">
        <f>TRIM(データ!G25)</f>
        <v>日台</v>
      </c>
      <c r="G28" s="50">
        <f>データ!H25</f>
        <v>1</v>
      </c>
      <c r="H28" s="48">
        <f>データ!I25</f>
        <v>5000</v>
      </c>
      <c r="I28" s="48">
        <f>データ!J25</f>
        <v>5000</v>
      </c>
      <c r="J28" s="39" t="str">
        <f>IF(OR($C28="総括",$C28="内訳書",$C28="内訳代価",$C28="明細書",$C28="明細代価",$C28="代価表",$C28="単価表"),データ!K25,"")</f>
        <v/>
      </c>
      <c r="K28" s="11" t="str">
        <f t="shared" si="0"/>
        <v/>
      </c>
      <c r="L28" s="46">
        <f t="shared" si="1"/>
        <v>3.2679738562091501E-4</v>
      </c>
      <c r="M28" s="40" t="str">
        <f>IF(データ!L25="","",データ!L25)</f>
        <v/>
      </c>
      <c r="N28" s="41" t="str">
        <f>IF(データ!M25="","",データ!M25)</f>
        <v/>
      </c>
      <c r="O28" s="42">
        <f>データ!N25</f>
        <v>0</v>
      </c>
      <c r="P28" s="48">
        <f>IF($C28="集計行","",データ!O25)</f>
        <v>0</v>
      </c>
      <c r="Q28" s="48">
        <f>データ!P25</f>
        <v>0</v>
      </c>
      <c r="R28" s="39" t="str">
        <f>IF(OR($C28="総括",$C28="内訳書",$C28="内訳代価",$C28="明細書",$C28="明細代価",$C28="代価表",$C28="単価表"),データ!Q25,"")</f>
        <v/>
      </c>
      <c r="S28" s="11" t="str">
        <f t="shared" si="2"/>
        <v/>
      </c>
      <c r="T28" s="46" t="e">
        <f t="shared" si="3"/>
        <v>#DIV/0!</v>
      </c>
      <c r="U28" s="40" t="str">
        <f>IF(データ!R25="","",データ!R25)</f>
        <v/>
      </c>
      <c r="V28" s="41" t="str">
        <f>IF(データ!S25="","",データ!S25)</f>
        <v/>
      </c>
      <c r="W28" s="42">
        <f>データ!T25</f>
        <v>0</v>
      </c>
      <c r="X28" s="48">
        <f>IF($C28="集計行","",データ!U25)</f>
        <v>0</v>
      </c>
      <c r="Y28" s="48">
        <f>データ!V25</f>
        <v>0</v>
      </c>
      <c r="Z28" s="39" t="str">
        <f>IF(OR($C28="総括",$C28="内訳書",$C28="内訳代価",$C28="明細書",$C28="明細代価",$C28="代価表",$C28="単価表"),データ!W25,"")</f>
        <v/>
      </c>
      <c r="AA28" s="11" t="str">
        <f t="shared" si="4"/>
        <v/>
      </c>
      <c r="AB28" s="46" t="e">
        <f t="shared" si="5"/>
        <v>#DIV/0!</v>
      </c>
      <c r="AC28" s="40" t="str">
        <f>IF(データ!X25="","",データ!X25)</f>
        <v/>
      </c>
      <c r="AD28" s="41" t="str">
        <f>IF(データ!Y25="","",データ!Y25)</f>
        <v/>
      </c>
      <c r="AE28" s="47" t="str">
        <f>TRIM(データ!B25)</f>
        <v>k20718031</v>
      </c>
      <c r="AF28" s="43" t="str">
        <f>TRIM(データ!Z25)</f>
        <v>1日×1台</v>
      </c>
    </row>
    <row r="29" spans="1:32" x14ac:dyDescent="0.15">
      <c r="A29" s="47">
        <f>データ!A26</f>
        <v>2</v>
      </c>
      <c r="B29" s="47" t="str">
        <f>TRIM(データ!C26)</f>
        <v/>
      </c>
      <c r="C29" s="47" t="str">
        <f>TRIM(データ!D26)</f>
        <v>機械費</v>
      </c>
      <c r="D29" s="36" t="str">
        <f>REPT("｜",$A29)&amp;TRIM(データ!E26)</f>
        <v>｜｜タイヤショベル0.5</v>
      </c>
      <c r="E29" s="37" t="str">
        <f>TRIM(データ!F26)</f>
        <v>低騒音</v>
      </c>
      <c r="F29" s="38" t="str">
        <f>TRIM(データ!G26)</f>
        <v>日台</v>
      </c>
      <c r="G29" s="50">
        <f>データ!H26</f>
        <v>1</v>
      </c>
      <c r="H29" s="48">
        <f>データ!I26</f>
        <v>6000</v>
      </c>
      <c r="I29" s="48">
        <f>データ!J26</f>
        <v>6000</v>
      </c>
      <c r="J29" s="39" t="str">
        <f>IF(OR($C29="総括",$C29="内訳書",$C29="内訳代価",$C29="明細書",$C29="明細代価",$C29="代価表",$C29="単価表"),データ!K26,"")</f>
        <v/>
      </c>
      <c r="K29" s="11" t="str">
        <f t="shared" si="0"/>
        <v/>
      </c>
      <c r="L29" s="46">
        <f t="shared" si="1"/>
        <v>3.9215686274509802E-4</v>
      </c>
      <c r="M29" s="40" t="str">
        <f>IF(データ!L26="","",データ!L26)</f>
        <v/>
      </c>
      <c r="N29" s="41" t="str">
        <f>IF(データ!M26="","",データ!M26)</f>
        <v/>
      </c>
      <c r="O29" s="42">
        <f>データ!N26</f>
        <v>0</v>
      </c>
      <c r="P29" s="48">
        <f>IF($C29="集計行","",データ!O26)</f>
        <v>0</v>
      </c>
      <c r="Q29" s="48">
        <f>データ!P26</f>
        <v>0</v>
      </c>
      <c r="R29" s="39" t="str">
        <f>IF(OR($C29="総括",$C29="内訳書",$C29="内訳代価",$C29="明細書",$C29="明細代価",$C29="代価表",$C29="単価表"),データ!Q26,"")</f>
        <v/>
      </c>
      <c r="S29" s="11" t="str">
        <f t="shared" si="2"/>
        <v/>
      </c>
      <c r="T29" s="46" t="e">
        <f t="shared" si="3"/>
        <v>#DIV/0!</v>
      </c>
      <c r="U29" s="40" t="str">
        <f>IF(データ!R26="","",データ!R26)</f>
        <v/>
      </c>
      <c r="V29" s="41" t="str">
        <f>IF(データ!S26="","",データ!S26)</f>
        <v/>
      </c>
      <c r="W29" s="42">
        <f>データ!T26</f>
        <v>0</v>
      </c>
      <c r="X29" s="48">
        <f>IF($C29="集計行","",データ!U26)</f>
        <v>0</v>
      </c>
      <c r="Y29" s="48">
        <f>データ!V26</f>
        <v>0</v>
      </c>
      <c r="Z29" s="39" t="str">
        <f>IF(OR($C29="総括",$C29="内訳書",$C29="内訳代価",$C29="明細書",$C29="明細代価",$C29="代価表",$C29="単価表"),データ!W26,"")</f>
        <v/>
      </c>
      <c r="AA29" s="11" t="str">
        <f t="shared" si="4"/>
        <v/>
      </c>
      <c r="AB29" s="46" t="e">
        <f t="shared" si="5"/>
        <v>#DIV/0!</v>
      </c>
      <c r="AC29" s="40" t="str">
        <f>IF(データ!X26="","",データ!X26)</f>
        <v/>
      </c>
      <c r="AD29" s="41" t="str">
        <f>IF(データ!Y26="","",データ!Y26)</f>
        <v/>
      </c>
      <c r="AE29" s="47" t="str">
        <f>TRIM(データ!B26)</f>
        <v>k20718024</v>
      </c>
      <c r="AF29" s="43" t="str">
        <f>TRIM(データ!Z26)</f>
        <v>1日×1台</v>
      </c>
    </row>
    <row r="30" spans="1:32" x14ac:dyDescent="0.15">
      <c r="A30" s="47">
        <f>データ!A27</f>
        <v>2</v>
      </c>
      <c r="B30" s="47" t="str">
        <f>TRIM(データ!C27)</f>
        <v/>
      </c>
      <c r="C30" s="47" t="str">
        <f>TRIM(データ!D27)</f>
        <v>機械費</v>
      </c>
      <c r="D30" s="36" t="str">
        <f>REPT("｜",$A30)&amp;TRIM(データ!E27)</f>
        <v>｜｜小物機械　ﾊﾟｰﾄﾅ・丸ﾉｺ</v>
      </c>
      <c r="E30" s="37" t="str">
        <f>TRIM(データ!F27)</f>
        <v>ｸﾞﾗｲﾝﾀﾞ-・ｺｱ抜きﾄﾞﾘﾙ・ﾌﾞﾛｱ　等</v>
      </c>
      <c r="F30" s="38" t="str">
        <f>TRIM(データ!G27)</f>
        <v>台</v>
      </c>
      <c r="G30" s="50">
        <f>データ!H27</f>
        <v>1</v>
      </c>
      <c r="H30" s="48">
        <f>データ!I27</f>
        <v>5000</v>
      </c>
      <c r="I30" s="48">
        <f>データ!J27</f>
        <v>5000</v>
      </c>
      <c r="J30" s="39" t="str">
        <f>IF(OR($C30="総括",$C30="内訳書",$C30="内訳代価",$C30="明細書",$C30="明細代価",$C30="代価表",$C30="単価表"),データ!K27,"")</f>
        <v/>
      </c>
      <c r="K30" s="11" t="str">
        <f t="shared" si="0"/>
        <v/>
      </c>
      <c r="L30" s="46">
        <f t="shared" si="1"/>
        <v>3.2679738562091501E-4</v>
      </c>
      <c r="M30" s="40" t="str">
        <f>IF(データ!L27="","",データ!L27)</f>
        <v/>
      </c>
      <c r="N30" s="41" t="str">
        <f>IF(データ!M27="","",データ!M27)</f>
        <v/>
      </c>
      <c r="O30" s="42">
        <f>データ!N27</f>
        <v>0</v>
      </c>
      <c r="P30" s="48">
        <f>IF($C30="集計行","",データ!O27)</f>
        <v>0</v>
      </c>
      <c r="Q30" s="48">
        <f>データ!P27</f>
        <v>0</v>
      </c>
      <c r="R30" s="39" t="str">
        <f>IF(OR($C30="総括",$C30="内訳書",$C30="内訳代価",$C30="明細書",$C30="明細代価",$C30="代価表",$C30="単価表"),データ!Q27,"")</f>
        <v/>
      </c>
      <c r="S30" s="11" t="str">
        <f t="shared" si="2"/>
        <v/>
      </c>
      <c r="T30" s="46" t="e">
        <f t="shared" si="3"/>
        <v>#DIV/0!</v>
      </c>
      <c r="U30" s="40" t="str">
        <f>IF(データ!R27="","",データ!R27)</f>
        <v/>
      </c>
      <c r="V30" s="41" t="str">
        <f>IF(データ!S27="","",データ!S27)</f>
        <v/>
      </c>
      <c r="W30" s="42">
        <f>データ!T27</f>
        <v>0</v>
      </c>
      <c r="X30" s="48">
        <f>IF($C30="集計行","",データ!U27)</f>
        <v>0</v>
      </c>
      <c r="Y30" s="48">
        <f>データ!V27</f>
        <v>0</v>
      </c>
      <c r="Z30" s="39" t="str">
        <f>IF(OR($C30="総括",$C30="内訳書",$C30="内訳代価",$C30="明細書",$C30="明細代価",$C30="代価表",$C30="単価表"),データ!W27,"")</f>
        <v/>
      </c>
      <c r="AA30" s="11" t="str">
        <f t="shared" si="4"/>
        <v/>
      </c>
      <c r="AB30" s="46" t="e">
        <f t="shared" si="5"/>
        <v>#DIV/0!</v>
      </c>
      <c r="AC30" s="40" t="str">
        <f>IF(データ!X27="","",データ!X27)</f>
        <v/>
      </c>
      <c r="AD30" s="41" t="str">
        <f>IF(データ!Y27="","",データ!Y27)</f>
        <v/>
      </c>
      <c r="AE30" s="47" t="str">
        <f>TRIM(データ!B27)</f>
        <v>k20718001</v>
      </c>
      <c r="AF30" s="43" t="str">
        <f>TRIM(データ!Z27)</f>
        <v>1日×1台</v>
      </c>
    </row>
    <row r="31" spans="1:32" x14ac:dyDescent="0.15">
      <c r="A31" s="47">
        <f>データ!A28</f>
        <v>2</v>
      </c>
      <c r="B31" s="47" t="str">
        <f>TRIM(データ!C28)</f>
        <v/>
      </c>
      <c r="C31" s="47" t="str">
        <f>TRIM(データ!D28)</f>
        <v>運搬費</v>
      </c>
      <c r="D31" s="36" t="str">
        <f>REPT("｜",$A31)&amp;TRIM(データ!E28)</f>
        <v>｜｜2tダンプ</v>
      </c>
      <c r="E31" s="37" t="str">
        <f>TRIM(データ!F28)</f>
        <v/>
      </c>
      <c r="F31" s="38" t="str">
        <f>TRIM(データ!G28)</f>
        <v>台</v>
      </c>
      <c r="G31" s="50">
        <f>データ!H28</f>
        <v>3</v>
      </c>
      <c r="H31" s="48">
        <f>データ!I28</f>
        <v>6000</v>
      </c>
      <c r="I31" s="48">
        <f>データ!J28</f>
        <v>18000</v>
      </c>
      <c r="J31" s="39" t="str">
        <f>IF(OR($C31="総括",$C31="内訳書",$C31="内訳代価",$C31="明細書",$C31="明細代価",$C31="代価表",$C31="単価表"),データ!K28,"")</f>
        <v/>
      </c>
      <c r="K31" s="11" t="str">
        <f t="shared" si="0"/>
        <v/>
      </c>
      <c r="L31" s="46">
        <f t="shared" si="1"/>
        <v>1.176470588235294E-3</v>
      </c>
      <c r="M31" s="40" t="str">
        <f>IF(データ!L28="","",データ!L28)</f>
        <v/>
      </c>
      <c r="N31" s="41" t="str">
        <f>IF(データ!M28="","",データ!M28)</f>
        <v/>
      </c>
      <c r="O31" s="42">
        <f>データ!N28</f>
        <v>0</v>
      </c>
      <c r="P31" s="48">
        <f>IF($C31="集計行","",データ!O28)</f>
        <v>0</v>
      </c>
      <c r="Q31" s="48">
        <f>データ!P28</f>
        <v>0</v>
      </c>
      <c r="R31" s="39" t="str">
        <f>IF(OR($C31="総括",$C31="内訳書",$C31="内訳代価",$C31="明細書",$C31="明細代価",$C31="代価表",$C31="単価表"),データ!Q28,"")</f>
        <v/>
      </c>
      <c r="S31" s="11" t="str">
        <f t="shared" si="2"/>
        <v/>
      </c>
      <c r="T31" s="46" t="e">
        <f t="shared" si="3"/>
        <v>#DIV/0!</v>
      </c>
      <c r="U31" s="40" t="str">
        <f>IF(データ!R28="","",データ!R28)</f>
        <v/>
      </c>
      <c r="V31" s="41" t="str">
        <f>IF(データ!S28="","",データ!S28)</f>
        <v/>
      </c>
      <c r="W31" s="42">
        <f>データ!T28</f>
        <v>0</v>
      </c>
      <c r="X31" s="48">
        <f>IF($C31="集計行","",データ!U28)</f>
        <v>0</v>
      </c>
      <c r="Y31" s="48">
        <f>データ!V28</f>
        <v>0</v>
      </c>
      <c r="Z31" s="39" t="str">
        <f>IF(OR($C31="総括",$C31="内訳書",$C31="内訳代価",$C31="明細書",$C31="明細代価",$C31="代価表",$C31="単価表"),データ!W28,"")</f>
        <v/>
      </c>
      <c r="AA31" s="11" t="str">
        <f t="shared" si="4"/>
        <v/>
      </c>
      <c r="AB31" s="46" t="e">
        <f t="shared" si="5"/>
        <v>#DIV/0!</v>
      </c>
      <c r="AC31" s="40" t="str">
        <f>IF(データ!X28="","",データ!X28)</f>
        <v/>
      </c>
      <c r="AD31" s="41" t="str">
        <f>IF(データ!Y28="","",データ!Y28)</f>
        <v/>
      </c>
      <c r="AE31" s="47" t="str">
        <f>TRIM(データ!B28)</f>
        <v>u20718025</v>
      </c>
      <c r="AF31" s="43" t="str">
        <f>TRIM(データ!Z28)</f>
        <v>1日×3台</v>
      </c>
    </row>
    <row r="32" spans="1:32" x14ac:dyDescent="0.15">
      <c r="A32" s="47">
        <f>データ!A29</f>
        <v>2</v>
      </c>
      <c r="B32" s="47" t="str">
        <f>TRIM(データ!C29)</f>
        <v/>
      </c>
      <c r="C32" s="47" t="str">
        <f>TRIM(データ!D29)</f>
        <v>運搬費</v>
      </c>
      <c r="D32" s="36" t="str">
        <f>REPT("｜",$A32)&amp;TRIM(データ!E29)</f>
        <v>｜｜WP</v>
      </c>
      <c r="E32" s="37" t="str">
        <f>TRIM(データ!F29)</f>
        <v/>
      </c>
      <c r="F32" s="38" t="str">
        <f>TRIM(データ!G29)</f>
        <v>台</v>
      </c>
      <c r="G32" s="50">
        <f>データ!H29</f>
        <v>2</v>
      </c>
      <c r="H32" s="48">
        <f>データ!I29</f>
        <v>5000</v>
      </c>
      <c r="I32" s="48">
        <f>データ!J29</f>
        <v>10000</v>
      </c>
      <c r="J32" s="39" t="str">
        <f>IF(OR($C32="総括",$C32="内訳書",$C32="内訳代価",$C32="明細書",$C32="明細代価",$C32="代価表",$C32="単価表"),データ!K29,"")</f>
        <v/>
      </c>
      <c r="K32" s="11" t="str">
        <f t="shared" si="0"/>
        <v/>
      </c>
      <c r="L32" s="46">
        <f t="shared" si="1"/>
        <v>6.5359477124183002E-4</v>
      </c>
      <c r="M32" s="40" t="str">
        <f>IF(データ!L29="","",データ!L29)</f>
        <v/>
      </c>
      <c r="N32" s="41" t="str">
        <f>IF(データ!M29="","",データ!M29)</f>
        <v/>
      </c>
      <c r="O32" s="42">
        <f>データ!N29</f>
        <v>0</v>
      </c>
      <c r="P32" s="48">
        <f>IF($C32="集計行","",データ!O29)</f>
        <v>0</v>
      </c>
      <c r="Q32" s="48">
        <f>データ!P29</f>
        <v>0</v>
      </c>
      <c r="R32" s="39" t="str">
        <f>IF(OR($C32="総括",$C32="内訳書",$C32="内訳代価",$C32="明細書",$C32="明細代価",$C32="代価表",$C32="単価表"),データ!Q29,"")</f>
        <v/>
      </c>
      <c r="S32" s="11" t="str">
        <f t="shared" si="2"/>
        <v/>
      </c>
      <c r="T32" s="46" t="e">
        <f t="shared" si="3"/>
        <v>#DIV/0!</v>
      </c>
      <c r="U32" s="40" t="str">
        <f>IF(データ!R29="","",データ!R29)</f>
        <v/>
      </c>
      <c r="V32" s="41" t="str">
        <f>IF(データ!S29="","",データ!S29)</f>
        <v/>
      </c>
      <c r="W32" s="42">
        <f>データ!T29</f>
        <v>0</v>
      </c>
      <c r="X32" s="48">
        <f>IF($C32="集計行","",データ!U29)</f>
        <v>0</v>
      </c>
      <c r="Y32" s="48">
        <f>データ!V29</f>
        <v>0</v>
      </c>
      <c r="Z32" s="39" t="str">
        <f>IF(OR($C32="総括",$C32="内訳書",$C32="内訳代価",$C32="明細書",$C32="明細代価",$C32="代価表",$C32="単価表"),データ!W29,"")</f>
        <v/>
      </c>
      <c r="AA32" s="11" t="str">
        <f t="shared" si="4"/>
        <v/>
      </c>
      <c r="AB32" s="46" t="e">
        <f t="shared" si="5"/>
        <v>#DIV/0!</v>
      </c>
      <c r="AC32" s="40" t="str">
        <f>IF(データ!X29="","",データ!X29)</f>
        <v/>
      </c>
      <c r="AD32" s="41" t="str">
        <f>IF(データ!Y29="","",データ!Y29)</f>
        <v/>
      </c>
      <c r="AE32" s="47" t="str">
        <f>TRIM(データ!B29)</f>
        <v>u20718008</v>
      </c>
      <c r="AF32" s="43" t="str">
        <f>TRIM(データ!Z29)</f>
        <v>1日×2台</v>
      </c>
    </row>
    <row r="33" spans="1:32" x14ac:dyDescent="0.15">
      <c r="A33" s="47">
        <f>データ!A30</f>
        <v>1</v>
      </c>
      <c r="B33" s="47" t="str">
        <f>TRIM(データ!C30)</f>
        <v/>
      </c>
      <c r="C33" s="47" t="str">
        <f>TRIM(データ!D30)</f>
        <v>内訳代価</v>
      </c>
      <c r="D33" s="36" t="str">
        <f>REPT("｜",$A33)&amp;TRIM(データ!E30)</f>
        <v>｜車道舗装</v>
      </c>
      <c r="E33" s="37" t="str">
        <f>TRIM(データ!F30)</f>
        <v>中間層工</v>
      </c>
      <c r="F33" s="38" t="str">
        <f>TRIM(データ!G30)</f>
        <v>m2</v>
      </c>
      <c r="G33" s="50">
        <f>データ!H30</f>
        <v>1330</v>
      </c>
      <c r="H33" s="48">
        <f>データ!I30</f>
        <v>1780</v>
      </c>
      <c r="I33" s="48">
        <f>データ!J30</f>
        <v>2367400</v>
      </c>
      <c r="J33" s="39">
        <f>IF(OR($C33="総括",$C33="内訳書",$C33="内訳代価",$C33="明細書",$C33="明細代価",$C33="代価表",$C33="単価表"),データ!K30,"")</f>
        <v>1330</v>
      </c>
      <c r="K33" s="11" t="str">
        <f t="shared" si="0"/>
        <v/>
      </c>
      <c r="L33" s="46">
        <f t="shared" si="1"/>
        <v>0.15473202614379086</v>
      </c>
      <c r="M33" s="40" t="str">
        <f>IF(データ!L30="","",データ!L30)</f>
        <v/>
      </c>
      <c r="N33" s="41" t="str">
        <f>IF(データ!M30="","",データ!M30)</f>
        <v>17号内訳書</v>
      </c>
      <c r="O33" s="42">
        <f>データ!N30</f>
        <v>0</v>
      </c>
      <c r="P33" s="48">
        <f>IF($C33="集計行","",データ!O30)</f>
        <v>0</v>
      </c>
      <c r="Q33" s="48">
        <f>データ!P30</f>
        <v>0</v>
      </c>
      <c r="R33" s="39">
        <f>IF(OR($C33="総括",$C33="内訳書",$C33="内訳代価",$C33="明細書",$C33="明細代価",$C33="代価表",$C33="単価表"),データ!Q30,"")</f>
        <v>0</v>
      </c>
      <c r="S33" s="11" t="str">
        <f t="shared" si="2"/>
        <v/>
      </c>
      <c r="T33" s="46" t="e">
        <f t="shared" si="3"/>
        <v>#DIV/0!</v>
      </c>
      <c r="U33" s="40" t="str">
        <f>IF(データ!R30="","",データ!R30)</f>
        <v/>
      </c>
      <c r="V33" s="41" t="str">
        <f>IF(データ!S30="","",データ!S30)</f>
        <v/>
      </c>
      <c r="W33" s="42">
        <f>データ!T30</f>
        <v>0</v>
      </c>
      <c r="X33" s="48">
        <f>IF($C33="集計行","",データ!U30)</f>
        <v>0</v>
      </c>
      <c r="Y33" s="48">
        <f>データ!V30</f>
        <v>0</v>
      </c>
      <c r="Z33" s="39">
        <f>IF(OR($C33="総括",$C33="内訳書",$C33="内訳代価",$C33="明細書",$C33="明細代価",$C33="代価表",$C33="単価表"),データ!W30,"")</f>
        <v>0</v>
      </c>
      <c r="AA33" s="11" t="str">
        <f t="shared" si="4"/>
        <v/>
      </c>
      <c r="AB33" s="46" t="e">
        <f t="shared" si="5"/>
        <v>#DIV/0!</v>
      </c>
      <c r="AC33" s="40" t="str">
        <f>IF(データ!X30="","",データ!X30)</f>
        <v/>
      </c>
      <c r="AD33" s="41" t="str">
        <f>IF(データ!Y30="","",データ!Y30)</f>
        <v/>
      </c>
      <c r="AE33" s="47" t="str">
        <f>TRIM(データ!B30)</f>
        <v/>
      </c>
      <c r="AF33" s="43" t="str">
        <f>TRIM(データ!Z30)</f>
        <v/>
      </c>
    </row>
    <row r="34" spans="1:32" x14ac:dyDescent="0.15">
      <c r="A34" s="47">
        <f>データ!A31</f>
        <v>2</v>
      </c>
      <c r="B34" s="47" t="str">
        <f>TRIM(データ!C31)</f>
        <v/>
      </c>
      <c r="C34" s="47" t="str">
        <f>TRIM(データ!D31)</f>
        <v>材料費</v>
      </c>
      <c r="D34" s="36" t="str">
        <f>REPT("｜",$A34)&amp;TRIM(データ!E31)</f>
        <v>｜｜R粗粒度As20スラグ</v>
      </c>
      <c r="E34" s="37" t="str">
        <f>TRIM(データ!F31)</f>
        <v/>
      </c>
      <c r="F34" s="38" t="str">
        <f>TRIM(データ!G31)</f>
        <v>ｔ</v>
      </c>
      <c r="G34" s="50">
        <f>データ!H31</f>
        <v>171</v>
      </c>
      <c r="H34" s="48">
        <f>データ!I31</f>
        <v>10800</v>
      </c>
      <c r="I34" s="48">
        <f>データ!J31</f>
        <v>1846800</v>
      </c>
      <c r="J34" s="39" t="str">
        <f>IF(OR($C34="総括",$C34="内訳書",$C34="内訳代価",$C34="明細書",$C34="明細代価",$C34="代価表",$C34="単価表"),データ!K31,"")</f>
        <v/>
      </c>
      <c r="K34" s="11" t="str">
        <f t="shared" si="0"/>
        <v/>
      </c>
      <c r="L34" s="46">
        <f t="shared" si="1"/>
        <v>0.12070588235294118</v>
      </c>
      <c r="M34" s="40" t="str">
        <f>IF(データ!L31="","",データ!L31)</f>
        <v/>
      </c>
      <c r="N34" s="41" t="str">
        <f>IF(データ!M31="","",データ!M31)</f>
        <v/>
      </c>
      <c r="O34" s="42">
        <f>データ!N31</f>
        <v>0</v>
      </c>
      <c r="P34" s="48">
        <f>IF($C34="集計行","",データ!O31)</f>
        <v>0</v>
      </c>
      <c r="Q34" s="48">
        <f>データ!P31</f>
        <v>0</v>
      </c>
      <c r="R34" s="39" t="str">
        <f>IF(OR($C34="総括",$C34="内訳書",$C34="内訳代価",$C34="明細書",$C34="明細代価",$C34="代価表",$C34="単価表"),データ!Q31,"")</f>
        <v/>
      </c>
      <c r="S34" s="11" t="str">
        <f t="shared" si="2"/>
        <v/>
      </c>
      <c r="T34" s="46" t="e">
        <f t="shared" si="3"/>
        <v>#DIV/0!</v>
      </c>
      <c r="U34" s="40" t="str">
        <f>IF(データ!R31="","",データ!R31)</f>
        <v/>
      </c>
      <c r="V34" s="41" t="str">
        <f>IF(データ!S31="","",データ!S31)</f>
        <v/>
      </c>
      <c r="W34" s="42">
        <f>データ!T31</f>
        <v>0</v>
      </c>
      <c r="X34" s="48">
        <f>IF($C34="集計行","",データ!U31)</f>
        <v>0</v>
      </c>
      <c r="Y34" s="48">
        <f>データ!V31</f>
        <v>0</v>
      </c>
      <c r="Z34" s="39" t="str">
        <f>IF(OR($C34="総括",$C34="内訳書",$C34="内訳代価",$C34="明細書",$C34="明細代価",$C34="代価表",$C34="単価表"),データ!W31,"")</f>
        <v/>
      </c>
      <c r="AA34" s="11" t="str">
        <f t="shared" si="4"/>
        <v/>
      </c>
      <c r="AB34" s="46" t="e">
        <f t="shared" si="5"/>
        <v>#DIV/0!</v>
      </c>
      <c r="AC34" s="40" t="str">
        <f>IF(データ!X31="","",データ!X31)</f>
        <v/>
      </c>
      <c r="AD34" s="41" t="str">
        <f>IF(データ!Y31="","",データ!Y31)</f>
        <v/>
      </c>
      <c r="AE34" s="47" t="str">
        <f>TRIM(データ!B31)</f>
        <v>s20718004</v>
      </c>
      <c r="AF34" s="43" t="str">
        <f>TRIM(データ!Z31)</f>
        <v>1330m2×5cm×2.4×5％</v>
      </c>
    </row>
    <row r="35" spans="1:32" x14ac:dyDescent="0.15">
      <c r="A35" s="47">
        <f>データ!A32</f>
        <v>2</v>
      </c>
      <c r="B35" s="47" t="str">
        <f>TRIM(データ!C32)</f>
        <v/>
      </c>
      <c r="C35" s="47" t="str">
        <f>TRIM(データ!D32)</f>
        <v>材料費</v>
      </c>
      <c r="D35" s="36" t="str">
        <f>REPT("｜",$A35)&amp;TRIM(データ!E32)</f>
        <v>｜｜TFE(ﾀｯｸﾌｧｲﾝE)</v>
      </c>
      <c r="E35" s="37" t="str">
        <f>TRIM(データ!F32)</f>
        <v/>
      </c>
      <c r="F35" s="38" t="str">
        <f>TRIM(データ!G32)</f>
        <v>L</v>
      </c>
      <c r="G35" s="50">
        <f>データ!H32</f>
        <v>600</v>
      </c>
      <c r="H35" s="48">
        <f>データ!I32</f>
        <v>155</v>
      </c>
      <c r="I35" s="48">
        <f>データ!J32</f>
        <v>93000</v>
      </c>
      <c r="J35" s="39" t="str">
        <f>IF(OR($C35="総括",$C35="内訳書",$C35="内訳代価",$C35="明細書",$C35="明細代価",$C35="代価表",$C35="単価表"),データ!K32,"")</f>
        <v/>
      </c>
      <c r="K35" s="11" t="str">
        <f t="shared" si="0"/>
        <v/>
      </c>
      <c r="L35" s="46">
        <f t="shared" si="1"/>
        <v>6.0784313725490199E-3</v>
      </c>
      <c r="M35" s="40" t="str">
        <f>IF(データ!L32="","",データ!L32)</f>
        <v/>
      </c>
      <c r="N35" s="41" t="str">
        <f>IF(データ!M32="","",データ!M32)</f>
        <v/>
      </c>
      <c r="O35" s="42">
        <f>データ!N32</f>
        <v>0</v>
      </c>
      <c r="P35" s="48">
        <f>IF($C35="集計行","",データ!O32)</f>
        <v>0</v>
      </c>
      <c r="Q35" s="48">
        <f>データ!P32</f>
        <v>0</v>
      </c>
      <c r="R35" s="39" t="str">
        <f>IF(OR($C35="総括",$C35="内訳書",$C35="内訳代価",$C35="明細書",$C35="明細代価",$C35="代価表",$C35="単価表"),データ!Q32,"")</f>
        <v/>
      </c>
      <c r="S35" s="11" t="str">
        <f t="shared" si="2"/>
        <v/>
      </c>
      <c r="T35" s="46" t="e">
        <f t="shared" si="3"/>
        <v>#DIV/0!</v>
      </c>
      <c r="U35" s="40" t="str">
        <f>IF(データ!R32="","",データ!R32)</f>
        <v/>
      </c>
      <c r="V35" s="41" t="str">
        <f>IF(データ!S32="","",データ!S32)</f>
        <v/>
      </c>
      <c r="W35" s="42">
        <f>データ!T32</f>
        <v>0</v>
      </c>
      <c r="X35" s="48">
        <f>IF($C35="集計行","",データ!U32)</f>
        <v>0</v>
      </c>
      <c r="Y35" s="48">
        <f>データ!V32</f>
        <v>0</v>
      </c>
      <c r="Z35" s="39" t="str">
        <f>IF(OR($C35="総括",$C35="内訳書",$C35="内訳代価",$C35="明細書",$C35="明細代価",$C35="代価表",$C35="単価表"),データ!W32,"")</f>
        <v/>
      </c>
      <c r="AA35" s="11" t="str">
        <f t="shared" si="4"/>
        <v/>
      </c>
      <c r="AB35" s="46" t="e">
        <f t="shared" si="5"/>
        <v>#DIV/0!</v>
      </c>
      <c r="AC35" s="40" t="str">
        <f>IF(データ!X32="","",データ!X32)</f>
        <v/>
      </c>
      <c r="AD35" s="41" t="str">
        <f>IF(データ!Y32="","",データ!Y32)</f>
        <v/>
      </c>
      <c r="AE35" s="47" t="str">
        <f>TRIM(データ!B32)</f>
        <v>s1005</v>
      </c>
      <c r="AF35" s="43" t="str">
        <f>TRIM(データ!Z32)</f>
        <v>1330×0.4</v>
      </c>
    </row>
    <row r="36" spans="1:32" x14ac:dyDescent="0.15">
      <c r="A36" s="47">
        <f>データ!A33</f>
        <v>2</v>
      </c>
      <c r="B36" s="47" t="str">
        <f>TRIM(データ!C33)</f>
        <v/>
      </c>
      <c r="C36" s="47" t="str">
        <f>TRIM(データ!D33)</f>
        <v>材料費</v>
      </c>
      <c r="D36" s="36" t="str">
        <f>REPT("｜",$A36)&amp;TRIM(データ!E33)</f>
        <v>｜｜雑材</v>
      </c>
      <c r="E36" s="37" t="str">
        <f>TRIM(データ!F33)</f>
        <v>舗装</v>
      </c>
      <c r="F36" s="38" t="str">
        <f>TRIM(データ!G33)</f>
        <v>式</v>
      </c>
      <c r="G36" s="50">
        <f>データ!H33</f>
        <v>1</v>
      </c>
      <c r="H36" s="48">
        <f>データ!I33</f>
        <v>8600</v>
      </c>
      <c r="I36" s="48">
        <f>データ!J33</f>
        <v>8600</v>
      </c>
      <c r="J36" s="39" t="str">
        <f>IF(OR($C36="総括",$C36="内訳書",$C36="内訳代価",$C36="明細書",$C36="明細代価",$C36="代価表",$C36="単価表"),データ!K33,"")</f>
        <v/>
      </c>
      <c r="K36" s="11" t="str">
        <f t="shared" si="0"/>
        <v/>
      </c>
      <c r="L36" s="46">
        <f t="shared" si="1"/>
        <v>5.6209150326797387E-4</v>
      </c>
      <c r="M36" s="40" t="str">
        <f>IF(データ!L33="","",データ!L33)</f>
        <v/>
      </c>
      <c r="N36" s="41" t="str">
        <f>IF(データ!M33="","",データ!M33)</f>
        <v/>
      </c>
      <c r="O36" s="42">
        <f>データ!N33</f>
        <v>0</v>
      </c>
      <c r="P36" s="48">
        <f>IF($C36="集計行","",データ!O33)</f>
        <v>0</v>
      </c>
      <c r="Q36" s="48">
        <f>データ!P33</f>
        <v>0</v>
      </c>
      <c r="R36" s="39" t="str">
        <f>IF(OR($C36="総括",$C36="内訳書",$C36="内訳代価",$C36="明細書",$C36="明細代価",$C36="代価表",$C36="単価表"),データ!Q33,"")</f>
        <v/>
      </c>
      <c r="S36" s="11" t="str">
        <f t="shared" si="2"/>
        <v/>
      </c>
      <c r="T36" s="46" t="e">
        <f t="shared" si="3"/>
        <v>#DIV/0!</v>
      </c>
      <c r="U36" s="40" t="str">
        <f>IF(データ!R33="","",データ!R33)</f>
        <v/>
      </c>
      <c r="V36" s="41" t="str">
        <f>IF(データ!S33="","",データ!S33)</f>
        <v/>
      </c>
      <c r="W36" s="42">
        <f>データ!T33</f>
        <v>0</v>
      </c>
      <c r="X36" s="48">
        <f>IF($C36="集計行","",データ!U33)</f>
        <v>0</v>
      </c>
      <c r="Y36" s="48">
        <f>データ!V33</f>
        <v>0</v>
      </c>
      <c r="Z36" s="39" t="str">
        <f>IF(OR($C36="総括",$C36="内訳書",$C36="内訳代価",$C36="明細書",$C36="明細代価",$C36="代価表",$C36="単価表"),データ!W33,"")</f>
        <v/>
      </c>
      <c r="AA36" s="11" t="str">
        <f t="shared" si="4"/>
        <v/>
      </c>
      <c r="AB36" s="46" t="e">
        <f t="shared" si="5"/>
        <v>#DIV/0!</v>
      </c>
      <c r="AC36" s="40" t="str">
        <f>IF(データ!X33="","",データ!X33)</f>
        <v/>
      </c>
      <c r="AD36" s="41" t="str">
        <f>IF(データ!Y33="","",データ!Y33)</f>
        <v/>
      </c>
      <c r="AE36" s="47" t="str">
        <f>TRIM(データ!B33)</f>
        <v>s20718001</v>
      </c>
      <c r="AF36" s="43" t="str">
        <f>TRIM(データ!Z33)</f>
        <v/>
      </c>
    </row>
    <row r="37" spans="1:32" x14ac:dyDescent="0.15">
      <c r="A37" s="47">
        <f>データ!A34</f>
        <v>2</v>
      </c>
      <c r="B37" s="47" t="str">
        <f>TRIM(データ!C34)</f>
        <v/>
      </c>
      <c r="C37" s="47" t="str">
        <f>TRIM(データ!D34)</f>
        <v>材料費</v>
      </c>
      <c r="D37" s="36" t="str">
        <f>REPT("｜",$A37)&amp;TRIM(データ!E34)</f>
        <v>｜｜軽油</v>
      </c>
      <c r="E37" s="37" t="str">
        <f>TRIM(データ!F34)</f>
        <v/>
      </c>
      <c r="F37" s="38" t="str">
        <f>TRIM(データ!G34)</f>
        <v>L</v>
      </c>
      <c r="G37" s="50">
        <f>データ!H34</f>
        <v>100</v>
      </c>
      <c r="H37" s="48">
        <f>データ!I34</f>
        <v>180</v>
      </c>
      <c r="I37" s="48">
        <f>データ!J34</f>
        <v>18000</v>
      </c>
      <c r="J37" s="39" t="str">
        <f>IF(OR($C37="総括",$C37="内訳書",$C37="内訳代価",$C37="明細書",$C37="明細代価",$C37="代価表",$C37="単価表"),データ!K34,"")</f>
        <v/>
      </c>
      <c r="K37" s="11" t="str">
        <f t="shared" si="0"/>
        <v/>
      </c>
      <c r="L37" s="46">
        <f t="shared" si="1"/>
        <v>1.176470588235294E-3</v>
      </c>
      <c r="M37" s="40" t="str">
        <f>IF(データ!L34="","",データ!L34)</f>
        <v/>
      </c>
      <c r="N37" s="41" t="str">
        <f>IF(データ!M34="","",データ!M34)</f>
        <v/>
      </c>
      <c r="O37" s="42">
        <f>データ!N34</f>
        <v>0</v>
      </c>
      <c r="P37" s="48">
        <f>IF($C37="集計行","",データ!O34)</f>
        <v>0</v>
      </c>
      <c r="Q37" s="48">
        <f>データ!P34</f>
        <v>0</v>
      </c>
      <c r="R37" s="39" t="str">
        <f>IF(OR($C37="総括",$C37="内訳書",$C37="内訳代価",$C37="明細書",$C37="明細代価",$C37="代価表",$C37="単価表"),データ!Q34,"")</f>
        <v/>
      </c>
      <c r="S37" s="11" t="str">
        <f t="shared" si="2"/>
        <v/>
      </c>
      <c r="T37" s="46" t="e">
        <f t="shared" si="3"/>
        <v>#DIV/0!</v>
      </c>
      <c r="U37" s="40" t="str">
        <f>IF(データ!R34="","",データ!R34)</f>
        <v/>
      </c>
      <c r="V37" s="41" t="str">
        <f>IF(データ!S34="","",データ!S34)</f>
        <v/>
      </c>
      <c r="W37" s="42">
        <f>データ!T34</f>
        <v>0</v>
      </c>
      <c r="X37" s="48">
        <f>IF($C37="集計行","",データ!U34)</f>
        <v>0</v>
      </c>
      <c r="Y37" s="48">
        <f>データ!V34</f>
        <v>0</v>
      </c>
      <c r="Z37" s="39" t="str">
        <f>IF(OR($C37="総括",$C37="内訳書",$C37="内訳代価",$C37="明細書",$C37="明細代価",$C37="代価表",$C37="単価表"),データ!W34,"")</f>
        <v/>
      </c>
      <c r="AA37" s="11" t="str">
        <f t="shared" si="4"/>
        <v/>
      </c>
      <c r="AB37" s="46" t="e">
        <f t="shared" si="5"/>
        <v>#DIV/0!</v>
      </c>
      <c r="AC37" s="40" t="str">
        <f>IF(データ!X34="","",データ!X34)</f>
        <v/>
      </c>
      <c r="AD37" s="41" t="str">
        <f>IF(データ!Y34="","",データ!Y34)</f>
        <v/>
      </c>
      <c r="AE37" s="47" t="str">
        <f>TRIM(データ!B34)</f>
        <v>s20718549</v>
      </c>
      <c r="AF37" s="43" t="str">
        <f>TRIM(データ!Z34)</f>
        <v/>
      </c>
    </row>
    <row r="38" spans="1:32" x14ac:dyDescent="0.15">
      <c r="A38" s="47">
        <f>データ!A35</f>
        <v>2</v>
      </c>
      <c r="B38" s="47" t="str">
        <f>TRIM(データ!C35)</f>
        <v/>
      </c>
      <c r="C38" s="47" t="str">
        <f>TRIM(データ!D35)</f>
        <v>労務費</v>
      </c>
      <c r="D38" s="36" t="str">
        <f>REPT("｜",$A38)&amp;TRIM(データ!E35)</f>
        <v>｜｜運転工</v>
      </c>
      <c r="E38" s="37" t="str">
        <f>TRIM(データ!F35)</f>
        <v>8H</v>
      </c>
      <c r="F38" s="38" t="str">
        <f>TRIM(データ!G35)</f>
        <v>人</v>
      </c>
      <c r="G38" s="50">
        <f>データ!H35</f>
        <v>11</v>
      </c>
      <c r="H38" s="48">
        <f>データ!I35</f>
        <v>23000</v>
      </c>
      <c r="I38" s="48">
        <f>データ!J35</f>
        <v>253000</v>
      </c>
      <c r="J38" s="39" t="str">
        <f>IF(OR($C38="総括",$C38="内訳書",$C38="内訳代価",$C38="明細書",$C38="明細代価",$C38="代価表",$C38="単価表"),データ!K35,"")</f>
        <v/>
      </c>
      <c r="K38" s="11" t="str">
        <f t="shared" si="0"/>
        <v/>
      </c>
      <c r="L38" s="46">
        <f t="shared" si="1"/>
        <v>1.65359477124183E-2</v>
      </c>
      <c r="M38" s="40" t="str">
        <f>IF(データ!L35="","",データ!L35)</f>
        <v/>
      </c>
      <c r="N38" s="41" t="str">
        <f>IF(データ!M35="","",データ!M35)</f>
        <v/>
      </c>
      <c r="O38" s="42">
        <f>データ!N35</f>
        <v>0</v>
      </c>
      <c r="P38" s="48">
        <f>IF($C38="集計行","",データ!O35)</f>
        <v>0</v>
      </c>
      <c r="Q38" s="48">
        <f>データ!P35</f>
        <v>0</v>
      </c>
      <c r="R38" s="39" t="str">
        <f>IF(OR($C38="総括",$C38="内訳書",$C38="内訳代価",$C38="明細書",$C38="明細代価",$C38="代価表",$C38="単価表"),データ!Q35,"")</f>
        <v/>
      </c>
      <c r="S38" s="11" t="str">
        <f t="shared" si="2"/>
        <v/>
      </c>
      <c r="T38" s="46" t="e">
        <f t="shared" si="3"/>
        <v>#DIV/0!</v>
      </c>
      <c r="U38" s="40" t="str">
        <f>IF(データ!R35="","",データ!R35)</f>
        <v/>
      </c>
      <c r="V38" s="41" t="str">
        <f>IF(データ!S35="","",データ!S35)</f>
        <v/>
      </c>
      <c r="W38" s="42">
        <f>データ!T35</f>
        <v>0</v>
      </c>
      <c r="X38" s="48">
        <f>IF($C38="集計行","",データ!U35)</f>
        <v>0</v>
      </c>
      <c r="Y38" s="48">
        <f>データ!V35</f>
        <v>0</v>
      </c>
      <c r="Z38" s="39" t="str">
        <f>IF(OR($C38="総括",$C38="内訳書",$C38="内訳代価",$C38="明細書",$C38="明細代価",$C38="代価表",$C38="単価表"),データ!W35,"")</f>
        <v/>
      </c>
      <c r="AA38" s="11" t="str">
        <f t="shared" si="4"/>
        <v/>
      </c>
      <c r="AB38" s="46" t="e">
        <f t="shared" si="5"/>
        <v>#DIV/0!</v>
      </c>
      <c r="AC38" s="40" t="str">
        <f>IF(データ!X35="","",データ!X35)</f>
        <v/>
      </c>
      <c r="AD38" s="41" t="str">
        <f>IF(データ!Y35="","",データ!Y35)</f>
        <v/>
      </c>
      <c r="AE38" s="47" t="str">
        <f>TRIM(データ!B35)</f>
        <v>r20718007</v>
      </c>
      <c r="AF38" s="43" t="str">
        <f>TRIM(データ!Z35)</f>
        <v>1日×12人</v>
      </c>
    </row>
    <row r="39" spans="1:32" x14ac:dyDescent="0.15">
      <c r="A39" s="47">
        <f>データ!A36</f>
        <v>2</v>
      </c>
      <c r="B39" s="47" t="str">
        <f>TRIM(データ!C36)</f>
        <v/>
      </c>
      <c r="C39" s="47" t="str">
        <f>TRIM(データ!D36)</f>
        <v>機械費</v>
      </c>
      <c r="D39" s="36" t="str">
        <f>REPT("｜",$A39)&amp;TRIM(データ!E36)</f>
        <v>｜｜Asフィニッシャー6.0m</v>
      </c>
      <c r="E39" s="37" t="str">
        <f>TRIM(データ!F36)</f>
        <v>低騒音</v>
      </c>
      <c r="F39" s="38" t="str">
        <f>TRIM(データ!G36)</f>
        <v>日台</v>
      </c>
      <c r="G39" s="50">
        <f>データ!H36</f>
        <v>1</v>
      </c>
      <c r="H39" s="48">
        <f>データ!I36</f>
        <v>60000</v>
      </c>
      <c r="I39" s="48">
        <f>データ!J36</f>
        <v>60000</v>
      </c>
      <c r="J39" s="39" t="str">
        <f>IF(OR($C39="総括",$C39="内訳書",$C39="内訳代価",$C39="明細書",$C39="明細代価",$C39="代価表",$C39="単価表"),データ!K36,"")</f>
        <v/>
      </c>
      <c r="K39" s="11" t="str">
        <f t="shared" si="0"/>
        <v/>
      </c>
      <c r="L39" s="46">
        <f t="shared" si="1"/>
        <v>3.9215686274509803E-3</v>
      </c>
      <c r="M39" s="40" t="str">
        <f>IF(データ!L36="","",データ!L36)</f>
        <v/>
      </c>
      <c r="N39" s="41" t="str">
        <f>IF(データ!M36="","",データ!M36)</f>
        <v/>
      </c>
      <c r="O39" s="42">
        <f>データ!N36</f>
        <v>0</v>
      </c>
      <c r="P39" s="48">
        <f>IF($C39="集計行","",データ!O36)</f>
        <v>0</v>
      </c>
      <c r="Q39" s="48">
        <f>データ!P36</f>
        <v>0</v>
      </c>
      <c r="R39" s="39" t="str">
        <f>IF(OR($C39="総括",$C39="内訳書",$C39="内訳代価",$C39="明細書",$C39="明細代価",$C39="代価表",$C39="単価表"),データ!Q36,"")</f>
        <v/>
      </c>
      <c r="S39" s="11" t="str">
        <f t="shared" si="2"/>
        <v/>
      </c>
      <c r="T39" s="46" t="e">
        <f t="shared" si="3"/>
        <v>#DIV/0!</v>
      </c>
      <c r="U39" s="40" t="str">
        <f>IF(データ!R36="","",データ!R36)</f>
        <v/>
      </c>
      <c r="V39" s="41" t="str">
        <f>IF(データ!S36="","",データ!S36)</f>
        <v/>
      </c>
      <c r="W39" s="42">
        <f>データ!T36</f>
        <v>0</v>
      </c>
      <c r="X39" s="48">
        <f>IF($C39="集計行","",データ!U36)</f>
        <v>0</v>
      </c>
      <c r="Y39" s="48">
        <f>データ!V36</f>
        <v>0</v>
      </c>
      <c r="Z39" s="39" t="str">
        <f>IF(OR($C39="総括",$C39="内訳書",$C39="内訳代価",$C39="明細書",$C39="明細代価",$C39="代価表",$C39="単価表"),データ!W36,"")</f>
        <v/>
      </c>
      <c r="AA39" s="11" t="str">
        <f t="shared" si="4"/>
        <v/>
      </c>
      <c r="AB39" s="46" t="e">
        <f t="shared" si="5"/>
        <v>#DIV/0!</v>
      </c>
      <c r="AC39" s="40" t="str">
        <f>IF(データ!X36="","",データ!X36)</f>
        <v/>
      </c>
      <c r="AD39" s="41" t="str">
        <f>IF(データ!Y36="","",データ!Y36)</f>
        <v/>
      </c>
      <c r="AE39" s="47" t="str">
        <f>TRIM(データ!B36)</f>
        <v>k20718054</v>
      </c>
      <c r="AF39" s="43" t="str">
        <f>TRIM(データ!Z36)</f>
        <v>1日×1台</v>
      </c>
    </row>
    <row r="40" spans="1:32" x14ac:dyDescent="0.15">
      <c r="A40" s="47">
        <f>データ!A37</f>
        <v>2</v>
      </c>
      <c r="B40" s="47" t="str">
        <f>TRIM(データ!C37)</f>
        <v/>
      </c>
      <c r="C40" s="47" t="str">
        <f>TRIM(データ!D37)</f>
        <v>機械費</v>
      </c>
      <c r="D40" s="36" t="str">
        <f>REPT("｜",$A40)&amp;TRIM(データ!E37)</f>
        <v>｜｜タイヤR　8t</v>
      </c>
      <c r="E40" s="37" t="str">
        <f>TRIM(データ!F37)</f>
        <v>8t　低騒音</v>
      </c>
      <c r="F40" s="38" t="str">
        <f>TRIM(データ!G37)</f>
        <v>日台</v>
      </c>
      <c r="G40" s="50">
        <f>データ!H37</f>
        <v>1</v>
      </c>
      <c r="H40" s="48">
        <f>データ!I37</f>
        <v>7000</v>
      </c>
      <c r="I40" s="48">
        <f>データ!J37</f>
        <v>7000</v>
      </c>
      <c r="J40" s="39" t="str">
        <f>IF(OR($C40="総括",$C40="内訳書",$C40="内訳代価",$C40="明細書",$C40="明細代価",$C40="代価表",$C40="単価表"),データ!K37,"")</f>
        <v/>
      </c>
      <c r="K40" s="11" t="str">
        <f t="shared" si="0"/>
        <v/>
      </c>
      <c r="L40" s="46">
        <f t="shared" si="1"/>
        <v>4.5751633986928104E-4</v>
      </c>
      <c r="M40" s="40" t="str">
        <f>IF(データ!L37="","",データ!L37)</f>
        <v/>
      </c>
      <c r="N40" s="41" t="str">
        <f>IF(データ!M37="","",データ!M37)</f>
        <v/>
      </c>
      <c r="O40" s="42">
        <f>データ!N37</f>
        <v>0</v>
      </c>
      <c r="P40" s="48">
        <f>IF($C40="集計行","",データ!O37)</f>
        <v>0</v>
      </c>
      <c r="Q40" s="48">
        <f>データ!P37</f>
        <v>0</v>
      </c>
      <c r="R40" s="39" t="str">
        <f>IF(OR($C40="総括",$C40="内訳書",$C40="内訳代価",$C40="明細書",$C40="明細代価",$C40="代価表",$C40="単価表"),データ!Q37,"")</f>
        <v/>
      </c>
      <c r="S40" s="11" t="str">
        <f t="shared" si="2"/>
        <v/>
      </c>
      <c r="T40" s="46" t="e">
        <f t="shared" si="3"/>
        <v>#DIV/0!</v>
      </c>
      <c r="U40" s="40" t="str">
        <f>IF(データ!R37="","",データ!R37)</f>
        <v/>
      </c>
      <c r="V40" s="41" t="str">
        <f>IF(データ!S37="","",データ!S37)</f>
        <v/>
      </c>
      <c r="W40" s="42">
        <f>データ!T37</f>
        <v>0</v>
      </c>
      <c r="X40" s="48">
        <f>IF($C40="集計行","",データ!U37)</f>
        <v>0</v>
      </c>
      <c r="Y40" s="48">
        <f>データ!V37</f>
        <v>0</v>
      </c>
      <c r="Z40" s="39" t="str">
        <f>IF(OR($C40="総括",$C40="内訳書",$C40="内訳代価",$C40="明細書",$C40="明細代価",$C40="代価表",$C40="単価表"),データ!W37,"")</f>
        <v/>
      </c>
      <c r="AA40" s="11" t="str">
        <f t="shared" si="4"/>
        <v/>
      </c>
      <c r="AB40" s="46" t="e">
        <f t="shared" si="5"/>
        <v>#DIV/0!</v>
      </c>
      <c r="AC40" s="40" t="str">
        <f>IF(データ!X37="","",データ!X37)</f>
        <v/>
      </c>
      <c r="AD40" s="41" t="str">
        <f>IF(データ!Y37="","",データ!Y37)</f>
        <v/>
      </c>
      <c r="AE40" s="47" t="str">
        <f>TRIM(データ!B37)</f>
        <v>k20718043</v>
      </c>
      <c r="AF40" s="43" t="str">
        <f>TRIM(データ!Z37)</f>
        <v>1日×1台</v>
      </c>
    </row>
    <row r="41" spans="1:32" x14ac:dyDescent="0.15">
      <c r="A41" s="47">
        <f>データ!A38</f>
        <v>2</v>
      </c>
      <c r="B41" s="47" t="str">
        <f>TRIM(データ!C38)</f>
        <v/>
      </c>
      <c r="C41" s="47" t="str">
        <f>TRIM(データ!D38)</f>
        <v>機械費</v>
      </c>
      <c r="D41" s="36" t="str">
        <f>REPT("｜",$A41)&amp;TRIM(データ!E38)</f>
        <v>｜｜マカダムR</v>
      </c>
      <c r="E41" s="37" t="str">
        <f>TRIM(データ!F38)</f>
        <v>R2　低騒音</v>
      </c>
      <c r="F41" s="38" t="str">
        <f>TRIM(データ!G38)</f>
        <v>日台</v>
      </c>
      <c r="G41" s="50">
        <f>データ!H38</f>
        <v>1</v>
      </c>
      <c r="H41" s="48">
        <f>データ!I38</f>
        <v>8000</v>
      </c>
      <c r="I41" s="48">
        <f>データ!J38</f>
        <v>8000</v>
      </c>
      <c r="J41" s="39" t="str">
        <f>IF(OR($C41="総括",$C41="内訳書",$C41="内訳代価",$C41="明細書",$C41="明細代価",$C41="代価表",$C41="単価表"),データ!K38,"")</f>
        <v/>
      </c>
      <c r="K41" s="11" t="str">
        <f t="shared" si="0"/>
        <v/>
      </c>
      <c r="L41" s="46">
        <f t="shared" si="1"/>
        <v>5.228758169934641E-4</v>
      </c>
      <c r="M41" s="40" t="str">
        <f>IF(データ!L38="","",データ!L38)</f>
        <v/>
      </c>
      <c r="N41" s="41" t="str">
        <f>IF(データ!M38="","",データ!M38)</f>
        <v/>
      </c>
      <c r="O41" s="42">
        <f>データ!N38</f>
        <v>0</v>
      </c>
      <c r="P41" s="48">
        <f>IF($C41="集計行","",データ!O38)</f>
        <v>0</v>
      </c>
      <c r="Q41" s="48">
        <f>データ!P38</f>
        <v>0</v>
      </c>
      <c r="R41" s="39" t="str">
        <f>IF(OR($C41="総括",$C41="内訳書",$C41="内訳代価",$C41="明細書",$C41="明細代価",$C41="代価表",$C41="単価表"),データ!Q38,"")</f>
        <v/>
      </c>
      <c r="S41" s="11" t="str">
        <f t="shared" si="2"/>
        <v/>
      </c>
      <c r="T41" s="46" t="e">
        <f t="shared" si="3"/>
        <v>#DIV/0!</v>
      </c>
      <c r="U41" s="40" t="str">
        <f>IF(データ!R38="","",データ!R38)</f>
        <v/>
      </c>
      <c r="V41" s="41" t="str">
        <f>IF(データ!S38="","",データ!S38)</f>
        <v/>
      </c>
      <c r="W41" s="42">
        <f>データ!T38</f>
        <v>0</v>
      </c>
      <c r="X41" s="48">
        <f>IF($C41="集計行","",データ!U38)</f>
        <v>0</v>
      </c>
      <c r="Y41" s="48">
        <f>データ!V38</f>
        <v>0</v>
      </c>
      <c r="Z41" s="39" t="str">
        <f>IF(OR($C41="総括",$C41="内訳書",$C41="内訳代価",$C41="明細書",$C41="明細代価",$C41="代価表",$C41="単価表"),データ!W38,"")</f>
        <v/>
      </c>
      <c r="AA41" s="11" t="str">
        <f t="shared" si="4"/>
        <v/>
      </c>
      <c r="AB41" s="46" t="e">
        <f t="shared" si="5"/>
        <v>#DIV/0!</v>
      </c>
      <c r="AC41" s="40" t="str">
        <f>IF(データ!X38="","",データ!X38)</f>
        <v/>
      </c>
      <c r="AD41" s="41" t="str">
        <f>IF(データ!Y38="","",データ!Y38)</f>
        <v/>
      </c>
      <c r="AE41" s="47" t="str">
        <f>TRIM(データ!B38)</f>
        <v>k20718039</v>
      </c>
      <c r="AF41" s="43" t="str">
        <f>TRIM(データ!Z38)</f>
        <v>1日×1台</v>
      </c>
    </row>
    <row r="42" spans="1:32" x14ac:dyDescent="0.15">
      <c r="A42" s="47">
        <f>データ!A39</f>
        <v>2</v>
      </c>
      <c r="B42" s="47" t="str">
        <f>TRIM(データ!C39)</f>
        <v/>
      </c>
      <c r="C42" s="47" t="str">
        <f>TRIM(データ!D39)</f>
        <v>機械費</v>
      </c>
      <c r="D42" s="36" t="str">
        <f>REPT("｜",$A42)&amp;TRIM(データ!E39)</f>
        <v>｜｜コンバインドR</v>
      </c>
      <c r="E42" s="37" t="str">
        <f>TRIM(データ!F39)</f>
        <v>3t　4ｔ　低騒音</v>
      </c>
      <c r="F42" s="38" t="str">
        <f>TRIM(データ!G39)</f>
        <v>日台</v>
      </c>
      <c r="G42" s="50">
        <f>データ!H39</f>
        <v>1</v>
      </c>
      <c r="H42" s="48">
        <f>データ!I39</f>
        <v>5000</v>
      </c>
      <c r="I42" s="48">
        <f>データ!J39</f>
        <v>5000</v>
      </c>
      <c r="J42" s="39" t="str">
        <f>IF(OR($C42="総括",$C42="内訳書",$C42="内訳代価",$C42="明細書",$C42="明細代価",$C42="代価表",$C42="単価表"),データ!K39,"")</f>
        <v/>
      </c>
      <c r="K42" s="11" t="str">
        <f t="shared" si="0"/>
        <v/>
      </c>
      <c r="L42" s="46">
        <f t="shared" si="1"/>
        <v>3.2679738562091501E-4</v>
      </c>
      <c r="M42" s="40" t="str">
        <f>IF(データ!L39="","",データ!L39)</f>
        <v/>
      </c>
      <c r="N42" s="41" t="str">
        <f>IF(データ!M39="","",データ!M39)</f>
        <v/>
      </c>
      <c r="O42" s="42">
        <f>データ!N39</f>
        <v>0</v>
      </c>
      <c r="P42" s="48">
        <f>IF($C42="集計行","",データ!O39)</f>
        <v>0</v>
      </c>
      <c r="Q42" s="48">
        <f>データ!P39</f>
        <v>0</v>
      </c>
      <c r="R42" s="39" t="str">
        <f>IF(OR($C42="総括",$C42="内訳書",$C42="内訳代価",$C42="明細書",$C42="明細代価",$C42="代価表",$C42="単価表"),データ!Q39,"")</f>
        <v/>
      </c>
      <c r="S42" s="11" t="str">
        <f t="shared" si="2"/>
        <v/>
      </c>
      <c r="T42" s="46" t="e">
        <f t="shared" si="3"/>
        <v>#DIV/0!</v>
      </c>
      <c r="U42" s="40" t="str">
        <f>IF(データ!R39="","",データ!R39)</f>
        <v/>
      </c>
      <c r="V42" s="41" t="str">
        <f>IF(データ!S39="","",データ!S39)</f>
        <v/>
      </c>
      <c r="W42" s="42">
        <f>データ!T39</f>
        <v>0</v>
      </c>
      <c r="X42" s="48">
        <f>IF($C42="集計行","",データ!U39)</f>
        <v>0</v>
      </c>
      <c r="Y42" s="48">
        <f>データ!V39</f>
        <v>0</v>
      </c>
      <c r="Z42" s="39" t="str">
        <f>IF(OR($C42="総括",$C42="内訳書",$C42="内訳代価",$C42="明細書",$C42="明細代価",$C42="代価表",$C42="単価表"),データ!W39,"")</f>
        <v/>
      </c>
      <c r="AA42" s="11" t="str">
        <f t="shared" si="4"/>
        <v/>
      </c>
      <c r="AB42" s="46" t="e">
        <f t="shared" si="5"/>
        <v>#DIV/0!</v>
      </c>
      <c r="AC42" s="40" t="str">
        <f>IF(データ!X39="","",データ!X39)</f>
        <v/>
      </c>
      <c r="AD42" s="41" t="str">
        <f>IF(データ!Y39="","",データ!Y39)</f>
        <v/>
      </c>
      <c r="AE42" s="47" t="str">
        <f>TRIM(データ!B39)</f>
        <v>k20718031</v>
      </c>
      <c r="AF42" s="43" t="str">
        <f>TRIM(データ!Z39)</f>
        <v>1日×1台</v>
      </c>
    </row>
    <row r="43" spans="1:32" x14ac:dyDescent="0.15">
      <c r="A43" s="47">
        <f>データ!A40</f>
        <v>2</v>
      </c>
      <c r="B43" s="47" t="str">
        <f>TRIM(データ!C40)</f>
        <v/>
      </c>
      <c r="C43" s="47" t="str">
        <f>TRIM(データ!D40)</f>
        <v>機械費</v>
      </c>
      <c r="D43" s="36" t="str">
        <f>REPT("｜",$A43)&amp;TRIM(データ!E40)</f>
        <v>｜｜タイヤショベル0.5</v>
      </c>
      <c r="E43" s="37" t="str">
        <f>TRIM(データ!F40)</f>
        <v>低騒音</v>
      </c>
      <c r="F43" s="38" t="str">
        <f>TRIM(データ!G40)</f>
        <v>日台</v>
      </c>
      <c r="G43" s="50">
        <f>データ!H40</f>
        <v>1</v>
      </c>
      <c r="H43" s="48">
        <f>データ!I40</f>
        <v>6000</v>
      </c>
      <c r="I43" s="48">
        <f>データ!J40</f>
        <v>6000</v>
      </c>
      <c r="J43" s="39" t="str">
        <f>IF(OR($C43="総括",$C43="内訳書",$C43="内訳代価",$C43="明細書",$C43="明細代価",$C43="代価表",$C43="単価表"),データ!K40,"")</f>
        <v/>
      </c>
      <c r="K43" s="11" t="str">
        <f t="shared" si="0"/>
        <v/>
      </c>
      <c r="L43" s="46">
        <f t="shared" si="1"/>
        <v>3.9215686274509802E-4</v>
      </c>
      <c r="M43" s="40" t="str">
        <f>IF(データ!L40="","",データ!L40)</f>
        <v/>
      </c>
      <c r="N43" s="41" t="str">
        <f>IF(データ!M40="","",データ!M40)</f>
        <v/>
      </c>
      <c r="O43" s="42">
        <f>データ!N40</f>
        <v>0</v>
      </c>
      <c r="P43" s="48">
        <f>IF($C43="集計行","",データ!O40)</f>
        <v>0</v>
      </c>
      <c r="Q43" s="48">
        <f>データ!P40</f>
        <v>0</v>
      </c>
      <c r="R43" s="39" t="str">
        <f>IF(OR($C43="総括",$C43="内訳書",$C43="内訳代価",$C43="明細書",$C43="明細代価",$C43="代価表",$C43="単価表"),データ!Q40,"")</f>
        <v/>
      </c>
      <c r="S43" s="11" t="str">
        <f t="shared" si="2"/>
        <v/>
      </c>
      <c r="T43" s="46" t="e">
        <f t="shared" si="3"/>
        <v>#DIV/0!</v>
      </c>
      <c r="U43" s="40" t="str">
        <f>IF(データ!R40="","",データ!R40)</f>
        <v/>
      </c>
      <c r="V43" s="41" t="str">
        <f>IF(データ!S40="","",データ!S40)</f>
        <v/>
      </c>
      <c r="W43" s="42">
        <f>データ!T40</f>
        <v>0</v>
      </c>
      <c r="X43" s="48">
        <f>IF($C43="集計行","",データ!U40)</f>
        <v>0</v>
      </c>
      <c r="Y43" s="48">
        <f>データ!V40</f>
        <v>0</v>
      </c>
      <c r="Z43" s="39" t="str">
        <f>IF(OR($C43="総括",$C43="内訳書",$C43="内訳代価",$C43="明細書",$C43="明細代価",$C43="代価表",$C43="単価表"),データ!W40,"")</f>
        <v/>
      </c>
      <c r="AA43" s="11" t="str">
        <f t="shared" si="4"/>
        <v/>
      </c>
      <c r="AB43" s="46" t="e">
        <f t="shared" si="5"/>
        <v>#DIV/0!</v>
      </c>
      <c r="AC43" s="40" t="str">
        <f>IF(データ!X40="","",データ!X40)</f>
        <v/>
      </c>
      <c r="AD43" s="41" t="str">
        <f>IF(データ!Y40="","",データ!Y40)</f>
        <v/>
      </c>
      <c r="AE43" s="47" t="str">
        <f>TRIM(データ!B40)</f>
        <v>k20718024</v>
      </c>
      <c r="AF43" s="43" t="str">
        <f>TRIM(データ!Z40)</f>
        <v>1日×1台</v>
      </c>
    </row>
    <row r="44" spans="1:32" x14ac:dyDescent="0.15">
      <c r="A44" s="47">
        <f>データ!A41</f>
        <v>2</v>
      </c>
      <c r="B44" s="47" t="str">
        <f>TRIM(データ!C41)</f>
        <v/>
      </c>
      <c r="C44" s="47" t="str">
        <f>TRIM(データ!D41)</f>
        <v>機械費</v>
      </c>
      <c r="D44" s="36" t="str">
        <f>REPT("｜",$A44)&amp;TRIM(データ!E41)</f>
        <v>｜｜ディストリビューター(昼)</v>
      </c>
      <c r="E44" s="37" t="str">
        <f>TRIM(データ!F41)</f>
        <v/>
      </c>
      <c r="F44" s="38" t="str">
        <f>TRIM(データ!G41)</f>
        <v>日台</v>
      </c>
      <c r="G44" s="50">
        <f>データ!H41</f>
        <v>1</v>
      </c>
      <c r="H44" s="48">
        <f>データ!I41</f>
        <v>40000</v>
      </c>
      <c r="I44" s="48">
        <f>データ!J41</f>
        <v>40000</v>
      </c>
      <c r="J44" s="39" t="str">
        <f>IF(OR($C44="総括",$C44="内訳書",$C44="内訳代価",$C44="明細書",$C44="明細代価",$C44="代価表",$C44="単価表"),データ!K41,"")</f>
        <v/>
      </c>
      <c r="K44" s="11" t="str">
        <f t="shared" si="0"/>
        <v/>
      </c>
      <c r="L44" s="46">
        <f t="shared" si="1"/>
        <v>2.6143790849673201E-3</v>
      </c>
      <c r="M44" s="40" t="str">
        <f>IF(データ!L41="","",データ!L41)</f>
        <v/>
      </c>
      <c r="N44" s="41" t="str">
        <f>IF(データ!M41="","",データ!M41)</f>
        <v/>
      </c>
      <c r="O44" s="42">
        <f>データ!N41</f>
        <v>0</v>
      </c>
      <c r="P44" s="48">
        <f>IF($C44="集計行","",データ!O41)</f>
        <v>0</v>
      </c>
      <c r="Q44" s="48">
        <f>データ!P41</f>
        <v>0</v>
      </c>
      <c r="R44" s="39" t="str">
        <f>IF(OR($C44="総括",$C44="内訳書",$C44="内訳代価",$C44="明細書",$C44="明細代価",$C44="代価表",$C44="単価表"),データ!Q41,"")</f>
        <v/>
      </c>
      <c r="S44" s="11" t="str">
        <f t="shared" si="2"/>
        <v/>
      </c>
      <c r="T44" s="46" t="e">
        <f t="shared" si="3"/>
        <v>#DIV/0!</v>
      </c>
      <c r="U44" s="40" t="str">
        <f>IF(データ!R41="","",データ!R41)</f>
        <v/>
      </c>
      <c r="V44" s="41" t="str">
        <f>IF(データ!S41="","",データ!S41)</f>
        <v/>
      </c>
      <c r="W44" s="42">
        <f>データ!T41</f>
        <v>0</v>
      </c>
      <c r="X44" s="48">
        <f>IF($C44="集計行","",データ!U41)</f>
        <v>0</v>
      </c>
      <c r="Y44" s="48">
        <f>データ!V41</f>
        <v>0</v>
      </c>
      <c r="Z44" s="39" t="str">
        <f>IF(OR($C44="総括",$C44="内訳書",$C44="内訳代価",$C44="明細書",$C44="明細代価",$C44="代価表",$C44="単価表"),データ!W41,"")</f>
        <v/>
      </c>
      <c r="AA44" s="11" t="str">
        <f t="shared" si="4"/>
        <v/>
      </c>
      <c r="AB44" s="46" t="e">
        <f t="shared" si="5"/>
        <v>#DIV/0!</v>
      </c>
      <c r="AC44" s="40" t="str">
        <f>IF(データ!X41="","",データ!X41)</f>
        <v/>
      </c>
      <c r="AD44" s="41" t="str">
        <f>IF(データ!Y41="","",データ!Y41)</f>
        <v/>
      </c>
      <c r="AE44" s="47" t="str">
        <f>TRIM(データ!B41)</f>
        <v>k20718106</v>
      </c>
      <c r="AF44" s="43" t="str">
        <f>TRIM(データ!Z41)</f>
        <v>1日×1台</v>
      </c>
    </row>
    <row r="45" spans="1:32" x14ac:dyDescent="0.15">
      <c r="A45" s="47">
        <f>データ!A42</f>
        <v>2</v>
      </c>
      <c r="B45" s="47" t="str">
        <f>TRIM(データ!C42)</f>
        <v/>
      </c>
      <c r="C45" s="47" t="str">
        <f>TRIM(データ!D42)</f>
        <v>運搬費</v>
      </c>
      <c r="D45" s="36" t="str">
        <f>REPT("｜",$A45)&amp;TRIM(データ!E42)</f>
        <v>｜｜2tダンプ</v>
      </c>
      <c r="E45" s="37" t="str">
        <f>TRIM(データ!F42)</f>
        <v/>
      </c>
      <c r="F45" s="38" t="str">
        <f>TRIM(データ!G42)</f>
        <v>台</v>
      </c>
      <c r="G45" s="50">
        <f>データ!H42</f>
        <v>2</v>
      </c>
      <c r="H45" s="48">
        <f>データ!I42</f>
        <v>6000</v>
      </c>
      <c r="I45" s="48">
        <f>データ!J42</f>
        <v>12000</v>
      </c>
      <c r="J45" s="39" t="str">
        <f>IF(OR($C45="総括",$C45="内訳書",$C45="内訳代価",$C45="明細書",$C45="明細代価",$C45="代価表",$C45="単価表"),データ!K42,"")</f>
        <v/>
      </c>
      <c r="K45" s="11" t="str">
        <f t="shared" si="0"/>
        <v/>
      </c>
      <c r="L45" s="46">
        <f t="shared" si="1"/>
        <v>7.8431372549019605E-4</v>
      </c>
      <c r="M45" s="40" t="str">
        <f>IF(データ!L42="","",データ!L42)</f>
        <v/>
      </c>
      <c r="N45" s="41" t="str">
        <f>IF(データ!M42="","",データ!M42)</f>
        <v/>
      </c>
      <c r="O45" s="42">
        <f>データ!N42</f>
        <v>0</v>
      </c>
      <c r="P45" s="48">
        <f>IF($C45="集計行","",データ!O42)</f>
        <v>0</v>
      </c>
      <c r="Q45" s="48">
        <f>データ!P42</f>
        <v>0</v>
      </c>
      <c r="R45" s="39" t="str">
        <f>IF(OR($C45="総括",$C45="内訳書",$C45="内訳代価",$C45="明細書",$C45="明細代価",$C45="代価表",$C45="単価表"),データ!Q42,"")</f>
        <v/>
      </c>
      <c r="S45" s="11" t="str">
        <f t="shared" si="2"/>
        <v/>
      </c>
      <c r="T45" s="46" t="e">
        <f t="shared" si="3"/>
        <v>#DIV/0!</v>
      </c>
      <c r="U45" s="40" t="str">
        <f>IF(データ!R42="","",データ!R42)</f>
        <v/>
      </c>
      <c r="V45" s="41" t="str">
        <f>IF(データ!S42="","",データ!S42)</f>
        <v/>
      </c>
      <c r="W45" s="42">
        <f>データ!T42</f>
        <v>0</v>
      </c>
      <c r="X45" s="48">
        <f>IF($C45="集計行","",データ!U42)</f>
        <v>0</v>
      </c>
      <c r="Y45" s="48">
        <f>データ!V42</f>
        <v>0</v>
      </c>
      <c r="Z45" s="39" t="str">
        <f>IF(OR($C45="総括",$C45="内訳書",$C45="内訳代価",$C45="明細書",$C45="明細代価",$C45="代価表",$C45="単価表"),データ!W42,"")</f>
        <v/>
      </c>
      <c r="AA45" s="11" t="str">
        <f t="shared" si="4"/>
        <v/>
      </c>
      <c r="AB45" s="46" t="e">
        <f t="shared" si="5"/>
        <v>#DIV/0!</v>
      </c>
      <c r="AC45" s="40" t="str">
        <f>IF(データ!X42="","",データ!X42)</f>
        <v/>
      </c>
      <c r="AD45" s="41" t="str">
        <f>IF(データ!Y42="","",データ!Y42)</f>
        <v/>
      </c>
      <c r="AE45" s="47" t="str">
        <f>TRIM(データ!B42)</f>
        <v>u20718025</v>
      </c>
      <c r="AF45" s="43" t="str">
        <f>TRIM(データ!Z42)</f>
        <v>1日×3台</v>
      </c>
    </row>
    <row r="46" spans="1:32" x14ac:dyDescent="0.15">
      <c r="A46" s="47">
        <f>データ!A43</f>
        <v>2</v>
      </c>
      <c r="B46" s="47" t="str">
        <f>TRIM(データ!C43)</f>
        <v/>
      </c>
      <c r="C46" s="47" t="str">
        <f>TRIM(データ!D43)</f>
        <v>運搬費</v>
      </c>
      <c r="D46" s="36" t="str">
        <f>REPT("｜",$A46)&amp;TRIM(データ!E43)</f>
        <v>｜｜WP</v>
      </c>
      <c r="E46" s="37" t="str">
        <f>TRIM(データ!F43)</f>
        <v/>
      </c>
      <c r="F46" s="38" t="str">
        <f>TRIM(データ!G43)</f>
        <v>台</v>
      </c>
      <c r="G46" s="50">
        <f>データ!H43</f>
        <v>2</v>
      </c>
      <c r="H46" s="48">
        <f>データ!I43</f>
        <v>5000</v>
      </c>
      <c r="I46" s="48">
        <f>データ!J43</f>
        <v>10000</v>
      </c>
      <c r="J46" s="39" t="str">
        <f>IF(OR($C46="総括",$C46="内訳書",$C46="内訳代価",$C46="明細書",$C46="明細代価",$C46="代価表",$C46="単価表"),データ!K43,"")</f>
        <v/>
      </c>
      <c r="K46" s="11" t="str">
        <f t="shared" si="0"/>
        <v/>
      </c>
      <c r="L46" s="46">
        <f t="shared" si="1"/>
        <v>6.5359477124183002E-4</v>
      </c>
      <c r="M46" s="40" t="str">
        <f>IF(データ!L43="","",データ!L43)</f>
        <v/>
      </c>
      <c r="N46" s="41" t="str">
        <f>IF(データ!M43="","",データ!M43)</f>
        <v/>
      </c>
      <c r="O46" s="42">
        <f>データ!N43</f>
        <v>0</v>
      </c>
      <c r="P46" s="48">
        <f>IF($C46="集計行","",データ!O43)</f>
        <v>0</v>
      </c>
      <c r="Q46" s="48">
        <f>データ!P43</f>
        <v>0</v>
      </c>
      <c r="R46" s="39" t="str">
        <f>IF(OR($C46="総括",$C46="内訳書",$C46="内訳代価",$C46="明細書",$C46="明細代価",$C46="代価表",$C46="単価表"),データ!Q43,"")</f>
        <v/>
      </c>
      <c r="S46" s="11" t="str">
        <f t="shared" si="2"/>
        <v/>
      </c>
      <c r="T46" s="46" t="e">
        <f t="shared" si="3"/>
        <v>#DIV/0!</v>
      </c>
      <c r="U46" s="40" t="str">
        <f>IF(データ!R43="","",データ!R43)</f>
        <v/>
      </c>
      <c r="V46" s="41" t="str">
        <f>IF(データ!S43="","",データ!S43)</f>
        <v/>
      </c>
      <c r="W46" s="42">
        <f>データ!T43</f>
        <v>0</v>
      </c>
      <c r="X46" s="48">
        <f>IF($C46="集計行","",データ!U43)</f>
        <v>0</v>
      </c>
      <c r="Y46" s="48">
        <f>データ!V43</f>
        <v>0</v>
      </c>
      <c r="Z46" s="39" t="str">
        <f>IF(OR($C46="総括",$C46="内訳書",$C46="内訳代価",$C46="明細書",$C46="明細代価",$C46="代価表",$C46="単価表"),データ!W43,"")</f>
        <v/>
      </c>
      <c r="AA46" s="11" t="str">
        <f t="shared" si="4"/>
        <v/>
      </c>
      <c r="AB46" s="46" t="e">
        <f t="shared" si="5"/>
        <v>#DIV/0!</v>
      </c>
      <c r="AC46" s="40" t="str">
        <f>IF(データ!X43="","",データ!X43)</f>
        <v/>
      </c>
      <c r="AD46" s="41" t="str">
        <f>IF(データ!Y43="","",データ!Y43)</f>
        <v/>
      </c>
      <c r="AE46" s="47" t="str">
        <f>TRIM(データ!B43)</f>
        <v>u20718008</v>
      </c>
      <c r="AF46" s="43" t="str">
        <f>TRIM(データ!Z43)</f>
        <v>1日×2台</v>
      </c>
    </row>
    <row r="47" spans="1:32" x14ac:dyDescent="0.15">
      <c r="A47" s="47">
        <f>データ!A44</f>
        <v>1</v>
      </c>
      <c r="B47" s="47" t="str">
        <f>TRIM(データ!C44)</f>
        <v/>
      </c>
      <c r="C47" s="47" t="str">
        <f>TRIM(データ!D44)</f>
        <v>内訳代価</v>
      </c>
      <c r="D47" s="36" t="str">
        <f>REPT("｜",$A47)&amp;TRIM(データ!E44)</f>
        <v>｜車道舗装</v>
      </c>
      <c r="E47" s="37" t="str">
        <f>TRIM(データ!F44)</f>
        <v>表層工</v>
      </c>
      <c r="F47" s="38" t="str">
        <f>TRIM(データ!G44)</f>
        <v>m2</v>
      </c>
      <c r="G47" s="50">
        <f>データ!H44</f>
        <v>1330</v>
      </c>
      <c r="H47" s="48">
        <f>データ!I44</f>
        <v>2000</v>
      </c>
      <c r="I47" s="48">
        <f>データ!J44</f>
        <v>2660000</v>
      </c>
      <c r="J47" s="39">
        <f>IF(OR($C47="総括",$C47="内訳書",$C47="内訳代価",$C47="明細書",$C47="明細代価",$C47="代価表",$C47="単価表"),データ!K44,"")</f>
        <v>1330</v>
      </c>
      <c r="K47" s="11" t="str">
        <f t="shared" si="0"/>
        <v/>
      </c>
      <c r="L47" s="46">
        <f t="shared" si="1"/>
        <v>0.17385620915032679</v>
      </c>
      <c r="M47" s="40" t="str">
        <f>IF(データ!L44="","",データ!L44)</f>
        <v/>
      </c>
      <c r="N47" s="41" t="str">
        <f>IF(データ!M44="","",データ!M44)</f>
        <v>18号内訳書</v>
      </c>
      <c r="O47" s="42">
        <f>データ!N44</f>
        <v>0</v>
      </c>
      <c r="P47" s="48">
        <f>IF($C47="集計行","",データ!O44)</f>
        <v>0</v>
      </c>
      <c r="Q47" s="48">
        <f>データ!P44</f>
        <v>0</v>
      </c>
      <c r="R47" s="39">
        <f>IF(OR($C47="総括",$C47="内訳書",$C47="内訳代価",$C47="明細書",$C47="明細代価",$C47="代価表",$C47="単価表"),データ!Q44,"")</f>
        <v>0</v>
      </c>
      <c r="S47" s="11" t="str">
        <f t="shared" si="2"/>
        <v/>
      </c>
      <c r="T47" s="46" t="e">
        <f t="shared" si="3"/>
        <v>#DIV/0!</v>
      </c>
      <c r="U47" s="40" t="str">
        <f>IF(データ!R44="","",データ!R44)</f>
        <v/>
      </c>
      <c r="V47" s="41" t="str">
        <f>IF(データ!S44="","",データ!S44)</f>
        <v/>
      </c>
      <c r="W47" s="42">
        <f>データ!T44</f>
        <v>0</v>
      </c>
      <c r="X47" s="48">
        <f>IF($C47="集計行","",データ!U44)</f>
        <v>0</v>
      </c>
      <c r="Y47" s="48">
        <f>データ!V44</f>
        <v>0</v>
      </c>
      <c r="Z47" s="39">
        <f>IF(OR($C47="総括",$C47="内訳書",$C47="内訳代価",$C47="明細書",$C47="明細代価",$C47="代価表",$C47="単価表"),データ!W44,"")</f>
        <v>0</v>
      </c>
      <c r="AA47" s="11" t="str">
        <f t="shared" si="4"/>
        <v/>
      </c>
      <c r="AB47" s="46" t="e">
        <f t="shared" si="5"/>
        <v>#DIV/0!</v>
      </c>
      <c r="AC47" s="40" t="str">
        <f>IF(データ!X44="","",データ!X44)</f>
        <v/>
      </c>
      <c r="AD47" s="41" t="str">
        <f>IF(データ!Y44="","",データ!Y44)</f>
        <v/>
      </c>
      <c r="AE47" s="47" t="str">
        <f>TRIM(データ!B44)</f>
        <v/>
      </c>
      <c r="AF47" s="43" t="str">
        <f>TRIM(データ!Z44)</f>
        <v/>
      </c>
    </row>
    <row r="48" spans="1:32" x14ac:dyDescent="0.15">
      <c r="A48" s="47">
        <f>データ!A45</f>
        <v>2</v>
      </c>
      <c r="B48" s="47" t="str">
        <f>TRIM(データ!C45)</f>
        <v/>
      </c>
      <c r="C48" s="47" t="str">
        <f>TRIM(データ!D45)</f>
        <v>材料費</v>
      </c>
      <c r="D48" s="36" t="str">
        <f>REPT("｜",$A48)&amp;TRIM(データ!E45)</f>
        <v>｜｜R改質Ⅱ型密粒度As20スラグ</v>
      </c>
      <c r="E48" s="37" t="str">
        <f>TRIM(データ!F45)</f>
        <v/>
      </c>
      <c r="F48" s="38" t="str">
        <f>TRIM(データ!G45)</f>
        <v>ｔ</v>
      </c>
      <c r="G48" s="50">
        <f>データ!H45</f>
        <v>171</v>
      </c>
      <c r="H48" s="48">
        <f>データ!I45</f>
        <v>12200</v>
      </c>
      <c r="I48" s="48">
        <f>データ!J45</f>
        <v>2086200</v>
      </c>
      <c r="J48" s="39" t="str">
        <f>IF(OR($C48="総括",$C48="内訳書",$C48="内訳代価",$C48="明細書",$C48="明細代価",$C48="代価表",$C48="単価表"),データ!K45,"")</f>
        <v/>
      </c>
      <c r="K48" s="11" t="str">
        <f t="shared" si="0"/>
        <v/>
      </c>
      <c r="L48" s="46">
        <f t="shared" si="1"/>
        <v>0.13635294117647059</v>
      </c>
      <c r="M48" s="40" t="str">
        <f>IF(データ!L45="","",データ!L45)</f>
        <v/>
      </c>
      <c r="N48" s="41" t="str">
        <f>IF(データ!M45="","",データ!M45)</f>
        <v/>
      </c>
      <c r="O48" s="42">
        <f>データ!N45</f>
        <v>0</v>
      </c>
      <c r="P48" s="48">
        <f>IF($C48="集計行","",データ!O45)</f>
        <v>0</v>
      </c>
      <c r="Q48" s="48">
        <f>データ!P45</f>
        <v>0</v>
      </c>
      <c r="R48" s="39" t="str">
        <f>IF(OR($C48="総括",$C48="内訳書",$C48="内訳代価",$C48="明細書",$C48="明細代価",$C48="代価表",$C48="単価表"),データ!Q45,"")</f>
        <v/>
      </c>
      <c r="S48" s="11" t="str">
        <f t="shared" si="2"/>
        <v/>
      </c>
      <c r="T48" s="46" t="e">
        <f t="shared" si="3"/>
        <v>#DIV/0!</v>
      </c>
      <c r="U48" s="40" t="str">
        <f>IF(データ!R45="","",データ!R45)</f>
        <v/>
      </c>
      <c r="V48" s="41" t="str">
        <f>IF(データ!S45="","",データ!S45)</f>
        <v/>
      </c>
      <c r="W48" s="42">
        <f>データ!T45</f>
        <v>0</v>
      </c>
      <c r="X48" s="48">
        <f>IF($C48="集計行","",データ!U45)</f>
        <v>0</v>
      </c>
      <c r="Y48" s="48">
        <f>データ!V45</f>
        <v>0</v>
      </c>
      <c r="Z48" s="39" t="str">
        <f>IF(OR($C48="総括",$C48="内訳書",$C48="内訳代価",$C48="明細書",$C48="明細代価",$C48="代価表",$C48="単価表"),データ!W45,"")</f>
        <v/>
      </c>
      <c r="AA48" s="11" t="str">
        <f t="shared" si="4"/>
        <v/>
      </c>
      <c r="AB48" s="46" t="e">
        <f t="shared" si="5"/>
        <v>#DIV/0!</v>
      </c>
      <c r="AC48" s="40" t="str">
        <f>IF(データ!X45="","",データ!X45)</f>
        <v/>
      </c>
      <c r="AD48" s="41" t="str">
        <f>IF(データ!Y45="","",データ!Y45)</f>
        <v/>
      </c>
      <c r="AE48" s="47" t="str">
        <f>TRIM(データ!B45)</f>
        <v>s20718006</v>
      </c>
      <c r="AF48" s="43" t="str">
        <f>TRIM(データ!Z45)</f>
        <v>1330m2×5cm×2.4×5％</v>
      </c>
    </row>
    <row r="49" spans="1:32" x14ac:dyDescent="0.15">
      <c r="A49" s="47">
        <f>データ!A46</f>
        <v>2</v>
      </c>
      <c r="B49" s="47" t="str">
        <f>TRIM(データ!C46)</f>
        <v/>
      </c>
      <c r="C49" s="47" t="str">
        <f>TRIM(データ!D46)</f>
        <v>材料費</v>
      </c>
      <c r="D49" s="36" t="str">
        <f>REPT("｜",$A49)&amp;TRIM(データ!E46)</f>
        <v>｜｜TFE(ﾀｯｸﾌｧｲﾝE)</v>
      </c>
      <c r="E49" s="37" t="str">
        <f>TRIM(データ!F46)</f>
        <v/>
      </c>
      <c r="F49" s="38" t="str">
        <f>TRIM(データ!G46)</f>
        <v>L</v>
      </c>
      <c r="G49" s="50">
        <f>データ!H46</f>
        <v>600</v>
      </c>
      <c r="H49" s="48">
        <f>データ!I46</f>
        <v>155</v>
      </c>
      <c r="I49" s="48">
        <f>データ!J46</f>
        <v>93000</v>
      </c>
      <c r="J49" s="39" t="str">
        <f>IF(OR($C49="総括",$C49="内訳書",$C49="内訳代価",$C49="明細書",$C49="明細代価",$C49="代価表",$C49="単価表"),データ!K46,"")</f>
        <v/>
      </c>
      <c r="K49" s="11" t="str">
        <f t="shared" si="0"/>
        <v/>
      </c>
      <c r="L49" s="46">
        <f t="shared" si="1"/>
        <v>6.0784313725490199E-3</v>
      </c>
      <c r="M49" s="40" t="str">
        <f>IF(データ!L46="","",データ!L46)</f>
        <v/>
      </c>
      <c r="N49" s="41" t="str">
        <f>IF(データ!M46="","",データ!M46)</f>
        <v/>
      </c>
      <c r="O49" s="42">
        <f>データ!N46</f>
        <v>0</v>
      </c>
      <c r="P49" s="48">
        <f>IF($C49="集計行","",データ!O46)</f>
        <v>0</v>
      </c>
      <c r="Q49" s="48">
        <f>データ!P46</f>
        <v>0</v>
      </c>
      <c r="R49" s="39" t="str">
        <f>IF(OR($C49="総括",$C49="内訳書",$C49="内訳代価",$C49="明細書",$C49="明細代価",$C49="代価表",$C49="単価表"),データ!Q46,"")</f>
        <v/>
      </c>
      <c r="S49" s="11" t="str">
        <f t="shared" si="2"/>
        <v/>
      </c>
      <c r="T49" s="46" t="e">
        <f t="shared" si="3"/>
        <v>#DIV/0!</v>
      </c>
      <c r="U49" s="40" t="str">
        <f>IF(データ!R46="","",データ!R46)</f>
        <v/>
      </c>
      <c r="V49" s="41" t="str">
        <f>IF(データ!S46="","",データ!S46)</f>
        <v/>
      </c>
      <c r="W49" s="42">
        <f>データ!T46</f>
        <v>0</v>
      </c>
      <c r="X49" s="48">
        <f>IF($C49="集計行","",データ!U46)</f>
        <v>0</v>
      </c>
      <c r="Y49" s="48">
        <f>データ!V46</f>
        <v>0</v>
      </c>
      <c r="Z49" s="39" t="str">
        <f>IF(OR($C49="総括",$C49="内訳書",$C49="内訳代価",$C49="明細書",$C49="明細代価",$C49="代価表",$C49="単価表"),データ!W46,"")</f>
        <v/>
      </c>
      <c r="AA49" s="11" t="str">
        <f t="shared" si="4"/>
        <v/>
      </c>
      <c r="AB49" s="46" t="e">
        <f t="shared" si="5"/>
        <v>#DIV/0!</v>
      </c>
      <c r="AC49" s="40" t="str">
        <f>IF(データ!X46="","",データ!X46)</f>
        <v/>
      </c>
      <c r="AD49" s="41" t="str">
        <f>IF(データ!Y46="","",データ!Y46)</f>
        <v/>
      </c>
      <c r="AE49" s="47" t="str">
        <f>TRIM(データ!B46)</f>
        <v>s1005</v>
      </c>
      <c r="AF49" s="43" t="str">
        <f>TRIM(データ!Z46)</f>
        <v/>
      </c>
    </row>
    <row r="50" spans="1:32" x14ac:dyDescent="0.15">
      <c r="A50" s="47">
        <f>データ!A47</f>
        <v>2</v>
      </c>
      <c r="B50" s="47" t="str">
        <f>TRIM(データ!C47)</f>
        <v/>
      </c>
      <c r="C50" s="47" t="str">
        <f>TRIM(データ!D47)</f>
        <v>材料費</v>
      </c>
      <c r="D50" s="36" t="str">
        <f>REPT("｜",$A50)&amp;TRIM(データ!E47)</f>
        <v>｜｜舗装型枠</v>
      </c>
      <c r="E50" s="37" t="str">
        <f>TRIM(データ!F47)</f>
        <v>50*100*4000</v>
      </c>
      <c r="F50" s="38" t="str">
        <f>TRIM(データ!G47)</f>
        <v>ｍ</v>
      </c>
      <c r="G50" s="50">
        <f>データ!H47</f>
        <v>200</v>
      </c>
      <c r="H50" s="48">
        <f>データ!I47</f>
        <v>100</v>
      </c>
      <c r="I50" s="48">
        <f>データ!J47</f>
        <v>20000</v>
      </c>
      <c r="J50" s="39" t="str">
        <f>IF(OR($C50="総括",$C50="内訳書",$C50="内訳代価",$C50="明細書",$C50="明細代価",$C50="代価表",$C50="単価表"),データ!K47,"")</f>
        <v/>
      </c>
      <c r="K50" s="11" t="str">
        <f t="shared" si="0"/>
        <v/>
      </c>
      <c r="L50" s="46">
        <f t="shared" si="1"/>
        <v>1.30718954248366E-3</v>
      </c>
      <c r="M50" s="40" t="str">
        <f>IF(データ!L47="","",データ!L47)</f>
        <v/>
      </c>
      <c r="N50" s="41" t="str">
        <f>IF(データ!M47="","",データ!M47)</f>
        <v/>
      </c>
      <c r="O50" s="42">
        <f>データ!N47</f>
        <v>0</v>
      </c>
      <c r="P50" s="48">
        <f>IF($C50="集計行","",データ!O47)</f>
        <v>0</v>
      </c>
      <c r="Q50" s="48">
        <f>データ!P47</f>
        <v>0</v>
      </c>
      <c r="R50" s="39" t="str">
        <f>IF(OR($C50="総括",$C50="内訳書",$C50="内訳代価",$C50="明細書",$C50="明細代価",$C50="代価表",$C50="単価表"),データ!Q47,"")</f>
        <v/>
      </c>
      <c r="S50" s="11" t="str">
        <f t="shared" si="2"/>
        <v/>
      </c>
      <c r="T50" s="46" t="e">
        <f t="shared" si="3"/>
        <v>#DIV/0!</v>
      </c>
      <c r="U50" s="40" t="str">
        <f>IF(データ!R47="","",データ!R47)</f>
        <v/>
      </c>
      <c r="V50" s="41" t="str">
        <f>IF(データ!S47="","",データ!S47)</f>
        <v/>
      </c>
      <c r="W50" s="42">
        <f>データ!T47</f>
        <v>0</v>
      </c>
      <c r="X50" s="48">
        <f>IF($C50="集計行","",データ!U47)</f>
        <v>0</v>
      </c>
      <c r="Y50" s="48">
        <f>データ!V47</f>
        <v>0</v>
      </c>
      <c r="Z50" s="39" t="str">
        <f>IF(OR($C50="総括",$C50="内訳書",$C50="内訳代価",$C50="明細書",$C50="明細代価",$C50="代価表",$C50="単価表"),データ!W47,"")</f>
        <v/>
      </c>
      <c r="AA50" s="11" t="str">
        <f t="shared" si="4"/>
        <v/>
      </c>
      <c r="AB50" s="46" t="e">
        <f t="shared" si="5"/>
        <v>#DIV/0!</v>
      </c>
      <c r="AC50" s="40" t="str">
        <f>IF(データ!X47="","",データ!X47)</f>
        <v/>
      </c>
      <c r="AD50" s="41" t="str">
        <f>IF(データ!Y47="","",データ!Y47)</f>
        <v/>
      </c>
      <c r="AE50" s="47" t="str">
        <f>TRIM(データ!B47)</f>
        <v>s20718017</v>
      </c>
      <c r="AF50" s="43" t="str">
        <f>TRIM(データ!Z47)</f>
        <v/>
      </c>
    </row>
    <row r="51" spans="1:32" x14ac:dyDescent="0.15">
      <c r="A51" s="47">
        <f>データ!A48</f>
        <v>2</v>
      </c>
      <c r="B51" s="47" t="str">
        <f>TRIM(データ!C48)</f>
        <v/>
      </c>
      <c r="C51" s="47" t="str">
        <f>TRIM(データ!D48)</f>
        <v>材料費</v>
      </c>
      <c r="D51" s="36" t="str">
        <f>REPT("｜",$A51)&amp;TRIM(データ!E48)</f>
        <v>｜｜雑材</v>
      </c>
      <c r="E51" s="37" t="str">
        <f>TRIM(データ!F48)</f>
        <v>舗装</v>
      </c>
      <c r="F51" s="38" t="str">
        <f>TRIM(データ!G48)</f>
        <v>式</v>
      </c>
      <c r="G51" s="50">
        <f>データ!H48</f>
        <v>1</v>
      </c>
      <c r="H51" s="48">
        <f>データ!I48</f>
        <v>12800</v>
      </c>
      <c r="I51" s="48">
        <f>データ!J48</f>
        <v>12800</v>
      </c>
      <c r="J51" s="39" t="str">
        <f>IF(OR($C51="総括",$C51="内訳書",$C51="内訳代価",$C51="明細書",$C51="明細代価",$C51="代価表",$C51="単価表"),データ!K48,"")</f>
        <v/>
      </c>
      <c r="K51" s="11" t="str">
        <f t="shared" si="0"/>
        <v/>
      </c>
      <c r="L51" s="46">
        <f t="shared" si="1"/>
        <v>8.3660130718954243E-4</v>
      </c>
      <c r="M51" s="40" t="str">
        <f>IF(データ!L48="","",データ!L48)</f>
        <v/>
      </c>
      <c r="N51" s="41" t="str">
        <f>IF(データ!M48="","",データ!M48)</f>
        <v/>
      </c>
      <c r="O51" s="42">
        <f>データ!N48</f>
        <v>0</v>
      </c>
      <c r="P51" s="48">
        <f>IF($C51="集計行","",データ!O48)</f>
        <v>0</v>
      </c>
      <c r="Q51" s="48">
        <f>データ!P48</f>
        <v>0</v>
      </c>
      <c r="R51" s="39" t="str">
        <f>IF(OR($C51="総括",$C51="内訳書",$C51="内訳代価",$C51="明細書",$C51="明細代価",$C51="代価表",$C51="単価表"),データ!Q48,"")</f>
        <v/>
      </c>
      <c r="S51" s="11" t="str">
        <f t="shared" si="2"/>
        <v/>
      </c>
      <c r="T51" s="46" t="e">
        <f t="shared" si="3"/>
        <v>#DIV/0!</v>
      </c>
      <c r="U51" s="40" t="str">
        <f>IF(データ!R48="","",データ!R48)</f>
        <v/>
      </c>
      <c r="V51" s="41" t="str">
        <f>IF(データ!S48="","",データ!S48)</f>
        <v/>
      </c>
      <c r="W51" s="42">
        <f>データ!T48</f>
        <v>0</v>
      </c>
      <c r="X51" s="48">
        <f>IF($C51="集計行","",データ!U48)</f>
        <v>0</v>
      </c>
      <c r="Y51" s="48">
        <f>データ!V48</f>
        <v>0</v>
      </c>
      <c r="Z51" s="39" t="str">
        <f>IF(OR($C51="総括",$C51="内訳書",$C51="内訳代価",$C51="明細書",$C51="明細代価",$C51="代価表",$C51="単価表"),データ!W48,"")</f>
        <v/>
      </c>
      <c r="AA51" s="11" t="str">
        <f t="shared" si="4"/>
        <v/>
      </c>
      <c r="AB51" s="46" t="e">
        <f t="shared" si="5"/>
        <v>#DIV/0!</v>
      </c>
      <c r="AC51" s="40" t="str">
        <f>IF(データ!X48="","",データ!X48)</f>
        <v/>
      </c>
      <c r="AD51" s="41" t="str">
        <f>IF(データ!Y48="","",データ!Y48)</f>
        <v/>
      </c>
      <c r="AE51" s="47" t="str">
        <f>TRIM(データ!B48)</f>
        <v>s20718001</v>
      </c>
      <c r="AF51" s="43" t="str">
        <f>TRIM(データ!Z48)</f>
        <v/>
      </c>
    </row>
    <row r="52" spans="1:32" x14ac:dyDescent="0.15">
      <c r="A52" s="47">
        <f>データ!A49</f>
        <v>2</v>
      </c>
      <c r="B52" s="47" t="str">
        <f>TRIM(データ!C49)</f>
        <v/>
      </c>
      <c r="C52" s="47" t="str">
        <f>TRIM(データ!D49)</f>
        <v>材料費</v>
      </c>
      <c r="D52" s="36" t="str">
        <f>REPT("｜",$A52)&amp;TRIM(データ!E49)</f>
        <v>｜｜軽油</v>
      </c>
      <c r="E52" s="37" t="str">
        <f>TRIM(データ!F49)</f>
        <v/>
      </c>
      <c r="F52" s="38" t="str">
        <f>TRIM(データ!G49)</f>
        <v>L</v>
      </c>
      <c r="G52" s="50">
        <f>データ!H49</f>
        <v>100</v>
      </c>
      <c r="H52" s="48">
        <f>データ!I49</f>
        <v>180</v>
      </c>
      <c r="I52" s="48">
        <f>データ!J49</f>
        <v>18000</v>
      </c>
      <c r="J52" s="39" t="str">
        <f>IF(OR($C52="総括",$C52="内訳書",$C52="内訳代価",$C52="明細書",$C52="明細代価",$C52="代価表",$C52="単価表"),データ!K49,"")</f>
        <v/>
      </c>
      <c r="K52" s="11" t="str">
        <f t="shared" si="0"/>
        <v/>
      </c>
      <c r="L52" s="46">
        <f t="shared" si="1"/>
        <v>1.176470588235294E-3</v>
      </c>
      <c r="M52" s="40" t="str">
        <f>IF(データ!L49="","",データ!L49)</f>
        <v/>
      </c>
      <c r="N52" s="41" t="str">
        <f>IF(データ!M49="","",データ!M49)</f>
        <v/>
      </c>
      <c r="O52" s="42">
        <f>データ!N49</f>
        <v>0</v>
      </c>
      <c r="P52" s="48">
        <f>IF($C52="集計行","",データ!O49)</f>
        <v>0</v>
      </c>
      <c r="Q52" s="48">
        <f>データ!P49</f>
        <v>0</v>
      </c>
      <c r="R52" s="39" t="str">
        <f>IF(OR($C52="総括",$C52="内訳書",$C52="内訳代価",$C52="明細書",$C52="明細代価",$C52="代価表",$C52="単価表"),データ!Q49,"")</f>
        <v/>
      </c>
      <c r="S52" s="11" t="str">
        <f t="shared" si="2"/>
        <v/>
      </c>
      <c r="T52" s="46" t="e">
        <f t="shared" si="3"/>
        <v>#DIV/0!</v>
      </c>
      <c r="U52" s="40" t="str">
        <f>IF(データ!R49="","",データ!R49)</f>
        <v/>
      </c>
      <c r="V52" s="41" t="str">
        <f>IF(データ!S49="","",データ!S49)</f>
        <v/>
      </c>
      <c r="W52" s="42">
        <f>データ!T49</f>
        <v>0</v>
      </c>
      <c r="X52" s="48">
        <f>IF($C52="集計行","",データ!U49)</f>
        <v>0</v>
      </c>
      <c r="Y52" s="48">
        <f>データ!V49</f>
        <v>0</v>
      </c>
      <c r="Z52" s="39" t="str">
        <f>IF(OR($C52="総括",$C52="内訳書",$C52="内訳代価",$C52="明細書",$C52="明細代価",$C52="代価表",$C52="単価表"),データ!W49,"")</f>
        <v/>
      </c>
      <c r="AA52" s="11" t="str">
        <f t="shared" si="4"/>
        <v/>
      </c>
      <c r="AB52" s="46" t="e">
        <f t="shared" si="5"/>
        <v>#DIV/0!</v>
      </c>
      <c r="AC52" s="40" t="str">
        <f>IF(データ!X49="","",データ!X49)</f>
        <v/>
      </c>
      <c r="AD52" s="41" t="str">
        <f>IF(データ!Y49="","",データ!Y49)</f>
        <v/>
      </c>
      <c r="AE52" s="47" t="str">
        <f>TRIM(データ!B49)</f>
        <v>s20718549</v>
      </c>
      <c r="AF52" s="43" t="str">
        <f>TRIM(データ!Z49)</f>
        <v/>
      </c>
    </row>
    <row r="53" spans="1:32" x14ac:dyDescent="0.15">
      <c r="A53" s="47">
        <f>データ!A50</f>
        <v>2</v>
      </c>
      <c r="B53" s="47" t="str">
        <f>TRIM(データ!C50)</f>
        <v/>
      </c>
      <c r="C53" s="47" t="str">
        <f>TRIM(データ!D50)</f>
        <v>労務費</v>
      </c>
      <c r="D53" s="36" t="str">
        <f>REPT("｜",$A53)&amp;TRIM(データ!E50)</f>
        <v>｜｜運転工</v>
      </c>
      <c r="E53" s="37" t="str">
        <f>TRIM(データ!F50)</f>
        <v>8H</v>
      </c>
      <c r="F53" s="38" t="str">
        <f>TRIM(データ!G50)</f>
        <v>人</v>
      </c>
      <c r="G53" s="50">
        <f>データ!H50</f>
        <v>12</v>
      </c>
      <c r="H53" s="48">
        <f>データ!I50</f>
        <v>23000</v>
      </c>
      <c r="I53" s="48">
        <f>データ!J50</f>
        <v>276000</v>
      </c>
      <c r="J53" s="39" t="str">
        <f>IF(OR($C53="総括",$C53="内訳書",$C53="内訳代価",$C53="明細書",$C53="明細代価",$C53="代価表",$C53="単価表"),データ!K50,"")</f>
        <v/>
      </c>
      <c r="K53" s="11" t="str">
        <f t="shared" si="0"/>
        <v/>
      </c>
      <c r="L53" s="46">
        <f t="shared" si="1"/>
        <v>1.803921568627451E-2</v>
      </c>
      <c r="M53" s="40" t="str">
        <f>IF(データ!L50="","",データ!L50)</f>
        <v/>
      </c>
      <c r="N53" s="41" t="str">
        <f>IF(データ!M50="","",データ!M50)</f>
        <v/>
      </c>
      <c r="O53" s="42">
        <f>データ!N50</f>
        <v>0</v>
      </c>
      <c r="P53" s="48">
        <f>IF($C53="集計行","",データ!O50)</f>
        <v>0</v>
      </c>
      <c r="Q53" s="48">
        <f>データ!P50</f>
        <v>0</v>
      </c>
      <c r="R53" s="39" t="str">
        <f>IF(OR($C53="総括",$C53="内訳書",$C53="内訳代価",$C53="明細書",$C53="明細代価",$C53="代価表",$C53="単価表"),データ!Q50,"")</f>
        <v/>
      </c>
      <c r="S53" s="11" t="str">
        <f t="shared" si="2"/>
        <v/>
      </c>
      <c r="T53" s="46" t="e">
        <f t="shared" si="3"/>
        <v>#DIV/0!</v>
      </c>
      <c r="U53" s="40" t="str">
        <f>IF(データ!R50="","",データ!R50)</f>
        <v/>
      </c>
      <c r="V53" s="41" t="str">
        <f>IF(データ!S50="","",データ!S50)</f>
        <v/>
      </c>
      <c r="W53" s="42">
        <f>データ!T50</f>
        <v>0</v>
      </c>
      <c r="X53" s="48">
        <f>IF($C53="集計行","",データ!U50)</f>
        <v>0</v>
      </c>
      <c r="Y53" s="48">
        <f>データ!V50</f>
        <v>0</v>
      </c>
      <c r="Z53" s="39" t="str">
        <f>IF(OR($C53="総括",$C53="内訳書",$C53="内訳代価",$C53="明細書",$C53="明細代価",$C53="代価表",$C53="単価表"),データ!W50,"")</f>
        <v/>
      </c>
      <c r="AA53" s="11" t="str">
        <f t="shared" si="4"/>
        <v/>
      </c>
      <c r="AB53" s="46" t="e">
        <f t="shared" si="5"/>
        <v>#DIV/0!</v>
      </c>
      <c r="AC53" s="40" t="str">
        <f>IF(データ!X50="","",データ!X50)</f>
        <v/>
      </c>
      <c r="AD53" s="41" t="str">
        <f>IF(データ!Y50="","",データ!Y50)</f>
        <v/>
      </c>
      <c r="AE53" s="47" t="str">
        <f>TRIM(データ!B50)</f>
        <v>r20718007</v>
      </c>
      <c r="AF53" s="43" t="str">
        <f>TRIM(データ!Z50)</f>
        <v>1日×12人</v>
      </c>
    </row>
    <row r="54" spans="1:32" x14ac:dyDescent="0.15">
      <c r="A54" s="47">
        <f>データ!A51</f>
        <v>2</v>
      </c>
      <c r="B54" s="47" t="str">
        <f>TRIM(データ!C51)</f>
        <v/>
      </c>
      <c r="C54" s="47" t="str">
        <f>TRIM(データ!D51)</f>
        <v>機械費</v>
      </c>
      <c r="D54" s="36" t="str">
        <f>REPT("｜",$A54)&amp;TRIM(データ!E51)</f>
        <v>｜｜Asフィニッシャー6.0m</v>
      </c>
      <c r="E54" s="37" t="str">
        <f>TRIM(データ!F51)</f>
        <v>低騒音</v>
      </c>
      <c r="F54" s="38" t="str">
        <f>TRIM(データ!G51)</f>
        <v>日台</v>
      </c>
      <c r="G54" s="50">
        <f>データ!H51</f>
        <v>1</v>
      </c>
      <c r="H54" s="48">
        <f>データ!I51</f>
        <v>60000</v>
      </c>
      <c r="I54" s="48">
        <f>データ!J51</f>
        <v>60000</v>
      </c>
      <c r="J54" s="39" t="str">
        <f>IF(OR($C54="総括",$C54="内訳書",$C54="内訳代価",$C54="明細書",$C54="明細代価",$C54="代価表",$C54="単価表"),データ!K51,"")</f>
        <v/>
      </c>
      <c r="K54" s="11" t="str">
        <f t="shared" si="0"/>
        <v/>
      </c>
      <c r="L54" s="46">
        <f t="shared" si="1"/>
        <v>3.9215686274509803E-3</v>
      </c>
      <c r="M54" s="40" t="str">
        <f>IF(データ!L51="","",データ!L51)</f>
        <v/>
      </c>
      <c r="N54" s="41" t="str">
        <f>IF(データ!M51="","",データ!M51)</f>
        <v/>
      </c>
      <c r="O54" s="42">
        <f>データ!N51</f>
        <v>0</v>
      </c>
      <c r="P54" s="48">
        <f>IF($C54="集計行","",データ!O51)</f>
        <v>0</v>
      </c>
      <c r="Q54" s="48">
        <f>データ!P51</f>
        <v>0</v>
      </c>
      <c r="R54" s="39" t="str">
        <f>IF(OR($C54="総括",$C54="内訳書",$C54="内訳代価",$C54="明細書",$C54="明細代価",$C54="代価表",$C54="単価表"),データ!Q51,"")</f>
        <v/>
      </c>
      <c r="S54" s="11" t="str">
        <f t="shared" si="2"/>
        <v/>
      </c>
      <c r="T54" s="46" t="e">
        <f t="shared" si="3"/>
        <v>#DIV/0!</v>
      </c>
      <c r="U54" s="40" t="str">
        <f>IF(データ!R51="","",データ!R51)</f>
        <v/>
      </c>
      <c r="V54" s="41" t="str">
        <f>IF(データ!S51="","",データ!S51)</f>
        <v/>
      </c>
      <c r="W54" s="42">
        <f>データ!T51</f>
        <v>0</v>
      </c>
      <c r="X54" s="48">
        <f>IF($C54="集計行","",データ!U51)</f>
        <v>0</v>
      </c>
      <c r="Y54" s="48">
        <f>データ!V51</f>
        <v>0</v>
      </c>
      <c r="Z54" s="39" t="str">
        <f>IF(OR($C54="総括",$C54="内訳書",$C54="内訳代価",$C54="明細書",$C54="明細代価",$C54="代価表",$C54="単価表"),データ!W51,"")</f>
        <v/>
      </c>
      <c r="AA54" s="11" t="str">
        <f t="shared" si="4"/>
        <v/>
      </c>
      <c r="AB54" s="46" t="e">
        <f t="shared" si="5"/>
        <v>#DIV/0!</v>
      </c>
      <c r="AC54" s="40" t="str">
        <f>IF(データ!X51="","",データ!X51)</f>
        <v/>
      </c>
      <c r="AD54" s="41" t="str">
        <f>IF(データ!Y51="","",データ!Y51)</f>
        <v/>
      </c>
      <c r="AE54" s="47" t="str">
        <f>TRIM(データ!B51)</f>
        <v>k20718054</v>
      </c>
      <c r="AF54" s="43" t="str">
        <f>TRIM(データ!Z51)</f>
        <v>1日×1台</v>
      </c>
    </row>
    <row r="55" spans="1:32" x14ac:dyDescent="0.15">
      <c r="A55" s="47">
        <f>データ!A52</f>
        <v>2</v>
      </c>
      <c r="B55" s="47" t="str">
        <f>TRIM(データ!C52)</f>
        <v/>
      </c>
      <c r="C55" s="47" t="str">
        <f>TRIM(データ!D52)</f>
        <v>機械費</v>
      </c>
      <c r="D55" s="36" t="str">
        <f>REPT("｜",$A55)&amp;TRIM(データ!E52)</f>
        <v>｜｜タイヤR　8t</v>
      </c>
      <c r="E55" s="37" t="str">
        <f>TRIM(データ!F52)</f>
        <v>8t　低騒音</v>
      </c>
      <c r="F55" s="38" t="str">
        <f>TRIM(データ!G52)</f>
        <v>日台</v>
      </c>
      <c r="G55" s="50">
        <f>データ!H52</f>
        <v>1</v>
      </c>
      <c r="H55" s="48">
        <f>データ!I52</f>
        <v>7000</v>
      </c>
      <c r="I55" s="48">
        <f>データ!J52</f>
        <v>7000</v>
      </c>
      <c r="J55" s="39" t="str">
        <f>IF(OR($C55="総括",$C55="内訳書",$C55="内訳代価",$C55="明細書",$C55="明細代価",$C55="代価表",$C55="単価表"),データ!K52,"")</f>
        <v/>
      </c>
      <c r="K55" s="11" t="str">
        <f t="shared" si="0"/>
        <v/>
      </c>
      <c r="L55" s="46">
        <f t="shared" si="1"/>
        <v>4.5751633986928104E-4</v>
      </c>
      <c r="M55" s="40" t="str">
        <f>IF(データ!L52="","",データ!L52)</f>
        <v/>
      </c>
      <c r="N55" s="41" t="str">
        <f>IF(データ!M52="","",データ!M52)</f>
        <v/>
      </c>
      <c r="O55" s="42">
        <f>データ!N52</f>
        <v>0</v>
      </c>
      <c r="P55" s="48">
        <f>IF($C55="集計行","",データ!O52)</f>
        <v>0</v>
      </c>
      <c r="Q55" s="48">
        <f>データ!P52</f>
        <v>0</v>
      </c>
      <c r="R55" s="39" t="str">
        <f>IF(OR($C55="総括",$C55="内訳書",$C55="内訳代価",$C55="明細書",$C55="明細代価",$C55="代価表",$C55="単価表"),データ!Q52,"")</f>
        <v/>
      </c>
      <c r="S55" s="11" t="str">
        <f t="shared" si="2"/>
        <v/>
      </c>
      <c r="T55" s="46" t="e">
        <f t="shared" si="3"/>
        <v>#DIV/0!</v>
      </c>
      <c r="U55" s="40" t="str">
        <f>IF(データ!R52="","",データ!R52)</f>
        <v/>
      </c>
      <c r="V55" s="41" t="str">
        <f>IF(データ!S52="","",データ!S52)</f>
        <v/>
      </c>
      <c r="W55" s="42">
        <f>データ!T52</f>
        <v>0</v>
      </c>
      <c r="X55" s="48">
        <f>IF($C55="集計行","",データ!U52)</f>
        <v>0</v>
      </c>
      <c r="Y55" s="48">
        <f>データ!V52</f>
        <v>0</v>
      </c>
      <c r="Z55" s="39" t="str">
        <f>IF(OR($C55="総括",$C55="内訳書",$C55="内訳代価",$C55="明細書",$C55="明細代価",$C55="代価表",$C55="単価表"),データ!W52,"")</f>
        <v/>
      </c>
      <c r="AA55" s="11" t="str">
        <f t="shared" si="4"/>
        <v/>
      </c>
      <c r="AB55" s="46" t="e">
        <f t="shared" si="5"/>
        <v>#DIV/0!</v>
      </c>
      <c r="AC55" s="40" t="str">
        <f>IF(データ!X52="","",データ!X52)</f>
        <v/>
      </c>
      <c r="AD55" s="41" t="str">
        <f>IF(データ!Y52="","",データ!Y52)</f>
        <v/>
      </c>
      <c r="AE55" s="47" t="str">
        <f>TRIM(データ!B52)</f>
        <v>k20718043</v>
      </c>
      <c r="AF55" s="43" t="str">
        <f>TRIM(データ!Z52)</f>
        <v>1日×1台</v>
      </c>
    </row>
    <row r="56" spans="1:32" x14ac:dyDescent="0.15">
      <c r="A56" s="47">
        <f>データ!A53</f>
        <v>2</v>
      </c>
      <c r="B56" s="47" t="str">
        <f>TRIM(データ!C53)</f>
        <v/>
      </c>
      <c r="C56" s="47" t="str">
        <f>TRIM(データ!D53)</f>
        <v>機械費</v>
      </c>
      <c r="D56" s="36" t="str">
        <f>REPT("｜",$A56)&amp;TRIM(データ!E53)</f>
        <v>｜｜マカダムR</v>
      </c>
      <c r="E56" s="37" t="str">
        <f>TRIM(データ!F53)</f>
        <v>R2　低騒音</v>
      </c>
      <c r="F56" s="38" t="str">
        <f>TRIM(データ!G53)</f>
        <v>日台</v>
      </c>
      <c r="G56" s="50">
        <f>データ!H53</f>
        <v>1</v>
      </c>
      <c r="H56" s="48">
        <f>データ!I53</f>
        <v>8000</v>
      </c>
      <c r="I56" s="48">
        <f>データ!J53</f>
        <v>8000</v>
      </c>
      <c r="J56" s="39" t="str">
        <f>IF(OR($C56="総括",$C56="内訳書",$C56="内訳代価",$C56="明細書",$C56="明細代価",$C56="代価表",$C56="単価表"),データ!K53,"")</f>
        <v/>
      </c>
      <c r="K56" s="11" t="str">
        <f t="shared" si="0"/>
        <v/>
      </c>
      <c r="L56" s="46">
        <f t="shared" si="1"/>
        <v>5.228758169934641E-4</v>
      </c>
      <c r="M56" s="40" t="str">
        <f>IF(データ!L53="","",データ!L53)</f>
        <v/>
      </c>
      <c r="N56" s="41" t="str">
        <f>IF(データ!M53="","",データ!M53)</f>
        <v/>
      </c>
      <c r="O56" s="42">
        <f>データ!N53</f>
        <v>0</v>
      </c>
      <c r="P56" s="48">
        <f>IF($C56="集計行","",データ!O53)</f>
        <v>0</v>
      </c>
      <c r="Q56" s="48">
        <f>データ!P53</f>
        <v>0</v>
      </c>
      <c r="R56" s="39" t="str">
        <f>IF(OR($C56="総括",$C56="内訳書",$C56="内訳代価",$C56="明細書",$C56="明細代価",$C56="代価表",$C56="単価表"),データ!Q53,"")</f>
        <v/>
      </c>
      <c r="S56" s="11" t="str">
        <f t="shared" si="2"/>
        <v/>
      </c>
      <c r="T56" s="46" t="e">
        <f t="shared" si="3"/>
        <v>#DIV/0!</v>
      </c>
      <c r="U56" s="40" t="str">
        <f>IF(データ!R53="","",データ!R53)</f>
        <v/>
      </c>
      <c r="V56" s="41" t="str">
        <f>IF(データ!S53="","",データ!S53)</f>
        <v/>
      </c>
      <c r="W56" s="42">
        <f>データ!T53</f>
        <v>0</v>
      </c>
      <c r="X56" s="48">
        <f>IF($C56="集計行","",データ!U53)</f>
        <v>0</v>
      </c>
      <c r="Y56" s="48">
        <f>データ!V53</f>
        <v>0</v>
      </c>
      <c r="Z56" s="39" t="str">
        <f>IF(OR($C56="総括",$C56="内訳書",$C56="内訳代価",$C56="明細書",$C56="明細代価",$C56="代価表",$C56="単価表"),データ!W53,"")</f>
        <v/>
      </c>
      <c r="AA56" s="11" t="str">
        <f t="shared" si="4"/>
        <v/>
      </c>
      <c r="AB56" s="46" t="e">
        <f t="shared" si="5"/>
        <v>#DIV/0!</v>
      </c>
      <c r="AC56" s="40" t="str">
        <f>IF(データ!X53="","",データ!X53)</f>
        <v/>
      </c>
      <c r="AD56" s="41" t="str">
        <f>IF(データ!Y53="","",データ!Y53)</f>
        <v/>
      </c>
      <c r="AE56" s="47" t="str">
        <f>TRIM(データ!B53)</f>
        <v>k20718039</v>
      </c>
      <c r="AF56" s="43" t="str">
        <f>TRIM(データ!Z53)</f>
        <v>1日×1台</v>
      </c>
    </row>
    <row r="57" spans="1:32" x14ac:dyDescent="0.15">
      <c r="A57" s="47">
        <f>データ!A54</f>
        <v>2</v>
      </c>
      <c r="B57" s="47" t="str">
        <f>TRIM(データ!C54)</f>
        <v/>
      </c>
      <c r="C57" s="47" t="str">
        <f>TRIM(データ!D54)</f>
        <v>機械費</v>
      </c>
      <c r="D57" s="36" t="str">
        <f>REPT("｜",$A57)&amp;TRIM(データ!E54)</f>
        <v>｜｜コンバインドR</v>
      </c>
      <c r="E57" s="37" t="str">
        <f>TRIM(データ!F54)</f>
        <v>3t　4ｔ　低騒音</v>
      </c>
      <c r="F57" s="38" t="str">
        <f>TRIM(データ!G54)</f>
        <v>日台</v>
      </c>
      <c r="G57" s="50">
        <f>データ!H54</f>
        <v>1</v>
      </c>
      <c r="H57" s="48">
        <f>データ!I54</f>
        <v>5000</v>
      </c>
      <c r="I57" s="48">
        <f>データ!J54</f>
        <v>5000</v>
      </c>
      <c r="J57" s="39" t="str">
        <f>IF(OR($C57="総括",$C57="内訳書",$C57="内訳代価",$C57="明細書",$C57="明細代価",$C57="代価表",$C57="単価表"),データ!K54,"")</f>
        <v/>
      </c>
      <c r="K57" s="11" t="str">
        <f t="shared" si="0"/>
        <v/>
      </c>
      <c r="L57" s="46">
        <f t="shared" si="1"/>
        <v>3.2679738562091501E-4</v>
      </c>
      <c r="M57" s="40" t="str">
        <f>IF(データ!L54="","",データ!L54)</f>
        <v/>
      </c>
      <c r="N57" s="41" t="str">
        <f>IF(データ!M54="","",データ!M54)</f>
        <v/>
      </c>
      <c r="O57" s="42">
        <f>データ!N54</f>
        <v>0</v>
      </c>
      <c r="P57" s="48">
        <f>IF($C57="集計行","",データ!O54)</f>
        <v>0</v>
      </c>
      <c r="Q57" s="48">
        <f>データ!P54</f>
        <v>0</v>
      </c>
      <c r="R57" s="39" t="str">
        <f>IF(OR($C57="総括",$C57="内訳書",$C57="内訳代価",$C57="明細書",$C57="明細代価",$C57="代価表",$C57="単価表"),データ!Q54,"")</f>
        <v/>
      </c>
      <c r="S57" s="11" t="str">
        <f t="shared" si="2"/>
        <v/>
      </c>
      <c r="T57" s="46" t="e">
        <f t="shared" si="3"/>
        <v>#DIV/0!</v>
      </c>
      <c r="U57" s="40" t="str">
        <f>IF(データ!R54="","",データ!R54)</f>
        <v/>
      </c>
      <c r="V57" s="41" t="str">
        <f>IF(データ!S54="","",データ!S54)</f>
        <v/>
      </c>
      <c r="W57" s="42">
        <f>データ!T54</f>
        <v>0</v>
      </c>
      <c r="X57" s="48">
        <f>IF($C57="集計行","",データ!U54)</f>
        <v>0</v>
      </c>
      <c r="Y57" s="48">
        <f>データ!V54</f>
        <v>0</v>
      </c>
      <c r="Z57" s="39" t="str">
        <f>IF(OR($C57="総括",$C57="内訳書",$C57="内訳代価",$C57="明細書",$C57="明細代価",$C57="代価表",$C57="単価表"),データ!W54,"")</f>
        <v/>
      </c>
      <c r="AA57" s="11" t="str">
        <f t="shared" si="4"/>
        <v/>
      </c>
      <c r="AB57" s="46" t="e">
        <f t="shared" si="5"/>
        <v>#DIV/0!</v>
      </c>
      <c r="AC57" s="40" t="str">
        <f>IF(データ!X54="","",データ!X54)</f>
        <v/>
      </c>
      <c r="AD57" s="41" t="str">
        <f>IF(データ!Y54="","",データ!Y54)</f>
        <v/>
      </c>
      <c r="AE57" s="47" t="str">
        <f>TRIM(データ!B54)</f>
        <v>k20718031</v>
      </c>
      <c r="AF57" s="43" t="str">
        <f>TRIM(データ!Z54)</f>
        <v>1日×1台</v>
      </c>
    </row>
    <row r="58" spans="1:32" x14ac:dyDescent="0.15">
      <c r="A58" s="47">
        <f>データ!A55</f>
        <v>2</v>
      </c>
      <c r="B58" s="47" t="str">
        <f>TRIM(データ!C55)</f>
        <v/>
      </c>
      <c r="C58" s="47" t="str">
        <f>TRIM(データ!D55)</f>
        <v>機械費</v>
      </c>
      <c r="D58" s="36" t="str">
        <f>REPT("｜",$A58)&amp;TRIM(データ!E55)</f>
        <v>｜｜タイヤショベル0.5</v>
      </c>
      <c r="E58" s="37" t="str">
        <f>TRIM(データ!F55)</f>
        <v>低騒音</v>
      </c>
      <c r="F58" s="38" t="str">
        <f>TRIM(データ!G55)</f>
        <v>日台</v>
      </c>
      <c r="G58" s="50">
        <f>データ!H55</f>
        <v>1</v>
      </c>
      <c r="H58" s="48">
        <f>データ!I55</f>
        <v>6000</v>
      </c>
      <c r="I58" s="48">
        <f>データ!J55</f>
        <v>6000</v>
      </c>
      <c r="J58" s="39" t="str">
        <f>IF(OR($C58="総括",$C58="内訳書",$C58="内訳代価",$C58="明細書",$C58="明細代価",$C58="代価表",$C58="単価表"),データ!K55,"")</f>
        <v/>
      </c>
      <c r="K58" s="11" t="str">
        <f t="shared" si="0"/>
        <v/>
      </c>
      <c r="L58" s="46">
        <f t="shared" si="1"/>
        <v>3.9215686274509802E-4</v>
      </c>
      <c r="M58" s="40" t="str">
        <f>IF(データ!L55="","",データ!L55)</f>
        <v/>
      </c>
      <c r="N58" s="41" t="str">
        <f>IF(データ!M55="","",データ!M55)</f>
        <v/>
      </c>
      <c r="O58" s="42">
        <f>データ!N55</f>
        <v>0</v>
      </c>
      <c r="P58" s="48">
        <f>IF($C58="集計行","",データ!O55)</f>
        <v>0</v>
      </c>
      <c r="Q58" s="48">
        <f>データ!P55</f>
        <v>0</v>
      </c>
      <c r="R58" s="39" t="str">
        <f>IF(OR($C58="総括",$C58="内訳書",$C58="内訳代価",$C58="明細書",$C58="明細代価",$C58="代価表",$C58="単価表"),データ!Q55,"")</f>
        <v/>
      </c>
      <c r="S58" s="11" t="str">
        <f t="shared" si="2"/>
        <v/>
      </c>
      <c r="T58" s="46" t="e">
        <f t="shared" si="3"/>
        <v>#DIV/0!</v>
      </c>
      <c r="U58" s="40" t="str">
        <f>IF(データ!R55="","",データ!R55)</f>
        <v/>
      </c>
      <c r="V58" s="41" t="str">
        <f>IF(データ!S55="","",データ!S55)</f>
        <v/>
      </c>
      <c r="W58" s="42">
        <f>データ!T55</f>
        <v>0</v>
      </c>
      <c r="X58" s="48">
        <f>IF($C58="集計行","",データ!U55)</f>
        <v>0</v>
      </c>
      <c r="Y58" s="48">
        <f>データ!V55</f>
        <v>0</v>
      </c>
      <c r="Z58" s="39" t="str">
        <f>IF(OR($C58="総括",$C58="内訳書",$C58="内訳代価",$C58="明細書",$C58="明細代価",$C58="代価表",$C58="単価表"),データ!W55,"")</f>
        <v/>
      </c>
      <c r="AA58" s="11" t="str">
        <f t="shared" si="4"/>
        <v/>
      </c>
      <c r="AB58" s="46" t="e">
        <f t="shared" si="5"/>
        <v>#DIV/0!</v>
      </c>
      <c r="AC58" s="40" t="str">
        <f>IF(データ!X55="","",データ!X55)</f>
        <v/>
      </c>
      <c r="AD58" s="41" t="str">
        <f>IF(データ!Y55="","",データ!Y55)</f>
        <v/>
      </c>
      <c r="AE58" s="47" t="str">
        <f>TRIM(データ!B55)</f>
        <v>k20718024</v>
      </c>
      <c r="AF58" s="43" t="str">
        <f>TRIM(データ!Z55)</f>
        <v>1日×1台</v>
      </c>
    </row>
    <row r="59" spans="1:32" x14ac:dyDescent="0.15">
      <c r="A59" s="47">
        <f>データ!A56</f>
        <v>2</v>
      </c>
      <c r="B59" s="47" t="str">
        <f>TRIM(データ!C56)</f>
        <v/>
      </c>
      <c r="C59" s="47" t="str">
        <f>TRIM(データ!D56)</f>
        <v>機械費</v>
      </c>
      <c r="D59" s="36" t="str">
        <f>REPT("｜",$A59)&amp;TRIM(データ!E56)</f>
        <v>｜｜ディストリビューター(昼)</v>
      </c>
      <c r="E59" s="37" t="str">
        <f>TRIM(データ!F56)</f>
        <v/>
      </c>
      <c r="F59" s="38" t="str">
        <f>TRIM(データ!G56)</f>
        <v>日台</v>
      </c>
      <c r="G59" s="50">
        <f>データ!H56</f>
        <v>1</v>
      </c>
      <c r="H59" s="48">
        <f>データ!I56</f>
        <v>40000</v>
      </c>
      <c r="I59" s="48">
        <f>データ!J56</f>
        <v>40000</v>
      </c>
      <c r="J59" s="39" t="str">
        <f>IF(OR($C59="総括",$C59="内訳書",$C59="内訳代価",$C59="明細書",$C59="明細代価",$C59="代価表",$C59="単価表"),データ!K56,"")</f>
        <v/>
      </c>
      <c r="K59" s="11" t="str">
        <f t="shared" si="0"/>
        <v/>
      </c>
      <c r="L59" s="46">
        <f t="shared" si="1"/>
        <v>2.6143790849673201E-3</v>
      </c>
      <c r="M59" s="40" t="str">
        <f>IF(データ!L56="","",データ!L56)</f>
        <v/>
      </c>
      <c r="N59" s="41" t="str">
        <f>IF(データ!M56="","",データ!M56)</f>
        <v/>
      </c>
      <c r="O59" s="42">
        <f>データ!N56</f>
        <v>0</v>
      </c>
      <c r="P59" s="48">
        <f>IF($C59="集計行","",データ!O56)</f>
        <v>0</v>
      </c>
      <c r="Q59" s="48">
        <f>データ!P56</f>
        <v>0</v>
      </c>
      <c r="R59" s="39" t="str">
        <f>IF(OR($C59="総括",$C59="内訳書",$C59="内訳代価",$C59="明細書",$C59="明細代価",$C59="代価表",$C59="単価表"),データ!Q56,"")</f>
        <v/>
      </c>
      <c r="S59" s="11" t="str">
        <f t="shared" si="2"/>
        <v/>
      </c>
      <c r="T59" s="46" t="e">
        <f t="shared" si="3"/>
        <v>#DIV/0!</v>
      </c>
      <c r="U59" s="40" t="str">
        <f>IF(データ!R56="","",データ!R56)</f>
        <v/>
      </c>
      <c r="V59" s="41" t="str">
        <f>IF(データ!S56="","",データ!S56)</f>
        <v/>
      </c>
      <c r="W59" s="42">
        <f>データ!T56</f>
        <v>0</v>
      </c>
      <c r="X59" s="48">
        <f>IF($C59="集計行","",データ!U56)</f>
        <v>0</v>
      </c>
      <c r="Y59" s="48">
        <f>データ!V56</f>
        <v>0</v>
      </c>
      <c r="Z59" s="39" t="str">
        <f>IF(OR($C59="総括",$C59="内訳書",$C59="内訳代価",$C59="明細書",$C59="明細代価",$C59="代価表",$C59="単価表"),データ!W56,"")</f>
        <v/>
      </c>
      <c r="AA59" s="11" t="str">
        <f t="shared" si="4"/>
        <v/>
      </c>
      <c r="AB59" s="46" t="e">
        <f t="shared" si="5"/>
        <v>#DIV/0!</v>
      </c>
      <c r="AC59" s="40" t="str">
        <f>IF(データ!X56="","",データ!X56)</f>
        <v/>
      </c>
      <c r="AD59" s="41" t="str">
        <f>IF(データ!Y56="","",データ!Y56)</f>
        <v/>
      </c>
      <c r="AE59" s="47" t="str">
        <f>TRIM(データ!B56)</f>
        <v>k20718106</v>
      </c>
      <c r="AF59" s="43" t="str">
        <f>TRIM(データ!Z56)</f>
        <v>1日×1台</v>
      </c>
    </row>
    <row r="60" spans="1:32" x14ac:dyDescent="0.15">
      <c r="A60" s="47">
        <f>データ!A57</f>
        <v>2</v>
      </c>
      <c r="B60" s="47" t="str">
        <f>TRIM(データ!C57)</f>
        <v/>
      </c>
      <c r="C60" s="47" t="str">
        <f>TRIM(データ!D57)</f>
        <v>運搬費</v>
      </c>
      <c r="D60" s="36" t="str">
        <f>REPT("｜",$A60)&amp;TRIM(データ!E57)</f>
        <v>｜｜2tダンプ</v>
      </c>
      <c r="E60" s="37" t="str">
        <f>TRIM(データ!F57)</f>
        <v/>
      </c>
      <c r="F60" s="38" t="str">
        <f>TRIM(データ!G57)</f>
        <v>台</v>
      </c>
      <c r="G60" s="50">
        <f>データ!H57</f>
        <v>3</v>
      </c>
      <c r="H60" s="48">
        <f>データ!I57</f>
        <v>6000</v>
      </c>
      <c r="I60" s="48">
        <f>データ!J57</f>
        <v>18000</v>
      </c>
      <c r="J60" s="39" t="str">
        <f>IF(OR($C60="総括",$C60="内訳書",$C60="内訳代価",$C60="明細書",$C60="明細代価",$C60="代価表",$C60="単価表"),データ!K57,"")</f>
        <v/>
      </c>
      <c r="K60" s="11" t="str">
        <f t="shared" si="0"/>
        <v/>
      </c>
      <c r="L60" s="46">
        <f t="shared" si="1"/>
        <v>1.176470588235294E-3</v>
      </c>
      <c r="M60" s="40" t="str">
        <f>IF(データ!L57="","",データ!L57)</f>
        <v/>
      </c>
      <c r="N60" s="41" t="str">
        <f>IF(データ!M57="","",データ!M57)</f>
        <v/>
      </c>
      <c r="O60" s="42">
        <f>データ!N57</f>
        <v>0</v>
      </c>
      <c r="P60" s="48">
        <f>IF($C60="集計行","",データ!O57)</f>
        <v>0</v>
      </c>
      <c r="Q60" s="48">
        <f>データ!P57</f>
        <v>0</v>
      </c>
      <c r="R60" s="39" t="str">
        <f>IF(OR($C60="総括",$C60="内訳書",$C60="内訳代価",$C60="明細書",$C60="明細代価",$C60="代価表",$C60="単価表"),データ!Q57,"")</f>
        <v/>
      </c>
      <c r="S60" s="11" t="str">
        <f t="shared" si="2"/>
        <v/>
      </c>
      <c r="T60" s="46" t="e">
        <f t="shared" si="3"/>
        <v>#DIV/0!</v>
      </c>
      <c r="U60" s="40" t="str">
        <f>IF(データ!R57="","",データ!R57)</f>
        <v/>
      </c>
      <c r="V60" s="41" t="str">
        <f>IF(データ!S57="","",データ!S57)</f>
        <v/>
      </c>
      <c r="W60" s="42">
        <f>データ!T57</f>
        <v>0</v>
      </c>
      <c r="X60" s="48">
        <f>IF($C60="集計行","",データ!U57)</f>
        <v>0</v>
      </c>
      <c r="Y60" s="48">
        <f>データ!V57</f>
        <v>0</v>
      </c>
      <c r="Z60" s="39" t="str">
        <f>IF(OR($C60="総括",$C60="内訳書",$C60="内訳代価",$C60="明細書",$C60="明細代価",$C60="代価表",$C60="単価表"),データ!W57,"")</f>
        <v/>
      </c>
      <c r="AA60" s="11" t="str">
        <f t="shared" si="4"/>
        <v/>
      </c>
      <c r="AB60" s="46" t="e">
        <f t="shared" si="5"/>
        <v>#DIV/0!</v>
      </c>
      <c r="AC60" s="40" t="str">
        <f>IF(データ!X57="","",データ!X57)</f>
        <v/>
      </c>
      <c r="AD60" s="41" t="str">
        <f>IF(データ!Y57="","",データ!Y57)</f>
        <v/>
      </c>
      <c r="AE60" s="47" t="str">
        <f>TRIM(データ!B57)</f>
        <v>u20718025</v>
      </c>
      <c r="AF60" s="43" t="str">
        <f>TRIM(データ!Z57)</f>
        <v>1日×3台</v>
      </c>
    </row>
    <row r="61" spans="1:32" x14ac:dyDescent="0.15">
      <c r="A61" s="47">
        <f>データ!A58</f>
        <v>2</v>
      </c>
      <c r="B61" s="47" t="str">
        <f>TRIM(データ!C58)</f>
        <v/>
      </c>
      <c r="C61" s="47" t="str">
        <f>TRIM(データ!D58)</f>
        <v>運搬費</v>
      </c>
      <c r="D61" s="36" t="str">
        <f>REPT("｜",$A61)&amp;TRIM(データ!E58)</f>
        <v>｜｜WP</v>
      </c>
      <c r="E61" s="37" t="str">
        <f>TRIM(データ!F58)</f>
        <v/>
      </c>
      <c r="F61" s="38" t="str">
        <f>TRIM(データ!G58)</f>
        <v>台</v>
      </c>
      <c r="G61" s="50">
        <f>データ!H58</f>
        <v>2</v>
      </c>
      <c r="H61" s="48">
        <f>データ!I58</f>
        <v>5000</v>
      </c>
      <c r="I61" s="48">
        <f>データ!J58</f>
        <v>10000</v>
      </c>
      <c r="J61" s="39" t="str">
        <f>IF(OR($C61="総括",$C61="内訳書",$C61="内訳代価",$C61="明細書",$C61="明細代価",$C61="代価表",$C61="単価表"),データ!K58,"")</f>
        <v/>
      </c>
      <c r="K61" s="11" t="str">
        <f t="shared" si="0"/>
        <v/>
      </c>
      <c r="L61" s="46">
        <f t="shared" si="1"/>
        <v>6.5359477124183002E-4</v>
      </c>
      <c r="M61" s="40" t="str">
        <f>IF(データ!L58="","",データ!L58)</f>
        <v/>
      </c>
      <c r="N61" s="41" t="str">
        <f>IF(データ!M58="","",データ!M58)</f>
        <v/>
      </c>
      <c r="O61" s="42">
        <f>データ!N58</f>
        <v>0</v>
      </c>
      <c r="P61" s="48">
        <f>IF($C61="集計行","",データ!O58)</f>
        <v>0</v>
      </c>
      <c r="Q61" s="48">
        <f>データ!P58</f>
        <v>0</v>
      </c>
      <c r="R61" s="39" t="str">
        <f>IF(OR($C61="総括",$C61="内訳書",$C61="内訳代価",$C61="明細書",$C61="明細代価",$C61="代価表",$C61="単価表"),データ!Q58,"")</f>
        <v/>
      </c>
      <c r="S61" s="11" t="str">
        <f t="shared" si="2"/>
        <v/>
      </c>
      <c r="T61" s="46" t="e">
        <f t="shared" si="3"/>
        <v>#DIV/0!</v>
      </c>
      <c r="U61" s="40" t="str">
        <f>IF(データ!R58="","",データ!R58)</f>
        <v/>
      </c>
      <c r="V61" s="41" t="str">
        <f>IF(データ!S58="","",データ!S58)</f>
        <v/>
      </c>
      <c r="W61" s="42">
        <f>データ!T58</f>
        <v>0</v>
      </c>
      <c r="X61" s="48">
        <f>IF($C61="集計行","",データ!U58)</f>
        <v>0</v>
      </c>
      <c r="Y61" s="48">
        <f>データ!V58</f>
        <v>0</v>
      </c>
      <c r="Z61" s="39" t="str">
        <f>IF(OR($C61="総括",$C61="内訳書",$C61="内訳代価",$C61="明細書",$C61="明細代価",$C61="代価表",$C61="単価表"),データ!W58,"")</f>
        <v/>
      </c>
      <c r="AA61" s="11" t="str">
        <f t="shared" si="4"/>
        <v/>
      </c>
      <c r="AB61" s="46" t="e">
        <f t="shared" si="5"/>
        <v>#DIV/0!</v>
      </c>
      <c r="AC61" s="40" t="str">
        <f>IF(データ!X58="","",データ!X58)</f>
        <v/>
      </c>
      <c r="AD61" s="41" t="str">
        <f>IF(データ!Y58="","",データ!Y58)</f>
        <v/>
      </c>
      <c r="AE61" s="47" t="str">
        <f>TRIM(データ!B58)</f>
        <v>u20718008</v>
      </c>
      <c r="AF61" s="43" t="str">
        <f>TRIM(データ!Z58)</f>
        <v>1日×2台</v>
      </c>
    </row>
    <row r="62" spans="1:32" x14ac:dyDescent="0.15">
      <c r="A62" s="47">
        <f>データ!A59</f>
        <v>1</v>
      </c>
      <c r="B62" s="47" t="str">
        <f>TRIM(データ!C59)</f>
        <v/>
      </c>
      <c r="C62" s="47" t="str">
        <f>TRIM(データ!D59)</f>
        <v>内訳代価</v>
      </c>
      <c r="D62" s="36" t="str">
        <f>REPT("｜",$A62)&amp;TRIM(データ!E59)</f>
        <v>｜市道舗装</v>
      </c>
      <c r="E62" s="37" t="str">
        <f>TRIM(データ!F59)</f>
        <v>側道　表層工</v>
      </c>
      <c r="F62" s="38" t="str">
        <f>TRIM(データ!G59)</f>
        <v>m2</v>
      </c>
      <c r="G62" s="50">
        <f>データ!H59</f>
        <v>700</v>
      </c>
      <c r="H62" s="48">
        <f>データ!I59</f>
        <v>2310</v>
      </c>
      <c r="I62" s="48">
        <f>データ!J59</f>
        <v>1617000</v>
      </c>
      <c r="J62" s="39">
        <f>IF(OR($C62="総括",$C62="内訳書",$C62="内訳代価",$C62="明細書",$C62="明細代価",$C62="代価表",$C62="単価表"),データ!K59,"")</f>
        <v>700</v>
      </c>
      <c r="K62" s="11" t="str">
        <f t="shared" si="0"/>
        <v/>
      </c>
      <c r="L62" s="46">
        <f t="shared" si="1"/>
        <v>0.10568627450980392</v>
      </c>
      <c r="M62" s="40" t="str">
        <f>IF(データ!L59="","",データ!L59)</f>
        <v/>
      </c>
      <c r="N62" s="41" t="str">
        <f>IF(データ!M59="","",データ!M59)</f>
        <v>19号内訳書</v>
      </c>
      <c r="O62" s="42">
        <f>データ!N59</f>
        <v>0</v>
      </c>
      <c r="P62" s="48">
        <f>IF($C62="集計行","",データ!O59)</f>
        <v>0</v>
      </c>
      <c r="Q62" s="48">
        <f>データ!P59</f>
        <v>0</v>
      </c>
      <c r="R62" s="39">
        <f>IF(OR($C62="総括",$C62="内訳書",$C62="内訳代価",$C62="明細書",$C62="明細代価",$C62="代価表",$C62="単価表"),データ!Q59,"")</f>
        <v>0</v>
      </c>
      <c r="S62" s="11" t="str">
        <f t="shared" si="2"/>
        <v/>
      </c>
      <c r="T62" s="46" t="e">
        <f t="shared" si="3"/>
        <v>#DIV/0!</v>
      </c>
      <c r="U62" s="40" t="str">
        <f>IF(データ!R59="","",データ!R59)</f>
        <v/>
      </c>
      <c r="V62" s="41" t="str">
        <f>IF(データ!S59="","",データ!S59)</f>
        <v/>
      </c>
      <c r="W62" s="42">
        <f>データ!T59</f>
        <v>0</v>
      </c>
      <c r="X62" s="48">
        <f>IF($C62="集計行","",データ!U59)</f>
        <v>0</v>
      </c>
      <c r="Y62" s="48">
        <f>データ!V59</f>
        <v>0</v>
      </c>
      <c r="Z62" s="39">
        <f>IF(OR($C62="総括",$C62="内訳書",$C62="内訳代価",$C62="明細書",$C62="明細代価",$C62="代価表",$C62="単価表"),データ!W59,"")</f>
        <v>0</v>
      </c>
      <c r="AA62" s="11" t="str">
        <f t="shared" si="4"/>
        <v/>
      </c>
      <c r="AB62" s="46" t="e">
        <f t="shared" si="5"/>
        <v>#DIV/0!</v>
      </c>
      <c r="AC62" s="40" t="str">
        <f>IF(データ!X59="","",データ!X59)</f>
        <v/>
      </c>
      <c r="AD62" s="41" t="str">
        <f>IF(データ!Y59="","",データ!Y59)</f>
        <v/>
      </c>
      <c r="AE62" s="47" t="str">
        <f>TRIM(データ!B59)</f>
        <v/>
      </c>
      <c r="AF62" s="43" t="str">
        <f>TRIM(データ!Z59)</f>
        <v/>
      </c>
    </row>
    <row r="63" spans="1:32" x14ac:dyDescent="0.15">
      <c r="A63" s="47">
        <f>データ!A60</f>
        <v>2</v>
      </c>
      <c r="B63" s="47" t="str">
        <f>TRIM(データ!C60)</f>
        <v/>
      </c>
      <c r="C63" s="47" t="str">
        <f>TRIM(データ!D60)</f>
        <v>材料費</v>
      </c>
      <c r="D63" s="36" t="str">
        <f>REPT("｜",$A63)&amp;TRIM(データ!E60)</f>
        <v>｜｜R改質Ⅱ型密粒度As13スラグ</v>
      </c>
      <c r="E63" s="37" t="str">
        <f>TRIM(データ!F60)</f>
        <v/>
      </c>
      <c r="F63" s="38" t="str">
        <f>TRIM(データ!G60)</f>
        <v>ｔ</v>
      </c>
      <c r="G63" s="50">
        <f>データ!H60</f>
        <v>90</v>
      </c>
      <c r="H63" s="48">
        <f>データ!I60</f>
        <v>12200</v>
      </c>
      <c r="I63" s="48">
        <f>データ!J60</f>
        <v>1098000</v>
      </c>
      <c r="J63" s="39" t="str">
        <f>IF(OR($C63="総括",$C63="内訳書",$C63="内訳代価",$C63="明細書",$C63="明細代価",$C63="代価表",$C63="単価表"),データ!K60,"")</f>
        <v/>
      </c>
      <c r="K63" s="11" t="str">
        <f t="shared" si="0"/>
        <v/>
      </c>
      <c r="L63" s="46">
        <f t="shared" si="1"/>
        <v>7.1764705882352939E-2</v>
      </c>
      <c r="M63" s="40" t="str">
        <f>IF(データ!L60="","",データ!L60)</f>
        <v/>
      </c>
      <c r="N63" s="41" t="str">
        <f>IF(データ!M60="","",データ!M60)</f>
        <v/>
      </c>
      <c r="O63" s="42">
        <f>データ!N60</f>
        <v>0</v>
      </c>
      <c r="P63" s="48">
        <f>IF($C63="集計行","",データ!O60)</f>
        <v>0</v>
      </c>
      <c r="Q63" s="48">
        <f>データ!P60</f>
        <v>0</v>
      </c>
      <c r="R63" s="39" t="str">
        <f>IF(OR($C63="総括",$C63="内訳書",$C63="内訳代価",$C63="明細書",$C63="明細代価",$C63="代価表",$C63="単価表"),データ!Q60,"")</f>
        <v/>
      </c>
      <c r="S63" s="11" t="str">
        <f t="shared" si="2"/>
        <v/>
      </c>
      <c r="T63" s="46" t="e">
        <f t="shared" si="3"/>
        <v>#DIV/0!</v>
      </c>
      <c r="U63" s="40" t="str">
        <f>IF(データ!R60="","",データ!R60)</f>
        <v/>
      </c>
      <c r="V63" s="41" t="str">
        <f>IF(データ!S60="","",データ!S60)</f>
        <v/>
      </c>
      <c r="W63" s="42">
        <f>データ!T60</f>
        <v>0</v>
      </c>
      <c r="X63" s="48">
        <f>IF($C63="集計行","",データ!U60)</f>
        <v>0</v>
      </c>
      <c r="Y63" s="48">
        <f>データ!V60</f>
        <v>0</v>
      </c>
      <c r="Z63" s="39" t="str">
        <f>IF(OR($C63="総括",$C63="内訳書",$C63="内訳代価",$C63="明細書",$C63="明細代価",$C63="代価表",$C63="単価表"),データ!W60,"")</f>
        <v/>
      </c>
      <c r="AA63" s="11" t="str">
        <f t="shared" si="4"/>
        <v/>
      </c>
      <c r="AB63" s="46" t="e">
        <f t="shared" si="5"/>
        <v>#DIV/0!</v>
      </c>
      <c r="AC63" s="40" t="str">
        <f>IF(データ!X60="","",データ!X60)</f>
        <v/>
      </c>
      <c r="AD63" s="41" t="str">
        <f>IF(データ!Y60="","",データ!Y60)</f>
        <v/>
      </c>
      <c r="AE63" s="47" t="str">
        <f>TRIM(データ!B60)</f>
        <v>s20718006</v>
      </c>
      <c r="AF63" s="43" t="str">
        <f>TRIM(データ!Z60)</f>
        <v>700m2×5cm×2.4×5％</v>
      </c>
    </row>
    <row r="64" spans="1:32" x14ac:dyDescent="0.15">
      <c r="A64" s="47">
        <f>データ!A61</f>
        <v>2</v>
      </c>
      <c r="B64" s="47" t="str">
        <f>TRIM(データ!C61)</f>
        <v/>
      </c>
      <c r="C64" s="47" t="str">
        <f>TRIM(データ!D61)</f>
        <v>材料費</v>
      </c>
      <c r="D64" s="36" t="str">
        <f>REPT("｜",$A64)&amp;TRIM(データ!E61)</f>
        <v>｜｜乳剤PK-3・4</v>
      </c>
      <c r="E64" s="37" t="str">
        <f>TRIM(データ!F61)</f>
        <v/>
      </c>
      <c r="F64" s="38" t="str">
        <f>TRIM(データ!G61)</f>
        <v>L</v>
      </c>
      <c r="G64" s="50">
        <f>データ!H61</f>
        <v>600</v>
      </c>
      <c r="H64" s="48">
        <f>データ!I61</f>
        <v>100</v>
      </c>
      <c r="I64" s="48">
        <f>データ!J61</f>
        <v>60000</v>
      </c>
      <c r="J64" s="39" t="str">
        <f>IF(OR($C64="総括",$C64="内訳書",$C64="内訳代価",$C64="明細書",$C64="明細代価",$C64="代価表",$C64="単価表"),データ!K61,"")</f>
        <v/>
      </c>
      <c r="K64" s="11" t="str">
        <f t="shared" si="0"/>
        <v/>
      </c>
      <c r="L64" s="46">
        <f t="shared" si="1"/>
        <v>3.9215686274509803E-3</v>
      </c>
      <c r="M64" s="40" t="str">
        <f>IF(データ!L61="","",データ!L61)</f>
        <v/>
      </c>
      <c r="N64" s="41" t="str">
        <f>IF(データ!M61="","",データ!M61)</f>
        <v/>
      </c>
      <c r="O64" s="42">
        <f>データ!N61</f>
        <v>0</v>
      </c>
      <c r="P64" s="48">
        <f>IF($C64="集計行","",データ!O61)</f>
        <v>0</v>
      </c>
      <c r="Q64" s="48">
        <f>データ!P61</f>
        <v>0</v>
      </c>
      <c r="R64" s="39" t="str">
        <f>IF(OR($C64="総括",$C64="内訳書",$C64="内訳代価",$C64="明細書",$C64="明細代価",$C64="代価表",$C64="単価表"),データ!Q61,"")</f>
        <v/>
      </c>
      <c r="S64" s="11" t="str">
        <f t="shared" si="2"/>
        <v/>
      </c>
      <c r="T64" s="46" t="e">
        <f t="shared" si="3"/>
        <v>#DIV/0!</v>
      </c>
      <c r="U64" s="40" t="str">
        <f>IF(データ!R61="","",データ!R61)</f>
        <v/>
      </c>
      <c r="V64" s="41" t="str">
        <f>IF(データ!S61="","",データ!S61)</f>
        <v/>
      </c>
      <c r="W64" s="42">
        <f>データ!T61</f>
        <v>0</v>
      </c>
      <c r="X64" s="48">
        <f>IF($C64="集計行","",データ!U61)</f>
        <v>0</v>
      </c>
      <c r="Y64" s="48">
        <f>データ!V61</f>
        <v>0</v>
      </c>
      <c r="Z64" s="39" t="str">
        <f>IF(OR($C64="総括",$C64="内訳書",$C64="内訳代価",$C64="明細書",$C64="明細代価",$C64="代価表",$C64="単価表"),データ!W61,"")</f>
        <v/>
      </c>
      <c r="AA64" s="11" t="str">
        <f t="shared" si="4"/>
        <v/>
      </c>
      <c r="AB64" s="46" t="e">
        <f t="shared" si="5"/>
        <v>#DIV/0!</v>
      </c>
      <c r="AC64" s="40" t="str">
        <f>IF(データ!X61="","",データ!X61)</f>
        <v/>
      </c>
      <c r="AD64" s="41" t="str">
        <f>IF(データ!Y61="","",データ!Y61)</f>
        <v/>
      </c>
      <c r="AE64" s="47" t="str">
        <f>TRIM(データ!B61)</f>
        <v>s20718015</v>
      </c>
      <c r="AF64" s="43" t="str">
        <f>TRIM(データ!Z61)</f>
        <v>700m2×0.8</v>
      </c>
    </row>
    <row r="65" spans="1:32" x14ac:dyDescent="0.15">
      <c r="A65" s="47">
        <f>データ!A62</f>
        <v>2</v>
      </c>
      <c r="B65" s="47" t="str">
        <f>TRIM(データ!C62)</f>
        <v/>
      </c>
      <c r="C65" s="47" t="str">
        <f>TRIM(データ!D62)</f>
        <v>材料費</v>
      </c>
      <c r="D65" s="36" t="str">
        <f>REPT("｜",$A65)&amp;TRIM(データ!E62)</f>
        <v>｜｜山砂</v>
      </c>
      <c r="E65" s="37" t="str">
        <f>TRIM(データ!F62)</f>
        <v/>
      </c>
      <c r="F65" s="38" t="str">
        <f>TRIM(データ!G62)</f>
        <v>ｔ</v>
      </c>
      <c r="G65" s="50">
        <f>データ!H62</f>
        <v>1</v>
      </c>
      <c r="H65" s="48">
        <f>データ!I62</f>
        <v>5000</v>
      </c>
      <c r="I65" s="48">
        <f>データ!J62</f>
        <v>5000</v>
      </c>
      <c r="J65" s="39" t="str">
        <f>IF(OR($C65="総括",$C65="内訳書",$C65="内訳代価",$C65="明細書",$C65="明細代価",$C65="代価表",$C65="単価表"),データ!K62,"")</f>
        <v/>
      </c>
      <c r="K65" s="11" t="str">
        <f t="shared" si="0"/>
        <v/>
      </c>
      <c r="L65" s="46">
        <f t="shared" si="1"/>
        <v>3.2679738562091501E-4</v>
      </c>
      <c r="M65" s="40" t="str">
        <f>IF(データ!L62="","",データ!L62)</f>
        <v/>
      </c>
      <c r="N65" s="41" t="str">
        <f>IF(データ!M62="","",データ!M62)</f>
        <v/>
      </c>
      <c r="O65" s="42">
        <f>データ!N62</f>
        <v>0</v>
      </c>
      <c r="P65" s="48">
        <f>IF($C65="集計行","",データ!O62)</f>
        <v>0</v>
      </c>
      <c r="Q65" s="48">
        <f>データ!P62</f>
        <v>0</v>
      </c>
      <c r="R65" s="39" t="str">
        <f>IF(OR($C65="総括",$C65="内訳書",$C65="内訳代価",$C65="明細書",$C65="明細代価",$C65="代価表",$C65="単価表"),データ!Q62,"")</f>
        <v/>
      </c>
      <c r="S65" s="11" t="str">
        <f t="shared" si="2"/>
        <v/>
      </c>
      <c r="T65" s="46" t="e">
        <f t="shared" si="3"/>
        <v>#DIV/0!</v>
      </c>
      <c r="U65" s="40" t="str">
        <f>IF(データ!R62="","",データ!R62)</f>
        <v/>
      </c>
      <c r="V65" s="41" t="str">
        <f>IF(データ!S62="","",データ!S62)</f>
        <v/>
      </c>
      <c r="W65" s="42">
        <f>データ!T62</f>
        <v>0</v>
      </c>
      <c r="X65" s="48">
        <f>IF($C65="集計行","",データ!U62)</f>
        <v>0</v>
      </c>
      <c r="Y65" s="48">
        <f>データ!V62</f>
        <v>0</v>
      </c>
      <c r="Z65" s="39" t="str">
        <f>IF(OR($C65="総括",$C65="内訳書",$C65="内訳代価",$C65="明細書",$C65="明細代価",$C65="代価表",$C65="単価表"),データ!W62,"")</f>
        <v/>
      </c>
      <c r="AA65" s="11" t="str">
        <f t="shared" si="4"/>
        <v/>
      </c>
      <c r="AB65" s="46" t="e">
        <f t="shared" si="5"/>
        <v>#DIV/0!</v>
      </c>
      <c r="AC65" s="40" t="str">
        <f>IF(データ!X62="","",データ!X62)</f>
        <v/>
      </c>
      <c r="AD65" s="41" t="str">
        <f>IF(データ!Y62="","",データ!Y62)</f>
        <v/>
      </c>
      <c r="AE65" s="47" t="str">
        <f>TRIM(データ!B62)</f>
        <v>s20718042</v>
      </c>
      <c r="AF65" s="43" t="str">
        <f>TRIM(データ!Z62)</f>
        <v/>
      </c>
    </row>
    <row r="66" spans="1:32" x14ac:dyDescent="0.15">
      <c r="A66" s="47">
        <f>データ!A63</f>
        <v>2</v>
      </c>
      <c r="B66" s="47" t="str">
        <f>TRIM(データ!C63)</f>
        <v/>
      </c>
      <c r="C66" s="47" t="str">
        <f>TRIM(データ!D63)</f>
        <v>材料費</v>
      </c>
      <c r="D66" s="36" t="str">
        <f>REPT("｜",$A66)&amp;TRIM(データ!E63)</f>
        <v>｜｜雑材</v>
      </c>
      <c r="E66" s="37" t="str">
        <f>TRIM(データ!F63)</f>
        <v>舗装</v>
      </c>
      <c r="F66" s="38" t="str">
        <f>TRIM(データ!G63)</f>
        <v>式</v>
      </c>
      <c r="G66" s="50">
        <f>データ!H63</f>
        <v>1</v>
      </c>
      <c r="H66" s="48">
        <f>データ!I63</f>
        <v>18000</v>
      </c>
      <c r="I66" s="48">
        <f>データ!J63</f>
        <v>18000</v>
      </c>
      <c r="J66" s="39" t="str">
        <f>IF(OR($C66="総括",$C66="内訳書",$C66="内訳代価",$C66="明細書",$C66="明細代価",$C66="代価表",$C66="単価表"),データ!K63,"")</f>
        <v/>
      </c>
      <c r="K66" s="11" t="str">
        <f t="shared" si="0"/>
        <v/>
      </c>
      <c r="L66" s="46">
        <f t="shared" si="1"/>
        <v>1.176470588235294E-3</v>
      </c>
      <c r="M66" s="40" t="str">
        <f>IF(データ!L63="","",データ!L63)</f>
        <v/>
      </c>
      <c r="N66" s="41" t="str">
        <f>IF(データ!M63="","",データ!M63)</f>
        <v/>
      </c>
      <c r="O66" s="42">
        <f>データ!N63</f>
        <v>0</v>
      </c>
      <c r="P66" s="48">
        <f>IF($C66="集計行","",データ!O63)</f>
        <v>0</v>
      </c>
      <c r="Q66" s="48">
        <f>データ!P63</f>
        <v>0</v>
      </c>
      <c r="R66" s="39" t="str">
        <f>IF(OR($C66="総括",$C66="内訳書",$C66="内訳代価",$C66="明細書",$C66="明細代価",$C66="代価表",$C66="単価表"),データ!Q63,"")</f>
        <v/>
      </c>
      <c r="S66" s="11" t="str">
        <f t="shared" si="2"/>
        <v/>
      </c>
      <c r="T66" s="46" t="e">
        <f t="shared" si="3"/>
        <v>#DIV/0!</v>
      </c>
      <c r="U66" s="40" t="str">
        <f>IF(データ!R63="","",データ!R63)</f>
        <v/>
      </c>
      <c r="V66" s="41" t="str">
        <f>IF(データ!S63="","",データ!S63)</f>
        <v/>
      </c>
      <c r="W66" s="42">
        <f>データ!T63</f>
        <v>0</v>
      </c>
      <c r="X66" s="48">
        <f>IF($C66="集計行","",データ!U63)</f>
        <v>0</v>
      </c>
      <c r="Y66" s="48">
        <f>データ!V63</f>
        <v>0</v>
      </c>
      <c r="Z66" s="39" t="str">
        <f>IF(OR($C66="総括",$C66="内訳書",$C66="内訳代価",$C66="明細書",$C66="明細代価",$C66="代価表",$C66="単価表"),データ!W63,"")</f>
        <v/>
      </c>
      <c r="AA66" s="11" t="str">
        <f t="shared" si="4"/>
        <v/>
      </c>
      <c r="AB66" s="46" t="e">
        <f t="shared" si="5"/>
        <v>#DIV/0!</v>
      </c>
      <c r="AC66" s="40" t="str">
        <f>IF(データ!X63="","",データ!X63)</f>
        <v/>
      </c>
      <c r="AD66" s="41" t="str">
        <f>IF(データ!Y63="","",データ!Y63)</f>
        <v/>
      </c>
      <c r="AE66" s="47" t="str">
        <f>TRIM(データ!B63)</f>
        <v>s20718001</v>
      </c>
      <c r="AF66" s="43" t="str">
        <f>TRIM(データ!Z63)</f>
        <v/>
      </c>
    </row>
    <row r="67" spans="1:32" x14ac:dyDescent="0.15">
      <c r="A67" s="47">
        <f>データ!A64</f>
        <v>2</v>
      </c>
      <c r="B67" s="47" t="str">
        <f>TRIM(データ!C64)</f>
        <v/>
      </c>
      <c r="C67" s="47" t="str">
        <f>TRIM(データ!D64)</f>
        <v>材料費</v>
      </c>
      <c r="D67" s="36" t="str">
        <f>REPT("｜",$A67)&amp;TRIM(データ!E64)</f>
        <v>｜｜軽油</v>
      </c>
      <c r="E67" s="37" t="str">
        <f>TRIM(データ!F64)</f>
        <v/>
      </c>
      <c r="F67" s="38" t="str">
        <f>TRIM(データ!G64)</f>
        <v>L</v>
      </c>
      <c r="G67" s="50">
        <f>データ!H64</f>
        <v>150</v>
      </c>
      <c r="H67" s="48">
        <f>データ!I64</f>
        <v>180</v>
      </c>
      <c r="I67" s="48">
        <f>データ!J64</f>
        <v>27000</v>
      </c>
      <c r="J67" s="39" t="str">
        <f>IF(OR($C67="総括",$C67="内訳書",$C67="内訳代価",$C67="明細書",$C67="明細代価",$C67="代価表",$C67="単価表"),データ!K64,"")</f>
        <v/>
      </c>
      <c r="K67" s="11" t="str">
        <f t="shared" si="0"/>
        <v/>
      </c>
      <c r="L67" s="46">
        <f t="shared" si="1"/>
        <v>1.7647058823529412E-3</v>
      </c>
      <c r="M67" s="40" t="str">
        <f>IF(データ!L64="","",データ!L64)</f>
        <v/>
      </c>
      <c r="N67" s="41" t="str">
        <f>IF(データ!M64="","",データ!M64)</f>
        <v/>
      </c>
      <c r="O67" s="42">
        <f>データ!N64</f>
        <v>0</v>
      </c>
      <c r="P67" s="48">
        <f>IF($C67="集計行","",データ!O64)</f>
        <v>0</v>
      </c>
      <c r="Q67" s="48">
        <f>データ!P64</f>
        <v>0</v>
      </c>
      <c r="R67" s="39" t="str">
        <f>IF(OR($C67="総括",$C67="内訳書",$C67="内訳代価",$C67="明細書",$C67="明細代価",$C67="代価表",$C67="単価表"),データ!Q64,"")</f>
        <v/>
      </c>
      <c r="S67" s="11" t="str">
        <f t="shared" si="2"/>
        <v/>
      </c>
      <c r="T67" s="46" t="e">
        <f t="shared" si="3"/>
        <v>#DIV/0!</v>
      </c>
      <c r="U67" s="40" t="str">
        <f>IF(データ!R64="","",データ!R64)</f>
        <v/>
      </c>
      <c r="V67" s="41" t="str">
        <f>IF(データ!S64="","",データ!S64)</f>
        <v/>
      </c>
      <c r="W67" s="42">
        <f>データ!T64</f>
        <v>0</v>
      </c>
      <c r="X67" s="48">
        <f>IF($C67="集計行","",データ!U64)</f>
        <v>0</v>
      </c>
      <c r="Y67" s="48">
        <f>データ!V64</f>
        <v>0</v>
      </c>
      <c r="Z67" s="39" t="str">
        <f>IF(OR($C67="総括",$C67="内訳書",$C67="内訳代価",$C67="明細書",$C67="明細代価",$C67="代価表",$C67="単価表"),データ!W64,"")</f>
        <v/>
      </c>
      <c r="AA67" s="11" t="str">
        <f t="shared" si="4"/>
        <v/>
      </c>
      <c r="AB67" s="46" t="e">
        <f t="shared" si="5"/>
        <v>#DIV/0!</v>
      </c>
      <c r="AC67" s="40" t="str">
        <f>IF(データ!X64="","",データ!X64)</f>
        <v/>
      </c>
      <c r="AD67" s="41" t="str">
        <f>IF(データ!Y64="","",データ!Y64)</f>
        <v/>
      </c>
      <c r="AE67" s="47" t="str">
        <f>TRIM(データ!B64)</f>
        <v>s20718549</v>
      </c>
      <c r="AF67" s="43" t="str">
        <f>TRIM(データ!Z64)</f>
        <v/>
      </c>
    </row>
    <row r="68" spans="1:32" x14ac:dyDescent="0.15">
      <c r="A68" s="47">
        <f>データ!A65</f>
        <v>2</v>
      </c>
      <c r="B68" s="47" t="str">
        <f>TRIM(データ!C65)</f>
        <v/>
      </c>
      <c r="C68" s="47" t="str">
        <f>TRIM(データ!D65)</f>
        <v>労務費</v>
      </c>
      <c r="D68" s="36" t="str">
        <f>REPT("｜",$A68)&amp;TRIM(データ!E65)</f>
        <v>｜｜運転工</v>
      </c>
      <c r="E68" s="37" t="str">
        <f>TRIM(データ!F65)</f>
        <v>8H</v>
      </c>
      <c r="F68" s="38" t="str">
        <f>TRIM(データ!G65)</f>
        <v>人</v>
      </c>
      <c r="G68" s="50">
        <f>データ!H65</f>
        <v>12</v>
      </c>
      <c r="H68" s="48">
        <f>データ!I65</f>
        <v>23000</v>
      </c>
      <c r="I68" s="48">
        <f>データ!J65</f>
        <v>276000</v>
      </c>
      <c r="J68" s="39" t="str">
        <f>IF(OR($C68="総括",$C68="内訳書",$C68="内訳代価",$C68="明細書",$C68="明細代価",$C68="代価表",$C68="単価表"),データ!K65,"")</f>
        <v/>
      </c>
      <c r="K68" s="11" t="str">
        <f t="shared" si="0"/>
        <v/>
      </c>
      <c r="L68" s="46">
        <f t="shared" si="1"/>
        <v>1.803921568627451E-2</v>
      </c>
      <c r="M68" s="40" t="str">
        <f>IF(データ!L65="","",データ!L65)</f>
        <v/>
      </c>
      <c r="N68" s="41" t="str">
        <f>IF(データ!M65="","",データ!M65)</f>
        <v/>
      </c>
      <c r="O68" s="42">
        <f>データ!N65</f>
        <v>0</v>
      </c>
      <c r="P68" s="48">
        <f>IF($C68="集計行","",データ!O65)</f>
        <v>0</v>
      </c>
      <c r="Q68" s="48">
        <f>データ!P65</f>
        <v>0</v>
      </c>
      <c r="R68" s="39" t="str">
        <f>IF(OR($C68="総括",$C68="内訳書",$C68="内訳代価",$C68="明細書",$C68="明細代価",$C68="代価表",$C68="単価表"),データ!Q65,"")</f>
        <v/>
      </c>
      <c r="S68" s="11" t="str">
        <f t="shared" si="2"/>
        <v/>
      </c>
      <c r="T68" s="46" t="e">
        <f t="shared" si="3"/>
        <v>#DIV/0!</v>
      </c>
      <c r="U68" s="40" t="str">
        <f>IF(データ!R65="","",データ!R65)</f>
        <v/>
      </c>
      <c r="V68" s="41" t="str">
        <f>IF(データ!S65="","",データ!S65)</f>
        <v/>
      </c>
      <c r="W68" s="42">
        <f>データ!T65</f>
        <v>0</v>
      </c>
      <c r="X68" s="48">
        <f>IF($C68="集計行","",データ!U65)</f>
        <v>0</v>
      </c>
      <c r="Y68" s="48">
        <f>データ!V65</f>
        <v>0</v>
      </c>
      <c r="Z68" s="39" t="str">
        <f>IF(OR($C68="総括",$C68="内訳書",$C68="内訳代価",$C68="明細書",$C68="明細代価",$C68="代価表",$C68="単価表"),データ!W65,"")</f>
        <v/>
      </c>
      <c r="AA68" s="11" t="str">
        <f t="shared" si="4"/>
        <v/>
      </c>
      <c r="AB68" s="46" t="e">
        <f t="shared" si="5"/>
        <v>#DIV/0!</v>
      </c>
      <c r="AC68" s="40" t="str">
        <f>IF(データ!X65="","",データ!X65)</f>
        <v/>
      </c>
      <c r="AD68" s="41" t="str">
        <f>IF(データ!Y65="","",データ!Y65)</f>
        <v/>
      </c>
      <c r="AE68" s="47" t="str">
        <f>TRIM(データ!B65)</f>
        <v>r20718007</v>
      </c>
      <c r="AF68" s="43" t="str">
        <f>TRIM(データ!Z65)</f>
        <v>1日×12人</v>
      </c>
    </row>
    <row r="69" spans="1:32" x14ac:dyDescent="0.15">
      <c r="A69" s="47">
        <f>データ!A66</f>
        <v>2</v>
      </c>
      <c r="B69" s="47" t="str">
        <f>TRIM(データ!C66)</f>
        <v/>
      </c>
      <c r="C69" s="47" t="str">
        <f>TRIM(データ!D66)</f>
        <v>機械費</v>
      </c>
      <c r="D69" s="36" t="str">
        <f>REPT("｜",$A69)&amp;TRIM(データ!E66)</f>
        <v>｜｜Asフィニッシャー4.4m</v>
      </c>
      <c r="E69" s="37" t="str">
        <f>TRIM(データ!F66)</f>
        <v>低騒音</v>
      </c>
      <c r="F69" s="38" t="str">
        <f>TRIM(データ!G66)</f>
        <v>日台</v>
      </c>
      <c r="G69" s="50">
        <f>データ!H66</f>
        <v>1</v>
      </c>
      <c r="H69" s="48">
        <f>データ!I66</f>
        <v>45000</v>
      </c>
      <c r="I69" s="48">
        <f>データ!J66</f>
        <v>45000</v>
      </c>
      <c r="J69" s="39" t="str">
        <f>IF(OR($C69="総括",$C69="内訳書",$C69="内訳代価",$C69="明細書",$C69="明細代価",$C69="代価表",$C69="単価表"),データ!K66,"")</f>
        <v/>
      </c>
      <c r="K69" s="11" t="str">
        <f t="shared" ref="K69:K132" si="6">IF(OR(J69="",G69=J69),"","*")</f>
        <v/>
      </c>
      <c r="L69" s="46">
        <f t="shared" ref="L69:L132" si="7">IF($A69&lt;=L$1,I69/I$4,"")</f>
        <v>2.9411764705882353E-3</v>
      </c>
      <c r="M69" s="40" t="str">
        <f>IF(データ!L66="","",データ!L66)</f>
        <v/>
      </c>
      <c r="N69" s="41" t="str">
        <f>IF(データ!M66="","",データ!M66)</f>
        <v/>
      </c>
      <c r="O69" s="42">
        <f>データ!N66</f>
        <v>0</v>
      </c>
      <c r="P69" s="48">
        <f>IF($C69="集計行","",データ!O66)</f>
        <v>0</v>
      </c>
      <c r="Q69" s="48">
        <f>データ!P66</f>
        <v>0</v>
      </c>
      <c r="R69" s="39" t="str">
        <f>IF(OR($C69="総括",$C69="内訳書",$C69="内訳代価",$C69="明細書",$C69="明細代価",$C69="代価表",$C69="単価表"),データ!Q66,"")</f>
        <v/>
      </c>
      <c r="S69" s="11" t="str">
        <f t="shared" ref="S69:S132" si="8">IF(OR(R69="",O69=R69),"","*")</f>
        <v/>
      </c>
      <c r="T69" s="46" t="e">
        <f t="shared" ref="T69:T132" si="9">IF($A69&lt;=T$1,Q69/Q$4,"")</f>
        <v>#DIV/0!</v>
      </c>
      <c r="U69" s="40" t="str">
        <f>IF(データ!R66="","",データ!R66)</f>
        <v/>
      </c>
      <c r="V69" s="41" t="str">
        <f>IF(データ!S66="","",データ!S66)</f>
        <v/>
      </c>
      <c r="W69" s="42">
        <f>データ!T66</f>
        <v>0</v>
      </c>
      <c r="X69" s="48">
        <f>IF($C69="集計行","",データ!U66)</f>
        <v>0</v>
      </c>
      <c r="Y69" s="48">
        <f>データ!V66</f>
        <v>0</v>
      </c>
      <c r="Z69" s="39" t="str">
        <f>IF(OR($C69="総括",$C69="内訳書",$C69="内訳代価",$C69="明細書",$C69="明細代価",$C69="代価表",$C69="単価表"),データ!W66,"")</f>
        <v/>
      </c>
      <c r="AA69" s="11" t="str">
        <f t="shared" ref="AA69:AA132" si="10">IF(OR(Z69="",W69=Z69),"","*")</f>
        <v/>
      </c>
      <c r="AB69" s="46" t="e">
        <f t="shared" ref="AB69:AB132" si="11">IF($A69&lt;=AB$1,Y69/Y$4,"")</f>
        <v>#DIV/0!</v>
      </c>
      <c r="AC69" s="40" t="str">
        <f>IF(データ!X66="","",データ!X66)</f>
        <v/>
      </c>
      <c r="AD69" s="41" t="str">
        <f>IF(データ!Y66="","",データ!Y66)</f>
        <v/>
      </c>
      <c r="AE69" s="47" t="str">
        <f>TRIM(データ!B66)</f>
        <v>k20718053</v>
      </c>
      <c r="AF69" s="43" t="str">
        <f>TRIM(データ!Z66)</f>
        <v>1日×1台</v>
      </c>
    </row>
    <row r="70" spans="1:32" x14ac:dyDescent="0.15">
      <c r="A70" s="47">
        <f>データ!A67</f>
        <v>2</v>
      </c>
      <c r="B70" s="47" t="str">
        <f>TRIM(データ!C67)</f>
        <v/>
      </c>
      <c r="C70" s="47" t="str">
        <f>TRIM(データ!D67)</f>
        <v>機械費</v>
      </c>
      <c r="D70" s="36" t="str">
        <f>REPT("｜",$A70)&amp;TRIM(データ!E67)</f>
        <v>｜｜タイヤR　8t</v>
      </c>
      <c r="E70" s="37" t="str">
        <f>TRIM(データ!F67)</f>
        <v>8t　低騒音</v>
      </c>
      <c r="F70" s="38" t="str">
        <f>TRIM(データ!G67)</f>
        <v>日台</v>
      </c>
      <c r="G70" s="50">
        <f>データ!H67</f>
        <v>1</v>
      </c>
      <c r="H70" s="48">
        <f>データ!I67</f>
        <v>7000</v>
      </c>
      <c r="I70" s="48">
        <f>データ!J67</f>
        <v>7000</v>
      </c>
      <c r="J70" s="39" t="str">
        <f>IF(OR($C70="総括",$C70="内訳書",$C70="内訳代価",$C70="明細書",$C70="明細代価",$C70="代価表",$C70="単価表"),データ!K67,"")</f>
        <v/>
      </c>
      <c r="K70" s="11" t="str">
        <f t="shared" si="6"/>
        <v/>
      </c>
      <c r="L70" s="46">
        <f t="shared" si="7"/>
        <v>4.5751633986928104E-4</v>
      </c>
      <c r="M70" s="40" t="str">
        <f>IF(データ!L67="","",データ!L67)</f>
        <v/>
      </c>
      <c r="N70" s="41" t="str">
        <f>IF(データ!M67="","",データ!M67)</f>
        <v/>
      </c>
      <c r="O70" s="42">
        <f>データ!N67</f>
        <v>0</v>
      </c>
      <c r="P70" s="48">
        <f>IF($C70="集計行","",データ!O67)</f>
        <v>0</v>
      </c>
      <c r="Q70" s="48">
        <f>データ!P67</f>
        <v>0</v>
      </c>
      <c r="R70" s="39" t="str">
        <f>IF(OR($C70="総括",$C70="内訳書",$C70="内訳代価",$C70="明細書",$C70="明細代価",$C70="代価表",$C70="単価表"),データ!Q67,"")</f>
        <v/>
      </c>
      <c r="S70" s="11" t="str">
        <f t="shared" si="8"/>
        <v/>
      </c>
      <c r="T70" s="46" t="e">
        <f t="shared" si="9"/>
        <v>#DIV/0!</v>
      </c>
      <c r="U70" s="40" t="str">
        <f>IF(データ!R67="","",データ!R67)</f>
        <v/>
      </c>
      <c r="V70" s="41" t="str">
        <f>IF(データ!S67="","",データ!S67)</f>
        <v/>
      </c>
      <c r="W70" s="42">
        <f>データ!T67</f>
        <v>0</v>
      </c>
      <c r="X70" s="48">
        <f>IF($C70="集計行","",データ!U67)</f>
        <v>0</v>
      </c>
      <c r="Y70" s="48">
        <f>データ!V67</f>
        <v>0</v>
      </c>
      <c r="Z70" s="39" t="str">
        <f>IF(OR($C70="総括",$C70="内訳書",$C70="内訳代価",$C70="明細書",$C70="明細代価",$C70="代価表",$C70="単価表"),データ!W67,"")</f>
        <v/>
      </c>
      <c r="AA70" s="11" t="str">
        <f t="shared" si="10"/>
        <v/>
      </c>
      <c r="AB70" s="46" t="e">
        <f t="shared" si="11"/>
        <v>#DIV/0!</v>
      </c>
      <c r="AC70" s="40" t="str">
        <f>IF(データ!X67="","",データ!X67)</f>
        <v/>
      </c>
      <c r="AD70" s="41" t="str">
        <f>IF(データ!Y67="","",データ!Y67)</f>
        <v/>
      </c>
      <c r="AE70" s="47" t="str">
        <f>TRIM(データ!B67)</f>
        <v>k20718043</v>
      </c>
      <c r="AF70" s="43" t="str">
        <f>TRIM(データ!Z67)</f>
        <v>1日×1台</v>
      </c>
    </row>
    <row r="71" spans="1:32" x14ac:dyDescent="0.15">
      <c r="A71" s="47">
        <f>データ!A68</f>
        <v>2</v>
      </c>
      <c r="B71" s="47" t="str">
        <f>TRIM(データ!C68)</f>
        <v/>
      </c>
      <c r="C71" s="47" t="str">
        <f>TRIM(データ!D68)</f>
        <v>機械費</v>
      </c>
      <c r="D71" s="36" t="str">
        <f>REPT("｜",$A71)&amp;TRIM(データ!E68)</f>
        <v>｜｜マカダムR</v>
      </c>
      <c r="E71" s="37" t="str">
        <f>TRIM(データ!F68)</f>
        <v>R2　低騒音</v>
      </c>
      <c r="F71" s="38" t="str">
        <f>TRIM(データ!G68)</f>
        <v>日台</v>
      </c>
      <c r="G71" s="50">
        <f>データ!H68</f>
        <v>1</v>
      </c>
      <c r="H71" s="48">
        <f>データ!I68</f>
        <v>8000</v>
      </c>
      <c r="I71" s="48">
        <f>データ!J68</f>
        <v>8000</v>
      </c>
      <c r="J71" s="39" t="str">
        <f>IF(OR($C71="総括",$C71="内訳書",$C71="内訳代価",$C71="明細書",$C71="明細代価",$C71="代価表",$C71="単価表"),データ!K68,"")</f>
        <v/>
      </c>
      <c r="K71" s="11" t="str">
        <f t="shared" si="6"/>
        <v/>
      </c>
      <c r="L71" s="46">
        <f t="shared" si="7"/>
        <v>5.228758169934641E-4</v>
      </c>
      <c r="M71" s="40" t="str">
        <f>IF(データ!L68="","",データ!L68)</f>
        <v/>
      </c>
      <c r="N71" s="41" t="str">
        <f>IF(データ!M68="","",データ!M68)</f>
        <v/>
      </c>
      <c r="O71" s="42">
        <f>データ!N68</f>
        <v>0</v>
      </c>
      <c r="P71" s="48">
        <f>IF($C71="集計行","",データ!O68)</f>
        <v>0</v>
      </c>
      <c r="Q71" s="48">
        <f>データ!P68</f>
        <v>0</v>
      </c>
      <c r="R71" s="39" t="str">
        <f>IF(OR($C71="総括",$C71="内訳書",$C71="内訳代価",$C71="明細書",$C71="明細代価",$C71="代価表",$C71="単価表"),データ!Q68,"")</f>
        <v/>
      </c>
      <c r="S71" s="11" t="str">
        <f t="shared" si="8"/>
        <v/>
      </c>
      <c r="T71" s="46" t="e">
        <f t="shared" si="9"/>
        <v>#DIV/0!</v>
      </c>
      <c r="U71" s="40" t="str">
        <f>IF(データ!R68="","",データ!R68)</f>
        <v/>
      </c>
      <c r="V71" s="41" t="str">
        <f>IF(データ!S68="","",データ!S68)</f>
        <v/>
      </c>
      <c r="W71" s="42">
        <f>データ!T68</f>
        <v>0</v>
      </c>
      <c r="X71" s="48">
        <f>IF($C71="集計行","",データ!U68)</f>
        <v>0</v>
      </c>
      <c r="Y71" s="48">
        <f>データ!V68</f>
        <v>0</v>
      </c>
      <c r="Z71" s="39" t="str">
        <f>IF(OR($C71="総括",$C71="内訳書",$C71="内訳代価",$C71="明細書",$C71="明細代価",$C71="代価表",$C71="単価表"),データ!W68,"")</f>
        <v/>
      </c>
      <c r="AA71" s="11" t="str">
        <f t="shared" si="10"/>
        <v/>
      </c>
      <c r="AB71" s="46" t="e">
        <f t="shared" si="11"/>
        <v>#DIV/0!</v>
      </c>
      <c r="AC71" s="40" t="str">
        <f>IF(データ!X68="","",データ!X68)</f>
        <v/>
      </c>
      <c r="AD71" s="41" t="str">
        <f>IF(データ!Y68="","",データ!Y68)</f>
        <v/>
      </c>
      <c r="AE71" s="47" t="str">
        <f>TRIM(データ!B68)</f>
        <v>k20718039</v>
      </c>
      <c r="AF71" s="43" t="str">
        <f>TRIM(データ!Z68)</f>
        <v>1日×1台</v>
      </c>
    </row>
    <row r="72" spans="1:32" x14ac:dyDescent="0.15">
      <c r="A72" s="47">
        <f>データ!A69</f>
        <v>2</v>
      </c>
      <c r="B72" s="47" t="str">
        <f>TRIM(データ!C69)</f>
        <v/>
      </c>
      <c r="C72" s="47" t="str">
        <f>TRIM(データ!D69)</f>
        <v>機械費</v>
      </c>
      <c r="D72" s="36" t="str">
        <f>REPT("｜",$A72)&amp;TRIM(データ!E69)</f>
        <v>｜｜コンバインドR</v>
      </c>
      <c r="E72" s="37" t="str">
        <f>TRIM(データ!F69)</f>
        <v>3t　4ｔ　低騒音</v>
      </c>
      <c r="F72" s="38" t="str">
        <f>TRIM(データ!G69)</f>
        <v>日台</v>
      </c>
      <c r="G72" s="50">
        <f>データ!H69</f>
        <v>1</v>
      </c>
      <c r="H72" s="48">
        <f>データ!I69</f>
        <v>5000</v>
      </c>
      <c r="I72" s="48">
        <f>データ!J69</f>
        <v>5000</v>
      </c>
      <c r="J72" s="39" t="str">
        <f>IF(OR($C72="総括",$C72="内訳書",$C72="内訳代価",$C72="明細書",$C72="明細代価",$C72="代価表",$C72="単価表"),データ!K69,"")</f>
        <v/>
      </c>
      <c r="K72" s="11" t="str">
        <f t="shared" si="6"/>
        <v/>
      </c>
      <c r="L72" s="46">
        <f t="shared" si="7"/>
        <v>3.2679738562091501E-4</v>
      </c>
      <c r="M72" s="40" t="str">
        <f>IF(データ!L69="","",データ!L69)</f>
        <v/>
      </c>
      <c r="N72" s="41" t="str">
        <f>IF(データ!M69="","",データ!M69)</f>
        <v/>
      </c>
      <c r="O72" s="42">
        <f>データ!N69</f>
        <v>0</v>
      </c>
      <c r="P72" s="48">
        <f>IF($C72="集計行","",データ!O69)</f>
        <v>0</v>
      </c>
      <c r="Q72" s="48">
        <f>データ!P69</f>
        <v>0</v>
      </c>
      <c r="R72" s="39" t="str">
        <f>IF(OR($C72="総括",$C72="内訳書",$C72="内訳代価",$C72="明細書",$C72="明細代価",$C72="代価表",$C72="単価表"),データ!Q69,"")</f>
        <v/>
      </c>
      <c r="S72" s="11" t="str">
        <f t="shared" si="8"/>
        <v/>
      </c>
      <c r="T72" s="46" t="e">
        <f t="shared" si="9"/>
        <v>#DIV/0!</v>
      </c>
      <c r="U72" s="40" t="str">
        <f>IF(データ!R69="","",データ!R69)</f>
        <v/>
      </c>
      <c r="V72" s="41" t="str">
        <f>IF(データ!S69="","",データ!S69)</f>
        <v/>
      </c>
      <c r="W72" s="42">
        <f>データ!T69</f>
        <v>0</v>
      </c>
      <c r="X72" s="48">
        <f>IF($C72="集計行","",データ!U69)</f>
        <v>0</v>
      </c>
      <c r="Y72" s="48">
        <f>データ!V69</f>
        <v>0</v>
      </c>
      <c r="Z72" s="39" t="str">
        <f>IF(OR($C72="総括",$C72="内訳書",$C72="内訳代価",$C72="明細書",$C72="明細代価",$C72="代価表",$C72="単価表"),データ!W69,"")</f>
        <v/>
      </c>
      <c r="AA72" s="11" t="str">
        <f t="shared" si="10"/>
        <v/>
      </c>
      <c r="AB72" s="46" t="e">
        <f t="shared" si="11"/>
        <v>#DIV/0!</v>
      </c>
      <c r="AC72" s="40" t="str">
        <f>IF(データ!X69="","",データ!X69)</f>
        <v/>
      </c>
      <c r="AD72" s="41" t="str">
        <f>IF(データ!Y69="","",データ!Y69)</f>
        <v/>
      </c>
      <c r="AE72" s="47" t="str">
        <f>TRIM(データ!B69)</f>
        <v>k20718031</v>
      </c>
      <c r="AF72" s="43" t="str">
        <f>TRIM(データ!Z69)</f>
        <v>1日×1台</v>
      </c>
    </row>
    <row r="73" spans="1:32" x14ac:dyDescent="0.15">
      <c r="A73" s="47">
        <f>データ!A70</f>
        <v>2</v>
      </c>
      <c r="B73" s="47" t="str">
        <f>TRIM(データ!C70)</f>
        <v/>
      </c>
      <c r="C73" s="47" t="str">
        <f>TRIM(データ!D70)</f>
        <v>機械費</v>
      </c>
      <c r="D73" s="36" t="str">
        <f>REPT("｜",$A73)&amp;TRIM(データ!E70)</f>
        <v>｜｜タイヤショベル0.5</v>
      </c>
      <c r="E73" s="37" t="str">
        <f>TRIM(データ!F70)</f>
        <v>低騒音</v>
      </c>
      <c r="F73" s="38" t="str">
        <f>TRIM(データ!G70)</f>
        <v>日台</v>
      </c>
      <c r="G73" s="50">
        <f>データ!H70</f>
        <v>1</v>
      </c>
      <c r="H73" s="48">
        <f>データ!I70</f>
        <v>6000</v>
      </c>
      <c r="I73" s="48">
        <f>データ!J70</f>
        <v>6000</v>
      </c>
      <c r="J73" s="39" t="str">
        <f>IF(OR($C73="総括",$C73="内訳書",$C73="内訳代価",$C73="明細書",$C73="明細代価",$C73="代価表",$C73="単価表"),データ!K70,"")</f>
        <v/>
      </c>
      <c r="K73" s="11" t="str">
        <f t="shared" si="6"/>
        <v/>
      </c>
      <c r="L73" s="46">
        <f t="shared" si="7"/>
        <v>3.9215686274509802E-4</v>
      </c>
      <c r="M73" s="40" t="str">
        <f>IF(データ!L70="","",データ!L70)</f>
        <v/>
      </c>
      <c r="N73" s="41" t="str">
        <f>IF(データ!M70="","",データ!M70)</f>
        <v/>
      </c>
      <c r="O73" s="42">
        <f>データ!N70</f>
        <v>0</v>
      </c>
      <c r="P73" s="48">
        <f>IF($C73="集計行","",データ!O70)</f>
        <v>0</v>
      </c>
      <c r="Q73" s="48">
        <f>データ!P70</f>
        <v>0</v>
      </c>
      <c r="R73" s="39" t="str">
        <f>IF(OR($C73="総括",$C73="内訳書",$C73="内訳代価",$C73="明細書",$C73="明細代価",$C73="代価表",$C73="単価表"),データ!Q70,"")</f>
        <v/>
      </c>
      <c r="S73" s="11" t="str">
        <f t="shared" si="8"/>
        <v/>
      </c>
      <c r="T73" s="46" t="e">
        <f t="shared" si="9"/>
        <v>#DIV/0!</v>
      </c>
      <c r="U73" s="40" t="str">
        <f>IF(データ!R70="","",データ!R70)</f>
        <v/>
      </c>
      <c r="V73" s="41" t="str">
        <f>IF(データ!S70="","",データ!S70)</f>
        <v/>
      </c>
      <c r="W73" s="42">
        <f>データ!T70</f>
        <v>0</v>
      </c>
      <c r="X73" s="48">
        <f>IF($C73="集計行","",データ!U70)</f>
        <v>0</v>
      </c>
      <c r="Y73" s="48">
        <f>データ!V70</f>
        <v>0</v>
      </c>
      <c r="Z73" s="39" t="str">
        <f>IF(OR($C73="総括",$C73="内訳書",$C73="内訳代価",$C73="明細書",$C73="明細代価",$C73="代価表",$C73="単価表"),データ!W70,"")</f>
        <v/>
      </c>
      <c r="AA73" s="11" t="str">
        <f t="shared" si="10"/>
        <v/>
      </c>
      <c r="AB73" s="46" t="e">
        <f t="shared" si="11"/>
        <v>#DIV/0!</v>
      </c>
      <c r="AC73" s="40" t="str">
        <f>IF(データ!X70="","",データ!X70)</f>
        <v/>
      </c>
      <c r="AD73" s="41" t="str">
        <f>IF(データ!Y70="","",データ!Y70)</f>
        <v/>
      </c>
      <c r="AE73" s="47" t="str">
        <f>TRIM(データ!B70)</f>
        <v>k20718024</v>
      </c>
      <c r="AF73" s="43" t="str">
        <f>TRIM(データ!Z70)</f>
        <v>1日×1台</v>
      </c>
    </row>
    <row r="74" spans="1:32" x14ac:dyDescent="0.15">
      <c r="A74" s="47">
        <f>データ!A71</f>
        <v>2</v>
      </c>
      <c r="B74" s="47" t="str">
        <f>TRIM(データ!C71)</f>
        <v/>
      </c>
      <c r="C74" s="47" t="str">
        <f>TRIM(データ!D71)</f>
        <v>機械費</v>
      </c>
      <c r="D74" s="36" t="str">
        <f>REPT("｜",$A74)&amp;TRIM(データ!E71)</f>
        <v>｜｜ディストリビューター(昼)</v>
      </c>
      <c r="E74" s="37" t="str">
        <f>TRIM(データ!F71)</f>
        <v/>
      </c>
      <c r="F74" s="38" t="str">
        <f>TRIM(データ!G71)</f>
        <v>日台</v>
      </c>
      <c r="G74" s="50">
        <f>データ!H71</f>
        <v>1</v>
      </c>
      <c r="H74" s="48">
        <f>データ!I71</f>
        <v>40000</v>
      </c>
      <c r="I74" s="48">
        <f>データ!J71</f>
        <v>40000</v>
      </c>
      <c r="J74" s="39" t="str">
        <f>IF(OR($C74="総括",$C74="内訳書",$C74="内訳代価",$C74="明細書",$C74="明細代価",$C74="代価表",$C74="単価表"),データ!K71,"")</f>
        <v/>
      </c>
      <c r="K74" s="11" t="str">
        <f t="shared" si="6"/>
        <v/>
      </c>
      <c r="L74" s="46">
        <f t="shared" si="7"/>
        <v>2.6143790849673201E-3</v>
      </c>
      <c r="M74" s="40" t="str">
        <f>IF(データ!L71="","",データ!L71)</f>
        <v/>
      </c>
      <c r="N74" s="41" t="str">
        <f>IF(データ!M71="","",データ!M71)</f>
        <v/>
      </c>
      <c r="O74" s="42">
        <f>データ!N71</f>
        <v>0</v>
      </c>
      <c r="P74" s="48">
        <f>IF($C74="集計行","",データ!O71)</f>
        <v>0</v>
      </c>
      <c r="Q74" s="48">
        <f>データ!P71</f>
        <v>0</v>
      </c>
      <c r="R74" s="39" t="str">
        <f>IF(OR($C74="総括",$C74="内訳書",$C74="内訳代価",$C74="明細書",$C74="明細代価",$C74="代価表",$C74="単価表"),データ!Q71,"")</f>
        <v/>
      </c>
      <c r="S74" s="11" t="str">
        <f t="shared" si="8"/>
        <v/>
      </c>
      <c r="T74" s="46" t="e">
        <f t="shared" si="9"/>
        <v>#DIV/0!</v>
      </c>
      <c r="U74" s="40" t="str">
        <f>IF(データ!R71="","",データ!R71)</f>
        <v/>
      </c>
      <c r="V74" s="41" t="str">
        <f>IF(データ!S71="","",データ!S71)</f>
        <v/>
      </c>
      <c r="W74" s="42">
        <f>データ!T71</f>
        <v>0</v>
      </c>
      <c r="X74" s="48">
        <f>IF($C74="集計行","",データ!U71)</f>
        <v>0</v>
      </c>
      <c r="Y74" s="48">
        <f>データ!V71</f>
        <v>0</v>
      </c>
      <c r="Z74" s="39" t="str">
        <f>IF(OR($C74="総括",$C74="内訳書",$C74="内訳代価",$C74="明細書",$C74="明細代価",$C74="代価表",$C74="単価表"),データ!W71,"")</f>
        <v/>
      </c>
      <c r="AA74" s="11" t="str">
        <f t="shared" si="10"/>
        <v/>
      </c>
      <c r="AB74" s="46" t="e">
        <f t="shared" si="11"/>
        <v>#DIV/0!</v>
      </c>
      <c r="AC74" s="40" t="str">
        <f>IF(データ!X71="","",データ!X71)</f>
        <v/>
      </c>
      <c r="AD74" s="41" t="str">
        <f>IF(データ!Y71="","",データ!Y71)</f>
        <v/>
      </c>
      <c r="AE74" s="47" t="str">
        <f>TRIM(データ!B71)</f>
        <v>k20718106</v>
      </c>
      <c r="AF74" s="43" t="str">
        <f>TRIM(データ!Z71)</f>
        <v>1日×1台</v>
      </c>
    </row>
    <row r="75" spans="1:32" x14ac:dyDescent="0.15">
      <c r="A75" s="47">
        <f>データ!A72</f>
        <v>2</v>
      </c>
      <c r="B75" s="47" t="str">
        <f>TRIM(データ!C72)</f>
        <v/>
      </c>
      <c r="C75" s="47" t="str">
        <f>TRIM(データ!D72)</f>
        <v>運搬費</v>
      </c>
      <c r="D75" s="36" t="str">
        <f>REPT("｜",$A75)&amp;TRIM(データ!E72)</f>
        <v>｜｜2tダンプ</v>
      </c>
      <c r="E75" s="37" t="str">
        <f>TRIM(データ!F72)</f>
        <v/>
      </c>
      <c r="F75" s="38" t="str">
        <f>TRIM(データ!G72)</f>
        <v>台</v>
      </c>
      <c r="G75" s="50">
        <f>データ!H72</f>
        <v>2</v>
      </c>
      <c r="H75" s="48">
        <f>データ!I72</f>
        <v>6000</v>
      </c>
      <c r="I75" s="48">
        <f>データ!J72</f>
        <v>12000</v>
      </c>
      <c r="J75" s="39" t="str">
        <f>IF(OR($C75="総括",$C75="内訳書",$C75="内訳代価",$C75="明細書",$C75="明細代価",$C75="代価表",$C75="単価表"),データ!K72,"")</f>
        <v/>
      </c>
      <c r="K75" s="11" t="str">
        <f t="shared" si="6"/>
        <v/>
      </c>
      <c r="L75" s="46">
        <f t="shared" si="7"/>
        <v>7.8431372549019605E-4</v>
      </c>
      <c r="M75" s="40" t="str">
        <f>IF(データ!L72="","",データ!L72)</f>
        <v/>
      </c>
      <c r="N75" s="41" t="str">
        <f>IF(データ!M72="","",データ!M72)</f>
        <v/>
      </c>
      <c r="O75" s="42">
        <f>データ!N72</f>
        <v>0</v>
      </c>
      <c r="P75" s="48">
        <f>IF($C75="集計行","",データ!O72)</f>
        <v>0</v>
      </c>
      <c r="Q75" s="48">
        <f>データ!P72</f>
        <v>0</v>
      </c>
      <c r="R75" s="39" t="str">
        <f>IF(OR($C75="総括",$C75="内訳書",$C75="内訳代価",$C75="明細書",$C75="明細代価",$C75="代価表",$C75="単価表"),データ!Q72,"")</f>
        <v/>
      </c>
      <c r="S75" s="11" t="str">
        <f t="shared" si="8"/>
        <v/>
      </c>
      <c r="T75" s="46" t="e">
        <f t="shared" si="9"/>
        <v>#DIV/0!</v>
      </c>
      <c r="U75" s="40" t="str">
        <f>IF(データ!R72="","",データ!R72)</f>
        <v/>
      </c>
      <c r="V75" s="41" t="str">
        <f>IF(データ!S72="","",データ!S72)</f>
        <v/>
      </c>
      <c r="W75" s="42">
        <f>データ!T72</f>
        <v>0</v>
      </c>
      <c r="X75" s="48">
        <f>IF($C75="集計行","",データ!U72)</f>
        <v>0</v>
      </c>
      <c r="Y75" s="48">
        <f>データ!V72</f>
        <v>0</v>
      </c>
      <c r="Z75" s="39" t="str">
        <f>IF(OR($C75="総括",$C75="内訳書",$C75="内訳代価",$C75="明細書",$C75="明細代価",$C75="代価表",$C75="単価表"),データ!W72,"")</f>
        <v/>
      </c>
      <c r="AA75" s="11" t="str">
        <f t="shared" si="10"/>
        <v/>
      </c>
      <c r="AB75" s="46" t="e">
        <f t="shared" si="11"/>
        <v>#DIV/0!</v>
      </c>
      <c r="AC75" s="40" t="str">
        <f>IF(データ!X72="","",データ!X72)</f>
        <v/>
      </c>
      <c r="AD75" s="41" t="str">
        <f>IF(データ!Y72="","",データ!Y72)</f>
        <v/>
      </c>
      <c r="AE75" s="47" t="str">
        <f>TRIM(データ!B72)</f>
        <v>u20718025</v>
      </c>
      <c r="AF75" s="43" t="str">
        <f>TRIM(データ!Z72)</f>
        <v>1日×2台</v>
      </c>
    </row>
    <row r="76" spans="1:32" x14ac:dyDescent="0.15">
      <c r="A76" s="47">
        <f>データ!A73</f>
        <v>2</v>
      </c>
      <c r="B76" s="47" t="str">
        <f>TRIM(データ!C73)</f>
        <v/>
      </c>
      <c r="C76" s="47" t="str">
        <f>TRIM(データ!D73)</f>
        <v>運搬費</v>
      </c>
      <c r="D76" s="36" t="str">
        <f>REPT("｜",$A76)&amp;TRIM(データ!E73)</f>
        <v>｜｜WP</v>
      </c>
      <c r="E76" s="37" t="str">
        <f>TRIM(データ!F73)</f>
        <v/>
      </c>
      <c r="F76" s="38" t="str">
        <f>TRIM(データ!G73)</f>
        <v>台</v>
      </c>
      <c r="G76" s="50">
        <f>データ!H73</f>
        <v>2</v>
      </c>
      <c r="H76" s="48">
        <f>データ!I73</f>
        <v>5000</v>
      </c>
      <c r="I76" s="48">
        <f>データ!J73</f>
        <v>10000</v>
      </c>
      <c r="J76" s="39" t="str">
        <f>IF(OR($C76="総括",$C76="内訳書",$C76="内訳代価",$C76="明細書",$C76="明細代価",$C76="代価表",$C76="単価表"),データ!K73,"")</f>
        <v/>
      </c>
      <c r="K76" s="11" t="str">
        <f t="shared" si="6"/>
        <v/>
      </c>
      <c r="L76" s="46">
        <f t="shared" si="7"/>
        <v>6.5359477124183002E-4</v>
      </c>
      <c r="M76" s="40" t="str">
        <f>IF(データ!L73="","",データ!L73)</f>
        <v/>
      </c>
      <c r="N76" s="41" t="str">
        <f>IF(データ!M73="","",データ!M73)</f>
        <v/>
      </c>
      <c r="O76" s="42">
        <f>データ!N73</f>
        <v>0</v>
      </c>
      <c r="P76" s="48">
        <f>IF($C76="集計行","",データ!O73)</f>
        <v>0</v>
      </c>
      <c r="Q76" s="48">
        <f>データ!P73</f>
        <v>0</v>
      </c>
      <c r="R76" s="39" t="str">
        <f>IF(OR($C76="総括",$C76="内訳書",$C76="内訳代価",$C76="明細書",$C76="明細代価",$C76="代価表",$C76="単価表"),データ!Q73,"")</f>
        <v/>
      </c>
      <c r="S76" s="11" t="str">
        <f t="shared" si="8"/>
        <v/>
      </c>
      <c r="T76" s="46" t="e">
        <f t="shared" si="9"/>
        <v>#DIV/0!</v>
      </c>
      <c r="U76" s="40" t="str">
        <f>IF(データ!R73="","",データ!R73)</f>
        <v/>
      </c>
      <c r="V76" s="41" t="str">
        <f>IF(データ!S73="","",データ!S73)</f>
        <v/>
      </c>
      <c r="W76" s="42">
        <f>データ!T73</f>
        <v>0</v>
      </c>
      <c r="X76" s="48">
        <f>IF($C76="集計行","",データ!U73)</f>
        <v>0</v>
      </c>
      <c r="Y76" s="48">
        <f>データ!V73</f>
        <v>0</v>
      </c>
      <c r="Z76" s="39" t="str">
        <f>IF(OR($C76="総括",$C76="内訳書",$C76="内訳代価",$C76="明細書",$C76="明細代価",$C76="代価表",$C76="単価表"),データ!W73,"")</f>
        <v/>
      </c>
      <c r="AA76" s="11" t="str">
        <f t="shared" si="10"/>
        <v/>
      </c>
      <c r="AB76" s="46" t="e">
        <f t="shared" si="11"/>
        <v>#DIV/0!</v>
      </c>
      <c r="AC76" s="40" t="str">
        <f>IF(データ!X73="","",データ!X73)</f>
        <v/>
      </c>
      <c r="AD76" s="41" t="str">
        <f>IF(データ!Y73="","",データ!Y73)</f>
        <v/>
      </c>
      <c r="AE76" s="47" t="str">
        <f>TRIM(データ!B73)</f>
        <v>u20718008</v>
      </c>
      <c r="AF76" s="43" t="str">
        <f>TRIM(データ!Z73)</f>
        <v>1日×2台</v>
      </c>
    </row>
    <row r="77" spans="1:32" x14ac:dyDescent="0.15">
      <c r="A77" s="47">
        <f>データ!A74</f>
        <v>1</v>
      </c>
      <c r="B77" s="47" t="str">
        <f>TRIM(データ!C74)</f>
        <v/>
      </c>
      <c r="C77" s="47" t="str">
        <f>TRIM(データ!D74)</f>
        <v>内訳代価</v>
      </c>
      <c r="D77" s="36" t="str">
        <f>REPT("｜",$A77)&amp;TRIM(データ!E74)</f>
        <v>｜歩道舗装</v>
      </c>
      <c r="E77" s="37" t="str">
        <f>TRIM(データ!F74)</f>
        <v>一般部　表層工</v>
      </c>
      <c r="F77" s="38" t="str">
        <f>TRIM(データ!G74)</f>
        <v>m2</v>
      </c>
      <c r="G77" s="50">
        <f>データ!H74</f>
        <v>520</v>
      </c>
      <c r="H77" s="48">
        <f>データ!I74</f>
        <v>1960</v>
      </c>
      <c r="I77" s="48">
        <f>データ!J74</f>
        <v>1019200</v>
      </c>
      <c r="J77" s="39">
        <f>IF(OR($C77="総括",$C77="内訳書",$C77="内訳代価",$C77="明細書",$C77="明細代価",$C77="代価表",$C77="単価表"),データ!K74,"")</f>
        <v>520</v>
      </c>
      <c r="K77" s="11" t="str">
        <f t="shared" si="6"/>
        <v/>
      </c>
      <c r="L77" s="46">
        <f t="shared" si="7"/>
        <v>6.6614379084967326E-2</v>
      </c>
      <c r="M77" s="40" t="str">
        <f>IF(データ!L74="","",データ!L74)</f>
        <v/>
      </c>
      <c r="N77" s="41" t="str">
        <f>IF(データ!M74="","",データ!M74)</f>
        <v>20号内訳書</v>
      </c>
      <c r="O77" s="42">
        <f>データ!N74</f>
        <v>0</v>
      </c>
      <c r="P77" s="48">
        <f>IF($C77="集計行","",データ!O74)</f>
        <v>0</v>
      </c>
      <c r="Q77" s="48">
        <f>データ!P74</f>
        <v>0</v>
      </c>
      <c r="R77" s="39">
        <f>IF(OR($C77="総括",$C77="内訳書",$C77="内訳代価",$C77="明細書",$C77="明細代価",$C77="代価表",$C77="単価表"),データ!Q74,"")</f>
        <v>0</v>
      </c>
      <c r="S77" s="11" t="str">
        <f t="shared" si="8"/>
        <v/>
      </c>
      <c r="T77" s="46" t="e">
        <f t="shared" si="9"/>
        <v>#DIV/0!</v>
      </c>
      <c r="U77" s="40" t="str">
        <f>IF(データ!R74="","",データ!R74)</f>
        <v/>
      </c>
      <c r="V77" s="41" t="str">
        <f>IF(データ!S74="","",データ!S74)</f>
        <v/>
      </c>
      <c r="W77" s="42">
        <f>データ!T74</f>
        <v>0</v>
      </c>
      <c r="X77" s="48">
        <f>IF($C77="集計行","",データ!U74)</f>
        <v>0</v>
      </c>
      <c r="Y77" s="48">
        <f>データ!V74</f>
        <v>0</v>
      </c>
      <c r="Z77" s="39">
        <f>IF(OR($C77="総括",$C77="内訳書",$C77="内訳代価",$C77="明細書",$C77="明細代価",$C77="代価表",$C77="単価表"),データ!W74,"")</f>
        <v>0</v>
      </c>
      <c r="AA77" s="11" t="str">
        <f t="shared" si="10"/>
        <v/>
      </c>
      <c r="AB77" s="46" t="e">
        <f t="shared" si="11"/>
        <v>#DIV/0!</v>
      </c>
      <c r="AC77" s="40" t="str">
        <f>IF(データ!X74="","",データ!X74)</f>
        <v/>
      </c>
      <c r="AD77" s="41" t="str">
        <f>IF(データ!Y74="","",データ!Y74)</f>
        <v/>
      </c>
      <c r="AE77" s="47" t="str">
        <f>TRIM(データ!B74)</f>
        <v/>
      </c>
      <c r="AF77" s="43" t="str">
        <f>TRIM(データ!Z74)</f>
        <v/>
      </c>
    </row>
    <row r="78" spans="1:32" x14ac:dyDescent="0.15">
      <c r="A78" s="47">
        <f>データ!A75</f>
        <v>2</v>
      </c>
      <c r="B78" s="47" t="str">
        <f>TRIM(データ!C75)</f>
        <v/>
      </c>
      <c r="C78" s="47" t="str">
        <f>TRIM(データ!D75)</f>
        <v>材料費</v>
      </c>
      <c r="D78" s="36" t="str">
        <f>REPT("｜",$A78)&amp;TRIM(データ!E75)</f>
        <v>｜｜透水性As13</v>
      </c>
      <c r="E78" s="37" t="str">
        <f>TRIM(データ!F75)</f>
        <v/>
      </c>
      <c r="F78" s="38" t="str">
        <f>TRIM(データ!G75)</f>
        <v>ｔ</v>
      </c>
      <c r="G78" s="50">
        <f>データ!H75</f>
        <v>50</v>
      </c>
      <c r="H78" s="48">
        <f>データ!I75</f>
        <v>13500</v>
      </c>
      <c r="I78" s="48">
        <f>データ!J75</f>
        <v>675000</v>
      </c>
      <c r="J78" s="39" t="str">
        <f>IF(OR($C78="総括",$C78="内訳書",$C78="内訳代価",$C78="明細書",$C78="明細代価",$C78="代価表",$C78="単価表"),データ!K75,"")</f>
        <v/>
      </c>
      <c r="K78" s="11" t="str">
        <f t="shared" si="6"/>
        <v/>
      </c>
      <c r="L78" s="46">
        <f t="shared" si="7"/>
        <v>4.4117647058823532E-2</v>
      </c>
      <c r="M78" s="40" t="str">
        <f>IF(データ!L75="","",データ!L75)</f>
        <v/>
      </c>
      <c r="N78" s="41" t="str">
        <f>IF(データ!M75="","",データ!M75)</f>
        <v/>
      </c>
      <c r="O78" s="42">
        <f>データ!N75</f>
        <v>0</v>
      </c>
      <c r="P78" s="48">
        <f>IF($C78="集計行","",データ!O75)</f>
        <v>0</v>
      </c>
      <c r="Q78" s="48">
        <f>データ!P75</f>
        <v>0</v>
      </c>
      <c r="R78" s="39" t="str">
        <f>IF(OR($C78="総括",$C78="内訳書",$C78="内訳代価",$C78="明細書",$C78="明細代価",$C78="代価表",$C78="単価表"),データ!Q75,"")</f>
        <v/>
      </c>
      <c r="S78" s="11" t="str">
        <f t="shared" si="8"/>
        <v/>
      </c>
      <c r="T78" s="46" t="e">
        <f t="shared" si="9"/>
        <v>#DIV/0!</v>
      </c>
      <c r="U78" s="40" t="str">
        <f>IF(データ!R75="","",データ!R75)</f>
        <v/>
      </c>
      <c r="V78" s="41" t="str">
        <f>IF(データ!S75="","",データ!S75)</f>
        <v/>
      </c>
      <c r="W78" s="42">
        <f>データ!T75</f>
        <v>0</v>
      </c>
      <c r="X78" s="48">
        <f>IF($C78="集計行","",データ!U75)</f>
        <v>0</v>
      </c>
      <c r="Y78" s="48">
        <f>データ!V75</f>
        <v>0</v>
      </c>
      <c r="Z78" s="39" t="str">
        <f>IF(OR($C78="総括",$C78="内訳書",$C78="内訳代価",$C78="明細書",$C78="明細代価",$C78="代価表",$C78="単価表"),データ!W75,"")</f>
        <v/>
      </c>
      <c r="AA78" s="11" t="str">
        <f t="shared" si="10"/>
        <v/>
      </c>
      <c r="AB78" s="46" t="e">
        <f t="shared" si="11"/>
        <v>#DIV/0!</v>
      </c>
      <c r="AC78" s="40" t="str">
        <f>IF(データ!X75="","",データ!X75)</f>
        <v/>
      </c>
      <c r="AD78" s="41" t="str">
        <f>IF(データ!Y75="","",データ!Y75)</f>
        <v/>
      </c>
      <c r="AE78" s="47" t="str">
        <f>TRIM(データ!B75)</f>
        <v>s20718009</v>
      </c>
      <c r="AF78" s="43" t="str">
        <f>TRIM(データ!Z75)</f>
        <v/>
      </c>
    </row>
    <row r="79" spans="1:32" x14ac:dyDescent="0.15">
      <c r="A79" s="47">
        <f>データ!A76</f>
        <v>2</v>
      </c>
      <c r="B79" s="47" t="str">
        <f>TRIM(データ!C76)</f>
        <v/>
      </c>
      <c r="C79" s="47" t="str">
        <f>TRIM(データ!D76)</f>
        <v>材料費</v>
      </c>
      <c r="D79" s="36" t="str">
        <f>REPT("｜",$A79)&amp;TRIM(データ!E76)</f>
        <v>｜｜雑材</v>
      </c>
      <c r="E79" s="37" t="str">
        <f>TRIM(データ!F76)</f>
        <v>舗装</v>
      </c>
      <c r="F79" s="38" t="str">
        <f>TRIM(データ!G76)</f>
        <v>式</v>
      </c>
      <c r="G79" s="50">
        <f>データ!H76</f>
        <v>1</v>
      </c>
      <c r="H79" s="48">
        <f>データ!I76</f>
        <v>3200</v>
      </c>
      <c r="I79" s="48">
        <f>データ!J76</f>
        <v>3200</v>
      </c>
      <c r="J79" s="39" t="str">
        <f>IF(OR($C79="総括",$C79="内訳書",$C79="内訳代価",$C79="明細書",$C79="明細代価",$C79="代価表",$C79="単価表"),データ!K76,"")</f>
        <v/>
      </c>
      <c r="K79" s="11" t="str">
        <f t="shared" si="6"/>
        <v/>
      </c>
      <c r="L79" s="46">
        <f t="shared" si="7"/>
        <v>2.0915032679738561E-4</v>
      </c>
      <c r="M79" s="40" t="str">
        <f>IF(データ!L76="","",データ!L76)</f>
        <v/>
      </c>
      <c r="N79" s="41" t="str">
        <f>IF(データ!M76="","",データ!M76)</f>
        <v/>
      </c>
      <c r="O79" s="42">
        <f>データ!N76</f>
        <v>0</v>
      </c>
      <c r="P79" s="48">
        <f>IF($C79="集計行","",データ!O76)</f>
        <v>0</v>
      </c>
      <c r="Q79" s="48">
        <f>データ!P76</f>
        <v>0</v>
      </c>
      <c r="R79" s="39" t="str">
        <f>IF(OR($C79="総括",$C79="内訳書",$C79="内訳代価",$C79="明細書",$C79="明細代価",$C79="代価表",$C79="単価表"),データ!Q76,"")</f>
        <v/>
      </c>
      <c r="S79" s="11" t="str">
        <f t="shared" si="8"/>
        <v/>
      </c>
      <c r="T79" s="46" t="e">
        <f t="shared" si="9"/>
        <v>#DIV/0!</v>
      </c>
      <c r="U79" s="40" t="str">
        <f>IF(データ!R76="","",データ!R76)</f>
        <v/>
      </c>
      <c r="V79" s="41" t="str">
        <f>IF(データ!S76="","",データ!S76)</f>
        <v/>
      </c>
      <c r="W79" s="42">
        <f>データ!T76</f>
        <v>0</v>
      </c>
      <c r="X79" s="48">
        <f>IF($C79="集計行","",データ!U76)</f>
        <v>0</v>
      </c>
      <c r="Y79" s="48">
        <f>データ!V76</f>
        <v>0</v>
      </c>
      <c r="Z79" s="39" t="str">
        <f>IF(OR($C79="総括",$C79="内訳書",$C79="内訳代価",$C79="明細書",$C79="明細代価",$C79="代価表",$C79="単価表"),データ!W76,"")</f>
        <v/>
      </c>
      <c r="AA79" s="11" t="str">
        <f t="shared" si="10"/>
        <v/>
      </c>
      <c r="AB79" s="46" t="e">
        <f t="shared" si="11"/>
        <v>#DIV/0!</v>
      </c>
      <c r="AC79" s="40" t="str">
        <f>IF(データ!X76="","",データ!X76)</f>
        <v/>
      </c>
      <c r="AD79" s="41" t="str">
        <f>IF(データ!Y76="","",データ!Y76)</f>
        <v/>
      </c>
      <c r="AE79" s="47" t="str">
        <f>TRIM(データ!B76)</f>
        <v>s20718001</v>
      </c>
      <c r="AF79" s="43" t="str">
        <f>TRIM(データ!Z76)</f>
        <v/>
      </c>
    </row>
    <row r="80" spans="1:32" x14ac:dyDescent="0.15">
      <c r="A80" s="47">
        <f>データ!A77</f>
        <v>2</v>
      </c>
      <c r="B80" s="47" t="str">
        <f>TRIM(データ!C77)</f>
        <v/>
      </c>
      <c r="C80" s="47" t="str">
        <f>TRIM(データ!D77)</f>
        <v>材料費</v>
      </c>
      <c r="D80" s="36" t="str">
        <f>REPT("｜",$A80)&amp;TRIM(データ!E77)</f>
        <v>｜｜軽油</v>
      </c>
      <c r="E80" s="37" t="str">
        <f>TRIM(データ!F77)</f>
        <v/>
      </c>
      <c r="F80" s="38" t="str">
        <f>TRIM(データ!G77)</f>
        <v>L</v>
      </c>
      <c r="G80" s="50">
        <f>データ!H77</f>
        <v>100</v>
      </c>
      <c r="H80" s="48">
        <f>データ!I77</f>
        <v>180</v>
      </c>
      <c r="I80" s="48">
        <f>データ!J77</f>
        <v>18000</v>
      </c>
      <c r="J80" s="39" t="str">
        <f>IF(OR($C80="総括",$C80="内訳書",$C80="内訳代価",$C80="明細書",$C80="明細代価",$C80="代価表",$C80="単価表"),データ!K77,"")</f>
        <v/>
      </c>
      <c r="K80" s="11" t="str">
        <f t="shared" si="6"/>
        <v/>
      </c>
      <c r="L80" s="46">
        <f t="shared" si="7"/>
        <v>1.176470588235294E-3</v>
      </c>
      <c r="M80" s="40" t="str">
        <f>IF(データ!L77="","",データ!L77)</f>
        <v/>
      </c>
      <c r="N80" s="41" t="str">
        <f>IF(データ!M77="","",データ!M77)</f>
        <v/>
      </c>
      <c r="O80" s="42">
        <f>データ!N77</f>
        <v>0</v>
      </c>
      <c r="P80" s="48">
        <f>IF($C80="集計行","",データ!O77)</f>
        <v>0</v>
      </c>
      <c r="Q80" s="48">
        <f>データ!P77</f>
        <v>0</v>
      </c>
      <c r="R80" s="39" t="str">
        <f>IF(OR($C80="総括",$C80="内訳書",$C80="内訳代価",$C80="明細書",$C80="明細代価",$C80="代価表",$C80="単価表"),データ!Q77,"")</f>
        <v/>
      </c>
      <c r="S80" s="11" t="str">
        <f t="shared" si="8"/>
        <v/>
      </c>
      <c r="T80" s="46" t="e">
        <f t="shared" si="9"/>
        <v>#DIV/0!</v>
      </c>
      <c r="U80" s="40" t="str">
        <f>IF(データ!R77="","",データ!R77)</f>
        <v/>
      </c>
      <c r="V80" s="41" t="str">
        <f>IF(データ!S77="","",データ!S77)</f>
        <v/>
      </c>
      <c r="W80" s="42">
        <f>データ!T77</f>
        <v>0</v>
      </c>
      <c r="X80" s="48">
        <f>IF($C80="集計行","",データ!U77)</f>
        <v>0</v>
      </c>
      <c r="Y80" s="48">
        <f>データ!V77</f>
        <v>0</v>
      </c>
      <c r="Z80" s="39" t="str">
        <f>IF(OR($C80="総括",$C80="内訳書",$C80="内訳代価",$C80="明細書",$C80="明細代価",$C80="代価表",$C80="単価表"),データ!W77,"")</f>
        <v/>
      </c>
      <c r="AA80" s="11" t="str">
        <f t="shared" si="10"/>
        <v/>
      </c>
      <c r="AB80" s="46" t="e">
        <f t="shared" si="11"/>
        <v>#DIV/0!</v>
      </c>
      <c r="AC80" s="40" t="str">
        <f>IF(データ!X77="","",データ!X77)</f>
        <v/>
      </c>
      <c r="AD80" s="41" t="str">
        <f>IF(データ!Y77="","",データ!Y77)</f>
        <v/>
      </c>
      <c r="AE80" s="47" t="str">
        <f>TRIM(データ!B77)</f>
        <v>s20718549</v>
      </c>
      <c r="AF80" s="43" t="str">
        <f>TRIM(データ!Z77)</f>
        <v/>
      </c>
    </row>
    <row r="81" spans="1:32" x14ac:dyDescent="0.15">
      <c r="A81" s="47">
        <f>データ!A78</f>
        <v>2</v>
      </c>
      <c r="B81" s="47" t="str">
        <f>TRIM(データ!C78)</f>
        <v/>
      </c>
      <c r="C81" s="47" t="str">
        <f>TRIM(データ!D78)</f>
        <v>労務費</v>
      </c>
      <c r="D81" s="36" t="str">
        <f>REPT("｜",$A81)&amp;TRIM(データ!E78)</f>
        <v>｜｜運転工</v>
      </c>
      <c r="E81" s="37" t="str">
        <f>TRIM(データ!F78)</f>
        <v>8H</v>
      </c>
      <c r="F81" s="38" t="str">
        <f>TRIM(データ!G78)</f>
        <v>人</v>
      </c>
      <c r="G81" s="50">
        <f>データ!H78</f>
        <v>10</v>
      </c>
      <c r="H81" s="48">
        <f>データ!I78</f>
        <v>23000</v>
      </c>
      <c r="I81" s="48">
        <f>データ!J78</f>
        <v>230000</v>
      </c>
      <c r="J81" s="39" t="str">
        <f>IF(OR($C81="総括",$C81="内訳書",$C81="内訳代価",$C81="明細書",$C81="明細代価",$C81="代価表",$C81="単価表"),データ!K78,"")</f>
        <v/>
      </c>
      <c r="K81" s="11" t="str">
        <f t="shared" si="6"/>
        <v/>
      </c>
      <c r="L81" s="46">
        <f t="shared" si="7"/>
        <v>1.5032679738562092E-2</v>
      </c>
      <c r="M81" s="40" t="str">
        <f>IF(データ!L78="","",データ!L78)</f>
        <v/>
      </c>
      <c r="N81" s="41" t="str">
        <f>IF(データ!M78="","",データ!M78)</f>
        <v/>
      </c>
      <c r="O81" s="42">
        <f>データ!N78</f>
        <v>0</v>
      </c>
      <c r="P81" s="48">
        <f>IF($C81="集計行","",データ!O78)</f>
        <v>0</v>
      </c>
      <c r="Q81" s="48">
        <f>データ!P78</f>
        <v>0</v>
      </c>
      <c r="R81" s="39" t="str">
        <f>IF(OR($C81="総括",$C81="内訳書",$C81="内訳代価",$C81="明細書",$C81="明細代価",$C81="代価表",$C81="単価表"),データ!Q78,"")</f>
        <v/>
      </c>
      <c r="S81" s="11" t="str">
        <f t="shared" si="8"/>
        <v/>
      </c>
      <c r="T81" s="46" t="e">
        <f t="shared" si="9"/>
        <v>#DIV/0!</v>
      </c>
      <c r="U81" s="40" t="str">
        <f>IF(データ!R78="","",データ!R78)</f>
        <v/>
      </c>
      <c r="V81" s="41" t="str">
        <f>IF(データ!S78="","",データ!S78)</f>
        <v/>
      </c>
      <c r="W81" s="42">
        <f>データ!T78</f>
        <v>0</v>
      </c>
      <c r="X81" s="48">
        <f>IF($C81="集計行","",データ!U78)</f>
        <v>0</v>
      </c>
      <c r="Y81" s="48">
        <f>データ!V78</f>
        <v>0</v>
      </c>
      <c r="Z81" s="39" t="str">
        <f>IF(OR($C81="総括",$C81="内訳書",$C81="内訳代価",$C81="明細書",$C81="明細代価",$C81="代価表",$C81="単価表"),データ!W78,"")</f>
        <v/>
      </c>
      <c r="AA81" s="11" t="str">
        <f t="shared" si="10"/>
        <v/>
      </c>
      <c r="AB81" s="46" t="e">
        <f t="shared" si="11"/>
        <v>#DIV/0!</v>
      </c>
      <c r="AC81" s="40" t="str">
        <f>IF(データ!X78="","",データ!X78)</f>
        <v/>
      </c>
      <c r="AD81" s="41" t="str">
        <f>IF(データ!Y78="","",データ!Y78)</f>
        <v/>
      </c>
      <c r="AE81" s="47" t="str">
        <f>TRIM(データ!B78)</f>
        <v>r20718007</v>
      </c>
      <c r="AF81" s="43" t="str">
        <f>TRIM(データ!Z78)</f>
        <v>1日×10人</v>
      </c>
    </row>
    <row r="82" spans="1:32" x14ac:dyDescent="0.15">
      <c r="A82" s="47">
        <f>データ!A79</f>
        <v>2</v>
      </c>
      <c r="B82" s="47" t="str">
        <f>TRIM(データ!C79)</f>
        <v/>
      </c>
      <c r="C82" s="47" t="str">
        <f>TRIM(データ!D79)</f>
        <v>機械費</v>
      </c>
      <c r="D82" s="36" t="str">
        <f>REPT("｜",$A82)&amp;TRIM(データ!E79)</f>
        <v>｜｜BH0.25クレーン</v>
      </c>
      <c r="E82" s="37" t="str">
        <f>TRIM(データ!F79)</f>
        <v>低騒音・超小</v>
      </c>
      <c r="F82" s="38" t="str">
        <f>TRIM(データ!G79)</f>
        <v>日台</v>
      </c>
      <c r="G82" s="50">
        <f>データ!H79</f>
        <v>1</v>
      </c>
      <c r="H82" s="48">
        <f>データ!I79</f>
        <v>13000</v>
      </c>
      <c r="I82" s="48">
        <f>データ!J79</f>
        <v>13000</v>
      </c>
      <c r="J82" s="39" t="str">
        <f>IF(OR($C82="総括",$C82="内訳書",$C82="内訳代価",$C82="明細書",$C82="明細代価",$C82="代価表",$C82="単価表"),データ!K79,"")</f>
        <v/>
      </c>
      <c r="K82" s="11" t="str">
        <f t="shared" si="6"/>
        <v/>
      </c>
      <c r="L82" s="46">
        <f t="shared" si="7"/>
        <v>8.4967320261437906E-4</v>
      </c>
      <c r="M82" s="40" t="str">
        <f>IF(データ!L79="","",データ!L79)</f>
        <v/>
      </c>
      <c r="N82" s="41" t="str">
        <f>IF(データ!M79="","",データ!M79)</f>
        <v/>
      </c>
      <c r="O82" s="42">
        <f>データ!N79</f>
        <v>0</v>
      </c>
      <c r="P82" s="48">
        <f>IF($C82="集計行","",データ!O79)</f>
        <v>0</v>
      </c>
      <c r="Q82" s="48">
        <f>データ!P79</f>
        <v>0</v>
      </c>
      <c r="R82" s="39" t="str">
        <f>IF(OR($C82="総括",$C82="内訳書",$C82="内訳代価",$C82="明細書",$C82="明細代価",$C82="代価表",$C82="単価表"),データ!Q79,"")</f>
        <v/>
      </c>
      <c r="S82" s="11" t="str">
        <f t="shared" si="8"/>
        <v/>
      </c>
      <c r="T82" s="46" t="e">
        <f t="shared" si="9"/>
        <v>#DIV/0!</v>
      </c>
      <c r="U82" s="40" t="str">
        <f>IF(データ!R79="","",データ!R79)</f>
        <v/>
      </c>
      <c r="V82" s="41" t="str">
        <f>IF(データ!S79="","",データ!S79)</f>
        <v/>
      </c>
      <c r="W82" s="42">
        <f>データ!T79</f>
        <v>0</v>
      </c>
      <c r="X82" s="48">
        <f>IF($C82="集計行","",データ!U79)</f>
        <v>0</v>
      </c>
      <c r="Y82" s="48">
        <f>データ!V79</f>
        <v>0</v>
      </c>
      <c r="Z82" s="39" t="str">
        <f>IF(OR($C82="総括",$C82="内訳書",$C82="内訳代価",$C82="明細書",$C82="明細代価",$C82="代価表",$C82="単価表"),データ!W79,"")</f>
        <v/>
      </c>
      <c r="AA82" s="11" t="str">
        <f t="shared" si="10"/>
        <v/>
      </c>
      <c r="AB82" s="46" t="e">
        <f t="shared" si="11"/>
        <v>#DIV/0!</v>
      </c>
      <c r="AC82" s="40" t="str">
        <f>IF(データ!X79="","",データ!X79)</f>
        <v/>
      </c>
      <c r="AD82" s="41" t="str">
        <f>IF(データ!Y79="","",データ!Y79)</f>
        <v/>
      </c>
      <c r="AE82" s="47" t="str">
        <f>TRIM(データ!B79)</f>
        <v>k20718018</v>
      </c>
      <c r="AF82" s="43" t="str">
        <f>TRIM(データ!Z79)</f>
        <v>1日×1台</v>
      </c>
    </row>
    <row r="83" spans="1:32" x14ac:dyDescent="0.15">
      <c r="A83" s="47">
        <f>データ!A80</f>
        <v>2</v>
      </c>
      <c r="B83" s="47" t="str">
        <f>TRIM(データ!C80)</f>
        <v/>
      </c>
      <c r="C83" s="47" t="str">
        <f>TRIM(データ!D80)</f>
        <v>機械費</v>
      </c>
      <c r="D83" s="36" t="str">
        <f>REPT("｜",$A83)&amp;TRIM(データ!E80)</f>
        <v>｜｜Asフィニッシャー4.4m</v>
      </c>
      <c r="E83" s="37" t="str">
        <f>TRIM(データ!F80)</f>
        <v>低騒音</v>
      </c>
      <c r="F83" s="38" t="str">
        <f>TRIM(データ!G80)</f>
        <v>日台</v>
      </c>
      <c r="G83" s="50">
        <f>データ!H80</f>
        <v>1</v>
      </c>
      <c r="H83" s="48">
        <f>データ!I80</f>
        <v>45000</v>
      </c>
      <c r="I83" s="48">
        <f>データ!J80</f>
        <v>45000</v>
      </c>
      <c r="J83" s="39" t="str">
        <f>IF(OR($C83="総括",$C83="内訳書",$C83="内訳代価",$C83="明細書",$C83="明細代価",$C83="代価表",$C83="単価表"),データ!K80,"")</f>
        <v/>
      </c>
      <c r="K83" s="11" t="str">
        <f t="shared" si="6"/>
        <v/>
      </c>
      <c r="L83" s="46">
        <f t="shared" si="7"/>
        <v>2.9411764705882353E-3</v>
      </c>
      <c r="M83" s="40" t="str">
        <f>IF(データ!L80="","",データ!L80)</f>
        <v/>
      </c>
      <c r="N83" s="41" t="str">
        <f>IF(データ!M80="","",データ!M80)</f>
        <v/>
      </c>
      <c r="O83" s="42">
        <f>データ!N80</f>
        <v>0</v>
      </c>
      <c r="P83" s="48">
        <f>IF($C83="集計行","",データ!O80)</f>
        <v>0</v>
      </c>
      <c r="Q83" s="48">
        <f>データ!P80</f>
        <v>0</v>
      </c>
      <c r="R83" s="39" t="str">
        <f>IF(OR($C83="総括",$C83="内訳書",$C83="内訳代価",$C83="明細書",$C83="明細代価",$C83="代価表",$C83="単価表"),データ!Q80,"")</f>
        <v/>
      </c>
      <c r="S83" s="11" t="str">
        <f t="shared" si="8"/>
        <v/>
      </c>
      <c r="T83" s="46" t="e">
        <f t="shared" si="9"/>
        <v>#DIV/0!</v>
      </c>
      <c r="U83" s="40" t="str">
        <f>IF(データ!R80="","",データ!R80)</f>
        <v/>
      </c>
      <c r="V83" s="41" t="str">
        <f>IF(データ!S80="","",データ!S80)</f>
        <v/>
      </c>
      <c r="W83" s="42">
        <f>データ!T80</f>
        <v>0</v>
      </c>
      <c r="X83" s="48">
        <f>IF($C83="集計行","",データ!U80)</f>
        <v>0</v>
      </c>
      <c r="Y83" s="48">
        <f>データ!V80</f>
        <v>0</v>
      </c>
      <c r="Z83" s="39" t="str">
        <f>IF(OR($C83="総括",$C83="内訳書",$C83="内訳代価",$C83="明細書",$C83="明細代価",$C83="代価表",$C83="単価表"),データ!W80,"")</f>
        <v/>
      </c>
      <c r="AA83" s="11" t="str">
        <f t="shared" si="10"/>
        <v/>
      </c>
      <c r="AB83" s="46" t="e">
        <f t="shared" si="11"/>
        <v>#DIV/0!</v>
      </c>
      <c r="AC83" s="40" t="str">
        <f>IF(データ!X80="","",データ!X80)</f>
        <v/>
      </c>
      <c r="AD83" s="41" t="str">
        <f>IF(データ!Y80="","",データ!Y80)</f>
        <v/>
      </c>
      <c r="AE83" s="47" t="str">
        <f>TRIM(データ!B80)</f>
        <v>k20718053</v>
      </c>
      <c r="AF83" s="43" t="str">
        <f>TRIM(データ!Z80)</f>
        <v>1日×1台</v>
      </c>
    </row>
    <row r="84" spans="1:32" x14ac:dyDescent="0.15">
      <c r="A84" s="47">
        <f>データ!A81</f>
        <v>2</v>
      </c>
      <c r="B84" s="47" t="str">
        <f>TRIM(データ!C81)</f>
        <v/>
      </c>
      <c r="C84" s="47" t="str">
        <f>TRIM(データ!D81)</f>
        <v>機械費</v>
      </c>
      <c r="D84" s="36" t="str">
        <f>REPT("｜",$A84)&amp;TRIM(データ!E81)</f>
        <v>｜｜タイヤR　8t</v>
      </c>
      <c r="E84" s="37" t="str">
        <f>TRIM(データ!F81)</f>
        <v>8t　低騒音</v>
      </c>
      <c r="F84" s="38" t="str">
        <f>TRIM(データ!G81)</f>
        <v>日台</v>
      </c>
      <c r="G84" s="50">
        <f>データ!H81</f>
        <v>1</v>
      </c>
      <c r="H84" s="48">
        <f>データ!I81</f>
        <v>7000</v>
      </c>
      <c r="I84" s="48">
        <f>データ!J81</f>
        <v>7000</v>
      </c>
      <c r="J84" s="39" t="str">
        <f>IF(OR($C84="総括",$C84="内訳書",$C84="内訳代価",$C84="明細書",$C84="明細代価",$C84="代価表",$C84="単価表"),データ!K81,"")</f>
        <v/>
      </c>
      <c r="K84" s="11" t="str">
        <f t="shared" si="6"/>
        <v/>
      </c>
      <c r="L84" s="46">
        <f t="shared" si="7"/>
        <v>4.5751633986928104E-4</v>
      </c>
      <c r="M84" s="40" t="str">
        <f>IF(データ!L81="","",データ!L81)</f>
        <v/>
      </c>
      <c r="N84" s="41" t="str">
        <f>IF(データ!M81="","",データ!M81)</f>
        <v/>
      </c>
      <c r="O84" s="42">
        <f>データ!N81</f>
        <v>0</v>
      </c>
      <c r="P84" s="48">
        <f>IF($C84="集計行","",データ!O81)</f>
        <v>0</v>
      </c>
      <c r="Q84" s="48">
        <f>データ!P81</f>
        <v>0</v>
      </c>
      <c r="R84" s="39" t="str">
        <f>IF(OR($C84="総括",$C84="内訳書",$C84="内訳代価",$C84="明細書",$C84="明細代価",$C84="代価表",$C84="単価表"),データ!Q81,"")</f>
        <v/>
      </c>
      <c r="S84" s="11" t="str">
        <f t="shared" si="8"/>
        <v/>
      </c>
      <c r="T84" s="46" t="e">
        <f t="shared" si="9"/>
        <v>#DIV/0!</v>
      </c>
      <c r="U84" s="40" t="str">
        <f>IF(データ!R81="","",データ!R81)</f>
        <v/>
      </c>
      <c r="V84" s="41" t="str">
        <f>IF(データ!S81="","",データ!S81)</f>
        <v/>
      </c>
      <c r="W84" s="42">
        <f>データ!T81</f>
        <v>0</v>
      </c>
      <c r="X84" s="48">
        <f>IF($C84="集計行","",データ!U81)</f>
        <v>0</v>
      </c>
      <c r="Y84" s="48">
        <f>データ!V81</f>
        <v>0</v>
      </c>
      <c r="Z84" s="39" t="str">
        <f>IF(OR($C84="総括",$C84="内訳書",$C84="内訳代価",$C84="明細書",$C84="明細代価",$C84="代価表",$C84="単価表"),データ!W81,"")</f>
        <v/>
      </c>
      <c r="AA84" s="11" t="str">
        <f t="shared" si="10"/>
        <v/>
      </c>
      <c r="AB84" s="46" t="e">
        <f t="shared" si="11"/>
        <v>#DIV/0!</v>
      </c>
      <c r="AC84" s="40" t="str">
        <f>IF(データ!X81="","",データ!X81)</f>
        <v/>
      </c>
      <c r="AD84" s="41" t="str">
        <f>IF(データ!Y81="","",データ!Y81)</f>
        <v/>
      </c>
      <c r="AE84" s="47" t="str">
        <f>TRIM(データ!B81)</f>
        <v>k20718043</v>
      </c>
      <c r="AF84" s="43" t="str">
        <f>TRIM(データ!Z81)</f>
        <v>1日×1台</v>
      </c>
    </row>
    <row r="85" spans="1:32" x14ac:dyDescent="0.15">
      <c r="A85" s="47">
        <f>データ!A82</f>
        <v>2</v>
      </c>
      <c r="B85" s="47" t="str">
        <f>TRIM(データ!C82)</f>
        <v/>
      </c>
      <c r="C85" s="47" t="str">
        <f>TRIM(データ!D82)</f>
        <v>機械費</v>
      </c>
      <c r="D85" s="36" t="str">
        <f>REPT("｜",$A85)&amp;TRIM(データ!E82)</f>
        <v>｜｜コンバインドR</v>
      </c>
      <c r="E85" s="37" t="str">
        <f>TRIM(データ!F82)</f>
        <v>3t　4ｔ　低騒音</v>
      </c>
      <c r="F85" s="38" t="str">
        <f>TRIM(データ!G82)</f>
        <v>日台</v>
      </c>
      <c r="G85" s="50">
        <f>データ!H82</f>
        <v>1</v>
      </c>
      <c r="H85" s="48">
        <f>データ!I82</f>
        <v>5000</v>
      </c>
      <c r="I85" s="48">
        <f>データ!J82</f>
        <v>5000</v>
      </c>
      <c r="J85" s="39" t="str">
        <f>IF(OR($C85="総括",$C85="内訳書",$C85="内訳代価",$C85="明細書",$C85="明細代価",$C85="代価表",$C85="単価表"),データ!K82,"")</f>
        <v/>
      </c>
      <c r="K85" s="11" t="str">
        <f t="shared" si="6"/>
        <v/>
      </c>
      <c r="L85" s="46">
        <f t="shared" si="7"/>
        <v>3.2679738562091501E-4</v>
      </c>
      <c r="M85" s="40" t="str">
        <f>IF(データ!L82="","",データ!L82)</f>
        <v/>
      </c>
      <c r="N85" s="41" t="str">
        <f>IF(データ!M82="","",データ!M82)</f>
        <v/>
      </c>
      <c r="O85" s="42">
        <f>データ!N82</f>
        <v>0</v>
      </c>
      <c r="P85" s="48">
        <f>IF($C85="集計行","",データ!O82)</f>
        <v>0</v>
      </c>
      <c r="Q85" s="48">
        <f>データ!P82</f>
        <v>0</v>
      </c>
      <c r="R85" s="39" t="str">
        <f>IF(OR($C85="総括",$C85="内訳書",$C85="内訳代価",$C85="明細書",$C85="明細代価",$C85="代価表",$C85="単価表"),データ!Q82,"")</f>
        <v/>
      </c>
      <c r="S85" s="11" t="str">
        <f t="shared" si="8"/>
        <v/>
      </c>
      <c r="T85" s="46" t="e">
        <f t="shared" si="9"/>
        <v>#DIV/0!</v>
      </c>
      <c r="U85" s="40" t="str">
        <f>IF(データ!R82="","",データ!R82)</f>
        <v/>
      </c>
      <c r="V85" s="41" t="str">
        <f>IF(データ!S82="","",データ!S82)</f>
        <v/>
      </c>
      <c r="W85" s="42">
        <f>データ!T82</f>
        <v>0</v>
      </c>
      <c r="X85" s="48">
        <f>IF($C85="集計行","",データ!U82)</f>
        <v>0</v>
      </c>
      <c r="Y85" s="48">
        <f>データ!V82</f>
        <v>0</v>
      </c>
      <c r="Z85" s="39" t="str">
        <f>IF(OR($C85="総括",$C85="内訳書",$C85="内訳代価",$C85="明細書",$C85="明細代価",$C85="代価表",$C85="単価表"),データ!W82,"")</f>
        <v/>
      </c>
      <c r="AA85" s="11" t="str">
        <f t="shared" si="10"/>
        <v/>
      </c>
      <c r="AB85" s="46" t="e">
        <f t="shared" si="11"/>
        <v>#DIV/0!</v>
      </c>
      <c r="AC85" s="40" t="str">
        <f>IF(データ!X82="","",データ!X82)</f>
        <v/>
      </c>
      <c r="AD85" s="41" t="str">
        <f>IF(データ!Y82="","",データ!Y82)</f>
        <v/>
      </c>
      <c r="AE85" s="47" t="str">
        <f>TRIM(データ!B82)</f>
        <v>k20718031</v>
      </c>
      <c r="AF85" s="43" t="str">
        <f>TRIM(データ!Z82)</f>
        <v>1日×1台</v>
      </c>
    </row>
    <row r="86" spans="1:32" x14ac:dyDescent="0.15">
      <c r="A86" s="47">
        <f>データ!A83</f>
        <v>2</v>
      </c>
      <c r="B86" s="47" t="str">
        <f>TRIM(データ!C83)</f>
        <v/>
      </c>
      <c r="C86" s="47" t="str">
        <f>TRIM(データ!D83)</f>
        <v>機械費</v>
      </c>
      <c r="D86" s="36" t="str">
        <f>REPT("｜",$A86)&amp;TRIM(データ!E83)</f>
        <v>｜｜タイヤショベル0.5</v>
      </c>
      <c r="E86" s="37" t="str">
        <f>TRIM(データ!F83)</f>
        <v>低騒音</v>
      </c>
      <c r="F86" s="38" t="str">
        <f>TRIM(データ!G83)</f>
        <v>日台</v>
      </c>
      <c r="G86" s="50">
        <f>データ!H83</f>
        <v>1</v>
      </c>
      <c r="H86" s="48">
        <f>データ!I83</f>
        <v>6000</v>
      </c>
      <c r="I86" s="48">
        <f>データ!J83</f>
        <v>6000</v>
      </c>
      <c r="J86" s="39" t="str">
        <f>IF(OR($C86="総括",$C86="内訳書",$C86="内訳代価",$C86="明細書",$C86="明細代価",$C86="代価表",$C86="単価表"),データ!K83,"")</f>
        <v/>
      </c>
      <c r="K86" s="11" t="str">
        <f t="shared" si="6"/>
        <v/>
      </c>
      <c r="L86" s="46">
        <f t="shared" si="7"/>
        <v>3.9215686274509802E-4</v>
      </c>
      <c r="M86" s="40" t="str">
        <f>IF(データ!L83="","",データ!L83)</f>
        <v/>
      </c>
      <c r="N86" s="41" t="str">
        <f>IF(データ!M83="","",データ!M83)</f>
        <v/>
      </c>
      <c r="O86" s="42">
        <f>データ!N83</f>
        <v>0</v>
      </c>
      <c r="P86" s="48">
        <f>IF($C86="集計行","",データ!O83)</f>
        <v>0</v>
      </c>
      <c r="Q86" s="48">
        <f>データ!P83</f>
        <v>0</v>
      </c>
      <c r="R86" s="39" t="str">
        <f>IF(OR($C86="総括",$C86="内訳書",$C86="内訳代価",$C86="明細書",$C86="明細代価",$C86="代価表",$C86="単価表"),データ!Q83,"")</f>
        <v/>
      </c>
      <c r="S86" s="11" t="str">
        <f t="shared" si="8"/>
        <v/>
      </c>
      <c r="T86" s="46" t="e">
        <f t="shared" si="9"/>
        <v>#DIV/0!</v>
      </c>
      <c r="U86" s="40" t="str">
        <f>IF(データ!R83="","",データ!R83)</f>
        <v/>
      </c>
      <c r="V86" s="41" t="str">
        <f>IF(データ!S83="","",データ!S83)</f>
        <v/>
      </c>
      <c r="W86" s="42">
        <f>データ!T83</f>
        <v>0</v>
      </c>
      <c r="X86" s="48">
        <f>IF($C86="集計行","",データ!U83)</f>
        <v>0</v>
      </c>
      <c r="Y86" s="48">
        <f>データ!V83</f>
        <v>0</v>
      </c>
      <c r="Z86" s="39" t="str">
        <f>IF(OR($C86="総括",$C86="内訳書",$C86="内訳代価",$C86="明細書",$C86="明細代価",$C86="代価表",$C86="単価表"),データ!W83,"")</f>
        <v/>
      </c>
      <c r="AA86" s="11" t="str">
        <f t="shared" si="10"/>
        <v/>
      </c>
      <c r="AB86" s="46" t="e">
        <f t="shared" si="11"/>
        <v>#DIV/0!</v>
      </c>
      <c r="AC86" s="40" t="str">
        <f>IF(データ!X83="","",データ!X83)</f>
        <v/>
      </c>
      <c r="AD86" s="41" t="str">
        <f>IF(データ!Y83="","",データ!Y83)</f>
        <v/>
      </c>
      <c r="AE86" s="47" t="str">
        <f>TRIM(データ!B83)</f>
        <v>k20718024</v>
      </c>
      <c r="AF86" s="43" t="str">
        <f>TRIM(データ!Z83)</f>
        <v>1日×1台</v>
      </c>
    </row>
    <row r="87" spans="1:32" x14ac:dyDescent="0.15">
      <c r="A87" s="47">
        <f>データ!A84</f>
        <v>2</v>
      </c>
      <c r="B87" s="47" t="str">
        <f>TRIM(データ!C84)</f>
        <v/>
      </c>
      <c r="C87" s="47" t="str">
        <f>TRIM(データ!D84)</f>
        <v>運搬費</v>
      </c>
      <c r="D87" s="36" t="str">
        <f>REPT("｜",$A87)&amp;TRIM(データ!E84)</f>
        <v>｜｜2tダンプ</v>
      </c>
      <c r="E87" s="37" t="str">
        <f>TRIM(データ!F84)</f>
        <v/>
      </c>
      <c r="F87" s="38" t="str">
        <f>TRIM(データ!G84)</f>
        <v>台</v>
      </c>
      <c r="G87" s="50">
        <f>データ!H84</f>
        <v>2</v>
      </c>
      <c r="H87" s="48">
        <f>データ!I84</f>
        <v>6000</v>
      </c>
      <c r="I87" s="48">
        <f>データ!J84</f>
        <v>12000</v>
      </c>
      <c r="J87" s="39" t="str">
        <f>IF(OR($C87="総括",$C87="内訳書",$C87="内訳代価",$C87="明細書",$C87="明細代価",$C87="代価表",$C87="単価表"),データ!K84,"")</f>
        <v/>
      </c>
      <c r="K87" s="11" t="str">
        <f t="shared" si="6"/>
        <v/>
      </c>
      <c r="L87" s="46">
        <f t="shared" si="7"/>
        <v>7.8431372549019605E-4</v>
      </c>
      <c r="M87" s="40" t="str">
        <f>IF(データ!L84="","",データ!L84)</f>
        <v/>
      </c>
      <c r="N87" s="41" t="str">
        <f>IF(データ!M84="","",データ!M84)</f>
        <v/>
      </c>
      <c r="O87" s="42">
        <f>データ!N84</f>
        <v>0</v>
      </c>
      <c r="P87" s="48">
        <f>IF($C87="集計行","",データ!O84)</f>
        <v>0</v>
      </c>
      <c r="Q87" s="48">
        <f>データ!P84</f>
        <v>0</v>
      </c>
      <c r="R87" s="39" t="str">
        <f>IF(OR($C87="総括",$C87="内訳書",$C87="内訳代価",$C87="明細書",$C87="明細代価",$C87="代価表",$C87="単価表"),データ!Q84,"")</f>
        <v/>
      </c>
      <c r="S87" s="11" t="str">
        <f t="shared" si="8"/>
        <v/>
      </c>
      <c r="T87" s="46" t="e">
        <f t="shared" si="9"/>
        <v>#DIV/0!</v>
      </c>
      <c r="U87" s="40" t="str">
        <f>IF(データ!R84="","",データ!R84)</f>
        <v/>
      </c>
      <c r="V87" s="41" t="str">
        <f>IF(データ!S84="","",データ!S84)</f>
        <v/>
      </c>
      <c r="W87" s="42">
        <f>データ!T84</f>
        <v>0</v>
      </c>
      <c r="X87" s="48">
        <f>IF($C87="集計行","",データ!U84)</f>
        <v>0</v>
      </c>
      <c r="Y87" s="48">
        <f>データ!V84</f>
        <v>0</v>
      </c>
      <c r="Z87" s="39" t="str">
        <f>IF(OR($C87="総括",$C87="内訳書",$C87="内訳代価",$C87="明細書",$C87="明細代価",$C87="代価表",$C87="単価表"),データ!W84,"")</f>
        <v/>
      </c>
      <c r="AA87" s="11" t="str">
        <f t="shared" si="10"/>
        <v/>
      </c>
      <c r="AB87" s="46" t="e">
        <f t="shared" si="11"/>
        <v>#DIV/0!</v>
      </c>
      <c r="AC87" s="40" t="str">
        <f>IF(データ!X84="","",データ!X84)</f>
        <v/>
      </c>
      <c r="AD87" s="41" t="str">
        <f>IF(データ!Y84="","",データ!Y84)</f>
        <v/>
      </c>
      <c r="AE87" s="47" t="str">
        <f>TRIM(データ!B84)</f>
        <v>u20718025</v>
      </c>
      <c r="AF87" s="43" t="str">
        <f>TRIM(データ!Z84)</f>
        <v>1日×2台</v>
      </c>
    </row>
    <row r="88" spans="1:32" x14ac:dyDescent="0.15">
      <c r="A88" s="47">
        <f>データ!A85</f>
        <v>2</v>
      </c>
      <c r="B88" s="47" t="str">
        <f>TRIM(データ!C85)</f>
        <v/>
      </c>
      <c r="C88" s="47" t="str">
        <f>TRIM(データ!D85)</f>
        <v>運搬費</v>
      </c>
      <c r="D88" s="36" t="str">
        <f>REPT("｜",$A88)&amp;TRIM(データ!E85)</f>
        <v>｜｜WP</v>
      </c>
      <c r="E88" s="37" t="str">
        <f>TRIM(データ!F85)</f>
        <v/>
      </c>
      <c r="F88" s="38" t="str">
        <f>TRIM(データ!G85)</f>
        <v>台</v>
      </c>
      <c r="G88" s="50">
        <f>データ!H85</f>
        <v>1</v>
      </c>
      <c r="H88" s="48">
        <f>データ!I85</f>
        <v>5000</v>
      </c>
      <c r="I88" s="48">
        <f>データ!J85</f>
        <v>5000</v>
      </c>
      <c r="J88" s="39" t="str">
        <f>IF(OR($C88="総括",$C88="内訳書",$C88="内訳代価",$C88="明細書",$C88="明細代価",$C88="代価表",$C88="単価表"),データ!K85,"")</f>
        <v/>
      </c>
      <c r="K88" s="11" t="str">
        <f t="shared" si="6"/>
        <v/>
      </c>
      <c r="L88" s="46">
        <f t="shared" si="7"/>
        <v>3.2679738562091501E-4</v>
      </c>
      <c r="M88" s="40" t="str">
        <f>IF(データ!L85="","",データ!L85)</f>
        <v/>
      </c>
      <c r="N88" s="41" t="str">
        <f>IF(データ!M85="","",データ!M85)</f>
        <v/>
      </c>
      <c r="O88" s="42">
        <f>データ!N85</f>
        <v>0</v>
      </c>
      <c r="P88" s="48">
        <f>IF($C88="集計行","",データ!O85)</f>
        <v>0</v>
      </c>
      <c r="Q88" s="48">
        <f>データ!P85</f>
        <v>0</v>
      </c>
      <c r="R88" s="39" t="str">
        <f>IF(OR($C88="総括",$C88="内訳書",$C88="内訳代価",$C88="明細書",$C88="明細代価",$C88="代価表",$C88="単価表"),データ!Q85,"")</f>
        <v/>
      </c>
      <c r="S88" s="11" t="str">
        <f t="shared" si="8"/>
        <v/>
      </c>
      <c r="T88" s="46" t="e">
        <f t="shared" si="9"/>
        <v>#DIV/0!</v>
      </c>
      <c r="U88" s="40" t="str">
        <f>IF(データ!R85="","",データ!R85)</f>
        <v/>
      </c>
      <c r="V88" s="41" t="str">
        <f>IF(データ!S85="","",データ!S85)</f>
        <v/>
      </c>
      <c r="W88" s="42">
        <f>データ!T85</f>
        <v>0</v>
      </c>
      <c r="X88" s="48">
        <f>IF($C88="集計行","",データ!U85)</f>
        <v>0</v>
      </c>
      <c r="Y88" s="48">
        <f>データ!V85</f>
        <v>0</v>
      </c>
      <c r="Z88" s="39" t="str">
        <f>IF(OR($C88="総括",$C88="内訳書",$C88="内訳代価",$C88="明細書",$C88="明細代価",$C88="代価表",$C88="単価表"),データ!W85,"")</f>
        <v/>
      </c>
      <c r="AA88" s="11" t="str">
        <f t="shared" si="10"/>
        <v/>
      </c>
      <c r="AB88" s="46" t="e">
        <f t="shared" si="11"/>
        <v>#DIV/0!</v>
      </c>
      <c r="AC88" s="40" t="str">
        <f>IF(データ!X85="","",データ!X85)</f>
        <v/>
      </c>
      <c r="AD88" s="41" t="str">
        <f>IF(データ!Y85="","",データ!Y85)</f>
        <v/>
      </c>
      <c r="AE88" s="47" t="str">
        <f>TRIM(データ!B85)</f>
        <v>u20718008</v>
      </c>
      <c r="AF88" s="43" t="str">
        <f>TRIM(データ!Z85)</f>
        <v>1日×2台</v>
      </c>
    </row>
    <row r="89" spans="1:32" x14ac:dyDescent="0.15">
      <c r="A89" s="47">
        <f>データ!A86</f>
        <v>1</v>
      </c>
      <c r="B89" s="47" t="str">
        <f>TRIM(データ!C86)</f>
        <v/>
      </c>
      <c r="C89" s="47" t="str">
        <f>TRIM(データ!D86)</f>
        <v>内訳代価</v>
      </c>
      <c r="D89" s="36" t="str">
        <f>REPT("｜",$A89)&amp;TRIM(データ!E86)</f>
        <v>｜歩道舗装</v>
      </c>
      <c r="E89" s="37" t="str">
        <f>TRIM(データ!F86)</f>
        <v>出入口部　表層工</v>
      </c>
      <c r="F89" s="38" t="str">
        <f>TRIM(データ!G86)</f>
        <v>m2</v>
      </c>
      <c r="G89" s="50">
        <f>データ!H86</f>
        <v>50</v>
      </c>
      <c r="H89" s="48">
        <f>データ!I86</f>
        <v>8800</v>
      </c>
      <c r="I89" s="48">
        <f>データ!J86</f>
        <v>440000</v>
      </c>
      <c r="J89" s="39">
        <f>IF(OR($C89="総括",$C89="内訳書",$C89="内訳代価",$C89="明細書",$C89="明細代価",$C89="代価表",$C89="単価表"),データ!K86,"")</f>
        <v>50</v>
      </c>
      <c r="K89" s="11" t="str">
        <f t="shared" si="6"/>
        <v/>
      </c>
      <c r="L89" s="46">
        <f t="shared" si="7"/>
        <v>2.8758169934640521E-2</v>
      </c>
      <c r="M89" s="40" t="str">
        <f>IF(データ!L86="","",データ!L86)</f>
        <v/>
      </c>
      <c r="N89" s="41" t="str">
        <f>IF(データ!M86="","",データ!M86)</f>
        <v>21号内訳書</v>
      </c>
      <c r="O89" s="42">
        <f>データ!N86</f>
        <v>0</v>
      </c>
      <c r="P89" s="48">
        <f>IF($C89="集計行","",データ!O86)</f>
        <v>0</v>
      </c>
      <c r="Q89" s="48">
        <f>データ!P86</f>
        <v>0</v>
      </c>
      <c r="R89" s="39">
        <f>IF(OR($C89="総括",$C89="内訳書",$C89="内訳代価",$C89="明細書",$C89="明細代価",$C89="代価表",$C89="単価表"),データ!Q86,"")</f>
        <v>0</v>
      </c>
      <c r="S89" s="11" t="str">
        <f t="shared" si="8"/>
        <v/>
      </c>
      <c r="T89" s="46" t="e">
        <f t="shared" si="9"/>
        <v>#DIV/0!</v>
      </c>
      <c r="U89" s="40" t="str">
        <f>IF(データ!R86="","",データ!R86)</f>
        <v/>
      </c>
      <c r="V89" s="41" t="str">
        <f>IF(データ!S86="","",データ!S86)</f>
        <v/>
      </c>
      <c r="W89" s="42">
        <f>データ!T86</f>
        <v>0</v>
      </c>
      <c r="X89" s="48">
        <f>IF($C89="集計行","",データ!U86)</f>
        <v>0</v>
      </c>
      <c r="Y89" s="48">
        <f>データ!V86</f>
        <v>0</v>
      </c>
      <c r="Z89" s="39">
        <f>IF(OR($C89="総括",$C89="内訳書",$C89="内訳代価",$C89="明細書",$C89="明細代価",$C89="代価表",$C89="単価表"),データ!W86,"")</f>
        <v>0</v>
      </c>
      <c r="AA89" s="11" t="str">
        <f t="shared" si="10"/>
        <v/>
      </c>
      <c r="AB89" s="46" t="e">
        <f t="shared" si="11"/>
        <v>#DIV/0!</v>
      </c>
      <c r="AC89" s="40" t="str">
        <f>IF(データ!X86="","",データ!X86)</f>
        <v/>
      </c>
      <c r="AD89" s="41" t="str">
        <f>IF(データ!Y86="","",データ!Y86)</f>
        <v/>
      </c>
      <c r="AE89" s="47" t="str">
        <f>TRIM(データ!B86)</f>
        <v/>
      </c>
      <c r="AF89" s="43" t="str">
        <f>TRIM(データ!Z86)</f>
        <v/>
      </c>
    </row>
    <row r="90" spans="1:32" x14ac:dyDescent="0.15">
      <c r="A90" s="47">
        <f>データ!A87</f>
        <v>2</v>
      </c>
      <c r="B90" s="47" t="str">
        <f>TRIM(データ!C87)</f>
        <v/>
      </c>
      <c r="C90" s="47" t="str">
        <f>TRIM(データ!D87)</f>
        <v>材料費</v>
      </c>
      <c r="D90" s="36" t="str">
        <f>REPT("｜",$A90)&amp;TRIM(データ!E87)</f>
        <v>｜｜R密粒度As13スラグ</v>
      </c>
      <c r="E90" s="37" t="str">
        <f>TRIM(データ!F87)</f>
        <v/>
      </c>
      <c r="F90" s="38" t="str">
        <f>TRIM(データ!G87)</f>
        <v>ｔ</v>
      </c>
      <c r="G90" s="50">
        <f>データ!H87</f>
        <v>9</v>
      </c>
      <c r="H90" s="48">
        <f>データ!I87</f>
        <v>11000</v>
      </c>
      <c r="I90" s="48">
        <f>データ!J87</f>
        <v>99000</v>
      </c>
      <c r="J90" s="39" t="str">
        <f>IF(OR($C90="総括",$C90="内訳書",$C90="内訳代価",$C90="明細書",$C90="明細代価",$C90="代価表",$C90="単価表"),データ!K87,"")</f>
        <v/>
      </c>
      <c r="K90" s="11" t="str">
        <f t="shared" si="6"/>
        <v/>
      </c>
      <c r="L90" s="46">
        <f t="shared" si="7"/>
        <v>6.4705882352941177E-3</v>
      </c>
      <c r="M90" s="40" t="str">
        <f>IF(データ!L87="","",データ!L87)</f>
        <v/>
      </c>
      <c r="N90" s="41" t="str">
        <f>IF(データ!M87="","",データ!M87)</f>
        <v/>
      </c>
      <c r="O90" s="42">
        <f>データ!N87</f>
        <v>0</v>
      </c>
      <c r="P90" s="48">
        <f>IF($C90="集計行","",データ!O87)</f>
        <v>0</v>
      </c>
      <c r="Q90" s="48">
        <f>データ!P87</f>
        <v>0</v>
      </c>
      <c r="R90" s="39" t="str">
        <f>IF(OR($C90="総括",$C90="内訳書",$C90="内訳代価",$C90="明細書",$C90="明細代価",$C90="代価表",$C90="単価表"),データ!Q87,"")</f>
        <v/>
      </c>
      <c r="S90" s="11" t="str">
        <f t="shared" si="8"/>
        <v/>
      </c>
      <c r="T90" s="46" t="e">
        <f t="shared" si="9"/>
        <v>#DIV/0!</v>
      </c>
      <c r="U90" s="40" t="str">
        <f>IF(データ!R87="","",データ!R87)</f>
        <v/>
      </c>
      <c r="V90" s="41" t="str">
        <f>IF(データ!S87="","",データ!S87)</f>
        <v/>
      </c>
      <c r="W90" s="42">
        <f>データ!T87</f>
        <v>0</v>
      </c>
      <c r="X90" s="48">
        <f>IF($C90="集計行","",データ!U87)</f>
        <v>0</v>
      </c>
      <c r="Y90" s="48">
        <f>データ!V87</f>
        <v>0</v>
      </c>
      <c r="Z90" s="39" t="str">
        <f>IF(OR($C90="総括",$C90="内訳書",$C90="内訳代価",$C90="明細書",$C90="明細代価",$C90="代価表",$C90="単価表"),データ!W87,"")</f>
        <v/>
      </c>
      <c r="AA90" s="11" t="str">
        <f t="shared" si="10"/>
        <v/>
      </c>
      <c r="AB90" s="46" t="e">
        <f t="shared" si="11"/>
        <v>#DIV/0!</v>
      </c>
      <c r="AC90" s="40" t="str">
        <f>IF(データ!X87="","",データ!X87)</f>
        <v/>
      </c>
      <c r="AD90" s="41" t="str">
        <f>IF(データ!Y87="","",データ!Y87)</f>
        <v/>
      </c>
      <c r="AE90" s="47" t="str">
        <f>TRIM(データ!B87)</f>
        <v>s20718006</v>
      </c>
      <c r="AF90" s="43" t="str">
        <f>TRIM(データ!Z87)</f>
        <v/>
      </c>
    </row>
    <row r="91" spans="1:32" x14ac:dyDescent="0.15">
      <c r="A91" s="47">
        <f>データ!A88</f>
        <v>2</v>
      </c>
      <c r="B91" s="47" t="str">
        <f>TRIM(データ!C88)</f>
        <v/>
      </c>
      <c r="C91" s="47" t="str">
        <f>TRIM(データ!D88)</f>
        <v>材料費</v>
      </c>
      <c r="D91" s="36" t="str">
        <f>REPT("｜",$A91)&amp;TRIM(データ!E88)</f>
        <v>｜｜TFE(ﾀｯｸﾌｧｲﾝE)</v>
      </c>
      <c r="E91" s="37" t="str">
        <f>TRIM(データ!F88)</f>
        <v/>
      </c>
      <c r="F91" s="38" t="str">
        <f>TRIM(データ!G88)</f>
        <v>L</v>
      </c>
      <c r="G91" s="50">
        <f>データ!H88</f>
        <v>20</v>
      </c>
      <c r="H91" s="48">
        <f>データ!I88</f>
        <v>155</v>
      </c>
      <c r="I91" s="48">
        <f>データ!J88</f>
        <v>3100</v>
      </c>
      <c r="J91" s="39" t="str">
        <f>IF(OR($C91="総括",$C91="内訳書",$C91="内訳代価",$C91="明細書",$C91="明細代価",$C91="代価表",$C91="単価表"),データ!K88,"")</f>
        <v/>
      </c>
      <c r="K91" s="11" t="str">
        <f t="shared" si="6"/>
        <v/>
      </c>
      <c r="L91" s="46">
        <f t="shared" si="7"/>
        <v>2.0261437908496732E-4</v>
      </c>
      <c r="M91" s="40" t="str">
        <f>IF(データ!L88="","",データ!L88)</f>
        <v/>
      </c>
      <c r="N91" s="41" t="str">
        <f>IF(データ!M88="","",データ!M88)</f>
        <v/>
      </c>
      <c r="O91" s="42">
        <f>データ!N88</f>
        <v>0</v>
      </c>
      <c r="P91" s="48">
        <f>IF($C91="集計行","",データ!O88)</f>
        <v>0</v>
      </c>
      <c r="Q91" s="48">
        <f>データ!P88</f>
        <v>0</v>
      </c>
      <c r="R91" s="39" t="str">
        <f>IF(OR($C91="総括",$C91="内訳書",$C91="内訳代価",$C91="明細書",$C91="明細代価",$C91="代価表",$C91="単価表"),データ!Q88,"")</f>
        <v/>
      </c>
      <c r="S91" s="11" t="str">
        <f t="shared" si="8"/>
        <v/>
      </c>
      <c r="T91" s="46" t="e">
        <f t="shared" si="9"/>
        <v>#DIV/0!</v>
      </c>
      <c r="U91" s="40" t="str">
        <f>IF(データ!R88="","",データ!R88)</f>
        <v/>
      </c>
      <c r="V91" s="41" t="str">
        <f>IF(データ!S88="","",データ!S88)</f>
        <v/>
      </c>
      <c r="W91" s="42">
        <f>データ!T88</f>
        <v>0</v>
      </c>
      <c r="X91" s="48">
        <f>IF($C91="集計行","",データ!U88)</f>
        <v>0</v>
      </c>
      <c r="Y91" s="48">
        <f>データ!V88</f>
        <v>0</v>
      </c>
      <c r="Z91" s="39" t="str">
        <f>IF(OR($C91="総括",$C91="内訳書",$C91="内訳代価",$C91="明細書",$C91="明細代価",$C91="代価表",$C91="単価表"),データ!W88,"")</f>
        <v/>
      </c>
      <c r="AA91" s="11" t="str">
        <f t="shared" si="10"/>
        <v/>
      </c>
      <c r="AB91" s="46" t="e">
        <f t="shared" si="11"/>
        <v>#DIV/0!</v>
      </c>
      <c r="AC91" s="40" t="str">
        <f>IF(データ!X88="","",データ!X88)</f>
        <v/>
      </c>
      <c r="AD91" s="41" t="str">
        <f>IF(データ!Y88="","",データ!Y88)</f>
        <v/>
      </c>
      <c r="AE91" s="47" t="str">
        <f>TRIM(データ!B88)</f>
        <v>s1005</v>
      </c>
      <c r="AF91" s="43" t="str">
        <f>TRIM(データ!Z88)</f>
        <v/>
      </c>
    </row>
    <row r="92" spans="1:32" x14ac:dyDescent="0.15">
      <c r="A92" s="47">
        <f>データ!A89</f>
        <v>2</v>
      </c>
      <c r="B92" s="47" t="str">
        <f>TRIM(データ!C89)</f>
        <v/>
      </c>
      <c r="C92" s="47" t="str">
        <f>TRIM(データ!D89)</f>
        <v>材料費</v>
      </c>
      <c r="D92" s="36" t="str">
        <f>REPT("｜",$A92)&amp;TRIM(データ!E89)</f>
        <v>｜｜雑材</v>
      </c>
      <c r="E92" s="37" t="str">
        <f>TRIM(データ!F89)</f>
        <v>舗装</v>
      </c>
      <c r="F92" s="38" t="str">
        <f>TRIM(データ!G89)</f>
        <v>式</v>
      </c>
      <c r="G92" s="50">
        <f>データ!H89</f>
        <v>1</v>
      </c>
      <c r="H92" s="48">
        <f>データ!I89</f>
        <v>5900</v>
      </c>
      <c r="I92" s="48">
        <f>データ!J89</f>
        <v>5900</v>
      </c>
      <c r="J92" s="39" t="str">
        <f>IF(OR($C92="総括",$C92="内訳書",$C92="内訳代価",$C92="明細書",$C92="明細代価",$C92="代価表",$C92="単価表"),データ!K89,"")</f>
        <v/>
      </c>
      <c r="K92" s="11" t="str">
        <f t="shared" si="6"/>
        <v/>
      </c>
      <c r="L92" s="46">
        <f t="shared" si="7"/>
        <v>3.8562091503267977E-4</v>
      </c>
      <c r="M92" s="40" t="str">
        <f>IF(データ!L89="","",データ!L89)</f>
        <v/>
      </c>
      <c r="N92" s="41" t="str">
        <f>IF(データ!M89="","",データ!M89)</f>
        <v/>
      </c>
      <c r="O92" s="42">
        <f>データ!N89</f>
        <v>0</v>
      </c>
      <c r="P92" s="48">
        <f>IF($C92="集計行","",データ!O89)</f>
        <v>0</v>
      </c>
      <c r="Q92" s="48">
        <f>データ!P89</f>
        <v>0</v>
      </c>
      <c r="R92" s="39" t="str">
        <f>IF(OR($C92="総括",$C92="内訳書",$C92="内訳代価",$C92="明細書",$C92="明細代価",$C92="代価表",$C92="単価表"),データ!Q89,"")</f>
        <v/>
      </c>
      <c r="S92" s="11" t="str">
        <f t="shared" si="8"/>
        <v/>
      </c>
      <c r="T92" s="46" t="e">
        <f t="shared" si="9"/>
        <v>#DIV/0!</v>
      </c>
      <c r="U92" s="40" t="str">
        <f>IF(データ!R89="","",データ!R89)</f>
        <v/>
      </c>
      <c r="V92" s="41" t="str">
        <f>IF(データ!S89="","",データ!S89)</f>
        <v/>
      </c>
      <c r="W92" s="42">
        <f>データ!T89</f>
        <v>0</v>
      </c>
      <c r="X92" s="48">
        <f>IF($C92="集計行","",データ!U89)</f>
        <v>0</v>
      </c>
      <c r="Y92" s="48">
        <f>データ!V89</f>
        <v>0</v>
      </c>
      <c r="Z92" s="39" t="str">
        <f>IF(OR($C92="総括",$C92="内訳書",$C92="内訳代価",$C92="明細書",$C92="明細代価",$C92="代価表",$C92="単価表"),データ!W89,"")</f>
        <v/>
      </c>
      <c r="AA92" s="11" t="str">
        <f t="shared" si="10"/>
        <v/>
      </c>
      <c r="AB92" s="46" t="e">
        <f t="shared" si="11"/>
        <v>#DIV/0!</v>
      </c>
      <c r="AC92" s="40" t="str">
        <f>IF(データ!X89="","",データ!X89)</f>
        <v/>
      </c>
      <c r="AD92" s="41" t="str">
        <f>IF(データ!Y89="","",データ!Y89)</f>
        <v/>
      </c>
      <c r="AE92" s="47" t="str">
        <f>TRIM(データ!B89)</f>
        <v>s20718001</v>
      </c>
      <c r="AF92" s="43" t="str">
        <f>TRIM(データ!Z89)</f>
        <v/>
      </c>
    </row>
    <row r="93" spans="1:32" x14ac:dyDescent="0.15">
      <c r="A93" s="47">
        <f>データ!A90</f>
        <v>2</v>
      </c>
      <c r="B93" s="47" t="str">
        <f>TRIM(データ!C90)</f>
        <v/>
      </c>
      <c r="C93" s="47" t="str">
        <f>TRIM(データ!D90)</f>
        <v>材料費</v>
      </c>
      <c r="D93" s="36" t="str">
        <f>REPT("｜",$A93)&amp;TRIM(データ!E90)</f>
        <v>｜｜軽油</v>
      </c>
      <c r="E93" s="37" t="str">
        <f>TRIM(データ!F90)</f>
        <v/>
      </c>
      <c r="F93" s="38" t="str">
        <f>TRIM(データ!G90)</f>
        <v>L</v>
      </c>
      <c r="G93" s="50">
        <f>データ!H90</f>
        <v>50</v>
      </c>
      <c r="H93" s="48">
        <f>データ!I90</f>
        <v>180</v>
      </c>
      <c r="I93" s="48">
        <f>データ!J90</f>
        <v>9000</v>
      </c>
      <c r="J93" s="39" t="str">
        <f>IF(OR($C93="総括",$C93="内訳書",$C93="内訳代価",$C93="明細書",$C93="明細代価",$C93="代価表",$C93="単価表"),データ!K90,"")</f>
        <v/>
      </c>
      <c r="K93" s="11" t="str">
        <f t="shared" si="6"/>
        <v/>
      </c>
      <c r="L93" s="46">
        <f t="shared" si="7"/>
        <v>5.8823529411764701E-4</v>
      </c>
      <c r="M93" s="40" t="str">
        <f>IF(データ!L90="","",データ!L90)</f>
        <v/>
      </c>
      <c r="N93" s="41" t="str">
        <f>IF(データ!M90="","",データ!M90)</f>
        <v/>
      </c>
      <c r="O93" s="42">
        <f>データ!N90</f>
        <v>0</v>
      </c>
      <c r="P93" s="48">
        <f>IF($C93="集計行","",データ!O90)</f>
        <v>0</v>
      </c>
      <c r="Q93" s="48">
        <f>データ!P90</f>
        <v>0</v>
      </c>
      <c r="R93" s="39" t="str">
        <f>IF(OR($C93="総括",$C93="内訳書",$C93="内訳代価",$C93="明細書",$C93="明細代価",$C93="代価表",$C93="単価表"),データ!Q90,"")</f>
        <v/>
      </c>
      <c r="S93" s="11" t="str">
        <f t="shared" si="8"/>
        <v/>
      </c>
      <c r="T93" s="46" t="e">
        <f t="shared" si="9"/>
        <v>#DIV/0!</v>
      </c>
      <c r="U93" s="40" t="str">
        <f>IF(データ!R90="","",データ!R90)</f>
        <v/>
      </c>
      <c r="V93" s="41" t="str">
        <f>IF(データ!S90="","",データ!S90)</f>
        <v/>
      </c>
      <c r="W93" s="42">
        <f>データ!T90</f>
        <v>0</v>
      </c>
      <c r="X93" s="48">
        <f>IF($C93="集計行","",データ!U90)</f>
        <v>0</v>
      </c>
      <c r="Y93" s="48">
        <f>データ!V90</f>
        <v>0</v>
      </c>
      <c r="Z93" s="39" t="str">
        <f>IF(OR($C93="総括",$C93="内訳書",$C93="内訳代価",$C93="明細書",$C93="明細代価",$C93="代価表",$C93="単価表"),データ!W90,"")</f>
        <v/>
      </c>
      <c r="AA93" s="11" t="str">
        <f t="shared" si="10"/>
        <v/>
      </c>
      <c r="AB93" s="46" t="e">
        <f t="shared" si="11"/>
        <v>#DIV/0!</v>
      </c>
      <c r="AC93" s="40" t="str">
        <f>IF(データ!X90="","",データ!X90)</f>
        <v/>
      </c>
      <c r="AD93" s="41" t="str">
        <f>IF(データ!Y90="","",データ!Y90)</f>
        <v/>
      </c>
      <c r="AE93" s="47" t="str">
        <f>TRIM(データ!B90)</f>
        <v>s20718549</v>
      </c>
      <c r="AF93" s="43" t="str">
        <f>TRIM(データ!Z90)</f>
        <v/>
      </c>
    </row>
    <row r="94" spans="1:32" x14ac:dyDescent="0.15">
      <c r="A94" s="47">
        <f>データ!A91</f>
        <v>2</v>
      </c>
      <c r="B94" s="47" t="str">
        <f>TRIM(データ!C91)</f>
        <v/>
      </c>
      <c r="C94" s="47" t="str">
        <f>TRIM(データ!D91)</f>
        <v>労務費</v>
      </c>
      <c r="D94" s="36" t="str">
        <f>REPT("｜",$A94)&amp;TRIM(データ!E91)</f>
        <v>｜｜運転工</v>
      </c>
      <c r="E94" s="37" t="str">
        <f>TRIM(データ!F91)</f>
        <v>8H</v>
      </c>
      <c r="F94" s="38" t="str">
        <f>TRIM(データ!G91)</f>
        <v>人</v>
      </c>
      <c r="G94" s="50">
        <f>データ!H91</f>
        <v>10</v>
      </c>
      <c r="H94" s="48">
        <f>データ!I91</f>
        <v>23000</v>
      </c>
      <c r="I94" s="48">
        <f>データ!J91</f>
        <v>230000</v>
      </c>
      <c r="J94" s="39" t="str">
        <f>IF(OR($C94="総括",$C94="内訳書",$C94="内訳代価",$C94="明細書",$C94="明細代価",$C94="代価表",$C94="単価表"),データ!K91,"")</f>
        <v/>
      </c>
      <c r="K94" s="11" t="str">
        <f t="shared" si="6"/>
        <v/>
      </c>
      <c r="L94" s="46">
        <f t="shared" si="7"/>
        <v>1.5032679738562092E-2</v>
      </c>
      <c r="M94" s="40" t="str">
        <f>IF(データ!L91="","",データ!L91)</f>
        <v/>
      </c>
      <c r="N94" s="41" t="str">
        <f>IF(データ!M91="","",データ!M91)</f>
        <v/>
      </c>
      <c r="O94" s="42">
        <f>データ!N91</f>
        <v>0</v>
      </c>
      <c r="P94" s="48">
        <f>IF($C94="集計行","",データ!O91)</f>
        <v>0</v>
      </c>
      <c r="Q94" s="48">
        <f>データ!P91</f>
        <v>0</v>
      </c>
      <c r="R94" s="39" t="str">
        <f>IF(OR($C94="総括",$C94="内訳書",$C94="内訳代価",$C94="明細書",$C94="明細代価",$C94="代価表",$C94="単価表"),データ!Q91,"")</f>
        <v/>
      </c>
      <c r="S94" s="11" t="str">
        <f t="shared" si="8"/>
        <v/>
      </c>
      <c r="T94" s="46" t="e">
        <f t="shared" si="9"/>
        <v>#DIV/0!</v>
      </c>
      <c r="U94" s="40" t="str">
        <f>IF(データ!R91="","",データ!R91)</f>
        <v/>
      </c>
      <c r="V94" s="41" t="str">
        <f>IF(データ!S91="","",データ!S91)</f>
        <v/>
      </c>
      <c r="W94" s="42">
        <f>データ!T91</f>
        <v>0</v>
      </c>
      <c r="X94" s="48">
        <f>IF($C94="集計行","",データ!U91)</f>
        <v>0</v>
      </c>
      <c r="Y94" s="48">
        <f>データ!V91</f>
        <v>0</v>
      </c>
      <c r="Z94" s="39" t="str">
        <f>IF(OR($C94="総括",$C94="内訳書",$C94="内訳代価",$C94="明細書",$C94="明細代価",$C94="代価表",$C94="単価表"),データ!W91,"")</f>
        <v/>
      </c>
      <c r="AA94" s="11" t="str">
        <f t="shared" si="10"/>
        <v/>
      </c>
      <c r="AB94" s="46" t="e">
        <f t="shared" si="11"/>
        <v>#DIV/0!</v>
      </c>
      <c r="AC94" s="40" t="str">
        <f>IF(データ!X91="","",データ!X91)</f>
        <v/>
      </c>
      <c r="AD94" s="41" t="str">
        <f>IF(データ!Y91="","",データ!Y91)</f>
        <v/>
      </c>
      <c r="AE94" s="47" t="str">
        <f>TRIM(データ!B91)</f>
        <v>r20718007</v>
      </c>
      <c r="AF94" s="43" t="str">
        <f>TRIM(データ!Z91)</f>
        <v>1日×10人</v>
      </c>
    </row>
    <row r="95" spans="1:32" x14ac:dyDescent="0.15">
      <c r="A95" s="47">
        <f>データ!A92</f>
        <v>2</v>
      </c>
      <c r="B95" s="47" t="str">
        <f>TRIM(データ!C92)</f>
        <v/>
      </c>
      <c r="C95" s="47" t="str">
        <f>TRIM(データ!D92)</f>
        <v>機械費</v>
      </c>
      <c r="D95" s="36" t="str">
        <f>REPT("｜",$A95)&amp;TRIM(データ!E92)</f>
        <v>｜｜BH0.25クレーン</v>
      </c>
      <c r="E95" s="37" t="str">
        <f>TRIM(データ!F92)</f>
        <v>低騒音・超小</v>
      </c>
      <c r="F95" s="38" t="str">
        <f>TRIM(データ!G92)</f>
        <v>日台</v>
      </c>
      <c r="G95" s="50">
        <f>データ!H92</f>
        <v>1</v>
      </c>
      <c r="H95" s="48">
        <f>データ!I92</f>
        <v>13000</v>
      </c>
      <c r="I95" s="48">
        <f>データ!J92</f>
        <v>13000</v>
      </c>
      <c r="J95" s="39" t="str">
        <f>IF(OR($C95="総括",$C95="内訳書",$C95="内訳代価",$C95="明細書",$C95="明細代価",$C95="代価表",$C95="単価表"),データ!K92,"")</f>
        <v/>
      </c>
      <c r="K95" s="11" t="str">
        <f t="shared" si="6"/>
        <v/>
      </c>
      <c r="L95" s="46">
        <f t="shared" si="7"/>
        <v>8.4967320261437906E-4</v>
      </c>
      <c r="M95" s="40" t="str">
        <f>IF(データ!L92="","",データ!L92)</f>
        <v/>
      </c>
      <c r="N95" s="41" t="str">
        <f>IF(データ!M92="","",データ!M92)</f>
        <v/>
      </c>
      <c r="O95" s="42">
        <f>データ!N92</f>
        <v>0</v>
      </c>
      <c r="P95" s="48">
        <f>IF($C95="集計行","",データ!O92)</f>
        <v>0</v>
      </c>
      <c r="Q95" s="48">
        <f>データ!P92</f>
        <v>0</v>
      </c>
      <c r="R95" s="39" t="str">
        <f>IF(OR($C95="総括",$C95="内訳書",$C95="内訳代価",$C95="明細書",$C95="明細代価",$C95="代価表",$C95="単価表"),データ!Q92,"")</f>
        <v/>
      </c>
      <c r="S95" s="11" t="str">
        <f t="shared" si="8"/>
        <v/>
      </c>
      <c r="T95" s="46" t="e">
        <f t="shared" si="9"/>
        <v>#DIV/0!</v>
      </c>
      <c r="U95" s="40" t="str">
        <f>IF(データ!R92="","",データ!R92)</f>
        <v/>
      </c>
      <c r="V95" s="41" t="str">
        <f>IF(データ!S92="","",データ!S92)</f>
        <v/>
      </c>
      <c r="W95" s="42">
        <f>データ!T92</f>
        <v>0</v>
      </c>
      <c r="X95" s="48">
        <f>IF($C95="集計行","",データ!U92)</f>
        <v>0</v>
      </c>
      <c r="Y95" s="48">
        <f>データ!V92</f>
        <v>0</v>
      </c>
      <c r="Z95" s="39" t="str">
        <f>IF(OR($C95="総括",$C95="内訳書",$C95="内訳代価",$C95="明細書",$C95="明細代価",$C95="代価表",$C95="単価表"),データ!W92,"")</f>
        <v/>
      </c>
      <c r="AA95" s="11" t="str">
        <f t="shared" si="10"/>
        <v/>
      </c>
      <c r="AB95" s="46" t="e">
        <f t="shared" si="11"/>
        <v>#DIV/0!</v>
      </c>
      <c r="AC95" s="40" t="str">
        <f>IF(データ!X92="","",データ!X92)</f>
        <v/>
      </c>
      <c r="AD95" s="41" t="str">
        <f>IF(データ!Y92="","",データ!Y92)</f>
        <v/>
      </c>
      <c r="AE95" s="47" t="str">
        <f>TRIM(データ!B92)</f>
        <v>k20718018</v>
      </c>
      <c r="AF95" s="43" t="str">
        <f>TRIM(データ!Z92)</f>
        <v>1日×1台</v>
      </c>
    </row>
    <row r="96" spans="1:32" x14ac:dyDescent="0.15">
      <c r="A96" s="47">
        <f>データ!A93</f>
        <v>2</v>
      </c>
      <c r="B96" s="47" t="str">
        <f>TRIM(データ!C93)</f>
        <v/>
      </c>
      <c r="C96" s="47" t="str">
        <f>TRIM(データ!D93)</f>
        <v>機械費</v>
      </c>
      <c r="D96" s="36" t="str">
        <f>REPT("｜",$A96)&amp;TRIM(データ!E93)</f>
        <v>｜｜Asフィニッシャー4.4m</v>
      </c>
      <c r="E96" s="37" t="str">
        <f>TRIM(データ!F93)</f>
        <v>低騒音</v>
      </c>
      <c r="F96" s="38" t="str">
        <f>TRIM(データ!G93)</f>
        <v>日台</v>
      </c>
      <c r="G96" s="50">
        <f>データ!H93</f>
        <v>1</v>
      </c>
      <c r="H96" s="48">
        <f>データ!I93</f>
        <v>45000</v>
      </c>
      <c r="I96" s="48">
        <f>データ!J93</f>
        <v>45000</v>
      </c>
      <c r="J96" s="39" t="str">
        <f>IF(OR($C96="総括",$C96="内訳書",$C96="内訳代価",$C96="明細書",$C96="明細代価",$C96="代価表",$C96="単価表"),データ!K93,"")</f>
        <v/>
      </c>
      <c r="K96" s="11" t="str">
        <f t="shared" si="6"/>
        <v/>
      </c>
      <c r="L96" s="46">
        <f t="shared" si="7"/>
        <v>2.9411764705882353E-3</v>
      </c>
      <c r="M96" s="40" t="str">
        <f>IF(データ!L93="","",データ!L93)</f>
        <v/>
      </c>
      <c r="N96" s="41" t="str">
        <f>IF(データ!M93="","",データ!M93)</f>
        <v/>
      </c>
      <c r="O96" s="42">
        <f>データ!N93</f>
        <v>0</v>
      </c>
      <c r="P96" s="48">
        <f>IF($C96="集計行","",データ!O93)</f>
        <v>0</v>
      </c>
      <c r="Q96" s="48">
        <f>データ!P93</f>
        <v>0</v>
      </c>
      <c r="R96" s="39" t="str">
        <f>IF(OR($C96="総括",$C96="内訳書",$C96="内訳代価",$C96="明細書",$C96="明細代価",$C96="代価表",$C96="単価表"),データ!Q93,"")</f>
        <v/>
      </c>
      <c r="S96" s="11" t="str">
        <f t="shared" si="8"/>
        <v/>
      </c>
      <c r="T96" s="46" t="e">
        <f t="shared" si="9"/>
        <v>#DIV/0!</v>
      </c>
      <c r="U96" s="40" t="str">
        <f>IF(データ!R93="","",データ!R93)</f>
        <v/>
      </c>
      <c r="V96" s="41" t="str">
        <f>IF(データ!S93="","",データ!S93)</f>
        <v/>
      </c>
      <c r="W96" s="42">
        <f>データ!T93</f>
        <v>0</v>
      </c>
      <c r="X96" s="48">
        <f>IF($C96="集計行","",データ!U93)</f>
        <v>0</v>
      </c>
      <c r="Y96" s="48">
        <f>データ!V93</f>
        <v>0</v>
      </c>
      <c r="Z96" s="39" t="str">
        <f>IF(OR($C96="総括",$C96="内訳書",$C96="内訳代価",$C96="明細書",$C96="明細代価",$C96="代価表",$C96="単価表"),データ!W93,"")</f>
        <v/>
      </c>
      <c r="AA96" s="11" t="str">
        <f t="shared" si="10"/>
        <v/>
      </c>
      <c r="AB96" s="46" t="e">
        <f t="shared" si="11"/>
        <v>#DIV/0!</v>
      </c>
      <c r="AC96" s="40" t="str">
        <f>IF(データ!X93="","",データ!X93)</f>
        <v/>
      </c>
      <c r="AD96" s="41" t="str">
        <f>IF(データ!Y93="","",データ!Y93)</f>
        <v/>
      </c>
      <c r="AE96" s="47" t="str">
        <f>TRIM(データ!B93)</f>
        <v>k20718053</v>
      </c>
      <c r="AF96" s="43" t="str">
        <f>TRIM(データ!Z93)</f>
        <v>1日×1台</v>
      </c>
    </row>
    <row r="97" spans="1:32" x14ac:dyDescent="0.15">
      <c r="A97" s="47">
        <f>データ!A94</f>
        <v>2</v>
      </c>
      <c r="B97" s="47" t="str">
        <f>TRIM(データ!C94)</f>
        <v/>
      </c>
      <c r="C97" s="47" t="str">
        <f>TRIM(データ!D94)</f>
        <v>機械費</v>
      </c>
      <c r="D97" s="36" t="str">
        <f>REPT("｜",$A97)&amp;TRIM(データ!E94)</f>
        <v>｜｜タイヤR　8t</v>
      </c>
      <c r="E97" s="37" t="str">
        <f>TRIM(データ!F94)</f>
        <v>8t　低騒音</v>
      </c>
      <c r="F97" s="38" t="str">
        <f>TRIM(データ!G94)</f>
        <v>日台</v>
      </c>
      <c r="G97" s="50">
        <f>データ!H94</f>
        <v>1</v>
      </c>
      <c r="H97" s="48">
        <f>データ!I94</f>
        <v>7000</v>
      </c>
      <c r="I97" s="48">
        <f>データ!J94</f>
        <v>7000</v>
      </c>
      <c r="J97" s="39" t="str">
        <f>IF(OR($C97="総括",$C97="内訳書",$C97="内訳代価",$C97="明細書",$C97="明細代価",$C97="代価表",$C97="単価表"),データ!K94,"")</f>
        <v/>
      </c>
      <c r="K97" s="11" t="str">
        <f t="shared" si="6"/>
        <v/>
      </c>
      <c r="L97" s="46">
        <f t="shared" si="7"/>
        <v>4.5751633986928104E-4</v>
      </c>
      <c r="M97" s="40" t="str">
        <f>IF(データ!L94="","",データ!L94)</f>
        <v/>
      </c>
      <c r="N97" s="41" t="str">
        <f>IF(データ!M94="","",データ!M94)</f>
        <v/>
      </c>
      <c r="O97" s="42">
        <f>データ!N94</f>
        <v>0</v>
      </c>
      <c r="P97" s="48">
        <f>IF($C97="集計行","",データ!O94)</f>
        <v>0</v>
      </c>
      <c r="Q97" s="48">
        <f>データ!P94</f>
        <v>0</v>
      </c>
      <c r="R97" s="39" t="str">
        <f>IF(OR($C97="総括",$C97="内訳書",$C97="内訳代価",$C97="明細書",$C97="明細代価",$C97="代価表",$C97="単価表"),データ!Q94,"")</f>
        <v/>
      </c>
      <c r="S97" s="11" t="str">
        <f t="shared" si="8"/>
        <v/>
      </c>
      <c r="T97" s="46" t="e">
        <f t="shared" si="9"/>
        <v>#DIV/0!</v>
      </c>
      <c r="U97" s="40" t="str">
        <f>IF(データ!R94="","",データ!R94)</f>
        <v/>
      </c>
      <c r="V97" s="41" t="str">
        <f>IF(データ!S94="","",データ!S94)</f>
        <v/>
      </c>
      <c r="W97" s="42">
        <f>データ!T94</f>
        <v>0</v>
      </c>
      <c r="X97" s="48">
        <f>IF($C97="集計行","",データ!U94)</f>
        <v>0</v>
      </c>
      <c r="Y97" s="48">
        <f>データ!V94</f>
        <v>0</v>
      </c>
      <c r="Z97" s="39" t="str">
        <f>IF(OR($C97="総括",$C97="内訳書",$C97="内訳代価",$C97="明細書",$C97="明細代価",$C97="代価表",$C97="単価表"),データ!W94,"")</f>
        <v/>
      </c>
      <c r="AA97" s="11" t="str">
        <f t="shared" si="10"/>
        <v/>
      </c>
      <c r="AB97" s="46" t="e">
        <f t="shared" si="11"/>
        <v>#DIV/0!</v>
      </c>
      <c r="AC97" s="40" t="str">
        <f>IF(データ!X94="","",データ!X94)</f>
        <v/>
      </c>
      <c r="AD97" s="41" t="str">
        <f>IF(データ!Y94="","",データ!Y94)</f>
        <v/>
      </c>
      <c r="AE97" s="47" t="str">
        <f>TRIM(データ!B94)</f>
        <v>k20718043</v>
      </c>
      <c r="AF97" s="43" t="str">
        <f>TRIM(データ!Z94)</f>
        <v>1日×1台</v>
      </c>
    </row>
    <row r="98" spans="1:32" x14ac:dyDescent="0.15">
      <c r="A98" s="47">
        <f>データ!A95</f>
        <v>2</v>
      </c>
      <c r="B98" s="47" t="str">
        <f>TRIM(データ!C95)</f>
        <v/>
      </c>
      <c r="C98" s="47" t="str">
        <f>TRIM(データ!D95)</f>
        <v>機械費</v>
      </c>
      <c r="D98" s="36" t="str">
        <f>REPT("｜",$A98)&amp;TRIM(データ!E95)</f>
        <v>｜｜コンバインドR</v>
      </c>
      <c r="E98" s="37" t="str">
        <f>TRIM(データ!F95)</f>
        <v>3t　4ｔ　低騒音</v>
      </c>
      <c r="F98" s="38" t="str">
        <f>TRIM(データ!G95)</f>
        <v>日台</v>
      </c>
      <c r="G98" s="50">
        <f>データ!H95</f>
        <v>1</v>
      </c>
      <c r="H98" s="48">
        <f>データ!I95</f>
        <v>5000</v>
      </c>
      <c r="I98" s="48">
        <f>データ!J95</f>
        <v>5000</v>
      </c>
      <c r="J98" s="39" t="str">
        <f>IF(OR($C98="総括",$C98="内訳書",$C98="内訳代価",$C98="明細書",$C98="明細代価",$C98="代価表",$C98="単価表"),データ!K95,"")</f>
        <v/>
      </c>
      <c r="K98" s="11" t="str">
        <f t="shared" si="6"/>
        <v/>
      </c>
      <c r="L98" s="46">
        <f t="shared" si="7"/>
        <v>3.2679738562091501E-4</v>
      </c>
      <c r="M98" s="40" t="str">
        <f>IF(データ!L95="","",データ!L95)</f>
        <v/>
      </c>
      <c r="N98" s="41" t="str">
        <f>IF(データ!M95="","",データ!M95)</f>
        <v/>
      </c>
      <c r="O98" s="42">
        <f>データ!N95</f>
        <v>0</v>
      </c>
      <c r="P98" s="48">
        <f>IF($C98="集計行","",データ!O95)</f>
        <v>0</v>
      </c>
      <c r="Q98" s="48">
        <f>データ!P95</f>
        <v>0</v>
      </c>
      <c r="R98" s="39" t="str">
        <f>IF(OR($C98="総括",$C98="内訳書",$C98="内訳代価",$C98="明細書",$C98="明細代価",$C98="代価表",$C98="単価表"),データ!Q95,"")</f>
        <v/>
      </c>
      <c r="S98" s="11" t="str">
        <f t="shared" si="8"/>
        <v/>
      </c>
      <c r="T98" s="46" t="e">
        <f t="shared" si="9"/>
        <v>#DIV/0!</v>
      </c>
      <c r="U98" s="40" t="str">
        <f>IF(データ!R95="","",データ!R95)</f>
        <v/>
      </c>
      <c r="V98" s="41" t="str">
        <f>IF(データ!S95="","",データ!S95)</f>
        <v/>
      </c>
      <c r="W98" s="42">
        <f>データ!T95</f>
        <v>0</v>
      </c>
      <c r="X98" s="48">
        <f>IF($C98="集計行","",データ!U95)</f>
        <v>0</v>
      </c>
      <c r="Y98" s="48">
        <f>データ!V95</f>
        <v>0</v>
      </c>
      <c r="Z98" s="39" t="str">
        <f>IF(OR($C98="総括",$C98="内訳書",$C98="内訳代価",$C98="明細書",$C98="明細代価",$C98="代価表",$C98="単価表"),データ!W95,"")</f>
        <v/>
      </c>
      <c r="AA98" s="11" t="str">
        <f t="shared" si="10"/>
        <v/>
      </c>
      <c r="AB98" s="46" t="e">
        <f t="shared" si="11"/>
        <v>#DIV/0!</v>
      </c>
      <c r="AC98" s="40" t="str">
        <f>IF(データ!X95="","",データ!X95)</f>
        <v/>
      </c>
      <c r="AD98" s="41" t="str">
        <f>IF(データ!Y95="","",データ!Y95)</f>
        <v/>
      </c>
      <c r="AE98" s="47" t="str">
        <f>TRIM(データ!B95)</f>
        <v>k20718031</v>
      </c>
      <c r="AF98" s="43" t="str">
        <f>TRIM(データ!Z95)</f>
        <v>1日×1台</v>
      </c>
    </row>
    <row r="99" spans="1:32" x14ac:dyDescent="0.15">
      <c r="A99" s="47">
        <f>データ!A96</f>
        <v>2</v>
      </c>
      <c r="B99" s="47" t="str">
        <f>TRIM(データ!C96)</f>
        <v/>
      </c>
      <c r="C99" s="47" t="str">
        <f>TRIM(データ!D96)</f>
        <v>機械費</v>
      </c>
      <c r="D99" s="36" t="str">
        <f>REPT("｜",$A99)&amp;TRIM(データ!E96)</f>
        <v>｜｜タイヤショベル0.5</v>
      </c>
      <c r="E99" s="37" t="str">
        <f>TRIM(データ!F96)</f>
        <v>低騒音</v>
      </c>
      <c r="F99" s="38" t="str">
        <f>TRIM(データ!G96)</f>
        <v>日台</v>
      </c>
      <c r="G99" s="50">
        <f>データ!H96</f>
        <v>1</v>
      </c>
      <c r="H99" s="48">
        <f>データ!I96</f>
        <v>6000</v>
      </c>
      <c r="I99" s="48">
        <f>データ!J96</f>
        <v>6000</v>
      </c>
      <c r="J99" s="39" t="str">
        <f>IF(OR($C99="総括",$C99="内訳書",$C99="内訳代価",$C99="明細書",$C99="明細代価",$C99="代価表",$C99="単価表"),データ!K96,"")</f>
        <v/>
      </c>
      <c r="K99" s="11" t="str">
        <f t="shared" si="6"/>
        <v/>
      </c>
      <c r="L99" s="46">
        <f t="shared" si="7"/>
        <v>3.9215686274509802E-4</v>
      </c>
      <c r="M99" s="40" t="str">
        <f>IF(データ!L96="","",データ!L96)</f>
        <v/>
      </c>
      <c r="N99" s="41" t="str">
        <f>IF(データ!M96="","",データ!M96)</f>
        <v/>
      </c>
      <c r="O99" s="42">
        <f>データ!N96</f>
        <v>0</v>
      </c>
      <c r="P99" s="48">
        <f>IF($C99="集計行","",データ!O96)</f>
        <v>0</v>
      </c>
      <c r="Q99" s="48">
        <f>データ!P96</f>
        <v>0</v>
      </c>
      <c r="R99" s="39" t="str">
        <f>IF(OR($C99="総括",$C99="内訳書",$C99="内訳代価",$C99="明細書",$C99="明細代価",$C99="代価表",$C99="単価表"),データ!Q96,"")</f>
        <v/>
      </c>
      <c r="S99" s="11" t="str">
        <f t="shared" si="8"/>
        <v/>
      </c>
      <c r="T99" s="46" t="e">
        <f t="shared" si="9"/>
        <v>#DIV/0!</v>
      </c>
      <c r="U99" s="40" t="str">
        <f>IF(データ!R96="","",データ!R96)</f>
        <v/>
      </c>
      <c r="V99" s="41" t="str">
        <f>IF(データ!S96="","",データ!S96)</f>
        <v/>
      </c>
      <c r="W99" s="42">
        <f>データ!T96</f>
        <v>0</v>
      </c>
      <c r="X99" s="48">
        <f>IF($C99="集計行","",データ!U96)</f>
        <v>0</v>
      </c>
      <c r="Y99" s="48">
        <f>データ!V96</f>
        <v>0</v>
      </c>
      <c r="Z99" s="39" t="str">
        <f>IF(OR($C99="総括",$C99="内訳書",$C99="内訳代価",$C99="明細書",$C99="明細代価",$C99="代価表",$C99="単価表"),データ!W96,"")</f>
        <v/>
      </c>
      <c r="AA99" s="11" t="str">
        <f t="shared" si="10"/>
        <v/>
      </c>
      <c r="AB99" s="46" t="e">
        <f t="shared" si="11"/>
        <v>#DIV/0!</v>
      </c>
      <c r="AC99" s="40" t="str">
        <f>IF(データ!X96="","",データ!X96)</f>
        <v/>
      </c>
      <c r="AD99" s="41" t="str">
        <f>IF(データ!Y96="","",データ!Y96)</f>
        <v/>
      </c>
      <c r="AE99" s="47" t="str">
        <f>TRIM(データ!B96)</f>
        <v>k20718024</v>
      </c>
      <c r="AF99" s="43" t="str">
        <f>TRIM(データ!Z96)</f>
        <v>1日×1台</v>
      </c>
    </row>
    <row r="100" spans="1:32" x14ac:dyDescent="0.15">
      <c r="A100" s="47">
        <f>データ!A97</f>
        <v>2</v>
      </c>
      <c r="B100" s="47" t="str">
        <f>TRIM(データ!C97)</f>
        <v/>
      </c>
      <c r="C100" s="47" t="str">
        <f>TRIM(データ!D97)</f>
        <v>運搬費</v>
      </c>
      <c r="D100" s="36" t="str">
        <f>REPT("｜",$A100)&amp;TRIM(データ!E97)</f>
        <v>｜｜2tダンプ</v>
      </c>
      <c r="E100" s="37" t="str">
        <f>TRIM(データ!F97)</f>
        <v/>
      </c>
      <c r="F100" s="38" t="str">
        <f>TRIM(データ!G97)</f>
        <v>台</v>
      </c>
      <c r="G100" s="50">
        <f>データ!H97</f>
        <v>2</v>
      </c>
      <c r="H100" s="48">
        <f>データ!I97</f>
        <v>6000</v>
      </c>
      <c r="I100" s="48">
        <f>データ!J97</f>
        <v>12000</v>
      </c>
      <c r="J100" s="39" t="str">
        <f>IF(OR($C100="総括",$C100="内訳書",$C100="内訳代価",$C100="明細書",$C100="明細代価",$C100="代価表",$C100="単価表"),データ!K97,"")</f>
        <v/>
      </c>
      <c r="K100" s="11" t="str">
        <f t="shared" si="6"/>
        <v/>
      </c>
      <c r="L100" s="46">
        <f t="shared" si="7"/>
        <v>7.8431372549019605E-4</v>
      </c>
      <c r="M100" s="40" t="str">
        <f>IF(データ!L97="","",データ!L97)</f>
        <v/>
      </c>
      <c r="N100" s="41" t="str">
        <f>IF(データ!M97="","",データ!M97)</f>
        <v/>
      </c>
      <c r="O100" s="42">
        <f>データ!N97</f>
        <v>0</v>
      </c>
      <c r="P100" s="48">
        <f>IF($C100="集計行","",データ!O97)</f>
        <v>0</v>
      </c>
      <c r="Q100" s="48">
        <f>データ!P97</f>
        <v>0</v>
      </c>
      <c r="R100" s="39" t="str">
        <f>IF(OR($C100="総括",$C100="内訳書",$C100="内訳代価",$C100="明細書",$C100="明細代価",$C100="代価表",$C100="単価表"),データ!Q97,"")</f>
        <v/>
      </c>
      <c r="S100" s="11" t="str">
        <f t="shared" si="8"/>
        <v/>
      </c>
      <c r="T100" s="46" t="e">
        <f t="shared" si="9"/>
        <v>#DIV/0!</v>
      </c>
      <c r="U100" s="40" t="str">
        <f>IF(データ!R97="","",データ!R97)</f>
        <v/>
      </c>
      <c r="V100" s="41" t="str">
        <f>IF(データ!S97="","",データ!S97)</f>
        <v/>
      </c>
      <c r="W100" s="42">
        <f>データ!T97</f>
        <v>0</v>
      </c>
      <c r="X100" s="48">
        <f>IF($C100="集計行","",データ!U97)</f>
        <v>0</v>
      </c>
      <c r="Y100" s="48">
        <f>データ!V97</f>
        <v>0</v>
      </c>
      <c r="Z100" s="39" t="str">
        <f>IF(OR($C100="総括",$C100="内訳書",$C100="内訳代価",$C100="明細書",$C100="明細代価",$C100="代価表",$C100="単価表"),データ!W97,"")</f>
        <v/>
      </c>
      <c r="AA100" s="11" t="str">
        <f t="shared" si="10"/>
        <v/>
      </c>
      <c r="AB100" s="46" t="e">
        <f t="shared" si="11"/>
        <v>#DIV/0!</v>
      </c>
      <c r="AC100" s="40" t="str">
        <f>IF(データ!X97="","",データ!X97)</f>
        <v/>
      </c>
      <c r="AD100" s="41" t="str">
        <f>IF(データ!Y97="","",データ!Y97)</f>
        <v/>
      </c>
      <c r="AE100" s="47" t="str">
        <f>TRIM(データ!B97)</f>
        <v>u20718025</v>
      </c>
      <c r="AF100" s="43" t="str">
        <f>TRIM(データ!Z97)</f>
        <v>1日×2台</v>
      </c>
    </row>
    <row r="101" spans="1:32" x14ac:dyDescent="0.15">
      <c r="A101" s="47">
        <f>データ!A98</f>
        <v>2</v>
      </c>
      <c r="B101" s="47" t="str">
        <f>TRIM(データ!C98)</f>
        <v/>
      </c>
      <c r="C101" s="47" t="str">
        <f>TRIM(データ!D98)</f>
        <v>運搬費</v>
      </c>
      <c r="D101" s="36" t="str">
        <f>REPT("｜",$A101)&amp;TRIM(データ!E98)</f>
        <v>｜｜WP</v>
      </c>
      <c r="E101" s="37" t="str">
        <f>TRIM(データ!F98)</f>
        <v/>
      </c>
      <c r="F101" s="38" t="str">
        <f>TRIM(データ!G98)</f>
        <v>台</v>
      </c>
      <c r="G101" s="50">
        <f>データ!H98</f>
        <v>1</v>
      </c>
      <c r="H101" s="48">
        <f>データ!I98</f>
        <v>5000</v>
      </c>
      <c r="I101" s="48">
        <f>データ!J98</f>
        <v>5000</v>
      </c>
      <c r="J101" s="39" t="str">
        <f>IF(OR($C101="総括",$C101="内訳書",$C101="内訳代価",$C101="明細書",$C101="明細代価",$C101="代価表",$C101="単価表"),データ!K98,"")</f>
        <v/>
      </c>
      <c r="K101" s="11" t="str">
        <f t="shared" si="6"/>
        <v/>
      </c>
      <c r="L101" s="46">
        <f t="shared" si="7"/>
        <v>3.2679738562091501E-4</v>
      </c>
      <c r="M101" s="40" t="str">
        <f>IF(データ!L98="","",データ!L98)</f>
        <v/>
      </c>
      <c r="N101" s="41" t="str">
        <f>IF(データ!M98="","",データ!M98)</f>
        <v/>
      </c>
      <c r="O101" s="42">
        <f>データ!N98</f>
        <v>0</v>
      </c>
      <c r="P101" s="48">
        <f>IF($C101="集計行","",データ!O98)</f>
        <v>0</v>
      </c>
      <c r="Q101" s="48">
        <f>データ!P98</f>
        <v>0</v>
      </c>
      <c r="R101" s="39" t="str">
        <f>IF(OR($C101="総括",$C101="内訳書",$C101="内訳代価",$C101="明細書",$C101="明細代価",$C101="代価表",$C101="単価表"),データ!Q98,"")</f>
        <v/>
      </c>
      <c r="S101" s="11" t="str">
        <f t="shared" si="8"/>
        <v/>
      </c>
      <c r="T101" s="46" t="e">
        <f t="shared" si="9"/>
        <v>#DIV/0!</v>
      </c>
      <c r="U101" s="40" t="str">
        <f>IF(データ!R98="","",データ!R98)</f>
        <v/>
      </c>
      <c r="V101" s="41" t="str">
        <f>IF(データ!S98="","",データ!S98)</f>
        <v/>
      </c>
      <c r="W101" s="42">
        <f>データ!T98</f>
        <v>0</v>
      </c>
      <c r="X101" s="48">
        <f>IF($C101="集計行","",データ!U98)</f>
        <v>0</v>
      </c>
      <c r="Y101" s="48">
        <f>データ!V98</f>
        <v>0</v>
      </c>
      <c r="Z101" s="39" t="str">
        <f>IF(OR($C101="総括",$C101="内訳書",$C101="内訳代価",$C101="明細書",$C101="明細代価",$C101="代価表",$C101="単価表"),データ!W98,"")</f>
        <v/>
      </c>
      <c r="AA101" s="11" t="str">
        <f t="shared" si="10"/>
        <v/>
      </c>
      <c r="AB101" s="46" t="e">
        <f t="shared" si="11"/>
        <v>#DIV/0!</v>
      </c>
      <c r="AC101" s="40" t="str">
        <f>IF(データ!X98="","",データ!X98)</f>
        <v/>
      </c>
      <c r="AD101" s="41" t="str">
        <f>IF(データ!Y98="","",データ!Y98)</f>
        <v/>
      </c>
      <c r="AE101" s="47" t="str">
        <f>TRIM(データ!B98)</f>
        <v>u20718008</v>
      </c>
      <c r="AF101" s="43" t="str">
        <f>TRIM(データ!Z98)</f>
        <v>1日×2台</v>
      </c>
    </row>
    <row r="102" spans="1:32" x14ac:dyDescent="0.15">
      <c r="A102" s="47">
        <f>データ!A99</f>
        <v>1</v>
      </c>
      <c r="B102" s="47" t="str">
        <f>TRIM(データ!C99)</f>
        <v/>
      </c>
      <c r="C102" s="47" t="str">
        <f>TRIM(データ!D99)</f>
        <v>内訳代価</v>
      </c>
      <c r="D102" s="36" t="str">
        <f>REPT("｜",$A102)&amp;TRIM(データ!E99)</f>
        <v>｜仮舗装</v>
      </c>
      <c r="E102" s="37" t="str">
        <f>TRIM(データ!F99)</f>
        <v>下層路盤工(RC-40　材料支給）</v>
      </c>
      <c r="F102" s="38" t="str">
        <f>TRIM(データ!G99)</f>
        <v>m2</v>
      </c>
      <c r="G102" s="50">
        <f>データ!H99</f>
        <v>355</v>
      </c>
      <c r="H102" s="48">
        <f>データ!I99</f>
        <v>580</v>
      </c>
      <c r="I102" s="48">
        <f>データ!J99</f>
        <v>205900</v>
      </c>
      <c r="J102" s="39">
        <f>IF(OR($C102="総括",$C102="内訳書",$C102="内訳代価",$C102="明細書",$C102="明細代価",$C102="代価表",$C102="単価表"),データ!K99,"")</f>
        <v>355</v>
      </c>
      <c r="K102" s="11" t="str">
        <f t="shared" si="6"/>
        <v/>
      </c>
      <c r="L102" s="46">
        <f t="shared" si="7"/>
        <v>1.3457516339869281E-2</v>
      </c>
      <c r="M102" s="40" t="str">
        <f>IF(データ!L99="","",データ!L99)</f>
        <v/>
      </c>
      <c r="N102" s="41" t="str">
        <f>IF(データ!M99="","",データ!M99)</f>
        <v>22号内訳書</v>
      </c>
      <c r="O102" s="42">
        <f>データ!N99</f>
        <v>0</v>
      </c>
      <c r="P102" s="48">
        <f>IF($C102="集計行","",データ!O99)</f>
        <v>0</v>
      </c>
      <c r="Q102" s="48">
        <f>データ!P99</f>
        <v>0</v>
      </c>
      <c r="R102" s="39">
        <f>IF(OR($C102="総括",$C102="内訳書",$C102="内訳代価",$C102="明細書",$C102="明細代価",$C102="代価表",$C102="単価表"),データ!Q99,"")</f>
        <v>0</v>
      </c>
      <c r="S102" s="11" t="str">
        <f t="shared" si="8"/>
        <v/>
      </c>
      <c r="T102" s="46" t="e">
        <f t="shared" si="9"/>
        <v>#DIV/0!</v>
      </c>
      <c r="U102" s="40" t="str">
        <f>IF(データ!R99="","",データ!R99)</f>
        <v/>
      </c>
      <c r="V102" s="41" t="str">
        <f>IF(データ!S99="","",データ!S99)</f>
        <v/>
      </c>
      <c r="W102" s="42">
        <f>データ!T99</f>
        <v>0</v>
      </c>
      <c r="X102" s="48">
        <f>IF($C102="集計行","",データ!U99)</f>
        <v>0</v>
      </c>
      <c r="Y102" s="48">
        <f>データ!V99</f>
        <v>0</v>
      </c>
      <c r="Z102" s="39">
        <f>IF(OR($C102="総括",$C102="内訳書",$C102="内訳代価",$C102="明細書",$C102="明細代価",$C102="代価表",$C102="単価表"),データ!W99,"")</f>
        <v>0</v>
      </c>
      <c r="AA102" s="11" t="str">
        <f t="shared" si="10"/>
        <v/>
      </c>
      <c r="AB102" s="46" t="e">
        <f t="shared" si="11"/>
        <v>#DIV/0!</v>
      </c>
      <c r="AC102" s="40" t="str">
        <f>IF(データ!X99="","",データ!X99)</f>
        <v/>
      </c>
      <c r="AD102" s="41" t="str">
        <f>IF(データ!Y99="","",データ!Y99)</f>
        <v/>
      </c>
      <c r="AE102" s="47" t="str">
        <f>TRIM(データ!B99)</f>
        <v/>
      </c>
      <c r="AF102" s="43" t="str">
        <f>TRIM(データ!Z99)</f>
        <v/>
      </c>
    </row>
    <row r="103" spans="1:32" x14ac:dyDescent="0.15">
      <c r="A103" s="47">
        <f>データ!A100</f>
        <v>2</v>
      </c>
      <c r="B103" s="47" t="str">
        <f>TRIM(データ!C100)</f>
        <v/>
      </c>
      <c r="C103" s="47" t="str">
        <f>TRIM(データ!D100)</f>
        <v>材料費</v>
      </c>
      <c r="D103" s="36" t="str">
        <f>REPT("｜",$A103)&amp;TRIM(データ!E100)</f>
        <v>｜｜軽油</v>
      </c>
      <c r="E103" s="37" t="str">
        <f>TRIM(データ!F100)</f>
        <v/>
      </c>
      <c r="F103" s="38" t="str">
        <f>TRIM(データ!G100)</f>
        <v>L</v>
      </c>
      <c r="G103" s="50">
        <f>データ!H100</f>
        <v>100</v>
      </c>
      <c r="H103" s="48">
        <f>データ!I100</f>
        <v>160</v>
      </c>
      <c r="I103" s="48">
        <f>データ!J100</f>
        <v>16000</v>
      </c>
      <c r="J103" s="39" t="str">
        <f>IF(OR($C103="総括",$C103="内訳書",$C103="内訳代価",$C103="明細書",$C103="明細代価",$C103="代価表",$C103="単価表"),データ!K100,"")</f>
        <v/>
      </c>
      <c r="K103" s="11" t="str">
        <f t="shared" si="6"/>
        <v/>
      </c>
      <c r="L103" s="46">
        <f t="shared" si="7"/>
        <v>1.0457516339869282E-3</v>
      </c>
      <c r="M103" s="40" t="str">
        <f>IF(データ!L100="","",データ!L100)</f>
        <v/>
      </c>
      <c r="N103" s="41" t="str">
        <f>IF(データ!M100="","",データ!M100)</f>
        <v/>
      </c>
      <c r="O103" s="42">
        <f>データ!N100</f>
        <v>0</v>
      </c>
      <c r="P103" s="48">
        <f>IF($C103="集計行","",データ!O100)</f>
        <v>0</v>
      </c>
      <c r="Q103" s="48">
        <f>データ!P100</f>
        <v>0</v>
      </c>
      <c r="R103" s="39" t="str">
        <f>IF(OR($C103="総括",$C103="内訳書",$C103="内訳代価",$C103="明細書",$C103="明細代価",$C103="代価表",$C103="単価表"),データ!Q100,"")</f>
        <v/>
      </c>
      <c r="S103" s="11" t="str">
        <f t="shared" si="8"/>
        <v/>
      </c>
      <c r="T103" s="46" t="e">
        <f t="shared" si="9"/>
        <v>#DIV/0!</v>
      </c>
      <c r="U103" s="40" t="str">
        <f>IF(データ!R100="","",データ!R100)</f>
        <v/>
      </c>
      <c r="V103" s="41" t="str">
        <f>IF(データ!S100="","",データ!S100)</f>
        <v/>
      </c>
      <c r="W103" s="42">
        <f>データ!T100</f>
        <v>0</v>
      </c>
      <c r="X103" s="48">
        <f>IF($C103="集計行","",データ!U100)</f>
        <v>0</v>
      </c>
      <c r="Y103" s="48">
        <f>データ!V100</f>
        <v>0</v>
      </c>
      <c r="Z103" s="39" t="str">
        <f>IF(OR($C103="総括",$C103="内訳書",$C103="内訳代価",$C103="明細書",$C103="明細代価",$C103="代価表",$C103="単価表"),データ!W100,"")</f>
        <v/>
      </c>
      <c r="AA103" s="11" t="str">
        <f t="shared" si="10"/>
        <v/>
      </c>
      <c r="AB103" s="46" t="e">
        <f t="shared" si="11"/>
        <v>#DIV/0!</v>
      </c>
      <c r="AC103" s="40" t="str">
        <f>IF(データ!X100="","",データ!X100)</f>
        <v/>
      </c>
      <c r="AD103" s="41" t="str">
        <f>IF(データ!Y100="","",データ!Y100)</f>
        <v/>
      </c>
      <c r="AE103" s="47" t="str">
        <f>TRIM(データ!B100)</f>
        <v>s20718549</v>
      </c>
      <c r="AF103" s="43" t="str">
        <f>TRIM(データ!Z100)</f>
        <v/>
      </c>
    </row>
    <row r="104" spans="1:32" x14ac:dyDescent="0.15">
      <c r="A104" s="47">
        <f>データ!A101</f>
        <v>2</v>
      </c>
      <c r="B104" s="47" t="str">
        <f>TRIM(データ!C101)</f>
        <v/>
      </c>
      <c r="C104" s="47" t="str">
        <f>TRIM(データ!D101)</f>
        <v>材料費</v>
      </c>
      <c r="D104" s="36" t="str">
        <f>REPT("｜",$A104)&amp;TRIM(データ!E101)</f>
        <v>｜｜雑材</v>
      </c>
      <c r="E104" s="37" t="str">
        <f>TRIM(データ!F101)</f>
        <v/>
      </c>
      <c r="F104" s="38" t="str">
        <f>TRIM(データ!G101)</f>
        <v>式</v>
      </c>
      <c r="G104" s="50">
        <f>データ!H101</f>
        <v>1</v>
      </c>
      <c r="H104" s="48">
        <f>データ!I101</f>
        <v>5900</v>
      </c>
      <c r="I104" s="48">
        <f>データ!J101</f>
        <v>5900</v>
      </c>
      <c r="J104" s="39" t="str">
        <f>IF(OR($C104="総括",$C104="内訳書",$C104="内訳代価",$C104="明細書",$C104="明細代価",$C104="代価表",$C104="単価表"),データ!K101,"")</f>
        <v/>
      </c>
      <c r="K104" s="11" t="str">
        <f t="shared" si="6"/>
        <v/>
      </c>
      <c r="L104" s="46">
        <f t="shared" si="7"/>
        <v>3.8562091503267977E-4</v>
      </c>
      <c r="M104" s="40" t="str">
        <f>IF(データ!L101="","",データ!L101)</f>
        <v/>
      </c>
      <c r="N104" s="41" t="str">
        <f>IF(データ!M101="","",データ!M101)</f>
        <v/>
      </c>
      <c r="O104" s="42">
        <f>データ!N101</f>
        <v>0</v>
      </c>
      <c r="P104" s="48">
        <f>IF($C104="集計行","",データ!O101)</f>
        <v>0</v>
      </c>
      <c r="Q104" s="48">
        <f>データ!P101</f>
        <v>0</v>
      </c>
      <c r="R104" s="39" t="str">
        <f>IF(OR($C104="総括",$C104="内訳書",$C104="内訳代価",$C104="明細書",$C104="明細代価",$C104="代価表",$C104="単価表"),データ!Q101,"")</f>
        <v/>
      </c>
      <c r="S104" s="11" t="str">
        <f t="shared" si="8"/>
        <v/>
      </c>
      <c r="T104" s="46" t="e">
        <f t="shared" si="9"/>
        <v>#DIV/0!</v>
      </c>
      <c r="U104" s="40" t="str">
        <f>IF(データ!R101="","",データ!R101)</f>
        <v/>
      </c>
      <c r="V104" s="41" t="str">
        <f>IF(データ!S101="","",データ!S101)</f>
        <v/>
      </c>
      <c r="W104" s="42">
        <f>データ!T101</f>
        <v>0</v>
      </c>
      <c r="X104" s="48">
        <f>IF($C104="集計行","",データ!U101)</f>
        <v>0</v>
      </c>
      <c r="Y104" s="48">
        <f>データ!V101</f>
        <v>0</v>
      </c>
      <c r="Z104" s="39" t="str">
        <f>IF(OR($C104="総括",$C104="内訳書",$C104="内訳代価",$C104="明細書",$C104="明細代価",$C104="代価表",$C104="単価表"),データ!W101,"")</f>
        <v/>
      </c>
      <c r="AA104" s="11" t="str">
        <f t="shared" si="10"/>
        <v/>
      </c>
      <c r="AB104" s="46" t="e">
        <f t="shared" si="11"/>
        <v>#DIV/0!</v>
      </c>
      <c r="AC104" s="40" t="str">
        <f>IF(データ!X101="","",データ!X101)</f>
        <v/>
      </c>
      <c r="AD104" s="41" t="str">
        <f>IF(データ!Y101="","",データ!Y101)</f>
        <v/>
      </c>
      <c r="AE104" s="47" t="str">
        <f>TRIM(データ!B101)</f>
        <v>s20718001</v>
      </c>
      <c r="AF104" s="43" t="str">
        <f>TRIM(データ!Z101)</f>
        <v/>
      </c>
    </row>
    <row r="105" spans="1:32" x14ac:dyDescent="0.15">
      <c r="A105" s="47">
        <f>データ!A102</f>
        <v>2</v>
      </c>
      <c r="B105" s="47" t="str">
        <f>TRIM(データ!C102)</f>
        <v/>
      </c>
      <c r="C105" s="47" t="str">
        <f>TRIM(データ!D102)</f>
        <v>労務費</v>
      </c>
      <c r="D105" s="36" t="str">
        <f>REPT("｜",$A105)&amp;TRIM(データ!E102)</f>
        <v>｜｜運転工</v>
      </c>
      <c r="E105" s="37" t="str">
        <f>TRIM(データ!F102)</f>
        <v>8H</v>
      </c>
      <c r="F105" s="38" t="str">
        <f>TRIM(データ!G102)</f>
        <v>人</v>
      </c>
      <c r="G105" s="50">
        <f>データ!H102</f>
        <v>6</v>
      </c>
      <c r="H105" s="48">
        <f>データ!I102</f>
        <v>23000</v>
      </c>
      <c r="I105" s="48">
        <f>データ!J102</f>
        <v>138000</v>
      </c>
      <c r="J105" s="39" t="str">
        <f>IF(OR($C105="総括",$C105="内訳書",$C105="内訳代価",$C105="明細書",$C105="明細代価",$C105="代価表",$C105="単価表"),データ!K102,"")</f>
        <v/>
      </c>
      <c r="K105" s="11" t="str">
        <f t="shared" si="6"/>
        <v/>
      </c>
      <c r="L105" s="46">
        <f t="shared" si="7"/>
        <v>9.0196078431372551E-3</v>
      </c>
      <c r="M105" s="40" t="str">
        <f>IF(データ!L102="","",データ!L102)</f>
        <v/>
      </c>
      <c r="N105" s="41" t="str">
        <f>IF(データ!M102="","",データ!M102)</f>
        <v/>
      </c>
      <c r="O105" s="42">
        <f>データ!N102</f>
        <v>0</v>
      </c>
      <c r="P105" s="48">
        <f>IF($C105="集計行","",データ!O102)</f>
        <v>0</v>
      </c>
      <c r="Q105" s="48">
        <f>データ!P102</f>
        <v>0</v>
      </c>
      <c r="R105" s="39" t="str">
        <f>IF(OR($C105="総括",$C105="内訳書",$C105="内訳代価",$C105="明細書",$C105="明細代価",$C105="代価表",$C105="単価表"),データ!Q102,"")</f>
        <v/>
      </c>
      <c r="S105" s="11" t="str">
        <f t="shared" si="8"/>
        <v/>
      </c>
      <c r="T105" s="46" t="e">
        <f t="shared" si="9"/>
        <v>#DIV/0!</v>
      </c>
      <c r="U105" s="40" t="str">
        <f>IF(データ!R102="","",データ!R102)</f>
        <v/>
      </c>
      <c r="V105" s="41" t="str">
        <f>IF(データ!S102="","",データ!S102)</f>
        <v/>
      </c>
      <c r="W105" s="42">
        <f>データ!T102</f>
        <v>0</v>
      </c>
      <c r="X105" s="48">
        <f>IF($C105="集計行","",データ!U102)</f>
        <v>0</v>
      </c>
      <c r="Y105" s="48">
        <f>データ!V102</f>
        <v>0</v>
      </c>
      <c r="Z105" s="39" t="str">
        <f>IF(OR($C105="総括",$C105="内訳書",$C105="内訳代価",$C105="明細書",$C105="明細代価",$C105="代価表",$C105="単価表"),データ!W102,"")</f>
        <v/>
      </c>
      <c r="AA105" s="11" t="str">
        <f t="shared" si="10"/>
        <v/>
      </c>
      <c r="AB105" s="46" t="e">
        <f t="shared" si="11"/>
        <v>#DIV/0!</v>
      </c>
      <c r="AC105" s="40" t="str">
        <f>IF(データ!X102="","",データ!X102)</f>
        <v/>
      </c>
      <c r="AD105" s="41" t="str">
        <f>IF(データ!Y102="","",データ!Y102)</f>
        <v/>
      </c>
      <c r="AE105" s="47" t="str">
        <f>TRIM(データ!B102)</f>
        <v>r20718007</v>
      </c>
      <c r="AF105" s="43" t="str">
        <f>TRIM(データ!Z102)</f>
        <v>1日×6人</v>
      </c>
    </row>
    <row r="106" spans="1:32" x14ac:dyDescent="0.15">
      <c r="A106" s="47">
        <f>データ!A103</f>
        <v>2</v>
      </c>
      <c r="B106" s="47" t="str">
        <f>TRIM(データ!C103)</f>
        <v/>
      </c>
      <c r="C106" s="47" t="str">
        <f>TRIM(データ!D103)</f>
        <v>機械費</v>
      </c>
      <c r="D106" s="36" t="str">
        <f>REPT("｜",$A106)&amp;TRIM(データ!E103)</f>
        <v>｜｜タイヤR　8t</v>
      </c>
      <c r="E106" s="37" t="str">
        <f>TRIM(データ!F103)</f>
        <v>8t　低騒音</v>
      </c>
      <c r="F106" s="38" t="str">
        <f>TRIM(データ!G103)</f>
        <v>日台</v>
      </c>
      <c r="G106" s="50">
        <f>データ!H103</f>
        <v>1</v>
      </c>
      <c r="H106" s="48">
        <f>データ!I103</f>
        <v>7000</v>
      </c>
      <c r="I106" s="48">
        <f>データ!J103</f>
        <v>7000</v>
      </c>
      <c r="J106" s="39" t="str">
        <f>IF(OR($C106="総括",$C106="内訳書",$C106="内訳代価",$C106="明細書",$C106="明細代価",$C106="代価表",$C106="単価表"),データ!K103,"")</f>
        <v/>
      </c>
      <c r="K106" s="11" t="str">
        <f t="shared" si="6"/>
        <v/>
      </c>
      <c r="L106" s="46">
        <f t="shared" si="7"/>
        <v>4.5751633986928104E-4</v>
      </c>
      <c r="M106" s="40" t="str">
        <f>IF(データ!L103="","",データ!L103)</f>
        <v/>
      </c>
      <c r="N106" s="41" t="str">
        <f>IF(データ!M103="","",データ!M103)</f>
        <v/>
      </c>
      <c r="O106" s="42">
        <f>データ!N103</f>
        <v>0</v>
      </c>
      <c r="P106" s="48">
        <f>IF($C106="集計行","",データ!O103)</f>
        <v>0</v>
      </c>
      <c r="Q106" s="48">
        <f>データ!P103</f>
        <v>0</v>
      </c>
      <c r="R106" s="39" t="str">
        <f>IF(OR($C106="総括",$C106="内訳書",$C106="内訳代価",$C106="明細書",$C106="明細代価",$C106="代価表",$C106="単価表"),データ!Q103,"")</f>
        <v/>
      </c>
      <c r="S106" s="11" t="str">
        <f t="shared" si="8"/>
        <v/>
      </c>
      <c r="T106" s="46" t="e">
        <f t="shared" si="9"/>
        <v>#DIV/0!</v>
      </c>
      <c r="U106" s="40" t="str">
        <f>IF(データ!R103="","",データ!R103)</f>
        <v/>
      </c>
      <c r="V106" s="41" t="str">
        <f>IF(データ!S103="","",データ!S103)</f>
        <v/>
      </c>
      <c r="W106" s="42">
        <f>データ!T103</f>
        <v>0</v>
      </c>
      <c r="X106" s="48">
        <f>IF($C106="集計行","",データ!U103)</f>
        <v>0</v>
      </c>
      <c r="Y106" s="48">
        <f>データ!V103</f>
        <v>0</v>
      </c>
      <c r="Z106" s="39" t="str">
        <f>IF(OR($C106="総括",$C106="内訳書",$C106="内訳代価",$C106="明細書",$C106="明細代価",$C106="代価表",$C106="単価表"),データ!W103,"")</f>
        <v/>
      </c>
      <c r="AA106" s="11" t="str">
        <f t="shared" si="10"/>
        <v/>
      </c>
      <c r="AB106" s="46" t="e">
        <f t="shared" si="11"/>
        <v>#DIV/0!</v>
      </c>
      <c r="AC106" s="40" t="str">
        <f>IF(データ!X103="","",データ!X103)</f>
        <v/>
      </c>
      <c r="AD106" s="41" t="str">
        <f>IF(データ!Y103="","",データ!Y103)</f>
        <v/>
      </c>
      <c r="AE106" s="47" t="str">
        <f>TRIM(データ!B103)</f>
        <v>k20718043</v>
      </c>
      <c r="AF106" s="43" t="str">
        <f>TRIM(データ!Z103)</f>
        <v>1日×1台</v>
      </c>
    </row>
    <row r="107" spans="1:32" x14ac:dyDescent="0.15">
      <c r="A107" s="47">
        <f>データ!A104</f>
        <v>2</v>
      </c>
      <c r="B107" s="47" t="str">
        <f>TRIM(データ!C104)</f>
        <v/>
      </c>
      <c r="C107" s="47" t="str">
        <f>TRIM(データ!D104)</f>
        <v>機械費</v>
      </c>
      <c r="D107" s="36" t="str">
        <f>REPT("｜",$A107)&amp;TRIM(データ!E104)</f>
        <v>｜｜コンバインドR</v>
      </c>
      <c r="E107" s="37" t="str">
        <f>TRIM(データ!F104)</f>
        <v>3t　4ｔ　低騒音</v>
      </c>
      <c r="F107" s="38" t="str">
        <f>TRIM(データ!G104)</f>
        <v>日台</v>
      </c>
      <c r="G107" s="50">
        <f>データ!H104</f>
        <v>1</v>
      </c>
      <c r="H107" s="48">
        <f>データ!I104</f>
        <v>5000</v>
      </c>
      <c r="I107" s="48">
        <f>データ!J104</f>
        <v>5000</v>
      </c>
      <c r="J107" s="39" t="str">
        <f>IF(OR($C107="総括",$C107="内訳書",$C107="内訳代価",$C107="明細書",$C107="明細代価",$C107="代価表",$C107="単価表"),データ!K104,"")</f>
        <v/>
      </c>
      <c r="K107" s="11" t="str">
        <f t="shared" si="6"/>
        <v/>
      </c>
      <c r="L107" s="46">
        <f t="shared" si="7"/>
        <v>3.2679738562091501E-4</v>
      </c>
      <c r="M107" s="40" t="str">
        <f>IF(データ!L104="","",データ!L104)</f>
        <v/>
      </c>
      <c r="N107" s="41" t="str">
        <f>IF(データ!M104="","",データ!M104)</f>
        <v/>
      </c>
      <c r="O107" s="42">
        <f>データ!N104</f>
        <v>0</v>
      </c>
      <c r="P107" s="48">
        <f>IF($C107="集計行","",データ!O104)</f>
        <v>0</v>
      </c>
      <c r="Q107" s="48">
        <f>データ!P104</f>
        <v>0</v>
      </c>
      <c r="R107" s="39" t="str">
        <f>IF(OR($C107="総括",$C107="内訳書",$C107="内訳代価",$C107="明細書",$C107="明細代価",$C107="代価表",$C107="単価表"),データ!Q104,"")</f>
        <v/>
      </c>
      <c r="S107" s="11" t="str">
        <f t="shared" si="8"/>
        <v/>
      </c>
      <c r="T107" s="46" t="e">
        <f t="shared" si="9"/>
        <v>#DIV/0!</v>
      </c>
      <c r="U107" s="40" t="str">
        <f>IF(データ!R104="","",データ!R104)</f>
        <v/>
      </c>
      <c r="V107" s="41" t="str">
        <f>IF(データ!S104="","",データ!S104)</f>
        <v/>
      </c>
      <c r="W107" s="42">
        <f>データ!T104</f>
        <v>0</v>
      </c>
      <c r="X107" s="48">
        <f>IF($C107="集計行","",データ!U104)</f>
        <v>0</v>
      </c>
      <c r="Y107" s="48">
        <f>データ!V104</f>
        <v>0</v>
      </c>
      <c r="Z107" s="39" t="str">
        <f>IF(OR($C107="総括",$C107="内訳書",$C107="内訳代価",$C107="明細書",$C107="明細代価",$C107="代価表",$C107="単価表"),データ!W104,"")</f>
        <v/>
      </c>
      <c r="AA107" s="11" t="str">
        <f t="shared" si="10"/>
        <v/>
      </c>
      <c r="AB107" s="46" t="e">
        <f t="shared" si="11"/>
        <v>#DIV/0!</v>
      </c>
      <c r="AC107" s="40" t="str">
        <f>IF(データ!X104="","",データ!X104)</f>
        <v/>
      </c>
      <c r="AD107" s="41" t="str">
        <f>IF(データ!Y104="","",データ!Y104)</f>
        <v/>
      </c>
      <c r="AE107" s="47" t="str">
        <f>TRIM(データ!B104)</f>
        <v>k20718031</v>
      </c>
      <c r="AF107" s="43" t="str">
        <f>TRIM(データ!Z104)</f>
        <v>1日×1台</v>
      </c>
    </row>
    <row r="108" spans="1:32" x14ac:dyDescent="0.15">
      <c r="A108" s="47">
        <f>データ!A105</f>
        <v>2</v>
      </c>
      <c r="B108" s="47" t="str">
        <f>TRIM(データ!C105)</f>
        <v/>
      </c>
      <c r="C108" s="47" t="str">
        <f>TRIM(データ!D105)</f>
        <v>機械費</v>
      </c>
      <c r="D108" s="36" t="str">
        <f>REPT("｜",$A108)&amp;TRIM(データ!E105)</f>
        <v>｜｜タイヤショベル0.5</v>
      </c>
      <c r="E108" s="37" t="str">
        <f>TRIM(データ!F105)</f>
        <v>低騒音</v>
      </c>
      <c r="F108" s="38" t="str">
        <f>TRIM(データ!G105)</f>
        <v>日台</v>
      </c>
      <c r="G108" s="50">
        <f>データ!H105</f>
        <v>1</v>
      </c>
      <c r="H108" s="48">
        <f>データ!I105</f>
        <v>6000</v>
      </c>
      <c r="I108" s="48">
        <f>データ!J105</f>
        <v>6000</v>
      </c>
      <c r="J108" s="39" t="str">
        <f>IF(OR($C108="総括",$C108="内訳書",$C108="内訳代価",$C108="明細書",$C108="明細代価",$C108="代価表",$C108="単価表"),データ!K105,"")</f>
        <v/>
      </c>
      <c r="K108" s="11" t="str">
        <f t="shared" si="6"/>
        <v/>
      </c>
      <c r="L108" s="46">
        <f t="shared" si="7"/>
        <v>3.9215686274509802E-4</v>
      </c>
      <c r="M108" s="40" t="str">
        <f>IF(データ!L105="","",データ!L105)</f>
        <v/>
      </c>
      <c r="N108" s="41" t="str">
        <f>IF(データ!M105="","",データ!M105)</f>
        <v/>
      </c>
      <c r="O108" s="42">
        <f>データ!N105</f>
        <v>0</v>
      </c>
      <c r="P108" s="48">
        <f>IF($C108="集計行","",データ!O105)</f>
        <v>0</v>
      </c>
      <c r="Q108" s="48">
        <f>データ!P105</f>
        <v>0</v>
      </c>
      <c r="R108" s="39" t="str">
        <f>IF(OR($C108="総括",$C108="内訳書",$C108="内訳代価",$C108="明細書",$C108="明細代価",$C108="代価表",$C108="単価表"),データ!Q105,"")</f>
        <v/>
      </c>
      <c r="S108" s="11" t="str">
        <f t="shared" si="8"/>
        <v/>
      </c>
      <c r="T108" s="46" t="e">
        <f t="shared" si="9"/>
        <v>#DIV/0!</v>
      </c>
      <c r="U108" s="40" t="str">
        <f>IF(データ!R105="","",データ!R105)</f>
        <v/>
      </c>
      <c r="V108" s="41" t="str">
        <f>IF(データ!S105="","",データ!S105)</f>
        <v/>
      </c>
      <c r="W108" s="42">
        <f>データ!T105</f>
        <v>0</v>
      </c>
      <c r="X108" s="48">
        <f>IF($C108="集計行","",データ!U105)</f>
        <v>0</v>
      </c>
      <c r="Y108" s="48">
        <f>データ!V105</f>
        <v>0</v>
      </c>
      <c r="Z108" s="39" t="str">
        <f>IF(OR($C108="総括",$C108="内訳書",$C108="内訳代価",$C108="明細書",$C108="明細代価",$C108="代価表",$C108="単価表"),データ!W105,"")</f>
        <v/>
      </c>
      <c r="AA108" s="11" t="str">
        <f t="shared" si="10"/>
        <v/>
      </c>
      <c r="AB108" s="46" t="e">
        <f t="shared" si="11"/>
        <v>#DIV/0!</v>
      </c>
      <c r="AC108" s="40" t="str">
        <f>IF(データ!X105="","",データ!X105)</f>
        <v/>
      </c>
      <c r="AD108" s="41" t="str">
        <f>IF(データ!Y105="","",データ!Y105)</f>
        <v/>
      </c>
      <c r="AE108" s="47" t="str">
        <f>TRIM(データ!B105)</f>
        <v>k20718024</v>
      </c>
      <c r="AF108" s="43" t="str">
        <f>TRIM(データ!Z105)</f>
        <v>1日×1台</v>
      </c>
    </row>
    <row r="109" spans="1:32" x14ac:dyDescent="0.15">
      <c r="A109" s="47">
        <f>データ!A106</f>
        <v>2</v>
      </c>
      <c r="B109" s="47" t="str">
        <f>TRIM(データ!C106)</f>
        <v/>
      </c>
      <c r="C109" s="47" t="str">
        <f>TRIM(データ!D106)</f>
        <v>機械費</v>
      </c>
      <c r="D109" s="36" t="str">
        <f>REPT("｜",$A109)&amp;TRIM(データ!E106)</f>
        <v>｜｜BH0.15クレーン</v>
      </c>
      <c r="E109" s="37" t="str">
        <f>TRIM(データ!F106)</f>
        <v>低騒音・超小</v>
      </c>
      <c r="F109" s="38" t="str">
        <f>TRIM(データ!G106)</f>
        <v>日台</v>
      </c>
      <c r="G109" s="50">
        <f>データ!H106</f>
        <v>1</v>
      </c>
      <c r="H109" s="48">
        <f>データ!I106</f>
        <v>6000</v>
      </c>
      <c r="I109" s="48">
        <f>データ!J106</f>
        <v>6000</v>
      </c>
      <c r="J109" s="39" t="str">
        <f>IF(OR($C109="総括",$C109="内訳書",$C109="内訳代価",$C109="明細書",$C109="明細代価",$C109="代価表",$C109="単価表"),データ!K106,"")</f>
        <v/>
      </c>
      <c r="K109" s="11" t="str">
        <f t="shared" si="6"/>
        <v/>
      </c>
      <c r="L109" s="46">
        <f t="shared" si="7"/>
        <v>3.9215686274509802E-4</v>
      </c>
      <c r="M109" s="40" t="str">
        <f>IF(データ!L106="","",データ!L106)</f>
        <v/>
      </c>
      <c r="N109" s="41" t="str">
        <f>IF(データ!M106="","",データ!M106)</f>
        <v/>
      </c>
      <c r="O109" s="42">
        <f>データ!N106</f>
        <v>0</v>
      </c>
      <c r="P109" s="48">
        <f>IF($C109="集計行","",データ!O106)</f>
        <v>0</v>
      </c>
      <c r="Q109" s="48">
        <f>データ!P106</f>
        <v>0</v>
      </c>
      <c r="R109" s="39" t="str">
        <f>IF(OR($C109="総括",$C109="内訳書",$C109="内訳代価",$C109="明細書",$C109="明細代価",$C109="代価表",$C109="単価表"),データ!Q106,"")</f>
        <v/>
      </c>
      <c r="S109" s="11" t="str">
        <f t="shared" si="8"/>
        <v/>
      </c>
      <c r="T109" s="46" t="e">
        <f t="shared" si="9"/>
        <v>#DIV/0!</v>
      </c>
      <c r="U109" s="40" t="str">
        <f>IF(データ!R106="","",データ!R106)</f>
        <v/>
      </c>
      <c r="V109" s="41" t="str">
        <f>IF(データ!S106="","",データ!S106)</f>
        <v/>
      </c>
      <c r="W109" s="42">
        <f>データ!T106</f>
        <v>0</v>
      </c>
      <c r="X109" s="48">
        <f>IF($C109="集計行","",データ!U106)</f>
        <v>0</v>
      </c>
      <c r="Y109" s="48">
        <f>データ!V106</f>
        <v>0</v>
      </c>
      <c r="Z109" s="39" t="str">
        <f>IF(OR($C109="総括",$C109="内訳書",$C109="内訳代価",$C109="明細書",$C109="明細代価",$C109="代価表",$C109="単価表"),データ!W106,"")</f>
        <v/>
      </c>
      <c r="AA109" s="11" t="str">
        <f t="shared" si="10"/>
        <v/>
      </c>
      <c r="AB109" s="46" t="e">
        <f t="shared" si="11"/>
        <v>#DIV/0!</v>
      </c>
      <c r="AC109" s="40" t="str">
        <f>IF(データ!X106="","",データ!X106)</f>
        <v/>
      </c>
      <c r="AD109" s="41" t="str">
        <f>IF(データ!Y106="","",データ!Y106)</f>
        <v/>
      </c>
      <c r="AE109" s="47" t="str">
        <f>TRIM(データ!B106)</f>
        <v>k20718014</v>
      </c>
      <c r="AF109" s="43" t="str">
        <f>TRIM(データ!Z106)</f>
        <v>1日×1台</v>
      </c>
    </row>
    <row r="110" spans="1:32" x14ac:dyDescent="0.15">
      <c r="A110" s="47">
        <f>データ!A107</f>
        <v>2</v>
      </c>
      <c r="B110" s="47" t="str">
        <f>TRIM(データ!C107)</f>
        <v/>
      </c>
      <c r="C110" s="47" t="str">
        <f>TRIM(データ!D107)</f>
        <v>機械費</v>
      </c>
      <c r="D110" s="36" t="str">
        <f>REPT("｜",$A110)&amp;TRIM(データ!E107)</f>
        <v>｜｜小物機械　ﾊﾟｰﾄﾅ・丸ﾉｺ</v>
      </c>
      <c r="E110" s="37" t="str">
        <f>TRIM(データ!F107)</f>
        <v>ｸﾞﾗｲﾝﾀﾞ-・ｺｱ抜きﾄﾞﾘﾙ・ﾌﾞﾛｱ　等</v>
      </c>
      <c r="F110" s="38" t="str">
        <f>TRIM(データ!G107)</f>
        <v>台</v>
      </c>
      <c r="G110" s="50">
        <f>データ!H107</f>
        <v>1</v>
      </c>
      <c r="H110" s="48">
        <f>データ!I107</f>
        <v>5000</v>
      </c>
      <c r="I110" s="48">
        <f>データ!J107</f>
        <v>5000</v>
      </c>
      <c r="J110" s="39" t="str">
        <f>IF(OR($C110="総括",$C110="内訳書",$C110="内訳代価",$C110="明細書",$C110="明細代価",$C110="代価表",$C110="単価表"),データ!K107,"")</f>
        <v/>
      </c>
      <c r="K110" s="11" t="str">
        <f t="shared" si="6"/>
        <v/>
      </c>
      <c r="L110" s="46">
        <f t="shared" si="7"/>
        <v>3.2679738562091501E-4</v>
      </c>
      <c r="M110" s="40" t="str">
        <f>IF(データ!L107="","",データ!L107)</f>
        <v/>
      </c>
      <c r="N110" s="41" t="str">
        <f>IF(データ!M107="","",データ!M107)</f>
        <v/>
      </c>
      <c r="O110" s="42">
        <f>データ!N107</f>
        <v>0</v>
      </c>
      <c r="P110" s="48">
        <f>IF($C110="集計行","",データ!O107)</f>
        <v>0</v>
      </c>
      <c r="Q110" s="48">
        <f>データ!P107</f>
        <v>0</v>
      </c>
      <c r="R110" s="39" t="str">
        <f>IF(OR($C110="総括",$C110="内訳書",$C110="内訳代価",$C110="明細書",$C110="明細代価",$C110="代価表",$C110="単価表"),データ!Q107,"")</f>
        <v/>
      </c>
      <c r="S110" s="11" t="str">
        <f t="shared" si="8"/>
        <v/>
      </c>
      <c r="T110" s="46" t="e">
        <f t="shared" si="9"/>
        <v>#DIV/0!</v>
      </c>
      <c r="U110" s="40" t="str">
        <f>IF(データ!R107="","",データ!R107)</f>
        <v/>
      </c>
      <c r="V110" s="41" t="str">
        <f>IF(データ!S107="","",データ!S107)</f>
        <v/>
      </c>
      <c r="W110" s="42">
        <f>データ!T107</f>
        <v>0</v>
      </c>
      <c r="X110" s="48">
        <f>IF($C110="集計行","",データ!U107)</f>
        <v>0</v>
      </c>
      <c r="Y110" s="48">
        <f>データ!V107</f>
        <v>0</v>
      </c>
      <c r="Z110" s="39" t="str">
        <f>IF(OR($C110="総括",$C110="内訳書",$C110="内訳代価",$C110="明細書",$C110="明細代価",$C110="代価表",$C110="単価表"),データ!W107,"")</f>
        <v/>
      </c>
      <c r="AA110" s="11" t="str">
        <f t="shared" si="10"/>
        <v/>
      </c>
      <c r="AB110" s="46" t="e">
        <f t="shared" si="11"/>
        <v>#DIV/0!</v>
      </c>
      <c r="AC110" s="40" t="str">
        <f>IF(データ!X107="","",データ!X107)</f>
        <v/>
      </c>
      <c r="AD110" s="41" t="str">
        <f>IF(データ!Y107="","",データ!Y107)</f>
        <v/>
      </c>
      <c r="AE110" s="47" t="str">
        <f>TRIM(データ!B107)</f>
        <v>k20718001</v>
      </c>
      <c r="AF110" s="43" t="str">
        <f>TRIM(データ!Z107)</f>
        <v/>
      </c>
    </row>
    <row r="111" spans="1:32" x14ac:dyDescent="0.15">
      <c r="A111" s="47">
        <f>データ!A108</f>
        <v>2</v>
      </c>
      <c r="B111" s="47" t="str">
        <f>TRIM(データ!C108)</f>
        <v/>
      </c>
      <c r="C111" s="47" t="str">
        <f>TRIM(データ!D108)</f>
        <v>運搬費</v>
      </c>
      <c r="D111" s="36" t="str">
        <f>REPT("｜",$A111)&amp;TRIM(データ!E108)</f>
        <v>｜｜2tダンプ</v>
      </c>
      <c r="E111" s="37" t="str">
        <f>TRIM(データ!F108)</f>
        <v/>
      </c>
      <c r="F111" s="38" t="str">
        <f>TRIM(データ!G108)</f>
        <v>台</v>
      </c>
      <c r="G111" s="50">
        <f>データ!H108</f>
        <v>2</v>
      </c>
      <c r="H111" s="48">
        <f>データ!I108</f>
        <v>6000</v>
      </c>
      <c r="I111" s="48">
        <f>データ!J108</f>
        <v>12000</v>
      </c>
      <c r="J111" s="39" t="str">
        <f>IF(OR($C111="総括",$C111="内訳書",$C111="内訳代価",$C111="明細書",$C111="明細代価",$C111="代価表",$C111="単価表"),データ!K108,"")</f>
        <v/>
      </c>
      <c r="K111" s="11" t="str">
        <f t="shared" si="6"/>
        <v/>
      </c>
      <c r="L111" s="46">
        <f t="shared" si="7"/>
        <v>7.8431372549019605E-4</v>
      </c>
      <c r="M111" s="40" t="str">
        <f>IF(データ!L108="","",データ!L108)</f>
        <v/>
      </c>
      <c r="N111" s="41" t="str">
        <f>IF(データ!M108="","",データ!M108)</f>
        <v/>
      </c>
      <c r="O111" s="42">
        <f>データ!N108</f>
        <v>0</v>
      </c>
      <c r="P111" s="48">
        <f>IF($C111="集計行","",データ!O108)</f>
        <v>0</v>
      </c>
      <c r="Q111" s="48">
        <f>データ!P108</f>
        <v>0</v>
      </c>
      <c r="R111" s="39" t="str">
        <f>IF(OR($C111="総括",$C111="内訳書",$C111="内訳代価",$C111="明細書",$C111="明細代価",$C111="代価表",$C111="単価表"),データ!Q108,"")</f>
        <v/>
      </c>
      <c r="S111" s="11" t="str">
        <f t="shared" si="8"/>
        <v/>
      </c>
      <c r="T111" s="46" t="e">
        <f t="shared" si="9"/>
        <v>#DIV/0!</v>
      </c>
      <c r="U111" s="40" t="str">
        <f>IF(データ!R108="","",データ!R108)</f>
        <v/>
      </c>
      <c r="V111" s="41" t="str">
        <f>IF(データ!S108="","",データ!S108)</f>
        <v/>
      </c>
      <c r="W111" s="42">
        <f>データ!T108</f>
        <v>0</v>
      </c>
      <c r="X111" s="48">
        <f>IF($C111="集計行","",データ!U108)</f>
        <v>0</v>
      </c>
      <c r="Y111" s="48">
        <f>データ!V108</f>
        <v>0</v>
      </c>
      <c r="Z111" s="39" t="str">
        <f>IF(OR($C111="総括",$C111="内訳書",$C111="内訳代価",$C111="明細書",$C111="明細代価",$C111="代価表",$C111="単価表"),データ!W108,"")</f>
        <v/>
      </c>
      <c r="AA111" s="11" t="str">
        <f t="shared" si="10"/>
        <v/>
      </c>
      <c r="AB111" s="46" t="e">
        <f t="shared" si="11"/>
        <v>#DIV/0!</v>
      </c>
      <c r="AC111" s="40" t="str">
        <f>IF(データ!X108="","",データ!X108)</f>
        <v/>
      </c>
      <c r="AD111" s="41" t="str">
        <f>IF(データ!Y108="","",データ!Y108)</f>
        <v/>
      </c>
      <c r="AE111" s="47" t="str">
        <f>TRIM(データ!B108)</f>
        <v>u20718025</v>
      </c>
      <c r="AF111" s="43" t="str">
        <f>TRIM(データ!Z108)</f>
        <v>1日×2台</v>
      </c>
    </row>
    <row r="112" spans="1:32" x14ac:dyDescent="0.15">
      <c r="A112" s="47">
        <f>データ!A109</f>
        <v>2</v>
      </c>
      <c r="B112" s="47" t="str">
        <f>TRIM(データ!C109)</f>
        <v/>
      </c>
      <c r="C112" s="47" t="str">
        <f>TRIM(データ!D109)</f>
        <v>運搬費</v>
      </c>
      <c r="D112" s="36" t="str">
        <f>REPT("｜",$A112)&amp;TRIM(データ!E109)</f>
        <v>｜｜WP</v>
      </c>
      <c r="E112" s="37" t="str">
        <f>TRIM(データ!F109)</f>
        <v/>
      </c>
      <c r="F112" s="38" t="str">
        <f>TRIM(データ!G109)</f>
        <v>台</v>
      </c>
      <c r="G112" s="50">
        <f>データ!H109</f>
        <v>1</v>
      </c>
      <c r="H112" s="48">
        <f>データ!I109</f>
        <v>5000</v>
      </c>
      <c r="I112" s="48">
        <f>データ!J109</f>
        <v>5000</v>
      </c>
      <c r="J112" s="39" t="str">
        <f>IF(OR($C112="総括",$C112="内訳書",$C112="内訳代価",$C112="明細書",$C112="明細代価",$C112="代価表",$C112="単価表"),データ!K109,"")</f>
        <v/>
      </c>
      <c r="K112" s="11" t="str">
        <f t="shared" si="6"/>
        <v/>
      </c>
      <c r="L112" s="46">
        <f t="shared" si="7"/>
        <v>3.2679738562091501E-4</v>
      </c>
      <c r="M112" s="40" t="str">
        <f>IF(データ!L109="","",データ!L109)</f>
        <v/>
      </c>
      <c r="N112" s="41" t="str">
        <f>IF(データ!M109="","",データ!M109)</f>
        <v/>
      </c>
      <c r="O112" s="42">
        <f>データ!N109</f>
        <v>0</v>
      </c>
      <c r="P112" s="48">
        <f>IF($C112="集計行","",データ!O109)</f>
        <v>0</v>
      </c>
      <c r="Q112" s="48">
        <f>データ!P109</f>
        <v>0</v>
      </c>
      <c r="R112" s="39" t="str">
        <f>IF(OR($C112="総括",$C112="内訳書",$C112="内訳代価",$C112="明細書",$C112="明細代価",$C112="代価表",$C112="単価表"),データ!Q109,"")</f>
        <v/>
      </c>
      <c r="S112" s="11" t="str">
        <f t="shared" si="8"/>
        <v/>
      </c>
      <c r="T112" s="46" t="e">
        <f t="shared" si="9"/>
        <v>#DIV/0!</v>
      </c>
      <c r="U112" s="40" t="str">
        <f>IF(データ!R109="","",データ!R109)</f>
        <v/>
      </c>
      <c r="V112" s="41" t="str">
        <f>IF(データ!S109="","",データ!S109)</f>
        <v/>
      </c>
      <c r="W112" s="42">
        <f>データ!T109</f>
        <v>0</v>
      </c>
      <c r="X112" s="48">
        <f>IF($C112="集計行","",データ!U109)</f>
        <v>0</v>
      </c>
      <c r="Y112" s="48">
        <f>データ!V109</f>
        <v>0</v>
      </c>
      <c r="Z112" s="39" t="str">
        <f>IF(OR($C112="総括",$C112="内訳書",$C112="内訳代価",$C112="明細書",$C112="明細代価",$C112="代価表",$C112="単価表"),データ!W109,"")</f>
        <v/>
      </c>
      <c r="AA112" s="11" t="str">
        <f t="shared" si="10"/>
        <v/>
      </c>
      <c r="AB112" s="46" t="e">
        <f t="shared" si="11"/>
        <v>#DIV/0!</v>
      </c>
      <c r="AC112" s="40" t="str">
        <f>IF(データ!X109="","",データ!X109)</f>
        <v/>
      </c>
      <c r="AD112" s="41" t="str">
        <f>IF(データ!Y109="","",データ!Y109)</f>
        <v/>
      </c>
      <c r="AE112" s="47" t="str">
        <f>TRIM(データ!B109)</f>
        <v>u20718008</v>
      </c>
      <c r="AF112" s="43" t="str">
        <f>TRIM(データ!Z109)</f>
        <v>1日×1台</v>
      </c>
    </row>
    <row r="113" spans="1:32" x14ac:dyDescent="0.15">
      <c r="A113" s="47">
        <f>データ!A110</f>
        <v>1</v>
      </c>
      <c r="B113" s="47" t="str">
        <f>TRIM(データ!C110)</f>
        <v/>
      </c>
      <c r="C113" s="47" t="str">
        <f>TRIM(データ!D110)</f>
        <v>内訳代価</v>
      </c>
      <c r="D113" s="36" t="str">
        <f>REPT("｜",$A113)&amp;TRIM(データ!E110)</f>
        <v>｜仮舗装</v>
      </c>
      <c r="E113" s="37" t="str">
        <f>TRIM(データ!F110)</f>
        <v>表層工</v>
      </c>
      <c r="F113" s="38" t="str">
        <f>TRIM(データ!G110)</f>
        <v>m2</v>
      </c>
      <c r="G113" s="50">
        <f>データ!H110</f>
        <v>390</v>
      </c>
      <c r="H113" s="48">
        <f>データ!I110</f>
        <v>2600</v>
      </c>
      <c r="I113" s="48">
        <f>データ!J110</f>
        <v>1014000</v>
      </c>
      <c r="J113" s="39">
        <f>IF(OR($C113="総括",$C113="内訳書",$C113="内訳代価",$C113="明細書",$C113="明細代価",$C113="代価表",$C113="単価表"),データ!K110,"")</f>
        <v>390</v>
      </c>
      <c r="K113" s="11" t="str">
        <f t="shared" si="6"/>
        <v/>
      </c>
      <c r="L113" s="46">
        <f t="shared" si="7"/>
        <v>6.6274509803921564E-2</v>
      </c>
      <c r="M113" s="40" t="str">
        <f>IF(データ!L110="","",データ!L110)</f>
        <v/>
      </c>
      <c r="N113" s="41" t="str">
        <f>IF(データ!M110="","",データ!M110)</f>
        <v>23号内訳書</v>
      </c>
      <c r="O113" s="42">
        <f>データ!N110</f>
        <v>0</v>
      </c>
      <c r="P113" s="48">
        <f>IF($C113="集計行","",データ!O110)</f>
        <v>0</v>
      </c>
      <c r="Q113" s="48">
        <f>データ!P110</f>
        <v>0</v>
      </c>
      <c r="R113" s="39">
        <f>IF(OR($C113="総括",$C113="内訳書",$C113="内訳代価",$C113="明細書",$C113="明細代価",$C113="代価表",$C113="単価表"),データ!Q110,"")</f>
        <v>0</v>
      </c>
      <c r="S113" s="11" t="str">
        <f t="shared" si="8"/>
        <v/>
      </c>
      <c r="T113" s="46" t="e">
        <f t="shared" si="9"/>
        <v>#DIV/0!</v>
      </c>
      <c r="U113" s="40" t="str">
        <f>IF(データ!R110="","",データ!R110)</f>
        <v/>
      </c>
      <c r="V113" s="41" t="str">
        <f>IF(データ!S110="","",データ!S110)</f>
        <v/>
      </c>
      <c r="W113" s="42">
        <f>データ!T110</f>
        <v>0</v>
      </c>
      <c r="X113" s="48">
        <f>IF($C113="集計行","",データ!U110)</f>
        <v>0</v>
      </c>
      <c r="Y113" s="48">
        <f>データ!V110</f>
        <v>0</v>
      </c>
      <c r="Z113" s="39">
        <f>IF(OR($C113="総括",$C113="内訳書",$C113="内訳代価",$C113="明細書",$C113="明細代価",$C113="代価表",$C113="単価表"),データ!W110,"")</f>
        <v>0</v>
      </c>
      <c r="AA113" s="11" t="str">
        <f t="shared" si="10"/>
        <v/>
      </c>
      <c r="AB113" s="46" t="e">
        <f t="shared" si="11"/>
        <v>#DIV/0!</v>
      </c>
      <c r="AC113" s="40" t="str">
        <f>IF(データ!X110="","",データ!X110)</f>
        <v/>
      </c>
      <c r="AD113" s="41" t="str">
        <f>IF(データ!Y110="","",データ!Y110)</f>
        <v/>
      </c>
      <c r="AE113" s="47" t="str">
        <f>TRIM(データ!B110)</f>
        <v/>
      </c>
      <c r="AF113" s="43" t="str">
        <f>TRIM(データ!Z110)</f>
        <v/>
      </c>
    </row>
    <row r="114" spans="1:32" x14ac:dyDescent="0.15">
      <c r="A114" s="47">
        <f>データ!A111</f>
        <v>2</v>
      </c>
      <c r="B114" s="47" t="str">
        <f>TRIM(データ!C111)</f>
        <v/>
      </c>
      <c r="C114" s="47" t="str">
        <f>TRIM(データ!D111)</f>
        <v>材料費</v>
      </c>
      <c r="D114" s="36" t="str">
        <f>REPT("｜",$A114)&amp;TRIM(データ!E111)</f>
        <v>｜｜R密粒度As13スラグ</v>
      </c>
      <c r="E114" s="37" t="str">
        <f>TRIM(データ!F111)</f>
        <v/>
      </c>
      <c r="F114" s="38" t="str">
        <f>TRIM(データ!G111)</f>
        <v>ｔ</v>
      </c>
      <c r="G114" s="50">
        <f>データ!H111</f>
        <v>54</v>
      </c>
      <c r="H114" s="48">
        <f>データ!I111</f>
        <v>11000</v>
      </c>
      <c r="I114" s="48">
        <f>データ!J111</f>
        <v>594000</v>
      </c>
      <c r="J114" s="39" t="str">
        <f>IF(OR($C114="総括",$C114="内訳書",$C114="内訳代価",$C114="明細書",$C114="明細代価",$C114="代価表",$C114="単価表"),データ!K111,"")</f>
        <v/>
      </c>
      <c r="K114" s="11" t="str">
        <f t="shared" si="6"/>
        <v/>
      </c>
      <c r="L114" s="46">
        <f t="shared" si="7"/>
        <v>3.8823529411764708E-2</v>
      </c>
      <c r="M114" s="40" t="str">
        <f>IF(データ!L111="","",データ!L111)</f>
        <v/>
      </c>
      <c r="N114" s="41" t="str">
        <f>IF(データ!M111="","",データ!M111)</f>
        <v/>
      </c>
      <c r="O114" s="42">
        <f>データ!N111</f>
        <v>0</v>
      </c>
      <c r="P114" s="48">
        <f>IF($C114="集計行","",データ!O111)</f>
        <v>0</v>
      </c>
      <c r="Q114" s="48">
        <f>データ!P111</f>
        <v>0</v>
      </c>
      <c r="R114" s="39" t="str">
        <f>IF(OR($C114="総括",$C114="内訳書",$C114="内訳代価",$C114="明細書",$C114="明細代価",$C114="代価表",$C114="単価表"),データ!Q111,"")</f>
        <v/>
      </c>
      <c r="S114" s="11" t="str">
        <f t="shared" si="8"/>
        <v/>
      </c>
      <c r="T114" s="46" t="e">
        <f t="shared" si="9"/>
        <v>#DIV/0!</v>
      </c>
      <c r="U114" s="40" t="str">
        <f>IF(データ!R111="","",データ!R111)</f>
        <v/>
      </c>
      <c r="V114" s="41" t="str">
        <f>IF(データ!S111="","",データ!S111)</f>
        <v/>
      </c>
      <c r="W114" s="42">
        <f>データ!T111</f>
        <v>0</v>
      </c>
      <c r="X114" s="48">
        <f>IF($C114="集計行","",データ!U111)</f>
        <v>0</v>
      </c>
      <c r="Y114" s="48">
        <f>データ!V111</f>
        <v>0</v>
      </c>
      <c r="Z114" s="39" t="str">
        <f>IF(OR($C114="総括",$C114="内訳書",$C114="内訳代価",$C114="明細書",$C114="明細代価",$C114="代価表",$C114="単価表"),データ!W111,"")</f>
        <v/>
      </c>
      <c r="AA114" s="11" t="str">
        <f t="shared" si="10"/>
        <v/>
      </c>
      <c r="AB114" s="46" t="e">
        <f t="shared" si="11"/>
        <v>#DIV/0!</v>
      </c>
      <c r="AC114" s="40" t="str">
        <f>IF(データ!X111="","",データ!X111)</f>
        <v/>
      </c>
      <c r="AD114" s="41" t="str">
        <f>IF(データ!Y111="","",データ!Y111)</f>
        <v/>
      </c>
      <c r="AE114" s="47" t="str">
        <f>TRIM(データ!B111)</f>
        <v>s20718006</v>
      </c>
      <c r="AF114" s="43" t="str">
        <f>TRIM(データ!Z111)</f>
        <v/>
      </c>
    </row>
    <row r="115" spans="1:32" x14ac:dyDescent="0.15">
      <c r="A115" s="47">
        <f>データ!A112</f>
        <v>2</v>
      </c>
      <c r="B115" s="47" t="str">
        <f>TRIM(データ!C112)</f>
        <v/>
      </c>
      <c r="C115" s="47" t="str">
        <f>TRIM(データ!D112)</f>
        <v>材料費</v>
      </c>
      <c r="D115" s="36" t="str">
        <f>REPT("｜",$A115)&amp;TRIM(データ!E112)</f>
        <v>｜｜乳剤PK-3・4</v>
      </c>
      <c r="E115" s="37" t="str">
        <f>TRIM(データ!F112)</f>
        <v/>
      </c>
      <c r="F115" s="38" t="str">
        <f>TRIM(データ!G112)</f>
        <v>L</v>
      </c>
      <c r="G115" s="50">
        <f>データ!H112</f>
        <v>300</v>
      </c>
      <c r="H115" s="48">
        <f>データ!I112</f>
        <v>100</v>
      </c>
      <c r="I115" s="48">
        <f>データ!J112</f>
        <v>30000</v>
      </c>
      <c r="J115" s="39" t="str">
        <f>IF(OR($C115="総括",$C115="内訳書",$C115="内訳代価",$C115="明細書",$C115="明細代価",$C115="代価表",$C115="単価表"),データ!K112,"")</f>
        <v/>
      </c>
      <c r="K115" s="11" t="str">
        <f t="shared" si="6"/>
        <v/>
      </c>
      <c r="L115" s="46">
        <f t="shared" si="7"/>
        <v>1.9607843137254902E-3</v>
      </c>
      <c r="M115" s="40" t="str">
        <f>IF(データ!L112="","",データ!L112)</f>
        <v/>
      </c>
      <c r="N115" s="41" t="str">
        <f>IF(データ!M112="","",データ!M112)</f>
        <v/>
      </c>
      <c r="O115" s="42">
        <f>データ!N112</f>
        <v>0</v>
      </c>
      <c r="P115" s="48">
        <f>IF($C115="集計行","",データ!O112)</f>
        <v>0</v>
      </c>
      <c r="Q115" s="48">
        <f>データ!P112</f>
        <v>0</v>
      </c>
      <c r="R115" s="39" t="str">
        <f>IF(OR($C115="総括",$C115="内訳書",$C115="内訳代価",$C115="明細書",$C115="明細代価",$C115="代価表",$C115="単価表"),データ!Q112,"")</f>
        <v/>
      </c>
      <c r="S115" s="11" t="str">
        <f t="shared" si="8"/>
        <v/>
      </c>
      <c r="T115" s="46" t="e">
        <f t="shared" si="9"/>
        <v>#DIV/0!</v>
      </c>
      <c r="U115" s="40" t="str">
        <f>IF(データ!R112="","",データ!R112)</f>
        <v/>
      </c>
      <c r="V115" s="41" t="str">
        <f>IF(データ!S112="","",データ!S112)</f>
        <v/>
      </c>
      <c r="W115" s="42">
        <f>データ!T112</f>
        <v>0</v>
      </c>
      <c r="X115" s="48">
        <f>IF($C115="集計行","",データ!U112)</f>
        <v>0</v>
      </c>
      <c r="Y115" s="48">
        <f>データ!V112</f>
        <v>0</v>
      </c>
      <c r="Z115" s="39" t="str">
        <f>IF(OR($C115="総括",$C115="内訳書",$C115="内訳代価",$C115="明細書",$C115="明細代価",$C115="代価表",$C115="単価表"),データ!W112,"")</f>
        <v/>
      </c>
      <c r="AA115" s="11" t="str">
        <f t="shared" si="10"/>
        <v/>
      </c>
      <c r="AB115" s="46" t="e">
        <f t="shared" si="11"/>
        <v>#DIV/0!</v>
      </c>
      <c r="AC115" s="40" t="str">
        <f>IF(データ!X112="","",データ!X112)</f>
        <v/>
      </c>
      <c r="AD115" s="41" t="str">
        <f>IF(データ!Y112="","",データ!Y112)</f>
        <v/>
      </c>
      <c r="AE115" s="47" t="str">
        <f>TRIM(データ!B112)</f>
        <v>s20718015</v>
      </c>
      <c r="AF115" s="43" t="str">
        <f>TRIM(データ!Z112)</f>
        <v/>
      </c>
    </row>
    <row r="116" spans="1:32" x14ac:dyDescent="0.15">
      <c r="A116" s="47">
        <f>データ!A113</f>
        <v>2</v>
      </c>
      <c r="B116" s="47" t="str">
        <f>TRIM(データ!C113)</f>
        <v/>
      </c>
      <c r="C116" s="47" t="str">
        <f>TRIM(データ!D113)</f>
        <v>材料費</v>
      </c>
      <c r="D116" s="36" t="str">
        <f>REPT("｜",$A116)&amp;TRIM(データ!E113)</f>
        <v>｜｜山砂</v>
      </c>
      <c r="E116" s="37" t="str">
        <f>TRIM(データ!F113)</f>
        <v/>
      </c>
      <c r="F116" s="38" t="str">
        <f>TRIM(データ!G113)</f>
        <v>ｔ</v>
      </c>
      <c r="G116" s="50">
        <f>データ!H113</f>
        <v>1</v>
      </c>
      <c r="H116" s="48">
        <f>データ!I113</f>
        <v>5000</v>
      </c>
      <c r="I116" s="48">
        <f>データ!J113</f>
        <v>5000</v>
      </c>
      <c r="J116" s="39" t="str">
        <f>IF(OR($C116="総括",$C116="内訳書",$C116="内訳代価",$C116="明細書",$C116="明細代価",$C116="代価表",$C116="単価表"),データ!K113,"")</f>
        <v/>
      </c>
      <c r="K116" s="11" t="str">
        <f t="shared" si="6"/>
        <v/>
      </c>
      <c r="L116" s="46">
        <f t="shared" si="7"/>
        <v>3.2679738562091501E-4</v>
      </c>
      <c r="M116" s="40" t="str">
        <f>IF(データ!L113="","",データ!L113)</f>
        <v/>
      </c>
      <c r="N116" s="41" t="str">
        <f>IF(データ!M113="","",データ!M113)</f>
        <v/>
      </c>
      <c r="O116" s="42">
        <f>データ!N113</f>
        <v>0</v>
      </c>
      <c r="P116" s="48">
        <f>IF($C116="集計行","",データ!O113)</f>
        <v>0</v>
      </c>
      <c r="Q116" s="48">
        <f>データ!P113</f>
        <v>0</v>
      </c>
      <c r="R116" s="39" t="str">
        <f>IF(OR($C116="総括",$C116="内訳書",$C116="内訳代価",$C116="明細書",$C116="明細代価",$C116="代価表",$C116="単価表"),データ!Q113,"")</f>
        <v/>
      </c>
      <c r="S116" s="11" t="str">
        <f t="shared" si="8"/>
        <v/>
      </c>
      <c r="T116" s="46" t="e">
        <f t="shared" si="9"/>
        <v>#DIV/0!</v>
      </c>
      <c r="U116" s="40" t="str">
        <f>IF(データ!R113="","",データ!R113)</f>
        <v/>
      </c>
      <c r="V116" s="41" t="str">
        <f>IF(データ!S113="","",データ!S113)</f>
        <v/>
      </c>
      <c r="W116" s="42">
        <f>データ!T113</f>
        <v>0</v>
      </c>
      <c r="X116" s="48">
        <f>IF($C116="集計行","",データ!U113)</f>
        <v>0</v>
      </c>
      <c r="Y116" s="48">
        <f>データ!V113</f>
        <v>0</v>
      </c>
      <c r="Z116" s="39" t="str">
        <f>IF(OR($C116="総括",$C116="内訳書",$C116="内訳代価",$C116="明細書",$C116="明細代価",$C116="代価表",$C116="単価表"),データ!W113,"")</f>
        <v/>
      </c>
      <c r="AA116" s="11" t="str">
        <f t="shared" si="10"/>
        <v/>
      </c>
      <c r="AB116" s="46" t="e">
        <f t="shared" si="11"/>
        <v>#DIV/0!</v>
      </c>
      <c r="AC116" s="40" t="str">
        <f>IF(データ!X113="","",データ!X113)</f>
        <v/>
      </c>
      <c r="AD116" s="41" t="str">
        <f>IF(データ!Y113="","",データ!Y113)</f>
        <v/>
      </c>
      <c r="AE116" s="47" t="str">
        <f>TRIM(データ!B113)</f>
        <v>s20718042</v>
      </c>
      <c r="AF116" s="43" t="str">
        <f>TRIM(データ!Z113)</f>
        <v/>
      </c>
    </row>
    <row r="117" spans="1:32" x14ac:dyDescent="0.15">
      <c r="A117" s="47">
        <f>データ!A114</f>
        <v>2</v>
      </c>
      <c r="B117" s="47" t="str">
        <f>TRIM(データ!C114)</f>
        <v/>
      </c>
      <c r="C117" s="47" t="str">
        <f>TRIM(データ!D114)</f>
        <v>材料費</v>
      </c>
      <c r="D117" s="36" t="str">
        <f>REPT("｜",$A117)&amp;TRIM(データ!E114)</f>
        <v>｜｜雑材</v>
      </c>
      <c r="E117" s="37" t="str">
        <f>TRIM(データ!F114)</f>
        <v>舗装</v>
      </c>
      <c r="F117" s="38" t="str">
        <f>TRIM(データ!G114)</f>
        <v>式</v>
      </c>
      <c r="G117" s="50">
        <f>データ!H114</f>
        <v>1</v>
      </c>
      <c r="H117" s="48">
        <f>データ!I114</f>
        <v>2000</v>
      </c>
      <c r="I117" s="48">
        <f>データ!J114</f>
        <v>2000</v>
      </c>
      <c r="J117" s="39" t="str">
        <f>IF(OR($C117="総括",$C117="内訳書",$C117="内訳代価",$C117="明細書",$C117="明細代価",$C117="代価表",$C117="単価表"),データ!K114,"")</f>
        <v/>
      </c>
      <c r="K117" s="11" t="str">
        <f t="shared" si="6"/>
        <v/>
      </c>
      <c r="L117" s="46">
        <f t="shared" si="7"/>
        <v>1.3071895424836603E-4</v>
      </c>
      <c r="M117" s="40" t="str">
        <f>IF(データ!L114="","",データ!L114)</f>
        <v/>
      </c>
      <c r="N117" s="41" t="str">
        <f>IF(データ!M114="","",データ!M114)</f>
        <v/>
      </c>
      <c r="O117" s="42">
        <f>データ!N114</f>
        <v>0</v>
      </c>
      <c r="P117" s="48">
        <f>IF($C117="集計行","",データ!O114)</f>
        <v>0</v>
      </c>
      <c r="Q117" s="48">
        <f>データ!P114</f>
        <v>0</v>
      </c>
      <c r="R117" s="39" t="str">
        <f>IF(OR($C117="総括",$C117="内訳書",$C117="内訳代価",$C117="明細書",$C117="明細代価",$C117="代価表",$C117="単価表"),データ!Q114,"")</f>
        <v/>
      </c>
      <c r="S117" s="11" t="str">
        <f t="shared" si="8"/>
        <v/>
      </c>
      <c r="T117" s="46" t="e">
        <f t="shared" si="9"/>
        <v>#DIV/0!</v>
      </c>
      <c r="U117" s="40" t="str">
        <f>IF(データ!R114="","",データ!R114)</f>
        <v/>
      </c>
      <c r="V117" s="41" t="str">
        <f>IF(データ!S114="","",データ!S114)</f>
        <v/>
      </c>
      <c r="W117" s="42">
        <f>データ!T114</f>
        <v>0</v>
      </c>
      <c r="X117" s="48">
        <f>IF($C117="集計行","",データ!U114)</f>
        <v>0</v>
      </c>
      <c r="Y117" s="48">
        <f>データ!V114</f>
        <v>0</v>
      </c>
      <c r="Z117" s="39" t="str">
        <f>IF(OR($C117="総括",$C117="内訳書",$C117="内訳代価",$C117="明細書",$C117="明細代価",$C117="代価表",$C117="単価表"),データ!W114,"")</f>
        <v/>
      </c>
      <c r="AA117" s="11" t="str">
        <f t="shared" si="10"/>
        <v/>
      </c>
      <c r="AB117" s="46" t="e">
        <f t="shared" si="11"/>
        <v>#DIV/0!</v>
      </c>
      <c r="AC117" s="40" t="str">
        <f>IF(データ!X114="","",データ!X114)</f>
        <v/>
      </c>
      <c r="AD117" s="41" t="str">
        <f>IF(データ!Y114="","",データ!Y114)</f>
        <v/>
      </c>
      <c r="AE117" s="47" t="str">
        <f>TRIM(データ!B114)</f>
        <v>s20718001</v>
      </c>
      <c r="AF117" s="43" t="str">
        <f>TRIM(データ!Z114)</f>
        <v/>
      </c>
    </row>
    <row r="118" spans="1:32" x14ac:dyDescent="0.15">
      <c r="A118" s="47">
        <f>データ!A115</f>
        <v>2</v>
      </c>
      <c r="B118" s="47" t="str">
        <f>TRIM(データ!C115)</f>
        <v/>
      </c>
      <c r="C118" s="47" t="str">
        <f>TRIM(データ!D115)</f>
        <v>材料費</v>
      </c>
      <c r="D118" s="36" t="str">
        <f>REPT("｜",$A118)&amp;TRIM(データ!E115)</f>
        <v>｜｜軽油</v>
      </c>
      <c r="E118" s="37" t="str">
        <f>TRIM(データ!F115)</f>
        <v/>
      </c>
      <c r="F118" s="38" t="str">
        <f>TRIM(データ!G115)</f>
        <v>L</v>
      </c>
      <c r="G118" s="50">
        <f>データ!H115</f>
        <v>50</v>
      </c>
      <c r="H118" s="48">
        <f>データ!I115</f>
        <v>180</v>
      </c>
      <c r="I118" s="48">
        <f>データ!J115</f>
        <v>9000</v>
      </c>
      <c r="J118" s="39" t="str">
        <f>IF(OR($C118="総括",$C118="内訳書",$C118="内訳代価",$C118="明細書",$C118="明細代価",$C118="代価表",$C118="単価表"),データ!K115,"")</f>
        <v/>
      </c>
      <c r="K118" s="11" t="str">
        <f t="shared" si="6"/>
        <v/>
      </c>
      <c r="L118" s="46">
        <f t="shared" si="7"/>
        <v>5.8823529411764701E-4</v>
      </c>
      <c r="M118" s="40" t="str">
        <f>IF(データ!L115="","",データ!L115)</f>
        <v/>
      </c>
      <c r="N118" s="41" t="str">
        <f>IF(データ!M115="","",データ!M115)</f>
        <v/>
      </c>
      <c r="O118" s="42">
        <f>データ!N115</f>
        <v>0</v>
      </c>
      <c r="P118" s="48">
        <f>IF($C118="集計行","",データ!O115)</f>
        <v>0</v>
      </c>
      <c r="Q118" s="48">
        <f>データ!P115</f>
        <v>0</v>
      </c>
      <c r="R118" s="39" t="str">
        <f>IF(OR($C118="総括",$C118="内訳書",$C118="内訳代価",$C118="明細書",$C118="明細代価",$C118="代価表",$C118="単価表"),データ!Q115,"")</f>
        <v/>
      </c>
      <c r="S118" s="11" t="str">
        <f t="shared" si="8"/>
        <v/>
      </c>
      <c r="T118" s="46" t="e">
        <f t="shared" si="9"/>
        <v>#DIV/0!</v>
      </c>
      <c r="U118" s="40" t="str">
        <f>IF(データ!R115="","",データ!R115)</f>
        <v/>
      </c>
      <c r="V118" s="41" t="str">
        <f>IF(データ!S115="","",データ!S115)</f>
        <v/>
      </c>
      <c r="W118" s="42">
        <f>データ!T115</f>
        <v>0</v>
      </c>
      <c r="X118" s="48">
        <f>IF($C118="集計行","",データ!U115)</f>
        <v>0</v>
      </c>
      <c r="Y118" s="48">
        <f>データ!V115</f>
        <v>0</v>
      </c>
      <c r="Z118" s="39" t="str">
        <f>IF(OR($C118="総括",$C118="内訳書",$C118="内訳代価",$C118="明細書",$C118="明細代価",$C118="代価表",$C118="単価表"),データ!W115,"")</f>
        <v/>
      </c>
      <c r="AA118" s="11" t="str">
        <f t="shared" si="10"/>
        <v/>
      </c>
      <c r="AB118" s="46" t="e">
        <f t="shared" si="11"/>
        <v>#DIV/0!</v>
      </c>
      <c r="AC118" s="40" t="str">
        <f>IF(データ!X115="","",データ!X115)</f>
        <v/>
      </c>
      <c r="AD118" s="41" t="str">
        <f>IF(データ!Y115="","",データ!Y115)</f>
        <v/>
      </c>
      <c r="AE118" s="47" t="str">
        <f>TRIM(データ!B115)</f>
        <v>s20718549</v>
      </c>
      <c r="AF118" s="43" t="str">
        <f>TRIM(データ!Z115)</f>
        <v/>
      </c>
    </row>
    <row r="119" spans="1:32" x14ac:dyDescent="0.15">
      <c r="A119" s="47">
        <f>データ!A116</f>
        <v>2</v>
      </c>
      <c r="B119" s="47" t="str">
        <f>TRIM(データ!C116)</f>
        <v/>
      </c>
      <c r="C119" s="47" t="str">
        <f>TRIM(データ!D116)</f>
        <v>労務費</v>
      </c>
      <c r="D119" s="36" t="str">
        <f>REPT("｜",$A119)&amp;TRIM(データ!E116)</f>
        <v>｜｜運転工</v>
      </c>
      <c r="E119" s="37" t="str">
        <f>TRIM(データ!F116)</f>
        <v>8H</v>
      </c>
      <c r="F119" s="38" t="str">
        <f>TRIM(データ!G116)</f>
        <v>人</v>
      </c>
      <c r="G119" s="50">
        <f>データ!H116</f>
        <v>10</v>
      </c>
      <c r="H119" s="48">
        <f>データ!I116</f>
        <v>23000</v>
      </c>
      <c r="I119" s="48">
        <f>データ!J116</f>
        <v>230000</v>
      </c>
      <c r="J119" s="39" t="str">
        <f>IF(OR($C119="総括",$C119="内訳書",$C119="内訳代価",$C119="明細書",$C119="明細代価",$C119="代価表",$C119="単価表"),データ!K116,"")</f>
        <v/>
      </c>
      <c r="K119" s="11" t="str">
        <f t="shared" si="6"/>
        <v/>
      </c>
      <c r="L119" s="46">
        <f t="shared" si="7"/>
        <v>1.5032679738562092E-2</v>
      </c>
      <c r="M119" s="40" t="str">
        <f>IF(データ!L116="","",データ!L116)</f>
        <v/>
      </c>
      <c r="N119" s="41" t="str">
        <f>IF(データ!M116="","",データ!M116)</f>
        <v/>
      </c>
      <c r="O119" s="42">
        <f>データ!N116</f>
        <v>0</v>
      </c>
      <c r="P119" s="48">
        <f>IF($C119="集計行","",データ!O116)</f>
        <v>0</v>
      </c>
      <c r="Q119" s="48">
        <f>データ!P116</f>
        <v>0</v>
      </c>
      <c r="R119" s="39" t="str">
        <f>IF(OR($C119="総括",$C119="内訳書",$C119="内訳代価",$C119="明細書",$C119="明細代価",$C119="代価表",$C119="単価表"),データ!Q116,"")</f>
        <v/>
      </c>
      <c r="S119" s="11" t="str">
        <f t="shared" si="8"/>
        <v/>
      </c>
      <c r="T119" s="46" t="e">
        <f t="shared" si="9"/>
        <v>#DIV/0!</v>
      </c>
      <c r="U119" s="40" t="str">
        <f>IF(データ!R116="","",データ!R116)</f>
        <v/>
      </c>
      <c r="V119" s="41" t="str">
        <f>IF(データ!S116="","",データ!S116)</f>
        <v/>
      </c>
      <c r="W119" s="42">
        <f>データ!T116</f>
        <v>0</v>
      </c>
      <c r="X119" s="48">
        <f>IF($C119="集計行","",データ!U116)</f>
        <v>0</v>
      </c>
      <c r="Y119" s="48">
        <f>データ!V116</f>
        <v>0</v>
      </c>
      <c r="Z119" s="39" t="str">
        <f>IF(OR($C119="総括",$C119="内訳書",$C119="内訳代価",$C119="明細書",$C119="明細代価",$C119="代価表",$C119="単価表"),データ!W116,"")</f>
        <v/>
      </c>
      <c r="AA119" s="11" t="str">
        <f t="shared" si="10"/>
        <v/>
      </c>
      <c r="AB119" s="46" t="e">
        <f t="shared" si="11"/>
        <v>#DIV/0!</v>
      </c>
      <c r="AC119" s="40" t="str">
        <f>IF(データ!X116="","",データ!X116)</f>
        <v/>
      </c>
      <c r="AD119" s="41" t="str">
        <f>IF(データ!Y116="","",データ!Y116)</f>
        <v/>
      </c>
      <c r="AE119" s="47" t="str">
        <f>TRIM(データ!B116)</f>
        <v>r20718007</v>
      </c>
      <c r="AF119" s="43" t="str">
        <f>TRIM(データ!Z116)</f>
        <v>1日×10人</v>
      </c>
    </row>
    <row r="120" spans="1:32" x14ac:dyDescent="0.15">
      <c r="A120" s="47">
        <f>データ!A117</f>
        <v>2</v>
      </c>
      <c r="B120" s="47" t="str">
        <f>TRIM(データ!C117)</f>
        <v/>
      </c>
      <c r="C120" s="47" t="str">
        <f>TRIM(データ!D117)</f>
        <v>機械費</v>
      </c>
      <c r="D120" s="36" t="str">
        <f>REPT("｜",$A120)&amp;TRIM(データ!E117)</f>
        <v>｜｜BH0.25クレーン</v>
      </c>
      <c r="E120" s="37" t="str">
        <f>TRIM(データ!F117)</f>
        <v>低騒音・超小</v>
      </c>
      <c r="F120" s="38" t="str">
        <f>TRIM(データ!G117)</f>
        <v>日台</v>
      </c>
      <c r="G120" s="50">
        <f>データ!H117</f>
        <v>1</v>
      </c>
      <c r="H120" s="48">
        <f>データ!I117</f>
        <v>13000</v>
      </c>
      <c r="I120" s="48">
        <f>データ!J117</f>
        <v>13000</v>
      </c>
      <c r="J120" s="39" t="str">
        <f>IF(OR($C120="総括",$C120="内訳書",$C120="内訳代価",$C120="明細書",$C120="明細代価",$C120="代価表",$C120="単価表"),データ!K117,"")</f>
        <v/>
      </c>
      <c r="K120" s="11" t="str">
        <f t="shared" si="6"/>
        <v/>
      </c>
      <c r="L120" s="46">
        <f t="shared" si="7"/>
        <v>8.4967320261437906E-4</v>
      </c>
      <c r="M120" s="40" t="str">
        <f>IF(データ!L117="","",データ!L117)</f>
        <v/>
      </c>
      <c r="N120" s="41" t="str">
        <f>IF(データ!M117="","",データ!M117)</f>
        <v/>
      </c>
      <c r="O120" s="42">
        <f>データ!N117</f>
        <v>0</v>
      </c>
      <c r="P120" s="48">
        <f>IF($C120="集計行","",データ!O117)</f>
        <v>0</v>
      </c>
      <c r="Q120" s="48">
        <f>データ!P117</f>
        <v>0</v>
      </c>
      <c r="R120" s="39" t="str">
        <f>IF(OR($C120="総括",$C120="内訳書",$C120="内訳代価",$C120="明細書",$C120="明細代価",$C120="代価表",$C120="単価表"),データ!Q117,"")</f>
        <v/>
      </c>
      <c r="S120" s="11" t="str">
        <f t="shared" si="8"/>
        <v/>
      </c>
      <c r="T120" s="46" t="e">
        <f t="shared" si="9"/>
        <v>#DIV/0!</v>
      </c>
      <c r="U120" s="40" t="str">
        <f>IF(データ!R117="","",データ!R117)</f>
        <v/>
      </c>
      <c r="V120" s="41" t="str">
        <f>IF(データ!S117="","",データ!S117)</f>
        <v/>
      </c>
      <c r="W120" s="42">
        <f>データ!T117</f>
        <v>0</v>
      </c>
      <c r="X120" s="48">
        <f>IF($C120="集計行","",データ!U117)</f>
        <v>0</v>
      </c>
      <c r="Y120" s="48">
        <f>データ!V117</f>
        <v>0</v>
      </c>
      <c r="Z120" s="39" t="str">
        <f>IF(OR($C120="総括",$C120="内訳書",$C120="内訳代価",$C120="明細書",$C120="明細代価",$C120="代価表",$C120="単価表"),データ!W117,"")</f>
        <v/>
      </c>
      <c r="AA120" s="11" t="str">
        <f t="shared" si="10"/>
        <v/>
      </c>
      <c r="AB120" s="46" t="e">
        <f t="shared" si="11"/>
        <v>#DIV/0!</v>
      </c>
      <c r="AC120" s="40" t="str">
        <f>IF(データ!X117="","",データ!X117)</f>
        <v/>
      </c>
      <c r="AD120" s="41" t="str">
        <f>IF(データ!Y117="","",データ!Y117)</f>
        <v/>
      </c>
      <c r="AE120" s="47" t="str">
        <f>TRIM(データ!B117)</f>
        <v>k20718018</v>
      </c>
      <c r="AF120" s="43" t="str">
        <f>TRIM(データ!Z117)</f>
        <v>1日×1台</v>
      </c>
    </row>
    <row r="121" spans="1:32" x14ac:dyDescent="0.15">
      <c r="A121" s="47">
        <f>データ!A118</f>
        <v>2</v>
      </c>
      <c r="B121" s="47" t="str">
        <f>TRIM(データ!C118)</f>
        <v/>
      </c>
      <c r="C121" s="47" t="str">
        <f>TRIM(データ!D118)</f>
        <v>機械費</v>
      </c>
      <c r="D121" s="36" t="str">
        <f>REPT("｜",$A121)&amp;TRIM(データ!E118)</f>
        <v>｜｜BH0.1クレーン</v>
      </c>
      <c r="E121" s="37" t="str">
        <f>TRIM(データ!F118)</f>
        <v>低騒音・超小</v>
      </c>
      <c r="F121" s="38" t="str">
        <f>TRIM(データ!G118)</f>
        <v>日台</v>
      </c>
      <c r="G121" s="50">
        <f>データ!H118</f>
        <v>1</v>
      </c>
      <c r="H121" s="48">
        <f>データ!I118</f>
        <v>6000</v>
      </c>
      <c r="I121" s="48">
        <f>データ!J118</f>
        <v>6000</v>
      </c>
      <c r="J121" s="39" t="str">
        <f>IF(OR($C121="総括",$C121="内訳書",$C121="内訳代価",$C121="明細書",$C121="明細代価",$C121="代価表",$C121="単価表"),データ!K118,"")</f>
        <v/>
      </c>
      <c r="K121" s="11" t="str">
        <f t="shared" si="6"/>
        <v/>
      </c>
      <c r="L121" s="46">
        <f t="shared" si="7"/>
        <v>3.9215686274509802E-4</v>
      </c>
      <c r="M121" s="40" t="str">
        <f>IF(データ!L118="","",データ!L118)</f>
        <v/>
      </c>
      <c r="N121" s="41" t="str">
        <f>IF(データ!M118="","",データ!M118)</f>
        <v/>
      </c>
      <c r="O121" s="42">
        <f>データ!N118</f>
        <v>0</v>
      </c>
      <c r="P121" s="48">
        <f>IF($C121="集計行","",データ!O118)</f>
        <v>0</v>
      </c>
      <c r="Q121" s="48">
        <f>データ!P118</f>
        <v>0</v>
      </c>
      <c r="R121" s="39" t="str">
        <f>IF(OR($C121="総括",$C121="内訳書",$C121="内訳代価",$C121="明細書",$C121="明細代価",$C121="代価表",$C121="単価表"),データ!Q118,"")</f>
        <v/>
      </c>
      <c r="S121" s="11" t="str">
        <f t="shared" si="8"/>
        <v/>
      </c>
      <c r="T121" s="46" t="e">
        <f t="shared" si="9"/>
        <v>#DIV/0!</v>
      </c>
      <c r="U121" s="40" t="str">
        <f>IF(データ!R118="","",データ!R118)</f>
        <v/>
      </c>
      <c r="V121" s="41" t="str">
        <f>IF(データ!S118="","",データ!S118)</f>
        <v/>
      </c>
      <c r="W121" s="42">
        <f>データ!T118</f>
        <v>0</v>
      </c>
      <c r="X121" s="48">
        <f>IF($C121="集計行","",データ!U118)</f>
        <v>0</v>
      </c>
      <c r="Y121" s="48">
        <f>データ!V118</f>
        <v>0</v>
      </c>
      <c r="Z121" s="39" t="str">
        <f>IF(OR($C121="総括",$C121="内訳書",$C121="内訳代価",$C121="明細書",$C121="明細代価",$C121="代価表",$C121="単価表"),データ!W118,"")</f>
        <v/>
      </c>
      <c r="AA121" s="11" t="str">
        <f t="shared" si="10"/>
        <v/>
      </c>
      <c r="AB121" s="46" t="e">
        <f t="shared" si="11"/>
        <v>#DIV/0!</v>
      </c>
      <c r="AC121" s="40" t="str">
        <f>IF(データ!X118="","",データ!X118)</f>
        <v/>
      </c>
      <c r="AD121" s="41" t="str">
        <f>IF(データ!Y118="","",データ!Y118)</f>
        <v/>
      </c>
      <c r="AE121" s="47" t="str">
        <f>TRIM(データ!B118)</f>
        <v>k20718012</v>
      </c>
      <c r="AF121" s="43" t="str">
        <f>TRIM(データ!Z118)</f>
        <v>1日×1台</v>
      </c>
    </row>
    <row r="122" spans="1:32" x14ac:dyDescent="0.15">
      <c r="A122" s="47">
        <f>データ!A119</f>
        <v>2</v>
      </c>
      <c r="B122" s="47" t="str">
        <f>TRIM(データ!C119)</f>
        <v/>
      </c>
      <c r="C122" s="47" t="str">
        <f>TRIM(データ!D119)</f>
        <v>機械費</v>
      </c>
      <c r="D122" s="36" t="str">
        <f>REPT("｜",$A122)&amp;TRIM(データ!E119)</f>
        <v>｜｜Asフィニッシャー4.4m</v>
      </c>
      <c r="E122" s="37" t="str">
        <f>TRIM(データ!F119)</f>
        <v>低騒音</v>
      </c>
      <c r="F122" s="38" t="str">
        <f>TRIM(データ!G119)</f>
        <v>日台</v>
      </c>
      <c r="G122" s="50">
        <f>データ!H119</f>
        <v>1</v>
      </c>
      <c r="H122" s="48">
        <f>データ!I119</f>
        <v>45000</v>
      </c>
      <c r="I122" s="48">
        <f>データ!J119</f>
        <v>45000</v>
      </c>
      <c r="J122" s="39" t="str">
        <f>IF(OR($C122="総括",$C122="内訳書",$C122="内訳代価",$C122="明細書",$C122="明細代価",$C122="代価表",$C122="単価表"),データ!K119,"")</f>
        <v/>
      </c>
      <c r="K122" s="11" t="str">
        <f t="shared" si="6"/>
        <v/>
      </c>
      <c r="L122" s="46">
        <f t="shared" si="7"/>
        <v>2.9411764705882353E-3</v>
      </c>
      <c r="M122" s="40" t="str">
        <f>IF(データ!L119="","",データ!L119)</f>
        <v/>
      </c>
      <c r="N122" s="41" t="str">
        <f>IF(データ!M119="","",データ!M119)</f>
        <v/>
      </c>
      <c r="O122" s="42">
        <f>データ!N119</f>
        <v>0</v>
      </c>
      <c r="P122" s="48">
        <f>IF($C122="集計行","",データ!O119)</f>
        <v>0</v>
      </c>
      <c r="Q122" s="48">
        <f>データ!P119</f>
        <v>0</v>
      </c>
      <c r="R122" s="39" t="str">
        <f>IF(OR($C122="総括",$C122="内訳書",$C122="内訳代価",$C122="明細書",$C122="明細代価",$C122="代価表",$C122="単価表"),データ!Q119,"")</f>
        <v/>
      </c>
      <c r="S122" s="11" t="str">
        <f t="shared" si="8"/>
        <v/>
      </c>
      <c r="T122" s="46" t="e">
        <f t="shared" si="9"/>
        <v>#DIV/0!</v>
      </c>
      <c r="U122" s="40" t="str">
        <f>IF(データ!R119="","",データ!R119)</f>
        <v/>
      </c>
      <c r="V122" s="41" t="str">
        <f>IF(データ!S119="","",データ!S119)</f>
        <v/>
      </c>
      <c r="W122" s="42">
        <f>データ!T119</f>
        <v>0</v>
      </c>
      <c r="X122" s="48">
        <f>IF($C122="集計行","",データ!U119)</f>
        <v>0</v>
      </c>
      <c r="Y122" s="48">
        <f>データ!V119</f>
        <v>0</v>
      </c>
      <c r="Z122" s="39" t="str">
        <f>IF(OR($C122="総括",$C122="内訳書",$C122="内訳代価",$C122="明細書",$C122="明細代価",$C122="代価表",$C122="単価表"),データ!W119,"")</f>
        <v/>
      </c>
      <c r="AA122" s="11" t="str">
        <f t="shared" si="10"/>
        <v/>
      </c>
      <c r="AB122" s="46" t="e">
        <f t="shared" si="11"/>
        <v>#DIV/0!</v>
      </c>
      <c r="AC122" s="40" t="str">
        <f>IF(データ!X119="","",データ!X119)</f>
        <v/>
      </c>
      <c r="AD122" s="41" t="str">
        <f>IF(データ!Y119="","",データ!Y119)</f>
        <v/>
      </c>
      <c r="AE122" s="47" t="str">
        <f>TRIM(データ!B119)</f>
        <v>k20718053</v>
      </c>
      <c r="AF122" s="43" t="str">
        <f>TRIM(データ!Z119)</f>
        <v>1日×1台</v>
      </c>
    </row>
    <row r="123" spans="1:32" x14ac:dyDescent="0.15">
      <c r="A123" s="47">
        <f>データ!A120</f>
        <v>2</v>
      </c>
      <c r="B123" s="47" t="str">
        <f>TRIM(データ!C120)</f>
        <v/>
      </c>
      <c r="C123" s="47" t="str">
        <f>TRIM(データ!D120)</f>
        <v>機械費</v>
      </c>
      <c r="D123" s="36" t="str">
        <f>REPT("｜",$A123)&amp;TRIM(データ!E120)</f>
        <v>｜｜タイヤR　8t</v>
      </c>
      <c r="E123" s="37" t="str">
        <f>TRIM(データ!F120)</f>
        <v>8t　低騒音</v>
      </c>
      <c r="F123" s="38" t="str">
        <f>TRIM(データ!G120)</f>
        <v>日台</v>
      </c>
      <c r="G123" s="50">
        <f>データ!H120</f>
        <v>1</v>
      </c>
      <c r="H123" s="48">
        <f>データ!I120</f>
        <v>7000</v>
      </c>
      <c r="I123" s="48">
        <f>データ!J120</f>
        <v>7000</v>
      </c>
      <c r="J123" s="39" t="str">
        <f>IF(OR($C123="総括",$C123="内訳書",$C123="内訳代価",$C123="明細書",$C123="明細代価",$C123="代価表",$C123="単価表"),データ!K120,"")</f>
        <v/>
      </c>
      <c r="K123" s="11" t="str">
        <f t="shared" si="6"/>
        <v/>
      </c>
      <c r="L123" s="46">
        <f t="shared" si="7"/>
        <v>4.5751633986928104E-4</v>
      </c>
      <c r="M123" s="40" t="str">
        <f>IF(データ!L120="","",データ!L120)</f>
        <v/>
      </c>
      <c r="N123" s="41" t="str">
        <f>IF(データ!M120="","",データ!M120)</f>
        <v/>
      </c>
      <c r="O123" s="42">
        <f>データ!N120</f>
        <v>0</v>
      </c>
      <c r="P123" s="48">
        <f>IF($C123="集計行","",データ!O120)</f>
        <v>0</v>
      </c>
      <c r="Q123" s="48">
        <f>データ!P120</f>
        <v>0</v>
      </c>
      <c r="R123" s="39" t="str">
        <f>IF(OR($C123="総括",$C123="内訳書",$C123="内訳代価",$C123="明細書",$C123="明細代価",$C123="代価表",$C123="単価表"),データ!Q120,"")</f>
        <v/>
      </c>
      <c r="S123" s="11" t="str">
        <f t="shared" si="8"/>
        <v/>
      </c>
      <c r="T123" s="46" t="e">
        <f t="shared" si="9"/>
        <v>#DIV/0!</v>
      </c>
      <c r="U123" s="40" t="str">
        <f>IF(データ!R120="","",データ!R120)</f>
        <v/>
      </c>
      <c r="V123" s="41" t="str">
        <f>IF(データ!S120="","",データ!S120)</f>
        <v/>
      </c>
      <c r="W123" s="42">
        <f>データ!T120</f>
        <v>0</v>
      </c>
      <c r="X123" s="48">
        <f>IF($C123="集計行","",データ!U120)</f>
        <v>0</v>
      </c>
      <c r="Y123" s="48">
        <f>データ!V120</f>
        <v>0</v>
      </c>
      <c r="Z123" s="39" t="str">
        <f>IF(OR($C123="総括",$C123="内訳書",$C123="内訳代価",$C123="明細書",$C123="明細代価",$C123="代価表",$C123="単価表"),データ!W120,"")</f>
        <v/>
      </c>
      <c r="AA123" s="11" t="str">
        <f t="shared" si="10"/>
        <v/>
      </c>
      <c r="AB123" s="46" t="e">
        <f t="shared" si="11"/>
        <v>#DIV/0!</v>
      </c>
      <c r="AC123" s="40" t="str">
        <f>IF(データ!X120="","",データ!X120)</f>
        <v/>
      </c>
      <c r="AD123" s="41" t="str">
        <f>IF(データ!Y120="","",データ!Y120)</f>
        <v/>
      </c>
      <c r="AE123" s="47" t="str">
        <f>TRIM(データ!B120)</f>
        <v>k20718043</v>
      </c>
      <c r="AF123" s="43" t="str">
        <f>TRIM(データ!Z120)</f>
        <v>1日×1台</v>
      </c>
    </row>
    <row r="124" spans="1:32" x14ac:dyDescent="0.15">
      <c r="A124" s="47">
        <f>データ!A121</f>
        <v>2</v>
      </c>
      <c r="B124" s="47" t="str">
        <f>TRIM(データ!C121)</f>
        <v/>
      </c>
      <c r="C124" s="47" t="str">
        <f>TRIM(データ!D121)</f>
        <v>機械費</v>
      </c>
      <c r="D124" s="36" t="str">
        <f>REPT("｜",$A124)&amp;TRIM(データ!E121)</f>
        <v>｜｜コンバインドR</v>
      </c>
      <c r="E124" s="37" t="str">
        <f>TRIM(データ!F121)</f>
        <v>3t　4ｔ　低騒音</v>
      </c>
      <c r="F124" s="38" t="str">
        <f>TRIM(データ!G121)</f>
        <v>日台</v>
      </c>
      <c r="G124" s="50">
        <f>データ!H121</f>
        <v>1</v>
      </c>
      <c r="H124" s="48">
        <f>データ!I121</f>
        <v>5000</v>
      </c>
      <c r="I124" s="48">
        <f>データ!J121</f>
        <v>5000</v>
      </c>
      <c r="J124" s="39" t="str">
        <f>IF(OR($C124="総括",$C124="内訳書",$C124="内訳代価",$C124="明細書",$C124="明細代価",$C124="代価表",$C124="単価表"),データ!K121,"")</f>
        <v/>
      </c>
      <c r="K124" s="11" t="str">
        <f t="shared" si="6"/>
        <v/>
      </c>
      <c r="L124" s="46">
        <f t="shared" si="7"/>
        <v>3.2679738562091501E-4</v>
      </c>
      <c r="M124" s="40" t="str">
        <f>IF(データ!L121="","",データ!L121)</f>
        <v/>
      </c>
      <c r="N124" s="41" t="str">
        <f>IF(データ!M121="","",データ!M121)</f>
        <v/>
      </c>
      <c r="O124" s="42">
        <f>データ!N121</f>
        <v>0</v>
      </c>
      <c r="P124" s="48">
        <f>IF($C124="集計行","",データ!O121)</f>
        <v>0</v>
      </c>
      <c r="Q124" s="48">
        <f>データ!P121</f>
        <v>0</v>
      </c>
      <c r="R124" s="39" t="str">
        <f>IF(OR($C124="総括",$C124="内訳書",$C124="内訳代価",$C124="明細書",$C124="明細代価",$C124="代価表",$C124="単価表"),データ!Q121,"")</f>
        <v/>
      </c>
      <c r="S124" s="11" t="str">
        <f t="shared" si="8"/>
        <v/>
      </c>
      <c r="T124" s="46" t="e">
        <f t="shared" si="9"/>
        <v>#DIV/0!</v>
      </c>
      <c r="U124" s="40" t="str">
        <f>IF(データ!R121="","",データ!R121)</f>
        <v/>
      </c>
      <c r="V124" s="41" t="str">
        <f>IF(データ!S121="","",データ!S121)</f>
        <v/>
      </c>
      <c r="W124" s="42">
        <f>データ!T121</f>
        <v>0</v>
      </c>
      <c r="X124" s="48">
        <f>IF($C124="集計行","",データ!U121)</f>
        <v>0</v>
      </c>
      <c r="Y124" s="48">
        <f>データ!V121</f>
        <v>0</v>
      </c>
      <c r="Z124" s="39" t="str">
        <f>IF(OR($C124="総括",$C124="内訳書",$C124="内訳代価",$C124="明細書",$C124="明細代価",$C124="代価表",$C124="単価表"),データ!W121,"")</f>
        <v/>
      </c>
      <c r="AA124" s="11" t="str">
        <f t="shared" si="10"/>
        <v/>
      </c>
      <c r="AB124" s="46" t="e">
        <f t="shared" si="11"/>
        <v>#DIV/0!</v>
      </c>
      <c r="AC124" s="40" t="str">
        <f>IF(データ!X121="","",データ!X121)</f>
        <v/>
      </c>
      <c r="AD124" s="41" t="str">
        <f>IF(データ!Y121="","",データ!Y121)</f>
        <v/>
      </c>
      <c r="AE124" s="47" t="str">
        <f>TRIM(データ!B121)</f>
        <v>k20718031</v>
      </c>
      <c r="AF124" s="43" t="str">
        <f>TRIM(データ!Z121)</f>
        <v>1日×1台</v>
      </c>
    </row>
    <row r="125" spans="1:32" x14ac:dyDescent="0.15">
      <c r="A125" s="47">
        <f>データ!A122</f>
        <v>2</v>
      </c>
      <c r="B125" s="47" t="str">
        <f>TRIM(データ!C122)</f>
        <v/>
      </c>
      <c r="C125" s="47" t="str">
        <f>TRIM(データ!D122)</f>
        <v>機械費</v>
      </c>
      <c r="D125" s="36" t="str">
        <f>REPT("｜",$A125)&amp;TRIM(データ!E122)</f>
        <v>｜｜タイヤショベル0.5</v>
      </c>
      <c r="E125" s="37" t="str">
        <f>TRIM(データ!F122)</f>
        <v>低騒音</v>
      </c>
      <c r="F125" s="38" t="str">
        <f>TRIM(データ!G122)</f>
        <v>日台</v>
      </c>
      <c r="G125" s="50">
        <f>データ!H122</f>
        <v>1</v>
      </c>
      <c r="H125" s="48">
        <f>データ!I122</f>
        <v>6000</v>
      </c>
      <c r="I125" s="48">
        <f>データ!J122</f>
        <v>6000</v>
      </c>
      <c r="J125" s="39" t="str">
        <f>IF(OR($C125="総括",$C125="内訳書",$C125="内訳代価",$C125="明細書",$C125="明細代価",$C125="代価表",$C125="単価表"),データ!K122,"")</f>
        <v/>
      </c>
      <c r="K125" s="11" t="str">
        <f t="shared" si="6"/>
        <v/>
      </c>
      <c r="L125" s="46">
        <f t="shared" si="7"/>
        <v>3.9215686274509802E-4</v>
      </c>
      <c r="M125" s="40" t="str">
        <f>IF(データ!L122="","",データ!L122)</f>
        <v/>
      </c>
      <c r="N125" s="41" t="str">
        <f>IF(データ!M122="","",データ!M122)</f>
        <v/>
      </c>
      <c r="O125" s="42">
        <f>データ!N122</f>
        <v>0</v>
      </c>
      <c r="P125" s="48">
        <f>IF($C125="集計行","",データ!O122)</f>
        <v>0</v>
      </c>
      <c r="Q125" s="48">
        <f>データ!P122</f>
        <v>0</v>
      </c>
      <c r="R125" s="39" t="str">
        <f>IF(OR($C125="総括",$C125="内訳書",$C125="内訳代価",$C125="明細書",$C125="明細代価",$C125="代価表",$C125="単価表"),データ!Q122,"")</f>
        <v/>
      </c>
      <c r="S125" s="11" t="str">
        <f t="shared" si="8"/>
        <v/>
      </c>
      <c r="T125" s="46" t="e">
        <f t="shared" si="9"/>
        <v>#DIV/0!</v>
      </c>
      <c r="U125" s="40" t="str">
        <f>IF(データ!R122="","",データ!R122)</f>
        <v/>
      </c>
      <c r="V125" s="41" t="str">
        <f>IF(データ!S122="","",データ!S122)</f>
        <v/>
      </c>
      <c r="W125" s="42">
        <f>データ!T122</f>
        <v>0</v>
      </c>
      <c r="X125" s="48">
        <f>IF($C125="集計行","",データ!U122)</f>
        <v>0</v>
      </c>
      <c r="Y125" s="48">
        <f>データ!V122</f>
        <v>0</v>
      </c>
      <c r="Z125" s="39" t="str">
        <f>IF(OR($C125="総括",$C125="内訳書",$C125="内訳代価",$C125="明細書",$C125="明細代価",$C125="代価表",$C125="単価表"),データ!W122,"")</f>
        <v/>
      </c>
      <c r="AA125" s="11" t="str">
        <f t="shared" si="10"/>
        <v/>
      </c>
      <c r="AB125" s="46" t="e">
        <f t="shared" si="11"/>
        <v>#DIV/0!</v>
      </c>
      <c r="AC125" s="40" t="str">
        <f>IF(データ!X122="","",データ!X122)</f>
        <v/>
      </c>
      <c r="AD125" s="41" t="str">
        <f>IF(データ!Y122="","",データ!Y122)</f>
        <v/>
      </c>
      <c r="AE125" s="47" t="str">
        <f>TRIM(データ!B122)</f>
        <v>k20718024</v>
      </c>
      <c r="AF125" s="43" t="str">
        <f>TRIM(データ!Z122)</f>
        <v>1日×1台</v>
      </c>
    </row>
    <row r="126" spans="1:32" x14ac:dyDescent="0.15">
      <c r="A126" s="47">
        <f>データ!A123</f>
        <v>2</v>
      </c>
      <c r="B126" s="47" t="str">
        <f>TRIM(データ!C123)</f>
        <v/>
      </c>
      <c r="C126" s="47" t="str">
        <f>TRIM(データ!D123)</f>
        <v>機械費</v>
      </c>
      <c r="D126" s="36" t="str">
        <f>REPT("｜",$A126)&amp;TRIM(データ!E123)</f>
        <v>｜｜ディストリビューター(昼)</v>
      </c>
      <c r="E126" s="37" t="str">
        <f>TRIM(データ!F123)</f>
        <v/>
      </c>
      <c r="F126" s="38" t="str">
        <f>TRIM(データ!G123)</f>
        <v>日台</v>
      </c>
      <c r="G126" s="50">
        <f>データ!H123</f>
        <v>1</v>
      </c>
      <c r="H126" s="48">
        <f>データ!I123</f>
        <v>40000</v>
      </c>
      <c r="I126" s="48">
        <f>データ!J123</f>
        <v>40000</v>
      </c>
      <c r="J126" s="39" t="str">
        <f>IF(OR($C126="総括",$C126="内訳書",$C126="内訳代価",$C126="明細書",$C126="明細代価",$C126="代価表",$C126="単価表"),データ!K123,"")</f>
        <v/>
      </c>
      <c r="K126" s="11" t="str">
        <f t="shared" si="6"/>
        <v/>
      </c>
      <c r="L126" s="46">
        <f t="shared" si="7"/>
        <v>2.6143790849673201E-3</v>
      </c>
      <c r="M126" s="40" t="str">
        <f>IF(データ!L123="","",データ!L123)</f>
        <v/>
      </c>
      <c r="N126" s="41" t="str">
        <f>IF(データ!M123="","",データ!M123)</f>
        <v/>
      </c>
      <c r="O126" s="42">
        <f>データ!N123</f>
        <v>0</v>
      </c>
      <c r="P126" s="48">
        <f>IF($C126="集計行","",データ!O123)</f>
        <v>0</v>
      </c>
      <c r="Q126" s="48">
        <f>データ!P123</f>
        <v>0</v>
      </c>
      <c r="R126" s="39" t="str">
        <f>IF(OR($C126="総括",$C126="内訳書",$C126="内訳代価",$C126="明細書",$C126="明細代価",$C126="代価表",$C126="単価表"),データ!Q123,"")</f>
        <v/>
      </c>
      <c r="S126" s="11" t="str">
        <f t="shared" si="8"/>
        <v/>
      </c>
      <c r="T126" s="46" t="e">
        <f t="shared" si="9"/>
        <v>#DIV/0!</v>
      </c>
      <c r="U126" s="40" t="str">
        <f>IF(データ!R123="","",データ!R123)</f>
        <v/>
      </c>
      <c r="V126" s="41" t="str">
        <f>IF(データ!S123="","",データ!S123)</f>
        <v/>
      </c>
      <c r="W126" s="42">
        <f>データ!T123</f>
        <v>0</v>
      </c>
      <c r="X126" s="48">
        <f>IF($C126="集計行","",データ!U123)</f>
        <v>0</v>
      </c>
      <c r="Y126" s="48">
        <f>データ!V123</f>
        <v>0</v>
      </c>
      <c r="Z126" s="39" t="str">
        <f>IF(OR($C126="総括",$C126="内訳書",$C126="内訳代価",$C126="明細書",$C126="明細代価",$C126="代価表",$C126="単価表"),データ!W123,"")</f>
        <v/>
      </c>
      <c r="AA126" s="11" t="str">
        <f t="shared" si="10"/>
        <v/>
      </c>
      <c r="AB126" s="46" t="e">
        <f t="shared" si="11"/>
        <v>#DIV/0!</v>
      </c>
      <c r="AC126" s="40" t="str">
        <f>IF(データ!X123="","",データ!X123)</f>
        <v/>
      </c>
      <c r="AD126" s="41" t="str">
        <f>IF(データ!Y123="","",データ!Y123)</f>
        <v/>
      </c>
      <c r="AE126" s="47" t="str">
        <f>TRIM(データ!B123)</f>
        <v>k20718106</v>
      </c>
      <c r="AF126" s="43" t="str">
        <f>TRIM(データ!Z123)</f>
        <v>1日×1台</v>
      </c>
    </row>
    <row r="127" spans="1:32" x14ac:dyDescent="0.15">
      <c r="A127" s="47">
        <f>データ!A124</f>
        <v>2</v>
      </c>
      <c r="B127" s="47" t="str">
        <f>TRIM(データ!C124)</f>
        <v/>
      </c>
      <c r="C127" s="47" t="str">
        <f>TRIM(データ!D124)</f>
        <v>運搬費</v>
      </c>
      <c r="D127" s="36" t="str">
        <f>REPT("｜",$A127)&amp;TRIM(データ!E124)</f>
        <v>｜｜2tダンプ</v>
      </c>
      <c r="E127" s="37" t="str">
        <f>TRIM(データ!F124)</f>
        <v/>
      </c>
      <c r="F127" s="38" t="str">
        <f>TRIM(データ!G124)</f>
        <v>台</v>
      </c>
      <c r="G127" s="50">
        <f>データ!H124</f>
        <v>2</v>
      </c>
      <c r="H127" s="48">
        <f>データ!I124</f>
        <v>6000</v>
      </c>
      <c r="I127" s="48">
        <f>データ!J124</f>
        <v>12000</v>
      </c>
      <c r="J127" s="39" t="str">
        <f>IF(OR($C127="総括",$C127="内訳書",$C127="内訳代価",$C127="明細書",$C127="明細代価",$C127="代価表",$C127="単価表"),データ!K124,"")</f>
        <v/>
      </c>
      <c r="K127" s="11" t="str">
        <f t="shared" si="6"/>
        <v/>
      </c>
      <c r="L127" s="46">
        <f t="shared" si="7"/>
        <v>7.8431372549019605E-4</v>
      </c>
      <c r="M127" s="40" t="str">
        <f>IF(データ!L124="","",データ!L124)</f>
        <v/>
      </c>
      <c r="N127" s="41" t="str">
        <f>IF(データ!M124="","",データ!M124)</f>
        <v/>
      </c>
      <c r="O127" s="42">
        <f>データ!N124</f>
        <v>0</v>
      </c>
      <c r="P127" s="48">
        <f>IF($C127="集計行","",データ!O124)</f>
        <v>0</v>
      </c>
      <c r="Q127" s="48">
        <f>データ!P124</f>
        <v>0</v>
      </c>
      <c r="R127" s="39" t="str">
        <f>IF(OR($C127="総括",$C127="内訳書",$C127="内訳代価",$C127="明細書",$C127="明細代価",$C127="代価表",$C127="単価表"),データ!Q124,"")</f>
        <v/>
      </c>
      <c r="S127" s="11" t="str">
        <f t="shared" si="8"/>
        <v/>
      </c>
      <c r="T127" s="46" t="e">
        <f t="shared" si="9"/>
        <v>#DIV/0!</v>
      </c>
      <c r="U127" s="40" t="str">
        <f>IF(データ!R124="","",データ!R124)</f>
        <v/>
      </c>
      <c r="V127" s="41" t="str">
        <f>IF(データ!S124="","",データ!S124)</f>
        <v/>
      </c>
      <c r="W127" s="42">
        <f>データ!T124</f>
        <v>0</v>
      </c>
      <c r="X127" s="48">
        <f>IF($C127="集計行","",データ!U124)</f>
        <v>0</v>
      </c>
      <c r="Y127" s="48">
        <f>データ!V124</f>
        <v>0</v>
      </c>
      <c r="Z127" s="39" t="str">
        <f>IF(OR($C127="総括",$C127="内訳書",$C127="内訳代価",$C127="明細書",$C127="明細代価",$C127="代価表",$C127="単価表"),データ!W124,"")</f>
        <v/>
      </c>
      <c r="AA127" s="11" t="str">
        <f t="shared" si="10"/>
        <v/>
      </c>
      <c r="AB127" s="46" t="e">
        <f t="shared" si="11"/>
        <v>#DIV/0!</v>
      </c>
      <c r="AC127" s="40" t="str">
        <f>IF(データ!X124="","",データ!X124)</f>
        <v/>
      </c>
      <c r="AD127" s="41" t="str">
        <f>IF(データ!Y124="","",データ!Y124)</f>
        <v/>
      </c>
      <c r="AE127" s="47" t="str">
        <f>TRIM(データ!B124)</f>
        <v>u20718025</v>
      </c>
      <c r="AF127" s="43" t="str">
        <f>TRIM(データ!Z124)</f>
        <v>1日×2台</v>
      </c>
    </row>
    <row r="128" spans="1:32" x14ac:dyDescent="0.15">
      <c r="A128" s="47">
        <f>データ!A125</f>
        <v>2</v>
      </c>
      <c r="B128" s="47" t="str">
        <f>TRIM(データ!C125)</f>
        <v/>
      </c>
      <c r="C128" s="47" t="str">
        <f>TRIM(データ!D125)</f>
        <v>運搬費</v>
      </c>
      <c r="D128" s="36" t="str">
        <f>REPT("｜",$A128)&amp;TRIM(データ!E125)</f>
        <v>｜｜WP</v>
      </c>
      <c r="E128" s="37" t="str">
        <f>TRIM(データ!F125)</f>
        <v/>
      </c>
      <c r="F128" s="38" t="str">
        <f>TRIM(データ!G125)</f>
        <v>台</v>
      </c>
      <c r="G128" s="50">
        <f>データ!H125</f>
        <v>2</v>
      </c>
      <c r="H128" s="48">
        <f>データ!I125</f>
        <v>5000</v>
      </c>
      <c r="I128" s="48">
        <f>データ!J125</f>
        <v>10000</v>
      </c>
      <c r="J128" s="39" t="str">
        <f>IF(OR($C128="総括",$C128="内訳書",$C128="内訳代価",$C128="明細書",$C128="明細代価",$C128="代価表",$C128="単価表"),データ!K125,"")</f>
        <v/>
      </c>
      <c r="K128" s="11" t="str">
        <f t="shared" si="6"/>
        <v/>
      </c>
      <c r="L128" s="46">
        <f t="shared" si="7"/>
        <v>6.5359477124183002E-4</v>
      </c>
      <c r="M128" s="40" t="str">
        <f>IF(データ!L125="","",データ!L125)</f>
        <v/>
      </c>
      <c r="N128" s="41" t="str">
        <f>IF(データ!M125="","",データ!M125)</f>
        <v/>
      </c>
      <c r="O128" s="42">
        <f>データ!N125</f>
        <v>0</v>
      </c>
      <c r="P128" s="48">
        <f>IF($C128="集計行","",データ!O125)</f>
        <v>0</v>
      </c>
      <c r="Q128" s="48">
        <f>データ!P125</f>
        <v>0</v>
      </c>
      <c r="R128" s="39" t="str">
        <f>IF(OR($C128="総括",$C128="内訳書",$C128="内訳代価",$C128="明細書",$C128="明細代価",$C128="代価表",$C128="単価表"),データ!Q125,"")</f>
        <v/>
      </c>
      <c r="S128" s="11" t="str">
        <f t="shared" si="8"/>
        <v/>
      </c>
      <c r="T128" s="46" t="e">
        <f t="shared" si="9"/>
        <v>#DIV/0!</v>
      </c>
      <c r="U128" s="40" t="str">
        <f>IF(データ!R125="","",データ!R125)</f>
        <v/>
      </c>
      <c r="V128" s="41" t="str">
        <f>IF(データ!S125="","",データ!S125)</f>
        <v/>
      </c>
      <c r="W128" s="42">
        <f>データ!T125</f>
        <v>0</v>
      </c>
      <c r="X128" s="48">
        <f>IF($C128="集計行","",データ!U125)</f>
        <v>0</v>
      </c>
      <c r="Y128" s="48">
        <f>データ!V125</f>
        <v>0</v>
      </c>
      <c r="Z128" s="39" t="str">
        <f>IF(OR($C128="総括",$C128="内訳書",$C128="内訳代価",$C128="明細書",$C128="明細代価",$C128="代価表",$C128="単価表"),データ!W125,"")</f>
        <v/>
      </c>
      <c r="AA128" s="11" t="str">
        <f t="shared" si="10"/>
        <v/>
      </c>
      <c r="AB128" s="46" t="e">
        <f t="shared" si="11"/>
        <v>#DIV/0!</v>
      </c>
      <c r="AC128" s="40" t="str">
        <f>IF(データ!X125="","",データ!X125)</f>
        <v/>
      </c>
      <c r="AD128" s="41" t="str">
        <f>IF(データ!Y125="","",データ!Y125)</f>
        <v/>
      </c>
      <c r="AE128" s="47" t="str">
        <f>TRIM(データ!B125)</f>
        <v>u20718008</v>
      </c>
      <c r="AF128" s="43" t="str">
        <f>TRIM(データ!Z125)</f>
        <v>1日×2台</v>
      </c>
    </row>
    <row r="129" spans="1:32" x14ac:dyDescent="0.15">
      <c r="A129" s="47">
        <f>データ!A126</f>
        <v>1</v>
      </c>
      <c r="B129" s="47" t="str">
        <f>TRIM(データ!C126)</f>
        <v/>
      </c>
      <c r="C129" s="47" t="str">
        <f>TRIM(データ!D126)</f>
        <v>内訳代価</v>
      </c>
      <c r="D129" s="36" t="str">
        <f>REPT("｜",$A129)&amp;TRIM(データ!E126)</f>
        <v>｜仮舗装</v>
      </c>
      <c r="E129" s="37" t="str">
        <f>TRIM(データ!F126)</f>
        <v>切削工</v>
      </c>
      <c r="F129" s="38" t="str">
        <f>TRIM(データ!G126)</f>
        <v>m2</v>
      </c>
      <c r="G129" s="50">
        <f>データ!H126</f>
        <v>35</v>
      </c>
      <c r="H129" s="48">
        <f>データ!I126</f>
        <v>8400</v>
      </c>
      <c r="I129" s="48">
        <f>データ!J126</f>
        <v>294000</v>
      </c>
      <c r="J129" s="39">
        <f>IF(OR($C129="総括",$C129="内訳書",$C129="内訳代価",$C129="明細書",$C129="明細代価",$C129="代価表",$C129="単価表"),データ!K126,"")</f>
        <v>35</v>
      </c>
      <c r="K129" s="11" t="str">
        <f t="shared" si="6"/>
        <v/>
      </c>
      <c r="L129" s="46">
        <f t="shared" si="7"/>
        <v>1.9215686274509803E-2</v>
      </c>
      <c r="M129" s="40" t="str">
        <f>IF(データ!L126="","",データ!L126)</f>
        <v/>
      </c>
      <c r="N129" s="41" t="str">
        <f>IF(データ!M126="","",データ!M126)</f>
        <v>24号内訳書</v>
      </c>
      <c r="O129" s="42">
        <f>データ!N126</f>
        <v>0</v>
      </c>
      <c r="P129" s="48">
        <f>IF($C129="集計行","",データ!O126)</f>
        <v>0</v>
      </c>
      <c r="Q129" s="48">
        <f>データ!P126</f>
        <v>0</v>
      </c>
      <c r="R129" s="39">
        <f>IF(OR($C129="総括",$C129="内訳書",$C129="内訳代価",$C129="明細書",$C129="明細代価",$C129="代価表",$C129="単価表"),データ!Q126,"")</f>
        <v>0</v>
      </c>
      <c r="S129" s="11" t="str">
        <f t="shared" si="8"/>
        <v/>
      </c>
      <c r="T129" s="46" t="e">
        <f t="shared" si="9"/>
        <v>#DIV/0!</v>
      </c>
      <c r="U129" s="40" t="str">
        <f>IF(データ!R126="","",データ!R126)</f>
        <v/>
      </c>
      <c r="V129" s="41" t="str">
        <f>IF(データ!S126="","",データ!S126)</f>
        <v/>
      </c>
      <c r="W129" s="42">
        <f>データ!T126</f>
        <v>0</v>
      </c>
      <c r="X129" s="48">
        <f>IF($C129="集計行","",データ!U126)</f>
        <v>0</v>
      </c>
      <c r="Y129" s="48">
        <f>データ!V126</f>
        <v>0</v>
      </c>
      <c r="Z129" s="39">
        <f>IF(OR($C129="総括",$C129="内訳書",$C129="内訳代価",$C129="明細書",$C129="明細代価",$C129="代価表",$C129="単価表"),データ!W126,"")</f>
        <v>0</v>
      </c>
      <c r="AA129" s="11" t="str">
        <f t="shared" si="10"/>
        <v/>
      </c>
      <c r="AB129" s="46" t="e">
        <f t="shared" si="11"/>
        <v>#DIV/0!</v>
      </c>
      <c r="AC129" s="40" t="str">
        <f>IF(データ!X126="","",データ!X126)</f>
        <v/>
      </c>
      <c r="AD129" s="41" t="str">
        <f>IF(データ!Y126="","",データ!Y126)</f>
        <v/>
      </c>
      <c r="AE129" s="47" t="str">
        <f>TRIM(データ!B126)</f>
        <v/>
      </c>
      <c r="AF129" s="43" t="str">
        <f>TRIM(データ!Z126)</f>
        <v/>
      </c>
    </row>
    <row r="130" spans="1:32" x14ac:dyDescent="0.15">
      <c r="A130" s="47">
        <f>データ!A127</f>
        <v>2</v>
      </c>
      <c r="B130" s="47" t="str">
        <f>TRIM(データ!C127)</f>
        <v/>
      </c>
      <c r="C130" s="47" t="str">
        <f>TRIM(データ!D127)</f>
        <v>材料費</v>
      </c>
      <c r="D130" s="36" t="str">
        <f>REPT("｜",$A130)&amp;TRIM(データ!E127)</f>
        <v>｜｜軽油</v>
      </c>
      <c r="E130" s="37" t="str">
        <f>TRIM(データ!F127)</f>
        <v/>
      </c>
      <c r="F130" s="38" t="str">
        <f>TRIM(データ!G127)</f>
        <v>L</v>
      </c>
      <c r="G130" s="50">
        <f>データ!H127</f>
        <v>100</v>
      </c>
      <c r="H130" s="48">
        <f>データ!I127</f>
        <v>160</v>
      </c>
      <c r="I130" s="48">
        <f>データ!J127</f>
        <v>16000</v>
      </c>
      <c r="J130" s="39" t="str">
        <f>IF(OR($C130="総括",$C130="内訳書",$C130="内訳代価",$C130="明細書",$C130="明細代価",$C130="代価表",$C130="単価表"),データ!K127,"")</f>
        <v/>
      </c>
      <c r="K130" s="11" t="str">
        <f t="shared" si="6"/>
        <v/>
      </c>
      <c r="L130" s="46">
        <f t="shared" si="7"/>
        <v>1.0457516339869282E-3</v>
      </c>
      <c r="M130" s="40" t="str">
        <f>IF(データ!L127="","",データ!L127)</f>
        <v/>
      </c>
      <c r="N130" s="41" t="str">
        <f>IF(データ!M127="","",データ!M127)</f>
        <v/>
      </c>
      <c r="O130" s="42">
        <f>データ!N127</f>
        <v>0</v>
      </c>
      <c r="P130" s="48">
        <f>IF($C130="集計行","",データ!O127)</f>
        <v>0</v>
      </c>
      <c r="Q130" s="48">
        <f>データ!P127</f>
        <v>0</v>
      </c>
      <c r="R130" s="39" t="str">
        <f>IF(OR($C130="総括",$C130="内訳書",$C130="内訳代価",$C130="明細書",$C130="明細代価",$C130="代価表",$C130="単価表"),データ!Q127,"")</f>
        <v/>
      </c>
      <c r="S130" s="11" t="str">
        <f t="shared" si="8"/>
        <v/>
      </c>
      <c r="T130" s="46" t="e">
        <f t="shared" si="9"/>
        <v>#DIV/0!</v>
      </c>
      <c r="U130" s="40" t="str">
        <f>IF(データ!R127="","",データ!R127)</f>
        <v/>
      </c>
      <c r="V130" s="41" t="str">
        <f>IF(データ!S127="","",データ!S127)</f>
        <v/>
      </c>
      <c r="W130" s="42">
        <f>データ!T127</f>
        <v>0</v>
      </c>
      <c r="X130" s="48">
        <f>IF($C130="集計行","",データ!U127)</f>
        <v>0</v>
      </c>
      <c r="Y130" s="48">
        <f>データ!V127</f>
        <v>0</v>
      </c>
      <c r="Z130" s="39" t="str">
        <f>IF(OR($C130="総括",$C130="内訳書",$C130="内訳代価",$C130="明細書",$C130="明細代価",$C130="代価表",$C130="単価表"),データ!W127,"")</f>
        <v/>
      </c>
      <c r="AA130" s="11" t="str">
        <f t="shared" si="10"/>
        <v/>
      </c>
      <c r="AB130" s="46" t="e">
        <f t="shared" si="11"/>
        <v>#DIV/0!</v>
      </c>
      <c r="AC130" s="40" t="str">
        <f>IF(データ!X127="","",データ!X127)</f>
        <v/>
      </c>
      <c r="AD130" s="41" t="str">
        <f>IF(データ!Y127="","",データ!Y127)</f>
        <v/>
      </c>
      <c r="AE130" s="47" t="str">
        <f>TRIM(データ!B127)</f>
        <v>s20718549</v>
      </c>
      <c r="AF130" s="43" t="str">
        <f>TRIM(データ!Z127)</f>
        <v/>
      </c>
    </row>
    <row r="131" spans="1:32" x14ac:dyDescent="0.15">
      <c r="A131" s="47">
        <f>データ!A128</f>
        <v>2</v>
      </c>
      <c r="B131" s="47" t="str">
        <f>TRIM(データ!C128)</f>
        <v/>
      </c>
      <c r="C131" s="47" t="str">
        <f>TRIM(データ!D128)</f>
        <v>労務費</v>
      </c>
      <c r="D131" s="36" t="str">
        <f>REPT("｜",$A131)&amp;TRIM(データ!E128)</f>
        <v>｜｜運転工</v>
      </c>
      <c r="E131" s="37" t="str">
        <f>TRIM(データ!F128)</f>
        <v>8H</v>
      </c>
      <c r="F131" s="38" t="str">
        <f>TRIM(データ!G128)</f>
        <v>人</v>
      </c>
      <c r="G131" s="50">
        <f>データ!H128</f>
        <v>5</v>
      </c>
      <c r="H131" s="48">
        <f>データ!I128</f>
        <v>23000</v>
      </c>
      <c r="I131" s="48">
        <f>データ!J128</f>
        <v>115000</v>
      </c>
      <c r="J131" s="39" t="str">
        <f>IF(OR($C131="総括",$C131="内訳書",$C131="内訳代価",$C131="明細書",$C131="明細代価",$C131="代価表",$C131="単価表"),データ!K128,"")</f>
        <v/>
      </c>
      <c r="K131" s="11" t="str">
        <f t="shared" si="6"/>
        <v/>
      </c>
      <c r="L131" s="46">
        <f t="shared" si="7"/>
        <v>7.5163398692810459E-3</v>
      </c>
      <c r="M131" s="40" t="str">
        <f>IF(データ!L128="","",データ!L128)</f>
        <v/>
      </c>
      <c r="N131" s="41" t="str">
        <f>IF(データ!M128="","",データ!M128)</f>
        <v/>
      </c>
      <c r="O131" s="42">
        <f>データ!N128</f>
        <v>0</v>
      </c>
      <c r="P131" s="48">
        <f>IF($C131="集計行","",データ!O128)</f>
        <v>0</v>
      </c>
      <c r="Q131" s="48">
        <f>データ!P128</f>
        <v>0</v>
      </c>
      <c r="R131" s="39" t="str">
        <f>IF(OR($C131="総括",$C131="内訳書",$C131="内訳代価",$C131="明細書",$C131="明細代価",$C131="代価表",$C131="単価表"),データ!Q128,"")</f>
        <v/>
      </c>
      <c r="S131" s="11" t="str">
        <f t="shared" si="8"/>
        <v/>
      </c>
      <c r="T131" s="46" t="e">
        <f t="shared" si="9"/>
        <v>#DIV/0!</v>
      </c>
      <c r="U131" s="40" t="str">
        <f>IF(データ!R128="","",データ!R128)</f>
        <v/>
      </c>
      <c r="V131" s="41" t="str">
        <f>IF(データ!S128="","",データ!S128)</f>
        <v/>
      </c>
      <c r="W131" s="42">
        <f>データ!T128</f>
        <v>0</v>
      </c>
      <c r="X131" s="48">
        <f>IF($C131="集計行","",データ!U128)</f>
        <v>0</v>
      </c>
      <c r="Y131" s="48">
        <f>データ!V128</f>
        <v>0</v>
      </c>
      <c r="Z131" s="39" t="str">
        <f>IF(OR($C131="総括",$C131="内訳書",$C131="内訳代価",$C131="明細書",$C131="明細代価",$C131="代価表",$C131="単価表"),データ!W128,"")</f>
        <v/>
      </c>
      <c r="AA131" s="11" t="str">
        <f t="shared" si="10"/>
        <v/>
      </c>
      <c r="AB131" s="46" t="e">
        <f t="shared" si="11"/>
        <v>#DIV/0!</v>
      </c>
      <c r="AC131" s="40" t="str">
        <f>IF(データ!X128="","",データ!X128)</f>
        <v/>
      </c>
      <c r="AD131" s="41" t="str">
        <f>IF(データ!Y128="","",データ!Y128)</f>
        <v/>
      </c>
      <c r="AE131" s="47" t="str">
        <f>TRIM(データ!B128)</f>
        <v>r20718007</v>
      </c>
      <c r="AF131" s="43" t="str">
        <f>TRIM(データ!Z128)</f>
        <v>1日×5人</v>
      </c>
    </row>
    <row r="132" spans="1:32" x14ac:dyDescent="0.15">
      <c r="A132" s="47">
        <f>データ!A129</f>
        <v>2</v>
      </c>
      <c r="B132" s="47" t="str">
        <f>TRIM(データ!C129)</f>
        <v/>
      </c>
      <c r="C132" s="47" t="str">
        <f>TRIM(データ!D129)</f>
        <v>機械費</v>
      </c>
      <c r="D132" s="36" t="str">
        <f>REPT("｜",$A132)&amp;TRIM(データ!E129)</f>
        <v>｜｜切削機CRP1000</v>
      </c>
      <c r="E132" s="37" t="str">
        <f>TRIM(データ!F129)</f>
        <v/>
      </c>
      <c r="F132" s="38" t="str">
        <f>TRIM(データ!G129)</f>
        <v>台</v>
      </c>
      <c r="G132" s="50">
        <f>データ!H129</f>
        <v>1</v>
      </c>
      <c r="H132" s="48">
        <f>データ!I129</f>
        <v>140000</v>
      </c>
      <c r="I132" s="48">
        <f>データ!J129</f>
        <v>140000</v>
      </c>
      <c r="J132" s="39" t="str">
        <f>IF(OR($C132="総括",$C132="内訳書",$C132="内訳代価",$C132="明細書",$C132="明細代価",$C132="代価表",$C132="単価表"),データ!K129,"")</f>
        <v/>
      </c>
      <c r="K132" s="11" t="str">
        <f t="shared" si="6"/>
        <v/>
      </c>
      <c r="L132" s="46">
        <f t="shared" si="7"/>
        <v>9.1503267973856214E-3</v>
      </c>
      <c r="M132" s="40" t="str">
        <f>IF(データ!L129="","",データ!L129)</f>
        <v/>
      </c>
      <c r="N132" s="41" t="str">
        <f>IF(データ!M129="","",データ!M129)</f>
        <v/>
      </c>
      <c r="O132" s="42">
        <f>データ!N129</f>
        <v>0</v>
      </c>
      <c r="P132" s="48">
        <f>IF($C132="集計行","",データ!O129)</f>
        <v>0</v>
      </c>
      <c r="Q132" s="48">
        <f>データ!P129</f>
        <v>0</v>
      </c>
      <c r="R132" s="39" t="str">
        <f>IF(OR($C132="総括",$C132="内訳書",$C132="内訳代価",$C132="明細書",$C132="明細代価",$C132="代価表",$C132="単価表"),データ!Q129,"")</f>
        <v/>
      </c>
      <c r="S132" s="11" t="str">
        <f t="shared" si="8"/>
        <v/>
      </c>
      <c r="T132" s="46" t="e">
        <f t="shared" si="9"/>
        <v>#DIV/0!</v>
      </c>
      <c r="U132" s="40" t="str">
        <f>IF(データ!R129="","",データ!R129)</f>
        <v/>
      </c>
      <c r="V132" s="41" t="str">
        <f>IF(データ!S129="","",データ!S129)</f>
        <v/>
      </c>
      <c r="W132" s="42">
        <f>データ!T129</f>
        <v>0</v>
      </c>
      <c r="X132" s="48">
        <f>IF($C132="集計行","",データ!U129)</f>
        <v>0</v>
      </c>
      <c r="Y132" s="48">
        <f>データ!V129</f>
        <v>0</v>
      </c>
      <c r="Z132" s="39" t="str">
        <f>IF(OR($C132="総括",$C132="内訳書",$C132="内訳代価",$C132="明細書",$C132="明細代価",$C132="代価表",$C132="単価表"),データ!W129,"")</f>
        <v/>
      </c>
      <c r="AA132" s="11" t="str">
        <f t="shared" si="10"/>
        <v/>
      </c>
      <c r="AB132" s="46" t="e">
        <f t="shared" si="11"/>
        <v>#DIV/0!</v>
      </c>
      <c r="AC132" s="40" t="str">
        <f>IF(データ!X129="","",データ!X129)</f>
        <v/>
      </c>
      <c r="AD132" s="41" t="str">
        <f>IF(データ!Y129="","",データ!Y129)</f>
        <v/>
      </c>
      <c r="AE132" s="47" t="str">
        <f>TRIM(データ!B129)</f>
        <v>k20718118</v>
      </c>
      <c r="AF132" s="43" t="str">
        <f>TRIM(データ!Z129)</f>
        <v>1日×1台</v>
      </c>
    </row>
    <row r="133" spans="1:32" x14ac:dyDescent="0.15">
      <c r="A133" s="47">
        <f>データ!A130</f>
        <v>2</v>
      </c>
      <c r="B133" s="47" t="str">
        <f>TRIM(データ!C130)</f>
        <v/>
      </c>
      <c r="C133" s="47" t="str">
        <f>TRIM(データ!D130)</f>
        <v>機械費</v>
      </c>
      <c r="D133" s="36" t="str">
        <f>REPT("｜",$A133)&amp;TRIM(データ!E130)</f>
        <v>｜｜BH0.1クレーン</v>
      </c>
      <c r="E133" s="37" t="str">
        <f>TRIM(データ!F130)</f>
        <v>低騒音・超小</v>
      </c>
      <c r="F133" s="38" t="str">
        <f>TRIM(データ!G130)</f>
        <v>日台</v>
      </c>
      <c r="G133" s="50">
        <f>データ!H130</f>
        <v>1</v>
      </c>
      <c r="H133" s="48">
        <f>データ!I130</f>
        <v>6000</v>
      </c>
      <c r="I133" s="48">
        <f>データ!J130</f>
        <v>6000</v>
      </c>
      <c r="J133" s="39" t="str">
        <f>IF(OR($C133="総括",$C133="内訳書",$C133="内訳代価",$C133="明細書",$C133="明細代価",$C133="代価表",$C133="単価表"),データ!K130,"")</f>
        <v/>
      </c>
      <c r="K133" s="11" t="str">
        <f t="shared" ref="K133:K155" si="12">IF(OR(J133="",G133=J133),"","*")</f>
        <v/>
      </c>
      <c r="L133" s="46">
        <f t="shared" ref="L133:L155" si="13">IF($A133&lt;=L$1,I133/I$4,"")</f>
        <v>3.9215686274509802E-4</v>
      </c>
      <c r="M133" s="40" t="str">
        <f>IF(データ!L130="","",データ!L130)</f>
        <v/>
      </c>
      <c r="N133" s="41" t="str">
        <f>IF(データ!M130="","",データ!M130)</f>
        <v/>
      </c>
      <c r="O133" s="42">
        <f>データ!N130</f>
        <v>0</v>
      </c>
      <c r="P133" s="48">
        <f>IF($C133="集計行","",データ!O130)</f>
        <v>0</v>
      </c>
      <c r="Q133" s="48">
        <f>データ!P130</f>
        <v>0</v>
      </c>
      <c r="R133" s="39" t="str">
        <f>IF(OR($C133="総括",$C133="内訳書",$C133="内訳代価",$C133="明細書",$C133="明細代価",$C133="代価表",$C133="単価表"),データ!Q130,"")</f>
        <v/>
      </c>
      <c r="S133" s="11" t="str">
        <f t="shared" ref="S133:S155" si="14">IF(OR(R133="",O133=R133),"","*")</f>
        <v/>
      </c>
      <c r="T133" s="46" t="e">
        <f t="shared" ref="T133:T155" si="15">IF($A133&lt;=T$1,Q133/Q$4,"")</f>
        <v>#DIV/0!</v>
      </c>
      <c r="U133" s="40" t="str">
        <f>IF(データ!R130="","",データ!R130)</f>
        <v/>
      </c>
      <c r="V133" s="41" t="str">
        <f>IF(データ!S130="","",データ!S130)</f>
        <v/>
      </c>
      <c r="W133" s="42">
        <f>データ!T130</f>
        <v>0</v>
      </c>
      <c r="X133" s="48">
        <f>IF($C133="集計行","",データ!U130)</f>
        <v>0</v>
      </c>
      <c r="Y133" s="48">
        <f>データ!V130</f>
        <v>0</v>
      </c>
      <c r="Z133" s="39" t="str">
        <f>IF(OR($C133="総括",$C133="内訳書",$C133="内訳代価",$C133="明細書",$C133="明細代価",$C133="代価表",$C133="単価表"),データ!W130,"")</f>
        <v/>
      </c>
      <c r="AA133" s="11" t="str">
        <f t="shared" ref="AA133:AA155" si="16">IF(OR(Z133="",W133=Z133),"","*")</f>
        <v/>
      </c>
      <c r="AB133" s="46" t="e">
        <f t="shared" ref="AB133:AB155" si="17">IF($A133&lt;=AB$1,Y133/Y$4,"")</f>
        <v>#DIV/0!</v>
      </c>
      <c r="AC133" s="40" t="str">
        <f>IF(データ!X130="","",データ!X130)</f>
        <v/>
      </c>
      <c r="AD133" s="41" t="str">
        <f>IF(データ!Y130="","",データ!Y130)</f>
        <v/>
      </c>
      <c r="AE133" s="47" t="str">
        <f>TRIM(データ!B130)</f>
        <v>k20718012</v>
      </c>
      <c r="AF133" s="43" t="str">
        <f>TRIM(データ!Z130)</f>
        <v>1日×1台</v>
      </c>
    </row>
    <row r="134" spans="1:32" x14ac:dyDescent="0.15">
      <c r="A134" s="47">
        <f>データ!A131</f>
        <v>2</v>
      </c>
      <c r="B134" s="47" t="str">
        <f>TRIM(データ!C131)</f>
        <v/>
      </c>
      <c r="C134" s="47" t="str">
        <f>TRIM(データ!D131)</f>
        <v>機械費</v>
      </c>
      <c r="D134" s="36" t="str">
        <f>REPT("｜",$A134)&amp;TRIM(データ!E131)</f>
        <v>｜｜タイヤショベル0.5</v>
      </c>
      <c r="E134" s="37" t="str">
        <f>TRIM(データ!F131)</f>
        <v>低騒音</v>
      </c>
      <c r="F134" s="38" t="str">
        <f>TRIM(データ!G131)</f>
        <v>日台</v>
      </c>
      <c r="G134" s="50">
        <f>データ!H131</f>
        <v>1</v>
      </c>
      <c r="H134" s="48">
        <f>データ!I131</f>
        <v>6000</v>
      </c>
      <c r="I134" s="48">
        <f>データ!J131</f>
        <v>6000</v>
      </c>
      <c r="J134" s="39" t="str">
        <f>IF(OR($C134="総括",$C134="内訳書",$C134="内訳代価",$C134="明細書",$C134="明細代価",$C134="代価表",$C134="単価表"),データ!K131,"")</f>
        <v/>
      </c>
      <c r="K134" s="11" t="str">
        <f t="shared" si="12"/>
        <v/>
      </c>
      <c r="L134" s="46">
        <f t="shared" si="13"/>
        <v>3.9215686274509802E-4</v>
      </c>
      <c r="M134" s="40" t="str">
        <f>IF(データ!L131="","",データ!L131)</f>
        <v/>
      </c>
      <c r="N134" s="41" t="str">
        <f>IF(データ!M131="","",データ!M131)</f>
        <v/>
      </c>
      <c r="O134" s="42">
        <f>データ!N131</f>
        <v>0</v>
      </c>
      <c r="P134" s="48">
        <f>IF($C134="集計行","",データ!O131)</f>
        <v>0</v>
      </c>
      <c r="Q134" s="48">
        <f>データ!P131</f>
        <v>0</v>
      </c>
      <c r="R134" s="39" t="str">
        <f>IF(OR($C134="総括",$C134="内訳書",$C134="内訳代価",$C134="明細書",$C134="明細代価",$C134="代価表",$C134="単価表"),データ!Q131,"")</f>
        <v/>
      </c>
      <c r="S134" s="11" t="str">
        <f t="shared" si="14"/>
        <v/>
      </c>
      <c r="T134" s="46" t="e">
        <f t="shared" si="15"/>
        <v>#DIV/0!</v>
      </c>
      <c r="U134" s="40" t="str">
        <f>IF(データ!R131="","",データ!R131)</f>
        <v/>
      </c>
      <c r="V134" s="41" t="str">
        <f>IF(データ!S131="","",データ!S131)</f>
        <v/>
      </c>
      <c r="W134" s="42">
        <f>データ!T131</f>
        <v>0</v>
      </c>
      <c r="X134" s="48">
        <f>IF($C134="集計行","",データ!U131)</f>
        <v>0</v>
      </c>
      <c r="Y134" s="48">
        <f>データ!V131</f>
        <v>0</v>
      </c>
      <c r="Z134" s="39" t="str">
        <f>IF(OR($C134="総括",$C134="内訳書",$C134="内訳代価",$C134="明細書",$C134="明細代価",$C134="代価表",$C134="単価表"),データ!W131,"")</f>
        <v/>
      </c>
      <c r="AA134" s="11" t="str">
        <f t="shared" si="16"/>
        <v/>
      </c>
      <c r="AB134" s="46" t="e">
        <f t="shared" si="17"/>
        <v>#DIV/0!</v>
      </c>
      <c r="AC134" s="40" t="str">
        <f>IF(データ!X131="","",データ!X131)</f>
        <v/>
      </c>
      <c r="AD134" s="41" t="str">
        <f>IF(データ!Y131="","",データ!Y131)</f>
        <v/>
      </c>
      <c r="AE134" s="47" t="str">
        <f>TRIM(データ!B131)</f>
        <v>k20718024</v>
      </c>
      <c r="AF134" s="43" t="str">
        <f>TRIM(データ!Z131)</f>
        <v>1日×1台</v>
      </c>
    </row>
    <row r="135" spans="1:32" x14ac:dyDescent="0.15">
      <c r="A135" s="47">
        <f>データ!A132</f>
        <v>2</v>
      </c>
      <c r="B135" s="47" t="str">
        <f>TRIM(データ!C132)</f>
        <v/>
      </c>
      <c r="C135" s="47" t="str">
        <f>TRIM(データ!D132)</f>
        <v>運搬費</v>
      </c>
      <c r="D135" s="36" t="str">
        <f>REPT("｜",$A135)&amp;TRIM(データ!E132)</f>
        <v>｜｜2tダンプ</v>
      </c>
      <c r="E135" s="37" t="str">
        <f>TRIM(データ!F132)</f>
        <v/>
      </c>
      <c r="F135" s="38" t="str">
        <f>TRIM(データ!G132)</f>
        <v>台</v>
      </c>
      <c r="G135" s="50">
        <f>データ!H132</f>
        <v>1</v>
      </c>
      <c r="H135" s="48">
        <f>データ!I132</f>
        <v>6000</v>
      </c>
      <c r="I135" s="48">
        <f>データ!J132</f>
        <v>6000</v>
      </c>
      <c r="J135" s="39" t="str">
        <f>IF(OR($C135="総括",$C135="内訳書",$C135="内訳代価",$C135="明細書",$C135="明細代価",$C135="代価表",$C135="単価表"),データ!K132,"")</f>
        <v/>
      </c>
      <c r="K135" s="11" t="str">
        <f t="shared" si="12"/>
        <v/>
      </c>
      <c r="L135" s="46">
        <f t="shared" si="13"/>
        <v>3.9215686274509802E-4</v>
      </c>
      <c r="M135" s="40" t="str">
        <f>IF(データ!L132="","",データ!L132)</f>
        <v/>
      </c>
      <c r="N135" s="41" t="str">
        <f>IF(データ!M132="","",データ!M132)</f>
        <v/>
      </c>
      <c r="O135" s="42">
        <f>データ!N132</f>
        <v>0</v>
      </c>
      <c r="P135" s="48">
        <f>IF($C135="集計行","",データ!O132)</f>
        <v>0</v>
      </c>
      <c r="Q135" s="48">
        <f>データ!P132</f>
        <v>0</v>
      </c>
      <c r="R135" s="39" t="str">
        <f>IF(OR($C135="総括",$C135="内訳書",$C135="内訳代価",$C135="明細書",$C135="明細代価",$C135="代価表",$C135="単価表"),データ!Q132,"")</f>
        <v/>
      </c>
      <c r="S135" s="11" t="str">
        <f t="shared" si="14"/>
        <v/>
      </c>
      <c r="T135" s="46" t="e">
        <f t="shared" si="15"/>
        <v>#DIV/0!</v>
      </c>
      <c r="U135" s="40" t="str">
        <f>IF(データ!R132="","",データ!R132)</f>
        <v/>
      </c>
      <c r="V135" s="41" t="str">
        <f>IF(データ!S132="","",データ!S132)</f>
        <v/>
      </c>
      <c r="W135" s="42">
        <f>データ!T132</f>
        <v>0</v>
      </c>
      <c r="X135" s="48">
        <f>IF($C135="集計行","",データ!U132)</f>
        <v>0</v>
      </c>
      <c r="Y135" s="48">
        <f>データ!V132</f>
        <v>0</v>
      </c>
      <c r="Z135" s="39" t="str">
        <f>IF(OR($C135="総括",$C135="内訳書",$C135="内訳代価",$C135="明細書",$C135="明細代価",$C135="代価表",$C135="単価表"),データ!W132,"")</f>
        <v/>
      </c>
      <c r="AA135" s="11" t="str">
        <f t="shared" si="16"/>
        <v/>
      </c>
      <c r="AB135" s="46" t="e">
        <f t="shared" si="17"/>
        <v>#DIV/0!</v>
      </c>
      <c r="AC135" s="40" t="str">
        <f>IF(データ!X132="","",データ!X132)</f>
        <v/>
      </c>
      <c r="AD135" s="41" t="str">
        <f>IF(データ!Y132="","",データ!Y132)</f>
        <v/>
      </c>
      <c r="AE135" s="47" t="str">
        <f>TRIM(データ!B132)</f>
        <v>u20718025</v>
      </c>
      <c r="AF135" s="43" t="str">
        <f>TRIM(データ!Z132)</f>
        <v>1日×1台</v>
      </c>
    </row>
    <row r="136" spans="1:32" x14ac:dyDescent="0.15">
      <c r="A136" s="47">
        <f>データ!A133</f>
        <v>2</v>
      </c>
      <c r="B136" s="47" t="str">
        <f>TRIM(データ!C133)</f>
        <v/>
      </c>
      <c r="C136" s="47" t="str">
        <f>TRIM(データ!D133)</f>
        <v>運搬費</v>
      </c>
      <c r="D136" s="36" t="str">
        <f>REPT("｜",$A136)&amp;TRIM(データ!E133)</f>
        <v>｜｜WP</v>
      </c>
      <c r="E136" s="37" t="str">
        <f>TRIM(データ!F133)</f>
        <v/>
      </c>
      <c r="F136" s="38" t="str">
        <f>TRIM(データ!G133)</f>
        <v>台</v>
      </c>
      <c r="G136" s="50">
        <f>データ!H133</f>
        <v>1</v>
      </c>
      <c r="H136" s="48">
        <f>データ!I133</f>
        <v>5000</v>
      </c>
      <c r="I136" s="48">
        <f>データ!J133</f>
        <v>5000</v>
      </c>
      <c r="J136" s="39" t="str">
        <f>IF(OR($C136="総括",$C136="内訳書",$C136="内訳代価",$C136="明細書",$C136="明細代価",$C136="代価表",$C136="単価表"),データ!K133,"")</f>
        <v/>
      </c>
      <c r="K136" s="11" t="str">
        <f t="shared" si="12"/>
        <v/>
      </c>
      <c r="L136" s="46">
        <f t="shared" si="13"/>
        <v>3.2679738562091501E-4</v>
      </c>
      <c r="M136" s="40" t="str">
        <f>IF(データ!L133="","",データ!L133)</f>
        <v/>
      </c>
      <c r="N136" s="41" t="str">
        <f>IF(データ!M133="","",データ!M133)</f>
        <v/>
      </c>
      <c r="O136" s="42">
        <f>データ!N133</f>
        <v>0</v>
      </c>
      <c r="P136" s="48">
        <f>IF($C136="集計行","",データ!O133)</f>
        <v>0</v>
      </c>
      <c r="Q136" s="48">
        <f>データ!P133</f>
        <v>0</v>
      </c>
      <c r="R136" s="39" t="str">
        <f>IF(OR($C136="総括",$C136="内訳書",$C136="内訳代価",$C136="明細書",$C136="明細代価",$C136="代価表",$C136="単価表"),データ!Q133,"")</f>
        <v/>
      </c>
      <c r="S136" s="11" t="str">
        <f t="shared" si="14"/>
        <v/>
      </c>
      <c r="T136" s="46" t="e">
        <f t="shared" si="15"/>
        <v>#DIV/0!</v>
      </c>
      <c r="U136" s="40" t="str">
        <f>IF(データ!R133="","",データ!R133)</f>
        <v/>
      </c>
      <c r="V136" s="41" t="str">
        <f>IF(データ!S133="","",データ!S133)</f>
        <v/>
      </c>
      <c r="W136" s="42">
        <f>データ!T133</f>
        <v>0</v>
      </c>
      <c r="X136" s="48">
        <f>IF($C136="集計行","",データ!U133)</f>
        <v>0</v>
      </c>
      <c r="Y136" s="48">
        <f>データ!V133</f>
        <v>0</v>
      </c>
      <c r="Z136" s="39" t="str">
        <f>IF(OR($C136="総括",$C136="内訳書",$C136="内訳代価",$C136="明細書",$C136="明細代価",$C136="代価表",$C136="単価表"),データ!W133,"")</f>
        <v/>
      </c>
      <c r="AA136" s="11" t="str">
        <f t="shared" si="16"/>
        <v/>
      </c>
      <c r="AB136" s="46" t="e">
        <f t="shared" si="17"/>
        <v>#DIV/0!</v>
      </c>
      <c r="AC136" s="40" t="str">
        <f>IF(データ!X133="","",データ!X133)</f>
        <v/>
      </c>
      <c r="AD136" s="41" t="str">
        <f>IF(データ!Y133="","",データ!Y133)</f>
        <v/>
      </c>
      <c r="AE136" s="47" t="str">
        <f>TRIM(データ!B133)</f>
        <v>u20718008</v>
      </c>
      <c r="AF136" s="43" t="str">
        <f>TRIM(データ!Z133)</f>
        <v>1日×1台</v>
      </c>
    </row>
    <row r="137" spans="1:32" x14ac:dyDescent="0.15">
      <c r="A137" s="47">
        <f>データ!A134</f>
        <v>1</v>
      </c>
      <c r="B137" s="47" t="str">
        <f>TRIM(データ!C134)</f>
        <v/>
      </c>
      <c r="C137" s="47" t="str">
        <f>TRIM(データ!D134)</f>
        <v>内訳代価</v>
      </c>
      <c r="D137" s="36" t="str">
        <f>REPT("｜",$A137)&amp;TRIM(データ!E134)</f>
        <v>｜機械運搬費</v>
      </c>
      <c r="E137" s="37" t="str">
        <f>TRIM(データ!F134)</f>
        <v/>
      </c>
      <c r="F137" s="38" t="str">
        <f>TRIM(データ!G134)</f>
        <v>式</v>
      </c>
      <c r="G137" s="50">
        <f>データ!H134</f>
        <v>1</v>
      </c>
      <c r="H137" s="48">
        <f>データ!I134</f>
        <v>430000</v>
      </c>
      <c r="I137" s="48">
        <f>データ!J134</f>
        <v>430000</v>
      </c>
      <c r="J137" s="39">
        <f>IF(OR($C137="総括",$C137="内訳書",$C137="内訳代価",$C137="明細書",$C137="明細代価",$C137="代価表",$C137="単価表"),データ!K134,"")</f>
        <v>1</v>
      </c>
      <c r="K137" s="11" t="str">
        <f t="shared" si="12"/>
        <v/>
      </c>
      <c r="L137" s="46">
        <f t="shared" si="13"/>
        <v>2.8104575163398694E-2</v>
      </c>
      <c r="M137" s="40" t="str">
        <f>IF(データ!L134="","",データ!L134)</f>
        <v/>
      </c>
      <c r="N137" s="41" t="str">
        <f>IF(データ!M134="","",データ!M134)</f>
        <v>25号内訳書</v>
      </c>
      <c r="O137" s="42">
        <f>データ!N134</f>
        <v>0</v>
      </c>
      <c r="P137" s="48">
        <f>IF($C137="集計行","",データ!O134)</f>
        <v>0</v>
      </c>
      <c r="Q137" s="48">
        <f>データ!P134</f>
        <v>0</v>
      </c>
      <c r="R137" s="39">
        <f>IF(OR($C137="総括",$C137="内訳書",$C137="内訳代価",$C137="明細書",$C137="明細代価",$C137="代価表",$C137="単価表"),データ!Q134,"")</f>
        <v>0</v>
      </c>
      <c r="S137" s="11" t="str">
        <f t="shared" si="14"/>
        <v/>
      </c>
      <c r="T137" s="46" t="e">
        <f t="shared" si="15"/>
        <v>#DIV/0!</v>
      </c>
      <c r="U137" s="40" t="str">
        <f>IF(データ!R134="","",データ!R134)</f>
        <v/>
      </c>
      <c r="V137" s="41" t="str">
        <f>IF(データ!S134="","",データ!S134)</f>
        <v/>
      </c>
      <c r="W137" s="42">
        <f>データ!T134</f>
        <v>0</v>
      </c>
      <c r="X137" s="48">
        <f>IF($C137="集計行","",データ!U134)</f>
        <v>0</v>
      </c>
      <c r="Y137" s="48">
        <f>データ!V134</f>
        <v>0</v>
      </c>
      <c r="Z137" s="39">
        <f>IF(OR($C137="総括",$C137="内訳書",$C137="内訳代価",$C137="明細書",$C137="明細代価",$C137="代価表",$C137="単価表"),データ!W134,"")</f>
        <v>0</v>
      </c>
      <c r="AA137" s="11" t="str">
        <f t="shared" si="16"/>
        <v/>
      </c>
      <c r="AB137" s="46" t="e">
        <f t="shared" si="17"/>
        <v>#DIV/0!</v>
      </c>
      <c r="AC137" s="40" t="str">
        <f>IF(データ!X134="","",データ!X134)</f>
        <v/>
      </c>
      <c r="AD137" s="41" t="str">
        <f>IF(データ!Y134="","",データ!Y134)</f>
        <v/>
      </c>
      <c r="AE137" s="47" t="str">
        <f>TRIM(データ!B134)</f>
        <v/>
      </c>
      <c r="AF137" s="43" t="str">
        <f>TRIM(データ!Z134)</f>
        <v/>
      </c>
    </row>
    <row r="138" spans="1:32" x14ac:dyDescent="0.15">
      <c r="A138" s="47">
        <f>データ!A135</f>
        <v>2</v>
      </c>
      <c r="B138" s="47" t="str">
        <f>TRIM(データ!C135)</f>
        <v/>
      </c>
      <c r="C138" s="47" t="str">
        <f>TRIM(データ!D135)</f>
        <v>運搬費</v>
      </c>
      <c r="D138" s="36" t="str">
        <f>REPT("｜",$A138)&amp;TRIM(データ!E135)</f>
        <v>｜｜ミニ切削機回送</v>
      </c>
      <c r="E138" s="37" t="str">
        <f>TRIM(データ!F135)</f>
        <v>1000</v>
      </c>
      <c r="F138" s="38" t="str">
        <f>TRIM(データ!G135)</f>
        <v>回</v>
      </c>
      <c r="G138" s="50">
        <f>データ!H135</f>
        <v>2</v>
      </c>
      <c r="H138" s="48">
        <f>データ!I135</f>
        <v>30000</v>
      </c>
      <c r="I138" s="48">
        <f>データ!J135</f>
        <v>60000</v>
      </c>
      <c r="J138" s="39" t="str">
        <f>IF(OR($C138="総括",$C138="内訳書",$C138="内訳代価",$C138="明細書",$C138="明細代価",$C138="代価表",$C138="単価表"),データ!K135,"")</f>
        <v/>
      </c>
      <c r="K138" s="11" t="str">
        <f t="shared" si="12"/>
        <v/>
      </c>
      <c r="L138" s="46">
        <f t="shared" si="13"/>
        <v>3.9215686274509803E-3</v>
      </c>
      <c r="M138" s="40" t="str">
        <f>IF(データ!L135="","",データ!L135)</f>
        <v/>
      </c>
      <c r="N138" s="41" t="str">
        <f>IF(データ!M135="","",データ!M135)</f>
        <v/>
      </c>
      <c r="O138" s="42">
        <f>データ!N135</f>
        <v>0</v>
      </c>
      <c r="P138" s="48">
        <f>IF($C138="集計行","",データ!O135)</f>
        <v>0</v>
      </c>
      <c r="Q138" s="48">
        <f>データ!P135</f>
        <v>0</v>
      </c>
      <c r="R138" s="39" t="str">
        <f>IF(OR($C138="総括",$C138="内訳書",$C138="内訳代価",$C138="明細書",$C138="明細代価",$C138="代価表",$C138="単価表"),データ!Q135,"")</f>
        <v/>
      </c>
      <c r="S138" s="11" t="str">
        <f t="shared" si="14"/>
        <v/>
      </c>
      <c r="T138" s="46" t="e">
        <f t="shared" si="15"/>
        <v>#DIV/0!</v>
      </c>
      <c r="U138" s="40" t="str">
        <f>IF(データ!R135="","",データ!R135)</f>
        <v/>
      </c>
      <c r="V138" s="41" t="str">
        <f>IF(データ!S135="","",データ!S135)</f>
        <v/>
      </c>
      <c r="W138" s="42">
        <f>データ!T135</f>
        <v>0</v>
      </c>
      <c r="X138" s="48">
        <f>IF($C138="集計行","",データ!U135)</f>
        <v>0</v>
      </c>
      <c r="Y138" s="48">
        <f>データ!V135</f>
        <v>0</v>
      </c>
      <c r="Z138" s="39" t="str">
        <f>IF(OR($C138="総括",$C138="内訳書",$C138="内訳代価",$C138="明細書",$C138="明細代価",$C138="代価表",$C138="単価表"),データ!W135,"")</f>
        <v/>
      </c>
      <c r="AA138" s="11" t="str">
        <f t="shared" si="16"/>
        <v/>
      </c>
      <c r="AB138" s="46" t="e">
        <f t="shared" si="17"/>
        <v>#DIV/0!</v>
      </c>
      <c r="AC138" s="40" t="str">
        <f>IF(データ!X135="","",データ!X135)</f>
        <v/>
      </c>
      <c r="AD138" s="41" t="str">
        <f>IF(データ!Y135="","",データ!Y135)</f>
        <v/>
      </c>
      <c r="AE138" s="47" t="str">
        <f>TRIM(データ!B135)</f>
        <v>u20718022</v>
      </c>
      <c r="AF138" s="43" t="str">
        <f>TRIM(データ!Z135)</f>
        <v/>
      </c>
    </row>
    <row r="139" spans="1:32" x14ac:dyDescent="0.15">
      <c r="A139" s="47">
        <f>データ!A136</f>
        <v>2</v>
      </c>
      <c r="B139" s="47" t="str">
        <f>TRIM(データ!C136)</f>
        <v/>
      </c>
      <c r="C139" s="47" t="str">
        <f>TRIM(データ!D136)</f>
        <v>運搬費</v>
      </c>
      <c r="D139" s="36" t="str">
        <f>REPT("｜",$A139)&amp;TRIM(データ!E136)</f>
        <v>｜｜AF回送　大型セルフ(60)</v>
      </c>
      <c r="E139" s="37" t="str">
        <f>TRIM(データ!F136)</f>
        <v/>
      </c>
      <c r="F139" s="38" t="str">
        <f>TRIM(データ!G136)</f>
        <v>回</v>
      </c>
      <c r="G139" s="50">
        <f>データ!H136</f>
        <v>2</v>
      </c>
      <c r="H139" s="48">
        <f>データ!I136</f>
        <v>30000</v>
      </c>
      <c r="I139" s="48">
        <f>データ!J136</f>
        <v>60000</v>
      </c>
      <c r="J139" s="39" t="str">
        <f>IF(OR($C139="総括",$C139="内訳書",$C139="内訳代価",$C139="明細書",$C139="明細代価",$C139="代価表",$C139="単価表"),データ!K136,"")</f>
        <v/>
      </c>
      <c r="K139" s="11" t="str">
        <f t="shared" si="12"/>
        <v/>
      </c>
      <c r="L139" s="46">
        <f t="shared" si="13"/>
        <v>3.9215686274509803E-3</v>
      </c>
      <c r="M139" s="40" t="str">
        <f>IF(データ!L136="","",データ!L136)</f>
        <v/>
      </c>
      <c r="N139" s="41" t="str">
        <f>IF(データ!M136="","",データ!M136)</f>
        <v/>
      </c>
      <c r="O139" s="42">
        <f>データ!N136</f>
        <v>0</v>
      </c>
      <c r="P139" s="48">
        <f>IF($C139="集計行","",データ!O136)</f>
        <v>0</v>
      </c>
      <c r="Q139" s="48">
        <f>データ!P136</f>
        <v>0</v>
      </c>
      <c r="R139" s="39" t="str">
        <f>IF(OR($C139="総括",$C139="内訳書",$C139="内訳代価",$C139="明細書",$C139="明細代価",$C139="代価表",$C139="単価表"),データ!Q136,"")</f>
        <v/>
      </c>
      <c r="S139" s="11" t="str">
        <f t="shared" si="14"/>
        <v/>
      </c>
      <c r="T139" s="46" t="e">
        <f t="shared" si="15"/>
        <v>#DIV/0!</v>
      </c>
      <c r="U139" s="40" t="str">
        <f>IF(データ!R136="","",データ!R136)</f>
        <v/>
      </c>
      <c r="V139" s="41" t="str">
        <f>IF(データ!S136="","",データ!S136)</f>
        <v/>
      </c>
      <c r="W139" s="42">
        <f>データ!T136</f>
        <v>0</v>
      </c>
      <c r="X139" s="48">
        <f>IF($C139="集計行","",データ!U136)</f>
        <v>0</v>
      </c>
      <c r="Y139" s="48">
        <f>データ!V136</f>
        <v>0</v>
      </c>
      <c r="Z139" s="39" t="str">
        <f>IF(OR($C139="総括",$C139="内訳書",$C139="内訳代価",$C139="明細書",$C139="明細代価",$C139="代価表",$C139="単価表"),データ!W136,"")</f>
        <v/>
      </c>
      <c r="AA139" s="11" t="str">
        <f t="shared" si="16"/>
        <v/>
      </c>
      <c r="AB139" s="46" t="e">
        <f t="shared" si="17"/>
        <v>#DIV/0!</v>
      </c>
      <c r="AC139" s="40" t="str">
        <f>IF(データ!X136="","",データ!X136)</f>
        <v/>
      </c>
      <c r="AD139" s="41" t="str">
        <f>IF(データ!Y136="","",データ!Y136)</f>
        <v/>
      </c>
      <c r="AE139" s="47" t="str">
        <f>TRIM(データ!B136)</f>
        <v>u20718017</v>
      </c>
      <c r="AF139" s="43" t="str">
        <f>TRIM(データ!Z136)</f>
        <v>AF60</v>
      </c>
    </row>
    <row r="140" spans="1:32" x14ac:dyDescent="0.15">
      <c r="A140" s="47">
        <f>データ!A137</f>
        <v>2</v>
      </c>
      <c r="B140" s="47" t="str">
        <f>TRIM(データ!C137)</f>
        <v/>
      </c>
      <c r="C140" s="47" t="str">
        <f>TRIM(データ!D137)</f>
        <v>運搬費</v>
      </c>
      <c r="D140" s="36" t="str">
        <f>REPT("｜",$A140)&amp;TRIM(データ!E137)</f>
        <v>｜｜AF回送　大型セルフ(44)</v>
      </c>
      <c r="E140" s="37" t="str">
        <f>TRIM(データ!F137)</f>
        <v/>
      </c>
      <c r="F140" s="38" t="str">
        <f>TRIM(データ!G137)</f>
        <v>回</v>
      </c>
      <c r="G140" s="50">
        <f>データ!H137</f>
        <v>2</v>
      </c>
      <c r="H140" s="48">
        <f>データ!I137</f>
        <v>25000</v>
      </c>
      <c r="I140" s="48">
        <f>データ!J137</f>
        <v>50000</v>
      </c>
      <c r="J140" s="39" t="str">
        <f>IF(OR($C140="総括",$C140="内訳書",$C140="内訳代価",$C140="明細書",$C140="明細代価",$C140="代価表",$C140="単価表"),データ!K137,"")</f>
        <v/>
      </c>
      <c r="K140" s="11" t="str">
        <f t="shared" si="12"/>
        <v/>
      </c>
      <c r="L140" s="46">
        <f t="shared" si="13"/>
        <v>3.2679738562091504E-3</v>
      </c>
      <c r="M140" s="40" t="str">
        <f>IF(データ!L137="","",データ!L137)</f>
        <v/>
      </c>
      <c r="N140" s="41" t="str">
        <f>IF(データ!M137="","",データ!M137)</f>
        <v/>
      </c>
      <c r="O140" s="42">
        <f>データ!N137</f>
        <v>0</v>
      </c>
      <c r="P140" s="48">
        <f>IF($C140="集計行","",データ!O137)</f>
        <v>0</v>
      </c>
      <c r="Q140" s="48">
        <f>データ!P137</f>
        <v>0</v>
      </c>
      <c r="R140" s="39" t="str">
        <f>IF(OR($C140="総括",$C140="内訳書",$C140="内訳代価",$C140="明細書",$C140="明細代価",$C140="代価表",$C140="単価表"),データ!Q137,"")</f>
        <v/>
      </c>
      <c r="S140" s="11" t="str">
        <f t="shared" si="14"/>
        <v/>
      </c>
      <c r="T140" s="46" t="e">
        <f t="shared" si="15"/>
        <v>#DIV/0!</v>
      </c>
      <c r="U140" s="40" t="str">
        <f>IF(データ!R137="","",データ!R137)</f>
        <v/>
      </c>
      <c r="V140" s="41" t="str">
        <f>IF(データ!S137="","",データ!S137)</f>
        <v/>
      </c>
      <c r="W140" s="42">
        <f>データ!T137</f>
        <v>0</v>
      </c>
      <c r="X140" s="48">
        <f>IF($C140="集計行","",データ!U137)</f>
        <v>0</v>
      </c>
      <c r="Y140" s="48">
        <f>データ!V137</f>
        <v>0</v>
      </c>
      <c r="Z140" s="39" t="str">
        <f>IF(OR($C140="総括",$C140="内訳書",$C140="内訳代価",$C140="明細書",$C140="明細代価",$C140="代価表",$C140="単価表"),データ!W137,"")</f>
        <v/>
      </c>
      <c r="AA140" s="11" t="str">
        <f t="shared" si="16"/>
        <v/>
      </c>
      <c r="AB140" s="46" t="e">
        <f t="shared" si="17"/>
        <v>#DIV/0!</v>
      </c>
      <c r="AC140" s="40" t="str">
        <f>IF(データ!X137="","",データ!X137)</f>
        <v/>
      </c>
      <c r="AD140" s="41" t="str">
        <f>IF(データ!Y137="","",データ!Y137)</f>
        <v/>
      </c>
      <c r="AE140" s="47" t="str">
        <f>TRIM(データ!B137)</f>
        <v>u20718018</v>
      </c>
      <c r="AF140" s="43" t="str">
        <f>TRIM(データ!Z137)</f>
        <v>AF40</v>
      </c>
    </row>
    <row r="141" spans="1:32" x14ac:dyDescent="0.15">
      <c r="A141" s="47">
        <f>データ!A138</f>
        <v>2</v>
      </c>
      <c r="B141" s="47" t="str">
        <f>TRIM(データ!C138)</f>
        <v/>
      </c>
      <c r="C141" s="47" t="str">
        <f>TRIM(データ!D138)</f>
        <v>運搬費</v>
      </c>
      <c r="D141" s="36" t="str">
        <f>REPT("｜",$A141)&amp;TRIM(データ!E138)</f>
        <v>｜｜回送　大型セルフ</v>
      </c>
      <c r="E141" s="37" t="str">
        <f>TRIM(データ!F138)</f>
        <v/>
      </c>
      <c r="F141" s="38" t="str">
        <f>TRIM(データ!G138)</f>
        <v>回</v>
      </c>
      <c r="G141" s="50">
        <f>データ!H138</f>
        <v>10</v>
      </c>
      <c r="H141" s="48">
        <f>データ!I138</f>
        <v>20000</v>
      </c>
      <c r="I141" s="48">
        <f>データ!J138</f>
        <v>200000</v>
      </c>
      <c r="J141" s="39" t="str">
        <f>IF(OR($C141="総括",$C141="内訳書",$C141="内訳代価",$C141="明細書",$C141="明細代価",$C141="代価表",$C141="単価表"),データ!K138,"")</f>
        <v/>
      </c>
      <c r="K141" s="11" t="str">
        <f t="shared" si="12"/>
        <v/>
      </c>
      <c r="L141" s="46">
        <f t="shared" si="13"/>
        <v>1.3071895424836602E-2</v>
      </c>
      <c r="M141" s="40" t="str">
        <f>IF(データ!L138="","",データ!L138)</f>
        <v/>
      </c>
      <c r="N141" s="41" t="str">
        <f>IF(データ!M138="","",データ!M138)</f>
        <v/>
      </c>
      <c r="O141" s="42">
        <f>データ!N138</f>
        <v>0</v>
      </c>
      <c r="P141" s="48">
        <f>IF($C141="集計行","",データ!O138)</f>
        <v>0</v>
      </c>
      <c r="Q141" s="48">
        <f>データ!P138</f>
        <v>0</v>
      </c>
      <c r="R141" s="39" t="str">
        <f>IF(OR($C141="総括",$C141="内訳書",$C141="内訳代価",$C141="明細書",$C141="明細代価",$C141="代価表",$C141="単価表"),データ!Q138,"")</f>
        <v/>
      </c>
      <c r="S141" s="11" t="str">
        <f t="shared" si="14"/>
        <v/>
      </c>
      <c r="T141" s="46" t="e">
        <f t="shared" si="15"/>
        <v>#DIV/0!</v>
      </c>
      <c r="U141" s="40" t="str">
        <f>IF(データ!R138="","",データ!R138)</f>
        <v/>
      </c>
      <c r="V141" s="41" t="str">
        <f>IF(データ!S138="","",データ!S138)</f>
        <v/>
      </c>
      <c r="W141" s="42">
        <f>データ!T138</f>
        <v>0</v>
      </c>
      <c r="X141" s="48">
        <f>IF($C141="集計行","",データ!U138)</f>
        <v>0</v>
      </c>
      <c r="Y141" s="48">
        <f>データ!V138</f>
        <v>0</v>
      </c>
      <c r="Z141" s="39" t="str">
        <f>IF(OR($C141="総括",$C141="内訳書",$C141="内訳代価",$C141="明細書",$C141="明細代価",$C141="代価表",$C141="単価表"),データ!W138,"")</f>
        <v/>
      </c>
      <c r="AA141" s="11" t="str">
        <f t="shared" si="16"/>
        <v/>
      </c>
      <c r="AB141" s="46" t="e">
        <f t="shared" si="17"/>
        <v>#DIV/0!</v>
      </c>
      <c r="AC141" s="40" t="str">
        <f>IF(データ!X138="","",データ!X138)</f>
        <v/>
      </c>
      <c r="AD141" s="41" t="str">
        <f>IF(データ!Y138="","",データ!Y138)</f>
        <v/>
      </c>
      <c r="AE141" s="47" t="str">
        <f>TRIM(データ!B138)</f>
        <v>u20718012</v>
      </c>
      <c r="AF141" s="43" t="str">
        <f>TRIM(データ!Z138)</f>
        <v>MG・TR・MR・CR/TS・BH0.25</v>
      </c>
    </row>
    <row r="142" spans="1:32" x14ac:dyDescent="0.15">
      <c r="A142" s="47">
        <f>データ!A139</f>
        <v>2</v>
      </c>
      <c r="B142" s="47" t="str">
        <f>TRIM(データ!C139)</f>
        <v/>
      </c>
      <c r="C142" s="47" t="str">
        <f>TRIM(データ!D139)</f>
        <v>運搬費</v>
      </c>
      <c r="D142" s="36" t="str">
        <f>REPT("｜",$A142)&amp;TRIM(データ!E139)</f>
        <v>｜｜雑回送</v>
      </c>
      <c r="E142" s="37" t="str">
        <f>TRIM(データ!F139)</f>
        <v/>
      </c>
      <c r="F142" s="38" t="str">
        <f>TRIM(データ!G139)</f>
        <v>回</v>
      </c>
      <c r="G142" s="50">
        <f>データ!H139</f>
        <v>4</v>
      </c>
      <c r="H142" s="48">
        <f>データ!I139</f>
        <v>15000</v>
      </c>
      <c r="I142" s="48">
        <f>データ!J139</f>
        <v>60000</v>
      </c>
      <c r="J142" s="39" t="str">
        <f>IF(OR($C142="総括",$C142="内訳書",$C142="内訳代価",$C142="明細書",$C142="明細代価",$C142="代価表",$C142="単価表"),データ!K139,"")</f>
        <v/>
      </c>
      <c r="K142" s="11" t="str">
        <f t="shared" si="12"/>
        <v/>
      </c>
      <c r="L142" s="46">
        <f t="shared" si="13"/>
        <v>3.9215686274509803E-3</v>
      </c>
      <c r="M142" s="40" t="str">
        <f>IF(データ!L139="","",データ!L139)</f>
        <v/>
      </c>
      <c r="N142" s="41" t="str">
        <f>IF(データ!M139="","",データ!M139)</f>
        <v/>
      </c>
      <c r="O142" s="42">
        <f>データ!N139</f>
        <v>0</v>
      </c>
      <c r="P142" s="48">
        <f>IF($C142="集計行","",データ!O139)</f>
        <v>0</v>
      </c>
      <c r="Q142" s="48">
        <f>データ!P139</f>
        <v>0</v>
      </c>
      <c r="R142" s="39" t="str">
        <f>IF(OR($C142="総括",$C142="内訳書",$C142="内訳代価",$C142="明細書",$C142="明細代価",$C142="代価表",$C142="単価表"),データ!Q139,"")</f>
        <v/>
      </c>
      <c r="S142" s="11" t="str">
        <f t="shared" si="14"/>
        <v/>
      </c>
      <c r="T142" s="46" t="e">
        <f t="shared" si="15"/>
        <v>#DIV/0!</v>
      </c>
      <c r="U142" s="40" t="str">
        <f>IF(データ!R139="","",データ!R139)</f>
        <v/>
      </c>
      <c r="V142" s="41" t="str">
        <f>IF(データ!S139="","",データ!S139)</f>
        <v/>
      </c>
      <c r="W142" s="42">
        <f>データ!T139</f>
        <v>0</v>
      </c>
      <c r="X142" s="48">
        <f>IF($C142="集計行","",データ!U139)</f>
        <v>0</v>
      </c>
      <c r="Y142" s="48">
        <f>データ!V139</f>
        <v>0</v>
      </c>
      <c r="Z142" s="39" t="str">
        <f>IF(OR($C142="総括",$C142="内訳書",$C142="内訳代価",$C142="明細書",$C142="明細代価",$C142="代価表",$C142="単価表"),データ!W139,"")</f>
        <v/>
      </c>
      <c r="AA142" s="11" t="str">
        <f t="shared" si="16"/>
        <v/>
      </c>
      <c r="AB142" s="46" t="e">
        <f t="shared" si="17"/>
        <v>#DIV/0!</v>
      </c>
      <c r="AC142" s="40" t="str">
        <f>IF(データ!X139="","",データ!X139)</f>
        <v/>
      </c>
      <c r="AD142" s="41" t="str">
        <f>IF(データ!Y139="","",データ!Y139)</f>
        <v/>
      </c>
      <c r="AE142" s="47" t="str">
        <f>TRIM(データ!B139)</f>
        <v>u20718016</v>
      </c>
      <c r="AF142" s="43" t="str">
        <f>TRIM(データ!Z139)</f>
        <v>BH0.1</v>
      </c>
    </row>
    <row r="143" spans="1:32" x14ac:dyDescent="0.15">
      <c r="A143" s="47">
        <f>データ!A140</f>
        <v>1</v>
      </c>
      <c r="B143" s="47" t="str">
        <f>TRIM(データ!C140)</f>
        <v/>
      </c>
      <c r="C143" s="47" t="str">
        <f>TRIM(データ!D140)</f>
        <v>内訳代価</v>
      </c>
      <c r="D143" s="36" t="str">
        <f>REPT("｜",$A143)&amp;TRIM(データ!E140)</f>
        <v>｜現場管理工</v>
      </c>
      <c r="E143" s="37" t="str">
        <f>TRIM(データ!F140)</f>
        <v/>
      </c>
      <c r="F143" s="38" t="str">
        <f>TRIM(データ!G140)</f>
        <v>式</v>
      </c>
      <c r="G143" s="50">
        <f>データ!H140</f>
        <v>1</v>
      </c>
      <c r="H143" s="48">
        <f>データ!I140</f>
        <v>160000</v>
      </c>
      <c r="I143" s="48">
        <f>データ!J140</f>
        <v>160000</v>
      </c>
      <c r="J143" s="39">
        <f>IF(OR($C143="総括",$C143="内訳書",$C143="内訳代価",$C143="明細書",$C143="明細代価",$C143="代価表",$C143="単価表"),データ!K140,"")</f>
        <v>1</v>
      </c>
      <c r="K143" s="11" t="str">
        <f t="shared" si="12"/>
        <v/>
      </c>
      <c r="L143" s="46">
        <f t="shared" si="13"/>
        <v>1.045751633986928E-2</v>
      </c>
      <c r="M143" s="40" t="str">
        <f>IF(データ!L140="","",データ!L140)</f>
        <v/>
      </c>
      <c r="N143" s="41" t="str">
        <f>IF(データ!M140="","",データ!M140)</f>
        <v>27号内訳書</v>
      </c>
      <c r="O143" s="42">
        <f>データ!N140</f>
        <v>0</v>
      </c>
      <c r="P143" s="48">
        <f>IF($C143="集計行","",データ!O140)</f>
        <v>0</v>
      </c>
      <c r="Q143" s="48">
        <f>データ!P140</f>
        <v>0</v>
      </c>
      <c r="R143" s="39">
        <f>IF(OR($C143="総括",$C143="内訳書",$C143="内訳代価",$C143="明細書",$C143="明細代価",$C143="代価表",$C143="単価表"),データ!Q140,"")</f>
        <v>0</v>
      </c>
      <c r="S143" s="11" t="str">
        <f t="shared" si="14"/>
        <v/>
      </c>
      <c r="T143" s="46" t="e">
        <f t="shared" si="15"/>
        <v>#DIV/0!</v>
      </c>
      <c r="U143" s="40" t="str">
        <f>IF(データ!R140="","",データ!R140)</f>
        <v/>
      </c>
      <c r="V143" s="41" t="str">
        <f>IF(データ!S140="","",データ!S140)</f>
        <v/>
      </c>
      <c r="W143" s="42">
        <f>データ!T140</f>
        <v>0</v>
      </c>
      <c r="X143" s="48">
        <f>IF($C143="集計行","",データ!U140)</f>
        <v>0</v>
      </c>
      <c r="Y143" s="48">
        <f>データ!V140</f>
        <v>0</v>
      </c>
      <c r="Z143" s="39">
        <f>IF(OR($C143="総括",$C143="内訳書",$C143="内訳代価",$C143="明細書",$C143="明細代価",$C143="代価表",$C143="単価表"),データ!W140,"")</f>
        <v>0</v>
      </c>
      <c r="AA143" s="11" t="str">
        <f t="shared" si="16"/>
        <v/>
      </c>
      <c r="AB143" s="46" t="e">
        <f t="shared" si="17"/>
        <v>#DIV/0!</v>
      </c>
      <c r="AC143" s="40" t="str">
        <f>IF(データ!X140="","",データ!X140)</f>
        <v/>
      </c>
      <c r="AD143" s="41" t="str">
        <f>IF(データ!Y140="","",データ!Y140)</f>
        <v/>
      </c>
      <c r="AE143" s="47" t="str">
        <f>TRIM(データ!B140)</f>
        <v/>
      </c>
      <c r="AF143" s="43" t="str">
        <f>TRIM(データ!Z140)</f>
        <v/>
      </c>
    </row>
    <row r="144" spans="1:32" x14ac:dyDescent="0.15">
      <c r="A144" s="47">
        <f>データ!A141</f>
        <v>2</v>
      </c>
      <c r="B144" s="47" t="str">
        <f>TRIM(データ!C141)</f>
        <v/>
      </c>
      <c r="C144" s="47" t="str">
        <f>TRIM(データ!D141)</f>
        <v>労務費</v>
      </c>
      <c r="D144" s="36" t="str">
        <f>REPT("｜",$A144)&amp;TRIM(データ!E141)</f>
        <v>｜｜運転工</v>
      </c>
      <c r="E144" s="37" t="str">
        <f>TRIM(データ!F141)</f>
        <v>8H</v>
      </c>
      <c r="F144" s="38" t="str">
        <f>TRIM(データ!G141)</f>
        <v>人</v>
      </c>
      <c r="G144" s="50">
        <f>データ!H141</f>
        <v>6</v>
      </c>
      <c r="H144" s="48">
        <f>データ!I141</f>
        <v>23000</v>
      </c>
      <c r="I144" s="48">
        <f>データ!J141</f>
        <v>138000</v>
      </c>
      <c r="J144" s="39" t="str">
        <f>IF(OR($C144="総括",$C144="内訳書",$C144="内訳代価",$C144="明細書",$C144="明細代価",$C144="代価表",$C144="単価表"),データ!K141,"")</f>
        <v/>
      </c>
      <c r="K144" s="11" t="str">
        <f t="shared" si="12"/>
        <v/>
      </c>
      <c r="L144" s="46">
        <f t="shared" si="13"/>
        <v>9.0196078431372551E-3</v>
      </c>
      <c r="M144" s="40" t="str">
        <f>IF(データ!L141="","",データ!L141)</f>
        <v/>
      </c>
      <c r="N144" s="41" t="str">
        <f>IF(データ!M141="","",データ!M141)</f>
        <v/>
      </c>
      <c r="O144" s="42">
        <f>データ!N141</f>
        <v>0</v>
      </c>
      <c r="P144" s="48">
        <f>IF($C144="集計行","",データ!O141)</f>
        <v>0</v>
      </c>
      <c r="Q144" s="48">
        <f>データ!P141</f>
        <v>0</v>
      </c>
      <c r="R144" s="39" t="str">
        <f>IF(OR($C144="総括",$C144="内訳書",$C144="内訳代価",$C144="明細書",$C144="明細代価",$C144="代価表",$C144="単価表"),データ!Q141,"")</f>
        <v/>
      </c>
      <c r="S144" s="11" t="str">
        <f t="shared" si="14"/>
        <v/>
      </c>
      <c r="T144" s="46" t="e">
        <f t="shared" si="15"/>
        <v>#DIV/0!</v>
      </c>
      <c r="U144" s="40" t="str">
        <f>IF(データ!R141="","",データ!R141)</f>
        <v/>
      </c>
      <c r="V144" s="41" t="str">
        <f>IF(データ!S141="","",データ!S141)</f>
        <v/>
      </c>
      <c r="W144" s="42">
        <f>データ!T141</f>
        <v>0</v>
      </c>
      <c r="X144" s="48">
        <f>IF($C144="集計行","",データ!U141)</f>
        <v>0</v>
      </c>
      <c r="Y144" s="48">
        <f>データ!V141</f>
        <v>0</v>
      </c>
      <c r="Z144" s="39" t="str">
        <f>IF(OR($C144="総括",$C144="内訳書",$C144="内訳代価",$C144="明細書",$C144="明細代価",$C144="代価表",$C144="単価表"),データ!W141,"")</f>
        <v/>
      </c>
      <c r="AA144" s="11" t="str">
        <f t="shared" si="16"/>
        <v/>
      </c>
      <c r="AB144" s="46" t="e">
        <f t="shared" si="17"/>
        <v>#DIV/0!</v>
      </c>
      <c r="AC144" s="40" t="str">
        <f>IF(データ!X141="","",データ!X141)</f>
        <v/>
      </c>
      <c r="AD144" s="41" t="str">
        <f>IF(データ!Y141="","",データ!Y141)</f>
        <v/>
      </c>
      <c r="AE144" s="47" t="str">
        <f>TRIM(データ!B141)</f>
        <v>r20718007</v>
      </c>
      <c r="AF144" s="43" t="str">
        <f>TRIM(データ!Z141)</f>
        <v>2日×3人</v>
      </c>
    </row>
    <row r="145" spans="1:32" x14ac:dyDescent="0.15">
      <c r="A145" s="47">
        <f>データ!A142</f>
        <v>2</v>
      </c>
      <c r="B145" s="47" t="str">
        <f>TRIM(データ!C142)</f>
        <v/>
      </c>
      <c r="C145" s="47" t="str">
        <f>TRIM(データ!D142)</f>
        <v>機械費</v>
      </c>
      <c r="D145" s="36" t="str">
        <f>REPT("｜",$A145)&amp;TRIM(データ!E142)</f>
        <v>｜｜小物機械　ﾊﾟｰﾄﾅ・丸ﾉｺ</v>
      </c>
      <c r="E145" s="37" t="str">
        <f>TRIM(データ!F142)</f>
        <v>ｸﾞﾗｲﾝﾀﾞ-・ｺｱ抜きﾄﾞﾘﾙ・ﾌﾞﾛｱ　等</v>
      </c>
      <c r="F145" s="38" t="str">
        <f>TRIM(データ!G142)</f>
        <v>台</v>
      </c>
      <c r="G145" s="50">
        <f>データ!H142</f>
        <v>1</v>
      </c>
      <c r="H145" s="48">
        <f>データ!I142</f>
        <v>5000</v>
      </c>
      <c r="I145" s="48">
        <f>データ!J142</f>
        <v>5000</v>
      </c>
      <c r="J145" s="39" t="str">
        <f>IF(OR($C145="総括",$C145="内訳書",$C145="内訳代価",$C145="明細書",$C145="明細代価",$C145="代価表",$C145="単価表"),データ!K142,"")</f>
        <v/>
      </c>
      <c r="K145" s="11" t="str">
        <f t="shared" si="12"/>
        <v/>
      </c>
      <c r="L145" s="46">
        <f t="shared" si="13"/>
        <v>3.2679738562091501E-4</v>
      </c>
      <c r="M145" s="40" t="str">
        <f>IF(データ!L142="","",データ!L142)</f>
        <v/>
      </c>
      <c r="N145" s="41" t="str">
        <f>IF(データ!M142="","",データ!M142)</f>
        <v/>
      </c>
      <c r="O145" s="42">
        <f>データ!N142</f>
        <v>0</v>
      </c>
      <c r="P145" s="48">
        <f>IF($C145="集計行","",データ!O142)</f>
        <v>0</v>
      </c>
      <c r="Q145" s="48">
        <f>データ!P142</f>
        <v>0</v>
      </c>
      <c r="R145" s="39" t="str">
        <f>IF(OR($C145="総括",$C145="内訳書",$C145="内訳代価",$C145="明細書",$C145="明細代価",$C145="代価表",$C145="単価表"),データ!Q142,"")</f>
        <v/>
      </c>
      <c r="S145" s="11" t="str">
        <f t="shared" si="14"/>
        <v/>
      </c>
      <c r="T145" s="46" t="e">
        <f t="shared" si="15"/>
        <v>#DIV/0!</v>
      </c>
      <c r="U145" s="40" t="str">
        <f>IF(データ!R142="","",データ!R142)</f>
        <v/>
      </c>
      <c r="V145" s="41" t="str">
        <f>IF(データ!S142="","",データ!S142)</f>
        <v/>
      </c>
      <c r="W145" s="42">
        <f>データ!T142</f>
        <v>0</v>
      </c>
      <c r="X145" s="48">
        <f>IF($C145="集計行","",データ!U142)</f>
        <v>0</v>
      </c>
      <c r="Y145" s="48">
        <f>データ!V142</f>
        <v>0</v>
      </c>
      <c r="Z145" s="39" t="str">
        <f>IF(OR($C145="総括",$C145="内訳書",$C145="内訳代価",$C145="明細書",$C145="明細代価",$C145="代価表",$C145="単価表"),データ!W142,"")</f>
        <v/>
      </c>
      <c r="AA145" s="11" t="str">
        <f t="shared" si="16"/>
        <v/>
      </c>
      <c r="AB145" s="46" t="e">
        <f t="shared" si="17"/>
        <v>#DIV/0!</v>
      </c>
      <c r="AC145" s="40" t="str">
        <f>IF(データ!X142="","",データ!X142)</f>
        <v/>
      </c>
      <c r="AD145" s="41" t="str">
        <f>IF(データ!Y142="","",データ!Y142)</f>
        <v/>
      </c>
      <c r="AE145" s="47" t="str">
        <f>TRIM(データ!B142)</f>
        <v>k20718001</v>
      </c>
      <c r="AF145" s="43" t="str">
        <f>TRIM(データ!Z142)</f>
        <v/>
      </c>
    </row>
    <row r="146" spans="1:32" x14ac:dyDescent="0.15">
      <c r="A146" s="47">
        <f>データ!A143</f>
        <v>2</v>
      </c>
      <c r="B146" s="47" t="str">
        <f>TRIM(データ!C143)</f>
        <v/>
      </c>
      <c r="C146" s="47" t="str">
        <f>TRIM(データ!D143)</f>
        <v>運搬費</v>
      </c>
      <c r="D146" s="36" t="str">
        <f>REPT("｜",$A146)&amp;TRIM(データ!E143)</f>
        <v>｜｜2tダンプ</v>
      </c>
      <c r="E146" s="37" t="str">
        <f>TRIM(データ!F143)</f>
        <v/>
      </c>
      <c r="F146" s="38" t="str">
        <f>TRIM(データ!G143)</f>
        <v>台</v>
      </c>
      <c r="G146" s="50">
        <f>データ!H143</f>
        <v>2</v>
      </c>
      <c r="H146" s="48">
        <f>データ!I143</f>
        <v>6000</v>
      </c>
      <c r="I146" s="48">
        <f>データ!J143</f>
        <v>12000</v>
      </c>
      <c r="J146" s="39" t="str">
        <f>IF(OR($C146="総括",$C146="内訳書",$C146="内訳代価",$C146="明細書",$C146="明細代価",$C146="代価表",$C146="単価表"),データ!K143,"")</f>
        <v/>
      </c>
      <c r="K146" s="11" t="str">
        <f t="shared" si="12"/>
        <v/>
      </c>
      <c r="L146" s="46">
        <f t="shared" si="13"/>
        <v>7.8431372549019605E-4</v>
      </c>
      <c r="M146" s="40" t="str">
        <f>IF(データ!L143="","",データ!L143)</f>
        <v/>
      </c>
      <c r="N146" s="41" t="str">
        <f>IF(データ!M143="","",データ!M143)</f>
        <v/>
      </c>
      <c r="O146" s="42">
        <f>データ!N143</f>
        <v>0</v>
      </c>
      <c r="P146" s="48">
        <f>IF($C146="集計行","",データ!O143)</f>
        <v>0</v>
      </c>
      <c r="Q146" s="48">
        <f>データ!P143</f>
        <v>0</v>
      </c>
      <c r="R146" s="39" t="str">
        <f>IF(OR($C146="総括",$C146="内訳書",$C146="内訳代価",$C146="明細書",$C146="明細代価",$C146="代価表",$C146="単価表"),データ!Q143,"")</f>
        <v/>
      </c>
      <c r="S146" s="11" t="str">
        <f t="shared" si="14"/>
        <v/>
      </c>
      <c r="T146" s="46" t="e">
        <f t="shared" si="15"/>
        <v>#DIV/0!</v>
      </c>
      <c r="U146" s="40" t="str">
        <f>IF(データ!R143="","",データ!R143)</f>
        <v/>
      </c>
      <c r="V146" s="41" t="str">
        <f>IF(データ!S143="","",データ!S143)</f>
        <v/>
      </c>
      <c r="W146" s="42">
        <f>データ!T143</f>
        <v>0</v>
      </c>
      <c r="X146" s="48">
        <f>IF($C146="集計行","",データ!U143)</f>
        <v>0</v>
      </c>
      <c r="Y146" s="48">
        <f>データ!V143</f>
        <v>0</v>
      </c>
      <c r="Z146" s="39" t="str">
        <f>IF(OR($C146="総括",$C146="内訳書",$C146="内訳代価",$C146="明細書",$C146="明細代価",$C146="代価表",$C146="単価表"),データ!W143,"")</f>
        <v/>
      </c>
      <c r="AA146" s="11" t="str">
        <f t="shared" si="16"/>
        <v/>
      </c>
      <c r="AB146" s="46" t="e">
        <f t="shared" si="17"/>
        <v>#DIV/0!</v>
      </c>
      <c r="AC146" s="40" t="str">
        <f>IF(データ!X143="","",データ!X143)</f>
        <v/>
      </c>
      <c r="AD146" s="41" t="str">
        <f>IF(データ!Y143="","",データ!Y143)</f>
        <v/>
      </c>
      <c r="AE146" s="47" t="str">
        <f>TRIM(データ!B143)</f>
        <v>u20718025</v>
      </c>
      <c r="AF146" s="43" t="str">
        <f>TRIM(データ!Z143)</f>
        <v/>
      </c>
    </row>
    <row r="147" spans="1:32" x14ac:dyDescent="0.15">
      <c r="A147" s="47">
        <f>データ!A144</f>
        <v>2</v>
      </c>
      <c r="B147" s="47" t="str">
        <f>TRIM(データ!C144)</f>
        <v/>
      </c>
      <c r="C147" s="47" t="str">
        <f>TRIM(データ!D144)</f>
        <v>運搬費</v>
      </c>
      <c r="D147" s="36" t="str">
        <f>REPT("｜",$A147)&amp;TRIM(データ!E144)</f>
        <v>｜｜WP</v>
      </c>
      <c r="E147" s="37" t="str">
        <f>TRIM(データ!F144)</f>
        <v/>
      </c>
      <c r="F147" s="38" t="str">
        <f>TRIM(データ!G144)</f>
        <v>台</v>
      </c>
      <c r="G147" s="50">
        <f>データ!H144</f>
        <v>1</v>
      </c>
      <c r="H147" s="48">
        <f>データ!I144</f>
        <v>5000</v>
      </c>
      <c r="I147" s="48">
        <f>データ!J144</f>
        <v>5000</v>
      </c>
      <c r="J147" s="39" t="str">
        <f>IF(OR($C147="総括",$C147="内訳書",$C147="内訳代価",$C147="明細書",$C147="明細代価",$C147="代価表",$C147="単価表"),データ!K144,"")</f>
        <v/>
      </c>
      <c r="K147" s="11" t="str">
        <f t="shared" si="12"/>
        <v/>
      </c>
      <c r="L147" s="46">
        <f t="shared" si="13"/>
        <v>3.2679738562091501E-4</v>
      </c>
      <c r="M147" s="40" t="str">
        <f>IF(データ!L144="","",データ!L144)</f>
        <v/>
      </c>
      <c r="N147" s="41" t="str">
        <f>IF(データ!M144="","",データ!M144)</f>
        <v/>
      </c>
      <c r="O147" s="42">
        <f>データ!N144</f>
        <v>0</v>
      </c>
      <c r="P147" s="48">
        <f>IF($C147="集計行","",データ!O144)</f>
        <v>0</v>
      </c>
      <c r="Q147" s="48">
        <f>データ!P144</f>
        <v>0</v>
      </c>
      <c r="R147" s="39" t="str">
        <f>IF(OR($C147="総括",$C147="内訳書",$C147="内訳代価",$C147="明細書",$C147="明細代価",$C147="代価表",$C147="単価表"),データ!Q144,"")</f>
        <v/>
      </c>
      <c r="S147" s="11" t="str">
        <f t="shared" si="14"/>
        <v/>
      </c>
      <c r="T147" s="46" t="e">
        <f t="shared" si="15"/>
        <v>#DIV/0!</v>
      </c>
      <c r="U147" s="40" t="str">
        <f>IF(データ!R144="","",データ!R144)</f>
        <v/>
      </c>
      <c r="V147" s="41" t="str">
        <f>IF(データ!S144="","",データ!S144)</f>
        <v/>
      </c>
      <c r="W147" s="42">
        <f>データ!T144</f>
        <v>0</v>
      </c>
      <c r="X147" s="48">
        <f>IF($C147="集計行","",データ!U144)</f>
        <v>0</v>
      </c>
      <c r="Y147" s="48">
        <f>データ!V144</f>
        <v>0</v>
      </c>
      <c r="Z147" s="39" t="str">
        <f>IF(OR($C147="総括",$C147="内訳書",$C147="内訳代価",$C147="明細書",$C147="明細代価",$C147="代価表",$C147="単価表"),データ!W144,"")</f>
        <v/>
      </c>
      <c r="AA147" s="11" t="str">
        <f t="shared" si="16"/>
        <v/>
      </c>
      <c r="AB147" s="46" t="e">
        <f t="shared" si="17"/>
        <v>#DIV/0!</v>
      </c>
      <c r="AC147" s="40" t="str">
        <f>IF(データ!X144="","",データ!X144)</f>
        <v/>
      </c>
      <c r="AD147" s="41" t="str">
        <f>IF(データ!Y144="","",データ!Y144)</f>
        <v/>
      </c>
      <c r="AE147" s="47" t="str">
        <f>TRIM(データ!B144)</f>
        <v>u20718008</v>
      </c>
      <c r="AF147" s="43" t="str">
        <f>TRIM(データ!Z144)</f>
        <v/>
      </c>
    </row>
    <row r="148" spans="1:32" x14ac:dyDescent="0.15">
      <c r="A148" s="47">
        <f>データ!A145</f>
        <v>1</v>
      </c>
      <c r="B148" s="47" t="str">
        <f>TRIM(データ!C145)</f>
        <v/>
      </c>
      <c r="C148" s="47" t="str">
        <f>TRIM(データ!D145)</f>
        <v>内訳代価</v>
      </c>
      <c r="D148" s="36" t="str">
        <f>REPT("｜",$A148)&amp;TRIM(データ!E145)</f>
        <v>｜技術・品質管理工</v>
      </c>
      <c r="E148" s="37" t="str">
        <f>TRIM(データ!F145)</f>
        <v/>
      </c>
      <c r="F148" s="38" t="str">
        <f>TRIM(データ!G145)</f>
        <v>式</v>
      </c>
      <c r="G148" s="50">
        <f>データ!H145</f>
        <v>1</v>
      </c>
      <c r="H148" s="48">
        <f>データ!I145</f>
        <v>237400</v>
      </c>
      <c r="I148" s="48">
        <f>データ!J145</f>
        <v>237400</v>
      </c>
      <c r="J148" s="39">
        <f>IF(OR($C148="総括",$C148="内訳書",$C148="内訳代価",$C148="明細書",$C148="明細代価",$C148="代価表",$C148="単価表"),データ!K145,"")</f>
        <v>1</v>
      </c>
      <c r="K148" s="11" t="str">
        <f t="shared" si="12"/>
        <v/>
      </c>
      <c r="L148" s="46">
        <f t="shared" si="13"/>
        <v>1.5516339869281045E-2</v>
      </c>
      <c r="M148" s="40" t="str">
        <f>IF(データ!L145="","",データ!L145)</f>
        <v/>
      </c>
      <c r="N148" s="41" t="str">
        <f>IF(データ!M145="","",データ!M145)</f>
        <v>28号内訳書</v>
      </c>
      <c r="O148" s="42">
        <f>データ!N145</f>
        <v>0</v>
      </c>
      <c r="P148" s="48">
        <f>IF($C148="集計行","",データ!O145)</f>
        <v>0</v>
      </c>
      <c r="Q148" s="48">
        <f>データ!P145</f>
        <v>0</v>
      </c>
      <c r="R148" s="39">
        <f>IF(OR($C148="総括",$C148="内訳書",$C148="内訳代価",$C148="明細書",$C148="明細代価",$C148="代価表",$C148="単価表"),データ!Q145,"")</f>
        <v>0</v>
      </c>
      <c r="S148" s="11" t="str">
        <f t="shared" si="14"/>
        <v/>
      </c>
      <c r="T148" s="46" t="e">
        <f t="shared" si="15"/>
        <v>#DIV/0!</v>
      </c>
      <c r="U148" s="40" t="str">
        <f>IF(データ!R145="","",データ!R145)</f>
        <v/>
      </c>
      <c r="V148" s="41" t="str">
        <f>IF(データ!S145="","",データ!S145)</f>
        <v/>
      </c>
      <c r="W148" s="42">
        <f>データ!T145</f>
        <v>0</v>
      </c>
      <c r="X148" s="48">
        <f>IF($C148="集計行","",データ!U145)</f>
        <v>0</v>
      </c>
      <c r="Y148" s="48">
        <f>データ!V145</f>
        <v>0</v>
      </c>
      <c r="Z148" s="39">
        <f>IF(OR($C148="総括",$C148="内訳書",$C148="内訳代価",$C148="明細書",$C148="明細代価",$C148="代価表",$C148="単価表"),データ!W145,"")</f>
        <v>0</v>
      </c>
      <c r="AA148" s="11" t="str">
        <f t="shared" si="16"/>
        <v/>
      </c>
      <c r="AB148" s="46" t="e">
        <f t="shared" si="17"/>
        <v>#DIV/0!</v>
      </c>
      <c r="AC148" s="40" t="str">
        <f>IF(データ!X145="","",データ!X145)</f>
        <v/>
      </c>
      <c r="AD148" s="41" t="str">
        <f>IF(データ!Y145="","",データ!Y145)</f>
        <v/>
      </c>
      <c r="AE148" s="47" t="str">
        <f>TRIM(データ!B145)</f>
        <v/>
      </c>
      <c r="AF148" s="43" t="str">
        <f>TRIM(データ!Z145)</f>
        <v/>
      </c>
    </row>
    <row r="149" spans="1:32" x14ac:dyDescent="0.15">
      <c r="A149" s="47">
        <f>データ!A146</f>
        <v>2</v>
      </c>
      <c r="B149" s="47" t="str">
        <f>TRIM(データ!C146)</f>
        <v/>
      </c>
      <c r="C149" s="47" t="str">
        <f>TRIM(データ!D146)</f>
        <v>材料費</v>
      </c>
      <c r="D149" s="36" t="str">
        <f>REPT("｜",$A149)&amp;TRIM(データ!E146)</f>
        <v>｜｜測量資材</v>
      </c>
      <c r="E149" s="37" t="str">
        <f>TRIM(データ!F146)</f>
        <v/>
      </c>
      <c r="F149" s="38" t="str">
        <f>TRIM(データ!G146)</f>
        <v>式</v>
      </c>
      <c r="G149" s="50">
        <f>データ!H146</f>
        <v>1</v>
      </c>
      <c r="H149" s="48">
        <f>データ!I146</f>
        <v>11400</v>
      </c>
      <c r="I149" s="48">
        <f>データ!J146</f>
        <v>11400</v>
      </c>
      <c r="J149" s="39" t="str">
        <f>IF(OR($C149="総括",$C149="内訳書",$C149="内訳代価",$C149="明細書",$C149="明細代価",$C149="代価表",$C149="単価表"),データ!K146,"")</f>
        <v/>
      </c>
      <c r="K149" s="11" t="str">
        <f t="shared" si="12"/>
        <v/>
      </c>
      <c r="L149" s="46">
        <f t="shared" si="13"/>
        <v>7.4509803921568628E-4</v>
      </c>
      <c r="M149" s="40" t="str">
        <f>IF(データ!L146="","",データ!L146)</f>
        <v/>
      </c>
      <c r="N149" s="41" t="str">
        <f>IF(データ!M146="","",データ!M146)</f>
        <v/>
      </c>
      <c r="O149" s="42">
        <f>データ!N146</f>
        <v>0</v>
      </c>
      <c r="P149" s="48">
        <f>IF($C149="集計行","",データ!O146)</f>
        <v>0</v>
      </c>
      <c r="Q149" s="48">
        <f>データ!P146</f>
        <v>0</v>
      </c>
      <c r="R149" s="39" t="str">
        <f>IF(OR($C149="総括",$C149="内訳書",$C149="内訳代価",$C149="明細書",$C149="明細代価",$C149="代価表",$C149="単価表"),データ!Q146,"")</f>
        <v/>
      </c>
      <c r="S149" s="11" t="str">
        <f t="shared" si="14"/>
        <v/>
      </c>
      <c r="T149" s="46" t="e">
        <f t="shared" si="15"/>
        <v>#DIV/0!</v>
      </c>
      <c r="U149" s="40" t="str">
        <f>IF(データ!R146="","",データ!R146)</f>
        <v/>
      </c>
      <c r="V149" s="41" t="str">
        <f>IF(データ!S146="","",データ!S146)</f>
        <v/>
      </c>
      <c r="W149" s="42">
        <f>データ!T146</f>
        <v>0</v>
      </c>
      <c r="X149" s="48">
        <f>IF($C149="集計行","",データ!U146)</f>
        <v>0</v>
      </c>
      <c r="Y149" s="48">
        <f>データ!V146</f>
        <v>0</v>
      </c>
      <c r="Z149" s="39" t="str">
        <f>IF(OR($C149="総括",$C149="内訳書",$C149="内訳代価",$C149="明細書",$C149="明細代価",$C149="代価表",$C149="単価表"),データ!W146,"")</f>
        <v/>
      </c>
      <c r="AA149" s="11" t="str">
        <f t="shared" si="16"/>
        <v/>
      </c>
      <c r="AB149" s="46" t="e">
        <f t="shared" si="17"/>
        <v>#DIV/0!</v>
      </c>
      <c r="AC149" s="40" t="str">
        <f>IF(データ!X146="","",データ!X146)</f>
        <v/>
      </c>
      <c r="AD149" s="41" t="str">
        <f>IF(データ!Y146="","",データ!Y146)</f>
        <v/>
      </c>
      <c r="AE149" s="47" t="str">
        <f>TRIM(データ!B146)</f>
        <v>s20718001</v>
      </c>
      <c r="AF149" s="43" t="str">
        <f>TRIM(データ!Z146)</f>
        <v/>
      </c>
    </row>
    <row r="150" spans="1:32" x14ac:dyDescent="0.15">
      <c r="A150" s="47">
        <f>データ!A147</f>
        <v>2</v>
      </c>
      <c r="B150" s="47" t="str">
        <f>TRIM(データ!C147)</f>
        <v/>
      </c>
      <c r="C150" s="47" t="str">
        <f>TRIM(データ!D147)</f>
        <v>外注費</v>
      </c>
      <c r="D150" s="36" t="str">
        <f>REPT("｜",$A150)&amp;TRIM(データ!E147)</f>
        <v>｜｜舗装路面の平坦性測定</v>
      </c>
      <c r="E150" s="37" t="str">
        <f>TRIM(データ!F147)</f>
        <v/>
      </c>
      <c r="F150" s="38" t="str">
        <f>TRIM(データ!G147)</f>
        <v>回</v>
      </c>
      <c r="G150" s="50">
        <f>データ!H147</f>
        <v>1</v>
      </c>
      <c r="H150" s="48">
        <f>データ!I147</f>
        <v>35000</v>
      </c>
      <c r="I150" s="48">
        <f>データ!J147</f>
        <v>35000</v>
      </c>
      <c r="J150" s="39" t="str">
        <f>IF(OR($C150="総括",$C150="内訳書",$C150="内訳代価",$C150="明細書",$C150="明細代価",$C150="代価表",$C150="単価表"),データ!K147,"")</f>
        <v/>
      </c>
      <c r="K150" s="11" t="str">
        <f t="shared" si="12"/>
        <v/>
      </c>
      <c r="L150" s="46">
        <f t="shared" si="13"/>
        <v>2.2875816993464053E-3</v>
      </c>
      <c r="M150" s="40" t="str">
        <f>IF(データ!L147="","",データ!L147)</f>
        <v/>
      </c>
      <c r="N150" s="41" t="str">
        <f>IF(データ!M147="","",データ!M147)</f>
        <v/>
      </c>
      <c r="O150" s="42">
        <f>データ!N147</f>
        <v>0</v>
      </c>
      <c r="P150" s="48">
        <f>IF($C150="集計行","",データ!O147)</f>
        <v>0</v>
      </c>
      <c r="Q150" s="48">
        <f>データ!P147</f>
        <v>0</v>
      </c>
      <c r="R150" s="39" t="str">
        <f>IF(OR($C150="総括",$C150="内訳書",$C150="内訳代価",$C150="明細書",$C150="明細代価",$C150="代価表",$C150="単価表"),データ!Q147,"")</f>
        <v/>
      </c>
      <c r="S150" s="11" t="str">
        <f t="shared" si="14"/>
        <v/>
      </c>
      <c r="T150" s="46" t="e">
        <f t="shared" si="15"/>
        <v>#DIV/0!</v>
      </c>
      <c r="U150" s="40" t="str">
        <f>IF(データ!R147="","",データ!R147)</f>
        <v/>
      </c>
      <c r="V150" s="41" t="str">
        <f>IF(データ!S147="","",データ!S147)</f>
        <v/>
      </c>
      <c r="W150" s="42">
        <f>データ!T147</f>
        <v>0</v>
      </c>
      <c r="X150" s="48">
        <f>IF($C150="集計行","",データ!U147)</f>
        <v>0</v>
      </c>
      <c r="Y150" s="48">
        <f>データ!V147</f>
        <v>0</v>
      </c>
      <c r="Z150" s="39" t="str">
        <f>IF(OR($C150="総括",$C150="内訳書",$C150="内訳代価",$C150="明細書",$C150="明細代価",$C150="代価表",$C150="単価表"),データ!W147,"")</f>
        <v/>
      </c>
      <c r="AA150" s="11" t="str">
        <f t="shared" si="16"/>
        <v/>
      </c>
      <c r="AB150" s="46" t="e">
        <f t="shared" si="17"/>
        <v>#DIV/0!</v>
      </c>
      <c r="AC150" s="40" t="str">
        <f>IF(データ!X147="","",データ!X147)</f>
        <v/>
      </c>
      <c r="AD150" s="41" t="str">
        <f>IF(データ!Y147="","",データ!Y147)</f>
        <v/>
      </c>
      <c r="AE150" s="47" t="str">
        <f>TRIM(データ!B147)</f>
        <v>g3001</v>
      </c>
      <c r="AF150" s="43" t="str">
        <f>TRIM(データ!Z147)</f>
        <v/>
      </c>
    </row>
    <row r="151" spans="1:32" x14ac:dyDescent="0.15">
      <c r="A151" s="47">
        <f>データ!A148</f>
        <v>2</v>
      </c>
      <c r="B151" s="47" t="str">
        <f>TRIM(データ!C148)</f>
        <v/>
      </c>
      <c r="C151" s="47" t="str">
        <f>TRIM(データ!D148)</f>
        <v>外注費</v>
      </c>
      <c r="D151" s="36" t="str">
        <f>REPT("｜",$A151)&amp;TRIM(データ!E148)</f>
        <v>｜｜Asコア採取(最低)</v>
      </c>
      <c r="E151" s="37" t="str">
        <f>TRIM(データ!F148)</f>
        <v>最低補償</v>
      </c>
      <c r="F151" s="38" t="str">
        <f>TRIM(データ!G148)</f>
        <v>回</v>
      </c>
      <c r="G151" s="50">
        <f>データ!H148</f>
        <v>1</v>
      </c>
      <c r="H151" s="48">
        <f>データ!I148</f>
        <v>20000</v>
      </c>
      <c r="I151" s="48">
        <f>データ!J148</f>
        <v>20000</v>
      </c>
      <c r="J151" s="39" t="str">
        <f>IF(OR($C151="総括",$C151="内訳書",$C151="内訳代価",$C151="明細書",$C151="明細代価",$C151="代価表",$C151="単価表"),データ!K148,"")</f>
        <v/>
      </c>
      <c r="K151" s="11" t="str">
        <f t="shared" si="12"/>
        <v/>
      </c>
      <c r="L151" s="46">
        <f t="shared" si="13"/>
        <v>1.30718954248366E-3</v>
      </c>
      <c r="M151" s="40" t="str">
        <f>IF(データ!L148="","",データ!L148)</f>
        <v/>
      </c>
      <c r="N151" s="41" t="str">
        <f>IF(データ!M148="","",データ!M148)</f>
        <v/>
      </c>
      <c r="O151" s="42">
        <f>データ!N148</f>
        <v>0</v>
      </c>
      <c r="P151" s="48">
        <f>IF($C151="集計行","",データ!O148)</f>
        <v>0</v>
      </c>
      <c r="Q151" s="48">
        <f>データ!P148</f>
        <v>0</v>
      </c>
      <c r="R151" s="39" t="str">
        <f>IF(OR($C151="総括",$C151="内訳書",$C151="内訳代価",$C151="明細書",$C151="明細代価",$C151="代価表",$C151="単価表"),データ!Q148,"")</f>
        <v/>
      </c>
      <c r="S151" s="11" t="str">
        <f t="shared" si="14"/>
        <v/>
      </c>
      <c r="T151" s="46" t="e">
        <f t="shared" si="15"/>
        <v>#DIV/0!</v>
      </c>
      <c r="U151" s="40" t="str">
        <f>IF(データ!R148="","",データ!R148)</f>
        <v/>
      </c>
      <c r="V151" s="41" t="str">
        <f>IF(データ!S148="","",データ!S148)</f>
        <v/>
      </c>
      <c r="W151" s="42">
        <f>データ!T148</f>
        <v>0</v>
      </c>
      <c r="X151" s="48">
        <f>IF($C151="集計行","",データ!U148)</f>
        <v>0</v>
      </c>
      <c r="Y151" s="48">
        <f>データ!V148</f>
        <v>0</v>
      </c>
      <c r="Z151" s="39" t="str">
        <f>IF(OR($C151="総括",$C151="内訳書",$C151="内訳代価",$C151="明細書",$C151="明細代価",$C151="代価表",$C151="単価表"),データ!W148,"")</f>
        <v/>
      </c>
      <c r="AA151" s="11" t="str">
        <f t="shared" si="16"/>
        <v/>
      </c>
      <c r="AB151" s="46" t="e">
        <f t="shared" si="17"/>
        <v>#DIV/0!</v>
      </c>
      <c r="AC151" s="40" t="str">
        <f>IF(データ!X148="","",データ!X148)</f>
        <v/>
      </c>
      <c r="AD151" s="41" t="str">
        <f>IF(データ!Y148="","",データ!Y148)</f>
        <v/>
      </c>
      <c r="AE151" s="47" t="str">
        <f>TRIM(データ!B148)</f>
        <v>g20718051</v>
      </c>
      <c r="AF151" s="43" t="str">
        <f>TRIM(データ!Z148)</f>
        <v/>
      </c>
    </row>
    <row r="152" spans="1:32" x14ac:dyDescent="0.15">
      <c r="A152" s="47">
        <f>データ!A149</f>
        <v>2</v>
      </c>
      <c r="B152" s="47" t="str">
        <f>TRIM(データ!C149)</f>
        <v/>
      </c>
      <c r="C152" s="47" t="str">
        <f>TRIM(データ!D149)</f>
        <v>外注費</v>
      </c>
      <c r="D152" s="36" t="str">
        <f>REPT("｜",$A152)&amp;TRIM(データ!E149)</f>
        <v>｜｜ｱｽﾌｧﾙﾄ混合物の抽出試験</v>
      </c>
      <c r="E152" s="37" t="str">
        <f>TRIM(データ!F149)</f>
        <v/>
      </c>
      <c r="F152" s="38" t="str">
        <f>TRIM(データ!G149)</f>
        <v>個</v>
      </c>
      <c r="G152" s="50">
        <f>データ!H149</f>
        <v>9</v>
      </c>
      <c r="H152" s="48">
        <f>データ!I149</f>
        <v>19000</v>
      </c>
      <c r="I152" s="48">
        <f>データ!J149</f>
        <v>171000</v>
      </c>
      <c r="J152" s="39" t="str">
        <f>IF(OR($C152="総括",$C152="内訳書",$C152="内訳代価",$C152="明細書",$C152="明細代価",$C152="代価表",$C152="単価表"),データ!K149,"")</f>
        <v/>
      </c>
      <c r="K152" s="11" t="str">
        <f t="shared" si="12"/>
        <v/>
      </c>
      <c r="L152" s="46">
        <f t="shared" si="13"/>
        <v>1.1176470588235295E-2</v>
      </c>
      <c r="M152" s="40" t="str">
        <f>IF(データ!L149="","",データ!L149)</f>
        <v/>
      </c>
      <c r="N152" s="41" t="str">
        <f>IF(データ!M149="","",データ!M149)</f>
        <v/>
      </c>
      <c r="O152" s="42">
        <f>データ!N149</f>
        <v>0</v>
      </c>
      <c r="P152" s="48">
        <f>IF($C152="集計行","",データ!O149)</f>
        <v>0</v>
      </c>
      <c r="Q152" s="48">
        <f>データ!P149</f>
        <v>0</v>
      </c>
      <c r="R152" s="39" t="str">
        <f>IF(OR($C152="総括",$C152="内訳書",$C152="内訳代価",$C152="明細書",$C152="明細代価",$C152="代価表",$C152="単価表"),データ!Q149,"")</f>
        <v/>
      </c>
      <c r="S152" s="11" t="str">
        <f t="shared" si="14"/>
        <v/>
      </c>
      <c r="T152" s="46" t="e">
        <f t="shared" si="15"/>
        <v>#DIV/0!</v>
      </c>
      <c r="U152" s="40" t="str">
        <f>IF(データ!R149="","",データ!R149)</f>
        <v/>
      </c>
      <c r="V152" s="41" t="str">
        <f>IF(データ!S149="","",データ!S149)</f>
        <v/>
      </c>
      <c r="W152" s="42">
        <f>データ!T149</f>
        <v>0</v>
      </c>
      <c r="X152" s="48">
        <f>IF($C152="集計行","",データ!U149)</f>
        <v>0</v>
      </c>
      <c r="Y152" s="48">
        <f>データ!V149</f>
        <v>0</v>
      </c>
      <c r="Z152" s="39" t="str">
        <f>IF(OR($C152="総括",$C152="内訳書",$C152="内訳代価",$C152="明細書",$C152="明細代価",$C152="代価表",$C152="単価表"),データ!W149,"")</f>
        <v/>
      </c>
      <c r="AA152" s="11" t="str">
        <f t="shared" si="16"/>
        <v/>
      </c>
      <c r="AB152" s="46" t="e">
        <f t="shared" si="17"/>
        <v>#DIV/0!</v>
      </c>
      <c r="AC152" s="40" t="str">
        <f>IF(データ!X149="","",データ!X149)</f>
        <v/>
      </c>
      <c r="AD152" s="41" t="str">
        <f>IF(データ!Y149="","",データ!Y149)</f>
        <v/>
      </c>
      <c r="AE152" s="47" t="str">
        <f>TRIM(データ!B149)</f>
        <v>1-5-33-23793-1</v>
      </c>
      <c r="AF152" s="43" t="str">
        <f>TRIM(データ!Z149)</f>
        <v/>
      </c>
    </row>
    <row r="153" spans="1:32" x14ac:dyDescent="0.15">
      <c r="A153" s="47">
        <f>データ!A150</f>
        <v>1</v>
      </c>
      <c r="B153" s="47" t="str">
        <f>TRIM(データ!C150)</f>
        <v/>
      </c>
      <c r="C153" s="47" t="str">
        <f>TRIM(データ!D150)</f>
        <v>内訳代価</v>
      </c>
      <c r="D153" s="36" t="str">
        <f>REPT("｜",$A153)&amp;TRIM(データ!E150)</f>
        <v>｜外注工</v>
      </c>
      <c r="E153" s="37" t="str">
        <f>TRIM(データ!F150)</f>
        <v/>
      </c>
      <c r="F153" s="38" t="str">
        <f>TRIM(データ!G150)</f>
        <v>式</v>
      </c>
      <c r="G153" s="50">
        <f>データ!H150</f>
        <v>1</v>
      </c>
      <c r="H153" s="48">
        <f>データ!I150</f>
        <v>1370000</v>
      </c>
      <c r="I153" s="48">
        <f>データ!J150</f>
        <v>1370000</v>
      </c>
      <c r="J153" s="39">
        <f>IF(OR($C153="総括",$C153="内訳書",$C153="内訳代価",$C153="明細書",$C153="明細代価",$C153="代価表",$C153="単価表"),データ!K150,"")</f>
        <v>1</v>
      </c>
      <c r="K153" s="11" t="str">
        <f t="shared" si="12"/>
        <v/>
      </c>
      <c r="L153" s="46">
        <f t="shared" si="13"/>
        <v>8.954248366013072E-2</v>
      </c>
      <c r="M153" s="40" t="str">
        <f>IF(データ!L150="","",データ!L150)</f>
        <v/>
      </c>
      <c r="N153" s="41" t="str">
        <f>IF(データ!M150="","",データ!M150)</f>
        <v>29号内訳書</v>
      </c>
      <c r="O153" s="42">
        <f>データ!N150</f>
        <v>0</v>
      </c>
      <c r="P153" s="48">
        <f>IF($C153="集計行","",データ!O150)</f>
        <v>0</v>
      </c>
      <c r="Q153" s="48">
        <f>データ!P150</f>
        <v>0</v>
      </c>
      <c r="R153" s="39">
        <f>IF(OR($C153="総括",$C153="内訳書",$C153="内訳代価",$C153="明細書",$C153="明細代価",$C153="代価表",$C153="単価表"),データ!Q150,"")</f>
        <v>0</v>
      </c>
      <c r="S153" s="11" t="str">
        <f t="shared" si="14"/>
        <v/>
      </c>
      <c r="T153" s="46" t="e">
        <f t="shared" si="15"/>
        <v>#DIV/0!</v>
      </c>
      <c r="U153" s="40" t="str">
        <f>IF(データ!R150="","",データ!R150)</f>
        <v/>
      </c>
      <c r="V153" s="41" t="str">
        <f>IF(データ!S150="","",データ!S150)</f>
        <v/>
      </c>
      <c r="W153" s="42">
        <f>データ!T150</f>
        <v>0</v>
      </c>
      <c r="X153" s="48">
        <f>IF($C153="集計行","",データ!U150)</f>
        <v>0</v>
      </c>
      <c r="Y153" s="48">
        <f>データ!V150</f>
        <v>0</v>
      </c>
      <c r="Z153" s="39">
        <f>IF(OR($C153="総括",$C153="内訳書",$C153="内訳代価",$C153="明細書",$C153="明細代価",$C153="代価表",$C153="単価表"),データ!W150,"")</f>
        <v>0</v>
      </c>
      <c r="AA153" s="11" t="str">
        <f t="shared" si="16"/>
        <v/>
      </c>
      <c r="AB153" s="46" t="e">
        <f t="shared" si="17"/>
        <v>#DIV/0!</v>
      </c>
      <c r="AC153" s="40" t="str">
        <f>IF(データ!X150="","",データ!X150)</f>
        <v/>
      </c>
      <c r="AD153" s="41" t="str">
        <f>IF(データ!Y150="","",データ!Y150)</f>
        <v/>
      </c>
      <c r="AE153" s="47" t="str">
        <f>TRIM(データ!B150)</f>
        <v/>
      </c>
      <c r="AF153" s="43" t="str">
        <f>TRIM(データ!Z150)</f>
        <v/>
      </c>
    </row>
    <row r="154" spans="1:32" x14ac:dyDescent="0.15">
      <c r="A154" s="47">
        <f>データ!A151</f>
        <v>2</v>
      </c>
      <c r="B154" s="47" t="str">
        <f>TRIM(データ!C151)</f>
        <v/>
      </c>
      <c r="C154" s="47" t="str">
        <f>TRIM(データ!D151)</f>
        <v>外注費</v>
      </c>
      <c r="D154" s="36" t="str">
        <f>REPT("｜",$A154)&amp;TRIM(データ!E151)</f>
        <v>｜｜外注経費</v>
      </c>
      <c r="E154" s="37" t="str">
        <f>TRIM(データ!F151)</f>
        <v>材工8％</v>
      </c>
      <c r="F154" s="38" t="str">
        <f>TRIM(データ!G151)</f>
        <v>式</v>
      </c>
      <c r="G154" s="50">
        <f>データ!H151</f>
        <v>1</v>
      </c>
      <c r="H154" s="48">
        <f>データ!I151</f>
        <v>1000000</v>
      </c>
      <c r="I154" s="48">
        <f>データ!J151</f>
        <v>1000000</v>
      </c>
      <c r="J154" s="39" t="str">
        <f>IF(OR($C154="総括",$C154="内訳書",$C154="内訳代価",$C154="明細書",$C154="明細代価",$C154="代価表",$C154="単価表"),データ!K151,"")</f>
        <v/>
      </c>
      <c r="K154" s="11" t="str">
        <f t="shared" si="12"/>
        <v/>
      </c>
      <c r="L154" s="46">
        <f t="shared" si="13"/>
        <v>6.535947712418301E-2</v>
      </c>
      <c r="M154" s="40" t="str">
        <f>IF(データ!L151="","",データ!L151)</f>
        <v/>
      </c>
      <c r="N154" s="41" t="str">
        <f>IF(データ!M151="","",データ!M151)</f>
        <v/>
      </c>
      <c r="O154" s="42">
        <f>データ!N151</f>
        <v>0</v>
      </c>
      <c r="P154" s="48">
        <f>IF($C154="集計行","",データ!O151)</f>
        <v>0</v>
      </c>
      <c r="Q154" s="48">
        <f>データ!P151</f>
        <v>0</v>
      </c>
      <c r="R154" s="39" t="str">
        <f>IF(OR($C154="総括",$C154="内訳書",$C154="内訳代価",$C154="明細書",$C154="明細代価",$C154="代価表",$C154="単価表"),データ!Q151,"")</f>
        <v/>
      </c>
      <c r="S154" s="11" t="str">
        <f t="shared" si="14"/>
        <v/>
      </c>
      <c r="T154" s="46" t="e">
        <f t="shared" si="15"/>
        <v>#DIV/0!</v>
      </c>
      <c r="U154" s="40" t="str">
        <f>IF(データ!R151="","",データ!R151)</f>
        <v/>
      </c>
      <c r="V154" s="41" t="str">
        <f>IF(データ!S151="","",データ!S151)</f>
        <v/>
      </c>
      <c r="W154" s="42">
        <f>データ!T151</f>
        <v>0</v>
      </c>
      <c r="X154" s="48">
        <f>IF($C154="集計行","",データ!U151)</f>
        <v>0</v>
      </c>
      <c r="Y154" s="48">
        <f>データ!V151</f>
        <v>0</v>
      </c>
      <c r="Z154" s="39" t="str">
        <f>IF(OR($C154="総括",$C154="内訳書",$C154="内訳代価",$C154="明細書",$C154="明細代価",$C154="代価表",$C154="単価表"),データ!W151,"")</f>
        <v/>
      </c>
      <c r="AA154" s="11" t="str">
        <f t="shared" si="16"/>
        <v/>
      </c>
      <c r="AB154" s="46" t="e">
        <f t="shared" si="17"/>
        <v>#DIV/0!</v>
      </c>
      <c r="AC154" s="40" t="str">
        <f>IF(データ!X151="","",データ!X151)</f>
        <v/>
      </c>
      <c r="AD154" s="41" t="str">
        <f>IF(データ!Y151="","",データ!Y151)</f>
        <v/>
      </c>
      <c r="AE154" s="47" t="str">
        <f>TRIM(データ!B151)</f>
        <v>g20718107</v>
      </c>
      <c r="AF154" s="43" t="str">
        <f>TRIM(データ!Z151)</f>
        <v/>
      </c>
    </row>
    <row r="155" spans="1:32" x14ac:dyDescent="0.15">
      <c r="A155" s="47">
        <f>データ!A152</f>
        <v>2</v>
      </c>
      <c r="B155" s="47" t="str">
        <f>TRIM(データ!C152)</f>
        <v/>
      </c>
      <c r="C155" s="47" t="str">
        <f>TRIM(データ!D152)</f>
        <v>外注費</v>
      </c>
      <c r="D155" s="36" t="str">
        <f>REPT("｜",$A155)&amp;TRIM(データ!E152)</f>
        <v>｜｜法定福利費</v>
      </c>
      <c r="E155" s="37" t="str">
        <f>TRIM(データ!F152)</f>
        <v>労務費*16%</v>
      </c>
      <c r="F155" s="38" t="str">
        <f>TRIM(データ!G152)</f>
        <v>式</v>
      </c>
      <c r="G155" s="50">
        <f>データ!H152</f>
        <v>1</v>
      </c>
      <c r="H155" s="48">
        <f>データ!I152</f>
        <v>370000</v>
      </c>
      <c r="I155" s="48">
        <f>データ!J152</f>
        <v>370000</v>
      </c>
      <c r="J155" s="39" t="str">
        <f>IF(OR($C155="総括",$C155="内訳書",$C155="内訳代価",$C155="明細書",$C155="明細代価",$C155="代価表",$C155="単価表"),データ!K152,"")</f>
        <v/>
      </c>
      <c r="K155" s="11" t="str">
        <f t="shared" si="12"/>
        <v/>
      </c>
      <c r="L155" s="46">
        <f t="shared" si="13"/>
        <v>2.4183006535947713E-2</v>
      </c>
      <c r="M155" s="40" t="str">
        <f>IF(データ!L152="","",データ!L152)</f>
        <v/>
      </c>
      <c r="N155" s="41" t="str">
        <f>IF(データ!M152="","",データ!M152)</f>
        <v/>
      </c>
      <c r="O155" s="42">
        <f>データ!N152</f>
        <v>0</v>
      </c>
      <c r="P155" s="48">
        <f>IF($C155="集計行","",データ!O152)</f>
        <v>0</v>
      </c>
      <c r="Q155" s="48">
        <f>データ!P152</f>
        <v>0</v>
      </c>
      <c r="R155" s="39" t="str">
        <f>IF(OR($C155="総括",$C155="内訳書",$C155="内訳代価",$C155="明細書",$C155="明細代価",$C155="代価表",$C155="単価表"),データ!Q152,"")</f>
        <v/>
      </c>
      <c r="S155" s="11" t="str">
        <f t="shared" si="14"/>
        <v/>
      </c>
      <c r="T155" s="46" t="e">
        <f t="shared" si="15"/>
        <v>#DIV/0!</v>
      </c>
      <c r="U155" s="40" t="str">
        <f>IF(データ!R152="","",データ!R152)</f>
        <v/>
      </c>
      <c r="V155" s="41" t="str">
        <f>IF(データ!S152="","",データ!S152)</f>
        <v/>
      </c>
      <c r="W155" s="42">
        <f>データ!T152</f>
        <v>0</v>
      </c>
      <c r="X155" s="48">
        <f>IF($C155="集計行","",データ!U152)</f>
        <v>0</v>
      </c>
      <c r="Y155" s="48">
        <f>データ!V152</f>
        <v>0</v>
      </c>
      <c r="Z155" s="39" t="str">
        <f>IF(OR($C155="総括",$C155="内訳書",$C155="内訳代価",$C155="明細書",$C155="明細代価",$C155="代価表",$C155="単価表"),データ!W152,"")</f>
        <v/>
      </c>
      <c r="AA155" s="11" t="str">
        <f t="shared" si="16"/>
        <v/>
      </c>
      <c r="AB155" s="46" t="e">
        <f t="shared" si="17"/>
        <v>#DIV/0!</v>
      </c>
      <c r="AC155" s="40" t="str">
        <f>IF(データ!X152="","",データ!X152)</f>
        <v/>
      </c>
      <c r="AD155" s="41" t="str">
        <f>IF(データ!Y152="","",データ!Y152)</f>
        <v/>
      </c>
      <c r="AE155" s="47" t="str">
        <f>TRIM(データ!B152)</f>
        <v>g20718106</v>
      </c>
      <c r="AF155" s="43" t="str">
        <f>TRIM(データ!Z152)</f>
        <v/>
      </c>
    </row>
    <row r="156" spans="1:32" x14ac:dyDescent="0.15">
      <c r="A156" s="44"/>
      <c r="B156" s="44"/>
      <c r="C156" s="7"/>
      <c r="D156" s="44"/>
      <c r="E156" s="44"/>
      <c r="F156" s="45"/>
      <c r="G156" s="44"/>
      <c r="H156" s="44"/>
      <c r="I156" s="44"/>
      <c r="J156" s="44"/>
      <c r="K156" s="45"/>
      <c r="L156" s="44"/>
      <c r="M156" s="44"/>
      <c r="N156" s="44"/>
      <c r="O156" s="44"/>
      <c r="P156" s="44"/>
      <c r="Q156" s="44"/>
      <c r="R156" s="44"/>
      <c r="S156" s="45"/>
      <c r="T156" s="44"/>
      <c r="U156" s="44"/>
      <c r="V156" s="44"/>
      <c r="W156" s="44"/>
      <c r="X156" s="44"/>
      <c r="Y156" s="44"/>
      <c r="Z156" s="44"/>
      <c r="AA156" s="45"/>
      <c r="AB156" s="44"/>
      <c r="AC156" s="44"/>
      <c r="AD156" s="44"/>
      <c r="AE156" s="44"/>
      <c r="AF156" s="9"/>
    </row>
  </sheetData>
  <autoFilter ref="A3:AE156" xr:uid="{00000000-0001-0000-0100-000000000000}"/>
  <mergeCells count="4">
    <mergeCell ref="AF2:AF3"/>
    <mergeCell ref="G2:N2"/>
    <mergeCell ref="O2:V2"/>
    <mergeCell ref="W2:AD2"/>
  </mergeCells>
  <phoneticPr fontId="3"/>
  <conditionalFormatting sqref="A4:AF155">
    <cfRule type="expression" dxfId="4" priority="6" stopIfTrue="1">
      <formula>$A4&lt;=1</formula>
    </cfRule>
    <cfRule type="expression" dxfId="3" priority="7" stopIfTrue="1">
      <formula>$A4=2</formula>
    </cfRule>
    <cfRule type="expression" dxfId="2" priority="8" stopIfTrue="1">
      <formula>$A4=3</formula>
    </cfRule>
    <cfRule type="expression" dxfId="1" priority="9" stopIfTrue="1">
      <formula>$A4=4</formula>
    </cfRule>
    <cfRule type="expression" dxfId="0" priority="10" stopIfTrue="1">
      <formula>$A4=5</formula>
    </cfRule>
  </conditionalFormatting>
  <printOptions horizontalCentered="1"/>
  <pageMargins left="0.47244094488188981" right="0.39370078740157483" top="0.98425196850393704" bottom="0.55118110236220474" header="0.59055118110236227" footer="0.39370078740157483"/>
  <pageSetup paperSize="8" scale="83" fitToHeight="100" orientation="portrait" r:id="rId1"/>
  <headerFooter alignWithMargins="0">
    <oddFooter>&amp;C&amp;F&amp;R&amp;P/&amp;N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データ</vt:lpstr>
      <vt:lpstr>内訳一覧</vt:lpstr>
      <vt:lpstr>内訳一覧!Print_Area</vt:lpstr>
      <vt:lpstr>内訳一覧!Print_Titles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2022-02-16T09:10:17Z</dcterms:created>
  <dcterms:modified xsi:type="dcterms:W3CDTF">2026-01-19T00:46:30Z</dcterms:modified>
</cp:coreProperties>
</file>