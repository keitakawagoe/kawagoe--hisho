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filterPrivacy="1" showInkAnnotation="0" updateLinks="never" codeName="ThisWorkbook"/>
  <xr:revisionPtr revIDLastSave="0" documentId="8_{FF52E826-E20A-4821-8BF2-32A185EB262A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'工事費一覧表(共通仮設費)'!$A$1:$AF$11</definedName>
    <definedName name="_xlnm.Print_Area" localSheetId="11">'工事費一覧表(現場経費)'!$A$1:$AF$11</definedName>
    <definedName name="_xlnm.Print_Area" localSheetId="6">'工事費一覧表(直接工事費)'!$A$1:$AF$41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O22" i="25" s="1"/>
  <c r="Q26" i="25"/>
  <c r="Q21" i="25" s="1"/>
  <c r="D10" i="25"/>
  <c r="D18" i="25"/>
  <c r="H26" i="25"/>
  <c r="H21" i="25" s="1"/>
  <c r="H22" i="25" s="1"/>
  <c r="P26" i="25"/>
  <c r="P21" i="25" s="1"/>
  <c r="P22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L26" i="25"/>
  <c r="L21" i="25" s="1"/>
  <c r="L22" i="25" s="1"/>
  <c r="D7" i="25"/>
  <c r="D15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<sst xmlns="http://schemas.openxmlformats.org/spreadsheetml/2006/main" count="1169" uniqueCount="353">
  <si>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</si>
  <si>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</si>
  <si>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</si>
  <si>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</si>
  <si>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</si>
  <si>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</si>
  <si>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</si>
  <si>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</si>
  <si>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</si>
  <si>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</si>
  <si>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</si>
  <si>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</si>
  <si>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</si>
  <si>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</si>
  <si>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</si>
  <si>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</si>
  <si>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</si>
  <si>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</si>
  <si>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</si>
  <si>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</si>
  <si>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</si>
  <si>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</si>
  <si>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</si>
  <si>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</si>
  <si>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</si>
  <si>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</si>
  <si>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</si>
  <si>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</si>
  <si>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</si>
  <si>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</si>
  <si>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</si>
  <si>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</si>
  <si>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</si>
  <si>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</si>
  <si>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</si>
  <si>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</si>
  <si>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</si>
  <si>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</si>
  <si>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</si>
  <si>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</si>
  <si>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</si>
  <si>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</si>
  <si>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</si>
  <si>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</si>
  <si>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</si>
  <si>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</si>
  <si>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</si>
  <si>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</si>
  <si>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</si>
  <si>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</si>
  <si>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</si>
  <si>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</si>
  <si>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</si>
  <si>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</si>
  <si>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</si>
  <si>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</si>
  <si>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</si>
  <si>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</si>
  <si>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</si>
  <si>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</si>
  <si>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</si>
  <si>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</si>
  <si>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</si>
  <si>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</si>
  <si>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</si>
  <si>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</si>
  <si>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</si>
  <si>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</si>
  <si>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</si>
  <si>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</si>
  <si>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</si>
  <si>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</si>
  <si>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</si>
  <si>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</si>
  <si>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</si>
  <si>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</si>
  <si>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</si>
  <si>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</si>
  <si>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</si>
  <si>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</si>
  <si>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</si>
  <si>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</si>
  <si>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</si>
  <si>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</si>
  <si>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</si>
  <si>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</si>
  <si>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</si>
  <si>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</si>
  <si>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</si>
  <si>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</si>
  <si>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</si>
  <si>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</si>
  <si>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</si>
  <si>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</si>
  <si>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</si>
  <si>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</si>
  <si>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</si>
  <si>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</si>
  <si>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</si>
  <si>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</si>
  <si>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</si>
  <si>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</si>
  <si>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</si>
  <si>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</si>
  <si>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</si>
  <si>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</si>
  <si>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</si>
  <si>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</si>
  <si>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</si>
  <si>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</si>
  <si>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</si>
  <si>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</si>
  <si>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</si>
  <si>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</si>
  <si>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</si>
  <si>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</si>
  <si>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</si>
  <si>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</si>
  <si>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</si>
  <si>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</si>
  <si>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</si>
  <si>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</si>
  <si>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</si>
  <si>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</si>
  <si>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</si>
  <si>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</si>
  <si>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</si>
  <si>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</si>
  <si>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</si>
  <si>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</si>
  <si>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</si>
  <si>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</si>
  <si>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</si>
  <si>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</si>
  <si>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</si>
  <si>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</si>
  <si>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</si>
  <si>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</si>
  <si>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</si>
  <si>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</si>
  <si>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</si>
  <si>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</si>
  <si>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</si>
  <si>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</si>
  <si>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</si>
  <si>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2320710000 G</t>
  </si>
  <si>
    <t>（当　初）</t>
  </si>
  <si>
    <t>城山　和範</t>
  </si>
  <si>
    <t>24-000みなとみらい21地域冷暖房施設ｾﾝﾀｰﾌﾟﾗﾝﾄｱﾌﾟﾛｰﾁ改修工事</t>
  </si>
  <si>
    <t>大洋建設株式会社</t>
  </si>
  <si>
    <t>横浜支店</t>
  </si>
  <si>
    <t>横浜市中区桜木町地内</t>
  </si>
  <si>
    <t>2024年7月8日</t>
  </si>
  <si>
    <t>2024年12月25日</t>
  </si>
  <si>
    <t>技術管理費</t>
  </si>
  <si>
    <t>社員給料</t>
  </si>
  <si>
    <t>事務用品費</t>
  </si>
  <si>
    <t>保険料</t>
  </si>
  <si>
    <t>雑費</t>
  </si>
  <si>
    <t>式</t>
  </si>
  <si>
    <t>(コピー機、トナー、文具、コピー用紙、その他)</t>
  </si>
  <si>
    <t>(建退共・労災保険・労災上乗せ保険　等)</t>
  </si>
  <si>
    <t>(現場特有で発生が見込まれる費用　等)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</si>
  <si>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</si>
  <si>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</si>
  <si>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</si>
  <si>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</si>
  <si>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</si>
  <si>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</si>
  <si>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</si>
  <si>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</si>
  <si>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24-000MM21ｾﾝﾀｰﾌﾟﾗﾝﾄｱﾌﾟﾛｰﾁ改修工事</t>
  </si>
  <si>
    <t>関東支社</t>
  </si>
  <si>
    <t>単独</t>
  </si>
  <si>
    <t>G</t>
  </si>
  <si>
    <t>2024年3月29日</t>
  </si>
  <si>
    <t>2024年7月8日 ～ 2024年12月25日</t>
  </si>
  <si>
    <t>直接工事費</t>
  </si>
  <si>
    <t xml:space="preserve">  土木電気工事</t>
  </si>
  <si>
    <t xml:space="preserve">  </t>
  </si>
  <si>
    <t>37号</t>
  </si>
  <si>
    <t>内訳書</t>
  </si>
  <si>
    <t xml:space="preserve">  太陽光ﾊﾟﾈﾙ電気接続</t>
  </si>
  <si>
    <t xml:space="preserve">  （PCS～屋外P.BOX）</t>
  </si>
  <si>
    <t>46号</t>
  </si>
  <si>
    <t xml:space="preserve">  法定福利費</t>
  </si>
  <si>
    <t>6号</t>
  </si>
  <si>
    <t xml:space="preserve">  諸経費</t>
  </si>
  <si>
    <t>7号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</si>
  <si>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</si>
  <si>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</si>
  <si>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</si>
  <si>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</si>
  <si>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</si>
  <si>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</si>
  <si>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</si>
  <si>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土木電気工事</t>
  </si>
  <si>
    <t>太陽光ﾊﾟﾈﾙ電気接続</t>
  </si>
  <si>
    <t>（PCS～屋外P.BOX）</t>
  </si>
  <si>
    <t>諸経費</t>
  </si>
  <si>
    <t>計</t>
  </si>
  <si>
    <t>24-000みなとみらい21地域冷暖房施設ｾﾝﾀｰﾌﾟﾗﾝﾄｱﾌﾟﾛｰﾁ改修工事</t>
    <phoneticPr fontId="4"/>
  </si>
  <si>
    <t>総括</t>
  </si>
  <si>
    <t>集計行</t>
  </si>
  <si>
    <t>｜直接工事費</t>
  </si>
  <si>
    <t>内訳代価</t>
  </si>
  <si>
    <t>｜｜土木電気工事</t>
  </si>
  <si>
    <t>37号内訳書</t>
  </si>
  <si>
    <t>｜｜｜ｿｰﾗｰﾊﾟﾈﾙ本体</t>
  </si>
  <si>
    <t>690*1257*3枚set*10組</t>
  </si>
  <si>
    <t>m2</t>
  </si>
  <si>
    <t>38号内訳書</t>
  </si>
  <si>
    <t>｜｜｜｜ｿｰﾗｰﾊﾟﾈﾙ本体</t>
  </si>
  <si>
    <t>｜｜｜｜ｷｬﾋﾞﾈｯﾄﾎﾞｯｸｽ材料費</t>
  </si>
  <si>
    <t>｜｜｜ﾊﾟﾈﾙ設置費</t>
  </si>
  <si>
    <t>39号内訳書</t>
  </si>
  <si>
    <t>｜｜｜｜技工</t>
  </si>
  <si>
    <t>事前準備・施工後片付け</t>
  </si>
  <si>
    <t>人</t>
  </si>
  <si>
    <t xml:space="preserve">r2002 </t>
  </si>
  <si>
    <t xml:space="preserve">{数量=1*6} </t>
  </si>
  <si>
    <t>ﾄﾚﾝﾁ斫り・ﾊﾟﾈﾙ貼付・ﾊﾟｯﾁG・ｼｰﾙ</t>
  </si>
  <si>
    <t xml:space="preserve">{数量=4*7} </t>
  </si>
  <si>
    <t>｜｜｜｜雑材</t>
  </si>
  <si>
    <t>消耗品費</t>
  </si>
  <si>
    <t>｜｜｜｜車両リース代</t>
  </si>
  <si>
    <t>｜｜｜ｿｰﾗｰﾊﾟﾈﾙ本体ﾚﾍﾞﾙ調整材</t>
  </si>
  <si>
    <t>薄層混合物　t=23mm程度</t>
  </si>
  <si>
    <t>40号内訳書</t>
  </si>
  <si>
    <t>｜｜｜｜ｱｽﾓﾙ</t>
  </si>
  <si>
    <t>引取り</t>
  </si>
  <si>
    <t>t</t>
  </si>
  <si>
    <t xml:space="preserve">{数量=1.8*2.4*5*0.025*2.4*1.1} </t>
  </si>
  <si>
    <t>｜｜｜｜RSK-3・4</t>
  </si>
  <si>
    <t>缶</t>
  </si>
  <si>
    <t>養生材</t>
  </si>
  <si>
    <t>｜｜｜｜小物機械</t>
  </si>
  <si>
    <t>台</t>
  </si>
  <si>
    <t xml:space="preserve">{数量=1*1} </t>
  </si>
  <si>
    <t>｜｜｜｜3tﾀﾞﾝﾌﾟ</t>
  </si>
  <si>
    <t>｜｜｜｜連絡車</t>
  </si>
  <si>
    <t>Wﾋﾟｯｸ</t>
  </si>
  <si>
    <t>｜｜｜ｿｰﾗｰﾊﾟﾈﾙ電圧変圧器</t>
  </si>
  <si>
    <t>電機盤、ﾊﾟﾜｰﾕﾆｯﾄ、基礎</t>
  </si>
  <si>
    <t>基</t>
  </si>
  <si>
    <t>42号内訳書</t>
  </si>
  <si>
    <t>｜｜｜｜生コン</t>
  </si>
  <si>
    <t>18-8-20</t>
  </si>
  <si>
    <t>m3</t>
  </si>
  <si>
    <t>｜｜｜｜RC-40</t>
  </si>
  <si>
    <t>型枠材他</t>
  </si>
  <si>
    <t xml:space="preserve">{数量=2*4} </t>
  </si>
  <si>
    <t xml:space="preserve">{数量=2*1} </t>
  </si>
  <si>
    <t>｜｜太陽光ﾊﾟﾈﾙ電気接続</t>
  </si>
  <si>
    <t>46号内訳書</t>
  </si>
  <si>
    <t>｜｜｜配管・配管</t>
  </si>
  <si>
    <t>FEP(30)・EM-CE8.0-3C</t>
  </si>
  <si>
    <t>ｍ</t>
  </si>
  <si>
    <t>47号内訳書</t>
  </si>
  <si>
    <t>｜｜｜｜配管・配線</t>
  </si>
  <si>
    <t>｜｜｜｜配線</t>
  </si>
  <si>
    <t>ﾊﾟﾈﾙ配線含む</t>
  </si>
  <si>
    <t>｜｜法定福利費</t>
  </si>
  <si>
    <t>6号内訳書</t>
  </si>
  <si>
    <t>｜｜｜法定福利費</t>
  </si>
  <si>
    <t>リーヴァ</t>
  </si>
  <si>
    <t>寺田建設</t>
  </si>
  <si>
    <t>｜｜諸経費</t>
  </si>
  <si>
    <t>7号内訳書</t>
  </si>
  <si>
    <t>｜｜｜諸経費</t>
  </si>
  <si>
    <t>予算</t>
    <phoneticPr fontId="6"/>
  </si>
  <si>
    <t>重機運搬費</t>
  </si>
  <si>
    <t>準備費</t>
  </si>
  <si>
    <t>仮設費</t>
  </si>
  <si>
    <t>安全費</t>
  </si>
  <si>
    <t>｜共通仮設費</t>
  </si>
  <si>
    <t>｜｜重機運搬費</t>
  </si>
  <si>
    <t>28号内訳書</t>
  </si>
  <si>
    <t>｜｜準備費</t>
  </si>
  <si>
    <t>29号内訳書</t>
  </si>
  <si>
    <t>｜｜仮設費</t>
  </si>
  <si>
    <t>30号内訳書</t>
  </si>
  <si>
    <t>｜｜安全費</t>
  </si>
  <si>
    <t>31号内訳書</t>
  </si>
  <si>
    <t>｜｜技術管理費</t>
  </si>
  <si>
    <t>32号内訳書</t>
  </si>
  <si>
    <t>33号</t>
  </si>
  <si>
    <t>34号</t>
  </si>
  <si>
    <t>35号</t>
  </si>
  <si>
    <t>36号</t>
  </si>
  <si>
    <t>｜現場経費</t>
  </si>
  <si>
    <t>｜｜社員給料</t>
  </si>
  <si>
    <t>33号内訳書</t>
  </si>
  <si>
    <t>｜｜｜社員給料</t>
  </si>
  <si>
    <t>総合5級　昼間</t>
  </si>
  <si>
    <t>日</t>
  </si>
  <si>
    <t>｜｜事務用品費</t>
  </si>
  <si>
    <t>34号内訳書</t>
  </si>
  <si>
    <t>｜｜保険料</t>
  </si>
  <si>
    <t>35号内訳書</t>
  </si>
  <si>
    <t>｜｜雑費</t>
  </si>
  <si>
    <t>36号内訳書</t>
  </si>
  <si>
    <t>工事名称</t>
    <phoneticPr fontId="6"/>
  </si>
  <si>
    <t>24-000みなとみらい21地域冷暖房施設ｾﾝﾀｰﾌﾟﾗﾝﾄｱﾌﾟﾛｰﾁ改修工事</t>
    <phoneticPr fontId="6"/>
  </si>
  <si>
    <t>2320710000 G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</si>
  <si>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</si>
  <si>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</si>
  <si>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</si>
  <si>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</si>
  <si>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</si>
  <si>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</si>
  <si>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</si>
  <si>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RC-40</t>
    <phoneticPr fontId="6"/>
  </si>
  <si>
    <t>m3</t>
    <phoneticPr fontId="6"/>
  </si>
  <si>
    <t>材料費</t>
    <phoneticPr fontId="6"/>
  </si>
  <si>
    <t>RSK-3・4</t>
    <phoneticPr fontId="6"/>
  </si>
  <si>
    <t>缶</t>
    <phoneticPr fontId="6"/>
  </si>
  <si>
    <t>ｱｽﾓﾙ</t>
    <phoneticPr fontId="6"/>
  </si>
  <si>
    <t>t</t>
    <phoneticPr fontId="6"/>
  </si>
  <si>
    <t>引取り</t>
    <phoneticPr fontId="6"/>
  </si>
  <si>
    <t>ｷｬﾋﾞﾈｯﾄﾎﾞｯｸｽ材料費</t>
    <phoneticPr fontId="6"/>
  </si>
  <si>
    <t>式</t>
    <phoneticPr fontId="6"/>
  </si>
  <si>
    <t>ｿｰﾗｰﾊﾟﾈﾙ本体</t>
    <phoneticPr fontId="6"/>
  </si>
  <si>
    <t>690*1257*3枚set*10組</t>
    <phoneticPr fontId="6"/>
  </si>
  <si>
    <t>雑材</t>
    <phoneticPr fontId="6"/>
  </si>
  <si>
    <t>型枠材他</t>
    <phoneticPr fontId="6"/>
  </si>
  <si>
    <t>消耗品費</t>
    <phoneticPr fontId="6"/>
  </si>
  <si>
    <t>養生材</t>
    <phoneticPr fontId="6"/>
  </si>
  <si>
    <t>生コン</t>
    <phoneticPr fontId="6"/>
  </si>
  <si>
    <t>18-8-20</t>
    <phoneticPr fontId="6"/>
  </si>
  <si>
    <t>計</t>
    <phoneticPr fontId="6"/>
  </si>
  <si>
    <t>技工</t>
    <phoneticPr fontId="6"/>
  </si>
  <si>
    <t>人</t>
    <phoneticPr fontId="6"/>
  </si>
  <si>
    <t>労務費</t>
    <phoneticPr fontId="6"/>
  </si>
  <si>
    <t>ﾄﾚﾝﾁ斫り・ﾊﾟﾈﾙ貼付・ﾊﾟｯﾁG・ｼｰﾙ</t>
    <phoneticPr fontId="6"/>
  </si>
  <si>
    <t>事前準備・施工後片付け</t>
    <phoneticPr fontId="6"/>
  </si>
  <si>
    <t>諸経費</t>
    <phoneticPr fontId="6"/>
  </si>
  <si>
    <t>リーヴァ</t>
    <phoneticPr fontId="6"/>
  </si>
  <si>
    <t>外注費</t>
    <phoneticPr fontId="6"/>
  </si>
  <si>
    <t>寺田建設</t>
    <phoneticPr fontId="6"/>
  </si>
  <si>
    <t>配管・配線</t>
    <phoneticPr fontId="6"/>
  </si>
  <si>
    <t>FEP(30)・EM-CE8.0-3C</t>
    <phoneticPr fontId="6"/>
  </si>
  <si>
    <t>配線</t>
    <phoneticPr fontId="6"/>
  </si>
  <si>
    <t>ｍ</t>
    <phoneticPr fontId="6"/>
  </si>
  <si>
    <t>ﾊﾟﾈﾙ配線含む</t>
    <phoneticPr fontId="6"/>
  </si>
  <si>
    <t>車両リース代</t>
    <phoneticPr fontId="6"/>
  </si>
  <si>
    <t>機械費</t>
    <phoneticPr fontId="6"/>
  </si>
  <si>
    <t>小物機械</t>
    <phoneticPr fontId="6"/>
  </si>
  <si>
    <t>台</t>
    <phoneticPr fontId="6"/>
  </si>
  <si>
    <t>3tﾀﾞﾝﾌﾟ</t>
    <phoneticPr fontId="6"/>
  </si>
  <si>
    <t>運搬費</t>
    <phoneticPr fontId="6"/>
  </si>
  <si>
    <t>連絡車</t>
    <phoneticPr fontId="6"/>
  </si>
  <si>
    <t>Wﾋﾟｯｸ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</si>
</sst>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distributed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185" fontId="8" fillId="0" borderId="5" xfId="0" applyNumberFormat="1" applyFont="1" applyBorder="1" applyAlignment="1">
      <alignment horizontal="right" vertical="center" shrinkToFit="1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128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0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3" fillId="0" borderId="99" xfId="3" applyNumberFormat="1" applyFont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center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387" t="s">
        <v>0</v>
      </c>
      <c r="AD1" s="388"/>
      <c r="AE1" s="388"/>
      <c r="AF1" s="388"/>
      <c r="AG1" s="389"/>
      <c r="AH1" s="390"/>
      <c r="AI1" s="390"/>
      <c r="AJ1" s="390"/>
      <c r="AK1" s="390"/>
      <c r="AL1" s="390"/>
      <c r="AM1" s="3"/>
      <c r="AP1" s="4"/>
    </row>
    <row r="2" spans="1:42" ht="22.5" customHeight="1" thickBot="1">
      <c r="A2" s="5"/>
      <c r="B2" s="257"/>
      <c r="L2" s="257"/>
      <c r="M2" s="391" t="s">
        <v>1</v>
      </c>
      <c r="N2" s="392"/>
      <c r="O2" s="392"/>
      <c r="P2" s="392"/>
      <c r="Q2" s="392"/>
      <c r="R2" s="392"/>
      <c r="S2" s="392"/>
      <c r="T2" s="392"/>
      <c r="U2" s="392"/>
      <c r="V2" s="392"/>
      <c r="W2" s="392"/>
      <c r="X2" s="392"/>
      <c r="Y2" s="392"/>
      <c r="Z2" s="392"/>
      <c r="AA2" s="392"/>
      <c r="AB2" s="392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393" t="s">
        <v>2</v>
      </c>
      <c r="D3" s="394"/>
      <c r="E3" s="394"/>
      <c r="F3" s="394"/>
      <c r="G3" s="395" t="s">
        <v>145</v>
      </c>
      <c r="H3" s="396"/>
      <c r="I3" s="396"/>
      <c r="J3" s="396"/>
      <c r="K3" s="397"/>
      <c r="L3" s="257"/>
      <c r="M3" s="257"/>
      <c r="N3" s="257"/>
      <c r="O3" s="398" t="s">
        <v>146</v>
      </c>
      <c r="P3" s="398"/>
      <c r="Q3" s="398"/>
      <c r="R3" s="398"/>
      <c r="S3" s="398"/>
      <c r="T3" s="398"/>
      <c r="U3" s="398"/>
      <c r="V3" s="398"/>
      <c r="W3" s="398"/>
      <c r="X3" s="398"/>
      <c r="Y3" s="398"/>
      <c r="Z3" s="398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399" t="s">
        <v>5</v>
      </c>
      <c r="H6" s="400"/>
      <c r="I6" s="400"/>
      <c r="J6" s="400"/>
      <c r="K6" s="400"/>
      <c r="L6" s="400"/>
      <c r="M6" s="400"/>
      <c r="N6" s="400"/>
      <c r="O6" s="400"/>
      <c r="P6" s="400"/>
      <c r="Q6" s="401" t="s">
        <v>6</v>
      </c>
      <c r="R6" s="402"/>
      <c r="S6" s="402"/>
      <c r="T6" s="402"/>
      <c r="U6" s="402"/>
      <c r="V6" s="402"/>
      <c r="W6" s="402"/>
      <c r="X6" s="402"/>
      <c r="Y6" s="402"/>
      <c r="Z6" s="402"/>
      <c r="AA6" s="401" t="s">
        <v>7</v>
      </c>
      <c r="AB6" s="400"/>
      <c r="AC6" s="400"/>
      <c r="AD6" s="400"/>
      <c r="AE6" s="400"/>
      <c r="AF6" s="400"/>
      <c r="AG6" s="400"/>
      <c r="AH6" s="400"/>
      <c r="AI6" s="400"/>
      <c r="AJ6" s="400"/>
      <c r="AK6" s="400"/>
      <c r="AL6" s="257"/>
      <c r="AM6" s="6"/>
    </row>
    <row r="7" spans="1:42">
      <c r="A7" s="5"/>
      <c r="B7" s="257"/>
      <c r="C7" s="257"/>
      <c r="D7" s="257"/>
      <c r="E7" s="257"/>
      <c r="F7" s="257"/>
      <c r="G7" s="399" t="s">
        <v>8</v>
      </c>
      <c r="H7" s="403"/>
      <c r="I7" s="403"/>
      <c r="J7" s="399" t="s">
        <v>9</v>
      </c>
      <c r="K7" s="403"/>
      <c r="L7" s="403"/>
      <c r="M7" s="403"/>
      <c r="N7" s="403"/>
      <c r="O7" s="403"/>
      <c r="P7" s="403"/>
      <c r="Q7" s="404" t="s">
        <v>10</v>
      </c>
      <c r="R7" s="404"/>
      <c r="S7" s="404"/>
      <c r="T7" s="401" t="s">
        <v>11</v>
      </c>
      <c r="U7" s="403"/>
      <c r="V7" s="403"/>
      <c r="W7" s="403"/>
      <c r="X7" s="403"/>
      <c r="Y7" s="403"/>
      <c r="Z7" s="403"/>
      <c r="AA7" s="401" t="s">
        <v>12</v>
      </c>
      <c r="AB7" s="403"/>
      <c r="AC7" s="403"/>
      <c r="AD7" s="401" t="s">
        <v>13</v>
      </c>
      <c r="AE7" s="403"/>
      <c r="AF7" s="403"/>
      <c r="AG7" s="403"/>
      <c r="AH7" s="403"/>
      <c r="AI7" s="401" t="s">
        <v>14</v>
      </c>
      <c r="AJ7" s="403"/>
      <c r="AK7" s="403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05" t="s">
        <v>135</v>
      </c>
      <c r="F10" s="405"/>
      <c r="G10" s="405"/>
      <c r="H10" s="405"/>
      <c r="I10" s="406" t="s">
        <v>148</v>
      </c>
      <c r="J10" s="406"/>
      <c r="K10" s="406"/>
      <c r="L10" s="406"/>
      <c r="M10" s="406"/>
      <c r="N10" s="406"/>
      <c r="O10" s="406"/>
      <c r="P10" s="406"/>
      <c r="Q10" s="406"/>
      <c r="R10" s="406"/>
      <c r="S10" s="406"/>
      <c r="T10" s="406"/>
      <c r="U10" s="406"/>
      <c r="V10" s="406"/>
      <c r="W10" s="406"/>
      <c r="X10" s="406"/>
      <c r="Y10" s="406"/>
      <c r="Z10" s="406"/>
      <c r="AA10" s="406"/>
      <c r="AB10" s="406"/>
      <c r="AC10" s="406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05" t="s">
        <v>136</v>
      </c>
      <c r="F12" s="405"/>
      <c r="G12" s="405"/>
      <c r="H12" s="405"/>
      <c r="I12" s="407" t="s">
        <v>149</v>
      </c>
      <c r="J12" s="407"/>
      <c r="K12" s="407"/>
      <c r="L12" s="407"/>
      <c r="M12" s="407"/>
      <c r="N12" s="407"/>
      <c r="O12" s="407"/>
      <c r="P12" s="407"/>
      <c r="Q12" s="407"/>
      <c r="R12" s="407"/>
      <c r="S12" s="407"/>
      <c r="T12" s="407"/>
      <c r="U12" s="407"/>
      <c r="V12" s="407"/>
      <c r="W12" s="407"/>
      <c r="X12" s="407"/>
      <c r="Y12" s="407"/>
      <c r="Z12" s="407"/>
      <c r="AA12" s="407"/>
      <c r="AB12" s="407"/>
      <c r="AC12" s="407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08" t="s">
        <v>137</v>
      </c>
      <c r="F14" s="409"/>
      <c r="G14" s="409"/>
      <c r="H14" s="409"/>
      <c r="I14" s="410">
        <v>14300000</v>
      </c>
      <c r="J14" s="411"/>
      <c r="K14" s="411"/>
      <c r="L14" s="411"/>
      <c r="M14" s="411"/>
      <c r="N14" s="411"/>
      <c r="O14" s="411"/>
      <c r="P14" s="411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05" t="s">
        <v>15</v>
      </c>
      <c r="F16" s="413"/>
      <c r="G16" s="413"/>
      <c r="H16" s="413"/>
      <c r="I16" s="414">
        <v>10601988</v>
      </c>
      <c r="J16" s="415"/>
      <c r="K16" s="415"/>
      <c r="L16" s="415"/>
      <c r="M16" s="415"/>
      <c r="N16" s="415"/>
      <c r="O16" s="415"/>
      <c r="P16" s="415"/>
      <c r="Q16" s="412">
        <v>0.74139999999999995</v>
      </c>
      <c r="R16" s="412"/>
      <c r="S16" s="412"/>
      <c r="U16" s="405" t="s">
        <v>16</v>
      </c>
      <c r="V16" s="413"/>
      <c r="W16" s="413"/>
      <c r="X16" s="413"/>
      <c r="Y16" s="414">
        <v>3698012</v>
      </c>
      <c r="Z16" s="415"/>
      <c r="AA16" s="415"/>
      <c r="AB16" s="415"/>
      <c r="AC16" s="415"/>
      <c r="AD16" s="415"/>
      <c r="AE16" s="415"/>
      <c r="AF16" s="415"/>
      <c r="AG16" s="412">
        <v>0.2586</v>
      </c>
      <c r="AH16" s="412"/>
      <c r="AI16" s="412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05" t="s">
        <v>17</v>
      </c>
      <c r="F18" s="413"/>
      <c r="G18" s="413"/>
      <c r="H18" s="413"/>
      <c r="I18" s="414"/>
      <c r="J18" s="415"/>
      <c r="K18" s="415"/>
      <c r="L18" s="415"/>
      <c r="M18" s="415"/>
      <c r="N18" s="415"/>
      <c r="O18" s="415"/>
      <c r="P18" s="415"/>
      <c r="Q18" s="412"/>
      <c r="R18" s="412"/>
      <c r="S18" s="412"/>
      <c r="U18" s="405" t="s">
        <v>18</v>
      </c>
      <c r="V18" s="413"/>
      <c r="W18" s="413"/>
      <c r="X18" s="413"/>
      <c r="Y18" s="414"/>
      <c r="Z18" s="415"/>
      <c r="AA18" s="415"/>
      <c r="AB18" s="415"/>
      <c r="AC18" s="415"/>
      <c r="AD18" s="415"/>
      <c r="AE18" s="415"/>
      <c r="AF18" s="415"/>
      <c r="AG18" s="412"/>
      <c r="AH18" s="412"/>
      <c r="AI18" s="412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423" t="s">
        <v>150</v>
      </c>
      <c r="B26" s="424"/>
      <c r="C26" s="424"/>
      <c r="D26" s="424"/>
      <c r="E26" s="424"/>
      <c r="F26" s="424"/>
      <c r="G26" s="424"/>
      <c r="H26" s="424"/>
      <c r="I26" s="424"/>
      <c r="J26" s="424"/>
      <c r="K26" s="424"/>
      <c r="L26" s="424"/>
      <c r="M26" s="424"/>
      <c r="N26" s="424"/>
      <c r="O26" s="424"/>
      <c r="P26" s="424"/>
      <c r="Q26" s="424"/>
      <c r="R26" s="424"/>
      <c r="S26" s="424"/>
      <c r="T26" s="425"/>
      <c r="U26" s="426"/>
      <c r="V26" s="426"/>
      <c r="W26" s="426"/>
      <c r="X26" s="426"/>
      <c r="Y26" s="426"/>
      <c r="Z26" s="426"/>
      <c r="AA26" s="426"/>
      <c r="AB26" s="426"/>
      <c r="AC26" s="426"/>
      <c r="AD26" s="426"/>
      <c r="AE26" s="426"/>
      <c r="AF26" s="426"/>
      <c r="AG26" s="426"/>
      <c r="AH26" s="426"/>
      <c r="AI26" s="426"/>
      <c r="AJ26" s="426"/>
      <c r="AK26" s="426"/>
      <c r="AL26" s="426"/>
      <c r="AM26" s="427"/>
    </row>
    <row r="27" spans="1:39">
      <c r="A27" s="428" t="s">
        <v>21</v>
      </c>
      <c r="B27" s="429"/>
      <c r="C27" s="429"/>
      <c r="D27" s="429"/>
      <c r="E27" s="430"/>
      <c r="F27" s="431" t="s">
        <v>151</v>
      </c>
      <c r="G27" s="432"/>
      <c r="H27" s="432"/>
      <c r="I27" s="432"/>
      <c r="J27" s="432"/>
      <c r="K27" s="432"/>
      <c r="L27" s="432"/>
      <c r="M27" s="432"/>
      <c r="N27" s="432"/>
      <c r="O27" s="432"/>
      <c r="P27" s="432"/>
      <c r="Q27" s="432"/>
      <c r="R27" s="432"/>
      <c r="S27" s="432"/>
      <c r="T27" s="432"/>
      <c r="U27" s="432"/>
      <c r="V27" s="432"/>
      <c r="W27" s="432"/>
      <c r="X27" s="432"/>
      <c r="Y27" s="432"/>
      <c r="Z27" s="432"/>
      <c r="AA27" s="432"/>
      <c r="AB27" s="432"/>
      <c r="AC27" s="432"/>
      <c r="AD27" s="432"/>
      <c r="AE27" s="432"/>
      <c r="AF27" s="432"/>
      <c r="AG27" s="432"/>
      <c r="AH27" s="432"/>
      <c r="AI27" s="432"/>
      <c r="AJ27" s="432"/>
      <c r="AK27" s="432"/>
      <c r="AL27" s="432"/>
      <c r="AM27" s="433"/>
    </row>
    <row r="28" spans="1:39">
      <c r="A28" s="419" t="s">
        <v>22</v>
      </c>
      <c r="B28" s="420"/>
      <c r="C28" s="420"/>
      <c r="D28" s="420"/>
      <c r="E28" s="434"/>
      <c r="F28" s="435" t="s">
        <v>152</v>
      </c>
      <c r="G28" s="436"/>
      <c r="H28" s="436"/>
      <c r="I28" s="436"/>
      <c r="J28" s="436"/>
      <c r="K28" s="436"/>
      <c r="L28" s="416" t="s">
        <v>138</v>
      </c>
      <c r="M28" s="416"/>
      <c r="N28" s="417" t="s">
        <v>153</v>
      </c>
      <c r="O28" s="417"/>
      <c r="P28" s="417"/>
      <c r="Q28" s="417"/>
      <c r="R28" s="417"/>
      <c r="S28" s="437"/>
      <c r="T28" s="438" t="s">
        <v>23</v>
      </c>
      <c r="U28" s="420"/>
      <c r="V28" s="420"/>
      <c r="W28" s="420"/>
      <c r="X28" s="434"/>
      <c r="Y28" s="435" t="s">
        <v>152</v>
      </c>
      <c r="Z28" s="436"/>
      <c r="AA28" s="436"/>
      <c r="AB28" s="436"/>
      <c r="AC28" s="436"/>
      <c r="AD28" s="436"/>
      <c r="AE28" s="416" t="s">
        <v>138</v>
      </c>
      <c r="AF28" s="416"/>
      <c r="AG28" s="417" t="s">
        <v>153</v>
      </c>
      <c r="AH28" s="417"/>
      <c r="AI28" s="417"/>
      <c r="AJ28" s="417"/>
      <c r="AK28" s="417"/>
      <c r="AL28" s="417"/>
      <c r="AM28" s="418"/>
    </row>
    <row r="29" spans="1:39">
      <c r="A29" s="419" t="s">
        <v>24</v>
      </c>
      <c r="B29" s="420"/>
      <c r="C29" s="420"/>
      <c r="D29" s="420"/>
      <c r="E29" s="420"/>
      <c r="F29" s="420"/>
      <c r="G29" s="420"/>
      <c r="H29" s="420"/>
      <c r="I29" s="420"/>
      <c r="J29" s="420"/>
      <c r="K29" s="420"/>
      <c r="L29" s="420"/>
      <c r="M29" s="420"/>
      <c r="N29" s="420"/>
      <c r="O29" s="420"/>
      <c r="P29" s="420"/>
      <c r="Q29" s="420"/>
      <c r="R29" s="420"/>
      <c r="S29" s="420"/>
      <c r="T29" s="420"/>
      <c r="U29" s="420"/>
      <c r="V29" s="420"/>
      <c r="W29" s="420"/>
      <c r="X29" s="420"/>
      <c r="Y29" s="420"/>
      <c r="Z29" s="420"/>
      <c r="AA29" s="420"/>
      <c r="AB29" s="420"/>
      <c r="AC29" s="420"/>
      <c r="AD29" s="420"/>
      <c r="AE29" s="420"/>
      <c r="AF29" s="420"/>
      <c r="AG29" s="420"/>
      <c r="AH29" s="420"/>
      <c r="AI29" s="420"/>
      <c r="AJ29" s="420"/>
      <c r="AK29" s="420"/>
      <c r="AL29" s="420"/>
      <c r="AM29" s="421"/>
    </row>
    <row r="30" spans="1:39" ht="18" customHeight="1">
      <c r="A30" s="439"/>
      <c r="B30" s="440"/>
      <c r="C30" s="440"/>
      <c r="D30" s="440"/>
      <c r="E30" s="440"/>
      <c r="F30" s="440"/>
      <c r="G30" s="440"/>
      <c r="H30" s="440"/>
      <c r="I30" s="440"/>
      <c r="J30" s="440"/>
      <c r="K30" s="440"/>
      <c r="L30" s="440"/>
      <c r="M30" s="440"/>
      <c r="N30" s="440"/>
      <c r="O30" s="440"/>
      <c r="P30" s="440"/>
      <c r="Q30" s="440"/>
      <c r="R30" s="440"/>
      <c r="S30" s="440"/>
      <c r="T30" s="440"/>
      <c r="U30" s="440"/>
      <c r="V30" s="440"/>
      <c r="W30" s="440"/>
      <c r="X30" s="440"/>
      <c r="Y30" s="440"/>
      <c r="Z30" s="440"/>
      <c r="AA30" s="440"/>
      <c r="AB30" s="440"/>
      <c r="AC30" s="440"/>
      <c r="AD30" s="440"/>
      <c r="AE30" s="440"/>
      <c r="AF30" s="440"/>
      <c r="AG30" s="440"/>
      <c r="AH30" s="440"/>
      <c r="AI30" s="440"/>
      <c r="AJ30" s="440"/>
      <c r="AK30" s="440"/>
      <c r="AL30" s="440"/>
      <c r="AM30" s="441"/>
    </row>
    <row r="31" spans="1:39" ht="18" customHeight="1" thickBot="1">
      <c r="A31" s="442"/>
      <c r="B31" s="443"/>
      <c r="C31" s="443"/>
      <c r="D31" s="443"/>
      <c r="E31" s="443"/>
      <c r="F31" s="443"/>
      <c r="G31" s="443"/>
      <c r="H31" s="443"/>
      <c r="I31" s="443"/>
      <c r="J31" s="443"/>
      <c r="K31" s="443"/>
      <c r="L31" s="443"/>
      <c r="M31" s="443"/>
      <c r="N31" s="443"/>
      <c r="O31" s="443"/>
      <c r="P31" s="443"/>
      <c r="Q31" s="443"/>
      <c r="R31" s="443"/>
      <c r="S31" s="443"/>
      <c r="T31" s="443"/>
      <c r="U31" s="443"/>
      <c r="V31" s="443"/>
      <c r="W31" s="443"/>
      <c r="X31" s="443"/>
      <c r="Y31" s="443"/>
      <c r="Z31" s="443"/>
      <c r="AA31" s="443"/>
      <c r="AB31" s="443"/>
      <c r="AC31" s="443"/>
      <c r="AD31" s="443"/>
      <c r="AE31" s="443"/>
      <c r="AF31" s="443"/>
      <c r="AG31" s="443"/>
      <c r="AH31" s="443"/>
      <c r="AI31" s="443"/>
      <c r="AJ31" s="443"/>
      <c r="AK31" s="443"/>
      <c r="AL31" s="443"/>
      <c r="AM31" s="444"/>
    </row>
    <row r="32" spans="1:39">
      <c r="A32" s="422" t="s">
        <v>132</v>
      </c>
      <c r="B32" s="422"/>
      <c r="C32" s="422"/>
      <c r="D32" s="422"/>
      <c r="E32" s="422"/>
      <c r="F32" s="422"/>
      <c r="G32" s="422"/>
      <c r="H32" s="422"/>
      <c r="I32" s="422"/>
      <c r="J32" s="422"/>
      <c r="K32" s="422"/>
      <c r="L32" s="422"/>
      <c r="M32" s="422"/>
      <c r="N32" s="422"/>
      <c r="O32" s="422"/>
      <c r="P32" s="422"/>
      <c r="Q32" s="422"/>
      <c r="R32" s="422"/>
      <c r="S32" s="422"/>
      <c r="T32" s="422"/>
      <c r="U32" s="422"/>
      <c r="V32" s="422"/>
      <c r="W32" s="422"/>
      <c r="X32" s="422"/>
      <c r="Y32" s="422"/>
      <c r="Z32" s="422"/>
      <c r="AA32" s="422"/>
      <c r="AB32" s="422"/>
      <c r="AC32" s="422"/>
      <c r="AD32" s="422"/>
      <c r="AE32" s="422"/>
      <c r="AF32" s="422"/>
      <c r="AG32" s="422"/>
      <c r="AH32" s="422"/>
      <c r="AI32" s="422"/>
      <c r="AJ32" s="422"/>
      <c r="AK32" s="422"/>
      <c r="AL32" s="422"/>
      <c r="AM32" s="422"/>
    </row>
  </sheetData>
  <mergeCells count="49"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E10:H10"/>
    <mergeCell ref="I10:AC10"/>
    <mergeCell ref="E12:H12"/>
    <mergeCell ref="I12:AC12"/>
    <mergeCell ref="E14:H14"/>
    <mergeCell ref="I14:P14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AC1:AF1"/>
    <mergeCell ref="AG1:AL1"/>
    <mergeCell ref="M2:AB2"/>
    <mergeCell ref="C3:F3"/>
    <mergeCell ref="G3:K3"/>
    <mergeCell ref="O3:Z3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2" t="s">
        <v>27</v>
      </c>
      <c r="L2" s="453"/>
      <c r="M2" s="454"/>
      <c r="N2" s="473" t="s">
        <v>145</v>
      </c>
      <c r="O2" s="474"/>
      <c r="P2" s="474"/>
      <c r="Q2" s="474"/>
      <c r="R2" s="475"/>
      <c r="S2" s="38" t="s">
        <v>28</v>
      </c>
      <c r="T2" s="359"/>
    </row>
    <row r="3" spans="1:20" ht="24.75" customHeight="1">
      <c r="A3" s="33"/>
      <c r="B3" s="39" t="s">
        <v>29</v>
      </c>
      <c r="C3" s="455">
        <v>45481</v>
      </c>
      <c r="D3" s="456"/>
      <c r="E3" s="272" t="s">
        <v>139</v>
      </c>
      <c r="F3" s="457">
        <v>45651</v>
      </c>
      <c r="G3" s="457"/>
      <c r="H3" s="457"/>
      <c r="I3" s="273"/>
      <c r="J3" s="273"/>
      <c r="K3" s="458" t="s">
        <v>30</v>
      </c>
      <c r="L3" s="459"/>
      <c r="M3" s="460"/>
      <c r="N3" s="445">
        <v>14300000</v>
      </c>
      <c r="O3" s="446"/>
      <c r="P3" s="447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0</v>
      </c>
      <c r="D5" s="335">
        <f>IF(C5&lt;&gt;"",C5/$C$20,"")</f>
        <v>0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1070000</v>
      </c>
      <c r="D6" s="336">
        <f t="shared" ref="D6:D17" si="0">IF(C6&lt;&gt;"",C6/$C$20,"")</f>
        <v>1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0</v>
      </c>
      <c r="D7" s="336">
        <f t="shared" si="0"/>
        <v>0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157</v>
      </c>
      <c r="C8" s="277">
        <v>0</v>
      </c>
      <c r="D8" s="336">
        <f t="shared" si="0"/>
        <v>0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158</v>
      </c>
      <c r="C9" s="277">
        <v>0</v>
      </c>
      <c r="D9" s="336">
        <f t="shared" si="0"/>
        <v>0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/>
      <c r="C10" s="277"/>
      <c r="D10" s="336" t="str">
        <f t="shared" si="0"/>
        <v/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/>
      <c r="C11" s="277"/>
      <c r="D11" s="336" t="str">
        <f t="shared" si="0"/>
        <v/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/>
      <c r="C12" s="277"/>
      <c r="D12" s="336" t="str">
        <f t="shared" si="0"/>
        <v/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/>
      <c r="C13" s="277"/>
      <c r="D13" s="336" t="str">
        <f t="shared" si="0"/>
        <v/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/>
      <c r="C14" s="277"/>
      <c r="D14" s="336" t="str">
        <f t="shared" si="0"/>
        <v/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/>
      <c r="C15" s="277"/>
      <c r="D15" s="336" t="str">
        <f t="shared" si="0"/>
        <v/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/>
      <c r="C16" s="277"/>
      <c r="D16" s="336" t="str">
        <f t="shared" si="0"/>
        <v/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/>
      <c r="C17" s="278"/>
      <c r="D17" s="336" t="str">
        <f t="shared" si="0"/>
        <v/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/>
      <c r="C18" s="278"/>
      <c r="D18" s="336" t="str">
        <f>IF(C18&lt;&gt;"",C18/$C$20,"")</f>
        <v/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/>
      <c r="C19" s="278"/>
      <c r="D19" s="336" t="str">
        <f>IF(C19&lt;&gt;"",C19/$C$20,"")</f>
        <v/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1070000</v>
      </c>
      <c r="D20" s="337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48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49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1" t="s">
        <v>119</v>
      </c>
      <c r="D25" s="462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3"/>
      <c r="D26" s="464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5" t="s">
        <v>120</v>
      </c>
      <c r="D27" s="466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7"/>
      <c r="D28" s="468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69"/>
      <c r="D30" s="470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1"/>
      <c r="D31" s="472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50"/>
      <c r="D32" s="451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50"/>
      <c r="D33" s="451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50"/>
      <c r="D34" s="451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50"/>
      <c r="D35" s="451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50"/>
      <c r="D36" s="451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50"/>
      <c r="D37" s="451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50"/>
      <c r="D38" s="451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50"/>
      <c r="D39" s="451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50"/>
      <c r="D40" s="451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50"/>
      <c r="D41" s="451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50"/>
      <c r="D42" s="451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50"/>
      <c r="D43" s="451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50"/>
      <c r="D44" s="451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76"/>
      <c r="D45" s="477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31" r:id="rId4" name="btn3">
          <controlPr defaultSize="0" autoLine="0" autoPict="0" r:id="rId5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4" name="btn3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29" r:id="rId8" name="btn1">
          <controlPr defaultSize="0" autoLine="0" autoPict="0" r:id="rId9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8" name="bt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/>
      <c r="L5" s="283" t="s">
        <v>159</v>
      </c>
      <c r="M5" s="284">
        <v>1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/>
      <c r="L6" s="290" t="s">
        <v>159</v>
      </c>
      <c r="M6" s="291">
        <v>1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 t="s">
        <v>160</v>
      </c>
      <c r="L7" s="290" t="s">
        <v>159</v>
      </c>
      <c r="M7" s="291">
        <v>1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157</v>
      </c>
      <c r="K8" s="289" t="s">
        <v>161</v>
      </c>
      <c r="L8" s="290" t="s">
        <v>159</v>
      </c>
      <c r="M8" s="291">
        <v>1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158</v>
      </c>
      <c r="K9" s="289" t="s">
        <v>162</v>
      </c>
      <c r="L9" s="290" t="s">
        <v>159</v>
      </c>
      <c r="M9" s="291">
        <v>1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/>
      <c r="K10" s="289"/>
      <c r="L10" s="290"/>
      <c r="M10" s="291"/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/>
      <c r="K11" s="289"/>
      <c r="L11" s="290"/>
      <c r="M11" s="291"/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/>
      <c r="K12" s="289"/>
      <c r="L12" s="290"/>
      <c r="M12" s="291"/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/>
      <c r="K13" s="289"/>
      <c r="L13" s="290"/>
      <c r="M13" s="291"/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/>
      <c r="K14" s="289"/>
      <c r="L14" s="290"/>
      <c r="M14" s="291"/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/>
      <c r="K15" s="289"/>
      <c r="L15" s="290"/>
      <c r="M15" s="291"/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/>
      <c r="K16" s="289"/>
      <c r="L16" s="290"/>
      <c r="M16" s="291"/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/>
      <c r="K17" s="289"/>
      <c r="L17" s="290"/>
      <c r="M17" s="291"/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/>
      <c r="K18" s="289"/>
      <c r="L18" s="290"/>
      <c r="M18" s="291"/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/>
      <c r="K19" s="295"/>
      <c r="L19" s="296"/>
      <c r="M19" s="297"/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488" t="s">
        <v>50</v>
      </c>
      <c r="B2" s="489"/>
      <c r="C2" s="489"/>
      <c r="D2" s="489"/>
      <c r="E2" s="489"/>
      <c r="F2" s="489"/>
      <c r="G2" s="489"/>
      <c r="H2" s="489"/>
      <c r="I2" s="489"/>
      <c r="J2" s="489"/>
      <c r="K2" s="489"/>
      <c r="L2" s="489"/>
      <c r="M2" s="489"/>
      <c r="N2" s="489"/>
      <c r="O2" s="489"/>
      <c r="P2" s="490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491"/>
      <c r="N3" s="491"/>
      <c r="O3" s="478"/>
      <c r="P3" s="69"/>
    </row>
    <row r="4" spans="1:17" ht="30" customHeight="1">
      <c r="A4" s="69"/>
      <c r="B4" s="104" t="s">
        <v>51</v>
      </c>
      <c r="C4" s="492" t="s">
        <v>148</v>
      </c>
      <c r="D4" s="493"/>
      <c r="E4" s="493"/>
      <c r="F4" s="493"/>
      <c r="G4" s="493"/>
      <c r="H4" s="493"/>
      <c r="I4" s="493"/>
      <c r="J4" s="493"/>
      <c r="K4" s="493"/>
      <c r="L4" s="493"/>
      <c r="M4" s="493"/>
      <c r="N4" s="493"/>
      <c r="O4" s="494"/>
      <c r="P4" s="69"/>
    </row>
    <row r="5" spans="1:17" ht="30" customHeight="1">
      <c r="A5" s="69"/>
      <c r="B5" s="105" t="s">
        <v>52</v>
      </c>
      <c r="C5" s="495" t="s">
        <v>171</v>
      </c>
      <c r="D5" s="496"/>
      <c r="E5" s="246" t="s">
        <v>133</v>
      </c>
      <c r="F5" s="497" t="s">
        <v>172</v>
      </c>
      <c r="G5" s="498"/>
      <c r="H5" s="246" t="s">
        <v>134</v>
      </c>
      <c r="I5" s="495" t="s">
        <v>150</v>
      </c>
      <c r="J5" s="499"/>
      <c r="K5" s="500"/>
      <c r="L5" s="106" t="s">
        <v>118</v>
      </c>
      <c r="M5" s="495"/>
      <c r="N5" s="499"/>
      <c r="O5" s="501"/>
      <c r="P5" s="69"/>
    </row>
    <row r="6" spans="1:17" ht="30" customHeight="1">
      <c r="A6" s="69"/>
      <c r="B6" s="107" t="s">
        <v>53</v>
      </c>
      <c r="C6" s="495" t="s">
        <v>145</v>
      </c>
      <c r="D6" s="500"/>
      <c r="E6" s="106"/>
      <c r="F6" s="108" t="s">
        <v>54</v>
      </c>
      <c r="G6" s="108" t="s">
        <v>55</v>
      </c>
      <c r="H6" s="109" t="s">
        <v>163</v>
      </c>
      <c r="I6" s="110" t="s">
        <v>164</v>
      </c>
      <c r="J6" s="110" t="s">
        <v>165</v>
      </c>
      <c r="K6" s="110" t="s">
        <v>166</v>
      </c>
      <c r="L6" s="110" t="s">
        <v>167</v>
      </c>
      <c r="M6" s="111" t="s">
        <v>168</v>
      </c>
      <c r="N6" s="110" t="s">
        <v>169</v>
      </c>
      <c r="O6" s="112" t="s">
        <v>170</v>
      </c>
      <c r="P6" s="247"/>
      <c r="Q6" s="248"/>
    </row>
    <row r="7" spans="1:17" ht="30" customHeight="1">
      <c r="A7" s="69"/>
      <c r="B7" s="107" t="s">
        <v>56</v>
      </c>
      <c r="C7" s="495" t="s">
        <v>149</v>
      </c>
      <c r="D7" s="500"/>
      <c r="E7" s="113" t="s">
        <v>57</v>
      </c>
      <c r="F7" s="249">
        <v>14300000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5"/>
      <c r="D8" s="511"/>
      <c r="E8" s="113" t="s">
        <v>59</v>
      </c>
      <c r="F8" s="249">
        <v>10601988</v>
      </c>
      <c r="G8" s="334">
        <v>0.74139999999999995</v>
      </c>
      <c r="H8" s="250">
        <v>6604000</v>
      </c>
      <c r="I8" s="251">
        <v>1158000</v>
      </c>
      <c r="J8" s="251">
        <v>1474700</v>
      </c>
      <c r="K8" s="251">
        <v>89000</v>
      </c>
      <c r="L8" s="252">
        <v>30000</v>
      </c>
      <c r="M8" s="252"/>
      <c r="N8" s="253">
        <v>1070000</v>
      </c>
      <c r="O8" s="254">
        <v>176300</v>
      </c>
      <c r="P8" s="255"/>
      <c r="Q8" s="235"/>
    </row>
    <row r="9" spans="1:17" ht="30" customHeight="1">
      <c r="A9" s="69"/>
      <c r="B9" s="107" t="s">
        <v>21</v>
      </c>
      <c r="C9" s="495" t="s">
        <v>151</v>
      </c>
      <c r="D9" s="500"/>
      <c r="E9" s="114" t="s">
        <v>60</v>
      </c>
      <c r="F9" s="249">
        <v>9531988</v>
      </c>
      <c r="G9" s="334">
        <v>0.66659999999999997</v>
      </c>
      <c r="H9" s="250">
        <v>6604000</v>
      </c>
      <c r="I9" s="251">
        <v>1158000</v>
      </c>
      <c r="J9" s="251">
        <v>1474700</v>
      </c>
      <c r="K9" s="251">
        <v>89000</v>
      </c>
      <c r="L9" s="252">
        <v>30000</v>
      </c>
      <c r="M9" s="252"/>
      <c r="N9" s="253"/>
      <c r="O9" s="254">
        <v>176300</v>
      </c>
      <c r="P9" s="365"/>
      <c r="Q9" s="366"/>
    </row>
    <row r="10" spans="1:17" ht="30" customHeight="1">
      <c r="A10" s="69"/>
      <c r="B10" s="107" t="s">
        <v>61</v>
      </c>
      <c r="C10" s="495" t="s">
        <v>147</v>
      </c>
      <c r="D10" s="500"/>
      <c r="E10" s="114" t="s">
        <v>62</v>
      </c>
      <c r="F10" s="249"/>
      <c r="G10" s="334"/>
      <c r="H10" s="250"/>
      <c r="I10" s="253"/>
      <c r="J10" s="253"/>
      <c r="K10" s="253"/>
      <c r="L10" s="251"/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5"/>
      <c r="D11" s="500"/>
      <c r="E11" s="114" t="s">
        <v>64</v>
      </c>
      <c r="F11" s="249">
        <v>1070000</v>
      </c>
      <c r="G11" s="334">
        <v>7.4800000000000005E-2</v>
      </c>
      <c r="H11" s="250"/>
      <c r="I11" s="253"/>
      <c r="J11" s="253"/>
      <c r="K11" s="253"/>
      <c r="L11" s="251"/>
      <c r="M11" s="252"/>
      <c r="N11" s="253">
        <v>1070000</v>
      </c>
      <c r="O11" s="254"/>
      <c r="P11" s="365"/>
      <c r="Q11" s="256"/>
    </row>
    <row r="12" spans="1:17" ht="30" customHeight="1">
      <c r="A12" s="69"/>
      <c r="B12" s="107" t="s">
        <v>65</v>
      </c>
      <c r="C12" s="495" t="s">
        <v>173</v>
      </c>
      <c r="D12" s="511"/>
      <c r="E12" s="113" t="s">
        <v>66</v>
      </c>
      <c r="F12" s="249">
        <v>3698012</v>
      </c>
      <c r="G12" s="334">
        <v>0.2586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5" t="s">
        <v>174</v>
      </c>
      <c r="D13" s="511"/>
      <c r="E13" s="169" t="s">
        <v>110</v>
      </c>
      <c r="F13" s="249">
        <v>929500</v>
      </c>
      <c r="G13" s="334">
        <v>6.5000000000000002E-2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5" t="s">
        <v>175</v>
      </c>
      <c r="D14" s="500"/>
      <c r="E14" s="114" t="s">
        <v>111</v>
      </c>
      <c r="F14" s="249">
        <v>715000</v>
      </c>
      <c r="G14" s="334">
        <v>0.05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515" t="s">
        <v>176</v>
      </c>
      <c r="D15" s="516"/>
      <c r="E15" s="114" t="s">
        <v>112</v>
      </c>
      <c r="F15" s="249">
        <v>214500</v>
      </c>
      <c r="G15" s="334">
        <v>1.4999999999999999E-2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5" t="s">
        <v>176</v>
      </c>
      <c r="D16" s="500"/>
      <c r="E16" s="113" t="s">
        <v>113</v>
      </c>
      <c r="F16" s="249">
        <v>2768512</v>
      </c>
      <c r="G16" s="334">
        <v>0.19359999999999999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502" t="s">
        <v>70</v>
      </c>
      <c r="C17" s="505"/>
      <c r="D17" s="506"/>
      <c r="E17" s="113" t="s">
        <v>114</v>
      </c>
      <c r="F17" s="249">
        <v>143000</v>
      </c>
      <c r="G17" s="334">
        <v>0.01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503"/>
      <c r="C18" s="507"/>
      <c r="D18" s="508"/>
      <c r="E18" s="168" t="s">
        <v>115</v>
      </c>
      <c r="F18" s="249">
        <v>2625512</v>
      </c>
      <c r="G18" s="334">
        <v>0.18360000000000001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504"/>
      <c r="C19" s="509"/>
      <c r="D19" s="510"/>
      <c r="E19" s="173" t="s">
        <v>69</v>
      </c>
      <c r="F19" s="512"/>
      <c r="G19" s="513"/>
      <c r="H19" s="513"/>
      <c r="I19" s="513"/>
      <c r="J19" s="513"/>
      <c r="K19" s="513"/>
      <c r="L19" s="513"/>
      <c r="M19" s="513"/>
      <c r="N19" s="513"/>
      <c r="O19" s="514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F19:O19"/>
    <mergeCell ref="C12:D12"/>
    <mergeCell ref="C13:D13"/>
    <mergeCell ref="C14:D14"/>
    <mergeCell ref="C15:D15"/>
    <mergeCell ref="C16:D16"/>
    <mergeCell ref="B17:B19"/>
    <mergeCell ref="C17:D19"/>
    <mergeCell ref="C6:D6"/>
    <mergeCell ref="C7:D7"/>
    <mergeCell ref="C8:D8"/>
    <mergeCell ref="C9:D9"/>
    <mergeCell ref="C10:D10"/>
    <mergeCell ref="C11:D11"/>
    <mergeCell ref="A2:P2"/>
    <mergeCell ref="M3:O3"/>
    <mergeCell ref="C4:O4"/>
    <mergeCell ref="C5:D5"/>
    <mergeCell ref="F5:G5"/>
    <mergeCell ref="I5:K5"/>
    <mergeCell ref="M5:O5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177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27"/>
      <c r="E7" s="528"/>
      <c r="F7" s="529"/>
      <c r="G7" s="530"/>
      <c r="H7" s="352"/>
      <c r="I7" s="531"/>
      <c r="J7" s="226"/>
      <c r="K7" s="69" t="s">
        <v>96</v>
      </c>
    </row>
    <row r="8" spans="1:11" ht="15.6" customHeight="1">
      <c r="A8" s="69"/>
      <c r="B8" s="222" t="s">
        <v>178</v>
      </c>
      <c r="C8" s="166"/>
      <c r="D8" s="517" t="s">
        <v>159</v>
      </c>
      <c r="E8" s="519">
        <v>1</v>
      </c>
      <c r="F8" s="521">
        <v>7880988</v>
      </c>
      <c r="G8" s="523">
        <v>7880988</v>
      </c>
      <c r="H8" s="351" t="s">
        <v>180</v>
      </c>
      <c r="I8" s="525">
        <v>0.55110000000000003</v>
      </c>
      <c r="J8" s="227"/>
      <c r="K8" s="69" t="s">
        <v>96</v>
      </c>
    </row>
    <row r="9" spans="1:11" ht="15.6" customHeight="1">
      <c r="A9" s="69"/>
      <c r="B9" s="224" t="s">
        <v>179</v>
      </c>
      <c r="C9" s="225"/>
      <c r="D9" s="527"/>
      <c r="E9" s="528"/>
      <c r="F9" s="529"/>
      <c r="G9" s="530"/>
      <c r="H9" s="352" t="s">
        <v>181</v>
      </c>
      <c r="I9" s="531"/>
      <c r="J9" s="227"/>
      <c r="K9" s="69" t="s">
        <v>96</v>
      </c>
    </row>
    <row r="10" spans="1:11" ht="15.6" customHeight="1">
      <c r="A10" s="69"/>
      <c r="B10" s="222" t="s">
        <v>182</v>
      </c>
      <c r="C10" s="166"/>
      <c r="D10" s="517" t="s">
        <v>159</v>
      </c>
      <c r="E10" s="519">
        <v>1</v>
      </c>
      <c r="F10" s="521">
        <v>1100000</v>
      </c>
      <c r="G10" s="523">
        <v>1100000</v>
      </c>
      <c r="H10" s="351" t="s">
        <v>184</v>
      </c>
      <c r="I10" s="525">
        <v>7.6899999999999996E-2</v>
      </c>
      <c r="J10" s="223"/>
      <c r="K10" s="69" t="s">
        <v>96</v>
      </c>
    </row>
    <row r="11" spans="1:11" ht="15.6" customHeight="1">
      <c r="A11" s="69"/>
      <c r="B11" s="224" t="s">
        <v>183</v>
      </c>
      <c r="C11" s="225"/>
      <c r="D11" s="527"/>
      <c r="E11" s="528"/>
      <c r="F11" s="529"/>
      <c r="G11" s="530"/>
      <c r="H11" s="352" t="s">
        <v>181</v>
      </c>
      <c r="I11" s="531"/>
      <c r="J11" s="226"/>
      <c r="K11" s="69" t="s">
        <v>96</v>
      </c>
    </row>
    <row r="12" spans="1:11" ht="15.6" customHeight="1">
      <c r="A12" s="69"/>
      <c r="B12" s="222" t="s">
        <v>185</v>
      </c>
      <c r="C12" s="166"/>
      <c r="D12" s="517" t="s">
        <v>159</v>
      </c>
      <c r="E12" s="519">
        <v>1</v>
      </c>
      <c r="F12" s="521">
        <v>176300</v>
      </c>
      <c r="G12" s="523">
        <v>176300</v>
      </c>
      <c r="H12" s="351" t="s">
        <v>186</v>
      </c>
      <c r="I12" s="525">
        <v>1.23E-2</v>
      </c>
      <c r="J12" s="223"/>
      <c r="K12" s="69" t="s">
        <v>96</v>
      </c>
    </row>
    <row r="13" spans="1:11" ht="15.6" customHeight="1">
      <c r="A13" s="69"/>
      <c r="B13" s="224" t="s">
        <v>179</v>
      </c>
      <c r="C13" s="225"/>
      <c r="D13" s="527"/>
      <c r="E13" s="528"/>
      <c r="F13" s="529"/>
      <c r="G13" s="530"/>
      <c r="H13" s="352" t="s">
        <v>181</v>
      </c>
      <c r="I13" s="531"/>
      <c r="J13" s="226"/>
      <c r="K13" s="69" t="s">
        <v>96</v>
      </c>
    </row>
    <row r="14" spans="1:11" ht="15.6" customHeight="1">
      <c r="A14" s="69"/>
      <c r="B14" s="222" t="s">
        <v>187</v>
      </c>
      <c r="C14" s="166"/>
      <c r="D14" s="517" t="s">
        <v>159</v>
      </c>
      <c r="E14" s="519">
        <v>1</v>
      </c>
      <c r="F14" s="521">
        <v>374700</v>
      </c>
      <c r="G14" s="523">
        <v>374700</v>
      </c>
      <c r="H14" s="351" t="s">
        <v>188</v>
      </c>
      <c r="I14" s="525">
        <v>2.6200000000000001E-2</v>
      </c>
      <c r="J14" s="223"/>
      <c r="K14" s="69" t="s">
        <v>96</v>
      </c>
    </row>
    <row r="15" spans="1:11" ht="15.6" customHeight="1">
      <c r="A15" s="69"/>
      <c r="B15" s="224" t="s">
        <v>179</v>
      </c>
      <c r="C15" s="225"/>
      <c r="D15" s="527"/>
      <c r="E15" s="528"/>
      <c r="F15" s="529"/>
      <c r="G15" s="530"/>
      <c r="H15" s="352" t="s">
        <v>181</v>
      </c>
      <c r="I15" s="531"/>
      <c r="J15" s="226"/>
      <c r="K15" s="69" t="s">
        <v>96</v>
      </c>
    </row>
    <row r="16" spans="1:11" ht="15.6" customHeight="1">
      <c r="A16" s="69"/>
      <c r="B16" s="222" t="s">
        <v>189</v>
      </c>
      <c r="C16" s="166"/>
      <c r="D16" s="517"/>
      <c r="E16" s="519"/>
      <c r="F16" s="521"/>
      <c r="G16" s="523">
        <v>9531988</v>
      </c>
      <c r="H16" s="351"/>
      <c r="I16" s="525">
        <v>0.66659999999999997</v>
      </c>
      <c r="J16" s="223"/>
      <c r="K16" s="69" t="s">
        <v>96</v>
      </c>
    </row>
    <row r="17" spans="1:11" ht="15.6" customHeight="1">
      <c r="A17" s="69"/>
      <c r="B17" s="224"/>
      <c r="C17" s="225"/>
      <c r="D17" s="527"/>
      <c r="E17" s="528"/>
      <c r="F17" s="529"/>
      <c r="G17" s="530"/>
      <c r="H17" s="352"/>
      <c r="I17" s="531"/>
      <c r="J17" s="226"/>
      <c r="K17" s="69" t="s">
        <v>96</v>
      </c>
    </row>
    <row r="18" spans="1:11" ht="15.6" customHeight="1">
      <c r="A18" s="69"/>
      <c r="B18" s="222"/>
      <c r="C18" s="166"/>
      <c r="D18" s="517"/>
      <c r="E18" s="519"/>
      <c r="F18" s="521"/>
      <c r="G18" s="523"/>
      <c r="H18" s="351"/>
      <c r="I18" s="525"/>
      <c r="J18" s="223"/>
      <c r="K18" s="69" t="s">
        <v>96</v>
      </c>
    </row>
    <row r="19" spans="1:11" ht="15.6" customHeight="1">
      <c r="A19" s="69"/>
      <c r="B19" s="224"/>
      <c r="C19" s="225"/>
      <c r="D19" s="527"/>
      <c r="E19" s="528"/>
      <c r="F19" s="529"/>
      <c r="G19" s="530"/>
      <c r="H19" s="352"/>
      <c r="I19" s="531"/>
      <c r="J19" s="226"/>
      <c r="K19" s="69" t="s">
        <v>96</v>
      </c>
    </row>
    <row r="20" spans="1:11" ht="15.6" customHeight="1">
      <c r="A20" s="69"/>
      <c r="B20" s="222" t="s">
        <v>190</v>
      </c>
      <c r="C20" s="166"/>
      <c r="D20" s="517"/>
      <c r="E20" s="519"/>
      <c r="F20" s="521"/>
      <c r="G20" s="523"/>
      <c r="H20" s="351"/>
      <c r="I20" s="525"/>
      <c r="J20" s="223"/>
      <c r="K20" s="69" t="s">
        <v>96</v>
      </c>
    </row>
    <row r="21" spans="1:11" ht="15.6" customHeight="1">
      <c r="A21" s="69"/>
      <c r="B21" s="224"/>
      <c r="C21" s="225"/>
      <c r="D21" s="527"/>
      <c r="E21" s="528"/>
      <c r="F21" s="529"/>
      <c r="G21" s="530"/>
      <c r="H21" s="352"/>
      <c r="I21" s="531"/>
      <c r="J21" s="226"/>
      <c r="K21" s="69" t="s">
        <v>96</v>
      </c>
    </row>
    <row r="22" spans="1:11" ht="15.6" customHeight="1">
      <c r="A22" s="69"/>
      <c r="B22" s="222" t="s">
        <v>191</v>
      </c>
      <c r="C22" s="166"/>
      <c r="D22" s="517"/>
      <c r="E22" s="519"/>
      <c r="F22" s="521"/>
      <c r="G22" s="523"/>
      <c r="H22" s="351"/>
      <c r="I22" s="525"/>
      <c r="J22" s="223"/>
      <c r="K22" s="69" t="s">
        <v>96</v>
      </c>
    </row>
    <row r="23" spans="1:11" ht="15.6" customHeight="1">
      <c r="A23" s="69"/>
      <c r="B23" s="224" t="s">
        <v>179</v>
      </c>
      <c r="C23" s="225"/>
      <c r="D23" s="527"/>
      <c r="E23" s="528"/>
      <c r="F23" s="529"/>
      <c r="G23" s="530"/>
      <c r="H23" s="352"/>
      <c r="I23" s="531"/>
      <c r="J23" s="226"/>
      <c r="K23" s="69" t="s">
        <v>96</v>
      </c>
    </row>
    <row r="24" spans="1:11" ht="15.6" customHeight="1">
      <c r="A24" s="69"/>
      <c r="B24" s="222" t="s">
        <v>192</v>
      </c>
      <c r="C24" s="166"/>
      <c r="D24" s="517" t="s">
        <v>159</v>
      </c>
      <c r="E24" s="519">
        <v>1</v>
      </c>
      <c r="F24" s="521">
        <v>1070000</v>
      </c>
      <c r="G24" s="523">
        <v>1070000</v>
      </c>
      <c r="H24" s="351"/>
      <c r="I24" s="525">
        <v>7.4800000000000005E-2</v>
      </c>
      <c r="J24" s="223"/>
      <c r="K24" s="69" t="s">
        <v>96</v>
      </c>
    </row>
    <row r="25" spans="1:11" ht="15.6" customHeight="1">
      <c r="A25" s="69"/>
      <c r="B25" s="224" t="s">
        <v>179</v>
      </c>
      <c r="C25" s="225"/>
      <c r="D25" s="527"/>
      <c r="E25" s="528"/>
      <c r="F25" s="529"/>
      <c r="G25" s="530"/>
      <c r="H25" s="352"/>
      <c r="I25" s="531"/>
      <c r="J25" s="226"/>
      <c r="K25" s="69" t="s">
        <v>96</v>
      </c>
    </row>
    <row r="26" spans="1:11" ht="15.6" customHeight="1">
      <c r="A26" s="69"/>
      <c r="B26" s="222" t="s">
        <v>193</v>
      </c>
      <c r="C26" s="166"/>
      <c r="D26" s="517"/>
      <c r="E26" s="519"/>
      <c r="F26" s="521"/>
      <c r="G26" s="523">
        <v>1070000</v>
      </c>
      <c r="H26" s="351"/>
      <c r="I26" s="525">
        <v>7.4800000000000005E-2</v>
      </c>
      <c r="J26" s="223"/>
      <c r="K26" s="69" t="s">
        <v>96</v>
      </c>
    </row>
    <row r="27" spans="1:11" ht="15.6" customHeight="1">
      <c r="A27" s="69"/>
      <c r="B27" s="224"/>
      <c r="C27" s="225"/>
      <c r="D27" s="527"/>
      <c r="E27" s="528"/>
      <c r="F27" s="529"/>
      <c r="G27" s="530"/>
      <c r="H27" s="352"/>
      <c r="I27" s="531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525"/>
      <c r="J28" s="223"/>
      <c r="K28" s="69" t="s">
        <v>96</v>
      </c>
    </row>
    <row r="29" spans="1:11" ht="15.6" customHeight="1">
      <c r="A29" s="69"/>
      <c r="B29" s="224"/>
      <c r="C29" s="225"/>
      <c r="D29" s="527"/>
      <c r="E29" s="528"/>
      <c r="F29" s="529"/>
      <c r="G29" s="530"/>
      <c r="H29" s="352"/>
      <c r="I29" s="531"/>
      <c r="J29" s="226"/>
      <c r="K29" s="69" t="s">
        <v>96</v>
      </c>
    </row>
    <row r="30" spans="1:11" ht="15.6" customHeight="1">
      <c r="A30" s="69"/>
      <c r="B30" s="222" t="s">
        <v>194</v>
      </c>
      <c r="C30" s="166"/>
      <c r="D30" s="517"/>
      <c r="E30" s="519"/>
      <c r="F30" s="521"/>
      <c r="G30" s="523">
        <v>10601988</v>
      </c>
      <c r="H30" s="351"/>
      <c r="I30" s="525">
        <v>0.74139999999999995</v>
      </c>
      <c r="J30" s="223"/>
      <c r="K30" s="69" t="s">
        <v>96</v>
      </c>
    </row>
    <row r="31" spans="1:11" ht="15.6" customHeight="1">
      <c r="A31" s="69"/>
      <c r="B31" s="224"/>
      <c r="C31" s="225"/>
      <c r="D31" s="527"/>
      <c r="E31" s="528"/>
      <c r="F31" s="529"/>
      <c r="G31" s="530"/>
      <c r="H31" s="352"/>
      <c r="I31" s="531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525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8"/>
      <c r="F33" s="529"/>
      <c r="G33" s="530"/>
      <c r="H33" s="354"/>
      <c r="I33" s="531"/>
      <c r="J33" s="226"/>
      <c r="K33" s="69" t="s">
        <v>96</v>
      </c>
    </row>
    <row r="34" spans="1:11" ht="15.6" customHeight="1">
      <c r="A34" s="69"/>
      <c r="B34" s="222" t="s">
        <v>195</v>
      </c>
      <c r="C34" s="166"/>
      <c r="D34" s="517"/>
      <c r="E34" s="519"/>
      <c r="F34" s="521"/>
      <c r="G34" s="523">
        <v>3698012</v>
      </c>
      <c r="H34" s="351"/>
      <c r="I34" s="525">
        <v>0.2586</v>
      </c>
      <c r="J34" s="223"/>
      <c r="K34" s="69" t="s">
        <v>96</v>
      </c>
    </row>
    <row r="35" spans="1:11" ht="15.6" customHeight="1">
      <c r="A35" s="69"/>
      <c r="B35" s="224"/>
      <c r="C35" s="225"/>
      <c r="D35" s="527"/>
      <c r="E35" s="528"/>
      <c r="F35" s="529"/>
      <c r="G35" s="530"/>
      <c r="H35" s="352"/>
      <c r="I35" s="531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525"/>
      <c r="J36" s="223"/>
      <c r="K36" s="69" t="s">
        <v>96</v>
      </c>
    </row>
    <row r="37" spans="1:11" ht="15.6" customHeight="1" thickBot="1">
      <c r="A37" s="69"/>
      <c r="B37" s="228"/>
      <c r="C37" s="229"/>
      <c r="D37" s="518"/>
      <c r="E37" s="520"/>
      <c r="F37" s="522"/>
      <c r="G37" s="524"/>
      <c r="H37" s="353"/>
      <c r="I37" s="526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144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131</v>
      </c>
      <c r="C43" s="166"/>
      <c r="D43" s="517"/>
      <c r="E43" s="519"/>
      <c r="F43" s="521"/>
      <c r="G43" s="523">
        <v>14300000</v>
      </c>
      <c r="H43" s="351"/>
      <c r="I43" s="525">
        <v>1</v>
      </c>
      <c r="J43" s="223"/>
      <c r="K43" s="69" t="s">
        <v>96</v>
      </c>
    </row>
    <row r="44" spans="1:11" ht="15.6" customHeight="1">
      <c r="A44" s="69"/>
      <c r="B44" s="224"/>
      <c r="C44" s="225"/>
      <c r="D44" s="527"/>
      <c r="E44" s="528"/>
      <c r="F44" s="529"/>
      <c r="G44" s="530"/>
      <c r="H44" s="352"/>
      <c r="I44" s="531"/>
      <c r="J44" s="226"/>
      <c r="K44" s="69" t="s">
        <v>96</v>
      </c>
    </row>
    <row r="45" spans="1:11" ht="15.6" customHeight="1">
      <c r="A45" s="69"/>
      <c r="B45" s="222"/>
      <c r="C45" s="166"/>
      <c r="D45" s="517"/>
      <c r="E45" s="519"/>
      <c r="F45" s="521"/>
      <c r="G45" s="523"/>
      <c r="H45" s="351"/>
      <c r="I45" s="525"/>
      <c r="J45" s="227"/>
      <c r="K45" s="69" t="s">
        <v>96</v>
      </c>
    </row>
    <row r="46" spans="1:11" ht="15.6" customHeight="1">
      <c r="A46" s="69"/>
      <c r="B46" s="224"/>
      <c r="C46" s="225"/>
      <c r="D46" s="527"/>
      <c r="E46" s="528"/>
      <c r="F46" s="529"/>
      <c r="G46" s="530"/>
      <c r="H46" s="352"/>
      <c r="I46" s="531"/>
      <c r="J46" s="227"/>
      <c r="K46" s="69" t="s">
        <v>96</v>
      </c>
    </row>
    <row r="47" spans="1:11" ht="15.6" customHeight="1">
      <c r="A47" s="69"/>
      <c r="B47" s="222"/>
      <c r="C47" s="166"/>
      <c r="D47" s="517"/>
      <c r="E47" s="519"/>
      <c r="F47" s="521"/>
      <c r="G47" s="523"/>
      <c r="H47" s="351"/>
      <c r="I47" s="525"/>
      <c r="J47" s="223"/>
      <c r="K47" s="69" t="s">
        <v>96</v>
      </c>
    </row>
    <row r="48" spans="1:11" ht="15.6" customHeight="1">
      <c r="A48" s="69"/>
      <c r="B48" s="224"/>
      <c r="C48" s="225"/>
      <c r="D48" s="527"/>
      <c r="E48" s="528"/>
      <c r="F48" s="529"/>
      <c r="G48" s="530"/>
      <c r="H48" s="352"/>
      <c r="I48" s="531"/>
      <c r="J48" s="226"/>
      <c r="K48" s="69" t="s">
        <v>96</v>
      </c>
    </row>
    <row r="49" spans="1:11" ht="15.6" customHeight="1">
      <c r="A49" s="69"/>
      <c r="B49" s="222"/>
      <c r="C49" s="166"/>
      <c r="D49" s="517"/>
      <c r="E49" s="519"/>
      <c r="F49" s="521"/>
      <c r="G49" s="523"/>
      <c r="H49" s="351"/>
      <c r="I49" s="525"/>
      <c r="J49" s="223"/>
      <c r="K49" s="69" t="s">
        <v>96</v>
      </c>
    </row>
    <row r="50" spans="1:11" ht="15.6" customHeight="1">
      <c r="A50" s="69"/>
      <c r="B50" s="224"/>
      <c r="C50" s="225"/>
      <c r="D50" s="527"/>
      <c r="E50" s="528"/>
      <c r="F50" s="529"/>
      <c r="G50" s="530"/>
      <c r="H50" s="352"/>
      <c r="I50" s="531"/>
      <c r="J50" s="226"/>
      <c r="K50" s="69" t="s">
        <v>96</v>
      </c>
    </row>
    <row r="51" spans="1:11" ht="15.6" customHeight="1">
      <c r="A51" s="69"/>
      <c r="B51" s="222"/>
      <c r="C51" s="166"/>
      <c r="D51" s="517"/>
      <c r="E51" s="519"/>
      <c r="F51" s="521"/>
      <c r="G51" s="523"/>
      <c r="H51" s="351"/>
      <c r="I51" s="525"/>
      <c r="J51" s="223"/>
      <c r="K51" s="69" t="s">
        <v>96</v>
      </c>
    </row>
    <row r="52" spans="1:11" ht="15.6" customHeight="1">
      <c r="A52" s="69"/>
      <c r="B52" s="224"/>
      <c r="C52" s="225"/>
      <c r="D52" s="527"/>
      <c r="E52" s="528"/>
      <c r="F52" s="529"/>
      <c r="G52" s="530"/>
      <c r="H52" s="352"/>
      <c r="I52" s="531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27"/>
      <c r="E54" s="528"/>
      <c r="F54" s="529"/>
      <c r="G54" s="530"/>
      <c r="H54" s="352"/>
      <c r="I54" s="531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27"/>
      <c r="E56" s="528"/>
      <c r="F56" s="529"/>
      <c r="G56" s="530"/>
      <c r="H56" s="352"/>
      <c r="I56" s="531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27"/>
      <c r="E58" s="528"/>
      <c r="F58" s="529"/>
      <c r="G58" s="530"/>
      <c r="H58" s="352"/>
      <c r="I58" s="531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27"/>
      <c r="E60" s="528"/>
      <c r="F60" s="529"/>
      <c r="G60" s="530"/>
      <c r="H60" s="352"/>
      <c r="I60" s="531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27"/>
      <c r="E62" s="528"/>
      <c r="F62" s="529"/>
      <c r="G62" s="530"/>
      <c r="H62" s="352"/>
      <c r="I62" s="531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27"/>
      <c r="E64" s="528"/>
      <c r="F64" s="529"/>
      <c r="G64" s="530"/>
      <c r="H64" s="352"/>
      <c r="I64" s="531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27"/>
      <c r="E66" s="528"/>
      <c r="F66" s="529"/>
      <c r="G66" s="530"/>
      <c r="H66" s="352"/>
      <c r="I66" s="531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27"/>
      <c r="E68" s="528"/>
      <c r="F68" s="529"/>
      <c r="G68" s="530"/>
      <c r="H68" s="352"/>
      <c r="I68" s="531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8"/>
      <c r="F70" s="529"/>
      <c r="G70" s="530"/>
      <c r="H70" s="354"/>
      <c r="I70" s="531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27"/>
      <c r="E72" s="528"/>
      <c r="F72" s="529"/>
      <c r="G72" s="530"/>
      <c r="H72" s="352"/>
      <c r="I72" s="531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18"/>
      <c r="E74" s="520"/>
      <c r="F74" s="522"/>
      <c r="G74" s="524"/>
      <c r="H74" s="353"/>
      <c r="I74" s="526"/>
      <c r="J74" s="230"/>
      <c r="K74" s="69" t="s">
        <v>96</v>
      </c>
    </row>
  </sheetData>
  <mergeCells count="164"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6A481-D474-48E8-8535-9BB59DE4D7DF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201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196</v>
      </c>
      <c r="C6" s="166"/>
      <c r="D6" s="517" t="s">
        <v>159</v>
      </c>
      <c r="E6" s="519">
        <v>1</v>
      </c>
      <c r="F6" s="521">
        <v>7880988</v>
      </c>
      <c r="G6" s="523">
        <v>7880988</v>
      </c>
      <c r="H6" s="351" t="s">
        <v>180</v>
      </c>
      <c r="I6" s="351"/>
      <c r="J6" s="223"/>
      <c r="K6" s="69" t="s">
        <v>96</v>
      </c>
    </row>
    <row r="7" spans="1:11" ht="15.6" customHeight="1">
      <c r="A7" s="69"/>
      <c r="B7" s="224"/>
      <c r="C7" s="225"/>
      <c r="D7" s="527"/>
      <c r="E7" s="528"/>
      <c r="F7" s="529"/>
      <c r="G7" s="530"/>
      <c r="H7" s="352" t="s">
        <v>181</v>
      </c>
      <c r="I7" s="352"/>
      <c r="J7" s="226"/>
      <c r="K7" s="69" t="s">
        <v>96</v>
      </c>
    </row>
    <row r="8" spans="1:11" ht="15.6" customHeight="1">
      <c r="A8" s="69"/>
      <c r="B8" s="222" t="s">
        <v>197</v>
      </c>
      <c r="C8" s="166"/>
      <c r="D8" s="517" t="s">
        <v>159</v>
      </c>
      <c r="E8" s="519">
        <v>1</v>
      </c>
      <c r="F8" s="521">
        <v>1100000</v>
      </c>
      <c r="G8" s="523">
        <v>1100000</v>
      </c>
      <c r="H8" s="351" t="s">
        <v>184</v>
      </c>
      <c r="I8" s="351"/>
      <c r="J8" s="227"/>
      <c r="K8" s="69" t="s">
        <v>96</v>
      </c>
    </row>
    <row r="9" spans="1:11" ht="15.6" customHeight="1">
      <c r="A9" s="69"/>
      <c r="B9" s="224" t="s">
        <v>198</v>
      </c>
      <c r="C9" s="225"/>
      <c r="D9" s="527"/>
      <c r="E9" s="528"/>
      <c r="F9" s="529"/>
      <c r="G9" s="530"/>
      <c r="H9" s="352" t="s">
        <v>181</v>
      </c>
      <c r="I9" s="352"/>
      <c r="J9" s="227"/>
      <c r="K9" s="69" t="s">
        <v>96</v>
      </c>
    </row>
    <row r="10" spans="1:11" ht="15.6" customHeight="1">
      <c r="A10" s="69"/>
      <c r="B10" s="222" t="s">
        <v>170</v>
      </c>
      <c r="C10" s="166"/>
      <c r="D10" s="517" t="s">
        <v>159</v>
      </c>
      <c r="E10" s="519">
        <v>1</v>
      </c>
      <c r="F10" s="521">
        <v>176300</v>
      </c>
      <c r="G10" s="523">
        <v>176300</v>
      </c>
      <c r="H10" s="351" t="s">
        <v>186</v>
      </c>
      <c r="I10" s="351"/>
      <c r="J10" s="223"/>
      <c r="K10" s="69" t="s">
        <v>96</v>
      </c>
    </row>
    <row r="11" spans="1:11" ht="15.6" customHeight="1">
      <c r="A11" s="69"/>
      <c r="B11" s="224"/>
      <c r="C11" s="225"/>
      <c r="D11" s="527"/>
      <c r="E11" s="528"/>
      <c r="F11" s="529"/>
      <c r="G11" s="530"/>
      <c r="H11" s="352" t="s">
        <v>181</v>
      </c>
      <c r="I11" s="352"/>
      <c r="J11" s="226"/>
      <c r="K11" s="69" t="s">
        <v>96</v>
      </c>
    </row>
    <row r="12" spans="1:11" ht="15.6" customHeight="1">
      <c r="A12" s="69"/>
      <c r="B12" s="222" t="s">
        <v>199</v>
      </c>
      <c r="C12" s="166"/>
      <c r="D12" s="517" t="s">
        <v>159</v>
      </c>
      <c r="E12" s="519">
        <v>1</v>
      </c>
      <c r="F12" s="521">
        <v>374700</v>
      </c>
      <c r="G12" s="523">
        <v>374700</v>
      </c>
      <c r="H12" s="351" t="s">
        <v>188</v>
      </c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27"/>
      <c r="E13" s="528"/>
      <c r="F13" s="529"/>
      <c r="G13" s="530"/>
      <c r="H13" s="352" t="s">
        <v>181</v>
      </c>
      <c r="I13" s="352"/>
      <c r="J13" s="226"/>
      <c r="K13" s="69" t="s">
        <v>96</v>
      </c>
    </row>
    <row r="14" spans="1:11" ht="15.6" customHeight="1">
      <c r="A14" s="69"/>
      <c r="B14" s="222"/>
      <c r="C14" s="166"/>
      <c r="D14" s="517"/>
      <c r="E14" s="519"/>
      <c r="F14" s="521"/>
      <c r="G14" s="523"/>
      <c r="H14" s="351"/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27"/>
      <c r="E15" s="528"/>
      <c r="F15" s="529"/>
      <c r="G15" s="530"/>
      <c r="H15" s="352"/>
      <c r="I15" s="352"/>
      <c r="J15" s="226"/>
      <c r="K15" s="69" t="s">
        <v>96</v>
      </c>
    </row>
    <row r="16" spans="1:11" ht="15.6" customHeight="1">
      <c r="A16" s="69"/>
      <c r="B16" s="222" t="s">
        <v>200</v>
      </c>
      <c r="C16" s="166"/>
      <c r="D16" s="517"/>
      <c r="E16" s="519"/>
      <c r="F16" s="521"/>
      <c r="G16" s="523">
        <v>9531988</v>
      </c>
      <c r="H16" s="351"/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27"/>
      <c r="E17" s="528"/>
      <c r="F17" s="529"/>
      <c r="G17" s="530"/>
      <c r="H17" s="352"/>
      <c r="I17" s="352"/>
      <c r="J17" s="226"/>
      <c r="K17" s="69" t="s">
        <v>96</v>
      </c>
    </row>
    <row r="18" spans="1:11" ht="15.6" customHeight="1">
      <c r="A18" s="69"/>
      <c r="B18" s="222"/>
      <c r="C18" s="166"/>
      <c r="D18" s="517"/>
      <c r="E18" s="519"/>
      <c r="F18" s="521"/>
      <c r="G18" s="523"/>
      <c r="H18" s="351"/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27"/>
      <c r="E19" s="528"/>
      <c r="F19" s="529"/>
      <c r="G19" s="530"/>
      <c r="H19" s="352"/>
      <c r="I19" s="352"/>
      <c r="J19" s="226"/>
      <c r="K19" s="69" t="s">
        <v>96</v>
      </c>
    </row>
    <row r="20" spans="1:11" ht="15.6" customHeight="1">
      <c r="A20" s="69"/>
      <c r="B20" s="222"/>
      <c r="C20" s="166"/>
      <c r="D20" s="517"/>
      <c r="E20" s="519"/>
      <c r="F20" s="521"/>
      <c r="G20" s="523"/>
      <c r="H20" s="351"/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27"/>
      <c r="E21" s="528"/>
      <c r="F21" s="529"/>
      <c r="G21" s="530"/>
      <c r="H21" s="352"/>
      <c r="I21" s="352"/>
      <c r="J21" s="226"/>
      <c r="K21" s="69" t="s">
        <v>96</v>
      </c>
    </row>
    <row r="22" spans="1:11" ht="15.6" customHeight="1">
      <c r="A22" s="69"/>
      <c r="B22" s="222"/>
      <c r="C22" s="166"/>
      <c r="D22" s="517"/>
      <c r="E22" s="519"/>
      <c r="F22" s="521"/>
      <c r="G22" s="523"/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27"/>
      <c r="E23" s="528"/>
      <c r="F23" s="529"/>
      <c r="G23" s="530"/>
      <c r="H23" s="352"/>
      <c r="I23" s="352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27"/>
      <c r="E25" s="528"/>
      <c r="F25" s="529"/>
      <c r="G25" s="530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27"/>
      <c r="E27" s="528"/>
      <c r="F27" s="529"/>
      <c r="G27" s="530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27"/>
      <c r="E29" s="528"/>
      <c r="F29" s="529"/>
      <c r="G29" s="530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27"/>
      <c r="E31" s="528"/>
      <c r="F31" s="529"/>
      <c r="G31" s="530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8"/>
      <c r="F33" s="529"/>
      <c r="G33" s="530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27"/>
      <c r="E35" s="528"/>
      <c r="F35" s="529"/>
      <c r="G35" s="530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18"/>
      <c r="E37" s="520"/>
      <c r="F37" s="522"/>
      <c r="G37" s="524"/>
      <c r="H37" s="353"/>
      <c r="I37" s="353"/>
      <c r="J37" s="230"/>
      <c r="K37" s="69" t="s">
        <v>96</v>
      </c>
    </row>
  </sheetData>
  <mergeCells count="66">
    <mergeCell ref="D1:G1"/>
    <mergeCell ref="B5:C5"/>
    <mergeCell ref="D6:D7"/>
    <mergeCell ref="E6:E7"/>
    <mergeCell ref="F6:F7"/>
    <mergeCell ref="G6:G7"/>
    <mergeCell ref="D8:D9"/>
    <mergeCell ref="E8:E9"/>
    <mergeCell ref="F8:F9"/>
    <mergeCell ref="G8:G9"/>
    <mergeCell ref="D10:D11"/>
    <mergeCell ref="E10:E11"/>
    <mergeCell ref="F10:F11"/>
    <mergeCell ref="G10:G11"/>
    <mergeCell ref="D12:D13"/>
    <mergeCell ref="E12:E13"/>
    <mergeCell ref="F12:F13"/>
    <mergeCell ref="G12:G13"/>
    <mergeCell ref="D14:D15"/>
    <mergeCell ref="E14:E15"/>
    <mergeCell ref="F14:F15"/>
    <mergeCell ref="G14:G15"/>
    <mergeCell ref="D16:D17"/>
    <mergeCell ref="E16:E17"/>
    <mergeCell ref="F16:F17"/>
    <mergeCell ref="G16:G17"/>
    <mergeCell ref="D18:D19"/>
    <mergeCell ref="E18:E19"/>
    <mergeCell ref="F18:F19"/>
    <mergeCell ref="G18:G19"/>
    <mergeCell ref="D20:D21"/>
    <mergeCell ref="E20:E21"/>
    <mergeCell ref="F20:F21"/>
    <mergeCell ref="G20:G21"/>
    <mergeCell ref="D22:D23"/>
    <mergeCell ref="E22:E23"/>
    <mergeCell ref="F22:F23"/>
    <mergeCell ref="G22:G23"/>
    <mergeCell ref="D24:D25"/>
    <mergeCell ref="E24:E25"/>
    <mergeCell ref="F24:F25"/>
    <mergeCell ref="G24:G25"/>
    <mergeCell ref="D26:D27"/>
    <mergeCell ref="E26:E27"/>
    <mergeCell ref="F26:F27"/>
    <mergeCell ref="G26:G27"/>
    <mergeCell ref="D28:D29"/>
    <mergeCell ref="E28:E29"/>
    <mergeCell ref="F28:F29"/>
    <mergeCell ref="G28:G29"/>
    <mergeCell ref="D30:D31"/>
    <mergeCell ref="E30:E31"/>
    <mergeCell ref="F30:F31"/>
    <mergeCell ref="G30:G31"/>
    <mergeCell ref="D32:D33"/>
    <mergeCell ref="E32:E33"/>
    <mergeCell ref="F32:F33"/>
    <mergeCell ref="G32:G33"/>
    <mergeCell ref="D34:D35"/>
    <mergeCell ref="E34:E35"/>
    <mergeCell ref="F34:F35"/>
    <mergeCell ref="G34:G35"/>
    <mergeCell ref="D36:D37"/>
    <mergeCell ref="E36:E37"/>
    <mergeCell ref="F36:F37"/>
    <mergeCell ref="G36:G3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41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24-000みなとみらい21地域冷暖房施設ｾﾝﾀｰﾌﾟﾗﾝﾄｱﾌﾟﾛｰﾁ改修工事</v>
      </c>
      <c r="G1" s="306"/>
      <c r="H1" s="190" t="s">
        <v>140</v>
      </c>
      <c r="I1" s="333">
        <v>14300000</v>
      </c>
      <c r="J1" s="339">
        <f>I4/I$1</f>
        <v>0.74139776223776221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270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202</v>
      </c>
      <c r="D4" s="340" t="s">
        <v>171</v>
      </c>
      <c r="E4" s="342"/>
      <c r="F4" s="345" t="s">
        <v>159</v>
      </c>
      <c r="G4" s="308">
        <v>1</v>
      </c>
      <c r="H4" s="309">
        <v>10601988</v>
      </c>
      <c r="I4" s="309">
        <v>10601988</v>
      </c>
      <c r="J4" s="211">
        <v>1</v>
      </c>
      <c r="K4" s="212" t="str">
        <f t="shared" ref="K4:K40" si="0">IF(OR(J4="",G4=J4),"","*")</f>
        <v/>
      </c>
      <c r="L4" s="338">
        <f t="shared" ref="L4:L40" si="1"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203</v>
      </c>
      <c r="D5" s="340" t="s">
        <v>204</v>
      </c>
      <c r="E5" s="342"/>
      <c r="F5" s="345" t="s">
        <v>159</v>
      </c>
      <c r="G5" s="308">
        <v>1</v>
      </c>
      <c r="H5" s="309">
        <v>9531988</v>
      </c>
      <c r="I5" s="309">
        <v>9531988</v>
      </c>
      <c r="J5" s="211"/>
      <c r="K5" s="212" t="str">
        <f t="shared" si="0"/>
        <v/>
      </c>
      <c r="L5" s="338">
        <f t="shared" si="1"/>
        <v>0.899075531871947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205</v>
      </c>
      <c r="D6" s="340" t="s">
        <v>206</v>
      </c>
      <c r="E6" s="342"/>
      <c r="F6" s="345" t="s">
        <v>159</v>
      </c>
      <c r="G6" s="308">
        <v>1</v>
      </c>
      <c r="H6" s="309">
        <v>7880988</v>
      </c>
      <c r="I6" s="309">
        <v>7880988</v>
      </c>
      <c r="J6" s="211">
        <v>1</v>
      </c>
      <c r="K6" s="212" t="str">
        <f t="shared" si="0"/>
        <v/>
      </c>
      <c r="L6" s="338">
        <f t="shared" si="1"/>
        <v>0.74335002076968959</v>
      </c>
      <c r="M6" s="343"/>
      <c r="N6" s="344" t="s">
        <v>207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205</v>
      </c>
      <c r="D7" s="340" t="s">
        <v>208</v>
      </c>
      <c r="E7" s="342" t="s">
        <v>209</v>
      </c>
      <c r="F7" s="345" t="s">
        <v>210</v>
      </c>
      <c r="G7" s="308">
        <v>26</v>
      </c>
      <c r="H7" s="309">
        <v>246923</v>
      </c>
      <c r="I7" s="309">
        <v>6419998</v>
      </c>
      <c r="J7" s="211">
        <v>26</v>
      </c>
      <c r="K7" s="212" t="str">
        <f t="shared" si="0"/>
        <v/>
      </c>
      <c r="L7" s="338">
        <f t="shared" si="1"/>
        <v>0.60554662012445215</v>
      </c>
      <c r="M7" s="343"/>
      <c r="N7" s="344" t="s">
        <v>211</v>
      </c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/>
      <c r="AF7" s="341"/>
    </row>
    <row r="8" spans="1:32">
      <c r="A8" s="307">
        <v>4</v>
      </c>
      <c r="B8" s="342"/>
      <c r="C8" s="342" t="s">
        <v>163</v>
      </c>
      <c r="D8" s="340" t="s">
        <v>212</v>
      </c>
      <c r="E8" s="342" t="s">
        <v>209</v>
      </c>
      <c r="F8" s="345" t="s">
        <v>159</v>
      </c>
      <c r="G8" s="308">
        <v>1</v>
      </c>
      <c r="H8" s="309">
        <v>3000000</v>
      </c>
      <c r="I8" s="309">
        <v>3000000</v>
      </c>
      <c r="J8" s="211"/>
      <c r="K8" s="212" t="str">
        <f t="shared" si="0"/>
        <v/>
      </c>
      <c r="L8" s="338" t="str">
        <f t="shared" si="1"/>
        <v/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/>
      <c r="AF8" s="341"/>
    </row>
    <row r="9" spans="1:32">
      <c r="A9" s="307">
        <v>4</v>
      </c>
      <c r="B9" s="342"/>
      <c r="C9" s="342" t="s">
        <v>163</v>
      </c>
      <c r="D9" s="340" t="s">
        <v>213</v>
      </c>
      <c r="E9" s="342"/>
      <c r="F9" s="345" t="s">
        <v>159</v>
      </c>
      <c r="G9" s="308">
        <v>1</v>
      </c>
      <c r="H9" s="309">
        <v>3420000</v>
      </c>
      <c r="I9" s="309">
        <v>3420000</v>
      </c>
      <c r="J9" s="211"/>
      <c r="K9" s="212" t="str">
        <f t="shared" si="0"/>
        <v/>
      </c>
      <c r="L9" s="338" t="str">
        <f t="shared" si="1"/>
        <v/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/>
      <c r="AF9" s="341"/>
    </row>
    <row r="10" spans="1:32">
      <c r="A10" s="307">
        <v>3</v>
      </c>
      <c r="B10" s="342"/>
      <c r="C10" s="342" t="s">
        <v>205</v>
      </c>
      <c r="D10" s="340" t="s">
        <v>214</v>
      </c>
      <c r="E10" s="342"/>
      <c r="F10" s="345" t="s">
        <v>159</v>
      </c>
      <c r="G10" s="308">
        <v>1</v>
      </c>
      <c r="H10" s="309">
        <v>1021000</v>
      </c>
      <c r="I10" s="309">
        <v>1021000</v>
      </c>
      <c r="J10" s="211">
        <v>1</v>
      </c>
      <c r="K10" s="212" t="str">
        <f t="shared" si="0"/>
        <v/>
      </c>
      <c r="L10" s="338">
        <f t="shared" si="1"/>
        <v>9.6302693419385119E-2</v>
      </c>
      <c r="M10" s="343"/>
      <c r="N10" s="344" t="s">
        <v>215</v>
      </c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/>
      <c r="AF10" s="341"/>
    </row>
    <row r="11" spans="1:32">
      <c r="A11" s="307">
        <v>4</v>
      </c>
      <c r="B11" s="342"/>
      <c r="C11" s="342" t="s">
        <v>164</v>
      </c>
      <c r="D11" s="340" t="s">
        <v>216</v>
      </c>
      <c r="E11" s="342" t="s">
        <v>217</v>
      </c>
      <c r="F11" s="345" t="s">
        <v>218</v>
      </c>
      <c r="G11" s="308">
        <v>6</v>
      </c>
      <c r="H11" s="309">
        <v>25000</v>
      </c>
      <c r="I11" s="309">
        <v>150000</v>
      </c>
      <c r="J11" s="211"/>
      <c r="K11" s="212" t="str">
        <f t="shared" si="0"/>
        <v/>
      </c>
      <c r="L11" s="338" t="str">
        <f t="shared" si="1"/>
        <v/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 t="s">
        <v>219</v>
      </c>
      <c r="AF11" s="341" t="s">
        <v>220</v>
      </c>
    </row>
    <row r="12" spans="1:32">
      <c r="A12" s="307">
        <v>4</v>
      </c>
      <c r="B12" s="342"/>
      <c r="C12" s="342" t="s">
        <v>164</v>
      </c>
      <c r="D12" s="340" t="s">
        <v>216</v>
      </c>
      <c r="E12" s="342" t="s">
        <v>221</v>
      </c>
      <c r="F12" s="345" t="s">
        <v>218</v>
      </c>
      <c r="G12" s="308">
        <v>28</v>
      </c>
      <c r="H12" s="309">
        <v>25000</v>
      </c>
      <c r="I12" s="309">
        <v>700000</v>
      </c>
      <c r="J12" s="211"/>
      <c r="K12" s="212" t="str">
        <f t="shared" si="0"/>
        <v/>
      </c>
      <c r="L12" s="338" t="str">
        <f t="shared" si="1"/>
        <v/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 t="s">
        <v>219</v>
      </c>
      <c r="AF12" s="341" t="s">
        <v>222</v>
      </c>
    </row>
    <row r="13" spans="1:32">
      <c r="A13" s="307">
        <v>4</v>
      </c>
      <c r="B13" s="342"/>
      <c r="C13" s="342" t="s">
        <v>163</v>
      </c>
      <c r="D13" s="340" t="s">
        <v>223</v>
      </c>
      <c r="E13" s="342" t="s">
        <v>224</v>
      </c>
      <c r="F13" s="345" t="s">
        <v>159</v>
      </c>
      <c r="G13" s="308">
        <v>1</v>
      </c>
      <c r="H13" s="309">
        <v>91000</v>
      </c>
      <c r="I13" s="309">
        <v>91000</v>
      </c>
      <c r="J13" s="211"/>
      <c r="K13" s="212" t="str">
        <f t="shared" si="0"/>
        <v/>
      </c>
      <c r="L13" s="338" t="str">
        <f t="shared" si="1"/>
        <v/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/>
      <c r="AF13" s="341"/>
    </row>
    <row r="14" spans="1:32">
      <c r="A14" s="307">
        <v>4</v>
      </c>
      <c r="B14" s="342"/>
      <c r="C14" s="342" t="s">
        <v>166</v>
      </c>
      <c r="D14" s="340" t="s">
        <v>225</v>
      </c>
      <c r="E14" s="342"/>
      <c r="F14" s="345" t="s">
        <v>159</v>
      </c>
      <c r="G14" s="308">
        <v>1</v>
      </c>
      <c r="H14" s="309">
        <v>80000</v>
      </c>
      <c r="I14" s="309">
        <v>80000</v>
      </c>
      <c r="J14" s="211"/>
      <c r="K14" s="212" t="str">
        <f t="shared" si="0"/>
        <v/>
      </c>
      <c r="L14" s="338" t="str">
        <f t="shared" si="1"/>
        <v/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/>
      <c r="AF14" s="341"/>
    </row>
    <row r="15" spans="1:32">
      <c r="A15" s="307">
        <v>3</v>
      </c>
      <c r="B15" s="342"/>
      <c r="C15" s="342" t="s">
        <v>205</v>
      </c>
      <c r="D15" s="340" t="s">
        <v>226</v>
      </c>
      <c r="E15" s="342" t="s">
        <v>227</v>
      </c>
      <c r="F15" s="345" t="s">
        <v>210</v>
      </c>
      <c r="G15" s="308">
        <v>29.7</v>
      </c>
      <c r="H15" s="309">
        <v>6397</v>
      </c>
      <c r="I15" s="309">
        <v>189990</v>
      </c>
      <c r="J15" s="211">
        <v>29.7</v>
      </c>
      <c r="K15" s="212" t="str">
        <f t="shared" si="0"/>
        <v/>
      </c>
      <c r="L15" s="338">
        <f t="shared" si="1"/>
        <v>1.7920224018363348E-2</v>
      </c>
      <c r="M15" s="343"/>
      <c r="N15" s="344" t="s">
        <v>228</v>
      </c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/>
      <c r="AF15" s="341"/>
    </row>
    <row r="16" spans="1:32">
      <c r="A16" s="307">
        <v>4</v>
      </c>
      <c r="B16" s="342"/>
      <c r="C16" s="342" t="s">
        <v>163</v>
      </c>
      <c r="D16" s="340" t="s">
        <v>229</v>
      </c>
      <c r="E16" s="342" t="s">
        <v>230</v>
      </c>
      <c r="F16" s="345" t="s">
        <v>231</v>
      </c>
      <c r="G16" s="308">
        <v>2</v>
      </c>
      <c r="H16" s="309">
        <v>15400</v>
      </c>
      <c r="I16" s="309">
        <v>30800</v>
      </c>
      <c r="J16" s="211"/>
      <c r="K16" s="212" t="str">
        <f t="shared" si="0"/>
        <v/>
      </c>
      <c r="L16" s="338" t="str">
        <f t="shared" si="1"/>
        <v/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/>
      <c r="AF16" s="341" t="s">
        <v>232</v>
      </c>
    </row>
    <row r="17" spans="1:32">
      <c r="A17" s="307">
        <v>4</v>
      </c>
      <c r="B17" s="342"/>
      <c r="C17" s="342" t="s">
        <v>163</v>
      </c>
      <c r="D17" s="340" t="s">
        <v>233</v>
      </c>
      <c r="E17" s="342"/>
      <c r="F17" s="345" t="s">
        <v>234</v>
      </c>
      <c r="G17" s="308">
        <v>1</v>
      </c>
      <c r="H17" s="309">
        <v>3000</v>
      </c>
      <c r="I17" s="309">
        <v>3000</v>
      </c>
      <c r="J17" s="211"/>
      <c r="K17" s="212" t="str">
        <f t="shared" si="0"/>
        <v/>
      </c>
      <c r="L17" s="338" t="str">
        <f t="shared" si="1"/>
        <v/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/>
      <c r="AF17" s="341"/>
    </row>
    <row r="18" spans="1:32">
      <c r="A18" s="307">
        <v>4</v>
      </c>
      <c r="B18" s="342"/>
      <c r="C18" s="342" t="s">
        <v>163</v>
      </c>
      <c r="D18" s="340" t="s">
        <v>223</v>
      </c>
      <c r="E18" s="342" t="s">
        <v>235</v>
      </c>
      <c r="F18" s="345" t="s">
        <v>159</v>
      </c>
      <c r="G18" s="308">
        <v>1</v>
      </c>
      <c r="H18" s="309">
        <v>11200</v>
      </c>
      <c r="I18" s="309">
        <v>11200</v>
      </c>
      <c r="J18" s="211"/>
      <c r="K18" s="212" t="str">
        <f t="shared" si="0"/>
        <v/>
      </c>
      <c r="L18" s="338" t="str">
        <f t="shared" si="1"/>
        <v/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/>
      <c r="AF18" s="341"/>
    </row>
    <row r="19" spans="1:32">
      <c r="A19" s="307">
        <v>4</v>
      </c>
      <c r="B19" s="342"/>
      <c r="C19" s="342" t="s">
        <v>164</v>
      </c>
      <c r="D19" s="340" t="s">
        <v>216</v>
      </c>
      <c r="E19" s="342"/>
      <c r="F19" s="345" t="s">
        <v>218</v>
      </c>
      <c r="G19" s="308">
        <v>6</v>
      </c>
      <c r="H19" s="309">
        <v>22000</v>
      </c>
      <c r="I19" s="309">
        <v>132000</v>
      </c>
      <c r="J19" s="211"/>
      <c r="K19" s="212" t="str">
        <f t="shared" si="0"/>
        <v/>
      </c>
      <c r="L19" s="338" t="str">
        <f t="shared" si="1"/>
        <v/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/>
      <c r="AF19" s="341" t="s">
        <v>220</v>
      </c>
    </row>
    <row r="20" spans="1:32">
      <c r="A20" s="307">
        <v>4</v>
      </c>
      <c r="B20" s="342"/>
      <c r="C20" s="342" t="s">
        <v>166</v>
      </c>
      <c r="D20" s="340" t="s">
        <v>236</v>
      </c>
      <c r="E20" s="342"/>
      <c r="F20" s="345" t="s">
        <v>237</v>
      </c>
      <c r="G20" s="308">
        <v>1</v>
      </c>
      <c r="H20" s="309">
        <v>3000</v>
      </c>
      <c r="I20" s="309">
        <v>3000</v>
      </c>
      <c r="J20" s="211"/>
      <c r="K20" s="212" t="str">
        <f t="shared" si="0"/>
        <v/>
      </c>
      <c r="L20" s="338" t="str">
        <f t="shared" si="1"/>
        <v/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/>
      <c r="AF20" s="341" t="s">
        <v>238</v>
      </c>
    </row>
    <row r="21" spans="1:32">
      <c r="A21" s="307">
        <v>4</v>
      </c>
      <c r="B21" s="342"/>
      <c r="C21" s="342" t="s">
        <v>167</v>
      </c>
      <c r="D21" s="340" t="s">
        <v>239</v>
      </c>
      <c r="E21" s="342"/>
      <c r="F21" s="345" t="s">
        <v>237</v>
      </c>
      <c r="G21" s="308">
        <v>1</v>
      </c>
      <c r="H21" s="309">
        <v>6000</v>
      </c>
      <c r="I21" s="309">
        <v>6000</v>
      </c>
      <c r="J21" s="211"/>
      <c r="K21" s="212" t="str">
        <f t="shared" si="0"/>
        <v/>
      </c>
      <c r="L21" s="338" t="str">
        <f t="shared" si="1"/>
        <v/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/>
      <c r="AF21" s="341" t="s">
        <v>238</v>
      </c>
    </row>
    <row r="22" spans="1:32">
      <c r="A22" s="307">
        <v>4</v>
      </c>
      <c r="B22" s="342"/>
      <c r="C22" s="342" t="s">
        <v>167</v>
      </c>
      <c r="D22" s="340" t="s">
        <v>240</v>
      </c>
      <c r="E22" s="342" t="s">
        <v>241</v>
      </c>
      <c r="F22" s="345" t="s">
        <v>237</v>
      </c>
      <c r="G22" s="308">
        <v>1</v>
      </c>
      <c r="H22" s="309">
        <v>4000</v>
      </c>
      <c r="I22" s="309">
        <v>4000</v>
      </c>
      <c r="J22" s="211"/>
      <c r="K22" s="212" t="str">
        <f t="shared" si="0"/>
        <v/>
      </c>
      <c r="L22" s="338" t="str">
        <f t="shared" si="1"/>
        <v/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/>
      <c r="AF22" s="341" t="s">
        <v>238</v>
      </c>
    </row>
    <row r="23" spans="1:32">
      <c r="A23" s="307">
        <v>3</v>
      </c>
      <c r="B23" s="342"/>
      <c r="C23" s="342" t="s">
        <v>205</v>
      </c>
      <c r="D23" s="340" t="s">
        <v>242</v>
      </c>
      <c r="E23" s="342" t="s">
        <v>243</v>
      </c>
      <c r="F23" s="345" t="s">
        <v>244</v>
      </c>
      <c r="G23" s="308">
        <v>1</v>
      </c>
      <c r="H23" s="309">
        <v>250000</v>
      </c>
      <c r="I23" s="309">
        <v>250000</v>
      </c>
      <c r="J23" s="211">
        <v>1</v>
      </c>
      <c r="K23" s="212" t="str">
        <f t="shared" si="0"/>
        <v/>
      </c>
      <c r="L23" s="338">
        <f t="shared" si="1"/>
        <v>2.3580483207489011E-2</v>
      </c>
      <c r="M23" s="343"/>
      <c r="N23" s="344" t="s">
        <v>245</v>
      </c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/>
      <c r="AF23" s="341"/>
    </row>
    <row r="24" spans="1:32">
      <c r="A24" s="307">
        <v>4</v>
      </c>
      <c r="B24" s="342"/>
      <c r="C24" s="342" t="s">
        <v>163</v>
      </c>
      <c r="D24" s="340" t="s">
        <v>246</v>
      </c>
      <c r="E24" s="342" t="s">
        <v>247</v>
      </c>
      <c r="F24" s="345" t="s">
        <v>248</v>
      </c>
      <c r="G24" s="308">
        <v>1</v>
      </c>
      <c r="H24" s="309">
        <v>26000</v>
      </c>
      <c r="I24" s="309">
        <v>26000</v>
      </c>
      <c r="J24" s="211"/>
      <c r="K24" s="212" t="str">
        <f t="shared" si="0"/>
        <v/>
      </c>
      <c r="L24" s="338" t="str">
        <f t="shared" si="1"/>
        <v/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/>
      <c r="AF24" s="341"/>
    </row>
    <row r="25" spans="1:32">
      <c r="A25" s="307">
        <v>4</v>
      </c>
      <c r="B25" s="342"/>
      <c r="C25" s="342" t="s">
        <v>163</v>
      </c>
      <c r="D25" s="340" t="s">
        <v>249</v>
      </c>
      <c r="E25" s="342"/>
      <c r="F25" s="345" t="s">
        <v>248</v>
      </c>
      <c r="G25" s="308">
        <v>1</v>
      </c>
      <c r="H25" s="309">
        <v>1000</v>
      </c>
      <c r="I25" s="309">
        <v>1000</v>
      </c>
      <c r="J25" s="211"/>
      <c r="K25" s="212" t="str">
        <f t="shared" si="0"/>
        <v/>
      </c>
      <c r="L25" s="338" t="str">
        <f t="shared" si="1"/>
        <v/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/>
      <c r="AF25" s="341"/>
    </row>
    <row r="26" spans="1:32">
      <c r="A26" s="307">
        <v>4</v>
      </c>
      <c r="B26" s="342"/>
      <c r="C26" s="342" t="s">
        <v>163</v>
      </c>
      <c r="D26" s="340" t="s">
        <v>223</v>
      </c>
      <c r="E26" s="342" t="s">
        <v>250</v>
      </c>
      <c r="F26" s="345" t="s">
        <v>159</v>
      </c>
      <c r="G26" s="308">
        <v>1</v>
      </c>
      <c r="H26" s="309">
        <v>21000</v>
      </c>
      <c r="I26" s="309">
        <v>21000</v>
      </c>
      <c r="J26" s="211"/>
      <c r="K26" s="212" t="str">
        <f t="shared" si="0"/>
        <v/>
      </c>
      <c r="L26" s="338" t="str">
        <f t="shared" si="1"/>
        <v/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/>
      <c r="AF26" s="341"/>
    </row>
    <row r="27" spans="1:32">
      <c r="A27" s="307">
        <v>4</v>
      </c>
      <c r="B27" s="342"/>
      <c r="C27" s="342" t="s">
        <v>164</v>
      </c>
      <c r="D27" s="340" t="s">
        <v>216</v>
      </c>
      <c r="E27" s="342"/>
      <c r="F27" s="345" t="s">
        <v>218</v>
      </c>
      <c r="G27" s="308">
        <v>8</v>
      </c>
      <c r="H27" s="309">
        <v>22000</v>
      </c>
      <c r="I27" s="309">
        <v>176000</v>
      </c>
      <c r="J27" s="211"/>
      <c r="K27" s="212" t="str">
        <f t="shared" si="0"/>
        <v/>
      </c>
      <c r="L27" s="338" t="str">
        <f t="shared" si="1"/>
        <v/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/>
      <c r="AF27" s="341" t="s">
        <v>251</v>
      </c>
    </row>
    <row r="28" spans="1:32">
      <c r="A28" s="307">
        <v>4</v>
      </c>
      <c r="B28" s="342"/>
      <c r="C28" s="342" t="s">
        <v>166</v>
      </c>
      <c r="D28" s="340" t="s">
        <v>236</v>
      </c>
      <c r="E28" s="342"/>
      <c r="F28" s="345" t="s">
        <v>237</v>
      </c>
      <c r="G28" s="308">
        <v>2</v>
      </c>
      <c r="H28" s="309">
        <v>3000</v>
      </c>
      <c r="I28" s="309">
        <v>6000</v>
      </c>
      <c r="J28" s="211"/>
      <c r="K28" s="212" t="str">
        <f t="shared" si="0"/>
        <v/>
      </c>
      <c r="L28" s="338" t="str">
        <f t="shared" si="1"/>
        <v/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/>
      <c r="AF28" s="341" t="s">
        <v>252</v>
      </c>
    </row>
    <row r="29" spans="1:32">
      <c r="A29" s="307">
        <v>4</v>
      </c>
      <c r="B29" s="342"/>
      <c r="C29" s="342" t="s">
        <v>167</v>
      </c>
      <c r="D29" s="340" t="s">
        <v>239</v>
      </c>
      <c r="E29" s="342"/>
      <c r="F29" s="345" t="s">
        <v>237</v>
      </c>
      <c r="G29" s="308">
        <v>2</v>
      </c>
      <c r="H29" s="309">
        <v>6000</v>
      </c>
      <c r="I29" s="309">
        <v>12000</v>
      </c>
      <c r="J29" s="211"/>
      <c r="K29" s="212" t="str">
        <f t="shared" si="0"/>
        <v/>
      </c>
      <c r="L29" s="338" t="str">
        <f t="shared" si="1"/>
        <v/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/>
      <c r="AF29" s="341" t="s">
        <v>252</v>
      </c>
    </row>
    <row r="30" spans="1:32">
      <c r="A30" s="307">
        <v>4</v>
      </c>
      <c r="B30" s="342"/>
      <c r="C30" s="342" t="s">
        <v>167</v>
      </c>
      <c r="D30" s="340" t="s">
        <v>240</v>
      </c>
      <c r="E30" s="342" t="s">
        <v>241</v>
      </c>
      <c r="F30" s="345" t="s">
        <v>237</v>
      </c>
      <c r="G30" s="308">
        <v>2</v>
      </c>
      <c r="H30" s="309">
        <v>4000</v>
      </c>
      <c r="I30" s="309">
        <v>8000</v>
      </c>
      <c r="J30" s="211"/>
      <c r="K30" s="212" t="str">
        <f t="shared" si="0"/>
        <v/>
      </c>
      <c r="L30" s="338" t="str">
        <f t="shared" si="1"/>
        <v/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/>
      <c r="AF30" s="341" t="s">
        <v>252</v>
      </c>
    </row>
    <row r="31" spans="1:32">
      <c r="A31" s="307">
        <v>2</v>
      </c>
      <c r="B31" s="342"/>
      <c r="C31" s="342" t="s">
        <v>205</v>
      </c>
      <c r="D31" s="340" t="s">
        <v>253</v>
      </c>
      <c r="E31" s="342" t="s">
        <v>198</v>
      </c>
      <c r="F31" s="345" t="s">
        <v>159</v>
      </c>
      <c r="G31" s="308">
        <v>1</v>
      </c>
      <c r="H31" s="309">
        <v>1100000</v>
      </c>
      <c r="I31" s="309">
        <v>1100000</v>
      </c>
      <c r="J31" s="211">
        <v>1</v>
      </c>
      <c r="K31" s="212" t="str">
        <f t="shared" si="0"/>
        <v/>
      </c>
      <c r="L31" s="338">
        <f t="shared" si="1"/>
        <v>0.10375412611295165</v>
      </c>
      <c r="M31" s="343"/>
      <c r="N31" s="344" t="s">
        <v>254</v>
      </c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/>
      <c r="AF31" s="341"/>
    </row>
    <row r="32" spans="1:32">
      <c r="A32" s="307">
        <v>3</v>
      </c>
      <c r="B32" s="342"/>
      <c r="C32" s="342" t="s">
        <v>205</v>
      </c>
      <c r="D32" s="340" t="s">
        <v>255</v>
      </c>
      <c r="E32" s="342" t="s">
        <v>256</v>
      </c>
      <c r="F32" s="345" t="s">
        <v>257</v>
      </c>
      <c r="G32" s="308">
        <v>25</v>
      </c>
      <c r="H32" s="309">
        <v>44000</v>
      </c>
      <c r="I32" s="309">
        <v>1100000</v>
      </c>
      <c r="J32" s="211">
        <v>25</v>
      </c>
      <c r="K32" s="212" t="str">
        <f t="shared" si="0"/>
        <v/>
      </c>
      <c r="L32" s="338">
        <f t="shared" si="1"/>
        <v>0.10375412611295165</v>
      </c>
      <c r="M32" s="343"/>
      <c r="N32" s="344" t="s">
        <v>258</v>
      </c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/>
      <c r="AF32" s="341"/>
    </row>
    <row r="33" spans="1:32">
      <c r="A33" s="307">
        <v>4</v>
      </c>
      <c r="B33" s="342"/>
      <c r="C33" s="342" t="s">
        <v>165</v>
      </c>
      <c r="D33" s="340" t="s">
        <v>259</v>
      </c>
      <c r="E33" s="342" t="s">
        <v>256</v>
      </c>
      <c r="F33" s="345" t="s">
        <v>159</v>
      </c>
      <c r="G33" s="308">
        <v>1</v>
      </c>
      <c r="H33" s="309">
        <v>1100000</v>
      </c>
      <c r="I33" s="309">
        <v>1100000</v>
      </c>
      <c r="J33" s="211"/>
      <c r="K33" s="212" t="str">
        <f t="shared" si="0"/>
        <v/>
      </c>
      <c r="L33" s="338" t="str">
        <f t="shared" si="1"/>
        <v/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/>
      <c r="AF33" s="341"/>
    </row>
    <row r="34" spans="1:32">
      <c r="A34" s="307">
        <v>4</v>
      </c>
      <c r="B34" s="342"/>
      <c r="C34" s="342" t="s">
        <v>165</v>
      </c>
      <c r="D34" s="340" t="s">
        <v>260</v>
      </c>
      <c r="E34" s="342" t="s">
        <v>261</v>
      </c>
      <c r="F34" s="345" t="s">
        <v>257</v>
      </c>
      <c r="G34" s="308">
        <v>150</v>
      </c>
      <c r="H34" s="309">
        <v>0</v>
      </c>
      <c r="I34" s="309">
        <v>0</v>
      </c>
      <c r="J34" s="211"/>
      <c r="K34" s="212" t="str">
        <f t="shared" si="0"/>
        <v/>
      </c>
      <c r="L34" s="338" t="str">
        <f t="shared" si="1"/>
        <v/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/>
      <c r="AF34" s="341"/>
    </row>
    <row r="35" spans="1:32">
      <c r="A35" s="307">
        <v>2</v>
      </c>
      <c r="B35" s="342"/>
      <c r="C35" s="342" t="s">
        <v>205</v>
      </c>
      <c r="D35" s="340" t="s">
        <v>262</v>
      </c>
      <c r="E35" s="342"/>
      <c r="F35" s="345" t="s">
        <v>159</v>
      </c>
      <c r="G35" s="308">
        <v>1</v>
      </c>
      <c r="H35" s="309">
        <v>176300</v>
      </c>
      <c r="I35" s="309">
        <v>176300</v>
      </c>
      <c r="J35" s="211">
        <v>1</v>
      </c>
      <c r="K35" s="212" t="str">
        <f t="shared" si="0"/>
        <v/>
      </c>
      <c r="L35" s="338">
        <f t="shared" si="1"/>
        <v>1.662895675792125E-2</v>
      </c>
      <c r="M35" s="343"/>
      <c r="N35" s="344" t="s">
        <v>263</v>
      </c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/>
      <c r="AF35" s="341"/>
    </row>
    <row r="36" spans="1:32">
      <c r="A36" s="307">
        <v>3</v>
      </c>
      <c r="B36" s="342"/>
      <c r="C36" s="342" t="s">
        <v>170</v>
      </c>
      <c r="D36" s="340" t="s">
        <v>264</v>
      </c>
      <c r="E36" s="342" t="s">
        <v>265</v>
      </c>
      <c r="F36" s="345" t="s">
        <v>159</v>
      </c>
      <c r="G36" s="308">
        <v>1</v>
      </c>
      <c r="H36" s="309">
        <v>134300</v>
      </c>
      <c r="I36" s="309">
        <v>134300</v>
      </c>
      <c r="J36" s="211"/>
      <c r="K36" s="212" t="str">
        <f t="shared" si="0"/>
        <v/>
      </c>
      <c r="L36" s="338">
        <f t="shared" si="1"/>
        <v>1.2667435579063097E-2</v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/>
      <c r="AF36" s="341"/>
    </row>
    <row r="37" spans="1:32">
      <c r="A37" s="307">
        <v>3</v>
      </c>
      <c r="B37" s="342"/>
      <c r="C37" s="342" t="s">
        <v>170</v>
      </c>
      <c r="D37" s="340" t="s">
        <v>264</v>
      </c>
      <c r="E37" s="342" t="s">
        <v>266</v>
      </c>
      <c r="F37" s="345" t="s">
        <v>159</v>
      </c>
      <c r="G37" s="308">
        <v>1</v>
      </c>
      <c r="H37" s="309">
        <v>42000</v>
      </c>
      <c r="I37" s="309">
        <v>42000</v>
      </c>
      <c r="J37" s="211"/>
      <c r="K37" s="212" t="str">
        <f t="shared" si="0"/>
        <v/>
      </c>
      <c r="L37" s="338">
        <f t="shared" si="1"/>
        <v>3.9615211788581539E-3</v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/>
      <c r="AF37" s="341"/>
    </row>
    <row r="38" spans="1:32">
      <c r="A38" s="307">
        <v>2</v>
      </c>
      <c r="B38" s="342"/>
      <c r="C38" s="342" t="s">
        <v>205</v>
      </c>
      <c r="D38" s="340" t="s">
        <v>267</v>
      </c>
      <c r="E38" s="342"/>
      <c r="F38" s="345" t="s">
        <v>159</v>
      </c>
      <c r="G38" s="308">
        <v>1</v>
      </c>
      <c r="H38" s="309">
        <v>374700</v>
      </c>
      <c r="I38" s="309">
        <v>374700</v>
      </c>
      <c r="J38" s="211">
        <v>1</v>
      </c>
      <c r="K38" s="212" t="str">
        <f t="shared" si="0"/>
        <v/>
      </c>
      <c r="L38" s="338">
        <f t="shared" si="1"/>
        <v>3.5342428231384532E-2</v>
      </c>
      <c r="M38" s="343"/>
      <c r="N38" s="344" t="s">
        <v>268</v>
      </c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/>
      <c r="AF38" s="341"/>
    </row>
    <row r="39" spans="1:32">
      <c r="A39" s="307">
        <v>3</v>
      </c>
      <c r="B39" s="342"/>
      <c r="C39" s="342" t="s">
        <v>165</v>
      </c>
      <c r="D39" s="340" t="s">
        <v>269</v>
      </c>
      <c r="E39" s="342" t="s">
        <v>265</v>
      </c>
      <c r="F39" s="345" t="s">
        <v>159</v>
      </c>
      <c r="G39" s="308">
        <v>1</v>
      </c>
      <c r="H39" s="309">
        <v>294700</v>
      </c>
      <c r="I39" s="309">
        <v>294700</v>
      </c>
      <c r="J39" s="211"/>
      <c r="K39" s="212" t="str">
        <f t="shared" si="0"/>
        <v/>
      </c>
      <c r="L39" s="338">
        <f t="shared" si="1"/>
        <v>2.7796673604988047E-2</v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/>
      <c r="AF39" s="341"/>
    </row>
    <row r="40" spans="1:32">
      <c r="A40" s="307">
        <v>3</v>
      </c>
      <c r="B40" s="342"/>
      <c r="C40" s="342" t="s">
        <v>165</v>
      </c>
      <c r="D40" s="340" t="s">
        <v>269</v>
      </c>
      <c r="E40" s="342" t="s">
        <v>266</v>
      </c>
      <c r="F40" s="345" t="s">
        <v>159</v>
      </c>
      <c r="G40" s="308">
        <v>1</v>
      </c>
      <c r="H40" s="309">
        <v>80000</v>
      </c>
      <c r="I40" s="309">
        <v>80000</v>
      </c>
      <c r="J40" s="211"/>
      <c r="K40" s="212" t="str">
        <f t="shared" si="0"/>
        <v/>
      </c>
      <c r="L40" s="338">
        <f t="shared" si="1"/>
        <v>7.5457546263964833E-3</v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/>
      <c r="AF40" s="341"/>
    </row>
    <row r="41" spans="1:32">
      <c r="A41" s="217"/>
      <c r="B41" s="217"/>
      <c r="C41" s="312"/>
      <c r="D41" s="217"/>
      <c r="E41" s="217"/>
      <c r="F41" s="218"/>
      <c r="G41" s="217"/>
      <c r="H41" s="217"/>
      <c r="I41" s="217"/>
      <c r="J41" s="217"/>
      <c r="K41" s="218"/>
      <c r="L41" s="217"/>
      <c r="M41" s="217"/>
      <c r="N41" s="217"/>
      <c r="O41" s="217"/>
      <c r="P41" s="217"/>
      <c r="Q41" s="217"/>
      <c r="R41" s="217"/>
      <c r="S41" s="218"/>
      <c r="T41" s="217"/>
      <c r="U41" s="217"/>
      <c r="V41" s="217"/>
      <c r="W41" s="217"/>
      <c r="X41" s="217"/>
      <c r="Y41" s="217"/>
      <c r="Z41" s="217"/>
      <c r="AA41" s="218"/>
      <c r="AB41" s="217"/>
      <c r="AC41" s="217"/>
      <c r="AD41" s="217"/>
      <c r="AE41" s="217"/>
      <c r="AF41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40 AF4:AF40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40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271</v>
      </c>
      <c r="D4" s="315"/>
      <c r="E4" s="120"/>
      <c r="F4" s="119" t="s">
        <v>155</v>
      </c>
      <c r="G4" s="316">
        <v>1070000</v>
      </c>
      <c r="H4" s="69"/>
    </row>
    <row r="5" spans="1:8" ht="27" customHeight="1">
      <c r="A5" s="69"/>
      <c r="B5" s="118"/>
      <c r="C5" s="119" t="s">
        <v>272</v>
      </c>
      <c r="D5" s="315"/>
      <c r="E5" s="120"/>
      <c r="F5" s="119" t="s">
        <v>156</v>
      </c>
      <c r="G5" s="316"/>
      <c r="H5" s="69"/>
    </row>
    <row r="6" spans="1:8" ht="27" customHeight="1">
      <c r="A6" s="69"/>
      <c r="B6" s="118"/>
      <c r="C6" s="119" t="s">
        <v>273</v>
      </c>
      <c r="D6" s="315"/>
      <c r="E6" s="120"/>
      <c r="F6" s="119" t="s">
        <v>157</v>
      </c>
      <c r="G6" s="316"/>
      <c r="H6" s="69"/>
    </row>
    <row r="7" spans="1:8" ht="27" customHeight="1">
      <c r="A7" s="69"/>
      <c r="B7" s="118"/>
      <c r="C7" s="119" t="s">
        <v>274</v>
      </c>
      <c r="D7" s="315"/>
      <c r="E7" s="120"/>
      <c r="F7" s="119" t="s">
        <v>158</v>
      </c>
      <c r="G7" s="316"/>
      <c r="H7" s="69"/>
    </row>
    <row r="8" spans="1:8" ht="27" customHeight="1">
      <c r="A8" s="69"/>
      <c r="B8" s="118"/>
      <c r="C8" s="119" t="s">
        <v>154</v>
      </c>
      <c r="D8" s="315"/>
      <c r="E8" s="120"/>
      <c r="F8" s="119"/>
      <c r="G8" s="316"/>
      <c r="H8" s="69"/>
    </row>
    <row r="9" spans="1:8" ht="27" customHeight="1">
      <c r="A9" s="69"/>
      <c r="B9" s="118"/>
      <c r="C9" s="119"/>
      <c r="D9" s="315"/>
      <c r="E9" s="120"/>
      <c r="F9" s="119" t="s">
        <v>200</v>
      </c>
      <c r="G9" s="316">
        <v>1070000</v>
      </c>
      <c r="H9" s="69"/>
    </row>
    <row r="10" spans="1:8" ht="27" customHeight="1">
      <c r="A10" s="69"/>
      <c r="B10" s="118"/>
      <c r="C10" s="119" t="s">
        <v>200</v>
      </c>
      <c r="D10" s="315"/>
      <c r="E10" s="120"/>
      <c r="F10" s="119"/>
      <c r="G10" s="316"/>
      <c r="H10" s="69"/>
    </row>
    <row r="11" spans="1:8" ht="27" customHeight="1">
      <c r="A11" s="69"/>
      <c r="B11" s="118"/>
      <c r="C11" s="119"/>
      <c r="D11" s="315"/>
      <c r="E11" s="120"/>
      <c r="F11" s="119"/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/>
      <c r="G13" s="316"/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491"/>
      <c r="N1" s="491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163</v>
      </c>
      <c r="H3" s="128" t="s">
        <v>164</v>
      </c>
      <c r="I3" s="128" t="s">
        <v>165</v>
      </c>
      <c r="J3" s="128" t="s">
        <v>166</v>
      </c>
      <c r="K3" s="128" t="s">
        <v>167</v>
      </c>
      <c r="L3" s="128" t="s">
        <v>168</v>
      </c>
      <c r="M3" s="128" t="s">
        <v>169</v>
      </c>
      <c r="N3" s="129" t="s">
        <v>170</v>
      </c>
      <c r="O3" s="69"/>
    </row>
    <row r="4" spans="1:15" ht="30" customHeight="1">
      <c r="A4" s="69"/>
      <c r="B4" s="130" t="s">
        <v>271</v>
      </c>
      <c r="C4" s="131" t="s">
        <v>159</v>
      </c>
      <c r="D4" s="320">
        <v>1</v>
      </c>
      <c r="E4" s="321"/>
      <c r="F4" s="322"/>
      <c r="G4" s="323"/>
      <c r="H4" s="324"/>
      <c r="I4" s="324"/>
      <c r="J4" s="324"/>
      <c r="K4" s="324"/>
      <c r="L4" s="324"/>
      <c r="M4" s="324"/>
      <c r="N4" s="325"/>
      <c r="O4" s="69"/>
    </row>
    <row r="5" spans="1:15" ht="30" customHeight="1">
      <c r="A5" s="69"/>
      <c r="B5" s="130" t="s">
        <v>272</v>
      </c>
      <c r="C5" s="131" t="s">
        <v>159</v>
      </c>
      <c r="D5" s="326">
        <v>1</v>
      </c>
      <c r="E5" s="321"/>
      <c r="F5" s="322"/>
      <c r="G5" s="323"/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273</v>
      </c>
      <c r="C6" s="131" t="s">
        <v>159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274</v>
      </c>
      <c r="C7" s="131" t="s">
        <v>159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154</v>
      </c>
      <c r="C8" s="131" t="s">
        <v>159</v>
      </c>
      <c r="D8" s="326">
        <v>1</v>
      </c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/>
      <c r="C9" s="131"/>
      <c r="D9" s="326"/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 t="s">
        <v>200</v>
      </c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/>
      <c r="C11" s="131"/>
      <c r="D11" s="326"/>
      <c r="E11" s="321"/>
      <c r="F11" s="322"/>
      <c r="G11" s="323"/>
      <c r="H11" s="324"/>
      <c r="I11" s="324"/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1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24-000みなとみらい21地域冷暖房施設ｾﾝﾀｰﾌﾟﾗﾝﾄｱﾌﾟﾛｰﾁ改修工事</v>
      </c>
      <c r="G1" s="306"/>
      <c r="H1" s="190" t="s">
        <v>131</v>
      </c>
      <c r="I1" s="333">
        <v>14300000</v>
      </c>
      <c r="J1" s="339">
        <f>I4/I$1</f>
        <v>0.74139776223776221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270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202</v>
      </c>
      <c r="D4" s="340" t="s">
        <v>171</v>
      </c>
      <c r="E4" s="342"/>
      <c r="F4" s="345" t="s">
        <v>159</v>
      </c>
      <c r="G4" s="308">
        <v>1</v>
      </c>
      <c r="H4" s="309">
        <v>10601988</v>
      </c>
      <c r="I4" s="309">
        <v>10601988</v>
      </c>
      <c r="J4" s="211">
        <v>1</v>
      </c>
      <c r="K4" s="212" t="str">
        <f t="shared" ref="K4:K10" si="0">IF(OR(J4="",G4=J4),"","*")</f>
        <v/>
      </c>
      <c r="L4" s="338">
        <f t="shared" ref="L4:L10" si="1">IF($A4&lt;=L$1,I4/I$4,"")</f>
        <v>1</v>
      </c>
      <c r="M4" s="343"/>
      <c r="N4" s="344"/>
      <c r="O4" s="346">
        <v>0</v>
      </c>
      <c r="P4" s="347">
        <v>0</v>
      </c>
      <c r="Q4" s="347">
        <v>0</v>
      </c>
      <c r="R4" s="348">
        <v>0</v>
      </c>
      <c r="S4" s="349" t="s">
        <v>117</v>
      </c>
      <c r="T4" s="343" t="e">
        <v>#DIV/0!</v>
      </c>
      <c r="U4" s="343" t="s">
        <v>117</v>
      </c>
      <c r="V4" s="344" t="s">
        <v>117</v>
      </c>
      <c r="W4" s="346">
        <v>0</v>
      </c>
      <c r="X4" s="347">
        <v>0</v>
      </c>
      <c r="Y4" s="347">
        <v>0</v>
      </c>
      <c r="Z4" s="348">
        <v>0</v>
      </c>
      <c r="AA4" s="349" t="s">
        <v>117</v>
      </c>
      <c r="AB4" s="343" t="e">
        <v>#DIV/0!</v>
      </c>
      <c r="AC4" s="343" t="s">
        <v>117</v>
      </c>
      <c r="AD4" s="344" t="s">
        <v>117</v>
      </c>
      <c r="AE4" s="342"/>
      <c r="AF4" s="341" t="s">
        <v>117</v>
      </c>
    </row>
    <row r="5" spans="1:32">
      <c r="A5" s="307">
        <v>1</v>
      </c>
      <c r="B5" s="342"/>
      <c r="C5" s="342" t="s">
        <v>203</v>
      </c>
      <c r="D5" s="340" t="s">
        <v>275</v>
      </c>
      <c r="E5" s="342"/>
      <c r="F5" s="345" t="s">
        <v>159</v>
      </c>
      <c r="G5" s="308">
        <v>1</v>
      </c>
      <c r="H5" s="309">
        <v>0</v>
      </c>
      <c r="I5" s="309">
        <v>0</v>
      </c>
      <c r="J5" s="211"/>
      <c r="K5" s="212" t="str">
        <f t="shared" si="0"/>
        <v/>
      </c>
      <c r="L5" s="338">
        <f t="shared" si="1"/>
        <v>0</v>
      </c>
      <c r="M5" s="343"/>
      <c r="N5" s="344"/>
      <c r="O5" s="346">
        <v>0</v>
      </c>
      <c r="P5" s="347">
        <v>0</v>
      </c>
      <c r="Q5" s="347">
        <v>0</v>
      </c>
      <c r="R5" s="348">
        <v>0</v>
      </c>
      <c r="S5" s="349" t="s">
        <v>117</v>
      </c>
      <c r="T5" s="343" t="e">
        <v>#DIV/0!</v>
      </c>
      <c r="U5" s="343" t="s">
        <v>117</v>
      </c>
      <c r="V5" s="344" t="s">
        <v>117</v>
      </c>
      <c r="W5" s="346">
        <v>0</v>
      </c>
      <c r="X5" s="347">
        <v>0</v>
      </c>
      <c r="Y5" s="347">
        <v>0</v>
      </c>
      <c r="Z5" s="348">
        <v>0</v>
      </c>
      <c r="AA5" s="349" t="s">
        <v>117</v>
      </c>
      <c r="AB5" s="343" t="e">
        <v>#DIV/0!</v>
      </c>
      <c r="AC5" s="343" t="s">
        <v>117</v>
      </c>
      <c r="AD5" s="344" t="s">
        <v>117</v>
      </c>
      <c r="AE5" s="342"/>
      <c r="AF5" s="341" t="s">
        <v>117</v>
      </c>
    </row>
    <row r="6" spans="1:32">
      <c r="A6" s="307">
        <v>2</v>
      </c>
      <c r="B6" s="342"/>
      <c r="C6" s="342" t="s">
        <v>205</v>
      </c>
      <c r="D6" s="340" t="s">
        <v>276</v>
      </c>
      <c r="E6" s="342"/>
      <c r="F6" s="345" t="s">
        <v>159</v>
      </c>
      <c r="G6" s="308">
        <v>1</v>
      </c>
      <c r="H6" s="309">
        <v>0</v>
      </c>
      <c r="I6" s="309">
        <v>0</v>
      </c>
      <c r="J6" s="211">
        <v>1</v>
      </c>
      <c r="K6" s="212" t="str">
        <f t="shared" si="0"/>
        <v/>
      </c>
      <c r="L6" s="338">
        <f t="shared" si="1"/>
        <v>0</v>
      </c>
      <c r="M6" s="343"/>
      <c r="N6" s="344" t="s">
        <v>277</v>
      </c>
      <c r="O6" s="346">
        <v>0</v>
      </c>
      <c r="P6" s="347">
        <v>0</v>
      </c>
      <c r="Q6" s="347">
        <v>0</v>
      </c>
      <c r="R6" s="348">
        <v>0</v>
      </c>
      <c r="S6" s="349" t="s">
        <v>117</v>
      </c>
      <c r="T6" s="343" t="e">
        <v>#DIV/0!</v>
      </c>
      <c r="U6" s="343" t="s">
        <v>117</v>
      </c>
      <c r="V6" s="344" t="s">
        <v>117</v>
      </c>
      <c r="W6" s="346">
        <v>0</v>
      </c>
      <c r="X6" s="347">
        <v>0</v>
      </c>
      <c r="Y6" s="347">
        <v>0</v>
      </c>
      <c r="Z6" s="348">
        <v>0</v>
      </c>
      <c r="AA6" s="349" t="s">
        <v>117</v>
      </c>
      <c r="AB6" s="343" t="e">
        <v>#DIV/0!</v>
      </c>
      <c r="AC6" s="343" t="s">
        <v>117</v>
      </c>
      <c r="AD6" s="344" t="s">
        <v>117</v>
      </c>
      <c r="AE6" s="342"/>
      <c r="AF6" s="341" t="s">
        <v>117</v>
      </c>
    </row>
    <row r="7" spans="1:32">
      <c r="A7" s="307">
        <v>2</v>
      </c>
      <c r="B7" s="342"/>
      <c r="C7" s="342" t="s">
        <v>205</v>
      </c>
      <c r="D7" s="340" t="s">
        <v>278</v>
      </c>
      <c r="E7" s="342"/>
      <c r="F7" s="345" t="s">
        <v>159</v>
      </c>
      <c r="G7" s="308">
        <v>1</v>
      </c>
      <c r="H7" s="309">
        <v>0</v>
      </c>
      <c r="I7" s="309">
        <v>0</v>
      </c>
      <c r="J7" s="211">
        <v>1</v>
      </c>
      <c r="K7" s="212" t="str">
        <f t="shared" si="0"/>
        <v/>
      </c>
      <c r="L7" s="338">
        <f t="shared" si="1"/>
        <v>0</v>
      </c>
      <c r="M7" s="343"/>
      <c r="N7" s="344" t="s">
        <v>279</v>
      </c>
      <c r="O7" s="346">
        <v>0</v>
      </c>
      <c r="P7" s="347">
        <v>0</v>
      </c>
      <c r="Q7" s="347">
        <v>0</v>
      </c>
      <c r="R7" s="348">
        <v>0</v>
      </c>
      <c r="S7" s="349" t="s">
        <v>117</v>
      </c>
      <c r="T7" s="343" t="e">
        <v>#DIV/0!</v>
      </c>
      <c r="U7" s="343" t="s">
        <v>117</v>
      </c>
      <c r="V7" s="344" t="s">
        <v>117</v>
      </c>
      <c r="W7" s="346">
        <v>0</v>
      </c>
      <c r="X7" s="347">
        <v>0</v>
      </c>
      <c r="Y7" s="347">
        <v>0</v>
      </c>
      <c r="Z7" s="348">
        <v>0</v>
      </c>
      <c r="AA7" s="349" t="s">
        <v>117</v>
      </c>
      <c r="AB7" s="343" t="e">
        <v>#DIV/0!</v>
      </c>
      <c r="AC7" s="343" t="s">
        <v>117</v>
      </c>
      <c r="AD7" s="344" t="s">
        <v>117</v>
      </c>
      <c r="AE7" s="342"/>
      <c r="AF7" s="341" t="s">
        <v>117</v>
      </c>
    </row>
    <row r="8" spans="1:32">
      <c r="A8" s="307">
        <v>2</v>
      </c>
      <c r="B8" s="342"/>
      <c r="C8" s="342" t="s">
        <v>205</v>
      </c>
      <c r="D8" s="340" t="s">
        <v>280</v>
      </c>
      <c r="E8" s="342"/>
      <c r="F8" s="345" t="s">
        <v>159</v>
      </c>
      <c r="G8" s="308">
        <v>1</v>
      </c>
      <c r="H8" s="309">
        <v>0</v>
      </c>
      <c r="I8" s="309">
        <v>0</v>
      </c>
      <c r="J8" s="211">
        <v>1</v>
      </c>
      <c r="K8" s="212" t="str">
        <f t="shared" si="0"/>
        <v/>
      </c>
      <c r="L8" s="338">
        <f t="shared" si="1"/>
        <v>0</v>
      </c>
      <c r="M8" s="343"/>
      <c r="N8" s="344" t="s">
        <v>281</v>
      </c>
      <c r="O8" s="346">
        <v>0</v>
      </c>
      <c r="P8" s="347">
        <v>0</v>
      </c>
      <c r="Q8" s="347">
        <v>0</v>
      </c>
      <c r="R8" s="348">
        <v>0</v>
      </c>
      <c r="S8" s="349" t="s">
        <v>117</v>
      </c>
      <c r="T8" s="343" t="e">
        <v>#DIV/0!</v>
      </c>
      <c r="U8" s="343" t="s">
        <v>117</v>
      </c>
      <c r="V8" s="344" t="s">
        <v>117</v>
      </c>
      <c r="W8" s="346">
        <v>0</v>
      </c>
      <c r="X8" s="347">
        <v>0</v>
      </c>
      <c r="Y8" s="347">
        <v>0</v>
      </c>
      <c r="Z8" s="348">
        <v>0</v>
      </c>
      <c r="AA8" s="349" t="s">
        <v>117</v>
      </c>
      <c r="AB8" s="343" t="e">
        <v>#DIV/0!</v>
      </c>
      <c r="AC8" s="343" t="s">
        <v>117</v>
      </c>
      <c r="AD8" s="344" t="s">
        <v>117</v>
      </c>
      <c r="AE8" s="342"/>
      <c r="AF8" s="341" t="s">
        <v>117</v>
      </c>
    </row>
    <row r="9" spans="1:32">
      <c r="A9" s="307">
        <v>2</v>
      </c>
      <c r="B9" s="342"/>
      <c r="C9" s="342" t="s">
        <v>205</v>
      </c>
      <c r="D9" s="340" t="s">
        <v>282</v>
      </c>
      <c r="E9" s="342"/>
      <c r="F9" s="345" t="s">
        <v>159</v>
      </c>
      <c r="G9" s="308">
        <v>1</v>
      </c>
      <c r="H9" s="309">
        <v>0</v>
      </c>
      <c r="I9" s="309">
        <v>0</v>
      </c>
      <c r="J9" s="211">
        <v>1</v>
      </c>
      <c r="K9" s="212" t="str">
        <f t="shared" si="0"/>
        <v/>
      </c>
      <c r="L9" s="338">
        <f t="shared" si="1"/>
        <v>0</v>
      </c>
      <c r="M9" s="343"/>
      <c r="N9" s="344" t="s">
        <v>283</v>
      </c>
      <c r="O9" s="346">
        <v>0</v>
      </c>
      <c r="P9" s="347">
        <v>0</v>
      </c>
      <c r="Q9" s="347">
        <v>0</v>
      </c>
      <c r="R9" s="348">
        <v>0</v>
      </c>
      <c r="S9" s="349" t="s">
        <v>117</v>
      </c>
      <c r="T9" s="343" t="e">
        <v>#DIV/0!</v>
      </c>
      <c r="U9" s="343" t="s">
        <v>117</v>
      </c>
      <c r="V9" s="344" t="s">
        <v>117</v>
      </c>
      <c r="W9" s="346">
        <v>0</v>
      </c>
      <c r="X9" s="347">
        <v>0</v>
      </c>
      <c r="Y9" s="347">
        <v>0</v>
      </c>
      <c r="Z9" s="348">
        <v>0</v>
      </c>
      <c r="AA9" s="349" t="s">
        <v>117</v>
      </c>
      <c r="AB9" s="343" t="e">
        <v>#DIV/0!</v>
      </c>
      <c r="AC9" s="343" t="s">
        <v>117</v>
      </c>
      <c r="AD9" s="344" t="s">
        <v>117</v>
      </c>
      <c r="AE9" s="342"/>
      <c r="AF9" s="341" t="s">
        <v>117</v>
      </c>
    </row>
    <row r="10" spans="1:32">
      <c r="A10" s="307">
        <v>2</v>
      </c>
      <c r="B10" s="342"/>
      <c r="C10" s="342" t="s">
        <v>205</v>
      </c>
      <c r="D10" s="340" t="s">
        <v>284</v>
      </c>
      <c r="E10" s="342"/>
      <c r="F10" s="345" t="s">
        <v>159</v>
      </c>
      <c r="G10" s="308">
        <v>1</v>
      </c>
      <c r="H10" s="309">
        <v>0</v>
      </c>
      <c r="I10" s="309">
        <v>0</v>
      </c>
      <c r="J10" s="211">
        <v>1</v>
      </c>
      <c r="K10" s="212" t="str">
        <f t="shared" si="0"/>
        <v/>
      </c>
      <c r="L10" s="338">
        <f t="shared" si="1"/>
        <v>0</v>
      </c>
      <c r="M10" s="343"/>
      <c r="N10" s="344" t="s">
        <v>285</v>
      </c>
      <c r="O10" s="346">
        <v>0</v>
      </c>
      <c r="P10" s="347">
        <v>0</v>
      </c>
      <c r="Q10" s="347">
        <v>0</v>
      </c>
      <c r="R10" s="348">
        <v>0</v>
      </c>
      <c r="S10" s="349" t="s">
        <v>117</v>
      </c>
      <c r="T10" s="343" t="e">
        <v>#DIV/0!</v>
      </c>
      <c r="U10" s="343" t="s">
        <v>117</v>
      </c>
      <c r="V10" s="344" t="s">
        <v>117</v>
      </c>
      <c r="W10" s="346">
        <v>0</v>
      </c>
      <c r="X10" s="347">
        <v>0</v>
      </c>
      <c r="Y10" s="347">
        <v>0</v>
      </c>
      <c r="Z10" s="348">
        <v>0</v>
      </c>
      <c r="AA10" s="349" t="s">
        <v>117</v>
      </c>
      <c r="AB10" s="343" t="e">
        <v>#DIV/0!</v>
      </c>
      <c r="AC10" s="343" t="s">
        <v>117</v>
      </c>
      <c r="AD10" s="344" t="s">
        <v>117</v>
      </c>
      <c r="AE10" s="342"/>
      <c r="AF10" s="341" t="s">
        <v>117</v>
      </c>
    </row>
    <row r="11" spans="1:32">
      <c r="A11" s="217"/>
      <c r="B11" s="217"/>
      <c r="C11" s="312"/>
      <c r="D11" s="217"/>
      <c r="E11" s="217"/>
      <c r="F11" s="218"/>
      <c r="G11" s="217"/>
      <c r="H11" s="217"/>
      <c r="I11" s="217"/>
      <c r="J11" s="217"/>
      <c r="K11" s="218"/>
      <c r="L11" s="217"/>
      <c r="M11" s="217"/>
      <c r="N11" s="217"/>
      <c r="O11" s="217"/>
      <c r="P11" s="217"/>
      <c r="Q11" s="217"/>
      <c r="R11" s="217"/>
      <c r="S11" s="218"/>
      <c r="T11" s="217"/>
      <c r="U11" s="217"/>
      <c r="V11" s="217"/>
      <c r="W11" s="217"/>
      <c r="X11" s="217"/>
      <c r="Y11" s="217"/>
      <c r="Z11" s="217"/>
      <c r="AA11" s="218"/>
      <c r="AB11" s="217"/>
      <c r="AC11" s="217"/>
      <c r="AD11" s="217"/>
      <c r="AE11" s="217"/>
      <c r="AF11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0 AF4:AF10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0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155</v>
      </c>
      <c r="C3" s="561"/>
      <c r="D3" s="563" t="s">
        <v>159</v>
      </c>
      <c r="E3" s="565">
        <v>1</v>
      </c>
      <c r="F3" s="521">
        <v>1070000</v>
      </c>
      <c r="G3" s="557">
        <v>1070000</v>
      </c>
      <c r="H3" s="138" t="s">
        <v>286</v>
      </c>
      <c r="I3" s="69"/>
    </row>
    <row r="4" spans="1:9" ht="15.75" customHeight="1">
      <c r="A4" s="69"/>
      <c r="B4" s="569"/>
      <c r="C4" s="570"/>
      <c r="D4" s="571"/>
      <c r="E4" s="572"/>
      <c r="F4" s="573"/>
      <c r="G4" s="558"/>
      <c r="H4" s="139" t="s">
        <v>181</v>
      </c>
      <c r="I4" s="69"/>
    </row>
    <row r="5" spans="1:9" ht="15.75" customHeight="1">
      <c r="A5" s="69"/>
      <c r="B5" s="559" t="s">
        <v>156</v>
      </c>
      <c r="C5" s="561" t="s">
        <v>160</v>
      </c>
      <c r="D5" s="563" t="s">
        <v>159</v>
      </c>
      <c r="E5" s="565">
        <v>1</v>
      </c>
      <c r="F5" s="521"/>
      <c r="G5" s="557"/>
      <c r="H5" s="138" t="s">
        <v>287</v>
      </c>
      <c r="I5" s="69"/>
    </row>
    <row r="6" spans="1:9" ht="15.75" customHeight="1">
      <c r="A6" s="69"/>
      <c r="B6" s="569"/>
      <c r="C6" s="570"/>
      <c r="D6" s="571"/>
      <c r="E6" s="572"/>
      <c r="F6" s="573"/>
      <c r="G6" s="558"/>
      <c r="H6" s="139" t="s">
        <v>181</v>
      </c>
      <c r="I6" s="69"/>
    </row>
    <row r="7" spans="1:9" ht="15.75" customHeight="1">
      <c r="A7" s="69"/>
      <c r="B7" s="559" t="s">
        <v>157</v>
      </c>
      <c r="C7" s="561" t="s">
        <v>161</v>
      </c>
      <c r="D7" s="563" t="s">
        <v>159</v>
      </c>
      <c r="E7" s="565">
        <v>1</v>
      </c>
      <c r="F7" s="521"/>
      <c r="G7" s="557"/>
      <c r="H7" s="138" t="s">
        <v>288</v>
      </c>
      <c r="I7" s="69"/>
    </row>
    <row r="8" spans="1:9" ht="15.75" customHeight="1">
      <c r="A8" s="69"/>
      <c r="B8" s="569"/>
      <c r="C8" s="570"/>
      <c r="D8" s="571"/>
      <c r="E8" s="572"/>
      <c r="F8" s="573"/>
      <c r="G8" s="558"/>
      <c r="H8" s="139" t="s">
        <v>181</v>
      </c>
      <c r="I8" s="69"/>
    </row>
    <row r="9" spans="1:9" ht="15.75" customHeight="1">
      <c r="A9" s="69"/>
      <c r="B9" s="559" t="s">
        <v>158</v>
      </c>
      <c r="C9" s="561" t="s">
        <v>162</v>
      </c>
      <c r="D9" s="563" t="s">
        <v>159</v>
      </c>
      <c r="E9" s="565">
        <v>1</v>
      </c>
      <c r="F9" s="521"/>
      <c r="G9" s="557"/>
      <c r="H9" s="138" t="s">
        <v>289</v>
      </c>
      <c r="I9" s="69"/>
    </row>
    <row r="10" spans="1:9" ht="15.75" customHeight="1">
      <c r="A10" s="69"/>
      <c r="B10" s="569"/>
      <c r="C10" s="570"/>
      <c r="D10" s="571"/>
      <c r="E10" s="572"/>
      <c r="F10" s="573"/>
      <c r="G10" s="558"/>
      <c r="H10" s="139" t="s">
        <v>181</v>
      </c>
      <c r="I10" s="69"/>
    </row>
    <row r="11" spans="1:9" ht="15.75" customHeight="1">
      <c r="A11" s="69"/>
      <c r="B11" s="559"/>
      <c r="C11" s="561"/>
      <c r="D11" s="563"/>
      <c r="E11" s="565"/>
      <c r="F11" s="521"/>
      <c r="G11" s="557"/>
      <c r="H11" s="138"/>
      <c r="I11" s="69"/>
    </row>
    <row r="12" spans="1:9" ht="15.75" customHeight="1">
      <c r="A12" s="69"/>
      <c r="B12" s="569"/>
      <c r="C12" s="570"/>
      <c r="D12" s="571"/>
      <c r="E12" s="572"/>
      <c r="F12" s="573"/>
      <c r="G12" s="558"/>
      <c r="H12" s="139"/>
      <c r="I12" s="69"/>
    </row>
    <row r="13" spans="1:9" ht="15.75" customHeight="1">
      <c r="A13" s="69"/>
      <c r="B13" s="559" t="s">
        <v>200</v>
      </c>
      <c r="C13" s="561"/>
      <c r="D13" s="563"/>
      <c r="E13" s="565"/>
      <c r="F13" s="521"/>
      <c r="G13" s="557">
        <v>1070000</v>
      </c>
      <c r="H13" s="138"/>
      <c r="I13" s="69"/>
    </row>
    <row r="14" spans="1:9" ht="15.75" customHeight="1">
      <c r="A14" s="69"/>
      <c r="B14" s="569"/>
      <c r="C14" s="570"/>
      <c r="D14" s="571"/>
      <c r="E14" s="572"/>
      <c r="F14" s="573"/>
      <c r="G14" s="558"/>
      <c r="H14" s="139"/>
      <c r="I14" s="69"/>
    </row>
    <row r="15" spans="1:9" ht="15.75" customHeight="1">
      <c r="A15" s="69"/>
      <c r="B15" s="559"/>
      <c r="C15" s="561"/>
      <c r="D15" s="563"/>
      <c r="E15" s="565"/>
      <c r="F15" s="521"/>
      <c r="G15" s="557"/>
      <c r="H15" s="138"/>
      <c r="I15" s="69"/>
    </row>
    <row r="16" spans="1:9" ht="15.75" customHeight="1">
      <c r="A16" s="69"/>
      <c r="B16" s="569"/>
      <c r="C16" s="570"/>
      <c r="D16" s="571"/>
      <c r="E16" s="572"/>
      <c r="F16" s="573"/>
      <c r="G16" s="558"/>
      <c r="H16" s="139"/>
      <c r="I16" s="69"/>
    </row>
    <row r="17" spans="1:9" ht="15.75" customHeight="1">
      <c r="A17" s="69"/>
      <c r="B17" s="559"/>
      <c r="C17" s="561"/>
      <c r="D17" s="563"/>
      <c r="E17" s="565"/>
      <c r="F17" s="521"/>
      <c r="G17" s="557"/>
      <c r="H17" s="138"/>
      <c r="I17" s="69"/>
    </row>
    <row r="18" spans="1:9" ht="15.75" customHeight="1">
      <c r="A18" s="69"/>
      <c r="B18" s="569"/>
      <c r="C18" s="570"/>
      <c r="D18" s="571"/>
      <c r="E18" s="572"/>
      <c r="F18" s="573"/>
      <c r="G18" s="558"/>
      <c r="H18" s="139"/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9"/>
      <c r="C20" s="570"/>
      <c r="D20" s="571"/>
      <c r="E20" s="572"/>
      <c r="F20" s="573"/>
      <c r="G20" s="558"/>
      <c r="H20" s="139"/>
      <c r="I20" s="69"/>
    </row>
    <row r="21" spans="1:9" ht="15.75" customHeight="1">
      <c r="A21" s="69"/>
      <c r="B21" s="559"/>
      <c r="C21" s="561"/>
      <c r="D21" s="563"/>
      <c r="E21" s="565"/>
      <c r="F21" s="521"/>
      <c r="G21" s="557"/>
      <c r="H21" s="138"/>
      <c r="I21" s="69"/>
    </row>
    <row r="22" spans="1:9" ht="15.75" customHeight="1">
      <c r="A22" s="69"/>
      <c r="B22" s="569"/>
      <c r="C22" s="570"/>
      <c r="D22" s="571"/>
      <c r="E22" s="572"/>
      <c r="F22" s="573"/>
      <c r="G22" s="55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9"/>
      <c r="C24" s="570"/>
      <c r="D24" s="571"/>
      <c r="E24" s="572"/>
      <c r="F24" s="573"/>
      <c r="G24" s="55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9"/>
      <c r="C26" s="570"/>
      <c r="D26" s="571"/>
      <c r="E26" s="572"/>
      <c r="F26" s="573"/>
      <c r="G26" s="55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9"/>
      <c r="C28" s="570"/>
      <c r="D28" s="571"/>
      <c r="E28" s="572"/>
      <c r="F28" s="573"/>
      <c r="G28" s="55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0"/>
      <c r="C30" s="562"/>
      <c r="D30" s="564"/>
      <c r="E30" s="566"/>
      <c r="F30" s="567"/>
      <c r="G30" s="56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C1:F1"/>
    <mergeCell ref="B3:B4"/>
    <mergeCell ref="C3:C4"/>
    <mergeCell ref="D3:D4"/>
    <mergeCell ref="E3:E4"/>
    <mergeCell ref="F3:F4"/>
    <mergeCell ref="G3:G4"/>
    <mergeCell ref="B5:B6"/>
    <mergeCell ref="C5:C6"/>
    <mergeCell ref="D5:D6"/>
    <mergeCell ref="E5:E6"/>
    <mergeCell ref="F5:F6"/>
    <mergeCell ref="G5:G6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1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24-000みなとみらい21地域冷暖房施設ｾﾝﾀｰﾌﾟﾗﾝﾄｱﾌﾟﾛｰﾁ改修工事</v>
      </c>
      <c r="G1" s="306"/>
      <c r="H1" s="190" t="s">
        <v>131</v>
      </c>
      <c r="I1" s="333">
        <v>14300000</v>
      </c>
      <c r="J1" s="339">
        <f>I4/I$1</f>
        <v>0.74139776223776221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270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202</v>
      </c>
      <c r="D4" s="340" t="s">
        <v>171</v>
      </c>
      <c r="E4" s="342"/>
      <c r="F4" s="345" t="s">
        <v>159</v>
      </c>
      <c r="G4" s="308">
        <v>1</v>
      </c>
      <c r="H4" s="309">
        <v>10601988</v>
      </c>
      <c r="I4" s="309">
        <v>10601988</v>
      </c>
      <c r="J4" s="211">
        <v>1</v>
      </c>
      <c r="K4" s="212" t="str">
        <f t="shared" ref="K4:K10" si="0">IF(OR(J4="",G4=J4),"","*")</f>
        <v/>
      </c>
      <c r="L4" s="338">
        <f t="shared" ref="L4:L10" si="1">IF($A4&lt;=L$1,I4/I$4,"")</f>
        <v>1</v>
      </c>
      <c r="M4" s="343"/>
      <c r="N4" s="344"/>
      <c r="O4" s="346">
        <v>0</v>
      </c>
      <c r="P4" s="347">
        <v>0</v>
      </c>
      <c r="Q4" s="347">
        <v>0</v>
      </c>
      <c r="R4" s="348">
        <v>0</v>
      </c>
      <c r="S4" s="349" t="s">
        <v>117</v>
      </c>
      <c r="T4" s="343" t="e">
        <v>#DIV/0!</v>
      </c>
      <c r="U4" s="343" t="s">
        <v>117</v>
      </c>
      <c r="V4" s="344" t="s">
        <v>117</v>
      </c>
      <c r="W4" s="346">
        <v>0</v>
      </c>
      <c r="X4" s="347">
        <v>0</v>
      </c>
      <c r="Y4" s="347">
        <v>0</v>
      </c>
      <c r="Z4" s="348">
        <v>0</v>
      </c>
      <c r="AA4" s="349" t="s">
        <v>117</v>
      </c>
      <c r="AB4" s="343" t="e">
        <v>#DIV/0!</v>
      </c>
      <c r="AC4" s="343" t="s">
        <v>117</v>
      </c>
      <c r="AD4" s="344" t="s">
        <v>117</v>
      </c>
      <c r="AE4" s="342"/>
      <c r="AF4" s="341" t="s">
        <v>117</v>
      </c>
    </row>
    <row r="5" spans="1:32">
      <c r="A5" s="307">
        <v>1</v>
      </c>
      <c r="B5" s="342"/>
      <c r="C5" s="342" t="s">
        <v>203</v>
      </c>
      <c r="D5" s="340" t="s">
        <v>290</v>
      </c>
      <c r="E5" s="342"/>
      <c r="F5" s="345" t="s">
        <v>159</v>
      </c>
      <c r="G5" s="308">
        <v>1</v>
      </c>
      <c r="H5" s="309">
        <v>1070000</v>
      </c>
      <c r="I5" s="309">
        <v>1070000</v>
      </c>
      <c r="J5" s="211"/>
      <c r="K5" s="212" t="str">
        <f t="shared" si="0"/>
        <v/>
      </c>
      <c r="L5" s="338">
        <f t="shared" si="1"/>
        <v>0.10092446812805296</v>
      </c>
      <c r="M5" s="343"/>
      <c r="N5" s="344"/>
      <c r="O5" s="346">
        <v>0</v>
      </c>
      <c r="P5" s="347">
        <v>0</v>
      </c>
      <c r="Q5" s="347">
        <v>0</v>
      </c>
      <c r="R5" s="348">
        <v>0</v>
      </c>
      <c r="S5" s="349" t="s">
        <v>117</v>
      </c>
      <c r="T5" s="343" t="e">
        <v>#DIV/0!</v>
      </c>
      <c r="U5" s="343" t="s">
        <v>117</v>
      </c>
      <c r="V5" s="344" t="s">
        <v>117</v>
      </c>
      <c r="W5" s="346">
        <v>0</v>
      </c>
      <c r="X5" s="347">
        <v>0</v>
      </c>
      <c r="Y5" s="347">
        <v>0</v>
      </c>
      <c r="Z5" s="348">
        <v>0</v>
      </c>
      <c r="AA5" s="349" t="s">
        <v>117</v>
      </c>
      <c r="AB5" s="343" t="e">
        <v>#DIV/0!</v>
      </c>
      <c r="AC5" s="343" t="s">
        <v>117</v>
      </c>
      <c r="AD5" s="344" t="s">
        <v>117</v>
      </c>
      <c r="AE5" s="342"/>
      <c r="AF5" s="341" t="s">
        <v>117</v>
      </c>
    </row>
    <row r="6" spans="1:32">
      <c r="A6" s="307">
        <v>2</v>
      </c>
      <c r="B6" s="342"/>
      <c r="C6" s="342" t="s">
        <v>205</v>
      </c>
      <c r="D6" s="340" t="s">
        <v>291</v>
      </c>
      <c r="E6" s="342"/>
      <c r="F6" s="345" t="s">
        <v>159</v>
      </c>
      <c r="G6" s="308">
        <v>1</v>
      </c>
      <c r="H6" s="309">
        <v>1070000</v>
      </c>
      <c r="I6" s="309">
        <v>1070000</v>
      </c>
      <c r="J6" s="211">
        <v>1</v>
      </c>
      <c r="K6" s="212" t="str">
        <f t="shared" si="0"/>
        <v/>
      </c>
      <c r="L6" s="338">
        <f t="shared" si="1"/>
        <v>0.10092446812805296</v>
      </c>
      <c r="M6" s="343"/>
      <c r="N6" s="344" t="s">
        <v>292</v>
      </c>
      <c r="O6" s="346">
        <v>0</v>
      </c>
      <c r="P6" s="347">
        <v>0</v>
      </c>
      <c r="Q6" s="347">
        <v>0</v>
      </c>
      <c r="R6" s="348">
        <v>0</v>
      </c>
      <c r="S6" s="349" t="s">
        <v>117</v>
      </c>
      <c r="T6" s="343" t="e">
        <v>#DIV/0!</v>
      </c>
      <c r="U6" s="343" t="s">
        <v>117</v>
      </c>
      <c r="V6" s="344" t="s">
        <v>117</v>
      </c>
      <c r="W6" s="346">
        <v>0</v>
      </c>
      <c r="X6" s="347">
        <v>0</v>
      </c>
      <c r="Y6" s="347">
        <v>0</v>
      </c>
      <c r="Z6" s="348">
        <v>0</v>
      </c>
      <c r="AA6" s="349" t="s">
        <v>117</v>
      </c>
      <c r="AB6" s="343" t="e">
        <v>#DIV/0!</v>
      </c>
      <c r="AC6" s="343" t="s">
        <v>117</v>
      </c>
      <c r="AD6" s="344" t="s">
        <v>117</v>
      </c>
      <c r="AE6" s="342"/>
      <c r="AF6" s="341" t="s">
        <v>117</v>
      </c>
    </row>
    <row r="7" spans="1:32">
      <c r="A7" s="307">
        <v>3</v>
      </c>
      <c r="B7" s="342"/>
      <c r="C7" s="342" t="s">
        <v>169</v>
      </c>
      <c r="D7" s="340" t="s">
        <v>293</v>
      </c>
      <c r="E7" s="342" t="s">
        <v>294</v>
      </c>
      <c r="F7" s="345" t="s">
        <v>295</v>
      </c>
      <c r="G7" s="308">
        <v>20</v>
      </c>
      <c r="H7" s="309">
        <v>53500</v>
      </c>
      <c r="I7" s="309">
        <v>1070000</v>
      </c>
      <c r="J7" s="211"/>
      <c r="K7" s="212" t="str">
        <f t="shared" si="0"/>
        <v/>
      </c>
      <c r="L7" s="338">
        <f t="shared" si="1"/>
        <v>0.10092446812805296</v>
      </c>
      <c r="M7" s="343"/>
      <c r="N7" s="344"/>
      <c r="O7" s="346">
        <v>0</v>
      </c>
      <c r="P7" s="347">
        <v>0</v>
      </c>
      <c r="Q7" s="347">
        <v>0</v>
      </c>
      <c r="R7" s="348">
        <v>0</v>
      </c>
      <c r="S7" s="349" t="s">
        <v>117</v>
      </c>
      <c r="T7" s="343" t="e">
        <v>#DIV/0!</v>
      </c>
      <c r="U7" s="343" t="s">
        <v>117</v>
      </c>
      <c r="V7" s="344" t="s">
        <v>117</v>
      </c>
      <c r="W7" s="346">
        <v>0</v>
      </c>
      <c r="X7" s="347">
        <v>0</v>
      </c>
      <c r="Y7" s="347">
        <v>0</v>
      </c>
      <c r="Z7" s="348">
        <v>0</v>
      </c>
      <c r="AA7" s="349" t="s">
        <v>117</v>
      </c>
      <c r="AB7" s="343" t="e">
        <v>#DIV/0!</v>
      </c>
      <c r="AC7" s="343" t="s">
        <v>117</v>
      </c>
      <c r="AD7" s="344" t="s">
        <v>117</v>
      </c>
      <c r="AE7" s="342"/>
      <c r="AF7" s="341" t="s">
        <v>117</v>
      </c>
    </row>
    <row r="8" spans="1:32">
      <c r="A8" s="307">
        <v>2</v>
      </c>
      <c r="B8" s="342"/>
      <c r="C8" s="342" t="s">
        <v>205</v>
      </c>
      <c r="D8" s="340" t="s">
        <v>296</v>
      </c>
      <c r="E8" s="342" t="s">
        <v>160</v>
      </c>
      <c r="F8" s="345" t="s">
        <v>159</v>
      </c>
      <c r="G8" s="308">
        <v>1</v>
      </c>
      <c r="H8" s="309">
        <v>0</v>
      </c>
      <c r="I8" s="309">
        <v>0</v>
      </c>
      <c r="J8" s="211">
        <v>1</v>
      </c>
      <c r="K8" s="212" t="str">
        <f t="shared" si="0"/>
        <v/>
      </c>
      <c r="L8" s="338">
        <f t="shared" si="1"/>
        <v>0</v>
      </c>
      <c r="M8" s="343"/>
      <c r="N8" s="344" t="s">
        <v>297</v>
      </c>
      <c r="O8" s="346">
        <v>0</v>
      </c>
      <c r="P8" s="347">
        <v>0</v>
      </c>
      <c r="Q8" s="347">
        <v>0</v>
      </c>
      <c r="R8" s="348">
        <v>0</v>
      </c>
      <c r="S8" s="349" t="s">
        <v>117</v>
      </c>
      <c r="T8" s="343" t="e">
        <v>#DIV/0!</v>
      </c>
      <c r="U8" s="343" t="s">
        <v>117</v>
      </c>
      <c r="V8" s="344" t="s">
        <v>117</v>
      </c>
      <c r="W8" s="346">
        <v>0</v>
      </c>
      <c r="X8" s="347">
        <v>0</v>
      </c>
      <c r="Y8" s="347">
        <v>0</v>
      </c>
      <c r="Z8" s="348">
        <v>0</v>
      </c>
      <c r="AA8" s="349" t="s">
        <v>117</v>
      </c>
      <c r="AB8" s="343" t="e">
        <v>#DIV/0!</v>
      </c>
      <c r="AC8" s="343" t="s">
        <v>117</v>
      </c>
      <c r="AD8" s="344" t="s">
        <v>117</v>
      </c>
      <c r="AE8" s="342"/>
      <c r="AF8" s="341" t="s">
        <v>117</v>
      </c>
    </row>
    <row r="9" spans="1:32">
      <c r="A9" s="307">
        <v>2</v>
      </c>
      <c r="B9" s="342"/>
      <c r="C9" s="342" t="s">
        <v>205</v>
      </c>
      <c r="D9" s="340" t="s">
        <v>298</v>
      </c>
      <c r="E9" s="342" t="s">
        <v>161</v>
      </c>
      <c r="F9" s="345" t="s">
        <v>159</v>
      </c>
      <c r="G9" s="308">
        <v>1</v>
      </c>
      <c r="H9" s="309">
        <v>0</v>
      </c>
      <c r="I9" s="309">
        <v>0</v>
      </c>
      <c r="J9" s="211">
        <v>1</v>
      </c>
      <c r="K9" s="212" t="str">
        <f t="shared" si="0"/>
        <v/>
      </c>
      <c r="L9" s="338">
        <f t="shared" si="1"/>
        <v>0</v>
      </c>
      <c r="M9" s="343"/>
      <c r="N9" s="344" t="s">
        <v>299</v>
      </c>
      <c r="O9" s="346">
        <v>0</v>
      </c>
      <c r="P9" s="347">
        <v>0</v>
      </c>
      <c r="Q9" s="347">
        <v>0</v>
      </c>
      <c r="R9" s="348">
        <v>0</v>
      </c>
      <c r="S9" s="349" t="s">
        <v>117</v>
      </c>
      <c r="T9" s="343" t="e">
        <v>#DIV/0!</v>
      </c>
      <c r="U9" s="343" t="s">
        <v>117</v>
      </c>
      <c r="V9" s="344" t="s">
        <v>117</v>
      </c>
      <c r="W9" s="346">
        <v>0</v>
      </c>
      <c r="X9" s="347">
        <v>0</v>
      </c>
      <c r="Y9" s="347">
        <v>0</v>
      </c>
      <c r="Z9" s="348">
        <v>0</v>
      </c>
      <c r="AA9" s="349" t="s">
        <v>117</v>
      </c>
      <c r="AB9" s="343" t="e">
        <v>#DIV/0!</v>
      </c>
      <c r="AC9" s="343" t="s">
        <v>117</v>
      </c>
      <c r="AD9" s="344" t="s">
        <v>117</v>
      </c>
      <c r="AE9" s="342"/>
      <c r="AF9" s="341" t="s">
        <v>117</v>
      </c>
    </row>
    <row r="10" spans="1:32">
      <c r="A10" s="307">
        <v>2</v>
      </c>
      <c r="B10" s="342"/>
      <c r="C10" s="342" t="s">
        <v>205</v>
      </c>
      <c r="D10" s="340" t="s">
        <v>300</v>
      </c>
      <c r="E10" s="342" t="s">
        <v>162</v>
      </c>
      <c r="F10" s="345" t="s">
        <v>159</v>
      </c>
      <c r="G10" s="308">
        <v>1</v>
      </c>
      <c r="H10" s="309">
        <v>0</v>
      </c>
      <c r="I10" s="309">
        <v>0</v>
      </c>
      <c r="J10" s="211">
        <v>1</v>
      </c>
      <c r="K10" s="212" t="str">
        <f t="shared" si="0"/>
        <v/>
      </c>
      <c r="L10" s="338">
        <f t="shared" si="1"/>
        <v>0</v>
      </c>
      <c r="M10" s="343"/>
      <c r="N10" s="344" t="s">
        <v>301</v>
      </c>
      <c r="O10" s="346">
        <v>0</v>
      </c>
      <c r="P10" s="347">
        <v>0</v>
      </c>
      <c r="Q10" s="347">
        <v>0</v>
      </c>
      <c r="R10" s="348">
        <v>0</v>
      </c>
      <c r="S10" s="349" t="s">
        <v>117</v>
      </c>
      <c r="T10" s="343" t="e">
        <v>#DIV/0!</v>
      </c>
      <c r="U10" s="343" t="s">
        <v>117</v>
      </c>
      <c r="V10" s="344" t="s">
        <v>117</v>
      </c>
      <c r="W10" s="346">
        <v>0</v>
      </c>
      <c r="X10" s="347">
        <v>0</v>
      </c>
      <c r="Y10" s="347">
        <v>0</v>
      </c>
      <c r="Z10" s="348">
        <v>0</v>
      </c>
      <c r="AA10" s="349" t="s">
        <v>117</v>
      </c>
      <c r="AB10" s="343" t="e">
        <v>#DIV/0!</v>
      </c>
      <c r="AC10" s="343" t="s">
        <v>117</v>
      </c>
      <c r="AD10" s="344" t="s">
        <v>117</v>
      </c>
      <c r="AE10" s="342"/>
      <c r="AF10" s="341" t="s">
        <v>117</v>
      </c>
    </row>
    <row r="11" spans="1:32">
      <c r="A11" s="217"/>
      <c r="B11" s="217"/>
      <c r="C11" s="312"/>
      <c r="D11" s="217"/>
      <c r="E11" s="217"/>
      <c r="F11" s="218"/>
      <c r="G11" s="217"/>
      <c r="H11" s="217"/>
      <c r="I11" s="217"/>
      <c r="J11" s="217"/>
      <c r="K11" s="218"/>
      <c r="L11" s="217"/>
      <c r="M11" s="217"/>
      <c r="N11" s="217"/>
      <c r="O11" s="217"/>
      <c r="P11" s="217"/>
      <c r="Q11" s="217"/>
      <c r="R11" s="217"/>
      <c r="S11" s="218"/>
      <c r="T11" s="217"/>
      <c r="U11" s="217"/>
      <c r="V11" s="217"/>
      <c r="W11" s="217"/>
      <c r="X11" s="217"/>
      <c r="Y11" s="217"/>
      <c r="Z11" s="217"/>
      <c r="AA11" s="218"/>
      <c r="AB11" s="217"/>
      <c r="AC11" s="217"/>
      <c r="AD11" s="217"/>
      <c r="AE11" s="217"/>
      <c r="AF11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0 AF4:AF10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0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302</v>
      </c>
      <c r="C3" s="146" t="s">
        <v>303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304</v>
      </c>
      <c r="K4" s="69"/>
    </row>
    <row r="5" spans="1:11" ht="18" customHeight="1">
      <c r="A5" s="69"/>
      <c r="B5" s="592" t="s">
        <v>305</v>
      </c>
      <c r="C5" s="593"/>
      <c r="D5" s="153" t="s">
        <v>85</v>
      </c>
      <c r="E5" s="153" t="s">
        <v>306</v>
      </c>
      <c r="F5" s="153" t="s">
        <v>307</v>
      </c>
      <c r="G5" s="153" t="s">
        <v>308</v>
      </c>
      <c r="H5" s="154" t="s">
        <v>309</v>
      </c>
      <c r="I5" s="153" t="s">
        <v>310</v>
      </c>
      <c r="J5" s="155" t="s">
        <v>311</v>
      </c>
      <c r="K5" s="69"/>
    </row>
    <row r="6" spans="1:11" ht="10.5" customHeight="1">
      <c r="A6" s="69"/>
      <c r="B6" s="156" t="s">
        <v>312</v>
      </c>
      <c r="C6" s="157"/>
      <c r="D6" s="574" t="s">
        <v>313</v>
      </c>
      <c r="E6" s="590">
        <v>1</v>
      </c>
      <c r="F6" s="578">
        <v>1000</v>
      </c>
      <c r="G6" s="580">
        <v>1000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5"/>
      <c r="E7" s="591"/>
      <c r="F7" s="579"/>
      <c r="G7" s="581"/>
      <c r="H7" s="356"/>
      <c r="I7" s="356" t="s">
        <v>314</v>
      </c>
      <c r="J7" s="161"/>
      <c r="K7" s="69" t="s">
        <v>96</v>
      </c>
    </row>
    <row r="8" spans="1:11" ht="10.5" customHeight="1">
      <c r="A8" s="69"/>
      <c r="B8" s="156" t="s">
        <v>315</v>
      </c>
      <c r="C8" s="157"/>
      <c r="D8" s="574" t="s">
        <v>316</v>
      </c>
      <c r="E8" s="590">
        <v>1</v>
      </c>
      <c r="F8" s="578">
        <v>3000</v>
      </c>
      <c r="G8" s="580">
        <v>3000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5"/>
      <c r="E9" s="591"/>
      <c r="F9" s="579"/>
      <c r="G9" s="581"/>
      <c r="H9" s="356"/>
      <c r="I9" s="356" t="s">
        <v>314</v>
      </c>
      <c r="J9" s="162"/>
      <c r="K9" s="69" t="s">
        <v>96</v>
      </c>
    </row>
    <row r="10" spans="1:11" ht="10.5" customHeight="1">
      <c r="A10" s="69"/>
      <c r="B10" s="156" t="s">
        <v>317</v>
      </c>
      <c r="C10" s="157"/>
      <c r="D10" s="574" t="s">
        <v>318</v>
      </c>
      <c r="E10" s="590">
        <v>2</v>
      </c>
      <c r="F10" s="578">
        <v>15400</v>
      </c>
      <c r="G10" s="580">
        <v>30800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319</v>
      </c>
      <c r="C11" s="160"/>
      <c r="D11" s="575"/>
      <c r="E11" s="591"/>
      <c r="F11" s="579"/>
      <c r="G11" s="581"/>
      <c r="H11" s="356"/>
      <c r="I11" s="356" t="s">
        <v>314</v>
      </c>
      <c r="J11" s="161"/>
      <c r="K11" s="69" t="s">
        <v>96</v>
      </c>
    </row>
    <row r="12" spans="1:11" ht="10.5" customHeight="1">
      <c r="A12" s="69"/>
      <c r="B12" s="156" t="s">
        <v>320</v>
      </c>
      <c r="C12" s="157"/>
      <c r="D12" s="574" t="s">
        <v>321</v>
      </c>
      <c r="E12" s="576">
        <v>1</v>
      </c>
      <c r="F12" s="578">
        <v>3420000</v>
      </c>
      <c r="G12" s="580">
        <v>3420000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5"/>
      <c r="E13" s="577"/>
      <c r="F13" s="579"/>
      <c r="G13" s="581"/>
      <c r="H13" s="356"/>
      <c r="I13" s="356" t="s">
        <v>314</v>
      </c>
      <c r="J13" s="161"/>
      <c r="K13" s="69" t="s">
        <v>96</v>
      </c>
    </row>
    <row r="14" spans="1:11" ht="10.5" customHeight="1">
      <c r="A14" s="69"/>
      <c r="B14" s="156" t="s">
        <v>322</v>
      </c>
      <c r="C14" s="157"/>
      <c r="D14" s="574" t="s">
        <v>321</v>
      </c>
      <c r="E14" s="576">
        <v>1</v>
      </c>
      <c r="F14" s="578">
        <v>3000000</v>
      </c>
      <c r="G14" s="580">
        <v>3000000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323</v>
      </c>
      <c r="C15" s="160"/>
      <c r="D15" s="575"/>
      <c r="E15" s="577"/>
      <c r="F15" s="579"/>
      <c r="G15" s="581"/>
      <c r="H15" s="356"/>
      <c r="I15" s="356" t="s">
        <v>314</v>
      </c>
      <c r="J15" s="161"/>
      <c r="K15" s="69" t="s">
        <v>96</v>
      </c>
    </row>
    <row r="16" spans="1:11" ht="10.5" customHeight="1">
      <c r="A16" s="69"/>
      <c r="B16" s="156" t="s">
        <v>324</v>
      </c>
      <c r="C16" s="157"/>
      <c r="D16" s="574" t="s">
        <v>321</v>
      </c>
      <c r="E16" s="576">
        <v>1</v>
      </c>
      <c r="F16" s="578">
        <v>21000</v>
      </c>
      <c r="G16" s="580">
        <v>21000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325</v>
      </c>
      <c r="C17" s="160"/>
      <c r="D17" s="575"/>
      <c r="E17" s="577"/>
      <c r="F17" s="579"/>
      <c r="G17" s="581"/>
      <c r="H17" s="356"/>
      <c r="I17" s="356" t="s">
        <v>314</v>
      </c>
      <c r="J17" s="161"/>
      <c r="K17" s="69" t="s">
        <v>96</v>
      </c>
    </row>
    <row r="18" spans="1:11" ht="10.5" customHeight="1">
      <c r="A18" s="69"/>
      <c r="B18" s="156" t="s">
        <v>324</v>
      </c>
      <c r="C18" s="157"/>
      <c r="D18" s="574" t="s">
        <v>321</v>
      </c>
      <c r="E18" s="576">
        <v>1</v>
      </c>
      <c r="F18" s="578">
        <v>91000</v>
      </c>
      <c r="G18" s="580">
        <v>91000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326</v>
      </c>
      <c r="C19" s="160"/>
      <c r="D19" s="575"/>
      <c r="E19" s="577"/>
      <c r="F19" s="579"/>
      <c r="G19" s="581"/>
      <c r="H19" s="356"/>
      <c r="I19" s="356" t="s">
        <v>314</v>
      </c>
      <c r="J19" s="161"/>
      <c r="K19" s="69" t="s">
        <v>96</v>
      </c>
    </row>
    <row r="20" spans="1:11" ht="10.5" customHeight="1">
      <c r="A20" s="69"/>
      <c r="B20" s="156" t="s">
        <v>324</v>
      </c>
      <c r="C20" s="157"/>
      <c r="D20" s="574" t="s">
        <v>321</v>
      </c>
      <c r="E20" s="576">
        <v>1</v>
      </c>
      <c r="F20" s="578">
        <v>11200</v>
      </c>
      <c r="G20" s="580">
        <v>11200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327</v>
      </c>
      <c r="C21" s="160"/>
      <c r="D21" s="575"/>
      <c r="E21" s="577"/>
      <c r="F21" s="579"/>
      <c r="G21" s="581"/>
      <c r="H21" s="356"/>
      <c r="I21" s="356" t="s">
        <v>314</v>
      </c>
      <c r="J21" s="161"/>
      <c r="K21" s="69" t="s">
        <v>96</v>
      </c>
    </row>
    <row r="22" spans="1:11" ht="10.5" customHeight="1">
      <c r="A22" s="69"/>
      <c r="B22" s="156" t="s">
        <v>328</v>
      </c>
      <c r="C22" s="157"/>
      <c r="D22" s="574" t="s">
        <v>313</v>
      </c>
      <c r="E22" s="576">
        <v>1</v>
      </c>
      <c r="F22" s="578">
        <v>26000</v>
      </c>
      <c r="G22" s="580">
        <v>26000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329</v>
      </c>
      <c r="C23" s="160"/>
      <c r="D23" s="575"/>
      <c r="E23" s="577"/>
      <c r="F23" s="579"/>
      <c r="G23" s="581"/>
      <c r="H23" s="356"/>
      <c r="I23" s="356" t="s">
        <v>314</v>
      </c>
      <c r="J23" s="161"/>
      <c r="K23" s="69" t="s">
        <v>96</v>
      </c>
    </row>
    <row r="24" spans="1:11" ht="10.5" customHeight="1">
      <c r="A24" s="69"/>
      <c r="B24" s="156"/>
      <c r="C24" s="157"/>
      <c r="D24" s="574"/>
      <c r="E24" s="590"/>
      <c r="F24" s="578"/>
      <c r="G24" s="580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5"/>
      <c r="E25" s="591"/>
      <c r="F25" s="579"/>
      <c r="G25" s="581"/>
      <c r="H25" s="356"/>
      <c r="I25" s="356"/>
      <c r="J25" s="161"/>
      <c r="K25" s="69" t="s">
        <v>96</v>
      </c>
    </row>
    <row r="26" spans="1:11" ht="10.5" customHeight="1">
      <c r="A26" s="69"/>
      <c r="B26" s="156" t="s">
        <v>330</v>
      </c>
      <c r="C26" s="157"/>
      <c r="D26" s="574"/>
      <c r="E26" s="576"/>
      <c r="F26" s="578"/>
      <c r="G26" s="580">
        <v>6604000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5"/>
      <c r="E27" s="577"/>
      <c r="F27" s="579"/>
      <c r="G27" s="581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4"/>
      <c r="E28" s="576"/>
      <c r="F28" s="578"/>
      <c r="G28" s="580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5"/>
      <c r="E29" s="577"/>
      <c r="F29" s="579"/>
      <c r="G29" s="581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4"/>
      <c r="E30" s="576"/>
      <c r="F30" s="578"/>
      <c r="G30" s="580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5"/>
      <c r="E31" s="577"/>
      <c r="F31" s="579"/>
      <c r="G31" s="581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4"/>
      <c r="E32" s="576"/>
      <c r="F32" s="578"/>
      <c r="G32" s="580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5"/>
      <c r="E33" s="577"/>
      <c r="F33" s="579"/>
      <c r="G33" s="581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4"/>
      <c r="E34" s="576"/>
      <c r="F34" s="578"/>
      <c r="G34" s="580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5"/>
      <c r="E35" s="577"/>
      <c r="F35" s="579"/>
      <c r="G35" s="581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4"/>
      <c r="E36" s="576"/>
      <c r="F36" s="578"/>
      <c r="G36" s="580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5"/>
      <c r="E37" s="577"/>
      <c r="F37" s="579"/>
      <c r="G37" s="581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4"/>
      <c r="E38" s="576"/>
      <c r="F38" s="578"/>
      <c r="G38" s="580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5"/>
      <c r="E39" s="577"/>
      <c r="F39" s="579"/>
      <c r="G39" s="581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4"/>
      <c r="E40" s="576"/>
      <c r="F40" s="578"/>
      <c r="G40" s="580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5"/>
      <c r="E41" s="577"/>
      <c r="F41" s="579"/>
      <c r="G41" s="581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4"/>
      <c r="E42" s="576"/>
      <c r="F42" s="578"/>
      <c r="G42" s="580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5"/>
      <c r="E43" s="577"/>
      <c r="F43" s="579"/>
      <c r="G43" s="581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4"/>
      <c r="E44" s="576"/>
      <c r="F44" s="578"/>
      <c r="G44" s="580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5"/>
      <c r="E45" s="577"/>
      <c r="F45" s="579"/>
      <c r="G45" s="581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2"/>
      <c r="E46" s="584"/>
      <c r="F46" s="586"/>
      <c r="G46" s="588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3"/>
      <c r="E47" s="585"/>
      <c r="F47" s="587"/>
      <c r="G47" s="589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1:G1"/>
    <mergeCell ref="B5:C5"/>
    <mergeCell ref="D6:D7"/>
    <mergeCell ref="E6:E7"/>
    <mergeCell ref="F6:F7"/>
    <mergeCell ref="G6:G7"/>
    <mergeCell ref="D8:D9"/>
    <mergeCell ref="E8:E9"/>
    <mergeCell ref="F8:F9"/>
    <mergeCell ref="G8:G9"/>
    <mergeCell ref="D10:D11"/>
    <mergeCell ref="E10:E11"/>
    <mergeCell ref="F10:F11"/>
    <mergeCell ref="G10:G11"/>
    <mergeCell ref="D12:D13"/>
    <mergeCell ref="E12:E13"/>
    <mergeCell ref="F12:F13"/>
    <mergeCell ref="G12:G13"/>
    <mergeCell ref="D14:D15"/>
    <mergeCell ref="E14:E15"/>
    <mergeCell ref="F14:F15"/>
    <mergeCell ref="G14:G15"/>
    <mergeCell ref="D16:D17"/>
    <mergeCell ref="E16:E17"/>
    <mergeCell ref="F16:F17"/>
    <mergeCell ref="G16:G17"/>
    <mergeCell ref="D18:D19"/>
    <mergeCell ref="E18:E19"/>
    <mergeCell ref="F18:F19"/>
    <mergeCell ref="G18:G19"/>
    <mergeCell ref="D20:D21"/>
    <mergeCell ref="E20:E21"/>
    <mergeCell ref="F20:F21"/>
    <mergeCell ref="G20:G21"/>
    <mergeCell ref="D22:D23"/>
    <mergeCell ref="E22:E23"/>
    <mergeCell ref="F22:F23"/>
    <mergeCell ref="G22:G23"/>
    <mergeCell ref="D24:D25"/>
    <mergeCell ref="E24:E25"/>
    <mergeCell ref="F24:F25"/>
    <mergeCell ref="G24:G25"/>
    <mergeCell ref="D26:D27"/>
    <mergeCell ref="E26:E27"/>
    <mergeCell ref="F26:F27"/>
    <mergeCell ref="G26:G27"/>
    <mergeCell ref="D28:D29"/>
    <mergeCell ref="E28:E29"/>
    <mergeCell ref="F28:F29"/>
    <mergeCell ref="G28:G29"/>
    <mergeCell ref="D30:D31"/>
    <mergeCell ref="E30:E31"/>
    <mergeCell ref="F30:F31"/>
    <mergeCell ref="G30:G31"/>
    <mergeCell ref="D32:D33"/>
    <mergeCell ref="E32:E33"/>
    <mergeCell ref="F32:F33"/>
    <mergeCell ref="G32:G33"/>
    <mergeCell ref="D34:D35"/>
    <mergeCell ref="E34:E35"/>
    <mergeCell ref="F34:F35"/>
    <mergeCell ref="G34:G35"/>
    <mergeCell ref="D36:D37"/>
    <mergeCell ref="E36:E37"/>
    <mergeCell ref="F36:F37"/>
    <mergeCell ref="G36:G37"/>
    <mergeCell ref="D38:D39"/>
    <mergeCell ref="E38:E39"/>
    <mergeCell ref="F38:F39"/>
    <mergeCell ref="G38:G39"/>
    <mergeCell ref="D40:D41"/>
    <mergeCell ref="E40:E41"/>
    <mergeCell ref="F40:F41"/>
    <mergeCell ref="G40:G41"/>
    <mergeCell ref="D42:D43"/>
    <mergeCell ref="E42:E43"/>
    <mergeCell ref="F42:F43"/>
    <mergeCell ref="G42:G43"/>
    <mergeCell ref="D44:D45"/>
    <mergeCell ref="E44:E45"/>
    <mergeCell ref="F44:F45"/>
    <mergeCell ref="G44:G45"/>
    <mergeCell ref="D46:D47"/>
    <mergeCell ref="E46:E47"/>
    <mergeCell ref="F46:F47"/>
    <mergeCell ref="G46:G4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302</v>
      </c>
      <c r="C3" s="146" t="s">
        <v>303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304</v>
      </c>
      <c r="K4" s="69"/>
    </row>
    <row r="5" spans="1:11" ht="18" customHeight="1">
      <c r="A5" s="69"/>
      <c r="B5" s="592" t="s">
        <v>305</v>
      </c>
      <c r="C5" s="593"/>
      <c r="D5" s="153" t="s">
        <v>85</v>
      </c>
      <c r="E5" s="153" t="s">
        <v>306</v>
      </c>
      <c r="F5" s="153" t="s">
        <v>307</v>
      </c>
      <c r="G5" s="153" t="s">
        <v>308</v>
      </c>
      <c r="H5" s="154" t="s">
        <v>309</v>
      </c>
      <c r="I5" s="153" t="s">
        <v>310</v>
      </c>
      <c r="J5" s="155" t="s">
        <v>311</v>
      </c>
      <c r="K5" s="69"/>
    </row>
    <row r="6" spans="1:11" ht="10.5" customHeight="1">
      <c r="A6" s="69"/>
      <c r="B6" s="156" t="s">
        <v>331</v>
      </c>
      <c r="C6" s="157"/>
      <c r="D6" s="574" t="s">
        <v>332</v>
      </c>
      <c r="E6" s="590">
        <v>14</v>
      </c>
      <c r="F6" s="578">
        <v>22000</v>
      </c>
      <c r="G6" s="580">
        <v>308000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5"/>
      <c r="E7" s="591"/>
      <c r="F7" s="579"/>
      <c r="G7" s="581"/>
      <c r="H7" s="356"/>
      <c r="I7" s="356" t="s">
        <v>333</v>
      </c>
      <c r="J7" s="161"/>
      <c r="K7" s="69" t="s">
        <v>96</v>
      </c>
    </row>
    <row r="8" spans="1:11" ht="10.5" customHeight="1">
      <c r="A8" s="69"/>
      <c r="B8" s="156" t="s">
        <v>331</v>
      </c>
      <c r="C8" s="157"/>
      <c r="D8" s="574" t="s">
        <v>332</v>
      </c>
      <c r="E8" s="590">
        <v>28</v>
      </c>
      <c r="F8" s="578">
        <v>25000</v>
      </c>
      <c r="G8" s="580">
        <v>700000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334</v>
      </c>
      <c r="C9" s="160"/>
      <c r="D9" s="575"/>
      <c r="E9" s="591"/>
      <c r="F9" s="579"/>
      <c r="G9" s="581"/>
      <c r="H9" s="356"/>
      <c r="I9" s="356" t="s">
        <v>333</v>
      </c>
      <c r="J9" s="162"/>
      <c r="K9" s="69" t="s">
        <v>96</v>
      </c>
    </row>
    <row r="10" spans="1:11" ht="10.5" customHeight="1">
      <c r="A10" s="69"/>
      <c r="B10" s="156" t="s">
        <v>331</v>
      </c>
      <c r="C10" s="157"/>
      <c r="D10" s="574" t="s">
        <v>332</v>
      </c>
      <c r="E10" s="590">
        <v>6</v>
      </c>
      <c r="F10" s="578">
        <v>25000</v>
      </c>
      <c r="G10" s="580">
        <v>150000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335</v>
      </c>
      <c r="C11" s="160"/>
      <c r="D11" s="575"/>
      <c r="E11" s="591"/>
      <c r="F11" s="579"/>
      <c r="G11" s="581"/>
      <c r="H11" s="356"/>
      <c r="I11" s="356" t="s">
        <v>333</v>
      </c>
      <c r="J11" s="161"/>
      <c r="K11" s="69" t="s">
        <v>96</v>
      </c>
    </row>
    <row r="12" spans="1:11" ht="10.5" customHeight="1">
      <c r="A12" s="69"/>
      <c r="B12" s="156"/>
      <c r="C12" s="157"/>
      <c r="D12" s="574"/>
      <c r="E12" s="576"/>
      <c r="F12" s="578"/>
      <c r="G12" s="580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5"/>
      <c r="E13" s="577"/>
      <c r="F13" s="579"/>
      <c r="G13" s="581"/>
      <c r="H13" s="356"/>
      <c r="I13" s="356"/>
      <c r="J13" s="161"/>
      <c r="K13" s="69" t="s">
        <v>96</v>
      </c>
    </row>
    <row r="14" spans="1:11" ht="10.5" customHeight="1">
      <c r="A14" s="69"/>
      <c r="B14" s="156" t="s">
        <v>330</v>
      </c>
      <c r="C14" s="157"/>
      <c r="D14" s="574"/>
      <c r="E14" s="576"/>
      <c r="F14" s="578"/>
      <c r="G14" s="580">
        <v>1158000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5"/>
      <c r="E15" s="577"/>
      <c r="F15" s="579"/>
      <c r="G15" s="581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4"/>
      <c r="E16" s="576"/>
      <c r="F16" s="578"/>
      <c r="G16" s="580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5"/>
      <c r="E17" s="577"/>
      <c r="F17" s="579"/>
      <c r="G17" s="581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4"/>
      <c r="E18" s="576"/>
      <c r="F18" s="578"/>
      <c r="G18" s="580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5"/>
      <c r="E19" s="577"/>
      <c r="F19" s="579"/>
      <c r="G19" s="581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4"/>
      <c r="E20" s="576"/>
      <c r="F20" s="578"/>
      <c r="G20" s="580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5"/>
      <c r="E21" s="577"/>
      <c r="F21" s="579"/>
      <c r="G21" s="581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4"/>
      <c r="E22" s="576"/>
      <c r="F22" s="578"/>
      <c r="G22" s="580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5"/>
      <c r="E23" s="577"/>
      <c r="F23" s="579"/>
      <c r="G23" s="581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4"/>
      <c r="E24" s="590"/>
      <c r="F24" s="578"/>
      <c r="G24" s="580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5"/>
      <c r="E25" s="591"/>
      <c r="F25" s="579"/>
      <c r="G25" s="581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4"/>
      <c r="E26" s="576"/>
      <c r="F26" s="578"/>
      <c r="G26" s="580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5"/>
      <c r="E27" s="577"/>
      <c r="F27" s="579"/>
      <c r="G27" s="581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4"/>
      <c r="E28" s="576"/>
      <c r="F28" s="578"/>
      <c r="G28" s="580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5"/>
      <c r="E29" s="577"/>
      <c r="F29" s="579"/>
      <c r="G29" s="581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4"/>
      <c r="E30" s="576"/>
      <c r="F30" s="578"/>
      <c r="G30" s="580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5"/>
      <c r="E31" s="577"/>
      <c r="F31" s="579"/>
      <c r="G31" s="581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4"/>
      <c r="E32" s="576"/>
      <c r="F32" s="578"/>
      <c r="G32" s="580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5"/>
      <c r="E33" s="577"/>
      <c r="F33" s="579"/>
      <c r="G33" s="581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4"/>
      <c r="E34" s="576"/>
      <c r="F34" s="578"/>
      <c r="G34" s="580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5"/>
      <c r="E35" s="577"/>
      <c r="F35" s="579"/>
      <c r="G35" s="581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4"/>
      <c r="E36" s="576"/>
      <c r="F36" s="578"/>
      <c r="G36" s="580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5"/>
      <c r="E37" s="577"/>
      <c r="F37" s="579"/>
      <c r="G37" s="581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4"/>
      <c r="E38" s="576"/>
      <c r="F38" s="578"/>
      <c r="G38" s="580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5"/>
      <c r="E39" s="577"/>
      <c r="F39" s="579"/>
      <c r="G39" s="581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4"/>
      <c r="E40" s="576"/>
      <c r="F40" s="578"/>
      <c r="G40" s="580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5"/>
      <c r="E41" s="577"/>
      <c r="F41" s="579"/>
      <c r="G41" s="581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4"/>
      <c r="E42" s="576"/>
      <c r="F42" s="578"/>
      <c r="G42" s="580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5"/>
      <c r="E43" s="577"/>
      <c r="F43" s="579"/>
      <c r="G43" s="581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4"/>
      <c r="E44" s="576"/>
      <c r="F44" s="578"/>
      <c r="G44" s="580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5"/>
      <c r="E45" s="577"/>
      <c r="F45" s="579"/>
      <c r="G45" s="581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2"/>
      <c r="E46" s="584"/>
      <c r="F46" s="586"/>
      <c r="G46" s="588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3"/>
      <c r="E47" s="585"/>
      <c r="F47" s="587"/>
      <c r="G47" s="589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1:G1"/>
    <mergeCell ref="B5:C5"/>
    <mergeCell ref="D6:D7"/>
    <mergeCell ref="E6:E7"/>
    <mergeCell ref="F6:F7"/>
    <mergeCell ref="G6:G7"/>
    <mergeCell ref="D8:D9"/>
    <mergeCell ref="E8:E9"/>
    <mergeCell ref="F8:F9"/>
    <mergeCell ref="G8:G9"/>
    <mergeCell ref="D10:D11"/>
    <mergeCell ref="E10:E11"/>
    <mergeCell ref="F10:F11"/>
    <mergeCell ref="G10:G11"/>
    <mergeCell ref="D12:D13"/>
    <mergeCell ref="E12:E13"/>
    <mergeCell ref="F12:F13"/>
    <mergeCell ref="G12:G13"/>
    <mergeCell ref="D14:D15"/>
    <mergeCell ref="E14:E15"/>
    <mergeCell ref="F14:F15"/>
    <mergeCell ref="G14:G15"/>
    <mergeCell ref="D16:D17"/>
    <mergeCell ref="E16:E17"/>
    <mergeCell ref="F16:F17"/>
    <mergeCell ref="G16:G17"/>
    <mergeCell ref="D18:D19"/>
    <mergeCell ref="E18:E19"/>
    <mergeCell ref="F18:F19"/>
    <mergeCell ref="G18:G19"/>
    <mergeCell ref="D20:D21"/>
    <mergeCell ref="E20:E21"/>
    <mergeCell ref="F20:F21"/>
    <mergeCell ref="G20:G21"/>
    <mergeCell ref="D22:D23"/>
    <mergeCell ref="E22:E23"/>
    <mergeCell ref="F22:F23"/>
    <mergeCell ref="G22:G23"/>
    <mergeCell ref="D24:D25"/>
    <mergeCell ref="E24:E25"/>
    <mergeCell ref="F24:F25"/>
    <mergeCell ref="G24:G25"/>
    <mergeCell ref="D26:D27"/>
    <mergeCell ref="E26:E27"/>
    <mergeCell ref="F26:F27"/>
    <mergeCell ref="G26:G27"/>
    <mergeCell ref="D28:D29"/>
    <mergeCell ref="E28:E29"/>
    <mergeCell ref="F28:F29"/>
    <mergeCell ref="G28:G29"/>
    <mergeCell ref="D30:D31"/>
    <mergeCell ref="E30:E31"/>
    <mergeCell ref="F30:F31"/>
    <mergeCell ref="G30:G31"/>
    <mergeCell ref="D32:D33"/>
    <mergeCell ref="E32:E33"/>
    <mergeCell ref="F32:F33"/>
    <mergeCell ref="G32:G33"/>
    <mergeCell ref="D34:D35"/>
    <mergeCell ref="E34:E35"/>
    <mergeCell ref="F34:F35"/>
    <mergeCell ref="G34:G35"/>
    <mergeCell ref="D36:D37"/>
    <mergeCell ref="E36:E37"/>
    <mergeCell ref="F36:F37"/>
    <mergeCell ref="G36:G37"/>
    <mergeCell ref="D38:D39"/>
    <mergeCell ref="E38:E39"/>
    <mergeCell ref="F38:F39"/>
    <mergeCell ref="G38:G39"/>
    <mergeCell ref="D40:D41"/>
    <mergeCell ref="E40:E41"/>
    <mergeCell ref="F40:F41"/>
    <mergeCell ref="G40:G41"/>
    <mergeCell ref="D42:D43"/>
    <mergeCell ref="E42:E43"/>
    <mergeCell ref="F42:F43"/>
    <mergeCell ref="G42:G43"/>
    <mergeCell ref="D44:D45"/>
    <mergeCell ref="E44:E45"/>
    <mergeCell ref="F44:F45"/>
    <mergeCell ref="G44:G45"/>
    <mergeCell ref="D46:D47"/>
    <mergeCell ref="E46:E47"/>
    <mergeCell ref="F46:F47"/>
    <mergeCell ref="G46:G4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302</v>
      </c>
      <c r="C3" s="146" t="s">
        <v>303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304</v>
      </c>
      <c r="K4" s="69"/>
    </row>
    <row r="5" spans="1:11" ht="18" customHeight="1">
      <c r="A5" s="69"/>
      <c r="B5" s="592" t="s">
        <v>305</v>
      </c>
      <c r="C5" s="593"/>
      <c r="D5" s="153" t="s">
        <v>85</v>
      </c>
      <c r="E5" s="153" t="s">
        <v>306</v>
      </c>
      <c r="F5" s="153" t="s">
        <v>307</v>
      </c>
      <c r="G5" s="153" t="s">
        <v>308</v>
      </c>
      <c r="H5" s="154" t="s">
        <v>309</v>
      </c>
      <c r="I5" s="153" t="s">
        <v>310</v>
      </c>
      <c r="J5" s="155" t="s">
        <v>311</v>
      </c>
      <c r="K5" s="69"/>
    </row>
    <row r="6" spans="1:11" ht="10.5" customHeight="1">
      <c r="A6" s="69"/>
      <c r="B6" s="156" t="s">
        <v>336</v>
      </c>
      <c r="C6" s="157"/>
      <c r="D6" s="574" t="s">
        <v>321</v>
      </c>
      <c r="E6" s="590">
        <v>1</v>
      </c>
      <c r="F6" s="578">
        <v>294700</v>
      </c>
      <c r="G6" s="580">
        <v>294700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337</v>
      </c>
      <c r="C7" s="160"/>
      <c r="D7" s="575"/>
      <c r="E7" s="591"/>
      <c r="F7" s="579"/>
      <c r="G7" s="581"/>
      <c r="H7" s="356"/>
      <c r="I7" s="356" t="s">
        <v>338</v>
      </c>
      <c r="J7" s="161"/>
      <c r="K7" s="69" t="s">
        <v>96</v>
      </c>
    </row>
    <row r="8" spans="1:11" ht="10.5" customHeight="1">
      <c r="A8" s="69"/>
      <c r="B8" s="156" t="s">
        <v>336</v>
      </c>
      <c r="C8" s="157"/>
      <c r="D8" s="574" t="s">
        <v>321</v>
      </c>
      <c r="E8" s="590">
        <v>1</v>
      </c>
      <c r="F8" s="578">
        <v>80000</v>
      </c>
      <c r="G8" s="580">
        <v>80000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339</v>
      </c>
      <c r="C9" s="160"/>
      <c r="D9" s="575"/>
      <c r="E9" s="591"/>
      <c r="F9" s="579"/>
      <c r="G9" s="581"/>
      <c r="H9" s="356"/>
      <c r="I9" s="356" t="s">
        <v>338</v>
      </c>
      <c r="J9" s="162"/>
      <c r="K9" s="69" t="s">
        <v>96</v>
      </c>
    </row>
    <row r="10" spans="1:11" ht="10.5" customHeight="1">
      <c r="A10" s="69"/>
      <c r="B10" s="156" t="s">
        <v>340</v>
      </c>
      <c r="C10" s="157"/>
      <c r="D10" s="574" t="s">
        <v>321</v>
      </c>
      <c r="E10" s="590">
        <v>1</v>
      </c>
      <c r="F10" s="578">
        <v>1100000</v>
      </c>
      <c r="G10" s="580">
        <v>1100000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341</v>
      </c>
      <c r="C11" s="160"/>
      <c r="D11" s="575"/>
      <c r="E11" s="591"/>
      <c r="F11" s="579"/>
      <c r="G11" s="581"/>
      <c r="H11" s="356"/>
      <c r="I11" s="356" t="s">
        <v>338</v>
      </c>
      <c r="J11" s="161"/>
      <c r="K11" s="69" t="s">
        <v>96</v>
      </c>
    </row>
    <row r="12" spans="1:11" ht="10.5" customHeight="1">
      <c r="A12" s="69"/>
      <c r="B12" s="156" t="s">
        <v>342</v>
      </c>
      <c r="C12" s="157"/>
      <c r="D12" s="574" t="s">
        <v>343</v>
      </c>
      <c r="E12" s="576">
        <v>150</v>
      </c>
      <c r="F12" s="578"/>
      <c r="G12" s="580"/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344</v>
      </c>
      <c r="C13" s="160"/>
      <c r="D13" s="575"/>
      <c r="E13" s="577"/>
      <c r="F13" s="579"/>
      <c r="G13" s="581"/>
      <c r="H13" s="356"/>
      <c r="I13" s="356" t="s">
        <v>338</v>
      </c>
      <c r="J13" s="161"/>
      <c r="K13" s="69" t="s">
        <v>96</v>
      </c>
    </row>
    <row r="14" spans="1:11" ht="10.5" customHeight="1">
      <c r="A14" s="69"/>
      <c r="B14" s="156"/>
      <c r="C14" s="157"/>
      <c r="D14" s="574"/>
      <c r="E14" s="576"/>
      <c r="F14" s="578"/>
      <c r="G14" s="580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5"/>
      <c r="E15" s="577"/>
      <c r="F15" s="579"/>
      <c r="G15" s="581"/>
      <c r="H15" s="356"/>
      <c r="I15" s="356"/>
      <c r="J15" s="161"/>
      <c r="K15" s="69" t="s">
        <v>96</v>
      </c>
    </row>
    <row r="16" spans="1:11" ht="10.5" customHeight="1">
      <c r="A16" s="69"/>
      <c r="B16" s="156" t="s">
        <v>330</v>
      </c>
      <c r="C16" s="157"/>
      <c r="D16" s="574"/>
      <c r="E16" s="576"/>
      <c r="F16" s="578"/>
      <c r="G16" s="580">
        <v>1474700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5"/>
      <c r="E17" s="577"/>
      <c r="F17" s="579"/>
      <c r="G17" s="581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4"/>
      <c r="E18" s="576"/>
      <c r="F18" s="578"/>
      <c r="G18" s="580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5"/>
      <c r="E19" s="577"/>
      <c r="F19" s="579"/>
      <c r="G19" s="581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4"/>
      <c r="E20" s="576"/>
      <c r="F20" s="578"/>
      <c r="G20" s="580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5"/>
      <c r="E21" s="577"/>
      <c r="F21" s="579"/>
      <c r="G21" s="581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4"/>
      <c r="E22" s="576"/>
      <c r="F22" s="578"/>
      <c r="G22" s="580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5"/>
      <c r="E23" s="577"/>
      <c r="F23" s="579"/>
      <c r="G23" s="581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4"/>
      <c r="E24" s="590"/>
      <c r="F24" s="578"/>
      <c r="G24" s="580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5"/>
      <c r="E25" s="591"/>
      <c r="F25" s="579"/>
      <c r="G25" s="581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4"/>
      <c r="E26" s="576"/>
      <c r="F26" s="578"/>
      <c r="G26" s="580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5"/>
      <c r="E27" s="577"/>
      <c r="F27" s="579"/>
      <c r="G27" s="581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4"/>
      <c r="E28" s="576"/>
      <c r="F28" s="578"/>
      <c r="G28" s="580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5"/>
      <c r="E29" s="577"/>
      <c r="F29" s="579"/>
      <c r="G29" s="581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4"/>
      <c r="E30" s="576"/>
      <c r="F30" s="578"/>
      <c r="G30" s="580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5"/>
      <c r="E31" s="577"/>
      <c r="F31" s="579"/>
      <c r="G31" s="581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4"/>
      <c r="E32" s="576"/>
      <c r="F32" s="578"/>
      <c r="G32" s="580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5"/>
      <c r="E33" s="577"/>
      <c r="F33" s="579"/>
      <c r="G33" s="581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4"/>
      <c r="E34" s="576"/>
      <c r="F34" s="578"/>
      <c r="G34" s="580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5"/>
      <c r="E35" s="577"/>
      <c r="F35" s="579"/>
      <c r="G35" s="581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4"/>
      <c r="E36" s="576"/>
      <c r="F36" s="578"/>
      <c r="G36" s="580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5"/>
      <c r="E37" s="577"/>
      <c r="F37" s="579"/>
      <c r="G37" s="581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4"/>
      <c r="E38" s="576"/>
      <c r="F38" s="578"/>
      <c r="G38" s="580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5"/>
      <c r="E39" s="577"/>
      <c r="F39" s="579"/>
      <c r="G39" s="581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4"/>
      <c r="E40" s="576"/>
      <c r="F40" s="578"/>
      <c r="G40" s="580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5"/>
      <c r="E41" s="577"/>
      <c r="F41" s="579"/>
      <c r="G41" s="581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4"/>
      <c r="E42" s="576"/>
      <c r="F42" s="578"/>
      <c r="G42" s="580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5"/>
      <c r="E43" s="577"/>
      <c r="F43" s="579"/>
      <c r="G43" s="581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4"/>
      <c r="E44" s="576"/>
      <c r="F44" s="578"/>
      <c r="G44" s="580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5"/>
      <c r="E45" s="577"/>
      <c r="F45" s="579"/>
      <c r="G45" s="581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2"/>
      <c r="E46" s="584"/>
      <c r="F46" s="586"/>
      <c r="G46" s="588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3"/>
      <c r="E47" s="585"/>
      <c r="F47" s="587"/>
      <c r="G47" s="589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1:G1"/>
    <mergeCell ref="B5:C5"/>
    <mergeCell ref="D6:D7"/>
    <mergeCell ref="E6:E7"/>
    <mergeCell ref="F6:F7"/>
    <mergeCell ref="G6:G7"/>
    <mergeCell ref="D8:D9"/>
    <mergeCell ref="E8:E9"/>
    <mergeCell ref="F8:F9"/>
    <mergeCell ref="G8:G9"/>
    <mergeCell ref="D10:D11"/>
    <mergeCell ref="E10:E11"/>
    <mergeCell ref="F10:F11"/>
    <mergeCell ref="G10:G11"/>
    <mergeCell ref="D12:D13"/>
    <mergeCell ref="E12:E13"/>
    <mergeCell ref="F12:F13"/>
    <mergeCell ref="G12:G13"/>
    <mergeCell ref="D14:D15"/>
    <mergeCell ref="E14:E15"/>
    <mergeCell ref="F14:F15"/>
    <mergeCell ref="G14:G15"/>
    <mergeCell ref="D16:D17"/>
    <mergeCell ref="E16:E17"/>
    <mergeCell ref="F16:F17"/>
    <mergeCell ref="G16:G17"/>
    <mergeCell ref="D18:D19"/>
    <mergeCell ref="E18:E19"/>
    <mergeCell ref="F18:F19"/>
    <mergeCell ref="G18:G19"/>
    <mergeCell ref="D20:D21"/>
    <mergeCell ref="E20:E21"/>
    <mergeCell ref="F20:F21"/>
    <mergeCell ref="G20:G21"/>
    <mergeCell ref="D22:D23"/>
    <mergeCell ref="E22:E23"/>
    <mergeCell ref="F22:F23"/>
    <mergeCell ref="G22:G23"/>
    <mergeCell ref="D24:D25"/>
    <mergeCell ref="E24:E25"/>
    <mergeCell ref="F24:F25"/>
    <mergeCell ref="G24:G25"/>
    <mergeCell ref="D26:D27"/>
    <mergeCell ref="E26:E27"/>
    <mergeCell ref="F26:F27"/>
    <mergeCell ref="G26:G27"/>
    <mergeCell ref="D28:D29"/>
    <mergeCell ref="E28:E29"/>
    <mergeCell ref="F28:F29"/>
    <mergeCell ref="G28:G29"/>
    <mergeCell ref="D30:D31"/>
    <mergeCell ref="E30:E31"/>
    <mergeCell ref="F30:F31"/>
    <mergeCell ref="G30:G31"/>
    <mergeCell ref="D32:D33"/>
    <mergeCell ref="E32:E33"/>
    <mergeCell ref="F32:F33"/>
    <mergeCell ref="G32:G33"/>
    <mergeCell ref="D34:D35"/>
    <mergeCell ref="E34:E35"/>
    <mergeCell ref="F34:F35"/>
    <mergeCell ref="G34:G35"/>
    <mergeCell ref="D36:D37"/>
    <mergeCell ref="E36:E37"/>
    <mergeCell ref="F36:F37"/>
    <mergeCell ref="G36:G37"/>
    <mergeCell ref="D38:D39"/>
    <mergeCell ref="E38:E39"/>
    <mergeCell ref="F38:F39"/>
    <mergeCell ref="G38:G39"/>
    <mergeCell ref="D40:D41"/>
    <mergeCell ref="E40:E41"/>
    <mergeCell ref="F40:F41"/>
    <mergeCell ref="G40:G41"/>
    <mergeCell ref="D42:D43"/>
    <mergeCell ref="E42:E43"/>
    <mergeCell ref="F42:F43"/>
    <mergeCell ref="G42:G43"/>
    <mergeCell ref="D44:D45"/>
    <mergeCell ref="E44:E45"/>
    <mergeCell ref="F44:F45"/>
    <mergeCell ref="G44:G45"/>
    <mergeCell ref="D46:D47"/>
    <mergeCell ref="E46:E47"/>
    <mergeCell ref="F46:F47"/>
    <mergeCell ref="G46:G4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302</v>
      </c>
      <c r="C3" s="146" t="s">
        <v>303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304</v>
      </c>
      <c r="K4" s="69"/>
    </row>
    <row r="5" spans="1:11" ht="18" customHeight="1">
      <c r="A5" s="69"/>
      <c r="B5" s="592" t="s">
        <v>305</v>
      </c>
      <c r="C5" s="593"/>
      <c r="D5" s="153" t="s">
        <v>85</v>
      </c>
      <c r="E5" s="153" t="s">
        <v>306</v>
      </c>
      <c r="F5" s="153" t="s">
        <v>307</v>
      </c>
      <c r="G5" s="153" t="s">
        <v>308</v>
      </c>
      <c r="H5" s="154" t="s">
        <v>309</v>
      </c>
      <c r="I5" s="153" t="s">
        <v>310</v>
      </c>
      <c r="J5" s="155" t="s">
        <v>311</v>
      </c>
      <c r="K5" s="69"/>
    </row>
    <row r="6" spans="1:11" ht="10.5" customHeight="1">
      <c r="A6" s="69"/>
      <c r="B6" s="156" t="s">
        <v>345</v>
      </c>
      <c r="C6" s="157"/>
      <c r="D6" s="574" t="s">
        <v>321</v>
      </c>
      <c r="E6" s="590">
        <v>1</v>
      </c>
      <c r="F6" s="578">
        <v>80000</v>
      </c>
      <c r="G6" s="580">
        <v>80000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5"/>
      <c r="E7" s="591"/>
      <c r="F7" s="579"/>
      <c r="G7" s="581"/>
      <c r="H7" s="356"/>
      <c r="I7" s="356" t="s">
        <v>346</v>
      </c>
      <c r="J7" s="161"/>
      <c r="K7" s="69" t="s">
        <v>96</v>
      </c>
    </row>
    <row r="8" spans="1:11" ht="10.5" customHeight="1">
      <c r="A8" s="69"/>
      <c r="B8" s="156" t="s">
        <v>347</v>
      </c>
      <c r="C8" s="157"/>
      <c r="D8" s="574" t="s">
        <v>348</v>
      </c>
      <c r="E8" s="590">
        <v>3</v>
      </c>
      <c r="F8" s="578">
        <v>3000</v>
      </c>
      <c r="G8" s="580">
        <v>9000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5"/>
      <c r="E9" s="591"/>
      <c r="F9" s="579"/>
      <c r="G9" s="581"/>
      <c r="H9" s="356"/>
      <c r="I9" s="356" t="s">
        <v>346</v>
      </c>
      <c r="J9" s="162"/>
      <c r="K9" s="69" t="s">
        <v>96</v>
      </c>
    </row>
    <row r="10" spans="1:11" ht="10.5" customHeight="1">
      <c r="A10" s="69"/>
      <c r="B10" s="156"/>
      <c r="C10" s="157"/>
      <c r="D10" s="574"/>
      <c r="E10" s="590"/>
      <c r="F10" s="578"/>
      <c r="G10" s="580"/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5"/>
      <c r="E11" s="591"/>
      <c r="F11" s="579"/>
      <c r="G11" s="581"/>
      <c r="H11" s="356"/>
      <c r="I11" s="356"/>
      <c r="J11" s="161"/>
      <c r="K11" s="69" t="s">
        <v>96</v>
      </c>
    </row>
    <row r="12" spans="1:11" ht="10.5" customHeight="1">
      <c r="A12" s="69"/>
      <c r="B12" s="156" t="s">
        <v>330</v>
      </c>
      <c r="C12" s="157"/>
      <c r="D12" s="574"/>
      <c r="E12" s="576"/>
      <c r="F12" s="578"/>
      <c r="G12" s="580">
        <v>89000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5"/>
      <c r="E13" s="577"/>
      <c r="F13" s="579"/>
      <c r="G13" s="581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4"/>
      <c r="E14" s="576"/>
      <c r="F14" s="578"/>
      <c r="G14" s="580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5"/>
      <c r="E15" s="577"/>
      <c r="F15" s="579"/>
      <c r="G15" s="581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4"/>
      <c r="E16" s="576"/>
      <c r="F16" s="578"/>
      <c r="G16" s="580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5"/>
      <c r="E17" s="577"/>
      <c r="F17" s="579"/>
      <c r="G17" s="581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4"/>
      <c r="E18" s="576"/>
      <c r="F18" s="578"/>
      <c r="G18" s="580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5"/>
      <c r="E19" s="577"/>
      <c r="F19" s="579"/>
      <c r="G19" s="581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4"/>
      <c r="E20" s="576"/>
      <c r="F20" s="578"/>
      <c r="G20" s="580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5"/>
      <c r="E21" s="577"/>
      <c r="F21" s="579"/>
      <c r="G21" s="581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4"/>
      <c r="E22" s="576"/>
      <c r="F22" s="578"/>
      <c r="G22" s="580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5"/>
      <c r="E23" s="577"/>
      <c r="F23" s="579"/>
      <c r="G23" s="581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4"/>
      <c r="E24" s="590"/>
      <c r="F24" s="578"/>
      <c r="G24" s="580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5"/>
      <c r="E25" s="591"/>
      <c r="F25" s="579"/>
      <c r="G25" s="581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4"/>
      <c r="E26" s="576"/>
      <c r="F26" s="578"/>
      <c r="G26" s="580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5"/>
      <c r="E27" s="577"/>
      <c r="F27" s="579"/>
      <c r="G27" s="581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4"/>
      <c r="E28" s="576"/>
      <c r="F28" s="578"/>
      <c r="G28" s="580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5"/>
      <c r="E29" s="577"/>
      <c r="F29" s="579"/>
      <c r="G29" s="581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4"/>
      <c r="E30" s="576"/>
      <c r="F30" s="578"/>
      <c r="G30" s="580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5"/>
      <c r="E31" s="577"/>
      <c r="F31" s="579"/>
      <c r="G31" s="581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4"/>
      <c r="E32" s="576"/>
      <c r="F32" s="578"/>
      <c r="G32" s="580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5"/>
      <c r="E33" s="577"/>
      <c r="F33" s="579"/>
      <c r="G33" s="581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4"/>
      <c r="E34" s="576"/>
      <c r="F34" s="578"/>
      <c r="G34" s="580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5"/>
      <c r="E35" s="577"/>
      <c r="F35" s="579"/>
      <c r="G35" s="581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4"/>
      <c r="E36" s="576"/>
      <c r="F36" s="578"/>
      <c r="G36" s="580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5"/>
      <c r="E37" s="577"/>
      <c r="F37" s="579"/>
      <c r="G37" s="581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4"/>
      <c r="E38" s="576"/>
      <c r="F38" s="578"/>
      <c r="G38" s="580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5"/>
      <c r="E39" s="577"/>
      <c r="F39" s="579"/>
      <c r="G39" s="581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4"/>
      <c r="E40" s="576"/>
      <c r="F40" s="578"/>
      <c r="G40" s="580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5"/>
      <c r="E41" s="577"/>
      <c r="F41" s="579"/>
      <c r="G41" s="581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4"/>
      <c r="E42" s="576"/>
      <c r="F42" s="578"/>
      <c r="G42" s="580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5"/>
      <c r="E43" s="577"/>
      <c r="F43" s="579"/>
      <c r="G43" s="581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4"/>
      <c r="E44" s="576"/>
      <c r="F44" s="578"/>
      <c r="G44" s="580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5"/>
      <c r="E45" s="577"/>
      <c r="F45" s="579"/>
      <c r="G45" s="581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2"/>
      <c r="E46" s="584"/>
      <c r="F46" s="586"/>
      <c r="G46" s="588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3"/>
      <c r="E47" s="585"/>
      <c r="F47" s="587"/>
      <c r="G47" s="589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1:G1"/>
    <mergeCell ref="B5:C5"/>
    <mergeCell ref="D6:D7"/>
    <mergeCell ref="E6:E7"/>
    <mergeCell ref="F6:F7"/>
    <mergeCell ref="G6:G7"/>
    <mergeCell ref="D8:D9"/>
    <mergeCell ref="E8:E9"/>
    <mergeCell ref="F8:F9"/>
    <mergeCell ref="G8:G9"/>
    <mergeCell ref="D10:D11"/>
    <mergeCell ref="E10:E11"/>
    <mergeCell ref="F10:F11"/>
    <mergeCell ref="G10:G11"/>
    <mergeCell ref="D12:D13"/>
    <mergeCell ref="E12:E13"/>
    <mergeCell ref="F12:F13"/>
    <mergeCell ref="G12:G13"/>
    <mergeCell ref="D14:D15"/>
    <mergeCell ref="E14:E15"/>
    <mergeCell ref="F14:F15"/>
    <mergeCell ref="G14:G15"/>
    <mergeCell ref="D16:D17"/>
    <mergeCell ref="E16:E17"/>
    <mergeCell ref="F16:F17"/>
    <mergeCell ref="G16:G17"/>
    <mergeCell ref="D18:D19"/>
    <mergeCell ref="E18:E19"/>
    <mergeCell ref="F18:F19"/>
    <mergeCell ref="G18:G19"/>
    <mergeCell ref="D20:D21"/>
    <mergeCell ref="E20:E21"/>
    <mergeCell ref="F20:F21"/>
    <mergeCell ref="G20:G21"/>
    <mergeCell ref="D22:D23"/>
    <mergeCell ref="E22:E23"/>
    <mergeCell ref="F22:F23"/>
    <mergeCell ref="G22:G23"/>
    <mergeCell ref="D24:D25"/>
    <mergeCell ref="E24:E25"/>
    <mergeCell ref="F24:F25"/>
    <mergeCell ref="G24:G25"/>
    <mergeCell ref="D26:D27"/>
    <mergeCell ref="E26:E27"/>
    <mergeCell ref="F26:F27"/>
    <mergeCell ref="G26:G27"/>
    <mergeCell ref="D28:D29"/>
    <mergeCell ref="E28:E29"/>
    <mergeCell ref="F28:F29"/>
    <mergeCell ref="G28:G29"/>
    <mergeCell ref="D30:D31"/>
    <mergeCell ref="E30:E31"/>
    <mergeCell ref="F30:F31"/>
    <mergeCell ref="G30:G31"/>
    <mergeCell ref="D32:D33"/>
    <mergeCell ref="E32:E33"/>
    <mergeCell ref="F32:F33"/>
    <mergeCell ref="G32:G33"/>
    <mergeCell ref="D34:D35"/>
    <mergeCell ref="E34:E35"/>
    <mergeCell ref="F34:F35"/>
    <mergeCell ref="G34:G35"/>
    <mergeCell ref="D36:D37"/>
    <mergeCell ref="E36:E37"/>
    <mergeCell ref="F36:F37"/>
    <mergeCell ref="G36:G37"/>
    <mergeCell ref="D38:D39"/>
    <mergeCell ref="E38:E39"/>
    <mergeCell ref="F38:F39"/>
    <mergeCell ref="G38:G39"/>
    <mergeCell ref="D40:D41"/>
    <mergeCell ref="E40:E41"/>
    <mergeCell ref="F40:F41"/>
    <mergeCell ref="G40:G41"/>
    <mergeCell ref="D42:D43"/>
    <mergeCell ref="E42:E43"/>
    <mergeCell ref="F42:F43"/>
    <mergeCell ref="G42:G43"/>
    <mergeCell ref="D44:D45"/>
    <mergeCell ref="E44:E45"/>
    <mergeCell ref="F44:F45"/>
    <mergeCell ref="G44:G45"/>
    <mergeCell ref="D46:D47"/>
    <mergeCell ref="E46:E47"/>
    <mergeCell ref="F46:F47"/>
    <mergeCell ref="G46:G4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302</v>
      </c>
      <c r="C3" s="146" t="s">
        <v>303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304</v>
      </c>
      <c r="K4" s="69"/>
    </row>
    <row r="5" spans="1:11" ht="18" customHeight="1">
      <c r="A5" s="69"/>
      <c r="B5" s="592" t="s">
        <v>305</v>
      </c>
      <c r="C5" s="593"/>
      <c r="D5" s="153" t="s">
        <v>85</v>
      </c>
      <c r="E5" s="153" t="s">
        <v>306</v>
      </c>
      <c r="F5" s="153" t="s">
        <v>307</v>
      </c>
      <c r="G5" s="153" t="s">
        <v>308</v>
      </c>
      <c r="H5" s="154" t="s">
        <v>309</v>
      </c>
      <c r="I5" s="153" t="s">
        <v>310</v>
      </c>
      <c r="J5" s="155" t="s">
        <v>311</v>
      </c>
      <c r="K5" s="69"/>
    </row>
    <row r="6" spans="1:11" ht="10.5" customHeight="1">
      <c r="A6" s="69"/>
      <c r="B6" s="156" t="s">
        <v>349</v>
      </c>
      <c r="C6" s="157"/>
      <c r="D6" s="574" t="s">
        <v>348</v>
      </c>
      <c r="E6" s="590">
        <v>3</v>
      </c>
      <c r="F6" s="578">
        <v>6000</v>
      </c>
      <c r="G6" s="580">
        <v>18000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5"/>
      <c r="E7" s="591"/>
      <c r="F7" s="579"/>
      <c r="G7" s="581"/>
      <c r="H7" s="356"/>
      <c r="I7" s="356" t="s">
        <v>350</v>
      </c>
      <c r="J7" s="161"/>
      <c r="K7" s="69" t="s">
        <v>96</v>
      </c>
    </row>
    <row r="8" spans="1:11" ht="10.5" customHeight="1">
      <c r="A8" s="69"/>
      <c r="B8" s="156" t="s">
        <v>351</v>
      </c>
      <c r="C8" s="157"/>
      <c r="D8" s="574" t="s">
        <v>348</v>
      </c>
      <c r="E8" s="590">
        <v>3</v>
      </c>
      <c r="F8" s="578">
        <v>4000</v>
      </c>
      <c r="G8" s="580">
        <v>12000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352</v>
      </c>
      <c r="C9" s="160"/>
      <c r="D9" s="575"/>
      <c r="E9" s="591"/>
      <c r="F9" s="579"/>
      <c r="G9" s="581"/>
      <c r="H9" s="356"/>
      <c r="I9" s="356" t="s">
        <v>350</v>
      </c>
      <c r="J9" s="162"/>
      <c r="K9" s="69" t="s">
        <v>96</v>
      </c>
    </row>
    <row r="10" spans="1:11" ht="10.5" customHeight="1">
      <c r="A10" s="69"/>
      <c r="B10" s="156"/>
      <c r="C10" s="157"/>
      <c r="D10" s="574"/>
      <c r="E10" s="590"/>
      <c r="F10" s="578"/>
      <c r="G10" s="580"/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5"/>
      <c r="E11" s="591"/>
      <c r="F11" s="579"/>
      <c r="G11" s="581"/>
      <c r="H11" s="356"/>
      <c r="I11" s="356"/>
      <c r="J11" s="161"/>
      <c r="K11" s="69" t="s">
        <v>96</v>
      </c>
    </row>
    <row r="12" spans="1:11" ht="10.5" customHeight="1">
      <c r="A12" s="69"/>
      <c r="B12" s="156" t="s">
        <v>330</v>
      </c>
      <c r="C12" s="157"/>
      <c r="D12" s="574"/>
      <c r="E12" s="576"/>
      <c r="F12" s="578"/>
      <c r="G12" s="580">
        <v>30000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5"/>
      <c r="E13" s="577"/>
      <c r="F13" s="579"/>
      <c r="G13" s="581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4"/>
      <c r="E14" s="576"/>
      <c r="F14" s="578"/>
      <c r="G14" s="580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5"/>
      <c r="E15" s="577"/>
      <c r="F15" s="579"/>
      <c r="G15" s="581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4"/>
      <c r="E16" s="576"/>
      <c r="F16" s="578"/>
      <c r="G16" s="580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5"/>
      <c r="E17" s="577"/>
      <c r="F17" s="579"/>
      <c r="G17" s="581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4"/>
      <c r="E18" s="576"/>
      <c r="F18" s="578"/>
      <c r="G18" s="580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5"/>
      <c r="E19" s="577"/>
      <c r="F19" s="579"/>
      <c r="G19" s="581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4"/>
      <c r="E20" s="576"/>
      <c r="F20" s="578"/>
      <c r="G20" s="580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5"/>
      <c r="E21" s="577"/>
      <c r="F21" s="579"/>
      <c r="G21" s="581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4"/>
      <c r="E22" s="576"/>
      <c r="F22" s="578"/>
      <c r="G22" s="580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5"/>
      <c r="E23" s="577"/>
      <c r="F23" s="579"/>
      <c r="G23" s="581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4"/>
      <c r="E24" s="590"/>
      <c r="F24" s="578"/>
      <c r="G24" s="580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5"/>
      <c r="E25" s="591"/>
      <c r="F25" s="579"/>
      <c r="G25" s="581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4"/>
      <c r="E26" s="576"/>
      <c r="F26" s="578"/>
      <c r="G26" s="580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5"/>
      <c r="E27" s="577"/>
      <c r="F27" s="579"/>
      <c r="G27" s="581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4"/>
      <c r="E28" s="576"/>
      <c r="F28" s="578"/>
      <c r="G28" s="580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5"/>
      <c r="E29" s="577"/>
      <c r="F29" s="579"/>
      <c r="G29" s="581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4"/>
      <c r="E30" s="576"/>
      <c r="F30" s="578"/>
      <c r="G30" s="580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5"/>
      <c r="E31" s="577"/>
      <c r="F31" s="579"/>
      <c r="G31" s="581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4"/>
      <c r="E32" s="576"/>
      <c r="F32" s="578"/>
      <c r="G32" s="580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5"/>
      <c r="E33" s="577"/>
      <c r="F33" s="579"/>
      <c r="G33" s="581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4"/>
      <c r="E34" s="576"/>
      <c r="F34" s="578"/>
      <c r="G34" s="580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5"/>
      <c r="E35" s="577"/>
      <c r="F35" s="579"/>
      <c r="G35" s="581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4"/>
      <c r="E36" s="576"/>
      <c r="F36" s="578"/>
      <c r="G36" s="580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5"/>
      <c r="E37" s="577"/>
      <c r="F37" s="579"/>
      <c r="G37" s="581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4"/>
      <c r="E38" s="576"/>
      <c r="F38" s="578"/>
      <c r="G38" s="580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5"/>
      <c r="E39" s="577"/>
      <c r="F39" s="579"/>
      <c r="G39" s="581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4"/>
      <c r="E40" s="576"/>
      <c r="F40" s="578"/>
      <c r="G40" s="580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5"/>
      <c r="E41" s="577"/>
      <c r="F41" s="579"/>
      <c r="G41" s="581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4"/>
      <c r="E42" s="576"/>
      <c r="F42" s="578"/>
      <c r="G42" s="580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5"/>
      <c r="E43" s="577"/>
      <c r="F43" s="579"/>
      <c r="G43" s="581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4"/>
      <c r="E44" s="576"/>
      <c r="F44" s="578"/>
      <c r="G44" s="580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5"/>
      <c r="E45" s="577"/>
      <c r="F45" s="579"/>
      <c r="G45" s="581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2"/>
      <c r="E46" s="584"/>
      <c r="F46" s="586"/>
      <c r="G46" s="588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3"/>
      <c r="E47" s="585"/>
      <c r="F47" s="587"/>
      <c r="G47" s="589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1:G1"/>
    <mergeCell ref="B5:C5"/>
    <mergeCell ref="D6:D7"/>
    <mergeCell ref="E6:E7"/>
    <mergeCell ref="F6:F7"/>
    <mergeCell ref="G6:G7"/>
    <mergeCell ref="D8:D9"/>
    <mergeCell ref="E8:E9"/>
    <mergeCell ref="F8:F9"/>
    <mergeCell ref="G8:G9"/>
    <mergeCell ref="D10:D11"/>
    <mergeCell ref="E10:E11"/>
    <mergeCell ref="F10:F11"/>
    <mergeCell ref="G10:G11"/>
    <mergeCell ref="D12:D13"/>
    <mergeCell ref="E12:E13"/>
    <mergeCell ref="F12:F13"/>
    <mergeCell ref="G12:G13"/>
    <mergeCell ref="D14:D15"/>
    <mergeCell ref="E14:E15"/>
    <mergeCell ref="F14:F15"/>
    <mergeCell ref="G14:G15"/>
    <mergeCell ref="D16:D17"/>
    <mergeCell ref="E16:E17"/>
    <mergeCell ref="F16:F17"/>
    <mergeCell ref="G16:G17"/>
    <mergeCell ref="D18:D19"/>
    <mergeCell ref="E18:E19"/>
    <mergeCell ref="F18:F19"/>
    <mergeCell ref="G18:G19"/>
    <mergeCell ref="D20:D21"/>
    <mergeCell ref="E20:E21"/>
    <mergeCell ref="F20:F21"/>
    <mergeCell ref="G20:G21"/>
    <mergeCell ref="D22:D23"/>
    <mergeCell ref="E22:E23"/>
    <mergeCell ref="F22:F23"/>
    <mergeCell ref="G22:G23"/>
    <mergeCell ref="D24:D25"/>
    <mergeCell ref="E24:E25"/>
    <mergeCell ref="F24:F25"/>
    <mergeCell ref="G24:G25"/>
    <mergeCell ref="D26:D27"/>
    <mergeCell ref="E26:E27"/>
    <mergeCell ref="F26:F27"/>
    <mergeCell ref="G26:G27"/>
    <mergeCell ref="D28:D29"/>
    <mergeCell ref="E28:E29"/>
    <mergeCell ref="F28:F29"/>
    <mergeCell ref="G28:G29"/>
    <mergeCell ref="D30:D31"/>
    <mergeCell ref="E30:E31"/>
    <mergeCell ref="F30:F31"/>
    <mergeCell ref="G30:G31"/>
    <mergeCell ref="D32:D33"/>
    <mergeCell ref="E32:E33"/>
    <mergeCell ref="F32:F33"/>
    <mergeCell ref="G32:G33"/>
    <mergeCell ref="D34:D35"/>
    <mergeCell ref="E34:E35"/>
    <mergeCell ref="F34:F35"/>
    <mergeCell ref="G34:G35"/>
    <mergeCell ref="D36:D37"/>
    <mergeCell ref="E36:E37"/>
    <mergeCell ref="F36:F37"/>
    <mergeCell ref="G36:G37"/>
    <mergeCell ref="D38:D39"/>
    <mergeCell ref="E38:E39"/>
    <mergeCell ref="F38:F39"/>
    <mergeCell ref="G38:G39"/>
    <mergeCell ref="D40:D41"/>
    <mergeCell ref="E40:E41"/>
    <mergeCell ref="F40:F41"/>
    <mergeCell ref="G40:G41"/>
    <mergeCell ref="D42:D43"/>
    <mergeCell ref="E42:E43"/>
    <mergeCell ref="F42:F43"/>
    <mergeCell ref="G42:G43"/>
    <mergeCell ref="D44:D45"/>
    <mergeCell ref="E44:E45"/>
    <mergeCell ref="F44:F45"/>
    <mergeCell ref="G44:G45"/>
    <mergeCell ref="D46:D47"/>
    <mergeCell ref="E46:E47"/>
    <mergeCell ref="F46:F47"/>
    <mergeCell ref="G46:G4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2025-12-23T06:23:24Z</dcterms:modified>
  <cp:category/>
  <cp:contentStatus/>
</cp:coreProperties>
</file>