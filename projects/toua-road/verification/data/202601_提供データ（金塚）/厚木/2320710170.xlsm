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1F5DEF88-44ED-452A-A5C7-866CA578C01E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'工事費一覧表(共通仮設費)'!$A$1:$AF$29</definedName>
    <definedName name="_xlnm.Print_Area" localSheetId="11">'工事費一覧表(現場経費)'!$A$1:$AF$8</definedName>
    <definedName name="_xlnm.Print_Area" localSheetId="6">'工事費一覧表(直接工事費)'!$A$1:$AF$76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27" i="32"/>
  <c r="L27" i="32"/>
  <c r="K28" i="32"/>
  <c r="L28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<sst xmlns="http://schemas.openxmlformats.org/spreadsheetml/2006/main" count="1904" uniqueCount="507">
  <si>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</si>
  <si>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</si>
  <si>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</si>
  <si>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</si>
  <si>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</si>
  <si>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</si>
  <si>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</si>
  <si>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</si>
  <si>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</si>
  <si>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</si>
  <si>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</si>
  <si>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</si>
  <si>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</si>
  <si>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</si>
  <si>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</si>
  <si>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</si>
  <si>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</si>
  <si>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</si>
  <si>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</si>
  <si>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</si>
  <si>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</si>
  <si>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</si>
  <si>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</si>
  <si>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</si>
  <si>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</si>
  <si>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</si>
  <si>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</si>
  <si>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</si>
  <si>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</si>
  <si>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</si>
  <si>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</si>
  <si>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</si>
  <si>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</si>
  <si>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</si>
  <si>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</si>
  <si>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</si>
  <si>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</si>
  <si>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</si>
  <si>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</si>
  <si>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</si>
  <si>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</si>
  <si>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</si>
  <si>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</si>
  <si>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</si>
  <si>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</si>
  <si>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</si>
  <si>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</si>
  <si>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</si>
  <si>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</si>
  <si>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</si>
  <si>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</si>
  <si>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</si>
  <si>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</si>
  <si>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</si>
  <si>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</si>
  <si>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</si>
  <si>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</si>
  <si>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</si>
  <si>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</si>
  <si>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</si>
  <si>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</si>
  <si>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</si>
  <si>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</si>
  <si>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</si>
  <si>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</si>
  <si>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</si>
  <si>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</si>
  <si>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</si>
  <si>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</si>
  <si>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</si>
  <si>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</si>
  <si>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</si>
  <si>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</si>
  <si>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</si>
  <si>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</si>
  <si>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</si>
  <si>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</si>
  <si>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</si>
  <si>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</si>
  <si>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</si>
  <si>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</si>
  <si>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</si>
  <si>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</si>
  <si>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</si>
  <si>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</si>
  <si>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</si>
  <si>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</si>
  <si>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</si>
  <si>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</si>
  <si>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</si>
  <si>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</si>
  <si>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</si>
  <si>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</si>
  <si>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</si>
  <si>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</si>
  <si>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</si>
  <si>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</si>
  <si>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</si>
  <si>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</si>
  <si>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</si>
  <si>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</si>
  <si>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</si>
  <si>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</si>
  <si>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</si>
  <si>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</si>
  <si>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</si>
  <si>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</si>
  <si>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</si>
  <si>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</si>
  <si>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</si>
  <si>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</si>
  <si>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</si>
  <si>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</si>
  <si>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</si>
  <si>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</si>
  <si>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</si>
  <si>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</si>
  <si>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</si>
  <si>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</si>
  <si>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</si>
  <si>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</si>
  <si>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</si>
  <si>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</si>
  <si>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</si>
  <si>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</si>
  <si>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</si>
  <si>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</si>
  <si>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</si>
  <si>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</si>
  <si>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</si>
  <si>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</si>
  <si>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</si>
  <si>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</si>
  <si>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</si>
  <si>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</si>
  <si>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</si>
  <si>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</si>
  <si>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</si>
  <si>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</si>
  <si>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</si>
  <si>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</si>
  <si>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</si>
  <si>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</si>
  <si>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</si>
  <si>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</si>
  <si>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2320710170 F</t>
  </si>
  <si>
    <t>（第1回変更予算）</t>
  </si>
  <si>
    <t>畑本 憲広</t>
  </si>
  <si>
    <t>23-170 ★市道温水愛名線舗装補修工事</t>
  </si>
  <si>
    <t>東翔工業 有限会社</t>
  </si>
  <si>
    <t>横浜支店</t>
  </si>
  <si>
    <t>厚木市温水地内</t>
  </si>
  <si>
    <t>2023年11月10日</t>
  </si>
  <si>
    <t>2024年3月31日</t>
  </si>
  <si>
    <t>2023年12月18日</t>
  </si>
  <si>
    <t>舗装版切断工</t>
  </si>
  <si>
    <t>舗装打換工</t>
  </si>
  <si>
    <t>表層工</t>
  </si>
  <si>
    <t>段差摺付工</t>
  </si>
  <si>
    <t>人孔調整工</t>
  </si>
  <si>
    <t>区画線工</t>
  </si>
  <si>
    <t>ｷｬｯﾂｱｲ設置工</t>
  </si>
  <si>
    <t>重機運搬費</t>
  </si>
  <si>
    <t>安全費</t>
  </si>
  <si>
    <t>技術管理費</t>
  </si>
  <si>
    <t>外注経費</t>
  </si>
  <si>
    <t>法定福利費</t>
  </si>
  <si>
    <t>式</t>
  </si>
  <si>
    <t>再生As安定処理：10cm</t>
  </si>
  <si>
    <t>m2</t>
  </si>
  <si>
    <t>改質Ⅱ型密粒：5cm</t>
  </si>
  <si>
    <t>再設置</t>
  </si>
  <si>
    <t>箇所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</si>
  <si>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</si>
  <si>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</si>
  <si>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</si>
  <si>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</si>
  <si>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</si>
  <si>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</si>
  <si>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</si>
  <si>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市道温水愛名線舗装補修工事</t>
  </si>
  <si>
    <t>関東支社</t>
  </si>
  <si>
    <t>厚木市役所道路維持課</t>
  </si>
  <si>
    <t>単独</t>
  </si>
  <si>
    <t>F</t>
  </si>
  <si>
    <t>2023年11月10日 ～ 2024年3月31日</t>
  </si>
  <si>
    <t>2023年12月18日 ～ 2024年3月31日</t>
  </si>
  <si>
    <t>直接工事費</t>
  </si>
  <si>
    <t xml:space="preserve">  舗装版切断工</t>
  </si>
  <si>
    <t xml:space="preserve">  </t>
  </si>
  <si>
    <t>1号</t>
  </si>
  <si>
    <t>内訳書</t>
  </si>
  <si>
    <t xml:space="preserve">  舗装打換工</t>
  </si>
  <si>
    <t xml:space="preserve">  再生As安定処理：10cm</t>
  </si>
  <si>
    <t>2号</t>
  </si>
  <si>
    <t xml:space="preserve">  表層工</t>
  </si>
  <si>
    <t xml:space="preserve">  改質Ⅱ型密粒：5cm</t>
  </si>
  <si>
    <t>3号</t>
  </si>
  <si>
    <t xml:space="preserve">  段差摺付工</t>
  </si>
  <si>
    <t>4号</t>
  </si>
  <si>
    <t xml:space="preserve">  人孔調整工</t>
  </si>
  <si>
    <t>5号</t>
  </si>
  <si>
    <t xml:space="preserve">  区画線工</t>
  </si>
  <si>
    <t>6号</t>
  </si>
  <si>
    <t xml:space="preserve">  ｷｬｯﾂｱｲ設置工</t>
  </si>
  <si>
    <t xml:space="preserve">  再設置</t>
  </si>
  <si>
    <t>7号</t>
  </si>
  <si>
    <t>8号</t>
  </si>
  <si>
    <t>9号</t>
  </si>
  <si>
    <t>10号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</si>
  <si>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</si>
  <si>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</si>
  <si>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</si>
  <si>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</si>
  <si>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</si>
  <si>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</si>
  <si>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</si>
  <si>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</si>
  <si>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23-170 ★市道温水愛名線舗装補修工事</t>
    <phoneticPr fontId="4"/>
  </si>
  <si>
    <t>総括</t>
  </si>
  <si>
    <t>集計行</t>
  </si>
  <si>
    <t>｜直接工事費</t>
  </si>
  <si>
    <t>内訳代価</t>
  </si>
  <si>
    <t>｜｜舗装版切断工</t>
  </si>
  <si>
    <t>1号内訳書</t>
  </si>
  <si>
    <t>｜｜｜舗装版切断As150</t>
  </si>
  <si>
    <t>m</t>
  </si>
  <si>
    <t xml:space="preserve">g00328028 </t>
  </si>
  <si>
    <t>｜｜｜汚泥処分費</t>
  </si>
  <si>
    <t>最低補償</t>
  </si>
  <si>
    <t xml:space="preserve">g00328024 </t>
  </si>
  <si>
    <t>｜｜｜汚泥運搬費</t>
  </si>
  <si>
    <t xml:space="preserve">g00328025 </t>
  </si>
  <si>
    <t>｜｜｜技工</t>
  </si>
  <si>
    <t>人</t>
  </si>
  <si>
    <t>｜｜｜雑材</t>
  </si>
  <si>
    <t>｜｜舗装打換工</t>
  </si>
  <si>
    <t>2号内訳書</t>
  </si>
  <si>
    <t>｜｜｜再生Aｓ安定処理</t>
  </si>
  <si>
    <t>t</t>
  </si>
  <si>
    <t xml:space="preserve">12 </t>
  </si>
  <si>
    <t xml:space="preserve">{数量=1,398*0.1*2.35*1.07} </t>
  </si>
  <si>
    <t>｜｜｜乳剤PK-3、4</t>
  </si>
  <si>
    <t xml:space="preserve">27 </t>
  </si>
  <si>
    <t xml:space="preserve">{数量=1,398*1.26} </t>
  </si>
  <si>
    <t>｜｜｜RM-40(t)</t>
  </si>
  <si>
    <t xml:space="preserve">46 </t>
  </si>
  <si>
    <t xml:space="preserve">{数量=1,398*0.03*2} </t>
  </si>
  <si>
    <t>｜｜｜軽油</t>
  </si>
  <si>
    <t>L</t>
  </si>
  <si>
    <t xml:space="preserve">384 </t>
  </si>
  <si>
    <t xml:space="preserve">{数量=100*6} </t>
  </si>
  <si>
    <t xml:space="preserve">386 </t>
  </si>
  <si>
    <t xml:space="preserve">r00328003 </t>
  </si>
  <si>
    <t xml:space="preserve">{数量=9*5} </t>
  </si>
  <si>
    <t>｜｜｜ﾀｲﾔﾛｰﾗ</t>
  </si>
  <si>
    <t>8t</t>
  </si>
  <si>
    <t>台</t>
  </si>
  <si>
    <t xml:space="preserve">k00328002 </t>
  </si>
  <si>
    <t xml:space="preserve">{数量=1*5} </t>
  </si>
  <si>
    <t>｜｜｜ﾀﾝﾃﾞﾑﾛｰﾗ</t>
  </si>
  <si>
    <t>3ｔ、4ｔ</t>
  </si>
  <si>
    <t xml:space="preserve">k00328004 </t>
  </si>
  <si>
    <t>｜｜｜ﾋﾞﾌﾞﾛﾌﾟﾚｰﾄ</t>
  </si>
  <si>
    <t xml:space="preserve">k00328008 </t>
  </si>
  <si>
    <t>｜｜｜ﾗﾝﾏｰ</t>
  </si>
  <si>
    <t xml:space="preserve">k00328009 </t>
  </si>
  <si>
    <t>｜｜｜BH0.15ｸﾚｰﾝ</t>
  </si>
  <si>
    <t xml:space="preserve">k00328016 </t>
  </si>
  <si>
    <t>｜｜｜ﾀｲﾔﾕﾝﾎﾞ  ﾆﾌﾞﾗ</t>
  </si>
  <si>
    <t>OP付</t>
  </si>
  <si>
    <t xml:space="preserve">k00328027 </t>
  </si>
  <si>
    <t>｜｜｜ﾀｲﾔﾕﾝﾎﾞ</t>
  </si>
  <si>
    <t xml:space="preserve">k00328025 </t>
  </si>
  <si>
    <t>｜｜｜ASﾌｨﾆｯｼｬｰ4.4m</t>
  </si>
  <si>
    <t>低騒音OPAJ付</t>
  </si>
  <si>
    <t xml:space="preserve">k00328035 </t>
  </si>
  <si>
    <t>｜｜｜Eｽﾌﾟﾚｰﾔｰ</t>
  </si>
  <si>
    <t xml:space="preserve">k00328038 </t>
  </si>
  <si>
    <t>｜｜｜小物機械</t>
  </si>
  <si>
    <t xml:space="preserve">k00328082 </t>
  </si>
  <si>
    <t>｜｜｜ﾀﾞﾝﾌﾟﾄﾗｯｸ常用10ｔ</t>
  </si>
  <si>
    <t>ｵﾍﾟ燃料付</t>
  </si>
  <si>
    <t xml:space="preserve">u00328003 </t>
  </si>
  <si>
    <t xml:space="preserve">{数量=7+7+5+5+5} </t>
  </si>
  <si>
    <t>｜｜｜AS塊処分</t>
  </si>
  <si>
    <t xml:space="preserve">u00328026 </t>
  </si>
  <si>
    <t xml:space="preserve">{数量=1,398*0.15*2.35} </t>
  </si>
  <si>
    <t>｜｜｜2ｔﾀﾞﾝﾌﾟ</t>
  </si>
  <si>
    <t xml:space="preserve">u00328020 </t>
  </si>
  <si>
    <t xml:space="preserve">{数量=2*5} </t>
  </si>
  <si>
    <t>｜｜｜労務運搬(Wｷｬﾌﾞ)</t>
  </si>
  <si>
    <t>燃料込</t>
  </si>
  <si>
    <t xml:space="preserve">u00328036 </t>
  </si>
  <si>
    <t>｜｜表層工</t>
  </si>
  <si>
    <t>3号内訳書</t>
  </si>
  <si>
    <t>｜｜｜密粒改質Ⅱ型</t>
  </si>
  <si>
    <t xml:space="preserve">17 </t>
  </si>
  <si>
    <t xml:space="preserve">{数量=1,398*0.05*2.35*1.07} </t>
  </si>
  <si>
    <t>｜｜｜不足運賃</t>
  </si>
  <si>
    <t>10t車</t>
  </si>
  <si>
    <t xml:space="preserve">s00328262 </t>
  </si>
  <si>
    <t>｜｜｜ﾀｯｸﾌｧｲﾝSQ</t>
  </si>
  <si>
    <t xml:space="preserve">s00328284 </t>
  </si>
  <si>
    <t xml:space="preserve">{数量=1,398*0.43} </t>
  </si>
  <si>
    <t xml:space="preserve">s00328123 </t>
  </si>
  <si>
    <t xml:space="preserve">{数量=100*1} </t>
  </si>
  <si>
    <t xml:space="preserve">s00328386 </t>
  </si>
  <si>
    <t xml:space="preserve">{数量=1*10} </t>
  </si>
  <si>
    <t>｜｜｜ﾏｶﾀﾞﾑﾛｰﾗ</t>
  </si>
  <si>
    <t xml:space="preserve">k00328003 </t>
  </si>
  <si>
    <t xml:space="preserve">{数量=1*2} </t>
  </si>
  <si>
    <t>｜｜｜ﾃﾞｨｽﾄﾘﾋﾞｭｰﾀ(昼)SQ</t>
  </si>
  <si>
    <t xml:space="preserve">k00328109 </t>
  </si>
  <si>
    <t xml:space="preserve">{数量=2*1} </t>
  </si>
  <si>
    <t>｜｜段差摺付工</t>
  </si>
  <si>
    <t>4号内訳書</t>
  </si>
  <si>
    <t>｜｜｜細粒Aｓ</t>
  </si>
  <si>
    <t>5mm</t>
  </si>
  <si>
    <t xml:space="preserve">s00328257 </t>
  </si>
  <si>
    <t xml:space="preserve">{数量=395*0.025*2.35*1.07} </t>
  </si>
  <si>
    <t>｜｜｜ﾀｲﾔｼｮﾍﾞﾙ0.4</t>
  </si>
  <si>
    <t xml:space="preserve">k00328021 </t>
  </si>
  <si>
    <t xml:space="preserve">{数量=1*6} </t>
  </si>
  <si>
    <t>｜｜｜ﾀﾞﾝﾌﾟﾄﾗｯｸ台引10ｔ</t>
  </si>
  <si>
    <t>厚木市内</t>
  </si>
  <si>
    <t xml:space="preserve">u00328007 </t>
  </si>
  <si>
    <t>｜｜｜摺り付け機</t>
  </si>
  <si>
    <t xml:space="preserve">k00328037 </t>
  </si>
  <si>
    <t>｜｜｜ｽｲｰﾊﾟｰ</t>
  </si>
  <si>
    <t>大型</t>
  </si>
  <si>
    <t xml:space="preserve">k00328072 </t>
  </si>
  <si>
    <t>｜｜人孔調整工</t>
  </si>
  <si>
    <t>5号内訳書</t>
  </si>
  <si>
    <t>｜｜｜人孔調整工</t>
  </si>
  <si>
    <t>｜｜区画線工</t>
  </si>
  <si>
    <t>6号内訳書</t>
  </si>
  <si>
    <t>｜｜｜区画線  実線・ｾﾞﾌﾞﾗ</t>
  </si>
  <si>
    <t>W=15cm</t>
  </si>
  <si>
    <t xml:space="preserve">g00328001 </t>
  </si>
  <si>
    <t>｜｜｜区画線  実線(黄)</t>
  </si>
  <si>
    <t xml:space="preserve">g00328012 </t>
  </si>
  <si>
    <t>｜｜｜区画線  破線</t>
  </si>
  <si>
    <t xml:space="preserve">g00328005 </t>
  </si>
  <si>
    <t>W=30cm</t>
  </si>
  <si>
    <t xml:space="preserve">g00328007 </t>
  </si>
  <si>
    <t>｜｜｜矢印・記号・文字・15cm換算(黄)</t>
  </si>
  <si>
    <t xml:space="preserve">g00328016 </t>
  </si>
  <si>
    <t>｜｜｜仮ﾗｲﾝﾃｰﾌﾟ</t>
  </si>
  <si>
    <t>巻</t>
  </si>
  <si>
    <t>｜｜｜ペンキ</t>
  </si>
  <si>
    <t>缶</t>
  </si>
  <si>
    <t>｜｜ｷｬｯﾂｱｲ設置工</t>
  </si>
  <si>
    <t>7号内訳書</t>
  </si>
  <si>
    <t>｜｜｜ｷｬｯﾂｱｲ設置工</t>
  </si>
  <si>
    <t>8号内訳書</t>
  </si>
  <si>
    <t>｜｜｜舗装打換工</t>
  </si>
  <si>
    <t>9号内訳書</t>
  </si>
  <si>
    <t>｜｜｜表層工</t>
  </si>
  <si>
    <t>10号内訳書</t>
  </si>
  <si>
    <t>予算2</t>
    <phoneticPr fontId="6"/>
  </si>
  <si>
    <t>社員給料</t>
  </si>
  <si>
    <t>重機回送費</t>
  </si>
  <si>
    <t>0</t>
  </si>
  <si>
    <t>#DIV/0!</t>
  </si>
  <si>
    <t>｜共通仮設費</t>
  </si>
  <si>
    <t>｜｜重機運搬費</t>
  </si>
  <si>
    <t>11号内訳書</t>
  </si>
  <si>
    <t>｜｜｜回送  4ｔｾﾙﾌ</t>
  </si>
  <si>
    <t>BH.TDR.摺付機</t>
  </si>
  <si>
    <t>回</t>
  </si>
  <si>
    <t xml:space="preserve">u00328008 </t>
  </si>
  <si>
    <t>｜｜｜回送  大型ｾﾙﾌ</t>
  </si>
  <si>
    <t>8tTR.R2</t>
  </si>
  <si>
    <t xml:space="preserve">u00328009 </t>
  </si>
  <si>
    <t>｜｜｜AF回送  大型ｾﾙﾌ</t>
  </si>
  <si>
    <t>4.4m～6.0m級</t>
  </si>
  <si>
    <t xml:space="preserve">u00328015 </t>
  </si>
  <si>
    <t>｜｜安全費</t>
  </si>
  <si>
    <t>12号内訳書</t>
  </si>
  <si>
    <t>｜｜｜規制車</t>
  </si>
  <si>
    <t>｜｜｜交通保安員</t>
  </si>
  <si>
    <t xml:space="preserve">g00328035 </t>
  </si>
  <si>
    <t>｜｜技術管理費</t>
  </si>
  <si>
    <t>13号内訳書</t>
  </si>
  <si>
    <t>｜｜｜ｺｱｰ採取</t>
  </si>
  <si>
    <t xml:space="preserve">g00328039 </t>
  </si>
  <si>
    <t>｜｜外注経費</t>
  </si>
  <si>
    <t>14号内訳書</t>
  </si>
  <si>
    <t>｜｜｜外注経費</t>
  </si>
  <si>
    <t>舗装工</t>
  </si>
  <si>
    <t xml:space="preserve">3-41 </t>
  </si>
  <si>
    <t>｜｜法定福利費</t>
  </si>
  <si>
    <t>15号内訳書</t>
  </si>
  <si>
    <t>｜｜｜法定福利費</t>
  </si>
  <si>
    <t>\1,260,000×15.15%</t>
  </si>
  <si>
    <t xml:space="preserve">3-40 </t>
  </si>
  <si>
    <t>｜｜重機回送費</t>
  </si>
  <si>
    <t>16号内訳書</t>
  </si>
  <si>
    <t>｜｜｜重機回送費</t>
  </si>
  <si>
    <t>17号内訳書</t>
  </si>
  <si>
    <t>18号内訳書</t>
  </si>
  <si>
    <t>19号</t>
  </si>
  <si>
    <t>｜現場経費</t>
  </si>
  <si>
    <t>｜｜社員給料</t>
  </si>
  <si>
    <t>19号内訳書</t>
  </si>
  <si>
    <t>｜｜｜現場代理人(2級)昼</t>
  </si>
  <si>
    <t>日</t>
  </si>
  <si>
    <t xml:space="preserve">m00328019 </t>
  </si>
  <si>
    <t>工事名称</t>
    <phoneticPr fontId="6"/>
  </si>
  <si>
    <t>23-170 ★市道温水愛名線舗装補修工事</t>
    <phoneticPr fontId="6"/>
  </si>
  <si>
    <t>2320710170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</si>
  <si>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</si>
  <si>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</si>
  <si>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</si>
  <si>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</si>
  <si>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</si>
  <si>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</si>
  <si>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</si>
  <si>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RM-40(t)</t>
    <phoneticPr fontId="6"/>
  </si>
  <si>
    <t>t</t>
    <phoneticPr fontId="6"/>
  </si>
  <si>
    <t>材料費</t>
    <phoneticPr fontId="6"/>
  </si>
  <si>
    <t>ﾀｯｸﾌｧｲﾝSQ</t>
    <phoneticPr fontId="6"/>
  </si>
  <si>
    <t>ペンキ</t>
    <phoneticPr fontId="6"/>
  </si>
  <si>
    <t>缶</t>
    <phoneticPr fontId="6"/>
  </si>
  <si>
    <t>仮ﾗｲﾝﾃｰﾌﾟ</t>
    <phoneticPr fontId="6"/>
  </si>
  <si>
    <t>巻</t>
    <phoneticPr fontId="6"/>
  </si>
  <si>
    <t>軽油</t>
    <phoneticPr fontId="6"/>
  </si>
  <si>
    <t>L</t>
    <phoneticPr fontId="6"/>
  </si>
  <si>
    <t>再生Aｓ安定処理</t>
    <phoneticPr fontId="6"/>
  </si>
  <si>
    <t>細粒Aｓ</t>
    <phoneticPr fontId="6"/>
  </si>
  <si>
    <t>5mm</t>
    <phoneticPr fontId="6"/>
  </si>
  <si>
    <t>雑材</t>
    <phoneticPr fontId="6"/>
  </si>
  <si>
    <t>式</t>
    <phoneticPr fontId="6"/>
  </si>
  <si>
    <t>乳剤PK-3、4</t>
    <phoneticPr fontId="6"/>
  </si>
  <si>
    <t>不足運賃</t>
    <phoneticPr fontId="6"/>
  </si>
  <si>
    <t>10t車</t>
    <phoneticPr fontId="6"/>
  </si>
  <si>
    <t>密粒改質Ⅱ型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</si>
  <si>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</si>
  <si>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</si>
  <si>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</si>
  <si>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</si>
  <si>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ｷｬｯﾂｱｲ設置工</t>
    <phoneticPr fontId="6"/>
  </si>
  <si>
    <t>箇所</t>
    <phoneticPr fontId="6"/>
  </si>
  <si>
    <t>外注費</t>
    <phoneticPr fontId="6"/>
  </si>
  <si>
    <t>ｺｱｰ採取</t>
    <phoneticPr fontId="6"/>
  </si>
  <si>
    <t>最低補償</t>
    <phoneticPr fontId="6"/>
  </si>
  <si>
    <t>汚泥運搬費</t>
    <phoneticPr fontId="6"/>
  </si>
  <si>
    <t>汚泥処分費</t>
    <phoneticPr fontId="6"/>
  </si>
  <si>
    <t>外注経費</t>
    <phoneticPr fontId="6"/>
  </si>
  <si>
    <t>舗装工</t>
    <phoneticPr fontId="6"/>
  </si>
  <si>
    <t>区画線  実線(黄)</t>
    <phoneticPr fontId="6"/>
  </si>
  <si>
    <t>m</t>
    <phoneticPr fontId="6"/>
  </si>
  <si>
    <t>W=15cm</t>
    <phoneticPr fontId="6"/>
  </si>
  <si>
    <t>区画線  実線・ｾﾞﾌﾞﾗ</t>
    <phoneticPr fontId="6"/>
  </si>
  <si>
    <t>区画線  破線</t>
    <phoneticPr fontId="6"/>
  </si>
  <si>
    <t>W=30cm</t>
    <phoneticPr fontId="6"/>
  </si>
  <si>
    <t>交通保安員</t>
    <phoneticPr fontId="6"/>
  </si>
  <si>
    <t>重機回送費</t>
    <phoneticPr fontId="6"/>
  </si>
  <si>
    <t>人孔調整工</t>
    <phoneticPr fontId="6"/>
  </si>
  <si>
    <t>表層工</t>
    <phoneticPr fontId="6"/>
  </si>
  <si>
    <t>m2</t>
    <phoneticPr fontId="6"/>
  </si>
  <si>
    <t>舗装打換工</t>
    <phoneticPr fontId="6"/>
  </si>
  <si>
    <t>舗装版切断As150</t>
    <phoneticPr fontId="6"/>
  </si>
  <si>
    <t>法定福利費</t>
    <phoneticPr fontId="6"/>
  </si>
  <si>
    <t>\1,260,000×15.15%</t>
    <phoneticPr fontId="6"/>
  </si>
  <si>
    <t>矢印・記号・文字・15cm換算(黄)</t>
    <phoneticPr fontId="6"/>
  </si>
  <si>
    <t>外注調書</t>
    <phoneticPr fontId="6"/>
  </si>
  <si>
    <t>ASﾌｨﾆｯｼｬｰ4.4m</t>
    <phoneticPr fontId="6"/>
  </si>
  <si>
    <t>台</t>
    <phoneticPr fontId="6"/>
  </si>
  <si>
    <t>低騒音OPAJ付</t>
    <phoneticPr fontId="6"/>
  </si>
  <si>
    <t>機械費</t>
    <phoneticPr fontId="6"/>
  </si>
  <si>
    <t>BH0.15ｸﾚｰﾝ</t>
    <phoneticPr fontId="6"/>
  </si>
  <si>
    <t>Eｽﾌﾟﾚｰﾔｰ</t>
    <phoneticPr fontId="6"/>
  </si>
  <si>
    <t>ｽｲｰﾊﾟｰ</t>
    <phoneticPr fontId="6"/>
  </si>
  <si>
    <t>大型</t>
    <phoneticPr fontId="6"/>
  </si>
  <si>
    <t>ﾀｲﾔｼｮﾍﾞﾙ0.4</t>
    <phoneticPr fontId="6"/>
  </si>
  <si>
    <t>ﾀｲﾔﾕﾝﾎﾞ</t>
    <phoneticPr fontId="6"/>
  </si>
  <si>
    <t>OP付</t>
    <phoneticPr fontId="6"/>
  </si>
  <si>
    <t>ﾀｲﾔﾕﾝﾎﾞ  ﾆﾌﾞﾗ</t>
    <phoneticPr fontId="6"/>
  </si>
  <si>
    <t>ﾀｲﾔﾛｰﾗ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</si>
  <si>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</si>
  <si>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</si>
  <si>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</si>
  <si>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ﾃﾞｨｽﾄﾘﾋﾞｭｰﾀ(昼)SQ</t>
    <phoneticPr fontId="6"/>
  </si>
  <si>
    <t>ﾋﾞﾌﾞﾛﾌﾟﾚｰﾄ</t>
    <phoneticPr fontId="6"/>
  </si>
  <si>
    <t>ﾏｶﾀﾞﾑﾛｰﾗ</t>
    <phoneticPr fontId="6"/>
  </si>
  <si>
    <t>ﾗﾝﾏｰ</t>
    <phoneticPr fontId="6"/>
  </si>
  <si>
    <t>規制車</t>
    <phoneticPr fontId="6"/>
  </si>
  <si>
    <t>小物機械</t>
    <phoneticPr fontId="6"/>
  </si>
  <si>
    <t>摺り付け機</t>
    <phoneticPr fontId="6"/>
  </si>
  <si>
    <t>2ｔﾀﾞﾝﾌﾟ</t>
    <phoneticPr fontId="6"/>
  </si>
  <si>
    <t>運搬費</t>
    <phoneticPr fontId="6"/>
  </si>
  <si>
    <t>AF回送  大型ｾﾙﾌ</t>
    <phoneticPr fontId="6"/>
  </si>
  <si>
    <t>回</t>
    <phoneticPr fontId="6"/>
  </si>
  <si>
    <t>4.4m～6.0m級</t>
    <phoneticPr fontId="6"/>
  </si>
  <si>
    <t>AS塊処分</t>
    <phoneticPr fontId="6"/>
  </si>
  <si>
    <t>ﾀﾞﾝﾌﾟﾄﾗｯｸ常用10ｔ</t>
    <phoneticPr fontId="6"/>
  </si>
  <si>
    <t>ｵﾍﾟ燃料付</t>
    <phoneticPr fontId="6"/>
  </si>
  <si>
    <t>ﾀﾞﾝﾌﾟﾄﾗｯｸ台引10ｔ</t>
    <phoneticPr fontId="6"/>
  </si>
  <si>
    <t>厚木市内</t>
    <phoneticPr fontId="6"/>
  </si>
  <si>
    <t>回送  4ｔｾﾙﾌ</t>
    <phoneticPr fontId="6"/>
  </si>
  <si>
    <t>BH.TDR.摺付機</t>
    <phoneticPr fontId="6"/>
  </si>
  <si>
    <t>回送  大型ｾﾙﾌ</t>
    <phoneticPr fontId="6"/>
  </si>
  <si>
    <t>8tTR.R2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</si>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</sst>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147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19600000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14641241</v>
      </c>
      <c r="J16" s="420"/>
      <c r="K16" s="420"/>
      <c r="L16" s="420"/>
      <c r="M16" s="420"/>
      <c r="N16" s="420"/>
      <c r="O16" s="420"/>
      <c r="P16" s="420"/>
      <c r="Q16" s="416">
        <v>0.747</v>
      </c>
      <c r="R16" s="416"/>
      <c r="S16" s="416"/>
      <c r="U16" s="417" t="s">
        <v>16</v>
      </c>
      <c r="V16" s="418"/>
      <c r="W16" s="418"/>
      <c r="X16" s="418"/>
      <c r="Y16" s="419">
        <v>4958759</v>
      </c>
      <c r="Z16" s="420"/>
      <c r="AA16" s="420"/>
      <c r="AB16" s="420"/>
      <c r="AC16" s="420"/>
      <c r="AD16" s="420"/>
      <c r="AE16" s="420"/>
      <c r="AF16" s="420"/>
      <c r="AG16" s="416">
        <v>0.253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topLeftCell="A12"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45240</v>
      </c>
      <c r="D3" s="458"/>
      <c r="E3" s="272" t="s">
        <v>139</v>
      </c>
      <c r="F3" s="459">
        <v>45382</v>
      </c>
      <c r="G3" s="459"/>
      <c r="H3" s="459"/>
      <c r="I3" s="273"/>
      <c r="J3" s="273"/>
      <c r="K3" s="460" t="s">
        <v>30</v>
      </c>
      <c r="L3" s="461"/>
      <c r="M3" s="462"/>
      <c r="N3" s="449">
        <v>19600000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155</v>
      </c>
      <c r="C5" s="276">
        <v>160000</v>
      </c>
      <c r="D5" s="335">
        <f>IF(C5&lt;&gt;"",C5/$C$20,"")</f>
        <v>1.1468513804614227E-2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156</v>
      </c>
      <c r="C6" s="277">
        <v>6714594</v>
      </c>
      <c r="D6" s="336">
        <f t="shared" ref="D6:D17" si="0">IF(C6&lt;&gt;"",C6/$C$20,"")</f>
        <v>0.48129008738362417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157</v>
      </c>
      <c r="C7" s="277">
        <v>3109152</v>
      </c>
      <c r="D7" s="336">
        <f t="shared" si="0"/>
        <v>0.22285845395402459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158</v>
      </c>
      <c r="C8" s="277">
        <v>679795</v>
      </c>
      <c r="D8" s="336">
        <f t="shared" si="0"/>
        <v>4.8726489636298304E-2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159</v>
      </c>
      <c r="C9" s="277">
        <v>100000</v>
      </c>
      <c r="D9" s="336">
        <f t="shared" si="0"/>
        <v>7.1678211278838923E-3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160</v>
      </c>
      <c r="C10" s="277">
        <v>240000</v>
      </c>
      <c r="D10" s="336">
        <f t="shared" si="0"/>
        <v>1.720277070692134E-2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161</v>
      </c>
      <c r="C11" s="277">
        <v>500000</v>
      </c>
      <c r="D11" s="336">
        <f t="shared" si="0"/>
        <v>3.5839105639419458E-2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156</v>
      </c>
      <c r="C12" s="277">
        <v>208800</v>
      </c>
      <c r="D12" s="336">
        <f t="shared" si="0"/>
        <v>1.4966410515021566E-2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157</v>
      </c>
      <c r="C13" s="277">
        <v>118900</v>
      </c>
      <c r="D13" s="336">
        <f t="shared" si="0"/>
        <v>8.5225393210539482E-3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159</v>
      </c>
      <c r="C14" s="277">
        <v>400000</v>
      </c>
      <c r="D14" s="336">
        <f t="shared" si="0"/>
        <v>2.8671284511535569E-2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162</v>
      </c>
      <c r="C15" s="277">
        <v>210000</v>
      </c>
      <c r="D15" s="336">
        <f t="shared" si="0"/>
        <v>1.5052424368556173E-2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163</v>
      </c>
      <c r="C16" s="277">
        <v>620000</v>
      </c>
      <c r="D16" s="336">
        <f t="shared" si="0"/>
        <v>4.4440490992880131E-2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164</v>
      </c>
      <c r="C17" s="278">
        <v>170000</v>
      </c>
      <c r="D17" s="336">
        <f t="shared" si="0"/>
        <v>1.2185295917402616E-2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165</v>
      </c>
      <c r="C18" s="278">
        <v>530000</v>
      </c>
      <c r="D18" s="336">
        <f>IF(C18&lt;&gt;"",C18/$C$20,"")</f>
        <v>3.7989451977784632E-2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166</v>
      </c>
      <c r="C19" s="278">
        <v>190000</v>
      </c>
      <c r="D19" s="336">
        <f>IF(C19&lt;&gt;"",C19/$C$20,"")</f>
        <v>1.3618860142979396E-2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13951241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155</v>
      </c>
      <c r="K5" s="282"/>
      <c r="L5" s="283" t="s">
        <v>167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156</v>
      </c>
      <c r="K6" s="289" t="s">
        <v>168</v>
      </c>
      <c r="L6" s="290" t="s">
        <v>169</v>
      </c>
      <c r="M6" s="291">
        <v>1398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157</v>
      </c>
      <c r="K7" s="289" t="s">
        <v>170</v>
      </c>
      <c r="L7" s="290" t="s">
        <v>169</v>
      </c>
      <c r="M7" s="291">
        <v>1398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158</v>
      </c>
      <c r="K8" s="289"/>
      <c r="L8" s="290" t="s">
        <v>169</v>
      </c>
      <c r="M8" s="291">
        <v>395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159</v>
      </c>
      <c r="K9" s="289"/>
      <c r="L9" s="290" t="s">
        <v>167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160</v>
      </c>
      <c r="K10" s="289"/>
      <c r="L10" s="290" t="s">
        <v>167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161</v>
      </c>
      <c r="K11" s="289" t="s">
        <v>171</v>
      </c>
      <c r="L11" s="290" t="s">
        <v>172</v>
      </c>
      <c r="M11" s="291">
        <v>10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156</v>
      </c>
      <c r="K12" s="289" t="s">
        <v>168</v>
      </c>
      <c r="L12" s="290" t="s">
        <v>169</v>
      </c>
      <c r="M12" s="291">
        <v>58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157</v>
      </c>
      <c r="K13" s="289" t="s">
        <v>170</v>
      </c>
      <c r="L13" s="290" t="s">
        <v>169</v>
      </c>
      <c r="M13" s="291">
        <v>58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159</v>
      </c>
      <c r="K14" s="289"/>
      <c r="L14" s="290" t="s">
        <v>167</v>
      </c>
      <c r="M14" s="291">
        <v>4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162</v>
      </c>
      <c r="K15" s="289"/>
      <c r="L15" s="290" t="s">
        <v>167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163</v>
      </c>
      <c r="K16" s="289"/>
      <c r="L16" s="290" t="s">
        <v>167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164</v>
      </c>
      <c r="K17" s="289"/>
      <c r="L17" s="290" t="s">
        <v>167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165</v>
      </c>
      <c r="K18" s="289"/>
      <c r="L18" s="290" t="s">
        <v>167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166</v>
      </c>
      <c r="K19" s="295"/>
      <c r="L19" s="296" t="s">
        <v>167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4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180</v>
      </c>
      <c r="D5" s="512"/>
      <c r="E5" s="246" t="s">
        <v>133</v>
      </c>
      <c r="F5" s="513" t="s">
        <v>181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180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173</v>
      </c>
      <c r="I6" s="110" t="s">
        <v>174</v>
      </c>
      <c r="J6" s="110" t="s">
        <v>175</v>
      </c>
      <c r="K6" s="110" t="s">
        <v>176</v>
      </c>
      <c r="L6" s="110" t="s">
        <v>177</v>
      </c>
      <c r="M6" s="111" t="s">
        <v>178</v>
      </c>
      <c r="N6" s="110" t="s">
        <v>179</v>
      </c>
      <c r="O6" s="112" t="s">
        <v>166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19600000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182</v>
      </c>
      <c r="D8" s="492"/>
      <c r="E8" s="113" t="s">
        <v>59</v>
      </c>
      <c r="F8" s="249">
        <v>14641241</v>
      </c>
      <c r="G8" s="334">
        <v>0.747</v>
      </c>
      <c r="H8" s="250">
        <v>6031140</v>
      </c>
      <c r="I8" s="251">
        <v>1259999</v>
      </c>
      <c r="J8" s="251">
        <v>2645260</v>
      </c>
      <c r="K8" s="251">
        <v>1816300</v>
      </c>
      <c r="L8" s="252">
        <v>1879999</v>
      </c>
      <c r="M8" s="252"/>
      <c r="N8" s="253">
        <v>610000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12231241</v>
      </c>
      <c r="G9" s="334">
        <v>0.624</v>
      </c>
      <c r="H9" s="250">
        <v>6024140</v>
      </c>
      <c r="I9" s="251">
        <v>1196999</v>
      </c>
      <c r="J9" s="251">
        <v>1225260</v>
      </c>
      <c r="K9" s="251">
        <v>1716300</v>
      </c>
      <c r="L9" s="252">
        <v>1669999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1800000</v>
      </c>
      <c r="G10" s="334">
        <v>9.1800000000000007E-2</v>
      </c>
      <c r="H10" s="250">
        <v>7000</v>
      </c>
      <c r="I10" s="253">
        <v>63000</v>
      </c>
      <c r="J10" s="253">
        <v>1420000</v>
      </c>
      <c r="K10" s="253">
        <v>100000</v>
      </c>
      <c r="L10" s="251">
        <v>210000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147</v>
      </c>
      <c r="D11" s="493"/>
      <c r="E11" s="114" t="s">
        <v>64</v>
      </c>
      <c r="F11" s="249">
        <v>610000</v>
      </c>
      <c r="G11" s="334">
        <v>3.1099999999999999E-2</v>
      </c>
      <c r="H11" s="250"/>
      <c r="I11" s="253"/>
      <c r="J11" s="253"/>
      <c r="K11" s="253"/>
      <c r="L11" s="251"/>
      <c r="M11" s="252"/>
      <c r="N11" s="253">
        <v>610000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183</v>
      </c>
      <c r="D12" s="492"/>
      <c r="E12" s="113" t="s">
        <v>66</v>
      </c>
      <c r="F12" s="249">
        <v>4958759</v>
      </c>
      <c r="G12" s="334">
        <v>0.253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184</v>
      </c>
      <c r="D13" s="492"/>
      <c r="E13" s="169" t="s">
        <v>110</v>
      </c>
      <c r="F13" s="249">
        <v>1234800</v>
      </c>
      <c r="G13" s="334">
        <v>6.3E-2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152</v>
      </c>
      <c r="D14" s="493"/>
      <c r="E14" s="114" t="s">
        <v>111</v>
      </c>
      <c r="F14" s="249">
        <v>940800</v>
      </c>
      <c r="G14" s="334">
        <v>4.8000000000000001E-2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185</v>
      </c>
      <c r="D15" s="495"/>
      <c r="E15" s="114" t="s">
        <v>112</v>
      </c>
      <c r="F15" s="249">
        <v>294000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186</v>
      </c>
      <c r="D16" s="493"/>
      <c r="E16" s="113" t="s">
        <v>113</v>
      </c>
      <c r="F16" s="249">
        <v>3723959</v>
      </c>
      <c r="G16" s="334">
        <v>0.19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1136800</v>
      </c>
      <c r="G17" s="334">
        <v>5.8000000000000003E-2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2587159</v>
      </c>
      <c r="G18" s="334">
        <v>0.13200000000000001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31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187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188</v>
      </c>
      <c r="C8" s="166"/>
      <c r="D8" s="517" t="s">
        <v>167</v>
      </c>
      <c r="E8" s="519">
        <v>1</v>
      </c>
      <c r="F8" s="521">
        <v>160000</v>
      </c>
      <c r="G8" s="523">
        <v>160000</v>
      </c>
      <c r="H8" s="351" t="s">
        <v>190</v>
      </c>
      <c r="I8" s="525">
        <v>8.0999999999999996E-3</v>
      </c>
      <c r="J8" s="227"/>
      <c r="K8" s="69" t="s">
        <v>96</v>
      </c>
    </row>
    <row r="9" spans="1:11" ht="15.6" customHeight="1">
      <c r="A9" s="69"/>
      <c r="B9" s="224" t="s">
        <v>189</v>
      </c>
      <c r="C9" s="225"/>
      <c r="D9" s="518"/>
      <c r="E9" s="520"/>
      <c r="F9" s="522"/>
      <c r="G9" s="524"/>
      <c r="H9" s="352" t="s">
        <v>191</v>
      </c>
      <c r="I9" s="526"/>
      <c r="J9" s="227"/>
      <c r="K9" s="69" t="s">
        <v>96</v>
      </c>
    </row>
    <row r="10" spans="1:11" ht="15.6" customHeight="1">
      <c r="A10" s="69"/>
      <c r="B10" s="222" t="s">
        <v>192</v>
      </c>
      <c r="C10" s="166"/>
      <c r="D10" s="517" t="s">
        <v>169</v>
      </c>
      <c r="E10" s="519">
        <v>1398</v>
      </c>
      <c r="F10" s="521">
        <v>4803</v>
      </c>
      <c r="G10" s="523">
        <v>6714594</v>
      </c>
      <c r="H10" s="351" t="s">
        <v>194</v>
      </c>
      <c r="I10" s="525">
        <v>0.34250000000000003</v>
      </c>
      <c r="J10" s="223"/>
      <c r="K10" s="69" t="s">
        <v>96</v>
      </c>
    </row>
    <row r="11" spans="1:11" ht="15.6" customHeight="1">
      <c r="A11" s="69"/>
      <c r="B11" s="224" t="s">
        <v>193</v>
      </c>
      <c r="C11" s="225"/>
      <c r="D11" s="518"/>
      <c r="E11" s="520"/>
      <c r="F11" s="522"/>
      <c r="G11" s="524"/>
      <c r="H11" s="352" t="s">
        <v>191</v>
      </c>
      <c r="I11" s="526"/>
      <c r="J11" s="226"/>
      <c r="K11" s="69" t="s">
        <v>96</v>
      </c>
    </row>
    <row r="12" spans="1:11" ht="15.6" customHeight="1">
      <c r="A12" s="69"/>
      <c r="B12" s="222" t="s">
        <v>195</v>
      </c>
      <c r="C12" s="166"/>
      <c r="D12" s="517" t="s">
        <v>169</v>
      </c>
      <c r="E12" s="519">
        <v>1398</v>
      </c>
      <c r="F12" s="521">
        <v>2224</v>
      </c>
      <c r="G12" s="523">
        <v>3109152</v>
      </c>
      <c r="H12" s="351" t="s">
        <v>197</v>
      </c>
      <c r="I12" s="525">
        <v>0.15859999999999999</v>
      </c>
      <c r="J12" s="223"/>
      <c r="K12" s="69" t="s">
        <v>96</v>
      </c>
    </row>
    <row r="13" spans="1:11" ht="15.6" customHeight="1">
      <c r="A13" s="69"/>
      <c r="B13" s="224" t="s">
        <v>196</v>
      </c>
      <c r="C13" s="225"/>
      <c r="D13" s="518"/>
      <c r="E13" s="520"/>
      <c r="F13" s="522"/>
      <c r="G13" s="524"/>
      <c r="H13" s="352" t="s">
        <v>191</v>
      </c>
      <c r="I13" s="526"/>
      <c r="J13" s="226"/>
      <c r="K13" s="69" t="s">
        <v>96</v>
      </c>
    </row>
    <row r="14" spans="1:11" ht="15.6" customHeight="1">
      <c r="A14" s="69"/>
      <c r="B14" s="222" t="s">
        <v>198</v>
      </c>
      <c r="C14" s="166"/>
      <c r="D14" s="517" t="s">
        <v>169</v>
      </c>
      <c r="E14" s="519">
        <v>395</v>
      </c>
      <c r="F14" s="521">
        <v>1721</v>
      </c>
      <c r="G14" s="523">
        <v>679795</v>
      </c>
      <c r="H14" s="351" t="s">
        <v>199</v>
      </c>
      <c r="I14" s="525">
        <v>3.4599999999999999E-2</v>
      </c>
      <c r="J14" s="223"/>
      <c r="K14" s="69" t="s">
        <v>96</v>
      </c>
    </row>
    <row r="15" spans="1:11" ht="15.6" customHeight="1">
      <c r="A15" s="69"/>
      <c r="B15" s="224" t="s">
        <v>189</v>
      </c>
      <c r="C15" s="225"/>
      <c r="D15" s="518"/>
      <c r="E15" s="520"/>
      <c r="F15" s="522"/>
      <c r="G15" s="524"/>
      <c r="H15" s="352" t="s">
        <v>191</v>
      </c>
      <c r="I15" s="526"/>
      <c r="J15" s="226"/>
      <c r="K15" s="69" t="s">
        <v>96</v>
      </c>
    </row>
    <row r="16" spans="1:11" ht="15.6" customHeight="1">
      <c r="A16" s="69"/>
      <c r="B16" s="222" t="s">
        <v>200</v>
      </c>
      <c r="C16" s="166"/>
      <c r="D16" s="517" t="s">
        <v>167</v>
      </c>
      <c r="E16" s="519">
        <v>1</v>
      </c>
      <c r="F16" s="521">
        <v>100000</v>
      </c>
      <c r="G16" s="523">
        <v>100000</v>
      </c>
      <c r="H16" s="351" t="s">
        <v>201</v>
      </c>
      <c r="I16" s="525">
        <v>5.1000000000000004E-3</v>
      </c>
      <c r="J16" s="223"/>
      <c r="K16" s="69" t="s">
        <v>96</v>
      </c>
    </row>
    <row r="17" spans="1:11" ht="15.6" customHeight="1">
      <c r="A17" s="69"/>
      <c r="B17" s="224" t="s">
        <v>189</v>
      </c>
      <c r="C17" s="225"/>
      <c r="D17" s="518"/>
      <c r="E17" s="520"/>
      <c r="F17" s="522"/>
      <c r="G17" s="524"/>
      <c r="H17" s="352" t="s">
        <v>191</v>
      </c>
      <c r="I17" s="526"/>
      <c r="J17" s="226"/>
      <c r="K17" s="69" t="s">
        <v>96</v>
      </c>
    </row>
    <row r="18" spans="1:11" ht="15.6" customHeight="1">
      <c r="A18" s="69"/>
      <c r="B18" s="222" t="s">
        <v>202</v>
      </c>
      <c r="C18" s="166"/>
      <c r="D18" s="517" t="s">
        <v>167</v>
      </c>
      <c r="E18" s="519">
        <v>1</v>
      </c>
      <c r="F18" s="521">
        <v>240000</v>
      </c>
      <c r="G18" s="523">
        <v>240000</v>
      </c>
      <c r="H18" s="351" t="s">
        <v>203</v>
      </c>
      <c r="I18" s="525">
        <v>1.2200000000000001E-2</v>
      </c>
      <c r="J18" s="223"/>
      <c r="K18" s="69" t="s">
        <v>96</v>
      </c>
    </row>
    <row r="19" spans="1:11" ht="15.6" customHeight="1">
      <c r="A19" s="69"/>
      <c r="B19" s="224" t="s">
        <v>189</v>
      </c>
      <c r="C19" s="225"/>
      <c r="D19" s="518"/>
      <c r="E19" s="520"/>
      <c r="F19" s="522"/>
      <c r="G19" s="524"/>
      <c r="H19" s="352" t="s">
        <v>191</v>
      </c>
      <c r="I19" s="526"/>
      <c r="J19" s="226"/>
      <c r="K19" s="69" t="s">
        <v>96</v>
      </c>
    </row>
    <row r="20" spans="1:11" ht="15.6" customHeight="1">
      <c r="A20" s="69"/>
      <c r="B20" s="222" t="s">
        <v>204</v>
      </c>
      <c r="C20" s="166"/>
      <c r="D20" s="517" t="s">
        <v>172</v>
      </c>
      <c r="E20" s="519">
        <v>10</v>
      </c>
      <c r="F20" s="521">
        <v>50000</v>
      </c>
      <c r="G20" s="523">
        <v>500000</v>
      </c>
      <c r="H20" s="351" t="s">
        <v>206</v>
      </c>
      <c r="I20" s="525">
        <v>2.5499999999999998E-2</v>
      </c>
      <c r="J20" s="223"/>
      <c r="K20" s="69" t="s">
        <v>96</v>
      </c>
    </row>
    <row r="21" spans="1:11" ht="15.6" customHeight="1">
      <c r="A21" s="69"/>
      <c r="B21" s="224" t="s">
        <v>205</v>
      </c>
      <c r="C21" s="225"/>
      <c r="D21" s="518"/>
      <c r="E21" s="520"/>
      <c r="F21" s="522"/>
      <c r="G21" s="524"/>
      <c r="H21" s="352" t="s">
        <v>191</v>
      </c>
      <c r="I21" s="526"/>
      <c r="J21" s="226"/>
      <c r="K21" s="69" t="s">
        <v>96</v>
      </c>
    </row>
    <row r="22" spans="1:11" ht="15.6" customHeight="1">
      <c r="A22" s="69"/>
      <c r="B22" s="222" t="s">
        <v>192</v>
      </c>
      <c r="C22" s="166"/>
      <c r="D22" s="517" t="s">
        <v>169</v>
      </c>
      <c r="E22" s="519">
        <v>58</v>
      </c>
      <c r="F22" s="521">
        <v>3600</v>
      </c>
      <c r="G22" s="523">
        <v>208800</v>
      </c>
      <c r="H22" s="351" t="s">
        <v>207</v>
      </c>
      <c r="I22" s="525">
        <v>1.06E-2</v>
      </c>
      <c r="J22" s="223"/>
      <c r="K22" s="69" t="s">
        <v>96</v>
      </c>
    </row>
    <row r="23" spans="1:11" ht="15.6" customHeight="1">
      <c r="A23" s="69"/>
      <c r="B23" s="224" t="s">
        <v>193</v>
      </c>
      <c r="C23" s="225"/>
      <c r="D23" s="518"/>
      <c r="E23" s="520"/>
      <c r="F23" s="522"/>
      <c r="G23" s="524"/>
      <c r="H23" s="352" t="s">
        <v>191</v>
      </c>
      <c r="I23" s="526"/>
      <c r="J23" s="226"/>
      <c r="K23" s="69" t="s">
        <v>96</v>
      </c>
    </row>
    <row r="24" spans="1:11" ht="15.6" customHeight="1">
      <c r="A24" s="69"/>
      <c r="B24" s="222" t="s">
        <v>195</v>
      </c>
      <c r="C24" s="166"/>
      <c r="D24" s="517" t="s">
        <v>169</v>
      </c>
      <c r="E24" s="519">
        <v>58</v>
      </c>
      <c r="F24" s="521">
        <v>2050</v>
      </c>
      <c r="G24" s="523">
        <v>118900</v>
      </c>
      <c r="H24" s="351" t="s">
        <v>208</v>
      </c>
      <c r="I24" s="525">
        <v>6.0000000000000001E-3</v>
      </c>
      <c r="J24" s="223"/>
      <c r="K24" s="69" t="s">
        <v>96</v>
      </c>
    </row>
    <row r="25" spans="1:11" ht="15.6" customHeight="1">
      <c r="A25" s="69"/>
      <c r="B25" s="224" t="s">
        <v>196</v>
      </c>
      <c r="C25" s="225"/>
      <c r="D25" s="518"/>
      <c r="E25" s="520"/>
      <c r="F25" s="522"/>
      <c r="G25" s="524"/>
      <c r="H25" s="352" t="s">
        <v>191</v>
      </c>
      <c r="I25" s="526"/>
      <c r="J25" s="226"/>
      <c r="K25" s="69" t="s">
        <v>96</v>
      </c>
    </row>
    <row r="26" spans="1:11" ht="15.6" customHeight="1">
      <c r="A26" s="69"/>
      <c r="B26" s="222" t="s">
        <v>200</v>
      </c>
      <c r="C26" s="166"/>
      <c r="D26" s="517" t="s">
        <v>167</v>
      </c>
      <c r="E26" s="519">
        <v>4</v>
      </c>
      <c r="F26" s="521">
        <v>100000</v>
      </c>
      <c r="G26" s="523">
        <v>400000</v>
      </c>
      <c r="H26" s="351" t="s">
        <v>209</v>
      </c>
      <c r="I26" s="525">
        <v>2.0400000000000001E-2</v>
      </c>
      <c r="J26" s="223"/>
      <c r="K26" s="69" t="s">
        <v>96</v>
      </c>
    </row>
    <row r="27" spans="1:11" ht="15.6" customHeight="1">
      <c r="A27" s="69"/>
      <c r="B27" s="224" t="s">
        <v>189</v>
      </c>
      <c r="C27" s="225"/>
      <c r="D27" s="518"/>
      <c r="E27" s="520"/>
      <c r="F27" s="522"/>
      <c r="G27" s="524"/>
      <c r="H27" s="352" t="s">
        <v>191</v>
      </c>
      <c r="I27" s="526"/>
      <c r="J27" s="226"/>
      <c r="K27" s="69" t="s">
        <v>96</v>
      </c>
    </row>
    <row r="28" spans="1:11" ht="15.6" customHeight="1">
      <c r="A28" s="69"/>
      <c r="B28" s="222" t="s">
        <v>210</v>
      </c>
      <c r="C28" s="166"/>
      <c r="D28" s="517"/>
      <c r="E28" s="519"/>
      <c r="F28" s="521"/>
      <c r="G28" s="523">
        <v>12231241</v>
      </c>
      <c r="H28" s="351"/>
      <c r="I28" s="525">
        <v>0.624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211</v>
      </c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212</v>
      </c>
      <c r="C34" s="166"/>
      <c r="D34" s="517" t="s">
        <v>167</v>
      </c>
      <c r="E34" s="519">
        <v>1</v>
      </c>
      <c r="F34" s="521">
        <v>1800000</v>
      </c>
      <c r="G34" s="523">
        <v>1800000</v>
      </c>
      <c r="H34" s="351"/>
      <c r="I34" s="525">
        <v>9.1800000000000007E-2</v>
      </c>
      <c r="J34" s="223"/>
      <c r="K34" s="69" t="s">
        <v>96</v>
      </c>
    </row>
    <row r="35" spans="1:11" ht="15.6" customHeight="1">
      <c r="A35" s="69"/>
      <c r="B35" s="224" t="s">
        <v>189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213</v>
      </c>
      <c r="C36" s="302"/>
      <c r="D36" s="517" t="s">
        <v>167</v>
      </c>
      <c r="E36" s="519">
        <v>1</v>
      </c>
      <c r="F36" s="521">
        <v>610000</v>
      </c>
      <c r="G36" s="523">
        <v>610000</v>
      </c>
      <c r="H36" s="351"/>
      <c r="I36" s="525">
        <v>3.1099999999999999E-2</v>
      </c>
      <c r="J36" s="223"/>
      <c r="K36" s="69" t="s">
        <v>96</v>
      </c>
    </row>
    <row r="37" spans="1:11" ht="15.6" customHeight="1" thickBot="1">
      <c r="A37" s="69"/>
      <c r="B37" s="228" t="s">
        <v>189</v>
      </c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214</v>
      </c>
      <c r="C43" s="166"/>
      <c r="D43" s="517"/>
      <c r="E43" s="519"/>
      <c r="F43" s="521"/>
      <c r="G43" s="523">
        <v>2410000</v>
      </c>
      <c r="H43" s="351"/>
      <c r="I43" s="525">
        <v>0.1229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215</v>
      </c>
      <c r="C47" s="166"/>
      <c r="D47" s="517"/>
      <c r="E47" s="519"/>
      <c r="F47" s="521"/>
      <c r="G47" s="523">
        <v>14641241</v>
      </c>
      <c r="H47" s="351"/>
      <c r="I47" s="525">
        <v>0.747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216</v>
      </c>
      <c r="C51" s="166"/>
      <c r="D51" s="517"/>
      <c r="E51" s="519"/>
      <c r="F51" s="521"/>
      <c r="G51" s="523">
        <v>4958759</v>
      </c>
      <c r="H51" s="351"/>
      <c r="I51" s="525">
        <v>0.253</v>
      </c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131</v>
      </c>
      <c r="C55" s="166"/>
      <c r="D55" s="517"/>
      <c r="E55" s="519"/>
      <c r="F55" s="521"/>
      <c r="G55" s="523">
        <v>19600000</v>
      </c>
      <c r="H55" s="351"/>
      <c r="I55" s="525">
        <v>1</v>
      </c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113C2-196E-462D-A544-E3D9C6BAD591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155</v>
      </c>
      <c r="C6" s="166"/>
      <c r="D6" s="517" t="s">
        <v>167</v>
      </c>
      <c r="E6" s="519">
        <v>1</v>
      </c>
      <c r="F6" s="521">
        <v>160000</v>
      </c>
      <c r="G6" s="523">
        <v>160000</v>
      </c>
      <c r="H6" s="351" t="s">
        <v>190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191</v>
      </c>
      <c r="I7" s="352"/>
      <c r="J7" s="226"/>
      <c r="K7" s="69" t="s">
        <v>96</v>
      </c>
    </row>
    <row r="8" spans="1:11" ht="15.6" customHeight="1">
      <c r="A8" s="69"/>
      <c r="B8" s="222" t="s">
        <v>156</v>
      </c>
      <c r="C8" s="166"/>
      <c r="D8" s="517" t="s">
        <v>169</v>
      </c>
      <c r="E8" s="519">
        <v>1398</v>
      </c>
      <c r="F8" s="521">
        <v>4803</v>
      </c>
      <c r="G8" s="523">
        <v>6714594</v>
      </c>
      <c r="H8" s="351" t="s">
        <v>194</v>
      </c>
      <c r="I8" s="351"/>
      <c r="J8" s="227"/>
      <c r="K8" s="69" t="s">
        <v>96</v>
      </c>
    </row>
    <row r="9" spans="1:11" ht="15.6" customHeight="1">
      <c r="A9" s="69"/>
      <c r="B9" s="224" t="s">
        <v>168</v>
      </c>
      <c r="C9" s="225"/>
      <c r="D9" s="518"/>
      <c r="E9" s="520"/>
      <c r="F9" s="522"/>
      <c r="G9" s="524"/>
      <c r="H9" s="352" t="s">
        <v>191</v>
      </c>
      <c r="I9" s="352"/>
      <c r="J9" s="227"/>
      <c r="K9" s="69" t="s">
        <v>96</v>
      </c>
    </row>
    <row r="10" spans="1:11" ht="15.6" customHeight="1">
      <c r="A10" s="69"/>
      <c r="B10" s="222" t="s">
        <v>157</v>
      </c>
      <c r="C10" s="166"/>
      <c r="D10" s="517" t="s">
        <v>169</v>
      </c>
      <c r="E10" s="519">
        <v>1398</v>
      </c>
      <c r="F10" s="521">
        <v>2224</v>
      </c>
      <c r="G10" s="523">
        <v>3109152</v>
      </c>
      <c r="H10" s="351" t="s">
        <v>197</v>
      </c>
      <c r="I10" s="351"/>
      <c r="J10" s="223"/>
      <c r="K10" s="69" t="s">
        <v>96</v>
      </c>
    </row>
    <row r="11" spans="1:11" ht="15.6" customHeight="1">
      <c r="A11" s="69"/>
      <c r="B11" s="224" t="s">
        <v>170</v>
      </c>
      <c r="C11" s="225"/>
      <c r="D11" s="518"/>
      <c r="E11" s="520"/>
      <c r="F11" s="522"/>
      <c r="G11" s="524"/>
      <c r="H11" s="352" t="s">
        <v>191</v>
      </c>
      <c r="I11" s="352"/>
      <c r="J11" s="226"/>
      <c r="K11" s="69" t="s">
        <v>96</v>
      </c>
    </row>
    <row r="12" spans="1:11" ht="15.6" customHeight="1">
      <c r="A12" s="69"/>
      <c r="B12" s="222" t="s">
        <v>158</v>
      </c>
      <c r="C12" s="166"/>
      <c r="D12" s="517" t="s">
        <v>169</v>
      </c>
      <c r="E12" s="519">
        <v>395</v>
      </c>
      <c r="F12" s="521">
        <v>1721</v>
      </c>
      <c r="G12" s="523">
        <v>679795</v>
      </c>
      <c r="H12" s="351" t="s">
        <v>199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191</v>
      </c>
      <c r="I13" s="352"/>
      <c r="J13" s="226"/>
      <c r="K13" s="69" t="s">
        <v>96</v>
      </c>
    </row>
    <row r="14" spans="1:11" ht="15.6" customHeight="1">
      <c r="A14" s="69"/>
      <c r="B14" s="222" t="s">
        <v>159</v>
      </c>
      <c r="C14" s="166"/>
      <c r="D14" s="517" t="s">
        <v>167</v>
      </c>
      <c r="E14" s="519">
        <v>1</v>
      </c>
      <c r="F14" s="521">
        <v>100000</v>
      </c>
      <c r="G14" s="523">
        <v>100000</v>
      </c>
      <c r="H14" s="351" t="s">
        <v>201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191</v>
      </c>
      <c r="I15" s="352"/>
      <c r="J15" s="226"/>
      <c r="K15" s="69" t="s">
        <v>96</v>
      </c>
    </row>
    <row r="16" spans="1:11" ht="15.6" customHeight="1">
      <c r="A16" s="69"/>
      <c r="B16" s="222" t="s">
        <v>160</v>
      </c>
      <c r="C16" s="166"/>
      <c r="D16" s="517" t="s">
        <v>167</v>
      </c>
      <c r="E16" s="519">
        <v>1</v>
      </c>
      <c r="F16" s="521">
        <v>240000</v>
      </c>
      <c r="G16" s="523">
        <v>240000</v>
      </c>
      <c r="H16" s="351" t="s">
        <v>203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191</v>
      </c>
      <c r="I17" s="352"/>
      <c r="J17" s="226"/>
      <c r="K17" s="69" t="s">
        <v>96</v>
      </c>
    </row>
    <row r="18" spans="1:11" ht="15.6" customHeight="1">
      <c r="A18" s="69"/>
      <c r="B18" s="222" t="s">
        <v>161</v>
      </c>
      <c r="C18" s="166"/>
      <c r="D18" s="517" t="s">
        <v>172</v>
      </c>
      <c r="E18" s="519">
        <v>10</v>
      </c>
      <c r="F18" s="521">
        <v>50000</v>
      </c>
      <c r="G18" s="523">
        <v>500000</v>
      </c>
      <c r="H18" s="351" t="s">
        <v>206</v>
      </c>
      <c r="I18" s="351"/>
      <c r="J18" s="223"/>
      <c r="K18" s="69" t="s">
        <v>96</v>
      </c>
    </row>
    <row r="19" spans="1:11" ht="15.6" customHeight="1">
      <c r="A19" s="69"/>
      <c r="B19" s="224" t="s">
        <v>171</v>
      </c>
      <c r="C19" s="225"/>
      <c r="D19" s="518"/>
      <c r="E19" s="520"/>
      <c r="F19" s="522"/>
      <c r="G19" s="524"/>
      <c r="H19" s="352" t="s">
        <v>191</v>
      </c>
      <c r="I19" s="352"/>
      <c r="J19" s="226"/>
      <c r="K19" s="69" t="s">
        <v>96</v>
      </c>
    </row>
    <row r="20" spans="1:11" ht="15.6" customHeight="1">
      <c r="A20" s="69"/>
      <c r="B20" s="222" t="s">
        <v>156</v>
      </c>
      <c r="C20" s="166"/>
      <c r="D20" s="517" t="s">
        <v>169</v>
      </c>
      <c r="E20" s="519">
        <v>58</v>
      </c>
      <c r="F20" s="521">
        <v>3600</v>
      </c>
      <c r="G20" s="523">
        <v>208800</v>
      </c>
      <c r="H20" s="351" t="s">
        <v>207</v>
      </c>
      <c r="I20" s="351"/>
      <c r="J20" s="223"/>
      <c r="K20" s="69" t="s">
        <v>96</v>
      </c>
    </row>
    <row r="21" spans="1:11" ht="15.6" customHeight="1">
      <c r="A21" s="69"/>
      <c r="B21" s="224" t="s">
        <v>168</v>
      </c>
      <c r="C21" s="225"/>
      <c r="D21" s="518"/>
      <c r="E21" s="520"/>
      <c r="F21" s="522"/>
      <c r="G21" s="524"/>
      <c r="H21" s="352" t="s">
        <v>191</v>
      </c>
      <c r="I21" s="352"/>
      <c r="J21" s="226"/>
      <c r="K21" s="69" t="s">
        <v>96</v>
      </c>
    </row>
    <row r="22" spans="1:11" ht="15.6" customHeight="1">
      <c r="A22" s="69"/>
      <c r="B22" s="222" t="s">
        <v>157</v>
      </c>
      <c r="C22" s="166"/>
      <c r="D22" s="517" t="s">
        <v>169</v>
      </c>
      <c r="E22" s="519">
        <v>58</v>
      </c>
      <c r="F22" s="521">
        <v>2050</v>
      </c>
      <c r="G22" s="523">
        <v>118900</v>
      </c>
      <c r="H22" s="351" t="s">
        <v>208</v>
      </c>
      <c r="I22" s="351"/>
      <c r="J22" s="223"/>
      <c r="K22" s="69" t="s">
        <v>96</v>
      </c>
    </row>
    <row r="23" spans="1:11" ht="15.6" customHeight="1">
      <c r="A23" s="69"/>
      <c r="B23" s="224" t="s">
        <v>170</v>
      </c>
      <c r="C23" s="225"/>
      <c r="D23" s="518"/>
      <c r="E23" s="520"/>
      <c r="F23" s="522"/>
      <c r="G23" s="524"/>
      <c r="H23" s="352" t="s">
        <v>191</v>
      </c>
      <c r="I23" s="352"/>
      <c r="J23" s="226"/>
      <c r="K23" s="69" t="s">
        <v>96</v>
      </c>
    </row>
    <row r="24" spans="1:11" ht="15.6" customHeight="1">
      <c r="A24" s="69"/>
      <c r="B24" s="222" t="s">
        <v>159</v>
      </c>
      <c r="C24" s="166"/>
      <c r="D24" s="517" t="s">
        <v>167</v>
      </c>
      <c r="E24" s="519">
        <v>4</v>
      </c>
      <c r="F24" s="521">
        <v>100000</v>
      </c>
      <c r="G24" s="523">
        <v>400000</v>
      </c>
      <c r="H24" s="351" t="s">
        <v>209</v>
      </c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 t="s">
        <v>191</v>
      </c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 t="s">
        <v>217</v>
      </c>
      <c r="C28" s="166"/>
      <c r="D28" s="517"/>
      <c r="E28" s="519"/>
      <c r="F28" s="521"/>
      <c r="G28" s="523">
        <v>12231241</v>
      </c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76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23-170 ★市道温水愛名線舗装補修工事</v>
      </c>
      <c r="G1" s="306"/>
      <c r="H1" s="190" t="s">
        <v>140</v>
      </c>
      <c r="I1" s="333">
        <v>19600000</v>
      </c>
      <c r="J1" s="339">
        <f>I4/I$1</f>
        <v>0.74700209183673472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180</v>
      </c>
      <c r="E4" s="342"/>
      <c r="F4" s="345" t="s">
        <v>167</v>
      </c>
      <c r="G4" s="308">
        <v>1</v>
      </c>
      <c r="H4" s="309">
        <v>14641241</v>
      </c>
      <c r="I4" s="309">
        <v>14641241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220</v>
      </c>
      <c r="D5" s="340" t="s">
        <v>221</v>
      </c>
      <c r="E5" s="342"/>
      <c r="F5" s="345" t="s">
        <v>167</v>
      </c>
      <c r="G5" s="308">
        <v>1</v>
      </c>
      <c r="H5" s="309">
        <v>12231241</v>
      </c>
      <c r="I5" s="309">
        <v>12231241</v>
      </c>
      <c r="J5" s="211"/>
      <c r="K5" s="212" t="str">
        <f>IF(OR(J5="",G5=J5),"","*")</f>
        <v/>
      </c>
      <c r="L5" s="338">
        <f>IF($A5&lt;=L$1,I5/I$4,"")</f>
        <v>0.83539646673393331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222</v>
      </c>
      <c r="D6" s="340" t="s">
        <v>223</v>
      </c>
      <c r="E6" s="342"/>
      <c r="F6" s="345" t="s">
        <v>167</v>
      </c>
      <c r="G6" s="308">
        <v>1</v>
      </c>
      <c r="H6" s="309">
        <v>160000</v>
      </c>
      <c r="I6" s="309">
        <v>160000</v>
      </c>
      <c r="J6" s="211">
        <v>1</v>
      </c>
      <c r="K6" s="212" t="str">
        <f>IF(OR(J6="",G6=J6),"","*")</f>
        <v/>
      </c>
      <c r="L6" s="338">
        <f>IF($A6&lt;=L$1,I6/I$4,"")</f>
        <v>1.0928035403556297E-2</v>
      </c>
      <c r="M6" s="343"/>
      <c r="N6" s="344" t="s">
        <v>224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175</v>
      </c>
      <c r="D7" s="340" t="s">
        <v>225</v>
      </c>
      <c r="E7" s="342"/>
      <c r="F7" s="345" t="s">
        <v>226</v>
      </c>
      <c r="G7" s="308">
        <v>274</v>
      </c>
      <c r="H7" s="309">
        <v>300</v>
      </c>
      <c r="I7" s="309">
        <v>82200</v>
      </c>
      <c r="J7" s="211"/>
      <c r="K7" s="212" t="str">
        <f>IF(OR(J7="",G7=J7),"","*")</f>
        <v/>
      </c>
      <c r="L7" s="338">
        <f>IF($A7&lt;=L$1,I7/I$4,"")</f>
        <v>5.6142781885770475E-3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227</v>
      </c>
      <c r="AF7" s="341"/>
    </row>
    <row r="8" spans="1:32">
      <c r="A8" s="307">
        <v>3</v>
      </c>
      <c r="B8" s="342"/>
      <c r="C8" s="342" t="s">
        <v>175</v>
      </c>
      <c r="D8" s="340" t="s">
        <v>228</v>
      </c>
      <c r="E8" s="342" t="s">
        <v>229</v>
      </c>
      <c r="F8" s="345" t="s">
        <v>167</v>
      </c>
      <c r="G8" s="308">
        <v>1</v>
      </c>
      <c r="H8" s="309">
        <v>15000</v>
      </c>
      <c r="I8" s="309">
        <v>15000</v>
      </c>
      <c r="J8" s="211"/>
      <c r="K8" s="212" t="str">
        <f>IF(OR(J8="",G8=J8),"","*")</f>
        <v/>
      </c>
      <c r="L8" s="338">
        <f>IF($A8&lt;=L$1,I8/I$4,"")</f>
        <v>1.0245033190834029E-3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230</v>
      </c>
      <c r="AF8" s="341"/>
    </row>
    <row r="9" spans="1:32">
      <c r="A9" s="307">
        <v>3</v>
      </c>
      <c r="B9" s="342"/>
      <c r="C9" s="342" t="s">
        <v>175</v>
      </c>
      <c r="D9" s="340" t="s">
        <v>231</v>
      </c>
      <c r="E9" s="342"/>
      <c r="F9" s="345" t="s">
        <v>167</v>
      </c>
      <c r="G9" s="308">
        <v>1</v>
      </c>
      <c r="H9" s="309">
        <v>12000</v>
      </c>
      <c r="I9" s="309">
        <v>12000</v>
      </c>
      <c r="J9" s="211"/>
      <c r="K9" s="212" t="str">
        <f>IF(OR(J9="",G9=J9),"","*")</f>
        <v/>
      </c>
      <c r="L9" s="338">
        <f>IF($A9&lt;=L$1,I9/I$4,"")</f>
        <v>8.1960265526672229E-4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232</v>
      </c>
      <c r="AF9" s="341"/>
    </row>
    <row r="10" spans="1:32">
      <c r="A10" s="307">
        <v>3</v>
      </c>
      <c r="B10" s="342"/>
      <c r="C10" s="342" t="s">
        <v>174</v>
      </c>
      <c r="D10" s="340" t="s">
        <v>233</v>
      </c>
      <c r="E10" s="342"/>
      <c r="F10" s="345" t="s">
        <v>234</v>
      </c>
      <c r="G10" s="308">
        <v>2</v>
      </c>
      <c r="H10" s="309">
        <v>21000</v>
      </c>
      <c r="I10" s="309">
        <v>42000</v>
      </c>
      <c r="J10" s="211"/>
      <c r="K10" s="212" t="str">
        <f>IF(OR(J10="",G10=J10),"","*")</f>
        <v/>
      </c>
      <c r="L10" s="338">
        <f>IF($A10&lt;=L$1,I10/I$4,"")</f>
        <v>2.8686092934335277E-3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3</v>
      </c>
      <c r="B11" s="342"/>
      <c r="C11" s="342" t="s">
        <v>173</v>
      </c>
      <c r="D11" s="340" t="s">
        <v>235</v>
      </c>
      <c r="E11" s="342"/>
      <c r="F11" s="345" t="s">
        <v>167</v>
      </c>
      <c r="G11" s="308">
        <v>1</v>
      </c>
      <c r="H11" s="309">
        <v>8800</v>
      </c>
      <c r="I11" s="309">
        <v>8800</v>
      </c>
      <c r="J11" s="211"/>
      <c r="K11" s="212" t="str">
        <f>IF(OR(J11="",G11=J11),"","*")</f>
        <v/>
      </c>
      <c r="L11" s="338">
        <f>IF($A11&lt;=L$1,I11/I$4,"")</f>
        <v>6.0104194719559634E-4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2</v>
      </c>
      <c r="B12" s="342"/>
      <c r="C12" s="342" t="s">
        <v>222</v>
      </c>
      <c r="D12" s="340" t="s">
        <v>236</v>
      </c>
      <c r="E12" s="342" t="s">
        <v>168</v>
      </c>
      <c r="F12" s="345" t="s">
        <v>169</v>
      </c>
      <c r="G12" s="308">
        <v>1398</v>
      </c>
      <c r="H12" s="309">
        <v>4803</v>
      </c>
      <c r="I12" s="309">
        <v>6714594</v>
      </c>
      <c r="J12" s="211">
        <v>1398</v>
      </c>
      <c r="K12" s="212" t="str">
        <f>IF(OR(J12="",G12=J12),"","*")</f>
        <v/>
      </c>
      <c r="L12" s="338">
        <f>IF($A12&lt;=L$1,I12/I$4,"")</f>
        <v>0.45860825595316679</v>
      </c>
      <c r="M12" s="343"/>
      <c r="N12" s="344" t="s">
        <v>237</v>
      </c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173</v>
      </c>
      <c r="D13" s="340" t="s">
        <v>238</v>
      </c>
      <c r="E13" s="342"/>
      <c r="F13" s="345" t="s">
        <v>239</v>
      </c>
      <c r="G13" s="308">
        <v>352</v>
      </c>
      <c r="H13" s="309">
        <v>7200</v>
      </c>
      <c r="I13" s="309">
        <v>2534400</v>
      </c>
      <c r="J13" s="211"/>
      <c r="K13" s="212" t="str">
        <f>IF(OR(J13="",G13=J13),"","*")</f>
        <v/>
      </c>
      <c r="L13" s="338">
        <f>IF($A13&lt;=L$1,I13/I$4,"")</f>
        <v>0.17310008079233175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240</v>
      </c>
      <c r="AF13" s="341" t="s">
        <v>241</v>
      </c>
    </row>
    <row r="14" spans="1:32">
      <c r="A14" s="307">
        <v>3</v>
      </c>
      <c r="B14" s="342"/>
      <c r="C14" s="342" t="s">
        <v>173</v>
      </c>
      <c r="D14" s="340" t="s">
        <v>242</v>
      </c>
      <c r="E14" s="342"/>
      <c r="F14" s="345" t="s">
        <v>239</v>
      </c>
      <c r="G14" s="308">
        <v>1.77</v>
      </c>
      <c r="H14" s="309">
        <v>105000</v>
      </c>
      <c r="I14" s="309">
        <v>185850</v>
      </c>
      <c r="J14" s="211"/>
      <c r="K14" s="212" t="str">
        <f>IF(OR(J14="",G14=J14),"","*")</f>
        <v/>
      </c>
      <c r="L14" s="338">
        <f>IF($A14&lt;=L$1,I14/I$4,"")</f>
        <v>1.2693596123443361E-2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243</v>
      </c>
      <c r="AF14" s="341" t="s">
        <v>244</v>
      </c>
    </row>
    <row r="15" spans="1:32">
      <c r="A15" s="307">
        <v>3</v>
      </c>
      <c r="B15" s="342"/>
      <c r="C15" s="342" t="s">
        <v>173</v>
      </c>
      <c r="D15" s="340" t="s">
        <v>245</v>
      </c>
      <c r="E15" s="342"/>
      <c r="F15" s="345" t="s">
        <v>239</v>
      </c>
      <c r="G15" s="308">
        <v>84</v>
      </c>
      <c r="H15" s="309">
        <v>800</v>
      </c>
      <c r="I15" s="309">
        <v>67200</v>
      </c>
      <c r="J15" s="211"/>
      <c r="K15" s="212" t="str">
        <f>IF(OR(J15="",G15=J15),"","*")</f>
        <v/>
      </c>
      <c r="L15" s="338">
        <f>IF($A15&lt;=L$1,I15/I$4,"")</f>
        <v>4.5897748694936451E-3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246</v>
      </c>
      <c r="AF15" s="341" t="s">
        <v>247</v>
      </c>
    </row>
    <row r="16" spans="1:32">
      <c r="A16" s="307">
        <v>3</v>
      </c>
      <c r="B16" s="342"/>
      <c r="C16" s="342" t="s">
        <v>173</v>
      </c>
      <c r="D16" s="340" t="s">
        <v>248</v>
      </c>
      <c r="E16" s="342"/>
      <c r="F16" s="345" t="s">
        <v>249</v>
      </c>
      <c r="G16" s="308">
        <v>600</v>
      </c>
      <c r="H16" s="309">
        <v>150</v>
      </c>
      <c r="I16" s="309">
        <v>90000</v>
      </c>
      <c r="J16" s="211"/>
      <c r="K16" s="212" t="str">
        <f>IF(OR(J16="",G16=J16),"","*")</f>
        <v/>
      </c>
      <c r="L16" s="338">
        <f>IF($A16&lt;=L$1,I16/I$4,"")</f>
        <v>6.1470199145004173E-3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250</v>
      </c>
      <c r="AF16" s="341" t="s">
        <v>251</v>
      </c>
    </row>
    <row r="17" spans="1:32">
      <c r="A17" s="307">
        <v>3</v>
      </c>
      <c r="B17" s="342"/>
      <c r="C17" s="342" t="s">
        <v>173</v>
      </c>
      <c r="D17" s="340" t="s">
        <v>235</v>
      </c>
      <c r="E17" s="342"/>
      <c r="F17" s="345" t="s">
        <v>167</v>
      </c>
      <c r="G17" s="308">
        <v>1</v>
      </c>
      <c r="H17" s="309">
        <v>8550</v>
      </c>
      <c r="I17" s="309">
        <v>8550</v>
      </c>
      <c r="J17" s="211"/>
      <c r="K17" s="212" t="str">
        <f>IF(OR(J17="",G17=J17),"","*")</f>
        <v/>
      </c>
      <c r="L17" s="338">
        <f>IF($A17&lt;=L$1,I17/I$4,"")</f>
        <v>5.8396689187753959E-4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252</v>
      </c>
      <c r="AF17" s="341"/>
    </row>
    <row r="18" spans="1:32">
      <c r="A18" s="307">
        <v>3</v>
      </c>
      <c r="B18" s="342"/>
      <c r="C18" s="342" t="s">
        <v>174</v>
      </c>
      <c r="D18" s="340" t="s">
        <v>233</v>
      </c>
      <c r="E18" s="342"/>
      <c r="F18" s="345" t="s">
        <v>234</v>
      </c>
      <c r="G18" s="308">
        <v>45</v>
      </c>
      <c r="H18" s="309">
        <v>21000</v>
      </c>
      <c r="I18" s="309">
        <v>945000</v>
      </c>
      <c r="J18" s="211"/>
      <c r="K18" s="212" t="str">
        <f>IF(OR(J18="",G18=J18),"","*")</f>
        <v/>
      </c>
      <c r="L18" s="338">
        <f>IF($A18&lt;=L$1,I18/I$4,"")</f>
        <v>6.4543709102254376E-2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253</v>
      </c>
      <c r="AF18" s="341" t="s">
        <v>254</v>
      </c>
    </row>
    <row r="19" spans="1:32">
      <c r="A19" s="307">
        <v>3</v>
      </c>
      <c r="B19" s="342"/>
      <c r="C19" s="342" t="s">
        <v>176</v>
      </c>
      <c r="D19" s="340" t="s">
        <v>255</v>
      </c>
      <c r="E19" s="342" t="s">
        <v>256</v>
      </c>
      <c r="F19" s="345" t="s">
        <v>257</v>
      </c>
      <c r="G19" s="308">
        <v>5</v>
      </c>
      <c r="H19" s="309">
        <v>5500</v>
      </c>
      <c r="I19" s="309">
        <v>27500</v>
      </c>
      <c r="J19" s="211"/>
      <c r="K19" s="212" t="str">
        <f>IF(OR(J19="",G19=J19),"","*")</f>
        <v/>
      </c>
      <c r="L19" s="338">
        <f>IF($A19&lt;=L$1,I19/I$4,"")</f>
        <v>1.8782560849862386E-3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258</v>
      </c>
      <c r="AF19" s="341" t="s">
        <v>259</v>
      </c>
    </row>
    <row r="20" spans="1:32">
      <c r="A20" s="307">
        <v>3</v>
      </c>
      <c r="B20" s="342"/>
      <c r="C20" s="342" t="s">
        <v>176</v>
      </c>
      <c r="D20" s="340" t="s">
        <v>260</v>
      </c>
      <c r="E20" s="342" t="s">
        <v>261</v>
      </c>
      <c r="F20" s="345" t="s">
        <v>257</v>
      </c>
      <c r="G20" s="308">
        <v>5</v>
      </c>
      <c r="H20" s="309">
        <v>4000</v>
      </c>
      <c r="I20" s="309">
        <v>20000</v>
      </c>
      <c r="J20" s="211"/>
      <c r="K20" s="212" t="str">
        <f>IF(OR(J20="",G20=J20),"","*")</f>
        <v/>
      </c>
      <c r="L20" s="338">
        <f>IF($A20&lt;=L$1,I20/I$4,"")</f>
        <v>1.3660044254445371E-3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262</v>
      </c>
      <c r="AF20" s="341" t="s">
        <v>259</v>
      </c>
    </row>
    <row r="21" spans="1:32">
      <c r="A21" s="307">
        <v>3</v>
      </c>
      <c r="B21" s="342"/>
      <c r="C21" s="342" t="s">
        <v>176</v>
      </c>
      <c r="D21" s="340" t="s">
        <v>263</v>
      </c>
      <c r="E21" s="342"/>
      <c r="F21" s="345" t="s">
        <v>257</v>
      </c>
      <c r="G21" s="308">
        <v>5</v>
      </c>
      <c r="H21" s="309">
        <v>1000</v>
      </c>
      <c r="I21" s="309">
        <v>5000</v>
      </c>
      <c r="J21" s="211"/>
      <c r="K21" s="212" t="str">
        <f>IF(OR(J21="",G21=J21),"","*")</f>
        <v/>
      </c>
      <c r="L21" s="338">
        <f>IF($A21&lt;=L$1,I21/I$4,"")</f>
        <v>3.4150110636113428E-4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264</v>
      </c>
      <c r="AF21" s="341" t="s">
        <v>259</v>
      </c>
    </row>
    <row r="22" spans="1:32">
      <c r="A22" s="307">
        <v>3</v>
      </c>
      <c r="B22" s="342"/>
      <c r="C22" s="342" t="s">
        <v>176</v>
      </c>
      <c r="D22" s="340" t="s">
        <v>265</v>
      </c>
      <c r="E22" s="342"/>
      <c r="F22" s="345" t="s">
        <v>257</v>
      </c>
      <c r="G22" s="308">
        <v>5</v>
      </c>
      <c r="H22" s="309">
        <v>1000</v>
      </c>
      <c r="I22" s="309">
        <v>5000</v>
      </c>
      <c r="J22" s="211"/>
      <c r="K22" s="212" t="str">
        <f>IF(OR(J22="",G22=J22),"","*")</f>
        <v/>
      </c>
      <c r="L22" s="338">
        <f>IF($A22&lt;=L$1,I22/I$4,"")</f>
        <v>3.4150110636113428E-4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266</v>
      </c>
      <c r="AF22" s="341" t="s">
        <v>259</v>
      </c>
    </row>
    <row r="23" spans="1:32">
      <c r="A23" s="307">
        <v>3</v>
      </c>
      <c r="B23" s="342"/>
      <c r="C23" s="342" t="s">
        <v>176</v>
      </c>
      <c r="D23" s="340" t="s">
        <v>267</v>
      </c>
      <c r="E23" s="342"/>
      <c r="F23" s="345" t="s">
        <v>257</v>
      </c>
      <c r="G23" s="308">
        <v>5</v>
      </c>
      <c r="H23" s="309">
        <v>8000</v>
      </c>
      <c r="I23" s="309">
        <v>40000</v>
      </c>
      <c r="J23" s="211"/>
      <c r="K23" s="212" t="str">
        <f>IF(OR(J23="",G23=J23),"","*")</f>
        <v/>
      </c>
      <c r="L23" s="338">
        <f>IF($A23&lt;=L$1,I23/I$4,"")</f>
        <v>2.7320088508890742E-3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268</v>
      </c>
      <c r="AF23" s="341" t="s">
        <v>259</v>
      </c>
    </row>
    <row r="24" spans="1:32">
      <c r="A24" s="307">
        <v>3</v>
      </c>
      <c r="B24" s="342"/>
      <c r="C24" s="342" t="s">
        <v>176</v>
      </c>
      <c r="D24" s="340" t="s">
        <v>269</v>
      </c>
      <c r="E24" s="342" t="s">
        <v>270</v>
      </c>
      <c r="F24" s="345" t="s">
        <v>257</v>
      </c>
      <c r="G24" s="308">
        <v>5</v>
      </c>
      <c r="H24" s="309">
        <v>80000</v>
      </c>
      <c r="I24" s="309">
        <v>400000</v>
      </c>
      <c r="J24" s="211"/>
      <c r="K24" s="212" t="str">
        <f>IF(OR(J24="",G24=J24),"","*")</f>
        <v/>
      </c>
      <c r="L24" s="338">
        <f>IF($A24&lt;=L$1,I24/I$4,"")</f>
        <v>2.7320088508890741E-2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271</v>
      </c>
      <c r="AF24" s="341" t="s">
        <v>259</v>
      </c>
    </row>
    <row r="25" spans="1:32">
      <c r="A25" s="307">
        <v>3</v>
      </c>
      <c r="B25" s="342"/>
      <c r="C25" s="342" t="s">
        <v>176</v>
      </c>
      <c r="D25" s="340" t="s">
        <v>272</v>
      </c>
      <c r="E25" s="342" t="s">
        <v>270</v>
      </c>
      <c r="F25" s="345" t="s">
        <v>257</v>
      </c>
      <c r="G25" s="308">
        <v>5</v>
      </c>
      <c r="H25" s="309">
        <v>60000</v>
      </c>
      <c r="I25" s="309">
        <v>300000</v>
      </c>
      <c r="J25" s="211"/>
      <c r="K25" s="212" t="str">
        <f>IF(OR(J25="",G25=J25),"","*")</f>
        <v/>
      </c>
      <c r="L25" s="338">
        <f>IF($A25&lt;=L$1,I25/I$4,"")</f>
        <v>2.0490066381668056E-2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273</v>
      </c>
      <c r="AF25" s="341" t="s">
        <v>259</v>
      </c>
    </row>
    <row r="26" spans="1:32">
      <c r="A26" s="307">
        <v>3</v>
      </c>
      <c r="B26" s="342"/>
      <c r="C26" s="342" t="s">
        <v>176</v>
      </c>
      <c r="D26" s="340" t="s">
        <v>274</v>
      </c>
      <c r="E26" s="342" t="s">
        <v>275</v>
      </c>
      <c r="F26" s="345" t="s">
        <v>257</v>
      </c>
      <c r="G26" s="308">
        <v>5</v>
      </c>
      <c r="H26" s="309">
        <v>96000</v>
      </c>
      <c r="I26" s="309">
        <v>480000</v>
      </c>
      <c r="J26" s="211"/>
      <c r="K26" s="212" t="str">
        <f>IF(OR(J26="",G26=J26),"","*")</f>
        <v/>
      </c>
      <c r="L26" s="338">
        <f>IF($A26&lt;=L$1,I26/I$4,"")</f>
        <v>3.2784106210668892E-2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276</v>
      </c>
      <c r="AF26" s="341" t="s">
        <v>259</v>
      </c>
    </row>
    <row r="27" spans="1:32">
      <c r="A27" s="307">
        <v>3</v>
      </c>
      <c r="B27" s="342"/>
      <c r="C27" s="342" t="s">
        <v>176</v>
      </c>
      <c r="D27" s="340" t="s">
        <v>277</v>
      </c>
      <c r="E27" s="342"/>
      <c r="F27" s="345" t="s">
        <v>257</v>
      </c>
      <c r="G27" s="308">
        <v>5</v>
      </c>
      <c r="H27" s="309">
        <v>1600</v>
      </c>
      <c r="I27" s="309">
        <v>8000</v>
      </c>
      <c r="J27" s="211"/>
      <c r="K27" s="212" t="str">
        <f>IF(OR(J27="",G27=J27),"","*")</f>
        <v/>
      </c>
      <c r="L27" s="338">
        <f>IF($A27&lt;=L$1,I27/I$4,"")</f>
        <v>5.4640177017781482E-4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278</v>
      </c>
      <c r="AF27" s="341" t="s">
        <v>259</v>
      </c>
    </row>
    <row r="28" spans="1:32">
      <c r="A28" s="307">
        <v>3</v>
      </c>
      <c r="B28" s="342"/>
      <c r="C28" s="342" t="s">
        <v>176</v>
      </c>
      <c r="D28" s="340" t="s">
        <v>279</v>
      </c>
      <c r="E28" s="342"/>
      <c r="F28" s="345" t="s">
        <v>257</v>
      </c>
      <c r="G28" s="308">
        <v>5</v>
      </c>
      <c r="H28" s="309">
        <v>3000</v>
      </c>
      <c r="I28" s="309">
        <v>15000</v>
      </c>
      <c r="J28" s="211"/>
      <c r="K28" s="212" t="str">
        <f>IF(OR(J28="",G28=J28),"","*")</f>
        <v/>
      </c>
      <c r="L28" s="338">
        <f>IF($A28&lt;=L$1,I28/I$4,"")</f>
        <v>1.0245033190834029E-3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280</v>
      </c>
      <c r="AF28" s="341" t="s">
        <v>259</v>
      </c>
    </row>
    <row r="29" spans="1:32">
      <c r="A29" s="307">
        <v>3</v>
      </c>
      <c r="B29" s="342"/>
      <c r="C29" s="342" t="s">
        <v>177</v>
      </c>
      <c r="D29" s="340" t="s">
        <v>281</v>
      </c>
      <c r="E29" s="342" t="s">
        <v>282</v>
      </c>
      <c r="F29" s="345" t="s">
        <v>257</v>
      </c>
      <c r="G29" s="308">
        <v>29</v>
      </c>
      <c r="H29" s="309">
        <v>43000</v>
      </c>
      <c r="I29" s="309">
        <v>1247000</v>
      </c>
      <c r="J29" s="211"/>
      <c r="K29" s="212" t="str">
        <f>IF(OR(J29="",G29=J29),"","*")</f>
        <v/>
      </c>
      <c r="L29" s="338">
        <f>IF($A29&lt;=L$1,I29/I$4,"")</f>
        <v>8.5170375926466896E-2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283</v>
      </c>
      <c r="AF29" s="341" t="s">
        <v>284</v>
      </c>
    </row>
    <row r="30" spans="1:32">
      <c r="A30" s="307">
        <v>3</v>
      </c>
      <c r="B30" s="342"/>
      <c r="C30" s="342" t="s">
        <v>177</v>
      </c>
      <c r="D30" s="340" t="s">
        <v>285</v>
      </c>
      <c r="E30" s="342"/>
      <c r="F30" s="345" t="s">
        <v>239</v>
      </c>
      <c r="G30" s="308">
        <v>493</v>
      </c>
      <c r="H30" s="309">
        <v>500</v>
      </c>
      <c r="I30" s="309">
        <v>246500</v>
      </c>
      <c r="J30" s="211"/>
      <c r="K30" s="212" t="str">
        <f>IF(OR(J30="",G30=J30),"","*")</f>
        <v/>
      </c>
      <c r="L30" s="338">
        <f>IF($A30&lt;=L$1,I30/I$4,"")</f>
        <v>1.683600454360392E-2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286</v>
      </c>
      <c r="AF30" s="341" t="s">
        <v>287</v>
      </c>
    </row>
    <row r="31" spans="1:32">
      <c r="A31" s="307">
        <v>3</v>
      </c>
      <c r="B31" s="342"/>
      <c r="C31" s="342" t="s">
        <v>177</v>
      </c>
      <c r="D31" s="340" t="s">
        <v>288</v>
      </c>
      <c r="E31" s="342"/>
      <c r="F31" s="345" t="s">
        <v>257</v>
      </c>
      <c r="G31" s="308">
        <v>10</v>
      </c>
      <c r="H31" s="309">
        <v>5000</v>
      </c>
      <c r="I31" s="309">
        <v>50000</v>
      </c>
      <c r="J31" s="211"/>
      <c r="K31" s="212" t="str">
        <f>IF(OR(J31="",G31=J31),"","*")</f>
        <v/>
      </c>
      <c r="L31" s="338">
        <f>IF($A31&lt;=L$1,I31/I$4,"")</f>
        <v>3.4150110636113427E-3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289</v>
      </c>
      <c r="AF31" s="341" t="s">
        <v>290</v>
      </c>
    </row>
    <row r="32" spans="1:32">
      <c r="A32" s="307">
        <v>3</v>
      </c>
      <c r="B32" s="342"/>
      <c r="C32" s="342" t="s">
        <v>177</v>
      </c>
      <c r="D32" s="340" t="s">
        <v>291</v>
      </c>
      <c r="E32" s="342" t="s">
        <v>292</v>
      </c>
      <c r="F32" s="345" t="s">
        <v>257</v>
      </c>
      <c r="G32" s="308">
        <v>10</v>
      </c>
      <c r="H32" s="309">
        <v>4000</v>
      </c>
      <c r="I32" s="309">
        <v>40000</v>
      </c>
      <c r="J32" s="211"/>
      <c r="K32" s="212" t="str">
        <f>IF(OR(J32="",G32=J32),"","*")</f>
        <v/>
      </c>
      <c r="L32" s="338">
        <f>IF($A32&lt;=L$1,I32/I$4,"")</f>
        <v>2.7320088508890742E-3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293</v>
      </c>
      <c r="AF32" s="341" t="s">
        <v>290</v>
      </c>
    </row>
    <row r="33" spans="1:32">
      <c r="A33" s="307">
        <v>2</v>
      </c>
      <c r="B33" s="342"/>
      <c r="C33" s="342" t="s">
        <v>222</v>
      </c>
      <c r="D33" s="340" t="s">
        <v>294</v>
      </c>
      <c r="E33" s="342" t="s">
        <v>170</v>
      </c>
      <c r="F33" s="345" t="s">
        <v>169</v>
      </c>
      <c r="G33" s="308">
        <v>1398</v>
      </c>
      <c r="H33" s="309">
        <v>2224</v>
      </c>
      <c r="I33" s="309">
        <v>3109152</v>
      </c>
      <c r="J33" s="211">
        <v>1398</v>
      </c>
      <c r="K33" s="212" t="str">
        <f>IF(OR(J33="",G33=J33),"","*")</f>
        <v/>
      </c>
      <c r="L33" s="338">
        <f>IF($A33&lt;=L$1,I33/I$4,"")</f>
        <v>0.21235576956898666</v>
      </c>
      <c r="M33" s="343"/>
      <c r="N33" s="344" t="s">
        <v>295</v>
      </c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3</v>
      </c>
      <c r="B34" s="342"/>
      <c r="C34" s="342" t="s">
        <v>173</v>
      </c>
      <c r="D34" s="340" t="s">
        <v>296</v>
      </c>
      <c r="E34" s="342"/>
      <c r="F34" s="345" t="s">
        <v>239</v>
      </c>
      <c r="G34" s="308">
        <v>176</v>
      </c>
      <c r="H34" s="309">
        <v>14500</v>
      </c>
      <c r="I34" s="309">
        <v>2552000</v>
      </c>
      <c r="J34" s="211"/>
      <c r="K34" s="212" t="str">
        <f>IF(OR(J34="",G34=J34),"","*")</f>
        <v/>
      </c>
      <c r="L34" s="338">
        <f>IF($A34&lt;=L$1,I34/I$4,"")</f>
        <v>0.17430216468672294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297</v>
      </c>
      <c r="AF34" s="341" t="s">
        <v>298</v>
      </c>
    </row>
    <row r="35" spans="1:32">
      <c r="A35" s="307">
        <v>3</v>
      </c>
      <c r="B35" s="342"/>
      <c r="C35" s="342" t="s">
        <v>173</v>
      </c>
      <c r="D35" s="340" t="s">
        <v>299</v>
      </c>
      <c r="E35" s="342" t="s">
        <v>300</v>
      </c>
      <c r="F35" s="345" t="s">
        <v>239</v>
      </c>
      <c r="G35" s="308">
        <v>4</v>
      </c>
      <c r="H35" s="309">
        <v>1800</v>
      </c>
      <c r="I35" s="309">
        <v>7200</v>
      </c>
      <c r="J35" s="211"/>
      <c r="K35" s="212" t="str">
        <f>IF(OR(J35="",G35=J35),"","*")</f>
        <v/>
      </c>
      <c r="L35" s="338">
        <f>IF($A35&lt;=L$1,I35/I$4,"")</f>
        <v>4.9176159316003331E-4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301</v>
      </c>
      <c r="AF35" s="341"/>
    </row>
    <row r="36" spans="1:32">
      <c r="A36" s="307">
        <v>3</v>
      </c>
      <c r="B36" s="342"/>
      <c r="C36" s="342" t="s">
        <v>173</v>
      </c>
      <c r="D36" s="340" t="s">
        <v>302</v>
      </c>
      <c r="E36" s="342"/>
      <c r="F36" s="345" t="s">
        <v>239</v>
      </c>
      <c r="G36" s="308">
        <v>0.6</v>
      </c>
      <c r="H36" s="309">
        <v>219500</v>
      </c>
      <c r="I36" s="309">
        <v>131700</v>
      </c>
      <c r="J36" s="211"/>
      <c r="K36" s="212" t="str">
        <f>IF(OR(J36="",G36=J36),"","*")</f>
        <v/>
      </c>
      <c r="L36" s="338">
        <f>IF($A36&lt;=L$1,I36/I$4,"")</f>
        <v>8.9951391415522761E-3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303</v>
      </c>
      <c r="AF36" s="341" t="s">
        <v>304</v>
      </c>
    </row>
    <row r="37" spans="1:32">
      <c r="A37" s="307">
        <v>3</v>
      </c>
      <c r="B37" s="342"/>
      <c r="C37" s="342" t="s">
        <v>173</v>
      </c>
      <c r="D37" s="340" t="s">
        <v>248</v>
      </c>
      <c r="E37" s="342"/>
      <c r="F37" s="345" t="s">
        <v>249</v>
      </c>
      <c r="G37" s="308">
        <v>100</v>
      </c>
      <c r="H37" s="309">
        <v>150</v>
      </c>
      <c r="I37" s="309">
        <v>15000</v>
      </c>
      <c r="J37" s="211"/>
      <c r="K37" s="212" t="str">
        <f>IF(OR(J37="",G37=J37),"","*")</f>
        <v/>
      </c>
      <c r="L37" s="338">
        <f>IF($A37&lt;=L$1,I37/I$4,"")</f>
        <v>1.0245033190834029E-3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305</v>
      </c>
      <c r="AF37" s="341" t="s">
        <v>306</v>
      </c>
    </row>
    <row r="38" spans="1:32">
      <c r="A38" s="307">
        <v>3</v>
      </c>
      <c r="B38" s="342"/>
      <c r="C38" s="342" t="s">
        <v>173</v>
      </c>
      <c r="D38" s="340" t="s">
        <v>235</v>
      </c>
      <c r="E38" s="342"/>
      <c r="F38" s="345" t="s">
        <v>167</v>
      </c>
      <c r="G38" s="308">
        <v>1</v>
      </c>
      <c r="H38" s="309">
        <v>9100</v>
      </c>
      <c r="I38" s="309">
        <v>9100</v>
      </c>
      <c r="J38" s="211"/>
      <c r="K38" s="212" t="str">
        <f>IF(OR(J38="",G38=J38),"","*")</f>
        <v/>
      </c>
      <c r="L38" s="338">
        <f>IF($A38&lt;=L$1,I38/I$4,"")</f>
        <v>6.2153201357726437E-4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307</v>
      </c>
      <c r="AF38" s="341"/>
    </row>
    <row r="39" spans="1:32">
      <c r="A39" s="307">
        <v>3</v>
      </c>
      <c r="B39" s="342"/>
      <c r="C39" s="342" t="s">
        <v>174</v>
      </c>
      <c r="D39" s="340" t="s">
        <v>233</v>
      </c>
      <c r="E39" s="342"/>
      <c r="F39" s="345" t="s">
        <v>234</v>
      </c>
      <c r="G39" s="308">
        <v>10</v>
      </c>
      <c r="H39" s="309">
        <v>21000</v>
      </c>
      <c r="I39" s="309">
        <v>210000</v>
      </c>
      <c r="J39" s="211"/>
      <c r="K39" s="212" t="str">
        <f>IF(OR(J39="",G39=J39),"","*")</f>
        <v/>
      </c>
      <c r="L39" s="338">
        <f>IF($A39&lt;=L$1,I39/I$4,"")</f>
        <v>1.434304646716764E-2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253</v>
      </c>
      <c r="AF39" s="341" t="s">
        <v>308</v>
      </c>
    </row>
    <row r="40" spans="1:32">
      <c r="A40" s="307">
        <v>3</v>
      </c>
      <c r="B40" s="342"/>
      <c r="C40" s="342" t="s">
        <v>176</v>
      </c>
      <c r="D40" s="340" t="s">
        <v>255</v>
      </c>
      <c r="E40" s="342" t="s">
        <v>256</v>
      </c>
      <c r="F40" s="345" t="s">
        <v>257</v>
      </c>
      <c r="G40" s="308">
        <v>1</v>
      </c>
      <c r="H40" s="309">
        <v>5500</v>
      </c>
      <c r="I40" s="309">
        <v>5500</v>
      </c>
      <c r="J40" s="211"/>
      <c r="K40" s="212" t="str">
        <f>IF(OR(J40="",G40=J40),"","*")</f>
        <v/>
      </c>
      <c r="L40" s="338">
        <f>IF($A40&lt;=L$1,I40/I$4,"")</f>
        <v>3.7565121699724771E-4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258</v>
      </c>
      <c r="AF40" s="341"/>
    </row>
    <row r="41" spans="1:32">
      <c r="A41" s="307">
        <v>3</v>
      </c>
      <c r="B41" s="342"/>
      <c r="C41" s="342" t="s">
        <v>176</v>
      </c>
      <c r="D41" s="340" t="s">
        <v>309</v>
      </c>
      <c r="E41" s="342"/>
      <c r="F41" s="345" t="s">
        <v>257</v>
      </c>
      <c r="G41" s="308">
        <v>1</v>
      </c>
      <c r="H41" s="309">
        <v>5500</v>
      </c>
      <c r="I41" s="309">
        <v>5500</v>
      </c>
      <c r="J41" s="211"/>
      <c r="K41" s="212" t="str">
        <f>IF(OR(J41="",G41=J41),"","*")</f>
        <v/>
      </c>
      <c r="L41" s="338">
        <f>IF($A41&lt;=L$1,I41/I$4,"")</f>
        <v>3.7565121699724771E-4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310</v>
      </c>
      <c r="AF41" s="341"/>
    </row>
    <row r="42" spans="1:32">
      <c r="A42" s="307">
        <v>3</v>
      </c>
      <c r="B42" s="342"/>
      <c r="C42" s="342" t="s">
        <v>176</v>
      </c>
      <c r="D42" s="340" t="s">
        <v>263</v>
      </c>
      <c r="E42" s="342"/>
      <c r="F42" s="345" t="s">
        <v>257</v>
      </c>
      <c r="G42" s="308">
        <v>2</v>
      </c>
      <c r="H42" s="309">
        <v>1000</v>
      </c>
      <c r="I42" s="309">
        <v>2000</v>
      </c>
      <c r="J42" s="211"/>
      <c r="K42" s="212" t="str">
        <f>IF(OR(J42="",G42=J42),"","*")</f>
        <v/>
      </c>
      <c r="L42" s="338">
        <f>IF($A42&lt;=L$1,I42/I$4,"")</f>
        <v>1.3660044254445371E-4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264</v>
      </c>
      <c r="AF42" s="341" t="s">
        <v>311</v>
      </c>
    </row>
    <row r="43" spans="1:32">
      <c r="A43" s="307">
        <v>3</v>
      </c>
      <c r="B43" s="342"/>
      <c r="C43" s="342" t="s">
        <v>176</v>
      </c>
      <c r="D43" s="340" t="s">
        <v>274</v>
      </c>
      <c r="E43" s="342" t="s">
        <v>275</v>
      </c>
      <c r="F43" s="345" t="s">
        <v>257</v>
      </c>
      <c r="G43" s="308">
        <v>1</v>
      </c>
      <c r="H43" s="309">
        <v>96000</v>
      </c>
      <c r="I43" s="309">
        <v>96000</v>
      </c>
      <c r="J43" s="211"/>
      <c r="K43" s="212" t="str">
        <f>IF(OR(J43="",G43=J43),"","*")</f>
        <v/>
      </c>
      <c r="L43" s="338">
        <f>IF($A43&lt;=L$1,I43/I$4,"")</f>
        <v>6.5568212421337783E-3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276</v>
      </c>
      <c r="AF43" s="341"/>
    </row>
    <row r="44" spans="1:32">
      <c r="A44" s="307">
        <v>3</v>
      </c>
      <c r="B44" s="342"/>
      <c r="C44" s="342" t="s">
        <v>176</v>
      </c>
      <c r="D44" s="340" t="s">
        <v>312</v>
      </c>
      <c r="E44" s="342"/>
      <c r="F44" s="345" t="s">
        <v>257</v>
      </c>
      <c r="G44" s="308">
        <v>1</v>
      </c>
      <c r="H44" s="309">
        <v>55000</v>
      </c>
      <c r="I44" s="309">
        <v>55000</v>
      </c>
      <c r="J44" s="211"/>
      <c r="K44" s="212" t="str">
        <f>IF(OR(J44="",G44=J44),"","*")</f>
        <v/>
      </c>
      <c r="L44" s="338">
        <f>IF($A44&lt;=L$1,I44/I$4,"")</f>
        <v>3.7565121699724771E-3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313</v>
      </c>
      <c r="AF44" s="341"/>
    </row>
    <row r="45" spans="1:32">
      <c r="A45" s="307">
        <v>3</v>
      </c>
      <c r="B45" s="342"/>
      <c r="C45" s="342" t="s">
        <v>176</v>
      </c>
      <c r="D45" s="340" t="s">
        <v>279</v>
      </c>
      <c r="E45" s="342"/>
      <c r="F45" s="345" t="s">
        <v>257</v>
      </c>
      <c r="G45" s="308">
        <v>1</v>
      </c>
      <c r="H45" s="309">
        <v>3000</v>
      </c>
      <c r="I45" s="309">
        <v>3000</v>
      </c>
      <c r="J45" s="211"/>
      <c r="K45" s="212" t="str">
        <f>IF(OR(J45="",G45=J45),"","*")</f>
        <v/>
      </c>
      <c r="L45" s="338">
        <f>IF($A45&lt;=L$1,I45/I$4,"")</f>
        <v>2.0490066381668057E-4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280</v>
      </c>
      <c r="AF45" s="341"/>
    </row>
    <row r="46" spans="1:32">
      <c r="A46" s="307">
        <v>3</v>
      </c>
      <c r="B46" s="342"/>
      <c r="C46" s="342" t="s">
        <v>177</v>
      </c>
      <c r="D46" s="340" t="s">
        <v>288</v>
      </c>
      <c r="E46" s="342"/>
      <c r="F46" s="345" t="s">
        <v>257</v>
      </c>
      <c r="G46" s="308">
        <v>2</v>
      </c>
      <c r="H46" s="309">
        <v>5000</v>
      </c>
      <c r="I46" s="309">
        <v>10000</v>
      </c>
      <c r="J46" s="211"/>
      <c r="K46" s="212" t="str">
        <f>IF(OR(J46="",G46=J46),"","*")</f>
        <v/>
      </c>
      <c r="L46" s="338">
        <f>IF($A46&lt;=L$1,I46/I$4,"")</f>
        <v>6.8300221272226856E-4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289</v>
      </c>
      <c r="AF46" s="341" t="s">
        <v>314</v>
      </c>
    </row>
    <row r="47" spans="1:32">
      <c r="A47" s="307">
        <v>3</v>
      </c>
      <c r="B47" s="342"/>
      <c r="C47" s="342" t="s">
        <v>177</v>
      </c>
      <c r="D47" s="340" t="s">
        <v>291</v>
      </c>
      <c r="E47" s="342" t="s">
        <v>292</v>
      </c>
      <c r="F47" s="345" t="s">
        <v>257</v>
      </c>
      <c r="G47" s="308">
        <v>2</v>
      </c>
      <c r="H47" s="309">
        <v>4000</v>
      </c>
      <c r="I47" s="309">
        <v>8000</v>
      </c>
      <c r="J47" s="211"/>
      <c r="K47" s="212" t="str">
        <f>IF(OR(J47="",G47=J47),"","*")</f>
        <v/>
      </c>
      <c r="L47" s="338">
        <f>IF($A47&lt;=L$1,I47/I$4,"")</f>
        <v>5.4640177017781482E-4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293</v>
      </c>
      <c r="AF47" s="341" t="s">
        <v>314</v>
      </c>
    </row>
    <row r="48" spans="1:32">
      <c r="A48" s="307">
        <v>2</v>
      </c>
      <c r="B48" s="342"/>
      <c r="C48" s="342" t="s">
        <v>222</v>
      </c>
      <c r="D48" s="340" t="s">
        <v>315</v>
      </c>
      <c r="E48" s="342"/>
      <c r="F48" s="345" t="s">
        <v>169</v>
      </c>
      <c r="G48" s="308">
        <v>395</v>
      </c>
      <c r="H48" s="309">
        <v>1721</v>
      </c>
      <c r="I48" s="309">
        <v>679795</v>
      </c>
      <c r="J48" s="211">
        <v>395</v>
      </c>
      <c r="K48" s="212" t="str">
        <f>IF(OR(J48="",G48=J48),"","*")</f>
        <v/>
      </c>
      <c r="L48" s="338">
        <f>IF($A48&lt;=L$1,I48/I$4,"")</f>
        <v>4.6430148919753458E-2</v>
      </c>
      <c r="M48" s="343"/>
      <c r="N48" s="344" t="s">
        <v>316</v>
      </c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3</v>
      </c>
      <c r="B49" s="342"/>
      <c r="C49" s="342" t="s">
        <v>173</v>
      </c>
      <c r="D49" s="340" t="s">
        <v>317</v>
      </c>
      <c r="E49" s="342" t="s">
        <v>318</v>
      </c>
      <c r="F49" s="345" t="s">
        <v>239</v>
      </c>
      <c r="G49" s="308">
        <v>25</v>
      </c>
      <c r="H49" s="309">
        <v>14000</v>
      </c>
      <c r="I49" s="309">
        <v>350000</v>
      </c>
      <c r="J49" s="211"/>
      <c r="K49" s="212" t="str">
        <f>IF(OR(J49="",G49=J49),"","*")</f>
        <v/>
      </c>
      <c r="L49" s="338">
        <f>IF($A49&lt;=L$1,I49/I$4,"")</f>
        <v>2.39050774452794E-2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319</v>
      </c>
      <c r="AF49" s="341" t="s">
        <v>320</v>
      </c>
    </row>
    <row r="50" spans="1:32">
      <c r="A50" s="307">
        <v>3</v>
      </c>
      <c r="B50" s="342"/>
      <c r="C50" s="342" t="s">
        <v>173</v>
      </c>
      <c r="D50" s="340" t="s">
        <v>235</v>
      </c>
      <c r="E50" s="342"/>
      <c r="F50" s="345" t="s">
        <v>167</v>
      </c>
      <c r="G50" s="308">
        <v>1</v>
      </c>
      <c r="H50" s="309">
        <v>12700</v>
      </c>
      <c r="I50" s="309">
        <v>12700</v>
      </c>
      <c r="J50" s="211"/>
      <c r="K50" s="212" t="str">
        <f>IF(OR(J50="",G50=J50),"","*")</f>
        <v/>
      </c>
      <c r="L50" s="338">
        <f>IF($A50&lt;=L$1,I50/I$4,"")</f>
        <v>8.6741281015728102E-4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307</v>
      </c>
      <c r="AF50" s="341"/>
    </row>
    <row r="51" spans="1:32">
      <c r="A51" s="307">
        <v>3</v>
      </c>
      <c r="B51" s="342"/>
      <c r="C51" s="342" t="s">
        <v>176</v>
      </c>
      <c r="D51" s="340" t="s">
        <v>267</v>
      </c>
      <c r="E51" s="342"/>
      <c r="F51" s="345" t="s">
        <v>257</v>
      </c>
      <c r="G51" s="308">
        <v>1</v>
      </c>
      <c r="H51" s="309">
        <v>8000</v>
      </c>
      <c r="I51" s="309">
        <v>8000</v>
      </c>
      <c r="J51" s="211"/>
      <c r="K51" s="212" t="str">
        <f>IF(OR(J51="",G51=J51),"","*")</f>
        <v/>
      </c>
      <c r="L51" s="338">
        <f>IF($A51&lt;=L$1,I51/I$4,"")</f>
        <v>5.4640177017781482E-4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268</v>
      </c>
      <c r="AF51" s="341"/>
    </row>
    <row r="52" spans="1:32">
      <c r="A52" s="307">
        <v>3</v>
      </c>
      <c r="B52" s="342"/>
      <c r="C52" s="342" t="s">
        <v>176</v>
      </c>
      <c r="D52" s="340" t="s">
        <v>321</v>
      </c>
      <c r="E52" s="342"/>
      <c r="F52" s="345" t="s">
        <v>257</v>
      </c>
      <c r="G52" s="308">
        <v>6</v>
      </c>
      <c r="H52" s="309">
        <v>4300</v>
      </c>
      <c r="I52" s="309">
        <v>25800</v>
      </c>
      <c r="J52" s="211"/>
      <c r="K52" s="212" t="str">
        <f>IF(OR(J52="",G52=J52),"","*")</f>
        <v/>
      </c>
      <c r="L52" s="338">
        <f>IF($A52&lt;=L$1,I52/I$4,"")</f>
        <v>1.762145708823453E-3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322</v>
      </c>
      <c r="AF52" s="341" t="s">
        <v>323</v>
      </c>
    </row>
    <row r="53" spans="1:32">
      <c r="A53" s="307">
        <v>3</v>
      </c>
      <c r="B53" s="342"/>
      <c r="C53" s="342" t="s">
        <v>177</v>
      </c>
      <c r="D53" s="340" t="s">
        <v>324</v>
      </c>
      <c r="E53" s="342" t="s">
        <v>325</v>
      </c>
      <c r="F53" s="345" t="s">
        <v>257</v>
      </c>
      <c r="G53" s="308">
        <v>4</v>
      </c>
      <c r="H53" s="309">
        <v>14000</v>
      </c>
      <c r="I53" s="309">
        <v>56000</v>
      </c>
      <c r="J53" s="211"/>
      <c r="K53" s="212" t="str">
        <f>IF(OR(J53="",G53=J53),"","*")</f>
        <v/>
      </c>
      <c r="L53" s="338">
        <f>IF($A53&lt;=L$1,I53/I$4,"")</f>
        <v>3.8248123912447041E-3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326</v>
      </c>
      <c r="AF53" s="341"/>
    </row>
    <row r="54" spans="1:32">
      <c r="A54" s="307">
        <v>3</v>
      </c>
      <c r="B54" s="342"/>
      <c r="C54" s="342" t="s">
        <v>176</v>
      </c>
      <c r="D54" s="340" t="s">
        <v>327</v>
      </c>
      <c r="E54" s="342"/>
      <c r="F54" s="345" t="s">
        <v>257</v>
      </c>
      <c r="G54" s="308">
        <v>5</v>
      </c>
      <c r="H54" s="309">
        <v>25000</v>
      </c>
      <c r="I54" s="309">
        <v>125000</v>
      </c>
      <c r="J54" s="211"/>
      <c r="K54" s="212" t="str">
        <f>IF(OR(J54="",G54=J54),"","*")</f>
        <v/>
      </c>
      <c r="L54" s="338">
        <f>IF($A54&lt;=L$1,I54/I$4,"")</f>
        <v>8.5375276590283575E-3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328</v>
      </c>
      <c r="AF54" s="341" t="s">
        <v>259</v>
      </c>
    </row>
    <row r="55" spans="1:32">
      <c r="A55" s="307">
        <v>3</v>
      </c>
      <c r="B55" s="342"/>
      <c r="C55" s="342" t="s">
        <v>177</v>
      </c>
      <c r="D55" s="340" t="s">
        <v>285</v>
      </c>
      <c r="E55" s="342"/>
      <c r="F55" s="345" t="s">
        <v>239</v>
      </c>
      <c r="G55" s="308">
        <v>25</v>
      </c>
      <c r="H55" s="309">
        <v>500</v>
      </c>
      <c r="I55" s="309">
        <v>12500</v>
      </c>
      <c r="J55" s="211"/>
      <c r="K55" s="212" t="str">
        <f>IF(OR(J55="",G55=J55),"","*")</f>
        <v/>
      </c>
      <c r="L55" s="338">
        <f>IF($A55&lt;=L$1,I55/I$4,"")</f>
        <v>8.5375276590283567E-4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286</v>
      </c>
      <c r="AF55" s="341"/>
    </row>
    <row r="56" spans="1:32">
      <c r="A56" s="307">
        <v>3</v>
      </c>
      <c r="B56" s="342"/>
      <c r="C56" s="342" t="s">
        <v>176</v>
      </c>
      <c r="D56" s="340" t="s">
        <v>329</v>
      </c>
      <c r="E56" s="342" t="s">
        <v>330</v>
      </c>
      <c r="F56" s="345" t="s">
        <v>257</v>
      </c>
      <c r="G56" s="308">
        <v>1</v>
      </c>
      <c r="H56" s="309">
        <v>90000</v>
      </c>
      <c r="I56" s="309">
        <v>90000</v>
      </c>
      <c r="J56" s="211"/>
      <c r="K56" s="212" t="str">
        <f>IF(OR(J56="",G56=J56),"","*")</f>
        <v/>
      </c>
      <c r="L56" s="338">
        <f>IF($A56&lt;=L$1,I56/I$4,"")</f>
        <v>6.1470199145004173E-3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331</v>
      </c>
      <c r="AF56" s="341"/>
    </row>
    <row r="57" spans="1:32">
      <c r="A57" s="307">
        <v>2</v>
      </c>
      <c r="B57" s="342"/>
      <c r="C57" s="342" t="s">
        <v>222</v>
      </c>
      <c r="D57" s="340" t="s">
        <v>332</v>
      </c>
      <c r="E57" s="342"/>
      <c r="F57" s="345" t="s">
        <v>167</v>
      </c>
      <c r="G57" s="308">
        <v>1</v>
      </c>
      <c r="H57" s="309">
        <v>100000</v>
      </c>
      <c r="I57" s="309">
        <v>100000</v>
      </c>
      <c r="J57" s="211">
        <v>1</v>
      </c>
      <c r="K57" s="212" t="str">
        <f>IF(OR(J57="",G57=J57),"","*")</f>
        <v/>
      </c>
      <c r="L57" s="338">
        <f>IF($A57&lt;=L$1,I57/I$4,"")</f>
        <v>6.8300221272226853E-3</v>
      </c>
      <c r="M57" s="343"/>
      <c r="N57" s="344" t="s">
        <v>333</v>
      </c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/>
    </row>
    <row r="58" spans="1:32">
      <c r="A58" s="307">
        <v>3</v>
      </c>
      <c r="B58" s="342"/>
      <c r="C58" s="342" t="s">
        <v>175</v>
      </c>
      <c r="D58" s="340" t="s">
        <v>334</v>
      </c>
      <c r="E58" s="342"/>
      <c r="F58" s="345" t="s">
        <v>167</v>
      </c>
      <c r="G58" s="308">
        <v>1</v>
      </c>
      <c r="H58" s="309">
        <v>100000</v>
      </c>
      <c r="I58" s="309">
        <v>100000</v>
      </c>
      <c r="J58" s="211"/>
      <c r="K58" s="212" t="str">
        <f>IF(OR(J58="",G58=J58),"","*")</f>
        <v/>
      </c>
      <c r="L58" s="338">
        <f>IF($A58&lt;=L$1,I58/I$4,"")</f>
        <v>6.8300221272226853E-3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2</v>
      </c>
      <c r="B59" s="342"/>
      <c r="C59" s="342" t="s">
        <v>222</v>
      </c>
      <c r="D59" s="340" t="s">
        <v>335</v>
      </c>
      <c r="E59" s="342"/>
      <c r="F59" s="345" t="s">
        <v>167</v>
      </c>
      <c r="G59" s="308">
        <v>1</v>
      </c>
      <c r="H59" s="309">
        <v>240000</v>
      </c>
      <c r="I59" s="309">
        <v>240000</v>
      </c>
      <c r="J59" s="211">
        <v>1</v>
      </c>
      <c r="K59" s="212" t="str">
        <f>IF(OR(J59="",G59=J59),"","*")</f>
        <v/>
      </c>
      <c r="L59" s="338">
        <f>IF($A59&lt;=L$1,I59/I$4,"")</f>
        <v>1.6392053105334446E-2</v>
      </c>
      <c r="M59" s="343"/>
      <c r="N59" s="344" t="s">
        <v>336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3</v>
      </c>
      <c r="B60" s="342"/>
      <c r="C60" s="342" t="s">
        <v>175</v>
      </c>
      <c r="D60" s="340" t="s">
        <v>337</v>
      </c>
      <c r="E60" s="342" t="s">
        <v>338</v>
      </c>
      <c r="F60" s="345" t="s">
        <v>226</v>
      </c>
      <c r="G60" s="308">
        <v>301</v>
      </c>
      <c r="H60" s="309">
        <v>280</v>
      </c>
      <c r="I60" s="309">
        <v>84280</v>
      </c>
      <c r="J60" s="211"/>
      <c r="K60" s="212" t="str">
        <f>IF(OR(J60="",G60=J60),"","*")</f>
        <v/>
      </c>
      <c r="L60" s="338">
        <f>IF($A60&lt;=L$1,I60/I$4,"")</f>
        <v>5.7563426488232792E-3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339</v>
      </c>
      <c r="AF60" s="341"/>
    </row>
    <row r="61" spans="1:32">
      <c r="A61" s="307">
        <v>3</v>
      </c>
      <c r="B61" s="342"/>
      <c r="C61" s="342" t="s">
        <v>175</v>
      </c>
      <c r="D61" s="340" t="s">
        <v>340</v>
      </c>
      <c r="E61" s="342" t="s">
        <v>338</v>
      </c>
      <c r="F61" s="345" t="s">
        <v>226</v>
      </c>
      <c r="G61" s="308">
        <v>210</v>
      </c>
      <c r="H61" s="309">
        <v>370</v>
      </c>
      <c r="I61" s="309">
        <v>77700</v>
      </c>
      <c r="J61" s="211"/>
      <c r="K61" s="212" t="str">
        <f>IF(OR(J61="",G61=J61),"","*")</f>
        <v/>
      </c>
      <c r="L61" s="338">
        <f>IF($A61&lt;=L$1,I61/I$4,"")</f>
        <v>5.3069271928520264E-3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341</v>
      </c>
      <c r="AF61" s="341"/>
    </row>
    <row r="62" spans="1:32">
      <c r="A62" s="307">
        <v>3</v>
      </c>
      <c r="B62" s="342"/>
      <c r="C62" s="342" t="s">
        <v>175</v>
      </c>
      <c r="D62" s="340" t="s">
        <v>342</v>
      </c>
      <c r="E62" s="342" t="s">
        <v>338</v>
      </c>
      <c r="F62" s="345" t="s">
        <v>226</v>
      </c>
      <c r="G62" s="308">
        <v>10</v>
      </c>
      <c r="H62" s="309">
        <v>310</v>
      </c>
      <c r="I62" s="309">
        <v>3100</v>
      </c>
      <c r="J62" s="211"/>
      <c r="K62" s="212" t="str">
        <f>IF(OR(J62="",G62=J62),"","*")</f>
        <v/>
      </c>
      <c r="L62" s="338">
        <f>IF($A62&lt;=L$1,I62/I$4,"")</f>
        <v>2.1173068594390325E-4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343</v>
      </c>
      <c r="AF62" s="341"/>
    </row>
    <row r="63" spans="1:32">
      <c r="A63" s="307">
        <v>3</v>
      </c>
      <c r="B63" s="342"/>
      <c r="C63" s="342" t="s">
        <v>175</v>
      </c>
      <c r="D63" s="340" t="s">
        <v>342</v>
      </c>
      <c r="E63" s="342" t="s">
        <v>344</v>
      </c>
      <c r="F63" s="345" t="s">
        <v>226</v>
      </c>
      <c r="G63" s="308">
        <v>15</v>
      </c>
      <c r="H63" s="309">
        <v>600</v>
      </c>
      <c r="I63" s="309">
        <v>9000</v>
      </c>
      <c r="J63" s="211"/>
      <c r="K63" s="212" t="str">
        <f>IF(OR(J63="",G63=J63),"","*")</f>
        <v/>
      </c>
      <c r="L63" s="338">
        <f>IF($A63&lt;=L$1,I63/I$4,"")</f>
        <v>6.1470199145004169E-4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345</v>
      </c>
      <c r="AF63" s="341"/>
    </row>
    <row r="64" spans="1:32">
      <c r="A64" s="307">
        <v>3</v>
      </c>
      <c r="B64" s="342"/>
      <c r="C64" s="342" t="s">
        <v>175</v>
      </c>
      <c r="D64" s="340" t="s">
        <v>346</v>
      </c>
      <c r="E64" s="342"/>
      <c r="F64" s="345" t="s">
        <v>226</v>
      </c>
      <c r="G64" s="308">
        <v>21</v>
      </c>
      <c r="H64" s="309">
        <v>680</v>
      </c>
      <c r="I64" s="309">
        <v>14280</v>
      </c>
      <c r="J64" s="211"/>
      <c r="K64" s="212" t="str">
        <f>IF(OR(J64="",G64=J64),"","*")</f>
        <v/>
      </c>
      <c r="L64" s="338">
        <f>IF($A64&lt;=L$1,I64/I$4,"")</f>
        <v>9.7532715976739951E-4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347</v>
      </c>
      <c r="AF64" s="341"/>
    </row>
    <row r="65" spans="1:32">
      <c r="A65" s="307">
        <v>3</v>
      </c>
      <c r="B65" s="342"/>
      <c r="C65" s="342" t="s">
        <v>173</v>
      </c>
      <c r="D65" s="340" t="s">
        <v>348</v>
      </c>
      <c r="E65" s="342"/>
      <c r="F65" s="345" t="s">
        <v>349</v>
      </c>
      <c r="G65" s="308">
        <v>3</v>
      </c>
      <c r="H65" s="309">
        <v>7300</v>
      </c>
      <c r="I65" s="309">
        <v>21900</v>
      </c>
      <c r="J65" s="211"/>
      <c r="K65" s="212" t="str">
        <f>IF(OR(J65="",G65=J65),"","*")</f>
        <v/>
      </c>
      <c r="L65" s="338">
        <f>IF($A65&lt;=L$1,I65/I$4,"")</f>
        <v>1.4957748458617681E-3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3</v>
      </c>
      <c r="B66" s="342"/>
      <c r="C66" s="342" t="s">
        <v>173</v>
      </c>
      <c r="D66" s="340" t="s">
        <v>350</v>
      </c>
      <c r="E66" s="342"/>
      <c r="F66" s="345" t="s">
        <v>351</v>
      </c>
      <c r="G66" s="308">
        <v>2</v>
      </c>
      <c r="H66" s="309">
        <v>10000</v>
      </c>
      <c r="I66" s="309">
        <v>20000</v>
      </c>
      <c r="J66" s="211"/>
      <c r="K66" s="212" t="str">
        <f>IF(OR(J66="",G66=J66),"","*")</f>
        <v/>
      </c>
      <c r="L66" s="338">
        <f>IF($A66&lt;=L$1,I66/I$4,"")</f>
        <v>1.3660044254445371E-3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3</v>
      </c>
      <c r="B67" s="342"/>
      <c r="C67" s="342" t="s">
        <v>173</v>
      </c>
      <c r="D67" s="340" t="s">
        <v>235</v>
      </c>
      <c r="E67" s="342"/>
      <c r="F67" s="345" t="s">
        <v>167</v>
      </c>
      <c r="G67" s="308">
        <v>1</v>
      </c>
      <c r="H67" s="309">
        <v>9740</v>
      </c>
      <c r="I67" s="309">
        <v>9740</v>
      </c>
      <c r="J67" s="211"/>
      <c r="K67" s="212" t="str">
        <f>IF(OR(J67="",G67=J67),"","*")</f>
        <v/>
      </c>
      <c r="L67" s="338">
        <f>IF($A67&lt;=L$1,I67/I$4,"")</f>
        <v>6.652441551914896E-4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252</v>
      </c>
      <c r="AF67" s="341"/>
    </row>
    <row r="68" spans="1:32">
      <c r="A68" s="307">
        <v>2</v>
      </c>
      <c r="B68" s="342"/>
      <c r="C68" s="342" t="s">
        <v>222</v>
      </c>
      <c r="D68" s="340" t="s">
        <v>352</v>
      </c>
      <c r="E68" s="342" t="s">
        <v>171</v>
      </c>
      <c r="F68" s="345" t="s">
        <v>172</v>
      </c>
      <c r="G68" s="308">
        <v>10</v>
      </c>
      <c r="H68" s="309">
        <v>50000</v>
      </c>
      <c r="I68" s="309">
        <v>500000</v>
      </c>
      <c r="J68" s="211">
        <v>3</v>
      </c>
      <c r="K68" s="212" t="str">
        <f>IF(OR(J68="",G68=J68),"","*")</f>
        <v>*</v>
      </c>
      <c r="L68" s="338">
        <f>IF($A68&lt;=L$1,I68/I$4,"")</f>
        <v>3.415011063611343E-2</v>
      </c>
      <c r="M68" s="343"/>
      <c r="N68" s="344" t="s">
        <v>353</v>
      </c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3</v>
      </c>
      <c r="B69" s="342"/>
      <c r="C69" s="342" t="s">
        <v>175</v>
      </c>
      <c r="D69" s="340" t="s">
        <v>354</v>
      </c>
      <c r="E69" s="342"/>
      <c r="F69" s="345" t="s">
        <v>172</v>
      </c>
      <c r="G69" s="308">
        <v>10</v>
      </c>
      <c r="H69" s="309">
        <v>15000</v>
      </c>
      <c r="I69" s="309">
        <v>150000</v>
      </c>
      <c r="J69" s="211"/>
      <c r="K69" s="212" t="str">
        <f>IF(OR(J69="",G69=J69),"","*")</f>
        <v/>
      </c>
      <c r="L69" s="338">
        <f>IF($A69&lt;=L$1,I69/I$4,"")</f>
        <v>1.0245033190834028E-2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2</v>
      </c>
      <c r="B70" s="342"/>
      <c r="C70" s="342" t="s">
        <v>222</v>
      </c>
      <c r="D70" s="340" t="s">
        <v>236</v>
      </c>
      <c r="E70" s="342" t="s">
        <v>168</v>
      </c>
      <c r="F70" s="345" t="s">
        <v>169</v>
      </c>
      <c r="G70" s="308">
        <v>58</v>
      </c>
      <c r="H70" s="309">
        <v>3600</v>
      </c>
      <c r="I70" s="309">
        <v>208800</v>
      </c>
      <c r="J70" s="211">
        <v>58</v>
      </c>
      <c r="K70" s="212" t="str">
        <f>IF(OR(J70="",G70=J70),"","*")</f>
        <v/>
      </c>
      <c r="L70" s="338">
        <f>IF($A70&lt;=L$1,I70/I$4,"")</f>
        <v>1.4261086201640967E-2</v>
      </c>
      <c r="M70" s="343"/>
      <c r="N70" s="344" t="s">
        <v>355</v>
      </c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3</v>
      </c>
      <c r="B71" s="342"/>
      <c r="C71" s="342" t="s">
        <v>175</v>
      </c>
      <c r="D71" s="340" t="s">
        <v>356</v>
      </c>
      <c r="E71" s="342"/>
      <c r="F71" s="345" t="s">
        <v>169</v>
      </c>
      <c r="G71" s="308">
        <v>58</v>
      </c>
      <c r="H71" s="309">
        <v>3600</v>
      </c>
      <c r="I71" s="309">
        <v>208800</v>
      </c>
      <c r="J71" s="211"/>
      <c r="K71" s="212" t="str">
        <f>IF(OR(J71="",G71=J71),"","*")</f>
        <v/>
      </c>
      <c r="L71" s="338">
        <f>IF($A71&lt;=L$1,I71/I$4,"")</f>
        <v>1.4261086201640967E-2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2</v>
      </c>
      <c r="B72" s="342"/>
      <c r="C72" s="342" t="s">
        <v>222</v>
      </c>
      <c r="D72" s="340" t="s">
        <v>294</v>
      </c>
      <c r="E72" s="342" t="s">
        <v>170</v>
      </c>
      <c r="F72" s="345" t="s">
        <v>169</v>
      </c>
      <c r="G72" s="308">
        <v>58</v>
      </c>
      <c r="H72" s="309">
        <v>2050</v>
      </c>
      <c r="I72" s="309">
        <v>118900</v>
      </c>
      <c r="J72" s="211">
        <v>58</v>
      </c>
      <c r="K72" s="212" t="str">
        <f>IF(OR(J72="",G72=J72),"","*")</f>
        <v/>
      </c>
      <c r="L72" s="338">
        <f>IF($A72&lt;=L$1,I72/I$4,"")</f>
        <v>8.1208963092677736E-3</v>
      </c>
      <c r="M72" s="343"/>
      <c r="N72" s="344" t="s">
        <v>357</v>
      </c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307">
        <v>3</v>
      </c>
      <c r="B73" s="342"/>
      <c r="C73" s="342" t="s">
        <v>175</v>
      </c>
      <c r="D73" s="340" t="s">
        <v>358</v>
      </c>
      <c r="E73" s="342"/>
      <c r="F73" s="345" t="s">
        <v>169</v>
      </c>
      <c r="G73" s="308">
        <v>58</v>
      </c>
      <c r="H73" s="309">
        <v>2050</v>
      </c>
      <c r="I73" s="309">
        <v>118900</v>
      </c>
      <c r="J73" s="211"/>
      <c r="K73" s="212" t="str">
        <f>IF(OR(J73="",G73=J73),"","*")</f>
        <v/>
      </c>
      <c r="L73" s="338">
        <f>IF($A73&lt;=L$1,I73/I$4,"")</f>
        <v>8.1208963092677736E-3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/>
      <c r="AF73" s="341"/>
    </row>
    <row r="74" spans="1:32">
      <c r="A74" s="307">
        <v>2</v>
      </c>
      <c r="B74" s="342"/>
      <c r="C74" s="342" t="s">
        <v>222</v>
      </c>
      <c r="D74" s="340" t="s">
        <v>332</v>
      </c>
      <c r="E74" s="342"/>
      <c r="F74" s="345" t="s">
        <v>167</v>
      </c>
      <c r="G74" s="308">
        <v>4</v>
      </c>
      <c r="H74" s="309">
        <v>100000</v>
      </c>
      <c r="I74" s="309">
        <v>400000</v>
      </c>
      <c r="J74" s="211">
        <v>4</v>
      </c>
      <c r="K74" s="212" t="str">
        <f>IF(OR(J74="",G74=J74),"","*")</f>
        <v/>
      </c>
      <c r="L74" s="338">
        <f>IF($A74&lt;=L$1,I74/I$4,"")</f>
        <v>2.7320088508890741E-2</v>
      </c>
      <c r="M74" s="343"/>
      <c r="N74" s="344" t="s">
        <v>359</v>
      </c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3</v>
      </c>
      <c r="B75" s="342"/>
      <c r="C75" s="342"/>
      <c r="D75" s="340" t="s">
        <v>334</v>
      </c>
      <c r="E75" s="342"/>
      <c r="F75" s="345" t="s">
        <v>167</v>
      </c>
      <c r="G75" s="308">
        <v>4</v>
      </c>
      <c r="H75" s="309">
        <v>100000</v>
      </c>
      <c r="I75" s="309">
        <v>400000</v>
      </c>
      <c r="J75" s="211"/>
      <c r="K75" s="212" t="str">
        <f>IF(OR(J75="",G75=J75),"","*")</f>
        <v/>
      </c>
      <c r="L75" s="338">
        <f>IF($A75&lt;=L$1,I75/I$4,"")</f>
        <v>2.7320088508890741E-2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/>
      <c r="AF75" s="341"/>
    </row>
    <row r="76" spans="1:32">
      <c r="A76" s="217"/>
      <c r="B76" s="217"/>
      <c r="C76" s="312"/>
      <c r="D76" s="217"/>
      <c r="E76" s="217"/>
      <c r="F76" s="218"/>
      <c r="G76" s="217"/>
      <c r="H76" s="217"/>
      <c r="I76" s="217"/>
      <c r="J76" s="217"/>
      <c r="K76" s="218"/>
      <c r="L76" s="217"/>
      <c r="M76" s="217"/>
      <c r="N76" s="217"/>
      <c r="O76" s="217"/>
      <c r="P76" s="217"/>
      <c r="Q76" s="217"/>
      <c r="R76" s="217"/>
      <c r="S76" s="218"/>
      <c r="T76" s="217"/>
      <c r="U76" s="217"/>
      <c r="V76" s="217"/>
      <c r="W76" s="217"/>
      <c r="X76" s="217"/>
      <c r="Y76" s="217"/>
      <c r="Z76" s="217"/>
      <c r="AA76" s="218"/>
      <c r="AB76" s="217"/>
      <c r="AC76" s="217"/>
      <c r="AD76" s="217"/>
      <c r="AE76" s="217"/>
      <c r="AF76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75 AF4:AF75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75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162</v>
      </c>
      <c r="D4" s="315">
        <v>210000</v>
      </c>
      <c r="E4" s="120"/>
      <c r="F4" s="119" t="s">
        <v>361</v>
      </c>
      <c r="G4" s="316">
        <v>610000</v>
      </c>
      <c r="H4" s="69"/>
    </row>
    <row r="5" spans="1:8" ht="27" customHeight="1">
      <c r="A5" s="69"/>
      <c r="B5" s="118"/>
      <c r="C5" s="119" t="s">
        <v>163</v>
      </c>
      <c r="D5" s="315">
        <v>620000</v>
      </c>
      <c r="E5" s="120"/>
      <c r="F5" s="119"/>
      <c r="G5" s="316"/>
      <c r="H5" s="69"/>
    </row>
    <row r="6" spans="1:8" ht="27" customHeight="1">
      <c r="A6" s="69"/>
      <c r="B6" s="118"/>
      <c r="C6" s="119" t="s">
        <v>164</v>
      </c>
      <c r="D6" s="315">
        <v>170000</v>
      </c>
      <c r="E6" s="120"/>
      <c r="F6" s="119" t="s">
        <v>217</v>
      </c>
      <c r="G6" s="316">
        <v>610000</v>
      </c>
      <c r="H6" s="69"/>
    </row>
    <row r="7" spans="1:8" ht="27" customHeight="1">
      <c r="A7" s="69"/>
      <c r="B7" s="118"/>
      <c r="C7" s="119" t="s">
        <v>165</v>
      </c>
      <c r="D7" s="315">
        <v>530000</v>
      </c>
      <c r="E7" s="120"/>
      <c r="F7" s="119"/>
      <c r="G7" s="316"/>
      <c r="H7" s="69"/>
    </row>
    <row r="8" spans="1:8" ht="27" customHeight="1">
      <c r="A8" s="69"/>
      <c r="B8" s="118"/>
      <c r="C8" s="119" t="s">
        <v>166</v>
      </c>
      <c r="D8" s="315">
        <v>190000</v>
      </c>
      <c r="E8" s="120"/>
      <c r="F8" s="119"/>
      <c r="G8" s="316"/>
      <c r="H8" s="69"/>
    </row>
    <row r="9" spans="1:8" ht="27" customHeight="1">
      <c r="A9" s="69"/>
      <c r="B9" s="118"/>
      <c r="C9" s="119" t="s">
        <v>362</v>
      </c>
      <c r="D9" s="315">
        <v>20000</v>
      </c>
      <c r="E9" s="120"/>
      <c r="F9" s="119"/>
      <c r="G9" s="316"/>
      <c r="H9" s="69"/>
    </row>
    <row r="10" spans="1:8" ht="27" customHeight="1">
      <c r="A10" s="69"/>
      <c r="B10" s="118"/>
      <c r="C10" s="119" t="s">
        <v>165</v>
      </c>
      <c r="D10" s="315">
        <v>40000</v>
      </c>
      <c r="E10" s="120"/>
      <c r="F10" s="119"/>
      <c r="G10" s="316"/>
      <c r="H10" s="69"/>
    </row>
    <row r="11" spans="1:8" ht="27" customHeight="1">
      <c r="A11" s="69"/>
      <c r="B11" s="118"/>
      <c r="C11" s="119" t="s">
        <v>166</v>
      </c>
      <c r="D11" s="315">
        <v>20000</v>
      </c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 t="s">
        <v>217</v>
      </c>
      <c r="D13" s="315">
        <v>1800000</v>
      </c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173</v>
      </c>
      <c r="H3" s="128" t="s">
        <v>174</v>
      </c>
      <c r="I3" s="128" t="s">
        <v>175</v>
      </c>
      <c r="J3" s="128" t="s">
        <v>176</v>
      </c>
      <c r="K3" s="128" t="s">
        <v>177</v>
      </c>
      <c r="L3" s="128" t="s">
        <v>178</v>
      </c>
      <c r="M3" s="128" t="s">
        <v>179</v>
      </c>
      <c r="N3" s="129" t="s">
        <v>166</v>
      </c>
      <c r="O3" s="69"/>
    </row>
    <row r="4" spans="1:15" ht="30" customHeight="1">
      <c r="A4" s="69"/>
      <c r="B4" s="130" t="s">
        <v>162</v>
      </c>
      <c r="C4" s="131" t="s">
        <v>167</v>
      </c>
      <c r="D4" s="320">
        <v>1</v>
      </c>
      <c r="E4" s="321">
        <v>210000</v>
      </c>
      <c r="F4" s="322">
        <v>210000</v>
      </c>
      <c r="G4" s="323"/>
      <c r="H4" s="324"/>
      <c r="I4" s="324"/>
      <c r="J4" s="324"/>
      <c r="K4" s="324">
        <v>210000</v>
      </c>
      <c r="L4" s="324"/>
      <c r="M4" s="324"/>
      <c r="N4" s="325"/>
      <c r="O4" s="69"/>
    </row>
    <row r="5" spans="1:15" ht="30" customHeight="1">
      <c r="A5" s="69"/>
      <c r="B5" s="130" t="s">
        <v>163</v>
      </c>
      <c r="C5" s="131" t="s">
        <v>167</v>
      </c>
      <c r="D5" s="326">
        <v>1</v>
      </c>
      <c r="E5" s="321">
        <v>620000</v>
      </c>
      <c r="F5" s="322">
        <v>620000</v>
      </c>
      <c r="G5" s="323"/>
      <c r="H5" s="324"/>
      <c r="I5" s="324">
        <v>520000</v>
      </c>
      <c r="J5" s="324">
        <v>100000</v>
      </c>
      <c r="K5" s="324"/>
      <c r="L5" s="324"/>
      <c r="M5" s="324"/>
      <c r="N5" s="325"/>
      <c r="O5" s="69"/>
    </row>
    <row r="6" spans="1:15" ht="30" customHeight="1">
      <c r="A6" s="69"/>
      <c r="B6" s="130" t="s">
        <v>164</v>
      </c>
      <c r="C6" s="131" t="s">
        <v>167</v>
      </c>
      <c r="D6" s="326">
        <v>1</v>
      </c>
      <c r="E6" s="321">
        <v>170000</v>
      </c>
      <c r="F6" s="322">
        <v>170000</v>
      </c>
      <c r="G6" s="323">
        <v>7000</v>
      </c>
      <c r="H6" s="324">
        <v>63000</v>
      </c>
      <c r="I6" s="324">
        <v>100000</v>
      </c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165</v>
      </c>
      <c r="C7" s="131" t="s">
        <v>167</v>
      </c>
      <c r="D7" s="326">
        <v>1</v>
      </c>
      <c r="E7" s="321">
        <v>530000</v>
      </c>
      <c r="F7" s="322">
        <v>530000</v>
      </c>
      <c r="G7" s="323"/>
      <c r="H7" s="324"/>
      <c r="I7" s="324">
        <v>530000</v>
      </c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166</v>
      </c>
      <c r="C8" s="131" t="s">
        <v>167</v>
      </c>
      <c r="D8" s="326">
        <v>1</v>
      </c>
      <c r="E8" s="321">
        <v>190000</v>
      </c>
      <c r="F8" s="322">
        <v>190000</v>
      </c>
      <c r="G8" s="323"/>
      <c r="H8" s="324"/>
      <c r="I8" s="324">
        <v>190000</v>
      </c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362</v>
      </c>
      <c r="C9" s="131" t="s">
        <v>167</v>
      </c>
      <c r="D9" s="326">
        <v>1</v>
      </c>
      <c r="E9" s="321">
        <v>20000</v>
      </c>
      <c r="F9" s="322">
        <v>20000</v>
      </c>
      <c r="G9" s="323"/>
      <c r="H9" s="324"/>
      <c r="I9" s="324">
        <v>20000</v>
      </c>
      <c r="J9" s="324"/>
      <c r="K9" s="324"/>
      <c r="L9" s="324"/>
      <c r="M9" s="324"/>
      <c r="N9" s="325"/>
      <c r="O9" s="69"/>
    </row>
    <row r="10" spans="1:15" ht="30" customHeight="1">
      <c r="A10" s="69"/>
      <c r="B10" s="130" t="s">
        <v>165</v>
      </c>
      <c r="C10" s="131" t="s">
        <v>167</v>
      </c>
      <c r="D10" s="326">
        <v>1</v>
      </c>
      <c r="E10" s="321">
        <v>40000</v>
      </c>
      <c r="F10" s="322">
        <v>40000</v>
      </c>
      <c r="G10" s="323"/>
      <c r="H10" s="324"/>
      <c r="I10" s="324">
        <v>40000</v>
      </c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166</v>
      </c>
      <c r="C11" s="131" t="s">
        <v>167</v>
      </c>
      <c r="D11" s="326">
        <v>1</v>
      </c>
      <c r="E11" s="321">
        <v>20000</v>
      </c>
      <c r="F11" s="322">
        <v>20000</v>
      </c>
      <c r="G11" s="323"/>
      <c r="H11" s="324"/>
      <c r="I11" s="324">
        <v>20000</v>
      </c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 t="s">
        <v>217</v>
      </c>
      <c r="C13" s="131"/>
      <c r="D13" s="326"/>
      <c r="E13" s="321"/>
      <c r="F13" s="322">
        <v>1800000</v>
      </c>
      <c r="G13" s="323">
        <v>7000</v>
      </c>
      <c r="H13" s="324">
        <v>63000</v>
      </c>
      <c r="I13" s="324">
        <v>1420000</v>
      </c>
      <c r="J13" s="324">
        <v>100000</v>
      </c>
      <c r="K13" s="324">
        <v>210000</v>
      </c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9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23-170 ★市道温水愛名線舗装補修工事</v>
      </c>
      <c r="G1" s="306"/>
      <c r="H1" s="190" t="s">
        <v>131</v>
      </c>
      <c r="I1" s="333">
        <v>19600000</v>
      </c>
      <c r="J1" s="339">
        <f>I4/I$1</f>
        <v>0.74700209183673472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180</v>
      </c>
      <c r="E4" s="342"/>
      <c r="F4" s="345" t="s">
        <v>167</v>
      </c>
      <c r="G4" s="308">
        <v>1</v>
      </c>
      <c r="H4" s="309">
        <v>14641241</v>
      </c>
      <c r="I4" s="309">
        <v>14641241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363</v>
      </c>
      <c r="P4" s="347" t="s">
        <v>363</v>
      </c>
      <c r="Q4" s="347" t="s">
        <v>363</v>
      </c>
      <c r="R4" s="348" t="s">
        <v>363</v>
      </c>
      <c r="S4" s="349"/>
      <c r="T4" s="343" t="s">
        <v>364</v>
      </c>
      <c r="U4" s="343"/>
      <c r="V4" s="344"/>
      <c r="W4" s="346" t="s">
        <v>363</v>
      </c>
      <c r="X4" s="347" t="s">
        <v>363</v>
      </c>
      <c r="Y4" s="347" t="s">
        <v>363</v>
      </c>
      <c r="Z4" s="348" t="s">
        <v>363</v>
      </c>
      <c r="AA4" s="349"/>
      <c r="AB4" s="343" t="s">
        <v>364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220</v>
      </c>
      <c r="D5" s="340" t="s">
        <v>365</v>
      </c>
      <c r="E5" s="342"/>
      <c r="F5" s="345" t="s">
        <v>167</v>
      </c>
      <c r="G5" s="308">
        <v>1</v>
      </c>
      <c r="H5" s="309">
        <v>1800000</v>
      </c>
      <c r="I5" s="309">
        <v>1800000</v>
      </c>
      <c r="J5" s="211"/>
      <c r="K5" s="212" t="str">
        <f>IF(OR(J5="",G5=J5),"","*")</f>
        <v/>
      </c>
      <c r="L5" s="338">
        <f>IF($A5&lt;=L$1,I5/I$4,"")</f>
        <v>0.12294039829000834</v>
      </c>
      <c r="M5" s="343"/>
      <c r="N5" s="344"/>
      <c r="O5" s="346" t="s">
        <v>363</v>
      </c>
      <c r="P5" s="347" t="s">
        <v>363</v>
      </c>
      <c r="Q5" s="347" t="s">
        <v>363</v>
      </c>
      <c r="R5" s="348" t="s">
        <v>363</v>
      </c>
      <c r="S5" s="349"/>
      <c r="T5" s="343" t="s">
        <v>364</v>
      </c>
      <c r="U5" s="343"/>
      <c r="V5" s="344"/>
      <c r="W5" s="346" t="s">
        <v>363</v>
      </c>
      <c r="X5" s="347" t="s">
        <v>363</v>
      </c>
      <c r="Y5" s="347" t="s">
        <v>363</v>
      </c>
      <c r="Z5" s="348" t="s">
        <v>363</v>
      </c>
      <c r="AA5" s="349"/>
      <c r="AB5" s="343" t="s">
        <v>364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222</v>
      </c>
      <c r="D6" s="340" t="s">
        <v>366</v>
      </c>
      <c r="E6" s="342"/>
      <c r="F6" s="345" t="s">
        <v>167</v>
      </c>
      <c r="G6" s="308">
        <v>1</v>
      </c>
      <c r="H6" s="309">
        <v>210000</v>
      </c>
      <c r="I6" s="309">
        <v>210000</v>
      </c>
      <c r="J6" s="211">
        <v>1</v>
      </c>
      <c r="K6" s="212" t="str">
        <f>IF(OR(J6="",G6=J6),"","*")</f>
        <v/>
      </c>
      <c r="L6" s="338">
        <f>IF($A6&lt;=L$1,I6/I$4,"")</f>
        <v>1.434304646716764E-2</v>
      </c>
      <c r="M6" s="343"/>
      <c r="N6" s="344" t="s">
        <v>367</v>
      </c>
      <c r="O6" s="346" t="s">
        <v>363</v>
      </c>
      <c r="P6" s="347" t="s">
        <v>363</v>
      </c>
      <c r="Q6" s="347" t="s">
        <v>363</v>
      </c>
      <c r="R6" s="348" t="s">
        <v>363</v>
      </c>
      <c r="S6" s="349"/>
      <c r="T6" s="343" t="s">
        <v>364</v>
      </c>
      <c r="U6" s="343"/>
      <c r="V6" s="344"/>
      <c r="W6" s="346" t="s">
        <v>363</v>
      </c>
      <c r="X6" s="347" t="s">
        <v>363</v>
      </c>
      <c r="Y6" s="347" t="s">
        <v>363</v>
      </c>
      <c r="Z6" s="348" t="s">
        <v>363</v>
      </c>
      <c r="AA6" s="349"/>
      <c r="AB6" s="343" t="s">
        <v>364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177</v>
      </c>
      <c r="D7" s="340" t="s">
        <v>368</v>
      </c>
      <c r="E7" s="342" t="s">
        <v>369</v>
      </c>
      <c r="F7" s="345" t="s">
        <v>370</v>
      </c>
      <c r="G7" s="308">
        <v>6</v>
      </c>
      <c r="H7" s="309">
        <v>12000</v>
      </c>
      <c r="I7" s="309">
        <v>72000</v>
      </c>
      <c r="J7" s="211"/>
      <c r="K7" s="212" t="str">
        <f>IF(OR(J7="",G7=J7),"","*")</f>
        <v/>
      </c>
      <c r="L7" s="338">
        <f>IF($A7&lt;=L$1,I7/I$4,"")</f>
        <v>4.9176159316003335E-3</v>
      </c>
      <c r="M7" s="343"/>
      <c r="N7" s="344"/>
      <c r="O7" s="346" t="s">
        <v>363</v>
      </c>
      <c r="P7" s="347" t="s">
        <v>363</v>
      </c>
      <c r="Q7" s="347" t="s">
        <v>363</v>
      </c>
      <c r="R7" s="348" t="s">
        <v>363</v>
      </c>
      <c r="S7" s="349"/>
      <c r="T7" s="343" t="s">
        <v>364</v>
      </c>
      <c r="U7" s="343"/>
      <c r="V7" s="344"/>
      <c r="W7" s="346" t="s">
        <v>363</v>
      </c>
      <c r="X7" s="347" t="s">
        <v>363</v>
      </c>
      <c r="Y7" s="347" t="s">
        <v>363</v>
      </c>
      <c r="Z7" s="348" t="s">
        <v>363</v>
      </c>
      <c r="AA7" s="349"/>
      <c r="AB7" s="343" t="s">
        <v>364</v>
      </c>
      <c r="AC7" s="343"/>
      <c r="AD7" s="344"/>
      <c r="AE7" s="342" t="s">
        <v>371</v>
      </c>
      <c r="AF7" s="341" t="s">
        <v>117</v>
      </c>
    </row>
    <row r="8" spans="1:32">
      <c r="A8" s="307">
        <v>3</v>
      </c>
      <c r="B8" s="342"/>
      <c r="C8" s="342" t="s">
        <v>177</v>
      </c>
      <c r="D8" s="340" t="s">
        <v>372</v>
      </c>
      <c r="E8" s="342" t="s">
        <v>373</v>
      </c>
      <c r="F8" s="345" t="s">
        <v>370</v>
      </c>
      <c r="G8" s="308">
        <v>4</v>
      </c>
      <c r="H8" s="309">
        <v>18000</v>
      </c>
      <c r="I8" s="309">
        <v>72000</v>
      </c>
      <c r="J8" s="211"/>
      <c r="K8" s="212" t="str">
        <f>IF(OR(J8="",G8=J8),"","*")</f>
        <v/>
      </c>
      <c r="L8" s="338">
        <f>IF($A8&lt;=L$1,I8/I$4,"")</f>
        <v>4.9176159316003335E-3</v>
      </c>
      <c r="M8" s="343"/>
      <c r="N8" s="344"/>
      <c r="O8" s="346" t="s">
        <v>363</v>
      </c>
      <c r="P8" s="347" t="s">
        <v>363</v>
      </c>
      <c r="Q8" s="347" t="s">
        <v>363</v>
      </c>
      <c r="R8" s="348" t="s">
        <v>363</v>
      </c>
      <c r="S8" s="349"/>
      <c r="T8" s="343" t="s">
        <v>364</v>
      </c>
      <c r="U8" s="343"/>
      <c r="V8" s="344"/>
      <c r="W8" s="346" t="s">
        <v>363</v>
      </c>
      <c r="X8" s="347" t="s">
        <v>363</v>
      </c>
      <c r="Y8" s="347" t="s">
        <v>363</v>
      </c>
      <c r="Z8" s="348" t="s">
        <v>363</v>
      </c>
      <c r="AA8" s="349"/>
      <c r="AB8" s="343" t="s">
        <v>364</v>
      </c>
      <c r="AC8" s="343"/>
      <c r="AD8" s="344"/>
      <c r="AE8" s="342" t="s">
        <v>374</v>
      </c>
      <c r="AF8" s="341" t="s">
        <v>117</v>
      </c>
    </row>
    <row r="9" spans="1:32">
      <c r="A9" s="307">
        <v>3</v>
      </c>
      <c r="B9" s="342"/>
      <c r="C9" s="342" t="s">
        <v>177</v>
      </c>
      <c r="D9" s="340" t="s">
        <v>375</v>
      </c>
      <c r="E9" s="342" t="s">
        <v>376</v>
      </c>
      <c r="F9" s="345" t="s">
        <v>370</v>
      </c>
      <c r="G9" s="308">
        <v>2</v>
      </c>
      <c r="H9" s="309">
        <v>33000</v>
      </c>
      <c r="I9" s="309">
        <v>66000</v>
      </c>
      <c r="J9" s="211"/>
      <c r="K9" s="212" t="str">
        <f>IF(OR(J9="",G9=J9),"","*")</f>
        <v/>
      </c>
      <c r="L9" s="338">
        <f>IF($A9&lt;=L$1,I9/I$4,"")</f>
        <v>4.5078146039669725E-3</v>
      </c>
      <c r="M9" s="343"/>
      <c r="N9" s="344"/>
      <c r="O9" s="346" t="s">
        <v>363</v>
      </c>
      <c r="P9" s="347" t="s">
        <v>363</v>
      </c>
      <c r="Q9" s="347" t="s">
        <v>363</v>
      </c>
      <c r="R9" s="348" t="s">
        <v>363</v>
      </c>
      <c r="S9" s="349"/>
      <c r="T9" s="343" t="s">
        <v>364</v>
      </c>
      <c r="U9" s="343"/>
      <c r="V9" s="344"/>
      <c r="W9" s="346" t="s">
        <v>363</v>
      </c>
      <c r="X9" s="347" t="s">
        <v>363</v>
      </c>
      <c r="Y9" s="347" t="s">
        <v>363</v>
      </c>
      <c r="Z9" s="348" t="s">
        <v>363</v>
      </c>
      <c r="AA9" s="349"/>
      <c r="AB9" s="343" t="s">
        <v>364</v>
      </c>
      <c r="AC9" s="343"/>
      <c r="AD9" s="344"/>
      <c r="AE9" s="342" t="s">
        <v>377</v>
      </c>
      <c r="AF9" s="341" t="s">
        <v>117</v>
      </c>
    </row>
    <row r="10" spans="1:32">
      <c r="A10" s="307">
        <v>2</v>
      </c>
      <c r="B10" s="342"/>
      <c r="C10" s="342" t="s">
        <v>222</v>
      </c>
      <c r="D10" s="340" t="s">
        <v>378</v>
      </c>
      <c r="E10" s="342"/>
      <c r="F10" s="345" t="s">
        <v>167</v>
      </c>
      <c r="G10" s="308">
        <v>1</v>
      </c>
      <c r="H10" s="309">
        <v>620000</v>
      </c>
      <c r="I10" s="309">
        <v>620000</v>
      </c>
      <c r="J10" s="211">
        <v>1</v>
      </c>
      <c r="K10" s="212" t="str">
        <f>IF(OR(J10="",G10=J10),"","*")</f>
        <v/>
      </c>
      <c r="L10" s="338">
        <f>IF($A10&lt;=L$1,I10/I$4,"")</f>
        <v>4.234613718878065E-2</v>
      </c>
      <c r="M10" s="343"/>
      <c r="N10" s="344" t="s">
        <v>379</v>
      </c>
      <c r="O10" s="346" t="s">
        <v>363</v>
      </c>
      <c r="P10" s="347" t="s">
        <v>363</v>
      </c>
      <c r="Q10" s="347" t="s">
        <v>363</v>
      </c>
      <c r="R10" s="348" t="s">
        <v>363</v>
      </c>
      <c r="S10" s="349"/>
      <c r="T10" s="343" t="s">
        <v>364</v>
      </c>
      <c r="U10" s="343"/>
      <c r="V10" s="344"/>
      <c r="W10" s="346" t="s">
        <v>363</v>
      </c>
      <c r="X10" s="347" t="s">
        <v>363</v>
      </c>
      <c r="Y10" s="347" t="s">
        <v>363</v>
      </c>
      <c r="Z10" s="348" t="s">
        <v>363</v>
      </c>
      <c r="AA10" s="349"/>
      <c r="AB10" s="343" t="s">
        <v>364</v>
      </c>
      <c r="AC10" s="343"/>
      <c r="AD10" s="344"/>
      <c r="AE10" s="342"/>
      <c r="AF10" s="341" t="s">
        <v>117</v>
      </c>
    </row>
    <row r="11" spans="1:32">
      <c r="A11" s="307">
        <v>3</v>
      </c>
      <c r="B11" s="342"/>
      <c r="C11" s="342" t="s">
        <v>176</v>
      </c>
      <c r="D11" s="340" t="s">
        <v>380</v>
      </c>
      <c r="E11" s="342"/>
      <c r="F11" s="345" t="s">
        <v>167</v>
      </c>
      <c r="G11" s="308">
        <v>1</v>
      </c>
      <c r="H11" s="309">
        <v>100000</v>
      </c>
      <c r="I11" s="309">
        <v>100000</v>
      </c>
      <c r="J11" s="211"/>
      <c r="K11" s="212" t="str">
        <f>IF(OR(J11="",G11=J11),"","*")</f>
        <v/>
      </c>
      <c r="L11" s="338">
        <f>IF($A11&lt;=L$1,I11/I$4,"")</f>
        <v>6.8300221272226853E-3</v>
      </c>
      <c r="M11" s="343"/>
      <c r="N11" s="344"/>
      <c r="O11" s="346" t="s">
        <v>363</v>
      </c>
      <c r="P11" s="347" t="s">
        <v>363</v>
      </c>
      <c r="Q11" s="347" t="s">
        <v>363</v>
      </c>
      <c r="R11" s="348" t="s">
        <v>363</v>
      </c>
      <c r="S11" s="349"/>
      <c r="T11" s="343" t="s">
        <v>364</v>
      </c>
      <c r="U11" s="343"/>
      <c r="V11" s="344"/>
      <c r="W11" s="346" t="s">
        <v>363</v>
      </c>
      <c r="X11" s="347" t="s">
        <v>363</v>
      </c>
      <c r="Y11" s="347" t="s">
        <v>363</v>
      </c>
      <c r="Z11" s="348" t="s">
        <v>363</v>
      </c>
      <c r="AA11" s="349"/>
      <c r="AB11" s="343" t="s">
        <v>364</v>
      </c>
      <c r="AC11" s="343"/>
      <c r="AD11" s="344"/>
      <c r="AE11" s="342"/>
      <c r="AF11" s="341" t="s">
        <v>117</v>
      </c>
    </row>
    <row r="12" spans="1:32">
      <c r="A12" s="307">
        <v>3</v>
      </c>
      <c r="B12" s="342"/>
      <c r="C12" s="342" t="s">
        <v>175</v>
      </c>
      <c r="D12" s="340" t="s">
        <v>381</v>
      </c>
      <c r="E12" s="342"/>
      <c r="F12" s="345" t="s">
        <v>234</v>
      </c>
      <c r="G12" s="308">
        <v>26</v>
      </c>
      <c r="H12" s="309">
        <v>20000</v>
      </c>
      <c r="I12" s="309">
        <v>520000</v>
      </c>
      <c r="J12" s="211"/>
      <c r="K12" s="212" t="str">
        <f>IF(OR(J12="",G12=J12),"","*")</f>
        <v/>
      </c>
      <c r="L12" s="338">
        <f>IF($A12&lt;=L$1,I12/I$4,"")</f>
        <v>3.5516115061557968E-2</v>
      </c>
      <c r="M12" s="343"/>
      <c r="N12" s="344"/>
      <c r="O12" s="346" t="s">
        <v>363</v>
      </c>
      <c r="P12" s="347" t="s">
        <v>363</v>
      </c>
      <c r="Q12" s="347" t="s">
        <v>363</v>
      </c>
      <c r="R12" s="348" t="s">
        <v>363</v>
      </c>
      <c r="S12" s="349"/>
      <c r="T12" s="343" t="s">
        <v>364</v>
      </c>
      <c r="U12" s="343"/>
      <c r="V12" s="344"/>
      <c r="W12" s="346" t="s">
        <v>363</v>
      </c>
      <c r="X12" s="347" t="s">
        <v>363</v>
      </c>
      <c r="Y12" s="347" t="s">
        <v>363</v>
      </c>
      <c r="Z12" s="348" t="s">
        <v>363</v>
      </c>
      <c r="AA12" s="349"/>
      <c r="AB12" s="343" t="s">
        <v>364</v>
      </c>
      <c r="AC12" s="343"/>
      <c r="AD12" s="344"/>
      <c r="AE12" s="342" t="s">
        <v>382</v>
      </c>
      <c r="AF12" s="341" t="s">
        <v>117</v>
      </c>
    </row>
    <row r="13" spans="1:32">
      <c r="A13" s="307">
        <v>2</v>
      </c>
      <c r="B13" s="342"/>
      <c r="C13" s="342" t="s">
        <v>222</v>
      </c>
      <c r="D13" s="340" t="s">
        <v>383</v>
      </c>
      <c r="E13" s="342"/>
      <c r="F13" s="345" t="s">
        <v>167</v>
      </c>
      <c r="G13" s="308">
        <v>1</v>
      </c>
      <c r="H13" s="309">
        <v>170000</v>
      </c>
      <c r="I13" s="309">
        <v>170000</v>
      </c>
      <c r="J13" s="211">
        <v>1</v>
      </c>
      <c r="K13" s="212" t="str">
        <f>IF(OR(J13="",G13=J13),"","*")</f>
        <v/>
      </c>
      <c r="L13" s="338">
        <f>IF($A13&lt;=L$1,I13/I$4,"")</f>
        <v>1.1611037616278566E-2</v>
      </c>
      <c r="M13" s="343"/>
      <c r="N13" s="344" t="s">
        <v>384</v>
      </c>
      <c r="O13" s="346" t="s">
        <v>363</v>
      </c>
      <c r="P13" s="347" t="s">
        <v>363</v>
      </c>
      <c r="Q13" s="347" t="s">
        <v>363</v>
      </c>
      <c r="R13" s="348" t="s">
        <v>363</v>
      </c>
      <c r="S13" s="349"/>
      <c r="T13" s="343" t="s">
        <v>364</v>
      </c>
      <c r="U13" s="343"/>
      <c r="V13" s="344"/>
      <c r="W13" s="346" t="s">
        <v>363</v>
      </c>
      <c r="X13" s="347" t="s">
        <v>363</v>
      </c>
      <c r="Y13" s="347" t="s">
        <v>363</v>
      </c>
      <c r="Z13" s="348" t="s">
        <v>363</v>
      </c>
      <c r="AA13" s="349"/>
      <c r="AB13" s="343" t="s">
        <v>364</v>
      </c>
      <c r="AC13" s="343"/>
      <c r="AD13" s="344"/>
      <c r="AE13" s="342"/>
      <c r="AF13" s="341" t="s">
        <v>117</v>
      </c>
    </row>
    <row r="14" spans="1:32">
      <c r="A14" s="307">
        <v>3</v>
      </c>
      <c r="B14" s="342"/>
      <c r="C14" s="342" t="s">
        <v>174</v>
      </c>
      <c r="D14" s="340" t="s">
        <v>233</v>
      </c>
      <c r="E14" s="342"/>
      <c r="F14" s="345" t="s">
        <v>234</v>
      </c>
      <c r="G14" s="308">
        <v>3</v>
      </c>
      <c r="H14" s="309">
        <v>21000</v>
      </c>
      <c r="I14" s="309">
        <v>63000</v>
      </c>
      <c r="J14" s="211"/>
      <c r="K14" s="212" t="str">
        <f>IF(OR(J14="",G14=J14),"","*")</f>
        <v/>
      </c>
      <c r="L14" s="338">
        <f>IF($A14&lt;=L$1,I14/I$4,"")</f>
        <v>4.302913940150292E-3</v>
      </c>
      <c r="M14" s="343"/>
      <c r="N14" s="344"/>
      <c r="O14" s="346" t="s">
        <v>363</v>
      </c>
      <c r="P14" s="347" t="s">
        <v>363</v>
      </c>
      <c r="Q14" s="347" t="s">
        <v>363</v>
      </c>
      <c r="R14" s="348" t="s">
        <v>363</v>
      </c>
      <c r="S14" s="349"/>
      <c r="T14" s="343" t="s">
        <v>364</v>
      </c>
      <c r="U14" s="343"/>
      <c r="V14" s="344"/>
      <c r="W14" s="346" t="s">
        <v>363</v>
      </c>
      <c r="X14" s="347" t="s">
        <v>363</v>
      </c>
      <c r="Y14" s="347" t="s">
        <v>363</v>
      </c>
      <c r="Z14" s="348" t="s">
        <v>363</v>
      </c>
      <c r="AA14" s="349"/>
      <c r="AB14" s="343" t="s">
        <v>364</v>
      </c>
      <c r="AC14" s="343"/>
      <c r="AD14" s="344"/>
      <c r="AE14" s="342" t="s">
        <v>253</v>
      </c>
      <c r="AF14" s="341" t="s">
        <v>117</v>
      </c>
    </row>
    <row r="15" spans="1:32">
      <c r="A15" s="307">
        <v>3</v>
      </c>
      <c r="B15" s="342"/>
      <c r="C15" s="342" t="s">
        <v>175</v>
      </c>
      <c r="D15" s="340" t="s">
        <v>385</v>
      </c>
      <c r="E15" s="342" t="s">
        <v>229</v>
      </c>
      <c r="F15" s="345" t="s">
        <v>167</v>
      </c>
      <c r="G15" s="308">
        <v>1</v>
      </c>
      <c r="H15" s="309">
        <v>40000</v>
      </c>
      <c r="I15" s="309">
        <v>40000</v>
      </c>
      <c r="J15" s="211"/>
      <c r="K15" s="212" t="str">
        <f>IF(OR(J15="",G15=J15),"","*")</f>
        <v/>
      </c>
      <c r="L15" s="338">
        <f>IF($A15&lt;=L$1,I15/I$4,"")</f>
        <v>2.7320088508890742E-3</v>
      </c>
      <c r="M15" s="343"/>
      <c r="N15" s="344"/>
      <c r="O15" s="346" t="s">
        <v>363</v>
      </c>
      <c r="P15" s="347" t="s">
        <v>363</v>
      </c>
      <c r="Q15" s="347" t="s">
        <v>363</v>
      </c>
      <c r="R15" s="348" t="s">
        <v>363</v>
      </c>
      <c r="S15" s="349"/>
      <c r="T15" s="343" t="s">
        <v>364</v>
      </c>
      <c r="U15" s="343"/>
      <c r="V15" s="344"/>
      <c r="W15" s="346" t="s">
        <v>363</v>
      </c>
      <c r="X15" s="347" t="s">
        <v>363</v>
      </c>
      <c r="Y15" s="347" t="s">
        <v>363</v>
      </c>
      <c r="Z15" s="348" t="s">
        <v>363</v>
      </c>
      <c r="AA15" s="349"/>
      <c r="AB15" s="343" t="s">
        <v>364</v>
      </c>
      <c r="AC15" s="343"/>
      <c r="AD15" s="344"/>
      <c r="AE15" s="342" t="s">
        <v>386</v>
      </c>
      <c r="AF15" s="341" t="s">
        <v>117</v>
      </c>
    </row>
    <row r="16" spans="1:32">
      <c r="A16" s="307">
        <v>3</v>
      </c>
      <c r="B16" s="342"/>
      <c r="C16" s="342" t="s">
        <v>175</v>
      </c>
      <c r="D16" s="340" t="s">
        <v>381</v>
      </c>
      <c r="E16" s="342"/>
      <c r="F16" s="345" t="s">
        <v>234</v>
      </c>
      <c r="G16" s="308">
        <v>3</v>
      </c>
      <c r="H16" s="309">
        <v>20000</v>
      </c>
      <c r="I16" s="309">
        <v>60000</v>
      </c>
      <c r="J16" s="211"/>
      <c r="K16" s="212" t="str">
        <f>IF(OR(J16="",G16=J16),"","*")</f>
        <v/>
      </c>
      <c r="L16" s="338">
        <f>IF($A16&lt;=L$1,I16/I$4,"")</f>
        <v>4.0980132763336116E-3</v>
      </c>
      <c r="M16" s="343"/>
      <c r="N16" s="344"/>
      <c r="O16" s="346" t="s">
        <v>363</v>
      </c>
      <c r="P16" s="347" t="s">
        <v>363</v>
      </c>
      <c r="Q16" s="347" t="s">
        <v>363</v>
      </c>
      <c r="R16" s="348" t="s">
        <v>363</v>
      </c>
      <c r="S16" s="349"/>
      <c r="T16" s="343" t="s">
        <v>364</v>
      </c>
      <c r="U16" s="343"/>
      <c r="V16" s="344"/>
      <c r="W16" s="346" t="s">
        <v>363</v>
      </c>
      <c r="X16" s="347" t="s">
        <v>363</v>
      </c>
      <c r="Y16" s="347" t="s">
        <v>363</v>
      </c>
      <c r="Z16" s="348" t="s">
        <v>363</v>
      </c>
      <c r="AA16" s="349"/>
      <c r="AB16" s="343" t="s">
        <v>364</v>
      </c>
      <c r="AC16" s="343"/>
      <c r="AD16" s="344"/>
      <c r="AE16" s="342" t="s">
        <v>382</v>
      </c>
      <c r="AF16" s="341" t="s">
        <v>117</v>
      </c>
    </row>
    <row r="17" spans="1:32">
      <c r="A17" s="307">
        <v>3</v>
      </c>
      <c r="B17" s="342"/>
      <c r="C17" s="342" t="s">
        <v>173</v>
      </c>
      <c r="D17" s="340" t="s">
        <v>235</v>
      </c>
      <c r="E17" s="342"/>
      <c r="F17" s="345" t="s">
        <v>167</v>
      </c>
      <c r="G17" s="308">
        <v>1</v>
      </c>
      <c r="H17" s="309">
        <v>7000</v>
      </c>
      <c r="I17" s="309">
        <v>7000</v>
      </c>
      <c r="J17" s="211"/>
      <c r="K17" s="212" t="str">
        <f>IF(OR(J17="",G17=J17),"","*")</f>
        <v/>
      </c>
      <c r="L17" s="338">
        <f>IF($A17&lt;=L$1,I17/I$4,"")</f>
        <v>4.7810154890558801E-4</v>
      </c>
      <c r="M17" s="343"/>
      <c r="N17" s="344"/>
      <c r="O17" s="346" t="s">
        <v>363</v>
      </c>
      <c r="P17" s="347" t="s">
        <v>363</v>
      </c>
      <c r="Q17" s="347" t="s">
        <v>363</v>
      </c>
      <c r="R17" s="348" t="s">
        <v>363</v>
      </c>
      <c r="S17" s="349"/>
      <c r="T17" s="343" t="s">
        <v>364</v>
      </c>
      <c r="U17" s="343"/>
      <c r="V17" s="344"/>
      <c r="W17" s="346" t="s">
        <v>363</v>
      </c>
      <c r="X17" s="347" t="s">
        <v>363</v>
      </c>
      <c r="Y17" s="347" t="s">
        <v>363</v>
      </c>
      <c r="Z17" s="348" t="s">
        <v>363</v>
      </c>
      <c r="AA17" s="349"/>
      <c r="AB17" s="343" t="s">
        <v>364</v>
      </c>
      <c r="AC17" s="343"/>
      <c r="AD17" s="344"/>
      <c r="AE17" s="342" t="s">
        <v>307</v>
      </c>
      <c r="AF17" s="341" t="s">
        <v>117</v>
      </c>
    </row>
    <row r="18" spans="1:32">
      <c r="A18" s="307">
        <v>2</v>
      </c>
      <c r="B18" s="342"/>
      <c r="C18" s="342" t="s">
        <v>222</v>
      </c>
      <c r="D18" s="340" t="s">
        <v>387</v>
      </c>
      <c r="E18" s="342"/>
      <c r="F18" s="345" t="s">
        <v>167</v>
      </c>
      <c r="G18" s="308">
        <v>1</v>
      </c>
      <c r="H18" s="309">
        <v>530000</v>
      </c>
      <c r="I18" s="309">
        <v>530000</v>
      </c>
      <c r="J18" s="211">
        <v>1</v>
      </c>
      <c r="K18" s="212" t="str">
        <f>IF(OR(J18="",G18=J18),"","*")</f>
        <v/>
      </c>
      <c r="L18" s="338">
        <f>IF($A18&lt;=L$1,I18/I$4,"")</f>
        <v>3.6199117274280233E-2</v>
      </c>
      <c r="M18" s="343"/>
      <c r="N18" s="344" t="s">
        <v>388</v>
      </c>
      <c r="O18" s="346" t="s">
        <v>363</v>
      </c>
      <c r="P18" s="347" t="s">
        <v>363</v>
      </c>
      <c r="Q18" s="347" t="s">
        <v>363</v>
      </c>
      <c r="R18" s="348" t="s">
        <v>363</v>
      </c>
      <c r="S18" s="349"/>
      <c r="T18" s="343" t="s">
        <v>364</v>
      </c>
      <c r="U18" s="343"/>
      <c r="V18" s="344"/>
      <c r="W18" s="346" t="s">
        <v>363</v>
      </c>
      <c r="X18" s="347" t="s">
        <v>363</v>
      </c>
      <c r="Y18" s="347" t="s">
        <v>363</v>
      </c>
      <c r="Z18" s="348" t="s">
        <v>363</v>
      </c>
      <c r="AA18" s="349"/>
      <c r="AB18" s="343" t="s">
        <v>364</v>
      </c>
      <c r="AC18" s="343"/>
      <c r="AD18" s="344"/>
      <c r="AE18" s="342"/>
      <c r="AF18" s="341" t="s">
        <v>117</v>
      </c>
    </row>
    <row r="19" spans="1:32">
      <c r="A19" s="307">
        <v>3</v>
      </c>
      <c r="B19" s="342"/>
      <c r="C19" s="342" t="s">
        <v>175</v>
      </c>
      <c r="D19" s="340" t="s">
        <v>389</v>
      </c>
      <c r="E19" s="342" t="s">
        <v>390</v>
      </c>
      <c r="F19" s="345" t="s">
        <v>167</v>
      </c>
      <c r="G19" s="308">
        <v>1</v>
      </c>
      <c r="H19" s="309">
        <v>500000</v>
      </c>
      <c r="I19" s="309">
        <v>500000</v>
      </c>
      <c r="J19" s="211"/>
      <c r="K19" s="212" t="str">
        <f>IF(OR(J19="",G19=J19),"","*")</f>
        <v/>
      </c>
      <c r="L19" s="338">
        <f>IF($A19&lt;=L$1,I19/I$4,"")</f>
        <v>3.415011063611343E-2</v>
      </c>
      <c r="M19" s="343"/>
      <c r="N19" s="344"/>
      <c r="O19" s="346" t="s">
        <v>363</v>
      </c>
      <c r="P19" s="347" t="s">
        <v>363</v>
      </c>
      <c r="Q19" s="347" t="s">
        <v>363</v>
      </c>
      <c r="R19" s="348" t="s">
        <v>363</v>
      </c>
      <c r="S19" s="349"/>
      <c r="T19" s="343" t="s">
        <v>364</v>
      </c>
      <c r="U19" s="343"/>
      <c r="V19" s="344"/>
      <c r="W19" s="346" t="s">
        <v>363</v>
      </c>
      <c r="X19" s="347" t="s">
        <v>363</v>
      </c>
      <c r="Y19" s="347" t="s">
        <v>363</v>
      </c>
      <c r="Z19" s="348" t="s">
        <v>363</v>
      </c>
      <c r="AA19" s="349"/>
      <c r="AB19" s="343" t="s">
        <v>364</v>
      </c>
      <c r="AC19" s="343"/>
      <c r="AD19" s="344"/>
      <c r="AE19" s="342" t="s">
        <v>391</v>
      </c>
      <c r="AF19" s="341" t="s">
        <v>117</v>
      </c>
    </row>
    <row r="20" spans="1:32">
      <c r="A20" s="307">
        <v>3</v>
      </c>
      <c r="B20" s="342"/>
      <c r="C20" s="342" t="s">
        <v>175</v>
      </c>
      <c r="D20" s="340" t="s">
        <v>389</v>
      </c>
      <c r="E20" s="342" t="s">
        <v>161</v>
      </c>
      <c r="F20" s="345" t="s">
        <v>167</v>
      </c>
      <c r="G20" s="308">
        <v>1</v>
      </c>
      <c r="H20" s="309">
        <v>30000</v>
      </c>
      <c r="I20" s="309">
        <v>30000</v>
      </c>
      <c r="J20" s="211"/>
      <c r="K20" s="212" t="str">
        <f>IF(OR(J20="",G20=J20),"","*")</f>
        <v/>
      </c>
      <c r="L20" s="338">
        <f>IF($A20&lt;=L$1,I20/I$4,"")</f>
        <v>2.0490066381668058E-3</v>
      </c>
      <c r="M20" s="343"/>
      <c r="N20" s="344"/>
      <c r="O20" s="346" t="s">
        <v>363</v>
      </c>
      <c r="P20" s="347" t="s">
        <v>363</v>
      </c>
      <c r="Q20" s="347" t="s">
        <v>363</v>
      </c>
      <c r="R20" s="348" t="s">
        <v>363</v>
      </c>
      <c r="S20" s="349"/>
      <c r="T20" s="343" t="s">
        <v>364</v>
      </c>
      <c r="U20" s="343"/>
      <c r="V20" s="344"/>
      <c r="W20" s="346" t="s">
        <v>363</v>
      </c>
      <c r="X20" s="347" t="s">
        <v>363</v>
      </c>
      <c r="Y20" s="347" t="s">
        <v>363</v>
      </c>
      <c r="Z20" s="348" t="s">
        <v>363</v>
      </c>
      <c r="AA20" s="349"/>
      <c r="AB20" s="343" t="s">
        <v>364</v>
      </c>
      <c r="AC20" s="343"/>
      <c r="AD20" s="344"/>
      <c r="AE20" s="342" t="s">
        <v>391</v>
      </c>
      <c r="AF20" s="341" t="s">
        <v>117</v>
      </c>
    </row>
    <row r="21" spans="1:32">
      <c r="A21" s="307">
        <v>2</v>
      </c>
      <c r="B21" s="342"/>
      <c r="C21" s="342" t="s">
        <v>222</v>
      </c>
      <c r="D21" s="340" t="s">
        <v>392</v>
      </c>
      <c r="E21" s="342"/>
      <c r="F21" s="345" t="s">
        <v>167</v>
      </c>
      <c r="G21" s="308">
        <v>1</v>
      </c>
      <c r="H21" s="309">
        <v>190000</v>
      </c>
      <c r="I21" s="309">
        <v>190000</v>
      </c>
      <c r="J21" s="211">
        <v>1</v>
      </c>
      <c r="K21" s="212" t="str">
        <f>IF(OR(J21="",G21=J21),"","*")</f>
        <v/>
      </c>
      <c r="L21" s="338">
        <f>IF($A21&lt;=L$1,I21/I$4,"")</f>
        <v>1.2977042041723102E-2</v>
      </c>
      <c r="M21" s="343"/>
      <c r="N21" s="344" t="s">
        <v>393</v>
      </c>
      <c r="O21" s="346" t="s">
        <v>363</v>
      </c>
      <c r="P21" s="347" t="s">
        <v>363</v>
      </c>
      <c r="Q21" s="347" t="s">
        <v>363</v>
      </c>
      <c r="R21" s="348" t="s">
        <v>363</v>
      </c>
      <c r="S21" s="349"/>
      <c r="T21" s="343" t="s">
        <v>364</v>
      </c>
      <c r="U21" s="343"/>
      <c r="V21" s="344"/>
      <c r="W21" s="346" t="s">
        <v>363</v>
      </c>
      <c r="X21" s="347" t="s">
        <v>363</v>
      </c>
      <c r="Y21" s="347" t="s">
        <v>363</v>
      </c>
      <c r="Z21" s="348" t="s">
        <v>363</v>
      </c>
      <c r="AA21" s="349"/>
      <c r="AB21" s="343" t="s">
        <v>364</v>
      </c>
      <c r="AC21" s="343"/>
      <c r="AD21" s="344"/>
      <c r="AE21" s="342"/>
      <c r="AF21" s="341" t="s">
        <v>117</v>
      </c>
    </row>
    <row r="22" spans="1:32">
      <c r="A22" s="307">
        <v>3</v>
      </c>
      <c r="B22" s="342"/>
      <c r="C22" s="342" t="s">
        <v>175</v>
      </c>
      <c r="D22" s="340" t="s">
        <v>394</v>
      </c>
      <c r="E22" s="342" t="s">
        <v>395</v>
      </c>
      <c r="F22" s="345" t="s">
        <v>167</v>
      </c>
      <c r="G22" s="308">
        <v>1</v>
      </c>
      <c r="H22" s="309">
        <v>190000</v>
      </c>
      <c r="I22" s="309">
        <v>190000</v>
      </c>
      <c r="J22" s="211"/>
      <c r="K22" s="212" t="str">
        <f>IF(OR(J22="",G22=J22),"","*")</f>
        <v/>
      </c>
      <c r="L22" s="338">
        <f>IF($A22&lt;=L$1,I22/I$4,"")</f>
        <v>1.2977042041723102E-2</v>
      </c>
      <c r="M22" s="343"/>
      <c r="N22" s="344"/>
      <c r="O22" s="346" t="s">
        <v>363</v>
      </c>
      <c r="P22" s="347" t="s">
        <v>363</v>
      </c>
      <c r="Q22" s="347" t="s">
        <v>363</v>
      </c>
      <c r="R22" s="348" t="s">
        <v>363</v>
      </c>
      <c r="S22" s="349"/>
      <c r="T22" s="343" t="s">
        <v>364</v>
      </c>
      <c r="U22" s="343"/>
      <c r="V22" s="344"/>
      <c r="W22" s="346" t="s">
        <v>363</v>
      </c>
      <c r="X22" s="347" t="s">
        <v>363</v>
      </c>
      <c r="Y22" s="347" t="s">
        <v>363</v>
      </c>
      <c r="Z22" s="348" t="s">
        <v>363</v>
      </c>
      <c r="AA22" s="349"/>
      <c r="AB22" s="343" t="s">
        <v>364</v>
      </c>
      <c r="AC22" s="343"/>
      <c r="AD22" s="344"/>
      <c r="AE22" s="342" t="s">
        <v>396</v>
      </c>
      <c r="AF22" s="341" t="s">
        <v>117</v>
      </c>
    </row>
    <row r="23" spans="1:32">
      <c r="A23" s="307">
        <v>2</v>
      </c>
      <c r="B23" s="342"/>
      <c r="C23" s="342" t="s">
        <v>222</v>
      </c>
      <c r="D23" s="340" t="s">
        <v>397</v>
      </c>
      <c r="E23" s="342"/>
      <c r="F23" s="345" t="s">
        <v>167</v>
      </c>
      <c r="G23" s="308">
        <v>1</v>
      </c>
      <c r="H23" s="309">
        <v>20000</v>
      </c>
      <c r="I23" s="309">
        <v>20000</v>
      </c>
      <c r="J23" s="211">
        <v>1</v>
      </c>
      <c r="K23" s="212" t="str">
        <f>IF(OR(J23="",G23=J23),"","*")</f>
        <v/>
      </c>
      <c r="L23" s="338">
        <f>IF($A23&lt;=L$1,I23/I$4,"")</f>
        <v>1.3660044254445371E-3</v>
      </c>
      <c r="M23" s="343"/>
      <c r="N23" s="344" t="s">
        <v>398</v>
      </c>
      <c r="O23" s="346" t="s">
        <v>363</v>
      </c>
      <c r="P23" s="347" t="s">
        <v>363</v>
      </c>
      <c r="Q23" s="347" t="s">
        <v>363</v>
      </c>
      <c r="R23" s="348" t="s">
        <v>363</v>
      </c>
      <c r="S23" s="349"/>
      <c r="T23" s="343" t="s">
        <v>364</v>
      </c>
      <c r="U23" s="343"/>
      <c r="V23" s="344"/>
      <c r="W23" s="346" t="s">
        <v>363</v>
      </c>
      <c r="X23" s="347" t="s">
        <v>363</v>
      </c>
      <c r="Y23" s="347" t="s">
        <v>363</v>
      </c>
      <c r="Z23" s="348" t="s">
        <v>363</v>
      </c>
      <c r="AA23" s="349"/>
      <c r="AB23" s="343" t="s">
        <v>364</v>
      </c>
      <c r="AC23" s="343"/>
      <c r="AD23" s="344"/>
      <c r="AE23" s="342"/>
      <c r="AF23" s="341" t="s">
        <v>117</v>
      </c>
    </row>
    <row r="24" spans="1:32">
      <c r="A24" s="307">
        <v>3</v>
      </c>
      <c r="B24" s="342"/>
      <c r="C24" s="342" t="s">
        <v>175</v>
      </c>
      <c r="D24" s="340" t="s">
        <v>399</v>
      </c>
      <c r="E24" s="342"/>
      <c r="F24" s="345" t="s">
        <v>167</v>
      </c>
      <c r="G24" s="308">
        <v>1</v>
      </c>
      <c r="H24" s="309">
        <v>20000</v>
      </c>
      <c r="I24" s="309">
        <v>20000</v>
      </c>
      <c r="J24" s="211"/>
      <c r="K24" s="212" t="str">
        <f>IF(OR(J24="",G24=J24),"","*")</f>
        <v/>
      </c>
      <c r="L24" s="338">
        <f>IF($A24&lt;=L$1,I24/I$4,"")</f>
        <v>1.3660044254445371E-3</v>
      </c>
      <c r="M24" s="343"/>
      <c r="N24" s="344"/>
      <c r="O24" s="346" t="s">
        <v>363</v>
      </c>
      <c r="P24" s="347" t="s">
        <v>363</v>
      </c>
      <c r="Q24" s="347" t="s">
        <v>363</v>
      </c>
      <c r="R24" s="348" t="s">
        <v>363</v>
      </c>
      <c r="S24" s="349"/>
      <c r="T24" s="343" t="s">
        <v>364</v>
      </c>
      <c r="U24" s="343"/>
      <c r="V24" s="344"/>
      <c r="W24" s="346" t="s">
        <v>363</v>
      </c>
      <c r="X24" s="347" t="s">
        <v>363</v>
      </c>
      <c r="Y24" s="347" t="s">
        <v>363</v>
      </c>
      <c r="Z24" s="348" t="s">
        <v>363</v>
      </c>
      <c r="AA24" s="349"/>
      <c r="AB24" s="343" t="s">
        <v>364</v>
      </c>
      <c r="AC24" s="343"/>
      <c r="AD24" s="344"/>
      <c r="AE24" s="342"/>
      <c r="AF24" s="341" t="s">
        <v>117</v>
      </c>
    </row>
    <row r="25" spans="1:32">
      <c r="A25" s="307">
        <v>2</v>
      </c>
      <c r="B25" s="342"/>
      <c r="C25" s="342" t="s">
        <v>222</v>
      </c>
      <c r="D25" s="340" t="s">
        <v>387</v>
      </c>
      <c r="E25" s="342"/>
      <c r="F25" s="345" t="s">
        <v>167</v>
      </c>
      <c r="G25" s="308">
        <v>1</v>
      </c>
      <c r="H25" s="309">
        <v>40000</v>
      </c>
      <c r="I25" s="309">
        <v>40000</v>
      </c>
      <c r="J25" s="211">
        <v>1</v>
      </c>
      <c r="K25" s="212" t="str">
        <f>IF(OR(J25="",G25=J25),"","*")</f>
        <v/>
      </c>
      <c r="L25" s="338">
        <f>IF($A25&lt;=L$1,I25/I$4,"")</f>
        <v>2.7320088508890742E-3</v>
      </c>
      <c r="M25" s="343"/>
      <c r="N25" s="344" t="s">
        <v>400</v>
      </c>
      <c r="O25" s="346" t="s">
        <v>363</v>
      </c>
      <c r="P25" s="347" t="s">
        <v>363</v>
      </c>
      <c r="Q25" s="347" t="s">
        <v>363</v>
      </c>
      <c r="R25" s="348" t="s">
        <v>363</v>
      </c>
      <c r="S25" s="349"/>
      <c r="T25" s="343" t="s">
        <v>364</v>
      </c>
      <c r="U25" s="343"/>
      <c r="V25" s="344"/>
      <c r="W25" s="346" t="s">
        <v>363</v>
      </c>
      <c r="X25" s="347" t="s">
        <v>363</v>
      </c>
      <c r="Y25" s="347" t="s">
        <v>363</v>
      </c>
      <c r="Z25" s="348" t="s">
        <v>363</v>
      </c>
      <c r="AA25" s="349"/>
      <c r="AB25" s="343" t="s">
        <v>364</v>
      </c>
      <c r="AC25" s="343"/>
      <c r="AD25" s="344"/>
      <c r="AE25" s="342"/>
      <c r="AF25" s="341" t="s">
        <v>117</v>
      </c>
    </row>
    <row r="26" spans="1:32">
      <c r="A26" s="307">
        <v>3</v>
      </c>
      <c r="B26" s="342"/>
      <c r="C26" s="342" t="s">
        <v>175</v>
      </c>
      <c r="D26" s="340" t="s">
        <v>389</v>
      </c>
      <c r="E26" s="342"/>
      <c r="F26" s="345" t="s">
        <v>167</v>
      </c>
      <c r="G26" s="308">
        <v>1</v>
      </c>
      <c r="H26" s="309">
        <v>40000</v>
      </c>
      <c r="I26" s="309">
        <v>40000</v>
      </c>
      <c r="J26" s="211"/>
      <c r="K26" s="212" t="str">
        <f>IF(OR(J26="",G26=J26),"","*")</f>
        <v/>
      </c>
      <c r="L26" s="338">
        <f>IF($A26&lt;=L$1,I26/I$4,"")</f>
        <v>2.7320088508890742E-3</v>
      </c>
      <c r="M26" s="343"/>
      <c r="N26" s="344"/>
      <c r="O26" s="346" t="s">
        <v>363</v>
      </c>
      <c r="P26" s="347" t="s">
        <v>363</v>
      </c>
      <c r="Q26" s="347" t="s">
        <v>363</v>
      </c>
      <c r="R26" s="348" t="s">
        <v>363</v>
      </c>
      <c r="S26" s="349"/>
      <c r="T26" s="343" t="s">
        <v>364</v>
      </c>
      <c r="U26" s="343"/>
      <c r="V26" s="344"/>
      <c r="W26" s="346" t="s">
        <v>363</v>
      </c>
      <c r="X26" s="347" t="s">
        <v>363</v>
      </c>
      <c r="Y26" s="347" t="s">
        <v>363</v>
      </c>
      <c r="Z26" s="348" t="s">
        <v>363</v>
      </c>
      <c r="AA26" s="349"/>
      <c r="AB26" s="343" t="s">
        <v>364</v>
      </c>
      <c r="AC26" s="343"/>
      <c r="AD26" s="344"/>
      <c r="AE26" s="342"/>
      <c r="AF26" s="341" t="s">
        <v>117</v>
      </c>
    </row>
    <row r="27" spans="1:32">
      <c r="A27" s="307">
        <v>2</v>
      </c>
      <c r="B27" s="342"/>
      <c r="C27" s="342" t="s">
        <v>222</v>
      </c>
      <c r="D27" s="340" t="s">
        <v>392</v>
      </c>
      <c r="E27" s="342"/>
      <c r="F27" s="345" t="s">
        <v>167</v>
      </c>
      <c r="G27" s="308">
        <v>1</v>
      </c>
      <c r="H27" s="309">
        <v>20000</v>
      </c>
      <c r="I27" s="309">
        <v>20000</v>
      </c>
      <c r="J27" s="211">
        <v>1</v>
      </c>
      <c r="K27" s="212" t="str">
        <f>IF(OR(J27="",G27=J27),"","*")</f>
        <v/>
      </c>
      <c r="L27" s="338">
        <f>IF($A27&lt;=L$1,I27/I$4,"")</f>
        <v>1.3660044254445371E-3</v>
      </c>
      <c r="M27" s="343"/>
      <c r="N27" s="344" t="s">
        <v>401</v>
      </c>
      <c r="O27" s="346" t="s">
        <v>363</v>
      </c>
      <c r="P27" s="347" t="s">
        <v>363</v>
      </c>
      <c r="Q27" s="347" t="s">
        <v>363</v>
      </c>
      <c r="R27" s="348" t="s">
        <v>363</v>
      </c>
      <c r="S27" s="349"/>
      <c r="T27" s="343" t="s">
        <v>364</v>
      </c>
      <c r="U27" s="343"/>
      <c r="V27" s="344"/>
      <c r="W27" s="346" t="s">
        <v>363</v>
      </c>
      <c r="X27" s="347" t="s">
        <v>363</v>
      </c>
      <c r="Y27" s="347" t="s">
        <v>363</v>
      </c>
      <c r="Z27" s="348" t="s">
        <v>363</v>
      </c>
      <c r="AA27" s="349"/>
      <c r="AB27" s="343" t="s">
        <v>364</v>
      </c>
      <c r="AC27" s="343"/>
      <c r="AD27" s="344"/>
      <c r="AE27" s="342"/>
      <c r="AF27" s="341" t="s">
        <v>117</v>
      </c>
    </row>
    <row r="28" spans="1:32">
      <c r="A28" s="307">
        <v>3</v>
      </c>
      <c r="B28" s="342"/>
      <c r="C28" s="342" t="s">
        <v>175</v>
      </c>
      <c r="D28" s="340" t="s">
        <v>394</v>
      </c>
      <c r="E28" s="342"/>
      <c r="F28" s="345" t="s">
        <v>167</v>
      </c>
      <c r="G28" s="308">
        <v>1</v>
      </c>
      <c r="H28" s="309">
        <v>20000</v>
      </c>
      <c r="I28" s="309">
        <v>20000</v>
      </c>
      <c r="J28" s="211"/>
      <c r="K28" s="212" t="str">
        <f>IF(OR(J28="",G28=J28),"","*")</f>
        <v/>
      </c>
      <c r="L28" s="338">
        <f>IF($A28&lt;=L$1,I28/I$4,"")</f>
        <v>1.3660044254445371E-3</v>
      </c>
      <c r="M28" s="343"/>
      <c r="N28" s="344"/>
      <c r="O28" s="346" t="s">
        <v>363</v>
      </c>
      <c r="P28" s="347" t="s">
        <v>363</v>
      </c>
      <c r="Q28" s="347" t="s">
        <v>363</v>
      </c>
      <c r="R28" s="348" t="s">
        <v>363</v>
      </c>
      <c r="S28" s="349"/>
      <c r="T28" s="343" t="s">
        <v>364</v>
      </c>
      <c r="U28" s="343"/>
      <c r="V28" s="344"/>
      <c r="W28" s="346" t="s">
        <v>363</v>
      </c>
      <c r="X28" s="347" t="s">
        <v>363</v>
      </c>
      <c r="Y28" s="347" t="s">
        <v>363</v>
      </c>
      <c r="Z28" s="348" t="s">
        <v>363</v>
      </c>
      <c r="AA28" s="349"/>
      <c r="AB28" s="343" t="s">
        <v>364</v>
      </c>
      <c r="AC28" s="343"/>
      <c r="AD28" s="344"/>
      <c r="AE28" s="342"/>
      <c r="AF28" s="341" t="s">
        <v>117</v>
      </c>
    </row>
    <row r="29" spans="1:32">
      <c r="A29" s="217"/>
      <c r="B29" s="217"/>
      <c r="C29" s="312"/>
      <c r="D29" s="217"/>
      <c r="E29" s="217"/>
      <c r="F29" s="218"/>
      <c r="G29" s="217"/>
      <c r="H29" s="217"/>
      <c r="I29" s="217"/>
      <c r="J29" s="217"/>
      <c r="K29" s="218"/>
      <c r="L29" s="217"/>
      <c r="M29" s="217"/>
      <c r="N29" s="217"/>
      <c r="O29" s="217"/>
      <c r="P29" s="217"/>
      <c r="Q29" s="217"/>
      <c r="R29" s="217"/>
      <c r="S29" s="218"/>
      <c r="T29" s="217"/>
      <c r="U29" s="217"/>
      <c r="V29" s="217"/>
      <c r="W29" s="217"/>
      <c r="X29" s="217"/>
      <c r="Y29" s="217"/>
      <c r="Z29" s="217"/>
      <c r="AA29" s="218"/>
      <c r="AB29" s="217"/>
      <c r="AC29" s="217"/>
      <c r="AD29" s="217"/>
      <c r="AE29" s="217"/>
      <c r="AF29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8 AF4:AF28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8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361</v>
      </c>
      <c r="C3" s="561"/>
      <c r="D3" s="563" t="s">
        <v>167</v>
      </c>
      <c r="E3" s="565">
        <v>1</v>
      </c>
      <c r="F3" s="521">
        <v>610000</v>
      </c>
      <c r="G3" s="557">
        <v>610000</v>
      </c>
      <c r="H3" s="138" t="s">
        <v>402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191</v>
      </c>
      <c r="I4" s="69"/>
    </row>
    <row r="5" spans="1:9" ht="15.75" customHeight="1">
      <c r="A5" s="69"/>
      <c r="B5" s="559"/>
      <c r="C5" s="561"/>
      <c r="D5" s="563"/>
      <c r="E5" s="565"/>
      <c r="F5" s="521"/>
      <c r="G5" s="557"/>
      <c r="H5" s="138"/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/>
      <c r="I6" s="69"/>
    </row>
    <row r="7" spans="1:9" ht="15.75" customHeight="1">
      <c r="A7" s="69"/>
      <c r="B7" s="559" t="s">
        <v>217</v>
      </c>
      <c r="C7" s="561"/>
      <c r="D7" s="563"/>
      <c r="E7" s="565"/>
      <c r="F7" s="521"/>
      <c r="G7" s="557">
        <v>610000</v>
      </c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/>
      <c r="C9" s="561"/>
      <c r="D9" s="563"/>
      <c r="E9" s="565"/>
      <c r="F9" s="521"/>
      <c r="G9" s="557"/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23-170 ★市道温水愛名線舗装補修工事</v>
      </c>
      <c r="G1" s="306"/>
      <c r="H1" s="190" t="s">
        <v>131</v>
      </c>
      <c r="I1" s="333">
        <v>19600000</v>
      </c>
      <c r="J1" s="339">
        <f>I4/I$1</f>
        <v>0.74700209183673472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360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219</v>
      </c>
      <c r="D4" s="340" t="s">
        <v>180</v>
      </c>
      <c r="E4" s="342"/>
      <c r="F4" s="345" t="s">
        <v>167</v>
      </c>
      <c r="G4" s="308">
        <v>1</v>
      </c>
      <c r="H4" s="309">
        <v>14641241</v>
      </c>
      <c r="I4" s="309">
        <v>14641241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363</v>
      </c>
      <c r="P4" s="347" t="s">
        <v>363</v>
      </c>
      <c r="Q4" s="347" t="s">
        <v>363</v>
      </c>
      <c r="R4" s="348" t="s">
        <v>363</v>
      </c>
      <c r="S4" s="349"/>
      <c r="T4" s="343" t="s">
        <v>364</v>
      </c>
      <c r="U4" s="343"/>
      <c r="V4" s="344"/>
      <c r="W4" s="346" t="s">
        <v>363</v>
      </c>
      <c r="X4" s="347" t="s">
        <v>363</v>
      </c>
      <c r="Y4" s="347" t="s">
        <v>363</v>
      </c>
      <c r="Z4" s="348" t="s">
        <v>363</v>
      </c>
      <c r="AA4" s="349"/>
      <c r="AB4" s="343" t="s">
        <v>364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220</v>
      </c>
      <c r="D5" s="340" t="s">
        <v>403</v>
      </c>
      <c r="E5" s="342"/>
      <c r="F5" s="345" t="s">
        <v>167</v>
      </c>
      <c r="G5" s="308">
        <v>1</v>
      </c>
      <c r="H5" s="309">
        <v>610000</v>
      </c>
      <c r="I5" s="309">
        <v>610000</v>
      </c>
      <c r="J5" s="211"/>
      <c r="K5" s="212" t="str">
        <f>IF(OR(J5="",G5=J5),"","*")</f>
        <v/>
      </c>
      <c r="L5" s="338">
        <f>IF($A5&lt;=L$1,I5/I$4,"")</f>
        <v>4.1663134976058384E-2</v>
      </c>
      <c r="M5" s="343"/>
      <c r="N5" s="344"/>
      <c r="O5" s="346" t="s">
        <v>363</v>
      </c>
      <c r="P5" s="347" t="s">
        <v>363</v>
      </c>
      <c r="Q5" s="347" t="s">
        <v>363</v>
      </c>
      <c r="R5" s="348" t="s">
        <v>363</v>
      </c>
      <c r="S5" s="349"/>
      <c r="T5" s="343" t="s">
        <v>364</v>
      </c>
      <c r="U5" s="343"/>
      <c r="V5" s="344"/>
      <c r="W5" s="346" t="s">
        <v>363</v>
      </c>
      <c r="X5" s="347" t="s">
        <v>363</v>
      </c>
      <c r="Y5" s="347" t="s">
        <v>363</v>
      </c>
      <c r="Z5" s="348" t="s">
        <v>363</v>
      </c>
      <c r="AA5" s="349"/>
      <c r="AB5" s="343" t="s">
        <v>364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222</v>
      </c>
      <c r="D6" s="340" t="s">
        <v>404</v>
      </c>
      <c r="E6" s="342"/>
      <c r="F6" s="345" t="s">
        <v>167</v>
      </c>
      <c r="G6" s="308">
        <v>1</v>
      </c>
      <c r="H6" s="309">
        <v>610000</v>
      </c>
      <c r="I6" s="309">
        <v>610000</v>
      </c>
      <c r="J6" s="211">
        <v>1</v>
      </c>
      <c r="K6" s="212" t="str">
        <f>IF(OR(J6="",G6=J6),"","*")</f>
        <v/>
      </c>
      <c r="L6" s="338">
        <f>IF($A6&lt;=L$1,I6/I$4,"")</f>
        <v>4.1663134976058384E-2</v>
      </c>
      <c r="M6" s="343"/>
      <c r="N6" s="344" t="s">
        <v>405</v>
      </c>
      <c r="O6" s="346" t="s">
        <v>363</v>
      </c>
      <c r="P6" s="347" t="s">
        <v>363</v>
      </c>
      <c r="Q6" s="347" t="s">
        <v>363</v>
      </c>
      <c r="R6" s="348" t="s">
        <v>363</v>
      </c>
      <c r="S6" s="349"/>
      <c r="T6" s="343" t="s">
        <v>364</v>
      </c>
      <c r="U6" s="343"/>
      <c r="V6" s="344"/>
      <c r="W6" s="346" t="s">
        <v>363</v>
      </c>
      <c r="X6" s="347" t="s">
        <v>363</v>
      </c>
      <c r="Y6" s="347" t="s">
        <v>363</v>
      </c>
      <c r="Z6" s="348" t="s">
        <v>363</v>
      </c>
      <c r="AA6" s="349"/>
      <c r="AB6" s="343" t="s">
        <v>364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179</v>
      </c>
      <c r="D7" s="340" t="s">
        <v>406</v>
      </c>
      <c r="E7" s="342"/>
      <c r="F7" s="345" t="s">
        <v>407</v>
      </c>
      <c r="G7" s="308">
        <v>20</v>
      </c>
      <c r="H7" s="309">
        <v>30500</v>
      </c>
      <c r="I7" s="309">
        <v>610000</v>
      </c>
      <c r="J7" s="211"/>
      <c r="K7" s="212" t="str">
        <f>IF(OR(J7="",G7=J7),"","*")</f>
        <v/>
      </c>
      <c r="L7" s="338">
        <f>IF($A7&lt;=L$1,I7/I$4,"")</f>
        <v>4.1663134976058384E-2</v>
      </c>
      <c r="M7" s="343"/>
      <c r="N7" s="344"/>
      <c r="O7" s="346" t="s">
        <v>363</v>
      </c>
      <c r="P7" s="347" t="s">
        <v>363</v>
      </c>
      <c r="Q7" s="347" t="s">
        <v>363</v>
      </c>
      <c r="R7" s="348" t="s">
        <v>363</v>
      </c>
      <c r="S7" s="349"/>
      <c r="T7" s="343" t="s">
        <v>364</v>
      </c>
      <c r="U7" s="343"/>
      <c r="V7" s="344"/>
      <c r="W7" s="346" t="s">
        <v>363</v>
      </c>
      <c r="X7" s="347" t="s">
        <v>363</v>
      </c>
      <c r="Y7" s="347" t="s">
        <v>363</v>
      </c>
      <c r="Z7" s="348" t="s">
        <v>363</v>
      </c>
      <c r="AA7" s="349"/>
      <c r="AB7" s="343" t="s">
        <v>364</v>
      </c>
      <c r="AC7" s="343"/>
      <c r="AD7" s="344"/>
      <c r="AE7" s="342" t="s">
        <v>408</v>
      </c>
      <c r="AF7" s="341" t="s">
        <v>117</v>
      </c>
    </row>
    <row r="8" spans="1:32">
      <c r="A8" s="217"/>
      <c r="B8" s="217"/>
      <c r="C8" s="312"/>
      <c r="D8" s="217"/>
      <c r="E8" s="217"/>
      <c r="F8" s="218"/>
      <c r="G8" s="217"/>
      <c r="H8" s="217"/>
      <c r="I8" s="217"/>
      <c r="J8" s="217"/>
      <c r="K8" s="218"/>
      <c r="L8" s="217"/>
      <c r="M8" s="217"/>
      <c r="N8" s="217"/>
      <c r="O8" s="217"/>
      <c r="P8" s="217"/>
      <c r="Q8" s="217"/>
      <c r="R8" s="217"/>
      <c r="S8" s="218"/>
      <c r="T8" s="217"/>
      <c r="U8" s="217"/>
      <c r="V8" s="217"/>
      <c r="W8" s="217"/>
      <c r="X8" s="217"/>
      <c r="Y8" s="217"/>
      <c r="Z8" s="217"/>
      <c r="AA8" s="218"/>
      <c r="AB8" s="217"/>
      <c r="AC8" s="217"/>
      <c r="AD8" s="217"/>
      <c r="AE8" s="217"/>
      <c r="AF8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7 AF4:AF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409</v>
      </c>
      <c r="C3" s="146" t="s">
        <v>410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411</v>
      </c>
      <c r="K4" s="69"/>
    </row>
    <row r="5" spans="1:11" ht="18" customHeight="1">
      <c r="A5" s="69"/>
      <c r="B5" s="574" t="s">
        <v>412</v>
      </c>
      <c r="C5" s="575"/>
      <c r="D5" s="153" t="s">
        <v>85</v>
      </c>
      <c r="E5" s="153" t="s">
        <v>413</v>
      </c>
      <c r="F5" s="153" t="s">
        <v>414</v>
      </c>
      <c r="G5" s="153" t="s">
        <v>415</v>
      </c>
      <c r="H5" s="154" t="s">
        <v>416</v>
      </c>
      <c r="I5" s="153" t="s">
        <v>417</v>
      </c>
      <c r="J5" s="155" t="s">
        <v>418</v>
      </c>
      <c r="K5" s="69"/>
    </row>
    <row r="6" spans="1:11" ht="10.5" customHeight="1">
      <c r="A6" s="69"/>
      <c r="B6" s="156" t="s">
        <v>419</v>
      </c>
      <c r="C6" s="157"/>
      <c r="D6" s="576" t="s">
        <v>420</v>
      </c>
      <c r="E6" s="578">
        <v>84</v>
      </c>
      <c r="F6" s="580">
        <v>800</v>
      </c>
      <c r="G6" s="582">
        <v>67200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421</v>
      </c>
      <c r="J7" s="161"/>
      <c r="K7" s="69" t="s">
        <v>96</v>
      </c>
    </row>
    <row r="8" spans="1:11" ht="10.5" customHeight="1">
      <c r="A8" s="69"/>
      <c r="B8" s="156" t="s">
        <v>422</v>
      </c>
      <c r="C8" s="157"/>
      <c r="D8" s="576" t="s">
        <v>420</v>
      </c>
      <c r="E8" s="578">
        <v>0.6</v>
      </c>
      <c r="F8" s="580">
        <v>219500</v>
      </c>
      <c r="G8" s="582">
        <v>131700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421</v>
      </c>
      <c r="J9" s="162"/>
      <c r="K9" s="69" t="s">
        <v>96</v>
      </c>
    </row>
    <row r="10" spans="1:11" ht="10.5" customHeight="1">
      <c r="A10" s="69"/>
      <c r="B10" s="156" t="s">
        <v>423</v>
      </c>
      <c r="C10" s="157"/>
      <c r="D10" s="576" t="s">
        <v>424</v>
      </c>
      <c r="E10" s="578">
        <v>2</v>
      </c>
      <c r="F10" s="580">
        <v>10000</v>
      </c>
      <c r="G10" s="582">
        <v>20000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421</v>
      </c>
      <c r="J11" s="161"/>
      <c r="K11" s="69" t="s">
        <v>96</v>
      </c>
    </row>
    <row r="12" spans="1:11" ht="10.5" customHeight="1">
      <c r="A12" s="69"/>
      <c r="B12" s="156" t="s">
        <v>425</v>
      </c>
      <c r="C12" s="157"/>
      <c r="D12" s="576" t="s">
        <v>426</v>
      </c>
      <c r="E12" s="584">
        <v>3</v>
      </c>
      <c r="F12" s="580">
        <v>7300</v>
      </c>
      <c r="G12" s="582">
        <v>21900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421</v>
      </c>
      <c r="J13" s="161"/>
      <c r="K13" s="69" t="s">
        <v>96</v>
      </c>
    </row>
    <row r="14" spans="1:11" ht="10.5" customHeight="1">
      <c r="A14" s="69"/>
      <c r="B14" s="156" t="s">
        <v>427</v>
      </c>
      <c r="C14" s="157"/>
      <c r="D14" s="576" t="s">
        <v>428</v>
      </c>
      <c r="E14" s="584">
        <v>600</v>
      </c>
      <c r="F14" s="580">
        <v>150</v>
      </c>
      <c r="G14" s="582">
        <v>90000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421</v>
      </c>
      <c r="J15" s="161"/>
      <c r="K15" s="69" t="s">
        <v>96</v>
      </c>
    </row>
    <row r="16" spans="1:11" ht="10.5" customHeight="1">
      <c r="A16" s="69"/>
      <c r="B16" s="156" t="s">
        <v>427</v>
      </c>
      <c r="C16" s="157"/>
      <c r="D16" s="576" t="s">
        <v>428</v>
      </c>
      <c r="E16" s="584">
        <v>100</v>
      </c>
      <c r="F16" s="580">
        <v>150</v>
      </c>
      <c r="G16" s="582">
        <v>15000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421</v>
      </c>
      <c r="J17" s="161"/>
      <c r="K17" s="69" t="s">
        <v>96</v>
      </c>
    </row>
    <row r="18" spans="1:11" ht="10.5" customHeight="1">
      <c r="A18" s="69"/>
      <c r="B18" s="156" t="s">
        <v>429</v>
      </c>
      <c r="C18" s="157"/>
      <c r="D18" s="576" t="s">
        <v>420</v>
      </c>
      <c r="E18" s="584">
        <v>352</v>
      </c>
      <c r="F18" s="580">
        <v>7200</v>
      </c>
      <c r="G18" s="582">
        <v>2534400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421</v>
      </c>
      <c r="J19" s="161"/>
      <c r="K19" s="69" t="s">
        <v>96</v>
      </c>
    </row>
    <row r="20" spans="1:11" ht="10.5" customHeight="1">
      <c r="A20" s="69"/>
      <c r="B20" s="156" t="s">
        <v>430</v>
      </c>
      <c r="C20" s="157"/>
      <c r="D20" s="576" t="s">
        <v>420</v>
      </c>
      <c r="E20" s="584">
        <v>25</v>
      </c>
      <c r="F20" s="580">
        <v>14000</v>
      </c>
      <c r="G20" s="582">
        <v>350000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431</v>
      </c>
      <c r="C21" s="160"/>
      <c r="D21" s="577"/>
      <c r="E21" s="585"/>
      <c r="F21" s="581"/>
      <c r="G21" s="583"/>
      <c r="H21" s="356"/>
      <c r="I21" s="356" t="s">
        <v>421</v>
      </c>
      <c r="J21" s="161"/>
      <c r="K21" s="69" t="s">
        <v>96</v>
      </c>
    </row>
    <row r="22" spans="1:11" ht="10.5" customHeight="1">
      <c r="A22" s="69"/>
      <c r="B22" s="156" t="s">
        <v>432</v>
      </c>
      <c r="C22" s="157"/>
      <c r="D22" s="576" t="s">
        <v>433</v>
      </c>
      <c r="E22" s="584">
        <v>1</v>
      </c>
      <c r="F22" s="580">
        <v>12700</v>
      </c>
      <c r="G22" s="582">
        <v>12700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421</v>
      </c>
      <c r="J23" s="161"/>
      <c r="K23" s="69" t="s">
        <v>96</v>
      </c>
    </row>
    <row r="24" spans="1:11" ht="10.5" customHeight="1">
      <c r="A24" s="69"/>
      <c r="B24" s="156" t="s">
        <v>432</v>
      </c>
      <c r="C24" s="157"/>
      <c r="D24" s="576" t="s">
        <v>433</v>
      </c>
      <c r="E24" s="578">
        <v>1</v>
      </c>
      <c r="F24" s="580">
        <v>9740</v>
      </c>
      <c r="G24" s="582">
        <v>9740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421</v>
      </c>
      <c r="J25" s="161"/>
      <c r="K25" s="69" t="s">
        <v>96</v>
      </c>
    </row>
    <row r="26" spans="1:11" ht="10.5" customHeight="1">
      <c r="A26" s="69"/>
      <c r="B26" s="156" t="s">
        <v>432</v>
      </c>
      <c r="C26" s="157"/>
      <c r="D26" s="576" t="s">
        <v>433</v>
      </c>
      <c r="E26" s="584">
        <v>1</v>
      </c>
      <c r="F26" s="580">
        <v>9100</v>
      </c>
      <c r="G26" s="582">
        <v>9100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421</v>
      </c>
      <c r="J27" s="161"/>
      <c r="K27" s="69" t="s">
        <v>96</v>
      </c>
    </row>
    <row r="28" spans="1:11" ht="10.5" customHeight="1">
      <c r="A28" s="69"/>
      <c r="B28" s="156" t="s">
        <v>432</v>
      </c>
      <c r="C28" s="157"/>
      <c r="D28" s="576" t="s">
        <v>433</v>
      </c>
      <c r="E28" s="584">
        <v>1</v>
      </c>
      <c r="F28" s="580">
        <v>8800</v>
      </c>
      <c r="G28" s="582">
        <v>8800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421</v>
      </c>
      <c r="J29" s="161"/>
      <c r="K29" s="69" t="s">
        <v>96</v>
      </c>
    </row>
    <row r="30" spans="1:11" ht="10.5" customHeight="1">
      <c r="A30" s="69"/>
      <c r="B30" s="156" t="s">
        <v>432</v>
      </c>
      <c r="C30" s="157"/>
      <c r="D30" s="576" t="s">
        <v>433</v>
      </c>
      <c r="E30" s="584">
        <v>1</v>
      </c>
      <c r="F30" s="580">
        <v>8550</v>
      </c>
      <c r="G30" s="582">
        <v>8550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421</v>
      </c>
      <c r="J31" s="161"/>
      <c r="K31" s="69" t="s">
        <v>96</v>
      </c>
    </row>
    <row r="32" spans="1:11" ht="10.5" customHeight="1">
      <c r="A32" s="69"/>
      <c r="B32" s="156" t="s">
        <v>432</v>
      </c>
      <c r="C32" s="157"/>
      <c r="D32" s="576" t="s">
        <v>433</v>
      </c>
      <c r="E32" s="584">
        <v>1</v>
      </c>
      <c r="F32" s="580">
        <v>7000</v>
      </c>
      <c r="G32" s="582">
        <v>7000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421</v>
      </c>
      <c r="J33" s="161"/>
      <c r="K33" s="69" t="s">
        <v>96</v>
      </c>
    </row>
    <row r="34" spans="1:11" ht="10.5" customHeight="1">
      <c r="A34" s="69"/>
      <c r="B34" s="156" t="s">
        <v>434</v>
      </c>
      <c r="C34" s="157"/>
      <c r="D34" s="576" t="s">
        <v>420</v>
      </c>
      <c r="E34" s="584">
        <v>1.77</v>
      </c>
      <c r="F34" s="580">
        <v>105000</v>
      </c>
      <c r="G34" s="582">
        <v>185850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421</v>
      </c>
      <c r="J35" s="161"/>
      <c r="K35" s="69" t="s">
        <v>96</v>
      </c>
    </row>
    <row r="36" spans="1:11" ht="10.5" customHeight="1">
      <c r="A36" s="69"/>
      <c r="B36" s="156" t="s">
        <v>435</v>
      </c>
      <c r="C36" s="157"/>
      <c r="D36" s="576" t="s">
        <v>420</v>
      </c>
      <c r="E36" s="584">
        <v>4</v>
      </c>
      <c r="F36" s="580">
        <v>1800</v>
      </c>
      <c r="G36" s="582">
        <v>7200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436</v>
      </c>
      <c r="C37" s="160"/>
      <c r="D37" s="577"/>
      <c r="E37" s="585"/>
      <c r="F37" s="581"/>
      <c r="G37" s="583"/>
      <c r="H37" s="356"/>
      <c r="I37" s="356" t="s">
        <v>421</v>
      </c>
      <c r="J37" s="161"/>
      <c r="K37" s="69" t="s">
        <v>96</v>
      </c>
    </row>
    <row r="38" spans="1:11" ht="10.5" customHeight="1">
      <c r="A38" s="69"/>
      <c r="B38" s="156" t="s">
        <v>437</v>
      </c>
      <c r="C38" s="157"/>
      <c r="D38" s="576" t="s">
        <v>420</v>
      </c>
      <c r="E38" s="584">
        <v>176</v>
      </c>
      <c r="F38" s="580">
        <v>14500</v>
      </c>
      <c r="G38" s="582">
        <v>2552000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421</v>
      </c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 t="s">
        <v>438</v>
      </c>
      <c r="C42" s="157"/>
      <c r="D42" s="576"/>
      <c r="E42" s="584"/>
      <c r="F42" s="580"/>
      <c r="G42" s="582">
        <v>6031140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409</v>
      </c>
      <c r="C3" s="146" t="s">
        <v>410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411</v>
      </c>
      <c r="K4" s="69"/>
    </row>
    <row r="5" spans="1:11" ht="18" customHeight="1">
      <c r="A5" s="69"/>
      <c r="B5" s="574" t="s">
        <v>412</v>
      </c>
      <c r="C5" s="575"/>
      <c r="D5" s="153" t="s">
        <v>85</v>
      </c>
      <c r="E5" s="153" t="s">
        <v>413</v>
      </c>
      <c r="F5" s="153" t="s">
        <v>414</v>
      </c>
      <c r="G5" s="153" t="s">
        <v>415</v>
      </c>
      <c r="H5" s="154" t="s">
        <v>416</v>
      </c>
      <c r="I5" s="153" t="s">
        <v>417</v>
      </c>
      <c r="J5" s="155" t="s">
        <v>418</v>
      </c>
      <c r="K5" s="69"/>
    </row>
    <row r="6" spans="1:11" ht="10.5" customHeight="1">
      <c r="A6" s="69"/>
      <c r="B6" s="156" t="s">
        <v>439</v>
      </c>
      <c r="C6" s="157"/>
      <c r="D6" s="576" t="s">
        <v>440</v>
      </c>
      <c r="E6" s="578">
        <v>58</v>
      </c>
      <c r="F6" s="580">
        <v>21000</v>
      </c>
      <c r="G6" s="582">
        <v>1218000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441</v>
      </c>
      <c r="J7" s="161"/>
      <c r="K7" s="69" t="s">
        <v>96</v>
      </c>
    </row>
    <row r="8" spans="1:11" ht="10.5" customHeight="1">
      <c r="A8" s="69"/>
      <c r="B8" s="156" t="s">
        <v>439</v>
      </c>
      <c r="C8" s="157"/>
      <c r="D8" s="576" t="s">
        <v>440</v>
      </c>
      <c r="E8" s="578">
        <v>2</v>
      </c>
      <c r="F8" s="580">
        <v>21000</v>
      </c>
      <c r="G8" s="582">
        <v>42000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441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438</v>
      </c>
      <c r="C12" s="157"/>
      <c r="D12" s="576"/>
      <c r="E12" s="584"/>
      <c r="F12" s="580"/>
      <c r="G12" s="582">
        <v>1260000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409</v>
      </c>
      <c r="C3" s="146" t="s">
        <v>410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411</v>
      </c>
      <c r="K4" s="69"/>
    </row>
    <row r="5" spans="1:11" ht="18" customHeight="1">
      <c r="A5" s="69"/>
      <c r="B5" s="574" t="s">
        <v>412</v>
      </c>
      <c r="C5" s="575"/>
      <c r="D5" s="153" t="s">
        <v>85</v>
      </c>
      <c r="E5" s="153" t="s">
        <v>413</v>
      </c>
      <c r="F5" s="153" t="s">
        <v>414</v>
      </c>
      <c r="G5" s="153" t="s">
        <v>415</v>
      </c>
      <c r="H5" s="154" t="s">
        <v>416</v>
      </c>
      <c r="I5" s="153" t="s">
        <v>417</v>
      </c>
      <c r="J5" s="155" t="s">
        <v>418</v>
      </c>
      <c r="K5" s="69"/>
    </row>
    <row r="6" spans="1:11" ht="10.5" customHeight="1">
      <c r="A6" s="69"/>
      <c r="B6" s="156" t="s">
        <v>442</v>
      </c>
      <c r="C6" s="157"/>
      <c r="D6" s="576" t="s">
        <v>443</v>
      </c>
      <c r="E6" s="578">
        <v>33.333300000000001</v>
      </c>
      <c r="F6" s="580">
        <v>15000</v>
      </c>
      <c r="G6" s="582">
        <v>500000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444</v>
      </c>
      <c r="J7" s="161"/>
      <c r="K7" s="69" t="s">
        <v>96</v>
      </c>
    </row>
    <row r="8" spans="1:11" ht="10.5" customHeight="1">
      <c r="A8" s="69"/>
      <c r="B8" s="156" t="s">
        <v>445</v>
      </c>
      <c r="C8" s="157"/>
      <c r="D8" s="576" t="s">
        <v>433</v>
      </c>
      <c r="E8" s="578">
        <v>1</v>
      </c>
      <c r="F8" s="580">
        <v>40000</v>
      </c>
      <c r="G8" s="582">
        <v>40000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446</v>
      </c>
      <c r="C9" s="160"/>
      <c r="D9" s="577"/>
      <c r="E9" s="579"/>
      <c r="F9" s="581"/>
      <c r="G9" s="583"/>
      <c r="H9" s="356"/>
      <c r="I9" s="356" t="s">
        <v>444</v>
      </c>
      <c r="J9" s="162"/>
      <c r="K9" s="69" t="s">
        <v>96</v>
      </c>
    </row>
    <row r="10" spans="1:11" ht="10.5" customHeight="1">
      <c r="A10" s="69"/>
      <c r="B10" s="156" t="s">
        <v>447</v>
      </c>
      <c r="C10" s="157"/>
      <c r="D10" s="576" t="s">
        <v>433</v>
      </c>
      <c r="E10" s="578">
        <v>1</v>
      </c>
      <c r="F10" s="580">
        <v>12000</v>
      </c>
      <c r="G10" s="582">
        <v>12000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444</v>
      </c>
      <c r="J11" s="161"/>
      <c r="K11" s="69" t="s">
        <v>96</v>
      </c>
    </row>
    <row r="12" spans="1:11" ht="10.5" customHeight="1">
      <c r="A12" s="69"/>
      <c r="B12" s="156" t="s">
        <v>448</v>
      </c>
      <c r="C12" s="157"/>
      <c r="D12" s="576" t="s">
        <v>433</v>
      </c>
      <c r="E12" s="584">
        <v>1</v>
      </c>
      <c r="F12" s="580">
        <v>15000</v>
      </c>
      <c r="G12" s="582">
        <v>15000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446</v>
      </c>
      <c r="C13" s="160"/>
      <c r="D13" s="577"/>
      <c r="E13" s="585"/>
      <c r="F13" s="581"/>
      <c r="G13" s="583"/>
      <c r="H13" s="356"/>
      <c r="I13" s="356" t="s">
        <v>444</v>
      </c>
      <c r="J13" s="161"/>
      <c r="K13" s="69" t="s">
        <v>96</v>
      </c>
    </row>
    <row r="14" spans="1:11" ht="10.5" customHeight="1">
      <c r="A14" s="69"/>
      <c r="B14" s="156" t="s">
        <v>449</v>
      </c>
      <c r="C14" s="157"/>
      <c r="D14" s="576" t="s">
        <v>433</v>
      </c>
      <c r="E14" s="584">
        <v>1</v>
      </c>
      <c r="F14" s="580">
        <v>40000</v>
      </c>
      <c r="G14" s="582">
        <v>40000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444</v>
      </c>
      <c r="J15" s="161"/>
      <c r="K15" s="69" t="s">
        <v>96</v>
      </c>
    </row>
    <row r="16" spans="1:11" ht="10.5" customHeight="1">
      <c r="A16" s="69"/>
      <c r="B16" s="156" t="s">
        <v>449</v>
      </c>
      <c r="C16" s="157"/>
      <c r="D16" s="576" t="s">
        <v>433</v>
      </c>
      <c r="E16" s="584">
        <v>1</v>
      </c>
      <c r="F16" s="580">
        <v>30000</v>
      </c>
      <c r="G16" s="582">
        <v>30000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442</v>
      </c>
      <c r="C17" s="160"/>
      <c r="D17" s="577"/>
      <c r="E17" s="585"/>
      <c r="F17" s="581"/>
      <c r="G17" s="583"/>
      <c r="H17" s="356"/>
      <c r="I17" s="356" t="s">
        <v>444</v>
      </c>
      <c r="J17" s="161"/>
      <c r="K17" s="69" t="s">
        <v>96</v>
      </c>
    </row>
    <row r="18" spans="1:11" ht="10.5" customHeight="1">
      <c r="A18" s="69"/>
      <c r="B18" s="156" t="s">
        <v>449</v>
      </c>
      <c r="C18" s="157"/>
      <c r="D18" s="576" t="s">
        <v>433</v>
      </c>
      <c r="E18" s="584">
        <v>1</v>
      </c>
      <c r="F18" s="580">
        <v>500000</v>
      </c>
      <c r="G18" s="582">
        <v>500000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450</v>
      </c>
      <c r="C19" s="160"/>
      <c r="D19" s="577"/>
      <c r="E19" s="585"/>
      <c r="F19" s="581"/>
      <c r="G19" s="583"/>
      <c r="H19" s="356"/>
      <c r="I19" s="356" t="s">
        <v>444</v>
      </c>
      <c r="J19" s="161"/>
      <c r="K19" s="69" t="s">
        <v>96</v>
      </c>
    </row>
    <row r="20" spans="1:11" ht="10.5" customHeight="1">
      <c r="A20" s="69"/>
      <c r="B20" s="156" t="s">
        <v>451</v>
      </c>
      <c r="C20" s="157"/>
      <c r="D20" s="576" t="s">
        <v>452</v>
      </c>
      <c r="E20" s="584">
        <v>210</v>
      </c>
      <c r="F20" s="580">
        <v>370</v>
      </c>
      <c r="G20" s="582">
        <v>77700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453</v>
      </c>
      <c r="C21" s="160"/>
      <c r="D21" s="577"/>
      <c r="E21" s="585"/>
      <c r="F21" s="581"/>
      <c r="G21" s="583"/>
      <c r="H21" s="356"/>
      <c r="I21" s="356" t="s">
        <v>444</v>
      </c>
      <c r="J21" s="161"/>
      <c r="K21" s="69" t="s">
        <v>96</v>
      </c>
    </row>
    <row r="22" spans="1:11" ht="10.5" customHeight="1">
      <c r="A22" s="69"/>
      <c r="B22" s="156" t="s">
        <v>454</v>
      </c>
      <c r="C22" s="157"/>
      <c r="D22" s="576" t="s">
        <v>452</v>
      </c>
      <c r="E22" s="584">
        <v>301</v>
      </c>
      <c r="F22" s="580">
        <v>280</v>
      </c>
      <c r="G22" s="582">
        <v>84280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453</v>
      </c>
      <c r="C23" s="160"/>
      <c r="D23" s="577"/>
      <c r="E23" s="585"/>
      <c r="F23" s="581"/>
      <c r="G23" s="583"/>
      <c r="H23" s="356"/>
      <c r="I23" s="356" t="s">
        <v>444</v>
      </c>
      <c r="J23" s="161"/>
      <c r="K23" s="69" t="s">
        <v>96</v>
      </c>
    </row>
    <row r="24" spans="1:11" ht="10.5" customHeight="1">
      <c r="A24" s="69"/>
      <c r="B24" s="156" t="s">
        <v>455</v>
      </c>
      <c r="C24" s="157"/>
      <c r="D24" s="576" t="s">
        <v>452</v>
      </c>
      <c r="E24" s="578">
        <v>10</v>
      </c>
      <c r="F24" s="580">
        <v>310</v>
      </c>
      <c r="G24" s="582">
        <v>3100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453</v>
      </c>
      <c r="C25" s="160"/>
      <c r="D25" s="577"/>
      <c r="E25" s="579"/>
      <c r="F25" s="581"/>
      <c r="G25" s="583"/>
      <c r="H25" s="356"/>
      <c r="I25" s="356" t="s">
        <v>444</v>
      </c>
      <c r="J25" s="161"/>
      <c r="K25" s="69" t="s">
        <v>96</v>
      </c>
    </row>
    <row r="26" spans="1:11" ht="10.5" customHeight="1">
      <c r="A26" s="69"/>
      <c r="B26" s="156" t="s">
        <v>455</v>
      </c>
      <c r="C26" s="157"/>
      <c r="D26" s="576" t="s">
        <v>452</v>
      </c>
      <c r="E26" s="584">
        <v>15</v>
      </c>
      <c r="F26" s="580">
        <v>600</v>
      </c>
      <c r="G26" s="582">
        <v>9000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456</v>
      </c>
      <c r="C27" s="160"/>
      <c r="D27" s="577"/>
      <c r="E27" s="585"/>
      <c r="F27" s="581"/>
      <c r="G27" s="583"/>
      <c r="H27" s="356"/>
      <c r="I27" s="356" t="s">
        <v>444</v>
      </c>
      <c r="J27" s="161"/>
      <c r="K27" s="69" t="s">
        <v>96</v>
      </c>
    </row>
    <row r="28" spans="1:11" ht="10.5" customHeight="1">
      <c r="A28" s="69"/>
      <c r="B28" s="156" t="s">
        <v>457</v>
      </c>
      <c r="C28" s="157"/>
      <c r="D28" s="576" t="s">
        <v>440</v>
      </c>
      <c r="E28" s="584">
        <v>29</v>
      </c>
      <c r="F28" s="580">
        <v>20000</v>
      </c>
      <c r="G28" s="582">
        <v>580000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444</v>
      </c>
      <c r="J29" s="161"/>
      <c r="K29" s="69" t="s">
        <v>96</v>
      </c>
    </row>
    <row r="30" spans="1:11" ht="10.5" customHeight="1">
      <c r="A30" s="69"/>
      <c r="B30" s="156" t="s">
        <v>458</v>
      </c>
      <c r="C30" s="157"/>
      <c r="D30" s="576" t="s">
        <v>433</v>
      </c>
      <c r="E30" s="584">
        <v>1</v>
      </c>
      <c r="F30" s="580">
        <v>20000</v>
      </c>
      <c r="G30" s="582">
        <v>20000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444</v>
      </c>
      <c r="J31" s="161"/>
      <c r="K31" s="69" t="s">
        <v>96</v>
      </c>
    </row>
    <row r="32" spans="1:11" ht="10.5" customHeight="1">
      <c r="A32" s="69"/>
      <c r="B32" s="156" t="s">
        <v>459</v>
      </c>
      <c r="C32" s="157"/>
      <c r="D32" s="576" t="s">
        <v>433</v>
      </c>
      <c r="E32" s="584">
        <v>1</v>
      </c>
      <c r="F32" s="580">
        <v>100000</v>
      </c>
      <c r="G32" s="582">
        <v>100000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444</v>
      </c>
      <c r="J33" s="161"/>
      <c r="K33" s="69" t="s">
        <v>96</v>
      </c>
    </row>
    <row r="34" spans="1:11" ht="10.5" customHeight="1">
      <c r="A34" s="69"/>
      <c r="B34" s="156" t="s">
        <v>460</v>
      </c>
      <c r="C34" s="157"/>
      <c r="D34" s="576" t="s">
        <v>461</v>
      </c>
      <c r="E34" s="584">
        <v>58</v>
      </c>
      <c r="F34" s="580">
        <v>2050</v>
      </c>
      <c r="G34" s="582">
        <v>118900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444</v>
      </c>
      <c r="J35" s="161"/>
      <c r="K35" s="69" t="s">
        <v>96</v>
      </c>
    </row>
    <row r="36" spans="1:11" ht="10.5" customHeight="1">
      <c r="A36" s="69"/>
      <c r="B36" s="156" t="s">
        <v>462</v>
      </c>
      <c r="C36" s="157"/>
      <c r="D36" s="576" t="s">
        <v>461</v>
      </c>
      <c r="E36" s="584">
        <v>58</v>
      </c>
      <c r="F36" s="580">
        <v>3600</v>
      </c>
      <c r="G36" s="582">
        <v>208800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444</v>
      </c>
      <c r="J37" s="161"/>
      <c r="K37" s="69" t="s">
        <v>96</v>
      </c>
    </row>
    <row r="38" spans="1:11" ht="10.5" customHeight="1">
      <c r="A38" s="69"/>
      <c r="B38" s="156" t="s">
        <v>463</v>
      </c>
      <c r="C38" s="157"/>
      <c r="D38" s="576" t="s">
        <v>452</v>
      </c>
      <c r="E38" s="584">
        <v>274</v>
      </c>
      <c r="F38" s="580">
        <v>300</v>
      </c>
      <c r="G38" s="582">
        <v>82200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444</v>
      </c>
      <c r="J39" s="161"/>
      <c r="K39" s="69" t="s">
        <v>96</v>
      </c>
    </row>
    <row r="40" spans="1:11" ht="10.5" customHeight="1">
      <c r="A40" s="69"/>
      <c r="B40" s="156" t="s">
        <v>464</v>
      </c>
      <c r="C40" s="157"/>
      <c r="D40" s="576" t="s">
        <v>433</v>
      </c>
      <c r="E40" s="584">
        <v>1</v>
      </c>
      <c r="F40" s="580">
        <v>20000</v>
      </c>
      <c r="G40" s="582">
        <v>20000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444</v>
      </c>
      <c r="J41" s="161"/>
      <c r="K41" s="69" t="s">
        <v>96</v>
      </c>
    </row>
    <row r="42" spans="1:11" ht="10.5" customHeight="1">
      <c r="A42" s="69"/>
      <c r="B42" s="156" t="s">
        <v>464</v>
      </c>
      <c r="C42" s="157"/>
      <c r="D42" s="576" t="s">
        <v>433</v>
      </c>
      <c r="E42" s="584">
        <v>1</v>
      </c>
      <c r="F42" s="580">
        <v>190000</v>
      </c>
      <c r="G42" s="582">
        <v>190000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465</v>
      </c>
      <c r="C43" s="160"/>
      <c r="D43" s="577"/>
      <c r="E43" s="585"/>
      <c r="F43" s="581"/>
      <c r="G43" s="583"/>
      <c r="H43" s="356"/>
      <c r="I43" s="356" t="s">
        <v>444</v>
      </c>
      <c r="J43" s="161"/>
      <c r="K43" s="69" t="s">
        <v>96</v>
      </c>
    </row>
    <row r="44" spans="1:11" ht="10.5" customHeight="1">
      <c r="A44" s="69"/>
      <c r="B44" s="156" t="s">
        <v>466</v>
      </c>
      <c r="C44" s="157"/>
      <c r="D44" s="576" t="s">
        <v>452</v>
      </c>
      <c r="E44" s="584">
        <v>21</v>
      </c>
      <c r="F44" s="580">
        <v>680</v>
      </c>
      <c r="G44" s="582">
        <v>14280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444</v>
      </c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467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409</v>
      </c>
      <c r="C52" s="146" t="s">
        <v>410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411</v>
      </c>
      <c r="K53" s="69"/>
    </row>
    <row r="54" spans="1:11" ht="18" customHeight="1">
      <c r="A54" s="69"/>
      <c r="B54" s="574" t="s">
        <v>412</v>
      </c>
      <c r="C54" s="575"/>
      <c r="D54" s="153" t="s">
        <v>85</v>
      </c>
      <c r="E54" s="153" t="s">
        <v>413</v>
      </c>
      <c r="F54" s="153" t="s">
        <v>414</v>
      </c>
      <c r="G54" s="153" t="s">
        <v>415</v>
      </c>
      <c r="H54" s="154" t="s">
        <v>416</v>
      </c>
      <c r="I54" s="153" t="s">
        <v>417</v>
      </c>
      <c r="J54" s="155" t="s">
        <v>418</v>
      </c>
      <c r="K54" s="69"/>
    </row>
    <row r="55" spans="1:11" ht="10.5" customHeight="1">
      <c r="A55" s="69"/>
      <c r="B55" s="156" t="s">
        <v>438</v>
      </c>
      <c r="C55" s="157"/>
      <c r="D55" s="576"/>
      <c r="E55" s="578"/>
      <c r="F55" s="580"/>
      <c r="G55" s="582">
        <v>2645260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/>
      <c r="J56" s="161"/>
      <c r="K56" s="69" t="s">
        <v>96</v>
      </c>
    </row>
    <row r="57" spans="1:11" ht="10.5" customHeight="1">
      <c r="A57" s="69"/>
      <c r="B57" s="156"/>
      <c r="C57" s="157"/>
      <c r="D57" s="576"/>
      <c r="E57" s="578"/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409</v>
      </c>
      <c r="C3" s="146" t="s">
        <v>410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411</v>
      </c>
      <c r="K4" s="69"/>
    </row>
    <row r="5" spans="1:11" ht="18" customHeight="1">
      <c r="A5" s="69"/>
      <c r="B5" s="574" t="s">
        <v>412</v>
      </c>
      <c r="C5" s="575"/>
      <c r="D5" s="153" t="s">
        <v>85</v>
      </c>
      <c r="E5" s="153" t="s">
        <v>413</v>
      </c>
      <c r="F5" s="153" t="s">
        <v>414</v>
      </c>
      <c r="G5" s="153" t="s">
        <v>415</v>
      </c>
      <c r="H5" s="154" t="s">
        <v>416</v>
      </c>
      <c r="I5" s="153" t="s">
        <v>417</v>
      </c>
      <c r="J5" s="155" t="s">
        <v>418</v>
      </c>
      <c r="K5" s="69"/>
    </row>
    <row r="6" spans="1:11" ht="10.5" customHeight="1">
      <c r="A6" s="69"/>
      <c r="B6" s="156" t="s">
        <v>468</v>
      </c>
      <c r="C6" s="157"/>
      <c r="D6" s="576" t="s">
        <v>469</v>
      </c>
      <c r="E6" s="578">
        <v>6</v>
      </c>
      <c r="F6" s="580">
        <v>96000</v>
      </c>
      <c r="G6" s="582">
        <v>576000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470</v>
      </c>
      <c r="C7" s="160"/>
      <c r="D7" s="577"/>
      <c r="E7" s="579"/>
      <c r="F7" s="581"/>
      <c r="G7" s="583"/>
      <c r="H7" s="356"/>
      <c r="I7" s="356" t="s">
        <v>471</v>
      </c>
      <c r="J7" s="161"/>
      <c r="K7" s="69" t="s">
        <v>96</v>
      </c>
    </row>
    <row r="8" spans="1:11" ht="10.5" customHeight="1">
      <c r="A8" s="69"/>
      <c r="B8" s="156" t="s">
        <v>472</v>
      </c>
      <c r="C8" s="157"/>
      <c r="D8" s="576" t="s">
        <v>469</v>
      </c>
      <c r="E8" s="578">
        <v>6</v>
      </c>
      <c r="F8" s="580">
        <v>8000</v>
      </c>
      <c r="G8" s="582">
        <v>48000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471</v>
      </c>
      <c r="J9" s="162"/>
      <c r="K9" s="69" t="s">
        <v>96</v>
      </c>
    </row>
    <row r="10" spans="1:11" ht="10.5" customHeight="1">
      <c r="A10" s="69"/>
      <c r="B10" s="156" t="s">
        <v>473</v>
      </c>
      <c r="C10" s="157"/>
      <c r="D10" s="576" t="s">
        <v>469</v>
      </c>
      <c r="E10" s="578">
        <v>5</v>
      </c>
      <c r="F10" s="580">
        <v>1600</v>
      </c>
      <c r="G10" s="582">
        <v>8000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471</v>
      </c>
      <c r="J11" s="161"/>
      <c r="K11" s="69" t="s">
        <v>96</v>
      </c>
    </row>
    <row r="12" spans="1:11" ht="10.5" customHeight="1">
      <c r="A12" s="69"/>
      <c r="B12" s="156" t="s">
        <v>474</v>
      </c>
      <c r="C12" s="157"/>
      <c r="D12" s="576" t="s">
        <v>469</v>
      </c>
      <c r="E12" s="584">
        <v>1</v>
      </c>
      <c r="F12" s="580">
        <v>90000</v>
      </c>
      <c r="G12" s="582">
        <v>90000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475</v>
      </c>
      <c r="C13" s="160"/>
      <c r="D13" s="577"/>
      <c r="E13" s="585"/>
      <c r="F13" s="581"/>
      <c r="G13" s="583"/>
      <c r="H13" s="356"/>
      <c r="I13" s="356" t="s">
        <v>471</v>
      </c>
      <c r="J13" s="161"/>
      <c r="K13" s="69" t="s">
        <v>96</v>
      </c>
    </row>
    <row r="14" spans="1:11" ht="10.5" customHeight="1">
      <c r="A14" s="69"/>
      <c r="B14" s="156" t="s">
        <v>476</v>
      </c>
      <c r="C14" s="157"/>
      <c r="D14" s="576" t="s">
        <v>469</v>
      </c>
      <c r="E14" s="584">
        <v>6</v>
      </c>
      <c r="F14" s="580">
        <v>4300</v>
      </c>
      <c r="G14" s="582">
        <v>25800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471</v>
      </c>
      <c r="J15" s="161"/>
      <c r="K15" s="69" t="s">
        <v>96</v>
      </c>
    </row>
    <row r="16" spans="1:11" ht="10.5" customHeight="1">
      <c r="A16" s="69"/>
      <c r="B16" s="156" t="s">
        <v>477</v>
      </c>
      <c r="C16" s="157"/>
      <c r="D16" s="576" t="s">
        <v>469</v>
      </c>
      <c r="E16" s="584">
        <v>5</v>
      </c>
      <c r="F16" s="580">
        <v>60000</v>
      </c>
      <c r="G16" s="582">
        <v>300000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478</v>
      </c>
      <c r="C17" s="160"/>
      <c r="D17" s="577"/>
      <c r="E17" s="585"/>
      <c r="F17" s="581"/>
      <c r="G17" s="583"/>
      <c r="H17" s="356"/>
      <c r="I17" s="356" t="s">
        <v>471</v>
      </c>
      <c r="J17" s="161"/>
      <c r="K17" s="69" t="s">
        <v>96</v>
      </c>
    </row>
    <row r="18" spans="1:11" ht="10.5" customHeight="1">
      <c r="A18" s="69"/>
      <c r="B18" s="156" t="s">
        <v>479</v>
      </c>
      <c r="C18" s="157"/>
      <c r="D18" s="576" t="s">
        <v>469</v>
      </c>
      <c r="E18" s="584">
        <v>5</v>
      </c>
      <c r="F18" s="580">
        <v>80000</v>
      </c>
      <c r="G18" s="582">
        <v>400000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478</v>
      </c>
      <c r="C19" s="160"/>
      <c r="D19" s="577"/>
      <c r="E19" s="585"/>
      <c r="F19" s="581"/>
      <c r="G19" s="583"/>
      <c r="H19" s="356"/>
      <c r="I19" s="356" t="s">
        <v>471</v>
      </c>
      <c r="J19" s="161"/>
      <c r="K19" s="69" t="s">
        <v>96</v>
      </c>
    </row>
    <row r="20" spans="1:11" ht="10.5" customHeight="1">
      <c r="A20" s="69"/>
      <c r="B20" s="156" t="s">
        <v>480</v>
      </c>
      <c r="C20" s="157"/>
      <c r="D20" s="576" t="s">
        <v>469</v>
      </c>
      <c r="E20" s="584">
        <v>6</v>
      </c>
      <c r="F20" s="580">
        <v>5500</v>
      </c>
      <c r="G20" s="582">
        <v>33000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481</v>
      </c>
      <c r="C21" s="160"/>
      <c r="D21" s="577"/>
      <c r="E21" s="585"/>
      <c r="F21" s="581"/>
      <c r="G21" s="583"/>
      <c r="H21" s="356"/>
      <c r="I21" s="356" t="s">
        <v>471</v>
      </c>
      <c r="J21" s="161"/>
      <c r="K21" s="69" t="s">
        <v>96</v>
      </c>
    </row>
    <row r="22" spans="1:11" ht="10.5" customHeight="1">
      <c r="A22" s="69"/>
      <c r="B22" s="156" t="s">
        <v>482</v>
      </c>
      <c r="C22" s="157"/>
      <c r="D22" s="576" t="s">
        <v>469</v>
      </c>
      <c r="E22" s="584">
        <v>5</v>
      </c>
      <c r="F22" s="580">
        <v>4000</v>
      </c>
      <c r="G22" s="582">
        <v>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483</v>
      </c>
      <c r="C23" s="160"/>
      <c r="D23" s="577"/>
      <c r="E23" s="585"/>
      <c r="F23" s="581"/>
      <c r="G23" s="583"/>
      <c r="H23" s="356"/>
      <c r="I23" s="356" t="s">
        <v>471</v>
      </c>
      <c r="J23" s="161"/>
      <c r="K23" s="69" t="s">
        <v>96</v>
      </c>
    </row>
    <row r="24" spans="1:11" ht="10.5" customHeight="1">
      <c r="A24" s="69"/>
      <c r="B24" s="156" t="s">
        <v>484</v>
      </c>
      <c r="C24" s="157"/>
      <c r="D24" s="576" t="s">
        <v>469</v>
      </c>
      <c r="E24" s="578">
        <v>1</v>
      </c>
      <c r="F24" s="580">
        <v>55000</v>
      </c>
      <c r="G24" s="582">
        <v>55000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471</v>
      </c>
      <c r="J25" s="161"/>
      <c r="K25" s="69" t="s">
        <v>96</v>
      </c>
    </row>
    <row r="26" spans="1:11" ht="10.5" customHeight="1">
      <c r="A26" s="69"/>
      <c r="B26" s="156" t="s">
        <v>485</v>
      </c>
      <c r="C26" s="157"/>
      <c r="D26" s="576" t="s">
        <v>469</v>
      </c>
      <c r="E26" s="584">
        <v>7</v>
      </c>
      <c r="F26" s="580">
        <v>1000</v>
      </c>
      <c r="G26" s="582">
        <v>7000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471</v>
      </c>
      <c r="J27" s="161"/>
      <c r="K27" s="69" t="s">
        <v>96</v>
      </c>
    </row>
    <row r="28" spans="1:11" ht="10.5" customHeight="1">
      <c r="A28" s="69"/>
      <c r="B28" s="156" t="s">
        <v>486</v>
      </c>
      <c r="C28" s="157"/>
      <c r="D28" s="576" t="s">
        <v>469</v>
      </c>
      <c r="E28" s="584">
        <v>1</v>
      </c>
      <c r="F28" s="580">
        <v>5500</v>
      </c>
      <c r="G28" s="582">
        <v>5500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471</v>
      </c>
      <c r="J29" s="161"/>
      <c r="K29" s="69" t="s">
        <v>96</v>
      </c>
    </row>
    <row r="30" spans="1:11" ht="10.5" customHeight="1">
      <c r="A30" s="69"/>
      <c r="B30" s="156" t="s">
        <v>487</v>
      </c>
      <c r="C30" s="157"/>
      <c r="D30" s="576" t="s">
        <v>469</v>
      </c>
      <c r="E30" s="584">
        <v>5</v>
      </c>
      <c r="F30" s="580">
        <v>1000</v>
      </c>
      <c r="G30" s="582">
        <v>5000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471</v>
      </c>
      <c r="J31" s="161"/>
      <c r="K31" s="69" t="s">
        <v>96</v>
      </c>
    </row>
    <row r="32" spans="1:11" ht="10.5" customHeight="1">
      <c r="A32" s="69"/>
      <c r="B32" s="156" t="s">
        <v>488</v>
      </c>
      <c r="C32" s="157"/>
      <c r="D32" s="576" t="s">
        <v>433</v>
      </c>
      <c r="E32" s="584">
        <v>1</v>
      </c>
      <c r="F32" s="580">
        <v>100000</v>
      </c>
      <c r="G32" s="582">
        <v>100000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471</v>
      </c>
      <c r="J33" s="161"/>
      <c r="K33" s="69" t="s">
        <v>96</v>
      </c>
    </row>
    <row r="34" spans="1:11" ht="10.5" customHeight="1">
      <c r="A34" s="69"/>
      <c r="B34" s="156" t="s">
        <v>489</v>
      </c>
      <c r="C34" s="157"/>
      <c r="D34" s="576" t="s">
        <v>469</v>
      </c>
      <c r="E34" s="584">
        <v>6</v>
      </c>
      <c r="F34" s="580">
        <v>3000</v>
      </c>
      <c r="G34" s="582">
        <v>18000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471</v>
      </c>
      <c r="J35" s="161"/>
      <c r="K35" s="69" t="s">
        <v>96</v>
      </c>
    </row>
    <row r="36" spans="1:11" ht="10.5" customHeight="1">
      <c r="A36" s="69"/>
      <c r="B36" s="156" t="s">
        <v>490</v>
      </c>
      <c r="C36" s="157"/>
      <c r="D36" s="576" t="s">
        <v>469</v>
      </c>
      <c r="E36" s="584">
        <v>5</v>
      </c>
      <c r="F36" s="580">
        <v>25000</v>
      </c>
      <c r="G36" s="582">
        <v>125000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471</v>
      </c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 t="s">
        <v>438</v>
      </c>
      <c r="C40" s="157"/>
      <c r="D40" s="576"/>
      <c r="E40" s="584"/>
      <c r="F40" s="580"/>
      <c r="G40" s="582">
        <v>1816300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409</v>
      </c>
      <c r="C3" s="146" t="s">
        <v>410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411</v>
      </c>
      <c r="K4" s="69"/>
    </row>
    <row r="5" spans="1:11" ht="18" customHeight="1">
      <c r="A5" s="69"/>
      <c r="B5" s="574" t="s">
        <v>412</v>
      </c>
      <c r="C5" s="575"/>
      <c r="D5" s="153" t="s">
        <v>85</v>
      </c>
      <c r="E5" s="153" t="s">
        <v>413</v>
      </c>
      <c r="F5" s="153" t="s">
        <v>414</v>
      </c>
      <c r="G5" s="153" t="s">
        <v>415</v>
      </c>
      <c r="H5" s="154" t="s">
        <v>416</v>
      </c>
      <c r="I5" s="153" t="s">
        <v>417</v>
      </c>
      <c r="J5" s="155" t="s">
        <v>418</v>
      </c>
      <c r="K5" s="69"/>
    </row>
    <row r="6" spans="1:11" ht="10.5" customHeight="1">
      <c r="A6" s="69"/>
      <c r="B6" s="156" t="s">
        <v>491</v>
      </c>
      <c r="C6" s="157"/>
      <c r="D6" s="576" t="s">
        <v>469</v>
      </c>
      <c r="E6" s="578">
        <v>12</v>
      </c>
      <c r="F6" s="580">
        <v>5000</v>
      </c>
      <c r="G6" s="582">
        <v>60000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492</v>
      </c>
      <c r="J7" s="161"/>
      <c r="K7" s="69" t="s">
        <v>96</v>
      </c>
    </row>
    <row r="8" spans="1:11" ht="10.5" customHeight="1">
      <c r="A8" s="69"/>
      <c r="B8" s="156" t="s">
        <v>493</v>
      </c>
      <c r="C8" s="157"/>
      <c r="D8" s="576" t="s">
        <v>494</v>
      </c>
      <c r="E8" s="578">
        <v>2</v>
      </c>
      <c r="F8" s="580">
        <v>33000</v>
      </c>
      <c r="G8" s="582">
        <v>66000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495</v>
      </c>
      <c r="C9" s="160"/>
      <c r="D9" s="577"/>
      <c r="E9" s="579"/>
      <c r="F9" s="581"/>
      <c r="G9" s="583"/>
      <c r="H9" s="356"/>
      <c r="I9" s="356" t="s">
        <v>492</v>
      </c>
      <c r="J9" s="162"/>
      <c r="K9" s="69" t="s">
        <v>96</v>
      </c>
    </row>
    <row r="10" spans="1:11" ht="10.5" customHeight="1">
      <c r="A10" s="69"/>
      <c r="B10" s="156" t="s">
        <v>496</v>
      </c>
      <c r="C10" s="157"/>
      <c r="D10" s="576" t="s">
        <v>420</v>
      </c>
      <c r="E10" s="578">
        <v>518</v>
      </c>
      <c r="F10" s="580">
        <v>500</v>
      </c>
      <c r="G10" s="582">
        <v>259000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492</v>
      </c>
      <c r="J11" s="161"/>
      <c r="K11" s="69" t="s">
        <v>96</v>
      </c>
    </row>
    <row r="12" spans="1:11" ht="10.5" customHeight="1">
      <c r="A12" s="69"/>
      <c r="B12" s="156" t="s">
        <v>497</v>
      </c>
      <c r="C12" s="157"/>
      <c r="D12" s="576" t="s">
        <v>469</v>
      </c>
      <c r="E12" s="584">
        <v>29</v>
      </c>
      <c r="F12" s="580">
        <v>43000</v>
      </c>
      <c r="G12" s="582">
        <v>1247000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498</v>
      </c>
      <c r="C13" s="160"/>
      <c r="D13" s="577"/>
      <c r="E13" s="585"/>
      <c r="F13" s="581"/>
      <c r="G13" s="583"/>
      <c r="H13" s="356"/>
      <c r="I13" s="356" t="s">
        <v>492</v>
      </c>
      <c r="J13" s="161"/>
      <c r="K13" s="69" t="s">
        <v>96</v>
      </c>
    </row>
    <row r="14" spans="1:11" ht="10.5" customHeight="1">
      <c r="A14" s="69"/>
      <c r="B14" s="156" t="s">
        <v>499</v>
      </c>
      <c r="C14" s="157"/>
      <c r="D14" s="576" t="s">
        <v>469</v>
      </c>
      <c r="E14" s="584">
        <v>4</v>
      </c>
      <c r="F14" s="580">
        <v>14000</v>
      </c>
      <c r="G14" s="582">
        <v>56000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500</v>
      </c>
      <c r="C15" s="160"/>
      <c r="D15" s="577"/>
      <c r="E15" s="585"/>
      <c r="F15" s="581"/>
      <c r="G15" s="583"/>
      <c r="H15" s="356"/>
      <c r="I15" s="356" t="s">
        <v>492</v>
      </c>
      <c r="J15" s="161"/>
      <c r="K15" s="69" t="s">
        <v>96</v>
      </c>
    </row>
    <row r="16" spans="1:11" ht="10.5" customHeight="1">
      <c r="A16" s="69"/>
      <c r="B16" s="156" t="s">
        <v>501</v>
      </c>
      <c r="C16" s="157"/>
      <c r="D16" s="576" t="s">
        <v>494</v>
      </c>
      <c r="E16" s="584">
        <v>6</v>
      </c>
      <c r="F16" s="580">
        <v>12000</v>
      </c>
      <c r="G16" s="582">
        <v>72000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502</v>
      </c>
      <c r="C17" s="160"/>
      <c r="D17" s="577"/>
      <c r="E17" s="585"/>
      <c r="F17" s="581"/>
      <c r="G17" s="583"/>
      <c r="H17" s="356"/>
      <c r="I17" s="356" t="s">
        <v>492</v>
      </c>
      <c r="J17" s="161"/>
      <c r="K17" s="69" t="s">
        <v>96</v>
      </c>
    </row>
    <row r="18" spans="1:11" ht="10.5" customHeight="1">
      <c r="A18" s="69"/>
      <c r="B18" s="156" t="s">
        <v>503</v>
      </c>
      <c r="C18" s="157"/>
      <c r="D18" s="576" t="s">
        <v>494</v>
      </c>
      <c r="E18" s="584">
        <v>4</v>
      </c>
      <c r="F18" s="580">
        <v>18000</v>
      </c>
      <c r="G18" s="582">
        <v>72000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504</v>
      </c>
      <c r="C19" s="160"/>
      <c r="D19" s="577"/>
      <c r="E19" s="585"/>
      <c r="F19" s="581"/>
      <c r="G19" s="583"/>
      <c r="H19" s="356"/>
      <c r="I19" s="356" t="s">
        <v>492</v>
      </c>
      <c r="J19" s="161"/>
      <c r="K19" s="69" t="s">
        <v>96</v>
      </c>
    </row>
    <row r="20" spans="1:11" ht="10.5" customHeight="1">
      <c r="A20" s="69"/>
      <c r="B20" s="156" t="s">
        <v>505</v>
      </c>
      <c r="C20" s="157"/>
      <c r="D20" s="576" t="s">
        <v>469</v>
      </c>
      <c r="E20" s="584">
        <v>12</v>
      </c>
      <c r="F20" s="580">
        <v>4000</v>
      </c>
      <c r="G20" s="582">
        <v>48000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506</v>
      </c>
      <c r="C21" s="160"/>
      <c r="D21" s="577"/>
      <c r="E21" s="585"/>
      <c r="F21" s="581"/>
      <c r="G21" s="583"/>
      <c r="H21" s="356"/>
      <c r="I21" s="356" t="s">
        <v>492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438</v>
      </c>
      <c r="C24" s="157"/>
      <c r="D24" s="576"/>
      <c r="E24" s="578"/>
      <c r="F24" s="580"/>
      <c r="G24" s="582">
        <v>1880000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2025-12-15T05:51:19Z</dcterms:modified>
  <cp:category/>
  <cp:contentStatus/>
</cp:coreProperties>
</file>