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1C9067D8-3326-4330-8ABD-1537DE45E3D1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'工事費一覧表(共通仮設費)'!$A$1:$AF$39</definedName>
    <definedName name="_xlnm.Print_Area" localSheetId="11">'工事費一覧表(現場経費)'!$A$1:$AF$17</definedName>
    <definedName name="_xlnm.Print_Area" localSheetId="6">'工事費一覧表(直接工事費)'!$A$1:$AF$164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16" i="34"/>
  <c r="L16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24" i="32"/>
  <c r="L24" i="32"/>
  <c r="K25" i="32"/>
  <c r="L25" i="32"/>
  <c r="K26" i="32"/>
  <c r="L26" i="32"/>
  <c r="K27" i="32"/>
  <c r="L27" i="32"/>
  <c r="K28" i="32"/>
  <c r="L28" i="32"/>
  <c r="K29" i="32"/>
  <c r="L29" i="32"/>
  <c r="K30" i="32"/>
  <c r="L30" i="32"/>
  <c r="K31" i="32"/>
  <c r="L31" i="32"/>
  <c r="K32" i="32"/>
  <c r="L32" i="32"/>
  <c r="K33" i="32"/>
  <c r="L33" i="32"/>
  <c r="K34" i="32"/>
  <c r="L34" i="32"/>
  <c r="K35" i="32"/>
  <c r="L35" i="32"/>
  <c r="K36" i="32"/>
  <c r="L36" i="32"/>
  <c r="K37" i="32"/>
  <c r="L37" i="32"/>
  <c r="K38" i="32"/>
  <c r="L38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1" i="25" s="1"/>
  <c r="D19" i="25" l="1"/>
  <c r="O26" i="25"/>
  <c r="O21" i="25" s="1"/>
  <c r="O22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<sst xmlns="http://schemas.openxmlformats.org/spreadsheetml/2006/main" count="2701" uniqueCount="615">
  <si>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</si>
  <si>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</si>
  <si>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</si>
  <si>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</si>
  <si>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</si>
  <si>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</si>
  <si>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</si>
  <si>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</si>
  <si>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</si>
  <si>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</si>
  <si>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</si>
  <si>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</si>
  <si>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</si>
  <si>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</si>
  <si>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</si>
  <si>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</si>
  <si>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</si>
  <si>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</si>
  <si>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</si>
  <si>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</si>
  <si>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</si>
  <si>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</si>
  <si>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</si>
  <si>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</si>
  <si>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</si>
  <si>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</si>
  <si>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</si>
  <si>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</si>
  <si>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</si>
  <si>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</si>
  <si>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</si>
  <si>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</si>
  <si>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</si>
  <si>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</si>
  <si>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</si>
  <si>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</si>
  <si>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</si>
  <si>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</si>
  <si>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</si>
  <si>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</si>
  <si>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</si>
  <si>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</si>
  <si>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</si>
  <si>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</si>
  <si>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</si>
  <si>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</si>
  <si>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</si>
  <si>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</si>
  <si>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</si>
  <si>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</si>
  <si>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</si>
  <si>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</si>
  <si>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</si>
  <si>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</si>
  <si>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</si>
  <si>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</si>
  <si>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</si>
  <si>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</si>
  <si>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</si>
  <si>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</si>
  <si>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</si>
  <si>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</si>
  <si>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</si>
  <si>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</si>
  <si>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</si>
  <si>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</si>
  <si>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</si>
  <si>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</si>
  <si>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</si>
  <si>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</si>
  <si>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</si>
  <si>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</si>
  <si>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</si>
  <si>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</si>
  <si>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</si>
  <si>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</si>
  <si>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</si>
  <si>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</si>
  <si>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</si>
  <si>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</si>
  <si>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</si>
  <si>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</si>
  <si>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</si>
  <si>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</si>
  <si>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</si>
  <si>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</si>
  <si>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</si>
  <si>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</si>
  <si>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</si>
  <si>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</si>
  <si>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</si>
  <si>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</si>
  <si>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</si>
  <si>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</si>
  <si>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</si>
  <si>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</si>
  <si>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</si>
  <si>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</si>
  <si>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</si>
  <si>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</si>
  <si>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</si>
  <si>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</si>
  <si>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</si>
  <si>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</si>
  <si>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</si>
  <si>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</si>
  <si>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</si>
  <si>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</si>
  <si>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</si>
  <si>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</si>
  <si>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</si>
  <si>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</si>
  <si>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</si>
  <si>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</si>
  <si>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</si>
  <si>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</si>
  <si>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</si>
  <si>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</si>
  <si>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</si>
  <si>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</si>
  <si>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</si>
  <si>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</si>
  <si>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</si>
  <si>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</si>
  <si>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</si>
  <si>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</si>
  <si>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</si>
  <si>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</si>
  <si>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</si>
  <si>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</si>
  <si>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</si>
  <si>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</si>
  <si>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</si>
  <si>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</si>
  <si>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</si>
  <si>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</si>
  <si>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</si>
  <si>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</si>
  <si>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</si>
  <si>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</si>
  <si>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</si>
  <si>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</si>
  <si>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</si>
  <si>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</si>
  <si>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</si>
  <si>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2420710169 F</t>
  </si>
  <si>
    <t>（第1回変更予算）</t>
  </si>
  <si>
    <t>金畑　丈</t>
  </si>
  <si>
    <t>★市道中荻野飯山線舗装補修工事</t>
  </si>
  <si>
    <t>有限会社　大秀建設</t>
  </si>
  <si>
    <t>横浜支店</t>
  </si>
  <si>
    <t>厚木市飯山地内</t>
  </si>
  <si>
    <t>2024年12月16日</t>
  </si>
  <si>
    <t>2025年3月31日</t>
  </si>
  <si>
    <t>舗装版切断工</t>
  </si>
  <si>
    <t>舗装打換え工</t>
  </si>
  <si>
    <t>廃材運搬処分</t>
  </si>
  <si>
    <t>表層工</t>
  </si>
  <si>
    <t>人孔調整工</t>
  </si>
  <si>
    <t>区画線工</t>
  </si>
  <si>
    <t>舗装打換え工　昼間</t>
  </si>
  <si>
    <t>舗装打換え工　夜間</t>
  </si>
  <si>
    <t>廃材運搬処分　昼間</t>
  </si>
  <si>
    <t>廃材運搬処分　夜間</t>
  </si>
  <si>
    <t>表層工　夜間</t>
  </si>
  <si>
    <t>調整費</t>
  </si>
  <si>
    <t>重機運搬費</t>
  </si>
  <si>
    <t>準備費</t>
  </si>
  <si>
    <t>法定福利費</t>
  </si>
  <si>
    <t>ｍ</t>
  </si>
  <si>
    <t>m2</t>
  </si>
  <si>
    <t>m3</t>
  </si>
  <si>
    <t>基</t>
  </si>
  <si>
    <t>式</t>
  </si>
  <si>
    <t>変更</t>
  </si>
  <si>
    <t>(準備測量・仮設設置撤去・他)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</si>
  <si>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</si>
  <si>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</si>
  <si>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</si>
  <si>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</si>
  <si>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</si>
  <si>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</si>
  <si>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</si>
  <si>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市道中荻野飯山線舗装補修工事</t>
  </si>
  <si>
    <t>関東支社</t>
  </si>
  <si>
    <t>厚木出張所</t>
  </si>
  <si>
    <t>厚木市</t>
  </si>
  <si>
    <t>単独</t>
  </si>
  <si>
    <t>F</t>
  </si>
  <si>
    <t>2024年12月9日</t>
  </si>
  <si>
    <t>2024年12月16日 ～ 2025年3月31日</t>
  </si>
  <si>
    <t>舗装打換え工</t>
    <phoneticPr fontId="4"/>
  </si>
  <si>
    <t>直接工事費</t>
  </si>
  <si>
    <t xml:space="preserve">  舗装版切断工</t>
  </si>
  <si>
    <t xml:space="preserve">  </t>
  </si>
  <si>
    <t>1号</t>
  </si>
  <si>
    <t>内訳書</t>
  </si>
  <si>
    <t xml:space="preserve">  舗装打換え工</t>
  </si>
  <si>
    <t>2号</t>
  </si>
  <si>
    <t xml:space="preserve">  廃材運搬処分</t>
  </si>
  <si>
    <t>3号</t>
  </si>
  <si>
    <t xml:space="preserve">  表層工</t>
  </si>
  <si>
    <t>4号</t>
  </si>
  <si>
    <t xml:space="preserve">  人孔調整工</t>
  </si>
  <si>
    <t>5号</t>
  </si>
  <si>
    <t xml:space="preserve">  区画線工</t>
  </si>
  <si>
    <t>6号</t>
  </si>
  <si>
    <t xml:space="preserve">  変更</t>
  </si>
  <si>
    <t>7号</t>
  </si>
  <si>
    <t xml:space="preserve">  舗装打換え工　昼間</t>
  </si>
  <si>
    <t>8号</t>
  </si>
  <si>
    <t xml:space="preserve">  舗装打換え工　夜間</t>
  </si>
  <si>
    <t>9号</t>
  </si>
  <si>
    <t xml:space="preserve">  廃材運搬処分　昼間</t>
  </si>
  <si>
    <t>10号</t>
  </si>
  <si>
    <t xml:space="preserve">  廃材運搬処分　夜間</t>
  </si>
  <si>
    <t>11号</t>
  </si>
  <si>
    <t xml:space="preserve">  表層工　夜間</t>
  </si>
  <si>
    <t>12号</t>
  </si>
  <si>
    <t xml:space="preserve">  調整費</t>
  </si>
  <si>
    <t>13号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</si>
  <si>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</si>
  <si>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</si>
  <si>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</si>
  <si>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</si>
  <si>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</si>
  <si>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</si>
  <si>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</si>
  <si>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</si>
  <si>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★市道中荻野飯山線舗装補修工事</t>
    <phoneticPr fontId="4"/>
  </si>
  <si>
    <t>総括</t>
  </si>
  <si>
    <t>集計行</t>
  </si>
  <si>
    <t>｜直接工事費</t>
  </si>
  <si>
    <t>内訳代価</t>
  </si>
  <si>
    <t>｜｜舗装版切断工</t>
  </si>
  <si>
    <t>1号内訳書</t>
  </si>
  <si>
    <t>｜｜｜舗装版切断As150</t>
  </si>
  <si>
    <t>m</t>
  </si>
  <si>
    <t xml:space="preserve">g00328028 </t>
  </si>
  <si>
    <t>｜｜｜汚泥処分費</t>
  </si>
  <si>
    <t>最低補償</t>
  </si>
  <si>
    <t xml:space="preserve">g00328024 </t>
  </si>
  <si>
    <t>｜｜｜汚泥運搬費</t>
  </si>
  <si>
    <t xml:space="preserve">g00328025 </t>
  </si>
  <si>
    <t>｜｜｜雑費</t>
  </si>
  <si>
    <t>｜｜舗装打換え工</t>
  </si>
  <si>
    <t>2号内訳書</t>
  </si>
  <si>
    <t>｜｜｜再生瀝青安定処理30</t>
  </si>
  <si>
    <t>ｔ</t>
  </si>
  <si>
    <t xml:space="preserve">{数量=1,165*0.1*2.4*1.05} </t>
  </si>
  <si>
    <t>｜｜｜細粒度As5</t>
  </si>
  <si>
    <t>引取</t>
  </si>
  <si>
    <t>t</t>
  </si>
  <si>
    <t xml:space="preserve">s2022 </t>
  </si>
  <si>
    <t xml:space="preserve">{数量=(180*0.5*3*0.025*2.4*1.05)+(7.5*3*1*0.025*2.4*1.05)} </t>
  </si>
  <si>
    <t>｜｜｜乳剤PK-3、4</t>
  </si>
  <si>
    <t xml:space="preserve">s00328286 </t>
  </si>
  <si>
    <t xml:space="preserve">{数量=1,165*1.26/1,000} </t>
  </si>
  <si>
    <t>｜｜｜RM-40(t)</t>
  </si>
  <si>
    <t xml:space="preserve">s00328277 </t>
  </si>
  <si>
    <t xml:space="preserve">{数量=1,165*0.03*2} </t>
  </si>
  <si>
    <t>｜｜｜砂(粗目)</t>
  </si>
  <si>
    <t xml:space="preserve">s00328209 </t>
  </si>
  <si>
    <t xml:space="preserve">{数量=180*0.5*3+7.5*3*0.003} </t>
  </si>
  <si>
    <t>｜｜｜仮ﾗｲﾝﾍﾟｲﾝﾄ</t>
  </si>
  <si>
    <t>18ｌ缶</t>
  </si>
  <si>
    <t>回</t>
  </si>
  <si>
    <t xml:space="preserve">s00328276 </t>
  </si>
  <si>
    <t>｜｜｜雑材</t>
  </si>
  <si>
    <t>｜｜｜土工</t>
  </si>
  <si>
    <t>人</t>
  </si>
  <si>
    <t xml:space="preserve">r00328007 </t>
  </si>
  <si>
    <t xml:space="preserve">{数量=8*4} </t>
  </si>
  <si>
    <t>｜｜｜ﾀｲﾔﾕﾝﾎﾞ  ﾆﾌﾞﾗ</t>
  </si>
  <si>
    <t>OP付</t>
  </si>
  <si>
    <t>台</t>
  </si>
  <si>
    <t xml:space="preserve">k00328027 </t>
  </si>
  <si>
    <t xml:space="preserve">{数量=1*4} </t>
  </si>
  <si>
    <t>｜｜｜ﾀｲﾔﾕﾝﾎﾞ</t>
  </si>
  <si>
    <t xml:space="preserve">k00328025 </t>
  </si>
  <si>
    <t>｜｜｜BH0.1</t>
  </si>
  <si>
    <t xml:space="preserve">k00328010 </t>
  </si>
  <si>
    <t>｜｜｜ｺﾝﾊﾞｲﾝﾄﾛｰﾗ</t>
  </si>
  <si>
    <t xml:space="preserve">k00328006 </t>
  </si>
  <si>
    <t>｜｜｜ﾀｲﾔﾛｰﾗ</t>
  </si>
  <si>
    <t>8t</t>
  </si>
  <si>
    <t xml:space="preserve">k00328002 </t>
  </si>
  <si>
    <t>｜｜｜ﾀｲﾔｼｮﾍﾞﾙ0.4</t>
  </si>
  <si>
    <t xml:space="preserve">k00328021 </t>
  </si>
  <si>
    <t>｜｜｜ﾃﾞｨｽﾄﾘﾋﾞｭｰﾀ(昼)</t>
  </si>
  <si>
    <t xml:space="preserve">k00328061 </t>
  </si>
  <si>
    <t>｜｜｜ASﾌｨﾆｯｼｬｰ6.0m</t>
  </si>
  <si>
    <t>低騒音OPAJ付</t>
  </si>
  <si>
    <t xml:space="preserve">k00328036 </t>
  </si>
  <si>
    <t>｜｜｜摺り付け機</t>
  </si>
  <si>
    <t xml:space="preserve">k00328037 </t>
  </si>
  <si>
    <t>｜｜｜ﾄﾗｯｸ積ｺﾝﾌﾟﾚｯｻｰ</t>
  </si>
  <si>
    <t>ﾌﾞﾚｰｶｰ、ﾎｰｽ込</t>
  </si>
  <si>
    <t xml:space="preserve">k00328058 </t>
  </si>
  <si>
    <t>｜｜｜小物機械</t>
  </si>
  <si>
    <t xml:space="preserve">k00328082 </t>
  </si>
  <si>
    <t>｜｜｜燃料(軽油)</t>
  </si>
  <si>
    <t>リットル</t>
  </si>
  <si>
    <t xml:space="preserve">k00328103 </t>
  </si>
  <si>
    <t xml:space="preserve">{数量=100*4} </t>
  </si>
  <si>
    <t>｜｜｜労務運搬(Wｷｬﾌﾞ)</t>
  </si>
  <si>
    <t>燃料込</t>
  </si>
  <si>
    <t xml:space="preserve">u00328036 </t>
  </si>
  <si>
    <t>｜｜｜2ｔﾀﾞﾝﾌﾟ</t>
  </si>
  <si>
    <t xml:space="preserve">u00328020 </t>
  </si>
  <si>
    <t xml:space="preserve">{数量=2*4} </t>
  </si>
  <si>
    <t>｜｜｜4ｔﾀﾞﾝﾌﾟ</t>
  </si>
  <si>
    <t xml:space="preserve">u00328022 </t>
  </si>
  <si>
    <t>｜｜｜諸雑費</t>
  </si>
  <si>
    <t>調整金</t>
  </si>
  <si>
    <t>｜｜廃材運搬処分</t>
  </si>
  <si>
    <t>3号内訳書</t>
  </si>
  <si>
    <t>｜｜｜AS塊処分</t>
  </si>
  <si>
    <t xml:space="preserve">u00328026 </t>
  </si>
  <si>
    <t xml:space="preserve">{数量=1,165*0.15*2.35} </t>
  </si>
  <si>
    <t xml:space="preserve">舗装打換え工より参考 </t>
  </si>
  <si>
    <t>｜｜｜ﾀﾞﾝﾌﾟﾄﾗｯｸ常用10ｔ</t>
  </si>
  <si>
    <t>ｵﾍﾟ燃料付</t>
  </si>
  <si>
    <t xml:space="preserve">u00328003 </t>
  </si>
  <si>
    <t xml:space="preserve">{数量=6*4} </t>
  </si>
  <si>
    <t>代引き</t>
  </si>
  <si>
    <t xml:space="preserve">{数量=2*1} </t>
  </si>
  <si>
    <t>｜｜表層工</t>
  </si>
  <si>
    <t>4号内訳書</t>
  </si>
  <si>
    <t>｜｜｜密粒度As改質Ⅱ型</t>
  </si>
  <si>
    <t>現着</t>
  </si>
  <si>
    <t xml:space="preserve">s2031 </t>
  </si>
  <si>
    <t xml:space="preserve">{数量=1,165*0.05*2.35*1.05} </t>
  </si>
  <si>
    <t>｜｜｜ﾀｯｸﾌｧｲﾝSQ</t>
  </si>
  <si>
    <t xml:space="preserve">s00328284 </t>
  </si>
  <si>
    <t xml:space="preserve">{数量=1,165*0.43/1,000} </t>
  </si>
  <si>
    <t xml:space="preserve">{数量=8*1} </t>
  </si>
  <si>
    <t xml:space="preserve">{数量=1*1} </t>
  </si>
  <si>
    <t>｜｜｜ﾃﾞｨｽﾄﾘﾋﾞｭｰﾀ(昼)SQ</t>
  </si>
  <si>
    <t xml:space="preserve">k00328109 </t>
  </si>
  <si>
    <t xml:space="preserve">{数量=100*1} </t>
  </si>
  <si>
    <t>｜｜人孔調整工</t>
  </si>
  <si>
    <t>5号内訳書</t>
  </si>
  <si>
    <t>｜｜｜円形カッター</t>
  </si>
  <si>
    <t>｜｜｜無収縮ﾓﾙﾀﾙ</t>
  </si>
  <si>
    <t>25kg詰</t>
  </si>
  <si>
    <t>袋</t>
  </si>
  <si>
    <t xml:space="preserve">s00328239 </t>
  </si>
  <si>
    <t>｜｜｜人孔調整キット</t>
  </si>
  <si>
    <t>｜｜｜軽油</t>
  </si>
  <si>
    <t>L</t>
  </si>
  <si>
    <t xml:space="preserve">s00328123 </t>
  </si>
  <si>
    <t>｜｜｜パッチグー</t>
  </si>
  <si>
    <t>個</t>
  </si>
  <si>
    <t xml:space="preserve">s00328386 </t>
  </si>
  <si>
    <t>｜｜｜ブレーカー</t>
  </si>
  <si>
    <t xml:space="preserve">{数量=0.915*0.15*2.35*4} </t>
  </si>
  <si>
    <t>｜｜区画線工</t>
  </si>
  <si>
    <t>6号内訳書</t>
  </si>
  <si>
    <t>｜｜｜区画線  実線・ｾﾞﾌﾞﾗ</t>
  </si>
  <si>
    <t>W=15cm</t>
  </si>
  <si>
    <t xml:space="preserve">g00328001 </t>
  </si>
  <si>
    <t>W=30cm</t>
  </si>
  <si>
    <t xml:space="preserve">g00328003 </t>
  </si>
  <si>
    <t>｜｜｜区画線  実線(黄)</t>
  </si>
  <si>
    <t xml:space="preserve">g00328012 </t>
  </si>
  <si>
    <t>｜｜｜雑材　仮白線</t>
  </si>
  <si>
    <t>｜｜変更</t>
  </si>
  <si>
    <t>7号内訳書</t>
  </si>
  <si>
    <t>｜｜舗装打換え工　昼間</t>
  </si>
  <si>
    <t>8号内訳書</t>
  </si>
  <si>
    <t xml:space="preserve">{数量=625*0.1*2.35*1.05} </t>
  </si>
  <si>
    <t xml:space="preserve">{数量=625*1.26/1,000} </t>
  </si>
  <si>
    <t xml:space="preserve">{数量=625*0.03*1.8} </t>
  </si>
  <si>
    <t xml:space="preserve">{数量=625*0.002*1.05} </t>
  </si>
  <si>
    <t xml:space="preserve">{数量=11*2} </t>
  </si>
  <si>
    <t xml:space="preserve">{数量=1*2} </t>
  </si>
  <si>
    <t xml:space="preserve">{数量=100*2} </t>
  </si>
  <si>
    <t xml:space="preserve">{数量=2*2} </t>
  </si>
  <si>
    <t>｜｜舗装打換え工　夜間</t>
  </si>
  <si>
    <t>9号内訳書</t>
  </si>
  <si>
    <t xml:space="preserve">{数量=749*0.1*2.35*1.05} </t>
  </si>
  <si>
    <t xml:space="preserve">{数量=749*1.26/1,000} </t>
  </si>
  <si>
    <t xml:space="preserve">{数量=749*0.03*1.8} </t>
  </si>
  <si>
    <t xml:space="preserve">{数量=749*0.002*1.05} </t>
  </si>
  <si>
    <t>夜間</t>
  </si>
  <si>
    <t>｜｜｜ﾃﾞｨｽﾄﾘﾋﾞｭｰﾀ(夜)</t>
  </si>
  <si>
    <t xml:space="preserve">k00328062 </t>
  </si>
  <si>
    <t>｜｜廃材運搬処分　昼間</t>
  </si>
  <si>
    <t>10号内訳書</t>
  </si>
  <si>
    <t xml:space="preserve">{数量=93*2.35} </t>
  </si>
  <si>
    <t xml:space="preserve">{数量=6*2} </t>
  </si>
  <si>
    <t>｜｜廃材運搬処分　夜間</t>
  </si>
  <si>
    <t>11号内訳書</t>
  </si>
  <si>
    <t xml:space="preserve">{数量=112*2.35} </t>
  </si>
  <si>
    <t>｜｜｜ﾀﾞﾝﾌﾟﾄﾗｯｸ常用10ｔ(夜)</t>
  </si>
  <si>
    <t xml:space="preserve">u00328004 </t>
  </si>
  <si>
    <t>｜｜表層工　夜間</t>
  </si>
  <si>
    <t>12号内訳書</t>
  </si>
  <si>
    <t xml:space="preserve">{数量=1,374*0.05*2.38*1.07} </t>
  </si>
  <si>
    <t xml:space="preserve">{数量=1,374*0.43/1,000} </t>
  </si>
  <si>
    <t>｜｜｜土工　夜間</t>
  </si>
  <si>
    <t xml:space="preserve">{数量=11*1} </t>
  </si>
  <si>
    <t>｜｜調整費</t>
  </si>
  <si>
    <t>13号内訳書</t>
  </si>
  <si>
    <t>｜｜｜調整</t>
  </si>
  <si>
    <t>予算2</t>
    <phoneticPr fontId="6"/>
  </si>
  <si>
    <t>社員給料</t>
  </si>
  <si>
    <t>事務用品費</t>
  </si>
  <si>
    <t>電力用水光熱費</t>
  </si>
  <si>
    <t>諸経費</t>
  </si>
  <si>
    <t>通信費</t>
  </si>
  <si>
    <t>安全費</t>
  </si>
  <si>
    <t>旅費交通費</t>
  </si>
  <si>
    <t>技術管理費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</si>
  <si>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</si>
  <si>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</si>
  <si>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</si>
  <si>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</si>
  <si>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</si>
  <si>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</si>
  <si>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</si>
  <si>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14号内訳書</t>
  </si>
  <si>
    <t>｜｜｜AF回送  大型ｾﾙﾌ</t>
  </si>
  <si>
    <t>4.4m～6.0m級</t>
  </si>
  <si>
    <t xml:space="preserve">u00328015 </t>
  </si>
  <si>
    <t>｜｜｜回送  大型ｾﾙﾌ</t>
  </si>
  <si>
    <t xml:space="preserve">u00328009 </t>
  </si>
  <si>
    <t xml:space="preserve">TR </t>
  </si>
  <si>
    <t xml:space="preserve">CVR TS </t>
  </si>
  <si>
    <t>｜｜｜回送  4ｔｾﾙﾌ</t>
  </si>
  <si>
    <t xml:space="preserve">u00328008 </t>
  </si>
  <si>
    <t xml:space="preserve">すりつけ機 </t>
  </si>
  <si>
    <t>｜｜｜変更分一式　夜間</t>
  </si>
  <si>
    <t>｜｜準備費</t>
  </si>
  <si>
    <t>15号内訳書</t>
  </si>
  <si>
    <t>｜｜｜レベルセット</t>
  </si>
  <si>
    <t>｜｜法定福利費</t>
  </si>
  <si>
    <t>16号内訳書</t>
  </si>
  <si>
    <t>｜｜｜法定福利費</t>
  </si>
  <si>
    <t xml:space="preserve">{単価=3,680*51} </t>
  </si>
  <si>
    <t>｜｜｜法定福利費　ライン</t>
  </si>
  <si>
    <t xml:space="preserve">{単価=3,680*5} </t>
  </si>
  <si>
    <t>｜｜｜法定福利費　変更</t>
  </si>
  <si>
    <t>施工班</t>
  </si>
  <si>
    <t xml:space="preserve">{単価=1,430,000*0.15} </t>
  </si>
  <si>
    <t>｜｜諸経費</t>
  </si>
  <si>
    <t>17号内訳書</t>
  </si>
  <si>
    <t>｜｜｜外注経費</t>
  </si>
  <si>
    <t xml:space="preserve">{単価=1,647,300*0.10514} </t>
  </si>
  <si>
    <t>｜｜｜外注経費　ライン</t>
  </si>
  <si>
    <t xml:space="preserve">{単価=4,489,000*0.15} </t>
  </si>
  <si>
    <t>｜｜安全費</t>
  </si>
  <si>
    <t>(仮設事務所仮囲い・工事看板や安全施設・事務所警備　等)</t>
  </si>
  <si>
    <t>18号内訳書</t>
  </si>
  <si>
    <t>｜｜｜交通保安員</t>
  </si>
  <si>
    <t xml:space="preserve">g00328035 </t>
  </si>
  <si>
    <t>｜｜｜交通保安員　夜間</t>
  </si>
  <si>
    <t>｜｜｜規制材</t>
  </si>
  <si>
    <t>｜｜｜トイレカー</t>
  </si>
  <si>
    <t>｜｜｜2tロング</t>
  </si>
  <si>
    <t xml:space="preserve">{数量=1*3} </t>
  </si>
  <si>
    <t>｜｜｜ﾊﾟﾜｰﾗｲﾄ手押し</t>
  </si>
  <si>
    <t>4灯  低騒音</t>
  </si>
  <si>
    <t xml:space="preserve">k00328041 </t>
  </si>
  <si>
    <t xml:space="preserve">{数量=8*3} </t>
  </si>
  <si>
    <t>｜｜技術管理費</t>
  </si>
  <si>
    <t>(土質試験・ASP・MC施工関係・完成図書 等)</t>
  </si>
  <si>
    <t>19号内訳書</t>
  </si>
  <si>
    <t>｜｜｜平坦性試験</t>
  </si>
  <si>
    <t xml:space="preserve">g00328042 </t>
  </si>
  <si>
    <t>｜｜｜ｺｱｰ採取</t>
  </si>
  <si>
    <t xml:space="preserve">g00328039 </t>
  </si>
  <si>
    <t>20号</t>
  </si>
  <si>
    <t>(コピー機、トナー、文具、コピー用紙、その他)</t>
  </si>
  <si>
    <t>21号</t>
  </si>
  <si>
    <t>22号</t>
  </si>
  <si>
    <t>(携帯通話料、ネット回線契約、電話回線契約　等)</t>
  </si>
  <si>
    <t>23号</t>
  </si>
  <si>
    <t>(出張、移動旅費等)</t>
  </si>
  <si>
    <t>24号</t>
  </si>
  <si>
    <t>(建退共・労災保険・労災上乗せ保険　等)</t>
  </si>
  <si>
    <t>25号</t>
  </si>
  <si>
    <t>(連絡車)</t>
  </si>
  <si>
    <t>26号</t>
  </si>
  <si>
    <t>(現場特有で発生が見込まれる費用　等)</t>
  </si>
  <si>
    <t>27号</t>
  </si>
  <si>
    <t>｜現場経費</t>
  </si>
  <si>
    <t>｜｜社員給料</t>
  </si>
  <si>
    <t>20号内訳書</t>
  </si>
  <si>
    <t>｜｜｜現場代理人(1級)昼</t>
  </si>
  <si>
    <t>日</t>
  </si>
  <si>
    <t xml:space="preserve">m00328023 </t>
  </si>
  <si>
    <t>｜｜｜現場代理人(1級)夜</t>
  </si>
  <si>
    <t xml:space="preserve">m00328024 </t>
  </si>
  <si>
    <t>｜｜事務用品費</t>
  </si>
  <si>
    <t>21号内訳書</t>
  </si>
  <si>
    <t>｜｜電力用水光熱費</t>
  </si>
  <si>
    <t>22号内訳書</t>
  </si>
  <si>
    <t>｜｜通信費</t>
  </si>
  <si>
    <t>23号内訳書</t>
  </si>
  <si>
    <t>｜｜旅費交通費</t>
  </si>
  <si>
    <t>24号内訳書</t>
  </si>
  <si>
    <t>｜｜保険料</t>
  </si>
  <si>
    <t>25号内訳書</t>
  </si>
  <si>
    <t>｜｜車両費</t>
  </si>
  <si>
    <t>26号内訳書</t>
  </si>
  <si>
    <t>｜｜雑費</t>
  </si>
  <si>
    <t>27号内訳書</t>
  </si>
  <si>
    <t>工事名称</t>
    <phoneticPr fontId="6"/>
  </si>
  <si>
    <t>★市道中荻野飯山線舗装補修工事</t>
    <phoneticPr fontId="6"/>
  </si>
  <si>
    <t>2420710169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</si>
  <si>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</si>
  <si>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</si>
  <si>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</si>
  <si>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</si>
  <si>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</si>
  <si>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</si>
  <si>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</si>
  <si>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RM-40(t)</t>
    <phoneticPr fontId="6"/>
  </si>
  <si>
    <t>t</t>
    <phoneticPr fontId="6"/>
  </si>
  <si>
    <t>材料費</t>
    <phoneticPr fontId="6"/>
  </si>
  <si>
    <t>ﾀｯｸﾌｧｲﾝSQ</t>
    <phoneticPr fontId="6"/>
  </si>
  <si>
    <t>パッチグー</t>
    <phoneticPr fontId="6"/>
  </si>
  <si>
    <t>個</t>
    <phoneticPr fontId="6"/>
  </si>
  <si>
    <t>仮ﾗｲﾝﾍﾟｲﾝﾄ</t>
    <phoneticPr fontId="6"/>
  </si>
  <si>
    <t>回</t>
    <phoneticPr fontId="6"/>
  </si>
  <si>
    <t>18ｌ缶</t>
    <phoneticPr fontId="6"/>
  </si>
  <si>
    <t>軽油</t>
    <phoneticPr fontId="6"/>
  </si>
  <si>
    <t>L</t>
    <phoneticPr fontId="6"/>
  </si>
  <si>
    <t>砂(粗目)</t>
    <phoneticPr fontId="6"/>
  </si>
  <si>
    <t>m3</t>
    <phoneticPr fontId="6"/>
  </si>
  <si>
    <t>再生瀝青安定処理30</t>
    <phoneticPr fontId="6"/>
  </si>
  <si>
    <t>ｔ</t>
    <phoneticPr fontId="6"/>
  </si>
  <si>
    <t>細粒度As5</t>
    <phoneticPr fontId="6"/>
  </si>
  <si>
    <t>引取</t>
    <phoneticPr fontId="6"/>
  </si>
  <si>
    <t>雑材</t>
    <phoneticPr fontId="6"/>
  </si>
  <si>
    <t>式</t>
    <phoneticPr fontId="6"/>
  </si>
  <si>
    <t>雑材　仮白線</t>
    <phoneticPr fontId="6"/>
  </si>
  <si>
    <t>人孔調整キット</t>
    <phoneticPr fontId="6"/>
  </si>
  <si>
    <t>乳剤PK-3、4</t>
    <phoneticPr fontId="6"/>
  </si>
  <si>
    <t>密粒度As改質Ⅱ型</t>
    <phoneticPr fontId="6"/>
  </si>
  <si>
    <t>現着</t>
    <phoneticPr fontId="6"/>
  </si>
  <si>
    <t>無収縮ﾓﾙﾀﾙ</t>
    <phoneticPr fontId="6"/>
  </si>
  <si>
    <t>袋</t>
    <phoneticPr fontId="6"/>
  </si>
  <si>
    <t>25kg詰</t>
    <phoneticPr fontId="6"/>
  </si>
  <si>
    <t>計</t>
    <phoneticPr fontId="6"/>
  </si>
  <si>
    <t>土工</t>
    <phoneticPr fontId="6"/>
  </si>
  <si>
    <t>人</t>
    <phoneticPr fontId="6"/>
  </si>
  <si>
    <t>労務費</t>
    <phoneticPr fontId="6"/>
  </si>
  <si>
    <t>夜間</t>
    <phoneticPr fontId="6"/>
  </si>
  <si>
    <t>土工　夜間</t>
    <phoneticPr fontId="6"/>
  </si>
  <si>
    <t>ｺｱｰ採取</t>
    <phoneticPr fontId="6"/>
  </si>
  <si>
    <t>最低補償</t>
    <phoneticPr fontId="6"/>
  </si>
  <si>
    <t>外注費</t>
    <phoneticPr fontId="6"/>
  </si>
  <si>
    <t>円形カッター</t>
    <phoneticPr fontId="6"/>
  </si>
  <si>
    <t>基</t>
    <phoneticPr fontId="6"/>
  </si>
  <si>
    <t>汚泥運搬費</t>
    <phoneticPr fontId="6"/>
  </si>
  <si>
    <t>汚泥処分費</t>
    <phoneticPr fontId="6"/>
  </si>
  <si>
    <t>外注経費</t>
    <phoneticPr fontId="6"/>
  </si>
  <si>
    <t>外注経費　ライン</t>
    <phoneticPr fontId="6"/>
  </si>
  <si>
    <t>区画線  実線(黄)</t>
    <phoneticPr fontId="6"/>
  </si>
  <si>
    <t>m</t>
    <phoneticPr fontId="6"/>
  </si>
  <si>
    <t>W=15cm</t>
    <phoneticPr fontId="6"/>
  </si>
  <si>
    <t>区画線  実線・ｾﾞﾌﾞﾗ</t>
    <phoneticPr fontId="6"/>
  </si>
  <si>
    <t>W=30cm</t>
    <phoneticPr fontId="6"/>
  </si>
  <si>
    <t>交通保安員</t>
    <phoneticPr fontId="6"/>
  </si>
  <si>
    <t>交通保安員　夜間</t>
    <phoneticPr fontId="6"/>
  </si>
  <si>
    <t>変更</t>
    <phoneticPr fontId="6"/>
  </si>
  <si>
    <t>平坦性試験</t>
    <phoneticPr fontId="6"/>
  </si>
  <si>
    <t>舗装版切断As150</t>
    <phoneticPr fontId="6"/>
  </si>
  <si>
    <t>ASﾌｨﾆｯｼｬｰ6.0m</t>
    <phoneticPr fontId="6"/>
  </si>
  <si>
    <t>台</t>
    <phoneticPr fontId="6"/>
  </si>
  <si>
    <t>低騒音OPAJ付</t>
    <phoneticPr fontId="6"/>
  </si>
  <si>
    <t>機械費</t>
    <phoneticPr fontId="6"/>
  </si>
  <si>
    <t>BH0.1</t>
    <phoneticPr fontId="6"/>
  </si>
  <si>
    <t>ｺﾝﾊﾞｲﾝﾄﾛｰﾗ</t>
    <phoneticPr fontId="6"/>
  </si>
  <si>
    <t>ﾀｲﾔｼｮﾍﾞﾙ0.4</t>
    <phoneticPr fontId="6"/>
  </si>
  <si>
    <t>ﾀｲﾔﾕﾝﾎﾞ</t>
    <phoneticPr fontId="6"/>
  </si>
  <si>
    <t>OP付</t>
    <phoneticPr fontId="6"/>
  </si>
  <si>
    <t>ﾀｲﾔﾕﾝﾎﾞ  ﾆﾌﾞﾗ</t>
    <phoneticPr fontId="6"/>
  </si>
  <si>
    <t>ﾀｲﾔﾛｰﾗ</t>
    <phoneticPr fontId="6"/>
  </si>
  <si>
    <t>8t</t>
    <phoneticPr fontId="6"/>
  </si>
  <si>
    <t>ﾃﾞｨｽﾄﾘﾋﾞｭｰﾀ(昼)</t>
    <phoneticPr fontId="6"/>
  </si>
  <si>
    <t>ﾃﾞｨｽﾄﾘﾋﾞｭｰﾀ(昼)SQ</t>
    <phoneticPr fontId="6"/>
  </si>
  <si>
    <t>ﾃﾞｨｽﾄﾘﾋﾞｭｰﾀ(夜)</t>
    <phoneticPr fontId="6"/>
  </si>
  <si>
    <t>トイレカー</t>
    <phoneticPr fontId="6"/>
  </si>
  <si>
    <t>ﾄﾗｯｸ積ｺﾝﾌﾟﾚｯｻｰ</t>
    <phoneticPr fontId="6"/>
  </si>
  <si>
    <t>ﾌﾞﾚｰｶｰ、ﾎｰｽ込</t>
    <phoneticPr fontId="6"/>
  </si>
  <si>
    <t>ﾊﾟﾜｰﾗｲﾄ手押し</t>
    <phoneticPr fontId="6"/>
  </si>
  <si>
    <t>4灯  低騒音</t>
    <phoneticPr fontId="6"/>
  </si>
  <si>
    <t>ブレーカー</t>
    <phoneticPr fontId="6"/>
  </si>
  <si>
    <t>レベルセット</t>
    <phoneticPr fontId="6"/>
  </si>
  <si>
    <t>規制材</t>
    <phoneticPr fontId="6"/>
  </si>
  <si>
    <t>小物機械</t>
    <phoneticPr fontId="6"/>
  </si>
  <si>
    <t>機械調書</t>
    <phoneticPr fontId="6"/>
  </si>
  <si>
    <t>摺り付け機</t>
    <phoneticPr fontId="6"/>
  </si>
  <si>
    <t>燃料(軽油)</t>
    <phoneticPr fontId="6"/>
  </si>
  <si>
    <t>リットル</t>
    <phoneticPr fontId="6"/>
  </si>
  <si>
    <t>2ｔﾀﾞﾝﾌﾟ</t>
    <phoneticPr fontId="6"/>
  </si>
  <si>
    <t>運搬費</t>
    <phoneticPr fontId="6"/>
  </si>
  <si>
    <t>2tロング</t>
    <phoneticPr fontId="6"/>
  </si>
  <si>
    <t>4ｔﾀﾞﾝﾌﾟ</t>
    <phoneticPr fontId="6"/>
  </si>
  <si>
    <t>AF回送  大型ｾﾙﾌ</t>
    <phoneticPr fontId="6"/>
  </si>
  <si>
    <t>4.4m～6.0m級</t>
    <phoneticPr fontId="6"/>
  </si>
  <si>
    <t>AS塊処分</t>
    <phoneticPr fontId="6"/>
  </si>
  <si>
    <t>ﾀﾞﾝﾌﾟﾄﾗｯｸ常用10ｔ</t>
    <phoneticPr fontId="6"/>
  </si>
  <si>
    <t>ｵﾍﾟ燃料付</t>
    <phoneticPr fontId="6"/>
  </si>
  <si>
    <t>代引き</t>
    <phoneticPr fontId="6"/>
  </si>
  <si>
    <t>ﾀﾞﾝﾌﾟﾄﾗｯｸ常用10ｔ(夜)</t>
    <phoneticPr fontId="6"/>
  </si>
  <si>
    <t>回送  4ｔｾﾙﾌ</t>
    <phoneticPr fontId="6"/>
  </si>
  <si>
    <t>回送  大型ｾﾙﾌ</t>
    <phoneticPr fontId="6"/>
  </si>
  <si>
    <t>変更分一式　夜間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</si>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</sst>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17500000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15180000</v>
      </c>
      <c r="J16" s="420"/>
      <c r="K16" s="420"/>
      <c r="L16" s="420"/>
      <c r="M16" s="420"/>
      <c r="N16" s="420"/>
      <c r="O16" s="420"/>
      <c r="P16" s="420"/>
      <c r="Q16" s="416">
        <v>0.86739999999999995</v>
      </c>
      <c r="R16" s="416"/>
      <c r="S16" s="416"/>
      <c r="U16" s="417" t="s">
        <v>16</v>
      </c>
      <c r="V16" s="418"/>
      <c r="W16" s="418"/>
      <c r="X16" s="418"/>
      <c r="Y16" s="419">
        <v>2320000</v>
      </c>
      <c r="Z16" s="420"/>
      <c r="AA16" s="420"/>
      <c r="AB16" s="420"/>
      <c r="AC16" s="420"/>
      <c r="AD16" s="420"/>
      <c r="AE16" s="420"/>
      <c r="AF16" s="420"/>
      <c r="AG16" s="416">
        <v>0.1326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45642</v>
      </c>
      <c r="D3" s="458"/>
      <c r="E3" s="272" t="s">
        <v>139</v>
      </c>
      <c r="F3" s="459">
        <v>45747</v>
      </c>
      <c r="G3" s="459"/>
      <c r="H3" s="459"/>
      <c r="I3" s="273"/>
      <c r="J3" s="273"/>
      <c r="K3" s="460" t="s">
        <v>30</v>
      </c>
      <c r="L3" s="461"/>
      <c r="M3" s="462"/>
      <c r="N3" s="449">
        <v>17500000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129904</v>
      </c>
      <c r="D5" s="335">
        <f>IF(C5&lt;&gt;"",C5/$C$20,"")</f>
        <v>1.0375718849840256E-2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0</v>
      </c>
      <c r="D6" s="336">
        <f t="shared" ref="D6:D17" si="0">IF(C6&lt;&gt;"",C6/$C$20,"")</f>
        <v>0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0</v>
      </c>
      <c r="D7" s="336">
        <f t="shared" si="0"/>
        <v>0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0</v>
      </c>
      <c r="D8" s="336">
        <f t="shared" si="0"/>
        <v>0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690000</v>
      </c>
      <c r="D9" s="336">
        <f t="shared" si="0"/>
        <v>5.5111821086261982E-2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140000</v>
      </c>
      <c r="D10" s="336">
        <f t="shared" si="0"/>
        <v>1.1182108626198083E-2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2720000</v>
      </c>
      <c r="D11" s="336">
        <f t="shared" si="0"/>
        <v>0.21725239616613418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3249911</v>
      </c>
      <c r="D12" s="336">
        <f t="shared" si="0"/>
        <v>0.25957755591054316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729957</v>
      </c>
      <c r="D13" s="336">
        <f t="shared" si="0"/>
        <v>5.8303274760383383E-2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729904</v>
      </c>
      <c r="D14" s="336">
        <f t="shared" si="0"/>
        <v>5.8299041533546328E-2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3599880</v>
      </c>
      <c r="D15" s="336">
        <f t="shared" si="0"/>
        <v>0.28753035143769967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444</v>
      </c>
      <c r="D16" s="336">
        <f t="shared" si="0"/>
        <v>3.5463258785942493E-5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280000</v>
      </c>
      <c r="D17" s="336">
        <f t="shared" si="0"/>
        <v>2.2364217252396165E-2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10000</v>
      </c>
      <c r="D18" s="336">
        <f>IF(C18&lt;&gt;"",C18/$C$20,"")</f>
        <v>7.9872204472843447E-4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240000</v>
      </c>
      <c r="D19" s="336">
        <f>IF(C19&lt;&gt;"",C19/$C$20,"")</f>
        <v>1.9169329073482427E-2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12520000</v>
      </c>
      <c r="D20" s="337">
        <f>SUM(D5:D19)</f>
        <v>0.99999999999999989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155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169</v>
      </c>
      <c r="M5" s="284">
        <v>184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170</v>
      </c>
      <c r="M6" s="291"/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171</v>
      </c>
      <c r="M7" s="291"/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170</v>
      </c>
      <c r="M8" s="291"/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172</v>
      </c>
      <c r="M9" s="291">
        <v>4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173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 t="s">
        <v>174</v>
      </c>
      <c r="L11" s="290" t="s">
        <v>170</v>
      </c>
      <c r="M11" s="291">
        <v>625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 t="s">
        <v>174</v>
      </c>
      <c r="L12" s="290" t="s">
        <v>170</v>
      </c>
      <c r="M12" s="291">
        <v>749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 t="s">
        <v>174</v>
      </c>
      <c r="L13" s="290" t="s">
        <v>171</v>
      </c>
      <c r="M13" s="291">
        <v>93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 t="s">
        <v>174</v>
      </c>
      <c r="L14" s="290" t="s">
        <v>171</v>
      </c>
      <c r="M14" s="291">
        <v>112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174</v>
      </c>
      <c r="L15" s="290" t="s">
        <v>170</v>
      </c>
      <c r="M15" s="291">
        <v>1374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/>
      <c r="L16" s="290" t="s">
        <v>173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/>
      <c r="L17" s="290" t="s">
        <v>173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 t="s">
        <v>175</v>
      </c>
      <c r="L18" s="290" t="s">
        <v>173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/>
      <c r="L19" s="296" t="s">
        <v>173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183</v>
      </c>
      <c r="D5" s="512"/>
      <c r="E5" s="246" t="s">
        <v>133</v>
      </c>
      <c r="F5" s="513" t="s">
        <v>184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185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176</v>
      </c>
      <c r="I6" s="110" t="s">
        <v>177</v>
      </c>
      <c r="J6" s="110" t="s">
        <v>178</v>
      </c>
      <c r="K6" s="110" t="s">
        <v>179</v>
      </c>
      <c r="L6" s="110" t="s">
        <v>180</v>
      </c>
      <c r="M6" s="111" t="s">
        <v>181</v>
      </c>
      <c r="N6" s="110" t="s">
        <v>182</v>
      </c>
      <c r="O6" s="112" t="s">
        <v>168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17500000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186</v>
      </c>
      <c r="D8" s="492"/>
      <c r="E8" s="113" t="s">
        <v>59</v>
      </c>
      <c r="F8" s="249">
        <v>15180000</v>
      </c>
      <c r="G8" s="334">
        <v>0.86739999999999995</v>
      </c>
      <c r="H8" s="250">
        <v>6391244</v>
      </c>
      <c r="I8" s="251">
        <v>1879000</v>
      </c>
      <c r="J8" s="251">
        <v>1917970</v>
      </c>
      <c r="K8" s="251">
        <v>1995299</v>
      </c>
      <c r="L8" s="252">
        <v>1884750</v>
      </c>
      <c r="M8" s="252">
        <v>58916</v>
      </c>
      <c r="N8" s="253">
        <v>820000</v>
      </c>
      <c r="O8" s="254">
        <v>232820</v>
      </c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11990000</v>
      </c>
      <c r="G9" s="334">
        <v>0.68510000000000004</v>
      </c>
      <c r="H9" s="250">
        <v>6391244</v>
      </c>
      <c r="I9" s="251">
        <v>1810000</v>
      </c>
      <c r="J9" s="251">
        <v>376970</v>
      </c>
      <c r="K9" s="251">
        <v>1783299</v>
      </c>
      <c r="L9" s="252">
        <v>1584250</v>
      </c>
      <c r="M9" s="252">
        <v>44236</v>
      </c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2370000</v>
      </c>
      <c r="G10" s="334">
        <v>0.13539999999999999</v>
      </c>
      <c r="H10" s="250"/>
      <c r="I10" s="253">
        <v>69000</v>
      </c>
      <c r="J10" s="253">
        <v>1541000</v>
      </c>
      <c r="K10" s="253">
        <v>212000</v>
      </c>
      <c r="L10" s="251">
        <v>300500</v>
      </c>
      <c r="M10" s="252">
        <v>14680</v>
      </c>
      <c r="N10" s="253"/>
      <c r="O10" s="254">
        <v>232820</v>
      </c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820000</v>
      </c>
      <c r="G11" s="334">
        <v>4.6899999999999997E-2</v>
      </c>
      <c r="H11" s="250"/>
      <c r="I11" s="253"/>
      <c r="J11" s="253"/>
      <c r="K11" s="253"/>
      <c r="L11" s="251"/>
      <c r="M11" s="252"/>
      <c r="N11" s="253">
        <v>820000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187</v>
      </c>
      <c r="D12" s="492"/>
      <c r="E12" s="113" t="s">
        <v>66</v>
      </c>
      <c r="F12" s="249">
        <v>2320000</v>
      </c>
      <c r="G12" s="334">
        <v>0.1326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188</v>
      </c>
      <c r="D13" s="492"/>
      <c r="E13" s="169" t="s">
        <v>110</v>
      </c>
      <c r="F13" s="249">
        <v>1102500</v>
      </c>
      <c r="G13" s="334">
        <v>6.3E-2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189</v>
      </c>
      <c r="D14" s="493"/>
      <c r="E14" s="114" t="s">
        <v>111</v>
      </c>
      <c r="F14" s="249">
        <v>840000</v>
      </c>
      <c r="G14" s="334">
        <v>4.8000000000000001E-2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190</v>
      </c>
      <c r="D15" s="495"/>
      <c r="E15" s="114" t="s">
        <v>112</v>
      </c>
      <c r="F15" s="249">
        <v>262500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190</v>
      </c>
      <c r="D16" s="493"/>
      <c r="E16" s="113" t="s">
        <v>113</v>
      </c>
      <c r="F16" s="249">
        <v>1217500</v>
      </c>
      <c r="G16" s="334">
        <v>6.9599999999999995E-2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191</v>
      </c>
      <c r="D17" s="500"/>
      <c r="E17" s="113" t="s">
        <v>114</v>
      </c>
      <c r="F17" s="249">
        <v>1015000</v>
      </c>
      <c r="G17" s="334">
        <v>5.8000000000000003E-2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202500</v>
      </c>
      <c r="G18" s="334">
        <v>1.1599999999999999E-2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192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193</v>
      </c>
      <c r="C8" s="166"/>
      <c r="D8" s="517" t="s">
        <v>169</v>
      </c>
      <c r="E8" s="519">
        <v>184</v>
      </c>
      <c r="F8" s="521">
        <v>706</v>
      </c>
      <c r="G8" s="523">
        <v>129904</v>
      </c>
      <c r="H8" s="351" t="s">
        <v>195</v>
      </c>
      <c r="I8" s="525">
        <v>7.4000000000000003E-3</v>
      </c>
      <c r="J8" s="227"/>
      <c r="K8" s="69" t="s">
        <v>96</v>
      </c>
    </row>
    <row r="9" spans="1:11" ht="15.6" customHeight="1">
      <c r="A9" s="69"/>
      <c r="B9" s="224" t="s">
        <v>194</v>
      </c>
      <c r="C9" s="225"/>
      <c r="D9" s="518"/>
      <c r="E9" s="520"/>
      <c r="F9" s="522"/>
      <c r="G9" s="524"/>
      <c r="H9" s="352" t="s">
        <v>196</v>
      </c>
      <c r="I9" s="526"/>
      <c r="J9" s="227"/>
      <c r="K9" s="69" t="s">
        <v>96</v>
      </c>
    </row>
    <row r="10" spans="1:11" ht="15.6" customHeight="1">
      <c r="A10" s="69"/>
      <c r="B10" s="222" t="s">
        <v>197</v>
      </c>
      <c r="C10" s="166"/>
      <c r="D10" s="517" t="s">
        <v>170</v>
      </c>
      <c r="E10" s="519"/>
      <c r="F10" s="521"/>
      <c r="G10" s="523"/>
      <c r="H10" s="351" t="s">
        <v>198</v>
      </c>
      <c r="I10" s="525"/>
      <c r="J10" s="223"/>
      <c r="K10" s="69" t="s">
        <v>96</v>
      </c>
    </row>
    <row r="11" spans="1:11" ht="15.6" customHeight="1">
      <c r="A11" s="69"/>
      <c r="B11" s="224" t="s">
        <v>194</v>
      </c>
      <c r="C11" s="225"/>
      <c r="D11" s="518"/>
      <c r="E11" s="520"/>
      <c r="F11" s="522"/>
      <c r="G11" s="524"/>
      <c r="H11" s="352" t="s">
        <v>196</v>
      </c>
      <c r="I11" s="526"/>
      <c r="J11" s="226"/>
      <c r="K11" s="69" t="s">
        <v>96</v>
      </c>
    </row>
    <row r="12" spans="1:11" ht="15.6" customHeight="1">
      <c r="A12" s="69"/>
      <c r="B12" s="222" t="s">
        <v>199</v>
      </c>
      <c r="C12" s="166"/>
      <c r="D12" s="517" t="s">
        <v>171</v>
      </c>
      <c r="E12" s="519"/>
      <c r="F12" s="521"/>
      <c r="G12" s="523"/>
      <c r="H12" s="351" t="s">
        <v>200</v>
      </c>
      <c r="I12" s="525"/>
      <c r="J12" s="223"/>
      <c r="K12" s="69" t="s">
        <v>96</v>
      </c>
    </row>
    <row r="13" spans="1:11" ht="15.6" customHeight="1">
      <c r="A13" s="69"/>
      <c r="B13" s="224" t="s">
        <v>194</v>
      </c>
      <c r="C13" s="225"/>
      <c r="D13" s="518"/>
      <c r="E13" s="520"/>
      <c r="F13" s="522"/>
      <c r="G13" s="524"/>
      <c r="H13" s="352" t="s">
        <v>196</v>
      </c>
      <c r="I13" s="526"/>
      <c r="J13" s="226"/>
      <c r="K13" s="69" t="s">
        <v>96</v>
      </c>
    </row>
    <row r="14" spans="1:11" ht="15.6" customHeight="1">
      <c r="A14" s="69"/>
      <c r="B14" s="222" t="s">
        <v>201</v>
      </c>
      <c r="C14" s="166"/>
      <c r="D14" s="517" t="s">
        <v>170</v>
      </c>
      <c r="E14" s="519"/>
      <c r="F14" s="521"/>
      <c r="G14" s="523"/>
      <c r="H14" s="351" t="s">
        <v>202</v>
      </c>
      <c r="I14" s="525"/>
      <c r="J14" s="223"/>
      <c r="K14" s="69" t="s">
        <v>96</v>
      </c>
    </row>
    <row r="15" spans="1:11" ht="15.6" customHeight="1">
      <c r="A15" s="69"/>
      <c r="B15" s="224" t="s">
        <v>194</v>
      </c>
      <c r="C15" s="225"/>
      <c r="D15" s="518"/>
      <c r="E15" s="520"/>
      <c r="F15" s="522"/>
      <c r="G15" s="524"/>
      <c r="H15" s="352" t="s">
        <v>196</v>
      </c>
      <c r="I15" s="526"/>
      <c r="J15" s="226"/>
      <c r="K15" s="69" t="s">
        <v>96</v>
      </c>
    </row>
    <row r="16" spans="1:11" ht="15.6" customHeight="1">
      <c r="A16" s="69"/>
      <c r="B16" s="222" t="s">
        <v>203</v>
      </c>
      <c r="C16" s="166"/>
      <c r="D16" s="517" t="s">
        <v>172</v>
      </c>
      <c r="E16" s="519">
        <v>4</v>
      </c>
      <c r="F16" s="521">
        <v>172500</v>
      </c>
      <c r="G16" s="523">
        <v>690000</v>
      </c>
      <c r="H16" s="351" t="s">
        <v>204</v>
      </c>
      <c r="I16" s="525">
        <v>3.9399999999999998E-2</v>
      </c>
      <c r="J16" s="223"/>
      <c r="K16" s="69" t="s">
        <v>96</v>
      </c>
    </row>
    <row r="17" spans="1:11" ht="15.6" customHeight="1">
      <c r="A17" s="69"/>
      <c r="B17" s="224" t="s">
        <v>194</v>
      </c>
      <c r="C17" s="225"/>
      <c r="D17" s="518"/>
      <c r="E17" s="520"/>
      <c r="F17" s="522"/>
      <c r="G17" s="524"/>
      <c r="H17" s="352" t="s">
        <v>196</v>
      </c>
      <c r="I17" s="526"/>
      <c r="J17" s="226"/>
      <c r="K17" s="69" t="s">
        <v>96</v>
      </c>
    </row>
    <row r="18" spans="1:11" ht="15.6" customHeight="1">
      <c r="A18" s="69"/>
      <c r="B18" s="222" t="s">
        <v>205</v>
      </c>
      <c r="C18" s="166"/>
      <c r="D18" s="517" t="s">
        <v>173</v>
      </c>
      <c r="E18" s="519">
        <v>1</v>
      </c>
      <c r="F18" s="521">
        <v>140000</v>
      </c>
      <c r="G18" s="523">
        <v>140000</v>
      </c>
      <c r="H18" s="351" t="s">
        <v>206</v>
      </c>
      <c r="I18" s="525">
        <v>8.0000000000000002E-3</v>
      </c>
      <c r="J18" s="223"/>
      <c r="K18" s="69" t="s">
        <v>96</v>
      </c>
    </row>
    <row r="19" spans="1:11" ht="15.6" customHeight="1">
      <c r="A19" s="69"/>
      <c r="B19" s="224" t="s">
        <v>194</v>
      </c>
      <c r="C19" s="225"/>
      <c r="D19" s="518"/>
      <c r="E19" s="520"/>
      <c r="F19" s="522"/>
      <c r="G19" s="524"/>
      <c r="H19" s="352" t="s">
        <v>196</v>
      </c>
      <c r="I19" s="526"/>
      <c r="J19" s="226"/>
      <c r="K19" s="69" t="s">
        <v>96</v>
      </c>
    </row>
    <row r="20" spans="1:11" ht="15.6" customHeight="1">
      <c r="A20" s="69"/>
      <c r="B20" s="222" t="s">
        <v>207</v>
      </c>
      <c r="C20" s="166"/>
      <c r="D20" s="517" t="s">
        <v>173</v>
      </c>
      <c r="E20" s="519">
        <v>1</v>
      </c>
      <c r="F20" s="521"/>
      <c r="G20" s="523"/>
      <c r="H20" s="351" t="s">
        <v>208</v>
      </c>
      <c r="I20" s="525"/>
      <c r="J20" s="223"/>
      <c r="K20" s="69" t="s">
        <v>96</v>
      </c>
    </row>
    <row r="21" spans="1:11" ht="15.6" customHeight="1">
      <c r="A21" s="69"/>
      <c r="B21" s="224" t="s">
        <v>194</v>
      </c>
      <c r="C21" s="225"/>
      <c r="D21" s="518"/>
      <c r="E21" s="520"/>
      <c r="F21" s="522"/>
      <c r="G21" s="524"/>
      <c r="H21" s="352" t="s">
        <v>196</v>
      </c>
      <c r="I21" s="526"/>
      <c r="J21" s="226"/>
      <c r="K21" s="69" t="s">
        <v>96</v>
      </c>
    </row>
    <row r="22" spans="1:11" ht="15.6" customHeight="1">
      <c r="A22" s="69"/>
      <c r="B22" s="222" t="s">
        <v>209</v>
      </c>
      <c r="C22" s="166"/>
      <c r="D22" s="517" t="s">
        <v>170</v>
      </c>
      <c r="E22" s="519">
        <v>625</v>
      </c>
      <c r="F22" s="521">
        <v>4352</v>
      </c>
      <c r="G22" s="523">
        <v>2720000</v>
      </c>
      <c r="H22" s="351" t="s">
        <v>210</v>
      </c>
      <c r="I22" s="525">
        <v>0.15540000000000001</v>
      </c>
      <c r="J22" s="223"/>
      <c r="K22" s="69" t="s">
        <v>96</v>
      </c>
    </row>
    <row r="23" spans="1:11" ht="15.6" customHeight="1">
      <c r="A23" s="69"/>
      <c r="B23" s="224" t="s">
        <v>207</v>
      </c>
      <c r="C23" s="225"/>
      <c r="D23" s="518"/>
      <c r="E23" s="520"/>
      <c r="F23" s="522"/>
      <c r="G23" s="524"/>
      <c r="H23" s="352" t="s">
        <v>196</v>
      </c>
      <c r="I23" s="526"/>
      <c r="J23" s="226"/>
      <c r="K23" s="69" t="s">
        <v>96</v>
      </c>
    </row>
    <row r="24" spans="1:11" ht="15.6" customHeight="1">
      <c r="A24" s="69"/>
      <c r="B24" s="222" t="s">
        <v>211</v>
      </c>
      <c r="C24" s="166"/>
      <c r="D24" s="517" t="s">
        <v>170</v>
      </c>
      <c r="E24" s="519">
        <v>749</v>
      </c>
      <c r="F24" s="521">
        <v>4339</v>
      </c>
      <c r="G24" s="523">
        <v>3249911</v>
      </c>
      <c r="H24" s="351" t="s">
        <v>212</v>
      </c>
      <c r="I24" s="525">
        <v>0.1857</v>
      </c>
      <c r="J24" s="223"/>
      <c r="K24" s="69" t="s">
        <v>96</v>
      </c>
    </row>
    <row r="25" spans="1:11" ht="15.6" customHeight="1">
      <c r="A25" s="69"/>
      <c r="B25" s="224" t="s">
        <v>207</v>
      </c>
      <c r="C25" s="225"/>
      <c r="D25" s="518"/>
      <c r="E25" s="520"/>
      <c r="F25" s="522"/>
      <c r="G25" s="524"/>
      <c r="H25" s="352" t="s">
        <v>196</v>
      </c>
      <c r="I25" s="526"/>
      <c r="J25" s="226"/>
      <c r="K25" s="69" t="s">
        <v>96</v>
      </c>
    </row>
    <row r="26" spans="1:11" ht="15.6" customHeight="1">
      <c r="A26" s="69"/>
      <c r="B26" s="222" t="s">
        <v>213</v>
      </c>
      <c r="C26" s="166"/>
      <c r="D26" s="517" t="s">
        <v>171</v>
      </c>
      <c r="E26" s="519">
        <v>93</v>
      </c>
      <c r="F26" s="521">
        <v>7849</v>
      </c>
      <c r="G26" s="523">
        <v>729957</v>
      </c>
      <c r="H26" s="351" t="s">
        <v>214</v>
      </c>
      <c r="I26" s="525">
        <v>4.1700000000000001E-2</v>
      </c>
      <c r="J26" s="223"/>
      <c r="K26" s="69" t="s">
        <v>96</v>
      </c>
    </row>
    <row r="27" spans="1:11" ht="15.6" customHeight="1">
      <c r="A27" s="69"/>
      <c r="B27" s="224" t="s">
        <v>207</v>
      </c>
      <c r="C27" s="225"/>
      <c r="D27" s="518"/>
      <c r="E27" s="520"/>
      <c r="F27" s="522"/>
      <c r="G27" s="524"/>
      <c r="H27" s="352" t="s">
        <v>196</v>
      </c>
      <c r="I27" s="526"/>
      <c r="J27" s="226"/>
      <c r="K27" s="69" t="s">
        <v>96</v>
      </c>
    </row>
    <row r="28" spans="1:11" ht="15.6" customHeight="1">
      <c r="A28" s="69"/>
      <c r="B28" s="222" t="s">
        <v>215</v>
      </c>
      <c r="C28" s="166"/>
      <c r="D28" s="517" t="s">
        <v>171</v>
      </c>
      <c r="E28" s="519">
        <v>112</v>
      </c>
      <c r="F28" s="521">
        <v>6517</v>
      </c>
      <c r="G28" s="523">
        <v>729904</v>
      </c>
      <c r="H28" s="351" t="s">
        <v>216</v>
      </c>
      <c r="I28" s="525">
        <v>4.1700000000000001E-2</v>
      </c>
      <c r="J28" s="223"/>
      <c r="K28" s="69" t="s">
        <v>96</v>
      </c>
    </row>
    <row r="29" spans="1:11" ht="15.6" customHeight="1">
      <c r="A29" s="69"/>
      <c r="B29" s="224" t="s">
        <v>207</v>
      </c>
      <c r="C29" s="225"/>
      <c r="D29" s="518"/>
      <c r="E29" s="520"/>
      <c r="F29" s="522"/>
      <c r="G29" s="524"/>
      <c r="H29" s="352" t="s">
        <v>196</v>
      </c>
      <c r="I29" s="526"/>
      <c r="J29" s="226"/>
      <c r="K29" s="69" t="s">
        <v>96</v>
      </c>
    </row>
    <row r="30" spans="1:11" ht="15.6" customHeight="1">
      <c r="A30" s="69"/>
      <c r="B30" s="222" t="s">
        <v>217</v>
      </c>
      <c r="C30" s="166"/>
      <c r="D30" s="517" t="s">
        <v>170</v>
      </c>
      <c r="E30" s="519">
        <v>1374</v>
      </c>
      <c r="F30" s="521">
        <v>2620</v>
      </c>
      <c r="G30" s="523">
        <v>3599880</v>
      </c>
      <c r="H30" s="351" t="s">
        <v>218</v>
      </c>
      <c r="I30" s="525">
        <v>0.20569999999999999</v>
      </c>
      <c r="J30" s="223"/>
      <c r="K30" s="69" t="s">
        <v>96</v>
      </c>
    </row>
    <row r="31" spans="1:11" ht="15.6" customHeight="1">
      <c r="A31" s="69"/>
      <c r="B31" s="224" t="s">
        <v>207</v>
      </c>
      <c r="C31" s="225"/>
      <c r="D31" s="518"/>
      <c r="E31" s="520"/>
      <c r="F31" s="522"/>
      <c r="G31" s="524"/>
      <c r="H31" s="352" t="s">
        <v>196</v>
      </c>
      <c r="I31" s="526"/>
      <c r="J31" s="226"/>
      <c r="K31" s="69" t="s">
        <v>96</v>
      </c>
    </row>
    <row r="32" spans="1:11" ht="15.6" customHeight="1">
      <c r="A32" s="69"/>
      <c r="B32" s="222" t="s">
        <v>219</v>
      </c>
      <c r="C32" s="166"/>
      <c r="D32" s="532" t="s">
        <v>173</v>
      </c>
      <c r="E32" s="519">
        <v>1</v>
      </c>
      <c r="F32" s="521">
        <v>444</v>
      </c>
      <c r="G32" s="523">
        <v>444</v>
      </c>
      <c r="H32" s="351" t="s">
        <v>220</v>
      </c>
      <c r="I32" s="525">
        <v>0</v>
      </c>
      <c r="J32" s="223"/>
      <c r="K32" s="69" t="s">
        <v>96</v>
      </c>
    </row>
    <row r="33" spans="1:11" ht="15.6" customHeight="1">
      <c r="A33" s="69"/>
      <c r="B33" s="224" t="s">
        <v>194</v>
      </c>
      <c r="C33" s="225"/>
      <c r="D33" s="532"/>
      <c r="E33" s="520"/>
      <c r="F33" s="522"/>
      <c r="G33" s="524"/>
      <c r="H33" s="354" t="s">
        <v>196</v>
      </c>
      <c r="I33" s="526"/>
      <c r="J33" s="226"/>
      <c r="K33" s="69" t="s">
        <v>96</v>
      </c>
    </row>
    <row r="34" spans="1:11" ht="15.6" customHeight="1">
      <c r="A34" s="69"/>
      <c r="B34" s="222" t="s">
        <v>221</v>
      </c>
      <c r="C34" s="166"/>
      <c r="D34" s="517"/>
      <c r="E34" s="519"/>
      <c r="F34" s="521"/>
      <c r="G34" s="523">
        <v>11990000</v>
      </c>
      <c r="H34" s="351"/>
      <c r="I34" s="525">
        <v>0.68510000000000004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222</v>
      </c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223</v>
      </c>
      <c r="C45" s="166"/>
      <c r="D45" s="517" t="s">
        <v>173</v>
      </c>
      <c r="E45" s="519">
        <v>1</v>
      </c>
      <c r="F45" s="521">
        <v>2370000</v>
      </c>
      <c r="G45" s="523">
        <v>2370000</v>
      </c>
      <c r="H45" s="351"/>
      <c r="I45" s="525">
        <v>0.13539999999999999</v>
      </c>
      <c r="J45" s="227"/>
      <c r="K45" s="69" t="s">
        <v>96</v>
      </c>
    </row>
    <row r="46" spans="1:11" ht="15.6" customHeight="1">
      <c r="A46" s="69"/>
      <c r="B46" s="224" t="s">
        <v>194</v>
      </c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224</v>
      </c>
      <c r="C47" s="166"/>
      <c r="D47" s="517" t="s">
        <v>173</v>
      </c>
      <c r="E47" s="519">
        <v>1</v>
      </c>
      <c r="F47" s="521">
        <v>820000</v>
      </c>
      <c r="G47" s="523">
        <v>820000</v>
      </c>
      <c r="H47" s="351"/>
      <c r="I47" s="525">
        <v>4.6899999999999997E-2</v>
      </c>
      <c r="J47" s="223"/>
      <c r="K47" s="69" t="s">
        <v>96</v>
      </c>
    </row>
    <row r="48" spans="1:11" ht="15.6" customHeight="1">
      <c r="A48" s="69"/>
      <c r="B48" s="224" t="s">
        <v>194</v>
      </c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225</v>
      </c>
      <c r="C49" s="166"/>
      <c r="D49" s="517"/>
      <c r="E49" s="519"/>
      <c r="F49" s="521"/>
      <c r="G49" s="523">
        <v>3190000</v>
      </c>
      <c r="H49" s="351"/>
      <c r="I49" s="525">
        <v>0.1822</v>
      </c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 t="s">
        <v>226</v>
      </c>
      <c r="C53" s="166"/>
      <c r="D53" s="517"/>
      <c r="E53" s="519"/>
      <c r="F53" s="521"/>
      <c r="G53" s="523">
        <v>15180000</v>
      </c>
      <c r="H53" s="351"/>
      <c r="I53" s="525">
        <v>0.86739999999999995</v>
      </c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 t="s">
        <v>227</v>
      </c>
      <c r="C57" s="166"/>
      <c r="D57" s="517"/>
      <c r="E57" s="519"/>
      <c r="F57" s="521"/>
      <c r="G57" s="523">
        <v>2320000</v>
      </c>
      <c r="H57" s="351"/>
      <c r="I57" s="525">
        <v>0.1326</v>
      </c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 t="s">
        <v>131</v>
      </c>
      <c r="C61" s="166"/>
      <c r="D61" s="517"/>
      <c r="E61" s="519"/>
      <c r="F61" s="521"/>
      <c r="G61" s="523">
        <v>17500000</v>
      </c>
      <c r="H61" s="351"/>
      <c r="I61" s="525">
        <v>1</v>
      </c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B257-1690-40D5-85DB-889E837FCB20}">
  <sheetPr codeName="Sheet4">
    <pageSetUpPr fitToPage="1"/>
  </sheetPr>
  <dimension ref="A1:K37"/>
  <sheetViews>
    <sheetView topLeftCell="A12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229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169</v>
      </c>
      <c r="E6" s="519">
        <v>184</v>
      </c>
      <c r="F6" s="521">
        <v>706</v>
      </c>
      <c r="G6" s="523">
        <v>129904</v>
      </c>
      <c r="H6" s="351" t="s">
        <v>195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196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170</v>
      </c>
      <c r="E8" s="519"/>
      <c r="F8" s="521"/>
      <c r="G8" s="523"/>
      <c r="H8" s="351" t="s">
        <v>198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196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171</v>
      </c>
      <c r="E10" s="519"/>
      <c r="F10" s="521"/>
      <c r="G10" s="523"/>
      <c r="H10" s="351" t="s">
        <v>200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196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170</v>
      </c>
      <c r="E12" s="519"/>
      <c r="F12" s="521"/>
      <c r="G12" s="523"/>
      <c r="H12" s="351" t="s">
        <v>202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196</v>
      </c>
      <c r="I13" s="352"/>
      <c r="J13" s="226"/>
      <c r="K13" s="69" t="s">
        <v>96</v>
      </c>
    </row>
    <row r="14" spans="1:11" ht="15.6" customHeight="1">
      <c r="A14" s="69"/>
      <c r="B14" s="222" t="s">
        <v>158</v>
      </c>
      <c r="C14" s="166"/>
      <c r="D14" s="517" t="s">
        <v>172</v>
      </c>
      <c r="E14" s="519">
        <v>4</v>
      </c>
      <c r="F14" s="521">
        <v>172500</v>
      </c>
      <c r="G14" s="523">
        <v>690000</v>
      </c>
      <c r="H14" s="351" t="s">
        <v>204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196</v>
      </c>
      <c r="I15" s="352"/>
      <c r="J15" s="226"/>
      <c r="K15" s="69" t="s">
        <v>96</v>
      </c>
    </row>
    <row r="16" spans="1:11" ht="15.6" customHeight="1">
      <c r="A16" s="69"/>
      <c r="B16" s="222" t="s">
        <v>159</v>
      </c>
      <c r="C16" s="166"/>
      <c r="D16" s="517" t="s">
        <v>173</v>
      </c>
      <c r="E16" s="519">
        <v>1</v>
      </c>
      <c r="F16" s="521">
        <v>140000</v>
      </c>
      <c r="G16" s="523">
        <v>140000</v>
      </c>
      <c r="H16" s="351" t="s">
        <v>206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196</v>
      </c>
      <c r="I17" s="352"/>
      <c r="J17" s="226"/>
      <c r="K17" s="69" t="s">
        <v>96</v>
      </c>
    </row>
    <row r="18" spans="1:11" ht="15.6" customHeight="1">
      <c r="A18" s="69"/>
      <c r="B18" s="222" t="s">
        <v>174</v>
      </c>
      <c r="C18" s="166"/>
      <c r="D18" s="517" t="s">
        <v>173</v>
      </c>
      <c r="E18" s="519">
        <v>1</v>
      </c>
      <c r="F18" s="521"/>
      <c r="G18" s="523"/>
      <c r="H18" s="351" t="s">
        <v>208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196</v>
      </c>
      <c r="I19" s="352"/>
      <c r="J19" s="226"/>
      <c r="K19" s="69" t="s">
        <v>96</v>
      </c>
    </row>
    <row r="20" spans="1:11" ht="15.6" customHeight="1">
      <c r="A20" s="69"/>
      <c r="B20" s="222" t="s">
        <v>160</v>
      </c>
      <c r="C20" s="166"/>
      <c r="D20" s="517" t="s">
        <v>170</v>
      </c>
      <c r="E20" s="519">
        <v>625</v>
      </c>
      <c r="F20" s="521">
        <v>4352</v>
      </c>
      <c r="G20" s="523">
        <v>2720000</v>
      </c>
      <c r="H20" s="351" t="s">
        <v>210</v>
      </c>
      <c r="I20" s="351"/>
      <c r="J20" s="223"/>
      <c r="K20" s="69" t="s">
        <v>96</v>
      </c>
    </row>
    <row r="21" spans="1:11" ht="15.6" customHeight="1">
      <c r="A21" s="69"/>
      <c r="B21" s="224" t="s">
        <v>174</v>
      </c>
      <c r="C21" s="225"/>
      <c r="D21" s="518"/>
      <c r="E21" s="520"/>
      <c r="F21" s="522"/>
      <c r="G21" s="524"/>
      <c r="H21" s="352" t="s">
        <v>196</v>
      </c>
      <c r="I21" s="352"/>
      <c r="J21" s="226"/>
      <c r="K21" s="69" t="s">
        <v>96</v>
      </c>
    </row>
    <row r="22" spans="1:11" ht="15.6" customHeight="1">
      <c r="A22" s="69"/>
      <c r="B22" s="222" t="s">
        <v>161</v>
      </c>
      <c r="C22" s="166"/>
      <c r="D22" s="517" t="s">
        <v>170</v>
      </c>
      <c r="E22" s="519">
        <v>749</v>
      </c>
      <c r="F22" s="521">
        <v>4339</v>
      </c>
      <c r="G22" s="523">
        <v>3249911</v>
      </c>
      <c r="H22" s="351" t="s">
        <v>212</v>
      </c>
      <c r="I22" s="351"/>
      <c r="J22" s="223"/>
      <c r="K22" s="69" t="s">
        <v>96</v>
      </c>
    </row>
    <row r="23" spans="1:11" ht="15.6" customHeight="1">
      <c r="A23" s="69"/>
      <c r="B23" s="224" t="s">
        <v>174</v>
      </c>
      <c r="C23" s="225"/>
      <c r="D23" s="518"/>
      <c r="E23" s="520"/>
      <c r="F23" s="522"/>
      <c r="G23" s="524"/>
      <c r="H23" s="352" t="s">
        <v>196</v>
      </c>
      <c r="I23" s="352"/>
      <c r="J23" s="226"/>
      <c r="K23" s="69" t="s">
        <v>96</v>
      </c>
    </row>
    <row r="24" spans="1:11" ht="15.6" customHeight="1">
      <c r="A24" s="69"/>
      <c r="B24" s="222" t="s">
        <v>162</v>
      </c>
      <c r="C24" s="166"/>
      <c r="D24" s="517" t="s">
        <v>171</v>
      </c>
      <c r="E24" s="519">
        <v>93</v>
      </c>
      <c r="F24" s="521">
        <v>7849</v>
      </c>
      <c r="G24" s="523">
        <v>729957</v>
      </c>
      <c r="H24" s="351" t="s">
        <v>214</v>
      </c>
      <c r="I24" s="351"/>
      <c r="J24" s="223"/>
      <c r="K24" s="69" t="s">
        <v>96</v>
      </c>
    </row>
    <row r="25" spans="1:11" ht="15.6" customHeight="1">
      <c r="A25" s="69"/>
      <c r="B25" s="224" t="s">
        <v>174</v>
      </c>
      <c r="C25" s="225"/>
      <c r="D25" s="518"/>
      <c r="E25" s="520"/>
      <c r="F25" s="522"/>
      <c r="G25" s="524"/>
      <c r="H25" s="352" t="s">
        <v>196</v>
      </c>
      <c r="I25" s="352"/>
      <c r="J25" s="226"/>
      <c r="K25" s="69" t="s">
        <v>96</v>
      </c>
    </row>
    <row r="26" spans="1:11" ht="15.6" customHeight="1">
      <c r="A26" s="69"/>
      <c r="B26" s="222" t="s">
        <v>163</v>
      </c>
      <c r="C26" s="166"/>
      <c r="D26" s="517" t="s">
        <v>171</v>
      </c>
      <c r="E26" s="519">
        <v>112</v>
      </c>
      <c r="F26" s="521">
        <v>6517</v>
      </c>
      <c r="G26" s="523">
        <v>729904</v>
      </c>
      <c r="H26" s="351" t="s">
        <v>216</v>
      </c>
      <c r="I26" s="351"/>
      <c r="J26" s="223"/>
      <c r="K26" s="69" t="s">
        <v>96</v>
      </c>
    </row>
    <row r="27" spans="1:11" ht="15.6" customHeight="1">
      <c r="A27" s="69"/>
      <c r="B27" s="224" t="s">
        <v>174</v>
      </c>
      <c r="C27" s="225"/>
      <c r="D27" s="518"/>
      <c r="E27" s="520"/>
      <c r="F27" s="522"/>
      <c r="G27" s="524"/>
      <c r="H27" s="352" t="s">
        <v>196</v>
      </c>
      <c r="I27" s="352"/>
      <c r="J27" s="226"/>
      <c r="K27" s="69" t="s">
        <v>96</v>
      </c>
    </row>
    <row r="28" spans="1:11" ht="15.6" customHeight="1">
      <c r="A28" s="69"/>
      <c r="B28" s="222" t="s">
        <v>164</v>
      </c>
      <c r="C28" s="166"/>
      <c r="D28" s="517" t="s">
        <v>170</v>
      </c>
      <c r="E28" s="519">
        <v>1374</v>
      </c>
      <c r="F28" s="521">
        <v>2620</v>
      </c>
      <c r="G28" s="523">
        <v>3599880</v>
      </c>
      <c r="H28" s="351" t="s">
        <v>218</v>
      </c>
      <c r="I28" s="351"/>
      <c r="J28" s="223"/>
      <c r="K28" s="69" t="s">
        <v>96</v>
      </c>
    </row>
    <row r="29" spans="1:11" ht="15.6" customHeight="1">
      <c r="A29" s="69"/>
      <c r="B29" s="224" t="s">
        <v>174</v>
      </c>
      <c r="C29" s="225"/>
      <c r="D29" s="518"/>
      <c r="E29" s="520"/>
      <c r="F29" s="522"/>
      <c r="G29" s="524"/>
      <c r="H29" s="352" t="s">
        <v>196</v>
      </c>
      <c r="I29" s="352"/>
      <c r="J29" s="226"/>
      <c r="K29" s="69" t="s">
        <v>96</v>
      </c>
    </row>
    <row r="30" spans="1:11" ht="15.6" customHeight="1">
      <c r="A30" s="69"/>
      <c r="B30" s="222" t="s">
        <v>165</v>
      </c>
      <c r="C30" s="166"/>
      <c r="D30" s="517" t="s">
        <v>173</v>
      </c>
      <c r="E30" s="519">
        <v>1</v>
      </c>
      <c r="F30" s="521">
        <v>444</v>
      </c>
      <c r="G30" s="523">
        <v>444</v>
      </c>
      <c r="H30" s="351" t="s">
        <v>220</v>
      </c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 t="s">
        <v>196</v>
      </c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 t="s">
        <v>228</v>
      </c>
      <c r="C34" s="166"/>
      <c r="D34" s="517"/>
      <c r="E34" s="519"/>
      <c r="F34" s="521"/>
      <c r="G34" s="523">
        <v>11990000</v>
      </c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64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★市道中荻野飯山線舗装補修工事</v>
      </c>
      <c r="G1" s="306"/>
      <c r="H1" s="190" t="s">
        <v>140</v>
      </c>
      <c r="I1" s="333">
        <v>17500000</v>
      </c>
      <c r="J1" s="339">
        <f>I4/I$1</f>
        <v>0.86742857142857144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230</v>
      </c>
      <c r="D4" s="340" t="s">
        <v>183</v>
      </c>
      <c r="E4" s="342"/>
      <c r="F4" s="345" t="s">
        <v>173</v>
      </c>
      <c r="G4" s="308">
        <v>1</v>
      </c>
      <c r="H4" s="309">
        <v>15180000</v>
      </c>
      <c r="I4" s="309">
        <v>15180000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231</v>
      </c>
      <c r="D5" s="340" t="s">
        <v>232</v>
      </c>
      <c r="E5" s="342"/>
      <c r="F5" s="345" t="s">
        <v>173</v>
      </c>
      <c r="G5" s="308">
        <v>1</v>
      </c>
      <c r="H5" s="309">
        <v>11990000</v>
      </c>
      <c r="I5" s="309">
        <v>11990000</v>
      </c>
      <c r="J5" s="211"/>
      <c r="K5" s="212" t="str">
        <f>IF(OR(J5="",G5=J5),"","*")</f>
        <v/>
      </c>
      <c r="L5" s="338">
        <f>IF($A5&lt;=L$1,I5/I$4,"")</f>
        <v>0.78985507246376807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233</v>
      </c>
      <c r="D6" s="340" t="s">
        <v>234</v>
      </c>
      <c r="E6" s="342"/>
      <c r="F6" s="345" t="s">
        <v>169</v>
      </c>
      <c r="G6" s="308">
        <v>184</v>
      </c>
      <c r="H6" s="309">
        <v>706</v>
      </c>
      <c r="I6" s="309">
        <v>129904</v>
      </c>
      <c r="J6" s="211">
        <v>184</v>
      </c>
      <c r="K6" s="212" t="str">
        <f>IF(OR(J6="",G6=J6),"","*")</f>
        <v/>
      </c>
      <c r="L6" s="338">
        <f>IF($A6&lt;=L$1,I6/I$4,"")</f>
        <v>8.5575757575757569E-3</v>
      </c>
      <c r="M6" s="343"/>
      <c r="N6" s="344" t="s">
        <v>235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178</v>
      </c>
      <c r="D7" s="340" t="s">
        <v>236</v>
      </c>
      <c r="E7" s="342"/>
      <c r="F7" s="345" t="s">
        <v>237</v>
      </c>
      <c r="G7" s="308">
        <v>339</v>
      </c>
      <c r="H7" s="309">
        <v>300</v>
      </c>
      <c r="I7" s="309">
        <v>101700</v>
      </c>
      <c r="J7" s="211"/>
      <c r="K7" s="212" t="str">
        <f>IF(OR(J7="",G7=J7),"","*")</f>
        <v/>
      </c>
      <c r="L7" s="338">
        <f>IF($A7&lt;=L$1,I7/I$4,"")</f>
        <v>6.6996047430830036E-3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238</v>
      </c>
      <c r="AF7" s="341"/>
    </row>
    <row r="8" spans="1:32">
      <c r="A8" s="307">
        <v>3</v>
      </c>
      <c r="B8" s="342"/>
      <c r="C8" s="342" t="s">
        <v>178</v>
      </c>
      <c r="D8" s="340" t="s">
        <v>239</v>
      </c>
      <c r="E8" s="342" t="s">
        <v>240</v>
      </c>
      <c r="F8" s="345" t="s">
        <v>173</v>
      </c>
      <c r="G8" s="308">
        <v>1</v>
      </c>
      <c r="H8" s="309">
        <v>12000</v>
      </c>
      <c r="I8" s="309">
        <v>12000</v>
      </c>
      <c r="J8" s="211"/>
      <c r="K8" s="212" t="str">
        <f>IF(OR(J8="",G8=J8),"","*")</f>
        <v/>
      </c>
      <c r="L8" s="338">
        <f>IF($A8&lt;=L$1,I8/I$4,"")</f>
        <v>7.9051383399209485E-4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241</v>
      </c>
      <c r="AF8" s="341"/>
    </row>
    <row r="9" spans="1:32">
      <c r="A9" s="307">
        <v>3</v>
      </c>
      <c r="B9" s="342"/>
      <c r="C9" s="342" t="s">
        <v>178</v>
      </c>
      <c r="D9" s="340" t="s">
        <v>242</v>
      </c>
      <c r="E9" s="342"/>
      <c r="F9" s="345" t="s">
        <v>173</v>
      </c>
      <c r="G9" s="308">
        <v>1</v>
      </c>
      <c r="H9" s="309">
        <v>10000</v>
      </c>
      <c r="I9" s="309">
        <v>10000</v>
      </c>
      <c r="J9" s="211"/>
      <c r="K9" s="212" t="str">
        <f>IF(OR(J9="",G9=J9),"","*")</f>
        <v/>
      </c>
      <c r="L9" s="338">
        <f>IF($A9&lt;=L$1,I9/I$4,"")</f>
        <v>6.5876152832674575E-4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243</v>
      </c>
      <c r="AF9" s="341"/>
    </row>
    <row r="10" spans="1:32">
      <c r="A10" s="307">
        <v>3</v>
      </c>
      <c r="B10" s="342"/>
      <c r="C10" s="342" t="s">
        <v>181</v>
      </c>
      <c r="D10" s="340" t="s">
        <v>244</v>
      </c>
      <c r="E10" s="342"/>
      <c r="F10" s="345" t="s">
        <v>173</v>
      </c>
      <c r="G10" s="308">
        <v>1</v>
      </c>
      <c r="H10" s="309">
        <v>6300</v>
      </c>
      <c r="I10" s="309">
        <v>6300</v>
      </c>
      <c r="J10" s="211"/>
      <c r="K10" s="212" t="str">
        <f>IF(OR(J10="",G10=J10),"","*")</f>
        <v/>
      </c>
      <c r="L10" s="338">
        <f>IF($A10&lt;=L$1,I10/I$4,"")</f>
        <v>4.1501976284584978E-4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2</v>
      </c>
      <c r="B11" s="342"/>
      <c r="C11" s="342" t="s">
        <v>233</v>
      </c>
      <c r="D11" s="340" t="s">
        <v>245</v>
      </c>
      <c r="E11" s="342"/>
      <c r="F11" s="345" t="s">
        <v>170</v>
      </c>
      <c r="G11" s="308">
        <v>0</v>
      </c>
      <c r="H11" s="309">
        <v>0</v>
      </c>
      <c r="I11" s="309">
        <v>0</v>
      </c>
      <c r="J11" s="211">
        <v>1165</v>
      </c>
      <c r="K11" s="212" t="str">
        <f>IF(OR(J11="",G11=J11),"","*")</f>
        <v>*</v>
      </c>
      <c r="L11" s="338">
        <f>IF($A11&lt;=L$1,I11/I$4,"")</f>
        <v>0</v>
      </c>
      <c r="M11" s="343"/>
      <c r="N11" s="344" t="s">
        <v>246</v>
      </c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3</v>
      </c>
      <c r="B12" s="342"/>
      <c r="C12" s="342" t="s">
        <v>176</v>
      </c>
      <c r="D12" s="340" t="s">
        <v>247</v>
      </c>
      <c r="E12" s="342"/>
      <c r="F12" s="345" t="s">
        <v>248</v>
      </c>
      <c r="G12" s="308">
        <v>295</v>
      </c>
      <c r="H12" s="309">
        <v>7400</v>
      </c>
      <c r="I12" s="309">
        <v>2183000</v>
      </c>
      <c r="J12" s="211"/>
      <c r="K12" s="212" t="str">
        <f>IF(OR(J12="",G12=J12),"","*")</f>
        <v/>
      </c>
      <c r="L12" s="338">
        <f>IF($A12&lt;=L$1,I12/I$4,"")</f>
        <v>0.14380764163372858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 t="s">
        <v>249</v>
      </c>
    </row>
    <row r="13" spans="1:32">
      <c r="A13" s="307">
        <v>3</v>
      </c>
      <c r="B13" s="342"/>
      <c r="C13" s="342" t="s">
        <v>176</v>
      </c>
      <c r="D13" s="340" t="s">
        <v>250</v>
      </c>
      <c r="E13" s="342" t="s">
        <v>251</v>
      </c>
      <c r="F13" s="345" t="s">
        <v>252</v>
      </c>
      <c r="G13" s="308">
        <v>20</v>
      </c>
      <c r="H13" s="309">
        <v>14300</v>
      </c>
      <c r="I13" s="309">
        <v>286000</v>
      </c>
      <c r="J13" s="211"/>
      <c r="K13" s="212" t="str">
        <f>IF(OR(J13="",G13=J13),"","*")</f>
        <v/>
      </c>
      <c r="L13" s="338">
        <f>IF($A13&lt;=L$1,I13/I$4,"")</f>
        <v>1.8840579710144929E-2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253</v>
      </c>
      <c r="AF13" s="341" t="s">
        <v>254</v>
      </c>
    </row>
    <row r="14" spans="1:32">
      <c r="A14" s="307">
        <v>3</v>
      </c>
      <c r="B14" s="342"/>
      <c r="C14" s="342" t="s">
        <v>176</v>
      </c>
      <c r="D14" s="340" t="s">
        <v>255</v>
      </c>
      <c r="E14" s="342"/>
      <c r="F14" s="345" t="s">
        <v>248</v>
      </c>
      <c r="G14" s="308">
        <v>1.5</v>
      </c>
      <c r="H14" s="309">
        <v>100000</v>
      </c>
      <c r="I14" s="309">
        <v>150000</v>
      </c>
      <c r="J14" s="211"/>
      <c r="K14" s="212" t="str">
        <f>IF(OR(J14="",G14=J14),"","*")</f>
        <v/>
      </c>
      <c r="L14" s="338">
        <f>IF($A14&lt;=L$1,I14/I$4,"")</f>
        <v>9.881422924901186E-3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256</v>
      </c>
      <c r="AF14" s="341" t="s">
        <v>257</v>
      </c>
    </row>
    <row r="15" spans="1:32">
      <c r="A15" s="307">
        <v>3</v>
      </c>
      <c r="B15" s="342"/>
      <c r="C15" s="342" t="s">
        <v>176</v>
      </c>
      <c r="D15" s="340" t="s">
        <v>258</v>
      </c>
      <c r="E15" s="342"/>
      <c r="F15" s="345" t="s">
        <v>252</v>
      </c>
      <c r="G15" s="308">
        <v>70</v>
      </c>
      <c r="H15" s="309">
        <v>800</v>
      </c>
      <c r="I15" s="309">
        <v>56000</v>
      </c>
      <c r="J15" s="211"/>
      <c r="K15" s="212" t="str">
        <f>IF(OR(J15="",G15=J15),"","*")</f>
        <v/>
      </c>
      <c r="L15" s="338">
        <f>IF($A15&lt;=L$1,I15/I$4,"")</f>
        <v>3.6890645586297758E-3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259</v>
      </c>
      <c r="AF15" s="341" t="s">
        <v>260</v>
      </c>
    </row>
    <row r="16" spans="1:32">
      <c r="A16" s="307">
        <v>3</v>
      </c>
      <c r="B16" s="342"/>
      <c r="C16" s="342" t="s">
        <v>176</v>
      </c>
      <c r="D16" s="340" t="s">
        <v>261</v>
      </c>
      <c r="E16" s="342"/>
      <c r="F16" s="345" t="s">
        <v>171</v>
      </c>
      <c r="G16" s="308">
        <v>2</v>
      </c>
      <c r="H16" s="309">
        <v>4700</v>
      </c>
      <c r="I16" s="309">
        <v>9400</v>
      </c>
      <c r="J16" s="211"/>
      <c r="K16" s="212" t="str">
        <f>IF(OR(J16="",G16=J16),"","*")</f>
        <v/>
      </c>
      <c r="L16" s="338">
        <f>IF($A16&lt;=L$1,I16/I$4,"")</f>
        <v>6.1923583662714093E-4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262</v>
      </c>
      <c r="AF16" s="341" t="s">
        <v>263</v>
      </c>
    </row>
    <row r="17" spans="1:32">
      <c r="A17" s="307">
        <v>3</v>
      </c>
      <c r="B17" s="342"/>
      <c r="C17" s="342" t="s">
        <v>176</v>
      </c>
      <c r="D17" s="340" t="s">
        <v>264</v>
      </c>
      <c r="E17" s="342" t="s">
        <v>265</v>
      </c>
      <c r="F17" s="345" t="s">
        <v>266</v>
      </c>
      <c r="G17" s="308">
        <v>2</v>
      </c>
      <c r="H17" s="309">
        <v>15000</v>
      </c>
      <c r="I17" s="309">
        <v>30000</v>
      </c>
      <c r="J17" s="211"/>
      <c r="K17" s="212" t="str">
        <f>IF(OR(J17="",G17=J17),"","*")</f>
        <v/>
      </c>
      <c r="L17" s="338">
        <f>IF($A17&lt;=L$1,I17/I$4,"")</f>
        <v>1.976284584980237E-3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267</v>
      </c>
      <c r="AF17" s="341"/>
    </row>
    <row r="18" spans="1:32">
      <c r="A18" s="307">
        <v>3</v>
      </c>
      <c r="B18" s="342"/>
      <c r="C18" s="342" t="s">
        <v>176</v>
      </c>
      <c r="D18" s="340" t="s">
        <v>268</v>
      </c>
      <c r="E18" s="342"/>
      <c r="F18" s="345" t="s">
        <v>173</v>
      </c>
      <c r="G18" s="308">
        <v>1</v>
      </c>
      <c r="H18" s="309">
        <v>12400</v>
      </c>
      <c r="I18" s="309">
        <v>12400</v>
      </c>
      <c r="J18" s="211"/>
      <c r="K18" s="212" t="str">
        <f>IF(OR(J18="",G18=J18),"","*")</f>
        <v/>
      </c>
      <c r="L18" s="338">
        <f>IF($A18&lt;=L$1,I18/I$4,"")</f>
        <v>8.1686429512516469E-4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/>
    </row>
    <row r="19" spans="1:32">
      <c r="A19" s="307">
        <v>3</v>
      </c>
      <c r="B19" s="342"/>
      <c r="C19" s="342" t="s">
        <v>177</v>
      </c>
      <c r="D19" s="340" t="s">
        <v>269</v>
      </c>
      <c r="E19" s="342"/>
      <c r="F19" s="345" t="s">
        <v>270</v>
      </c>
      <c r="G19" s="308">
        <v>32</v>
      </c>
      <c r="H19" s="309">
        <v>23000</v>
      </c>
      <c r="I19" s="309">
        <v>736000</v>
      </c>
      <c r="J19" s="211"/>
      <c r="K19" s="212" t="str">
        <f>IF(OR(J19="",G19=J19),"","*")</f>
        <v/>
      </c>
      <c r="L19" s="338">
        <f>IF($A19&lt;=L$1,I19/I$4,"")</f>
        <v>4.8484848484848485E-2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271</v>
      </c>
      <c r="AF19" s="341" t="s">
        <v>272</v>
      </c>
    </row>
    <row r="20" spans="1:32">
      <c r="A20" s="307">
        <v>3</v>
      </c>
      <c r="B20" s="342"/>
      <c r="C20" s="342" t="s">
        <v>179</v>
      </c>
      <c r="D20" s="340" t="s">
        <v>273</v>
      </c>
      <c r="E20" s="342" t="s">
        <v>274</v>
      </c>
      <c r="F20" s="345" t="s">
        <v>275</v>
      </c>
      <c r="G20" s="308">
        <v>4</v>
      </c>
      <c r="H20" s="309">
        <v>80000</v>
      </c>
      <c r="I20" s="309">
        <v>320000</v>
      </c>
      <c r="J20" s="211"/>
      <c r="K20" s="212" t="str">
        <f>IF(OR(J20="",G20=J20),"","*")</f>
        <v/>
      </c>
      <c r="L20" s="338">
        <f>IF($A20&lt;=L$1,I20/I$4,"")</f>
        <v>2.1080368906455864E-2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276</v>
      </c>
      <c r="AF20" s="341" t="s">
        <v>277</v>
      </c>
    </row>
    <row r="21" spans="1:32">
      <c r="A21" s="307">
        <v>3</v>
      </c>
      <c r="B21" s="342"/>
      <c r="C21" s="342" t="s">
        <v>179</v>
      </c>
      <c r="D21" s="340" t="s">
        <v>278</v>
      </c>
      <c r="E21" s="342" t="s">
        <v>274</v>
      </c>
      <c r="F21" s="345" t="s">
        <v>275</v>
      </c>
      <c r="G21" s="308">
        <v>4</v>
      </c>
      <c r="H21" s="309">
        <v>60000</v>
      </c>
      <c r="I21" s="309">
        <v>240000</v>
      </c>
      <c r="J21" s="211"/>
      <c r="K21" s="212" t="str">
        <f>IF(OR(J21="",G21=J21),"","*")</f>
        <v/>
      </c>
      <c r="L21" s="338">
        <f>IF($A21&lt;=L$1,I21/I$4,"")</f>
        <v>1.5810276679841896E-2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279</v>
      </c>
      <c r="AF21" s="341" t="s">
        <v>277</v>
      </c>
    </row>
    <row r="22" spans="1:32">
      <c r="A22" s="307">
        <v>3</v>
      </c>
      <c r="B22" s="342"/>
      <c r="C22" s="342" t="s">
        <v>179</v>
      </c>
      <c r="D22" s="340" t="s">
        <v>280</v>
      </c>
      <c r="E22" s="342"/>
      <c r="F22" s="345" t="s">
        <v>275</v>
      </c>
      <c r="G22" s="308">
        <v>4</v>
      </c>
      <c r="H22" s="309">
        <v>5000</v>
      </c>
      <c r="I22" s="309">
        <v>20000</v>
      </c>
      <c r="J22" s="211"/>
      <c r="K22" s="212" t="str">
        <f>IF(OR(J22="",G22=J22),"","*")</f>
        <v/>
      </c>
      <c r="L22" s="338">
        <f>IF($A22&lt;=L$1,I22/I$4,"")</f>
        <v>1.3175230566534915E-3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281</v>
      </c>
      <c r="AF22" s="341" t="s">
        <v>277</v>
      </c>
    </row>
    <row r="23" spans="1:32">
      <c r="A23" s="307">
        <v>3</v>
      </c>
      <c r="B23" s="342"/>
      <c r="C23" s="342" t="s">
        <v>179</v>
      </c>
      <c r="D23" s="340" t="s">
        <v>282</v>
      </c>
      <c r="E23" s="342"/>
      <c r="F23" s="345" t="s">
        <v>275</v>
      </c>
      <c r="G23" s="308">
        <v>4</v>
      </c>
      <c r="H23" s="309">
        <v>4000</v>
      </c>
      <c r="I23" s="309">
        <v>16000</v>
      </c>
      <c r="J23" s="211"/>
      <c r="K23" s="212" t="str">
        <f>IF(OR(J23="",G23=J23),"","*")</f>
        <v/>
      </c>
      <c r="L23" s="338">
        <f>IF($A23&lt;=L$1,I23/I$4,"")</f>
        <v>1.0540184453227931E-3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283</v>
      </c>
      <c r="AF23" s="341" t="s">
        <v>277</v>
      </c>
    </row>
    <row r="24" spans="1:32">
      <c r="A24" s="307">
        <v>3</v>
      </c>
      <c r="B24" s="342"/>
      <c r="C24" s="342" t="s">
        <v>179</v>
      </c>
      <c r="D24" s="340" t="s">
        <v>284</v>
      </c>
      <c r="E24" s="342" t="s">
        <v>285</v>
      </c>
      <c r="F24" s="345" t="s">
        <v>275</v>
      </c>
      <c r="G24" s="308">
        <v>4</v>
      </c>
      <c r="H24" s="309">
        <v>5500</v>
      </c>
      <c r="I24" s="309">
        <v>22000</v>
      </c>
      <c r="J24" s="211"/>
      <c r="K24" s="212" t="str">
        <f>IF(OR(J24="",G24=J24),"","*")</f>
        <v/>
      </c>
      <c r="L24" s="338">
        <f>IF($A24&lt;=L$1,I24/I$4,"")</f>
        <v>1.4492753623188406E-3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286</v>
      </c>
      <c r="AF24" s="341" t="s">
        <v>277</v>
      </c>
    </row>
    <row r="25" spans="1:32">
      <c r="A25" s="307">
        <v>3</v>
      </c>
      <c r="B25" s="342"/>
      <c r="C25" s="342" t="s">
        <v>179</v>
      </c>
      <c r="D25" s="340" t="s">
        <v>287</v>
      </c>
      <c r="E25" s="342"/>
      <c r="F25" s="345" t="s">
        <v>275</v>
      </c>
      <c r="G25" s="308">
        <v>4</v>
      </c>
      <c r="H25" s="309">
        <v>4300</v>
      </c>
      <c r="I25" s="309">
        <v>17200</v>
      </c>
      <c r="J25" s="211"/>
      <c r="K25" s="212" t="str">
        <f>IF(OR(J25="",G25=J25),"","*")</f>
        <v/>
      </c>
      <c r="L25" s="338">
        <f>IF($A25&lt;=L$1,I25/I$4,"")</f>
        <v>1.1330698287220027E-3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288</v>
      </c>
      <c r="AF25" s="341" t="s">
        <v>277</v>
      </c>
    </row>
    <row r="26" spans="1:32">
      <c r="A26" s="307">
        <v>3</v>
      </c>
      <c r="B26" s="342"/>
      <c r="C26" s="342" t="s">
        <v>179</v>
      </c>
      <c r="D26" s="340" t="s">
        <v>289</v>
      </c>
      <c r="E26" s="342"/>
      <c r="F26" s="345" t="s">
        <v>275</v>
      </c>
      <c r="G26" s="308">
        <v>4</v>
      </c>
      <c r="H26" s="309">
        <v>50000</v>
      </c>
      <c r="I26" s="309">
        <v>200000</v>
      </c>
      <c r="J26" s="211"/>
      <c r="K26" s="212" t="str">
        <f>IF(OR(J26="",G26=J26),"","*")</f>
        <v/>
      </c>
      <c r="L26" s="338">
        <f>IF($A26&lt;=L$1,I26/I$4,"")</f>
        <v>1.3175230566534914E-2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290</v>
      </c>
      <c r="AF26" s="341" t="s">
        <v>277</v>
      </c>
    </row>
    <row r="27" spans="1:32">
      <c r="A27" s="307">
        <v>3</v>
      </c>
      <c r="B27" s="342"/>
      <c r="C27" s="342" t="s">
        <v>179</v>
      </c>
      <c r="D27" s="340" t="s">
        <v>291</v>
      </c>
      <c r="E27" s="342" t="s">
        <v>292</v>
      </c>
      <c r="F27" s="345" t="s">
        <v>275</v>
      </c>
      <c r="G27" s="308">
        <v>4</v>
      </c>
      <c r="H27" s="309">
        <v>111000</v>
      </c>
      <c r="I27" s="309">
        <v>444000</v>
      </c>
      <c r="J27" s="211"/>
      <c r="K27" s="212" t="str">
        <f>IF(OR(J27="",G27=J27),"","*")</f>
        <v/>
      </c>
      <c r="L27" s="338">
        <f>IF($A27&lt;=L$1,I27/I$4,"")</f>
        <v>2.9249011857707511E-2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293</v>
      </c>
      <c r="AF27" s="341" t="s">
        <v>277</v>
      </c>
    </row>
    <row r="28" spans="1:32">
      <c r="A28" s="307">
        <v>3</v>
      </c>
      <c r="B28" s="342"/>
      <c r="C28" s="342" t="s">
        <v>179</v>
      </c>
      <c r="D28" s="340" t="s">
        <v>294</v>
      </c>
      <c r="E28" s="342"/>
      <c r="F28" s="345" t="s">
        <v>275</v>
      </c>
      <c r="G28" s="308">
        <v>4</v>
      </c>
      <c r="H28" s="309">
        <v>25000</v>
      </c>
      <c r="I28" s="309">
        <v>100000</v>
      </c>
      <c r="J28" s="211"/>
      <c r="K28" s="212" t="str">
        <f>IF(OR(J28="",G28=J28),"","*")</f>
        <v/>
      </c>
      <c r="L28" s="338">
        <f>IF($A28&lt;=L$1,I28/I$4,"")</f>
        <v>6.587615283267457E-3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295</v>
      </c>
      <c r="AF28" s="341" t="s">
        <v>277</v>
      </c>
    </row>
    <row r="29" spans="1:32">
      <c r="A29" s="307">
        <v>3</v>
      </c>
      <c r="B29" s="342"/>
      <c r="C29" s="342" t="s">
        <v>179</v>
      </c>
      <c r="D29" s="340" t="s">
        <v>296</v>
      </c>
      <c r="E29" s="342" t="s">
        <v>297</v>
      </c>
      <c r="F29" s="345" t="s">
        <v>275</v>
      </c>
      <c r="G29" s="308">
        <v>4</v>
      </c>
      <c r="H29" s="309">
        <v>12000</v>
      </c>
      <c r="I29" s="309">
        <v>48000</v>
      </c>
      <c r="J29" s="211"/>
      <c r="K29" s="212" t="str">
        <f>IF(OR(J29="",G29=J29),"","*")</f>
        <v/>
      </c>
      <c r="L29" s="338">
        <f>IF($A29&lt;=L$1,I29/I$4,"")</f>
        <v>3.1620553359683794E-3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298</v>
      </c>
      <c r="AF29" s="341" t="s">
        <v>277</v>
      </c>
    </row>
    <row r="30" spans="1:32">
      <c r="A30" s="307">
        <v>3</v>
      </c>
      <c r="B30" s="342"/>
      <c r="C30" s="342" t="s">
        <v>179</v>
      </c>
      <c r="D30" s="340" t="s">
        <v>299</v>
      </c>
      <c r="E30" s="342"/>
      <c r="F30" s="345" t="s">
        <v>275</v>
      </c>
      <c r="G30" s="308">
        <v>4</v>
      </c>
      <c r="H30" s="309">
        <v>3000</v>
      </c>
      <c r="I30" s="309">
        <v>12000</v>
      </c>
      <c r="J30" s="211"/>
      <c r="K30" s="212" t="str">
        <f>IF(OR(J30="",G30=J30),"","*")</f>
        <v/>
      </c>
      <c r="L30" s="338">
        <f>IF($A30&lt;=L$1,I30/I$4,"")</f>
        <v>7.9051383399209485E-4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300</v>
      </c>
      <c r="AF30" s="341" t="s">
        <v>277</v>
      </c>
    </row>
    <row r="31" spans="1:32">
      <c r="A31" s="307">
        <v>3</v>
      </c>
      <c r="B31" s="342"/>
      <c r="C31" s="342" t="s">
        <v>179</v>
      </c>
      <c r="D31" s="340" t="s">
        <v>301</v>
      </c>
      <c r="E31" s="342"/>
      <c r="F31" s="345" t="s">
        <v>302</v>
      </c>
      <c r="G31" s="308">
        <v>400</v>
      </c>
      <c r="H31" s="309">
        <v>150</v>
      </c>
      <c r="I31" s="309">
        <v>60000</v>
      </c>
      <c r="J31" s="211"/>
      <c r="K31" s="212" t="str">
        <f>IF(OR(J31="",G31=J31),"","*")</f>
        <v/>
      </c>
      <c r="L31" s="338">
        <f>IF($A31&lt;=L$1,I31/I$4,"")</f>
        <v>3.952569169960474E-3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303</v>
      </c>
      <c r="AF31" s="341" t="s">
        <v>304</v>
      </c>
    </row>
    <row r="32" spans="1:32">
      <c r="A32" s="307">
        <v>3</v>
      </c>
      <c r="B32" s="342"/>
      <c r="C32" s="342" t="s">
        <v>180</v>
      </c>
      <c r="D32" s="340" t="s">
        <v>305</v>
      </c>
      <c r="E32" s="342" t="s">
        <v>306</v>
      </c>
      <c r="F32" s="345" t="s">
        <v>275</v>
      </c>
      <c r="G32" s="308">
        <v>4</v>
      </c>
      <c r="H32" s="309">
        <v>5000</v>
      </c>
      <c r="I32" s="309">
        <v>20000</v>
      </c>
      <c r="J32" s="211"/>
      <c r="K32" s="212" t="str">
        <f>IF(OR(J32="",G32=J32),"","*")</f>
        <v/>
      </c>
      <c r="L32" s="338">
        <f>IF($A32&lt;=L$1,I32/I$4,"")</f>
        <v>1.3175230566534915E-3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307</v>
      </c>
      <c r="AF32" s="341" t="s">
        <v>277</v>
      </c>
    </row>
    <row r="33" spans="1:32">
      <c r="A33" s="307">
        <v>3</v>
      </c>
      <c r="B33" s="342"/>
      <c r="C33" s="342" t="s">
        <v>180</v>
      </c>
      <c r="D33" s="340" t="s">
        <v>308</v>
      </c>
      <c r="E33" s="342"/>
      <c r="F33" s="345" t="s">
        <v>275</v>
      </c>
      <c r="G33" s="308">
        <v>8</v>
      </c>
      <c r="H33" s="309">
        <v>5000</v>
      </c>
      <c r="I33" s="309">
        <v>40000</v>
      </c>
      <c r="J33" s="211"/>
      <c r="K33" s="212" t="str">
        <f>IF(OR(J33="",G33=J33),"","*")</f>
        <v/>
      </c>
      <c r="L33" s="338">
        <f>IF($A33&lt;=L$1,I33/I$4,"")</f>
        <v>2.635046113306983E-3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309</v>
      </c>
      <c r="AF33" s="341" t="s">
        <v>310</v>
      </c>
    </row>
    <row r="34" spans="1:32">
      <c r="A34" s="307">
        <v>3</v>
      </c>
      <c r="B34" s="342"/>
      <c r="C34" s="342" t="s">
        <v>180</v>
      </c>
      <c r="D34" s="340" t="s">
        <v>311</v>
      </c>
      <c r="E34" s="342"/>
      <c r="F34" s="345" t="s">
        <v>275</v>
      </c>
      <c r="G34" s="308">
        <v>4</v>
      </c>
      <c r="H34" s="309">
        <v>7000</v>
      </c>
      <c r="I34" s="309">
        <v>28000</v>
      </c>
      <c r="J34" s="211"/>
      <c r="K34" s="212" t="str">
        <f>IF(OR(J34="",G34=J34),"","*")</f>
        <v/>
      </c>
      <c r="L34" s="338">
        <f>IF($A34&lt;=L$1,I34/I$4,"")</f>
        <v>1.8445322793148879E-3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312</v>
      </c>
      <c r="AF34" s="341" t="s">
        <v>277</v>
      </c>
    </row>
    <row r="35" spans="1:32">
      <c r="A35" s="307">
        <v>3</v>
      </c>
      <c r="B35" s="342"/>
      <c r="C35" s="342"/>
      <c r="D35" s="340" t="s">
        <v>313</v>
      </c>
      <c r="E35" s="342"/>
      <c r="F35" s="345" t="s">
        <v>173</v>
      </c>
      <c r="G35" s="308">
        <v>1</v>
      </c>
      <c r="H35" s="309">
        <v>-5050000</v>
      </c>
      <c r="I35" s="309">
        <v>-5050000</v>
      </c>
      <c r="J35" s="211"/>
      <c r="K35" s="212" t="str">
        <f>IF(OR(J35="",G35=J35),"","*")</f>
        <v/>
      </c>
      <c r="L35" s="338">
        <f>IF($A35&lt;=L$1,I35/I$4,"")</f>
        <v>-0.33267457180500659</v>
      </c>
      <c r="M35" s="343"/>
      <c r="N35" s="344" t="s">
        <v>314</v>
      </c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/>
    </row>
    <row r="36" spans="1:32">
      <c r="A36" s="307">
        <v>2</v>
      </c>
      <c r="B36" s="342"/>
      <c r="C36" s="342" t="s">
        <v>233</v>
      </c>
      <c r="D36" s="340" t="s">
        <v>315</v>
      </c>
      <c r="E36" s="342"/>
      <c r="F36" s="345" t="s">
        <v>171</v>
      </c>
      <c r="G36" s="308">
        <v>0</v>
      </c>
      <c r="H36" s="309">
        <v>0</v>
      </c>
      <c r="I36" s="309">
        <v>0</v>
      </c>
      <c r="J36" s="211">
        <v>174</v>
      </c>
      <c r="K36" s="212" t="str">
        <f>IF(OR(J36="",G36=J36),"","*")</f>
        <v>*</v>
      </c>
      <c r="L36" s="338">
        <f>IF($A36&lt;=L$1,I36/I$4,"")</f>
        <v>0</v>
      </c>
      <c r="M36" s="343"/>
      <c r="N36" s="344" t="s">
        <v>316</v>
      </c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3</v>
      </c>
      <c r="B37" s="342"/>
      <c r="C37" s="342" t="s">
        <v>180</v>
      </c>
      <c r="D37" s="340" t="s">
        <v>317</v>
      </c>
      <c r="E37" s="342"/>
      <c r="F37" s="345" t="s">
        <v>252</v>
      </c>
      <c r="G37" s="308">
        <v>411</v>
      </c>
      <c r="H37" s="309">
        <v>500</v>
      </c>
      <c r="I37" s="309">
        <v>205500</v>
      </c>
      <c r="J37" s="211"/>
      <c r="K37" s="212" t="str">
        <f>IF(OR(J37="",G37=J37),"","*")</f>
        <v/>
      </c>
      <c r="L37" s="338">
        <f>IF($A37&lt;=L$1,I37/I$4,"")</f>
        <v>1.3537549407114624E-2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318</v>
      </c>
      <c r="AF37" s="341" t="s">
        <v>319</v>
      </c>
    </row>
    <row r="38" spans="1:32">
      <c r="A38" s="307">
        <v>3</v>
      </c>
      <c r="B38" s="342"/>
      <c r="C38" s="342" t="s">
        <v>180</v>
      </c>
      <c r="D38" s="340" t="s">
        <v>317</v>
      </c>
      <c r="E38" s="342"/>
      <c r="F38" s="345" t="s">
        <v>252</v>
      </c>
      <c r="G38" s="308">
        <v>20</v>
      </c>
      <c r="H38" s="309">
        <v>500</v>
      </c>
      <c r="I38" s="309">
        <v>10000</v>
      </c>
      <c r="J38" s="211"/>
      <c r="K38" s="212" t="str">
        <f>IF(OR(J38="",G38=J38),"","*")</f>
        <v/>
      </c>
      <c r="L38" s="338">
        <f>IF($A38&lt;=L$1,I38/I$4,"")</f>
        <v>6.5876152832674575E-4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318</v>
      </c>
      <c r="AF38" s="341" t="s">
        <v>320</v>
      </c>
    </row>
    <row r="39" spans="1:32">
      <c r="A39" s="307">
        <v>3</v>
      </c>
      <c r="B39" s="342"/>
      <c r="C39" s="342" t="s">
        <v>180</v>
      </c>
      <c r="D39" s="340" t="s">
        <v>321</v>
      </c>
      <c r="E39" s="342" t="s">
        <v>322</v>
      </c>
      <c r="F39" s="345" t="s">
        <v>275</v>
      </c>
      <c r="G39" s="308">
        <v>24</v>
      </c>
      <c r="H39" s="309">
        <v>44000</v>
      </c>
      <c r="I39" s="309">
        <v>1056000</v>
      </c>
      <c r="J39" s="211"/>
      <c r="K39" s="212" t="str">
        <f>IF(OR(J39="",G39=J39),"","*")</f>
        <v/>
      </c>
      <c r="L39" s="338">
        <f>IF($A39&lt;=L$1,I39/I$4,"")</f>
        <v>6.9565217391304349E-2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323</v>
      </c>
      <c r="AF39" s="341" t="s">
        <v>324</v>
      </c>
    </row>
    <row r="40" spans="1:32">
      <c r="A40" s="307">
        <v>3</v>
      </c>
      <c r="B40" s="342"/>
      <c r="C40" s="342" t="s">
        <v>180</v>
      </c>
      <c r="D40" s="340" t="s">
        <v>321</v>
      </c>
      <c r="E40" s="342" t="s">
        <v>325</v>
      </c>
      <c r="F40" s="345" t="s">
        <v>275</v>
      </c>
      <c r="G40" s="308">
        <v>2</v>
      </c>
      <c r="H40" s="309">
        <v>15000</v>
      </c>
      <c r="I40" s="309">
        <v>30000</v>
      </c>
      <c r="J40" s="211"/>
      <c r="K40" s="212" t="str">
        <f>IF(OR(J40="",G40=J40),"","*")</f>
        <v/>
      </c>
      <c r="L40" s="338">
        <f>IF($A40&lt;=L$1,I40/I$4,"")</f>
        <v>1.976284584980237E-3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323</v>
      </c>
      <c r="AF40" s="341" t="s">
        <v>326</v>
      </c>
    </row>
    <row r="41" spans="1:32">
      <c r="A41" s="307">
        <v>3</v>
      </c>
      <c r="B41" s="342"/>
      <c r="C41" s="342"/>
      <c r="D41" s="340" t="s">
        <v>313</v>
      </c>
      <c r="E41" s="342"/>
      <c r="F41" s="345" t="s">
        <v>173</v>
      </c>
      <c r="G41" s="308">
        <v>1</v>
      </c>
      <c r="H41" s="309">
        <v>-1301500</v>
      </c>
      <c r="I41" s="309">
        <v>-1301500</v>
      </c>
      <c r="J41" s="211"/>
      <c r="K41" s="212" t="str">
        <f>IF(OR(J41="",G41=J41),"","*")</f>
        <v/>
      </c>
      <c r="L41" s="338">
        <f>IF($A41&lt;=L$1,I41/I$4,"")</f>
        <v>-8.5737812911725955E-2</v>
      </c>
      <c r="M41" s="343"/>
      <c r="N41" s="344" t="s">
        <v>314</v>
      </c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2</v>
      </c>
      <c r="B42" s="342"/>
      <c r="C42" s="342" t="s">
        <v>233</v>
      </c>
      <c r="D42" s="340" t="s">
        <v>327</v>
      </c>
      <c r="E42" s="342"/>
      <c r="F42" s="345" t="s">
        <v>170</v>
      </c>
      <c r="G42" s="308">
        <v>0</v>
      </c>
      <c r="H42" s="309">
        <v>0</v>
      </c>
      <c r="I42" s="309">
        <v>0</v>
      </c>
      <c r="J42" s="211">
        <v>1165</v>
      </c>
      <c r="K42" s="212" t="str">
        <f>IF(OR(J42="",G42=J42),"","*")</f>
        <v>*</v>
      </c>
      <c r="L42" s="338">
        <f>IF($A42&lt;=L$1,I42/I$4,"")</f>
        <v>0</v>
      </c>
      <c r="M42" s="343"/>
      <c r="N42" s="344" t="s">
        <v>328</v>
      </c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/>
    </row>
    <row r="43" spans="1:32">
      <c r="A43" s="307">
        <v>3</v>
      </c>
      <c r="B43" s="342"/>
      <c r="C43" s="342" t="s">
        <v>176</v>
      </c>
      <c r="D43" s="340" t="s">
        <v>329</v>
      </c>
      <c r="E43" s="342" t="s">
        <v>330</v>
      </c>
      <c r="F43" s="345" t="s">
        <v>252</v>
      </c>
      <c r="G43" s="308">
        <v>145</v>
      </c>
      <c r="H43" s="309">
        <v>14800</v>
      </c>
      <c r="I43" s="309">
        <v>2146000</v>
      </c>
      <c r="J43" s="211"/>
      <c r="K43" s="212" t="str">
        <f>IF(OR(J43="",G43=J43),"","*")</f>
        <v/>
      </c>
      <c r="L43" s="338">
        <f>IF($A43&lt;=L$1,I43/I$4,"")</f>
        <v>0.14137022397891963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331</v>
      </c>
      <c r="AF43" s="341" t="s">
        <v>332</v>
      </c>
    </row>
    <row r="44" spans="1:32">
      <c r="A44" s="307">
        <v>3</v>
      </c>
      <c r="B44" s="342"/>
      <c r="C44" s="342" t="s">
        <v>176</v>
      </c>
      <c r="D44" s="340" t="s">
        <v>333</v>
      </c>
      <c r="E44" s="342"/>
      <c r="F44" s="345" t="s">
        <v>252</v>
      </c>
      <c r="G44" s="308">
        <v>0.501</v>
      </c>
      <c r="H44" s="309">
        <v>219500</v>
      </c>
      <c r="I44" s="309">
        <v>109969</v>
      </c>
      <c r="J44" s="211"/>
      <c r="K44" s="212" t="str">
        <f>IF(OR(J44="",G44=J44),"","*")</f>
        <v/>
      </c>
      <c r="L44" s="338">
        <f>IF($A44&lt;=L$1,I44/I$4,"")</f>
        <v>7.2443346508563903E-3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334</v>
      </c>
      <c r="AF44" s="341" t="s">
        <v>335</v>
      </c>
    </row>
    <row r="45" spans="1:32">
      <c r="A45" s="307">
        <v>3</v>
      </c>
      <c r="B45" s="342"/>
      <c r="C45" s="342" t="s">
        <v>176</v>
      </c>
      <c r="D45" s="340" t="s">
        <v>268</v>
      </c>
      <c r="E45" s="342"/>
      <c r="F45" s="345" t="s">
        <v>173</v>
      </c>
      <c r="G45" s="308">
        <v>1</v>
      </c>
      <c r="H45" s="309">
        <v>10731</v>
      </c>
      <c r="I45" s="309">
        <v>10731</v>
      </c>
      <c r="J45" s="211"/>
      <c r="K45" s="212" t="str">
        <f>IF(OR(J45="",G45=J45),"","*")</f>
        <v/>
      </c>
      <c r="L45" s="338">
        <f>IF($A45&lt;=L$1,I45/I$4,"")</f>
        <v>7.0691699604743087E-4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/>
    </row>
    <row r="46" spans="1:32">
      <c r="A46" s="307">
        <v>3</v>
      </c>
      <c r="B46" s="342"/>
      <c r="C46" s="342" t="s">
        <v>177</v>
      </c>
      <c r="D46" s="340" t="s">
        <v>269</v>
      </c>
      <c r="E46" s="342"/>
      <c r="F46" s="345" t="s">
        <v>270</v>
      </c>
      <c r="G46" s="308">
        <v>8</v>
      </c>
      <c r="H46" s="309">
        <v>23000</v>
      </c>
      <c r="I46" s="309">
        <v>184000</v>
      </c>
      <c r="J46" s="211"/>
      <c r="K46" s="212" t="str">
        <f>IF(OR(J46="",G46=J46),"","*")</f>
        <v/>
      </c>
      <c r="L46" s="338">
        <f>IF($A46&lt;=L$1,I46/I$4,"")</f>
        <v>1.2121212121212121E-2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271</v>
      </c>
      <c r="AF46" s="341" t="s">
        <v>336</v>
      </c>
    </row>
    <row r="47" spans="1:32">
      <c r="A47" s="307">
        <v>3</v>
      </c>
      <c r="B47" s="342"/>
      <c r="C47" s="342" t="s">
        <v>179</v>
      </c>
      <c r="D47" s="340" t="s">
        <v>280</v>
      </c>
      <c r="E47" s="342"/>
      <c r="F47" s="345" t="s">
        <v>275</v>
      </c>
      <c r="G47" s="308">
        <v>1</v>
      </c>
      <c r="H47" s="309">
        <v>5000</v>
      </c>
      <c r="I47" s="309">
        <v>5000</v>
      </c>
      <c r="J47" s="211"/>
      <c r="K47" s="212" t="str">
        <f>IF(OR(J47="",G47=J47),"","*")</f>
        <v/>
      </c>
      <c r="L47" s="338">
        <f>IF($A47&lt;=L$1,I47/I$4,"")</f>
        <v>3.2938076416337287E-4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281</v>
      </c>
      <c r="AF47" s="341" t="s">
        <v>337</v>
      </c>
    </row>
    <row r="48" spans="1:32">
      <c r="A48" s="307">
        <v>3</v>
      </c>
      <c r="B48" s="342"/>
      <c r="C48" s="342" t="s">
        <v>179</v>
      </c>
      <c r="D48" s="340" t="s">
        <v>282</v>
      </c>
      <c r="E48" s="342"/>
      <c r="F48" s="345" t="s">
        <v>275</v>
      </c>
      <c r="G48" s="308">
        <v>1</v>
      </c>
      <c r="H48" s="309">
        <v>4000</v>
      </c>
      <c r="I48" s="309">
        <v>4000</v>
      </c>
      <c r="J48" s="211"/>
      <c r="K48" s="212" t="str">
        <f>IF(OR(J48="",G48=J48),"","*")</f>
        <v/>
      </c>
      <c r="L48" s="338">
        <f>IF($A48&lt;=L$1,I48/I$4,"")</f>
        <v>2.6350461133069827E-4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283</v>
      </c>
      <c r="AF48" s="341" t="s">
        <v>337</v>
      </c>
    </row>
    <row r="49" spans="1:32">
      <c r="A49" s="307">
        <v>3</v>
      </c>
      <c r="B49" s="342"/>
      <c r="C49" s="342" t="s">
        <v>179</v>
      </c>
      <c r="D49" s="340" t="s">
        <v>284</v>
      </c>
      <c r="E49" s="342" t="s">
        <v>285</v>
      </c>
      <c r="F49" s="345" t="s">
        <v>275</v>
      </c>
      <c r="G49" s="308">
        <v>1</v>
      </c>
      <c r="H49" s="309">
        <v>5500</v>
      </c>
      <c r="I49" s="309">
        <v>5500</v>
      </c>
      <c r="J49" s="211"/>
      <c r="K49" s="212" t="str">
        <f>IF(OR(J49="",G49=J49),"","*")</f>
        <v/>
      </c>
      <c r="L49" s="338">
        <f>IF($A49&lt;=L$1,I49/I$4,"")</f>
        <v>3.6231884057971015E-4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286</v>
      </c>
      <c r="AF49" s="341" t="s">
        <v>337</v>
      </c>
    </row>
    <row r="50" spans="1:32">
      <c r="A50" s="307">
        <v>3</v>
      </c>
      <c r="B50" s="342"/>
      <c r="C50" s="342" t="s">
        <v>179</v>
      </c>
      <c r="D50" s="340" t="s">
        <v>287</v>
      </c>
      <c r="E50" s="342"/>
      <c r="F50" s="345" t="s">
        <v>275</v>
      </c>
      <c r="G50" s="308">
        <v>1</v>
      </c>
      <c r="H50" s="309">
        <v>4300</v>
      </c>
      <c r="I50" s="309">
        <v>4300</v>
      </c>
      <c r="J50" s="211"/>
      <c r="K50" s="212" t="str">
        <f>IF(OR(J50="",G50=J50),"","*")</f>
        <v/>
      </c>
      <c r="L50" s="338">
        <f>IF($A50&lt;=L$1,I50/I$4,"")</f>
        <v>2.8326745718050068E-4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288</v>
      </c>
      <c r="AF50" s="341" t="s">
        <v>337</v>
      </c>
    </row>
    <row r="51" spans="1:32">
      <c r="A51" s="307">
        <v>3</v>
      </c>
      <c r="B51" s="342"/>
      <c r="C51" s="342" t="s">
        <v>179</v>
      </c>
      <c r="D51" s="340" t="s">
        <v>338</v>
      </c>
      <c r="E51" s="342"/>
      <c r="F51" s="345" t="s">
        <v>275</v>
      </c>
      <c r="G51" s="308">
        <v>1</v>
      </c>
      <c r="H51" s="309">
        <v>60000</v>
      </c>
      <c r="I51" s="309">
        <v>60000</v>
      </c>
      <c r="J51" s="211"/>
      <c r="K51" s="212" t="str">
        <f>IF(OR(J51="",G51=J51),"","*")</f>
        <v/>
      </c>
      <c r="L51" s="338">
        <f>IF($A51&lt;=L$1,I51/I$4,"")</f>
        <v>3.952569169960474E-3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339</v>
      </c>
      <c r="AF51" s="341" t="s">
        <v>337</v>
      </c>
    </row>
    <row r="52" spans="1:32">
      <c r="A52" s="307">
        <v>3</v>
      </c>
      <c r="B52" s="342"/>
      <c r="C52" s="342" t="s">
        <v>179</v>
      </c>
      <c r="D52" s="340" t="s">
        <v>291</v>
      </c>
      <c r="E52" s="342" t="s">
        <v>292</v>
      </c>
      <c r="F52" s="345" t="s">
        <v>275</v>
      </c>
      <c r="G52" s="308">
        <v>1</v>
      </c>
      <c r="H52" s="309">
        <v>111000</v>
      </c>
      <c r="I52" s="309">
        <v>111000</v>
      </c>
      <c r="J52" s="211"/>
      <c r="K52" s="212" t="str">
        <f>IF(OR(J52="",G52=J52),"","*")</f>
        <v/>
      </c>
      <c r="L52" s="338">
        <f>IF($A52&lt;=L$1,I52/I$4,"")</f>
        <v>7.3122529644268778E-3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293</v>
      </c>
      <c r="AF52" s="341" t="s">
        <v>337</v>
      </c>
    </row>
    <row r="53" spans="1:32">
      <c r="A53" s="307">
        <v>3</v>
      </c>
      <c r="B53" s="342"/>
      <c r="C53" s="342" t="s">
        <v>179</v>
      </c>
      <c r="D53" s="340" t="s">
        <v>299</v>
      </c>
      <c r="E53" s="342"/>
      <c r="F53" s="345" t="s">
        <v>275</v>
      </c>
      <c r="G53" s="308">
        <v>1</v>
      </c>
      <c r="H53" s="309">
        <v>3000</v>
      </c>
      <c r="I53" s="309">
        <v>3000</v>
      </c>
      <c r="J53" s="211"/>
      <c r="K53" s="212" t="str">
        <f>IF(OR(J53="",G53=J53),"","*")</f>
        <v/>
      </c>
      <c r="L53" s="338">
        <f>IF($A53&lt;=L$1,I53/I$4,"")</f>
        <v>1.9762845849802371E-4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300</v>
      </c>
      <c r="AF53" s="341" t="s">
        <v>337</v>
      </c>
    </row>
    <row r="54" spans="1:32">
      <c r="A54" s="307">
        <v>3</v>
      </c>
      <c r="B54" s="342"/>
      <c r="C54" s="342" t="s">
        <v>179</v>
      </c>
      <c r="D54" s="340" t="s">
        <v>301</v>
      </c>
      <c r="E54" s="342"/>
      <c r="F54" s="345" t="s">
        <v>302</v>
      </c>
      <c r="G54" s="308">
        <v>100</v>
      </c>
      <c r="H54" s="309">
        <v>150</v>
      </c>
      <c r="I54" s="309">
        <v>15000</v>
      </c>
      <c r="J54" s="211"/>
      <c r="K54" s="212" t="str">
        <f>IF(OR(J54="",G54=J54),"","*")</f>
        <v/>
      </c>
      <c r="L54" s="338">
        <f>IF($A54&lt;=L$1,I54/I$4,"")</f>
        <v>9.8814229249011851E-4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303</v>
      </c>
      <c r="AF54" s="341" t="s">
        <v>340</v>
      </c>
    </row>
    <row r="55" spans="1:32">
      <c r="A55" s="307">
        <v>3</v>
      </c>
      <c r="B55" s="342"/>
      <c r="C55" s="342" t="s">
        <v>180</v>
      </c>
      <c r="D55" s="340" t="s">
        <v>305</v>
      </c>
      <c r="E55" s="342" t="s">
        <v>306</v>
      </c>
      <c r="F55" s="345" t="s">
        <v>275</v>
      </c>
      <c r="G55" s="308">
        <v>1</v>
      </c>
      <c r="H55" s="309">
        <v>5000</v>
      </c>
      <c r="I55" s="309">
        <v>5000</v>
      </c>
      <c r="J55" s="211"/>
      <c r="K55" s="212" t="str">
        <f>IF(OR(J55="",G55=J55),"","*")</f>
        <v/>
      </c>
      <c r="L55" s="338">
        <f>IF($A55&lt;=L$1,I55/I$4,"")</f>
        <v>3.2938076416337287E-4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307</v>
      </c>
      <c r="AF55" s="341" t="s">
        <v>337</v>
      </c>
    </row>
    <row r="56" spans="1:32">
      <c r="A56" s="307">
        <v>3</v>
      </c>
      <c r="B56" s="342"/>
      <c r="C56" s="342" t="s">
        <v>180</v>
      </c>
      <c r="D56" s="340" t="s">
        <v>308</v>
      </c>
      <c r="E56" s="342"/>
      <c r="F56" s="345" t="s">
        <v>275</v>
      </c>
      <c r="G56" s="308">
        <v>2</v>
      </c>
      <c r="H56" s="309">
        <v>5000</v>
      </c>
      <c r="I56" s="309">
        <v>10000</v>
      </c>
      <c r="J56" s="211"/>
      <c r="K56" s="212" t="str">
        <f>IF(OR(J56="",G56=J56),"","*")</f>
        <v/>
      </c>
      <c r="L56" s="338">
        <f>IF($A56&lt;=L$1,I56/I$4,"")</f>
        <v>6.5876152832674575E-4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309</v>
      </c>
      <c r="AF56" s="341" t="s">
        <v>326</v>
      </c>
    </row>
    <row r="57" spans="1:32">
      <c r="A57" s="307">
        <v>3</v>
      </c>
      <c r="B57" s="342"/>
      <c r="C57" s="342" t="s">
        <v>180</v>
      </c>
      <c r="D57" s="340" t="s">
        <v>311</v>
      </c>
      <c r="E57" s="342"/>
      <c r="F57" s="345" t="s">
        <v>275</v>
      </c>
      <c r="G57" s="308">
        <v>1</v>
      </c>
      <c r="H57" s="309">
        <v>7000</v>
      </c>
      <c r="I57" s="309">
        <v>7000</v>
      </c>
      <c r="J57" s="211"/>
      <c r="K57" s="212" t="str">
        <f>IF(OR(J57="",G57=J57),"","*")</f>
        <v/>
      </c>
      <c r="L57" s="338">
        <f>IF($A57&lt;=L$1,I57/I$4,"")</f>
        <v>4.6113306982872198E-4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312</v>
      </c>
      <c r="AF57" s="341" t="s">
        <v>337</v>
      </c>
    </row>
    <row r="58" spans="1:32">
      <c r="A58" s="307">
        <v>3</v>
      </c>
      <c r="B58" s="342"/>
      <c r="C58" s="342"/>
      <c r="D58" s="340" t="s">
        <v>313</v>
      </c>
      <c r="E58" s="342"/>
      <c r="F58" s="345" t="s">
        <v>173</v>
      </c>
      <c r="G58" s="308">
        <v>1</v>
      </c>
      <c r="H58" s="309">
        <v>-2680500</v>
      </c>
      <c r="I58" s="309">
        <v>-2680500</v>
      </c>
      <c r="J58" s="211"/>
      <c r="K58" s="212" t="str">
        <f>IF(OR(J58="",G58=J58),"","*")</f>
        <v/>
      </c>
      <c r="L58" s="338">
        <f>IF($A58&lt;=L$1,I58/I$4,"")</f>
        <v>-0.1765810276679842</v>
      </c>
      <c r="M58" s="343"/>
      <c r="N58" s="344" t="s">
        <v>314</v>
      </c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2</v>
      </c>
      <c r="B59" s="342"/>
      <c r="C59" s="342" t="s">
        <v>233</v>
      </c>
      <c r="D59" s="340" t="s">
        <v>341</v>
      </c>
      <c r="E59" s="342"/>
      <c r="F59" s="345" t="s">
        <v>172</v>
      </c>
      <c r="G59" s="308">
        <v>4</v>
      </c>
      <c r="H59" s="309">
        <v>172500</v>
      </c>
      <c r="I59" s="309">
        <v>690000</v>
      </c>
      <c r="J59" s="211">
        <v>4</v>
      </c>
      <c r="K59" s="212" t="str">
        <f>IF(OR(J59="",G59=J59),"","*")</f>
        <v/>
      </c>
      <c r="L59" s="338">
        <f>IF($A59&lt;=L$1,I59/I$4,"")</f>
        <v>4.5454545454545456E-2</v>
      </c>
      <c r="M59" s="343"/>
      <c r="N59" s="344" t="s">
        <v>342</v>
      </c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3</v>
      </c>
      <c r="B60" s="342"/>
      <c r="C60" s="342" t="s">
        <v>178</v>
      </c>
      <c r="D60" s="340" t="s">
        <v>343</v>
      </c>
      <c r="E60" s="342"/>
      <c r="F60" s="345" t="s">
        <v>172</v>
      </c>
      <c r="G60" s="308">
        <v>4</v>
      </c>
      <c r="H60" s="309">
        <v>24000</v>
      </c>
      <c r="I60" s="309">
        <v>96000</v>
      </c>
      <c r="J60" s="211"/>
      <c r="K60" s="212" t="str">
        <f>IF(OR(J60="",G60=J60),"","*")</f>
        <v/>
      </c>
      <c r="L60" s="338">
        <f>IF($A60&lt;=L$1,I60/I$4,"")</f>
        <v>6.3241106719367588E-3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3</v>
      </c>
      <c r="B61" s="342"/>
      <c r="C61" s="342" t="s">
        <v>178</v>
      </c>
      <c r="D61" s="340" t="s">
        <v>242</v>
      </c>
      <c r="E61" s="342"/>
      <c r="F61" s="345" t="s">
        <v>173</v>
      </c>
      <c r="G61" s="308">
        <v>1</v>
      </c>
      <c r="H61" s="309">
        <v>10000</v>
      </c>
      <c r="I61" s="309">
        <v>10000</v>
      </c>
      <c r="J61" s="211"/>
      <c r="K61" s="212" t="str">
        <f>IF(OR(J61="",G61=J61),"","*")</f>
        <v/>
      </c>
      <c r="L61" s="338">
        <f>IF($A61&lt;=L$1,I61/I$4,"")</f>
        <v>6.5876152832674575E-4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243</v>
      </c>
      <c r="AF61" s="341"/>
    </row>
    <row r="62" spans="1:32">
      <c r="A62" s="307">
        <v>3</v>
      </c>
      <c r="B62" s="342"/>
      <c r="C62" s="342" t="s">
        <v>178</v>
      </c>
      <c r="D62" s="340" t="s">
        <v>239</v>
      </c>
      <c r="E62" s="342" t="s">
        <v>240</v>
      </c>
      <c r="F62" s="345" t="s">
        <v>173</v>
      </c>
      <c r="G62" s="308">
        <v>1</v>
      </c>
      <c r="H62" s="309">
        <v>12000</v>
      </c>
      <c r="I62" s="309">
        <v>12000</v>
      </c>
      <c r="J62" s="211"/>
      <c r="K62" s="212" t="str">
        <f>IF(OR(J62="",G62=J62),"","*")</f>
        <v/>
      </c>
      <c r="L62" s="338">
        <f>IF($A62&lt;=L$1,I62/I$4,"")</f>
        <v>7.9051383399209485E-4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241</v>
      </c>
      <c r="AF62" s="341"/>
    </row>
    <row r="63" spans="1:32">
      <c r="A63" s="307">
        <v>3</v>
      </c>
      <c r="B63" s="342"/>
      <c r="C63" s="342" t="s">
        <v>176</v>
      </c>
      <c r="D63" s="340" t="s">
        <v>344</v>
      </c>
      <c r="E63" s="342" t="s">
        <v>345</v>
      </c>
      <c r="F63" s="345" t="s">
        <v>346</v>
      </c>
      <c r="G63" s="308">
        <v>32</v>
      </c>
      <c r="H63" s="309">
        <v>5400</v>
      </c>
      <c r="I63" s="309">
        <v>172800</v>
      </c>
      <c r="J63" s="211"/>
      <c r="K63" s="212" t="str">
        <f>IF(OR(J63="",G63=J63),"","*")</f>
        <v/>
      </c>
      <c r="L63" s="338">
        <f>IF($A63&lt;=L$1,I63/I$4,"")</f>
        <v>1.1383399209486165E-2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347</v>
      </c>
      <c r="AF63" s="341" t="s">
        <v>272</v>
      </c>
    </row>
    <row r="64" spans="1:32">
      <c r="A64" s="307">
        <v>3</v>
      </c>
      <c r="B64" s="342"/>
      <c r="C64" s="342" t="s">
        <v>176</v>
      </c>
      <c r="D64" s="340" t="s">
        <v>348</v>
      </c>
      <c r="E64" s="342"/>
      <c r="F64" s="345" t="s">
        <v>173</v>
      </c>
      <c r="G64" s="308">
        <v>1</v>
      </c>
      <c r="H64" s="309">
        <v>50000</v>
      </c>
      <c r="I64" s="309">
        <v>50000</v>
      </c>
      <c r="J64" s="211"/>
      <c r="K64" s="212" t="str">
        <f>IF(OR(J64="",G64=J64),"","*")</f>
        <v/>
      </c>
      <c r="L64" s="338">
        <f>IF($A64&lt;=L$1,I64/I$4,"")</f>
        <v>3.2938076416337285E-3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/>
    </row>
    <row r="65" spans="1:32">
      <c r="A65" s="307">
        <v>3</v>
      </c>
      <c r="B65" s="342"/>
      <c r="C65" s="342" t="s">
        <v>176</v>
      </c>
      <c r="D65" s="340" t="s">
        <v>349</v>
      </c>
      <c r="E65" s="342"/>
      <c r="F65" s="345" t="s">
        <v>350</v>
      </c>
      <c r="G65" s="308">
        <v>50</v>
      </c>
      <c r="H65" s="309">
        <v>150</v>
      </c>
      <c r="I65" s="309">
        <v>7500</v>
      </c>
      <c r="J65" s="211"/>
      <c r="K65" s="212" t="str">
        <f>IF(OR(J65="",G65=J65),"","*")</f>
        <v/>
      </c>
      <c r="L65" s="338">
        <f>IF($A65&lt;=L$1,I65/I$4,"")</f>
        <v>4.9407114624505926E-4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351</v>
      </c>
      <c r="AF65" s="341"/>
    </row>
    <row r="66" spans="1:32">
      <c r="A66" s="307">
        <v>3</v>
      </c>
      <c r="B66" s="342"/>
      <c r="C66" s="342" t="s">
        <v>176</v>
      </c>
      <c r="D66" s="340" t="s">
        <v>352</v>
      </c>
      <c r="E66" s="342"/>
      <c r="F66" s="345" t="s">
        <v>353</v>
      </c>
      <c r="G66" s="308">
        <v>8</v>
      </c>
      <c r="H66" s="309">
        <v>8500</v>
      </c>
      <c r="I66" s="309">
        <v>68000</v>
      </c>
      <c r="J66" s="211"/>
      <c r="K66" s="212" t="str">
        <f>IF(OR(J66="",G66=J66),"","*")</f>
        <v/>
      </c>
      <c r="L66" s="338">
        <f>IF($A66&lt;=L$1,I66/I$4,"")</f>
        <v>4.4795783926218705E-3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 t="s">
        <v>310</v>
      </c>
    </row>
    <row r="67" spans="1:32">
      <c r="A67" s="307">
        <v>3</v>
      </c>
      <c r="B67" s="342"/>
      <c r="C67" s="342" t="s">
        <v>176</v>
      </c>
      <c r="D67" s="340" t="s">
        <v>268</v>
      </c>
      <c r="E67" s="342"/>
      <c r="F67" s="345" t="s">
        <v>173</v>
      </c>
      <c r="G67" s="308">
        <v>1</v>
      </c>
      <c r="H67" s="309">
        <v>32650</v>
      </c>
      <c r="I67" s="309">
        <v>32650</v>
      </c>
      <c r="J67" s="211"/>
      <c r="K67" s="212" t="str">
        <f>IF(OR(J67="",G67=J67),"","*")</f>
        <v/>
      </c>
      <c r="L67" s="338">
        <f>IF($A67&lt;=L$1,I67/I$4,"")</f>
        <v>2.1508563899868246E-3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354</v>
      </c>
      <c r="AF67" s="341"/>
    </row>
    <row r="68" spans="1:32">
      <c r="A68" s="307">
        <v>3</v>
      </c>
      <c r="B68" s="342"/>
      <c r="C68" s="342" t="s">
        <v>177</v>
      </c>
      <c r="D68" s="340" t="s">
        <v>269</v>
      </c>
      <c r="E68" s="342"/>
      <c r="F68" s="345" t="s">
        <v>270</v>
      </c>
      <c r="G68" s="308">
        <v>8</v>
      </c>
      <c r="H68" s="309">
        <v>23000</v>
      </c>
      <c r="I68" s="309">
        <v>184000</v>
      </c>
      <c r="J68" s="211"/>
      <c r="K68" s="212" t="str">
        <f>IF(OR(J68="",G68=J68),"","*")</f>
        <v/>
      </c>
      <c r="L68" s="338">
        <f>IF($A68&lt;=L$1,I68/I$4,"")</f>
        <v>1.2121212121212121E-2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271</v>
      </c>
      <c r="AF68" s="341" t="s">
        <v>336</v>
      </c>
    </row>
    <row r="69" spans="1:32">
      <c r="A69" s="307">
        <v>3</v>
      </c>
      <c r="B69" s="342"/>
      <c r="C69" s="342" t="s">
        <v>179</v>
      </c>
      <c r="D69" s="340" t="s">
        <v>280</v>
      </c>
      <c r="E69" s="342"/>
      <c r="F69" s="345" t="s">
        <v>275</v>
      </c>
      <c r="G69" s="308">
        <v>1</v>
      </c>
      <c r="H69" s="309">
        <v>5000</v>
      </c>
      <c r="I69" s="309">
        <v>5000</v>
      </c>
      <c r="J69" s="211"/>
      <c r="K69" s="212" t="str">
        <f>IF(OR(J69="",G69=J69),"","*")</f>
        <v/>
      </c>
      <c r="L69" s="338">
        <f>IF($A69&lt;=L$1,I69/I$4,"")</f>
        <v>3.2938076416337287E-4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281</v>
      </c>
      <c r="AF69" s="341"/>
    </row>
    <row r="70" spans="1:32">
      <c r="A70" s="307">
        <v>3</v>
      </c>
      <c r="B70" s="342"/>
      <c r="C70" s="342" t="s">
        <v>179</v>
      </c>
      <c r="D70" s="340" t="s">
        <v>355</v>
      </c>
      <c r="E70" s="342"/>
      <c r="F70" s="345" t="s">
        <v>275</v>
      </c>
      <c r="G70" s="308">
        <v>1</v>
      </c>
      <c r="H70" s="309">
        <v>10000</v>
      </c>
      <c r="I70" s="309">
        <v>10000</v>
      </c>
      <c r="J70" s="211"/>
      <c r="K70" s="212" t="str">
        <f>IF(OR(J70="",G70=J70),"","*")</f>
        <v/>
      </c>
      <c r="L70" s="338">
        <f>IF($A70&lt;=L$1,I70/I$4,"")</f>
        <v>6.5876152832674575E-4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/>
      <c r="AF70" s="341"/>
    </row>
    <row r="71" spans="1:32">
      <c r="A71" s="307">
        <v>3</v>
      </c>
      <c r="B71" s="342"/>
      <c r="C71" s="342" t="s">
        <v>179</v>
      </c>
      <c r="D71" s="340" t="s">
        <v>287</v>
      </c>
      <c r="E71" s="342"/>
      <c r="F71" s="345" t="s">
        <v>275</v>
      </c>
      <c r="G71" s="308">
        <v>1</v>
      </c>
      <c r="H71" s="309">
        <v>4300</v>
      </c>
      <c r="I71" s="309">
        <v>4300</v>
      </c>
      <c r="J71" s="211"/>
      <c r="K71" s="212" t="str">
        <f>IF(OR(J71="",G71=J71),"","*")</f>
        <v/>
      </c>
      <c r="L71" s="338">
        <f>IF($A71&lt;=L$1,I71/I$4,"")</f>
        <v>2.8326745718050068E-4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288</v>
      </c>
      <c r="AF71" s="341" t="s">
        <v>337</v>
      </c>
    </row>
    <row r="72" spans="1:32">
      <c r="A72" s="307">
        <v>3</v>
      </c>
      <c r="B72" s="342"/>
      <c r="C72" s="342" t="s">
        <v>179</v>
      </c>
      <c r="D72" s="340" t="s">
        <v>296</v>
      </c>
      <c r="E72" s="342" t="s">
        <v>297</v>
      </c>
      <c r="F72" s="345" t="s">
        <v>275</v>
      </c>
      <c r="G72" s="308">
        <v>1</v>
      </c>
      <c r="H72" s="309">
        <v>12000</v>
      </c>
      <c r="I72" s="309">
        <v>12000</v>
      </c>
      <c r="J72" s="211"/>
      <c r="K72" s="212" t="str">
        <f>IF(OR(J72="",G72=J72),"","*")</f>
        <v/>
      </c>
      <c r="L72" s="338">
        <f>IF($A72&lt;=L$1,I72/I$4,"")</f>
        <v>7.9051383399209485E-4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298</v>
      </c>
      <c r="AF72" s="341"/>
    </row>
    <row r="73" spans="1:32">
      <c r="A73" s="307">
        <v>3</v>
      </c>
      <c r="B73" s="342"/>
      <c r="C73" s="342" t="s">
        <v>179</v>
      </c>
      <c r="D73" s="340" t="s">
        <v>299</v>
      </c>
      <c r="E73" s="342"/>
      <c r="F73" s="345" t="s">
        <v>275</v>
      </c>
      <c r="G73" s="308">
        <v>1</v>
      </c>
      <c r="H73" s="309">
        <v>3000</v>
      </c>
      <c r="I73" s="309">
        <v>3000</v>
      </c>
      <c r="J73" s="211"/>
      <c r="K73" s="212" t="str">
        <f>IF(OR(J73="",G73=J73),"","*")</f>
        <v/>
      </c>
      <c r="L73" s="338">
        <f>IF($A73&lt;=L$1,I73/I$4,"")</f>
        <v>1.9762845849802371E-4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300</v>
      </c>
      <c r="AF73" s="341"/>
    </row>
    <row r="74" spans="1:32">
      <c r="A74" s="307">
        <v>3</v>
      </c>
      <c r="B74" s="342"/>
      <c r="C74" s="342" t="s">
        <v>180</v>
      </c>
      <c r="D74" s="340" t="s">
        <v>305</v>
      </c>
      <c r="E74" s="342" t="s">
        <v>306</v>
      </c>
      <c r="F74" s="345" t="s">
        <v>275</v>
      </c>
      <c r="G74" s="308">
        <v>1</v>
      </c>
      <c r="H74" s="309">
        <v>5000</v>
      </c>
      <c r="I74" s="309">
        <v>5000</v>
      </c>
      <c r="J74" s="211"/>
      <c r="K74" s="212" t="str">
        <f>IF(OR(J74="",G74=J74),"","*")</f>
        <v/>
      </c>
      <c r="L74" s="338">
        <f>IF($A74&lt;=L$1,I74/I$4,"")</f>
        <v>3.2938076416337287E-4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307</v>
      </c>
      <c r="AF74" s="341" t="s">
        <v>337</v>
      </c>
    </row>
    <row r="75" spans="1:32">
      <c r="A75" s="307">
        <v>3</v>
      </c>
      <c r="B75" s="342"/>
      <c r="C75" s="342" t="s">
        <v>180</v>
      </c>
      <c r="D75" s="340" t="s">
        <v>308</v>
      </c>
      <c r="E75" s="342"/>
      <c r="F75" s="345" t="s">
        <v>275</v>
      </c>
      <c r="G75" s="308">
        <v>2</v>
      </c>
      <c r="H75" s="309">
        <v>5000</v>
      </c>
      <c r="I75" s="309">
        <v>10000</v>
      </c>
      <c r="J75" s="211"/>
      <c r="K75" s="212" t="str">
        <f>IF(OR(J75="",G75=J75),"","*")</f>
        <v/>
      </c>
      <c r="L75" s="338">
        <f>IF($A75&lt;=L$1,I75/I$4,"")</f>
        <v>6.5876152832674575E-4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309</v>
      </c>
      <c r="AF75" s="341" t="s">
        <v>326</v>
      </c>
    </row>
    <row r="76" spans="1:32">
      <c r="A76" s="307">
        <v>3</v>
      </c>
      <c r="B76" s="342"/>
      <c r="C76" s="342" t="s">
        <v>180</v>
      </c>
      <c r="D76" s="340" t="s">
        <v>311</v>
      </c>
      <c r="E76" s="342"/>
      <c r="F76" s="345" t="s">
        <v>275</v>
      </c>
      <c r="G76" s="308">
        <v>1</v>
      </c>
      <c r="H76" s="309">
        <v>7000</v>
      </c>
      <c r="I76" s="309">
        <v>7000</v>
      </c>
      <c r="J76" s="211"/>
      <c r="K76" s="212" t="str">
        <f>IF(OR(J76="",G76=J76),"","*")</f>
        <v/>
      </c>
      <c r="L76" s="338">
        <f>IF($A76&lt;=L$1,I76/I$4,"")</f>
        <v>4.6113306982872198E-4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312</v>
      </c>
      <c r="AF76" s="341" t="s">
        <v>337</v>
      </c>
    </row>
    <row r="77" spans="1:32">
      <c r="A77" s="307">
        <v>3</v>
      </c>
      <c r="B77" s="342"/>
      <c r="C77" s="342" t="s">
        <v>180</v>
      </c>
      <c r="D77" s="340" t="s">
        <v>317</v>
      </c>
      <c r="E77" s="342"/>
      <c r="F77" s="345" t="s">
        <v>252</v>
      </c>
      <c r="G77" s="308">
        <v>1.5</v>
      </c>
      <c r="H77" s="309">
        <v>500</v>
      </c>
      <c r="I77" s="309">
        <v>750</v>
      </c>
      <c r="J77" s="211"/>
      <c r="K77" s="212" t="str">
        <f>IF(OR(J77="",G77=J77),"","*")</f>
        <v/>
      </c>
      <c r="L77" s="338">
        <f>IF($A77&lt;=L$1,I77/I$4,"")</f>
        <v>4.9407114624505928E-5</v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 t="s">
        <v>318</v>
      </c>
      <c r="AF77" s="341" t="s">
        <v>356</v>
      </c>
    </row>
    <row r="78" spans="1:32">
      <c r="A78" s="307">
        <v>2</v>
      </c>
      <c r="B78" s="342"/>
      <c r="C78" s="342" t="s">
        <v>233</v>
      </c>
      <c r="D78" s="340" t="s">
        <v>357</v>
      </c>
      <c r="E78" s="342"/>
      <c r="F78" s="345" t="s">
        <v>173</v>
      </c>
      <c r="G78" s="308">
        <v>1</v>
      </c>
      <c r="H78" s="309">
        <v>140000</v>
      </c>
      <c r="I78" s="309">
        <v>140000</v>
      </c>
      <c r="J78" s="211">
        <v>1</v>
      </c>
      <c r="K78" s="212" t="str">
        <f>IF(OR(J78="",G78=J78),"","*")</f>
        <v/>
      </c>
      <c r="L78" s="338">
        <f>IF($A78&lt;=L$1,I78/I$4,"")</f>
        <v>9.22266139657444E-3</v>
      </c>
      <c r="M78" s="343"/>
      <c r="N78" s="344" t="s">
        <v>358</v>
      </c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/>
      <c r="AF78" s="341"/>
    </row>
    <row r="79" spans="1:32">
      <c r="A79" s="307">
        <v>3</v>
      </c>
      <c r="B79" s="342"/>
      <c r="C79" s="342" t="s">
        <v>178</v>
      </c>
      <c r="D79" s="340" t="s">
        <v>359</v>
      </c>
      <c r="E79" s="342" t="s">
        <v>360</v>
      </c>
      <c r="F79" s="345" t="s">
        <v>237</v>
      </c>
      <c r="G79" s="308">
        <v>215</v>
      </c>
      <c r="H79" s="309">
        <v>260</v>
      </c>
      <c r="I79" s="309">
        <v>55900</v>
      </c>
      <c r="J79" s="211"/>
      <c r="K79" s="212" t="str">
        <f>IF(OR(J79="",G79=J79),"","*")</f>
        <v/>
      </c>
      <c r="L79" s="338">
        <f>IF($A79&lt;=L$1,I79/I$4,"")</f>
        <v>3.6824769433465086E-3</v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361</v>
      </c>
      <c r="AF79" s="341"/>
    </row>
    <row r="80" spans="1:32">
      <c r="A80" s="307">
        <v>3</v>
      </c>
      <c r="B80" s="342"/>
      <c r="C80" s="342" t="s">
        <v>178</v>
      </c>
      <c r="D80" s="340" t="s">
        <v>359</v>
      </c>
      <c r="E80" s="342" t="s">
        <v>362</v>
      </c>
      <c r="F80" s="345" t="s">
        <v>237</v>
      </c>
      <c r="G80" s="308">
        <v>36</v>
      </c>
      <c r="H80" s="309">
        <v>520</v>
      </c>
      <c r="I80" s="309">
        <v>18720</v>
      </c>
      <c r="J80" s="211"/>
      <c r="K80" s="212" t="str">
        <f>IF(OR(J80="",G80=J80),"","*")</f>
        <v/>
      </c>
      <c r="L80" s="338">
        <f>IF($A80&lt;=L$1,I80/I$4,"")</f>
        <v>1.233201581027668E-3</v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363</v>
      </c>
      <c r="AF80" s="341"/>
    </row>
    <row r="81" spans="1:32">
      <c r="A81" s="307">
        <v>3</v>
      </c>
      <c r="B81" s="342"/>
      <c r="C81" s="342" t="s">
        <v>178</v>
      </c>
      <c r="D81" s="340" t="s">
        <v>364</v>
      </c>
      <c r="E81" s="342" t="s">
        <v>360</v>
      </c>
      <c r="F81" s="345" t="s">
        <v>237</v>
      </c>
      <c r="G81" s="308">
        <v>151</v>
      </c>
      <c r="H81" s="309">
        <v>350</v>
      </c>
      <c r="I81" s="309">
        <v>52850</v>
      </c>
      <c r="J81" s="211"/>
      <c r="K81" s="212" t="str">
        <f>IF(OR(J81="",G81=J81),"","*")</f>
        <v/>
      </c>
      <c r="L81" s="338">
        <f>IF($A81&lt;=L$1,I81/I$4,"")</f>
        <v>3.4815546772068509E-3</v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365</v>
      </c>
      <c r="AF81" s="341"/>
    </row>
    <row r="82" spans="1:32">
      <c r="A82" s="307">
        <v>3</v>
      </c>
      <c r="B82" s="342"/>
      <c r="C82" s="342" t="s">
        <v>178</v>
      </c>
      <c r="D82" s="340" t="s">
        <v>359</v>
      </c>
      <c r="E82" s="342" t="s">
        <v>362</v>
      </c>
      <c r="F82" s="345" t="s">
        <v>237</v>
      </c>
      <c r="G82" s="308">
        <v>15</v>
      </c>
      <c r="H82" s="309">
        <v>520</v>
      </c>
      <c r="I82" s="309">
        <v>7800</v>
      </c>
      <c r="J82" s="211"/>
      <c r="K82" s="212" t="str">
        <f>IF(OR(J82="",G82=J82),"","*")</f>
        <v/>
      </c>
      <c r="L82" s="338">
        <f>IF($A82&lt;=L$1,I82/I$4,"")</f>
        <v>5.1383399209486166E-4</v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363</v>
      </c>
      <c r="AF82" s="341"/>
    </row>
    <row r="83" spans="1:32">
      <c r="A83" s="307">
        <v>3</v>
      </c>
      <c r="B83" s="342"/>
      <c r="C83" s="342" t="s">
        <v>176</v>
      </c>
      <c r="D83" s="340" t="s">
        <v>366</v>
      </c>
      <c r="E83" s="342"/>
      <c r="F83" s="345" t="s">
        <v>173</v>
      </c>
      <c r="G83" s="308">
        <v>0</v>
      </c>
      <c r="H83" s="309">
        <v>0</v>
      </c>
      <c r="I83" s="309">
        <v>0</v>
      </c>
      <c r="J83" s="211"/>
      <c r="K83" s="212" t="str">
        <f>IF(OR(J83="",G83=J83),"","*")</f>
        <v/>
      </c>
      <c r="L83" s="338">
        <f>IF($A83&lt;=L$1,I83/I$4,"")</f>
        <v>0</v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/>
      <c r="AF83" s="341"/>
    </row>
    <row r="84" spans="1:32">
      <c r="A84" s="307">
        <v>3</v>
      </c>
      <c r="B84" s="342"/>
      <c r="C84" s="342" t="s">
        <v>181</v>
      </c>
      <c r="D84" s="340" t="s">
        <v>244</v>
      </c>
      <c r="E84" s="342"/>
      <c r="F84" s="345" t="s">
        <v>173</v>
      </c>
      <c r="G84" s="308">
        <v>1</v>
      </c>
      <c r="H84" s="309">
        <v>4730</v>
      </c>
      <c r="I84" s="309">
        <v>4730</v>
      </c>
      <c r="J84" s="211"/>
      <c r="K84" s="212" t="str">
        <f>IF(OR(J84="",G84=J84),"","*")</f>
        <v/>
      </c>
      <c r="L84" s="338">
        <f>IF($A84&lt;=L$1,I84/I$4,"")</f>
        <v>3.1159420289855072E-4</v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/>
      <c r="AF84" s="341"/>
    </row>
    <row r="85" spans="1:32">
      <c r="A85" s="307">
        <v>2</v>
      </c>
      <c r="B85" s="342"/>
      <c r="C85" s="342" t="s">
        <v>196</v>
      </c>
      <c r="D85" s="340" t="s">
        <v>367</v>
      </c>
      <c r="E85" s="342"/>
      <c r="F85" s="345" t="s">
        <v>173</v>
      </c>
      <c r="G85" s="308">
        <v>1</v>
      </c>
      <c r="H85" s="309">
        <v>0</v>
      </c>
      <c r="I85" s="309">
        <v>0</v>
      </c>
      <c r="J85" s="211">
        <v>1</v>
      </c>
      <c r="K85" s="212" t="str">
        <f>IF(OR(J85="",G85=J85),"","*")</f>
        <v/>
      </c>
      <c r="L85" s="338">
        <f>IF($A85&lt;=L$1,I85/I$4,"")</f>
        <v>0</v>
      </c>
      <c r="M85" s="343"/>
      <c r="N85" s="344" t="s">
        <v>368</v>
      </c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/>
      <c r="AF85" s="341"/>
    </row>
    <row r="86" spans="1:32">
      <c r="A86" s="307">
        <v>2</v>
      </c>
      <c r="B86" s="342"/>
      <c r="C86" s="342" t="s">
        <v>233</v>
      </c>
      <c r="D86" s="340" t="s">
        <v>369</v>
      </c>
      <c r="E86" s="342" t="s">
        <v>174</v>
      </c>
      <c r="F86" s="345" t="s">
        <v>170</v>
      </c>
      <c r="G86" s="308">
        <v>625</v>
      </c>
      <c r="H86" s="309">
        <v>4352</v>
      </c>
      <c r="I86" s="309">
        <v>2720000</v>
      </c>
      <c r="J86" s="211">
        <v>625</v>
      </c>
      <c r="K86" s="212" t="str">
        <f>IF(OR(J86="",G86=J86),"","*")</f>
        <v/>
      </c>
      <c r="L86" s="338">
        <f>IF($A86&lt;=L$1,I86/I$4,"")</f>
        <v>0.17918313570487485</v>
      </c>
      <c r="M86" s="343"/>
      <c r="N86" s="344" t="s">
        <v>370</v>
      </c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/>
      <c r="AF86" s="341"/>
    </row>
    <row r="87" spans="1:32">
      <c r="A87" s="307">
        <v>3</v>
      </c>
      <c r="B87" s="342"/>
      <c r="C87" s="342" t="s">
        <v>176</v>
      </c>
      <c r="D87" s="340" t="s">
        <v>247</v>
      </c>
      <c r="E87" s="342"/>
      <c r="F87" s="345" t="s">
        <v>248</v>
      </c>
      <c r="G87" s="308">
        <v>150</v>
      </c>
      <c r="H87" s="309">
        <v>7400</v>
      </c>
      <c r="I87" s="309">
        <v>1110000</v>
      </c>
      <c r="J87" s="211"/>
      <c r="K87" s="212" t="str">
        <f>IF(OR(J87="",G87=J87),"","*")</f>
        <v/>
      </c>
      <c r="L87" s="338">
        <f>IF($A87&lt;=L$1,I87/I$4,"")</f>
        <v>7.3122529644268769E-2</v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 t="s">
        <v>371</v>
      </c>
    </row>
    <row r="88" spans="1:32">
      <c r="A88" s="307">
        <v>3</v>
      </c>
      <c r="B88" s="342"/>
      <c r="C88" s="342" t="s">
        <v>176</v>
      </c>
      <c r="D88" s="340" t="s">
        <v>250</v>
      </c>
      <c r="E88" s="342" t="s">
        <v>251</v>
      </c>
      <c r="F88" s="345" t="s">
        <v>252</v>
      </c>
      <c r="G88" s="308">
        <v>10</v>
      </c>
      <c r="H88" s="309">
        <v>14300</v>
      </c>
      <c r="I88" s="309">
        <v>143000</v>
      </c>
      <c r="J88" s="211"/>
      <c r="K88" s="212" t="str">
        <f>IF(OR(J88="",G88=J88),"","*")</f>
        <v/>
      </c>
      <c r="L88" s="338">
        <f>IF($A88&lt;=L$1,I88/I$4,"")</f>
        <v>9.4202898550724643E-3</v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253</v>
      </c>
      <c r="AF88" s="341" t="s">
        <v>254</v>
      </c>
    </row>
    <row r="89" spans="1:32">
      <c r="A89" s="307">
        <v>3</v>
      </c>
      <c r="B89" s="342"/>
      <c r="C89" s="342" t="s">
        <v>176</v>
      </c>
      <c r="D89" s="340" t="s">
        <v>255</v>
      </c>
      <c r="E89" s="342"/>
      <c r="F89" s="345" t="s">
        <v>248</v>
      </c>
      <c r="G89" s="308">
        <v>0.78800000000000003</v>
      </c>
      <c r="H89" s="309">
        <v>100000</v>
      </c>
      <c r="I89" s="309">
        <v>78800</v>
      </c>
      <c r="J89" s="211"/>
      <c r="K89" s="212" t="str">
        <f>IF(OR(J89="",G89=J89),"","*")</f>
        <v/>
      </c>
      <c r="L89" s="338">
        <f>IF($A89&lt;=L$1,I89/I$4,"")</f>
        <v>5.1910408432147559E-3</v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256</v>
      </c>
      <c r="AF89" s="341" t="s">
        <v>372</v>
      </c>
    </row>
    <row r="90" spans="1:32">
      <c r="A90" s="307">
        <v>3</v>
      </c>
      <c r="B90" s="342"/>
      <c r="C90" s="342" t="s">
        <v>176</v>
      </c>
      <c r="D90" s="340" t="s">
        <v>258</v>
      </c>
      <c r="E90" s="342"/>
      <c r="F90" s="345" t="s">
        <v>252</v>
      </c>
      <c r="G90" s="308">
        <v>35</v>
      </c>
      <c r="H90" s="309">
        <v>800</v>
      </c>
      <c r="I90" s="309">
        <v>28000</v>
      </c>
      <c r="J90" s="211"/>
      <c r="K90" s="212" t="str">
        <f>IF(OR(J90="",G90=J90),"","*")</f>
        <v/>
      </c>
      <c r="L90" s="338">
        <f>IF($A90&lt;=L$1,I90/I$4,"")</f>
        <v>1.8445322793148879E-3</v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 t="s">
        <v>259</v>
      </c>
      <c r="AF90" s="341" t="s">
        <v>373</v>
      </c>
    </row>
    <row r="91" spans="1:32">
      <c r="A91" s="307">
        <v>3</v>
      </c>
      <c r="B91" s="342"/>
      <c r="C91" s="342" t="s">
        <v>176</v>
      </c>
      <c r="D91" s="340" t="s">
        <v>261</v>
      </c>
      <c r="E91" s="342"/>
      <c r="F91" s="345" t="s">
        <v>171</v>
      </c>
      <c r="G91" s="308">
        <v>1.5</v>
      </c>
      <c r="H91" s="309">
        <v>4700</v>
      </c>
      <c r="I91" s="309">
        <v>7050</v>
      </c>
      <c r="J91" s="211"/>
      <c r="K91" s="212" t="str">
        <f>IF(OR(J91="",G91=J91),"","*")</f>
        <v/>
      </c>
      <c r="L91" s="338">
        <f>IF($A91&lt;=L$1,I91/I$4,"")</f>
        <v>4.6442687747035575E-4</v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 t="s">
        <v>262</v>
      </c>
      <c r="AF91" s="341" t="s">
        <v>374</v>
      </c>
    </row>
    <row r="92" spans="1:32">
      <c r="A92" s="307">
        <v>3</v>
      </c>
      <c r="B92" s="342"/>
      <c r="C92" s="342" t="s">
        <v>176</v>
      </c>
      <c r="D92" s="340" t="s">
        <v>264</v>
      </c>
      <c r="E92" s="342" t="s">
        <v>265</v>
      </c>
      <c r="F92" s="345" t="s">
        <v>266</v>
      </c>
      <c r="G92" s="308">
        <v>2</v>
      </c>
      <c r="H92" s="309">
        <v>15000</v>
      </c>
      <c r="I92" s="309">
        <v>30000</v>
      </c>
      <c r="J92" s="211"/>
      <c r="K92" s="212" t="str">
        <f>IF(OR(J92="",G92=J92),"","*")</f>
        <v/>
      </c>
      <c r="L92" s="338">
        <f>IF($A92&lt;=L$1,I92/I$4,"")</f>
        <v>1.976284584980237E-3</v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267</v>
      </c>
      <c r="AF92" s="341"/>
    </row>
    <row r="93" spans="1:32">
      <c r="A93" s="307">
        <v>3</v>
      </c>
      <c r="B93" s="342"/>
      <c r="C93" s="342" t="s">
        <v>176</v>
      </c>
      <c r="D93" s="340" t="s">
        <v>268</v>
      </c>
      <c r="E93" s="342"/>
      <c r="F93" s="345" t="s">
        <v>173</v>
      </c>
      <c r="G93" s="308">
        <v>1</v>
      </c>
      <c r="H93" s="309">
        <v>15000</v>
      </c>
      <c r="I93" s="309">
        <v>15000</v>
      </c>
      <c r="J93" s="211"/>
      <c r="K93" s="212" t="str">
        <f>IF(OR(J93="",G93=J93),"","*")</f>
        <v/>
      </c>
      <c r="L93" s="338">
        <f>IF($A93&lt;=L$1,I93/I$4,"")</f>
        <v>9.8814229249011851E-4</v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/>
      <c r="AF93" s="341"/>
    </row>
    <row r="94" spans="1:32">
      <c r="A94" s="307">
        <v>3</v>
      </c>
      <c r="B94" s="342"/>
      <c r="C94" s="342" t="s">
        <v>177</v>
      </c>
      <c r="D94" s="340" t="s">
        <v>269</v>
      </c>
      <c r="E94" s="342"/>
      <c r="F94" s="345" t="s">
        <v>270</v>
      </c>
      <c r="G94" s="308">
        <v>22</v>
      </c>
      <c r="H94" s="309">
        <v>23000</v>
      </c>
      <c r="I94" s="309">
        <v>506000</v>
      </c>
      <c r="J94" s="211"/>
      <c r="K94" s="212" t="str">
        <f>IF(OR(J94="",G94=J94),"","*")</f>
        <v/>
      </c>
      <c r="L94" s="338">
        <f>IF($A94&lt;=L$1,I94/I$4,"")</f>
        <v>3.3333333333333333E-2</v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 t="s">
        <v>271</v>
      </c>
      <c r="AF94" s="341" t="s">
        <v>375</v>
      </c>
    </row>
    <row r="95" spans="1:32">
      <c r="A95" s="307">
        <v>3</v>
      </c>
      <c r="B95" s="342"/>
      <c r="C95" s="342" t="s">
        <v>179</v>
      </c>
      <c r="D95" s="340" t="s">
        <v>273</v>
      </c>
      <c r="E95" s="342" t="s">
        <v>274</v>
      </c>
      <c r="F95" s="345" t="s">
        <v>275</v>
      </c>
      <c r="G95" s="308">
        <v>2</v>
      </c>
      <c r="H95" s="309">
        <v>80000</v>
      </c>
      <c r="I95" s="309">
        <v>160000</v>
      </c>
      <c r="J95" s="211"/>
      <c r="K95" s="212" t="str">
        <f>IF(OR(J95="",G95=J95),"","*")</f>
        <v/>
      </c>
      <c r="L95" s="338">
        <f>IF($A95&lt;=L$1,I95/I$4,"")</f>
        <v>1.0540184453227932E-2</v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 t="s">
        <v>276</v>
      </c>
      <c r="AF95" s="341" t="s">
        <v>376</v>
      </c>
    </row>
    <row r="96" spans="1:32">
      <c r="A96" s="307">
        <v>3</v>
      </c>
      <c r="B96" s="342"/>
      <c r="C96" s="342" t="s">
        <v>179</v>
      </c>
      <c r="D96" s="340" t="s">
        <v>278</v>
      </c>
      <c r="E96" s="342" t="s">
        <v>274</v>
      </c>
      <c r="F96" s="345" t="s">
        <v>275</v>
      </c>
      <c r="G96" s="308">
        <v>2</v>
      </c>
      <c r="H96" s="309">
        <v>60000</v>
      </c>
      <c r="I96" s="309">
        <v>120000</v>
      </c>
      <c r="J96" s="211"/>
      <c r="K96" s="212" t="str">
        <f>IF(OR(J96="",G96=J96),"","*")</f>
        <v/>
      </c>
      <c r="L96" s="338">
        <f>IF($A96&lt;=L$1,I96/I$4,"")</f>
        <v>7.9051383399209481E-3</v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 t="s">
        <v>279</v>
      </c>
      <c r="AF96" s="341" t="s">
        <v>376</v>
      </c>
    </row>
    <row r="97" spans="1:32">
      <c r="A97" s="307">
        <v>3</v>
      </c>
      <c r="B97" s="342"/>
      <c r="C97" s="342" t="s">
        <v>179</v>
      </c>
      <c r="D97" s="340" t="s">
        <v>280</v>
      </c>
      <c r="E97" s="342"/>
      <c r="F97" s="345" t="s">
        <v>275</v>
      </c>
      <c r="G97" s="308">
        <v>2</v>
      </c>
      <c r="H97" s="309">
        <v>5000</v>
      </c>
      <c r="I97" s="309">
        <v>10000</v>
      </c>
      <c r="J97" s="211"/>
      <c r="K97" s="212" t="str">
        <f>IF(OR(J97="",G97=J97),"","*")</f>
        <v/>
      </c>
      <c r="L97" s="338">
        <f>IF($A97&lt;=L$1,I97/I$4,"")</f>
        <v>6.5876152832674575E-4</v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 t="s">
        <v>281</v>
      </c>
      <c r="AF97" s="341" t="s">
        <v>376</v>
      </c>
    </row>
    <row r="98" spans="1:32">
      <c r="A98" s="307">
        <v>3</v>
      </c>
      <c r="B98" s="342"/>
      <c r="C98" s="342" t="s">
        <v>179</v>
      </c>
      <c r="D98" s="340" t="s">
        <v>282</v>
      </c>
      <c r="E98" s="342"/>
      <c r="F98" s="345" t="s">
        <v>275</v>
      </c>
      <c r="G98" s="308">
        <v>2</v>
      </c>
      <c r="H98" s="309">
        <v>4000</v>
      </c>
      <c r="I98" s="309">
        <v>8000</v>
      </c>
      <c r="J98" s="211"/>
      <c r="K98" s="212" t="str">
        <f>IF(OR(J98="",G98=J98),"","*")</f>
        <v/>
      </c>
      <c r="L98" s="338">
        <f>IF($A98&lt;=L$1,I98/I$4,"")</f>
        <v>5.2700922266139653E-4</v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 t="s">
        <v>283</v>
      </c>
      <c r="AF98" s="341" t="s">
        <v>376</v>
      </c>
    </row>
    <row r="99" spans="1:32">
      <c r="A99" s="307">
        <v>3</v>
      </c>
      <c r="B99" s="342"/>
      <c r="C99" s="342" t="s">
        <v>179</v>
      </c>
      <c r="D99" s="340" t="s">
        <v>284</v>
      </c>
      <c r="E99" s="342" t="s">
        <v>285</v>
      </c>
      <c r="F99" s="345" t="s">
        <v>275</v>
      </c>
      <c r="G99" s="308">
        <v>2</v>
      </c>
      <c r="H99" s="309">
        <v>5500</v>
      </c>
      <c r="I99" s="309">
        <v>11000</v>
      </c>
      <c r="J99" s="211"/>
      <c r="K99" s="212" t="str">
        <f>IF(OR(J99="",G99=J99),"","*")</f>
        <v/>
      </c>
      <c r="L99" s="338">
        <f>IF($A99&lt;=L$1,I99/I$4,"")</f>
        <v>7.246376811594203E-4</v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 t="s">
        <v>286</v>
      </c>
      <c r="AF99" s="341" t="s">
        <v>376</v>
      </c>
    </row>
    <row r="100" spans="1:32">
      <c r="A100" s="307">
        <v>3</v>
      </c>
      <c r="B100" s="342"/>
      <c r="C100" s="342" t="s">
        <v>179</v>
      </c>
      <c r="D100" s="340" t="s">
        <v>287</v>
      </c>
      <c r="E100" s="342"/>
      <c r="F100" s="345" t="s">
        <v>275</v>
      </c>
      <c r="G100" s="308">
        <v>2</v>
      </c>
      <c r="H100" s="309">
        <v>4300</v>
      </c>
      <c r="I100" s="309">
        <v>8600</v>
      </c>
      <c r="J100" s="211"/>
      <c r="K100" s="212" t="str">
        <f>IF(OR(J100="",G100=J100),"","*")</f>
        <v/>
      </c>
      <c r="L100" s="338">
        <f>IF($A100&lt;=L$1,I100/I$4,"")</f>
        <v>5.6653491436100135E-4</v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 t="s">
        <v>288</v>
      </c>
      <c r="AF100" s="341" t="s">
        <v>376</v>
      </c>
    </row>
    <row r="101" spans="1:32">
      <c r="A101" s="307">
        <v>3</v>
      </c>
      <c r="B101" s="342"/>
      <c r="C101" s="342" t="s">
        <v>179</v>
      </c>
      <c r="D101" s="340" t="s">
        <v>289</v>
      </c>
      <c r="E101" s="342"/>
      <c r="F101" s="345" t="s">
        <v>275</v>
      </c>
      <c r="G101" s="308">
        <v>2</v>
      </c>
      <c r="H101" s="309">
        <v>50000</v>
      </c>
      <c r="I101" s="309">
        <v>100000</v>
      </c>
      <c r="J101" s="211"/>
      <c r="K101" s="212" t="str">
        <f>IF(OR(J101="",G101=J101),"","*")</f>
        <v/>
      </c>
      <c r="L101" s="338">
        <f>IF($A101&lt;=L$1,I101/I$4,"")</f>
        <v>6.587615283267457E-3</v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 t="s">
        <v>290</v>
      </c>
      <c r="AF101" s="341" t="s">
        <v>376</v>
      </c>
    </row>
    <row r="102" spans="1:32">
      <c r="A102" s="307">
        <v>3</v>
      </c>
      <c r="B102" s="342"/>
      <c r="C102" s="342" t="s">
        <v>179</v>
      </c>
      <c r="D102" s="340" t="s">
        <v>291</v>
      </c>
      <c r="E102" s="342" t="s">
        <v>292</v>
      </c>
      <c r="F102" s="345" t="s">
        <v>275</v>
      </c>
      <c r="G102" s="308">
        <v>2</v>
      </c>
      <c r="H102" s="309">
        <v>111000</v>
      </c>
      <c r="I102" s="309">
        <v>222000</v>
      </c>
      <c r="J102" s="211"/>
      <c r="K102" s="212" t="str">
        <f>IF(OR(J102="",G102=J102),"","*")</f>
        <v/>
      </c>
      <c r="L102" s="338">
        <f>IF($A102&lt;=L$1,I102/I$4,"")</f>
        <v>1.4624505928853756E-2</v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 t="s">
        <v>293</v>
      </c>
      <c r="AF102" s="341" t="s">
        <v>376</v>
      </c>
    </row>
    <row r="103" spans="1:32">
      <c r="A103" s="307">
        <v>3</v>
      </c>
      <c r="B103" s="342"/>
      <c r="C103" s="342" t="s">
        <v>179</v>
      </c>
      <c r="D103" s="340" t="s">
        <v>294</v>
      </c>
      <c r="E103" s="342"/>
      <c r="F103" s="345" t="s">
        <v>275</v>
      </c>
      <c r="G103" s="308">
        <v>2</v>
      </c>
      <c r="H103" s="309">
        <v>25000</v>
      </c>
      <c r="I103" s="309">
        <v>50000</v>
      </c>
      <c r="J103" s="211"/>
      <c r="K103" s="212" t="str">
        <f>IF(OR(J103="",G103=J103),"","*")</f>
        <v/>
      </c>
      <c r="L103" s="338">
        <f>IF($A103&lt;=L$1,I103/I$4,"")</f>
        <v>3.2938076416337285E-3</v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 t="s">
        <v>295</v>
      </c>
      <c r="AF103" s="341" t="s">
        <v>376</v>
      </c>
    </row>
    <row r="104" spans="1:32">
      <c r="A104" s="307">
        <v>3</v>
      </c>
      <c r="B104" s="342"/>
      <c r="C104" s="342" t="s">
        <v>179</v>
      </c>
      <c r="D104" s="340" t="s">
        <v>296</v>
      </c>
      <c r="E104" s="342" t="s">
        <v>297</v>
      </c>
      <c r="F104" s="345" t="s">
        <v>275</v>
      </c>
      <c r="G104" s="308">
        <v>2</v>
      </c>
      <c r="H104" s="309">
        <v>12000</v>
      </c>
      <c r="I104" s="309">
        <v>24000</v>
      </c>
      <c r="J104" s="211"/>
      <c r="K104" s="212" t="str">
        <f>IF(OR(J104="",G104=J104),"","*")</f>
        <v/>
      </c>
      <c r="L104" s="338">
        <f>IF($A104&lt;=L$1,I104/I$4,"")</f>
        <v>1.5810276679841897E-3</v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 t="s">
        <v>298</v>
      </c>
      <c r="AF104" s="341" t="s">
        <v>376</v>
      </c>
    </row>
    <row r="105" spans="1:32">
      <c r="A105" s="307">
        <v>3</v>
      </c>
      <c r="B105" s="342"/>
      <c r="C105" s="342" t="s">
        <v>179</v>
      </c>
      <c r="D105" s="340" t="s">
        <v>299</v>
      </c>
      <c r="E105" s="342"/>
      <c r="F105" s="345" t="s">
        <v>275</v>
      </c>
      <c r="G105" s="308">
        <v>2</v>
      </c>
      <c r="H105" s="309">
        <v>3000</v>
      </c>
      <c r="I105" s="309">
        <v>6000</v>
      </c>
      <c r="J105" s="211"/>
      <c r="K105" s="212" t="str">
        <f>IF(OR(J105="",G105=J105),"","*")</f>
        <v/>
      </c>
      <c r="L105" s="338">
        <f>IF($A105&lt;=L$1,I105/I$4,"")</f>
        <v>3.9525691699604743E-4</v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 t="s">
        <v>300</v>
      </c>
      <c r="AF105" s="341" t="s">
        <v>376</v>
      </c>
    </row>
    <row r="106" spans="1:32">
      <c r="A106" s="307">
        <v>3</v>
      </c>
      <c r="B106" s="342"/>
      <c r="C106" s="342" t="s">
        <v>179</v>
      </c>
      <c r="D106" s="340" t="s">
        <v>301</v>
      </c>
      <c r="E106" s="342"/>
      <c r="F106" s="345" t="s">
        <v>302</v>
      </c>
      <c r="G106" s="308">
        <v>200</v>
      </c>
      <c r="H106" s="309">
        <v>150</v>
      </c>
      <c r="I106" s="309">
        <v>30000</v>
      </c>
      <c r="J106" s="211"/>
      <c r="K106" s="212" t="str">
        <f>IF(OR(J106="",G106=J106),"","*")</f>
        <v/>
      </c>
      <c r="L106" s="338">
        <f>IF($A106&lt;=L$1,I106/I$4,"")</f>
        <v>1.976284584980237E-3</v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 t="s">
        <v>303</v>
      </c>
      <c r="AF106" s="341" t="s">
        <v>377</v>
      </c>
    </row>
    <row r="107" spans="1:32">
      <c r="A107" s="307">
        <v>3</v>
      </c>
      <c r="B107" s="342"/>
      <c r="C107" s="342" t="s">
        <v>180</v>
      </c>
      <c r="D107" s="340" t="s">
        <v>305</v>
      </c>
      <c r="E107" s="342" t="s">
        <v>306</v>
      </c>
      <c r="F107" s="345" t="s">
        <v>275</v>
      </c>
      <c r="G107" s="308">
        <v>2</v>
      </c>
      <c r="H107" s="309">
        <v>5000</v>
      </c>
      <c r="I107" s="309">
        <v>10000</v>
      </c>
      <c r="J107" s="211"/>
      <c r="K107" s="212" t="str">
        <f>IF(OR(J107="",G107=J107),"","*")</f>
        <v/>
      </c>
      <c r="L107" s="338">
        <f>IF($A107&lt;=L$1,I107/I$4,"")</f>
        <v>6.5876152832674575E-4</v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 t="s">
        <v>307</v>
      </c>
      <c r="AF107" s="341" t="s">
        <v>376</v>
      </c>
    </row>
    <row r="108" spans="1:32">
      <c r="A108" s="307">
        <v>3</v>
      </c>
      <c r="B108" s="342"/>
      <c r="C108" s="342" t="s">
        <v>180</v>
      </c>
      <c r="D108" s="340" t="s">
        <v>308</v>
      </c>
      <c r="E108" s="342"/>
      <c r="F108" s="345" t="s">
        <v>275</v>
      </c>
      <c r="G108" s="308">
        <v>4</v>
      </c>
      <c r="H108" s="309">
        <v>5000</v>
      </c>
      <c r="I108" s="309">
        <v>20000</v>
      </c>
      <c r="J108" s="211"/>
      <c r="K108" s="212" t="str">
        <f>IF(OR(J108="",G108=J108),"","*")</f>
        <v/>
      </c>
      <c r="L108" s="338">
        <f>IF($A108&lt;=L$1,I108/I$4,"")</f>
        <v>1.3175230566534915E-3</v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 t="s">
        <v>309</v>
      </c>
      <c r="AF108" s="341" t="s">
        <v>378</v>
      </c>
    </row>
    <row r="109" spans="1:32">
      <c r="A109" s="307">
        <v>3</v>
      </c>
      <c r="B109" s="342"/>
      <c r="C109" s="342" t="s">
        <v>180</v>
      </c>
      <c r="D109" s="340" t="s">
        <v>311</v>
      </c>
      <c r="E109" s="342"/>
      <c r="F109" s="345" t="s">
        <v>275</v>
      </c>
      <c r="G109" s="308">
        <v>2</v>
      </c>
      <c r="H109" s="309">
        <v>7000</v>
      </c>
      <c r="I109" s="309">
        <v>14000</v>
      </c>
      <c r="J109" s="211"/>
      <c r="K109" s="212" t="str">
        <f>IF(OR(J109="",G109=J109),"","*")</f>
        <v/>
      </c>
      <c r="L109" s="338">
        <f>IF($A109&lt;=L$1,I109/I$4,"")</f>
        <v>9.2226613965744396E-4</v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 t="s">
        <v>312</v>
      </c>
      <c r="AF109" s="341" t="s">
        <v>376</v>
      </c>
    </row>
    <row r="110" spans="1:32">
      <c r="A110" s="307">
        <v>3</v>
      </c>
      <c r="B110" s="342"/>
      <c r="C110" s="342" t="s">
        <v>181</v>
      </c>
      <c r="D110" s="340" t="s">
        <v>244</v>
      </c>
      <c r="E110" s="342"/>
      <c r="F110" s="345" t="s">
        <v>173</v>
      </c>
      <c r="G110" s="308">
        <v>1</v>
      </c>
      <c r="H110" s="309">
        <v>8550</v>
      </c>
      <c r="I110" s="309">
        <v>8550</v>
      </c>
      <c r="J110" s="211"/>
      <c r="K110" s="212" t="str">
        <f>IF(OR(J110="",G110=J110),"","*")</f>
        <v/>
      </c>
      <c r="L110" s="338">
        <f>IF($A110&lt;=L$1,I110/I$4,"")</f>
        <v>5.6324110671936763E-4</v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/>
      <c r="AF110" s="341"/>
    </row>
    <row r="111" spans="1:32">
      <c r="A111" s="307">
        <v>2</v>
      </c>
      <c r="B111" s="342"/>
      <c r="C111" s="342" t="s">
        <v>233</v>
      </c>
      <c r="D111" s="340" t="s">
        <v>379</v>
      </c>
      <c r="E111" s="342" t="s">
        <v>174</v>
      </c>
      <c r="F111" s="345" t="s">
        <v>170</v>
      </c>
      <c r="G111" s="308">
        <v>749</v>
      </c>
      <c r="H111" s="309">
        <v>4339</v>
      </c>
      <c r="I111" s="309">
        <v>3249911</v>
      </c>
      <c r="J111" s="211">
        <v>749</v>
      </c>
      <c r="K111" s="212" t="str">
        <f>IF(OR(J111="",G111=J111),"","*")</f>
        <v/>
      </c>
      <c r="L111" s="338">
        <f>IF($A111&lt;=L$1,I111/I$4,"")</f>
        <v>0.21409163372859025</v>
      </c>
      <c r="M111" s="343"/>
      <c r="N111" s="344" t="s">
        <v>380</v>
      </c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/>
      <c r="AF111" s="341"/>
    </row>
    <row r="112" spans="1:32">
      <c r="A112" s="307">
        <v>3</v>
      </c>
      <c r="B112" s="342"/>
      <c r="C112" s="342" t="s">
        <v>176</v>
      </c>
      <c r="D112" s="340" t="s">
        <v>247</v>
      </c>
      <c r="E112" s="342"/>
      <c r="F112" s="345" t="s">
        <v>248</v>
      </c>
      <c r="G112" s="308">
        <v>185</v>
      </c>
      <c r="H112" s="309">
        <v>7400</v>
      </c>
      <c r="I112" s="309">
        <v>1369000</v>
      </c>
      <c r="J112" s="211"/>
      <c r="K112" s="212" t="str">
        <f>IF(OR(J112="",G112=J112),"","*")</f>
        <v/>
      </c>
      <c r="L112" s="338">
        <f>IF($A112&lt;=L$1,I112/I$4,"")</f>
        <v>9.0184453227931491E-2</v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/>
      <c r="AF112" s="341" t="s">
        <v>381</v>
      </c>
    </row>
    <row r="113" spans="1:32">
      <c r="A113" s="307">
        <v>3</v>
      </c>
      <c r="B113" s="342"/>
      <c r="C113" s="342" t="s">
        <v>176</v>
      </c>
      <c r="D113" s="340" t="s">
        <v>250</v>
      </c>
      <c r="E113" s="342" t="s">
        <v>251</v>
      </c>
      <c r="F113" s="345" t="s">
        <v>252</v>
      </c>
      <c r="G113" s="308">
        <v>10</v>
      </c>
      <c r="H113" s="309">
        <v>14300</v>
      </c>
      <c r="I113" s="309">
        <v>143000</v>
      </c>
      <c r="J113" s="211"/>
      <c r="K113" s="212" t="str">
        <f>IF(OR(J113="",G113=J113),"","*")</f>
        <v/>
      </c>
      <c r="L113" s="338">
        <f>IF($A113&lt;=L$1,I113/I$4,"")</f>
        <v>9.4202898550724643E-3</v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 t="s">
        <v>253</v>
      </c>
      <c r="AF113" s="341" t="s">
        <v>254</v>
      </c>
    </row>
    <row r="114" spans="1:32">
      <c r="A114" s="307">
        <v>3</v>
      </c>
      <c r="B114" s="342"/>
      <c r="C114" s="342" t="s">
        <v>176</v>
      </c>
      <c r="D114" s="340" t="s">
        <v>255</v>
      </c>
      <c r="E114" s="342"/>
      <c r="F114" s="345" t="s">
        <v>248</v>
      </c>
      <c r="G114" s="308">
        <v>0.94399999999999995</v>
      </c>
      <c r="H114" s="309">
        <v>100000</v>
      </c>
      <c r="I114" s="309">
        <v>94400</v>
      </c>
      <c r="J114" s="211"/>
      <c r="K114" s="212" t="str">
        <f>IF(OR(J114="",G114=J114),"","*")</f>
        <v/>
      </c>
      <c r="L114" s="338">
        <f>IF($A114&lt;=L$1,I114/I$4,"")</f>
        <v>6.2187088274044799E-3</v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 t="s">
        <v>256</v>
      </c>
      <c r="AF114" s="341" t="s">
        <v>382</v>
      </c>
    </row>
    <row r="115" spans="1:32">
      <c r="A115" s="307">
        <v>3</v>
      </c>
      <c r="B115" s="342"/>
      <c r="C115" s="342" t="s">
        <v>176</v>
      </c>
      <c r="D115" s="340" t="s">
        <v>258</v>
      </c>
      <c r="E115" s="342"/>
      <c r="F115" s="345" t="s">
        <v>252</v>
      </c>
      <c r="G115" s="308">
        <v>41</v>
      </c>
      <c r="H115" s="309">
        <v>800</v>
      </c>
      <c r="I115" s="309">
        <v>32800</v>
      </c>
      <c r="J115" s="211"/>
      <c r="K115" s="212" t="str">
        <f>IF(OR(J115="",G115=J115),"","*")</f>
        <v/>
      </c>
      <c r="L115" s="338">
        <f>IF($A115&lt;=L$1,I115/I$4,"")</f>
        <v>2.160737812911726E-3</v>
      </c>
      <c r="M115" s="343"/>
      <c r="N115" s="344"/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 t="s">
        <v>259</v>
      </c>
      <c r="AF115" s="341" t="s">
        <v>383</v>
      </c>
    </row>
    <row r="116" spans="1:32">
      <c r="A116" s="307">
        <v>3</v>
      </c>
      <c r="B116" s="342"/>
      <c r="C116" s="342" t="s">
        <v>176</v>
      </c>
      <c r="D116" s="340" t="s">
        <v>261</v>
      </c>
      <c r="E116" s="342"/>
      <c r="F116" s="345" t="s">
        <v>171</v>
      </c>
      <c r="G116" s="308">
        <v>1.6</v>
      </c>
      <c r="H116" s="309">
        <v>4700</v>
      </c>
      <c r="I116" s="309">
        <v>7520</v>
      </c>
      <c r="J116" s="211"/>
      <c r="K116" s="212" t="str">
        <f>IF(OR(J116="",G116=J116),"","*")</f>
        <v/>
      </c>
      <c r="L116" s="338">
        <f>IF($A116&lt;=L$1,I116/I$4,"")</f>
        <v>4.9538866930171283E-4</v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 t="s">
        <v>262</v>
      </c>
      <c r="AF116" s="341" t="s">
        <v>384</v>
      </c>
    </row>
    <row r="117" spans="1:32">
      <c r="A117" s="307">
        <v>3</v>
      </c>
      <c r="B117" s="342"/>
      <c r="C117" s="342" t="s">
        <v>176</v>
      </c>
      <c r="D117" s="340" t="s">
        <v>264</v>
      </c>
      <c r="E117" s="342" t="s">
        <v>265</v>
      </c>
      <c r="F117" s="345" t="s">
        <v>266</v>
      </c>
      <c r="G117" s="308">
        <v>2</v>
      </c>
      <c r="H117" s="309">
        <v>15000</v>
      </c>
      <c r="I117" s="309">
        <v>30000</v>
      </c>
      <c r="J117" s="211"/>
      <c r="K117" s="212" t="str">
        <f>IF(OR(J117="",G117=J117),"","*")</f>
        <v/>
      </c>
      <c r="L117" s="338">
        <f>IF($A117&lt;=L$1,I117/I$4,"")</f>
        <v>1.976284584980237E-3</v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 t="s">
        <v>267</v>
      </c>
      <c r="AF117" s="341"/>
    </row>
    <row r="118" spans="1:32">
      <c r="A118" s="307">
        <v>3</v>
      </c>
      <c r="B118" s="342"/>
      <c r="C118" s="342" t="s">
        <v>176</v>
      </c>
      <c r="D118" s="340" t="s">
        <v>268</v>
      </c>
      <c r="E118" s="342"/>
      <c r="F118" s="345" t="s">
        <v>173</v>
      </c>
      <c r="G118" s="308">
        <v>1</v>
      </c>
      <c r="H118" s="309">
        <v>15000</v>
      </c>
      <c r="I118" s="309">
        <v>15000</v>
      </c>
      <c r="J118" s="211"/>
      <c r="K118" s="212" t="str">
        <f>IF(OR(J118="",G118=J118),"","*")</f>
        <v/>
      </c>
      <c r="L118" s="338">
        <f>IF($A118&lt;=L$1,I118/I$4,"")</f>
        <v>9.8814229249011851E-4</v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/>
      <c r="AF118" s="341"/>
    </row>
    <row r="119" spans="1:32">
      <c r="A119" s="307">
        <v>3</v>
      </c>
      <c r="B119" s="342"/>
      <c r="C119" s="342" t="s">
        <v>177</v>
      </c>
      <c r="D119" s="340" t="s">
        <v>269</v>
      </c>
      <c r="E119" s="342" t="s">
        <v>385</v>
      </c>
      <c r="F119" s="345" t="s">
        <v>270</v>
      </c>
      <c r="G119" s="308">
        <v>26</v>
      </c>
      <c r="H119" s="309">
        <v>28000</v>
      </c>
      <c r="I119" s="309">
        <v>728000</v>
      </c>
      <c r="J119" s="211"/>
      <c r="K119" s="212" t="str">
        <f>IF(OR(J119="",G119=J119),"","*")</f>
        <v/>
      </c>
      <c r="L119" s="338">
        <f>IF($A119&lt;=L$1,I119/I$4,"")</f>
        <v>4.7957839262187087E-2</v>
      </c>
      <c r="M119" s="343"/>
      <c r="N119" s="344"/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 t="s">
        <v>271</v>
      </c>
      <c r="AF119" s="341" t="s">
        <v>375</v>
      </c>
    </row>
    <row r="120" spans="1:32">
      <c r="A120" s="307">
        <v>3</v>
      </c>
      <c r="B120" s="342"/>
      <c r="C120" s="342" t="s">
        <v>179</v>
      </c>
      <c r="D120" s="340" t="s">
        <v>273</v>
      </c>
      <c r="E120" s="342" t="s">
        <v>274</v>
      </c>
      <c r="F120" s="345" t="s">
        <v>275</v>
      </c>
      <c r="G120" s="308">
        <v>2</v>
      </c>
      <c r="H120" s="309">
        <v>85000</v>
      </c>
      <c r="I120" s="309">
        <v>170000</v>
      </c>
      <c r="J120" s="211"/>
      <c r="K120" s="212" t="str">
        <f>IF(OR(J120="",G120=J120),"","*")</f>
        <v/>
      </c>
      <c r="L120" s="338">
        <f>IF($A120&lt;=L$1,I120/I$4,"")</f>
        <v>1.1198945981554678E-2</v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/>
      <c r="T120" s="213" t="e">
        <v>#DIV/0!</v>
      </c>
      <c r="U120" s="214"/>
      <c r="V120" s="215"/>
      <c r="W120" s="310">
        <v>0</v>
      </c>
      <c r="X120" s="311">
        <v>0</v>
      </c>
      <c r="Y120" s="311">
        <v>0</v>
      </c>
      <c r="Z120" s="211">
        <v>0</v>
      </c>
      <c r="AA120" s="212"/>
      <c r="AB120" s="213" t="e">
        <v>#DIV/0!</v>
      </c>
      <c r="AC120" s="214"/>
      <c r="AD120" s="215"/>
      <c r="AE120" s="342" t="s">
        <v>276</v>
      </c>
      <c r="AF120" s="341" t="s">
        <v>376</v>
      </c>
    </row>
    <row r="121" spans="1:32">
      <c r="A121" s="307">
        <v>3</v>
      </c>
      <c r="B121" s="342"/>
      <c r="C121" s="342" t="s">
        <v>179</v>
      </c>
      <c r="D121" s="340" t="s">
        <v>278</v>
      </c>
      <c r="E121" s="342" t="s">
        <v>274</v>
      </c>
      <c r="F121" s="345" t="s">
        <v>275</v>
      </c>
      <c r="G121" s="308">
        <v>2</v>
      </c>
      <c r="H121" s="309">
        <v>65000</v>
      </c>
      <c r="I121" s="309">
        <v>130000</v>
      </c>
      <c r="J121" s="211"/>
      <c r="K121" s="212" t="str">
        <f>IF(OR(J121="",G121=J121),"","*")</f>
        <v/>
      </c>
      <c r="L121" s="338">
        <f>IF($A121&lt;=L$1,I121/I$4,"")</f>
        <v>8.563899868247694E-3</v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/>
      <c r="T121" s="213" t="e">
        <v>#DIV/0!</v>
      </c>
      <c r="U121" s="214"/>
      <c r="V121" s="215"/>
      <c r="W121" s="310">
        <v>0</v>
      </c>
      <c r="X121" s="311">
        <v>0</v>
      </c>
      <c r="Y121" s="311">
        <v>0</v>
      </c>
      <c r="Z121" s="211">
        <v>0</v>
      </c>
      <c r="AA121" s="212"/>
      <c r="AB121" s="213" t="e">
        <v>#DIV/0!</v>
      </c>
      <c r="AC121" s="214"/>
      <c r="AD121" s="215"/>
      <c r="AE121" s="342" t="s">
        <v>279</v>
      </c>
      <c r="AF121" s="341" t="s">
        <v>376</v>
      </c>
    </row>
    <row r="122" spans="1:32">
      <c r="A122" s="307">
        <v>3</v>
      </c>
      <c r="B122" s="342"/>
      <c r="C122" s="342" t="s">
        <v>179</v>
      </c>
      <c r="D122" s="340" t="s">
        <v>280</v>
      </c>
      <c r="E122" s="342"/>
      <c r="F122" s="345" t="s">
        <v>275</v>
      </c>
      <c r="G122" s="308">
        <v>2</v>
      </c>
      <c r="H122" s="309">
        <v>5000</v>
      </c>
      <c r="I122" s="309">
        <v>10000</v>
      </c>
      <c r="J122" s="211"/>
      <c r="K122" s="212" t="str">
        <f>IF(OR(J122="",G122=J122),"","*")</f>
        <v/>
      </c>
      <c r="L122" s="338">
        <f>IF($A122&lt;=L$1,I122/I$4,"")</f>
        <v>6.5876152832674575E-4</v>
      </c>
      <c r="M122" s="343"/>
      <c r="N122" s="344"/>
      <c r="O122" s="310">
        <v>0</v>
      </c>
      <c r="P122" s="311">
        <v>0</v>
      </c>
      <c r="Q122" s="311">
        <v>0</v>
      </c>
      <c r="R122" s="211">
        <v>0</v>
      </c>
      <c r="S122" s="212"/>
      <c r="T122" s="213" t="e">
        <v>#DIV/0!</v>
      </c>
      <c r="U122" s="214"/>
      <c r="V122" s="215"/>
      <c r="W122" s="310">
        <v>0</v>
      </c>
      <c r="X122" s="311">
        <v>0</v>
      </c>
      <c r="Y122" s="311">
        <v>0</v>
      </c>
      <c r="Z122" s="211">
        <v>0</v>
      </c>
      <c r="AA122" s="212"/>
      <c r="AB122" s="213" t="e">
        <v>#DIV/0!</v>
      </c>
      <c r="AC122" s="214"/>
      <c r="AD122" s="215"/>
      <c r="AE122" s="342" t="s">
        <v>281</v>
      </c>
      <c r="AF122" s="341" t="s">
        <v>376</v>
      </c>
    </row>
    <row r="123" spans="1:32">
      <c r="A123" s="307">
        <v>3</v>
      </c>
      <c r="B123" s="342"/>
      <c r="C123" s="342" t="s">
        <v>179</v>
      </c>
      <c r="D123" s="340" t="s">
        <v>282</v>
      </c>
      <c r="E123" s="342"/>
      <c r="F123" s="345" t="s">
        <v>275</v>
      </c>
      <c r="G123" s="308">
        <v>2</v>
      </c>
      <c r="H123" s="309">
        <v>4000</v>
      </c>
      <c r="I123" s="309">
        <v>8000</v>
      </c>
      <c r="J123" s="211"/>
      <c r="K123" s="212" t="str">
        <f>IF(OR(J123="",G123=J123),"","*")</f>
        <v/>
      </c>
      <c r="L123" s="338">
        <f>IF($A123&lt;=L$1,I123/I$4,"")</f>
        <v>5.2700922266139653E-4</v>
      </c>
      <c r="M123" s="343"/>
      <c r="N123" s="344"/>
      <c r="O123" s="310">
        <v>0</v>
      </c>
      <c r="P123" s="311">
        <v>0</v>
      </c>
      <c r="Q123" s="311">
        <v>0</v>
      </c>
      <c r="R123" s="211">
        <v>0</v>
      </c>
      <c r="S123" s="212"/>
      <c r="T123" s="213" t="e">
        <v>#DIV/0!</v>
      </c>
      <c r="U123" s="214"/>
      <c r="V123" s="215"/>
      <c r="W123" s="310">
        <v>0</v>
      </c>
      <c r="X123" s="311">
        <v>0</v>
      </c>
      <c r="Y123" s="311">
        <v>0</v>
      </c>
      <c r="Z123" s="211">
        <v>0</v>
      </c>
      <c r="AA123" s="212"/>
      <c r="AB123" s="213" t="e">
        <v>#DIV/0!</v>
      </c>
      <c r="AC123" s="214"/>
      <c r="AD123" s="215"/>
      <c r="AE123" s="342" t="s">
        <v>283</v>
      </c>
      <c r="AF123" s="341" t="s">
        <v>376</v>
      </c>
    </row>
    <row r="124" spans="1:32">
      <c r="A124" s="307">
        <v>3</v>
      </c>
      <c r="B124" s="342"/>
      <c r="C124" s="342" t="s">
        <v>179</v>
      </c>
      <c r="D124" s="340" t="s">
        <v>284</v>
      </c>
      <c r="E124" s="342" t="s">
        <v>285</v>
      </c>
      <c r="F124" s="345" t="s">
        <v>275</v>
      </c>
      <c r="G124" s="308">
        <v>2</v>
      </c>
      <c r="H124" s="309">
        <v>5500</v>
      </c>
      <c r="I124" s="309">
        <v>11000</v>
      </c>
      <c r="J124" s="211"/>
      <c r="K124" s="212" t="str">
        <f>IF(OR(J124="",G124=J124),"","*")</f>
        <v/>
      </c>
      <c r="L124" s="338">
        <f>IF($A124&lt;=L$1,I124/I$4,"")</f>
        <v>7.246376811594203E-4</v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/>
      <c r="T124" s="213" t="e">
        <v>#DIV/0!</v>
      </c>
      <c r="U124" s="214"/>
      <c r="V124" s="215"/>
      <c r="W124" s="310">
        <v>0</v>
      </c>
      <c r="X124" s="311">
        <v>0</v>
      </c>
      <c r="Y124" s="311">
        <v>0</v>
      </c>
      <c r="Z124" s="211">
        <v>0</v>
      </c>
      <c r="AA124" s="212"/>
      <c r="AB124" s="213" t="e">
        <v>#DIV/0!</v>
      </c>
      <c r="AC124" s="214"/>
      <c r="AD124" s="215"/>
      <c r="AE124" s="342" t="s">
        <v>286</v>
      </c>
      <c r="AF124" s="341" t="s">
        <v>376</v>
      </c>
    </row>
    <row r="125" spans="1:32">
      <c r="A125" s="307">
        <v>3</v>
      </c>
      <c r="B125" s="342"/>
      <c r="C125" s="342" t="s">
        <v>179</v>
      </c>
      <c r="D125" s="340" t="s">
        <v>287</v>
      </c>
      <c r="E125" s="342"/>
      <c r="F125" s="345" t="s">
        <v>275</v>
      </c>
      <c r="G125" s="308">
        <v>2</v>
      </c>
      <c r="H125" s="309">
        <v>4300</v>
      </c>
      <c r="I125" s="309">
        <v>8600</v>
      </c>
      <c r="J125" s="211"/>
      <c r="K125" s="212" t="str">
        <f>IF(OR(J125="",G125=J125),"","*")</f>
        <v/>
      </c>
      <c r="L125" s="338">
        <f>IF($A125&lt;=L$1,I125/I$4,"")</f>
        <v>5.6653491436100135E-4</v>
      </c>
      <c r="M125" s="343"/>
      <c r="N125" s="344"/>
      <c r="O125" s="310">
        <v>0</v>
      </c>
      <c r="P125" s="311">
        <v>0</v>
      </c>
      <c r="Q125" s="311">
        <v>0</v>
      </c>
      <c r="R125" s="211">
        <v>0</v>
      </c>
      <c r="S125" s="212"/>
      <c r="T125" s="213" t="e">
        <v>#DIV/0!</v>
      </c>
      <c r="U125" s="214"/>
      <c r="V125" s="215"/>
      <c r="W125" s="310">
        <v>0</v>
      </c>
      <c r="X125" s="311">
        <v>0</v>
      </c>
      <c r="Y125" s="311">
        <v>0</v>
      </c>
      <c r="Z125" s="211">
        <v>0</v>
      </c>
      <c r="AA125" s="212"/>
      <c r="AB125" s="213" t="e">
        <v>#DIV/0!</v>
      </c>
      <c r="AC125" s="214"/>
      <c r="AD125" s="215"/>
      <c r="AE125" s="342" t="s">
        <v>288</v>
      </c>
      <c r="AF125" s="341" t="s">
        <v>376</v>
      </c>
    </row>
    <row r="126" spans="1:32">
      <c r="A126" s="307">
        <v>3</v>
      </c>
      <c r="B126" s="342"/>
      <c r="C126" s="342" t="s">
        <v>179</v>
      </c>
      <c r="D126" s="340" t="s">
        <v>386</v>
      </c>
      <c r="E126" s="342"/>
      <c r="F126" s="345" t="s">
        <v>275</v>
      </c>
      <c r="G126" s="308">
        <v>2</v>
      </c>
      <c r="H126" s="309">
        <v>50000</v>
      </c>
      <c r="I126" s="309">
        <v>100000</v>
      </c>
      <c r="J126" s="211"/>
      <c r="K126" s="212" t="str">
        <f>IF(OR(J126="",G126=J126),"","*")</f>
        <v/>
      </c>
      <c r="L126" s="338">
        <f>IF($A126&lt;=L$1,I126/I$4,"")</f>
        <v>6.587615283267457E-3</v>
      </c>
      <c r="M126" s="343"/>
      <c r="N126" s="344"/>
      <c r="O126" s="310">
        <v>0</v>
      </c>
      <c r="P126" s="311">
        <v>0</v>
      </c>
      <c r="Q126" s="311">
        <v>0</v>
      </c>
      <c r="R126" s="211">
        <v>0</v>
      </c>
      <c r="S126" s="212"/>
      <c r="T126" s="213" t="e">
        <v>#DIV/0!</v>
      </c>
      <c r="U126" s="214"/>
      <c r="V126" s="215"/>
      <c r="W126" s="310">
        <v>0</v>
      </c>
      <c r="X126" s="311">
        <v>0</v>
      </c>
      <c r="Y126" s="311">
        <v>0</v>
      </c>
      <c r="Z126" s="211">
        <v>0</v>
      </c>
      <c r="AA126" s="212"/>
      <c r="AB126" s="213" t="e">
        <v>#DIV/0!</v>
      </c>
      <c r="AC126" s="214"/>
      <c r="AD126" s="215"/>
      <c r="AE126" s="342" t="s">
        <v>387</v>
      </c>
      <c r="AF126" s="341" t="s">
        <v>376</v>
      </c>
    </row>
    <row r="127" spans="1:32">
      <c r="A127" s="307">
        <v>3</v>
      </c>
      <c r="B127" s="342"/>
      <c r="C127" s="342" t="s">
        <v>179</v>
      </c>
      <c r="D127" s="340" t="s">
        <v>291</v>
      </c>
      <c r="E127" s="342" t="s">
        <v>292</v>
      </c>
      <c r="F127" s="345" t="s">
        <v>275</v>
      </c>
      <c r="G127" s="308">
        <v>2</v>
      </c>
      <c r="H127" s="309">
        <v>115000</v>
      </c>
      <c r="I127" s="309">
        <v>230000</v>
      </c>
      <c r="J127" s="211"/>
      <c r="K127" s="212" t="str">
        <f>IF(OR(J127="",G127=J127),"","*")</f>
        <v/>
      </c>
      <c r="L127" s="338">
        <f>IF($A127&lt;=L$1,I127/I$4,"")</f>
        <v>1.5151515151515152E-2</v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/>
      <c r="T127" s="213" t="e">
        <v>#DIV/0!</v>
      </c>
      <c r="U127" s="214"/>
      <c r="V127" s="215"/>
      <c r="W127" s="310">
        <v>0</v>
      </c>
      <c r="X127" s="311">
        <v>0</v>
      </c>
      <c r="Y127" s="311">
        <v>0</v>
      </c>
      <c r="Z127" s="211">
        <v>0</v>
      </c>
      <c r="AA127" s="212"/>
      <c r="AB127" s="213" t="e">
        <v>#DIV/0!</v>
      </c>
      <c r="AC127" s="214"/>
      <c r="AD127" s="215"/>
      <c r="AE127" s="342" t="s">
        <v>293</v>
      </c>
      <c r="AF127" s="341" t="s">
        <v>376</v>
      </c>
    </row>
    <row r="128" spans="1:32">
      <c r="A128" s="307">
        <v>3</v>
      </c>
      <c r="B128" s="342"/>
      <c r="C128" s="342" t="s">
        <v>179</v>
      </c>
      <c r="D128" s="340" t="s">
        <v>294</v>
      </c>
      <c r="E128" s="342"/>
      <c r="F128" s="345" t="s">
        <v>275</v>
      </c>
      <c r="G128" s="308">
        <v>2</v>
      </c>
      <c r="H128" s="309">
        <v>25000</v>
      </c>
      <c r="I128" s="309">
        <v>50000</v>
      </c>
      <c r="J128" s="211"/>
      <c r="K128" s="212" t="str">
        <f>IF(OR(J128="",G128=J128),"","*")</f>
        <v/>
      </c>
      <c r="L128" s="338">
        <f>IF($A128&lt;=L$1,I128/I$4,"")</f>
        <v>3.2938076416337285E-3</v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/>
      <c r="T128" s="213" t="e">
        <v>#DIV/0!</v>
      </c>
      <c r="U128" s="214"/>
      <c r="V128" s="215"/>
      <c r="W128" s="310">
        <v>0</v>
      </c>
      <c r="X128" s="311">
        <v>0</v>
      </c>
      <c r="Y128" s="311">
        <v>0</v>
      </c>
      <c r="Z128" s="211">
        <v>0</v>
      </c>
      <c r="AA128" s="212"/>
      <c r="AB128" s="213" t="e">
        <v>#DIV/0!</v>
      </c>
      <c r="AC128" s="214"/>
      <c r="AD128" s="215"/>
      <c r="AE128" s="342" t="s">
        <v>295</v>
      </c>
      <c r="AF128" s="341" t="s">
        <v>376</v>
      </c>
    </row>
    <row r="129" spans="1:32">
      <c r="A129" s="307">
        <v>3</v>
      </c>
      <c r="B129" s="342"/>
      <c r="C129" s="342" t="s">
        <v>179</v>
      </c>
      <c r="D129" s="340" t="s">
        <v>296</v>
      </c>
      <c r="E129" s="342" t="s">
        <v>297</v>
      </c>
      <c r="F129" s="345" t="s">
        <v>275</v>
      </c>
      <c r="G129" s="308">
        <v>2</v>
      </c>
      <c r="H129" s="309">
        <v>12000</v>
      </c>
      <c r="I129" s="309">
        <v>24000</v>
      </c>
      <c r="J129" s="211"/>
      <c r="K129" s="212" t="str">
        <f>IF(OR(J129="",G129=J129),"","*")</f>
        <v/>
      </c>
      <c r="L129" s="338">
        <f>IF($A129&lt;=L$1,I129/I$4,"")</f>
        <v>1.5810276679841897E-3</v>
      </c>
      <c r="M129" s="343"/>
      <c r="N129" s="344"/>
      <c r="O129" s="310">
        <v>0</v>
      </c>
      <c r="P129" s="311">
        <v>0</v>
      </c>
      <c r="Q129" s="311">
        <v>0</v>
      </c>
      <c r="R129" s="211">
        <v>0</v>
      </c>
      <c r="S129" s="212"/>
      <c r="T129" s="213" t="e">
        <v>#DIV/0!</v>
      </c>
      <c r="U129" s="214"/>
      <c r="V129" s="215"/>
      <c r="W129" s="310">
        <v>0</v>
      </c>
      <c r="X129" s="311">
        <v>0</v>
      </c>
      <c r="Y129" s="311">
        <v>0</v>
      </c>
      <c r="Z129" s="211">
        <v>0</v>
      </c>
      <c r="AA129" s="212"/>
      <c r="AB129" s="213" t="e">
        <v>#DIV/0!</v>
      </c>
      <c r="AC129" s="214"/>
      <c r="AD129" s="215"/>
      <c r="AE129" s="342" t="s">
        <v>298</v>
      </c>
      <c r="AF129" s="341" t="s">
        <v>376</v>
      </c>
    </row>
    <row r="130" spans="1:32">
      <c r="A130" s="307">
        <v>3</v>
      </c>
      <c r="B130" s="342"/>
      <c r="C130" s="342" t="s">
        <v>179</v>
      </c>
      <c r="D130" s="340" t="s">
        <v>299</v>
      </c>
      <c r="E130" s="342"/>
      <c r="F130" s="345" t="s">
        <v>275</v>
      </c>
      <c r="G130" s="308">
        <v>2</v>
      </c>
      <c r="H130" s="309">
        <v>3000</v>
      </c>
      <c r="I130" s="309">
        <v>6000</v>
      </c>
      <c r="J130" s="211"/>
      <c r="K130" s="212" t="str">
        <f>IF(OR(J130="",G130=J130),"","*")</f>
        <v/>
      </c>
      <c r="L130" s="338">
        <f>IF($A130&lt;=L$1,I130/I$4,"")</f>
        <v>3.9525691699604743E-4</v>
      </c>
      <c r="M130" s="343"/>
      <c r="N130" s="344"/>
      <c r="O130" s="310">
        <v>0</v>
      </c>
      <c r="P130" s="311">
        <v>0</v>
      </c>
      <c r="Q130" s="311">
        <v>0</v>
      </c>
      <c r="R130" s="211">
        <v>0</v>
      </c>
      <c r="S130" s="212"/>
      <c r="T130" s="213" t="e">
        <v>#DIV/0!</v>
      </c>
      <c r="U130" s="214"/>
      <c r="V130" s="215"/>
      <c r="W130" s="310">
        <v>0</v>
      </c>
      <c r="X130" s="311">
        <v>0</v>
      </c>
      <c r="Y130" s="311">
        <v>0</v>
      </c>
      <c r="Z130" s="211">
        <v>0</v>
      </c>
      <c r="AA130" s="212"/>
      <c r="AB130" s="213" t="e">
        <v>#DIV/0!</v>
      </c>
      <c r="AC130" s="214"/>
      <c r="AD130" s="215"/>
      <c r="AE130" s="342" t="s">
        <v>300</v>
      </c>
      <c r="AF130" s="341" t="s">
        <v>376</v>
      </c>
    </row>
    <row r="131" spans="1:32">
      <c r="A131" s="307">
        <v>3</v>
      </c>
      <c r="B131" s="342"/>
      <c r="C131" s="342" t="s">
        <v>179</v>
      </c>
      <c r="D131" s="340" t="s">
        <v>301</v>
      </c>
      <c r="E131" s="342"/>
      <c r="F131" s="345" t="s">
        <v>302</v>
      </c>
      <c r="G131" s="308">
        <v>200</v>
      </c>
      <c r="H131" s="309">
        <v>150</v>
      </c>
      <c r="I131" s="309">
        <v>30000</v>
      </c>
      <c r="J131" s="211"/>
      <c r="K131" s="212" t="str">
        <f>IF(OR(J131="",G131=J131),"","*")</f>
        <v/>
      </c>
      <c r="L131" s="338">
        <f>IF($A131&lt;=L$1,I131/I$4,"")</f>
        <v>1.976284584980237E-3</v>
      </c>
      <c r="M131" s="343"/>
      <c r="N131" s="344"/>
      <c r="O131" s="310">
        <v>0</v>
      </c>
      <c r="P131" s="311">
        <v>0</v>
      </c>
      <c r="Q131" s="311">
        <v>0</v>
      </c>
      <c r="R131" s="211">
        <v>0</v>
      </c>
      <c r="S131" s="212"/>
      <c r="T131" s="213" t="e">
        <v>#DIV/0!</v>
      </c>
      <c r="U131" s="214"/>
      <c r="V131" s="215"/>
      <c r="W131" s="310">
        <v>0</v>
      </c>
      <c r="X131" s="311">
        <v>0</v>
      </c>
      <c r="Y131" s="311">
        <v>0</v>
      </c>
      <c r="Z131" s="211">
        <v>0</v>
      </c>
      <c r="AA131" s="212"/>
      <c r="AB131" s="213" t="e">
        <v>#DIV/0!</v>
      </c>
      <c r="AC131" s="214"/>
      <c r="AD131" s="215"/>
      <c r="AE131" s="342" t="s">
        <v>303</v>
      </c>
      <c r="AF131" s="341" t="s">
        <v>377</v>
      </c>
    </row>
    <row r="132" spans="1:32">
      <c r="A132" s="307">
        <v>3</v>
      </c>
      <c r="B132" s="342"/>
      <c r="C132" s="342" t="s">
        <v>180</v>
      </c>
      <c r="D132" s="340" t="s">
        <v>305</v>
      </c>
      <c r="E132" s="342" t="s">
        <v>306</v>
      </c>
      <c r="F132" s="345" t="s">
        <v>275</v>
      </c>
      <c r="G132" s="308">
        <v>2</v>
      </c>
      <c r="H132" s="309">
        <v>5000</v>
      </c>
      <c r="I132" s="309">
        <v>10000</v>
      </c>
      <c r="J132" s="211"/>
      <c r="K132" s="212" t="str">
        <f>IF(OR(J132="",G132=J132),"","*")</f>
        <v/>
      </c>
      <c r="L132" s="338">
        <f>IF($A132&lt;=L$1,I132/I$4,"")</f>
        <v>6.5876152832674575E-4</v>
      </c>
      <c r="M132" s="343"/>
      <c r="N132" s="344"/>
      <c r="O132" s="310">
        <v>0</v>
      </c>
      <c r="P132" s="311">
        <v>0</v>
      </c>
      <c r="Q132" s="311">
        <v>0</v>
      </c>
      <c r="R132" s="211">
        <v>0</v>
      </c>
      <c r="S132" s="212"/>
      <c r="T132" s="213" t="e">
        <v>#DIV/0!</v>
      </c>
      <c r="U132" s="214"/>
      <c r="V132" s="215"/>
      <c r="W132" s="310">
        <v>0</v>
      </c>
      <c r="X132" s="311">
        <v>0</v>
      </c>
      <c r="Y132" s="311">
        <v>0</v>
      </c>
      <c r="Z132" s="211">
        <v>0</v>
      </c>
      <c r="AA132" s="212"/>
      <c r="AB132" s="213" t="e">
        <v>#DIV/0!</v>
      </c>
      <c r="AC132" s="214"/>
      <c r="AD132" s="215"/>
      <c r="AE132" s="342" t="s">
        <v>307</v>
      </c>
      <c r="AF132" s="341" t="s">
        <v>376</v>
      </c>
    </row>
    <row r="133" spans="1:32">
      <c r="A133" s="307">
        <v>3</v>
      </c>
      <c r="B133" s="342"/>
      <c r="C133" s="342" t="s">
        <v>180</v>
      </c>
      <c r="D133" s="340" t="s">
        <v>308</v>
      </c>
      <c r="E133" s="342"/>
      <c r="F133" s="345" t="s">
        <v>275</v>
      </c>
      <c r="G133" s="308">
        <v>4</v>
      </c>
      <c r="H133" s="309">
        <v>5000</v>
      </c>
      <c r="I133" s="309">
        <v>20000</v>
      </c>
      <c r="J133" s="211"/>
      <c r="K133" s="212" t="str">
        <f>IF(OR(J133="",G133=J133),"","*")</f>
        <v/>
      </c>
      <c r="L133" s="338">
        <f>IF($A133&lt;=L$1,I133/I$4,"")</f>
        <v>1.3175230566534915E-3</v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/>
      <c r="T133" s="213" t="e">
        <v>#DIV/0!</v>
      </c>
      <c r="U133" s="214"/>
      <c r="V133" s="215"/>
      <c r="W133" s="310">
        <v>0</v>
      </c>
      <c r="X133" s="311">
        <v>0</v>
      </c>
      <c r="Y133" s="311">
        <v>0</v>
      </c>
      <c r="Z133" s="211">
        <v>0</v>
      </c>
      <c r="AA133" s="212"/>
      <c r="AB133" s="213" t="e">
        <v>#DIV/0!</v>
      </c>
      <c r="AC133" s="214"/>
      <c r="AD133" s="215"/>
      <c r="AE133" s="342" t="s">
        <v>309</v>
      </c>
      <c r="AF133" s="341" t="s">
        <v>378</v>
      </c>
    </row>
    <row r="134" spans="1:32">
      <c r="A134" s="307">
        <v>3</v>
      </c>
      <c r="B134" s="342"/>
      <c r="C134" s="342" t="s">
        <v>180</v>
      </c>
      <c r="D134" s="340" t="s">
        <v>311</v>
      </c>
      <c r="E134" s="342"/>
      <c r="F134" s="345" t="s">
        <v>275</v>
      </c>
      <c r="G134" s="308">
        <v>2</v>
      </c>
      <c r="H134" s="309">
        <v>7000</v>
      </c>
      <c r="I134" s="309">
        <v>14000</v>
      </c>
      <c r="J134" s="211"/>
      <c r="K134" s="212" t="str">
        <f>IF(OR(J134="",G134=J134),"","*")</f>
        <v/>
      </c>
      <c r="L134" s="338">
        <f>IF($A134&lt;=L$1,I134/I$4,"")</f>
        <v>9.2226613965744396E-4</v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/>
      <c r="T134" s="213" t="e">
        <v>#DIV/0!</v>
      </c>
      <c r="U134" s="214"/>
      <c r="V134" s="215"/>
      <c r="W134" s="310">
        <v>0</v>
      </c>
      <c r="X134" s="311">
        <v>0</v>
      </c>
      <c r="Y134" s="311">
        <v>0</v>
      </c>
      <c r="Z134" s="211">
        <v>0</v>
      </c>
      <c r="AA134" s="212"/>
      <c r="AB134" s="213" t="e">
        <v>#DIV/0!</v>
      </c>
      <c r="AC134" s="214"/>
      <c r="AD134" s="215"/>
      <c r="AE134" s="342" t="s">
        <v>312</v>
      </c>
      <c r="AF134" s="341" t="s">
        <v>376</v>
      </c>
    </row>
    <row r="135" spans="1:32">
      <c r="A135" s="307">
        <v>3</v>
      </c>
      <c r="B135" s="342"/>
      <c r="C135" s="342" t="s">
        <v>181</v>
      </c>
      <c r="D135" s="340" t="s">
        <v>244</v>
      </c>
      <c r="E135" s="342"/>
      <c r="F135" s="345" t="s">
        <v>173</v>
      </c>
      <c r="G135" s="308">
        <v>1</v>
      </c>
      <c r="H135" s="309">
        <v>8680</v>
      </c>
      <c r="I135" s="309">
        <v>8680</v>
      </c>
      <c r="J135" s="211"/>
      <c r="K135" s="212" t="str">
        <f>IF(OR(J135="",G135=J135),"","*")</f>
        <v/>
      </c>
      <c r="L135" s="338">
        <f>IF($A135&lt;=L$1,I135/I$4,"")</f>
        <v>5.7180500658761532E-4</v>
      </c>
      <c r="M135" s="343"/>
      <c r="N135" s="344"/>
      <c r="O135" s="310">
        <v>0</v>
      </c>
      <c r="P135" s="311">
        <v>0</v>
      </c>
      <c r="Q135" s="311">
        <v>0</v>
      </c>
      <c r="R135" s="211">
        <v>0</v>
      </c>
      <c r="S135" s="212"/>
      <c r="T135" s="213" t="e">
        <v>#DIV/0!</v>
      </c>
      <c r="U135" s="214"/>
      <c r="V135" s="215"/>
      <c r="W135" s="310">
        <v>0</v>
      </c>
      <c r="X135" s="311">
        <v>0</v>
      </c>
      <c r="Y135" s="311">
        <v>0</v>
      </c>
      <c r="Z135" s="211">
        <v>0</v>
      </c>
      <c r="AA135" s="212"/>
      <c r="AB135" s="213" t="e">
        <v>#DIV/0!</v>
      </c>
      <c r="AC135" s="214"/>
      <c r="AD135" s="215"/>
      <c r="AE135" s="342"/>
      <c r="AF135" s="341"/>
    </row>
    <row r="136" spans="1:32">
      <c r="A136" s="307">
        <v>2</v>
      </c>
      <c r="B136" s="342"/>
      <c r="C136" s="342" t="s">
        <v>233</v>
      </c>
      <c r="D136" s="340" t="s">
        <v>388</v>
      </c>
      <c r="E136" s="342" t="s">
        <v>174</v>
      </c>
      <c r="F136" s="345" t="s">
        <v>171</v>
      </c>
      <c r="G136" s="308">
        <v>93</v>
      </c>
      <c r="H136" s="309">
        <v>7849</v>
      </c>
      <c r="I136" s="309">
        <v>729957</v>
      </c>
      <c r="J136" s="211">
        <v>93</v>
      </c>
      <c r="K136" s="212" t="str">
        <f>IF(OR(J136="",G136=J136),"","*")</f>
        <v/>
      </c>
      <c r="L136" s="338">
        <f>IF($A136&lt;=L$1,I136/I$4,"")</f>
        <v>4.808675889328063E-2</v>
      </c>
      <c r="M136" s="343"/>
      <c r="N136" s="344" t="s">
        <v>389</v>
      </c>
      <c r="O136" s="310">
        <v>0</v>
      </c>
      <c r="P136" s="311">
        <v>0</v>
      </c>
      <c r="Q136" s="311">
        <v>0</v>
      </c>
      <c r="R136" s="211">
        <v>0</v>
      </c>
      <c r="S136" s="212"/>
      <c r="T136" s="213" t="e">
        <v>#DIV/0!</v>
      </c>
      <c r="U136" s="214"/>
      <c r="V136" s="215"/>
      <c r="W136" s="310">
        <v>0</v>
      </c>
      <c r="X136" s="311">
        <v>0</v>
      </c>
      <c r="Y136" s="311">
        <v>0</v>
      </c>
      <c r="Z136" s="211">
        <v>0</v>
      </c>
      <c r="AA136" s="212"/>
      <c r="AB136" s="213" t="e">
        <v>#DIV/0!</v>
      </c>
      <c r="AC136" s="214"/>
      <c r="AD136" s="215"/>
      <c r="AE136" s="342"/>
      <c r="AF136" s="341"/>
    </row>
    <row r="137" spans="1:32">
      <c r="A137" s="307">
        <v>3</v>
      </c>
      <c r="B137" s="342"/>
      <c r="C137" s="342" t="s">
        <v>180</v>
      </c>
      <c r="D137" s="340" t="s">
        <v>317</v>
      </c>
      <c r="E137" s="342"/>
      <c r="F137" s="345" t="s">
        <v>252</v>
      </c>
      <c r="G137" s="308">
        <v>219</v>
      </c>
      <c r="H137" s="309">
        <v>500</v>
      </c>
      <c r="I137" s="309">
        <v>109500</v>
      </c>
      <c r="J137" s="211"/>
      <c r="K137" s="212" t="str">
        <f>IF(OR(J137="",G137=J137),"","*")</f>
        <v/>
      </c>
      <c r="L137" s="338">
        <f>IF($A137&lt;=L$1,I137/I$4,"")</f>
        <v>7.2134387351778656E-3</v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/>
      <c r="T137" s="213" t="e">
        <v>#DIV/0!</v>
      </c>
      <c r="U137" s="214"/>
      <c r="V137" s="215"/>
      <c r="W137" s="310">
        <v>0</v>
      </c>
      <c r="X137" s="311">
        <v>0</v>
      </c>
      <c r="Y137" s="311">
        <v>0</v>
      </c>
      <c r="Z137" s="211">
        <v>0</v>
      </c>
      <c r="AA137" s="212"/>
      <c r="AB137" s="213" t="e">
        <v>#DIV/0!</v>
      </c>
      <c r="AC137" s="214"/>
      <c r="AD137" s="215"/>
      <c r="AE137" s="342" t="s">
        <v>318</v>
      </c>
      <c r="AF137" s="341" t="s">
        <v>390</v>
      </c>
    </row>
    <row r="138" spans="1:32">
      <c r="A138" s="307">
        <v>3</v>
      </c>
      <c r="B138" s="342"/>
      <c r="C138" s="342" t="s">
        <v>180</v>
      </c>
      <c r="D138" s="340" t="s">
        <v>317</v>
      </c>
      <c r="E138" s="342"/>
      <c r="F138" s="345" t="s">
        <v>252</v>
      </c>
      <c r="G138" s="308">
        <v>20</v>
      </c>
      <c r="H138" s="309">
        <v>500</v>
      </c>
      <c r="I138" s="309">
        <v>10000</v>
      </c>
      <c r="J138" s="211"/>
      <c r="K138" s="212" t="str">
        <f>IF(OR(J138="",G138=J138),"","*")</f>
        <v/>
      </c>
      <c r="L138" s="338">
        <f>IF($A138&lt;=L$1,I138/I$4,"")</f>
        <v>6.5876152832674575E-4</v>
      </c>
      <c r="M138" s="343"/>
      <c r="N138" s="344"/>
      <c r="O138" s="310">
        <v>0</v>
      </c>
      <c r="P138" s="311">
        <v>0</v>
      </c>
      <c r="Q138" s="311">
        <v>0</v>
      </c>
      <c r="R138" s="211">
        <v>0</v>
      </c>
      <c r="S138" s="212"/>
      <c r="T138" s="213" t="e">
        <v>#DIV/0!</v>
      </c>
      <c r="U138" s="214"/>
      <c r="V138" s="215"/>
      <c r="W138" s="310">
        <v>0</v>
      </c>
      <c r="X138" s="311">
        <v>0</v>
      </c>
      <c r="Y138" s="311">
        <v>0</v>
      </c>
      <c r="Z138" s="211">
        <v>0</v>
      </c>
      <c r="AA138" s="212"/>
      <c r="AB138" s="213" t="e">
        <v>#DIV/0!</v>
      </c>
      <c r="AC138" s="214"/>
      <c r="AD138" s="215"/>
      <c r="AE138" s="342" t="s">
        <v>318</v>
      </c>
      <c r="AF138" s="341" t="s">
        <v>320</v>
      </c>
    </row>
    <row r="139" spans="1:32">
      <c r="A139" s="307">
        <v>3</v>
      </c>
      <c r="B139" s="342"/>
      <c r="C139" s="342" t="s">
        <v>180</v>
      </c>
      <c r="D139" s="340" t="s">
        <v>321</v>
      </c>
      <c r="E139" s="342" t="s">
        <v>322</v>
      </c>
      <c r="F139" s="345" t="s">
        <v>275</v>
      </c>
      <c r="G139" s="308">
        <v>13</v>
      </c>
      <c r="H139" s="309">
        <v>44000</v>
      </c>
      <c r="I139" s="309">
        <v>572000</v>
      </c>
      <c r="J139" s="211"/>
      <c r="K139" s="212" t="str">
        <f>IF(OR(J139="",G139=J139),"","*")</f>
        <v/>
      </c>
      <c r="L139" s="338">
        <f>IF($A139&lt;=L$1,I139/I$4,"")</f>
        <v>3.7681159420289857E-2</v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/>
      <c r="T139" s="213" t="e">
        <v>#DIV/0!</v>
      </c>
      <c r="U139" s="214"/>
      <c r="V139" s="215"/>
      <c r="W139" s="310">
        <v>0</v>
      </c>
      <c r="X139" s="311">
        <v>0</v>
      </c>
      <c r="Y139" s="311">
        <v>0</v>
      </c>
      <c r="Z139" s="211">
        <v>0</v>
      </c>
      <c r="AA139" s="212"/>
      <c r="AB139" s="213" t="e">
        <v>#DIV/0!</v>
      </c>
      <c r="AC139" s="214"/>
      <c r="AD139" s="215"/>
      <c r="AE139" s="342" t="s">
        <v>323</v>
      </c>
      <c r="AF139" s="341" t="s">
        <v>391</v>
      </c>
    </row>
    <row r="140" spans="1:32">
      <c r="A140" s="307">
        <v>3</v>
      </c>
      <c r="B140" s="342"/>
      <c r="C140" s="342" t="s">
        <v>180</v>
      </c>
      <c r="D140" s="340" t="s">
        <v>321</v>
      </c>
      <c r="E140" s="342" t="s">
        <v>325</v>
      </c>
      <c r="F140" s="345" t="s">
        <v>275</v>
      </c>
      <c r="G140" s="308">
        <v>2</v>
      </c>
      <c r="H140" s="309">
        <v>15000</v>
      </c>
      <c r="I140" s="309">
        <v>30000</v>
      </c>
      <c r="J140" s="211"/>
      <c r="K140" s="212" t="str">
        <f>IF(OR(J140="",G140=J140),"","*")</f>
        <v/>
      </c>
      <c r="L140" s="338">
        <f>IF($A140&lt;=L$1,I140/I$4,"")</f>
        <v>1.976284584980237E-3</v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/>
      <c r="T140" s="213" t="e">
        <v>#DIV/0!</v>
      </c>
      <c r="U140" s="214"/>
      <c r="V140" s="215"/>
      <c r="W140" s="310">
        <v>0</v>
      </c>
      <c r="X140" s="311">
        <v>0</v>
      </c>
      <c r="Y140" s="311">
        <v>0</v>
      </c>
      <c r="Z140" s="211">
        <v>0</v>
      </c>
      <c r="AA140" s="212"/>
      <c r="AB140" s="213" t="e">
        <v>#DIV/0!</v>
      </c>
      <c r="AC140" s="214"/>
      <c r="AD140" s="215"/>
      <c r="AE140" s="342" t="s">
        <v>323</v>
      </c>
      <c r="AF140" s="341" t="s">
        <v>326</v>
      </c>
    </row>
    <row r="141" spans="1:32">
      <c r="A141" s="307">
        <v>3</v>
      </c>
      <c r="B141" s="342"/>
      <c r="C141" s="342" t="s">
        <v>181</v>
      </c>
      <c r="D141" s="340" t="s">
        <v>244</v>
      </c>
      <c r="E141" s="342"/>
      <c r="F141" s="345" t="s">
        <v>173</v>
      </c>
      <c r="G141" s="308">
        <v>1</v>
      </c>
      <c r="H141" s="309">
        <v>8500</v>
      </c>
      <c r="I141" s="309">
        <v>8500</v>
      </c>
      <c r="J141" s="211"/>
      <c r="K141" s="212" t="str">
        <f>IF(OR(J141="",G141=J141),"","*")</f>
        <v/>
      </c>
      <c r="L141" s="338">
        <f>IF($A141&lt;=L$1,I141/I$4,"")</f>
        <v>5.5994729907773381E-4</v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/>
      <c r="T141" s="213" t="e">
        <v>#DIV/0!</v>
      </c>
      <c r="U141" s="214"/>
      <c r="V141" s="215"/>
      <c r="W141" s="310">
        <v>0</v>
      </c>
      <c r="X141" s="311">
        <v>0</v>
      </c>
      <c r="Y141" s="311">
        <v>0</v>
      </c>
      <c r="Z141" s="211">
        <v>0</v>
      </c>
      <c r="AA141" s="212"/>
      <c r="AB141" s="213" t="e">
        <v>#DIV/0!</v>
      </c>
      <c r="AC141" s="214"/>
      <c r="AD141" s="215"/>
      <c r="AE141" s="342"/>
      <c r="AF141" s="341"/>
    </row>
    <row r="142" spans="1:32">
      <c r="A142" s="307">
        <v>2</v>
      </c>
      <c r="B142" s="342"/>
      <c r="C142" s="342" t="s">
        <v>233</v>
      </c>
      <c r="D142" s="340" t="s">
        <v>392</v>
      </c>
      <c r="E142" s="342" t="s">
        <v>174</v>
      </c>
      <c r="F142" s="345" t="s">
        <v>171</v>
      </c>
      <c r="G142" s="308">
        <v>112</v>
      </c>
      <c r="H142" s="309">
        <v>6517</v>
      </c>
      <c r="I142" s="309">
        <v>729904</v>
      </c>
      <c r="J142" s="211">
        <v>112</v>
      </c>
      <c r="K142" s="212" t="str">
        <f>IF(OR(J142="",G142=J142),"","*")</f>
        <v/>
      </c>
      <c r="L142" s="338">
        <f>IF($A142&lt;=L$1,I142/I$4,"")</f>
        <v>4.8083267457180501E-2</v>
      </c>
      <c r="M142" s="343"/>
      <c r="N142" s="344" t="s">
        <v>393</v>
      </c>
      <c r="O142" s="310">
        <v>0</v>
      </c>
      <c r="P142" s="311">
        <v>0</v>
      </c>
      <c r="Q142" s="311">
        <v>0</v>
      </c>
      <c r="R142" s="211">
        <v>0</v>
      </c>
      <c r="S142" s="212"/>
      <c r="T142" s="213" t="e">
        <v>#DIV/0!</v>
      </c>
      <c r="U142" s="214"/>
      <c r="V142" s="215"/>
      <c r="W142" s="310">
        <v>0</v>
      </c>
      <c r="X142" s="311">
        <v>0</v>
      </c>
      <c r="Y142" s="311">
        <v>0</v>
      </c>
      <c r="Z142" s="211">
        <v>0</v>
      </c>
      <c r="AA142" s="212"/>
      <c r="AB142" s="213" t="e">
        <v>#DIV/0!</v>
      </c>
      <c r="AC142" s="214"/>
      <c r="AD142" s="215"/>
      <c r="AE142" s="342"/>
      <c r="AF142" s="341"/>
    </row>
    <row r="143" spans="1:32">
      <c r="A143" s="307">
        <v>3</v>
      </c>
      <c r="B143" s="342"/>
      <c r="C143" s="342" t="s">
        <v>180</v>
      </c>
      <c r="D143" s="340" t="s">
        <v>317</v>
      </c>
      <c r="E143" s="342"/>
      <c r="F143" s="345" t="s">
        <v>252</v>
      </c>
      <c r="G143" s="308">
        <v>264</v>
      </c>
      <c r="H143" s="309">
        <v>500</v>
      </c>
      <c r="I143" s="309">
        <v>132000</v>
      </c>
      <c r="J143" s="211"/>
      <c r="K143" s="212" t="str">
        <f>IF(OR(J143="",G143=J143),"","*")</f>
        <v/>
      </c>
      <c r="L143" s="338">
        <f>IF($A143&lt;=L$1,I143/I$4,"")</f>
        <v>8.6956521739130436E-3</v>
      </c>
      <c r="M143" s="343"/>
      <c r="N143" s="344"/>
      <c r="O143" s="310">
        <v>0</v>
      </c>
      <c r="P143" s="311">
        <v>0</v>
      </c>
      <c r="Q143" s="311">
        <v>0</v>
      </c>
      <c r="R143" s="211">
        <v>0</v>
      </c>
      <c r="S143" s="212"/>
      <c r="T143" s="213" t="e">
        <v>#DIV/0!</v>
      </c>
      <c r="U143" s="214"/>
      <c r="V143" s="215"/>
      <c r="W143" s="310">
        <v>0</v>
      </c>
      <c r="X143" s="311">
        <v>0</v>
      </c>
      <c r="Y143" s="311">
        <v>0</v>
      </c>
      <c r="Z143" s="211">
        <v>0</v>
      </c>
      <c r="AA143" s="212"/>
      <c r="AB143" s="213" t="e">
        <v>#DIV/0!</v>
      </c>
      <c r="AC143" s="214"/>
      <c r="AD143" s="215"/>
      <c r="AE143" s="342" t="s">
        <v>318</v>
      </c>
      <c r="AF143" s="341" t="s">
        <v>394</v>
      </c>
    </row>
    <row r="144" spans="1:32">
      <c r="A144" s="307">
        <v>3</v>
      </c>
      <c r="B144" s="342"/>
      <c r="C144" s="342" t="s">
        <v>180</v>
      </c>
      <c r="D144" s="340" t="s">
        <v>395</v>
      </c>
      <c r="E144" s="342" t="s">
        <v>322</v>
      </c>
      <c r="F144" s="345" t="s">
        <v>275</v>
      </c>
      <c r="G144" s="308">
        <v>13</v>
      </c>
      <c r="H144" s="309">
        <v>46000</v>
      </c>
      <c r="I144" s="309">
        <v>598000</v>
      </c>
      <c r="J144" s="211"/>
      <c r="K144" s="212" t="str">
        <f>IF(OR(J144="",G144=J144),"","*")</f>
        <v/>
      </c>
      <c r="L144" s="338">
        <f>IF($A144&lt;=L$1,I144/I$4,"")</f>
        <v>3.9393939393939391E-2</v>
      </c>
      <c r="M144" s="343"/>
      <c r="N144" s="344"/>
      <c r="O144" s="310">
        <v>0</v>
      </c>
      <c r="P144" s="311">
        <v>0</v>
      </c>
      <c r="Q144" s="311">
        <v>0</v>
      </c>
      <c r="R144" s="211">
        <v>0</v>
      </c>
      <c r="S144" s="212"/>
      <c r="T144" s="213" t="e">
        <v>#DIV/0!</v>
      </c>
      <c r="U144" s="214"/>
      <c r="V144" s="215"/>
      <c r="W144" s="310">
        <v>0</v>
      </c>
      <c r="X144" s="311">
        <v>0</v>
      </c>
      <c r="Y144" s="311">
        <v>0</v>
      </c>
      <c r="Z144" s="211">
        <v>0</v>
      </c>
      <c r="AA144" s="212"/>
      <c r="AB144" s="213" t="e">
        <v>#DIV/0!</v>
      </c>
      <c r="AC144" s="214"/>
      <c r="AD144" s="215"/>
      <c r="AE144" s="342" t="s">
        <v>396</v>
      </c>
      <c r="AF144" s="341" t="s">
        <v>391</v>
      </c>
    </row>
    <row r="145" spans="1:32">
      <c r="A145" s="307">
        <v>2</v>
      </c>
      <c r="B145" s="342"/>
      <c r="C145" s="342" t="s">
        <v>233</v>
      </c>
      <c r="D145" s="340" t="s">
        <v>397</v>
      </c>
      <c r="E145" s="342" t="s">
        <v>174</v>
      </c>
      <c r="F145" s="345" t="s">
        <v>170</v>
      </c>
      <c r="G145" s="308">
        <v>1374</v>
      </c>
      <c r="H145" s="309">
        <v>2620</v>
      </c>
      <c r="I145" s="309">
        <v>3599880</v>
      </c>
      <c r="J145" s="211">
        <v>1374</v>
      </c>
      <c r="K145" s="212" t="str">
        <f>IF(OR(J145="",G145=J145),"","*")</f>
        <v/>
      </c>
      <c r="L145" s="338">
        <f>IF($A145&lt;=L$1,I145/I$4,"")</f>
        <v>0.23714624505928852</v>
      </c>
      <c r="M145" s="343"/>
      <c r="N145" s="344" t="s">
        <v>398</v>
      </c>
      <c r="O145" s="310">
        <v>0</v>
      </c>
      <c r="P145" s="311">
        <v>0</v>
      </c>
      <c r="Q145" s="311">
        <v>0</v>
      </c>
      <c r="R145" s="211">
        <v>0</v>
      </c>
      <c r="S145" s="212"/>
      <c r="T145" s="213" t="e">
        <v>#DIV/0!</v>
      </c>
      <c r="U145" s="214"/>
      <c r="V145" s="215"/>
      <c r="W145" s="310">
        <v>0</v>
      </c>
      <c r="X145" s="311">
        <v>0</v>
      </c>
      <c r="Y145" s="311">
        <v>0</v>
      </c>
      <c r="Z145" s="211">
        <v>0</v>
      </c>
      <c r="AA145" s="212"/>
      <c r="AB145" s="213" t="e">
        <v>#DIV/0!</v>
      </c>
      <c r="AC145" s="214"/>
      <c r="AD145" s="215"/>
      <c r="AE145" s="342"/>
      <c r="AF145" s="341"/>
    </row>
    <row r="146" spans="1:32">
      <c r="A146" s="307">
        <v>3</v>
      </c>
      <c r="B146" s="342"/>
      <c r="C146" s="342" t="s">
        <v>176</v>
      </c>
      <c r="D146" s="340" t="s">
        <v>329</v>
      </c>
      <c r="E146" s="342" t="s">
        <v>330</v>
      </c>
      <c r="F146" s="345" t="s">
        <v>252</v>
      </c>
      <c r="G146" s="308">
        <v>190</v>
      </c>
      <c r="H146" s="309">
        <v>14800</v>
      </c>
      <c r="I146" s="309">
        <v>2812000</v>
      </c>
      <c r="J146" s="211"/>
      <c r="K146" s="212" t="str">
        <f>IF(OR(J146="",G146=J146),"","*")</f>
        <v/>
      </c>
      <c r="L146" s="338">
        <f>IF($A146&lt;=L$1,I146/I$4,"")</f>
        <v>0.18524374176548089</v>
      </c>
      <c r="M146" s="343"/>
      <c r="N146" s="344"/>
      <c r="O146" s="310">
        <v>0</v>
      </c>
      <c r="P146" s="311">
        <v>0</v>
      </c>
      <c r="Q146" s="311">
        <v>0</v>
      </c>
      <c r="R146" s="211">
        <v>0</v>
      </c>
      <c r="S146" s="212"/>
      <c r="T146" s="213" t="e">
        <v>#DIV/0!</v>
      </c>
      <c r="U146" s="214"/>
      <c r="V146" s="215"/>
      <c r="W146" s="310">
        <v>0</v>
      </c>
      <c r="X146" s="311">
        <v>0</v>
      </c>
      <c r="Y146" s="311">
        <v>0</v>
      </c>
      <c r="Z146" s="211">
        <v>0</v>
      </c>
      <c r="AA146" s="212"/>
      <c r="AB146" s="213" t="e">
        <v>#DIV/0!</v>
      </c>
      <c r="AC146" s="214"/>
      <c r="AD146" s="215"/>
      <c r="AE146" s="342" t="s">
        <v>331</v>
      </c>
      <c r="AF146" s="341" t="s">
        <v>399</v>
      </c>
    </row>
    <row r="147" spans="1:32">
      <c r="A147" s="307">
        <v>3</v>
      </c>
      <c r="B147" s="342"/>
      <c r="C147" s="342" t="s">
        <v>176</v>
      </c>
      <c r="D147" s="340" t="s">
        <v>333</v>
      </c>
      <c r="E147" s="342"/>
      <c r="F147" s="345" t="s">
        <v>252</v>
      </c>
      <c r="G147" s="308">
        <v>0.59099999999999997</v>
      </c>
      <c r="H147" s="309">
        <v>219500</v>
      </c>
      <c r="I147" s="309">
        <v>129724</v>
      </c>
      <c r="J147" s="211"/>
      <c r="K147" s="212" t="str">
        <f>IF(OR(J147="",G147=J147),"","*")</f>
        <v/>
      </c>
      <c r="L147" s="338">
        <f>IF($A147&lt;=L$1,I147/I$4,"")</f>
        <v>8.5457180500658758E-3</v>
      </c>
      <c r="M147" s="343"/>
      <c r="N147" s="344"/>
      <c r="O147" s="310">
        <v>0</v>
      </c>
      <c r="P147" s="311">
        <v>0</v>
      </c>
      <c r="Q147" s="311">
        <v>0</v>
      </c>
      <c r="R147" s="211">
        <v>0</v>
      </c>
      <c r="S147" s="212"/>
      <c r="T147" s="213" t="e">
        <v>#DIV/0!</v>
      </c>
      <c r="U147" s="214"/>
      <c r="V147" s="215"/>
      <c r="W147" s="310">
        <v>0</v>
      </c>
      <c r="X147" s="311">
        <v>0</v>
      </c>
      <c r="Y147" s="311">
        <v>0</v>
      </c>
      <c r="Z147" s="211">
        <v>0</v>
      </c>
      <c r="AA147" s="212"/>
      <c r="AB147" s="213" t="e">
        <v>#DIV/0!</v>
      </c>
      <c r="AC147" s="214"/>
      <c r="AD147" s="215"/>
      <c r="AE147" s="342" t="s">
        <v>334</v>
      </c>
      <c r="AF147" s="341" t="s">
        <v>400</v>
      </c>
    </row>
    <row r="148" spans="1:32">
      <c r="A148" s="307">
        <v>3</v>
      </c>
      <c r="B148" s="342"/>
      <c r="C148" s="342" t="s">
        <v>176</v>
      </c>
      <c r="D148" s="340" t="s">
        <v>268</v>
      </c>
      <c r="E148" s="342"/>
      <c r="F148" s="345" t="s">
        <v>173</v>
      </c>
      <c r="G148" s="308">
        <v>1</v>
      </c>
      <c r="H148" s="309">
        <v>15000</v>
      </c>
      <c r="I148" s="309">
        <v>15000</v>
      </c>
      <c r="J148" s="211"/>
      <c r="K148" s="212" t="str">
        <f>IF(OR(J148="",G148=J148),"","*")</f>
        <v/>
      </c>
      <c r="L148" s="338">
        <f>IF($A148&lt;=L$1,I148/I$4,"")</f>
        <v>9.8814229249011851E-4</v>
      </c>
      <c r="M148" s="343"/>
      <c r="N148" s="344"/>
      <c r="O148" s="310">
        <v>0</v>
      </c>
      <c r="P148" s="311">
        <v>0</v>
      </c>
      <c r="Q148" s="311">
        <v>0</v>
      </c>
      <c r="R148" s="211">
        <v>0</v>
      </c>
      <c r="S148" s="212"/>
      <c r="T148" s="213" t="e">
        <v>#DIV/0!</v>
      </c>
      <c r="U148" s="214"/>
      <c r="V148" s="215"/>
      <c r="W148" s="310">
        <v>0</v>
      </c>
      <c r="X148" s="311">
        <v>0</v>
      </c>
      <c r="Y148" s="311">
        <v>0</v>
      </c>
      <c r="Z148" s="211">
        <v>0</v>
      </c>
      <c r="AA148" s="212"/>
      <c r="AB148" s="213" t="e">
        <v>#DIV/0!</v>
      </c>
      <c r="AC148" s="214"/>
      <c r="AD148" s="215"/>
      <c r="AE148" s="342"/>
      <c r="AF148" s="341"/>
    </row>
    <row r="149" spans="1:32">
      <c r="A149" s="307">
        <v>3</v>
      </c>
      <c r="B149" s="342"/>
      <c r="C149" s="342" t="s">
        <v>177</v>
      </c>
      <c r="D149" s="340" t="s">
        <v>401</v>
      </c>
      <c r="E149" s="342"/>
      <c r="F149" s="345" t="s">
        <v>270</v>
      </c>
      <c r="G149" s="308">
        <v>14</v>
      </c>
      <c r="H149" s="309">
        <v>28000</v>
      </c>
      <c r="I149" s="309">
        <v>392000</v>
      </c>
      <c r="J149" s="211"/>
      <c r="K149" s="212" t="str">
        <f>IF(OR(J149="",G149=J149),"","*")</f>
        <v/>
      </c>
      <c r="L149" s="338">
        <f>IF($A149&lt;=L$1,I149/I$4,"")</f>
        <v>2.5823451910408433E-2</v>
      </c>
      <c r="M149" s="343"/>
      <c r="N149" s="344"/>
      <c r="O149" s="310">
        <v>0</v>
      </c>
      <c r="P149" s="311">
        <v>0</v>
      </c>
      <c r="Q149" s="311">
        <v>0</v>
      </c>
      <c r="R149" s="211">
        <v>0</v>
      </c>
      <c r="S149" s="212"/>
      <c r="T149" s="213" t="e">
        <v>#DIV/0!</v>
      </c>
      <c r="U149" s="214"/>
      <c r="V149" s="215"/>
      <c r="W149" s="310">
        <v>0</v>
      </c>
      <c r="X149" s="311">
        <v>0</v>
      </c>
      <c r="Y149" s="311">
        <v>0</v>
      </c>
      <c r="Z149" s="211">
        <v>0</v>
      </c>
      <c r="AA149" s="212"/>
      <c r="AB149" s="213" t="e">
        <v>#DIV/0!</v>
      </c>
      <c r="AC149" s="214"/>
      <c r="AD149" s="215"/>
      <c r="AE149" s="342" t="s">
        <v>271</v>
      </c>
      <c r="AF149" s="341" t="s">
        <v>402</v>
      </c>
    </row>
    <row r="150" spans="1:32">
      <c r="A150" s="307">
        <v>3</v>
      </c>
      <c r="B150" s="342"/>
      <c r="C150" s="342" t="s">
        <v>179</v>
      </c>
      <c r="D150" s="340" t="s">
        <v>280</v>
      </c>
      <c r="E150" s="342"/>
      <c r="F150" s="345" t="s">
        <v>275</v>
      </c>
      <c r="G150" s="308">
        <v>1</v>
      </c>
      <c r="H150" s="309">
        <v>5000</v>
      </c>
      <c r="I150" s="309">
        <v>5000</v>
      </c>
      <c r="J150" s="211"/>
      <c r="K150" s="212" t="str">
        <f>IF(OR(J150="",G150=J150),"","*")</f>
        <v/>
      </c>
      <c r="L150" s="338">
        <f>IF($A150&lt;=L$1,I150/I$4,"")</f>
        <v>3.2938076416337287E-4</v>
      </c>
      <c r="M150" s="343"/>
      <c r="N150" s="344"/>
      <c r="O150" s="310">
        <v>0</v>
      </c>
      <c r="P150" s="311">
        <v>0</v>
      </c>
      <c r="Q150" s="311">
        <v>0</v>
      </c>
      <c r="R150" s="211">
        <v>0</v>
      </c>
      <c r="S150" s="212"/>
      <c r="T150" s="213" t="e">
        <v>#DIV/0!</v>
      </c>
      <c r="U150" s="214"/>
      <c r="V150" s="215"/>
      <c r="W150" s="310">
        <v>0</v>
      </c>
      <c r="X150" s="311">
        <v>0</v>
      </c>
      <c r="Y150" s="311">
        <v>0</v>
      </c>
      <c r="Z150" s="211">
        <v>0</v>
      </c>
      <c r="AA150" s="212"/>
      <c r="AB150" s="213" t="e">
        <v>#DIV/0!</v>
      </c>
      <c r="AC150" s="214"/>
      <c r="AD150" s="215"/>
      <c r="AE150" s="342" t="s">
        <v>281</v>
      </c>
      <c r="AF150" s="341" t="s">
        <v>337</v>
      </c>
    </row>
    <row r="151" spans="1:32">
      <c r="A151" s="307">
        <v>3</v>
      </c>
      <c r="B151" s="342"/>
      <c r="C151" s="342" t="s">
        <v>179</v>
      </c>
      <c r="D151" s="340" t="s">
        <v>282</v>
      </c>
      <c r="E151" s="342"/>
      <c r="F151" s="345" t="s">
        <v>275</v>
      </c>
      <c r="G151" s="308">
        <v>1</v>
      </c>
      <c r="H151" s="309">
        <v>4000</v>
      </c>
      <c r="I151" s="309">
        <v>4000</v>
      </c>
      <c r="J151" s="211"/>
      <c r="K151" s="212" t="str">
        <f>IF(OR(J151="",G151=J151),"","*")</f>
        <v/>
      </c>
      <c r="L151" s="338">
        <f>IF($A151&lt;=L$1,I151/I$4,"")</f>
        <v>2.6350461133069827E-4</v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/>
      <c r="T151" s="213" t="e">
        <v>#DIV/0!</v>
      </c>
      <c r="U151" s="214"/>
      <c r="V151" s="215"/>
      <c r="W151" s="310">
        <v>0</v>
      </c>
      <c r="X151" s="311">
        <v>0</v>
      </c>
      <c r="Y151" s="311">
        <v>0</v>
      </c>
      <c r="Z151" s="211">
        <v>0</v>
      </c>
      <c r="AA151" s="212"/>
      <c r="AB151" s="213" t="e">
        <v>#DIV/0!</v>
      </c>
      <c r="AC151" s="214"/>
      <c r="AD151" s="215"/>
      <c r="AE151" s="342" t="s">
        <v>283</v>
      </c>
      <c r="AF151" s="341" t="s">
        <v>337</v>
      </c>
    </row>
    <row r="152" spans="1:32">
      <c r="A152" s="307">
        <v>3</v>
      </c>
      <c r="B152" s="342"/>
      <c r="C152" s="342" t="s">
        <v>179</v>
      </c>
      <c r="D152" s="340" t="s">
        <v>284</v>
      </c>
      <c r="E152" s="342" t="s">
        <v>285</v>
      </c>
      <c r="F152" s="345" t="s">
        <v>275</v>
      </c>
      <c r="G152" s="308">
        <v>1</v>
      </c>
      <c r="H152" s="309">
        <v>5500</v>
      </c>
      <c r="I152" s="309">
        <v>5500</v>
      </c>
      <c r="J152" s="211"/>
      <c r="K152" s="212" t="str">
        <f>IF(OR(J152="",G152=J152),"","*")</f>
        <v/>
      </c>
      <c r="L152" s="338">
        <f>IF($A152&lt;=L$1,I152/I$4,"")</f>
        <v>3.6231884057971015E-4</v>
      </c>
      <c r="M152" s="343"/>
      <c r="N152" s="344"/>
      <c r="O152" s="310">
        <v>0</v>
      </c>
      <c r="P152" s="311">
        <v>0</v>
      </c>
      <c r="Q152" s="311">
        <v>0</v>
      </c>
      <c r="R152" s="211">
        <v>0</v>
      </c>
      <c r="S152" s="212"/>
      <c r="T152" s="213" t="e">
        <v>#DIV/0!</v>
      </c>
      <c r="U152" s="214"/>
      <c r="V152" s="215"/>
      <c r="W152" s="310">
        <v>0</v>
      </c>
      <c r="X152" s="311">
        <v>0</v>
      </c>
      <c r="Y152" s="311">
        <v>0</v>
      </c>
      <c r="Z152" s="211">
        <v>0</v>
      </c>
      <c r="AA152" s="212"/>
      <c r="AB152" s="213" t="e">
        <v>#DIV/0!</v>
      </c>
      <c r="AC152" s="214"/>
      <c r="AD152" s="215"/>
      <c r="AE152" s="342" t="s">
        <v>286</v>
      </c>
      <c r="AF152" s="341" t="s">
        <v>337</v>
      </c>
    </row>
    <row r="153" spans="1:32">
      <c r="A153" s="307">
        <v>3</v>
      </c>
      <c r="B153" s="342"/>
      <c r="C153" s="342" t="s">
        <v>179</v>
      </c>
      <c r="D153" s="340" t="s">
        <v>287</v>
      </c>
      <c r="E153" s="342"/>
      <c r="F153" s="345" t="s">
        <v>275</v>
      </c>
      <c r="G153" s="308">
        <v>1</v>
      </c>
      <c r="H153" s="309">
        <v>4300</v>
      </c>
      <c r="I153" s="309">
        <v>4300</v>
      </c>
      <c r="J153" s="211"/>
      <c r="K153" s="212" t="str">
        <f>IF(OR(J153="",G153=J153),"","*")</f>
        <v/>
      </c>
      <c r="L153" s="338">
        <f>IF($A153&lt;=L$1,I153/I$4,"")</f>
        <v>2.8326745718050068E-4</v>
      </c>
      <c r="M153" s="343"/>
      <c r="N153" s="344"/>
      <c r="O153" s="310">
        <v>0</v>
      </c>
      <c r="P153" s="311">
        <v>0</v>
      </c>
      <c r="Q153" s="311">
        <v>0</v>
      </c>
      <c r="R153" s="211">
        <v>0</v>
      </c>
      <c r="S153" s="212"/>
      <c r="T153" s="213" t="e">
        <v>#DIV/0!</v>
      </c>
      <c r="U153" s="214"/>
      <c r="V153" s="215"/>
      <c r="W153" s="310">
        <v>0</v>
      </c>
      <c r="X153" s="311">
        <v>0</v>
      </c>
      <c r="Y153" s="311">
        <v>0</v>
      </c>
      <c r="Z153" s="211">
        <v>0</v>
      </c>
      <c r="AA153" s="212"/>
      <c r="AB153" s="213" t="e">
        <v>#DIV/0!</v>
      </c>
      <c r="AC153" s="214"/>
      <c r="AD153" s="215"/>
      <c r="AE153" s="342" t="s">
        <v>288</v>
      </c>
      <c r="AF153" s="341" t="s">
        <v>337</v>
      </c>
    </row>
    <row r="154" spans="1:32">
      <c r="A154" s="307">
        <v>3</v>
      </c>
      <c r="B154" s="342"/>
      <c r="C154" s="342" t="s">
        <v>179</v>
      </c>
      <c r="D154" s="340" t="s">
        <v>338</v>
      </c>
      <c r="E154" s="342"/>
      <c r="F154" s="345" t="s">
        <v>275</v>
      </c>
      <c r="G154" s="308">
        <v>1</v>
      </c>
      <c r="H154" s="309">
        <v>70000</v>
      </c>
      <c r="I154" s="309">
        <v>70000</v>
      </c>
      <c r="J154" s="211"/>
      <c r="K154" s="212" t="str">
        <f>IF(OR(J154="",G154=J154),"","*")</f>
        <v/>
      </c>
      <c r="L154" s="338">
        <f>IF($A154&lt;=L$1,I154/I$4,"")</f>
        <v>4.61133069828722E-3</v>
      </c>
      <c r="M154" s="343"/>
      <c r="N154" s="344"/>
      <c r="O154" s="310">
        <v>0</v>
      </c>
      <c r="P154" s="311">
        <v>0</v>
      </c>
      <c r="Q154" s="311">
        <v>0</v>
      </c>
      <c r="R154" s="211">
        <v>0</v>
      </c>
      <c r="S154" s="212"/>
      <c r="T154" s="213" t="e">
        <v>#DIV/0!</v>
      </c>
      <c r="U154" s="214"/>
      <c r="V154" s="215"/>
      <c r="W154" s="310">
        <v>0</v>
      </c>
      <c r="X154" s="311">
        <v>0</v>
      </c>
      <c r="Y154" s="311">
        <v>0</v>
      </c>
      <c r="Z154" s="211">
        <v>0</v>
      </c>
      <c r="AA154" s="212"/>
      <c r="AB154" s="213" t="e">
        <v>#DIV/0!</v>
      </c>
      <c r="AC154" s="214"/>
      <c r="AD154" s="215"/>
      <c r="AE154" s="342" t="s">
        <v>339</v>
      </c>
      <c r="AF154" s="341" t="s">
        <v>337</v>
      </c>
    </row>
    <row r="155" spans="1:32">
      <c r="A155" s="307">
        <v>3</v>
      </c>
      <c r="B155" s="342"/>
      <c r="C155" s="342" t="s">
        <v>179</v>
      </c>
      <c r="D155" s="340" t="s">
        <v>291</v>
      </c>
      <c r="E155" s="342" t="s">
        <v>292</v>
      </c>
      <c r="F155" s="345" t="s">
        <v>275</v>
      </c>
      <c r="G155" s="308">
        <v>1</v>
      </c>
      <c r="H155" s="309">
        <v>115000</v>
      </c>
      <c r="I155" s="309">
        <v>115000</v>
      </c>
      <c r="J155" s="211"/>
      <c r="K155" s="212" t="str">
        <f>IF(OR(J155="",G155=J155),"","*")</f>
        <v/>
      </c>
      <c r="L155" s="338">
        <f>IF($A155&lt;=L$1,I155/I$4,"")</f>
        <v>7.575757575757576E-3</v>
      </c>
      <c r="M155" s="343"/>
      <c r="N155" s="344"/>
      <c r="O155" s="310">
        <v>0</v>
      </c>
      <c r="P155" s="311">
        <v>0</v>
      </c>
      <c r="Q155" s="311">
        <v>0</v>
      </c>
      <c r="R155" s="211">
        <v>0</v>
      </c>
      <c r="S155" s="212"/>
      <c r="T155" s="213" t="e">
        <v>#DIV/0!</v>
      </c>
      <c r="U155" s="214"/>
      <c r="V155" s="215"/>
      <c r="W155" s="310">
        <v>0</v>
      </c>
      <c r="X155" s="311">
        <v>0</v>
      </c>
      <c r="Y155" s="311">
        <v>0</v>
      </c>
      <c r="Z155" s="211">
        <v>0</v>
      </c>
      <c r="AA155" s="212"/>
      <c r="AB155" s="213" t="e">
        <v>#DIV/0!</v>
      </c>
      <c r="AC155" s="214"/>
      <c r="AD155" s="215"/>
      <c r="AE155" s="342" t="s">
        <v>293</v>
      </c>
      <c r="AF155" s="341" t="s">
        <v>337</v>
      </c>
    </row>
    <row r="156" spans="1:32">
      <c r="A156" s="307">
        <v>3</v>
      </c>
      <c r="B156" s="342"/>
      <c r="C156" s="342" t="s">
        <v>179</v>
      </c>
      <c r="D156" s="340" t="s">
        <v>299</v>
      </c>
      <c r="E156" s="342"/>
      <c r="F156" s="345" t="s">
        <v>275</v>
      </c>
      <c r="G156" s="308">
        <v>1</v>
      </c>
      <c r="H156" s="309">
        <v>3000</v>
      </c>
      <c r="I156" s="309">
        <v>3000</v>
      </c>
      <c r="J156" s="211"/>
      <c r="K156" s="212" t="str">
        <f>IF(OR(J156="",G156=J156),"","*")</f>
        <v/>
      </c>
      <c r="L156" s="338">
        <f>IF($A156&lt;=L$1,I156/I$4,"")</f>
        <v>1.9762845849802371E-4</v>
      </c>
      <c r="M156" s="343"/>
      <c r="N156" s="344"/>
      <c r="O156" s="310">
        <v>0</v>
      </c>
      <c r="P156" s="311">
        <v>0</v>
      </c>
      <c r="Q156" s="311">
        <v>0</v>
      </c>
      <c r="R156" s="211">
        <v>0</v>
      </c>
      <c r="S156" s="212"/>
      <c r="T156" s="213" t="e">
        <v>#DIV/0!</v>
      </c>
      <c r="U156" s="214"/>
      <c r="V156" s="215"/>
      <c r="W156" s="310">
        <v>0</v>
      </c>
      <c r="X156" s="311">
        <v>0</v>
      </c>
      <c r="Y156" s="311">
        <v>0</v>
      </c>
      <c r="Z156" s="211">
        <v>0</v>
      </c>
      <c r="AA156" s="212"/>
      <c r="AB156" s="213" t="e">
        <v>#DIV/0!</v>
      </c>
      <c r="AC156" s="214"/>
      <c r="AD156" s="215"/>
      <c r="AE156" s="342" t="s">
        <v>300</v>
      </c>
      <c r="AF156" s="341" t="s">
        <v>337</v>
      </c>
    </row>
    <row r="157" spans="1:32">
      <c r="A157" s="307">
        <v>3</v>
      </c>
      <c r="B157" s="342"/>
      <c r="C157" s="342" t="s">
        <v>179</v>
      </c>
      <c r="D157" s="340" t="s">
        <v>301</v>
      </c>
      <c r="E157" s="342"/>
      <c r="F157" s="345" t="s">
        <v>302</v>
      </c>
      <c r="G157" s="308">
        <v>100</v>
      </c>
      <c r="H157" s="309">
        <v>150</v>
      </c>
      <c r="I157" s="309">
        <v>15000</v>
      </c>
      <c r="J157" s="211"/>
      <c r="K157" s="212" t="str">
        <f>IF(OR(J157="",G157=J157),"","*")</f>
        <v/>
      </c>
      <c r="L157" s="338">
        <f>IF($A157&lt;=L$1,I157/I$4,"")</f>
        <v>9.8814229249011851E-4</v>
      </c>
      <c r="M157" s="343"/>
      <c r="N157" s="344"/>
      <c r="O157" s="310">
        <v>0</v>
      </c>
      <c r="P157" s="311">
        <v>0</v>
      </c>
      <c r="Q157" s="311">
        <v>0</v>
      </c>
      <c r="R157" s="211">
        <v>0</v>
      </c>
      <c r="S157" s="212"/>
      <c r="T157" s="213" t="e">
        <v>#DIV/0!</v>
      </c>
      <c r="U157" s="214"/>
      <c r="V157" s="215"/>
      <c r="W157" s="310">
        <v>0</v>
      </c>
      <c r="X157" s="311">
        <v>0</v>
      </c>
      <c r="Y157" s="311">
        <v>0</v>
      </c>
      <c r="Z157" s="211">
        <v>0</v>
      </c>
      <c r="AA157" s="212"/>
      <c r="AB157" s="213" t="e">
        <v>#DIV/0!</v>
      </c>
      <c r="AC157" s="214"/>
      <c r="AD157" s="215"/>
      <c r="AE157" s="342" t="s">
        <v>303</v>
      </c>
      <c r="AF157" s="341" t="s">
        <v>340</v>
      </c>
    </row>
    <row r="158" spans="1:32">
      <c r="A158" s="307">
        <v>3</v>
      </c>
      <c r="B158" s="342"/>
      <c r="C158" s="342" t="s">
        <v>180</v>
      </c>
      <c r="D158" s="340" t="s">
        <v>305</v>
      </c>
      <c r="E158" s="342" t="s">
        <v>306</v>
      </c>
      <c r="F158" s="345" t="s">
        <v>275</v>
      </c>
      <c r="G158" s="308">
        <v>1</v>
      </c>
      <c r="H158" s="309">
        <v>5000</v>
      </c>
      <c r="I158" s="309">
        <v>5000</v>
      </c>
      <c r="J158" s="211"/>
      <c r="K158" s="212" t="str">
        <f>IF(OR(J158="",G158=J158),"","*")</f>
        <v/>
      </c>
      <c r="L158" s="338">
        <f>IF($A158&lt;=L$1,I158/I$4,"")</f>
        <v>3.2938076416337287E-4</v>
      </c>
      <c r="M158" s="343"/>
      <c r="N158" s="344"/>
      <c r="O158" s="310">
        <v>0</v>
      </c>
      <c r="P158" s="311">
        <v>0</v>
      </c>
      <c r="Q158" s="311">
        <v>0</v>
      </c>
      <c r="R158" s="211">
        <v>0</v>
      </c>
      <c r="S158" s="212"/>
      <c r="T158" s="213" t="e">
        <v>#DIV/0!</v>
      </c>
      <c r="U158" s="214"/>
      <c r="V158" s="215"/>
      <c r="W158" s="310">
        <v>0</v>
      </c>
      <c r="X158" s="311">
        <v>0</v>
      </c>
      <c r="Y158" s="311">
        <v>0</v>
      </c>
      <c r="Z158" s="211">
        <v>0</v>
      </c>
      <c r="AA158" s="212"/>
      <c r="AB158" s="213" t="e">
        <v>#DIV/0!</v>
      </c>
      <c r="AC158" s="214"/>
      <c r="AD158" s="215"/>
      <c r="AE158" s="342" t="s">
        <v>307</v>
      </c>
      <c r="AF158" s="341" t="s">
        <v>337</v>
      </c>
    </row>
    <row r="159" spans="1:32">
      <c r="A159" s="307">
        <v>3</v>
      </c>
      <c r="B159" s="342"/>
      <c r="C159" s="342" t="s">
        <v>180</v>
      </c>
      <c r="D159" s="340" t="s">
        <v>308</v>
      </c>
      <c r="E159" s="342"/>
      <c r="F159" s="345" t="s">
        <v>275</v>
      </c>
      <c r="G159" s="308">
        <v>2</v>
      </c>
      <c r="H159" s="309">
        <v>5000</v>
      </c>
      <c r="I159" s="309">
        <v>10000</v>
      </c>
      <c r="J159" s="211"/>
      <c r="K159" s="212" t="str">
        <f>IF(OR(J159="",G159=J159),"","*")</f>
        <v/>
      </c>
      <c r="L159" s="338">
        <f>IF($A159&lt;=L$1,I159/I$4,"")</f>
        <v>6.5876152832674575E-4</v>
      </c>
      <c r="M159" s="343"/>
      <c r="N159" s="344"/>
      <c r="O159" s="310">
        <v>0</v>
      </c>
      <c r="P159" s="311">
        <v>0</v>
      </c>
      <c r="Q159" s="311">
        <v>0</v>
      </c>
      <c r="R159" s="211">
        <v>0</v>
      </c>
      <c r="S159" s="212"/>
      <c r="T159" s="213" t="e">
        <v>#DIV/0!</v>
      </c>
      <c r="U159" s="214"/>
      <c r="V159" s="215"/>
      <c r="W159" s="310">
        <v>0</v>
      </c>
      <c r="X159" s="311">
        <v>0</v>
      </c>
      <c r="Y159" s="311">
        <v>0</v>
      </c>
      <c r="Z159" s="211">
        <v>0</v>
      </c>
      <c r="AA159" s="212"/>
      <c r="AB159" s="213" t="e">
        <v>#DIV/0!</v>
      </c>
      <c r="AC159" s="214"/>
      <c r="AD159" s="215"/>
      <c r="AE159" s="342" t="s">
        <v>309</v>
      </c>
      <c r="AF159" s="341" t="s">
        <v>326</v>
      </c>
    </row>
    <row r="160" spans="1:32">
      <c r="A160" s="307">
        <v>3</v>
      </c>
      <c r="B160" s="342"/>
      <c r="C160" s="342" t="s">
        <v>180</v>
      </c>
      <c r="D160" s="340" t="s">
        <v>311</v>
      </c>
      <c r="E160" s="342"/>
      <c r="F160" s="345" t="s">
        <v>275</v>
      </c>
      <c r="G160" s="308">
        <v>1</v>
      </c>
      <c r="H160" s="309">
        <v>7000</v>
      </c>
      <c r="I160" s="309">
        <v>7000</v>
      </c>
      <c r="J160" s="211"/>
      <c r="K160" s="212" t="str">
        <f>IF(OR(J160="",G160=J160),"","*")</f>
        <v/>
      </c>
      <c r="L160" s="338">
        <f>IF($A160&lt;=L$1,I160/I$4,"")</f>
        <v>4.6113306982872198E-4</v>
      </c>
      <c r="M160" s="343"/>
      <c r="N160" s="344"/>
      <c r="O160" s="310">
        <v>0</v>
      </c>
      <c r="P160" s="311">
        <v>0</v>
      </c>
      <c r="Q160" s="311">
        <v>0</v>
      </c>
      <c r="R160" s="211">
        <v>0</v>
      </c>
      <c r="S160" s="212"/>
      <c r="T160" s="213" t="e">
        <v>#DIV/0!</v>
      </c>
      <c r="U160" s="214"/>
      <c r="V160" s="215"/>
      <c r="W160" s="310">
        <v>0</v>
      </c>
      <c r="X160" s="311">
        <v>0</v>
      </c>
      <c r="Y160" s="311">
        <v>0</v>
      </c>
      <c r="Z160" s="211">
        <v>0</v>
      </c>
      <c r="AA160" s="212"/>
      <c r="AB160" s="213" t="e">
        <v>#DIV/0!</v>
      </c>
      <c r="AC160" s="214"/>
      <c r="AD160" s="215"/>
      <c r="AE160" s="342" t="s">
        <v>312</v>
      </c>
      <c r="AF160" s="341" t="s">
        <v>337</v>
      </c>
    </row>
    <row r="161" spans="1:32">
      <c r="A161" s="307">
        <v>3</v>
      </c>
      <c r="B161" s="342"/>
      <c r="C161" s="342" t="s">
        <v>181</v>
      </c>
      <c r="D161" s="340" t="s">
        <v>244</v>
      </c>
      <c r="E161" s="342"/>
      <c r="F161" s="345" t="s">
        <v>173</v>
      </c>
      <c r="G161" s="308">
        <v>1</v>
      </c>
      <c r="H161" s="309">
        <v>7476</v>
      </c>
      <c r="I161" s="309">
        <v>7476</v>
      </c>
      <c r="J161" s="211"/>
      <c r="K161" s="212" t="str">
        <f>IF(OR(J161="",G161=J161),"","*")</f>
        <v/>
      </c>
      <c r="L161" s="338">
        <f>IF($A161&lt;=L$1,I161/I$4,"")</f>
        <v>4.9249011857707508E-4</v>
      </c>
      <c r="M161" s="343"/>
      <c r="N161" s="344"/>
      <c r="O161" s="310">
        <v>0</v>
      </c>
      <c r="P161" s="311">
        <v>0</v>
      </c>
      <c r="Q161" s="311">
        <v>0</v>
      </c>
      <c r="R161" s="211">
        <v>0</v>
      </c>
      <c r="S161" s="212"/>
      <c r="T161" s="213" t="e">
        <v>#DIV/0!</v>
      </c>
      <c r="U161" s="214"/>
      <c r="V161" s="215"/>
      <c r="W161" s="310">
        <v>0</v>
      </c>
      <c r="X161" s="311">
        <v>0</v>
      </c>
      <c r="Y161" s="311">
        <v>0</v>
      </c>
      <c r="Z161" s="211">
        <v>0</v>
      </c>
      <c r="AA161" s="212"/>
      <c r="AB161" s="213" t="e">
        <v>#DIV/0!</v>
      </c>
      <c r="AC161" s="214"/>
      <c r="AD161" s="215"/>
      <c r="AE161" s="342"/>
      <c r="AF161" s="341"/>
    </row>
    <row r="162" spans="1:32">
      <c r="A162" s="307">
        <v>2</v>
      </c>
      <c r="B162" s="342"/>
      <c r="C162" s="342" t="s">
        <v>233</v>
      </c>
      <c r="D162" s="340" t="s">
        <v>403</v>
      </c>
      <c r="E162" s="342"/>
      <c r="F162" s="345" t="s">
        <v>173</v>
      </c>
      <c r="G162" s="308">
        <v>1</v>
      </c>
      <c r="H162" s="309">
        <v>444</v>
      </c>
      <c r="I162" s="309">
        <v>444</v>
      </c>
      <c r="J162" s="211">
        <v>1</v>
      </c>
      <c r="K162" s="212" t="str">
        <f>IF(OR(J162="",G162=J162),"","*")</f>
        <v/>
      </c>
      <c r="L162" s="338">
        <f>IF($A162&lt;=L$1,I162/I$4,"")</f>
        <v>2.9249011857707511E-5</v>
      </c>
      <c r="M162" s="343"/>
      <c r="N162" s="344" t="s">
        <v>404</v>
      </c>
      <c r="O162" s="310">
        <v>0</v>
      </c>
      <c r="P162" s="311">
        <v>0</v>
      </c>
      <c r="Q162" s="311">
        <v>0</v>
      </c>
      <c r="R162" s="211">
        <v>0</v>
      </c>
      <c r="S162" s="212"/>
      <c r="T162" s="213" t="e">
        <v>#DIV/0!</v>
      </c>
      <c r="U162" s="214"/>
      <c r="V162" s="215"/>
      <c r="W162" s="310">
        <v>0</v>
      </c>
      <c r="X162" s="311">
        <v>0</v>
      </c>
      <c r="Y162" s="311">
        <v>0</v>
      </c>
      <c r="Z162" s="211">
        <v>0</v>
      </c>
      <c r="AA162" s="212"/>
      <c r="AB162" s="213" t="e">
        <v>#DIV/0!</v>
      </c>
      <c r="AC162" s="214"/>
      <c r="AD162" s="215"/>
      <c r="AE162" s="342"/>
      <c r="AF162" s="341"/>
    </row>
    <row r="163" spans="1:32">
      <c r="A163" s="307">
        <v>3</v>
      </c>
      <c r="B163" s="342"/>
      <c r="C163" s="342"/>
      <c r="D163" s="340" t="s">
        <v>405</v>
      </c>
      <c r="E163" s="342"/>
      <c r="F163" s="345" t="s">
        <v>173</v>
      </c>
      <c r="G163" s="308">
        <v>1</v>
      </c>
      <c r="H163" s="309">
        <v>444</v>
      </c>
      <c r="I163" s="309">
        <v>444</v>
      </c>
      <c r="J163" s="211"/>
      <c r="K163" s="212" t="str">
        <f>IF(OR(J163="",G163=J163),"","*")</f>
        <v/>
      </c>
      <c r="L163" s="338">
        <f>IF($A163&lt;=L$1,I163/I$4,"")</f>
        <v>2.9249011857707511E-5</v>
      </c>
      <c r="M163" s="343"/>
      <c r="N163" s="344"/>
      <c r="O163" s="310">
        <v>0</v>
      </c>
      <c r="P163" s="311">
        <v>0</v>
      </c>
      <c r="Q163" s="311">
        <v>0</v>
      </c>
      <c r="R163" s="211">
        <v>0</v>
      </c>
      <c r="S163" s="212"/>
      <c r="T163" s="213" t="e">
        <v>#DIV/0!</v>
      </c>
      <c r="U163" s="214"/>
      <c r="V163" s="215"/>
      <c r="W163" s="310">
        <v>0</v>
      </c>
      <c r="X163" s="311">
        <v>0</v>
      </c>
      <c r="Y163" s="311">
        <v>0</v>
      </c>
      <c r="Z163" s="211">
        <v>0</v>
      </c>
      <c r="AA163" s="212"/>
      <c r="AB163" s="213" t="e">
        <v>#DIV/0!</v>
      </c>
      <c r="AC163" s="214"/>
      <c r="AD163" s="215"/>
      <c r="AE163" s="342"/>
      <c r="AF163" s="341"/>
    </row>
    <row r="164" spans="1:32">
      <c r="A164" s="217"/>
      <c r="B164" s="217"/>
      <c r="C164" s="312"/>
      <c r="D164" s="217"/>
      <c r="E164" s="217"/>
      <c r="F164" s="218"/>
      <c r="G164" s="217"/>
      <c r="H164" s="217"/>
      <c r="I164" s="217"/>
      <c r="J164" s="217"/>
      <c r="K164" s="218"/>
      <c r="L164" s="217"/>
      <c r="M164" s="217"/>
      <c r="N164" s="217"/>
      <c r="O164" s="217"/>
      <c r="P164" s="217"/>
      <c r="Q164" s="217"/>
      <c r="R164" s="217"/>
      <c r="S164" s="218"/>
      <c r="T164" s="217"/>
      <c r="U164" s="217"/>
      <c r="V164" s="217"/>
      <c r="W164" s="217"/>
      <c r="X164" s="217"/>
      <c r="Y164" s="217"/>
      <c r="Z164" s="217"/>
      <c r="AA164" s="218"/>
      <c r="AB164" s="217"/>
      <c r="AC164" s="217"/>
      <c r="AD164" s="217"/>
      <c r="AE164" s="217"/>
      <c r="AF164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63 AF4:AF163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63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166</v>
      </c>
      <c r="D4" s="315">
        <v>280000</v>
      </c>
      <c r="E4" s="120"/>
      <c r="F4" s="119" t="s">
        <v>407</v>
      </c>
      <c r="G4" s="316">
        <v>820000</v>
      </c>
      <c r="H4" s="69"/>
    </row>
    <row r="5" spans="1:8" ht="27" customHeight="1">
      <c r="A5" s="69"/>
      <c r="B5" s="118"/>
      <c r="C5" s="119" t="s">
        <v>167</v>
      </c>
      <c r="D5" s="315">
        <v>10000</v>
      </c>
      <c r="E5" s="120"/>
      <c r="F5" s="119" t="s">
        <v>408</v>
      </c>
      <c r="G5" s="316"/>
      <c r="H5" s="69"/>
    </row>
    <row r="6" spans="1:8" ht="27" customHeight="1">
      <c r="A6" s="69"/>
      <c r="B6" s="118"/>
      <c r="C6" s="119" t="s">
        <v>168</v>
      </c>
      <c r="D6" s="315">
        <v>240000</v>
      </c>
      <c r="E6" s="120"/>
      <c r="F6" s="119" t="s">
        <v>409</v>
      </c>
      <c r="G6" s="316"/>
      <c r="H6" s="69"/>
    </row>
    <row r="7" spans="1:8" ht="27" customHeight="1">
      <c r="A7" s="69"/>
      <c r="B7" s="118"/>
      <c r="C7" s="119" t="s">
        <v>410</v>
      </c>
      <c r="D7" s="315">
        <v>740000</v>
      </c>
      <c r="E7" s="120"/>
      <c r="F7" s="119" t="s">
        <v>411</v>
      </c>
      <c r="G7" s="316"/>
      <c r="H7" s="69"/>
    </row>
    <row r="8" spans="1:8" ht="27" customHeight="1">
      <c r="A8" s="69"/>
      <c r="B8" s="118"/>
      <c r="C8" s="119" t="s">
        <v>412</v>
      </c>
      <c r="D8" s="315">
        <v>950000</v>
      </c>
      <c r="E8" s="120"/>
      <c r="F8" s="119" t="s">
        <v>413</v>
      </c>
      <c r="G8" s="316"/>
      <c r="H8" s="69"/>
    </row>
    <row r="9" spans="1:8" ht="27" customHeight="1">
      <c r="A9" s="69"/>
      <c r="B9" s="118"/>
      <c r="C9" s="119" t="s">
        <v>414</v>
      </c>
      <c r="D9" s="315">
        <v>150000</v>
      </c>
      <c r="E9" s="120"/>
      <c r="F9" s="119" t="s">
        <v>415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416</v>
      </c>
      <c r="G10" s="316"/>
      <c r="H10" s="69"/>
    </row>
    <row r="11" spans="1:8" ht="27" customHeight="1">
      <c r="A11" s="69"/>
      <c r="B11" s="118"/>
      <c r="C11" s="119" t="s">
        <v>228</v>
      </c>
      <c r="D11" s="315">
        <v>2370000</v>
      </c>
      <c r="E11" s="120"/>
      <c r="F11" s="119" t="s">
        <v>417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228</v>
      </c>
      <c r="G13" s="316">
        <v>820000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176</v>
      </c>
      <c r="H3" s="128" t="s">
        <v>177</v>
      </c>
      <c r="I3" s="128" t="s">
        <v>178</v>
      </c>
      <c r="J3" s="128" t="s">
        <v>179</v>
      </c>
      <c r="K3" s="128" t="s">
        <v>180</v>
      </c>
      <c r="L3" s="128" t="s">
        <v>181</v>
      </c>
      <c r="M3" s="128" t="s">
        <v>182</v>
      </c>
      <c r="N3" s="129" t="s">
        <v>168</v>
      </c>
      <c r="O3" s="69"/>
    </row>
    <row r="4" spans="1:15" ht="30" customHeight="1">
      <c r="A4" s="69"/>
      <c r="B4" s="130" t="s">
        <v>166</v>
      </c>
      <c r="C4" s="131" t="s">
        <v>173</v>
      </c>
      <c r="D4" s="320">
        <v>1</v>
      </c>
      <c r="E4" s="321">
        <v>280000</v>
      </c>
      <c r="F4" s="322">
        <v>280000</v>
      </c>
      <c r="G4" s="323"/>
      <c r="H4" s="324"/>
      <c r="I4" s="324"/>
      <c r="J4" s="324"/>
      <c r="K4" s="324">
        <v>280000</v>
      </c>
      <c r="L4" s="324"/>
      <c r="M4" s="324"/>
      <c r="N4" s="325"/>
      <c r="O4" s="69"/>
    </row>
    <row r="5" spans="1:15" ht="30" customHeight="1">
      <c r="A5" s="69"/>
      <c r="B5" s="130" t="s">
        <v>167</v>
      </c>
      <c r="C5" s="131" t="s">
        <v>173</v>
      </c>
      <c r="D5" s="326">
        <v>1</v>
      </c>
      <c r="E5" s="321">
        <v>10000</v>
      </c>
      <c r="F5" s="322">
        <v>10000</v>
      </c>
      <c r="G5" s="323"/>
      <c r="H5" s="324"/>
      <c r="I5" s="324"/>
      <c r="J5" s="324">
        <v>10000</v>
      </c>
      <c r="K5" s="324"/>
      <c r="L5" s="324"/>
      <c r="M5" s="324"/>
      <c r="N5" s="325"/>
      <c r="O5" s="69"/>
    </row>
    <row r="6" spans="1:15" ht="30" customHeight="1">
      <c r="A6" s="69"/>
      <c r="B6" s="130" t="s">
        <v>168</v>
      </c>
      <c r="C6" s="131" t="s">
        <v>173</v>
      </c>
      <c r="D6" s="326">
        <v>1</v>
      </c>
      <c r="E6" s="321">
        <v>240000</v>
      </c>
      <c r="F6" s="322">
        <v>240000</v>
      </c>
      <c r="G6" s="323"/>
      <c r="H6" s="324"/>
      <c r="I6" s="324"/>
      <c r="J6" s="324"/>
      <c r="K6" s="324"/>
      <c r="L6" s="324">
        <v>7180</v>
      </c>
      <c r="M6" s="324"/>
      <c r="N6" s="325">
        <v>232820</v>
      </c>
      <c r="O6" s="69"/>
    </row>
    <row r="7" spans="1:15" ht="30" customHeight="1">
      <c r="A7" s="69"/>
      <c r="B7" s="130" t="s">
        <v>410</v>
      </c>
      <c r="C7" s="131" t="s">
        <v>173</v>
      </c>
      <c r="D7" s="326">
        <v>1</v>
      </c>
      <c r="E7" s="321">
        <v>740000</v>
      </c>
      <c r="F7" s="322">
        <v>740000</v>
      </c>
      <c r="G7" s="323"/>
      <c r="H7" s="324"/>
      <c r="I7" s="324">
        <v>740000</v>
      </c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412</v>
      </c>
      <c r="C8" s="131" t="s">
        <v>173</v>
      </c>
      <c r="D8" s="326">
        <v>1</v>
      </c>
      <c r="E8" s="321">
        <v>950000</v>
      </c>
      <c r="F8" s="322">
        <v>950000</v>
      </c>
      <c r="G8" s="323"/>
      <c r="H8" s="324"/>
      <c r="I8" s="324">
        <v>728000</v>
      </c>
      <c r="J8" s="324">
        <v>202000</v>
      </c>
      <c r="K8" s="324">
        <v>16500</v>
      </c>
      <c r="L8" s="324">
        <v>3500</v>
      </c>
      <c r="M8" s="324"/>
      <c r="N8" s="325"/>
      <c r="O8" s="69"/>
    </row>
    <row r="9" spans="1:15" ht="30" customHeight="1">
      <c r="A9" s="69"/>
      <c r="B9" s="130" t="s">
        <v>414</v>
      </c>
      <c r="C9" s="131" t="s">
        <v>173</v>
      </c>
      <c r="D9" s="326">
        <v>1</v>
      </c>
      <c r="E9" s="321">
        <v>150000</v>
      </c>
      <c r="F9" s="322">
        <v>150000</v>
      </c>
      <c r="G9" s="323"/>
      <c r="H9" s="324">
        <v>69000</v>
      </c>
      <c r="I9" s="324">
        <v>73000</v>
      </c>
      <c r="J9" s="324"/>
      <c r="K9" s="324">
        <v>4000</v>
      </c>
      <c r="L9" s="324">
        <v>4000</v>
      </c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228</v>
      </c>
      <c r="C11" s="131"/>
      <c r="D11" s="326"/>
      <c r="E11" s="321"/>
      <c r="F11" s="322">
        <v>2370000</v>
      </c>
      <c r="G11" s="323"/>
      <c r="H11" s="324">
        <v>69000</v>
      </c>
      <c r="I11" s="324">
        <v>1541000</v>
      </c>
      <c r="J11" s="324">
        <v>212000</v>
      </c>
      <c r="K11" s="324">
        <v>300500</v>
      </c>
      <c r="L11" s="324">
        <v>14680</v>
      </c>
      <c r="M11" s="324"/>
      <c r="N11" s="325">
        <v>232820</v>
      </c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39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★市道中荻野飯山線舗装補修工事</v>
      </c>
      <c r="G1" s="306"/>
      <c r="H1" s="190" t="s">
        <v>131</v>
      </c>
      <c r="I1" s="333">
        <v>17500000</v>
      </c>
      <c r="J1" s="339">
        <f>I4/I$1</f>
        <v>0.86742857142857144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230</v>
      </c>
      <c r="D4" s="340" t="s">
        <v>183</v>
      </c>
      <c r="E4" s="342"/>
      <c r="F4" s="345" t="s">
        <v>173</v>
      </c>
      <c r="G4" s="308">
        <v>1</v>
      </c>
      <c r="H4" s="309">
        <v>15180000</v>
      </c>
      <c r="I4" s="309">
        <v>15180000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418</v>
      </c>
      <c r="P4" s="347" t="s">
        <v>418</v>
      </c>
      <c r="Q4" s="347" t="s">
        <v>418</v>
      </c>
      <c r="R4" s="348" t="s">
        <v>418</v>
      </c>
      <c r="S4" s="349"/>
      <c r="T4" s="343" t="s">
        <v>419</v>
      </c>
      <c r="U4" s="343"/>
      <c r="V4" s="344"/>
      <c r="W4" s="346" t="s">
        <v>418</v>
      </c>
      <c r="X4" s="347" t="s">
        <v>418</v>
      </c>
      <c r="Y4" s="347" t="s">
        <v>418</v>
      </c>
      <c r="Z4" s="348" t="s">
        <v>418</v>
      </c>
      <c r="AA4" s="349"/>
      <c r="AB4" s="343" t="s">
        <v>419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231</v>
      </c>
      <c r="D5" s="340" t="s">
        <v>420</v>
      </c>
      <c r="E5" s="342"/>
      <c r="F5" s="345" t="s">
        <v>173</v>
      </c>
      <c r="G5" s="308">
        <v>1</v>
      </c>
      <c r="H5" s="309">
        <v>2370000</v>
      </c>
      <c r="I5" s="309">
        <v>2370000</v>
      </c>
      <c r="J5" s="211"/>
      <c r="K5" s="212" t="str">
        <f>IF(OR(J5="",G5=J5),"","*")</f>
        <v/>
      </c>
      <c r="L5" s="338">
        <f>IF($A5&lt;=L$1,I5/I$4,"")</f>
        <v>0.15612648221343872</v>
      </c>
      <c r="M5" s="343"/>
      <c r="N5" s="344"/>
      <c r="O5" s="346" t="s">
        <v>418</v>
      </c>
      <c r="P5" s="347" t="s">
        <v>418</v>
      </c>
      <c r="Q5" s="347" t="s">
        <v>418</v>
      </c>
      <c r="R5" s="348" t="s">
        <v>418</v>
      </c>
      <c r="S5" s="349"/>
      <c r="T5" s="343" t="s">
        <v>419</v>
      </c>
      <c r="U5" s="343"/>
      <c r="V5" s="344"/>
      <c r="W5" s="346" t="s">
        <v>418</v>
      </c>
      <c r="X5" s="347" t="s">
        <v>418</v>
      </c>
      <c r="Y5" s="347" t="s">
        <v>418</v>
      </c>
      <c r="Z5" s="348" t="s">
        <v>418</v>
      </c>
      <c r="AA5" s="349"/>
      <c r="AB5" s="343" t="s">
        <v>419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233</v>
      </c>
      <c r="D6" s="340" t="s">
        <v>421</v>
      </c>
      <c r="E6" s="342"/>
      <c r="F6" s="345" t="s">
        <v>173</v>
      </c>
      <c r="G6" s="308">
        <v>1</v>
      </c>
      <c r="H6" s="309">
        <v>280000</v>
      </c>
      <c r="I6" s="309">
        <v>280000</v>
      </c>
      <c r="J6" s="211">
        <v>1</v>
      </c>
      <c r="K6" s="212" t="str">
        <f>IF(OR(J6="",G6=J6),"","*")</f>
        <v/>
      </c>
      <c r="L6" s="338">
        <f>IF($A6&lt;=L$1,I6/I$4,"")</f>
        <v>1.844532279314888E-2</v>
      </c>
      <c r="M6" s="343"/>
      <c r="N6" s="344" t="s">
        <v>422</v>
      </c>
      <c r="O6" s="346" t="s">
        <v>418</v>
      </c>
      <c r="P6" s="347" t="s">
        <v>418</v>
      </c>
      <c r="Q6" s="347" t="s">
        <v>418</v>
      </c>
      <c r="R6" s="348" t="s">
        <v>418</v>
      </c>
      <c r="S6" s="349"/>
      <c r="T6" s="343" t="s">
        <v>419</v>
      </c>
      <c r="U6" s="343"/>
      <c r="V6" s="344"/>
      <c r="W6" s="346" t="s">
        <v>418</v>
      </c>
      <c r="X6" s="347" t="s">
        <v>418</v>
      </c>
      <c r="Y6" s="347" t="s">
        <v>418</v>
      </c>
      <c r="Z6" s="348" t="s">
        <v>418</v>
      </c>
      <c r="AA6" s="349"/>
      <c r="AB6" s="343" t="s">
        <v>419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180</v>
      </c>
      <c r="D7" s="340" t="s">
        <v>423</v>
      </c>
      <c r="E7" s="342" t="s">
        <v>424</v>
      </c>
      <c r="F7" s="345" t="s">
        <v>266</v>
      </c>
      <c r="G7" s="308">
        <v>2</v>
      </c>
      <c r="H7" s="309">
        <v>30000</v>
      </c>
      <c r="I7" s="309">
        <v>60000</v>
      </c>
      <c r="J7" s="211"/>
      <c r="K7" s="212" t="str">
        <f>IF(OR(J7="",G7=J7),"","*")</f>
        <v/>
      </c>
      <c r="L7" s="338">
        <f>IF($A7&lt;=L$1,I7/I$4,"")</f>
        <v>3.952569169960474E-3</v>
      </c>
      <c r="M7" s="343"/>
      <c r="N7" s="344"/>
      <c r="O7" s="346" t="s">
        <v>418</v>
      </c>
      <c r="P7" s="347" t="s">
        <v>418</v>
      </c>
      <c r="Q7" s="347" t="s">
        <v>418</v>
      </c>
      <c r="R7" s="348" t="s">
        <v>418</v>
      </c>
      <c r="S7" s="349"/>
      <c r="T7" s="343" t="s">
        <v>419</v>
      </c>
      <c r="U7" s="343"/>
      <c r="V7" s="344"/>
      <c r="W7" s="346" t="s">
        <v>418</v>
      </c>
      <c r="X7" s="347" t="s">
        <v>418</v>
      </c>
      <c r="Y7" s="347" t="s">
        <v>418</v>
      </c>
      <c r="Z7" s="348" t="s">
        <v>418</v>
      </c>
      <c r="AA7" s="349"/>
      <c r="AB7" s="343" t="s">
        <v>419</v>
      </c>
      <c r="AC7" s="343"/>
      <c r="AD7" s="344"/>
      <c r="AE7" s="342" t="s">
        <v>425</v>
      </c>
      <c r="AF7" s="341"/>
    </row>
    <row r="8" spans="1:32">
      <c r="A8" s="307">
        <v>3</v>
      </c>
      <c r="B8" s="342"/>
      <c r="C8" s="342" t="s">
        <v>180</v>
      </c>
      <c r="D8" s="340" t="s">
        <v>426</v>
      </c>
      <c r="E8" s="342"/>
      <c r="F8" s="345" t="s">
        <v>266</v>
      </c>
      <c r="G8" s="308">
        <v>2</v>
      </c>
      <c r="H8" s="309">
        <v>30000</v>
      </c>
      <c r="I8" s="309">
        <v>60000</v>
      </c>
      <c r="J8" s="211"/>
      <c r="K8" s="212" t="str">
        <f>IF(OR(J8="",G8=J8),"","*")</f>
        <v/>
      </c>
      <c r="L8" s="338">
        <f>IF($A8&lt;=L$1,I8/I$4,"")</f>
        <v>3.952569169960474E-3</v>
      </c>
      <c r="M8" s="343"/>
      <c r="N8" s="344"/>
      <c r="O8" s="346" t="s">
        <v>418</v>
      </c>
      <c r="P8" s="347" t="s">
        <v>418</v>
      </c>
      <c r="Q8" s="347" t="s">
        <v>418</v>
      </c>
      <c r="R8" s="348" t="s">
        <v>418</v>
      </c>
      <c r="S8" s="349"/>
      <c r="T8" s="343" t="s">
        <v>419</v>
      </c>
      <c r="U8" s="343"/>
      <c r="V8" s="344"/>
      <c r="W8" s="346" t="s">
        <v>418</v>
      </c>
      <c r="X8" s="347" t="s">
        <v>418</v>
      </c>
      <c r="Y8" s="347" t="s">
        <v>418</v>
      </c>
      <c r="Z8" s="348" t="s">
        <v>418</v>
      </c>
      <c r="AA8" s="349"/>
      <c r="AB8" s="343" t="s">
        <v>419</v>
      </c>
      <c r="AC8" s="343"/>
      <c r="AD8" s="344"/>
      <c r="AE8" s="342" t="s">
        <v>427</v>
      </c>
      <c r="AF8" s="341" t="s">
        <v>428</v>
      </c>
    </row>
    <row r="9" spans="1:32">
      <c r="A9" s="307">
        <v>3</v>
      </c>
      <c r="B9" s="342"/>
      <c r="C9" s="342" t="s">
        <v>180</v>
      </c>
      <c r="D9" s="340" t="s">
        <v>426</v>
      </c>
      <c r="E9" s="342"/>
      <c r="F9" s="345" t="s">
        <v>266</v>
      </c>
      <c r="G9" s="308">
        <v>2</v>
      </c>
      <c r="H9" s="309">
        <v>30000</v>
      </c>
      <c r="I9" s="309">
        <v>60000</v>
      </c>
      <c r="J9" s="211"/>
      <c r="K9" s="212" t="str">
        <f>IF(OR(J9="",G9=J9),"","*")</f>
        <v/>
      </c>
      <c r="L9" s="338">
        <f>IF($A9&lt;=L$1,I9/I$4,"")</f>
        <v>3.952569169960474E-3</v>
      </c>
      <c r="M9" s="343"/>
      <c r="N9" s="344"/>
      <c r="O9" s="346" t="s">
        <v>418</v>
      </c>
      <c r="P9" s="347" t="s">
        <v>418</v>
      </c>
      <c r="Q9" s="347" t="s">
        <v>418</v>
      </c>
      <c r="R9" s="348" t="s">
        <v>418</v>
      </c>
      <c r="S9" s="349"/>
      <c r="T9" s="343" t="s">
        <v>419</v>
      </c>
      <c r="U9" s="343"/>
      <c r="V9" s="344"/>
      <c r="W9" s="346" t="s">
        <v>418</v>
      </c>
      <c r="X9" s="347" t="s">
        <v>418</v>
      </c>
      <c r="Y9" s="347" t="s">
        <v>418</v>
      </c>
      <c r="Z9" s="348" t="s">
        <v>418</v>
      </c>
      <c r="AA9" s="349"/>
      <c r="AB9" s="343" t="s">
        <v>419</v>
      </c>
      <c r="AC9" s="343"/>
      <c r="AD9" s="344"/>
      <c r="AE9" s="342" t="s">
        <v>427</v>
      </c>
      <c r="AF9" s="341" t="s">
        <v>429</v>
      </c>
    </row>
    <row r="10" spans="1:32">
      <c r="A10" s="307">
        <v>3</v>
      </c>
      <c r="B10" s="342"/>
      <c r="C10" s="342" t="s">
        <v>180</v>
      </c>
      <c r="D10" s="340" t="s">
        <v>430</v>
      </c>
      <c r="E10" s="342"/>
      <c r="F10" s="345" t="s">
        <v>266</v>
      </c>
      <c r="G10" s="308">
        <v>2</v>
      </c>
      <c r="H10" s="309">
        <v>25000</v>
      </c>
      <c r="I10" s="309">
        <v>50000</v>
      </c>
      <c r="J10" s="211"/>
      <c r="K10" s="212" t="str">
        <f>IF(OR(J10="",G10=J10),"","*")</f>
        <v/>
      </c>
      <c r="L10" s="338">
        <f>IF($A10&lt;=L$1,I10/I$4,"")</f>
        <v>3.2938076416337285E-3</v>
      </c>
      <c r="M10" s="343"/>
      <c r="N10" s="344"/>
      <c r="O10" s="346" t="s">
        <v>418</v>
      </c>
      <c r="P10" s="347" t="s">
        <v>418</v>
      </c>
      <c r="Q10" s="347" t="s">
        <v>418</v>
      </c>
      <c r="R10" s="348" t="s">
        <v>418</v>
      </c>
      <c r="S10" s="349"/>
      <c r="T10" s="343" t="s">
        <v>419</v>
      </c>
      <c r="U10" s="343"/>
      <c r="V10" s="344"/>
      <c r="W10" s="346" t="s">
        <v>418</v>
      </c>
      <c r="X10" s="347" t="s">
        <v>418</v>
      </c>
      <c r="Y10" s="347" t="s">
        <v>418</v>
      </c>
      <c r="Z10" s="348" t="s">
        <v>418</v>
      </c>
      <c r="AA10" s="349"/>
      <c r="AB10" s="343" t="s">
        <v>419</v>
      </c>
      <c r="AC10" s="343"/>
      <c r="AD10" s="344"/>
      <c r="AE10" s="342" t="s">
        <v>431</v>
      </c>
      <c r="AF10" s="341" t="s">
        <v>432</v>
      </c>
    </row>
    <row r="11" spans="1:32">
      <c r="A11" s="307">
        <v>3</v>
      </c>
      <c r="B11" s="342"/>
      <c r="C11" s="342" t="s">
        <v>180</v>
      </c>
      <c r="D11" s="340" t="s">
        <v>433</v>
      </c>
      <c r="E11" s="342"/>
      <c r="F11" s="345" t="s">
        <v>173</v>
      </c>
      <c r="G11" s="308">
        <v>1</v>
      </c>
      <c r="H11" s="309">
        <v>50000</v>
      </c>
      <c r="I11" s="309">
        <v>50000</v>
      </c>
      <c r="J11" s="211"/>
      <c r="K11" s="212" t="str">
        <f>IF(OR(J11="",G11=J11),"","*")</f>
        <v/>
      </c>
      <c r="L11" s="338">
        <f>IF($A11&lt;=L$1,I11/I$4,"")</f>
        <v>3.2938076416337285E-3</v>
      </c>
      <c r="M11" s="343"/>
      <c r="N11" s="344"/>
      <c r="O11" s="346" t="s">
        <v>418</v>
      </c>
      <c r="P11" s="347" t="s">
        <v>418</v>
      </c>
      <c r="Q11" s="347" t="s">
        <v>418</v>
      </c>
      <c r="R11" s="348" t="s">
        <v>418</v>
      </c>
      <c r="S11" s="349"/>
      <c r="T11" s="343" t="s">
        <v>419</v>
      </c>
      <c r="U11" s="343"/>
      <c r="V11" s="344"/>
      <c r="W11" s="346" t="s">
        <v>418</v>
      </c>
      <c r="X11" s="347" t="s">
        <v>418</v>
      </c>
      <c r="Y11" s="347" t="s">
        <v>418</v>
      </c>
      <c r="Z11" s="348" t="s">
        <v>418</v>
      </c>
      <c r="AA11" s="349"/>
      <c r="AB11" s="343" t="s">
        <v>419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233</v>
      </c>
      <c r="D12" s="340" t="s">
        <v>434</v>
      </c>
      <c r="E12" s="342" t="s">
        <v>175</v>
      </c>
      <c r="F12" s="345" t="s">
        <v>173</v>
      </c>
      <c r="G12" s="308">
        <v>1</v>
      </c>
      <c r="H12" s="309">
        <v>10000</v>
      </c>
      <c r="I12" s="309">
        <v>10000</v>
      </c>
      <c r="J12" s="211">
        <v>1</v>
      </c>
      <c r="K12" s="212" t="str">
        <f>IF(OR(J12="",G12=J12),"","*")</f>
        <v/>
      </c>
      <c r="L12" s="338">
        <f>IF($A12&lt;=L$1,I12/I$4,"")</f>
        <v>6.5876152832674575E-4</v>
      </c>
      <c r="M12" s="343"/>
      <c r="N12" s="344" t="s">
        <v>435</v>
      </c>
      <c r="O12" s="346" t="s">
        <v>418</v>
      </c>
      <c r="P12" s="347" t="s">
        <v>418</v>
      </c>
      <c r="Q12" s="347" t="s">
        <v>418</v>
      </c>
      <c r="R12" s="348" t="s">
        <v>418</v>
      </c>
      <c r="S12" s="349"/>
      <c r="T12" s="343" t="s">
        <v>419</v>
      </c>
      <c r="U12" s="343"/>
      <c r="V12" s="344"/>
      <c r="W12" s="346" t="s">
        <v>418</v>
      </c>
      <c r="X12" s="347" t="s">
        <v>418</v>
      </c>
      <c r="Y12" s="347" t="s">
        <v>418</v>
      </c>
      <c r="Z12" s="348" t="s">
        <v>418</v>
      </c>
      <c r="AA12" s="349"/>
      <c r="AB12" s="343" t="s">
        <v>419</v>
      </c>
      <c r="AC12" s="343"/>
      <c r="AD12" s="344"/>
      <c r="AE12" s="342"/>
      <c r="AF12" s="341"/>
    </row>
    <row r="13" spans="1:32">
      <c r="A13" s="307">
        <v>3</v>
      </c>
      <c r="B13" s="342"/>
      <c r="C13" s="342" t="s">
        <v>179</v>
      </c>
      <c r="D13" s="340" t="s">
        <v>436</v>
      </c>
      <c r="E13" s="342"/>
      <c r="F13" s="345" t="s">
        <v>173</v>
      </c>
      <c r="G13" s="308">
        <v>1</v>
      </c>
      <c r="H13" s="309">
        <v>10000</v>
      </c>
      <c r="I13" s="309">
        <v>10000</v>
      </c>
      <c r="J13" s="211"/>
      <c r="K13" s="212" t="str">
        <f>IF(OR(J13="",G13=J13),"","*")</f>
        <v/>
      </c>
      <c r="L13" s="338">
        <f>IF($A13&lt;=L$1,I13/I$4,"")</f>
        <v>6.5876152832674575E-4</v>
      </c>
      <c r="M13" s="343"/>
      <c r="N13" s="344"/>
      <c r="O13" s="346" t="s">
        <v>418</v>
      </c>
      <c r="P13" s="347" t="s">
        <v>418</v>
      </c>
      <c r="Q13" s="347" t="s">
        <v>418</v>
      </c>
      <c r="R13" s="348" t="s">
        <v>418</v>
      </c>
      <c r="S13" s="349"/>
      <c r="T13" s="343" t="s">
        <v>419</v>
      </c>
      <c r="U13" s="343"/>
      <c r="V13" s="344"/>
      <c r="W13" s="346" t="s">
        <v>418</v>
      </c>
      <c r="X13" s="347" t="s">
        <v>418</v>
      </c>
      <c r="Y13" s="347" t="s">
        <v>418</v>
      </c>
      <c r="Z13" s="348" t="s">
        <v>418</v>
      </c>
      <c r="AA13" s="349"/>
      <c r="AB13" s="343" t="s">
        <v>419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233</v>
      </c>
      <c r="D14" s="340" t="s">
        <v>437</v>
      </c>
      <c r="E14" s="342"/>
      <c r="F14" s="345" t="s">
        <v>173</v>
      </c>
      <c r="G14" s="308">
        <v>1</v>
      </c>
      <c r="H14" s="309">
        <v>240000</v>
      </c>
      <c r="I14" s="309">
        <v>240000</v>
      </c>
      <c r="J14" s="211">
        <v>1</v>
      </c>
      <c r="K14" s="212" t="str">
        <f>IF(OR(J14="",G14=J14),"","*")</f>
        <v/>
      </c>
      <c r="L14" s="338">
        <f>IF($A14&lt;=L$1,I14/I$4,"")</f>
        <v>1.5810276679841896E-2</v>
      </c>
      <c r="M14" s="343"/>
      <c r="N14" s="344" t="s">
        <v>438</v>
      </c>
      <c r="O14" s="346" t="s">
        <v>418</v>
      </c>
      <c r="P14" s="347" t="s">
        <v>418</v>
      </c>
      <c r="Q14" s="347" t="s">
        <v>418</v>
      </c>
      <c r="R14" s="348" t="s">
        <v>418</v>
      </c>
      <c r="S14" s="349"/>
      <c r="T14" s="343" t="s">
        <v>419</v>
      </c>
      <c r="U14" s="343"/>
      <c r="V14" s="344"/>
      <c r="W14" s="346" t="s">
        <v>418</v>
      </c>
      <c r="X14" s="347" t="s">
        <v>418</v>
      </c>
      <c r="Y14" s="347" t="s">
        <v>418</v>
      </c>
      <c r="Z14" s="348" t="s">
        <v>418</v>
      </c>
      <c r="AA14" s="349"/>
      <c r="AB14" s="343" t="s">
        <v>419</v>
      </c>
      <c r="AC14" s="343"/>
      <c r="AD14" s="344"/>
      <c r="AE14" s="342"/>
      <c r="AF14" s="341"/>
    </row>
    <row r="15" spans="1:32">
      <c r="A15" s="307">
        <v>3</v>
      </c>
      <c r="B15" s="342"/>
      <c r="C15" s="342" t="s">
        <v>168</v>
      </c>
      <c r="D15" s="340" t="s">
        <v>439</v>
      </c>
      <c r="E15" s="342"/>
      <c r="F15" s="345" t="s">
        <v>173</v>
      </c>
      <c r="G15" s="308">
        <v>0</v>
      </c>
      <c r="H15" s="309">
        <v>0</v>
      </c>
      <c r="I15" s="309">
        <v>0</v>
      </c>
      <c r="J15" s="211"/>
      <c r="K15" s="212" t="str">
        <f>IF(OR(J15="",G15=J15),"","*")</f>
        <v/>
      </c>
      <c r="L15" s="338">
        <f>IF($A15&lt;=L$1,I15/I$4,"")</f>
        <v>0</v>
      </c>
      <c r="M15" s="343"/>
      <c r="N15" s="344"/>
      <c r="O15" s="346" t="s">
        <v>418</v>
      </c>
      <c r="P15" s="347" t="s">
        <v>418</v>
      </c>
      <c r="Q15" s="347" t="s">
        <v>418</v>
      </c>
      <c r="R15" s="348" t="s">
        <v>418</v>
      </c>
      <c r="S15" s="349"/>
      <c r="T15" s="343" t="s">
        <v>419</v>
      </c>
      <c r="U15" s="343"/>
      <c r="V15" s="344"/>
      <c r="W15" s="346" t="s">
        <v>418</v>
      </c>
      <c r="X15" s="347" t="s">
        <v>418</v>
      </c>
      <c r="Y15" s="347" t="s">
        <v>418</v>
      </c>
      <c r="Z15" s="348" t="s">
        <v>418</v>
      </c>
      <c r="AA15" s="349"/>
      <c r="AB15" s="343" t="s">
        <v>419</v>
      </c>
      <c r="AC15" s="343"/>
      <c r="AD15" s="344"/>
      <c r="AE15" s="342"/>
      <c r="AF15" s="341" t="s">
        <v>440</v>
      </c>
    </row>
    <row r="16" spans="1:32">
      <c r="A16" s="307">
        <v>3</v>
      </c>
      <c r="B16" s="342"/>
      <c r="C16" s="342" t="s">
        <v>168</v>
      </c>
      <c r="D16" s="340" t="s">
        <v>441</v>
      </c>
      <c r="E16" s="342"/>
      <c r="F16" s="345" t="s">
        <v>173</v>
      </c>
      <c r="G16" s="308">
        <v>1</v>
      </c>
      <c r="H16" s="309">
        <v>18320</v>
      </c>
      <c r="I16" s="309">
        <v>18320</v>
      </c>
      <c r="J16" s="211"/>
      <c r="K16" s="212" t="str">
        <f>IF(OR(J16="",G16=J16),"","*")</f>
        <v/>
      </c>
      <c r="L16" s="338">
        <f>IF($A16&lt;=L$1,I16/I$4,"")</f>
        <v>1.2068511198945983E-3</v>
      </c>
      <c r="M16" s="343"/>
      <c r="N16" s="344"/>
      <c r="O16" s="346" t="s">
        <v>418</v>
      </c>
      <c r="P16" s="347" t="s">
        <v>418</v>
      </c>
      <c r="Q16" s="347" t="s">
        <v>418</v>
      </c>
      <c r="R16" s="348" t="s">
        <v>418</v>
      </c>
      <c r="S16" s="349"/>
      <c r="T16" s="343" t="s">
        <v>419</v>
      </c>
      <c r="U16" s="343"/>
      <c r="V16" s="344"/>
      <c r="W16" s="346" t="s">
        <v>418</v>
      </c>
      <c r="X16" s="347" t="s">
        <v>418</v>
      </c>
      <c r="Y16" s="347" t="s">
        <v>418</v>
      </c>
      <c r="Z16" s="348" t="s">
        <v>418</v>
      </c>
      <c r="AA16" s="349"/>
      <c r="AB16" s="343" t="s">
        <v>419</v>
      </c>
      <c r="AC16" s="343"/>
      <c r="AD16" s="344"/>
      <c r="AE16" s="342"/>
      <c r="AF16" s="341" t="s">
        <v>442</v>
      </c>
    </row>
    <row r="17" spans="1:32">
      <c r="A17" s="307">
        <v>3</v>
      </c>
      <c r="B17" s="342"/>
      <c r="C17" s="342" t="s">
        <v>168</v>
      </c>
      <c r="D17" s="340" t="s">
        <v>443</v>
      </c>
      <c r="E17" s="342" t="s">
        <v>444</v>
      </c>
      <c r="F17" s="345" t="s">
        <v>173</v>
      </c>
      <c r="G17" s="308">
        <v>1</v>
      </c>
      <c r="H17" s="309">
        <v>214500</v>
      </c>
      <c r="I17" s="309">
        <v>214500</v>
      </c>
      <c r="J17" s="211"/>
      <c r="K17" s="212" t="str">
        <f>IF(OR(J17="",G17=J17),"","*")</f>
        <v/>
      </c>
      <c r="L17" s="338">
        <f>IF($A17&lt;=L$1,I17/I$4,"")</f>
        <v>1.4130434782608696E-2</v>
      </c>
      <c r="M17" s="343"/>
      <c r="N17" s="344"/>
      <c r="O17" s="346" t="s">
        <v>418</v>
      </c>
      <c r="P17" s="347" t="s">
        <v>418</v>
      </c>
      <c r="Q17" s="347" t="s">
        <v>418</v>
      </c>
      <c r="R17" s="348" t="s">
        <v>418</v>
      </c>
      <c r="S17" s="349"/>
      <c r="T17" s="343" t="s">
        <v>419</v>
      </c>
      <c r="U17" s="343"/>
      <c r="V17" s="344"/>
      <c r="W17" s="346" t="s">
        <v>418</v>
      </c>
      <c r="X17" s="347" t="s">
        <v>418</v>
      </c>
      <c r="Y17" s="347" t="s">
        <v>418</v>
      </c>
      <c r="Z17" s="348" t="s">
        <v>418</v>
      </c>
      <c r="AA17" s="349"/>
      <c r="AB17" s="343" t="s">
        <v>419</v>
      </c>
      <c r="AC17" s="343"/>
      <c r="AD17" s="344"/>
      <c r="AE17" s="342"/>
      <c r="AF17" s="341" t="s">
        <v>445</v>
      </c>
    </row>
    <row r="18" spans="1:32">
      <c r="A18" s="307">
        <v>3</v>
      </c>
      <c r="B18" s="342"/>
      <c r="C18" s="342" t="s">
        <v>181</v>
      </c>
      <c r="D18" s="340" t="s">
        <v>244</v>
      </c>
      <c r="E18" s="342"/>
      <c r="F18" s="345" t="s">
        <v>173</v>
      </c>
      <c r="G18" s="308">
        <v>1</v>
      </c>
      <c r="H18" s="309">
        <v>7180</v>
      </c>
      <c r="I18" s="309">
        <v>7180</v>
      </c>
      <c r="J18" s="211"/>
      <c r="K18" s="212" t="str">
        <f>IF(OR(J18="",G18=J18),"","*")</f>
        <v/>
      </c>
      <c r="L18" s="338">
        <f>IF($A18&lt;=L$1,I18/I$4,"")</f>
        <v>4.7299077733860344E-4</v>
      </c>
      <c r="M18" s="343"/>
      <c r="N18" s="344"/>
      <c r="O18" s="346" t="s">
        <v>418</v>
      </c>
      <c r="P18" s="347" t="s">
        <v>418</v>
      </c>
      <c r="Q18" s="347" t="s">
        <v>418</v>
      </c>
      <c r="R18" s="348" t="s">
        <v>418</v>
      </c>
      <c r="S18" s="349"/>
      <c r="T18" s="343" t="s">
        <v>419</v>
      </c>
      <c r="U18" s="343"/>
      <c r="V18" s="344"/>
      <c r="W18" s="346" t="s">
        <v>418</v>
      </c>
      <c r="X18" s="347" t="s">
        <v>418</v>
      </c>
      <c r="Y18" s="347" t="s">
        <v>418</v>
      </c>
      <c r="Z18" s="348" t="s">
        <v>418</v>
      </c>
      <c r="AA18" s="349"/>
      <c r="AB18" s="343" t="s">
        <v>419</v>
      </c>
      <c r="AC18" s="343"/>
      <c r="AD18" s="344"/>
      <c r="AE18" s="342"/>
      <c r="AF18" s="341"/>
    </row>
    <row r="19" spans="1:32">
      <c r="A19" s="307">
        <v>2</v>
      </c>
      <c r="B19" s="342"/>
      <c r="C19" s="342" t="s">
        <v>233</v>
      </c>
      <c r="D19" s="340" t="s">
        <v>446</v>
      </c>
      <c r="E19" s="342"/>
      <c r="F19" s="345" t="s">
        <v>173</v>
      </c>
      <c r="G19" s="308">
        <v>1</v>
      </c>
      <c r="H19" s="309">
        <v>740000</v>
      </c>
      <c r="I19" s="309">
        <v>740000</v>
      </c>
      <c r="J19" s="211">
        <v>1</v>
      </c>
      <c r="K19" s="212" t="str">
        <f>IF(OR(J19="",G19=J19),"","*")</f>
        <v/>
      </c>
      <c r="L19" s="338">
        <f>IF($A19&lt;=L$1,I19/I$4,"")</f>
        <v>4.8748353096179184E-2</v>
      </c>
      <c r="M19" s="343"/>
      <c r="N19" s="344" t="s">
        <v>447</v>
      </c>
      <c r="O19" s="346" t="s">
        <v>418</v>
      </c>
      <c r="P19" s="347" t="s">
        <v>418</v>
      </c>
      <c r="Q19" s="347" t="s">
        <v>418</v>
      </c>
      <c r="R19" s="348" t="s">
        <v>418</v>
      </c>
      <c r="S19" s="349"/>
      <c r="T19" s="343" t="s">
        <v>419</v>
      </c>
      <c r="U19" s="343"/>
      <c r="V19" s="344"/>
      <c r="W19" s="346" t="s">
        <v>418</v>
      </c>
      <c r="X19" s="347" t="s">
        <v>418</v>
      </c>
      <c r="Y19" s="347" t="s">
        <v>418</v>
      </c>
      <c r="Z19" s="348" t="s">
        <v>418</v>
      </c>
      <c r="AA19" s="349"/>
      <c r="AB19" s="343" t="s">
        <v>419</v>
      </c>
      <c r="AC19" s="343"/>
      <c r="AD19" s="344"/>
      <c r="AE19" s="342"/>
      <c r="AF19" s="341"/>
    </row>
    <row r="20" spans="1:32">
      <c r="A20" s="307">
        <v>3</v>
      </c>
      <c r="B20" s="342"/>
      <c r="C20" s="342" t="s">
        <v>178</v>
      </c>
      <c r="D20" s="340" t="s">
        <v>448</v>
      </c>
      <c r="E20" s="342"/>
      <c r="F20" s="345" t="s">
        <v>173</v>
      </c>
      <c r="G20" s="308">
        <v>0</v>
      </c>
      <c r="H20" s="309">
        <v>0</v>
      </c>
      <c r="I20" s="309">
        <v>0</v>
      </c>
      <c r="J20" s="211"/>
      <c r="K20" s="212" t="str">
        <f>IF(OR(J20="",G20=J20),"","*")</f>
        <v/>
      </c>
      <c r="L20" s="338">
        <f>IF($A20&lt;=L$1,I20/I$4,"")</f>
        <v>0</v>
      </c>
      <c r="M20" s="343"/>
      <c r="N20" s="344"/>
      <c r="O20" s="346" t="s">
        <v>418</v>
      </c>
      <c r="P20" s="347" t="s">
        <v>418</v>
      </c>
      <c r="Q20" s="347" t="s">
        <v>418</v>
      </c>
      <c r="R20" s="348" t="s">
        <v>418</v>
      </c>
      <c r="S20" s="349"/>
      <c r="T20" s="343" t="s">
        <v>419</v>
      </c>
      <c r="U20" s="343"/>
      <c r="V20" s="344"/>
      <c r="W20" s="346" t="s">
        <v>418</v>
      </c>
      <c r="X20" s="347" t="s">
        <v>418</v>
      </c>
      <c r="Y20" s="347" t="s">
        <v>418</v>
      </c>
      <c r="Z20" s="348" t="s">
        <v>418</v>
      </c>
      <c r="AA20" s="349"/>
      <c r="AB20" s="343" t="s">
        <v>419</v>
      </c>
      <c r="AC20" s="343"/>
      <c r="AD20" s="344"/>
      <c r="AE20" s="342"/>
      <c r="AF20" s="341" t="s">
        <v>449</v>
      </c>
    </row>
    <row r="21" spans="1:32">
      <c r="A21" s="307">
        <v>3</v>
      </c>
      <c r="B21" s="342"/>
      <c r="C21" s="342" t="s">
        <v>178</v>
      </c>
      <c r="D21" s="340" t="s">
        <v>450</v>
      </c>
      <c r="E21" s="342"/>
      <c r="F21" s="345" t="s">
        <v>173</v>
      </c>
      <c r="G21" s="308">
        <v>1</v>
      </c>
      <c r="H21" s="309">
        <v>56803</v>
      </c>
      <c r="I21" s="309">
        <v>56803</v>
      </c>
      <c r="J21" s="211"/>
      <c r="K21" s="212" t="str">
        <f>IF(OR(J21="",G21=J21),"","*")</f>
        <v/>
      </c>
      <c r="L21" s="338">
        <f>IF($A21&lt;=L$1,I21/I$4,"")</f>
        <v>3.7419631093544136E-3</v>
      </c>
      <c r="M21" s="343"/>
      <c r="N21" s="344"/>
      <c r="O21" s="346" t="s">
        <v>418</v>
      </c>
      <c r="P21" s="347" t="s">
        <v>418</v>
      </c>
      <c r="Q21" s="347" t="s">
        <v>418</v>
      </c>
      <c r="R21" s="348" t="s">
        <v>418</v>
      </c>
      <c r="S21" s="349"/>
      <c r="T21" s="343" t="s">
        <v>419</v>
      </c>
      <c r="U21" s="343"/>
      <c r="V21" s="344"/>
      <c r="W21" s="346" t="s">
        <v>418</v>
      </c>
      <c r="X21" s="347" t="s">
        <v>418</v>
      </c>
      <c r="Y21" s="347" t="s">
        <v>418</v>
      </c>
      <c r="Z21" s="348" t="s">
        <v>418</v>
      </c>
      <c r="AA21" s="349"/>
      <c r="AB21" s="343" t="s">
        <v>419</v>
      </c>
      <c r="AC21" s="343"/>
      <c r="AD21" s="344"/>
      <c r="AE21" s="342"/>
      <c r="AF21" s="341" t="s">
        <v>449</v>
      </c>
    </row>
    <row r="22" spans="1:32">
      <c r="A22" s="307">
        <v>3</v>
      </c>
      <c r="B22" s="342"/>
      <c r="C22" s="342" t="s">
        <v>178</v>
      </c>
      <c r="D22" s="340" t="s">
        <v>448</v>
      </c>
      <c r="E22" s="342"/>
      <c r="F22" s="345" t="s">
        <v>173</v>
      </c>
      <c r="G22" s="308">
        <v>1</v>
      </c>
      <c r="H22" s="309">
        <v>683197</v>
      </c>
      <c r="I22" s="309">
        <v>683197</v>
      </c>
      <c r="J22" s="211"/>
      <c r="K22" s="212" t="str">
        <f>IF(OR(J22="",G22=J22),"","*")</f>
        <v/>
      </c>
      <c r="L22" s="338">
        <f>IF($A22&lt;=L$1,I22/I$4,"")</f>
        <v>4.5006389986824769E-2</v>
      </c>
      <c r="M22" s="343"/>
      <c r="N22" s="344"/>
      <c r="O22" s="346" t="s">
        <v>418</v>
      </c>
      <c r="P22" s="347" t="s">
        <v>418</v>
      </c>
      <c r="Q22" s="347" t="s">
        <v>418</v>
      </c>
      <c r="R22" s="348" t="s">
        <v>418</v>
      </c>
      <c r="S22" s="349"/>
      <c r="T22" s="343" t="s">
        <v>419</v>
      </c>
      <c r="U22" s="343"/>
      <c r="V22" s="344"/>
      <c r="W22" s="346" t="s">
        <v>418</v>
      </c>
      <c r="X22" s="347" t="s">
        <v>418</v>
      </c>
      <c r="Y22" s="347" t="s">
        <v>418</v>
      </c>
      <c r="Z22" s="348" t="s">
        <v>418</v>
      </c>
      <c r="AA22" s="349"/>
      <c r="AB22" s="343" t="s">
        <v>419</v>
      </c>
      <c r="AC22" s="343"/>
      <c r="AD22" s="344"/>
      <c r="AE22" s="342"/>
      <c r="AF22" s="341" t="s">
        <v>451</v>
      </c>
    </row>
    <row r="23" spans="1:32">
      <c r="A23" s="307">
        <v>2</v>
      </c>
      <c r="B23" s="342"/>
      <c r="C23" s="342" t="s">
        <v>233</v>
      </c>
      <c r="D23" s="340" t="s">
        <v>452</v>
      </c>
      <c r="E23" s="342" t="s">
        <v>453</v>
      </c>
      <c r="F23" s="345" t="s">
        <v>173</v>
      </c>
      <c r="G23" s="308">
        <v>1</v>
      </c>
      <c r="H23" s="309">
        <v>950000</v>
      </c>
      <c r="I23" s="309">
        <v>950000</v>
      </c>
      <c r="J23" s="211">
        <v>1</v>
      </c>
      <c r="K23" s="212" t="str">
        <f>IF(OR(J23="",G23=J23),"","*")</f>
        <v/>
      </c>
      <c r="L23" s="338">
        <f>IF($A23&lt;=L$1,I23/I$4,"")</f>
        <v>6.2582345191040847E-2</v>
      </c>
      <c r="M23" s="343"/>
      <c r="N23" s="344" t="s">
        <v>454</v>
      </c>
      <c r="O23" s="346" t="s">
        <v>418</v>
      </c>
      <c r="P23" s="347" t="s">
        <v>418</v>
      </c>
      <c r="Q23" s="347" t="s">
        <v>418</v>
      </c>
      <c r="R23" s="348" t="s">
        <v>418</v>
      </c>
      <c r="S23" s="349"/>
      <c r="T23" s="343" t="s">
        <v>419</v>
      </c>
      <c r="U23" s="343"/>
      <c r="V23" s="344"/>
      <c r="W23" s="346" t="s">
        <v>418</v>
      </c>
      <c r="X23" s="347" t="s">
        <v>418</v>
      </c>
      <c r="Y23" s="347" t="s">
        <v>418</v>
      </c>
      <c r="Z23" s="348" t="s">
        <v>418</v>
      </c>
      <c r="AA23" s="349"/>
      <c r="AB23" s="343" t="s">
        <v>419</v>
      </c>
      <c r="AC23" s="343"/>
      <c r="AD23" s="344"/>
      <c r="AE23" s="342"/>
      <c r="AF23" s="341"/>
    </row>
    <row r="24" spans="1:32">
      <c r="A24" s="307">
        <v>3</v>
      </c>
      <c r="B24" s="342"/>
      <c r="C24" s="342" t="s">
        <v>178</v>
      </c>
      <c r="D24" s="340" t="s">
        <v>455</v>
      </c>
      <c r="E24" s="342"/>
      <c r="F24" s="345" t="s">
        <v>270</v>
      </c>
      <c r="G24" s="308">
        <v>22</v>
      </c>
      <c r="H24" s="309">
        <v>20000</v>
      </c>
      <c r="I24" s="309">
        <v>440000</v>
      </c>
      <c r="J24" s="211"/>
      <c r="K24" s="212" t="str">
        <f>IF(OR(J24="",G24=J24),"","*")</f>
        <v/>
      </c>
      <c r="L24" s="338">
        <f>IF($A24&lt;=L$1,I24/I$4,"")</f>
        <v>2.8985507246376812E-2</v>
      </c>
      <c r="M24" s="343"/>
      <c r="N24" s="344"/>
      <c r="O24" s="346" t="s">
        <v>418</v>
      </c>
      <c r="P24" s="347" t="s">
        <v>418</v>
      </c>
      <c r="Q24" s="347" t="s">
        <v>418</v>
      </c>
      <c r="R24" s="348" t="s">
        <v>418</v>
      </c>
      <c r="S24" s="349"/>
      <c r="T24" s="343" t="s">
        <v>419</v>
      </c>
      <c r="U24" s="343"/>
      <c r="V24" s="344"/>
      <c r="W24" s="346" t="s">
        <v>418</v>
      </c>
      <c r="X24" s="347" t="s">
        <v>418</v>
      </c>
      <c r="Y24" s="347" t="s">
        <v>418</v>
      </c>
      <c r="Z24" s="348" t="s">
        <v>418</v>
      </c>
      <c r="AA24" s="349"/>
      <c r="AB24" s="343" t="s">
        <v>419</v>
      </c>
      <c r="AC24" s="343"/>
      <c r="AD24" s="344"/>
      <c r="AE24" s="342" t="s">
        <v>456</v>
      </c>
      <c r="AF24" s="341"/>
    </row>
    <row r="25" spans="1:32">
      <c r="A25" s="307">
        <v>3</v>
      </c>
      <c r="B25" s="342"/>
      <c r="C25" s="342" t="s">
        <v>178</v>
      </c>
      <c r="D25" s="340" t="s">
        <v>457</v>
      </c>
      <c r="E25" s="342" t="s">
        <v>174</v>
      </c>
      <c r="F25" s="345" t="s">
        <v>270</v>
      </c>
      <c r="G25" s="308">
        <v>12</v>
      </c>
      <c r="H25" s="309">
        <v>24000</v>
      </c>
      <c r="I25" s="309">
        <v>288000</v>
      </c>
      <c r="J25" s="211"/>
      <c r="K25" s="212" t="str">
        <f>IF(OR(J25="",G25=J25),"","*")</f>
        <v/>
      </c>
      <c r="L25" s="338">
        <f>IF($A25&lt;=L$1,I25/I$4,"")</f>
        <v>1.8972332015810278E-2</v>
      </c>
      <c r="M25" s="343"/>
      <c r="N25" s="344"/>
      <c r="O25" s="346" t="s">
        <v>418</v>
      </c>
      <c r="P25" s="347" t="s">
        <v>418</v>
      </c>
      <c r="Q25" s="347" t="s">
        <v>418</v>
      </c>
      <c r="R25" s="348" t="s">
        <v>418</v>
      </c>
      <c r="S25" s="349"/>
      <c r="T25" s="343" t="s">
        <v>419</v>
      </c>
      <c r="U25" s="343"/>
      <c r="V25" s="344"/>
      <c r="W25" s="346" t="s">
        <v>418</v>
      </c>
      <c r="X25" s="347" t="s">
        <v>418</v>
      </c>
      <c r="Y25" s="347" t="s">
        <v>418</v>
      </c>
      <c r="Z25" s="348" t="s">
        <v>418</v>
      </c>
      <c r="AA25" s="349"/>
      <c r="AB25" s="343" t="s">
        <v>419</v>
      </c>
      <c r="AC25" s="343"/>
      <c r="AD25" s="344"/>
      <c r="AE25" s="342"/>
      <c r="AF25" s="341"/>
    </row>
    <row r="26" spans="1:32">
      <c r="A26" s="307">
        <v>3</v>
      </c>
      <c r="B26" s="342"/>
      <c r="C26" s="342" t="s">
        <v>179</v>
      </c>
      <c r="D26" s="340" t="s">
        <v>458</v>
      </c>
      <c r="E26" s="342"/>
      <c r="F26" s="345" t="s">
        <v>173</v>
      </c>
      <c r="G26" s="308">
        <v>1</v>
      </c>
      <c r="H26" s="309">
        <v>80000</v>
      </c>
      <c r="I26" s="309">
        <v>80000</v>
      </c>
      <c r="J26" s="211"/>
      <c r="K26" s="212" t="str">
        <f>IF(OR(J26="",G26=J26),"","*")</f>
        <v/>
      </c>
      <c r="L26" s="338">
        <f>IF($A26&lt;=L$1,I26/I$4,"")</f>
        <v>5.270092226613966E-3</v>
      </c>
      <c r="M26" s="343"/>
      <c r="N26" s="344"/>
      <c r="O26" s="346" t="s">
        <v>418</v>
      </c>
      <c r="P26" s="347" t="s">
        <v>418</v>
      </c>
      <c r="Q26" s="347" t="s">
        <v>418</v>
      </c>
      <c r="R26" s="348" t="s">
        <v>418</v>
      </c>
      <c r="S26" s="349"/>
      <c r="T26" s="343" t="s">
        <v>419</v>
      </c>
      <c r="U26" s="343"/>
      <c r="V26" s="344"/>
      <c r="W26" s="346" t="s">
        <v>418</v>
      </c>
      <c r="X26" s="347" t="s">
        <v>418</v>
      </c>
      <c r="Y26" s="347" t="s">
        <v>418</v>
      </c>
      <c r="Z26" s="348" t="s">
        <v>418</v>
      </c>
      <c r="AA26" s="349"/>
      <c r="AB26" s="343" t="s">
        <v>419</v>
      </c>
      <c r="AC26" s="343"/>
      <c r="AD26" s="344"/>
      <c r="AE26" s="342"/>
      <c r="AF26" s="341"/>
    </row>
    <row r="27" spans="1:32">
      <c r="A27" s="307">
        <v>3</v>
      </c>
      <c r="B27" s="342"/>
      <c r="C27" s="342" t="s">
        <v>179</v>
      </c>
      <c r="D27" s="340" t="s">
        <v>459</v>
      </c>
      <c r="E27" s="342"/>
      <c r="F27" s="345" t="s">
        <v>173</v>
      </c>
      <c r="G27" s="308">
        <v>1</v>
      </c>
      <c r="H27" s="309">
        <v>50000</v>
      </c>
      <c r="I27" s="309">
        <v>50000</v>
      </c>
      <c r="J27" s="211"/>
      <c r="K27" s="212" t="str">
        <f>IF(OR(J27="",G27=J27),"","*")</f>
        <v/>
      </c>
      <c r="L27" s="338">
        <f>IF($A27&lt;=L$1,I27/I$4,"")</f>
        <v>3.2938076416337285E-3</v>
      </c>
      <c r="M27" s="343"/>
      <c r="N27" s="344"/>
      <c r="O27" s="346" t="s">
        <v>418</v>
      </c>
      <c r="P27" s="347" t="s">
        <v>418</v>
      </c>
      <c r="Q27" s="347" t="s">
        <v>418</v>
      </c>
      <c r="R27" s="348" t="s">
        <v>418</v>
      </c>
      <c r="S27" s="349"/>
      <c r="T27" s="343" t="s">
        <v>419</v>
      </c>
      <c r="U27" s="343"/>
      <c r="V27" s="344"/>
      <c r="W27" s="346" t="s">
        <v>418</v>
      </c>
      <c r="X27" s="347" t="s">
        <v>418</v>
      </c>
      <c r="Y27" s="347" t="s">
        <v>418</v>
      </c>
      <c r="Z27" s="348" t="s">
        <v>418</v>
      </c>
      <c r="AA27" s="349"/>
      <c r="AB27" s="343" t="s">
        <v>419</v>
      </c>
      <c r="AC27" s="343"/>
      <c r="AD27" s="344"/>
      <c r="AE27" s="342"/>
      <c r="AF27" s="341"/>
    </row>
    <row r="28" spans="1:32">
      <c r="A28" s="307">
        <v>3</v>
      </c>
      <c r="B28" s="342"/>
      <c r="C28" s="342" t="s">
        <v>180</v>
      </c>
      <c r="D28" s="340" t="s">
        <v>460</v>
      </c>
      <c r="E28" s="342"/>
      <c r="F28" s="345" t="s">
        <v>275</v>
      </c>
      <c r="G28" s="308">
        <v>3</v>
      </c>
      <c r="H28" s="309">
        <v>5500</v>
      </c>
      <c r="I28" s="309">
        <v>16500</v>
      </c>
      <c r="J28" s="211"/>
      <c r="K28" s="212" t="str">
        <f>IF(OR(J28="",G28=J28),"","*")</f>
        <v/>
      </c>
      <c r="L28" s="338">
        <f>IF($A28&lt;=L$1,I28/I$4,"")</f>
        <v>1.0869565217391304E-3</v>
      </c>
      <c r="M28" s="343"/>
      <c r="N28" s="344"/>
      <c r="O28" s="346" t="s">
        <v>418</v>
      </c>
      <c r="P28" s="347" t="s">
        <v>418</v>
      </c>
      <c r="Q28" s="347" t="s">
        <v>418</v>
      </c>
      <c r="R28" s="348" t="s">
        <v>418</v>
      </c>
      <c r="S28" s="349"/>
      <c r="T28" s="343" t="s">
        <v>419</v>
      </c>
      <c r="U28" s="343"/>
      <c r="V28" s="344"/>
      <c r="W28" s="346" t="s">
        <v>418</v>
      </c>
      <c r="X28" s="347" t="s">
        <v>418</v>
      </c>
      <c r="Y28" s="347" t="s">
        <v>418</v>
      </c>
      <c r="Z28" s="348" t="s">
        <v>418</v>
      </c>
      <c r="AA28" s="349"/>
      <c r="AB28" s="343" t="s">
        <v>419</v>
      </c>
      <c r="AC28" s="343"/>
      <c r="AD28" s="344"/>
      <c r="AE28" s="342"/>
      <c r="AF28" s="341" t="s">
        <v>461</v>
      </c>
    </row>
    <row r="29" spans="1:32">
      <c r="A29" s="307">
        <v>3</v>
      </c>
      <c r="B29" s="342"/>
      <c r="C29" s="342" t="s">
        <v>179</v>
      </c>
      <c r="D29" s="340" t="s">
        <v>462</v>
      </c>
      <c r="E29" s="342" t="s">
        <v>463</v>
      </c>
      <c r="F29" s="345" t="s">
        <v>275</v>
      </c>
      <c r="G29" s="308">
        <v>24</v>
      </c>
      <c r="H29" s="309">
        <v>3000</v>
      </c>
      <c r="I29" s="309">
        <v>72000</v>
      </c>
      <c r="J29" s="211"/>
      <c r="K29" s="212" t="str">
        <f>IF(OR(J29="",G29=J29),"","*")</f>
        <v/>
      </c>
      <c r="L29" s="338">
        <f>IF($A29&lt;=L$1,I29/I$4,"")</f>
        <v>4.7430830039525695E-3</v>
      </c>
      <c r="M29" s="343"/>
      <c r="N29" s="344"/>
      <c r="O29" s="346" t="s">
        <v>418</v>
      </c>
      <c r="P29" s="347" t="s">
        <v>418</v>
      </c>
      <c r="Q29" s="347" t="s">
        <v>418</v>
      </c>
      <c r="R29" s="348" t="s">
        <v>418</v>
      </c>
      <c r="S29" s="349"/>
      <c r="T29" s="343" t="s">
        <v>419</v>
      </c>
      <c r="U29" s="343"/>
      <c r="V29" s="344"/>
      <c r="W29" s="346" t="s">
        <v>418</v>
      </c>
      <c r="X29" s="347" t="s">
        <v>418</v>
      </c>
      <c r="Y29" s="347" t="s">
        <v>418</v>
      </c>
      <c r="Z29" s="348" t="s">
        <v>418</v>
      </c>
      <c r="AA29" s="349"/>
      <c r="AB29" s="343" t="s">
        <v>419</v>
      </c>
      <c r="AC29" s="343"/>
      <c r="AD29" s="344"/>
      <c r="AE29" s="342" t="s">
        <v>464</v>
      </c>
      <c r="AF29" s="341" t="s">
        <v>465</v>
      </c>
    </row>
    <row r="30" spans="1:32">
      <c r="A30" s="307">
        <v>3</v>
      </c>
      <c r="B30" s="342"/>
      <c r="C30" s="342" t="s">
        <v>181</v>
      </c>
      <c r="D30" s="340" t="s">
        <v>244</v>
      </c>
      <c r="E30" s="342"/>
      <c r="F30" s="345" t="s">
        <v>173</v>
      </c>
      <c r="G30" s="308">
        <v>1</v>
      </c>
      <c r="H30" s="309">
        <v>3500</v>
      </c>
      <c r="I30" s="309">
        <v>3500</v>
      </c>
      <c r="J30" s="211"/>
      <c r="K30" s="212" t="str">
        <f>IF(OR(J30="",G30=J30),"","*")</f>
        <v/>
      </c>
      <c r="L30" s="338">
        <f>IF($A30&lt;=L$1,I30/I$4,"")</f>
        <v>2.3056653491436099E-4</v>
      </c>
      <c r="M30" s="343"/>
      <c r="N30" s="344"/>
      <c r="O30" s="346" t="s">
        <v>418</v>
      </c>
      <c r="P30" s="347" t="s">
        <v>418</v>
      </c>
      <c r="Q30" s="347" t="s">
        <v>418</v>
      </c>
      <c r="R30" s="348" t="s">
        <v>418</v>
      </c>
      <c r="S30" s="349"/>
      <c r="T30" s="343" t="s">
        <v>419</v>
      </c>
      <c r="U30" s="343"/>
      <c r="V30" s="344"/>
      <c r="W30" s="346" t="s">
        <v>418</v>
      </c>
      <c r="X30" s="347" t="s">
        <v>418</v>
      </c>
      <c r="Y30" s="347" t="s">
        <v>418</v>
      </c>
      <c r="Z30" s="348" t="s">
        <v>418</v>
      </c>
      <c r="AA30" s="349"/>
      <c r="AB30" s="343" t="s">
        <v>419</v>
      </c>
      <c r="AC30" s="343"/>
      <c r="AD30" s="344"/>
      <c r="AE30" s="342"/>
      <c r="AF30" s="341"/>
    </row>
    <row r="31" spans="1:32">
      <c r="A31" s="307">
        <v>2</v>
      </c>
      <c r="B31" s="342"/>
      <c r="C31" s="342" t="s">
        <v>233</v>
      </c>
      <c r="D31" s="340" t="s">
        <v>466</v>
      </c>
      <c r="E31" s="342" t="s">
        <v>467</v>
      </c>
      <c r="F31" s="345" t="s">
        <v>173</v>
      </c>
      <c r="G31" s="308">
        <v>1</v>
      </c>
      <c r="H31" s="309">
        <v>150000</v>
      </c>
      <c r="I31" s="309">
        <v>150000</v>
      </c>
      <c r="J31" s="211">
        <v>1</v>
      </c>
      <c r="K31" s="212" t="str">
        <f>IF(OR(J31="",G31=J31),"","*")</f>
        <v/>
      </c>
      <c r="L31" s="338">
        <f>IF($A31&lt;=L$1,I31/I$4,"")</f>
        <v>9.881422924901186E-3</v>
      </c>
      <c r="M31" s="343"/>
      <c r="N31" s="344" t="s">
        <v>468</v>
      </c>
      <c r="O31" s="346" t="s">
        <v>418</v>
      </c>
      <c r="P31" s="347" t="s">
        <v>418</v>
      </c>
      <c r="Q31" s="347" t="s">
        <v>418</v>
      </c>
      <c r="R31" s="348" t="s">
        <v>418</v>
      </c>
      <c r="S31" s="349"/>
      <c r="T31" s="343" t="s">
        <v>419</v>
      </c>
      <c r="U31" s="343"/>
      <c r="V31" s="344"/>
      <c r="W31" s="346" t="s">
        <v>418</v>
      </c>
      <c r="X31" s="347" t="s">
        <v>418</v>
      </c>
      <c r="Y31" s="347" t="s">
        <v>418</v>
      </c>
      <c r="Z31" s="348" t="s">
        <v>418</v>
      </c>
      <c r="AA31" s="349"/>
      <c r="AB31" s="343" t="s">
        <v>419</v>
      </c>
      <c r="AC31" s="343"/>
      <c r="AD31" s="344"/>
      <c r="AE31" s="342"/>
      <c r="AF31" s="341"/>
    </row>
    <row r="32" spans="1:32">
      <c r="A32" s="307">
        <v>3</v>
      </c>
      <c r="B32" s="342"/>
      <c r="C32" s="342" t="s">
        <v>177</v>
      </c>
      <c r="D32" s="340" t="s">
        <v>269</v>
      </c>
      <c r="E32" s="342"/>
      <c r="F32" s="345" t="s">
        <v>270</v>
      </c>
      <c r="G32" s="308">
        <v>3</v>
      </c>
      <c r="H32" s="309">
        <v>23000</v>
      </c>
      <c r="I32" s="309">
        <v>69000</v>
      </c>
      <c r="J32" s="211"/>
      <c r="K32" s="212" t="str">
        <f>IF(OR(J32="",G32=J32),"","*")</f>
        <v/>
      </c>
      <c r="L32" s="338">
        <f>IF($A32&lt;=L$1,I32/I$4,"")</f>
        <v>4.5454545454545452E-3</v>
      </c>
      <c r="M32" s="343"/>
      <c r="N32" s="344"/>
      <c r="O32" s="346" t="s">
        <v>418</v>
      </c>
      <c r="P32" s="347" t="s">
        <v>418</v>
      </c>
      <c r="Q32" s="347" t="s">
        <v>418</v>
      </c>
      <c r="R32" s="348" t="s">
        <v>418</v>
      </c>
      <c r="S32" s="349"/>
      <c r="T32" s="343" t="s">
        <v>419</v>
      </c>
      <c r="U32" s="343"/>
      <c r="V32" s="344"/>
      <c r="W32" s="346" t="s">
        <v>418</v>
      </c>
      <c r="X32" s="347" t="s">
        <v>418</v>
      </c>
      <c r="Y32" s="347" t="s">
        <v>418</v>
      </c>
      <c r="Z32" s="348" t="s">
        <v>418</v>
      </c>
      <c r="AA32" s="349"/>
      <c r="AB32" s="343" t="s">
        <v>419</v>
      </c>
      <c r="AC32" s="343"/>
      <c r="AD32" s="344"/>
      <c r="AE32" s="342" t="s">
        <v>271</v>
      </c>
      <c r="AF32" s="341"/>
    </row>
    <row r="33" spans="1:32">
      <c r="A33" s="307">
        <v>3</v>
      </c>
      <c r="B33" s="342"/>
      <c r="C33" s="342" t="s">
        <v>180</v>
      </c>
      <c r="D33" s="340" t="s">
        <v>305</v>
      </c>
      <c r="E33" s="342" t="s">
        <v>306</v>
      </c>
      <c r="F33" s="345" t="s">
        <v>275</v>
      </c>
      <c r="G33" s="308">
        <v>1</v>
      </c>
      <c r="H33" s="309">
        <v>4000</v>
      </c>
      <c r="I33" s="309">
        <v>4000</v>
      </c>
      <c r="J33" s="211"/>
      <c r="K33" s="212" t="str">
        <f>IF(OR(J33="",G33=J33),"","*")</f>
        <v/>
      </c>
      <c r="L33" s="338">
        <f>IF($A33&lt;=L$1,I33/I$4,"")</f>
        <v>2.6350461133069827E-4</v>
      </c>
      <c r="M33" s="343"/>
      <c r="N33" s="344"/>
      <c r="O33" s="346" t="s">
        <v>418</v>
      </c>
      <c r="P33" s="347" t="s">
        <v>418</v>
      </c>
      <c r="Q33" s="347" t="s">
        <v>418</v>
      </c>
      <c r="R33" s="348" t="s">
        <v>418</v>
      </c>
      <c r="S33" s="349"/>
      <c r="T33" s="343" t="s">
        <v>419</v>
      </c>
      <c r="U33" s="343"/>
      <c r="V33" s="344"/>
      <c r="W33" s="346" t="s">
        <v>418</v>
      </c>
      <c r="X33" s="347" t="s">
        <v>418</v>
      </c>
      <c r="Y33" s="347" t="s">
        <v>418</v>
      </c>
      <c r="Z33" s="348" t="s">
        <v>418</v>
      </c>
      <c r="AA33" s="349"/>
      <c r="AB33" s="343" t="s">
        <v>419</v>
      </c>
      <c r="AC33" s="343"/>
      <c r="AD33" s="344"/>
      <c r="AE33" s="342" t="s">
        <v>307</v>
      </c>
      <c r="AF33" s="341"/>
    </row>
    <row r="34" spans="1:32">
      <c r="A34" s="307">
        <v>3</v>
      </c>
      <c r="B34" s="342"/>
      <c r="C34" s="342" t="s">
        <v>178</v>
      </c>
      <c r="D34" s="340" t="s">
        <v>469</v>
      </c>
      <c r="E34" s="342"/>
      <c r="F34" s="345" t="s">
        <v>173</v>
      </c>
      <c r="G34" s="308">
        <v>1</v>
      </c>
      <c r="H34" s="309">
        <v>30000</v>
      </c>
      <c r="I34" s="309">
        <v>30000</v>
      </c>
      <c r="J34" s="211"/>
      <c r="K34" s="212" t="str">
        <f>IF(OR(J34="",G34=J34),"","*")</f>
        <v/>
      </c>
      <c r="L34" s="338">
        <f>IF($A34&lt;=L$1,I34/I$4,"")</f>
        <v>1.976284584980237E-3</v>
      </c>
      <c r="M34" s="343"/>
      <c r="N34" s="344"/>
      <c r="O34" s="346" t="s">
        <v>418</v>
      </c>
      <c r="P34" s="347" t="s">
        <v>418</v>
      </c>
      <c r="Q34" s="347" t="s">
        <v>418</v>
      </c>
      <c r="R34" s="348" t="s">
        <v>418</v>
      </c>
      <c r="S34" s="349"/>
      <c r="T34" s="343" t="s">
        <v>419</v>
      </c>
      <c r="U34" s="343"/>
      <c r="V34" s="344"/>
      <c r="W34" s="346" t="s">
        <v>418</v>
      </c>
      <c r="X34" s="347" t="s">
        <v>418</v>
      </c>
      <c r="Y34" s="347" t="s">
        <v>418</v>
      </c>
      <c r="Z34" s="348" t="s">
        <v>418</v>
      </c>
      <c r="AA34" s="349"/>
      <c r="AB34" s="343" t="s">
        <v>419</v>
      </c>
      <c r="AC34" s="343"/>
      <c r="AD34" s="344"/>
      <c r="AE34" s="342" t="s">
        <v>470</v>
      </c>
      <c r="AF34" s="341"/>
    </row>
    <row r="35" spans="1:32">
      <c r="A35" s="307">
        <v>3</v>
      </c>
      <c r="B35" s="342"/>
      <c r="C35" s="342" t="s">
        <v>178</v>
      </c>
      <c r="D35" s="340" t="s">
        <v>471</v>
      </c>
      <c r="E35" s="342" t="s">
        <v>240</v>
      </c>
      <c r="F35" s="345" t="s">
        <v>173</v>
      </c>
      <c r="G35" s="308">
        <v>1</v>
      </c>
      <c r="H35" s="309">
        <v>21000</v>
      </c>
      <c r="I35" s="309">
        <v>21000</v>
      </c>
      <c r="J35" s="211"/>
      <c r="K35" s="212" t="str">
        <f>IF(OR(J35="",G35=J35),"","*")</f>
        <v/>
      </c>
      <c r="L35" s="338">
        <f>IF($A35&lt;=L$1,I35/I$4,"")</f>
        <v>1.383399209486166E-3</v>
      </c>
      <c r="M35" s="343"/>
      <c r="N35" s="344"/>
      <c r="O35" s="346" t="s">
        <v>418</v>
      </c>
      <c r="P35" s="347" t="s">
        <v>418</v>
      </c>
      <c r="Q35" s="347" t="s">
        <v>418</v>
      </c>
      <c r="R35" s="348" t="s">
        <v>418</v>
      </c>
      <c r="S35" s="349"/>
      <c r="T35" s="343" t="s">
        <v>419</v>
      </c>
      <c r="U35" s="343"/>
      <c r="V35" s="344"/>
      <c r="W35" s="346" t="s">
        <v>418</v>
      </c>
      <c r="X35" s="347" t="s">
        <v>418</v>
      </c>
      <c r="Y35" s="347" t="s">
        <v>418</v>
      </c>
      <c r="Z35" s="348" t="s">
        <v>418</v>
      </c>
      <c r="AA35" s="349"/>
      <c r="AB35" s="343" t="s">
        <v>419</v>
      </c>
      <c r="AC35" s="343"/>
      <c r="AD35" s="344"/>
      <c r="AE35" s="342" t="s">
        <v>472</v>
      </c>
      <c r="AF35" s="341"/>
    </row>
    <row r="36" spans="1:32">
      <c r="A36" s="307">
        <v>3</v>
      </c>
      <c r="B36" s="342"/>
      <c r="C36" s="342" t="s">
        <v>178</v>
      </c>
      <c r="D36" s="340" t="s">
        <v>242</v>
      </c>
      <c r="E36" s="342"/>
      <c r="F36" s="345" t="s">
        <v>173</v>
      </c>
      <c r="G36" s="308">
        <v>1</v>
      </c>
      <c r="H36" s="309">
        <v>10000</v>
      </c>
      <c r="I36" s="309">
        <v>10000</v>
      </c>
      <c r="J36" s="211"/>
      <c r="K36" s="212" t="str">
        <f>IF(OR(J36="",G36=J36),"","*")</f>
        <v/>
      </c>
      <c r="L36" s="338">
        <f>IF($A36&lt;=L$1,I36/I$4,"")</f>
        <v>6.5876152832674575E-4</v>
      </c>
      <c r="M36" s="343"/>
      <c r="N36" s="344"/>
      <c r="O36" s="346" t="s">
        <v>418</v>
      </c>
      <c r="P36" s="347" t="s">
        <v>418</v>
      </c>
      <c r="Q36" s="347" t="s">
        <v>418</v>
      </c>
      <c r="R36" s="348" t="s">
        <v>418</v>
      </c>
      <c r="S36" s="349"/>
      <c r="T36" s="343" t="s">
        <v>419</v>
      </c>
      <c r="U36" s="343"/>
      <c r="V36" s="344"/>
      <c r="W36" s="346" t="s">
        <v>418</v>
      </c>
      <c r="X36" s="347" t="s">
        <v>418</v>
      </c>
      <c r="Y36" s="347" t="s">
        <v>418</v>
      </c>
      <c r="Z36" s="348" t="s">
        <v>418</v>
      </c>
      <c r="AA36" s="349"/>
      <c r="AB36" s="343" t="s">
        <v>419</v>
      </c>
      <c r="AC36" s="343"/>
      <c r="AD36" s="344"/>
      <c r="AE36" s="342" t="s">
        <v>243</v>
      </c>
      <c r="AF36" s="341"/>
    </row>
    <row r="37" spans="1:32">
      <c r="A37" s="307">
        <v>3</v>
      </c>
      <c r="B37" s="342"/>
      <c r="C37" s="342" t="s">
        <v>178</v>
      </c>
      <c r="D37" s="340" t="s">
        <v>239</v>
      </c>
      <c r="E37" s="342" t="s">
        <v>240</v>
      </c>
      <c r="F37" s="345" t="s">
        <v>173</v>
      </c>
      <c r="G37" s="308">
        <v>1</v>
      </c>
      <c r="H37" s="309">
        <v>12000</v>
      </c>
      <c r="I37" s="309">
        <v>12000</v>
      </c>
      <c r="J37" s="211"/>
      <c r="K37" s="212" t="str">
        <f>IF(OR(J37="",G37=J37),"","*")</f>
        <v/>
      </c>
      <c r="L37" s="338">
        <f>IF($A37&lt;=L$1,I37/I$4,"")</f>
        <v>7.9051383399209485E-4</v>
      </c>
      <c r="M37" s="343"/>
      <c r="N37" s="344"/>
      <c r="O37" s="346" t="s">
        <v>418</v>
      </c>
      <c r="P37" s="347" t="s">
        <v>418</v>
      </c>
      <c r="Q37" s="347" t="s">
        <v>418</v>
      </c>
      <c r="R37" s="348" t="s">
        <v>418</v>
      </c>
      <c r="S37" s="349"/>
      <c r="T37" s="343" t="s">
        <v>419</v>
      </c>
      <c r="U37" s="343"/>
      <c r="V37" s="344"/>
      <c r="W37" s="346" t="s">
        <v>418</v>
      </c>
      <c r="X37" s="347" t="s">
        <v>418</v>
      </c>
      <c r="Y37" s="347" t="s">
        <v>418</v>
      </c>
      <c r="Z37" s="348" t="s">
        <v>418</v>
      </c>
      <c r="AA37" s="349"/>
      <c r="AB37" s="343" t="s">
        <v>419</v>
      </c>
      <c r="AC37" s="343"/>
      <c r="AD37" s="344"/>
      <c r="AE37" s="342" t="s">
        <v>241</v>
      </c>
      <c r="AF37" s="341"/>
    </row>
    <row r="38" spans="1:32">
      <c r="A38" s="307">
        <v>3</v>
      </c>
      <c r="B38" s="342"/>
      <c r="C38" s="342" t="s">
        <v>181</v>
      </c>
      <c r="D38" s="340" t="s">
        <v>244</v>
      </c>
      <c r="E38" s="342"/>
      <c r="F38" s="345" t="s">
        <v>173</v>
      </c>
      <c r="G38" s="308">
        <v>1</v>
      </c>
      <c r="H38" s="309">
        <v>4000</v>
      </c>
      <c r="I38" s="309">
        <v>4000</v>
      </c>
      <c r="J38" s="211"/>
      <c r="K38" s="212" t="str">
        <f>IF(OR(J38="",G38=J38),"","*")</f>
        <v/>
      </c>
      <c r="L38" s="338">
        <f>IF($A38&lt;=L$1,I38/I$4,"")</f>
        <v>2.6350461133069827E-4</v>
      </c>
      <c r="M38" s="343"/>
      <c r="N38" s="344"/>
      <c r="O38" s="346" t="s">
        <v>418</v>
      </c>
      <c r="P38" s="347" t="s">
        <v>418</v>
      </c>
      <c r="Q38" s="347" t="s">
        <v>418</v>
      </c>
      <c r="R38" s="348" t="s">
        <v>418</v>
      </c>
      <c r="S38" s="349"/>
      <c r="T38" s="343" t="s">
        <v>419</v>
      </c>
      <c r="U38" s="343"/>
      <c r="V38" s="344"/>
      <c r="W38" s="346" t="s">
        <v>418</v>
      </c>
      <c r="X38" s="347" t="s">
        <v>418</v>
      </c>
      <c r="Y38" s="347" t="s">
        <v>418</v>
      </c>
      <c r="Z38" s="348" t="s">
        <v>418</v>
      </c>
      <c r="AA38" s="349"/>
      <c r="AB38" s="343" t="s">
        <v>419</v>
      </c>
      <c r="AC38" s="343"/>
      <c r="AD38" s="344"/>
      <c r="AE38" s="342"/>
      <c r="AF38" s="341"/>
    </row>
    <row r="39" spans="1:32">
      <c r="A39" s="217"/>
      <c r="B39" s="217"/>
      <c r="C39" s="312"/>
      <c r="D39" s="217"/>
      <c r="E39" s="217"/>
      <c r="F39" s="218"/>
      <c r="G39" s="217"/>
      <c r="H39" s="217"/>
      <c r="I39" s="217"/>
      <c r="J39" s="217"/>
      <c r="K39" s="218"/>
      <c r="L39" s="217"/>
      <c r="M39" s="217"/>
      <c r="N39" s="217"/>
      <c r="O39" s="217"/>
      <c r="P39" s="217"/>
      <c r="Q39" s="217"/>
      <c r="R39" s="217"/>
      <c r="S39" s="218"/>
      <c r="T39" s="217"/>
      <c r="U39" s="217"/>
      <c r="V39" s="217"/>
      <c r="W39" s="217"/>
      <c r="X39" s="217"/>
      <c r="Y39" s="217"/>
      <c r="Z39" s="217"/>
      <c r="AA39" s="218"/>
      <c r="AB39" s="217"/>
      <c r="AC39" s="217"/>
      <c r="AD39" s="217"/>
      <c r="AE39" s="217"/>
      <c r="AF39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38 AF4:AF38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38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407</v>
      </c>
      <c r="C3" s="561"/>
      <c r="D3" s="563" t="s">
        <v>173</v>
      </c>
      <c r="E3" s="565">
        <v>1</v>
      </c>
      <c r="F3" s="521">
        <v>820000</v>
      </c>
      <c r="G3" s="557">
        <v>820000</v>
      </c>
      <c r="H3" s="138" t="s">
        <v>473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196</v>
      </c>
      <c r="I4" s="69"/>
    </row>
    <row r="5" spans="1:9" ht="15.75" customHeight="1">
      <c r="A5" s="69"/>
      <c r="B5" s="559" t="s">
        <v>408</v>
      </c>
      <c r="C5" s="561" t="s">
        <v>474</v>
      </c>
      <c r="D5" s="563" t="s">
        <v>173</v>
      </c>
      <c r="E5" s="565">
        <v>1</v>
      </c>
      <c r="F5" s="521"/>
      <c r="G5" s="557"/>
      <c r="H5" s="138" t="s">
        <v>475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196</v>
      </c>
      <c r="I6" s="69"/>
    </row>
    <row r="7" spans="1:9" ht="15.75" customHeight="1">
      <c r="A7" s="69"/>
      <c r="B7" s="559" t="s">
        <v>409</v>
      </c>
      <c r="C7" s="561"/>
      <c r="D7" s="563" t="s">
        <v>173</v>
      </c>
      <c r="E7" s="565">
        <v>1</v>
      </c>
      <c r="F7" s="521"/>
      <c r="G7" s="557"/>
      <c r="H7" s="138" t="s">
        <v>476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196</v>
      </c>
      <c r="I8" s="69"/>
    </row>
    <row r="9" spans="1:9" ht="15.75" customHeight="1">
      <c r="A9" s="69"/>
      <c r="B9" s="559" t="s">
        <v>411</v>
      </c>
      <c r="C9" s="561" t="s">
        <v>477</v>
      </c>
      <c r="D9" s="563" t="s">
        <v>173</v>
      </c>
      <c r="E9" s="565">
        <v>1</v>
      </c>
      <c r="F9" s="521"/>
      <c r="G9" s="557"/>
      <c r="H9" s="138" t="s">
        <v>478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196</v>
      </c>
      <c r="I10" s="69"/>
    </row>
    <row r="11" spans="1:9" ht="15.75" customHeight="1">
      <c r="A11" s="69"/>
      <c r="B11" s="559" t="s">
        <v>413</v>
      </c>
      <c r="C11" s="561" t="s">
        <v>479</v>
      </c>
      <c r="D11" s="563" t="s">
        <v>173</v>
      </c>
      <c r="E11" s="565">
        <v>1</v>
      </c>
      <c r="F11" s="521"/>
      <c r="G11" s="557"/>
      <c r="H11" s="138" t="s">
        <v>480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196</v>
      </c>
      <c r="I12" s="69"/>
    </row>
    <row r="13" spans="1:9" ht="15.75" customHeight="1">
      <c r="A13" s="69"/>
      <c r="B13" s="559" t="s">
        <v>415</v>
      </c>
      <c r="C13" s="561" t="s">
        <v>481</v>
      </c>
      <c r="D13" s="563" t="s">
        <v>173</v>
      </c>
      <c r="E13" s="565">
        <v>1</v>
      </c>
      <c r="F13" s="521"/>
      <c r="G13" s="557"/>
      <c r="H13" s="138" t="s">
        <v>482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196</v>
      </c>
      <c r="I14" s="69"/>
    </row>
    <row r="15" spans="1:9" ht="15.75" customHeight="1">
      <c r="A15" s="69"/>
      <c r="B15" s="559" t="s">
        <v>416</v>
      </c>
      <c r="C15" s="561" t="s">
        <v>483</v>
      </c>
      <c r="D15" s="563" t="s">
        <v>173</v>
      </c>
      <c r="E15" s="565">
        <v>1</v>
      </c>
      <c r="F15" s="521"/>
      <c r="G15" s="557"/>
      <c r="H15" s="138" t="s">
        <v>484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196</v>
      </c>
      <c r="I16" s="69"/>
    </row>
    <row r="17" spans="1:9" ht="15.75" customHeight="1">
      <c r="A17" s="69"/>
      <c r="B17" s="559" t="s">
        <v>417</v>
      </c>
      <c r="C17" s="561" t="s">
        <v>485</v>
      </c>
      <c r="D17" s="563" t="s">
        <v>173</v>
      </c>
      <c r="E17" s="565">
        <v>1</v>
      </c>
      <c r="F17" s="521"/>
      <c r="G17" s="557"/>
      <c r="H17" s="138" t="s">
        <v>486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196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228</v>
      </c>
      <c r="C21" s="561"/>
      <c r="D21" s="563"/>
      <c r="E21" s="565"/>
      <c r="F21" s="521"/>
      <c r="G21" s="557">
        <v>820000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7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★市道中荻野飯山線舗装補修工事</v>
      </c>
      <c r="G1" s="306"/>
      <c r="H1" s="190" t="s">
        <v>131</v>
      </c>
      <c r="I1" s="333">
        <v>17500000</v>
      </c>
      <c r="J1" s="339">
        <f>I4/I$1</f>
        <v>0.86742857142857144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230</v>
      </c>
      <c r="D4" s="340" t="s">
        <v>183</v>
      </c>
      <c r="E4" s="342"/>
      <c r="F4" s="345" t="s">
        <v>173</v>
      </c>
      <c r="G4" s="308">
        <v>1</v>
      </c>
      <c r="H4" s="309">
        <v>15180000</v>
      </c>
      <c r="I4" s="309">
        <v>15180000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418</v>
      </c>
      <c r="P4" s="347" t="s">
        <v>418</v>
      </c>
      <c r="Q4" s="347" t="s">
        <v>418</v>
      </c>
      <c r="R4" s="348" t="s">
        <v>418</v>
      </c>
      <c r="S4" s="349"/>
      <c r="T4" s="343" t="s">
        <v>419</v>
      </c>
      <c r="U4" s="343"/>
      <c r="V4" s="344"/>
      <c r="W4" s="346" t="s">
        <v>418</v>
      </c>
      <c r="X4" s="347" t="s">
        <v>418</v>
      </c>
      <c r="Y4" s="347" t="s">
        <v>418</v>
      </c>
      <c r="Z4" s="348" t="s">
        <v>418</v>
      </c>
      <c r="AA4" s="349"/>
      <c r="AB4" s="343" t="s">
        <v>419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231</v>
      </c>
      <c r="D5" s="340" t="s">
        <v>487</v>
      </c>
      <c r="E5" s="342"/>
      <c r="F5" s="345" t="s">
        <v>173</v>
      </c>
      <c r="G5" s="308">
        <v>1</v>
      </c>
      <c r="H5" s="309">
        <v>820000</v>
      </c>
      <c r="I5" s="309">
        <v>820000</v>
      </c>
      <c r="J5" s="211"/>
      <c r="K5" s="212" t="str">
        <f>IF(OR(J5="",G5=J5),"","*")</f>
        <v/>
      </c>
      <c r="L5" s="338">
        <f>IF($A5&lt;=L$1,I5/I$4,"")</f>
        <v>5.4018445322793152E-2</v>
      </c>
      <c r="M5" s="343"/>
      <c r="N5" s="344"/>
      <c r="O5" s="346" t="s">
        <v>418</v>
      </c>
      <c r="P5" s="347" t="s">
        <v>418</v>
      </c>
      <c r="Q5" s="347" t="s">
        <v>418</v>
      </c>
      <c r="R5" s="348" t="s">
        <v>418</v>
      </c>
      <c r="S5" s="349"/>
      <c r="T5" s="343" t="s">
        <v>419</v>
      </c>
      <c r="U5" s="343"/>
      <c r="V5" s="344"/>
      <c r="W5" s="346" t="s">
        <v>418</v>
      </c>
      <c r="X5" s="347" t="s">
        <v>418</v>
      </c>
      <c r="Y5" s="347" t="s">
        <v>418</v>
      </c>
      <c r="Z5" s="348" t="s">
        <v>418</v>
      </c>
      <c r="AA5" s="349"/>
      <c r="AB5" s="343" t="s">
        <v>419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233</v>
      </c>
      <c r="D6" s="340" t="s">
        <v>488</v>
      </c>
      <c r="E6" s="342"/>
      <c r="F6" s="345" t="s">
        <v>173</v>
      </c>
      <c r="G6" s="308">
        <v>1</v>
      </c>
      <c r="H6" s="309">
        <v>820000</v>
      </c>
      <c r="I6" s="309">
        <v>820000</v>
      </c>
      <c r="J6" s="211">
        <v>1</v>
      </c>
      <c r="K6" s="212" t="str">
        <f>IF(OR(J6="",G6=J6),"","*")</f>
        <v/>
      </c>
      <c r="L6" s="338">
        <f>IF($A6&lt;=L$1,I6/I$4,"")</f>
        <v>5.4018445322793152E-2</v>
      </c>
      <c r="M6" s="343"/>
      <c r="N6" s="344" t="s">
        <v>489</v>
      </c>
      <c r="O6" s="346" t="s">
        <v>418</v>
      </c>
      <c r="P6" s="347" t="s">
        <v>418</v>
      </c>
      <c r="Q6" s="347" t="s">
        <v>418</v>
      </c>
      <c r="R6" s="348" t="s">
        <v>418</v>
      </c>
      <c r="S6" s="349"/>
      <c r="T6" s="343" t="s">
        <v>419</v>
      </c>
      <c r="U6" s="343"/>
      <c r="V6" s="344"/>
      <c r="W6" s="346" t="s">
        <v>418</v>
      </c>
      <c r="X6" s="347" t="s">
        <v>418</v>
      </c>
      <c r="Y6" s="347" t="s">
        <v>418</v>
      </c>
      <c r="Z6" s="348" t="s">
        <v>418</v>
      </c>
      <c r="AA6" s="349"/>
      <c r="AB6" s="343" t="s">
        <v>419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182</v>
      </c>
      <c r="D7" s="340" t="s">
        <v>490</v>
      </c>
      <c r="E7" s="342"/>
      <c r="F7" s="345" t="s">
        <v>491</v>
      </c>
      <c r="G7" s="308">
        <v>15</v>
      </c>
      <c r="H7" s="309">
        <v>26000</v>
      </c>
      <c r="I7" s="309">
        <v>390000</v>
      </c>
      <c r="J7" s="211"/>
      <c r="K7" s="212" t="str">
        <f>IF(OR(J7="",G7=J7),"","*")</f>
        <v/>
      </c>
      <c r="L7" s="338">
        <f>IF($A7&lt;=L$1,I7/I$4,"")</f>
        <v>2.5691699604743084E-2</v>
      </c>
      <c r="M7" s="343"/>
      <c r="N7" s="344"/>
      <c r="O7" s="346" t="s">
        <v>418</v>
      </c>
      <c r="P7" s="347" t="s">
        <v>418</v>
      </c>
      <c r="Q7" s="347" t="s">
        <v>418</v>
      </c>
      <c r="R7" s="348" t="s">
        <v>418</v>
      </c>
      <c r="S7" s="349"/>
      <c r="T7" s="343" t="s">
        <v>419</v>
      </c>
      <c r="U7" s="343"/>
      <c r="V7" s="344"/>
      <c r="W7" s="346" t="s">
        <v>418</v>
      </c>
      <c r="X7" s="347" t="s">
        <v>418</v>
      </c>
      <c r="Y7" s="347" t="s">
        <v>418</v>
      </c>
      <c r="Z7" s="348" t="s">
        <v>418</v>
      </c>
      <c r="AA7" s="349"/>
      <c r="AB7" s="343" t="s">
        <v>419</v>
      </c>
      <c r="AC7" s="343"/>
      <c r="AD7" s="344"/>
      <c r="AE7" s="342" t="s">
        <v>492</v>
      </c>
      <c r="AF7" s="341" t="s">
        <v>117</v>
      </c>
    </row>
    <row r="8" spans="1:32">
      <c r="A8" s="307">
        <v>3</v>
      </c>
      <c r="B8" s="342"/>
      <c r="C8" s="342" t="s">
        <v>182</v>
      </c>
      <c r="D8" s="340" t="s">
        <v>493</v>
      </c>
      <c r="E8" s="342"/>
      <c r="F8" s="345" t="s">
        <v>491</v>
      </c>
      <c r="G8" s="308">
        <v>15</v>
      </c>
      <c r="H8" s="309">
        <v>28500</v>
      </c>
      <c r="I8" s="309">
        <v>427500</v>
      </c>
      <c r="J8" s="211"/>
      <c r="K8" s="212" t="str">
        <f>IF(OR(J8="",G8=J8),"","*")</f>
        <v/>
      </c>
      <c r="L8" s="338">
        <f>IF($A8&lt;=L$1,I8/I$4,"")</f>
        <v>2.816205533596838E-2</v>
      </c>
      <c r="M8" s="343"/>
      <c r="N8" s="344"/>
      <c r="O8" s="346" t="s">
        <v>418</v>
      </c>
      <c r="P8" s="347" t="s">
        <v>418</v>
      </c>
      <c r="Q8" s="347" t="s">
        <v>418</v>
      </c>
      <c r="R8" s="348" t="s">
        <v>418</v>
      </c>
      <c r="S8" s="349"/>
      <c r="T8" s="343" t="s">
        <v>419</v>
      </c>
      <c r="U8" s="343"/>
      <c r="V8" s="344"/>
      <c r="W8" s="346" t="s">
        <v>418</v>
      </c>
      <c r="X8" s="347" t="s">
        <v>418</v>
      </c>
      <c r="Y8" s="347" t="s">
        <v>418</v>
      </c>
      <c r="Z8" s="348" t="s">
        <v>418</v>
      </c>
      <c r="AA8" s="349"/>
      <c r="AB8" s="343" t="s">
        <v>419</v>
      </c>
      <c r="AC8" s="343"/>
      <c r="AD8" s="344"/>
      <c r="AE8" s="342" t="s">
        <v>494</v>
      </c>
      <c r="AF8" s="341" t="s">
        <v>117</v>
      </c>
    </row>
    <row r="9" spans="1:32">
      <c r="A9" s="307">
        <v>3</v>
      </c>
      <c r="B9" s="342"/>
      <c r="C9" s="342" t="s">
        <v>182</v>
      </c>
      <c r="D9" s="340" t="s">
        <v>405</v>
      </c>
      <c r="E9" s="342"/>
      <c r="F9" s="345" t="s">
        <v>173</v>
      </c>
      <c r="G9" s="308">
        <v>1</v>
      </c>
      <c r="H9" s="309">
        <v>2500</v>
      </c>
      <c r="I9" s="309">
        <v>2500</v>
      </c>
      <c r="J9" s="211"/>
      <c r="K9" s="212" t="str">
        <f>IF(OR(J9="",G9=J9),"","*")</f>
        <v/>
      </c>
      <c r="L9" s="338">
        <f>IF($A9&lt;=L$1,I9/I$4,"")</f>
        <v>1.6469038208168644E-4</v>
      </c>
      <c r="M9" s="343"/>
      <c r="N9" s="344"/>
      <c r="O9" s="346" t="s">
        <v>418</v>
      </c>
      <c r="P9" s="347" t="s">
        <v>418</v>
      </c>
      <c r="Q9" s="347" t="s">
        <v>418</v>
      </c>
      <c r="R9" s="348" t="s">
        <v>418</v>
      </c>
      <c r="S9" s="349"/>
      <c r="T9" s="343" t="s">
        <v>419</v>
      </c>
      <c r="U9" s="343"/>
      <c r="V9" s="344"/>
      <c r="W9" s="346" t="s">
        <v>418</v>
      </c>
      <c r="X9" s="347" t="s">
        <v>418</v>
      </c>
      <c r="Y9" s="347" t="s">
        <v>418</v>
      </c>
      <c r="Z9" s="348" t="s">
        <v>418</v>
      </c>
      <c r="AA9" s="349"/>
      <c r="AB9" s="343" t="s">
        <v>419</v>
      </c>
      <c r="AC9" s="343"/>
      <c r="AD9" s="344"/>
      <c r="AE9" s="342"/>
      <c r="AF9" s="341" t="s">
        <v>117</v>
      </c>
    </row>
    <row r="10" spans="1:32">
      <c r="A10" s="307">
        <v>2</v>
      </c>
      <c r="B10" s="342"/>
      <c r="C10" s="342" t="s">
        <v>233</v>
      </c>
      <c r="D10" s="340" t="s">
        <v>495</v>
      </c>
      <c r="E10" s="342" t="s">
        <v>474</v>
      </c>
      <c r="F10" s="345" t="s">
        <v>173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496</v>
      </c>
      <c r="O10" s="346" t="s">
        <v>418</v>
      </c>
      <c r="P10" s="347" t="s">
        <v>418</v>
      </c>
      <c r="Q10" s="347" t="s">
        <v>418</v>
      </c>
      <c r="R10" s="348" t="s">
        <v>418</v>
      </c>
      <c r="S10" s="349"/>
      <c r="T10" s="343" t="s">
        <v>419</v>
      </c>
      <c r="U10" s="343"/>
      <c r="V10" s="344"/>
      <c r="W10" s="346" t="s">
        <v>418</v>
      </c>
      <c r="X10" s="347" t="s">
        <v>418</v>
      </c>
      <c r="Y10" s="347" t="s">
        <v>418</v>
      </c>
      <c r="Z10" s="348" t="s">
        <v>418</v>
      </c>
      <c r="AA10" s="349"/>
      <c r="AB10" s="343" t="s">
        <v>419</v>
      </c>
      <c r="AC10" s="343"/>
      <c r="AD10" s="344"/>
      <c r="AE10" s="342"/>
      <c r="AF10" s="341" t="s">
        <v>117</v>
      </c>
    </row>
    <row r="11" spans="1:32">
      <c r="A11" s="307">
        <v>2</v>
      </c>
      <c r="B11" s="342"/>
      <c r="C11" s="342" t="s">
        <v>233</v>
      </c>
      <c r="D11" s="340" t="s">
        <v>497</v>
      </c>
      <c r="E11" s="342"/>
      <c r="F11" s="345" t="s">
        <v>173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498</v>
      </c>
      <c r="O11" s="346" t="s">
        <v>418</v>
      </c>
      <c r="P11" s="347" t="s">
        <v>418</v>
      </c>
      <c r="Q11" s="347" t="s">
        <v>418</v>
      </c>
      <c r="R11" s="348" t="s">
        <v>418</v>
      </c>
      <c r="S11" s="349"/>
      <c r="T11" s="343" t="s">
        <v>419</v>
      </c>
      <c r="U11" s="343"/>
      <c r="V11" s="344"/>
      <c r="W11" s="346" t="s">
        <v>418</v>
      </c>
      <c r="X11" s="347" t="s">
        <v>418</v>
      </c>
      <c r="Y11" s="347" t="s">
        <v>418</v>
      </c>
      <c r="Z11" s="348" t="s">
        <v>418</v>
      </c>
      <c r="AA11" s="349"/>
      <c r="AB11" s="343" t="s">
        <v>419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233</v>
      </c>
      <c r="D12" s="340" t="s">
        <v>499</v>
      </c>
      <c r="E12" s="342" t="s">
        <v>477</v>
      </c>
      <c r="F12" s="345" t="s">
        <v>173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500</v>
      </c>
      <c r="O12" s="346" t="s">
        <v>418</v>
      </c>
      <c r="P12" s="347" t="s">
        <v>418</v>
      </c>
      <c r="Q12" s="347" t="s">
        <v>418</v>
      </c>
      <c r="R12" s="348" t="s">
        <v>418</v>
      </c>
      <c r="S12" s="349"/>
      <c r="T12" s="343" t="s">
        <v>419</v>
      </c>
      <c r="U12" s="343"/>
      <c r="V12" s="344"/>
      <c r="W12" s="346" t="s">
        <v>418</v>
      </c>
      <c r="X12" s="347" t="s">
        <v>418</v>
      </c>
      <c r="Y12" s="347" t="s">
        <v>418</v>
      </c>
      <c r="Z12" s="348" t="s">
        <v>418</v>
      </c>
      <c r="AA12" s="349"/>
      <c r="AB12" s="343" t="s">
        <v>419</v>
      </c>
      <c r="AC12" s="343"/>
      <c r="AD12" s="344"/>
      <c r="AE12" s="342"/>
      <c r="AF12" s="341" t="s">
        <v>117</v>
      </c>
    </row>
    <row r="13" spans="1:32">
      <c r="A13" s="307">
        <v>2</v>
      </c>
      <c r="B13" s="342"/>
      <c r="C13" s="342" t="s">
        <v>233</v>
      </c>
      <c r="D13" s="340" t="s">
        <v>501</v>
      </c>
      <c r="E13" s="342" t="s">
        <v>479</v>
      </c>
      <c r="F13" s="345" t="s">
        <v>173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502</v>
      </c>
      <c r="O13" s="346" t="s">
        <v>418</v>
      </c>
      <c r="P13" s="347" t="s">
        <v>418</v>
      </c>
      <c r="Q13" s="347" t="s">
        <v>418</v>
      </c>
      <c r="R13" s="348" t="s">
        <v>418</v>
      </c>
      <c r="S13" s="349"/>
      <c r="T13" s="343" t="s">
        <v>419</v>
      </c>
      <c r="U13" s="343"/>
      <c r="V13" s="344"/>
      <c r="W13" s="346" t="s">
        <v>418</v>
      </c>
      <c r="X13" s="347" t="s">
        <v>418</v>
      </c>
      <c r="Y13" s="347" t="s">
        <v>418</v>
      </c>
      <c r="Z13" s="348" t="s">
        <v>418</v>
      </c>
      <c r="AA13" s="349"/>
      <c r="AB13" s="343" t="s">
        <v>419</v>
      </c>
      <c r="AC13" s="343"/>
      <c r="AD13" s="344"/>
      <c r="AE13" s="342"/>
      <c r="AF13" s="341" t="s">
        <v>117</v>
      </c>
    </row>
    <row r="14" spans="1:32">
      <c r="A14" s="307">
        <v>2</v>
      </c>
      <c r="B14" s="342"/>
      <c r="C14" s="342" t="s">
        <v>233</v>
      </c>
      <c r="D14" s="340" t="s">
        <v>503</v>
      </c>
      <c r="E14" s="342" t="s">
        <v>481</v>
      </c>
      <c r="F14" s="345" t="s">
        <v>173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504</v>
      </c>
      <c r="O14" s="346" t="s">
        <v>418</v>
      </c>
      <c r="P14" s="347" t="s">
        <v>418</v>
      </c>
      <c r="Q14" s="347" t="s">
        <v>418</v>
      </c>
      <c r="R14" s="348" t="s">
        <v>418</v>
      </c>
      <c r="S14" s="349"/>
      <c r="T14" s="343" t="s">
        <v>419</v>
      </c>
      <c r="U14" s="343"/>
      <c r="V14" s="344"/>
      <c r="W14" s="346" t="s">
        <v>418</v>
      </c>
      <c r="X14" s="347" t="s">
        <v>418</v>
      </c>
      <c r="Y14" s="347" t="s">
        <v>418</v>
      </c>
      <c r="Z14" s="348" t="s">
        <v>418</v>
      </c>
      <c r="AA14" s="349"/>
      <c r="AB14" s="343" t="s">
        <v>419</v>
      </c>
      <c r="AC14" s="343"/>
      <c r="AD14" s="344"/>
      <c r="AE14" s="342"/>
      <c r="AF14" s="341" t="s">
        <v>117</v>
      </c>
    </row>
    <row r="15" spans="1:32">
      <c r="A15" s="307">
        <v>2</v>
      </c>
      <c r="B15" s="342"/>
      <c r="C15" s="342" t="s">
        <v>233</v>
      </c>
      <c r="D15" s="340" t="s">
        <v>505</v>
      </c>
      <c r="E15" s="342" t="s">
        <v>483</v>
      </c>
      <c r="F15" s="345" t="s">
        <v>173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506</v>
      </c>
      <c r="O15" s="346" t="s">
        <v>418</v>
      </c>
      <c r="P15" s="347" t="s">
        <v>418</v>
      </c>
      <c r="Q15" s="347" t="s">
        <v>418</v>
      </c>
      <c r="R15" s="348" t="s">
        <v>418</v>
      </c>
      <c r="S15" s="349"/>
      <c r="T15" s="343" t="s">
        <v>419</v>
      </c>
      <c r="U15" s="343"/>
      <c r="V15" s="344"/>
      <c r="W15" s="346" t="s">
        <v>418</v>
      </c>
      <c r="X15" s="347" t="s">
        <v>418</v>
      </c>
      <c r="Y15" s="347" t="s">
        <v>418</v>
      </c>
      <c r="Z15" s="348" t="s">
        <v>418</v>
      </c>
      <c r="AA15" s="349"/>
      <c r="AB15" s="343" t="s">
        <v>419</v>
      </c>
      <c r="AC15" s="343"/>
      <c r="AD15" s="344"/>
      <c r="AE15" s="342"/>
      <c r="AF15" s="341" t="s">
        <v>117</v>
      </c>
    </row>
    <row r="16" spans="1:32">
      <c r="A16" s="307">
        <v>2</v>
      </c>
      <c r="B16" s="342"/>
      <c r="C16" s="342" t="s">
        <v>233</v>
      </c>
      <c r="D16" s="340" t="s">
        <v>507</v>
      </c>
      <c r="E16" s="342" t="s">
        <v>485</v>
      </c>
      <c r="F16" s="345" t="s">
        <v>173</v>
      </c>
      <c r="G16" s="308">
        <v>1</v>
      </c>
      <c r="H16" s="309">
        <v>0</v>
      </c>
      <c r="I16" s="309">
        <v>0</v>
      </c>
      <c r="J16" s="211">
        <v>1</v>
      </c>
      <c r="K16" s="212" t="str">
        <f>IF(OR(J16="",G16=J16),"","*")</f>
        <v/>
      </c>
      <c r="L16" s="338">
        <f>IF($A16&lt;=L$1,I16/I$4,"")</f>
        <v>0</v>
      </c>
      <c r="M16" s="343"/>
      <c r="N16" s="344" t="s">
        <v>508</v>
      </c>
      <c r="O16" s="346" t="s">
        <v>418</v>
      </c>
      <c r="P16" s="347" t="s">
        <v>418</v>
      </c>
      <c r="Q16" s="347" t="s">
        <v>418</v>
      </c>
      <c r="R16" s="348" t="s">
        <v>418</v>
      </c>
      <c r="S16" s="349"/>
      <c r="T16" s="343" t="s">
        <v>419</v>
      </c>
      <c r="U16" s="343"/>
      <c r="V16" s="344"/>
      <c r="W16" s="346" t="s">
        <v>418</v>
      </c>
      <c r="X16" s="347" t="s">
        <v>418</v>
      </c>
      <c r="Y16" s="347" t="s">
        <v>418</v>
      </c>
      <c r="Z16" s="348" t="s">
        <v>418</v>
      </c>
      <c r="AA16" s="349"/>
      <c r="AB16" s="343" t="s">
        <v>419</v>
      </c>
      <c r="AC16" s="343"/>
      <c r="AD16" s="344"/>
      <c r="AE16" s="342"/>
      <c r="AF16" s="341" t="s">
        <v>117</v>
      </c>
    </row>
    <row r="17" spans="1:32">
      <c r="A17" s="217"/>
      <c r="B17" s="217"/>
      <c r="C17" s="312"/>
      <c r="D17" s="217"/>
      <c r="E17" s="217"/>
      <c r="F17" s="218"/>
      <c r="G17" s="217"/>
      <c r="H17" s="217"/>
      <c r="I17" s="217"/>
      <c r="J17" s="217"/>
      <c r="K17" s="218"/>
      <c r="L17" s="217"/>
      <c r="M17" s="217"/>
      <c r="N17" s="217"/>
      <c r="O17" s="217"/>
      <c r="P17" s="217"/>
      <c r="Q17" s="217"/>
      <c r="R17" s="217"/>
      <c r="S17" s="218"/>
      <c r="T17" s="217"/>
      <c r="U17" s="217"/>
      <c r="V17" s="217"/>
      <c r="W17" s="217"/>
      <c r="X17" s="217"/>
      <c r="Y17" s="217"/>
      <c r="Z17" s="217"/>
      <c r="AA17" s="218"/>
      <c r="AB17" s="217"/>
      <c r="AC17" s="217"/>
      <c r="AD17" s="217"/>
      <c r="AE17" s="217"/>
      <c r="AF17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6 AF4:AF16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6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509</v>
      </c>
      <c r="C3" s="146" t="s">
        <v>510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511</v>
      </c>
      <c r="K4" s="69"/>
    </row>
    <row r="5" spans="1:11" ht="18" customHeight="1">
      <c r="A5" s="69"/>
      <c r="B5" s="574" t="s">
        <v>512</v>
      </c>
      <c r="C5" s="575"/>
      <c r="D5" s="153" t="s">
        <v>85</v>
      </c>
      <c r="E5" s="153" t="s">
        <v>513</v>
      </c>
      <c r="F5" s="153" t="s">
        <v>514</v>
      </c>
      <c r="G5" s="153" t="s">
        <v>515</v>
      </c>
      <c r="H5" s="154" t="s">
        <v>516</v>
      </c>
      <c r="I5" s="153" t="s">
        <v>517</v>
      </c>
      <c r="J5" s="155" t="s">
        <v>518</v>
      </c>
      <c r="K5" s="69"/>
    </row>
    <row r="6" spans="1:11" ht="10.5" customHeight="1">
      <c r="A6" s="69"/>
      <c r="B6" s="156" t="s">
        <v>519</v>
      </c>
      <c r="C6" s="157"/>
      <c r="D6" s="576" t="s">
        <v>520</v>
      </c>
      <c r="E6" s="578">
        <v>76</v>
      </c>
      <c r="F6" s="580">
        <v>800</v>
      </c>
      <c r="G6" s="582">
        <v>60800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521</v>
      </c>
      <c r="J7" s="161"/>
      <c r="K7" s="69" t="s">
        <v>96</v>
      </c>
    </row>
    <row r="8" spans="1:11" ht="10.5" customHeight="1">
      <c r="A8" s="69"/>
      <c r="B8" s="156" t="s">
        <v>522</v>
      </c>
      <c r="C8" s="157"/>
      <c r="D8" s="576" t="s">
        <v>520</v>
      </c>
      <c r="E8" s="578">
        <v>0.59099999999999997</v>
      </c>
      <c r="F8" s="580">
        <v>219500</v>
      </c>
      <c r="G8" s="582">
        <v>129724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521</v>
      </c>
      <c r="J9" s="162"/>
      <c r="K9" s="69" t="s">
        <v>96</v>
      </c>
    </row>
    <row r="10" spans="1:11" ht="10.5" customHeight="1">
      <c r="A10" s="69"/>
      <c r="B10" s="156" t="s">
        <v>523</v>
      </c>
      <c r="C10" s="157"/>
      <c r="D10" s="576" t="s">
        <v>524</v>
      </c>
      <c r="E10" s="578">
        <v>8</v>
      </c>
      <c r="F10" s="580">
        <v>8500</v>
      </c>
      <c r="G10" s="582">
        <v>68000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521</v>
      </c>
      <c r="J11" s="161"/>
      <c r="K11" s="69" t="s">
        <v>96</v>
      </c>
    </row>
    <row r="12" spans="1:11" ht="10.5" customHeight="1">
      <c r="A12" s="69"/>
      <c r="B12" s="156" t="s">
        <v>525</v>
      </c>
      <c r="C12" s="157"/>
      <c r="D12" s="576" t="s">
        <v>526</v>
      </c>
      <c r="E12" s="584">
        <v>4</v>
      </c>
      <c r="F12" s="580">
        <v>15000</v>
      </c>
      <c r="G12" s="582">
        <v>60000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527</v>
      </c>
      <c r="C13" s="160"/>
      <c r="D13" s="577"/>
      <c r="E13" s="585"/>
      <c r="F13" s="581"/>
      <c r="G13" s="583"/>
      <c r="H13" s="356"/>
      <c r="I13" s="356" t="s">
        <v>521</v>
      </c>
      <c r="J13" s="161"/>
      <c r="K13" s="69" t="s">
        <v>96</v>
      </c>
    </row>
    <row r="14" spans="1:11" ht="10.5" customHeight="1">
      <c r="A14" s="69"/>
      <c r="B14" s="156" t="s">
        <v>528</v>
      </c>
      <c r="C14" s="157"/>
      <c r="D14" s="576" t="s">
        <v>529</v>
      </c>
      <c r="E14" s="584">
        <v>50</v>
      </c>
      <c r="F14" s="580">
        <v>150</v>
      </c>
      <c r="G14" s="582">
        <v>7500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521</v>
      </c>
      <c r="J15" s="161"/>
      <c r="K15" s="69" t="s">
        <v>96</v>
      </c>
    </row>
    <row r="16" spans="1:11" ht="10.5" customHeight="1">
      <c r="A16" s="69"/>
      <c r="B16" s="156" t="s">
        <v>530</v>
      </c>
      <c r="C16" s="157"/>
      <c r="D16" s="576" t="s">
        <v>531</v>
      </c>
      <c r="E16" s="584">
        <v>3.1</v>
      </c>
      <c r="F16" s="580">
        <v>4700</v>
      </c>
      <c r="G16" s="582">
        <v>14570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521</v>
      </c>
      <c r="J17" s="161"/>
      <c r="K17" s="69" t="s">
        <v>96</v>
      </c>
    </row>
    <row r="18" spans="1:11" ht="10.5" customHeight="1">
      <c r="A18" s="69"/>
      <c r="B18" s="156" t="s">
        <v>532</v>
      </c>
      <c r="C18" s="157"/>
      <c r="D18" s="576" t="s">
        <v>533</v>
      </c>
      <c r="E18" s="584">
        <v>335</v>
      </c>
      <c r="F18" s="580">
        <v>7400</v>
      </c>
      <c r="G18" s="582">
        <v>2479000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521</v>
      </c>
      <c r="J19" s="161"/>
      <c r="K19" s="69" t="s">
        <v>96</v>
      </c>
    </row>
    <row r="20" spans="1:11" ht="10.5" customHeight="1">
      <c r="A20" s="69"/>
      <c r="B20" s="156" t="s">
        <v>534</v>
      </c>
      <c r="C20" s="157"/>
      <c r="D20" s="576" t="s">
        <v>520</v>
      </c>
      <c r="E20" s="584">
        <v>20</v>
      </c>
      <c r="F20" s="580">
        <v>14300</v>
      </c>
      <c r="G20" s="582">
        <v>286000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535</v>
      </c>
      <c r="C21" s="160"/>
      <c r="D21" s="577"/>
      <c r="E21" s="585"/>
      <c r="F21" s="581"/>
      <c r="G21" s="583"/>
      <c r="H21" s="356"/>
      <c r="I21" s="356" t="s">
        <v>521</v>
      </c>
      <c r="J21" s="161"/>
      <c r="K21" s="69" t="s">
        <v>96</v>
      </c>
    </row>
    <row r="22" spans="1:11" ht="10.5" customHeight="1">
      <c r="A22" s="69"/>
      <c r="B22" s="156" t="s">
        <v>536</v>
      </c>
      <c r="C22" s="157"/>
      <c r="D22" s="576" t="s">
        <v>537</v>
      </c>
      <c r="E22" s="584">
        <v>1</v>
      </c>
      <c r="F22" s="580">
        <v>32650</v>
      </c>
      <c r="G22" s="582">
        <v>32650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521</v>
      </c>
      <c r="J23" s="161"/>
      <c r="K23" s="69" t="s">
        <v>96</v>
      </c>
    </row>
    <row r="24" spans="1:11" ht="10.5" customHeight="1">
      <c r="A24" s="69"/>
      <c r="B24" s="156" t="s">
        <v>536</v>
      </c>
      <c r="C24" s="157"/>
      <c r="D24" s="576" t="s">
        <v>537</v>
      </c>
      <c r="E24" s="578">
        <v>2</v>
      </c>
      <c r="F24" s="580">
        <v>15000</v>
      </c>
      <c r="G24" s="582">
        <v>30000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521</v>
      </c>
      <c r="J25" s="161"/>
      <c r="K25" s="69" t="s">
        <v>96</v>
      </c>
    </row>
    <row r="26" spans="1:11" ht="10.5" customHeight="1">
      <c r="A26" s="69"/>
      <c r="B26" s="156" t="s">
        <v>536</v>
      </c>
      <c r="C26" s="157"/>
      <c r="D26" s="576" t="s">
        <v>537</v>
      </c>
      <c r="E26" s="584">
        <v>1</v>
      </c>
      <c r="F26" s="580">
        <v>15000</v>
      </c>
      <c r="G26" s="582">
        <v>15000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521</v>
      </c>
      <c r="J27" s="161"/>
      <c r="K27" s="69" t="s">
        <v>96</v>
      </c>
    </row>
    <row r="28" spans="1:11" ht="10.5" customHeight="1">
      <c r="A28" s="69"/>
      <c r="B28" s="156" t="s">
        <v>536</v>
      </c>
      <c r="C28" s="157"/>
      <c r="D28" s="576" t="s">
        <v>537</v>
      </c>
      <c r="E28" s="584"/>
      <c r="F28" s="580">
        <v>10731</v>
      </c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521</v>
      </c>
      <c r="J29" s="161"/>
      <c r="K29" s="69" t="s">
        <v>96</v>
      </c>
    </row>
    <row r="30" spans="1:11" ht="10.5" customHeight="1">
      <c r="A30" s="69"/>
      <c r="B30" s="156" t="s">
        <v>536</v>
      </c>
      <c r="C30" s="157"/>
      <c r="D30" s="576" t="s">
        <v>537</v>
      </c>
      <c r="E30" s="584"/>
      <c r="F30" s="580">
        <v>12400</v>
      </c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521</v>
      </c>
      <c r="J31" s="161"/>
      <c r="K31" s="69" t="s">
        <v>96</v>
      </c>
    </row>
    <row r="32" spans="1:11" ht="10.5" customHeight="1">
      <c r="A32" s="69"/>
      <c r="B32" s="156" t="s">
        <v>538</v>
      </c>
      <c r="C32" s="157"/>
      <c r="D32" s="576" t="s">
        <v>537</v>
      </c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521</v>
      </c>
      <c r="J33" s="161"/>
      <c r="K33" s="69" t="s">
        <v>96</v>
      </c>
    </row>
    <row r="34" spans="1:11" ht="10.5" customHeight="1">
      <c r="A34" s="69"/>
      <c r="B34" s="156" t="s">
        <v>539</v>
      </c>
      <c r="C34" s="157"/>
      <c r="D34" s="576" t="s">
        <v>537</v>
      </c>
      <c r="E34" s="584">
        <v>1</v>
      </c>
      <c r="F34" s="580">
        <v>50000</v>
      </c>
      <c r="G34" s="582">
        <v>50000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521</v>
      </c>
      <c r="J35" s="161"/>
      <c r="K35" s="69" t="s">
        <v>96</v>
      </c>
    </row>
    <row r="36" spans="1:11" ht="10.5" customHeight="1">
      <c r="A36" s="69"/>
      <c r="B36" s="156" t="s">
        <v>540</v>
      </c>
      <c r="C36" s="157"/>
      <c r="D36" s="576" t="s">
        <v>533</v>
      </c>
      <c r="E36" s="584">
        <v>1.732</v>
      </c>
      <c r="F36" s="580">
        <v>100000</v>
      </c>
      <c r="G36" s="582">
        <v>173200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521</v>
      </c>
      <c r="J37" s="161"/>
      <c r="K37" s="69" t="s">
        <v>96</v>
      </c>
    </row>
    <row r="38" spans="1:11" ht="10.5" customHeight="1">
      <c r="A38" s="69"/>
      <c r="B38" s="156" t="s">
        <v>541</v>
      </c>
      <c r="C38" s="157"/>
      <c r="D38" s="576" t="s">
        <v>520</v>
      </c>
      <c r="E38" s="584">
        <v>190</v>
      </c>
      <c r="F38" s="580">
        <v>14800</v>
      </c>
      <c r="G38" s="582">
        <v>2812000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542</v>
      </c>
      <c r="C39" s="160"/>
      <c r="D39" s="577"/>
      <c r="E39" s="585"/>
      <c r="F39" s="581"/>
      <c r="G39" s="583"/>
      <c r="H39" s="356"/>
      <c r="I39" s="356" t="s">
        <v>521</v>
      </c>
      <c r="J39" s="161"/>
      <c r="K39" s="69" t="s">
        <v>96</v>
      </c>
    </row>
    <row r="40" spans="1:11" ht="10.5" customHeight="1">
      <c r="A40" s="69"/>
      <c r="B40" s="156" t="s">
        <v>543</v>
      </c>
      <c r="C40" s="157"/>
      <c r="D40" s="576" t="s">
        <v>544</v>
      </c>
      <c r="E40" s="584">
        <v>32</v>
      </c>
      <c r="F40" s="580">
        <v>5400</v>
      </c>
      <c r="G40" s="582">
        <v>172800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545</v>
      </c>
      <c r="C41" s="160"/>
      <c r="D41" s="577"/>
      <c r="E41" s="585"/>
      <c r="F41" s="581"/>
      <c r="G41" s="583"/>
      <c r="H41" s="356"/>
      <c r="I41" s="356" t="s">
        <v>521</v>
      </c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 t="s">
        <v>546</v>
      </c>
      <c r="C44" s="157"/>
      <c r="D44" s="576"/>
      <c r="E44" s="584"/>
      <c r="F44" s="580"/>
      <c r="G44" s="582">
        <v>6391244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509</v>
      </c>
      <c r="C3" s="146" t="s">
        <v>510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511</v>
      </c>
      <c r="K4" s="69"/>
    </row>
    <row r="5" spans="1:11" ht="18" customHeight="1">
      <c r="A5" s="69"/>
      <c r="B5" s="574" t="s">
        <v>512</v>
      </c>
      <c r="C5" s="575"/>
      <c r="D5" s="153" t="s">
        <v>85</v>
      </c>
      <c r="E5" s="153" t="s">
        <v>513</v>
      </c>
      <c r="F5" s="153" t="s">
        <v>514</v>
      </c>
      <c r="G5" s="153" t="s">
        <v>515</v>
      </c>
      <c r="H5" s="154" t="s">
        <v>516</v>
      </c>
      <c r="I5" s="153" t="s">
        <v>517</v>
      </c>
      <c r="J5" s="155" t="s">
        <v>518</v>
      </c>
      <c r="K5" s="69"/>
    </row>
    <row r="6" spans="1:11" ht="10.5" customHeight="1">
      <c r="A6" s="69"/>
      <c r="B6" s="156" t="s">
        <v>547</v>
      </c>
      <c r="C6" s="157"/>
      <c r="D6" s="576" t="s">
        <v>548</v>
      </c>
      <c r="E6" s="578">
        <v>30</v>
      </c>
      <c r="F6" s="580">
        <v>23000</v>
      </c>
      <c r="G6" s="582">
        <v>690000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549</v>
      </c>
      <c r="J7" s="161"/>
      <c r="K7" s="69" t="s">
        <v>96</v>
      </c>
    </row>
    <row r="8" spans="1:11" ht="10.5" customHeight="1">
      <c r="A8" s="69"/>
      <c r="B8" s="156" t="s">
        <v>547</v>
      </c>
      <c r="C8" s="157"/>
      <c r="D8" s="576" t="s">
        <v>548</v>
      </c>
      <c r="E8" s="578">
        <v>3</v>
      </c>
      <c r="F8" s="580">
        <v>23000</v>
      </c>
      <c r="G8" s="582">
        <v>69000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549</v>
      </c>
      <c r="J9" s="162"/>
      <c r="K9" s="69" t="s">
        <v>96</v>
      </c>
    </row>
    <row r="10" spans="1:11" ht="10.5" customHeight="1">
      <c r="A10" s="69"/>
      <c r="B10" s="156" t="s">
        <v>547</v>
      </c>
      <c r="C10" s="157"/>
      <c r="D10" s="576" t="s">
        <v>548</v>
      </c>
      <c r="E10" s="578">
        <v>26</v>
      </c>
      <c r="F10" s="580">
        <v>28000</v>
      </c>
      <c r="G10" s="582">
        <v>728000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550</v>
      </c>
      <c r="C11" s="160"/>
      <c r="D11" s="577"/>
      <c r="E11" s="579"/>
      <c r="F11" s="581"/>
      <c r="G11" s="583"/>
      <c r="H11" s="356"/>
      <c r="I11" s="356" t="s">
        <v>549</v>
      </c>
      <c r="J11" s="161"/>
      <c r="K11" s="69" t="s">
        <v>96</v>
      </c>
    </row>
    <row r="12" spans="1:11" ht="10.5" customHeight="1">
      <c r="A12" s="69"/>
      <c r="B12" s="156" t="s">
        <v>551</v>
      </c>
      <c r="C12" s="157"/>
      <c r="D12" s="576" t="s">
        <v>548</v>
      </c>
      <c r="E12" s="584">
        <v>14</v>
      </c>
      <c r="F12" s="580">
        <v>28000</v>
      </c>
      <c r="G12" s="582">
        <v>392000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549</v>
      </c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 t="s">
        <v>546</v>
      </c>
      <c r="C16" s="157"/>
      <c r="D16" s="576"/>
      <c r="E16" s="584"/>
      <c r="F16" s="580"/>
      <c r="G16" s="582">
        <v>1879000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509</v>
      </c>
      <c r="C3" s="146" t="s">
        <v>510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511</v>
      </c>
      <c r="K4" s="69"/>
    </row>
    <row r="5" spans="1:11" ht="18" customHeight="1">
      <c r="A5" s="69"/>
      <c r="B5" s="574" t="s">
        <v>512</v>
      </c>
      <c r="C5" s="575"/>
      <c r="D5" s="153" t="s">
        <v>85</v>
      </c>
      <c r="E5" s="153" t="s">
        <v>513</v>
      </c>
      <c r="F5" s="153" t="s">
        <v>514</v>
      </c>
      <c r="G5" s="153" t="s">
        <v>515</v>
      </c>
      <c r="H5" s="154" t="s">
        <v>516</v>
      </c>
      <c r="I5" s="153" t="s">
        <v>517</v>
      </c>
      <c r="J5" s="155" t="s">
        <v>518</v>
      </c>
      <c r="K5" s="69"/>
    </row>
    <row r="6" spans="1:11" ht="10.5" customHeight="1">
      <c r="A6" s="69"/>
      <c r="B6" s="156" t="s">
        <v>552</v>
      </c>
      <c r="C6" s="157"/>
      <c r="D6" s="576" t="s">
        <v>537</v>
      </c>
      <c r="E6" s="578">
        <v>1</v>
      </c>
      <c r="F6" s="580">
        <v>21000</v>
      </c>
      <c r="G6" s="582">
        <v>21000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553</v>
      </c>
      <c r="C7" s="160"/>
      <c r="D7" s="577"/>
      <c r="E7" s="579"/>
      <c r="F7" s="581"/>
      <c r="G7" s="583"/>
      <c r="H7" s="356"/>
      <c r="I7" s="356" t="s">
        <v>554</v>
      </c>
      <c r="J7" s="161"/>
      <c r="K7" s="69" t="s">
        <v>96</v>
      </c>
    </row>
    <row r="8" spans="1:11" ht="10.5" customHeight="1">
      <c r="A8" s="69"/>
      <c r="B8" s="156" t="s">
        <v>555</v>
      </c>
      <c r="C8" s="157"/>
      <c r="D8" s="576" t="s">
        <v>556</v>
      </c>
      <c r="E8" s="578">
        <v>4</v>
      </c>
      <c r="F8" s="580">
        <v>24000</v>
      </c>
      <c r="G8" s="582">
        <v>96000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554</v>
      </c>
      <c r="J9" s="162"/>
      <c r="K9" s="69" t="s">
        <v>96</v>
      </c>
    </row>
    <row r="10" spans="1:11" ht="10.5" customHeight="1">
      <c r="A10" s="69"/>
      <c r="B10" s="156" t="s">
        <v>557</v>
      </c>
      <c r="C10" s="157"/>
      <c r="D10" s="576" t="s">
        <v>537</v>
      </c>
      <c r="E10" s="578">
        <v>3</v>
      </c>
      <c r="F10" s="580">
        <v>10000</v>
      </c>
      <c r="G10" s="582">
        <v>30000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554</v>
      </c>
      <c r="J11" s="161"/>
      <c r="K11" s="69" t="s">
        <v>96</v>
      </c>
    </row>
    <row r="12" spans="1:11" ht="10.5" customHeight="1">
      <c r="A12" s="69"/>
      <c r="B12" s="156" t="s">
        <v>558</v>
      </c>
      <c r="C12" s="157"/>
      <c r="D12" s="576" t="s">
        <v>537</v>
      </c>
      <c r="E12" s="584">
        <v>3</v>
      </c>
      <c r="F12" s="580">
        <v>12000</v>
      </c>
      <c r="G12" s="582">
        <v>36000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553</v>
      </c>
      <c r="C13" s="160"/>
      <c r="D13" s="577"/>
      <c r="E13" s="585"/>
      <c r="F13" s="581"/>
      <c r="G13" s="583"/>
      <c r="H13" s="356"/>
      <c r="I13" s="356" t="s">
        <v>554</v>
      </c>
      <c r="J13" s="161"/>
      <c r="K13" s="69" t="s">
        <v>96</v>
      </c>
    </row>
    <row r="14" spans="1:11" ht="10.5" customHeight="1">
      <c r="A14" s="69"/>
      <c r="B14" s="156" t="s">
        <v>559</v>
      </c>
      <c r="C14" s="157"/>
      <c r="D14" s="576" t="s">
        <v>537</v>
      </c>
      <c r="E14" s="584">
        <v>1</v>
      </c>
      <c r="F14" s="580">
        <v>683197</v>
      </c>
      <c r="G14" s="582">
        <v>683197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554</v>
      </c>
      <c r="J15" s="161"/>
      <c r="K15" s="69" t="s">
        <v>96</v>
      </c>
    </row>
    <row r="16" spans="1:11" ht="10.5" customHeight="1">
      <c r="A16" s="69"/>
      <c r="B16" s="156" t="s">
        <v>559</v>
      </c>
      <c r="C16" s="157"/>
      <c r="D16" s="576" t="s">
        <v>537</v>
      </c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554</v>
      </c>
      <c r="J17" s="161"/>
      <c r="K17" s="69" t="s">
        <v>96</v>
      </c>
    </row>
    <row r="18" spans="1:11" ht="10.5" customHeight="1">
      <c r="A18" s="69"/>
      <c r="B18" s="156" t="s">
        <v>560</v>
      </c>
      <c r="C18" s="157"/>
      <c r="D18" s="576" t="s">
        <v>537</v>
      </c>
      <c r="E18" s="584">
        <v>1</v>
      </c>
      <c r="F18" s="580">
        <v>56803</v>
      </c>
      <c r="G18" s="582">
        <v>56803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554</v>
      </c>
      <c r="J19" s="161"/>
      <c r="K19" s="69" t="s">
        <v>96</v>
      </c>
    </row>
    <row r="20" spans="1:11" ht="10.5" customHeight="1">
      <c r="A20" s="69"/>
      <c r="B20" s="156" t="s">
        <v>561</v>
      </c>
      <c r="C20" s="157"/>
      <c r="D20" s="576" t="s">
        <v>562</v>
      </c>
      <c r="E20" s="584">
        <v>151</v>
      </c>
      <c r="F20" s="580">
        <v>350</v>
      </c>
      <c r="G20" s="582">
        <v>52850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563</v>
      </c>
      <c r="C21" s="160"/>
      <c r="D21" s="577"/>
      <c r="E21" s="585"/>
      <c r="F21" s="581"/>
      <c r="G21" s="583"/>
      <c r="H21" s="356"/>
      <c r="I21" s="356" t="s">
        <v>554</v>
      </c>
      <c r="J21" s="161"/>
      <c r="K21" s="69" t="s">
        <v>96</v>
      </c>
    </row>
    <row r="22" spans="1:11" ht="10.5" customHeight="1">
      <c r="A22" s="69"/>
      <c r="B22" s="156" t="s">
        <v>564</v>
      </c>
      <c r="C22" s="157"/>
      <c r="D22" s="576" t="s">
        <v>562</v>
      </c>
      <c r="E22" s="584">
        <v>215</v>
      </c>
      <c r="F22" s="580">
        <v>260</v>
      </c>
      <c r="G22" s="582">
        <v>55900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563</v>
      </c>
      <c r="C23" s="160"/>
      <c r="D23" s="577"/>
      <c r="E23" s="585"/>
      <c r="F23" s="581"/>
      <c r="G23" s="583"/>
      <c r="H23" s="356"/>
      <c r="I23" s="356" t="s">
        <v>554</v>
      </c>
      <c r="J23" s="161"/>
      <c r="K23" s="69" t="s">
        <v>96</v>
      </c>
    </row>
    <row r="24" spans="1:11" ht="10.5" customHeight="1">
      <c r="A24" s="69"/>
      <c r="B24" s="156" t="s">
        <v>564</v>
      </c>
      <c r="C24" s="157"/>
      <c r="D24" s="576" t="s">
        <v>562</v>
      </c>
      <c r="E24" s="578">
        <v>51</v>
      </c>
      <c r="F24" s="580">
        <v>520</v>
      </c>
      <c r="G24" s="582">
        <v>26520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565</v>
      </c>
      <c r="C25" s="160"/>
      <c r="D25" s="577"/>
      <c r="E25" s="579"/>
      <c r="F25" s="581"/>
      <c r="G25" s="583"/>
      <c r="H25" s="356"/>
      <c r="I25" s="356" t="s">
        <v>554</v>
      </c>
      <c r="J25" s="161"/>
      <c r="K25" s="69" t="s">
        <v>96</v>
      </c>
    </row>
    <row r="26" spans="1:11" ht="10.5" customHeight="1">
      <c r="A26" s="69"/>
      <c r="B26" s="156" t="s">
        <v>566</v>
      </c>
      <c r="C26" s="157"/>
      <c r="D26" s="576" t="s">
        <v>548</v>
      </c>
      <c r="E26" s="584">
        <v>22</v>
      </c>
      <c r="F26" s="580">
        <v>20000</v>
      </c>
      <c r="G26" s="582">
        <v>440000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554</v>
      </c>
      <c r="J27" s="161"/>
      <c r="K27" s="69" t="s">
        <v>96</v>
      </c>
    </row>
    <row r="28" spans="1:11" ht="10.5" customHeight="1">
      <c r="A28" s="69"/>
      <c r="B28" s="156" t="s">
        <v>567</v>
      </c>
      <c r="C28" s="157"/>
      <c r="D28" s="576" t="s">
        <v>548</v>
      </c>
      <c r="E28" s="584">
        <v>12</v>
      </c>
      <c r="F28" s="580">
        <v>24000</v>
      </c>
      <c r="G28" s="582">
        <v>288000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568</v>
      </c>
      <c r="C29" s="160"/>
      <c r="D29" s="577"/>
      <c r="E29" s="585"/>
      <c r="F29" s="581"/>
      <c r="G29" s="583"/>
      <c r="H29" s="356"/>
      <c r="I29" s="356" t="s">
        <v>554</v>
      </c>
      <c r="J29" s="161"/>
      <c r="K29" s="69" t="s">
        <v>96</v>
      </c>
    </row>
    <row r="30" spans="1:11" ht="10.5" customHeight="1">
      <c r="A30" s="69"/>
      <c r="B30" s="156" t="s">
        <v>569</v>
      </c>
      <c r="C30" s="157"/>
      <c r="D30" s="576" t="s">
        <v>537</v>
      </c>
      <c r="E30" s="584">
        <v>1</v>
      </c>
      <c r="F30" s="580">
        <v>30000</v>
      </c>
      <c r="G30" s="582">
        <v>30000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554</v>
      </c>
      <c r="J31" s="161"/>
      <c r="K31" s="69" t="s">
        <v>96</v>
      </c>
    </row>
    <row r="32" spans="1:11" ht="10.5" customHeight="1">
      <c r="A32" s="69"/>
      <c r="B32" s="156" t="s">
        <v>570</v>
      </c>
      <c r="C32" s="157"/>
      <c r="D32" s="576" t="s">
        <v>562</v>
      </c>
      <c r="E32" s="584">
        <v>339</v>
      </c>
      <c r="F32" s="580">
        <v>300</v>
      </c>
      <c r="G32" s="582">
        <v>101700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554</v>
      </c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 t="s">
        <v>546</v>
      </c>
      <c r="C36" s="157"/>
      <c r="D36" s="576"/>
      <c r="E36" s="584"/>
      <c r="F36" s="580"/>
      <c r="G36" s="582">
        <v>1917970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509</v>
      </c>
      <c r="C3" s="146" t="s">
        <v>510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511</v>
      </c>
      <c r="K4" s="69"/>
    </row>
    <row r="5" spans="1:11" ht="18" customHeight="1">
      <c r="A5" s="69"/>
      <c r="B5" s="574" t="s">
        <v>512</v>
      </c>
      <c r="C5" s="575"/>
      <c r="D5" s="153" t="s">
        <v>85</v>
      </c>
      <c r="E5" s="153" t="s">
        <v>513</v>
      </c>
      <c r="F5" s="153" t="s">
        <v>514</v>
      </c>
      <c r="G5" s="153" t="s">
        <v>515</v>
      </c>
      <c r="H5" s="154" t="s">
        <v>516</v>
      </c>
      <c r="I5" s="153" t="s">
        <v>517</v>
      </c>
      <c r="J5" s="155" t="s">
        <v>518</v>
      </c>
      <c r="K5" s="69"/>
    </row>
    <row r="6" spans="1:11" ht="10.5" customHeight="1">
      <c r="A6" s="69"/>
      <c r="B6" s="156" t="s">
        <v>571</v>
      </c>
      <c r="C6" s="157"/>
      <c r="D6" s="576" t="s">
        <v>572</v>
      </c>
      <c r="E6" s="578">
        <v>3</v>
      </c>
      <c r="F6" s="580">
        <v>115000</v>
      </c>
      <c r="G6" s="582">
        <v>345000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573</v>
      </c>
      <c r="C7" s="160"/>
      <c r="D7" s="577"/>
      <c r="E7" s="579"/>
      <c r="F7" s="581"/>
      <c r="G7" s="583"/>
      <c r="H7" s="356"/>
      <c r="I7" s="356" t="s">
        <v>574</v>
      </c>
      <c r="J7" s="161"/>
      <c r="K7" s="69" t="s">
        <v>96</v>
      </c>
    </row>
    <row r="8" spans="1:11" ht="10.5" customHeight="1">
      <c r="A8" s="69"/>
      <c r="B8" s="156" t="s">
        <v>571</v>
      </c>
      <c r="C8" s="157"/>
      <c r="D8" s="576" t="s">
        <v>572</v>
      </c>
      <c r="E8" s="578">
        <v>2</v>
      </c>
      <c r="F8" s="580">
        <v>111000</v>
      </c>
      <c r="G8" s="582">
        <v>222000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573</v>
      </c>
      <c r="C9" s="160"/>
      <c r="D9" s="577"/>
      <c r="E9" s="579"/>
      <c r="F9" s="581"/>
      <c r="G9" s="583"/>
      <c r="H9" s="356"/>
      <c r="I9" s="356" t="s">
        <v>574</v>
      </c>
      <c r="J9" s="162"/>
      <c r="K9" s="69" t="s">
        <v>96</v>
      </c>
    </row>
    <row r="10" spans="1:11" ht="10.5" customHeight="1">
      <c r="A10" s="69"/>
      <c r="B10" s="156" t="s">
        <v>575</v>
      </c>
      <c r="C10" s="157"/>
      <c r="D10" s="576" t="s">
        <v>572</v>
      </c>
      <c r="E10" s="578">
        <v>6</v>
      </c>
      <c r="F10" s="580">
        <v>5000</v>
      </c>
      <c r="G10" s="582">
        <v>30000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574</v>
      </c>
      <c r="J11" s="161"/>
      <c r="K11" s="69" t="s">
        <v>96</v>
      </c>
    </row>
    <row r="12" spans="1:11" ht="10.5" customHeight="1">
      <c r="A12" s="69"/>
      <c r="B12" s="156" t="s">
        <v>576</v>
      </c>
      <c r="C12" s="157"/>
      <c r="D12" s="576" t="s">
        <v>572</v>
      </c>
      <c r="E12" s="584">
        <v>5</v>
      </c>
      <c r="F12" s="580">
        <v>4000</v>
      </c>
      <c r="G12" s="582">
        <v>20000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574</v>
      </c>
      <c r="J13" s="161"/>
      <c r="K13" s="69" t="s">
        <v>96</v>
      </c>
    </row>
    <row r="14" spans="1:11" ht="10.5" customHeight="1">
      <c r="A14" s="69"/>
      <c r="B14" s="156" t="s">
        <v>577</v>
      </c>
      <c r="C14" s="157"/>
      <c r="D14" s="576" t="s">
        <v>572</v>
      </c>
      <c r="E14" s="584">
        <v>6</v>
      </c>
      <c r="F14" s="580">
        <v>4300</v>
      </c>
      <c r="G14" s="582">
        <v>25800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574</v>
      </c>
      <c r="J15" s="161"/>
      <c r="K15" s="69" t="s">
        <v>96</v>
      </c>
    </row>
    <row r="16" spans="1:11" ht="10.5" customHeight="1">
      <c r="A16" s="69"/>
      <c r="B16" s="156" t="s">
        <v>578</v>
      </c>
      <c r="C16" s="157"/>
      <c r="D16" s="576" t="s">
        <v>572</v>
      </c>
      <c r="E16" s="584">
        <v>2</v>
      </c>
      <c r="F16" s="580">
        <v>65000</v>
      </c>
      <c r="G16" s="582">
        <v>130000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579</v>
      </c>
      <c r="C17" s="160"/>
      <c r="D17" s="577"/>
      <c r="E17" s="585"/>
      <c r="F17" s="581"/>
      <c r="G17" s="583"/>
      <c r="H17" s="356"/>
      <c r="I17" s="356" t="s">
        <v>574</v>
      </c>
      <c r="J17" s="161"/>
      <c r="K17" s="69" t="s">
        <v>96</v>
      </c>
    </row>
    <row r="18" spans="1:11" ht="10.5" customHeight="1">
      <c r="A18" s="69"/>
      <c r="B18" s="156" t="s">
        <v>578</v>
      </c>
      <c r="C18" s="157"/>
      <c r="D18" s="576" t="s">
        <v>572</v>
      </c>
      <c r="E18" s="584">
        <v>2</v>
      </c>
      <c r="F18" s="580">
        <v>60000</v>
      </c>
      <c r="G18" s="582">
        <v>120000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579</v>
      </c>
      <c r="C19" s="160"/>
      <c r="D19" s="577"/>
      <c r="E19" s="585"/>
      <c r="F19" s="581"/>
      <c r="G19" s="583"/>
      <c r="H19" s="356"/>
      <c r="I19" s="356" t="s">
        <v>574</v>
      </c>
      <c r="J19" s="161"/>
      <c r="K19" s="69" t="s">
        <v>96</v>
      </c>
    </row>
    <row r="20" spans="1:11" ht="10.5" customHeight="1">
      <c r="A20" s="69"/>
      <c r="B20" s="156" t="s">
        <v>580</v>
      </c>
      <c r="C20" s="157"/>
      <c r="D20" s="576" t="s">
        <v>572</v>
      </c>
      <c r="E20" s="584">
        <v>2</v>
      </c>
      <c r="F20" s="580">
        <v>85000</v>
      </c>
      <c r="G20" s="582">
        <v>170000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579</v>
      </c>
      <c r="C21" s="160"/>
      <c r="D21" s="577"/>
      <c r="E21" s="585"/>
      <c r="F21" s="581"/>
      <c r="G21" s="583"/>
      <c r="H21" s="356"/>
      <c r="I21" s="356" t="s">
        <v>574</v>
      </c>
      <c r="J21" s="161"/>
      <c r="K21" s="69" t="s">
        <v>96</v>
      </c>
    </row>
    <row r="22" spans="1:11" ht="10.5" customHeight="1">
      <c r="A22" s="69"/>
      <c r="B22" s="156" t="s">
        <v>580</v>
      </c>
      <c r="C22" s="157"/>
      <c r="D22" s="576" t="s">
        <v>572</v>
      </c>
      <c r="E22" s="584">
        <v>2</v>
      </c>
      <c r="F22" s="580">
        <v>80000</v>
      </c>
      <c r="G22" s="582">
        <v>160000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579</v>
      </c>
      <c r="C23" s="160"/>
      <c r="D23" s="577"/>
      <c r="E23" s="585"/>
      <c r="F23" s="581"/>
      <c r="G23" s="583"/>
      <c r="H23" s="356"/>
      <c r="I23" s="356" t="s">
        <v>574</v>
      </c>
      <c r="J23" s="161"/>
      <c r="K23" s="69" t="s">
        <v>96</v>
      </c>
    </row>
    <row r="24" spans="1:11" ht="10.5" customHeight="1">
      <c r="A24" s="69"/>
      <c r="B24" s="156" t="s">
        <v>581</v>
      </c>
      <c r="C24" s="157"/>
      <c r="D24" s="576" t="s">
        <v>572</v>
      </c>
      <c r="E24" s="578">
        <v>5</v>
      </c>
      <c r="F24" s="580">
        <v>5500</v>
      </c>
      <c r="G24" s="582">
        <v>27500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582</v>
      </c>
      <c r="C25" s="160"/>
      <c r="D25" s="577"/>
      <c r="E25" s="579"/>
      <c r="F25" s="581"/>
      <c r="G25" s="583"/>
      <c r="H25" s="356"/>
      <c r="I25" s="356" t="s">
        <v>574</v>
      </c>
      <c r="J25" s="161"/>
      <c r="K25" s="69" t="s">
        <v>96</v>
      </c>
    </row>
    <row r="26" spans="1:11" ht="10.5" customHeight="1">
      <c r="A26" s="69"/>
      <c r="B26" s="156" t="s">
        <v>583</v>
      </c>
      <c r="C26" s="157"/>
      <c r="D26" s="576" t="s">
        <v>572</v>
      </c>
      <c r="E26" s="584">
        <v>2</v>
      </c>
      <c r="F26" s="580">
        <v>50000</v>
      </c>
      <c r="G26" s="582">
        <v>100000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574</v>
      </c>
      <c r="J27" s="161"/>
      <c r="K27" s="69" t="s">
        <v>96</v>
      </c>
    </row>
    <row r="28" spans="1:11" ht="10.5" customHeight="1">
      <c r="A28" s="69"/>
      <c r="B28" s="156" t="s">
        <v>584</v>
      </c>
      <c r="C28" s="157"/>
      <c r="D28" s="576" t="s">
        <v>572</v>
      </c>
      <c r="E28" s="584">
        <v>1</v>
      </c>
      <c r="F28" s="580">
        <v>70000</v>
      </c>
      <c r="G28" s="582">
        <v>70000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574</v>
      </c>
      <c r="J29" s="161"/>
      <c r="K29" s="69" t="s">
        <v>96</v>
      </c>
    </row>
    <row r="30" spans="1:11" ht="10.5" customHeight="1">
      <c r="A30" s="69"/>
      <c r="B30" s="156" t="s">
        <v>584</v>
      </c>
      <c r="C30" s="157"/>
      <c r="D30" s="576" t="s">
        <v>572</v>
      </c>
      <c r="E30" s="584"/>
      <c r="F30" s="580">
        <v>60000</v>
      </c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574</v>
      </c>
      <c r="J31" s="161"/>
      <c r="K31" s="69" t="s">
        <v>96</v>
      </c>
    </row>
    <row r="32" spans="1:11" ht="10.5" customHeight="1">
      <c r="A32" s="69"/>
      <c r="B32" s="156" t="s">
        <v>585</v>
      </c>
      <c r="C32" s="157"/>
      <c r="D32" s="576" t="s">
        <v>572</v>
      </c>
      <c r="E32" s="584">
        <v>2</v>
      </c>
      <c r="F32" s="580">
        <v>50000</v>
      </c>
      <c r="G32" s="582">
        <v>100000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574</v>
      </c>
      <c r="J33" s="161"/>
      <c r="K33" s="69" t="s">
        <v>96</v>
      </c>
    </row>
    <row r="34" spans="1:11" ht="10.5" customHeight="1">
      <c r="A34" s="69"/>
      <c r="B34" s="156" t="s">
        <v>586</v>
      </c>
      <c r="C34" s="157"/>
      <c r="D34" s="576" t="s">
        <v>537</v>
      </c>
      <c r="E34" s="584">
        <v>1</v>
      </c>
      <c r="F34" s="580">
        <v>50000</v>
      </c>
      <c r="G34" s="582">
        <v>50000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574</v>
      </c>
      <c r="J35" s="161"/>
      <c r="K35" s="69" t="s">
        <v>96</v>
      </c>
    </row>
    <row r="36" spans="1:11" ht="10.5" customHeight="1">
      <c r="A36" s="69"/>
      <c r="B36" s="156" t="s">
        <v>587</v>
      </c>
      <c r="C36" s="157"/>
      <c r="D36" s="576" t="s">
        <v>572</v>
      </c>
      <c r="E36" s="584">
        <v>5</v>
      </c>
      <c r="F36" s="580">
        <v>12000</v>
      </c>
      <c r="G36" s="582">
        <v>60000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588</v>
      </c>
      <c r="C37" s="160"/>
      <c r="D37" s="577"/>
      <c r="E37" s="585"/>
      <c r="F37" s="581"/>
      <c r="G37" s="583"/>
      <c r="H37" s="356"/>
      <c r="I37" s="356" t="s">
        <v>574</v>
      </c>
      <c r="J37" s="161"/>
      <c r="K37" s="69" t="s">
        <v>96</v>
      </c>
    </row>
    <row r="38" spans="1:11" ht="10.5" customHeight="1">
      <c r="A38" s="69"/>
      <c r="B38" s="156" t="s">
        <v>589</v>
      </c>
      <c r="C38" s="157"/>
      <c r="D38" s="576" t="s">
        <v>572</v>
      </c>
      <c r="E38" s="584">
        <v>24</v>
      </c>
      <c r="F38" s="580">
        <v>3000</v>
      </c>
      <c r="G38" s="582">
        <v>72000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590</v>
      </c>
      <c r="C39" s="160"/>
      <c r="D39" s="577"/>
      <c r="E39" s="585"/>
      <c r="F39" s="581"/>
      <c r="G39" s="583"/>
      <c r="H39" s="356"/>
      <c r="I39" s="356" t="s">
        <v>574</v>
      </c>
      <c r="J39" s="161"/>
      <c r="K39" s="69" t="s">
        <v>96</v>
      </c>
    </row>
    <row r="40" spans="1:11" ht="10.5" customHeight="1">
      <c r="A40" s="69"/>
      <c r="B40" s="156" t="s">
        <v>591</v>
      </c>
      <c r="C40" s="157"/>
      <c r="D40" s="576" t="s">
        <v>572</v>
      </c>
      <c r="E40" s="584">
        <v>1</v>
      </c>
      <c r="F40" s="580">
        <v>10000</v>
      </c>
      <c r="G40" s="582">
        <v>10000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574</v>
      </c>
      <c r="J41" s="161"/>
      <c r="K41" s="69" t="s">
        <v>96</v>
      </c>
    </row>
    <row r="42" spans="1:11" ht="10.5" customHeight="1">
      <c r="A42" s="69"/>
      <c r="B42" s="156" t="s">
        <v>592</v>
      </c>
      <c r="C42" s="157"/>
      <c r="D42" s="576" t="s">
        <v>537</v>
      </c>
      <c r="E42" s="584">
        <v>1</v>
      </c>
      <c r="F42" s="580">
        <v>10000</v>
      </c>
      <c r="G42" s="582">
        <v>10000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574</v>
      </c>
      <c r="J43" s="161"/>
      <c r="K43" s="69" t="s">
        <v>96</v>
      </c>
    </row>
    <row r="44" spans="1:11" ht="10.5" customHeight="1">
      <c r="A44" s="69"/>
      <c r="B44" s="156" t="s">
        <v>593</v>
      </c>
      <c r="C44" s="157"/>
      <c r="D44" s="576" t="s">
        <v>537</v>
      </c>
      <c r="E44" s="584">
        <v>1</v>
      </c>
      <c r="F44" s="580">
        <v>80000</v>
      </c>
      <c r="G44" s="582">
        <v>80000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574</v>
      </c>
      <c r="J45" s="161"/>
      <c r="K45" s="69" t="s">
        <v>96</v>
      </c>
    </row>
    <row r="46" spans="1:11" ht="10.5" customHeight="1">
      <c r="A46" s="69"/>
      <c r="B46" s="156" t="s">
        <v>594</v>
      </c>
      <c r="C46" s="157"/>
      <c r="D46" s="586" t="s">
        <v>572</v>
      </c>
      <c r="E46" s="588">
        <v>6</v>
      </c>
      <c r="F46" s="590">
        <v>3000</v>
      </c>
      <c r="G46" s="592">
        <v>18000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574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595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509</v>
      </c>
      <c r="C52" s="146" t="s">
        <v>510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511</v>
      </c>
      <c r="K53" s="69"/>
    </row>
    <row r="54" spans="1:11" ht="18" customHeight="1">
      <c r="A54" s="69"/>
      <c r="B54" s="574" t="s">
        <v>512</v>
      </c>
      <c r="C54" s="575"/>
      <c r="D54" s="153" t="s">
        <v>85</v>
      </c>
      <c r="E54" s="153" t="s">
        <v>513</v>
      </c>
      <c r="F54" s="153" t="s">
        <v>514</v>
      </c>
      <c r="G54" s="153" t="s">
        <v>515</v>
      </c>
      <c r="H54" s="154" t="s">
        <v>516</v>
      </c>
      <c r="I54" s="153" t="s">
        <v>517</v>
      </c>
      <c r="J54" s="155" t="s">
        <v>518</v>
      </c>
      <c r="K54" s="69"/>
    </row>
    <row r="55" spans="1:11" ht="10.5" customHeight="1">
      <c r="A55" s="69"/>
      <c r="B55" s="156" t="s">
        <v>596</v>
      </c>
      <c r="C55" s="157"/>
      <c r="D55" s="576" t="s">
        <v>572</v>
      </c>
      <c r="E55" s="578">
        <v>4</v>
      </c>
      <c r="F55" s="580">
        <v>25000</v>
      </c>
      <c r="G55" s="582">
        <v>100000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574</v>
      </c>
      <c r="J56" s="161"/>
      <c r="K56" s="69" t="s">
        <v>96</v>
      </c>
    </row>
    <row r="57" spans="1:11" ht="10.5" customHeight="1">
      <c r="A57" s="69"/>
      <c r="B57" s="156" t="s">
        <v>597</v>
      </c>
      <c r="C57" s="157"/>
      <c r="D57" s="576" t="s">
        <v>598</v>
      </c>
      <c r="E57" s="578">
        <v>500</v>
      </c>
      <c r="F57" s="580">
        <v>150</v>
      </c>
      <c r="G57" s="582">
        <v>75000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574</v>
      </c>
      <c r="J58" s="162"/>
      <c r="K58" s="69" t="s">
        <v>96</v>
      </c>
    </row>
    <row r="59" spans="1:11" ht="10.5" customHeight="1">
      <c r="A59" s="69"/>
      <c r="B59" s="156"/>
      <c r="C59" s="157"/>
      <c r="D59" s="576"/>
      <c r="E59" s="578"/>
      <c r="F59" s="580"/>
      <c r="G59" s="582"/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 t="s">
        <v>546</v>
      </c>
      <c r="C61" s="157"/>
      <c r="D61" s="576"/>
      <c r="E61" s="584"/>
      <c r="F61" s="580"/>
      <c r="G61" s="582">
        <v>1995300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509</v>
      </c>
      <c r="C3" s="146" t="s">
        <v>510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511</v>
      </c>
      <c r="K4" s="69"/>
    </row>
    <row r="5" spans="1:11" ht="18" customHeight="1">
      <c r="A5" s="69"/>
      <c r="B5" s="574" t="s">
        <v>512</v>
      </c>
      <c r="C5" s="575"/>
      <c r="D5" s="153" t="s">
        <v>85</v>
      </c>
      <c r="E5" s="153" t="s">
        <v>513</v>
      </c>
      <c r="F5" s="153" t="s">
        <v>514</v>
      </c>
      <c r="G5" s="153" t="s">
        <v>515</v>
      </c>
      <c r="H5" s="154" t="s">
        <v>516</v>
      </c>
      <c r="I5" s="153" t="s">
        <v>517</v>
      </c>
      <c r="J5" s="155" t="s">
        <v>518</v>
      </c>
      <c r="K5" s="69"/>
    </row>
    <row r="6" spans="1:11" ht="10.5" customHeight="1">
      <c r="A6" s="69"/>
      <c r="B6" s="156" t="s">
        <v>599</v>
      </c>
      <c r="C6" s="157"/>
      <c r="D6" s="576" t="s">
        <v>572</v>
      </c>
      <c r="E6" s="578">
        <v>12</v>
      </c>
      <c r="F6" s="580">
        <v>5000</v>
      </c>
      <c r="G6" s="582">
        <v>60000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600</v>
      </c>
      <c r="J7" s="161"/>
      <c r="K7" s="69" t="s">
        <v>96</v>
      </c>
    </row>
    <row r="8" spans="1:11" ht="10.5" customHeight="1">
      <c r="A8" s="69"/>
      <c r="B8" s="156" t="s">
        <v>601</v>
      </c>
      <c r="C8" s="157"/>
      <c r="D8" s="576" t="s">
        <v>572</v>
      </c>
      <c r="E8" s="578">
        <v>3</v>
      </c>
      <c r="F8" s="580">
        <v>5500</v>
      </c>
      <c r="G8" s="582">
        <v>16500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600</v>
      </c>
      <c r="J9" s="162"/>
      <c r="K9" s="69" t="s">
        <v>96</v>
      </c>
    </row>
    <row r="10" spans="1:11" ht="10.5" customHeight="1">
      <c r="A10" s="69"/>
      <c r="B10" s="156" t="s">
        <v>602</v>
      </c>
      <c r="C10" s="157"/>
      <c r="D10" s="576" t="s">
        <v>572</v>
      </c>
      <c r="E10" s="578">
        <v>6</v>
      </c>
      <c r="F10" s="580">
        <v>7000</v>
      </c>
      <c r="G10" s="582">
        <v>42000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600</v>
      </c>
      <c r="J11" s="161"/>
      <c r="K11" s="69" t="s">
        <v>96</v>
      </c>
    </row>
    <row r="12" spans="1:11" ht="10.5" customHeight="1">
      <c r="A12" s="69"/>
      <c r="B12" s="156" t="s">
        <v>603</v>
      </c>
      <c r="C12" s="157"/>
      <c r="D12" s="576" t="s">
        <v>526</v>
      </c>
      <c r="E12" s="584">
        <v>2</v>
      </c>
      <c r="F12" s="580">
        <v>30000</v>
      </c>
      <c r="G12" s="582">
        <v>60000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604</v>
      </c>
      <c r="C13" s="160"/>
      <c r="D13" s="577"/>
      <c r="E13" s="585"/>
      <c r="F13" s="581"/>
      <c r="G13" s="583"/>
      <c r="H13" s="356"/>
      <c r="I13" s="356" t="s">
        <v>600</v>
      </c>
      <c r="J13" s="161"/>
      <c r="K13" s="69" t="s">
        <v>96</v>
      </c>
    </row>
    <row r="14" spans="1:11" ht="10.5" customHeight="1">
      <c r="A14" s="69"/>
      <c r="B14" s="156" t="s">
        <v>605</v>
      </c>
      <c r="C14" s="157"/>
      <c r="D14" s="576" t="s">
        <v>520</v>
      </c>
      <c r="E14" s="584">
        <v>504.5</v>
      </c>
      <c r="F14" s="580">
        <v>500</v>
      </c>
      <c r="G14" s="582">
        <v>252250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600</v>
      </c>
      <c r="J15" s="161"/>
      <c r="K15" s="69" t="s">
        <v>96</v>
      </c>
    </row>
    <row r="16" spans="1:11" ht="10.5" customHeight="1">
      <c r="A16" s="69"/>
      <c r="B16" s="156" t="s">
        <v>606</v>
      </c>
      <c r="C16" s="157"/>
      <c r="D16" s="576" t="s">
        <v>572</v>
      </c>
      <c r="E16" s="584">
        <v>13</v>
      </c>
      <c r="F16" s="580">
        <v>44000</v>
      </c>
      <c r="G16" s="582">
        <v>572000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607</v>
      </c>
      <c r="C17" s="160"/>
      <c r="D17" s="577"/>
      <c r="E17" s="585"/>
      <c r="F17" s="581"/>
      <c r="G17" s="583"/>
      <c r="H17" s="356"/>
      <c r="I17" s="356" t="s">
        <v>600</v>
      </c>
      <c r="J17" s="161"/>
      <c r="K17" s="69" t="s">
        <v>96</v>
      </c>
    </row>
    <row r="18" spans="1:11" ht="10.5" customHeight="1">
      <c r="A18" s="69"/>
      <c r="B18" s="156" t="s">
        <v>606</v>
      </c>
      <c r="C18" s="157"/>
      <c r="D18" s="576" t="s">
        <v>572</v>
      </c>
      <c r="E18" s="584">
        <v>2</v>
      </c>
      <c r="F18" s="580">
        <v>15000</v>
      </c>
      <c r="G18" s="582">
        <v>30000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608</v>
      </c>
      <c r="C19" s="160"/>
      <c r="D19" s="577"/>
      <c r="E19" s="585"/>
      <c r="F19" s="581"/>
      <c r="G19" s="583"/>
      <c r="H19" s="356"/>
      <c r="I19" s="356" t="s">
        <v>600</v>
      </c>
      <c r="J19" s="161"/>
      <c r="K19" s="69" t="s">
        <v>96</v>
      </c>
    </row>
    <row r="20" spans="1:11" ht="10.5" customHeight="1">
      <c r="A20" s="69"/>
      <c r="B20" s="156" t="s">
        <v>609</v>
      </c>
      <c r="C20" s="157"/>
      <c r="D20" s="576" t="s">
        <v>572</v>
      </c>
      <c r="E20" s="584">
        <v>13</v>
      </c>
      <c r="F20" s="580">
        <v>46000</v>
      </c>
      <c r="G20" s="582">
        <v>598000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607</v>
      </c>
      <c r="C21" s="160"/>
      <c r="D21" s="577"/>
      <c r="E21" s="585"/>
      <c r="F21" s="581"/>
      <c r="G21" s="583"/>
      <c r="H21" s="356"/>
      <c r="I21" s="356" t="s">
        <v>600</v>
      </c>
      <c r="J21" s="161"/>
      <c r="K21" s="69" t="s">
        <v>96</v>
      </c>
    </row>
    <row r="22" spans="1:11" ht="10.5" customHeight="1">
      <c r="A22" s="69"/>
      <c r="B22" s="156" t="s">
        <v>610</v>
      </c>
      <c r="C22" s="157"/>
      <c r="D22" s="576" t="s">
        <v>526</v>
      </c>
      <c r="E22" s="584">
        <v>2</v>
      </c>
      <c r="F22" s="580">
        <v>25000</v>
      </c>
      <c r="G22" s="582">
        <v>50000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600</v>
      </c>
      <c r="J23" s="161"/>
      <c r="K23" s="69" t="s">
        <v>96</v>
      </c>
    </row>
    <row r="24" spans="1:11" ht="10.5" customHeight="1">
      <c r="A24" s="69"/>
      <c r="B24" s="156" t="s">
        <v>611</v>
      </c>
      <c r="C24" s="157"/>
      <c r="D24" s="576" t="s">
        <v>526</v>
      </c>
      <c r="E24" s="578">
        <v>4</v>
      </c>
      <c r="F24" s="580">
        <v>30000</v>
      </c>
      <c r="G24" s="582">
        <v>120000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600</v>
      </c>
      <c r="J25" s="161"/>
      <c r="K25" s="69" t="s">
        <v>96</v>
      </c>
    </row>
    <row r="26" spans="1:11" ht="10.5" customHeight="1">
      <c r="A26" s="69"/>
      <c r="B26" s="156" t="s">
        <v>612</v>
      </c>
      <c r="C26" s="157"/>
      <c r="D26" s="576" t="s">
        <v>537</v>
      </c>
      <c r="E26" s="584">
        <v>1</v>
      </c>
      <c r="F26" s="580">
        <v>50000</v>
      </c>
      <c r="G26" s="582">
        <v>50000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600</v>
      </c>
      <c r="J27" s="161"/>
      <c r="K27" s="69" t="s">
        <v>96</v>
      </c>
    </row>
    <row r="28" spans="1:11" ht="10.5" customHeight="1">
      <c r="A28" s="69"/>
      <c r="B28" s="156" t="s">
        <v>613</v>
      </c>
      <c r="C28" s="157"/>
      <c r="D28" s="576" t="s">
        <v>572</v>
      </c>
      <c r="E28" s="584">
        <v>6</v>
      </c>
      <c r="F28" s="580">
        <v>5000</v>
      </c>
      <c r="G28" s="582">
        <v>30000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614</v>
      </c>
      <c r="C29" s="160"/>
      <c r="D29" s="577"/>
      <c r="E29" s="585"/>
      <c r="F29" s="581"/>
      <c r="G29" s="583"/>
      <c r="H29" s="356"/>
      <c r="I29" s="356" t="s">
        <v>600</v>
      </c>
      <c r="J29" s="161"/>
      <c r="K29" s="69" t="s">
        <v>96</v>
      </c>
    </row>
    <row r="30" spans="1:11" ht="10.5" customHeight="1">
      <c r="A30" s="69"/>
      <c r="B30" s="156" t="s">
        <v>613</v>
      </c>
      <c r="C30" s="157"/>
      <c r="D30" s="576" t="s">
        <v>572</v>
      </c>
      <c r="E30" s="584">
        <v>1</v>
      </c>
      <c r="F30" s="580">
        <v>4000</v>
      </c>
      <c r="G30" s="582">
        <v>4000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614</v>
      </c>
      <c r="C31" s="160"/>
      <c r="D31" s="577"/>
      <c r="E31" s="585"/>
      <c r="F31" s="581"/>
      <c r="G31" s="583"/>
      <c r="H31" s="356"/>
      <c r="I31" s="356" t="s">
        <v>600</v>
      </c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 t="s">
        <v>546</v>
      </c>
      <c r="C34" s="157"/>
      <c r="D34" s="576"/>
      <c r="E34" s="584"/>
      <c r="F34" s="580"/>
      <c r="G34" s="582">
        <v>1884750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2025-12-15T03:00:22Z</dcterms:modified>
  <cp:category/>
  <cp:contentStatus/>
</cp:coreProperties>
</file>