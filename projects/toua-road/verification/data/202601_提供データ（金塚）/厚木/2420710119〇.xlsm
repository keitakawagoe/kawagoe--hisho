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B82C95CD-C1EF-4388-99F8-7CD849EB3ADE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'工事費一覧表(共通仮設費)'!$A$1:$AF$22</definedName>
    <definedName name="_xlnm.Print_Area" localSheetId="11">'工事費一覧表(現場経費)'!$A$1:$AF$10</definedName>
    <definedName name="_xlnm.Print_Area" localSheetId="6">'工事費一覧表(直接工事費)'!$A$1:$AF$120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<sst xmlns="http://schemas.openxmlformats.org/spreadsheetml/2006/main" count="2112" uniqueCount="582">
  <si>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</si>
  <si>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</si>
  <si>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</si>
  <si>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</si>
  <si>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</si>
  <si>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</si>
  <si>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</si>
  <si>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</si>
  <si>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</si>
  <si>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</si>
  <si>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</si>
  <si>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</si>
  <si>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</si>
  <si>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</si>
  <si>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</si>
  <si>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</si>
  <si>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</si>
  <si>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</si>
  <si>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</si>
  <si>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</si>
  <si>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</si>
  <si>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</si>
  <si>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</si>
  <si>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</si>
  <si>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</si>
  <si>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</si>
  <si>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</si>
  <si>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</si>
  <si>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</si>
  <si>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</si>
  <si>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</si>
  <si>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</si>
  <si>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</si>
  <si>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</si>
  <si>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</si>
  <si>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</si>
  <si>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</si>
  <si>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</si>
  <si>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</si>
  <si>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</si>
  <si>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</si>
  <si>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</si>
  <si>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</si>
  <si>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</si>
  <si>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</si>
  <si>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</si>
  <si>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</si>
  <si>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</si>
  <si>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</si>
  <si>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</si>
  <si>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</si>
  <si>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</si>
  <si>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</si>
  <si>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</si>
  <si>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</si>
  <si>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</si>
  <si>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</si>
  <si>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</si>
  <si>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</si>
  <si>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</si>
  <si>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</si>
  <si>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</si>
  <si>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</si>
  <si>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</si>
  <si>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</si>
  <si>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</si>
  <si>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</si>
  <si>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</si>
  <si>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</si>
  <si>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</si>
  <si>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</si>
  <si>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</si>
  <si>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</si>
  <si>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</si>
  <si>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</si>
  <si>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</si>
  <si>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</si>
  <si>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</si>
  <si>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</si>
  <si>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</si>
  <si>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</si>
  <si>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</si>
  <si>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</si>
  <si>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</si>
  <si>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</si>
  <si>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</si>
  <si>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</si>
  <si>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</si>
  <si>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</si>
  <si>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</si>
  <si>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</si>
  <si>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</si>
  <si>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</si>
  <si>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</si>
  <si>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</si>
  <si>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</si>
  <si>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</si>
  <si>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</si>
  <si>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</si>
  <si>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</si>
  <si>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</si>
  <si>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</si>
  <si>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</si>
  <si>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</si>
  <si>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</si>
  <si>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</si>
  <si>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</si>
  <si>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</si>
  <si>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</si>
  <si>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</si>
  <si>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</si>
  <si>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</si>
  <si>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</si>
  <si>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</si>
  <si>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</si>
  <si>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</si>
  <si>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</si>
  <si>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</si>
  <si>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</si>
  <si>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</si>
  <si>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</si>
  <si>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</si>
  <si>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</si>
  <si>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</si>
  <si>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</si>
  <si>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</si>
  <si>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</si>
  <si>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</si>
  <si>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</si>
  <si>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</si>
  <si>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</si>
  <si>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</si>
  <si>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</si>
  <si>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</si>
  <si>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</si>
  <si>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</si>
  <si>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</si>
  <si>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</si>
  <si>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</si>
  <si>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</si>
  <si>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</si>
  <si>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</si>
  <si>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</si>
  <si>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</si>
  <si>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</si>
  <si>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2420710119 F</t>
  </si>
  <si>
    <t>（第1回変更予算）</t>
  </si>
  <si>
    <t>平野　裕貴</t>
  </si>
  <si>
    <t>24-119★令和6年度 橋りょう補修工事 公共 県単 合併</t>
  </si>
  <si>
    <t>株式会社寺田土木</t>
  </si>
  <si>
    <t>横浜支店</t>
  </si>
  <si>
    <t>海老名市門沢橋一丁目地内他</t>
  </si>
  <si>
    <t>2024年10月7日</t>
  </si>
  <si>
    <t>2025年1月31日</t>
  </si>
  <si>
    <t>橋梁補修工</t>
  </si>
  <si>
    <t>橋梁塗装工</t>
  </si>
  <si>
    <t>舗装版切断</t>
  </si>
  <si>
    <t>塗膜系防水</t>
  </si>
  <si>
    <t>歩道舗装</t>
  </si>
  <si>
    <t>車道舗装</t>
  </si>
  <si>
    <t>縁石工</t>
  </si>
  <si>
    <t>区画線工</t>
  </si>
  <si>
    <t>足場工</t>
  </si>
  <si>
    <t>法定福利費</t>
  </si>
  <si>
    <t>諸経費</t>
  </si>
  <si>
    <t>調整費</t>
  </si>
  <si>
    <t>重機運搬費</t>
  </si>
  <si>
    <t>準備費</t>
  </si>
  <si>
    <t>断面修復(左官工法)</t>
  </si>
  <si>
    <t>式</t>
  </si>
  <si>
    <t>塗替え塗装</t>
  </si>
  <si>
    <t>m2</t>
  </si>
  <si>
    <t>切削オーバーレイ</t>
  </si>
  <si>
    <t>撤去込み</t>
  </si>
  <si>
    <t>ｍ</t>
  </si>
  <si>
    <t>(中央分離帯)撤去込み</t>
  </si>
  <si>
    <t>単管足場</t>
  </si>
  <si>
    <t>(準備測量・仮設設置撤去・他)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</si>
  <si>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</si>
  <si>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</si>
  <si>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</si>
  <si>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</si>
  <si>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</si>
  <si>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</si>
  <si>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</si>
  <si>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24-119★R6橋りょう補修工事</t>
  </si>
  <si>
    <t>関東支社</t>
  </si>
  <si>
    <t>厚木出張所</t>
  </si>
  <si>
    <t>厚木土木事務所東部センター</t>
  </si>
  <si>
    <t>単独</t>
  </si>
  <si>
    <t>F</t>
  </si>
  <si>
    <t>2024年10月2日</t>
  </si>
  <si>
    <t>2024年10月7日 ～ 2025年1月31日</t>
  </si>
  <si>
    <t>直接工事費</t>
  </si>
  <si>
    <t xml:space="preserve">  橋梁補修工</t>
  </si>
  <si>
    <t xml:space="preserve">  断面修復(左官工法)</t>
  </si>
  <si>
    <t>1号</t>
  </si>
  <si>
    <t>内訳書</t>
  </si>
  <si>
    <t xml:space="preserve">  橋梁塗装工</t>
  </si>
  <si>
    <t xml:space="preserve">  塗替え塗装</t>
  </si>
  <si>
    <t>2号</t>
  </si>
  <si>
    <t xml:space="preserve">  舗装工</t>
  </si>
  <si>
    <t xml:space="preserve">  </t>
  </si>
  <si>
    <t>3号</t>
  </si>
  <si>
    <t xml:space="preserve">  縁石工</t>
  </si>
  <si>
    <t xml:space="preserve">  撤去込み</t>
  </si>
  <si>
    <t>4号</t>
  </si>
  <si>
    <t xml:space="preserve">  (中央分離帯)撤去込み</t>
  </si>
  <si>
    <t>5号</t>
  </si>
  <si>
    <t xml:space="preserve">  区画線工</t>
  </si>
  <si>
    <t>6号</t>
  </si>
  <si>
    <t xml:space="preserve">  足場工</t>
  </si>
  <si>
    <t xml:space="preserve">  単管足場</t>
  </si>
  <si>
    <t>7号</t>
  </si>
  <si>
    <t xml:space="preserve">  法定福利費</t>
  </si>
  <si>
    <t>8号</t>
  </si>
  <si>
    <t xml:space="preserve">  諸経費</t>
  </si>
  <si>
    <t>9号</t>
  </si>
  <si>
    <t xml:space="preserve">  調整費</t>
  </si>
  <si>
    <t>10号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</si>
  <si>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</si>
  <si>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</si>
  <si>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</si>
  <si>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</si>
  <si>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</si>
  <si>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</si>
  <si>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</si>
  <si>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舗装工</t>
  </si>
  <si>
    <t>計</t>
  </si>
  <si>
    <t>24-119★令和6年度 橋りょう補修工事 公共 県単 合併</t>
    <phoneticPr fontId="4"/>
  </si>
  <si>
    <t>総括</t>
  </si>
  <si>
    <t>集計行</t>
  </si>
  <si>
    <t>｜直接工事費</t>
  </si>
  <si>
    <t>内訳代価</t>
  </si>
  <si>
    <t>｜｜橋梁補修工</t>
  </si>
  <si>
    <t>1号内訳書</t>
  </si>
  <si>
    <t>｜｜｜断面修復(左官工法)</t>
  </si>
  <si>
    <t>V=0.008m3</t>
  </si>
  <si>
    <t>構造物</t>
  </si>
  <si>
    <t>｜｜｜雑材</t>
  </si>
  <si>
    <t xml:space="preserve">s00328386 </t>
  </si>
  <si>
    <t>｜｜橋梁塗装工</t>
  </si>
  <si>
    <t>2号内訳書</t>
  </si>
  <si>
    <t>｜｜｜素地調整 3種ケレンA</t>
  </si>
  <si>
    <t>｜｜｜下塗り 弱溶剤形変性エポキシ 2層</t>
  </si>
  <si>
    <t>｜｜｜下塗り 弱溶剤形変性エポキシ 1層</t>
  </si>
  <si>
    <t>｜｜｜中塗り 弱溶剤形ふっ素</t>
  </si>
  <si>
    <t>｜｜｜上塗り 弱溶剤形ふっ素</t>
  </si>
  <si>
    <t>｜｜舗装工</t>
  </si>
  <si>
    <t>3号内訳書</t>
  </si>
  <si>
    <t>｜｜｜舗装版切断</t>
  </si>
  <si>
    <t>11号内訳書</t>
  </si>
  <si>
    <t>｜｜｜｜舗装版切断(最低)</t>
  </si>
  <si>
    <t>最低補償</t>
  </si>
  <si>
    <t xml:space="preserve">g00328023 </t>
  </si>
  <si>
    <t>｜｜｜｜汚泥処分費</t>
  </si>
  <si>
    <t xml:space="preserve">g00328024 </t>
  </si>
  <si>
    <t>｜｜｜｜汚泥運搬費</t>
  </si>
  <si>
    <t xml:space="preserve">g00328025 </t>
  </si>
  <si>
    <t>｜｜｜塗膜系防水</t>
  </si>
  <si>
    <t>12号内訳書</t>
  </si>
  <si>
    <t>｜｜｜｜材工</t>
  </si>
  <si>
    <t>As加熱型塗膜防水</t>
  </si>
  <si>
    <t>｜｜｜｜雑材</t>
  </si>
  <si>
    <t>｜｜｜歩道舗装</t>
  </si>
  <si>
    <t>13号内訳書</t>
  </si>
  <si>
    <t>｜｜｜｜AS塊処分</t>
  </si>
  <si>
    <t>t</t>
  </si>
  <si>
    <t xml:space="preserve">u00328026 </t>
  </si>
  <si>
    <t xml:space="preserve">{数量=188*0.03*2.35} </t>
  </si>
  <si>
    <t>｜｜｜｜再生細粒(13)</t>
  </si>
  <si>
    <t>引取</t>
  </si>
  <si>
    <t xml:space="preserve">{数量=188*0.04*2.35*1.07} </t>
  </si>
  <si>
    <t>｜｜｜｜ﾀﾞﾝﾌﾟﾄﾗｯｸ常用4ｔ</t>
  </si>
  <si>
    <t>ｵﾍﾟ燃料付</t>
  </si>
  <si>
    <t>台</t>
  </si>
  <si>
    <t xml:space="preserve">u00328001 </t>
  </si>
  <si>
    <t xml:space="preserve">{数量=2*2} </t>
  </si>
  <si>
    <t>｜｜｜｜技工</t>
  </si>
  <si>
    <t>人</t>
  </si>
  <si>
    <t xml:space="preserve">r00328003 </t>
  </si>
  <si>
    <t xml:space="preserve">{数量=8*2} </t>
  </si>
  <si>
    <t>｜｜｜｜ﾐﾆ切削機</t>
  </si>
  <si>
    <t>CPR100級</t>
  </si>
  <si>
    <t xml:space="preserve">k00328069 </t>
  </si>
  <si>
    <t xml:space="preserve">{数量=1*2} </t>
  </si>
  <si>
    <t>｜｜｜｜BH0.15ｸﾚｰﾝ</t>
  </si>
  <si>
    <t xml:space="preserve">k00328016 </t>
  </si>
  <si>
    <t>｜｜｜｜ﾀｲﾔｼｮﾍﾞﾙ0.4</t>
  </si>
  <si>
    <t xml:space="preserve">k00328021 </t>
  </si>
  <si>
    <t>｜｜｜｜ﾄﾗｯｸ積ｺﾝﾌﾟﾚｯｻｰ</t>
  </si>
  <si>
    <t>ﾌﾞﾚｰｶｰ、ﾎｰｽ込</t>
  </si>
  <si>
    <t xml:space="preserve">k00328058 </t>
  </si>
  <si>
    <t>｜｜｜｜ASﾌｨﾆｯｼｬｰ4.5m</t>
  </si>
  <si>
    <t>ﾜﾝﾏﾝ仕様  低騒音OP付</t>
  </si>
  <si>
    <t xml:space="preserve">k00328034 </t>
  </si>
  <si>
    <t>｜｜｜｜ﾀｲﾔﾛｰﾗ</t>
  </si>
  <si>
    <t>3t</t>
  </si>
  <si>
    <t xml:space="preserve">k00328001 </t>
  </si>
  <si>
    <t>｜｜｜｜ﾀﾝﾃﾞﾑﾛｰﾗ</t>
  </si>
  <si>
    <t>3ｔ、4ｔ</t>
  </si>
  <si>
    <t xml:space="preserve">k00328004 </t>
  </si>
  <si>
    <t>｜｜｜｜ﾋﾞﾌﾞﾛﾌﾟﾚｰﾄ</t>
  </si>
  <si>
    <t xml:space="preserve">k00328008 </t>
  </si>
  <si>
    <t>｜｜｜｜2ｔﾀﾞﾝﾌﾟ</t>
  </si>
  <si>
    <t xml:space="preserve">u00328020 </t>
  </si>
  <si>
    <t>｜｜｜｜労務運搬(Wｷｬﾌﾞ)</t>
  </si>
  <si>
    <t>燃料込</t>
  </si>
  <si>
    <t xml:space="preserve">u00328036 </t>
  </si>
  <si>
    <t>｜｜｜｜軽油</t>
  </si>
  <si>
    <t>L</t>
  </si>
  <si>
    <t xml:space="preserve">s00328123 </t>
  </si>
  <si>
    <t>｜｜｜車道舗装</t>
  </si>
  <si>
    <t>14号内訳書</t>
  </si>
  <si>
    <t xml:space="preserve">{数量=477*0.04*2.35} </t>
  </si>
  <si>
    <t>｜｜｜｜ﾀﾞﾝﾌﾟﾄﾗｯｸ常用8ｔ</t>
  </si>
  <si>
    <t xml:space="preserve">u00328005 </t>
  </si>
  <si>
    <t xml:space="preserve">{数量=3*1} </t>
  </si>
  <si>
    <t>｜｜｜｜切削機ﾎｲｰﾙ</t>
  </si>
  <si>
    <t>ER550級</t>
  </si>
  <si>
    <t xml:space="preserve">k00328065 </t>
  </si>
  <si>
    <t>｜｜｜｜ｽｲｰﾊﾟｰ</t>
  </si>
  <si>
    <t>大型</t>
  </si>
  <si>
    <t xml:space="preserve">k00328072 </t>
  </si>
  <si>
    <t>｜｜｜｜ﾀｯｸﾌｧｲﾝSQ</t>
  </si>
  <si>
    <t xml:space="preserve">s00328284 </t>
  </si>
  <si>
    <t xml:space="preserve">{数量=(477*0.43)/1,000} </t>
  </si>
  <si>
    <t>｜｜｜｜ﾃﾞｨｽﾄﾘﾋﾞｭｰﾀ(昼)SQ</t>
  </si>
  <si>
    <t xml:space="preserve">k00328109 </t>
  </si>
  <si>
    <t xml:space="preserve">{数量=1*1} </t>
  </si>
  <si>
    <t>｜｜｜｜密粒改質Ⅲ型W</t>
  </si>
  <si>
    <t>配達</t>
  </si>
  <si>
    <t>ｔ</t>
  </si>
  <si>
    <t xml:space="preserve">{数量=477*0.04*2.38*1.07} </t>
  </si>
  <si>
    <t>｜｜｜｜ローリー代</t>
  </si>
  <si>
    <t>8t</t>
  </si>
  <si>
    <t xml:space="preserve">k00328002 </t>
  </si>
  <si>
    <t>｜｜縁石工</t>
  </si>
  <si>
    <t>4号内訳書</t>
  </si>
  <si>
    <t>｜｜｜Co塊処分(二次製品)</t>
  </si>
  <si>
    <t xml:space="preserve">u00328032 </t>
  </si>
  <si>
    <t xml:space="preserve">{数量=2.02*2.35} </t>
  </si>
  <si>
    <t>｜｜｜歩車道ブロックB</t>
  </si>
  <si>
    <t>180/205*250*600</t>
  </si>
  <si>
    <t>個</t>
  </si>
  <si>
    <t xml:space="preserve">{数量=22.78/0.6} </t>
  </si>
  <si>
    <t>｜｜｜歩車道ブロックB 10cm平</t>
  </si>
  <si>
    <t xml:space="preserve">{数量=34.71/0.6} </t>
  </si>
  <si>
    <t>｜｜｜歩車道ブロックB 3本斜 10cm落 上(右)</t>
  </si>
  <si>
    <t>｜｜｜歩車道ブロックB 3本斜 10cm落 中(右)</t>
  </si>
  <si>
    <t>｜｜｜歩車道ブロックB 3本斜 10cm落 下(右)</t>
  </si>
  <si>
    <t>｜｜｜歩車道ブロックB 3本斜 10cm落 上(左)</t>
  </si>
  <si>
    <t>｜｜｜歩車道ブロックB 3本斜 10cm落 中(左)</t>
  </si>
  <si>
    <t>｜｜｜歩車道ブロックB 3本斜 10cm落 下(左)</t>
  </si>
  <si>
    <t>｜｜｜ﾀﾞﾝﾌﾟﾄﾗｯｸ常用4ｔ</t>
  </si>
  <si>
    <t>｜｜｜技工</t>
  </si>
  <si>
    <t xml:space="preserve">{数量=6*2} </t>
  </si>
  <si>
    <t>｜｜｜BH0.15ｸﾚｰﾝ</t>
  </si>
  <si>
    <t>｜｜｜ﾊﾝﾄﾞｶｯﾀｰ</t>
  </si>
  <si>
    <t>ﾌﾞﾚｰﾄﾞ損料含</t>
  </si>
  <si>
    <t xml:space="preserve">k00328040 </t>
  </si>
  <si>
    <t>｜｜｜小物機械</t>
  </si>
  <si>
    <t xml:space="preserve">k00328082 </t>
  </si>
  <si>
    <t>｜｜｜4ｔﾀﾞﾝﾌﾟ</t>
  </si>
  <si>
    <t xml:space="preserve">u00328022 </t>
  </si>
  <si>
    <t>｜｜｜2ｔﾀﾞﾝﾌﾟ</t>
  </si>
  <si>
    <t>｜｜｜労務運搬(Wｷｬﾌﾞ)</t>
  </si>
  <si>
    <t>｜｜｜軽油</t>
  </si>
  <si>
    <t>モルタル材他</t>
  </si>
  <si>
    <t>5号内訳書</t>
  </si>
  <si>
    <t xml:space="preserve">{数量=4.24*2.35} </t>
  </si>
  <si>
    <t>｜｜｜歩車道ブロックC</t>
  </si>
  <si>
    <t>180/210*300*600</t>
  </si>
  <si>
    <t xml:space="preserve">{数量=38/0.6} </t>
  </si>
  <si>
    <t>｜｜｜生コンクリート</t>
  </si>
  <si>
    <t>18-8-20BB</t>
  </si>
  <si>
    <t>m3</t>
  </si>
  <si>
    <t>型枠材他</t>
  </si>
  <si>
    <t>｜｜区画線工</t>
  </si>
  <si>
    <t>6号内訳書</t>
  </si>
  <si>
    <t>｜｜｜区画線  実線・ｾﾞﾌﾞﾗ</t>
  </si>
  <si>
    <t>W=15cm</t>
  </si>
  <si>
    <t>m</t>
  </si>
  <si>
    <t xml:space="preserve">g00328001 </t>
  </si>
  <si>
    <t>｜｜｜区画線  破線</t>
  </si>
  <si>
    <t xml:space="preserve">g00328005 </t>
  </si>
  <si>
    <t>｜｜足場工</t>
  </si>
  <si>
    <t>7号内訳書</t>
  </si>
  <si>
    <t>｜｜｜単管足場</t>
  </si>
  <si>
    <t>｜｜｜単管吊り足場</t>
  </si>
  <si>
    <t>変更追加分</t>
  </si>
  <si>
    <t>｜｜法定福利費</t>
  </si>
  <si>
    <t>8号内訳書</t>
  </si>
  <si>
    <t>｜｜｜法定福利費</t>
  </si>
  <si>
    <t>橋梁補修・足場班</t>
  </si>
  <si>
    <t>防水班</t>
  </si>
  <si>
    <t>舗装班</t>
  </si>
  <si>
    <t>構造物班</t>
  </si>
  <si>
    <t>｜｜｜調整費</t>
  </si>
  <si>
    <t>追加分（足場班）</t>
  </si>
  <si>
    <t>｜｜諸経費</t>
  </si>
  <si>
    <t>9号内訳書</t>
  </si>
  <si>
    <t>｜｜｜現場管理費・諸経費</t>
  </si>
  <si>
    <t>｜｜｜諸経費</t>
  </si>
  <si>
    <t>｜｜調整費</t>
  </si>
  <si>
    <t>10号内訳書</t>
  </si>
  <si>
    <t>予算2</t>
    <phoneticPr fontId="6"/>
  </si>
  <si>
    <t>社員給料</t>
  </si>
  <si>
    <t>雑費</t>
  </si>
  <si>
    <t>仮設費</t>
  </si>
  <si>
    <t>安全費</t>
  </si>
  <si>
    <t>0</t>
  </si>
  <si>
    <t>#DIV/0!</t>
  </si>
  <si>
    <t>｜共通仮設費</t>
  </si>
  <si>
    <t>｜｜重機運搬費</t>
  </si>
  <si>
    <t>15号内訳書</t>
  </si>
  <si>
    <t>｜｜｜切削機回送  ﾄﾚｰﾗｰ</t>
  </si>
  <si>
    <t>回</t>
  </si>
  <si>
    <t xml:space="preserve">u00328017 </t>
  </si>
  <si>
    <t>ER,CRP120</t>
  </si>
  <si>
    <t>｜｜｜切削機回送  ｾﾙﾌ(13t)</t>
  </si>
  <si>
    <t xml:space="preserve">u00328016 </t>
  </si>
  <si>
    <t>CRP100</t>
  </si>
  <si>
    <t>｜｜｜AF回送  大型ｾﾙﾌ</t>
  </si>
  <si>
    <t>4.4m～6.0m級</t>
  </si>
  <si>
    <t xml:space="preserve">u00328015 </t>
  </si>
  <si>
    <t>｜｜｜回送  ﾄﾚｰﾗｰ</t>
  </si>
  <si>
    <t xml:space="preserve">u00328010 </t>
  </si>
  <si>
    <t>｜｜｜回送  4ｔｾﾙﾌ</t>
  </si>
  <si>
    <t xml:space="preserve">u00328008 </t>
  </si>
  <si>
    <t>｜｜準備費</t>
  </si>
  <si>
    <t>16号内訳書</t>
  </si>
  <si>
    <t>測量、検査前清掃他</t>
  </si>
  <si>
    <t>｜｜仮設費</t>
  </si>
  <si>
    <t>(仮設事務所・倉庫・トイレ(環境改善含む)、仮設電気　等)</t>
  </si>
  <si>
    <t>17号内訳書</t>
  </si>
  <si>
    <t>｜｜｜トイレカー</t>
  </si>
  <si>
    <t>｜｜｜プラシキ4*8</t>
  </si>
  <si>
    <t>20枚</t>
  </si>
  <si>
    <t>｜｜安全費</t>
  </si>
  <si>
    <t>(仮設事務所仮囲い・工事看板や安全施設・事務所警備　等)</t>
  </si>
  <si>
    <t>18号内訳書</t>
  </si>
  <si>
    <t>｜｜｜交通保安員</t>
  </si>
  <si>
    <t>資格</t>
  </si>
  <si>
    <t xml:space="preserve">g00328037 </t>
  </si>
  <si>
    <t xml:space="preserve">g00328035 </t>
  </si>
  <si>
    <t>｜｜｜規制車(規制材含む)</t>
  </si>
  <si>
    <t>19号</t>
  </si>
  <si>
    <t>(現場特有で発生が見込まれる費用　等)</t>
  </si>
  <si>
    <t>20号</t>
  </si>
  <si>
    <t>｜現場経費</t>
  </si>
  <si>
    <t>｜｜社員給料</t>
  </si>
  <si>
    <t>19号内訳書</t>
  </si>
  <si>
    <t>｜｜｜現場代理人(3級)昼</t>
  </si>
  <si>
    <t>日</t>
  </si>
  <si>
    <t xml:space="preserve">m00328015 </t>
  </si>
  <si>
    <t>｜｜雑費</t>
  </si>
  <si>
    <t>20号内訳書</t>
  </si>
  <si>
    <t>工事名称</t>
    <phoneticPr fontId="6"/>
  </si>
  <si>
    <t>24-119★令和6年度 橋りょう補修工事 公共 県単 合併</t>
    <phoneticPr fontId="6"/>
  </si>
  <si>
    <t>2420710119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</si>
  <si>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</si>
  <si>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</si>
  <si>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</si>
  <si>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</si>
  <si>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</si>
  <si>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</si>
  <si>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</si>
  <si>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ﾀｯｸﾌｧｲﾝSQ</t>
    <phoneticPr fontId="6"/>
  </si>
  <si>
    <t>t</t>
    <phoneticPr fontId="6"/>
  </si>
  <si>
    <t>材料費</t>
    <phoneticPr fontId="6"/>
  </si>
  <si>
    <t>ローリー代</t>
    <phoneticPr fontId="6"/>
  </si>
  <si>
    <t>式</t>
    <phoneticPr fontId="6"/>
  </si>
  <si>
    <t>軽油</t>
    <phoneticPr fontId="6"/>
  </si>
  <si>
    <t>L</t>
    <phoneticPr fontId="6"/>
  </si>
  <si>
    <t>再生細粒(13)</t>
    <phoneticPr fontId="6"/>
  </si>
  <si>
    <t>引取</t>
    <phoneticPr fontId="6"/>
  </si>
  <si>
    <t>雑材</t>
    <phoneticPr fontId="6"/>
  </si>
  <si>
    <t>モルタル材他</t>
    <phoneticPr fontId="6"/>
  </si>
  <si>
    <t>型枠材他</t>
    <phoneticPr fontId="6"/>
  </si>
  <si>
    <t>生コンクリート</t>
    <phoneticPr fontId="6"/>
  </si>
  <si>
    <t>m3</t>
    <phoneticPr fontId="6"/>
  </si>
  <si>
    <t>18-8-20BB</t>
    <phoneticPr fontId="6"/>
  </si>
  <si>
    <t>歩車道ブロックB</t>
    <phoneticPr fontId="6"/>
  </si>
  <si>
    <t>個</t>
    <phoneticPr fontId="6"/>
  </si>
  <si>
    <t>180/205*250*600</t>
    <phoneticPr fontId="6"/>
  </si>
  <si>
    <t>歩車道ブロックB 10cm平</t>
    <phoneticPr fontId="6"/>
  </si>
  <si>
    <t>歩車道ブロックB 3本斜 10cm落 下(右)</t>
    <phoneticPr fontId="6"/>
  </si>
  <si>
    <t>歩車道ブロックB 3本斜 10cm落 下(左)</t>
    <phoneticPr fontId="6"/>
  </si>
  <si>
    <t>歩車道ブロックB 3本斜 10cm落 上(右)</t>
    <phoneticPr fontId="6"/>
  </si>
  <si>
    <t>歩車道ブロックB 3本斜 10cm落 上(左)</t>
    <phoneticPr fontId="6"/>
  </si>
  <si>
    <t>材料調書</t>
    <phoneticPr fontId="6"/>
  </si>
  <si>
    <t>歩車道ブロックB 3本斜 10cm落 中(右)</t>
    <phoneticPr fontId="6"/>
  </si>
  <si>
    <t>歩車道ブロックB 3本斜 10cm落 中(左)</t>
    <phoneticPr fontId="6"/>
  </si>
  <si>
    <t>歩車道ブロックC</t>
    <phoneticPr fontId="6"/>
  </si>
  <si>
    <t>180/210*300*600</t>
    <phoneticPr fontId="6"/>
  </si>
  <si>
    <t>密粒改質Ⅲ型W</t>
    <phoneticPr fontId="6"/>
  </si>
  <si>
    <t>ｔ</t>
    <phoneticPr fontId="6"/>
  </si>
  <si>
    <t>配達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</si>
  <si>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</si>
  <si>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</si>
  <si>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</si>
  <si>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</si>
  <si>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測量、検査前清掃他</t>
    <phoneticPr fontId="6"/>
  </si>
  <si>
    <t>汚泥運搬費</t>
    <phoneticPr fontId="6"/>
  </si>
  <si>
    <t>外注費</t>
    <phoneticPr fontId="6"/>
  </si>
  <si>
    <t>汚泥処分費</t>
    <phoneticPr fontId="6"/>
  </si>
  <si>
    <t>最低補償</t>
    <phoneticPr fontId="6"/>
  </si>
  <si>
    <t>下塗り 弱溶剤形変性エポキシ 1層</t>
    <phoneticPr fontId="6"/>
  </si>
  <si>
    <t>m2</t>
    <phoneticPr fontId="6"/>
  </si>
  <si>
    <t>下塗り 弱溶剤形変性エポキシ 2層</t>
    <phoneticPr fontId="6"/>
  </si>
  <si>
    <t>区画線  実線・ｾﾞﾌﾞﾗ</t>
    <phoneticPr fontId="6"/>
  </si>
  <si>
    <t>m</t>
    <phoneticPr fontId="6"/>
  </si>
  <si>
    <t>W=15cm</t>
    <phoneticPr fontId="6"/>
  </si>
  <si>
    <t>区画線  破線</t>
    <phoneticPr fontId="6"/>
  </si>
  <si>
    <t>現場管理費・諸経費</t>
    <phoneticPr fontId="6"/>
  </si>
  <si>
    <t>橋梁補修・足場班</t>
    <phoneticPr fontId="6"/>
  </si>
  <si>
    <t>交通保安員</t>
    <phoneticPr fontId="6"/>
  </si>
  <si>
    <t>資格</t>
    <phoneticPr fontId="6"/>
  </si>
  <si>
    <t>材工</t>
    <phoneticPr fontId="6"/>
  </si>
  <si>
    <t>As加熱型塗膜防水</t>
    <phoneticPr fontId="6"/>
  </si>
  <si>
    <t>諸経費</t>
    <phoneticPr fontId="6"/>
  </si>
  <si>
    <t>構造物班</t>
    <phoneticPr fontId="6"/>
  </si>
  <si>
    <t>追加分（足場班）</t>
    <phoneticPr fontId="6"/>
  </si>
  <si>
    <t>舗装班</t>
    <phoneticPr fontId="6"/>
  </si>
  <si>
    <t>上塗り 弱溶剤形ふっ素</t>
    <phoneticPr fontId="6"/>
  </si>
  <si>
    <t>素地調整 3種ケレンA</t>
    <phoneticPr fontId="6"/>
  </si>
  <si>
    <t>単管足場</t>
    <phoneticPr fontId="6"/>
  </si>
  <si>
    <t>単管吊り足場</t>
    <phoneticPr fontId="6"/>
  </si>
  <si>
    <t>変更追加分</t>
    <phoneticPr fontId="6"/>
  </si>
  <si>
    <t>断面修復(左官工法)</t>
    <phoneticPr fontId="6"/>
  </si>
  <si>
    <t>構造物</t>
    <phoneticPr fontId="6"/>
  </si>
  <si>
    <t>V=0.008m3</t>
    <phoneticPr fontId="6"/>
  </si>
  <si>
    <t>中塗り 弱溶剤形ふっ素</t>
    <phoneticPr fontId="6"/>
  </si>
  <si>
    <t>調整費</t>
    <phoneticPr fontId="6"/>
  </si>
  <si>
    <t>舗装版切断(最低)</t>
    <phoneticPr fontId="6"/>
  </si>
  <si>
    <t>外注調書</t>
    <phoneticPr fontId="6"/>
  </si>
  <si>
    <t>ASﾌｨﾆｯｼｬｰ4.5m</t>
    <phoneticPr fontId="6"/>
  </si>
  <si>
    <t>台</t>
    <phoneticPr fontId="6"/>
  </si>
  <si>
    <t>ﾜﾝﾏﾝ仕様  低騒音OP付</t>
    <phoneticPr fontId="6"/>
  </si>
  <si>
    <t>機械費</t>
    <phoneticPr fontId="6"/>
  </si>
  <si>
    <t>BH0.15ｸﾚｰﾝ</t>
    <phoneticPr fontId="6"/>
  </si>
  <si>
    <t>ｽｲｰﾊﾟｰ</t>
    <phoneticPr fontId="6"/>
  </si>
  <si>
    <t>大型</t>
    <phoneticPr fontId="6"/>
  </si>
  <si>
    <t>ﾀｲﾔｼｮﾍﾞﾙ0.4</t>
    <phoneticPr fontId="6"/>
  </si>
  <si>
    <t>ﾀｲﾔﾛｰﾗ</t>
    <phoneticPr fontId="6"/>
  </si>
  <si>
    <t>3t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</si>
  <si>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</si>
  <si>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</si>
  <si>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</si>
  <si>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ﾃﾞｨｽﾄﾘﾋﾞｭｰﾀ(昼)SQ</t>
    <phoneticPr fontId="6"/>
  </si>
  <si>
    <t>ﾄﾗｯｸ積ｺﾝﾌﾟﾚｯｻｰ</t>
    <phoneticPr fontId="6"/>
  </si>
  <si>
    <t>ﾌﾞﾚｰｶｰ、ﾎｰｽ込</t>
    <phoneticPr fontId="6"/>
  </si>
  <si>
    <t>ﾊﾝﾄﾞｶｯﾀｰ</t>
    <phoneticPr fontId="6"/>
  </si>
  <si>
    <t>ﾌﾞﾚｰﾄﾞ損料含</t>
    <phoneticPr fontId="6"/>
  </si>
  <si>
    <t>ﾋﾞﾌﾞﾛﾌﾟﾚｰﾄ</t>
    <phoneticPr fontId="6"/>
  </si>
  <si>
    <t>プラシキ4*8</t>
    <phoneticPr fontId="6"/>
  </si>
  <si>
    <t>20枚</t>
    <phoneticPr fontId="6"/>
  </si>
  <si>
    <t>ﾐﾆ切削機</t>
    <phoneticPr fontId="6"/>
  </si>
  <si>
    <t>CPR100級</t>
    <phoneticPr fontId="6"/>
  </si>
  <si>
    <t>規制車(規制材含む)</t>
    <phoneticPr fontId="6"/>
  </si>
  <si>
    <t>小物機械</t>
    <phoneticPr fontId="6"/>
  </si>
  <si>
    <t>切削機ﾎｲｰﾙ</t>
    <phoneticPr fontId="6"/>
  </si>
  <si>
    <t>ER550級</t>
    <phoneticPr fontId="6"/>
  </si>
  <si>
    <t>2ｔﾀﾞﾝﾌﾟ</t>
    <phoneticPr fontId="6"/>
  </si>
  <si>
    <t>運搬費</t>
    <phoneticPr fontId="6"/>
  </si>
  <si>
    <t>4ｔﾀﾞﾝﾌﾟ</t>
    <phoneticPr fontId="6"/>
  </si>
  <si>
    <t>AF回送  大型ｾﾙﾌ</t>
    <phoneticPr fontId="6"/>
  </si>
  <si>
    <t>回</t>
    <phoneticPr fontId="6"/>
  </si>
  <si>
    <t>4.4m～6.0m級</t>
    <phoneticPr fontId="6"/>
  </si>
  <si>
    <t>AS塊処分</t>
    <phoneticPr fontId="6"/>
  </si>
  <si>
    <t>Co塊処分(二次製品)</t>
    <phoneticPr fontId="6"/>
  </si>
  <si>
    <t>ﾀﾞﾝﾌﾟﾄﾗｯｸ常用4ｔ</t>
    <phoneticPr fontId="6"/>
  </si>
  <si>
    <t>ｵﾍﾟ燃料付</t>
    <phoneticPr fontId="6"/>
  </si>
  <si>
    <t>ﾀﾞﾝﾌﾟﾄﾗｯｸ常用8ｔ</t>
    <phoneticPr fontId="6"/>
  </si>
  <si>
    <t>トイレカー</t>
    <phoneticPr fontId="6"/>
  </si>
  <si>
    <t>回送  4ｔｾﾙﾌ</t>
    <phoneticPr fontId="6"/>
  </si>
  <si>
    <t>回送  ﾄﾚｰﾗｰ</t>
    <phoneticPr fontId="6"/>
  </si>
  <si>
    <t>切削機回送  ｾﾙﾌ(13t)</t>
    <phoneticPr fontId="6"/>
  </si>
  <si>
    <t>切削機回送  ﾄﾚｰﾗｰ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</si>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</sst>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13150000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11690000</v>
      </c>
      <c r="J16" s="420"/>
      <c r="K16" s="420"/>
      <c r="L16" s="420"/>
      <c r="M16" s="420"/>
      <c r="N16" s="420"/>
      <c r="O16" s="420"/>
      <c r="P16" s="420"/>
      <c r="Q16" s="416">
        <v>0.88900000000000001</v>
      </c>
      <c r="R16" s="416"/>
      <c r="S16" s="416"/>
      <c r="U16" s="417" t="s">
        <v>16</v>
      </c>
      <c r="V16" s="418"/>
      <c r="W16" s="418"/>
      <c r="X16" s="418"/>
      <c r="Y16" s="419">
        <v>1460000</v>
      </c>
      <c r="Z16" s="420"/>
      <c r="AA16" s="420"/>
      <c r="AB16" s="420"/>
      <c r="AC16" s="420"/>
      <c r="AD16" s="420"/>
      <c r="AE16" s="420"/>
      <c r="AF16" s="420"/>
      <c r="AG16" s="416">
        <v>0.111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45572</v>
      </c>
      <c r="D3" s="458"/>
      <c r="E3" s="272" t="s">
        <v>139</v>
      </c>
      <c r="F3" s="459">
        <v>45688</v>
      </c>
      <c r="G3" s="459"/>
      <c r="H3" s="459"/>
      <c r="I3" s="273"/>
      <c r="J3" s="273"/>
      <c r="K3" s="460" t="s">
        <v>30</v>
      </c>
      <c r="L3" s="461"/>
      <c r="M3" s="462"/>
      <c r="N3" s="449">
        <v>13150000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150000</v>
      </c>
      <c r="D5" s="335">
        <f>IF(C5&lt;&gt;"",C5/$C$20,"")</f>
        <v>1.5315962173249263E-2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650000</v>
      </c>
      <c r="D6" s="336">
        <f t="shared" ref="D6:D17" si="0">IF(C6&lt;&gt;"",C6/$C$20,"")</f>
        <v>6.6369169417413471E-2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40000</v>
      </c>
      <c r="D7" s="336">
        <f t="shared" si="0"/>
        <v>4.0842565795331364E-3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1299828</v>
      </c>
      <c r="D8" s="336">
        <f t="shared" si="0"/>
        <v>0.13272077653153494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1319948</v>
      </c>
      <c r="D9" s="336">
        <f t="shared" si="0"/>
        <v>0.13477515759104011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2099754</v>
      </c>
      <c r="D10" s="336">
        <f t="shared" si="0"/>
        <v>0.21439835224752554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579995</v>
      </c>
      <c r="D11" s="336">
        <f t="shared" si="0"/>
        <v>5.9221209871158045E-2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589988</v>
      </c>
      <c r="D12" s="336">
        <f t="shared" si="0"/>
        <v>6.0241559271139909E-2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200000</v>
      </c>
      <c r="D13" s="336">
        <f t="shared" si="0"/>
        <v>2.0421282897665684E-2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950000</v>
      </c>
      <c r="D14" s="336">
        <f t="shared" si="0"/>
        <v>9.7001093763912E-2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424550</v>
      </c>
      <c r="D15" s="336">
        <f t="shared" si="0"/>
        <v>4.334927827101983E-2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993155</v>
      </c>
      <c r="D16" s="336">
        <f t="shared" si="0"/>
        <v>0.10140749608115582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486</v>
      </c>
      <c r="D17" s="336">
        <f t="shared" si="0"/>
        <v>4.9623717441327615E-5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404000</v>
      </c>
      <c r="D18" s="336">
        <f>IF(C18&lt;&gt;"",C18/$C$20,"")</f>
        <v>4.1250991453284681E-2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92000</v>
      </c>
      <c r="D19" s="336">
        <f>IF(C19&lt;&gt;"",C19/$C$20,"")</f>
        <v>9.3937901329262143E-3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9793704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168</v>
      </c>
      <c r="L5" s="283" t="s">
        <v>169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170</v>
      </c>
      <c r="L6" s="290" t="s">
        <v>171</v>
      </c>
      <c r="M6" s="291">
        <v>25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169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171</v>
      </c>
      <c r="M8" s="291">
        <v>228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 t="s">
        <v>172</v>
      </c>
      <c r="L9" s="290" t="s">
        <v>171</v>
      </c>
      <c r="M9" s="291">
        <v>188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172</v>
      </c>
      <c r="L10" s="290" t="s">
        <v>171</v>
      </c>
      <c r="M10" s="291">
        <v>477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173</v>
      </c>
      <c r="L11" s="290" t="s">
        <v>174</v>
      </c>
      <c r="M11" s="291">
        <v>65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175</v>
      </c>
      <c r="L12" s="290" t="s">
        <v>174</v>
      </c>
      <c r="M12" s="291">
        <v>38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/>
      <c r="L13" s="290" t="s">
        <v>169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 t="s">
        <v>176</v>
      </c>
      <c r="L14" s="290" t="s">
        <v>169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/>
      <c r="L15" s="290" t="s">
        <v>169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/>
      <c r="L16" s="290" t="s">
        <v>169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/>
      <c r="L17" s="290" t="s">
        <v>169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/>
      <c r="L18" s="290" t="s">
        <v>169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 t="s">
        <v>177</v>
      </c>
      <c r="L19" s="296" t="s">
        <v>169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185</v>
      </c>
      <c r="D5" s="512"/>
      <c r="E5" s="246" t="s">
        <v>133</v>
      </c>
      <c r="F5" s="513" t="s">
        <v>186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187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178</v>
      </c>
      <c r="I6" s="110" t="s">
        <v>179</v>
      </c>
      <c r="J6" s="110" t="s">
        <v>180</v>
      </c>
      <c r="K6" s="110" t="s">
        <v>181</v>
      </c>
      <c r="L6" s="110" t="s">
        <v>182</v>
      </c>
      <c r="M6" s="111" t="s">
        <v>183</v>
      </c>
      <c r="N6" s="110" t="s">
        <v>184</v>
      </c>
      <c r="O6" s="112" t="s">
        <v>163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13150000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188</v>
      </c>
      <c r="D8" s="492"/>
      <c r="E8" s="113" t="s">
        <v>59</v>
      </c>
      <c r="F8" s="249">
        <v>11690000</v>
      </c>
      <c r="G8" s="334">
        <v>0.88900000000000001</v>
      </c>
      <c r="H8" s="250">
        <v>1631968</v>
      </c>
      <c r="I8" s="251">
        <v>1196000</v>
      </c>
      <c r="J8" s="251">
        <v>5418583</v>
      </c>
      <c r="K8" s="251">
        <v>1734400</v>
      </c>
      <c r="L8" s="252">
        <v>1062499</v>
      </c>
      <c r="M8" s="252"/>
      <c r="N8" s="253">
        <v>222000</v>
      </c>
      <c r="O8" s="254">
        <v>424550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9297704</v>
      </c>
      <c r="G9" s="334">
        <v>0.70699999999999996</v>
      </c>
      <c r="H9" s="250">
        <v>1615672</v>
      </c>
      <c r="I9" s="251">
        <v>1104000</v>
      </c>
      <c r="J9" s="251">
        <v>4250583</v>
      </c>
      <c r="K9" s="251">
        <v>1404400</v>
      </c>
      <c r="L9" s="252">
        <v>498499</v>
      </c>
      <c r="M9" s="252"/>
      <c r="N9" s="253"/>
      <c r="O9" s="254">
        <v>424550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2154000</v>
      </c>
      <c r="G10" s="334">
        <v>0.1638</v>
      </c>
      <c r="H10" s="250"/>
      <c r="I10" s="253">
        <v>92000</v>
      </c>
      <c r="J10" s="253">
        <v>1168000</v>
      </c>
      <c r="K10" s="253">
        <v>330000</v>
      </c>
      <c r="L10" s="251">
        <v>564000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238296</v>
      </c>
      <c r="G11" s="334">
        <v>1.8100000000000002E-2</v>
      </c>
      <c r="H11" s="250">
        <v>16296</v>
      </c>
      <c r="I11" s="253"/>
      <c r="J11" s="253"/>
      <c r="K11" s="253"/>
      <c r="L11" s="251"/>
      <c r="M11" s="252"/>
      <c r="N11" s="253">
        <v>222000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189</v>
      </c>
      <c r="D12" s="492"/>
      <c r="E12" s="113" t="s">
        <v>66</v>
      </c>
      <c r="F12" s="249">
        <v>1460000</v>
      </c>
      <c r="G12" s="334">
        <v>0.111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190</v>
      </c>
      <c r="D13" s="492"/>
      <c r="E13" s="169" t="s">
        <v>110</v>
      </c>
      <c r="F13" s="249">
        <v>854750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191</v>
      </c>
      <c r="D14" s="493"/>
      <c r="E14" s="114" t="s">
        <v>111</v>
      </c>
      <c r="F14" s="249">
        <v>657500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192</v>
      </c>
      <c r="D15" s="495"/>
      <c r="E15" s="114" t="s">
        <v>112</v>
      </c>
      <c r="F15" s="249">
        <v>197250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192</v>
      </c>
      <c r="D16" s="493"/>
      <c r="E16" s="113" t="s">
        <v>113</v>
      </c>
      <c r="F16" s="249">
        <v>605250</v>
      </c>
      <c r="G16" s="334">
        <v>4.5999999999999999E-2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131500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473750</v>
      </c>
      <c r="G18" s="334">
        <v>3.5999999999999997E-2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193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194</v>
      </c>
      <c r="C8" s="166"/>
      <c r="D8" s="517" t="s">
        <v>169</v>
      </c>
      <c r="E8" s="519">
        <v>1</v>
      </c>
      <c r="F8" s="521">
        <v>150000</v>
      </c>
      <c r="G8" s="523">
        <v>150000</v>
      </c>
      <c r="H8" s="351" t="s">
        <v>196</v>
      </c>
      <c r="I8" s="525">
        <v>1.14E-2</v>
      </c>
      <c r="J8" s="227"/>
      <c r="K8" s="69" t="s">
        <v>96</v>
      </c>
    </row>
    <row r="9" spans="1:11" ht="15.6" customHeight="1">
      <c r="A9" s="69"/>
      <c r="B9" s="224" t="s">
        <v>195</v>
      </c>
      <c r="C9" s="225"/>
      <c r="D9" s="518"/>
      <c r="E9" s="520"/>
      <c r="F9" s="522"/>
      <c r="G9" s="524"/>
      <c r="H9" s="352" t="s">
        <v>197</v>
      </c>
      <c r="I9" s="526"/>
      <c r="J9" s="227"/>
      <c r="K9" s="69" t="s">
        <v>96</v>
      </c>
    </row>
    <row r="10" spans="1:11" ht="15.6" customHeight="1">
      <c r="A10" s="69"/>
      <c r="B10" s="222" t="s">
        <v>198</v>
      </c>
      <c r="C10" s="166"/>
      <c r="D10" s="517" t="s">
        <v>171</v>
      </c>
      <c r="E10" s="519">
        <v>25</v>
      </c>
      <c r="F10" s="521">
        <v>26000</v>
      </c>
      <c r="G10" s="523">
        <v>650000</v>
      </c>
      <c r="H10" s="351" t="s">
        <v>200</v>
      </c>
      <c r="I10" s="525">
        <v>4.9399999999999999E-2</v>
      </c>
      <c r="J10" s="223"/>
      <c r="K10" s="69" t="s">
        <v>96</v>
      </c>
    </row>
    <row r="11" spans="1:11" ht="15.6" customHeight="1">
      <c r="A11" s="69"/>
      <c r="B11" s="224" t="s">
        <v>199</v>
      </c>
      <c r="C11" s="225"/>
      <c r="D11" s="518"/>
      <c r="E11" s="520"/>
      <c r="F11" s="522"/>
      <c r="G11" s="524"/>
      <c r="H11" s="352" t="s">
        <v>197</v>
      </c>
      <c r="I11" s="526"/>
      <c r="J11" s="226"/>
      <c r="K11" s="69" t="s">
        <v>96</v>
      </c>
    </row>
    <row r="12" spans="1:11" ht="15.6" customHeight="1">
      <c r="A12" s="69"/>
      <c r="B12" s="222" t="s">
        <v>201</v>
      </c>
      <c r="C12" s="166"/>
      <c r="D12" s="517" t="s">
        <v>169</v>
      </c>
      <c r="E12" s="519">
        <v>1</v>
      </c>
      <c r="F12" s="521">
        <v>4759530</v>
      </c>
      <c r="G12" s="523">
        <v>4759530</v>
      </c>
      <c r="H12" s="351" t="s">
        <v>203</v>
      </c>
      <c r="I12" s="525">
        <v>0.3619</v>
      </c>
      <c r="J12" s="223"/>
      <c r="K12" s="69" t="s">
        <v>96</v>
      </c>
    </row>
    <row r="13" spans="1:11" ht="15.6" customHeight="1">
      <c r="A13" s="69"/>
      <c r="B13" s="224" t="s">
        <v>202</v>
      </c>
      <c r="C13" s="225"/>
      <c r="D13" s="518"/>
      <c r="E13" s="520"/>
      <c r="F13" s="522"/>
      <c r="G13" s="524"/>
      <c r="H13" s="352" t="s">
        <v>197</v>
      </c>
      <c r="I13" s="526"/>
      <c r="J13" s="226"/>
      <c r="K13" s="69" t="s">
        <v>96</v>
      </c>
    </row>
    <row r="14" spans="1:11" ht="15.6" customHeight="1">
      <c r="A14" s="69"/>
      <c r="B14" s="222" t="s">
        <v>204</v>
      </c>
      <c r="C14" s="166"/>
      <c r="D14" s="517" t="s">
        <v>174</v>
      </c>
      <c r="E14" s="519">
        <v>65</v>
      </c>
      <c r="F14" s="521">
        <v>8923</v>
      </c>
      <c r="G14" s="523">
        <v>579995</v>
      </c>
      <c r="H14" s="351" t="s">
        <v>206</v>
      </c>
      <c r="I14" s="525">
        <v>4.41E-2</v>
      </c>
      <c r="J14" s="223"/>
      <c r="K14" s="69" t="s">
        <v>96</v>
      </c>
    </row>
    <row r="15" spans="1:11" ht="15.6" customHeight="1">
      <c r="A15" s="69"/>
      <c r="B15" s="224" t="s">
        <v>205</v>
      </c>
      <c r="C15" s="225"/>
      <c r="D15" s="518"/>
      <c r="E15" s="520"/>
      <c r="F15" s="522"/>
      <c r="G15" s="524"/>
      <c r="H15" s="352" t="s">
        <v>197</v>
      </c>
      <c r="I15" s="526"/>
      <c r="J15" s="226"/>
      <c r="K15" s="69" t="s">
        <v>96</v>
      </c>
    </row>
    <row r="16" spans="1:11" ht="15.6" customHeight="1">
      <c r="A16" s="69"/>
      <c r="B16" s="222" t="s">
        <v>204</v>
      </c>
      <c r="C16" s="166"/>
      <c r="D16" s="517" t="s">
        <v>174</v>
      </c>
      <c r="E16" s="519">
        <v>38</v>
      </c>
      <c r="F16" s="521">
        <v>15526</v>
      </c>
      <c r="G16" s="523">
        <v>589988</v>
      </c>
      <c r="H16" s="351" t="s">
        <v>208</v>
      </c>
      <c r="I16" s="525">
        <v>4.48E-2</v>
      </c>
      <c r="J16" s="223"/>
      <c r="K16" s="69" t="s">
        <v>96</v>
      </c>
    </row>
    <row r="17" spans="1:11" ht="15.6" customHeight="1">
      <c r="A17" s="69"/>
      <c r="B17" s="224" t="s">
        <v>207</v>
      </c>
      <c r="C17" s="225"/>
      <c r="D17" s="518"/>
      <c r="E17" s="520"/>
      <c r="F17" s="522"/>
      <c r="G17" s="524"/>
      <c r="H17" s="352" t="s">
        <v>197</v>
      </c>
      <c r="I17" s="526"/>
      <c r="J17" s="226"/>
      <c r="K17" s="69" t="s">
        <v>96</v>
      </c>
    </row>
    <row r="18" spans="1:11" ht="15.6" customHeight="1">
      <c r="A18" s="69"/>
      <c r="B18" s="222" t="s">
        <v>209</v>
      </c>
      <c r="C18" s="166"/>
      <c r="D18" s="517" t="s">
        <v>169</v>
      </c>
      <c r="E18" s="519">
        <v>1</v>
      </c>
      <c r="F18" s="521">
        <v>200000</v>
      </c>
      <c r="G18" s="523">
        <v>200000</v>
      </c>
      <c r="H18" s="351" t="s">
        <v>210</v>
      </c>
      <c r="I18" s="525">
        <v>1.52E-2</v>
      </c>
      <c r="J18" s="223"/>
      <c r="K18" s="69" t="s">
        <v>96</v>
      </c>
    </row>
    <row r="19" spans="1:11" ht="15.6" customHeight="1">
      <c r="A19" s="69"/>
      <c r="B19" s="224" t="s">
        <v>202</v>
      </c>
      <c r="C19" s="225"/>
      <c r="D19" s="518"/>
      <c r="E19" s="520"/>
      <c r="F19" s="522"/>
      <c r="G19" s="524"/>
      <c r="H19" s="352" t="s">
        <v>197</v>
      </c>
      <c r="I19" s="526"/>
      <c r="J19" s="226"/>
      <c r="K19" s="69" t="s">
        <v>96</v>
      </c>
    </row>
    <row r="20" spans="1:11" ht="15.6" customHeight="1">
      <c r="A20" s="69"/>
      <c r="B20" s="222" t="s">
        <v>211</v>
      </c>
      <c r="C20" s="166"/>
      <c r="D20" s="517" t="s">
        <v>169</v>
      </c>
      <c r="E20" s="519">
        <v>1</v>
      </c>
      <c r="F20" s="521">
        <v>950000</v>
      </c>
      <c r="G20" s="523">
        <v>950000</v>
      </c>
      <c r="H20" s="351" t="s">
        <v>213</v>
      </c>
      <c r="I20" s="525">
        <v>7.22E-2</v>
      </c>
      <c r="J20" s="223"/>
      <c r="K20" s="69" t="s">
        <v>96</v>
      </c>
    </row>
    <row r="21" spans="1:11" ht="15.6" customHeight="1">
      <c r="A21" s="69"/>
      <c r="B21" s="224" t="s">
        <v>212</v>
      </c>
      <c r="C21" s="225"/>
      <c r="D21" s="518"/>
      <c r="E21" s="520"/>
      <c r="F21" s="522"/>
      <c r="G21" s="524"/>
      <c r="H21" s="352" t="s">
        <v>197</v>
      </c>
      <c r="I21" s="526"/>
      <c r="J21" s="226"/>
      <c r="K21" s="69" t="s">
        <v>96</v>
      </c>
    </row>
    <row r="22" spans="1:11" ht="15.6" customHeight="1">
      <c r="A22" s="69"/>
      <c r="B22" s="222" t="s">
        <v>214</v>
      </c>
      <c r="C22" s="166"/>
      <c r="D22" s="517" t="s">
        <v>169</v>
      </c>
      <c r="E22" s="519">
        <v>1</v>
      </c>
      <c r="F22" s="521">
        <v>424550</v>
      </c>
      <c r="G22" s="523">
        <v>424550</v>
      </c>
      <c r="H22" s="351" t="s">
        <v>215</v>
      </c>
      <c r="I22" s="525">
        <v>3.2199999999999999E-2</v>
      </c>
      <c r="J22" s="223"/>
      <c r="K22" s="69" t="s">
        <v>96</v>
      </c>
    </row>
    <row r="23" spans="1:11" ht="15.6" customHeight="1">
      <c r="A23" s="69"/>
      <c r="B23" s="224" t="s">
        <v>202</v>
      </c>
      <c r="C23" s="225"/>
      <c r="D23" s="518"/>
      <c r="E23" s="520"/>
      <c r="F23" s="522"/>
      <c r="G23" s="524"/>
      <c r="H23" s="352" t="s">
        <v>197</v>
      </c>
      <c r="I23" s="526"/>
      <c r="J23" s="226"/>
      <c r="K23" s="69" t="s">
        <v>96</v>
      </c>
    </row>
    <row r="24" spans="1:11" ht="15.6" customHeight="1">
      <c r="A24" s="69"/>
      <c r="B24" s="222" t="s">
        <v>216</v>
      </c>
      <c r="C24" s="166"/>
      <c r="D24" s="517" t="s">
        <v>169</v>
      </c>
      <c r="E24" s="519">
        <v>1</v>
      </c>
      <c r="F24" s="521">
        <v>993155</v>
      </c>
      <c r="G24" s="523">
        <v>993155</v>
      </c>
      <c r="H24" s="351" t="s">
        <v>217</v>
      </c>
      <c r="I24" s="525">
        <v>7.5499999999999998E-2</v>
      </c>
      <c r="J24" s="223"/>
      <c r="K24" s="69" t="s">
        <v>96</v>
      </c>
    </row>
    <row r="25" spans="1:11" ht="15.6" customHeight="1">
      <c r="A25" s="69"/>
      <c r="B25" s="224" t="s">
        <v>202</v>
      </c>
      <c r="C25" s="225"/>
      <c r="D25" s="518"/>
      <c r="E25" s="520"/>
      <c r="F25" s="522"/>
      <c r="G25" s="524"/>
      <c r="H25" s="352" t="s">
        <v>197</v>
      </c>
      <c r="I25" s="526"/>
      <c r="J25" s="226"/>
      <c r="K25" s="69" t="s">
        <v>96</v>
      </c>
    </row>
    <row r="26" spans="1:11" ht="15.6" customHeight="1">
      <c r="A26" s="69"/>
      <c r="B26" s="222" t="s">
        <v>218</v>
      </c>
      <c r="C26" s="166"/>
      <c r="D26" s="517" t="s">
        <v>169</v>
      </c>
      <c r="E26" s="519">
        <v>1</v>
      </c>
      <c r="F26" s="521">
        <v>486</v>
      </c>
      <c r="G26" s="523">
        <v>486</v>
      </c>
      <c r="H26" s="351" t="s">
        <v>219</v>
      </c>
      <c r="I26" s="525">
        <v>0</v>
      </c>
      <c r="J26" s="223"/>
      <c r="K26" s="69" t="s">
        <v>96</v>
      </c>
    </row>
    <row r="27" spans="1:11" ht="15.6" customHeight="1">
      <c r="A27" s="69"/>
      <c r="B27" s="224" t="s">
        <v>202</v>
      </c>
      <c r="C27" s="225"/>
      <c r="D27" s="518"/>
      <c r="E27" s="520"/>
      <c r="F27" s="522"/>
      <c r="G27" s="524"/>
      <c r="H27" s="352" t="s">
        <v>197</v>
      </c>
      <c r="I27" s="526"/>
      <c r="J27" s="226"/>
      <c r="K27" s="69" t="s">
        <v>96</v>
      </c>
    </row>
    <row r="28" spans="1:11" ht="15.6" customHeight="1">
      <c r="A28" s="69"/>
      <c r="B28" s="222" t="s">
        <v>220</v>
      </c>
      <c r="C28" s="166"/>
      <c r="D28" s="517"/>
      <c r="E28" s="519"/>
      <c r="F28" s="521"/>
      <c r="G28" s="523">
        <v>9297704</v>
      </c>
      <c r="H28" s="351"/>
      <c r="I28" s="525">
        <v>0.70699999999999996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221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222</v>
      </c>
      <c r="C34" s="166"/>
      <c r="D34" s="517" t="s">
        <v>169</v>
      </c>
      <c r="E34" s="519">
        <v>1</v>
      </c>
      <c r="F34" s="521">
        <v>2154000</v>
      </c>
      <c r="G34" s="523">
        <v>2154000</v>
      </c>
      <c r="H34" s="351"/>
      <c r="I34" s="525">
        <v>0.1638</v>
      </c>
      <c r="J34" s="223"/>
      <c r="K34" s="69" t="s">
        <v>96</v>
      </c>
    </row>
    <row r="35" spans="1:11" ht="15.6" customHeight="1">
      <c r="A35" s="69"/>
      <c r="B35" s="224" t="s">
        <v>202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223</v>
      </c>
      <c r="C36" s="302"/>
      <c r="D36" s="517" t="s">
        <v>169</v>
      </c>
      <c r="E36" s="519">
        <v>1</v>
      </c>
      <c r="F36" s="521">
        <v>238296</v>
      </c>
      <c r="G36" s="523">
        <v>238296</v>
      </c>
      <c r="H36" s="351"/>
      <c r="I36" s="525">
        <v>1.8100000000000002E-2</v>
      </c>
      <c r="J36" s="223"/>
      <c r="K36" s="69" t="s">
        <v>96</v>
      </c>
    </row>
    <row r="37" spans="1:11" ht="15.6" customHeight="1" thickBot="1">
      <c r="A37" s="69"/>
      <c r="B37" s="228" t="s">
        <v>202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224</v>
      </c>
      <c r="C43" s="166"/>
      <c r="D43" s="517"/>
      <c r="E43" s="519"/>
      <c r="F43" s="521"/>
      <c r="G43" s="523">
        <v>2392296</v>
      </c>
      <c r="H43" s="351"/>
      <c r="I43" s="525">
        <v>0.18190000000000001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225</v>
      </c>
      <c r="C47" s="166"/>
      <c r="D47" s="517"/>
      <c r="E47" s="519"/>
      <c r="F47" s="521"/>
      <c r="G47" s="523">
        <v>11690000</v>
      </c>
      <c r="H47" s="351"/>
      <c r="I47" s="525">
        <v>0.88900000000000001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226</v>
      </c>
      <c r="C51" s="166"/>
      <c r="D51" s="517"/>
      <c r="E51" s="519"/>
      <c r="F51" s="521"/>
      <c r="G51" s="523">
        <v>1460000</v>
      </c>
      <c r="H51" s="351"/>
      <c r="I51" s="525">
        <v>0.111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131</v>
      </c>
      <c r="C55" s="166"/>
      <c r="D55" s="517"/>
      <c r="E55" s="519"/>
      <c r="F55" s="521"/>
      <c r="G55" s="523">
        <v>13150000</v>
      </c>
      <c r="H55" s="351"/>
      <c r="I55" s="525">
        <v>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CC9F6-3711-44BD-A75E-87AC11015667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169</v>
      </c>
      <c r="E6" s="519">
        <v>1</v>
      </c>
      <c r="F6" s="521">
        <v>150000</v>
      </c>
      <c r="G6" s="523">
        <v>150000</v>
      </c>
      <c r="H6" s="351" t="s">
        <v>196</v>
      </c>
      <c r="I6" s="351"/>
      <c r="J6" s="223"/>
      <c r="K6" s="69" t="s">
        <v>96</v>
      </c>
    </row>
    <row r="7" spans="1:11" ht="15.6" customHeight="1">
      <c r="A7" s="69"/>
      <c r="B7" s="224" t="s">
        <v>168</v>
      </c>
      <c r="C7" s="225"/>
      <c r="D7" s="518"/>
      <c r="E7" s="520"/>
      <c r="F7" s="522"/>
      <c r="G7" s="524"/>
      <c r="H7" s="352" t="s">
        <v>197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171</v>
      </c>
      <c r="E8" s="519">
        <v>25</v>
      </c>
      <c r="F8" s="521">
        <v>26000</v>
      </c>
      <c r="G8" s="523">
        <v>650000</v>
      </c>
      <c r="H8" s="351" t="s">
        <v>200</v>
      </c>
      <c r="I8" s="351"/>
      <c r="J8" s="227"/>
      <c r="K8" s="69" t="s">
        <v>96</v>
      </c>
    </row>
    <row r="9" spans="1:11" ht="15.6" customHeight="1">
      <c r="A9" s="69"/>
      <c r="B9" s="224" t="s">
        <v>170</v>
      </c>
      <c r="C9" s="225"/>
      <c r="D9" s="518"/>
      <c r="E9" s="520"/>
      <c r="F9" s="522"/>
      <c r="G9" s="524"/>
      <c r="H9" s="352" t="s">
        <v>197</v>
      </c>
      <c r="I9" s="352"/>
      <c r="J9" s="227"/>
      <c r="K9" s="69" t="s">
        <v>96</v>
      </c>
    </row>
    <row r="10" spans="1:11" ht="15.6" customHeight="1">
      <c r="A10" s="69"/>
      <c r="B10" s="222" t="s">
        <v>227</v>
      </c>
      <c r="C10" s="166"/>
      <c r="D10" s="517" t="s">
        <v>169</v>
      </c>
      <c r="E10" s="519">
        <v>1</v>
      </c>
      <c r="F10" s="521">
        <v>4759530</v>
      </c>
      <c r="G10" s="523">
        <v>4759530</v>
      </c>
      <c r="H10" s="351" t="s">
        <v>203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197</v>
      </c>
      <c r="I11" s="352"/>
      <c r="J11" s="226"/>
      <c r="K11" s="69" t="s">
        <v>96</v>
      </c>
    </row>
    <row r="12" spans="1:11" ht="15.6" customHeight="1">
      <c r="A12" s="69"/>
      <c r="B12" s="222" t="s">
        <v>160</v>
      </c>
      <c r="C12" s="166"/>
      <c r="D12" s="517" t="s">
        <v>174</v>
      </c>
      <c r="E12" s="519">
        <v>65</v>
      </c>
      <c r="F12" s="521">
        <v>8923</v>
      </c>
      <c r="G12" s="523">
        <v>579995</v>
      </c>
      <c r="H12" s="351" t="s">
        <v>206</v>
      </c>
      <c r="I12" s="351"/>
      <c r="J12" s="223"/>
      <c r="K12" s="69" t="s">
        <v>96</v>
      </c>
    </row>
    <row r="13" spans="1:11" ht="15.6" customHeight="1">
      <c r="A13" s="69"/>
      <c r="B13" s="224" t="s">
        <v>173</v>
      </c>
      <c r="C13" s="225"/>
      <c r="D13" s="518"/>
      <c r="E13" s="520"/>
      <c r="F13" s="522"/>
      <c r="G13" s="524"/>
      <c r="H13" s="352" t="s">
        <v>197</v>
      </c>
      <c r="I13" s="352"/>
      <c r="J13" s="226"/>
      <c r="K13" s="69" t="s">
        <v>96</v>
      </c>
    </row>
    <row r="14" spans="1:11" ht="15.6" customHeight="1">
      <c r="A14" s="69"/>
      <c r="B14" s="222" t="s">
        <v>160</v>
      </c>
      <c r="C14" s="166"/>
      <c r="D14" s="517" t="s">
        <v>174</v>
      </c>
      <c r="E14" s="519">
        <v>38</v>
      </c>
      <c r="F14" s="521">
        <v>15526</v>
      </c>
      <c r="G14" s="523">
        <v>589988</v>
      </c>
      <c r="H14" s="351" t="s">
        <v>208</v>
      </c>
      <c r="I14" s="351"/>
      <c r="J14" s="223"/>
      <c r="K14" s="69" t="s">
        <v>96</v>
      </c>
    </row>
    <row r="15" spans="1:11" ht="15.6" customHeight="1">
      <c r="A15" s="69"/>
      <c r="B15" s="224" t="s">
        <v>175</v>
      </c>
      <c r="C15" s="225"/>
      <c r="D15" s="518"/>
      <c r="E15" s="520"/>
      <c r="F15" s="522"/>
      <c r="G15" s="524"/>
      <c r="H15" s="352" t="s">
        <v>197</v>
      </c>
      <c r="I15" s="352"/>
      <c r="J15" s="226"/>
      <c r="K15" s="69" t="s">
        <v>96</v>
      </c>
    </row>
    <row r="16" spans="1:11" ht="15.6" customHeight="1">
      <c r="A16" s="69"/>
      <c r="B16" s="222" t="s">
        <v>161</v>
      </c>
      <c r="C16" s="166"/>
      <c r="D16" s="517" t="s">
        <v>169</v>
      </c>
      <c r="E16" s="519">
        <v>1</v>
      </c>
      <c r="F16" s="521">
        <v>200000</v>
      </c>
      <c r="G16" s="523">
        <v>200000</v>
      </c>
      <c r="H16" s="351" t="s">
        <v>210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197</v>
      </c>
      <c r="I17" s="352"/>
      <c r="J17" s="226"/>
      <c r="K17" s="69" t="s">
        <v>96</v>
      </c>
    </row>
    <row r="18" spans="1:11" ht="15.6" customHeight="1">
      <c r="A18" s="69"/>
      <c r="B18" s="222" t="s">
        <v>162</v>
      </c>
      <c r="C18" s="166"/>
      <c r="D18" s="517" t="s">
        <v>169</v>
      </c>
      <c r="E18" s="519">
        <v>1</v>
      </c>
      <c r="F18" s="521">
        <v>950000</v>
      </c>
      <c r="G18" s="523">
        <v>950000</v>
      </c>
      <c r="H18" s="351" t="s">
        <v>213</v>
      </c>
      <c r="I18" s="351"/>
      <c r="J18" s="223"/>
      <c r="K18" s="69" t="s">
        <v>96</v>
      </c>
    </row>
    <row r="19" spans="1:11" ht="15.6" customHeight="1">
      <c r="A19" s="69"/>
      <c r="B19" s="224" t="s">
        <v>176</v>
      </c>
      <c r="C19" s="225"/>
      <c r="D19" s="518"/>
      <c r="E19" s="520"/>
      <c r="F19" s="522"/>
      <c r="G19" s="524"/>
      <c r="H19" s="352" t="s">
        <v>197</v>
      </c>
      <c r="I19" s="352"/>
      <c r="J19" s="226"/>
      <c r="K19" s="69" t="s">
        <v>96</v>
      </c>
    </row>
    <row r="20" spans="1:11" ht="15.6" customHeight="1">
      <c r="A20" s="69"/>
      <c r="B20" s="222" t="s">
        <v>163</v>
      </c>
      <c r="C20" s="166"/>
      <c r="D20" s="517" t="s">
        <v>169</v>
      </c>
      <c r="E20" s="519">
        <v>1</v>
      </c>
      <c r="F20" s="521">
        <v>424550</v>
      </c>
      <c r="G20" s="523">
        <v>424550</v>
      </c>
      <c r="H20" s="351" t="s">
        <v>215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197</v>
      </c>
      <c r="I21" s="352"/>
      <c r="J21" s="226"/>
      <c r="K21" s="69" t="s">
        <v>96</v>
      </c>
    </row>
    <row r="22" spans="1:11" ht="15.6" customHeight="1">
      <c r="A22" s="69"/>
      <c r="B22" s="222" t="s">
        <v>164</v>
      </c>
      <c r="C22" s="166"/>
      <c r="D22" s="517" t="s">
        <v>169</v>
      </c>
      <c r="E22" s="519">
        <v>1</v>
      </c>
      <c r="F22" s="521">
        <v>993155</v>
      </c>
      <c r="G22" s="523">
        <v>993155</v>
      </c>
      <c r="H22" s="351" t="s">
        <v>217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197</v>
      </c>
      <c r="I23" s="352"/>
      <c r="J23" s="226"/>
      <c r="K23" s="69" t="s">
        <v>96</v>
      </c>
    </row>
    <row r="24" spans="1:11" ht="15.6" customHeight="1">
      <c r="A24" s="69"/>
      <c r="B24" s="222" t="s">
        <v>165</v>
      </c>
      <c r="C24" s="166"/>
      <c r="D24" s="517" t="s">
        <v>169</v>
      </c>
      <c r="E24" s="519">
        <v>1</v>
      </c>
      <c r="F24" s="521">
        <v>486</v>
      </c>
      <c r="G24" s="523">
        <v>486</v>
      </c>
      <c r="H24" s="351" t="s">
        <v>219</v>
      </c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 t="s">
        <v>197</v>
      </c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 t="s">
        <v>228</v>
      </c>
      <c r="C28" s="166"/>
      <c r="D28" s="517"/>
      <c r="E28" s="519"/>
      <c r="F28" s="521"/>
      <c r="G28" s="523">
        <v>9297704</v>
      </c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20"/>
  <sheetViews>
    <sheetView zoomScaleNormal="100" zoomScaleSheetLayoutView="85" workbookViewId="0">
      <pane xSplit="4" ySplit="4" topLeftCell="E67" activePane="bottomRight" state="frozen"/>
      <selection pane="topRight"/>
      <selection pane="bottomLeft"/>
      <selection pane="bottomRight" activeCell="AG120" sqref="AG120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24-119★令和6年度 橋りょう補修工事 公共 県単 合併</v>
      </c>
      <c r="G1" s="306"/>
      <c r="H1" s="190" t="s">
        <v>140</v>
      </c>
      <c r="I1" s="333">
        <v>13150000</v>
      </c>
      <c r="J1" s="339">
        <f>I4/I$1</f>
        <v>0.88897338403041826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185</v>
      </c>
      <c r="E4" s="342"/>
      <c r="F4" s="345" t="s">
        <v>169</v>
      </c>
      <c r="G4" s="308">
        <v>1</v>
      </c>
      <c r="H4" s="309">
        <v>11690000</v>
      </c>
      <c r="I4" s="309">
        <v>11690000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231</v>
      </c>
      <c r="D5" s="340" t="s">
        <v>232</v>
      </c>
      <c r="E5" s="342"/>
      <c r="F5" s="345" t="s">
        <v>169</v>
      </c>
      <c r="G5" s="308">
        <v>1</v>
      </c>
      <c r="H5" s="309">
        <v>9297704</v>
      </c>
      <c r="I5" s="309">
        <v>9297704</v>
      </c>
      <c r="J5" s="211"/>
      <c r="K5" s="212" t="str">
        <f>IF(OR(J5="",G5=J5),"","*")</f>
        <v/>
      </c>
      <c r="L5" s="338">
        <f>IF($A5&lt;=L$1,I5/I$4,"")</f>
        <v>0.7953553464499572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233</v>
      </c>
      <c r="D6" s="340" t="s">
        <v>234</v>
      </c>
      <c r="E6" s="342" t="s">
        <v>168</v>
      </c>
      <c r="F6" s="345" t="s">
        <v>169</v>
      </c>
      <c r="G6" s="308">
        <v>1</v>
      </c>
      <c r="H6" s="309">
        <v>150000</v>
      </c>
      <c r="I6" s="309">
        <v>150000</v>
      </c>
      <c r="J6" s="211">
        <v>1</v>
      </c>
      <c r="K6" s="212" t="str">
        <f>IF(OR(J6="",G6=J6),"","*")</f>
        <v/>
      </c>
      <c r="L6" s="338">
        <f>IF($A6&lt;=L$1,I6/I$4,"")</f>
        <v>1.2831479897348161E-2</v>
      </c>
      <c r="M6" s="343"/>
      <c r="N6" s="344" t="s">
        <v>235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236</v>
      </c>
      <c r="E7" s="342" t="s">
        <v>237</v>
      </c>
      <c r="F7" s="345" t="s">
        <v>238</v>
      </c>
      <c r="G7" s="308">
        <v>1</v>
      </c>
      <c r="H7" s="309">
        <v>144800</v>
      </c>
      <c r="I7" s="309">
        <v>144800</v>
      </c>
      <c r="J7" s="211"/>
      <c r="K7" s="212" t="str">
        <f>IF(OR(J7="",G7=J7),"","*")</f>
        <v/>
      </c>
      <c r="L7" s="338">
        <f>IF($A7&lt;=L$1,I7/I$4,"")</f>
        <v>1.2386655260906758E-2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3</v>
      </c>
      <c r="B8" s="342"/>
      <c r="C8" s="342" t="s">
        <v>178</v>
      </c>
      <c r="D8" s="340" t="s">
        <v>239</v>
      </c>
      <c r="E8" s="342"/>
      <c r="F8" s="345" t="s">
        <v>169</v>
      </c>
      <c r="G8" s="308">
        <v>1</v>
      </c>
      <c r="H8" s="309">
        <v>5200</v>
      </c>
      <c r="I8" s="309">
        <v>5200</v>
      </c>
      <c r="J8" s="211"/>
      <c r="K8" s="212" t="str">
        <f>IF(OR(J8="",G8=J8),"","*")</f>
        <v/>
      </c>
      <c r="L8" s="338">
        <f>IF($A8&lt;=L$1,I8/I$4,"")</f>
        <v>4.4482463644140291E-4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240</v>
      </c>
      <c r="AF8" s="341"/>
    </row>
    <row r="9" spans="1:32">
      <c r="A9" s="307">
        <v>2</v>
      </c>
      <c r="B9" s="342"/>
      <c r="C9" s="342" t="s">
        <v>233</v>
      </c>
      <c r="D9" s="340" t="s">
        <v>241</v>
      </c>
      <c r="E9" s="342" t="s">
        <v>170</v>
      </c>
      <c r="F9" s="345" t="s">
        <v>171</v>
      </c>
      <c r="G9" s="308">
        <v>25</v>
      </c>
      <c r="H9" s="309">
        <v>26000</v>
      </c>
      <c r="I9" s="309">
        <v>650000</v>
      </c>
      <c r="J9" s="211">
        <v>25</v>
      </c>
      <c r="K9" s="212" t="str">
        <f>IF(OR(J9="",G9=J9),"","*")</f>
        <v/>
      </c>
      <c r="L9" s="338">
        <f>IF($A9&lt;=L$1,I9/I$4,"")</f>
        <v>5.5603079555175364E-2</v>
      </c>
      <c r="M9" s="343"/>
      <c r="N9" s="344" t="s">
        <v>242</v>
      </c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3</v>
      </c>
      <c r="B10" s="342"/>
      <c r="C10" s="342" t="s">
        <v>180</v>
      </c>
      <c r="D10" s="340" t="s">
        <v>243</v>
      </c>
      <c r="E10" s="342"/>
      <c r="F10" s="345" t="s">
        <v>171</v>
      </c>
      <c r="G10" s="308">
        <v>25</v>
      </c>
      <c r="H10" s="309">
        <v>7300</v>
      </c>
      <c r="I10" s="309">
        <v>182500</v>
      </c>
      <c r="J10" s="211"/>
      <c r="K10" s="212" t="str">
        <f>IF(OR(J10="",G10=J10),"","*")</f>
        <v/>
      </c>
      <c r="L10" s="338">
        <f>IF($A10&lt;=L$1,I10/I$4,"")</f>
        <v>1.5611633875106929E-2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180</v>
      </c>
      <c r="D11" s="340" t="s">
        <v>244</v>
      </c>
      <c r="E11" s="342"/>
      <c r="F11" s="345" t="s">
        <v>171</v>
      </c>
      <c r="G11" s="308">
        <v>25</v>
      </c>
      <c r="H11" s="309">
        <v>6900</v>
      </c>
      <c r="I11" s="309">
        <v>172500</v>
      </c>
      <c r="J11" s="211"/>
      <c r="K11" s="212" t="str">
        <f>IF(OR(J11="",G11=J11),"","*")</f>
        <v/>
      </c>
      <c r="L11" s="338">
        <f>IF($A11&lt;=L$1,I11/I$4,"")</f>
        <v>1.4756201881950384E-2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3</v>
      </c>
      <c r="B12" s="342"/>
      <c r="C12" s="342" t="s">
        <v>180</v>
      </c>
      <c r="D12" s="340" t="s">
        <v>245</v>
      </c>
      <c r="E12" s="342"/>
      <c r="F12" s="345" t="s">
        <v>171</v>
      </c>
      <c r="G12" s="308">
        <v>25</v>
      </c>
      <c r="H12" s="309">
        <v>3450</v>
      </c>
      <c r="I12" s="309">
        <v>86250</v>
      </c>
      <c r="J12" s="211"/>
      <c r="K12" s="212" t="str">
        <f>IF(OR(J12="",G12=J12),"","*")</f>
        <v/>
      </c>
      <c r="L12" s="338">
        <f>IF($A12&lt;=L$1,I12/I$4,"")</f>
        <v>7.3781009409751921E-3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180</v>
      </c>
      <c r="D13" s="340" t="s">
        <v>246</v>
      </c>
      <c r="E13" s="342"/>
      <c r="F13" s="345" t="s">
        <v>171</v>
      </c>
      <c r="G13" s="308">
        <v>25</v>
      </c>
      <c r="H13" s="309">
        <v>3700</v>
      </c>
      <c r="I13" s="309">
        <v>92500</v>
      </c>
      <c r="J13" s="211"/>
      <c r="K13" s="212" t="str">
        <f>IF(OR(J13="",G13=J13),"","*")</f>
        <v/>
      </c>
      <c r="L13" s="338">
        <f>IF($A13&lt;=L$1,I13/I$4,"")</f>
        <v>7.9127459366980322E-3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3</v>
      </c>
      <c r="B14" s="342"/>
      <c r="C14" s="342" t="s">
        <v>180</v>
      </c>
      <c r="D14" s="340" t="s">
        <v>247</v>
      </c>
      <c r="E14" s="342"/>
      <c r="F14" s="345" t="s">
        <v>171</v>
      </c>
      <c r="G14" s="308">
        <v>25</v>
      </c>
      <c r="H14" s="309">
        <v>4400</v>
      </c>
      <c r="I14" s="309">
        <v>110000</v>
      </c>
      <c r="J14" s="211"/>
      <c r="K14" s="212" t="str">
        <f>IF(OR(J14="",G14=J14),"","*")</f>
        <v/>
      </c>
      <c r="L14" s="338">
        <f>IF($A14&lt;=L$1,I14/I$4,"")</f>
        <v>9.4097519247219839E-3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3</v>
      </c>
      <c r="B15" s="342"/>
      <c r="C15" s="342" t="s">
        <v>178</v>
      </c>
      <c r="D15" s="340" t="s">
        <v>239</v>
      </c>
      <c r="E15" s="342"/>
      <c r="F15" s="345" t="s">
        <v>169</v>
      </c>
      <c r="G15" s="308">
        <v>1</v>
      </c>
      <c r="H15" s="309">
        <v>6250</v>
      </c>
      <c r="I15" s="309">
        <v>6250</v>
      </c>
      <c r="J15" s="211"/>
      <c r="K15" s="212" t="str">
        <f>IF(OR(J15="",G15=J15),"","*")</f>
        <v/>
      </c>
      <c r="L15" s="338">
        <f>IF($A15&lt;=L$1,I15/I$4,"")</f>
        <v>5.3464499572284004E-4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240</v>
      </c>
      <c r="AF15" s="341"/>
    </row>
    <row r="16" spans="1:32">
      <c r="A16" s="307">
        <v>2</v>
      </c>
      <c r="B16" s="342"/>
      <c r="C16" s="342" t="s">
        <v>233</v>
      </c>
      <c r="D16" s="340" t="s">
        <v>248</v>
      </c>
      <c r="E16" s="342"/>
      <c r="F16" s="345" t="s">
        <v>169</v>
      </c>
      <c r="G16" s="308">
        <v>1</v>
      </c>
      <c r="H16" s="309">
        <v>4759530</v>
      </c>
      <c r="I16" s="309">
        <v>4759530</v>
      </c>
      <c r="J16" s="211">
        <v>1</v>
      </c>
      <c r="K16" s="212" t="str">
        <f>IF(OR(J16="",G16=J16),"","*")</f>
        <v/>
      </c>
      <c r="L16" s="338">
        <f>IF($A16&lt;=L$1,I16/I$4,"")</f>
        <v>0.40714542343883664</v>
      </c>
      <c r="M16" s="343"/>
      <c r="N16" s="344" t="s">
        <v>249</v>
      </c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3</v>
      </c>
      <c r="B17" s="342"/>
      <c r="C17" s="342" t="s">
        <v>233</v>
      </c>
      <c r="D17" s="340" t="s">
        <v>250</v>
      </c>
      <c r="E17" s="342"/>
      <c r="F17" s="345" t="s">
        <v>169</v>
      </c>
      <c r="G17" s="308">
        <v>1</v>
      </c>
      <c r="H17" s="309">
        <v>40000</v>
      </c>
      <c r="I17" s="309">
        <v>40000</v>
      </c>
      <c r="J17" s="211">
        <v>1</v>
      </c>
      <c r="K17" s="212" t="str">
        <f>IF(OR(J17="",G17=J17),"","*")</f>
        <v/>
      </c>
      <c r="L17" s="338">
        <f>IF($A17&lt;=L$1,I17/I$4,"")</f>
        <v>3.4217279726261761E-3</v>
      </c>
      <c r="M17" s="343"/>
      <c r="N17" s="344" t="s">
        <v>251</v>
      </c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4</v>
      </c>
      <c r="B18" s="342"/>
      <c r="C18" s="342" t="s">
        <v>180</v>
      </c>
      <c r="D18" s="340" t="s">
        <v>252</v>
      </c>
      <c r="E18" s="342" t="s">
        <v>253</v>
      </c>
      <c r="F18" s="345" t="s">
        <v>169</v>
      </c>
      <c r="G18" s="308">
        <v>1</v>
      </c>
      <c r="H18" s="309">
        <v>18000</v>
      </c>
      <c r="I18" s="309">
        <v>18000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254</v>
      </c>
      <c r="AF18" s="341"/>
    </row>
    <row r="19" spans="1:32">
      <c r="A19" s="307">
        <v>4</v>
      </c>
      <c r="B19" s="342"/>
      <c r="C19" s="342" t="s">
        <v>180</v>
      </c>
      <c r="D19" s="340" t="s">
        <v>255</v>
      </c>
      <c r="E19" s="342" t="s">
        <v>253</v>
      </c>
      <c r="F19" s="345" t="s">
        <v>169</v>
      </c>
      <c r="G19" s="308">
        <v>1</v>
      </c>
      <c r="H19" s="309">
        <v>12000</v>
      </c>
      <c r="I19" s="309">
        <v>12000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256</v>
      </c>
      <c r="AF19" s="341"/>
    </row>
    <row r="20" spans="1:32">
      <c r="A20" s="307">
        <v>4</v>
      </c>
      <c r="B20" s="342"/>
      <c r="C20" s="342" t="s">
        <v>180</v>
      </c>
      <c r="D20" s="340" t="s">
        <v>257</v>
      </c>
      <c r="E20" s="342"/>
      <c r="F20" s="345" t="s">
        <v>169</v>
      </c>
      <c r="G20" s="308">
        <v>1</v>
      </c>
      <c r="H20" s="309">
        <v>10000</v>
      </c>
      <c r="I20" s="309">
        <v>10000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258</v>
      </c>
      <c r="AF20" s="341"/>
    </row>
    <row r="21" spans="1:32">
      <c r="A21" s="307">
        <v>3</v>
      </c>
      <c r="B21" s="342"/>
      <c r="C21" s="342" t="s">
        <v>233</v>
      </c>
      <c r="D21" s="340" t="s">
        <v>259</v>
      </c>
      <c r="E21" s="342"/>
      <c r="F21" s="345" t="s">
        <v>171</v>
      </c>
      <c r="G21" s="308">
        <v>228</v>
      </c>
      <c r="H21" s="309">
        <v>5701</v>
      </c>
      <c r="I21" s="309">
        <v>1299828</v>
      </c>
      <c r="J21" s="211">
        <v>228</v>
      </c>
      <c r="K21" s="212" t="str">
        <f>IF(OR(J21="",G21=J21),"","*")</f>
        <v/>
      </c>
      <c r="L21" s="338">
        <f>IF($A21&lt;=L$1,I21/I$4,"")</f>
        <v>0.11119144568006843</v>
      </c>
      <c r="M21" s="343"/>
      <c r="N21" s="344" t="s">
        <v>260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4</v>
      </c>
      <c r="B22" s="342"/>
      <c r="C22" s="342" t="s">
        <v>180</v>
      </c>
      <c r="D22" s="340" t="s">
        <v>261</v>
      </c>
      <c r="E22" s="342" t="s">
        <v>262</v>
      </c>
      <c r="F22" s="345" t="s">
        <v>169</v>
      </c>
      <c r="G22" s="308">
        <v>1</v>
      </c>
      <c r="H22" s="309">
        <v>1292028</v>
      </c>
      <c r="I22" s="309">
        <v>1292028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4</v>
      </c>
      <c r="B23" s="342"/>
      <c r="C23" s="342" t="s">
        <v>178</v>
      </c>
      <c r="D23" s="340" t="s">
        <v>263</v>
      </c>
      <c r="E23" s="342"/>
      <c r="F23" s="345" t="s">
        <v>169</v>
      </c>
      <c r="G23" s="308">
        <v>1</v>
      </c>
      <c r="H23" s="309">
        <v>7972</v>
      </c>
      <c r="I23" s="309">
        <v>7972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240</v>
      </c>
      <c r="AF23" s="341"/>
    </row>
    <row r="24" spans="1:32">
      <c r="A24" s="307">
        <v>3</v>
      </c>
      <c r="B24" s="342"/>
      <c r="C24" s="342" t="s">
        <v>233</v>
      </c>
      <c r="D24" s="340" t="s">
        <v>264</v>
      </c>
      <c r="E24" s="342" t="s">
        <v>172</v>
      </c>
      <c r="F24" s="345" t="s">
        <v>171</v>
      </c>
      <c r="G24" s="308">
        <v>188</v>
      </c>
      <c r="H24" s="309">
        <v>7021</v>
      </c>
      <c r="I24" s="309">
        <v>1319948</v>
      </c>
      <c r="J24" s="211">
        <v>188</v>
      </c>
      <c r="K24" s="212" t="str">
        <f>IF(OR(J24="",G24=J24),"","*")</f>
        <v/>
      </c>
      <c r="L24" s="338">
        <f>IF($A24&lt;=L$1,I24/I$4,"")</f>
        <v>0.1129125748502994</v>
      </c>
      <c r="M24" s="343"/>
      <c r="N24" s="344" t="s">
        <v>265</v>
      </c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4</v>
      </c>
      <c r="B25" s="342"/>
      <c r="C25" s="342" t="s">
        <v>182</v>
      </c>
      <c r="D25" s="340" t="s">
        <v>266</v>
      </c>
      <c r="E25" s="342"/>
      <c r="F25" s="345" t="s">
        <v>267</v>
      </c>
      <c r="G25" s="308">
        <v>14</v>
      </c>
      <c r="H25" s="309">
        <v>500</v>
      </c>
      <c r="I25" s="309">
        <v>7000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268</v>
      </c>
      <c r="AF25" s="341" t="s">
        <v>269</v>
      </c>
    </row>
    <row r="26" spans="1:32">
      <c r="A26" s="307">
        <v>4</v>
      </c>
      <c r="B26" s="342"/>
      <c r="C26" s="342" t="s">
        <v>178</v>
      </c>
      <c r="D26" s="340" t="s">
        <v>270</v>
      </c>
      <c r="E26" s="342" t="s">
        <v>271</v>
      </c>
      <c r="F26" s="345" t="s">
        <v>267</v>
      </c>
      <c r="G26" s="308">
        <v>18</v>
      </c>
      <c r="H26" s="309">
        <v>9000</v>
      </c>
      <c r="I26" s="309">
        <v>162000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272</v>
      </c>
    </row>
    <row r="27" spans="1:32">
      <c r="A27" s="307">
        <v>4</v>
      </c>
      <c r="B27" s="342"/>
      <c r="C27" s="342" t="s">
        <v>182</v>
      </c>
      <c r="D27" s="340" t="s">
        <v>273</v>
      </c>
      <c r="E27" s="342" t="s">
        <v>274</v>
      </c>
      <c r="F27" s="345" t="s">
        <v>275</v>
      </c>
      <c r="G27" s="308">
        <v>4</v>
      </c>
      <c r="H27" s="309">
        <v>31000</v>
      </c>
      <c r="I27" s="309">
        <v>124000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276</v>
      </c>
      <c r="AF27" s="341" t="s">
        <v>277</v>
      </c>
    </row>
    <row r="28" spans="1:32">
      <c r="A28" s="307">
        <v>4</v>
      </c>
      <c r="B28" s="342"/>
      <c r="C28" s="342" t="s">
        <v>179</v>
      </c>
      <c r="D28" s="340" t="s">
        <v>278</v>
      </c>
      <c r="E28" s="342"/>
      <c r="F28" s="345" t="s">
        <v>279</v>
      </c>
      <c r="G28" s="308">
        <v>16</v>
      </c>
      <c r="H28" s="309">
        <v>23000</v>
      </c>
      <c r="I28" s="309">
        <v>368000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280</v>
      </c>
      <c r="AF28" s="341" t="s">
        <v>281</v>
      </c>
    </row>
    <row r="29" spans="1:32">
      <c r="A29" s="307">
        <v>4</v>
      </c>
      <c r="B29" s="342"/>
      <c r="C29" s="342" t="s">
        <v>181</v>
      </c>
      <c r="D29" s="340" t="s">
        <v>282</v>
      </c>
      <c r="E29" s="342" t="s">
        <v>283</v>
      </c>
      <c r="F29" s="345" t="s">
        <v>275</v>
      </c>
      <c r="G29" s="308">
        <v>2</v>
      </c>
      <c r="H29" s="309">
        <v>180000</v>
      </c>
      <c r="I29" s="309">
        <v>360000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284</v>
      </c>
      <c r="AF29" s="341" t="s">
        <v>285</v>
      </c>
    </row>
    <row r="30" spans="1:32">
      <c r="A30" s="307">
        <v>4</v>
      </c>
      <c r="B30" s="342"/>
      <c r="C30" s="342" t="s">
        <v>181</v>
      </c>
      <c r="D30" s="340" t="s">
        <v>286</v>
      </c>
      <c r="E30" s="342"/>
      <c r="F30" s="345" t="s">
        <v>275</v>
      </c>
      <c r="G30" s="308">
        <v>2</v>
      </c>
      <c r="H30" s="309">
        <v>8000</v>
      </c>
      <c r="I30" s="309">
        <v>16000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287</v>
      </c>
      <c r="AF30" s="341" t="s">
        <v>285</v>
      </c>
    </row>
    <row r="31" spans="1:32">
      <c r="A31" s="307">
        <v>4</v>
      </c>
      <c r="B31" s="342"/>
      <c r="C31" s="342" t="s">
        <v>181</v>
      </c>
      <c r="D31" s="340" t="s">
        <v>288</v>
      </c>
      <c r="E31" s="342"/>
      <c r="F31" s="345" t="s">
        <v>275</v>
      </c>
      <c r="G31" s="308">
        <v>2</v>
      </c>
      <c r="H31" s="309">
        <v>4300</v>
      </c>
      <c r="I31" s="309">
        <v>8600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289</v>
      </c>
      <c r="AF31" s="341" t="s">
        <v>285</v>
      </c>
    </row>
    <row r="32" spans="1:32">
      <c r="A32" s="307">
        <v>4</v>
      </c>
      <c r="B32" s="342"/>
      <c r="C32" s="342" t="s">
        <v>181</v>
      </c>
      <c r="D32" s="340" t="s">
        <v>290</v>
      </c>
      <c r="E32" s="342" t="s">
        <v>291</v>
      </c>
      <c r="F32" s="345" t="s">
        <v>275</v>
      </c>
      <c r="G32" s="308">
        <v>2</v>
      </c>
      <c r="H32" s="309">
        <v>12000</v>
      </c>
      <c r="I32" s="309">
        <v>24000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292</v>
      </c>
      <c r="AF32" s="341" t="s">
        <v>285</v>
      </c>
    </row>
    <row r="33" spans="1:32">
      <c r="A33" s="307">
        <v>4</v>
      </c>
      <c r="B33" s="342"/>
      <c r="C33" s="342" t="s">
        <v>181</v>
      </c>
      <c r="D33" s="340" t="s">
        <v>293</v>
      </c>
      <c r="E33" s="342" t="s">
        <v>294</v>
      </c>
      <c r="F33" s="345" t="s">
        <v>275</v>
      </c>
      <c r="G33" s="308">
        <v>2</v>
      </c>
      <c r="H33" s="309">
        <v>83000</v>
      </c>
      <c r="I33" s="309">
        <v>166000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295</v>
      </c>
      <c r="AF33" s="341" t="s">
        <v>285</v>
      </c>
    </row>
    <row r="34" spans="1:32">
      <c r="A34" s="307">
        <v>4</v>
      </c>
      <c r="B34" s="342"/>
      <c r="C34" s="342" t="s">
        <v>181</v>
      </c>
      <c r="D34" s="340" t="s">
        <v>296</v>
      </c>
      <c r="E34" s="342" t="s">
        <v>297</v>
      </c>
      <c r="F34" s="345" t="s">
        <v>275</v>
      </c>
      <c r="G34" s="308">
        <v>2</v>
      </c>
      <c r="H34" s="309">
        <v>4000</v>
      </c>
      <c r="I34" s="309">
        <v>8000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298</v>
      </c>
      <c r="AF34" s="341" t="s">
        <v>285</v>
      </c>
    </row>
    <row r="35" spans="1:32">
      <c r="A35" s="307">
        <v>4</v>
      </c>
      <c r="B35" s="342"/>
      <c r="C35" s="342" t="s">
        <v>181</v>
      </c>
      <c r="D35" s="340" t="s">
        <v>299</v>
      </c>
      <c r="E35" s="342" t="s">
        <v>300</v>
      </c>
      <c r="F35" s="345" t="s">
        <v>275</v>
      </c>
      <c r="G35" s="308">
        <v>2</v>
      </c>
      <c r="H35" s="309">
        <v>4000</v>
      </c>
      <c r="I35" s="309">
        <v>8000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301</v>
      </c>
      <c r="AF35" s="341" t="s">
        <v>285</v>
      </c>
    </row>
    <row r="36" spans="1:32">
      <c r="A36" s="307">
        <v>4</v>
      </c>
      <c r="B36" s="342"/>
      <c r="C36" s="342" t="s">
        <v>181</v>
      </c>
      <c r="D36" s="340" t="s">
        <v>302</v>
      </c>
      <c r="E36" s="342"/>
      <c r="F36" s="345" t="s">
        <v>275</v>
      </c>
      <c r="G36" s="308">
        <v>2</v>
      </c>
      <c r="H36" s="309">
        <v>1000</v>
      </c>
      <c r="I36" s="309">
        <v>2000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303</v>
      </c>
      <c r="AF36" s="341" t="s">
        <v>285</v>
      </c>
    </row>
    <row r="37" spans="1:32">
      <c r="A37" s="307">
        <v>4</v>
      </c>
      <c r="B37" s="342"/>
      <c r="C37" s="342" t="s">
        <v>182</v>
      </c>
      <c r="D37" s="340" t="s">
        <v>304</v>
      </c>
      <c r="E37" s="342"/>
      <c r="F37" s="345" t="s">
        <v>275</v>
      </c>
      <c r="G37" s="308">
        <v>4</v>
      </c>
      <c r="H37" s="309">
        <v>5000</v>
      </c>
      <c r="I37" s="309">
        <v>20000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305</v>
      </c>
      <c r="AF37" s="341" t="s">
        <v>277</v>
      </c>
    </row>
    <row r="38" spans="1:32">
      <c r="A38" s="307">
        <v>4</v>
      </c>
      <c r="B38" s="342"/>
      <c r="C38" s="342" t="s">
        <v>182</v>
      </c>
      <c r="D38" s="340" t="s">
        <v>306</v>
      </c>
      <c r="E38" s="342" t="s">
        <v>307</v>
      </c>
      <c r="F38" s="345" t="s">
        <v>275</v>
      </c>
      <c r="G38" s="308">
        <v>4</v>
      </c>
      <c r="H38" s="309">
        <v>4000</v>
      </c>
      <c r="I38" s="309">
        <v>16000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308</v>
      </c>
      <c r="AF38" s="341" t="s">
        <v>277</v>
      </c>
    </row>
    <row r="39" spans="1:32">
      <c r="A39" s="307">
        <v>4</v>
      </c>
      <c r="B39" s="342"/>
      <c r="C39" s="342" t="s">
        <v>178</v>
      </c>
      <c r="D39" s="340" t="s">
        <v>309</v>
      </c>
      <c r="E39" s="342"/>
      <c r="F39" s="345" t="s">
        <v>310</v>
      </c>
      <c r="G39" s="308">
        <v>150</v>
      </c>
      <c r="H39" s="309">
        <v>150</v>
      </c>
      <c r="I39" s="309">
        <v>22500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311</v>
      </c>
      <c r="AF39" s="341"/>
    </row>
    <row r="40" spans="1:32">
      <c r="A40" s="307">
        <v>4</v>
      </c>
      <c r="B40" s="342"/>
      <c r="C40" s="342" t="s">
        <v>178</v>
      </c>
      <c r="D40" s="340" t="s">
        <v>263</v>
      </c>
      <c r="E40" s="342"/>
      <c r="F40" s="345" t="s">
        <v>169</v>
      </c>
      <c r="G40" s="308">
        <v>1</v>
      </c>
      <c r="H40" s="309">
        <v>7900</v>
      </c>
      <c r="I40" s="309">
        <v>7900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240</v>
      </c>
      <c r="AF40" s="341"/>
    </row>
    <row r="41" spans="1:32">
      <c r="A41" s="307">
        <v>3</v>
      </c>
      <c r="B41" s="342"/>
      <c r="C41" s="342" t="s">
        <v>233</v>
      </c>
      <c r="D41" s="340" t="s">
        <v>312</v>
      </c>
      <c r="E41" s="342" t="s">
        <v>172</v>
      </c>
      <c r="F41" s="345" t="s">
        <v>171</v>
      </c>
      <c r="G41" s="308">
        <v>477</v>
      </c>
      <c r="H41" s="309">
        <v>4402</v>
      </c>
      <c r="I41" s="309">
        <v>2099754</v>
      </c>
      <c r="J41" s="211">
        <v>477</v>
      </c>
      <c r="K41" s="212" t="str">
        <f>IF(OR(J41="",G41=J41),"","*")</f>
        <v/>
      </c>
      <c r="L41" s="338">
        <f>IF($A41&lt;=L$1,I41/I$4,"")</f>
        <v>0.1796196749358426</v>
      </c>
      <c r="M41" s="343"/>
      <c r="N41" s="344" t="s">
        <v>313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4</v>
      </c>
      <c r="B42" s="342"/>
      <c r="C42" s="342" t="s">
        <v>182</v>
      </c>
      <c r="D42" s="340" t="s">
        <v>266</v>
      </c>
      <c r="E42" s="342"/>
      <c r="F42" s="345" t="s">
        <v>267</v>
      </c>
      <c r="G42" s="308">
        <v>45</v>
      </c>
      <c r="H42" s="309">
        <v>500</v>
      </c>
      <c r="I42" s="309">
        <v>22500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268</v>
      </c>
      <c r="AF42" s="341" t="s">
        <v>314</v>
      </c>
    </row>
    <row r="43" spans="1:32">
      <c r="A43" s="307">
        <v>4</v>
      </c>
      <c r="B43" s="342"/>
      <c r="C43" s="342" t="s">
        <v>182</v>
      </c>
      <c r="D43" s="340" t="s">
        <v>315</v>
      </c>
      <c r="E43" s="342" t="s">
        <v>274</v>
      </c>
      <c r="F43" s="345" t="s">
        <v>275</v>
      </c>
      <c r="G43" s="308">
        <v>3</v>
      </c>
      <c r="H43" s="309">
        <v>40000</v>
      </c>
      <c r="I43" s="309">
        <v>120000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316</v>
      </c>
      <c r="AF43" s="341" t="s">
        <v>317</v>
      </c>
    </row>
    <row r="44" spans="1:32">
      <c r="A44" s="307">
        <v>4</v>
      </c>
      <c r="B44" s="342"/>
      <c r="C44" s="342" t="s">
        <v>181</v>
      </c>
      <c r="D44" s="340" t="s">
        <v>318</v>
      </c>
      <c r="E44" s="342" t="s">
        <v>319</v>
      </c>
      <c r="F44" s="345" t="s">
        <v>275</v>
      </c>
      <c r="G44" s="308">
        <v>1</v>
      </c>
      <c r="H44" s="309">
        <v>300000</v>
      </c>
      <c r="I44" s="309">
        <v>300000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320</v>
      </c>
      <c r="AF44" s="341"/>
    </row>
    <row r="45" spans="1:32">
      <c r="A45" s="307">
        <v>4</v>
      </c>
      <c r="B45" s="342"/>
      <c r="C45" s="342" t="s">
        <v>181</v>
      </c>
      <c r="D45" s="340" t="s">
        <v>282</v>
      </c>
      <c r="E45" s="342" t="s">
        <v>283</v>
      </c>
      <c r="F45" s="345" t="s">
        <v>275</v>
      </c>
      <c r="G45" s="308">
        <v>1</v>
      </c>
      <c r="H45" s="309">
        <v>180000</v>
      </c>
      <c r="I45" s="309">
        <v>180000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284</v>
      </c>
      <c r="AF45" s="341"/>
    </row>
    <row r="46" spans="1:32">
      <c r="A46" s="307">
        <v>4</v>
      </c>
      <c r="B46" s="342"/>
      <c r="C46" s="342" t="s">
        <v>181</v>
      </c>
      <c r="D46" s="340" t="s">
        <v>321</v>
      </c>
      <c r="E46" s="342" t="s">
        <v>322</v>
      </c>
      <c r="F46" s="345" t="s">
        <v>275</v>
      </c>
      <c r="G46" s="308">
        <v>1</v>
      </c>
      <c r="H46" s="309">
        <v>90000</v>
      </c>
      <c r="I46" s="309">
        <v>90000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323</v>
      </c>
      <c r="AF46" s="341"/>
    </row>
    <row r="47" spans="1:32">
      <c r="A47" s="307">
        <v>4</v>
      </c>
      <c r="B47" s="342"/>
      <c r="C47" s="342" t="s">
        <v>181</v>
      </c>
      <c r="D47" s="340" t="s">
        <v>290</v>
      </c>
      <c r="E47" s="342" t="s">
        <v>291</v>
      </c>
      <c r="F47" s="345" t="s">
        <v>275</v>
      </c>
      <c r="G47" s="308">
        <v>1</v>
      </c>
      <c r="H47" s="309">
        <v>12000</v>
      </c>
      <c r="I47" s="309">
        <v>12000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292</v>
      </c>
      <c r="AF47" s="341"/>
    </row>
    <row r="48" spans="1:32">
      <c r="A48" s="307">
        <v>4</v>
      </c>
      <c r="B48" s="342"/>
      <c r="C48" s="342" t="s">
        <v>178</v>
      </c>
      <c r="D48" s="340" t="s">
        <v>324</v>
      </c>
      <c r="E48" s="342"/>
      <c r="F48" s="345" t="s">
        <v>267</v>
      </c>
      <c r="G48" s="308">
        <v>0.21</v>
      </c>
      <c r="H48" s="309">
        <v>219500</v>
      </c>
      <c r="I48" s="309">
        <v>46095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325</v>
      </c>
      <c r="AF48" s="341" t="s">
        <v>326</v>
      </c>
    </row>
    <row r="49" spans="1:32">
      <c r="A49" s="307">
        <v>4</v>
      </c>
      <c r="B49" s="342"/>
      <c r="C49" s="342" t="s">
        <v>181</v>
      </c>
      <c r="D49" s="340" t="s">
        <v>327</v>
      </c>
      <c r="E49" s="342"/>
      <c r="F49" s="345" t="s">
        <v>275</v>
      </c>
      <c r="G49" s="308">
        <v>1</v>
      </c>
      <c r="H49" s="309">
        <v>60000</v>
      </c>
      <c r="I49" s="309">
        <v>60000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328</v>
      </c>
      <c r="AF49" s="341" t="s">
        <v>329</v>
      </c>
    </row>
    <row r="50" spans="1:32">
      <c r="A50" s="307">
        <v>4</v>
      </c>
      <c r="B50" s="342"/>
      <c r="C50" s="342" t="s">
        <v>178</v>
      </c>
      <c r="D50" s="340" t="s">
        <v>330</v>
      </c>
      <c r="E50" s="342" t="s">
        <v>331</v>
      </c>
      <c r="F50" s="345" t="s">
        <v>332</v>
      </c>
      <c r="G50" s="308">
        <v>49</v>
      </c>
      <c r="H50" s="309">
        <v>17300</v>
      </c>
      <c r="I50" s="309">
        <v>847700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 t="s">
        <v>333</v>
      </c>
    </row>
    <row r="51" spans="1:32">
      <c r="A51" s="307">
        <v>4</v>
      </c>
      <c r="B51" s="342"/>
      <c r="C51" s="342" t="s">
        <v>178</v>
      </c>
      <c r="D51" s="340" t="s">
        <v>334</v>
      </c>
      <c r="E51" s="342"/>
      <c r="F51" s="345" t="s">
        <v>169</v>
      </c>
      <c r="G51" s="308">
        <v>1</v>
      </c>
      <c r="H51" s="309">
        <v>100000</v>
      </c>
      <c r="I51" s="309">
        <v>100000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4</v>
      </c>
      <c r="B52" s="342"/>
      <c r="C52" s="342" t="s">
        <v>179</v>
      </c>
      <c r="D52" s="340" t="s">
        <v>278</v>
      </c>
      <c r="E52" s="342"/>
      <c r="F52" s="345" t="s">
        <v>279</v>
      </c>
      <c r="G52" s="308">
        <v>8</v>
      </c>
      <c r="H52" s="309">
        <v>23000</v>
      </c>
      <c r="I52" s="309">
        <v>184000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280</v>
      </c>
      <c r="AF52" s="341"/>
    </row>
    <row r="53" spans="1:32">
      <c r="A53" s="307">
        <v>4</v>
      </c>
      <c r="B53" s="342"/>
      <c r="C53" s="342" t="s">
        <v>181</v>
      </c>
      <c r="D53" s="340" t="s">
        <v>293</v>
      </c>
      <c r="E53" s="342" t="s">
        <v>294</v>
      </c>
      <c r="F53" s="345" t="s">
        <v>275</v>
      </c>
      <c r="G53" s="308">
        <v>1</v>
      </c>
      <c r="H53" s="309">
        <v>83000</v>
      </c>
      <c r="I53" s="309">
        <v>83000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295</v>
      </c>
      <c r="AF53" s="341"/>
    </row>
    <row r="54" spans="1:32">
      <c r="A54" s="307">
        <v>4</v>
      </c>
      <c r="B54" s="342"/>
      <c r="C54" s="342" t="s">
        <v>181</v>
      </c>
      <c r="D54" s="340" t="s">
        <v>296</v>
      </c>
      <c r="E54" s="342" t="s">
        <v>335</v>
      </c>
      <c r="F54" s="345" t="s">
        <v>275</v>
      </c>
      <c r="G54" s="308">
        <v>1</v>
      </c>
      <c r="H54" s="309">
        <v>5500</v>
      </c>
      <c r="I54" s="309">
        <v>5500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336</v>
      </c>
      <c r="AF54" s="341"/>
    </row>
    <row r="55" spans="1:32">
      <c r="A55" s="307">
        <v>4</v>
      </c>
      <c r="B55" s="342"/>
      <c r="C55" s="342" t="s">
        <v>181</v>
      </c>
      <c r="D55" s="340" t="s">
        <v>299</v>
      </c>
      <c r="E55" s="342" t="s">
        <v>300</v>
      </c>
      <c r="F55" s="345" t="s">
        <v>275</v>
      </c>
      <c r="G55" s="308">
        <v>1</v>
      </c>
      <c r="H55" s="309">
        <v>4000</v>
      </c>
      <c r="I55" s="309">
        <v>4000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301</v>
      </c>
      <c r="AF55" s="341"/>
    </row>
    <row r="56" spans="1:32">
      <c r="A56" s="307">
        <v>4</v>
      </c>
      <c r="B56" s="342"/>
      <c r="C56" s="342" t="s">
        <v>181</v>
      </c>
      <c r="D56" s="340" t="s">
        <v>302</v>
      </c>
      <c r="E56" s="342"/>
      <c r="F56" s="345" t="s">
        <v>275</v>
      </c>
      <c r="G56" s="308">
        <v>1</v>
      </c>
      <c r="H56" s="309">
        <v>1000</v>
      </c>
      <c r="I56" s="309">
        <v>1000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303</v>
      </c>
      <c r="AF56" s="341"/>
    </row>
    <row r="57" spans="1:32">
      <c r="A57" s="307">
        <v>4</v>
      </c>
      <c r="B57" s="342"/>
      <c r="C57" s="342" t="s">
        <v>181</v>
      </c>
      <c r="D57" s="340" t="s">
        <v>286</v>
      </c>
      <c r="E57" s="342"/>
      <c r="F57" s="345" t="s">
        <v>275</v>
      </c>
      <c r="G57" s="308">
        <v>1</v>
      </c>
      <c r="H57" s="309">
        <v>8000</v>
      </c>
      <c r="I57" s="309">
        <v>8000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287</v>
      </c>
      <c r="AF57" s="341"/>
    </row>
    <row r="58" spans="1:32">
      <c r="A58" s="307">
        <v>4</v>
      </c>
      <c r="B58" s="342"/>
      <c r="C58" s="342" t="s">
        <v>181</v>
      </c>
      <c r="D58" s="340" t="s">
        <v>288</v>
      </c>
      <c r="E58" s="342"/>
      <c r="F58" s="345" t="s">
        <v>275</v>
      </c>
      <c r="G58" s="308">
        <v>1</v>
      </c>
      <c r="H58" s="309">
        <v>4300</v>
      </c>
      <c r="I58" s="309">
        <v>4300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289</v>
      </c>
      <c r="AF58" s="341"/>
    </row>
    <row r="59" spans="1:32">
      <c r="A59" s="307">
        <v>4</v>
      </c>
      <c r="B59" s="342"/>
      <c r="C59" s="342" t="s">
        <v>182</v>
      </c>
      <c r="D59" s="340" t="s">
        <v>306</v>
      </c>
      <c r="E59" s="342" t="s">
        <v>307</v>
      </c>
      <c r="F59" s="345" t="s">
        <v>275</v>
      </c>
      <c r="G59" s="308">
        <v>2</v>
      </c>
      <c r="H59" s="309">
        <v>4000</v>
      </c>
      <c r="I59" s="309">
        <v>8000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308</v>
      </c>
      <c r="AF59" s="341"/>
    </row>
    <row r="60" spans="1:32">
      <c r="A60" s="307">
        <v>4</v>
      </c>
      <c r="B60" s="342"/>
      <c r="C60" s="342" t="s">
        <v>182</v>
      </c>
      <c r="D60" s="340" t="s">
        <v>304</v>
      </c>
      <c r="E60" s="342"/>
      <c r="F60" s="345" t="s">
        <v>275</v>
      </c>
      <c r="G60" s="308">
        <v>2</v>
      </c>
      <c r="H60" s="309">
        <v>5000</v>
      </c>
      <c r="I60" s="309">
        <v>10000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305</v>
      </c>
      <c r="AF60" s="341"/>
    </row>
    <row r="61" spans="1:32">
      <c r="A61" s="307">
        <v>4</v>
      </c>
      <c r="B61" s="342"/>
      <c r="C61" s="342" t="s">
        <v>178</v>
      </c>
      <c r="D61" s="340" t="s">
        <v>309</v>
      </c>
      <c r="E61" s="342"/>
      <c r="F61" s="345" t="s">
        <v>310</v>
      </c>
      <c r="G61" s="308">
        <v>60</v>
      </c>
      <c r="H61" s="309">
        <v>150</v>
      </c>
      <c r="I61" s="309">
        <v>9000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311</v>
      </c>
      <c r="AF61" s="341"/>
    </row>
    <row r="62" spans="1:32">
      <c r="A62" s="307">
        <v>4</v>
      </c>
      <c r="B62" s="342"/>
      <c r="C62" s="342" t="s">
        <v>178</v>
      </c>
      <c r="D62" s="340" t="s">
        <v>263</v>
      </c>
      <c r="E62" s="342"/>
      <c r="F62" s="345" t="s">
        <v>169</v>
      </c>
      <c r="G62" s="308">
        <v>1</v>
      </c>
      <c r="H62" s="309">
        <v>4905</v>
      </c>
      <c r="I62" s="309">
        <v>4905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240</v>
      </c>
      <c r="AF62" s="341"/>
    </row>
    <row r="63" spans="1:32">
      <c r="A63" s="307">
        <v>2</v>
      </c>
      <c r="B63" s="342"/>
      <c r="C63" s="342" t="s">
        <v>233</v>
      </c>
      <c r="D63" s="340" t="s">
        <v>337</v>
      </c>
      <c r="E63" s="342" t="s">
        <v>173</v>
      </c>
      <c r="F63" s="345" t="s">
        <v>174</v>
      </c>
      <c r="G63" s="308">
        <v>65</v>
      </c>
      <c r="H63" s="309">
        <v>8923</v>
      </c>
      <c r="I63" s="309">
        <v>579995</v>
      </c>
      <c r="J63" s="211">
        <v>65</v>
      </c>
      <c r="K63" s="212" t="str">
        <f>IF(OR(J63="",G63=J63),"","*")</f>
        <v/>
      </c>
      <c r="L63" s="338">
        <f>IF($A63&lt;=L$1,I63/I$4,"")</f>
        <v>4.9614627887082978E-2</v>
      </c>
      <c r="M63" s="343"/>
      <c r="N63" s="344" t="s">
        <v>338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3</v>
      </c>
      <c r="B64" s="342"/>
      <c r="C64" s="342" t="s">
        <v>182</v>
      </c>
      <c r="D64" s="340" t="s">
        <v>339</v>
      </c>
      <c r="E64" s="342"/>
      <c r="F64" s="345" t="s">
        <v>267</v>
      </c>
      <c r="G64" s="308">
        <v>5</v>
      </c>
      <c r="H64" s="309">
        <v>3000</v>
      </c>
      <c r="I64" s="309">
        <v>15000</v>
      </c>
      <c r="J64" s="211"/>
      <c r="K64" s="212" t="str">
        <f>IF(OR(J64="",G64=J64),"","*")</f>
        <v/>
      </c>
      <c r="L64" s="338">
        <f>IF($A64&lt;=L$1,I64/I$4,"")</f>
        <v>1.2831479897348161E-3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340</v>
      </c>
      <c r="AF64" s="341" t="s">
        <v>341</v>
      </c>
    </row>
    <row r="65" spans="1:32">
      <c r="A65" s="307">
        <v>3</v>
      </c>
      <c r="B65" s="342"/>
      <c r="C65" s="342" t="s">
        <v>178</v>
      </c>
      <c r="D65" s="340" t="s">
        <v>342</v>
      </c>
      <c r="E65" s="342" t="s">
        <v>343</v>
      </c>
      <c r="F65" s="345" t="s">
        <v>344</v>
      </c>
      <c r="G65" s="308">
        <v>39</v>
      </c>
      <c r="H65" s="309">
        <v>1680</v>
      </c>
      <c r="I65" s="309">
        <v>65520</v>
      </c>
      <c r="J65" s="211"/>
      <c r="K65" s="212" t="str">
        <f>IF(OR(J65="",G65=J65),"","*")</f>
        <v/>
      </c>
      <c r="L65" s="338">
        <f>IF($A65&lt;=L$1,I65/I$4,"")</f>
        <v>5.6047904191616768E-3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 t="s">
        <v>345</v>
      </c>
    </row>
    <row r="66" spans="1:32">
      <c r="A66" s="307">
        <v>3</v>
      </c>
      <c r="B66" s="342"/>
      <c r="C66" s="342" t="s">
        <v>178</v>
      </c>
      <c r="D66" s="340" t="s">
        <v>346</v>
      </c>
      <c r="E66" s="342"/>
      <c r="F66" s="345" t="s">
        <v>344</v>
      </c>
      <c r="G66" s="308">
        <v>58</v>
      </c>
      <c r="H66" s="309">
        <v>1380</v>
      </c>
      <c r="I66" s="309">
        <v>80040</v>
      </c>
      <c r="J66" s="211"/>
      <c r="K66" s="212" t="str">
        <f>IF(OR(J66="",G66=J66),"","*")</f>
        <v/>
      </c>
      <c r="L66" s="338">
        <f>IF($A66&lt;=L$1,I66/I$4,"")</f>
        <v>6.8468776732249787E-3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 t="s">
        <v>347</v>
      </c>
    </row>
    <row r="67" spans="1:32">
      <c r="A67" s="307">
        <v>3</v>
      </c>
      <c r="B67" s="342"/>
      <c r="C67" s="342" t="s">
        <v>178</v>
      </c>
      <c r="D67" s="340" t="s">
        <v>348</v>
      </c>
      <c r="E67" s="342"/>
      <c r="F67" s="345" t="s">
        <v>344</v>
      </c>
      <c r="G67" s="308">
        <v>2</v>
      </c>
      <c r="H67" s="309">
        <v>3540</v>
      </c>
      <c r="I67" s="309">
        <v>7080</v>
      </c>
      <c r="J67" s="211"/>
      <c r="K67" s="212" t="str">
        <f>IF(OR(J67="",G67=J67),"","*")</f>
        <v/>
      </c>
      <c r="L67" s="338">
        <f>IF($A67&lt;=L$1,I67/I$4,"")</f>
        <v>6.0564585115483317E-4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3</v>
      </c>
      <c r="B68" s="342"/>
      <c r="C68" s="342" t="s">
        <v>178</v>
      </c>
      <c r="D68" s="340" t="s">
        <v>349</v>
      </c>
      <c r="E68" s="342"/>
      <c r="F68" s="345" t="s">
        <v>344</v>
      </c>
      <c r="G68" s="308">
        <v>2</v>
      </c>
      <c r="H68" s="309">
        <v>2790</v>
      </c>
      <c r="I68" s="309">
        <v>5580</v>
      </c>
      <c r="J68" s="211"/>
      <c r="K68" s="212" t="str">
        <f>IF(OR(J68="",G68=J68),"","*")</f>
        <v/>
      </c>
      <c r="L68" s="338">
        <f>IF($A68&lt;=L$1,I68/I$4,"")</f>
        <v>4.7733105218135158E-4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3</v>
      </c>
      <c r="B69" s="342"/>
      <c r="C69" s="342" t="s">
        <v>178</v>
      </c>
      <c r="D69" s="340" t="s">
        <v>350</v>
      </c>
      <c r="E69" s="342"/>
      <c r="F69" s="345" t="s">
        <v>344</v>
      </c>
      <c r="G69" s="308">
        <v>2</v>
      </c>
      <c r="H69" s="309">
        <v>2040</v>
      </c>
      <c r="I69" s="309">
        <v>4080</v>
      </c>
      <c r="J69" s="211"/>
      <c r="K69" s="212" t="str">
        <f>IF(OR(J69="",G69=J69),"","*")</f>
        <v/>
      </c>
      <c r="L69" s="338">
        <f>IF($A69&lt;=L$1,I69/I$4,"")</f>
        <v>3.4901625320786999E-4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3</v>
      </c>
      <c r="B70" s="342"/>
      <c r="C70" s="342" t="s">
        <v>178</v>
      </c>
      <c r="D70" s="340" t="s">
        <v>351</v>
      </c>
      <c r="E70" s="342"/>
      <c r="F70" s="345" t="s">
        <v>344</v>
      </c>
      <c r="G70" s="308">
        <v>2</v>
      </c>
      <c r="H70" s="309">
        <v>3540</v>
      </c>
      <c r="I70" s="309">
        <v>7080</v>
      </c>
      <c r="J70" s="211"/>
      <c r="K70" s="212" t="str">
        <f>IF(OR(J70="",G70=J70),"","*")</f>
        <v/>
      </c>
      <c r="L70" s="338">
        <f>IF($A70&lt;=L$1,I70/I$4,"")</f>
        <v>6.0564585115483317E-4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3</v>
      </c>
      <c r="B71" s="342"/>
      <c r="C71" s="342" t="s">
        <v>178</v>
      </c>
      <c r="D71" s="340" t="s">
        <v>352</v>
      </c>
      <c r="E71" s="342"/>
      <c r="F71" s="345" t="s">
        <v>344</v>
      </c>
      <c r="G71" s="308">
        <v>2</v>
      </c>
      <c r="H71" s="309">
        <v>2790</v>
      </c>
      <c r="I71" s="309">
        <v>5580</v>
      </c>
      <c r="J71" s="211"/>
      <c r="K71" s="212" t="str">
        <f>IF(OR(J71="",G71=J71),"","*")</f>
        <v/>
      </c>
      <c r="L71" s="338">
        <f>IF($A71&lt;=L$1,I71/I$4,"")</f>
        <v>4.7733105218135158E-4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3</v>
      </c>
      <c r="B72" s="342"/>
      <c r="C72" s="342" t="s">
        <v>178</v>
      </c>
      <c r="D72" s="340" t="s">
        <v>353</v>
      </c>
      <c r="E72" s="342"/>
      <c r="F72" s="345" t="s">
        <v>344</v>
      </c>
      <c r="G72" s="308">
        <v>2</v>
      </c>
      <c r="H72" s="309">
        <v>2040</v>
      </c>
      <c r="I72" s="309">
        <v>4080</v>
      </c>
      <c r="J72" s="211"/>
      <c r="K72" s="212" t="str">
        <f>IF(OR(J72="",G72=J72),"","*")</f>
        <v/>
      </c>
      <c r="L72" s="338">
        <f>IF($A72&lt;=L$1,I72/I$4,"")</f>
        <v>3.4901625320786999E-4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3</v>
      </c>
      <c r="B73" s="342"/>
      <c r="C73" s="342" t="s">
        <v>182</v>
      </c>
      <c r="D73" s="340" t="s">
        <v>354</v>
      </c>
      <c r="E73" s="342" t="s">
        <v>274</v>
      </c>
      <c r="F73" s="345" t="s">
        <v>275</v>
      </c>
      <c r="G73" s="308">
        <v>1</v>
      </c>
      <c r="H73" s="309">
        <v>31000</v>
      </c>
      <c r="I73" s="309">
        <v>31000</v>
      </c>
      <c r="J73" s="211"/>
      <c r="K73" s="212" t="str">
        <f>IF(OR(J73="",G73=J73),"","*")</f>
        <v/>
      </c>
      <c r="L73" s="338">
        <f>IF($A73&lt;=L$1,I73/I$4,"")</f>
        <v>2.6518391787852865E-3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276</v>
      </c>
      <c r="AF73" s="341" t="s">
        <v>329</v>
      </c>
    </row>
    <row r="74" spans="1:32">
      <c r="A74" s="307">
        <v>3</v>
      </c>
      <c r="B74" s="342"/>
      <c r="C74" s="342" t="s">
        <v>179</v>
      </c>
      <c r="D74" s="340" t="s">
        <v>355</v>
      </c>
      <c r="E74" s="342"/>
      <c r="F74" s="345" t="s">
        <v>279</v>
      </c>
      <c r="G74" s="308">
        <v>12</v>
      </c>
      <c r="H74" s="309">
        <v>23000</v>
      </c>
      <c r="I74" s="309">
        <v>276000</v>
      </c>
      <c r="J74" s="211"/>
      <c r="K74" s="212" t="str">
        <f>IF(OR(J74="",G74=J74),"","*")</f>
        <v/>
      </c>
      <c r="L74" s="338">
        <f>IF($A74&lt;=L$1,I74/I$4,"")</f>
        <v>2.3609923011120616E-2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280</v>
      </c>
      <c r="AF74" s="341" t="s">
        <v>356</v>
      </c>
    </row>
    <row r="75" spans="1:32">
      <c r="A75" s="307">
        <v>3</v>
      </c>
      <c r="B75" s="342"/>
      <c r="C75" s="342" t="s">
        <v>181</v>
      </c>
      <c r="D75" s="340" t="s">
        <v>357</v>
      </c>
      <c r="E75" s="342"/>
      <c r="F75" s="345" t="s">
        <v>275</v>
      </c>
      <c r="G75" s="308">
        <v>2</v>
      </c>
      <c r="H75" s="309">
        <v>8000</v>
      </c>
      <c r="I75" s="309">
        <v>16000</v>
      </c>
      <c r="J75" s="211"/>
      <c r="K75" s="212" t="str">
        <f>IF(OR(J75="",G75=J75),"","*")</f>
        <v/>
      </c>
      <c r="L75" s="338">
        <f>IF($A75&lt;=L$1,I75/I$4,"")</f>
        <v>1.3686911890504706E-3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287</v>
      </c>
      <c r="AF75" s="341" t="s">
        <v>285</v>
      </c>
    </row>
    <row r="76" spans="1:32">
      <c r="A76" s="307">
        <v>3</v>
      </c>
      <c r="B76" s="342"/>
      <c r="C76" s="342" t="s">
        <v>181</v>
      </c>
      <c r="D76" s="340" t="s">
        <v>358</v>
      </c>
      <c r="E76" s="342" t="s">
        <v>359</v>
      </c>
      <c r="F76" s="345" t="s">
        <v>275</v>
      </c>
      <c r="G76" s="308">
        <v>2</v>
      </c>
      <c r="H76" s="309">
        <v>2000</v>
      </c>
      <c r="I76" s="309">
        <v>4000</v>
      </c>
      <c r="J76" s="211"/>
      <c r="K76" s="212" t="str">
        <f>IF(OR(J76="",G76=J76),"","*")</f>
        <v/>
      </c>
      <c r="L76" s="338">
        <f>IF($A76&lt;=L$1,I76/I$4,"")</f>
        <v>3.4217279726261765E-4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360</v>
      </c>
      <c r="AF76" s="341" t="s">
        <v>285</v>
      </c>
    </row>
    <row r="77" spans="1:32">
      <c r="A77" s="307">
        <v>3</v>
      </c>
      <c r="B77" s="342"/>
      <c r="C77" s="342" t="s">
        <v>181</v>
      </c>
      <c r="D77" s="340" t="s">
        <v>361</v>
      </c>
      <c r="E77" s="342"/>
      <c r="F77" s="345" t="s">
        <v>275</v>
      </c>
      <c r="G77" s="308">
        <v>4</v>
      </c>
      <c r="H77" s="309">
        <v>3000</v>
      </c>
      <c r="I77" s="309">
        <v>12000</v>
      </c>
      <c r="J77" s="211"/>
      <c r="K77" s="212" t="str">
        <f>IF(OR(J77="",G77=J77),"","*")</f>
        <v/>
      </c>
      <c r="L77" s="338">
        <f>IF($A77&lt;=L$1,I77/I$4,"")</f>
        <v>1.0265183917878529E-3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362</v>
      </c>
      <c r="AF77" s="341" t="s">
        <v>277</v>
      </c>
    </row>
    <row r="78" spans="1:32">
      <c r="A78" s="307">
        <v>3</v>
      </c>
      <c r="B78" s="342"/>
      <c r="C78" s="342" t="s">
        <v>182</v>
      </c>
      <c r="D78" s="340" t="s">
        <v>363</v>
      </c>
      <c r="E78" s="342"/>
      <c r="F78" s="345" t="s">
        <v>275</v>
      </c>
      <c r="G78" s="308">
        <v>2</v>
      </c>
      <c r="H78" s="309">
        <v>7000</v>
      </c>
      <c r="I78" s="309">
        <v>14000</v>
      </c>
      <c r="J78" s="211"/>
      <c r="K78" s="212" t="str">
        <f>IF(OR(J78="",G78=J78),"","*")</f>
        <v/>
      </c>
      <c r="L78" s="338">
        <f>IF($A78&lt;=L$1,I78/I$4,"")</f>
        <v>1.1976047904191617E-3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364</v>
      </c>
      <c r="AF78" s="341" t="s">
        <v>285</v>
      </c>
    </row>
    <row r="79" spans="1:32">
      <c r="A79" s="307">
        <v>3</v>
      </c>
      <c r="B79" s="342"/>
      <c r="C79" s="342" t="s">
        <v>182</v>
      </c>
      <c r="D79" s="340" t="s">
        <v>365</v>
      </c>
      <c r="E79" s="342"/>
      <c r="F79" s="345" t="s">
        <v>275</v>
      </c>
      <c r="G79" s="308">
        <v>2</v>
      </c>
      <c r="H79" s="309">
        <v>5000</v>
      </c>
      <c r="I79" s="309">
        <v>10000</v>
      </c>
      <c r="J79" s="211"/>
      <c r="K79" s="212" t="str">
        <f>IF(OR(J79="",G79=J79),"","*")</f>
        <v/>
      </c>
      <c r="L79" s="338">
        <f>IF($A79&lt;=L$1,I79/I$4,"")</f>
        <v>8.5543199315654401E-4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305</v>
      </c>
      <c r="AF79" s="341" t="s">
        <v>285</v>
      </c>
    </row>
    <row r="80" spans="1:32">
      <c r="A80" s="307">
        <v>3</v>
      </c>
      <c r="B80" s="342"/>
      <c r="C80" s="342" t="s">
        <v>182</v>
      </c>
      <c r="D80" s="340" t="s">
        <v>366</v>
      </c>
      <c r="E80" s="342" t="s">
        <v>307</v>
      </c>
      <c r="F80" s="345" t="s">
        <v>275</v>
      </c>
      <c r="G80" s="308">
        <v>2</v>
      </c>
      <c r="H80" s="309">
        <v>4000</v>
      </c>
      <c r="I80" s="309">
        <v>8000</v>
      </c>
      <c r="J80" s="211"/>
      <c r="K80" s="212" t="str">
        <f>IF(OR(J80="",G80=J80),"","*")</f>
        <v/>
      </c>
      <c r="L80" s="338">
        <f>IF($A80&lt;=L$1,I80/I$4,"")</f>
        <v>6.843455945252353E-4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308</v>
      </c>
      <c r="AF80" s="341" t="s">
        <v>285</v>
      </c>
    </row>
    <row r="81" spans="1:32">
      <c r="A81" s="307">
        <v>3</v>
      </c>
      <c r="B81" s="342"/>
      <c r="C81" s="342" t="s">
        <v>178</v>
      </c>
      <c r="D81" s="340" t="s">
        <v>367</v>
      </c>
      <c r="E81" s="342"/>
      <c r="F81" s="345" t="s">
        <v>310</v>
      </c>
      <c r="G81" s="308">
        <v>40</v>
      </c>
      <c r="H81" s="309">
        <v>150</v>
      </c>
      <c r="I81" s="309">
        <v>6000</v>
      </c>
      <c r="J81" s="211"/>
      <c r="K81" s="212" t="str">
        <f>IF(OR(J81="",G81=J81),"","*")</f>
        <v/>
      </c>
      <c r="L81" s="338">
        <f>IF($A81&lt;=L$1,I81/I$4,"")</f>
        <v>5.1325919589392647E-4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311</v>
      </c>
      <c r="AF81" s="341"/>
    </row>
    <row r="82" spans="1:32">
      <c r="A82" s="307">
        <v>3</v>
      </c>
      <c r="B82" s="342"/>
      <c r="C82" s="342" t="s">
        <v>178</v>
      </c>
      <c r="D82" s="340" t="s">
        <v>239</v>
      </c>
      <c r="E82" s="342" t="s">
        <v>368</v>
      </c>
      <c r="F82" s="345" t="s">
        <v>169</v>
      </c>
      <c r="G82" s="308">
        <v>1</v>
      </c>
      <c r="H82" s="309">
        <v>8960</v>
      </c>
      <c r="I82" s="309">
        <v>8960</v>
      </c>
      <c r="J82" s="211"/>
      <c r="K82" s="212" t="str">
        <f>IF(OR(J82="",G82=J82),"","*")</f>
        <v/>
      </c>
      <c r="L82" s="338">
        <f>IF($A82&lt;=L$1,I82/I$4,"")</f>
        <v>7.6646706586826349E-4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240</v>
      </c>
      <c r="AF82" s="341"/>
    </row>
    <row r="83" spans="1:32">
      <c r="A83" s="307">
        <v>2</v>
      </c>
      <c r="B83" s="342"/>
      <c r="C83" s="342" t="s">
        <v>233</v>
      </c>
      <c r="D83" s="340" t="s">
        <v>337</v>
      </c>
      <c r="E83" s="342" t="s">
        <v>175</v>
      </c>
      <c r="F83" s="345" t="s">
        <v>174</v>
      </c>
      <c r="G83" s="308">
        <v>38</v>
      </c>
      <c r="H83" s="309">
        <v>15526</v>
      </c>
      <c r="I83" s="309">
        <v>589988</v>
      </c>
      <c r="J83" s="211">
        <v>38</v>
      </c>
      <c r="K83" s="212" t="str">
        <f>IF(OR(J83="",G83=J83),"","*")</f>
        <v/>
      </c>
      <c r="L83" s="338">
        <f>IF($A83&lt;=L$1,I83/I$4,"")</f>
        <v>5.0469461077844315E-2</v>
      </c>
      <c r="M83" s="343"/>
      <c r="N83" s="344" t="s">
        <v>369</v>
      </c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/>
    </row>
    <row r="84" spans="1:32">
      <c r="A84" s="307">
        <v>3</v>
      </c>
      <c r="B84" s="342"/>
      <c r="C84" s="342" t="s">
        <v>182</v>
      </c>
      <c r="D84" s="340" t="s">
        <v>339</v>
      </c>
      <c r="E84" s="342"/>
      <c r="F84" s="345" t="s">
        <v>267</v>
      </c>
      <c r="G84" s="308">
        <v>10</v>
      </c>
      <c r="H84" s="309">
        <v>3000</v>
      </c>
      <c r="I84" s="309">
        <v>30000</v>
      </c>
      <c r="J84" s="211"/>
      <c r="K84" s="212" t="str">
        <f>IF(OR(J84="",G84=J84),"","*")</f>
        <v/>
      </c>
      <c r="L84" s="338">
        <f>IF($A84&lt;=L$1,I84/I$4,"")</f>
        <v>2.5662959794696323E-3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340</v>
      </c>
      <c r="AF84" s="341" t="s">
        <v>370</v>
      </c>
    </row>
    <row r="85" spans="1:32">
      <c r="A85" s="307">
        <v>3</v>
      </c>
      <c r="B85" s="342"/>
      <c r="C85" s="342" t="s">
        <v>182</v>
      </c>
      <c r="D85" s="340" t="s">
        <v>354</v>
      </c>
      <c r="E85" s="342" t="s">
        <v>274</v>
      </c>
      <c r="F85" s="345" t="s">
        <v>275</v>
      </c>
      <c r="G85" s="308">
        <v>1</v>
      </c>
      <c r="H85" s="309">
        <v>31000</v>
      </c>
      <c r="I85" s="309">
        <v>31000</v>
      </c>
      <c r="J85" s="211"/>
      <c r="K85" s="212" t="str">
        <f>IF(OR(J85="",G85=J85),"","*")</f>
        <v/>
      </c>
      <c r="L85" s="338">
        <f>IF($A85&lt;=L$1,I85/I$4,"")</f>
        <v>2.6518391787852865E-3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276</v>
      </c>
      <c r="AF85" s="341" t="s">
        <v>329</v>
      </c>
    </row>
    <row r="86" spans="1:32">
      <c r="A86" s="307">
        <v>3</v>
      </c>
      <c r="B86" s="342"/>
      <c r="C86" s="342" t="s">
        <v>178</v>
      </c>
      <c r="D86" s="340" t="s">
        <v>371</v>
      </c>
      <c r="E86" s="342" t="s">
        <v>372</v>
      </c>
      <c r="F86" s="345" t="s">
        <v>344</v>
      </c>
      <c r="G86" s="308">
        <v>64</v>
      </c>
      <c r="H86" s="309">
        <v>2400</v>
      </c>
      <c r="I86" s="309">
        <v>153600</v>
      </c>
      <c r="J86" s="211"/>
      <c r="K86" s="212" t="str">
        <f>IF(OR(J86="",G86=J86),"","*")</f>
        <v/>
      </c>
      <c r="L86" s="338">
        <f>IF($A86&lt;=L$1,I86/I$4,"")</f>
        <v>1.3139435414884517E-2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 t="s">
        <v>373</v>
      </c>
    </row>
    <row r="87" spans="1:32">
      <c r="A87" s="307">
        <v>3</v>
      </c>
      <c r="B87" s="342"/>
      <c r="C87" s="342" t="s">
        <v>178</v>
      </c>
      <c r="D87" s="340" t="s">
        <v>374</v>
      </c>
      <c r="E87" s="342" t="s">
        <v>375</v>
      </c>
      <c r="F87" s="345" t="s">
        <v>376</v>
      </c>
      <c r="G87" s="308">
        <v>1</v>
      </c>
      <c r="H87" s="309">
        <v>19300</v>
      </c>
      <c r="I87" s="309">
        <v>19300</v>
      </c>
      <c r="J87" s="211"/>
      <c r="K87" s="212" t="str">
        <f>IF(OR(J87="",G87=J87),"","*")</f>
        <v/>
      </c>
      <c r="L87" s="338">
        <f>IF($A87&lt;=L$1,I87/I$4,"")</f>
        <v>1.6509837467921301E-3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307">
        <v>3</v>
      </c>
      <c r="B88" s="342"/>
      <c r="C88" s="342" t="s">
        <v>179</v>
      </c>
      <c r="D88" s="340" t="s">
        <v>355</v>
      </c>
      <c r="E88" s="342"/>
      <c r="F88" s="345" t="s">
        <v>279</v>
      </c>
      <c r="G88" s="308">
        <v>12</v>
      </c>
      <c r="H88" s="309">
        <v>23000</v>
      </c>
      <c r="I88" s="309">
        <v>276000</v>
      </c>
      <c r="J88" s="211"/>
      <c r="K88" s="212" t="str">
        <f>IF(OR(J88="",G88=J88),"","*")</f>
        <v/>
      </c>
      <c r="L88" s="338">
        <f>IF($A88&lt;=L$1,I88/I$4,"")</f>
        <v>2.3609923011120616E-2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280</v>
      </c>
      <c r="AF88" s="341" t="s">
        <v>356</v>
      </c>
    </row>
    <row r="89" spans="1:32">
      <c r="A89" s="307">
        <v>3</v>
      </c>
      <c r="B89" s="342"/>
      <c r="C89" s="342" t="s">
        <v>181</v>
      </c>
      <c r="D89" s="340" t="s">
        <v>357</v>
      </c>
      <c r="E89" s="342"/>
      <c r="F89" s="345" t="s">
        <v>275</v>
      </c>
      <c r="G89" s="308">
        <v>2</v>
      </c>
      <c r="H89" s="309">
        <v>8000</v>
      </c>
      <c r="I89" s="309">
        <v>16000</v>
      </c>
      <c r="J89" s="211"/>
      <c r="K89" s="212" t="str">
        <f>IF(OR(J89="",G89=J89),"","*")</f>
        <v/>
      </c>
      <c r="L89" s="338">
        <f>IF($A89&lt;=L$1,I89/I$4,"")</f>
        <v>1.3686911890504706E-3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287</v>
      </c>
      <c r="AF89" s="341" t="s">
        <v>285</v>
      </c>
    </row>
    <row r="90" spans="1:32">
      <c r="A90" s="307">
        <v>3</v>
      </c>
      <c r="B90" s="342"/>
      <c r="C90" s="342" t="s">
        <v>181</v>
      </c>
      <c r="D90" s="340" t="s">
        <v>358</v>
      </c>
      <c r="E90" s="342" t="s">
        <v>359</v>
      </c>
      <c r="F90" s="345" t="s">
        <v>275</v>
      </c>
      <c r="G90" s="308">
        <v>2</v>
      </c>
      <c r="H90" s="309">
        <v>2000</v>
      </c>
      <c r="I90" s="309">
        <v>4000</v>
      </c>
      <c r="J90" s="211"/>
      <c r="K90" s="212" t="str">
        <f>IF(OR(J90="",G90=J90),"","*")</f>
        <v/>
      </c>
      <c r="L90" s="338">
        <f>IF($A90&lt;=L$1,I90/I$4,"")</f>
        <v>3.4217279726261765E-4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360</v>
      </c>
      <c r="AF90" s="341" t="s">
        <v>285</v>
      </c>
    </row>
    <row r="91" spans="1:32">
      <c r="A91" s="307">
        <v>3</v>
      </c>
      <c r="B91" s="342"/>
      <c r="C91" s="342" t="s">
        <v>181</v>
      </c>
      <c r="D91" s="340" t="s">
        <v>361</v>
      </c>
      <c r="E91" s="342"/>
      <c r="F91" s="345" t="s">
        <v>275</v>
      </c>
      <c r="G91" s="308">
        <v>4</v>
      </c>
      <c r="H91" s="309">
        <v>3000</v>
      </c>
      <c r="I91" s="309">
        <v>12000</v>
      </c>
      <c r="J91" s="211"/>
      <c r="K91" s="212" t="str">
        <f>IF(OR(J91="",G91=J91),"","*")</f>
        <v/>
      </c>
      <c r="L91" s="338">
        <f>IF($A91&lt;=L$1,I91/I$4,"")</f>
        <v>1.0265183917878529E-3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362</v>
      </c>
      <c r="AF91" s="341" t="s">
        <v>277</v>
      </c>
    </row>
    <row r="92" spans="1:32">
      <c r="A92" s="307">
        <v>3</v>
      </c>
      <c r="B92" s="342"/>
      <c r="C92" s="342" t="s">
        <v>182</v>
      </c>
      <c r="D92" s="340" t="s">
        <v>363</v>
      </c>
      <c r="E92" s="342"/>
      <c r="F92" s="345" t="s">
        <v>275</v>
      </c>
      <c r="G92" s="308">
        <v>2</v>
      </c>
      <c r="H92" s="309">
        <v>7000</v>
      </c>
      <c r="I92" s="309">
        <v>14000</v>
      </c>
      <c r="J92" s="211"/>
      <c r="K92" s="212" t="str">
        <f>IF(OR(J92="",G92=J92),"","*")</f>
        <v/>
      </c>
      <c r="L92" s="338">
        <f>IF($A92&lt;=L$1,I92/I$4,"")</f>
        <v>1.1976047904191617E-3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364</v>
      </c>
      <c r="AF92" s="341" t="s">
        <v>285</v>
      </c>
    </row>
    <row r="93" spans="1:32">
      <c r="A93" s="307">
        <v>3</v>
      </c>
      <c r="B93" s="342"/>
      <c r="C93" s="342" t="s">
        <v>182</v>
      </c>
      <c r="D93" s="340" t="s">
        <v>365</v>
      </c>
      <c r="E93" s="342"/>
      <c r="F93" s="345" t="s">
        <v>275</v>
      </c>
      <c r="G93" s="308">
        <v>2</v>
      </c>
      <c r="H93" s="309">
        <v>5000</v>
      </c>
      <c r="I93" s="309">
        <v>10000</v>
      </c>
      <c r="J93" s="211"/>
      <c r="K93" s="212" t="str">
        <f>IF(OR(J93="",G93=J93),"","*")</f>
        <v/>
      </c>
      <c r="L93" s="338">
        <f>IF($A93&lt;=L$1,I93/I$4,"")</f>
        <v>8.5543199315654401E-4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305</v>
      </c>
      <c r="AF93" s="341" t="s">
        <v>285</v>
      </c>
    </row>
    <row r="94" spans="1:32">
      <c r="A94" s="307">
        <v>3</v>
      </c>
      <c r="B94" s="342"/>
      <c r="C94" s="342" t="s">
        <v>182</v>
      </c>
      <c r="D94" s="340" t="s">
        <v>366</v>
      </c>
      <c r="E94" s="342" t="s">
        <v>307</v>
      </c>
      <c r="F94" s="345" t="s">
        <v>275</v>
      </c>
      <c r="G94" s="308">
        <v>2</v>
      </c>
      <c r="H94" s="309">
        <v>4000</v>
      </c>
      <c r="I94" s="309">
        <v>8000</v>
      </c>
      <c r="J94" s="211"/>
      <c r="K94" s="212" t="str">
        <f>IF(OR(J94="",G94=J94),"","*")</f>
        <v/>
      </c>
      <c r="L94" s="338">
        <f>IF($A94&lt;=L$1,I94/I$4,"")</f>
        <v>6.843455945252353E-4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308</v>
      </c>
      <c r="AF94" s="341" t="s">
        <v>285</v>
      </c>
    </row>
    <row r="95" spans="1:32">
      <c r="A95" s="307">
        <v>3</v>
      </c>
      <c r="B95" s="342"/>
      <c r="C95" s="342" t="s">
        <v>178</v>
      </c>
      <c r="D95" s="340" t="s">
        <v>367</v>
      </c>
      <c r="E95" s="342"/>
      <c r="F95" s="345" t="s">
        <v>310</v>
      </c>
      <c r="G95" s="308">
        <v>30</v>
      </c>
      <c r="H95" s="309">
        <v>150</v>
      </c>
      <c r="I95" s="309">
        <v>4500</v>
      </c>
      <c r="J95" s="211"/>
      <c r="K95" s="212" t="str">
        <f>IF(OR(J95="",G95=J95),"","*")</f>
        <v/>
      </c>
      <c r="L95" s="338">
        <f>IF($A95&lt;=L$1,I95/I$4,"")</f>
        <v>3.8494439692044483E-4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311</v>
      </c>
      <c r="AF95" s="341"/>
    </row>
    <row r="96" spans="1:32">
      <c r="A96" s="307">
        <v>3</v>
      </c>
      <c r="B96" s="342"/>
      <c r="C96" s="342" t="s">
        <v>178</v>
      </c>
      <c r="D96" s="340" t="s">
        <v>239</v>
      </c>
      <c r="E96" s="342" t="s">
        <v>377</v>
      </c>
      <c r="F96" s="345" t="s">
        <v>169</v>
      </c>
      <c r="G96" s="308">
        <v>1</v>
      </c>
      <c r="H96" s="309">
        <v>11600</v>
      </c>
      <c r="I96" s="309">
        <v>11600</v>
      </c>
      <c r="J96" s="211"/>
      <c r="K96" s="212" t="str">
        <f>IF(OR(J96="",G96=J96),"","*")</f>
        <v/>
      </c>
      <c r="L96" s="338">
        <f>IF($A96&lt;=L$1,I96/I$4,"")</f>
        <v>9.9230111206159103E-4</v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240</v>
      </c>
      <c r="AF96" s="341"/>
    </row>
    <row r="97" spans="1:32">
      <c r="A97" s="307">
        <v>2</v>
      </c>
      <c r="B97" s="342"/>
      <c r="C97" s="342" t="s">
        <v>233</v>
      </c>
      <c r="D97" s="340" t="s">
        <v>378</v>
      </c>
      <c r="E97" s="342"/>
      <c r="F97" s="345" t="s">
        <v>169</v>
      </c>
      <c r="G97" s="308">
        <v>1</v>
      </c>
      <c r="H97" s="309">
        <v>200000</v>
      </c>
      <c r="I97" s="309">
        <v>200000</v>
      </c>
      <c r="J97" s="211">
        <v>1</v>
      </c>
      <c r="K97" s="212" t="str">
        <f>IF(OR(J97="",G97=J97),"","*")</f>
        <v/>
      </c>
      <c r="L97" s="338">
        <f>IF($A97&lt;=L$1,I97/I$4,"")</f>
        <v>1.7108639863130881E-2</v>
      </c>
      <c r="M97" s="343"/>
      <c r="N97" s="344" t="s">
        <v>379</v>
      </c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/>
    </row>
    <row r="98" spans="1:32">
      <c r="A98" s="307">
        <v>3</v>
      </c>
      <c r="B98" s="342"/>
      <c r="C98" s="342" t="s">
        <v>180</v>
      </c>
      <c r="D98" s="340" t="s">
        <v>380</v>
      </c>
      <c r="E98" s="342" t="s">
        <v>381</v>
      </c>
      <c r="F98" s="345" t="s">
        <v>382</v>
      </c>
      <c r="G98" s="308">
        <v>658</v>
      </c>
      <c r="H98" s="309">
        <v>280</v>
      </c>
      <c r="I98" s="309">
        <v>184240</v>
      </c>
      <c r="J98" s="211"/>
      <c r="K98" s="212" t="str">
        <f>IF(OR(J98="",G98=J98),"","*")</f>
        <v/>
      </c>
      <c r="L98" s="338">
        <f>IF($A98&lt;=L$1,I98/I$4,"")</f>
        <v>1.5760479041916169E-2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383</v>
      </c>
      <c r="AF98" s="341"/>
    </row>
    <row r="99" spans="1:32">
      <c r="A99" s="307">
        <v>3</v>
      </c>
      <c r="B99" s="342"/>
      <c r="C99" s="342" t="s">
        <v>180</v>
      </c>
      <c r="D99" s="340" t="s">
        <v>384</v>
      </c>
      <c r="E99" s="342" t="s">
        <v>381</v>
      </c>
      <c r="F99" s="345" t="s">
        <v>382</v>
      </c>
      <c r="G99" s="308">
        <v>31</v>
      </c>
      <c r="H99" s="309">
        <v>310</v>
      </c>
      <c r="I99" s="309">
        <v>9610</v>
      </c>
      <c r="J99" s="211"/>
      <c r="K99" s="212" t="str">
        <f>IF(OR(J99="",G99=J99),"","*")</f>
        <v/>
      </c>
      <c r="L99" s="338">
        <f>IF($A99&lt;=L$1,I99/I$4,"")</f>
        <v>8.2207014542343886E-4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385</v>
      </c>
      <c r="AF99" s="341"/>
    </row>
    <row r="100" spans="1:32">
      <c r="A100" s="307">
        <v>3</v>
      </c>
      <c r="B100" s="342"/>
      <c r="C100" s="342" t="s">
        <v>178</v>
      </c>
      <c r="D100" s="340" t="s">
        <v>239</v>
      </c>
      <c r="E100" s="342"/>
      <c r="F100" s="345" t="s">
        <v>169</v>
      </c>
      <c r="G100" s="308">
        <v>1</v>
      </c>
      <c r="H100" s="309">
        <v>6150</v>
      </c>
      <c r="I100" s="309">
        <v>6150</v>
      </c>
      <c r="J100" s="211"/>
      <c r="K100" s="212" t="str">
        <f>IF(OR(J100="",G100=J100),"","*")</f>
        <v/>
      </c>
      <c r="L100" s="338">
        <f>IF($A100&lt;=L$1,I100/I$4,"")</f>
        <v>5.2609067579127461E-4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240</v>
      </c>
      <c r="AF100" s="341"/>
    </row>
    <row r="101" spans="1:32">
      <c r="A101" s="307">
        <v>2</v>
      </c>
      <c r="B101" s="342"/>
      <c r="C101" s="342" t="s">
        <v>233</v>
      </c>
      <c r="D101" s="340" t="s">
        <v>386</v>
      </c>
      <c r="E101" s="342" t="s">
        <v>176</v>
      </c>
      <c r="F101" s="345" t="s">
        <v>169</v>
      </c>
      <c r="G101" s="308">
        <v>1</v>
      </c>
      <c r="H101" s="309">
        <v>950000</v>
      </c>
      <c r="I101" s="309">
        <v>950000</v>
      </c>
      <c r="J101" s="211">
        <v>1</v>
      </c>
      <c r="K101" s="212" t="str">
        <f>IF(OR(J101="",G101=J101),"","*")</f>
        <v/>
      </c>
      <c r="L101" s="338">
        <f>IF($A101&lt;=L$1,I101/I$4,"")</f>
        <v>8.1266039349871685E-2</v>
      </c>
      <c r="M101" s="343"/>
      <c r="N101" s="344" t="s">
        <v>387</v>
      </c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/>
      <c r="AF101" s="341"/>
    </row>
    <row r="102" spans="1:32">
      <c r="A102" s="307">
        <v>3</v>
      </c>
      <c r="B102" s="342"/>
      <c r="C102" s="342" t="s">
        <v>180</v>
      </c>
      <c r="D102" s="340" t="s">
        <v>388</v>
      </c>
      <c r="E102" s="342"/>
      <c r="F102" s="345" t="s">
        <v>171</v>
      </c>
      <c r="G102" s="308">
        <v>164</v>
      </c>
      <c r="H102" s="309">
        <v>4200</v>
      </c>
      <c r="I102" s="309">
        <v>688800</v>
      </c>
      <c r="J102" s="211"/>
      <c r="K102" s="212" t="str">
        <f>IF(OR(J102="",G102=J102),"","*")</f>
        <v/>
      </c>
      <c r="L102" s="338">
        <f>IF($A102&lt;=L$1,I102/I$4,"")</f>
        <v>5.8922155688622753E-2</v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/>
      <c r="AF102" s="341"/>
    </row>
    <row r="103" spans="1:32">
      <c r="A103" s="307">
        <v>3</v>
      </c>
      <c r="B103" s="342"/>
      <c r="C103" s="342" t="s">
        <v>178</v>
      </c>
      <c r="D103" s="340" t="s">
        <v>239</v>
      </c>
      <c r="E103" s="342"/>
      <c r="F103" s="345" t="s">
        <v>169</v>
      </c>
      <c r="G103" s="308">
        <v>1</v>
      </c>
      <c r="H103" s="309">
        <v>7000</v>
      </c>
      <c r="I103" s="309">
        <v>7000</v>
      </c>
      <c r="J103" s="211"/>
      <c r="K103" s="212" t="str">
        <f>IF(OR(J103="",G103=J103),"","*")</f>
        <v/>
      </c>
      <c r="L103" s="338">
        <f>IF($A103&lt;=L$1,I103/I$4,"")</f>
        <v>5.9880239520958083E-4</v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240</v>
      </c>
      <c r="AF103" s="341"/>
    </row>
    <row r="104" spans="1:32">
      <c r="A104" s="307">
        <v>3</v>
      </c>
      <c r="B104" s="342"/>
      <c r="C104" s="342" t="s">
        <v>180</v>
      </c>
      <c r="D104" s="340" t="s">
        <v>389</v>
      </c>
      <c r="E104" s="342" t="s">
        <v>390</v>
      </c>
      <c r="F104" s="345" t="s">
        <v>169</v>
      </c>
      <c r="G104" s="308">
        <v>1</v>
      </c>
      <c r="H104" s="309">
        <v>254200</v>
      </c>
      <c r="I104" s="309">
        <v>254200</v>
      </c>
      <c r="J104" s="211"/>
      <c r="K104" s="212" t="str">
        <f>IF(OR(J104="",G104=J104),"","*")</f>
        <v/>
      </c>
      <c r="L104" s="338">
        <f>IF($A104&lt;=L$1,I104/I$4,"")</f>
        <v>2.174508126603935E-2</v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/>
      <c r="AF104" s="341"/>
    </row>
    <row r="105" spans="1:32">
      <c r="A105" s="307">
        <v>2</v>
      </c>
      <c r="B105" s="342"/>
      <c r="C105" s="342" t="s">
        <v>233</v>
      </c>
      <c r="D105" s="340" t="s">
        <v>391</v>
      </c>
      <c r="E105" s="342"/>
      <c r="F105" s="345" t="s">
        <v>169</v>
      </c>
      <c r="G105" s="308">
        <v>1</v>
      </c>
      <c r="H105" s="309">
        <v>424550</v>
      </c>
      <c r="I105" s="309">
        <v>424550</v>
      </c>
      <c r="J105" s="211">
        <v>1</v>
      </c>
      <c r="K105" s="212" t="str">
        <f>IF(OR(J105="",G105=J105),"","*")</f>
        <v/>
      </c>
      <c r="L105" s="338">
        <f>IF($A105&lt;=L$1,I105/I$4,"")</f>
        <v>3.6317365269461076E-2</v>
      </c>
      <c r="M105" s="343"/>
      <c r="N105" s="344" t="s">
        <v>392</v>
      </c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/>
      <c r="AF105" s="341"/>
    </row>
    <row r="106" spans="1:32">
      <c r="A106" s="307">
        <v>3</v>
      </c>
      <c r="B106" s="342"/>
      <c r="C106" s="342" t="s">
        <v>163</v>
      </c>
      <c r="D106" s="340" t="s">
        <v>393</v>
      </c>
      <c r="E106" s="342" t="s">
        <v>394</v>
      </c>
      <c r="F106" s="345" t="s">
        <v>169</v>
      </c>
      <c r="G106" s="308">
        <v>1</v>
      </c>
      <c r="H106" s="309">
        <v>170634</v>
      </c>
      <c r="I106" s="309">
        <v>170634</v>
      </c>
      <c r="J106" s="211"/>
      <c r="K106" s="212" t="str">
        <f>IF(OR(J106="",G106=J106),"","*")</f>
        <v/>
      </c>
      <c r="L106" s="338">
        <f>IF($A106&lt;=L$1,I106/I$4,"")</f>
        <v>1.4596578272027374E-2</v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/>
      <c r="AF106" s="341"/>
    </row>
    <row r="107" spans="1:32">
      <c r="A107" s="307">
        <v>3</v>
      </c>
      <c r="B107" s="342"/>
      <c r="C107" s="342" t="s">
        <v>163</v>
      </c>
      <c r="D107" s="340" t="s">
        <v>393</v>
      </c>
      <c r="E107" s="342" t="s">
        <v>395</v>
      </c>
      <c r="F107" s="345" t="s">
        <v>169</v>
      </c>
      <c r="G107" s="308">
        <v>1</v>
      </c>
      <c r="H107" s="309">
        <v>45556</v>
      </c>
      <c r="I107" s="309">
        <v>45556</v>
      </c>
      <c r="J107" s="211"/>
      <c r="K107" s="212" t="str">
        <f>IF(OR(J107="",G107=J107),"","*")</f>
        <v/>
      </c>
      <c r="L107" s="338">
        <f>IF($A107&lt;=L$1,I107/I$4,"")</f>
        <v>3.897005988023952E-3</v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/>
      <c r="AF107" s="341"/>
    </row>
    <row r="108" spans="1:32">
      <c r="A108" s="307">
        <v>3</v>
      </c>
      <c r="B108" s="342"/>
      <c r="C108" s="342" t="s">
        <v>163</v>
      </c>
      <c r="D108" s="340" t="s">
        <v>393</v>
      </c>
      <c r="E108" s="342" t="s">
        <v>396</v>
      </c>
      <c r="F108" s="345" t="s">
        <v>169</v>
      </c>
      <c r="G108" s="308">
        <v>1</v>
      </c>
      <c r="H108" s="309">
        <v>89000</v>
      </c>
      <c r="I108" s="309">
        <v>89000</v>
      </c>
      <c r="J108" s="211"/>
      <c r="K108" s="212" t="str">
        <f>IF(OR(J108="",G108=J108),"","*")</f>
        <v/>
      </c>
      <c r="L108" s="338">
        <f>IF($A108&lt;=L$1,I108/I$4,"")</f>
        <v>7.6133447390932417E-3</v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/>
      <c r="AF108" s="341"/>
    </row>
    <row r="109" spans="1:32">
      <c r="A109" s="307">
        <v>3</v>
      </c>
      <c r="B109" s="342"/>
      <c r="C109" s="342" t="s">
        <v>163</v>
      </c>
      <c r="D109" s="340" t="s">
        <v>393</v>
      </c>
      <c r="E109" s="342" t="s">
        <v>397</v>
      </c>
      <c r="F109" s="345" t="s">
        <v>169</v>
      </c>
      <c r="G109" s="308">
        <v>1</v>
      </c>
      <c r="H109" s="309">
        <v>90000</v>
      </c>
      <c r="I109" s="309">
        <v>90000</v>
      </c>
      <c r="J109" s="211"/>
      <c r="K109" s="212" t="str">
        <f>IF(OR(J109="",G109=J109),"","*")</f>
        <v/>
      </c>
      <c r="L109" s="338">
        <f>IF($A109&lt;=L$1,I109/I$4,"")</f>
        <v>7.6988879384088963E-3</v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/>
      <c r="AF109" s="341"/>
    </row>
    <row r="110" spans="1:32">
      <c r="A110" s="307">
        <v>3</v>
      </c>
      <c r="B110" s="342"/>
      <c r="C110" s="342" t="s">
        <v>163</v>
      </c>
      <c r="D110" s="340" t="s">
        <v>398</v>
      </c>
      <c r="E110" s="342"/>
      <c r="F110" s="345" t="s">
        <v>169</v>
      </c>
      <c r="G110" s="308">
        <v>1</v>
      </c>
      <c r="H110" s="309">
        <v>0</v>
      </c>
      <c r="I110" s="309">
        <v>0</v>
      </c>
      <c r="J110" s="211"/>
      <c r="K110" s="212" t="str">
        <f>IF(OR(J110="",G110=J110),"","*")</f>
        <v/>
      </c>
      <c r="L110" s="338">
        <f>IF($A110&lt;=L$1,I110/I$4,"")</f>
        <v>0</v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/>
    </row>
    <row r="111" spans="1:32">
      <c r="A111" s="307">
        <v>3</v>
      </c>
      <c r="B111" s="342"/>
      <c r="C111" s="342" t="s">
        <v>163</v>
      </c>
      <c r="D111" s="340" t="s">
        <v>393</v>
      </c>
      <c r="E111" s="342" t="s">
        <v>399</v>
      </c>
      <c r="F111" s="345" t="s">
        <v>169</v>
      </c>
      <c r="G111" s="308">
        <v>1</v>
      </c>
      <c r="H111" s="309">
        <v>29360</v>
      </c>
      <c r="I111" s="309">
        <v>29360</v>
      </c>
      <c r="J111" s="211"/>
      <c r="K111" s="212" t="str">
        <f>IF(OR(J111="",G111=J111),"","*")</f>
        <v/>
      </c>
      <c r="L111" s="338">
        <f>IF($A111&lt;=L$1,I111/I$4,"")</f>
        <v>2.5115483319076135E-3</v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/>
    </row>
    <row r="112" spans="1:32">
      <c r="A112" s="307">
        <v>2</v>
      </c>
      <c r="B112" s="342"/>
      <c r="C112" s="342" t="s">
        <v>233</v>
      </c>
      <c r="D112" s="340" t="s">
        <v>400</v>
      </c>
      <c r="E112" s="342"/>
      <c r="F112" s="345" t="s">
        <v>169</v>
      </c>
      <c r="G112" s="308">
        <v>1</v>
      </c>
      <c r="H112" s="309">
        <v>993155</v>
      </c>
      <c r="I112" s="309">
        <v>993155</v>
      </c>
      <c r="J112" s="211">
        <v>1</v>
      </c>
      <c r="K112" s="212" t="str">
        <f>IF(OR(J112="",G112=J112),"","*")</f>
        <v/>
      </c>
      <c r="L112" s="338">
        <f>IF($A112&lt;=L$1,I112/I$4,"")</f>
        <v>8.4957656116338751E-2</v>
      </c>
      <c r="M112" s="343"/>
      <c r="N112" s="344" t="s">
        <v>401</v>
      </c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/>
    </row>
    <row r="113" spans="1:32">
      <c r="A113" s="307">
        <v>3</v>
      </c>
      <c r="B113" s="342"/>
      <c r="C113" s="342" t="s">
        <v>180</v>
      </c>
      <c r="D113" s="340" t="s">
        <v>402</v>
      </c>
      <c r="E113" s="342" t="s">
        <v>394</v>
      </c>
      <c r="F113" s="345" t="s">
        <v>169</v>
      </c>
      <c r="G113" s="308">
        <v>1</v>
      </c>
      <c r="H113" s="309">
        <v>547735</v>
      </c>
      <c r="I113" s="309">
        <v>547735</v>
      </c>
      <c r="J113" s="211"/>
      <c r="K113" s="212" t="str">
        <f>IF(OR(J113="",G113=J113),"","*")</f>
        <v/>
      </c>
      <c r="L113" s="338">
        <f>IF($A113&lt;=L$1,I113/I$4,"")</f>
        <v>4.6855004277159967E-2</v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/>
      <c r="AF113" s="341"/>
    </row>
    <row r="114" spans="1:32">
      <c r="A114" s="307">
        <v>3</v>
      </c>
      <c r="B114" s="342"/>
      <c r="C114" s="342" t="s">
        <v>180</v>
      </c>
      <c r="D114" s="340" t="s">
        <v>403</v>
      </c>
      <c r="E114" s="342" t="s">
        <v>396</v>
      </c>
      <c r="F114" s="345" t="s">
        <v>169</v>
      </c>
      <c r="G114" s="308">
        <v>1</v>
      </c>
      <c r="H114" s="309">
        <v>290000</v>
      </c>
      <c r="I114" s="309">
        <v>290000</v>
      </c>
      <c r="J114" s="211"/>
      <c r="K114" s="212" t="str">
        <f>IF(OR(J114="",G114=J114),"","*")</f>
        <v/>
      </c>
      <c r="L114" s="338">
        <f>IF($A114&lt;=L$1,I114/I$4,"")</f>
        <v>2.4807527801539778E-2</v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/>
      <c r="AF114" s="341"/>
    </row>
    <row r="115" spans="1:32">
      <c r="A115" s="307">
        <v>3</v>
      </c>
      <c r="B115" s="342"/>
      <c r="C115" s="342" t="s">
        <v>180</v>
      </c>
      <c r="D115" s="340" t="s">
        <v>403</v>
      </c>
      <c r="E115" s="342" t="s">
        <v>397</v>
      </c>
      <c r="F115" s="345" t="s">
        <v>169</v>
      </c>
      <c r="G115" s="308">
        <v>1</v>
      </c>
      <c r="H115" s="309">
        <v>130000</v>
      </c>
      <c r="I115" s="309">
        <v>130000</v>
      </c>
      <c r="J115" s="211"/>
      <c r="K115" s="212" t="str">
        <f>IF(OR(J115="",G115=J115),"","*")</f>
        <v/>
      </c>
      <c r="L115" s="338">
        <f>IF($A115&lt;=L$1,I115/I$4,"")</f>
        <v>1.1120615911035072E-2</v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/>
      <c r="AF115" s="341"/>
    </row>
    <row r="116" spans="1:32">
      <c r="A116" s="307">
        <v>3</v>
      </c>
      <c r="B116" s="342"/>
      <c r="C116" s="342" t="s">
        <v>180</v>
      </c>
      <c r="D116" s="340" t="s">
        <v>398</v>
      </c>
      <c r="E116" s="342"/>
      <c r="F116" s="345" t="s">
        <v>169</v>
      </c>
      <c r="G116" s="308">
        <v>1</v>
      </c>
      <c r="H116" s="309">
        <v>0</v>
      </c>
      <c r="I116" s="309">
        <v>0</v>
      </c>
      <c r="J116" s="211"/>
      <c r="K116" s="212" t="str">
        <f>IF(OR(J116="",G116=J116),"","*")</f>
        <v/>
      </c>
      <c r="L116" s="338">
        <f>IF($A116&lt;=L$1,I116/I$4,"")</f>
        <v>0</v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/>
      <c r="AF116" s="341"/>
    </row>
    <row r="117" spans="1:32">
      <c r="A117" s="307">
        <v>3</v>
      </c>
      <c r="B117" s="342"/>
      <c r="C117" s="342" t="s">
        <v>180</v>
      </c>
      <c r="D117" s="340" t="s">
        <v>403</v>
      </c>
      <c r="E117" s="342" t="s">
        <v>399</v>
      </c>
      <c r="F117" s="345" t="s">
        <v>169</v>
      </c>
      <c r="G117" s="308">
        <v>1</v>
      </c>
      <c r="H117" s="309">
        <v>25420</v>
      </c>
      <c r="I117" s="309">
        <v>25420</v>
      </c>
      <c r="J117" s="211"/>
      <c r="K117" s="212" t="str">
        <f>IF(OR(J117="",G117=J117),"","*")</f>
        <v/>
      </c>
      <c r="L117" s="338">
        <f>IF($A117&lt;=L$1,I117/I$4,"")</f>
        <v>2.1745081266039351E-3</v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/>
      <c r="AF117" s="341"/>
    </row>
    <row r="118" spans="1:32">
      <c r="A118" s="307">
        <v>2</v>
      </c>
      <c r="B118" s="342"/>
      <c r="C118" s="342" t="s">
        <v>233</v>
      </c>
      <c r="D118" s="340" t="s">
        <v>404</v>
      </c>
      <c r="E118" s="342"/>
      <c r="F118" s="345" t="s">
        <v>169</v>
      </c>
      <c r="G118" s="308">
        <v>1</v>
      </c>
      <c r="H118" s="309">
        <v>486</v>
      </c>
      <c r="I118" s="309">
        <v>486</v>
      </c>
      <c r="J118" s="211">
        <v>1</v>
      </c>
      <c r="K118" s="212" t="str">
        <f>IF(OR(J118="",G118=J118),"","*")</f>
        <v/>
      </c>
      <c r="L118" s="338">
        <f>IF($A118&lt;=L$1,I118/I$4,"")</f>
        <v>4.1573994867408043E-5</v>
      </c>
      <c r="M118" s="343"/>
      <c r="N118" s="344" t="s">
        <v>405</v>
      </c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/>
      <c r="AF118" s="341"/>
    </row>
    <row r="119" spans="1:32">
      <c r="A119" s="307">
        <v>3</v>
      </c>
      <c r="B119" s="342"/>
      <c r="C119" s="342"/>
      <c r="D119" s="340" t="s">
        <v>398</v>
      </c>
      <c r="E119" s="342"/>
      <c r="F119" s="345" t="s">
        <v>169</v>
      </c>
      <c r="G119" s="308">
        <v>1</v>
      </c>
      <c r="H119" s="309">
        <v>486</v>
      </c>
      <c r="I119" s="309">
        <v>486</v>
      </c>
      <c r="J119" s="211"/>
      <c r="K119" s="212" t="str">
        <f>IF(OR(J119="",G119=J119),"","*")</f>
        <v/>
      </c>
      <c r="L119" s="338">
        <f>IF($A119&lt;=L$1,I119/I$4,"")</f>
        <v>4.1573994867408043E-5</v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/>
      <c r="AF119" s="341"/>
    </row>
    <row r="120" spans="1:32">
      <c r="A120" s="217"/>
      <c r="B120" s="217"/>
      <c r="C120" s="312"/>
      <c r="D120" s="217"/>
      <c r="E120" s="217"/>
      <c r="F120" s="218"/>
      <c r="G120" s="217"/>
      <c r="H120" s="217"/>
      <c r="I120" s="217"/>
      <c r="J120" s="217"/>
      <c r="K120" s="218"/>
      <c r="L120" s="217"/>
      <c r="M120" s="217"/>
      <c r="N120" s="217"/>
      <c r="O120" s="217"/>
      <c r="P120" s="217"/>
      <c r="Q120" s="217"/>
      <c r="R120" s="217"/>
      <c r="S120" s="218"/>
      <c r="T120" s="217"/>
      <c r="U120" s="217"/>
      <c r="V120" s="217"/>
      <c r="W120" s="217"/>
      <c r="X120" s="217"/>
      <c r="Y120" s="217"/>
      <c r="Z120" s="217"/>
      <c r="AA120" s="218"/>
      <c r="AB120" s="217"/>
      <c r="AC120" s="217"/>
      <c r="AD120" s="217"/>
      <c r="AE120" s="217"/>
      <c r="AF120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19 AF4:AF119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19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166</v>
      </c>
      <c r="D4" s="315">
        <v>404000</v>
      </c>
      <c r="E4" s="120"/>
      <c r="F4" s="119" t="s">
        <v>407</v>
      </c>
      <c r="G4" s="316">
        <v>222000</v>
      </c>
      <c r="H4" s="69"/>
    </row>
    <row r="5" spans="1:8" ht="27" customHeight="1">
      <c r="A5" s="69"/>
      <c r="B5" s="118"/>
      <c r="C5" s="119" t="s">
        <v>167</v>
      </c>
      <c r="D5" s="315">
        <v>92000</v>
      </c>
      <c r="E5" s="120"/>
      <c r="F5" s="119" t="s">
        <v>408</v>
      </c>
      <c r="G5" s="316">
        <v>16296</v>
      </c>
      <c r="H5" s="69"/>
    </row>
    <row r="6" spans="1:8" ht="27" customHeight="1">
      <c r="A6" s="69"/>
      <c r="B6" s="118"/>
      <c r="C6" s="119" t="s">
        <v>409</v>
      </c>
      <c r="D6" s="315">
        <v>260000</v>
      </c>
      <c r="E6" s="120"/>
      <c r="F6" s="119"/>
      <c r="G6" s="316"/>
      <c r="H6" s="69"/>
    </row>
    <row r="7" spans="1:8" ht="27" customHeight="1">
      <c r="A7" s="69"/>
      <c r="B7" s="118"/>
      <c r="C7" s="119" t="s">
        <v>410</v>
      </c>
      <c r="D7" s="315">
        <v>1398000</v>
      </c>
      <c r="E7" s="120"/>
      <c r="F7" s="119" t="s">
        <v>228</v>
      </c>
      <c r="G7" s="316">
        <v>238296</v>
      </c>
      <c r="H7" s="69"/>
    </row>
    <row r="8" spans="1:8" ht="27" customHeight="1">
      <c r="A8" s="69"/>
      <c r="B8" s="118"/>
      <c r="C8" s="119"/>
      <c r="D8" s="315"/>
      <c r="E8" s="120"/>
      <c r="F8" s="119"/>
      <c r="G8" s="316"/>
      <c r="H8" s="69"/>
    </row>
    <row r="9" spans="1:8" ht="27" customHeight="1">
      <c r="A9" s="69"/>
      <c r="B9" s="118"/>
      <c r="C9" s="119" t="s">
        <v>228</v>
      </c>
      <c r="D9" s="315">
        <v>2154000</v>
      </c>
      <c r="E9" s="120"/>
      <c r="F9" s="119"/>
      <c r="G9" s="316"/>
      <c r="H9" s="69"/>
    </row>
    <row r="10" spans="1:8" ht="27" customHeight="1">
      <c r="A10" s="69"/>
      <c r="B10" s="118"/>
      <c r="C10" s="119"/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178</v>
      </c>
      <c r="H3" s="128" t="s">
        <v>179</v>
      </c>
      <c r="I3" s="128" t="s">
        <v>180</v>
      </c>
      <c r="J3" s="128" t="s">
        <v>181</v>
      </c>
      <c r="K3" s="128" t="s">
        <v>182</v>
      </c>
      <c r="L3" s="128" t="s">
        <v>183</v>
      </c>
      <c r="M3" s="128" t="s">
        <v>184</v>
      </c>
      <c r="N3" s="129" t="s">
        <v>163</v>
      </c>
      <c r="O3" s="69"/>
    </row>
    <row r="4" spans="1:15" ht="30" customHeight="1">
      <c r="A4" s="69"/>
      <c r="B4" s="130" t="s">
        <v>166</v>
      </c>
      <c r="C4" s="131" t="s">
        <v>169</v>
      </c>
      <c r="D4" s="320">
        <v>1</v>
      </c>
      <c r="E4" s="321">
        <v>404000</v>
      </c>
      <c r="F4" s="322">
        <v>404000</v>
      </c>
      <c r="G4" s="323"/>
      <c r="H4" s="324"/>
      <c r="I4" s="324"/>
      <c r="J4" s="324"/>
      <c r="K4" s="324">
        <v>404000</v>
      </c>
      <c r="L4" s="324"/>
      <c r="M4" s="324"/>
      <c r="N4" s="325"/>
      <c r="O4" s="69"/>
    </row>
    <row r="5" spans="1:15" ht="30" customHeight="1">
      <c r="A5" s="69"/>
      <c r="B5" s="130" t="s">
        <v>167</v>
      </c>
      <c r="C5" s="131" t="s">
        <v>169</v>
      </c>
      <c r="D5" s="326">
        <v>1</v>
      </c>
      <c r="E5" s="321">
        <v>92000</v>
      </c>
      <c r="F5" s="322">
        <v>92000</v>
      </c>
      <c r="G5" s="323"/>
      <c r="H5" s="324">
        <v>92000</v>
      </c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409</v>
      </c>
      <c r="C6" s="131" t="s">
        <v>169</v>
      </c>
      <c r="D6" s="326">
        <v>1</v>
      </c>
      <c r="E6" s="321">
        <v>260000</v>
      </c>
      <c r="F6" s="322">
        <v>260000</v>
      </c>
      <c r="G6" s="323"/>
      <c r="H6" s="324"/>
      <c r="I6" s="324"/>
      <c r="J6" s="324">
        <v>100000</v>
      </c>
      <c r="K6" s="324">
        <v>160000</v>
      </c>
      <c r="L6" s="324"/>
      <c r="M6" s="324"/>
      <c r="N6" s="325"/>
      <c r="O6" s="69"/>
    </row>
    <row r="7" spans="1:15" ht="30" customHeight="1">
      <c r="A7" s="69"/>
      <c r="B7" s="130" t="s">
        <v>410</v>
      </c>
      <c r="C7" s="131" t="s">
        <v>169</v>
      </c>
      <c r="D7" s="326">
        <v>1</v>
      </c>
      <c r="E7" s="321">
        <v>1398000</v>
      </c>
      <c r="F7" s="322">
        <v>1398000</v>
      </c>
      <c r="G7" s="323"/>
      <c r="H7" s="324"/>
      <c r="I7" s="324">
        <v>1168000</v>
      </c>
      <c r="J7" s="324">
        <v>230000</v>
      </c>
      <c r="K7" s="324"/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228</v>
      </c>
      <c r="C9" s="131"/>
      <c r="D9" s="326"/>
      <c r="E9" s="321"/>
      <c r="F9" s="322">
        <v>2154000</v>
      </c>
      <c r="G9" s="323"/>
      <c r="H9" s="324">
        <v>92000</v>
      </c>
      <c r="I9" s="324">
        <v>1168000</v>
      </c>
      <c r="J9" s="324">
        <v>330000</v>
      </c>
      <c r="K9" s="324">
        <v>564000</v>
      </c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24-119★令和6年度 橋りょう補修工事 公共 県単 合併</v>
      </c>
      <c r="G1" s="306"/>
      <c r="H1" s="190" t="s">
        <v>131</v>
      </c>
      <c r="I1" s="333">
        <v>13150000</v>
      </c>
      <c r="J1" s="339">
        <f>I4/I$1</f>
        <v>0.88897338403041826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185</v>
      </c>
      <c r="E4" s="342"/>
      <c r="F4" s="345" t="s">
        <v>169</v>
      </c>
      <c r="G4" s="308">
        <v>1</v>
      </c>
      <c r="H4" s="309">
        <v>11690000</v>
      </c>
      <c r="I4" s="309">
        <v>11690000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411</v>
      </c>
      <c r="P4" s="347" t="s">
        <v>411</v>
      </c>
      <c r="Q4" s="347" t="s">
        <v>411</v>
      </c>
      <c r="R4" s="348" t="s">
        <v>411</v>
      </c>
      <c r="S4" s="349"/>
      <c r="T4" s="343" t="s">
        <v>412</v>
      </c>
      <c r="U4" s="343"/>
      <c r="V4" s="344"/>
      <c r="W4" s="346" t="s">
        <v>411</v>
      </c>
      <c r="X4" s="347" t="s">
        <v>411</v>
      </c>
      <c r="Y4" s="347" t="s">
        <v>411</v>
      </c>
      <c r="Z4" s="348" t="s">
        <v>411</v>
      </c>
      <c r="AA4" s="349"/>
      <c r="AB4" s="343" t="s">
        <v>412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231</v>
      </c>
      <c r="D5" s="340" t="s">
        <v>413</v>
      </c>
      <c r="E5" s="342"/>
      <c r="F5" s="345" t="s">
        <v>169</v>
      </c>
      <c r="G5" s="308">
        <v>1</v>
      </c>
      <c r="H5" s="309">
        <v>2154000</v>
      </c>
      <c r="I5" s="309">
        <v>2154000</v>
      </c>
      <c r="J5" s="211"/>
      <c r="K5" s="212" t="str">
        <f>IF(OR(J5="",G5=J5),"","*")</f>
        <v/>
      </c>
      <c r="L5" s="338">
        <f>IF($A5&lt;=L$1,I5/I$4,"")</f>
        <v>0.18426005132591958</v>
      </c>
      <c r="M5" s="343"/>
      <c r="N5" s="344"/>
      <c r="O5" s="346" t="s">
        <v>411</v>
      </c>
      <c r="P5" s="347" t="s">
        <v>411</v>
      </c>
      <c r="Q5" s="347" t="s">
        <v>411</v>
      </c>
      <c r="R5" s="348" t="s">
        <v>411</v>
      </c>
      <c r="S5" s="349"/>
      <c r="T5" s="343" t="s">
        <v>412</v>
      </c>
      <c r="U5" s="343"/>
      <c r="V5" s="344"/>
      <c r="W5" s="346" t="s">
        <v>411</v>
      </c>
      <c r="X5" s="347" t="s">
        <v>411</v>
      </c>
      <c r="Y5" s="347" t="s">
        <v>411</v>
      </c>
      <c r="Z5" s="348" t="s">
        <v>411</v>
      </c>
      <c r="AA5" s="349"/>
      <c r="AB5" s="343" t="s">
        <v>412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233</v>
      </c>
      <c r="D6" s="340" t="s">
        <v>414</v>
      </c>
      <c r="E6" s="342"/>
      <c r="F6" s="345" t="s">
        <v>169</v>
      </c>
      <c r="G6" s="308">
        <v>1</v>
      </c>
      <c r="H6" s="309">
        <v>404000</v>
      </c>
      <c r="I6" s="309">
        <v>404000</v>
      </c>
      <c r="J6" s="211">
        <v>1</v>
      </c>
      <c r="K6" s="212" t="str">
        <f>IF(OR(J6="",G6=J6),"","*")</f>
        <v/>
      </c>
      <c r="L6" s="338">
        <f>IF($A6&lt;=L$1,I6/I$4,"")</f>
        <v>3.4559452523524381E-2</v>
      </c>
      <c r="M6" s="343"/>
      <c r="N6" s="344" t="s">
        <v>415</v>
      </c>
      <c r="O6" s="346" t="s">
        <v>411</v>
      </c>
      <c r="P6" s="347" t="s">
        <v>411</v>
      </c>
      <c r="Q6" s="347" t="s">
        <v>411</v>
      </c>
      <c r="R6" s="348" t="s">
        <v>411</v>
      </c>
      <c r="S6" s="349"/>
      <c r="T6" s="343" t="s">
        <v>412</v>
      </c>
      <c r="U6" s="343"/>
      <c r="V6" s="344"/>
      <c r="W6" s="346" t="s">
        <v>411</v>
      </c>
      <c r="X6" s="347" t="s">
        <v>411</v>
      </c>
      <c r="Y6" s="347" t="s">
        <v>411</v>
      </c>
      <c r="Z6" s="348" t="s">
        <v>411</v>
      </c>
      <c r="AA6" s="349"/>
      <c r="AB6" s="343" t="s">
        <v>412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416</v>
      </c>
      <c r="E7" s="342"/>
      <c r="F7" s="345" t="s">
        <v>417</v>
      </c>
      <c r="G7" s="308">
        <v>2</v>
      </c>
      <c r="H7" s="309">
        <v>57000</v>
      </c>
      <c r="I7" s="309">
        <v>114000</v>
      </c>
      <c r="J7" s="211"/>
      <c r="K7" s="212" t="str">
        <f>IF(OR(J7="",G7=J7),"","*")</f>
        <v/>
      </c>
      <c r="L7" s="338">
        <f>IF($A7&lt;=L$1,I7/I$4,"")</f>
        <v>9.7519247219846027E-3</v>
      </c>
      <c r="M7" s="343"/>
      <c r="N7" s="344"/>
      <c r="O7" s="346" t="s">
        <v>411</v>
      </c>
      <c r="P7" s="347" t="s">
        <v>411</v>
      </c>
      <c r="Q7" s="347" t="s">
        <v>411</v>
      </c>
      <c r="R7" s="348" t="s">
        <v>411</v>
      </c>
      <c r="S7" s="349"/>
      <c r="T7" s="343" t="s">
        <v>412</v>
      </c>
      <c r="U7" s="343"/>
      <c r="V7" s="344"/>
      <c r="W7" s="346" t="s">
        <v>411</v>
      </c>
      <c r="X7" s="347" t="s">
        <v>411</v>
      </c>
      <c r="Y7" s="347" t="s">
        <v>411</v>
      </c>
      <c r="Z7" s="348" t="s">
        <v>411</v>
      </c>
      <c r="AA7" s="349"/>
      <c r="AB7" s="343" t="s">
        <v>412</v>
      </c>
      <c r="AC7" s="343"/>
      <c r="AD7" s="344"/>
      <c r="AE7" s="342" t="s">
        <v>418</v>
      </c>
      <c r="AF7" s="341" t="s">
        <v>419</v>
      </c>
    </row>
    <row r="8" spans="1:32">
      <c r="A8" s="307">
        <v>3</v>
      </c>
      <c r="B8" s="342"/>
      <c r="C8" s="342" t="s">
        <v>182</v>
      </c>
      <c r="D8" s="340" t="s">
        <v>420</v>
      </c>
      <c r="E8" s="342"/>
      <c r="F8" s="345" t="s">
        <v>417</v>
      </c>
      <c r="G8" s="308">
        <v>2</v>
      </c>
      <c r="H8" s="309">
        <v>35000</v>
      </c>
      <c r="I8" s="309">
        <v>70000</v>
      </c>
      <c r="J8" s="211"/>
      <c r="K8" s="212" t="str">
        <f>IF(OR(J8="",G8=J8),"","*")</f>
        <v/>
      </c>
      <c r="L8" s="338">
        <f>IF($A8&lt;=L$1,I8/I$4,"")</f>
        <v>5.9880239520958087E-3</v>
      </c>
      <c r="M8" s="343"/>
      <c r="N8" s="344"/>
      <c r="O8" s="346" t="s">
        <v>411</v>
      </c>
      <c r="P8" s="347" t="s">
        <v>411</v>
      </c>
      <c r="Q8" s="347" t="s">
        <v>411</v>
      </c>
      <c r="R8" s="348" t="s">
        <v>411</v>
      </c>
      <c r="S8" s="349"/>
      <c r="T8" s="343" t="s">
        <v>412</v>
      </c>
      <c r="U8" s="343"/>
      <c r="V8" s="344"/>
      <c r="W8" s="346" t="s">
        <v>411</v>
      </c>
      <c r="X8" s="347" t="s">
        <v>411</v>
      </c>
      <c r="Y8" s="347" t="s">
        <v>411</v>
      </c>
      <c r="Z8" s="348" t="s">
        <v>411</v>
      </c>
      <c r="AA8" s="349"/>
      <c r="AB8" s="343" t="s">
        <v>412</v>
      </c>
      <c r="AC8" s="343"/>
      <c r="AD8" s="344"/>
      <c r="AE8" s="342" t="s">
        <v>421</v>
      </c>
      <c r="AF8" s="341" t="s">
        <v>422</v>
      </c>
    </row>
    <row r="9" spans="1:32">
      <c r="A9" s="307">
        <v>3</v>
      </c>
      <c r="B9" s="342"/>
      <c r="C9" s="342" t="s">
        <v>182</v>
      </c>
      <c r="D9" s="340" t="s">
        <v>423</v>
      </c>
      <c r="E9" s="342" t="s">
        <v>424</v>
      </c>
      <c r="F9" s="345" t="s">
        <v>417</v>
      </c>
      <c r="G9" s="308">
        <v>2</v>
      </c>
      <c r="H9" s="309">
        <v>30000</v>
      </c>
      <c r="I9" s="309">
        <v>60000</v>
      </c>
      <c r="J9" s="211"/>
      <c r="K9" s="212" t="str">
        <f>IF(OR(J9="",G9=J9),"","*")</f>
        <v/>
      </c>
      <c r="L9" s="338">
        <f>IF($A9&lt;=L$1,I9/I$4,"")</f>
        <v>5.1325919589392645E-3</v>
      </c>
      <c r="M9" s="343"/>
      <c r="N9" s="344"/>
      <c r="O9" s="346" t="s">
        <v>411</v>
      </c>
      <c r="P9" s="347" t="s">
        <v>411</v>
      </c>
      <c r="Q9" s="347" t="s">
        <v>411</v>
      </c>
      <c r="R9" s="348" t="s">
        <v>411</v>
      </c>
      <c r="S9" s="349"/>
      <c r="T9" s="343" t="s">
        <v>412</v>
      </c>
      <c r="U9" s="343"/>
      <c r="V9" s="344"/>
      <c r="W9" s="346" t="s">
        <v>411</v>
      </c>
      <c r="X9" s="347" t="s">
        <v>411</v>
      </c>
      <c r="Y9" s="347" t="s">
        <v>411</v>
      </c>
      <c r="Z9" s="348" t="s">
        <v>411</v>
      </c>
      <c r="AA9" s="349"/>
      <c r="AB9" s="343" t="s">
        <v>412</v>
      </c>
      <c r="AC9" s="343"/>
      <c r="AD9" s="344"/>
      <c r="AE9" s="342" t="s">
        <v>425</v>
      </c>
      <c r="AF9" s="341"/>
    </row>
    <row r="10" spans="1:32">
      <c r="A10" s="307">
        <v>3</v>
      </c>
      <c r="B10" s="342"/>
      <c r="C10" s="342" t="s">
        <v>182</v>
      </c>
      <c r="D10" s="340" t="s">
        <v>426</v>
      </c>
      <c r="E10" s="342"/>
      <c r="F10" s="345" t="s">
        <v>417</v>
      </c>
      <c r="G10" s="308">
        <v>2</v>
      </c>
      <c r="H10" s="309">
        <v>30000</v>
      </c>
      <c r="I10" s="309">
        <v>60000</v>
      </c>
      <c r="J10" s="211"/>
      <c r="K10" s="212" t="str">
        <f>IF(OR(J10="",G10=J10),"","*")</f>
        <v/>
      </c>
      <c r="L10" s="338">
        <f>IF($A10&lt;=L$1,I10/I$4,"")</f>
        <v>5.1325919589392645E-3</v>
      </c>
      <c r="M10" s="343"/>
      <c r="N10" s="344"/>
      <c r="O10" s="346" t="s">
        <v>411</v>
      </c>
      <c r="P10" s="347" t="s">
        <v>411</v>
      </c>
      <c r="Q10" s="347" t="s">
        <v>411</v>
      </c>
      <c r="R10" s="348" t="s">
        <v>411</v>
      </c>
      <c r="S10" s="349"/>
      <c r="T10" s="343" t="s">
        <v>412</v>
      </c>
      <c r="U10" s="343"/>
      <c r="V10" s="344"/>
      <c r="W10" s="346" t="s">
        <v>411</v>
      </c>
      <c r="X10" s="347" t="s">
        <v>411</v>
      </c>
      <c r="Y10" s="347" t="s">
        <v>411</v>
      </c>
      <c r="Z10" s="348" t="s">
        <v>411</v>
      </c>
      <c r="AA10" s="349"/>
      <c r="AB10" s="343" t="s">
        <v>412</v>
      </c>
      <c r="AC10" s="343"/>
      <c r="AD10" s="344"/>
      <c r="AE10" s="342" t="s">
        <v>427</v>
      </c>
      <c r="AF10" s="341"/>
    </row>
    <row r="11" spans="1:32">
      <c r="A11" s="307">
        <v>3</v>
      </c>
      <c r="B11" s="342"/>
      <c r="C11" s="342" t="s">
        <v>182</v>
      </c>
      <c r="D11" s="340" t="s">
        <v>428</v>
      </c>
      <c r="E11" s="342"/>
      <c r="F11" s="345" t="s">
        <v>417</v>
      </c>
      <c r="G11" s="308">
        <v>8</v>
      </c>
      <c r="H11" s="309">
        <v>10000</v>
      </c>
      <c r="I11" s="309">
        <v>80000</v>
      </c>
      <c r="J11" s="211"/>
      <c r="K11" s="212" t="str">
        <f>IF(OR(J11="",G11=J11),"","*")</f>
        <v/>
      </c>
      <c r="L11" s="338">
        <f>IF($A11&lt;=L$1,I11/I$4,"")</f>
        <v>6.8434559452523521E-3</v>
      </c>
      <c r="M11" s="343"/>
      <c r="N11" s="344"/>
      <c r="O11" s="346" t="s">
        <v>411</v>
      </c>
      <c r="P11" s="347" t="s">
        <v>411</v>
      </c>
      <c r="Q11" s="347" t="s">
        <v>411</v>
      </c>
      <c r="R11" s="348" t="s">
        <v>411</v>
      </c>
      <c r="S11" s="349"/>
      <c r="T11" s="343" t="s">
        <v>412</v>
      </c>
      <c r="U11" s="343"/>
      <c r="V11" s="344"/>
      <c r="W11" s="346" t="s">
        <v>411</v>
      </c>
      <c r="X11" s="347" t="s">
        <v>411</v>
      </c>
      <c r="Y11" s="347" t="s">
        <v>411</v>
      </c>
      <c r="Z11" s="348" t="s">
        <v>411</v>
      </c>
      <c r="AA11" s="349"/>
      <c r="AB11" s="343" t="s">
        <v>412</v>
      </c>
      <c r="AC11" s="343"/>
      <c r="AD11" s="344"/>
      <c r="AE11" s="342" t="s">
        <v>429</v>
      </c>
      <c r="AF11" s="341"/>
    </row>
    <row r="12" spans="1:32">
      <c r="A12" s="307">
        <v>3</v>
      </c>
      <c r="B12" s="342"/>
      <c r="C12" s="342" t="s">
        <v>182</v>
      </c>
      <c r="D12" s="340" t="s">
        <v>428</v>
      </c>
      <c r="E12" s="342" t="s">
        <v>397</v>
      </c>
      <c r="F12" s="345" t="s">
        <v>417</v>
      </c>
      <c r="G12" s="308">
        <v>2</v>
      </c>
      <c r="H12" s="309">
        <v>10000</v>
      </c>
      <c r="I12" s="309">
        <v>20000</v>
      </c>
      <c r="J12" s="211"/>
      <c r="K12" s="212" t="str">
        <f>IF(OR(J12="",G12=J12),"","*")</f>
        <v/>
      </c>
      <c r="L12" s="338">
        <f>IF($A12&lt;=L$1,I12/I$4,"")</f>
        <v>1.710863986313088E-3</v>
      </c>
      <c r="M12" s="343"/>
      <c r="N12" s="344"/>
      <c r="O12" s="346" t="s">
        <v>411</v>
      </c>
      <c r="P12" s="347" t="s">
        <v>411</v>
      </c>
      <c r="Q12" s="347" t="s">
        <v>411</v>
      </c>
      <c r="R12" s="348" t="s">
        <v>411</v>
      </c>
      <c r="S12" s="349"/>
      <c r="T12" s="343" t="s">
        <v>412</v>
      </c>
      <c r="U12" s="343"/>
      <c r="V12" s="344"/>
      <c r="W12" s="346" t="s">
        <v>411</v>
      </c>
      <c r="X12" s="347" t="s">
        <v>411</v>
      </c>
      <c r="Y12" s="347" t="s">
        <v>411</v>
      </c>
      <c r="Z12" s="348" t="s">
        <v>411</v>
      </c>
      <c r="AA12" s="349"/>
      <c r="AB12" s="343" t="s">
        <v>412</v>
      </c>
      <c r="AC12" s="343"/>
      <c r="AD12" s="344"/>
      <c r="AE12" s="342" t="s">
        <v>429</v>
      </c>
      <c r="AF12" s="341"/>
    </row>
    <row r="13" spans="1:32">
      <c r="A13" s="307">
        <v>2</v>
      </c>
      <c r="B13" s="342"/>
      <c r="C13" s="342" t="s">
        <v>233</v>
      </c>
      <c r="D13" s="340" t="s">
        <v>430</v>
      </c>
      <c r="E13" s="342" t="s">
        <v>177</v>
      </c>
      <c r="F13" s="345" t="s">
        <v>169</v>
      </c>
      <c r="G13" s="308">
        <v>1</v>
      </c>
      <c r="H13" s="309">
        <v>92000</v>
      </c>
      <c r="I13" s="309">
        <v>92000</v>
      </c>
      <c r="J13" s="211">
        <v>1</v>
      </c>
      <c r="K13" s="212" t="str">
        <f>IF(OR(J13="",G13=J13),"","*")</f>
        <v/>
      </c>
      <c r="L13" s="338">
        <f>IF($A13&lt;=L$1,I13/I$4,"")</f>
        <v>7.8699743370402048E-3</v>
      </c>
      <c r="M13" s="343"/>
      <c r="N13" s="344" t="s">
        <v>431</v>
      </c>
      <c r="O13" s="346" t="s">
        <v>411</v>
      </c>
      <c r="P13" s="347" t="s">
        <v>411</v>
      </c>
      <c r="Q13" s="347" t="s">
        <v>411</v>
      </c>
      <c r="R13" s="348" t="s">
        <v>411</v>
      </c>
      <c r="S13" s="349"/>
      <c r="T13" s="343" t="s">
        <v>412</v>
      </c>
      <c r="U13" s="343"/>
      <c r="V13" s="344"/>
      <c r="W13" s="346" t="s">
        <v>411</v>
      </c>
      <c r="X13" s="347" t="s">
        <v>411</v>
      </c>
      <c r="Y13" s="347" t="s">
        <v>411</v>
      </c>
      <c r="Z13" s="348" t="s">
        <v>411</v>
      </c>
      <c r="AA13" s="349"/>
      <c r="AB13" s="343" t="s">
        <v>412</v>
      </c>
      <c r="AC13" s="343"/>
      <c r="AD13" s="344"/>
      <c r="AE13" s="342"/>
      <c r="AF13" s="341"/>
    </row>
    <row r="14" spans="1:32">
      <c r="A14" s="307">
        <v>3</v>
      </c>
      <c r="B14" s="342"/>
      <c r="C14" s="342" t="s">
        <v>179</v>
      </c>
      <c r="D14" s="340" t="s">
        <v>355</v>
      </c>
      <c r="E14" s="342" t="s">
        <v>432</v>
      </c>
      <c r="F14" s="345" t="s">
        <v>279</v>
      </c>
      <c r="G14" s="308">
        <v>4</v>
      </c>
      <c r="H14" s="309">
        <v>23000</v>
      </c>
      <c r="I14" s="309">
        <v>92000</v>
      </c>
      <c r="J14" s="211"/>
      <c r="K14" s="212" t="str">
        <f>IF(OR(J14="",G14=J14),"","*")</f>
        <v/>
      </c>
      <c r="L14" s="338">
        <f>IF($A14&lt;=L$1,I14/I$4,"")</f>
        <v>7.8699743370402048E-3</v>
      </c>
      <c r="M14" s="343"/>
      <c r="N14" s="344"/>
      <c r="O14" s="346" t="s">
        <v>411</v>
      </c>
      <c r="P14" s="347" t="s">
        <v>411</v>
      </c>
      <c r="Q14" s="347" t="s">
        <v>411</v>
      </c>
      <c r="R14" s="348" t="s">
        <v>411</v>
      </c>
      <c r="S14" s="349"/>
      <c r="T14" s="343" t="s">
        <v>412</v>
      </c>
      <c r="U14" s="343"/>
      <c r="V14" s="344"/>
      <c r="W14" s="346" t="s">
        <v>411</v>
      </c>
      <c r="X14" s="347" t="s">
        <v>411</v>
      </c>
      <c r="Y14" s="347" t="s">
        <v>411</v>
      </c>
      <c r="Z14" s="348" t="s">
        <v>411</v>
      </c>
      <c r="AA14" s="349"/>
      <c r="AB14" s="343" t="s">
        <v>412</v>
      </c>
      <c r="AC14" s="343"/>
      <c r="AD14" s="344"/>
      <c r="AE14" s="342" t="s">
        <v>280</v>
      </c>
      <c r="AF14" s="341"/>
    </row>
    <row r="15" spans="1:32">
      <c r="A15" s="307">
        <v>2</v>
      </c>
      <c r="B15" s="342"/>
      <c r="C15" s="342" t="s">
        <v>233</v>
      </c>
      <c r="D15" s="340" t="s">
        <v>433</v>
      </c>
      <c r="E15" s="342" t="s">
        <v>434</v>
      </c>
      <c r="F15" s="345" t="s">
        <v>169</v>
      </c>
      <c r="G15" s="308">
        <v>1</v>
      </c>
      <c r="H15" s="309">
        <v>260000</v>
      </c>
      <c r="I15" s="309">
        <v>260000</v>
      </c>
      <c r="J15" s="211">
        <v>1</v>
      </c>
      <c r="K15" s="212" t="str">
        <f>IF(OR(J15="",G15=J15),"","*")</f>
        <v/>
      </c>
      <c r="L15" s="338">
        <f>IF($A15&lt;=L$1,I15/I$4,"")</f>
        <v>2.2241231822070145E-2</v>
      </c>
      <c r="M15" s="343"/>
      <c r="N15" s="344" t="s">
        <v>435</v>
      </c>
      <c r="O15" s="346" t="s">
        <v>411</v>
      </c>
      <c r="P15" s="347" t="s">
        <v>411</v>
      </c>
      <c r="Q15" s="347" t="s">
        <v>411</v>
      </c>
      <c r="R15" s="348" t="s">
        <v>411</v>
      </c>
      <c r="S15" s="349"/>
      <c r="T15" s="343" t="s">
        <v>412</v>
      </c>
      <c r="U15" s="343"/>
      <c r="V15" s="344"/>
      <c r="W15" s="346" t="s">
        <v>411</v>
      </c>
      <c r="X15" s="347" t="s">
        <v>411</v>
      </c>
      <c r="Y15" s="347" t="s">
        <v>411</v>
      </c>
      <c r="Z15" s="348" t="s">
        <v>411</v>
      </c>
      <c r="AA15" s="349"/>
      <c r="AB15" s="343" t="s">
        <v>412</v>
      </c>
      <c r="AC15" s="343"/>
      <c r="AD15" s="344"/>
      <c r="AE15" s="342"/>
      <c r="AF15" s="341"/>
    </row>
    <row r="16" spans="1:32">
      <c r="A16" s="307">
        <v>3</v>
      </c>
      <c r="B16" s="342"/>
      <c r="C16" s="342" t="s">
        <v>182</v>
      </c>
      <c r="D16" s="340" t="s">
        <v>436</v>
      </c>
      <c r="E16" s="342"/>
      <c r="F16" s="345" t="s">
        <v>169</v>
      </c>
      <c r="G16" s="308">
        <v>1</v>
      </c>
      <c r="H16" s="309">
        <v>160000</v>
      </c>
      <c r="I16" s="309">
        <v>160000</v>
      </c>
      <c r="J16" s="211"/>
      <c r="K16" s="212" t="str">
        <f>IF(OR(J16="",G16=J16),"","*")</f>
        <v/>
      </c>
      <c r="L16" s="338">
        <f>IF($A16&lt;=L$1,I16/I$4,"")</f>
        <v>1.3686911890504704E-2</v>
      </c>
      <c r="M16" s="343"/>
      <c r="N16" s="344"/>
      <c r="O16" s="346" t="s">
        <v>411</v>
      </c>
      <c r="P16" s="347" t="s">
        <v>411</v>
      </c>
      <c r="Q16" s="347" t="s">
        <v>411</v>
      </c>
      <c r="R16" s="348" t="s">
        <v>411</v>
      </c>
      <c r="S16" s="349"/>
      <c r="T16" s="343" t="s">
        <v>412</v>
      </c>
      <c r="U16" s="343"/>
      <c r="V16" s="344"/>
      <c r="W16" s="346" t="s">
        <v>411</v>
      </c>
      <c r="X16" s="347" t="s">
        <v>411</v>
      </c>
      <c r="Y16" s="347" t="s">
        <v>411</v>
      </c>
      <c r="Z16" s="348" t="s">
        <v>411</v>
      </c>
      <c r="AA16" s="349"/>
      <c r="AB16" s="343" t="s">
        <v>412</v>
      </c>
      <c r="AC16" s="343"/>
      <c r="AD16" s="344"/>
      <c r="AE16" s="342"/>
      <c r="AF16" s="341"/>
    </row>
    <row r="17" spans="1:32">
      <c r="A17" s="307">
        <v>3</v>
      </c>
      <c r="B17" s="342"/>
      <c r="C17" s="342" t="s">
        <v>181</v>
      </c>
      <c r="D17" s="340" t="s">
        <v>437</v>
      </c>
      <c r="E17" s="342" t="s">
        <v>438</v>
      </c>
      <c r="F17" s="345" t="s">
        <v>169</v>
      </c>
      <c r="G17" s="308">
        <v>1</v>
      </c>
      <c r="H17" s="309">
        <v>100000</v>
      </c>
      <c r="I17" s="309">
        <v>100000</v>
      </c>
      <c r="J17" s="211"/>
      <c r="K17" s="212" t="str">
        <f>IF(OR(J17="",G17=J17),"","*")</f>
        <v/>
      </c>
      <c r="L17" s="338">
        <f>IF($A17&lt;=L$1,I17/I$4,"")</f>
        <v>8.5543199315654406E-3</v>
      </c>
      <c r="M17" s="343"/>
      <c r="N17" s="344"/>
      <c r="O17" s="346" t="s">
        <v>411</v>
      </c>
      <c r="P17" s="347" t="s">
        <v>411</v>
      </c>
      <c r="Q17" s="347" t="s">
        <v>411</v>
      </c>
      <c r="R17" s="348" t="s">
        <v>411</v>
      </c>
      <c r="S17" s="349"/>
      <c r="T17" s="343" t="s">
        <v>412</v>
      </c>
      <c r="U17" s="343"/>
      <c r="V17" s="344"/>
      <c r="W17" s="346" t="s">
        <v>411</v>
      </c>
      <c r="X17" s="347" t="s">
        <v>411</v>
      </c>
      <c r="Y17" s="347" t="s">
        <v>411</v>
      </c>
      <c r="Z17" s="348" t="s">
        <v>411</v>
      </c>
      <c r="AA17" s="349"/>
      <c r="AB17" s="343" t="s">
        <v>412</v>
      </c>
      <c r="AC17" s="343"/>
      <c r="AD17" s="344"/>
      <c r="AE17" s="342"/>
      <c r="AF17" s="341"/>
    </row>
    <row r="18" spans="1:32">
      <c r="A18" s="307">
        <v>2</v>
      </c>
      <c r="B18" s="342"/>
      <c r="C18" s="342" t="s">
        <v>233</v>
      </c>
      <c r="D18" s="340" t="s">
        <v>439</v>
      </c>
      <c r="E18" s="342" t="s">
        <v>440</v>
      </c>
      <c r="F18" s="345" t="s">
        <v>169</v>
      </c>
      <c r="G18" s="308">
        <v>1</v>
      </c>
      <c r="H18" s="309">
        <v>1398000</v>
      </c>
      <c r="I18" s="309">
        <v>1398000</v>
      </c>
      <c r="J18" s="211">
        <v>1</v>
      </c>
      <c r="K18" s="212" t="str">
        <f>IF(OR(J18="",G18=J18),"","*")</f>
        <v/>
      </c>
      <c r="L18" s="338">
        <f>IF($A18&lt;=L$1,I18/I$4,"")</f>
        <v>0.11958939264328486</v>
      </c>
      <c r="M18" s="343"/>
      <c r="N18" s="344" t="s">
        <v>441</v>
      </c>
      <c r="O18" s="346" t="s">
        <v>411</v>
      </c>
      <c r="P18" s="347" t="s">
        <v>411</v>
      </c>
      <c r="Q18" s="347" t="s">
        <v>411</v>
      </c>
      <c r="R18" s="348" t="s">
        <v>411</v>
      </c>
      <c r="S18" s="349"/>
      <c r="T18" s="343" t="s">
        <v>412</v>
      </c>
      <c r="U18" s="343"/>
      <c r="V18" s="344"/>
      <c r="W18" s="346" t="s">
        <v>411</v>
      </c>
      <c r="X18" s="347" t="s">
        <v>411</v>
      </c>
      <c r="Y18" s="347" t="s">
        <v>411</v>
      </c>
      <c r="Z18" s="348" t="s">
        <v>411</v>
      </c>
      <c r="AA18" s="349"/>
      <c r="AB18" s="343" t="s">
        <v>412</v>
      </c>
      <c r="AC18" s="343"/>
      <c r="AD18" s="344"/>
      <c r="AE18" s="342"/>
      <c r="AF18" s="341"/>
    </row>
    <row r="19" spans="1:32">
      <c r="A19" s="307">
        <v>3</v>
      </c>
      <c r="B19" s="342"/>
      <c r="C19" s="342" t="s">
        <v>180</v>
      </c>
      <c r="D19" s="340" t="s">
        <v>442</v>
      </c>
      <c r="E19" s="342" t="s">
        <v>443</v>
      </c>
      <c r="F19" s="345" t="s">
        <v>279</v>
      </c>
      <c r="G19" s="308">
        <v>37</v>
      </c>
      <c r="H19" s="309">
        <v>24000</v>
      </c>
      <c r="I19" s="309">
        <v>888000</v>
      </c>
      <c r="J19" s="211"/>
      <c r="K19" s="212" t="str">
        <f>IF(OR(J19="",G19=J19),"","*")</f>
        <v/>
      </c>
      <c r="L19" s="338">
        <f>IF($A19&lt;=L$1,I19/I$4,"")</f>
        <v>7.5962360992301109E-2</v>
      </c>
      <c r="M19" s="343"/>
      <c r="N19" s="344"/>
      <c r="O19" s="346" t="s">
        <v>411</v>
      </c>
      <c r="P19" s="347" t="s">
        <v>411</v>
      </c>
      <c r="Q19" s="347" t="s">
        <v>411</v>
      </c>
      <c r="R19" s="348" t="s">
        <v>411</v>
      </c>
      <c r="S19" s="349"/>
      <c r="T19" s="343" t="s">
        <v>412</v>
      </c>
      <c r="U19" s="343"/>
      <c r="V19" s="344"/>
      <c r="W19" s="346" t="s">
        <v>411</v>
      </c>
      <c r="X19" s="347" t="s">
        <v>411</v>
      </c>
      <c r="Y19" s="347" t="s">
        <v>411</v>
      </c>
      <c r="Z19" s="348" t="s">
        <v>411</v>
      </c>
      <c r="AA19" s="349"/>
      <c r="AB19" s="343" t="s">
        <v>412</v>
      </c>
      <c r="AC19" s="343"/>
      <c r="AD19" s="344"/>
      <c r="AE19" s="342" t="s">
        <v>444</v>
      </c>
      <c r="AF19" s="341"/>
    </row>
    <row r="20" spans="1:32">
      <c r="A20" s="307">
        <v>3</v>
      </c>
      <c r="B20" s="342"/>
      <c r="C20" s="342" t="s">
        <v>180</v>
      </c>
      <c r="D20" s="340" t="s">
        <v>442</v>
      </c>
      <c r="E20" s="342"/>
      <c r="F20" s="345" t="s">
        <v>279</v>
      </c>
      <c r="G20" s="308">
        <v>14</v>
      </c>
      <c r="H20" s="309">
        <v>20000</v>
      </c>
      <c r="I20" s="309">
        <v>280000</v>
      </c>
      <c r="J20" s="211"/>
      <c r="K20" s="212" t="str">
        <f>IF(OR(J20="",G20=J20),"","*")</f>
        <v/>
      </c>
      <c r="L20" s="338">
        <f>IF($A20&lt;=L$1,I20/I$4,"")</f>
        <v>2.3952095808383235E-2</v>
      </c>
      <c r="M20" s="343"/>
      <c r="N20" s="344"/>
      <c r="O20" s="346" t="s">
        <v>411</v>
      </c>
      <c r="P20" s="347" t="s">
        <v>411</v>
      </c>
      <c r="Q20" s="347" t="s">
        <v>411</v>
      </c>
      <c r="R20" s="348" t="s">
        <v>411</v>
      </c>
      <c r="S20" s="349"/>
      <c r="T20" s="343" t="s">
        <v>412</v>
      </c>
      <c r="U20" s="343"/>
      <c r="V20" s="344"/>
      <c r="W20" s="346" t="s">
        <v>411</v>
      </c>
      <c r="X20" s="347" t="s">
        <v>411</v>
      </c>
      <c r="Y20" s="347" t="s">
        <v>411</v>
      </c>
      <c r="Z20" s="348" t="s">
        <v>411</v>
      </c>
      <c r="AA20" s="349"/>
      <c r="AB20" s="343" t="s">
        <v>412</v>
      </c>
      <c r="AC20" s="343"/>
      <c r="AD20" s="344"/>
      <c r="AE20" s="342" t="s">
        <v>445</v>
      </c>
      <c r="AF20" s="341"/>
    </row>
    <row r="21" spans="1:32">
      <c r="A21" s="307">
        <v>3</v>
      </c>
      <c r="B21" s="342"/>
      <c r="C21" s="342" t="s">
        <v>181</v>
      </c>
      <c r="D21" s="340" t="s">
        <v>446</v>
      </c>
      <c r="E21" s="342"/>
      <c r="F21" s="345" t="s">
        <v>169</v>
      </c>
      <c r="G21" s="308">
        <v>1</v>
      </c>
      <c r="H21" s="309">
        <v>230000</v>
      </c>
      <c r="I21" s="309">
        <v>230000</v>
      </c>
      <c r="J21" s="211"/>
      <c r="K21" s="212" t="str">
        <f>IF(OR(J21="",G21=J21),"","*")</f>
        <v/>
      </c>
      <c r="L21" s="338">
        <f>IF($A21&lt;=L$1,I21/I$4,"")</f>
        <v>1.9674935842600515E-2</v>
      </c>
      <c r="M21" s="343"/>
      <c r="N21" s="344"/>
      <c r="O21" s="346" t="s">
        <v>411</v>
      </c>
      <c r="P21" s="347" t="s">
        <v>411</v>
      </c>
      <c r="Q21" s="347" t="s">
        <v>411</v>
      </c>
      <c r="R21" s="348" t="s">
        <v>411</v>
      </c>
      <c r="S21" s="349"/>
      <c r="T21" s="343" t="s">
        <v>412</v>
      </c>
      <c r="U21" s="343"/>
      <c r="V21" s="344"/>
      <c r="W21" s="346" t="s">
        <v>411</v>
      </c>
      <c r="X21" s="347" t="s">
        <v>411</v>
      </c>
      <c r="Y21" s="347" t="s">
        <v>411</v>
      </c>
      <c r="Z21" s="348" t="s">
        <v>411</v>
      </c>
      <c r="AA21" s="349"/>
      <c r="AB21" s="343" t="s">
        <v>412</v>
      </c>
      <c r="AC21" s="343"/>
      <c r="AD21" s="344"/>
      <c r="AE21" s="342"/>
      <c r="AF21" s="341"/>
    </row>
    <row r="22" spans="1:32">
      <c r="A22" s="217"/>
      <c r="B22" s="217"/>
      <c r="C22" s="312"/>
      <c r="D22" s="217"/>
      <c r="E22" s="217"/>
      <c r="F22" s="218"/>
      <c r="G22" s="217"/>
      <c r="H22" s="217"/>
      <c r="I22" s="217"/>
      <c r="J22" s="217"/>
      <c r="K22" s="218"/>
      <c r="L22" s="217"/>
      <c r="M22" s="217"/>
      <c r="N22" s="217"/>
      <c r="O22" s="217"/>
      <c r="P22" s="217"/>
      <c r="Q22" s="217"/>
      <c r="R22" s="217"/>
      <c r="S22" s="218"/>
      <c r="T22" s="217"/>
      <c r="U22" s="217"/>
      <c r="V22" s="217"/>
      <c r="W22" s="217"/>
      <c r="X22" s="217"/>
      <c r="Y22" s="217"/>
      <c r="Z22" s="217"/>
      <c r="AA22" s="218"/>
      <c r="AB22" s="217"/>
      <c r="AC22" s="217"/>
      <c r="AD22" s="217"/>
      <c r="AE22" s="217"/>
      <c r="AF2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1 AF4:AF2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407</v>
      </c>
      <c r="C3" s="561"/>
      <c r="D3" s="563" t="s">
        <v>169</v>
      </c>
      <c r="E3" s="565">
        <v>1</v>
      </c>
      <c r="F3" s="521">
        <v>222000</v>
      </c>
      <c r="G3" s="557">
        <v>222000</v>
      </c>
      <c r="H3" s="138" t="s">
        <v>447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197</v>
      </c>
      <c r="I4" s="69"/>
    </row>
    <row r="5" spans="1:9" ht="15.75" customHeight="1">
      <c r="A5" s="69"/>
      <c r="B5" s="559" t="s">
        <v>408</v>
      </c>
      <c r="C5" s="561" t="s">
        <v>448</v>
      </c>
      <c r="D5" s="563" t="s">
        <v>169</v>
      </c>
      <c r="E5" s="565">
        <v>1</v>
      </c>
      <c r="F5" s="521">
        <v>16296</v>
      </c>
      <c r="G5" s="557">
        <v>16296</v>
      </c>
      <c r="H5" s="138" t="s">
        <v>449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197</v>
      </c>
      <c r="I6" s="69"/>
    </row>
    <row r="7" spans="1:9" ht="15.75" customHeight="1">
      <c r="A7" s="69"/>
      <c r="B7" s="559"/>
      <c r="C7" s="561"/>
      <c r="D7" s="563"/>
      <c r="E7" s="565"/>
      <c r="F7" s="521"/>
      <c r="G7" s="557"/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 t="s">
        <v>228</v>
      </c>
      <c r="C9" s="561"/>
      <c r="D9" s="563"/>
      <c r="E9" s="565"/>
      <c r="F9" s="521"/>
      <c r="G9" s="557">
        <v>238296</v>
      </c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0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24-119★令和6年度 橋りょう補修工事 公共 県単 合併</v>
      </c>
      <c r="G1" s="306"/>
      <c r="H1" s="190" t="s">
        <v>131</v>
      </c>
      <c r="I1" s="333">
        <v>13150000</v>
      </c>
      <c r="J1" s="339">
        <f>I4/I$1</f>
        <v>0.88897338403041826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185</v>
      </c>
      <c r="E4" s="342"/>
      <c r="F4" s="345" t="s">
        <v>169</v>
      </c>
      <c r="G4" s="308">
        <v>1</v>
      </c>
      <c r="H4" s="309">
        <v>11690000</v>
      </c>
      <c r="I4" s="309">
        <v>11690000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411</v>
      </c>
      <c r="P4" s="347" t="s">
        <v>411</v>
      </c>
      <c r="Q4" s="347" t="s">
        <v>411</v>
      </c>
      <c r="R4" s="348" t="s">
        <v>411</v>
      </c>
      <c r="S4" s="349"/>
      <c r="T4" s="343" t="s">
        <v>412</v>
      </c>
      <c r="U4" s="343"/>
      <c r="V4" s="344"/>
      <c r="W4" s="346" t="s">
        <v>411</v>
      </c>
      <c r="X4" s="347" t="s">
        <v>411</v>
      </c>
      <c r="Y4" s="347" t="s">
        <v>411</v>
      </c>
      <c r="Z4" s="348" t="s">
        <v>411</v>
      </c>
      <c r="AA4" s="349"/>
      <c r="AB4" s="343" t="s">
        <v>412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231</v>
      </c>
      <c r="D5" s="340" t="s">
        <v>450</v>
      </c>
      <c r="E5" s="342"/>
      <c r="F5" s="345" t="s">
        <v>169</v>
      </c>
      <c r="G5" s="308">
        <v>1</v>
      </c>
      <c r="H5" s="309">
        <v>238296</v>
      </c>
      <c r="I5" s="309">
        <v>238296</v>
      </c>
      <c r="J5" s="211"/>
      <c r="K5" s="212" t="str">
        <f>IF(OR(J5="",G5=J5),"","*")</f>
        <v/>
      </c>
      <c r="L5" s="338">
        <f>IF($A5&lt;=L$1,I5/I$4,"")</f>
        <v>2.0384602224123183E-2</v>
      </c>
      <c r="M5" s="343"/>
      <c r="N5" s="344"/>
      <c r="O5" s="346" t="s">
        <v>411</v>
      </c>
      <c r="P5" s="347" t="s">
        <v>411</v>
      </c>
      <c r="Q5" s="347" t="s">
        <v>411</v>
      </c>
      <c r="R5" s="348" t="s">
        <v>411</v>
      </c>
      <c r="S5" s="349"/>
      <c r="T5" s="343" t="s">
        <v>412</v>
      </c>
      <c r="U5" s="343"/>
      <c r="V5" s="344"/>
      <c r="W5" s="346" t="s">
        <v>411</v>
      </c>
      <c r="X5" s="347" t="s">
        <v>411</v>
      </c>
      <c r="Y5" s="347" t="s">
        <v>411</v>
      </c>
      <c r="Z5" s="348" t="s">
        <v>411</v>
      </c>
      <c r="AA5" s="349"/>
      <c r="AB5" s="343" t="s">
        <v>412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233</v>
      </c>
      <c r="D6" s="340" t="s">
        <v>451</v>
      </c>
      <c r="E6" s="342"/>
      <c r="F6" s="345" t="s">
        <v>169</v>
      </c>
      <c r="G6" s="308">
        <v>1</v>
      </c>
      <c r="H6" s="309">
        <v>222000</v>
      </c>
      <c r="I6" s="309">
        <v>222000</v>
      </c>
      <c r="J6" s="211">
        <v>1</v>
      </c>
      <c r="K6" s="212" t="str">
        <f>IF(OR(J6="",G6=J6),"","*")</f>
        <v/>
      </c>
      <c r="L6" s="338">
        <f>IF($A6&lt;=L$1,I6/I$4,"")</f>
        <v>1.8990590248075277E-2</v>
      </c>
      <c r="M6" s="343"/>
      <c r="N6" s="344" t="s">
        <v>452</v>
      </c>
      <c r="O6" s="346" t="s">
        <v>411</v>
      </c>
      <c r="P6" s="347" t="s">
        <v>411</v>
      </c>
      <c r="Q6" s="347" t="s">
        <v>411</v>
      </c>
      <c r="R6" s="348" t="s">
        <v>411</v>
      </c>
      <c r="S6" s="349"/>
      <c r="T6" s="343" t="s">
        <v>412</v>
      </c>
      <c r="U6" s="343"/>
      <c r="V6" s="344"/>
      <c r="W6" s="346" t="s">
        <v>411</v>
      </c>
      <c r="X6" s="347" t="s">
        <v>411</v>
      </c>
      <c r="Y6" s="347" t="s">
        <v>411</v>
      </c>
      <c r="Z6" s="348" t="s">
        <v>411</v>
      </c>
      <c r="AA6" s="349"/>
      <c r="AB6" s="343" t="s">
        <v>412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184</v>
      </c>
      <c r="D7" s="340" t="s">
        <v>453</v>
      </c>
      <c r="E7" s="342"/>
      <c r="F7" s="345" t="s">
        <v>454</v>
      </c>
      <c r="G7" s="308">
        <v>6</v>
      </c>
      <c r="H7" s="309">
        <v>37000</v>
      </c>
      <c r="I7" s="309">
        <v>222000</v>
      </c>
      <c r="J7" s="211"/>
      <c r="K7" s="212" t="str">
        <f>IF(OR(J7="",G7=J7),"","*")</f>
        <v/>
      </c>
      <c r="L7" s="338">
        <f>IF($A7&lt;=L$1,I7/I$4,"")</f>
        <v>1.8990590248075277E-2</v>
      </c>
      <c r="M7" s="343"/>
      <c r="N7" s="344"/>
      <c r="O7" s="346" t="s">
        <v>411</v>
      </c>
      <c r="P7" s="347" t="s">
        <v>411</v>
      </c>
      <c r="Q7" s="347" t="s">
        <v>411</v>
      </c>
      <c r="R7" s="348" t="s">
        <v>411</v>
      </c>
      <c r="S7" s="349"/>
      <c r="T7" s="343" t="s">
        <v>412</v>
      </c>
      <c r="U7" s="343"/>
      <c r="V7" s="344"/>
      <c r="W7" s="346" t="s">
        <v>411</v>
      </c>
      <c r="X7" s="347" t="s">
        <v>411</v>
      </c>
      <c r="Y7" s="347" t="s">
        <v>411</v>
      </c>
      <c r="Z7" s="348" t="s">
        <v>411</v>
      </c>
      <c r="AA7" s="349"/>
      <c r="AB7" s="343" t="s">
        <v>412</v>
      </c>
      <c r="AC7" s="343"/>
      <c r="AD7" s="344"/>
      <c r="AE7" s="342" t="s">
        <v>455</v>
      </c>
      <c r="AF7" s="341" t="s">
        <v>117</v>
      </c>
    </row>
    <row r="8" spans="1:32">
      <c r="A8" s="307">
        <v>2</v>
      </c>
      <c r="B8" s="342"/>
      <c r="C8" s="342" t="s">
        <v>233</v>
      </c>
      <c r="D8" s="340" t="s">
        <v>456</v>
      </c>
      <c r="E8" s="342" t="s">
        <v>448</v>
      </c>
      <c r="F8" s="345" t="s">
        <v>169</v>
      </c>
      <c r="G8" s="308">
        <v>1</v>
      </c>
      <c r="H8" s="309">
        <v>16296</v>
      </c>
      <c r="I8" s="309">
        <v>16296</v>
      </c>
      <c r="J8" s="211">
        <v>1</v>
      </c>
      <c r="K8" s="212" t="str">
        <f>IF(OR(J8="",G8=J8),"","*")</f>
        <v/>
      </c>
      <c r="L8" s="338">
        <f>IF($A8&lt;=L$1,I8/I$4,"")</f>
        <v>1.3940119760479043E-3</v>
      </c>
      <c r="M8" s="343"/>
      <c r="N8" s="344" t="s">
        <v>457</v>
      </c>
      <c r="O8" s="346" t="s">
        <v>411</v>
      </c>
      <c r="P8" s="347" t="s">
        <v>411</v>
      </c>
      <c r="Q8" s="347" t="s">
        <v>411</v>
      </c>
      <c r="R8" s="348" t="s">
        <v>411</v>
      </c>
      <c r="S8" s="349"/>
      <c r="T8" s="343" t="s">
        <v>412</v>
      </c>
      <c r="U8" s="343"/>
      <c r="V8" s="344"/>
      <c r="W8" s="346" t="s">
        <v>411</v>
      </c>
      <c r="X8" s="347" t="s">
        <v>411</v>
      </c>
      <c r="Y8" s="347" t="s">
        <v>411</v>
      </c>
      <c r="Z8" s="348" t="s">
        <v>411</v>
      </c>
      <c r="AA8" s="349"/>
      <c r="AB8" s="343" t="s">
        <v>412</v>
      </c>
      <c r="AC8" s="343"/>
      <c r="AD8" s="344"/>
      <c r="AE8" s="342"/>
      <c r="AF8" s="341" t="s">
        <v>117</v>
      </c>
    </row>
    <row r="9" spans="1:32">
      <c r="A9" s="307">
        <v>3</v>
      </c>
      <c r="B9" s="342"/>
      <c r="C9" s="342" t="s">
        <v>178</v>
      </c>
      <c r="D9" s="340" t="s">
        <v>239</v>
      </c>
      <c r="E9" s="342"/>
      <c r="F9" s="345" t="s">
        <v>169</v>
      </c>
      <c r="G9" s="308">
        <v>1</v>
      </c>
      <c r="H9" s="309">
        <v>16296</v>
      </c>
      <c r="I9" s="309">
        <v>16296</v>
      </c>
      <c r="J9" s="211"/>
      <c r="K9" s="212" t="str">
        <f>IF(OR(J9="",G9=J9),"","*")</f>
        <v/>
      </c>
      <c r="L9" s="338">
        <f>IF($A9&lt;=L$1,I9/I$4,"")</f>
        <v>1.3940119760479043E-3</v>
      </c>
      <c r="M9" s="343"/>
      <c r="N9" s="344"/>
      <c r="O9" s="346" t="s">
        <v>411</v>
      </c>
      <c r="P9" s="347" t="s">
        <v>411</v>
      </c>
      <c r="Q9" s="347" t="s">
        <v>411</v>
      </c>
      <c r="R9" s="348" t="s">
        <v>411</v>
      </c>
      <c r="S9" s="349"/>
      <c r="T9" s="343" t="s">
        <v>412</v>
      </c>
      <c r="U9" s="343"/>
      <c r="V9" s="344"/>
      <c r="W9" s="346" t="s">
        <v>411</v>
      </c>
      <c r="X9" s="347" t="s">
        <v>411</v>
      </c>
      <c r="Y9" s="347" t="s">
        <v>411</v>
      </c>
      <c r="Z9" s="348" t="s">
        <v>411</v>
      </c>
      <c r="AA9" s="349"/>
      <c r="AB9" s="343" t="s">
        <v>412</v>
      </c>
      <c r="AC9" s="343"/>
      <c r="AD9" s="344"/>
      <c r="AE9" s="342" t="s">
        <v>240</v>
      </c>
      <c r="AF9" s="341" t="s">
        <v>117</v>
      </c>
    </row>
    <row r="10" spans="1:32">
      <c r="A10" s="217"/>
      <c r="B10" s="217"/>
      <c r="C10" s="312"/>
      <c r="D10" s="217"/>
      <c r="E10" s="217"/>
      <c r="F10" s="218"/>
      <c r="G10" s="217"/>
      <c r="H10" s="217"/>
      <c r="I10" s="217"/>
      <c r="J10" s="217"/>
      <c r="K10" s="218"/>
      <c r="L10" s="217"/>
      <c r="M10" s="217"/>
      <c r="N10" s="217"/>
      <c r="O10" s="217"/>
      <c r="P10" s="217"/>
      <c r="Q10" s="217"/>
      <c r="R10" s="217"/>
      <c r="S10" s="218"/>
      <c r="T10" s="217"/>
      <c r="U10" s="217"/>
      <c r="V10" s="217"/>
      <c r="W10" s="217"/>
      <c r="X10" s="217"/>
      <c r="Y10" s="217"/>
      <c r="Z10" s="217"/>
      <c r="AA10" s="218"/>
      <c r="AB10" s="217"/>
      <c r="AC10" s="217"/>
      <c r="AD10" s="217"/>
      <c r="AE10" s="217"/>
      <c r="AF10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9 AF4:AF9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9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458</v>
      </c>
      <c r="C3" s="146" t="s">
        <v>459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460</v>
      </c>
      <c r="K4" s="69"/>
    </row>
    <row r="5" spans="1:11" ht="18" customHeight="1">
      <c r="A5" s="69"/>
      <c r="B5" s="574" t="s">
        <v>461</v>
      </c>
      <c r="C5" s="575"/>
      <c r="D5" s="153" t="s">
        <v>85</v>
      </c>
      <c r="E5" s="153" t="s">
        <v>462</v>
      </c>
      <c r="F5" s="153" t="s">
        <v>463</v>
      </c>
      <c r="G5" s="153" t="s">
        <v>464</v>
      </c>
      <c r="H5" s="154" t="s">
        <v>465</v>
      </c>
      <c r="I5" s="153" t="s">
        <v>466</v>
      </c>
      <c r="J5" s="155" t="s">
        <v>467</v>
      </c>
      <c r="K5" s="69"/>
    </row>
    <row r="6" spans="1:11" ht="10.5" customHeight="1">
      <c r="A6" s="69"/>
      <c r="B6" s="156" t="s">
        <v>468</v>
      </c>
      <c r="C6" s="157"/>
      <c r="D6" s="576" t="s">
        <v>469</v>
      </c>
      <c r="E6" s="578">
        <v>0.21</v>
      </c>
      <c r="F6" s="580">
        <v>219500</v>
      </c>
      <c r="G6" s="582">
        <v>46095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470</v>
      </c>
      <c r="J7" s="161"/>
      <c r="K7" s="69" t="s">
        <v>96</v>
      </c>
    </row>
    <row r="8" spans="1:11" ht="10.5" customHeight="1">
      <c r="A8" s="69"/>
      <c r="B8" s="156" t="s">
        <v>471</v>
      </c>
      <c r="C8" s="157"/>
      <c r="D8" s="576" t="s">
        <v>472</v>
      </c>
      <c r="E8" s="578">
        <v>1</v>
      </c>
      <c r="F8" s="580">
        <v>100000</v>
      </c>
      <c r="G8" s="582">
        <v>100000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470</v>
      </c>
      <c r="J9" s="162"/>
      <c r="K9" s="69" t="s">
        <v>96</v>
      </c>
    </row>
    <row r="10" spans="1:11" ht="10.5" customHeight="1">
      <c r="A10" s="69"/>
      <c r="B10" s="156" t="s">
        <v>473</v>
      </c>
      <c r="C10" s="157"/>
      <c r="D10" s="576" t="s">
        <v>474</v>
      </c>
      <c r="E10" s="578">
        <v>280</v>
      </c>
      <c r="F10" s="580">
        <v>150</v>
      </c>
      <c r="G10" s="582">
        <v>42000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470</v>
      </c>
      <c r="J11" s="161"/>
      <c r="K11" s="69" t="s">
        <v>96</v>
      </c>
    </row>
    <row r="12" spans="1:11" ht="10.5" customHeight="1">
      <c r="A12" s="69"/>
      <c r="B12" s="156" t="s">
        <v>475</v>
      </c>
      <c r="C12" s="157"/>
      <c r="D12" s="576" t="s">
        <v>469</v>
      </c>
      <c r="E12" s="584">
        <v>18</v>
      </c>
      <c r="F12" s="580">
        <v>9000</v>
      </c>
      <c r="G12" s="582">
        <v>162000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476</v>
      </c>
      <c r="C13" s="160"/>
      <c r="D13" s="577"/>
      <c r="E13" s="585"/>
      <c r="F13" s="581"/>
      <c r="G13" s="583"/>
      <c r="H13" s="356"/>
      <c r="I13" s="356" t="s">
        <v>470</v>
      </c>
      <c r="J13" s="161"/>
      <c r="K13" s="69" t="s">
        <v>96</v>
      </c>
    </row>
    <row r="14" spans="1:11" ht="10.5" customHeight="1">
      <c r="A14" s="69"/>
      <c r="B14" s="156" t="s">
        <v>477</v>
      </c>
      <c r="C14" s="157"/>
      <c r="D14" s="576" t="s">
        <v>472</v>
      </c>
      <c r="E14" s="584">
        <v>1</v>
      </c>
      <c r="F14" s="580">
        <v>16296</v>
      </c>
      <c r="G14" s="582">
        <v>16296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470</v>
      </c>
      <c r="J15" s="161"/>
      <c r="K15" s="69" t="s">
        <v>96</v>
      </c>
    </row>
    <row r="16" spans="1:11" ht="10.5" customHeight="1">
      <c r="A16" s="69"/>
      <c r="B16" s="156" t="s">
        <v>477</v>
      </c>
      <c r="C16" s="157"/>
      <c r="D16" s="576" t="s">
        <v>472</v>
      </c>
      <c r="E16" s="584">
        <v>1</v>
      </c>
      <c r="F16" s="580">
        <v>7972</v>
      </c>
      <c r="G16" s="582">
        <v>7972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470</v>
      </c>
      <c r="J17" s="161"/>
      <c r="K17" s="69" t="s">
        <v>96</v>
      </c>
    </row>
    <row r="18" spans="1:11" ht="10.5" customHeight="1">
      <c r="A18" s="69"/>
      <c r="B18" s="156" t="s">
        <v>477</v>
      </c>
      <c r="C18" s="157"/>
      <c r="D18" s="576" t="s">
        <v>472</v>
      </c>
      <c r="E18" s="584">
        <v>1</v>
      </c>
      <c r="F18" s="580">
        <v>7900</v>
      </c>
      <c r="G18" s="582">
        <v>7900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470</v>
      </c>
      <c r="J19" s="161"/>
      <c r="K19" s="69" t="s">
        <v>96</v>
      </c>
    </row>
    <row r="20" spans="1:11" ht="10.5" customHeight="1">
      <c r="A20" s="69"/>
      <c r="B20" s="156" t="s">
        <v>477</v>
      </c>
      <c r="C20" s="157"/>
      <c r="D20" s="576" t="s">
        <v>472</v>
      </c>
      <c r="E20" s="584">
        <v>1</v>
      </c>
      <c r="F20" s="580">
        <v>7000</v>
      </c>
      <c r="G20" s="582">
        <v>7000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470</v>
      </c>
      <c r="J21" s="161"/>
      <c r="K21" s="69" t="s">
        <v>96</v>
      </c>
    </row>
    <row r="22" spans="1:11" ht="10.5" customHeight="1">
      <c r="A22" s="69"/>
      <c r="B22" s="156" t="s">
        <v>477</v>
      </c>
      <c r="C22" s="157"/>
      <c r="D22" s="576" t="s">
        <v>472</v>
      </c>
      <c r="E22" s="584">
        <v>1</v>
      </c>
      <c r="F22" s="580">
        <v>6250</v>
      </c>
      <c r="G22" s="582">
        <v>6250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470</v>
      </c>
      <c r="J23" s="161"/>
      <c r="K23" s="69" t="s">
        <v>96</v>
      </c>
    </row>
    <row r="24" spans="1:11" ht="10.5" customHeight="1">
      <c r="A24" s="69"/>
      <c r="B24" s="156" t="s">
        <v>477</v>
      </c>
      <c r="C24" s="157"/>
      <c r="D24" s="576" t="s">
        <v>472</v>
      </c>
      <c r="E24" s="578">
        <v>1</v>
      </c>
      <c r="F24" s="580">
        <v>6150</v>
      </c>
      <c r="G24" s="582">
        <v>6150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470</v>
      </c>
      <c r="J25" s="161"/>
      <c r="K25" s="69" t="s">
        <v>96</v>
      </c>
    </row>
    <row r="26" spans="1:11" ht="10.5" customHeight="1">
      <c r="A26" s="69"/>
      <c r="B26" s="156" t="s">
        <v>477</v>
      </c>
      <c r="C26" s="157"/>
      <c r="D26" s="576" t="s">
        <v>472</v>
      </c>
      <c r="E26" s="584">
        <v>1</v>
      </c>
      <c r="F26" s="580">
        <v>5200</v>
      </c>
      <c r="G26" s="582">
        <v>5200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470</v>
      </c>
      <c r="J27" s="161"/>
      <c r="K27" s="69" t="s">
        <v>96</v>
      </c>
    </row>
    <row r="28" spans="1:11" ht="10.5" customHeight="1">
      <c r="A28" s="69"/>
      <c r="B28" s="156" t="s">
        <v>477</v>
      </c>
      <c r="C28" s="157"/>
      <c r="D28" s="576" t="s">
        <v>472</v>
      </c>
      <c r="E28" s="584">
        <v>1</v>
      </c>
      <c r="F28" s="580">
        <v>4905</v>
      </c>
      <c r="G28" s="582">
        <v>4905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470</v>
      </c>
      <c r="J29" s="161"/>
      <c r="K29" s="69" t="s">
        <v>96</v>
      </c>
    </row>
    <row r="30" spans="1:11" ht="10.5" customHeight="1">
      <c r="A30" s="69"/>
      <c r="B30" s="156" t="s">
        <v>477</v>
      </c>
      <c r="C30" s="157"/>
      <c r="D30" s="576" t="s">
        <v>472</v>
      </c>
      <c r="E30" s="584">
        <v>1</v>
      </c>
      <c r="F30" s="580">
        <v>8960</v>
      </c>
      <c r="G30" s="582">
        <v>8960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478</v>
      </c>
      <c r="C31" s="160"/>
      <c r="D31" s="577"/>
      <c r="E31" s="585"/>
      <c r="F31" s="581"/>
      <c r="G31" s="583"/>
      <c r="H31" s="356"/>
      <c r="I31" s="356" t="s">
        <v>470</v>
      </c>
      <c r="J31" s="161"/>
      <c r="K31" s="69" t="s">
        <v>96</v>
      </c>
    </row>
    <row r="32" spans="1:11" ht="10.5" customHeight="1">
      <c r="A32" s="69"/>
      <c r="B32" s="156" t="s">
        <v>477</v>
      </c>
      <c r="C32" s="157"/>
      <c r="D32" s="576" t="s">
        <v>472</v>
      </c>
      <c r="E32" s="584">
        <v>1</v>
      </c>
      <c r="F32" s="580">
        <v>11600</v>
      </c>
      <c r="G32" s="582">
        <v>11600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479</v>
      </c>
      <c r="C33" s="160"/>
      <c r="D33" s="577"/>
      <c r="E33" s="585"/>
      <c r="F33" s="581"/>
      <c r="G33" s="583"/>
      <c r="H33" s="356"/>
      <c r="I33" s="356" t="s">
        <v>470</v>
      </c>
      <c r="J33" s="161"/>
      <c r="K33" s="69" t="s">
        <v>96</v>
      </c>
    </row>
    <row r="34" spans="1:11" ht="10.5" customHeight="1">
      <c r="A34" s="69"/>
      <c r="B34" s="156" t="s">
        <v>480</v>
      </c>
      <c r="C34" s="157"/>
      <c r="D34" s="576" t="s">
        <v>481</v>
      </c>
      <c r="E34" s="584">
        <v>1</v>
      </c>
      <c r="F34" s="580">
        <v>19300</v>
      </c>
      <c r="G34" s="582">
        <v>19300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482</v>
      </c>
      <c r="C35" s="160"/>
      <c r="D35" s="577"/>
      <c r="E35" s="585"/>
      <c r="F35" s="581"/>
      <c r="G35" s="583"/>
      <c r="H35" s="356"/>
      <c r="I35" s="356" t="s">
        <v>470</v>
      </c>
      <c r="J35" s="161"/>
      <c r="K35" s="69" t="s">
        <v>96</v>
      </c>
    </row>
    <row r="36" spans="1:11" ht="10.5" customHeight="1">
      <c r="A36" s="69"/>
      <c r="B36" s="156" t="s">
        <v>483</v>
      </c>
      <c r="C36" s="157"/>
      <c r="D36" s="576" t="s">
        <v>484</v>
      </c>
      <c r="E36" s="584">
        <v>39</v>
      </c>
      <c r="F36" s="580">
        <v>1680</v>
      </c>
      <c r="G36" s="582">
        <v>65520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485</v>
      </c>
      <c r="C37" s="160"/>
      <c r="D37" s="577"/>
      <c r="E37" s="585"/>
      <c r="F37" s="581"/>
      <c r="G37" s="583"/>
      <c r="H37" s="356"/>
      <c r="I37" s="356" t="s">
        <v>470</v>
      </c>
      <c r="J37" s="161"/>
      <c r="K37" s="69" t="s">
        <v>96</v>
      </c>
    </row>
    <row r="38" spans="1:11" ht="10.5" customHeight="1">
      <c r="A38" s="69"/>
      <c r="B38" s="156" t="s">
        <v>486</v>
      </c>
      <c r="C38" s="157"/>
      <c r="D38" s="576" t="s">
        <v>484</v>
      </c>
      <c r="E38" s="584">
        <v>58</v>
      </c>
      <c r="F38" s="580">
        <v>1380</v>
      </c>
      <c r="G38" s="582">
        <v>80040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470</v>
      </c>
      <c r="J39" s="161"/>
      <c r="K39" s="69" t="s">
        <v>96</v>
      </c>
    </row>
    <row r="40" spans="1:11" ht="10.5" customHeight="1">
      <c r="A40" s="69"/>
      <c r="B40" s="156" t="s">
        <v>487</v>
      </c>
      <c r="C40" s="157"/>
      <c r="D40" s="576" t="s">
        <v>484</v>
      </c>
      <c r="E40" s="584">
        <v>2</v>
      </c>
      <c r="F40" s="580">
        <v>2040</v>
      </c>
      <c r="G40" s="582">
        <v>4080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470</v>
      </c>
      <c r="J41" s="161"/>
      <c r="K41" s="69" t="s">
        <v>96</v>
      </c>
    </row>
    <row r="42" spans="1:11" ht="10.5" customHeight="1">
      <c r="A42" s="69"/>
      <c r="B42" s="156" t="s">
        <v>488</v>
      </c>
      <c r="C42" s="157"/>
      <c r="D42" s="576" t="s">
        <v>484</v>
      </c>
      <c r="E42" s="584">
        <v>2</v>
      </c>
      <c r="F42" s="580">
        <v>2040</v>
      </c>
      <c r="G42" s="582">
        <v>4080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470</v>
      </c>
      <c r="J43" s="161"/>
      <c r="K43" s="69" t="s">
        <v>96</v>
      </c>
    </row>
    <row r="44" spans="1:11" ht="10.5" customHeight="1">
      <c r="A44" s="69"/>
      <c r="B44" s="156" t="s">
        <v>489</v>
      </c>
      <c r="C44" s="157"/>
      <c r="D44" s="576" t="s">
        <v>484</v>
      </c>
      <c r="E44" s="584">
        <v>2</v>
      </c>
      <c r="F44" s="580">
        <v>3540</v>
      </c>
      <c r="G44" s="582">
        <v>7080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470</v>
      </c>
      <c r="J45" s="161"/>
      <c r="K45" s="69" t="s">
        <v>96</v>
      </c>
    </row>
    <row r="46" spans="1:11" ht="10.5" customHeight="1">
      <c r="A46" s="69"/>
      <c r="B46" s="156" t="s">
        <v>490</v>
      </c>
      <c r="C46" s="157"/>
      <c r="D46" s="586" t="s">
        <v>484</v>
      </c>
      <c r="E46" s="588">
        <v>2</v>
      </c>
      <c r="F46" s="590">
        <v>3540</v>
      </c>
      <c r="G46" s="592">
        <v>7080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470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491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458</v>
      </c>
      <c r="C52" s="146" t="s">
        <v>459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460</v>
      </c>
      <c r="K53" s="69"/>
    </row>
    <row r="54" spans="1:11" ht="18" customHeight="1">
      <c r="A54" s="69"/>
      <c r="B54" s="574" t="s">
        <v>461</v>
      </c>
      <c r="C54" s="575"/>
      <c r="D54" s="153" t="s">
        <v>85</v>
      </c>
      <c r="E54" s="153" t="s">
        <v>462</v>
      </c>
      <c r="F54" s="153" t="s">
        <v>463</v>
      </c>
      <c r="G54" s="153" t="s">
        <v>464</v>
      </c>
      <c r="H54" s="154" t="s">
        <v>465</v>
      </c>
      <c r="I54" s="153" t="s">
        <v>466</v>
      </c>
      <c r="J54" s="155" t="s">
        <v>467</v>
      </c>
      <c r="K54" s="69"/>
    </row>
    <row r="55" spans="1:11" ht="10.5" customHeight="1">
      <c r="A55" s="69"/>
      <c r="B55" s="156" t="s">
        <v>492</v>
      </c>
      <c r="C55" s="157"/>
      <c r="D55" s="576" t="s">
        <v>484</v>
      </c>
      <c r="E55" s="578">
        <v>2</v>
      </c>
      <c r="F55" s="580">
        <v>2790</v>
      </c>
      <c r="G55" s="582">
        <v>5580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470</v>
      </c>
      <c r="J56" s="161"/>
      <c r="K56" s="69" t="s">
        <v>96</v>
      </c>
    </row>
    <row r="57" spans="1:11" ht="10.5" customHeight="1">
      <c r="A57" s="69"/>
      <c r="B57" s="156" t="s">
        <v>493</v>
      </c>
      <c r="C57" s="157"/>
      <c r="D57" s="576" t="s">
        <v>484</v>
      </c>
      <c r="E57" s="578">
        <v>2</v>
      </c>
      <c r="F57" s="580">
        <v>2790</v>
      </c>
      <c r="G57" s="582">
        <v>5580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470</v>
      </c>
      <c r="J58" s="162"/>
      <c r="K58" s="69" t="s">
        <v>96</v>
      </c>
    </row>
    <row r="59" spans="1:11" ht="10.5" customHeight="1">
      <c r="A59" s="69"/>
      <c r="B59" s="156" t="s">
        <v>494</v>
      </c>
      <c r="C59" s="157"/>
      <c r="D59" s="576" t="s">
        <v>484</v>
      </c>
      <c r="E59" s="578">
        <v>64</v>
      </c>
      <c r="F59" s="580">
        <v>2400</v>
      </c>
      <c r="G59" s="582">
        <v>153600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495</v>
      </c>
      <c r="C60" s="160"/>
      <c r="D60" s="577"/>
      <c r="E60" s="579"/>
      <c r="F60" s="581"/>
      <c r="G60" s="583"/>
      <c r="H60" s="356"/>
      <c r="I60" s="356" t="s">
        <v>470</v>
      </c>
      <c r="J60" s="161"/>
      <c r="K60" s="69" t="s">
        <v>96</v>
      </c>
    </row>
    <row r="61" spans="1:11" ht="10.5" customHeight="1">
      <c r="A61" s="69"/>
      <c r="B61" s="156" t="s">
        <v>496</v>
      </c>
      <c r="C61" s="157"/>
      <c r="D61" s="576" t="s">
        <v>497</v>
      </c>
      <c r="E61" s="584">
        <v>49</v>
      </c>
      <c r="F61" s="580">
        <v>17300</v>
      </c>
      <c r="G61" s="582">
        <v>847700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498</v>
      </c>
      <c r="C62" s="160"/>
      <c r="D62" s="577"/>
      <c r="E62" s="585"/>
      <c r="F62" s="581"/>
      <c r="G62" s="583"/>
      <c r="H62" s="356"/>
      <c r="I62" s="356" t="s">
        <v>470</v>
      </c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 t="s">
        <v>499</v>
      </c>
      <c r="C65" s="157"/>
      <c r="D65" s="576"/>
      <c r="E65" s="584"/>
      <c r="F65" s="580"/>
      <c r="G65" s="582">
        <v>1631968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458</v>
      </c>
      <c r="C3" s="146" t="s">
        <v>459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460</v>
      </c>
      <c r="K4" s="69"/>
    </row>
    <row r="5" spans="1:11" ht="18" customHeight="1">
      <c r="A5" s="69"/>
      <c r="B5" s="574" t="s">
        <v>461</v>
      </c>
      <c r="C5" s="575"/>
      <c r="D5" s="153" t="s">
        <v>85</v>
      </c>
      <c r="E5" s="153" t="s">
        <v>462</v>
      </c>
      <c r="F5" s="153" t="s">
        <v>463</v>
      </c>
      <c r="G5" s="153" t="s">
        <v>464</v>
      </c>
      <c r="H5" s="154" t="s">
        <v>465</v>
      </c>
      <c r="I5" s="153" t="s">
        <v>466</v>
      </c>
      <c r="J5" s="155" t="s">
        <v>467</v>
      </c>
      <c r="K5" s="69"/>
    </row>
    <row r="6" spans="1:11" ht="10.5" customHeight="1">
      <c r="A6" s="69"/>
      <c r="B6" s="156" t="s">
        <v>500</v>
      </c>
      <c r="C6" s="157"/>
      <c r="D6" s="576" t="s">
        <v>501</v>
      </c>
      <c r="E6" s="578">
        <v>48</v>
      </c>
      <c r="F6" s="580">
        <v>23000</v>
      </c>
      <c r="G6" s="582">
        <v>1104000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502</v>
      </c>
      <c r="J7" s="161"/>
      <c r="K7" s="69" t="s">
        <v>96</v>
      </c>
    </row>
    <row r="8" spans="1:11" ht="10.5" customHeight="1">
      <c r="A8" s="69"/>
      <c r="B8" s="156" t="s">
        <v>500</v>
      </c>
      <c r="C8" s="157"/>
      <c r="D8" s="576" t="s">
        <v>501</v>
      </c>
      <c r="E8" s="578">
        <v>4</v>
      </c>
      <c r="F8" s="580">
        <v>23000</v>
      </c>
      <c r="G8" s="582">
        <v>92000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503</v>
      </c>
      <c r="C9" s="160"/>
      <c r="D9" s="577"/>
      <c r="E9" s="579"/>
      <c r="F9" s="581"/>
      <c r="G9" s="583"/>
      <c r="H9" s="356"/>
      <c r="I9" s="356" t="s">
        <v>502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499</v>
      </c>
      <c r="C12" s="157"/>
      <c r="D12" s="576"/>
      <c r="E12" s="584"/>
      <c r="F12" s="580"/>
      <c r="G12" s="582">
        <v>1196000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458</v>
      </c>
      <c r="C3" s="146" t="s">
        <v>459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460</v>
      </c>
      <c r="K4" s="69"/>
    </row>
    <row r="5" spans="1:11" ht="18" customHeight="1">
      <c r="A5" s="69"/>
      <c r="B5" s="574" t="s">
        <v>461</v>
      </c>
      <c r="C5" s="575"/>
      <c r="D5" s="153" t="s">
        <v>85</v>
      </c>
      <c r="E5" s="153" t="s">
        <v>462</v>
      </c>
      <c r="F5" s="153" t="s">
        <v>463</v>
      </c>
      <c r="G5" s="153" t="s">
        <v>464</v>
      </c>
      <c r="H5" s="154" t="s">
        <v>465</v>
      </c>
      <c r="I5" s="153" t="s">
        <v>466</v>
      </c>
      <c r="J5" s="155" t="s">
        <v>467</v>
      </c>
      <c r="K5" s="69"/>
    </row>
    <row r="6" spans="1:11" ht="10.5" customHeight="1">
      <c r="A6" s="69"/>
      <c r="B6" s="156" t="s">
        <v>504</v>
      </c>
      <c r="C6" s="157"/>
      <c r="D6" s="576" t="s">
        <v>472</v>
      </c>
      <c r="E6" s="578">
        <v>1</v>
      </c>
      <c r="F6" s="580">
        <v>10000</v>
      </c>
      <c r="G6" s="582">
        <v>10000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505</v>
      </c>
      <c r="J7" s="161"/>
      <c r="K7" s="69" t="s">
        <v>96</v>
      </c>
    </row>
    <row r="8" spans="1:11" ht="10.5" customHeight="1">
      <c r="A8" s="69"/>
      <c r="B8" s="156" t="s">
        <v>506</v>
      </c>
      <c r="C8" s="157"/>
      <c r="D8" s="576" t="s">
        <v>472</v>
      </c>
      <c r="E8" s="578">
        <v>1</v>
      </c>
      <c r="F8" s="580">
        <v>12000</v>
      </c>
      <c r="G8" s="582">
        <v>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507</v>
      </c>
      <c r="C9" s="160"/>
      <c r="D9" s="577"/>
      <c r="E9" s="579"/>
      <c r="F9" s="581"/>
      <c r="G9" s="583"/>
      <c r="H9" s="356"/>
      <c r="I9" s="356" t="s">
        <v>505</v>
      </c>
      <c r="J9" s="162"/>
      <c r="K9" s="69" t="s">
        <v>96</v>
      </c>
    </row>
    <row r="10" spans="1:11" ht="10.5" customHeight="1">
      <c r="A10" s="69"/>
      <c r="B10" s="156" t="s">
        <v>508</v>
      </c>
      <c r="C10" s="157"/>
      <c r="D10" s="576" t="s">
        <v>509</v>
      </c>
      <c r="E10" s="578">
        <v>25</v>
      </c>
      <c r="F10" s="580">
        <v>3450</v>
      </c>
      <c r="G10" s="582">
        <v>86250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505</v>
      </c>
      <c r="J11" s="161"/>
      <c r="K11" s="69" t="s">
        <v>96</v>
      </c>
    </row>
    <row r="12" spans="1:11" ht="10.5" customHeight="1">
      <c r="A12" s="69"/>
      <c r="B12" s="156" t="s">
        <v>510</v>
      </c>
      <c r="C12" s="157"/>
      <c r="D12" s="576" t="s">
        <v>509</v>
      </c>
      <c r="E12" s="584">
        <v>25</v>
      </c>
      <c r="F12" s="580">
        <v>6900</v>
      </c>
      <c r="G12" s="582">
        <v>172500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505</v>
      </c>
      <c r="J13" s="161"/>
      <c r="K13" s="69" t="s">
        <v>96</v>
      </c>
    </row>
    <row r="14" spans="1:11" ht="10.5" customHeight="1">
      <c r="A14" s="69"/>
      <c r="B14" s="156" t="s">
        <v>511</v>
      </c>
      <c r="C14" s="157"/>
      <c r="D14" s="576" t="s">
        <v>512</v>
      </c>
      <c r="E14" s="584">
        <v>658</v>
      </c>
      <c r="F14" s="580">
        <v>280</v>
      </c>
      <c r="G14" s="582">
        <v>184240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513</v>
      </c>
      <c r="C15" s="160"/>
      <c r="D15" s="577"/>
      <c r="E15" s="585"/>
      <c r="F15" s="581"/>
      <c r="G15" s="583"/>
      <c r="H15" s="356"/>
      <c r="I15" s="356" t="s">
        <v>505</v>
      </c>
      <c r="J15" s="161"/>
      <c r="K15" s="69" t="s">
        <v>96</v>
      </c>
    </row>
    <row r="16" spans="1:11" ht="10.5" customHeight="1">
      <c r="A16" s="69"/>
      <c r="B16" s="156" t="s">
        <v>514</v>
      </c>
      <c r="C16" s="157"/>
      <c r="D16" s="576" t="s">
        <v>512</v>
      </c>
      <c r="E16" s="584">
        <v>31</v>
      </c>
      <c r="F16" s="580">
        <v>310</v>
      </c>
      <c r="G16" s="582">
        <v>9610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513</v>
      </c>
      <c r="C17" s="160"/>
      <c r="D17" s="577"/>
      <c r="E17" s="585"/>
      <c r="F17" s="581"/>
      <c r="G17" s="583"/>
      <c r="H17" s="356"/>
      <c r="I17" s="356" t="s">
        <v>505</v>
      </c>
      <c r="J17" s="161"/>
      <c r="K17" s="69" t="s">
        <v>96</v>
      </c>
    </row>
    <row r="18" spans="1:11" ht="10.5" customHeight="1">
      <c r="A18" s="69"/>
      <c r="B18" s="156" t="s">
        <v>515</v>
      </c>
      <c r="C18" s="157"/>
      <c r="D18" s="576" t="s">
        <v>472</v>
      </c>
      <c r="E18" s="584">
        <v>1</v>
      </c>
      <c r="F18" s="580">
        <v>547735</v>
      </c>
      <c r="G18" s="582">
        <v>547735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516</v>
      </c>
      <c r="C19" s="160"/>
      <c r="D19" s="577"/>
      <c r="E19" s="585"/>
      <c r="F19" s="581"/>
      <c r="G19" s="583"/>
      <c r="H19" s="356"/>
      <c r="I19" s="356" t="s">
        <v>505</v>
      </c>
      <c r="J19" s="161"/>
      <c r="K19" s="69" t="s">
        <v>96</v>
      </c>
    </row>
    <row r="20" spans="1:11" ht="10.5" customHeight="1">
      <c r="A20" s="69"/>
      <c r="B20" s="156" t="s">
        <v>517</v>
      </c>
      <c r="C20" s="157"/>
      <c r="D20" s="576" t="s">
        <v>501</v>
      </c>
      <c r="E20" s="584">
        <v>14</v>
      </c>
      <c r="F20" s="580">
        <v>20000</v>
      </c>
      <c r="G20" s="582">
        <v>280000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505</v>
      </c>
      <c r="J21" s="161"/>
      <c r="K21" s="69" t="s">
        <v>96</v>
      </c>
    </row>
    <row r="22" spans="1:11" ht="10.5" customHeight="1">
      <c r="A22" s="69"/>
      <c r="B22" s="156" t="s">
        <v>517</v>
      </c>
      <c r="C22" s="157"/>
      <c r="D22" s="576" t="s">
        <v>501</v>
      </c>
      <c r="E22" s="584">
        <v>37</v>
      </c>
      <c r="F22" s="580">
        <v>24000</v>
      </c>
      <c r="G22" s="582">
        <v>888000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518</v>
      </c>
      <c r="C23" s="160"/>
      <c r="D23" s="577"/>
      <c r="E23" s="585"/>
      <c r="F23" s="581"/>
      <c r="G23" s="583"/>
      <c r="H23" s="356"/>
      <c r="I23" s="356" t="s">
        <v>505</v>
      </c>
      <c r="J23" s="161"/>
      <c r="K23" s="69" t="s">
        <v>96</v>
      </c>
    </row>
    <row r="24" spans="1:11" ht="10.5" customHeight="1">
      <c r="A24" s="69"/>
      <c r="B24" s="156" t="s">
        <v>519</v>
      </c>
      <c r="C24" s="157"/>
      <c r="D24" s="576" t="s">
        <v>472</v>
      </c>
      <c r="E24" s="578">
        <v>1</v>
      </c>
      <c r="F24" s="580">
        <v>1292028</v>
      </c>
      <c r="G24" s="582">
        <v>1292028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520</v>
      </c>
      <c r="C25" s="160"/>
      <c r="D25" s="577"/>
      <c r="E25" s="579"/>
      <c r="F25" s="581"/>
      <c r="G25" s="583"/>
      <c r="H25" s="356"/>
      <c r="I25" s="356" t="s">
        <v>505</v>
      </c>
      <c r="J25" s="161"/>
      <c r="K25" s="69" t="s">
        <v>96</v>
      </c>
    </row>
    <row r="26" spans="1:11" ht="10.5" customHeight="1">
      <c r="A26" s="69"/>
      <c r="B26" s="156" t="s">
        <v>521</v>
      </c>
      <c r="C26" s="157"/>
      <c r="D26" s="576" t="s">
        <v>472</v>
      </c>
      <c r="E26" s="584">
        <v>1</v>
      </c>
      <c r="F26" s="580">
        <v>130000</v>
      </c>
      <c r="G26" s="582">
        <v>130000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522</v>
      </c>
      <c r="C27" s="160"/>
      <c r="D27" s="577"/>
      <c r="E27" s="585"/>
      <c r="F27" s="581"/>
      <c r="G27" s="583"/>
      <c r="H27" s="356"/>
      <c r="I27" s="356" t="s">
        <v>505</v>
      </c>
      <c r="J27" s="161"/>
      <c r="K27" s="69" t="s">
        <v>96</v>
      </c>
    </row>
    <row r="28" spans="1:11" ht="10.5" customHeight="1">
      <c r="A28" s="69"/>
      <c r="B28" s="156" t="s">
        <v>521</v>
      </c>
      <c r="C28" s="157"/>
      <c r="D28" s="576" t="s">
        <v>472</v>
      </c>
      <c r="E28" s="584">
        <v>1</v>
      </c>
      <c r="F28" s="580">
        <v>25420</v>
      </c>
      <c r="G28" s="582">
        <v>25420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523</v>
      </c>
      <c r="C29" s="160"/>
      <c r="D29" s="577"/>
      <c r="E29" s="585"/>
      <c r="F29" s="581"/>
      <c r="G29" s="583"/>
      <c r="H29" s="356"/>
      <c r="I29" s="356" t="s">
        <v>505</v>
      </c>
      <c r="J29" s="161"/>
      <c r="K29" s="69" t="s">
        <v>96</v>
      </c>
    </row>
    <row r="30" spans="1:11" ht="10.5" customHeight="1">
      <c r="A30" s="69"/>
      <c r="B30" s="156" t="s">
        <v>521</v>
      </c>
      <c r="C30" s="157"/>
      <c r="D30" s="576" t="s">
        <v>472</v>
      </c>
      <c r="E30" s="584">
        <v>1</v>
      </c>
      <c r="F30" s="580">
        <v>290000</v>
      </c>
      <c r="G30" s="582">
        <v>290000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524</v>
      </c>
      <c r="C31" s="160"/>
      <c r="D31" s="577"/>
      <c r="E31" s="585"/>
      <c r="F31" s="581"/>
      <c r="G31" s="583"/>
      <c r="H31" s="356"/>
      <c r="I31" s="356" t="s">
        <v>505</v>
      </c>
      <c r="J31" s="161"/>
      <c r="K31" s="69" t="s">
        <v>96</v>
      </c>
    </row>
    <row r="32" spans="1:11" ht="10.5" customHeight="1">
      <c r="A32" s="69"/>
      <c r="B32" s="156" t="s">
        <v>525</v>
      </c>
      <c r="C32" s="157"/>
      <c r="D32" s="576" t="s">
        <v>509</v>
      </c>
      <c r="E32" s="584">
        <v>25</v>
      </c>
      <c r="F32" s="580">
        <v>4400</v>
      </c>
      <c r="G32" s="582">
        <v>110000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505</v>
      </c>
      <c r="J33" s="161"/>
      <c r="K33" s="69" t="s">
        <v>96</v>
      </c>
    </row>
    <row r="34" spans="1:11" ht="10.5" customHeight="1">
      <c r="A34" s="69"/>
      <c r="B34" s="156" t="s">
        <v>526</v>
      </c>
      <c r="C34" s="157"/>
      <c r="D34" s="576" t="s">
        <v>509</v>
      </c>
      <c r="E34" s="584">
        <v>25</v>
      </c>
      <c r="F34" s="580">
        <v>7300</v>
      </c>
      <c r="G34" s="582">
        <v>182500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505</v>
      </c>
      <c r="J35" s="161"/>
      <c r="K35" s="69" t="s">
        <v>96</v>
      </c>
    </row>
    <row r="36" spans="1:11" ht="10.5" customHeight="1">
      <c r="A36" s="69"/>
      <c r="B36" s="156" t="s">
        <v>527</v>
      </c>
      <c r="C36" s="157"/>
      <c r="D36" s="576" t="s">
        <v>509</v>
      </c>
      <c r="E36" s="584">
        <v>164</v>
      </c>
      <c r="F36" s="580">
        <v>4200</v>
      </c>
      <c r="G36" s="582">
        <v>688800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505</v>
      </c>
      <c r="J37" s="161"/>
      <c r="K37" s="69" t="s">
        <v>96</v>
      </c>
    </row>
    <row r="38" spans="1:11" ht="10.5" customHeight="1">
      <c r="A38" s="69"/>
      <c r="B38" s="156" t="s">
        <v>528</v>
      </c>
      <c r="C38" s="157"/>
      <c r="D38" s="576" t="s">
        <v>472</v>
      </c>
      <c r="E38" s="584">
        <v>1</v>
      </c>
      <c r="F38" s="580">
        <v>254200</v>
      </c>
      <c r="G38" s="582">
        <v>254200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529</v>
      </c>
      <c r="C39" s="160"/>
      <c r="D39" s="577"/>
      <c r="E39" s="585"/>
      <c r="F39" s="581"/>
      <c r="G39" s="583"/>
      <c r="H39" s="356"/>
      <c r="I39" s="356" t="s">
        <v>505</v>
      </c>
      <c r="J39" s="161"/>
      <c r="K39" s="69" t="s">
        <v>96</v>
      </c>
    </row>
    <row r="40" spans="1:11" ht="10.5" customHeight="1">
      <c r="A40" s="69"/>
      <c r="B40" s="156" t="s">
        <v>530</v>
      </c>
      <c r="C40" s="157"/>
      <c r="D40" s="576" t="s">
        <v>531</v>
      </c>
      <c r="E40" s="584">
        <v>1</v>
      </c>
      <c r="F40" s="580">
        <v>144800</v>
      </c>
      <c r="G40" s="582">
        <v>144800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532</v>
      </c>
      <c r="C41" s="160"/>
      <c r="D41" s="577"/>
      <c r="E41" s="585"/>
      <c r="F41" s="581"/>
      <c r="G41" s="583"/>
      <c r="H41" s="356"/>
      <c r="I41" s="356" t="s">
        <v>505</v>
      </c>
      <c r="J41" s="161"/>
      <c r="K41" s="69" t="s">
        <v>96</v>
      </c>
    </row>
    <row r="42" spans="1:11" ht="10.5" customHeight="1">
      <c r="A42" s="69"/>
      <c r="B42" s="156" t="s">
        <v>533</v>
      </c>
      <c r="C42" s="157"/>
      <c r="D42" s="576" t="s">
        <v>509</v>
      </c>
      <c r="E42" s="584">
        <v>25</v>
      </c>
      <c r="F42" s="580">
        <v>3700</v>
      </c>
      <c r="G42" s="582">
        <v>92500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505</v>
      </c>
      <c r="J43" s="161"/>
      <c r="K43" s="69" t="s">
        <v>96</v>
      </c>
    </row>
    <row r="44" spans="1:11" ht="10.5" customHeight="1">
      <c r="A44" s="69"/>
      <c r="B44" s="156" t="s">
        <v>534</v>
      </c>
      <c r="C44" s="157"/>
      <c r="D44" s="576" t="s">
        <v>472</v>
      </c>
      <c r="E44" s="584">
        <v>1</v>
      </c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505</v>
      </c>
      <c r="J45" s="161"/>
      <c r="K45" s="69" t="s">
        <v>96</v>
      </c>
    </row>
    <row r="46" spans="1:11" ht="10.5" customHeight="1">
      <c r="A46" s="69"/>
      <c r="B46" s="156" t="s">
        <v>535</v>
      </c>
      <c r="C46" s="157"/>
      <c r="D46" s="586" t="s">
        <v>472</v>
      </c>
      <c r="E46" s="588">
        <v>1</v>
      </c>
      <c r="F46" s="590">
        <v>18000</v>
      </c>
      <c r="G46" s="592">
        <v>18000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507</v>
      </c>
      <c r="C47" s="164"/>
      <c r="D47" s="587"/>
      <c r="E47" s="589"/>
      <c r="F47" s="591"/>
      <c r="G47" s="593"/>
      <c r="H47" s="357"/>
      <c r="I47" s="357" t="s">
        <v>505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536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458</v>
      </c>
      <c r="C52" s="146" t="s">
        <v>459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460</v>
      </c>
      <c r="K53" s="69"/>
    </row>
    <row r="54" spans="1:11" ht="18" customHeight="1">
      <c r="A54" s="69"/>
      <c r="B54" s="574" t="s">
        <v>461</v>
      </c>
      <c r="C54" s="575"/>
      <c r="D54" s="153" t="s">
        <v>85</v>
      </c>
      <c r="E54" s="153" t="s">
        <v>462</v>
      </c>
      <c r="F54" s="153" t="s">
        <v>463</v>
      </c>
      <c r="G54" s="153" t="s">
        <v>464</v>
      </c>
      <c r="H54" s="154" t="s">
        <v>465</v>
      </c>
      <c r="I54" s="153" t="s">
        <v>466</v>
      </c>
      <c r="J54" s="155" t="s">
        <v>467</v>
      </c>
      <c r="K54" s="69"/>
    </row>
    <row r="55" spans="1:11" ht="10.5" customHeight="1">
      <c r="A55" s="69"/>
      <c r="B55" s="156"/>
      <c r="C55" s="157"/>
      <c r="D55" s="576"/>
      <c r="E55" s="578"/>
      <c r="F55" s="580"/>
      <c r="G55" s="582"/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/>
      <c r="J56" s="161"/>
      <c r="K56" s="69" t="s">
        <v>96</v>
      </c>
    </row>
    <row r="57" spans="1:11" ht="10.5" customHeight="1">
      <c r="A57" s="69"/>
      <c r="B57" s="156" t="s">
        <v>499</v>
      </c>
      <c r="C57" s="157"/>
      <c r="D57" s="576"/>
      <c r="E57" s="578"/>
      <c r="F57" s="580"/>
      <c r="G57" s="582">
        <v>5418583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458</v>
      </c>
      <c r="C3" s="146" t="s">
        <v>459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460</v>
      </c>
      <c r="K4" s="69"/>
    </row>
    <row r="5" spans="1:11" ht="18" customHeight="1">
      <c r="A5" s="69"/>
      <c r="B5" s="574" t="s">
        <v>461</v>
      </c>
      <c r="C5" s="575"/>
      <c r="D5" s="153" t="s">
        <v>85</v>
      </c>
      <c r="E5" s="153" t="s">
        <v>462</v>
      </c>
      <c r="F5" s="153" t="s">
        <v>463</v>
      </c>
      <c r="G5" s="153" t="s">
        <v>464</v>
      </c>
      <c r="H5" s="154" t="s">
        <v>465</v>
      </c>
      <c r="I5" s="153" t="s">
        <v>466</v>
      </c>
      <c r="J5" s="155" t="s">
        <v>467</v>
      </c>
      <c r="K5" s="69"/>
    </row>
    <row r="6" spans="1:11" ht="10.5" customHeight="1">
      <c r="A6" s="69"/>
      <c r="B6" s="156" t="s">
        <v>537</v>
      </c>
      <c r="C6" s="157"/>
      <c r="D6" s="576" t="s">
        <v>538</v>
      </c>
      <c r="E6" s="578">
        <v>3</v>
      </c>
      <c r="F6" s="580">
        <v>83000</v>
      </c>
      <c r="G6" s="582">
        <v>249000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539</v>
      </c>
      <c r="C7" s="160"/>
      <c r="D7" s="577"/>
      <c r="E7" s="579"/>
      <c r="F7" s="581"/>
      <c r="G7" s="583"/>
      <c r="H7" s="356"/>
      <c r="I7" s="356" t="s">
        <v>540</v>
      </c>
      <c r="J7" s="161"/>
      <c r="K7" s="69" t="s">
        <v>96</v>
      </c>
    </row>
    <row r="8" spans="1:11" ht="10.5" customHeight="1">
      <c r="A8" s="69"/>
      <c r="B8" s="156" t="s">
        <v>541</v>
      </c>
      <c r="C8" s="157"/>
      <c r="D8" s="576" t="s">
        <v>538</v>
      </c>
      <c r="E8" s="578">
        <v>7</v>
      </c>
      <c r="F8" s="580">
        <v>8000</v>
      </c>
      <c r="G8" s="582">
        <v>56000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540</v>
      </c>
      <c r="J9" s="162"/>
      <c r="K9" s="69" t="s">
        <v>96</v>
      </c>
    </row>
    <row r="10" spans="1:11" ht="10.5" customHeight="1">
      <c r="A10" s="69"/>
      <c r="B10" s="156" t="s">
        <v>542</v>
      </c>
      <c r="C10" s="157"/>
      <c r="D10" s="576" t="s">
        <v>538</v>
      </c>
      <c r="E10" s="578">
        <v>1</v>
      </c>
      <c r="F10" s="580">
        <v>90000</v>
      </c>
      <c r="G10" s="582">
        <v>90000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543</v>
      </c>
      <c r="C11" s="160"/>
      <c r="D11" s="577"/>
      <c r="E11" s="579"/>
      <c r="F11" s="581"/>
      <c r="G11" s="583"/>
      <c r="H11" s="356"/>
      <c r="I11" s="356" t="s">
        <v>540</v>
      </c>
      <c r="J11" s="161"/>
      <c r="K11" s="69" t="s">
        <v>96</v>
      </c>
    </row>
    <row r="12" spans="1:11" ht="10.5" customHeight="1">
      <c r="A12" s="69"/>
      <c r="B12" s="156" t="s">
        <v>544</v>
      </c>
      <c r="C12" s="157"/>
      <c r="D12" s="576" t="s">
        <v>538</v>
      </c>
      <c r="E12" s="584">
        <v>3</v>
      </c>
      <c r="F12" s="580">
        <v>4300</v>
      </c>
      <c r="G12" s="582">
        <v>12900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540</v>
      </c>
      <c r="J13" s="161"/>
      <c r="K13" s="69" t="s">
        <v>96</v>
      </c>
    </row>
    <row r="14" spans="1:11" ht="10.5" customHeight="1">
      <c r="A14" s="69"/>
      <c r="B14" s="156" t="s">
        <v>545</v>
      </c>
      <c r="C14" s="157"/>
      <c r="D14" s="576" t="s">
        <v>538</v>
      </c>
      <c r="E14" s="584">
        <v>2</v>
      </c>
      <c r="F14" s="580">
        <v>4000</v>
      </c>
      <c r="G14" s="582">
        <v>8000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546</v>
      </c>
      <c r="C15" s="160"/>
      <c r="D15" s="577"/>
      <c r="E15" s="585"/>
      <c r="F15" s="581"/>
      <c r="G15" s="583"/>
      <c r="H15" s="356"/>
      <c r="I15" s="356" t="s">
        <v>540</v>
      </c>
      <c r="J15" s="161"/>
      <c r="K15" s="69" t="s">
        <v>96</v>
      </c>
    </row>
    <row r="16" spans="1:11" ht="10.5" customHeight="1">
      <c r="A16" s="69"/>
      <c r="B16" s="156" t="s">
        <v>545</v>
      </c>
      <c r="C16" s="157"/>
      <c r="D16" s="576" t="s">
        <v>538</v>
      </c>
      <c r="E16" s="584">
        <v>1</v>
      </c>
      <c r="F16" s="580">
        <v>5500</v>
      </c>
      <c r="G16" s="582">
        <v>5500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547</v>
      </c>
      <c r="C17" s="160"/>
      <c r="D17" s="577"/>
      <c r="E17" s="585"/>
      <c r="F17" s="581"/>
      <c r="G17" s="583"/>
      <c r="H17" s="356"/>
      <c r="I17" s="356" t="s">
        <v>540</v>
      </c>
      <c r="J17" s="161"/>
      <c r="K17" s="69" t="s">
        <v>96</v>
      </c>
    </row>
    <row r="18" spans="1:11" ht="10.5" customHeight="1">
      <c r="A18" s="69"/>
      <c r="B18" s="156" t="s">
        <v>548</v>
      </c>
      <c r="C18" s="157"/>
      <c r="D18" s="576" t="s">
        <v>538</v>
      </c>
      <c r="E18" s="584">
        <v>3</v>
      </c>
      <c r="F18" s="580">
        <v>4000</v>
      </c>
      <c r="G18" s="582">
        <v>12000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549</v>
      </c>
      <c r="C19" s="160"/>
      <c r="D19" s="577"/>
      <c r="E19" s="585"/>
      <c r="F19" s="581"/>
      <c r="G19" s="583"/>
      <c r="H19" s="356"/>
      <c r="I19" s="356" t="s">
        <v>540</v>
      </c>
      <c r="J19" s="161"/>
      <c r="K19" s="69" t="s">
        <v>96</v>
      </c>
    </row>
    <row r="20" spans="1:11" ht="10.5" customHeight="1">
      <c r="A20" s="69"/>
      <c r="B20" s="156" t="s">
        <v>550</v>
      </c>
      <c r="C20" s="157"/>
      <c r="D20" s="576" t="s">
        <v>538</v>
      </c>
      <c r="E20" s="584">
        <v>1</v>
      </c>
      <c r="F20" s="580">
        <v>60000</v>
      </c>
      <c r="G20" s="582">
        <v>60000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540</v>
      </c>
      <c r="J21" s="161"/>
      <c r="K21" s="69" t="s">
        <v>96</v>
      </c>
    </row>
    <row r="22" spans="1:11" ht="10.5" customHeight="1">
      <c r="A22" s="69"/>
      <c r="B22" s="156" t="s">
        <v>551</v>
      </c>
      <c r="C22" s="157"/>
      <c r="D22" s="576" t="s">
        <v>538</v>
      </c>
      <c r="E22" s="584">
        <v>3</v>
      </c>
      <c r="F22" s="580">
        <v>12000</v>
      </c>
      <c r="G22" s="582">
        <v>36000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552</v>
      </c>
      <c r="C23" s="160"/>
      <c r="D23" s="577"/>
      <c r="E23" s="585"/>
      <c r="F23" s="581"/>
      <c r="G23" s="583"/>
      <c r="H23" s="356"/>
      <c r="I23" s="356" t="s">
        <v>540</v>
      </c>
      <c r="J23" s="161"/>
      <c r="K23" s="69" t="s">
        <v>96</v>
      </c>
    </row>
    <row r="24" spans="1:11" ht="10.5" customHeight="1">
      <c r="A24" s="69"/>
      <c r="B24" s="156" t="s">
        <v>553</v>
      </c>
      <c r="C24" s="157"/>
      <c r="D24" s="576" t="s">
        <v>538</v>
      </c>
      <c r="E24" s="578">
        <v>4</v>
      </c>
      <c r="F24" s="580">
        <v>2000</v>
      </c>
      <c r="G24" s="582">
        <v>8000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554</v>
      </c>
      <c r="C25" s="160"/>
      <c r="D25" s="577"/>
      <c r="E25" s="579"/>
      <c r="F25" s="581"/>
      <c r="G25" s="583"/>
      <c r="H25" s="356"/>
      <c r="I25" s="356" t="s">
        <v>540</v>
      </c>
      <c r="J25" s="161"/>
      <c r="K25" s="69" t="s">
        <v>96</v>
      </c>
    </row>
    <row r="26" spans="1:11" ht="10.5" customHeight="1">
      <c r="A26" s="69"/>
      <c r="B26" s="156" t="s">
        <v>555</v>
      </c>
      <c r="C26" s="157"/>
      <c r="D26" s="576" t="s">
        <v>538</v>
      </c>
      <c r="E26" s="584">
        <v>3</v>
      </c>
      <c r="F26" s="580">
        <v>1000</v>
      </c>
      <c r="G26" s="582">
        <v>3000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540</v>
      </c>
      <c r="J27" s="161"/>
      <c r="K27" s="69" t="s">
        <v>96</v>
      </c>
    </row>
    <row r="28" spans="1:11" ht="10.5" customHeight="1">
      <c r="A28" s="69"/>
      <c r="B28" s="156" t="s">
        <v>556</v>
      </c>
      <c r="C28" s="157"/>
      <c r="D28" s="576" t="s">
        <v>472</v>
      </c>
      <c r="E28" s="584">
        <v>1</v>
      </c>
      <c r="F28" s="580">
        <v>100000</v>
      </c>
      <c r="G28" s="582">
        <v>100000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557</v>
      </c>
      <c r="C29" s="160"/>
      <c r="D29" s="577"/>
      <c r="E29" s="585"/>
      <c r="F29" s="581"/>
      <c r="G29" s="583"/>
      <c r="H29" s="356"/>
      <c r="I29" s="356" t="s">
        <v>540</v>
      </c>
      <c r="J29" s="161"/>
      <c r="K29" s="69" t="s">
        <v>96</v>
      </c>
    </row>
    <row r="30" spans="1:11" ht="10.5" customHeight="1">
      <c r="A30" s="69"/>
      <c r="B30" s="156" t="s">
        <v>558</v>
      </c>
      <c r="C30" s="157"/>
      <c r="D30" s="576" t="s">
        <v>538</v>
      </c>
      <c r="E30" s="584">
        <v>3</v>
      </c>
      <c r="F30" s="580">
        <v>180000</v>
      </c>
      <c r="G30" s="582">
        <v>540000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559</v>
      </c>
      <c r="C31" s="160"/>
      <c r="D31" s="577"/>
      <c r="E31" s="585"/>
      <c r="F31" s="581"/>
      <c r="G31" s="583"/>
      <c r="H31" s="356"/>
      <c r="I31" s="356" t="s">
        <v>540</v>
      </c>
      <c r="J31" s="161"/>
      <c r="K31" s="69" t="s">
        <v>96</v>
      </c>
    </row>
    <row r="32" spans="1:11" ht="10.5" customHeight="1">
      <c r="A32" s="69"/>
      <c r="B32" s="156" t="s">
        <v>560</v>
      </c>
      <c r="C32" s="157"/>
      <c r="D32" s="576" t="s">
        <v>472</v>
      </c>
      <c r="E32" s="584">
        <v>1</v>
      </c>
      <c r="F32" s="580">
        <v>230000</v>
      </c>
      <c r="G32" s="582">
        <v>230000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540</v>
      </c>
      <c r="J33" s="161"/>
      <c r="K33" s="69" t="s">
        <v>96</v>
      </c>
    </row>
    <row r="34" spans="1:11" ht="10.5" customHeight="1">
      <c r="A34" s="69"/>
      <c r="B34" s="156" t="s">
        <v>561</v>
      </c>
      <c r="C34" s="157"/>
      <c r="D34" s="576" t="s">
        <v>538</v>
      </c>
      <c r="E34" s="584">
        <v>8</v>
      </c>
      <c r="F34" s="580">
        <v>3000</v>
      </c>
      <c r="G34" s="582">
        <v>24000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540</v>
      </c>
      <c r="J35" s="161"/>
      <c r="K35" s="69" t="s">
        <v>96</v>
      </c>
    </row>
    <row r="36" spans="1:11" ht="10.5" customHeight="1">
      <c r="A36" s="69"/>
      <c r="B36" s="156" t="s">
        <v>562</v>
      </c>
      <c r="C36" s="157"/>
      <c r="D36" s="576" t="s">
        <v>538</v>
      </c>
      <c r="E36" s="584">
        <v>1</v>
      </c>
      <c r="F36" s="580">
        <v>300000</v>
      </c>
      <c r="G36" s="582">
        <v>300000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563</v>
      </c>
      <c r="C37" s="160"/>
      <c r="D37" s="577"/>
      <c r="E37" s="585"/>
      <c r="F37" s="581"/>
      <c r="G37" s="583"/>
      <c r="H37" s="356"/>
      <c r="I37" s="356" t="s">
        <v>540</v>
      </c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 t="s">
        <v>499</v>
      </c>
      <c r="C40" s="157"/>
      <c r="D40" s="576"/>
      <c r="E40" s="584"/>
      <c r="F40" s="580"/>
      <c r="G40" s="582">
        <v>1734400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458</v>
      </c>
      <c r="C3" s="146" t="s">
        <v>459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460</v>
      </c>
      <c r="K4" s="69"/>
    </row>
    <row r="5" spans="1:11" ht="18" customHeight="1">
      <c r="A5" s="69"/>
      <c r="B5" s="574" t="s">
        <v>461</v>
      </c>
      <c r="C5" s="575"/>
      <c r="D5" s="153" t="s">
        <v>85</v>
      </c>
      <c r="E5" s="153" t="s">
        <v>462</v>
      </c>
      <c r="F5" s="153" t="s">
        <v>463</v>
      </c>
      <c r="G5" s="153" t="s">
        <v>464</v>
      </c>
      <c r="H5" s="154" t="s">
        <v>465</v>
      </c>
      <c r="I5" s="153" t="s">
        <v>466</v>
      </c>
      <c r="J5" s="155" t="s">
        <v>467</v>
      </c>
      <c r="K5" s="69"/>
    </row>
    <row r="6" spans="1:11" ht="10.5" customHeight="1">
      <c r="A6" s="69"/>
      <c r="B6" s="156" t="s">
        <v>564</v>
      </c>
      <c r="C6" s="157"/>
      <c r="D6" s="576" t="s">
        <v>538</v>
      </c>
      <c r="E6" s="578">
        <v>10</v>
      </c>
      <c r="F6" s="580">
        <v>5000</v>
      </c>
      <c r="G6" s="582">
        <v>50000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565</v>
      </c>
      <c r="J7" s="161"/>
      <c r="K7" s="69" t="s">
        <v>96</v>
      </c>
    </row>
    <row r="8" spans="1:11" ht="10.5" customHeight="1">
      <c r="A8" s="69"/>
      <c r="B8" s="156" t="s">
        <v>566</v>
      </c>
      <c r="C8" s="157"/>
      <c r="D8" s="576" t="s">
        <v>538</v>
      </c>
      <c r="E8" s="578">
        <v>4</v>
      </c>
      <c r="F8" s="580">
        <v>7000</v>
      </c>
      <c r="G8" s="582">
        <v>28000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565</v>
      </c>
      <c r="J9" s="162"/>
      <c r="K9" s="69" t="s">
        <v>96</v>
      </c>
    </row>
    <row r="10" spans="1:11" ht="10.5" customHeight="1">
      <c r="A10" s="69"/>
      <c r="B10" s="156" t="s">
        <v>567</v>
      </c>
      <c r="C10" s="157"/>
      <c r="D10" s="576" t="s">
        <v>568</v>
      </c>
      <c r="E10" s="578">
        <v>2</v>
      </c>
      <c r="F10" s="580">
        <v>30000</v>
      </c>
      <c r="G10" s="582">
        <v>60000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569</v>
      </c>
      <c r="C11" s="160"/>
      <c r="D11" s="577"/>
      <c r="E11" s="579"/>
      <c r="F11" s="581"/>
      <c r="G11" s="583"/>
      <c r="H11" s="356"/>
      <c r="I11" s="356" t="s">
        <v>565</v>
      </c>
      <c r="J11" s="161"/>
      <c r="K11" s="69" t="s">
        <v>96</v>
      </c>
    </row>
    <row r="12" spans="1:11" ht="10.5" customHeight="1">
      <c r="A12" s="69"/>
      <c r="B12" s="156" t="s">
        <v>570</v>
      </c>
      <c r="C12" s="157"/>
      <c r="D12" s="576" t="s">
        <v>469</v>
      </c>
      <c r="E12" s="584">
        <v>59</v>
      </c>
      <c r="F12" s="580">
        <v>500</v>
      </c>
      <c r="G12" s="582">
        <v>29500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565</v>
      </c>
      <c r="J13" s="161"/>
      <c r="K13" s="69" t="s">
        <v>96</v>
      </c>
    </row>
    <row r="14" spans="1:11" ht="10.5" customHeight="1">
      <c r="A14" s="69"/>
      <c r="B14" s="156" t="s">
        <v>571</v>
      </c>
      <c r="C14" s="157"/>
      <c r="D14" s="576" t="s">
        <v>469</v>
      </c>
      <c r="E14" s="584">
        <v>15</v>
      </c>
      <c r="F14" s="580">
        <v>3000</v>
      </c>
      <c r="G14" s="582">
        <v>45000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565</v>
      </c>
      <c r="J15" s="161"/>
      <c r="K15" s="69" t="s">
        <v>96</v>
      </c>
    </row>
    <row r="16" spans="1:11" ht="10.5" customHeight="1">
      <c r="A16" s="69"/>
      <c r="B16" s="156" t="s">
        <v>572</v>
      </c>
      <c r="C16" s="157"/>
      <c r="D16" s="576" t="s">
        <v>538</v>
      </c>
      <c r="E16" s="584">
        <v>6</v>
      </c>
      <c r="F16" s="580">
        <v>31000</v>
      </c>
      <c r="G16" s="582">
        <v>186000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573</v>
      </c>
      <c r="C17" s="160"/>
      <c r="D17" s="577"/>
      <c r="E17" s="585"/>
      <c r="F17" s="581"/>
      <c r="G17" s="583"/>
      <c r="H17" s="356"/>
      <c r="I17" s="356" t="s">
        <v>565</v>
      </c>
      <c r="J17" s="161"/>
      <c r="K17" s="69" t="s">
        <v>96</v>
      </c>
    </row>
    <row r="18" spans="1:11" ht="10.5" customHeight="1">
      <c r="A18" s="69"/>
      <c r="B18" s="156" t="s">
        <v>574</v>
      </c>
      <c r="C18" s="157"/>
      <c r="D18" s="576" t="s">
        <v>538</v>
      </c>
      <c r="E18" s="584">
        <v>3</v>
      </c>
      <c r="F18" s="580">
        <v>40000</v>
      </c>
      <c r="G18" s="582">
        <v>120000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573</v>
      </c>
      <c r="C19" s="160"/>
      <c r="D19" s="577"/>
      <c r="E19" s="585"/>
      <c r="F19" s="581"/>
      <c r="G19" s="583"/>
      <c r="H19" s="356"/>
      <c r="I19" s="356" t="s">
        <v>565</v>
      </c>
      <c r="J19" s="161"/>
      <c r="K19" s="69" t="s">
        <v>96</v>
      </c>
    </row>
    <row r="20" spans="1:11" ht="10.5" customHeight="1">
      <c r="A20" s="69"/>
      <c r="B20" s="156" t="s">
        <v>575</v>
      </c>
      <c r="C20" s="157"/>
      <c r="D20" s="576" t="s">
        <v>472</v>
      </c>
      <c r="E20" s="584">
        <v>1</v>
      </c>
      <c r="F20" s="580">
        <v>160000</v>
      </c>
      <c r="G20" s="582">
        <v>160000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565</v>
      </c>
      <c r="J21" s="161"/>
      <c r="K21" s="69" t="s">
        <v>96</v>
      </c>
    </row>
    <row r="22" spans="1:11" ht="10.5" customHeight="1">
      <c r="A22" s="69"/>
      <c r="B22" s="156" t="s">
        <v>576</v>
      </c>
      <c r="C22" s="157"/>
      <c r="D22" s="576" t="s">
        <v>568</v>
      </c>
      <c r="E22" s="584">
        <v>8</v>
      </c>
      <c r="F22" s="580">
        <v>10000</v>
      </c>
      <c r="G22" s="582">
        <v>80000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565</v>
      </c>
      <c r="J23" s="161"/>
      <c r="K23" s="69" t="s">
        <v>96</v>
      </c>
    </row>
    <row r="24" spans="1:11" ht="10.5" customHeight="1">
      <c r="A24" s="69"/>
      <c r="B24" s="156" t="s">
        <v>576</v>
      </c>
      <c r="C24" s="157"/>
      <c r="D24" s="576" t="s">
        <v>568</v>
      </c>
      <c r="E24" s="578">
        <v>2</v>
      </c>
      <c r="F24" s="580">
        <v>10000</v>
      </c>
      <c r="G24" s="582">
        <v>20000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522</v>
      </c>
      <c r="C25" s="160"/>
      <c r="D25" s="577"/>
      <c r="E25" s="579"/>
      <c r="F25" s="581"/>
      <c r="G25" s="583"/>
      <c r="H25" s="356"/>
      <c r="I25" s="356" t="s">
        <v>565</v>
      </c>
      <c r="J25" s="161"/>
      <c r="K25" s="69" t="s">
        <v>96</v>
      </c>
    </row>
    <row r="26" spans="1:11" ht="10.5" customHeight="1">
      <c r="A26" s="69"/>
      <c r="B26" s="156" t="s">
        <v>577</v>
      </c>
      <c r="C26" s="157"/>
      <c r="D26" s="576" t="s">
        <v>568</v>
      </c>
      <c r="E26" s="584">
        <v>2</v>
      </c>
      <c r="F26" s="580">
        <v>30000</v>
      </c>
      <c r="G26" s="582">
        <v>60000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565</v>
      </c>
      <c r="J27" s="161"/>
      <c r="K27" s="69" t="s">
        <v>96</v>
      </c>
    </row>
    <row r="28" spans="1:11" ht="10.5" customHeight="1">
      <c r="A28" s="69"/>
      <c r="B28" s="156" t="s">
        <v>578</v>
      </c>
      <c r="C28" s="157"/>
      <c r="D28" s="576" t="s">
        <v>568</v>
      </c>
      <c r="E28" s="584">
        <v>2</v>
      </c>
      <c r="F28" s="580">
        <v>35000</v>
      </c>
      <c r="G28" s="582">
        <v>70000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565</v>
      </c>
      <c r="J29" s="161"/>
      <c r="K29" s="69" t="s">
        <v>96</v>
      </c>
    </row>
    <row r="30" spans="1:11" ht="10.5" customHeight="1">
      <c r="A30" s="69"/>
      <c r="B30" s="156" t="s">
        <v>579</v>
      </c>
      <c r="C30" s="157"/>
      <c r="D30" s="576" t="s">
        <v>568</v>
      </c>
      <c r="E30" s="584">
        <v>2</v>
      </c>
      <c r="F30" s="580">
        <v>57000</v>
      </c>
      <c r="G30" s="582">
        <v>114000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565</v>
      </c>
      <c r="J31" s="161"/>
      <c r="K31" s="69" t="s">
        <v>96</v>
      </c>
    </row>
    <row r="32" spans="1:11" ht="10.5" customHeight="1">
      <c r="A32" s="69"/>
      <c r="B32" s="156" t="s">
        <v>580</v>
      </c>
      <c r="C32" s="157"/>
      <c r="D32" s="576" t="s">
        <v>538</v>
      </c>
      <c r="E32" s="584">
        <v>10</v>
      </c>
      <c r="F32" s="580">
        <v>4000</v>
      </c>
      <c r="G32" s="582">
        <v>40000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581</v>
      </c>
      <c r="C33" s="160"/>
      <c r="D33" s="577"/>
      <c r="E33" s="585"/>
      <c r="F33" s="581"/>
      <c r="G33" s="583"/>
      <c r="H33" s="356"/>
      <c r="I33" s="356" t="s">
        <v>565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499</v>
      </c>
      <c r="C36" s="157"/>
      <c r="D36" s="576"/>
      <c r="E36" s="584"/>
      <c r="F36" s="580"/>
      <c r="G36" s="582">
        <v>1062500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2025-12-12T02:47:56Z</dcterms:modified>
  <cp:category/>
  <cp:contentStatus/>
</cp:coreProperties>
</file>